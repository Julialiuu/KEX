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76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nnealindahl/Documents/KEX/scraper/"/>
    </mc:Choice>
  </mc:AlternateContent>
  <bookViews>
    <workbookView xWindow="140" yWindow="920" windowWidth="25600" windowHeight="14340"/>
  </bookViews>
  <sheets>
    <sheet name="BOM" sheetId="8" r:id="rId1"/>
    <sheet name="BOM2013" sheetId="7" r:id="rId2"/>
    <sheet name="BOM2014" sheetId="6" r:id="rId3"/>
    <sheet name="BOM2015" sheetId="5" r:id="rId4"/>
    <sheet name="BOM2016" sheetId="4" r:id="rId5"/>
    <sheet name="BOM2011" sheetId="9" r:id="rId6"/>
    <sheet name="BOM2010" sheetId="10" r:id="rId7"/>
    <sheet name="BOM2017" sheetId="3" r:id="rId8"/>
    <sheet name="Wiki" sheetId="2" r:id="rId9"/>
  </sheets>
  <definedNames>
    <definedName name="_xlnm._FilterDatabase" localSheetId="7" hidden="1">'BOM2017'!$B$5:$N$729</definedName>
    <definedName name="_xlnm._FilterDatabase" localSheetId="8" hidden="1">Wiki!$B$5:$M$275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4" i="2" l="1"/>
  <c r="H274" i="2"/>
  <c r="I273" i="2"/>
  <c r="H273" i="2"/>
  <c r="I272" i="2"/>
  <c r="H272" i="2"/>
  <c r="I271" i="2"/>
  <c r="H271" i="2"/>
  <c r="I268" i="2"/>
  <c r="H268" i="2"/>
  <c r="I267" i="2"/>
  <c r="H267" i="2"/>
  <c r="I264" i="2"/>
  <c r="H264" i="2"/>
  <c r="I263" i="2"/>
  <c r="H263" i="2"/>
  <c r="I262" i="2"/>
  <c r="H262" i="2"/>
  <c r="I261" i="2"/>
  <c r="H261" i="2"/>
  <c r="I260" i="2"/>
  <c r="H260" i="2"/>
  <c r="I258" i="2"/>
  <c r="H258" i="2"/>
  <c r="I257" i="2"/>
  <c r="H257" i="2"/>
  <c r="I256" i="2"/>
  <c r="H256" i="2"/>
  <c r="I255" i="2"/>
  <c r="H255" i="2"/>
  <c r="I254" i="2"/>
  <c r="H254" i="2"/>
  <c r="I253" i="2"/>
  <c r="H253" i="2"/>
  <c r="I251" i="2"/>
  <c r="H251" i="2"/>
  <c r="I250" i="2"/>
  <c r="H250" i="2"/>
  <c r="I249" i="2"/>
  <c r="H249" i="2"/>
  <c r="I248" i="2"/>
  <c r="H248" i="2"/>
  <c r="I247" i="2"/>
  <c r="H247" i="2"/>
  <c r="I246" i="2"/>
  <c r="H246" i="2"/>
  <c r="I245" i="2"/>
  <c r="H245" i="2"/>
  <c r="I244" i="2"/>
  <c r="H244" i="2"/>
  <c r="I243" i="2"/>
  <c r="H243" i="2"/>
  <c r="I242" i="2"/>
  <c r="H242" i="2"/>
  <c r="I241" i="2"/>
  <c r="H241" i="2"/>
  <c r="I240" i="2"/>
  <c r="H240" i="2"/>
  <c r="I239" i="2"/>
  <c r="H239" i="2"/>
  <c r="I238" i="2"/>
  <c r="H238" i="2"/>
  <c r="I237" i="2"/>
  <c r="H237" i="2"/>
  <c r="I236" i="2"/>
  <c r="H236" i="2"/>
  <c r="I235" i="2"/>
  <c r="H235" i="2"/>
  <c r="I232" i="2"/>
  <c r="H232" i="2"/>
  <c r="I231" i="2"/>
  <c r="H231" i="2"/>
  <c r="I230" i="2"/>
  <c r="H230" i="2"/>
  <c r="I229" i="2"/>
  <c r="H229" i="2"/>
  <c r="I228" i="2"/>
  <c r="H228" i="2"/>
  <c r="I227" i="2"/>
  <c r="H227" i="2"/>
  <c r="I226" i="2"/>
  <c r="H226" i="2"/>
  <c r="I225" i="2"/>
  <c r="H225" i="2"/>
  <c r="I223" i="2"/>
  <c r="H223" i="2"/>
  <c r="I222" i="2"/>
  <c r="H222" i="2"/>
  <c r="I219" i="2"/>
  <c r="H219" i="2"/>
  <c r="I218" i="2"/>
  <c r="H218" i="2"/>
  <c r="I216" i="2"/>
  <c r="H216" i="2"/>
  <c r="I215" i="2"/>
  <c r="H215" i="2"/>
  <c r="I214" i="2"/>
  <c r="H214" i="2"/>
  <c r="I213" i="2"/>
  <c r="H213" i="2"/>
  <c r="I212" i="2"/>
  <c r="H212" i="2"/>
  <c r="I210" i="2"/>
  <c r="H210" i="2"/>
  <c r="I209" i="2"/>
  <c r="H209" i="2"/>
  <c r="I208" i="2"/>
  <c r="H208" i="2"/>
  <c r="I207" i="2"/>
  <c r="H207" i="2"/>
  <c r="I206" i="2"/>
  <c r="H206" i="2"/>
  <c r="I205" i="2"/>
  <c r="H205" i="2"/>
  <c r="I204" i="2"/>
  <c r="H204" i="2"/>
  <c r="I203" i="2"/>
  <c r="H203" i="2"/>
  <c r="I201" i="2"/>
  <c r="H201" i="2"/>
  <c r="I200" i="2"/>
  <c r="H200" i="2"/>
  <c r="I198" i="2"/>
  <c r="H198" i="2"/>
  <c r="I197" i="2"/>
  <c r="H197" i="2"/>
  <c r="I196" i="2"/>
  <c r="H196" i="2"/>
  <c r="I195" i="2"/>
  <c r="H195" i="2"/>
  <c r="I194" i="2"/>
  <c r="H194" i="2"/>
  <c r="I193" i="2"/>
  <c r="H193" i="2"/>
  <c r="I192" i="2"/>
  <c r="H192" i="2"/>
  <c r="I191" i="2"/>
  <c r="H191" i="2"/>
  <c r="I189" i="2"/>
  <c r="H189" i="2"/>
  <c r="I187" i="2"/>
  <c r="H187" i="2"/>
  <c r="I186" i="2"/>
  <c r="H186" i="2"/>
  <c r="I185" i="2"/>
  <c r="H185" i="2"/>
  <c r="I184" i="2"/>
  <c r="H184" i="2"/>
  <c r="I183" i="2"/>
  <c r="H183" i="2"/>
  <c r="I182" i="2"/>
  <c r="H182" i="2"/>
  <c r="I181" i="2"/>
  <c r="H181" i="2"/>
  <c r="I180" i="2"/>
  <c r="H180" i="2"/>
  <c r="I178" i="2"/>
  <c r="H178" i="2"/>
  <c r="I177" i="2"/>
  <c r="H177" i="2"/>
  <c r="I176" i="2"/>
  <c r="H176" i="2"/>
  <c r="I171" i="2"/>
  <c r="H171" i="2"/>
  <c r="I170" i="2"/>
  <c r="H170" i="2"/>
  <c r="I169" i="2"/>
  <c r="H169" i="2"/>
  <c r="I168" i="2"/>
  <c r="H168" i="2"/>
  <c r="I165" i="2"/>
  <c r="H165" i="2"/>
  <c r="I161" i="2"/>
  <c r="H161" i="2"/>
  <c r="I160" i="2"/>
  <c r="H160" i="2"/>
  <c r="I159" i="2"/>
  <c r="H159" i="2"/>
  <c r="I158" i="2"/>
  <c r="H158" i="2"/>
  <c r="I156" i="2"/>
  <c r="H156" i="2"/>
  <c r="I155" i="2"/>
  <c r="H155" i="2"/>
  <c r="I153" i="2"/>
  <c r="H153" i="2"/>
  <c r="I152" i="2"/>
  <c r="H152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8" i="2"/>
  <c r="H138" i="2"/>
  <c r="I136" i="2"/>
  <c r="H136" i="2"/>
  <c r="I135" i="2"/>
  <c r="H135" i="2"/>
  <c r="I134" i="2"/>
  <c r="H134" i="2"/>
  <c r="I132" i="2"/>
  <c r="H132" i="2"/>
  <c r="I131" i="2"/>
  <c r="H131" i="2"/>
  <c r="I129" i="2"/>
  <c r="H129" i="2"/>
  <c r="I128" i="2"/>
  <c r="H128" i="2"/>
  <c r="I127" i="2"/>
  <c r="H127" i="2"/>
  <c r="I126" i="2"/>
  <c r="H126" i="2"/>
  <c r="I125" i="2"/>
  <c r="H125" i="2"/>
  <c r="I123" i="2"/>
  <c r="H123" i="2"/>
  <c r="I121" i="2"/>
  <c r="H121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0" i="2"/>
  <c r="H110" i="2"/>
  <c r="I108" i="2"/>
  <c r="H108" i="2"/>
  <c r="I107" i="2"/>
  <c r="H107" i="2"/>
  <c r="I106" i="2"/>
  <c r="H106" i="2"/>
  <c r="I105" i="2"/>
  <c r="H105" i="2"/>
  <c r="I104" i="2"/>
  <c r="H104" i="2"/>
  <c r="I102" i="2"/>
  <c r="H102" i="2"/>
  <c r="I101" i="2"/>
  <c r="H101" i="2"/>
  <c r="I100" i="2"/>
  <c r="H100" i="2"/>
  <c r="I99" i="2"/>
  <c r="H99" i="2"/>
  <c r="I98" i="2"/>
  <c r="H98" i="2"/>
  <c r="I97" i="2"/>
  <c r="H97" i="2"/>
  <c r="I95" i="2"/>
  <c r="H95" i="2"/>
  <c r="I94" i="2"/>
  <c r="H94" i="2"/>
  <c r="I93" i="2"/>
  <c r="H93" i="2"/>
  <c r="I92" i="2"/>
  <c r="H92" i="2"/>
  <c r="I90" i="2"/>
  <c r="H90" i="2"/>
  <c r="I89" i="2"/>
  <c r="H89" i="2"/>
  <c r="I88" i="2"/>
  <c r="H88" i="2"/>
  <c r="I87" i="2"/>
  <c r="H87" i="2"/>
  <c r="I85" i="2"/>
  <c r="H85" i="2"/>
  <c r="I84" i="2"/>
  <c r="H84" i="2"/>
  <c r="I83" i="2"/>
  <c r="H83" i="2"/>
  <c r="I81" i="2"/>
  <c r="H81" i="2"/>
  <c r="I79" i="2"/>
  <c r="H79" i="2"/>
  <c r="I78" i="2"/>
  <c r="H78" i="2"/>
  <c r="I77" i="2"/>
  <c r="H77" i="2"/>
  <c r="I76" i="2"/>
  <c r="H76" i="2"/>
  <c r="I75" i="2"/>
  <c r="H75" i="2"/>
  <c r="I74" i="2"/>
  <c r="H74" i="2"/>
  <c r="I71" i="2"/>
  <c r="H71" i="2"/>
  <c r="I69" i="2"/>
  <c r="H69" i="2"/>
  <c r="I67" i="2"/>
  <c r="H67" i="2"/>
  <c r="I66" i="2"/>
  <c r="H66" i="2"/>
  <c r="I65" i="2"/>
  <c r="H65" i="2"/>
  <c r="I63" i="2"/>
  <c r="H63" i="2"/>
  <c r="I62" i="2"/>
  <c r="H62" i="2"/>
  <c r="I61" i="2"/>
  <c r="H61" i="2"/>
  <c r="I59" i="2"/>
  <c r="H59" i="2"/>
  <c r="I58" i="2"/>
  <c r="H58" i="2"/>
  <c r="I57" i="2"/>
  <c r="H57" i="2"/>
  <c r="I56" i="2"/>
  <c r="H56" i="2"/>
  <c r="I54" i="2"/>
  <c r="H54" i="2"/>
  <c r="I52" i="2"/>
  <c r="H52" i="2"/>
  <c r="I51" i="2"/>
  <c r="H51" i="2"/>
  <c r="I50" i="2"/>
  <c r="H50" i="2"/>
  <c r="I49" i="2"/>
  <c r="H49" i="2"/>
  <c r="I47" i="2"/>
  <c r="H47" i="2"/>
  <c r="I46" i="2"/>
  <c r="H46" i="2"/>
  <c r="I45" i="2"/>
  <c r="H45" i="2"/>
  <c r="I44" i="2"/>
  <c r="H44" i="2"/>
  <c r="I42" i="2"/>
  <c r="H42" i="2"/>
  <c r="I41" i="2"/>
  <c r="H41" i="2"/>
  <c r="I40" i="2"/>
  <c r="H40" i="2"/>
  <c r="I39" i="2"/>
  <c r="H39" i="2"/>
  <c r="I36" i="2"/>
  <c r="H36" i="2"/>
  <c r="I32" i="2"/>
  <c r="H32" i="2"/>
  <c r="I29" i="2"/>
  <c r="H29" i="2"/>
  <c r="I27" i="2"/>
  <c r="H27" i="2"/>
  <c r="I26" i="2"/>
  <c r="H26" i="2"/>
  <c r="I25" i="2"/>
  <c r="H25" i="2"/>
  <c r="I24" i="2"/>
  <c r="H24" i="2"/>
  <c r="I20" i="2"/>
  <c r="H20" i="2"/>
  <c r="I18" i="2"/>
  <c r="H18" i="2"/>
  <c r="I17" i="2"/>
  <c r="H17" i="2"/>
  <c r="I15" i="2"/>
  <c r="H15" i="2"/>
  <c r="I14" i="2"/>
  <c r="H14" i="2"/>
  <c r="I12" i="2"/>
  <c r="H12" i="2"/>
  <c r="I11" i="2"/>
  <c r="H11" i="2"/>
  <c r="I10" i="2"/>
  <c r="H10" i="2"/>
  <c r="I9" i="2"/>
  <c r="H9" i="2"/>
  <c r="I8" i="2"/>
  <c r="H8" i="2"/>
  <c r="I6" i="2"/>
  <c r="H6" i="2"/>
  <c r="G6" i="2"/>
  <c r="G274" i="2"/>
  <c r="G273" i="2"/>
  <c r="G272" i="2"/>
  <c r="G271" i="2"/>
  <c r="G268" i="2"/>
  <c r="G267" i="2"/>
  <c r="G264" i="2"/>
  <c r="G263" i="2"/>
  <c r="G262" i="2"/>
  <c r="G261" i="2"/>
  <c r="G260" i="2"/>
  <c r="G258" i="2"/>
  <c r="G257" i="2"/>
  <c r="G256" i="2"/>
  <c r="G255" i="2"/>
  <c r="G254" i="2"/>
  <c r="G253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2" i="2"/>
  <c r="G231" i="2"/>
  <c r="G230" i="2"/>
  <c r="G229" i="2"/>
  <c r="G228" i="2"/>
  <c r="G227" i="2"/>
  <c r="G226" i="2"/>
  <c r="G225" i="2"/>
  <c r="G223" i="2"/>
  <c r="G222" i="2"/>
  <c r="G219" i="2"/>
  <c r="G218" i="2"/>
  <c r="G216" i="2"/>
  <c r="G215" i="2"/>
  <c r="G214" i="2"/>
  <c r="G213" i="2"/>
  <c r="G212" i="2"/>
  <c r="G210" i="2"/>
  <c r="G209" i="2"/>
  <c r="G208" i="2"/>
  <c r="G207" i="2"/>
  <c r="G206" i="2"/>
  <c r="G205" i="2"/>
  <c r="G204" i="2"/>
  <c r="G203" i="2"/>
  <c r="G201" i="2"/>
  <c r="G200" i="2"/>
  <c r="G198" i="2"/>
  <c r="G197" i="2"/>
  <c r="G196" i="2"/>
  <c r="G195" i="2"/>
  <c r="G194" i="2"/>
  <c r="G193" i="2"/>
  <c r="G192" i="2"/>
  <c r="G191" i="2"/>
  <c r="G189" i="2"/>
  <c r="G187" i="2"/>
  <c r="G186" i="2"/>
  <c r="G185" i="2"/>
  <c r="G184" i="2"/>
  <c r="G183" i="2"/>
  <c r="G182" i="2"/>
  <c r="G181" i="2"/>
  <c r="G180" i="2"/>
  <c r="G178" i="2"/>
  <c r="G177" i="2"/>
  <c r="G176" i="2"/>
  <c r="G171" i="2"/>
  <c r="G170" i="2"/>
  <c r="G169" i="2"/>
  <c r="G168" i="2"/>
  <c r="G165" i="2"/>
  <c r="G161" i="2"/>
  <c r="G160" i="2"/>
  <c r="G159" i="2"/>
  <c r="G158" i="2"/>
  <c r="G156" i="2"/>
  <c r="G155" i="2"/>
  <c r="G153" i="2"/>
  <c r="G152" i="2"/>
  <c r="G150" i="2"/>
  <c r="G149" i="2"/>
  <c r="G148" i="2"/>
  <c r="G147" i="2"/>
  <c r="G146" i="2"/>
  <c r="G145" i="2"/>
  <c r="G144" i="2"/>
  <c r="G143" i="2"/>
  <c r="G142" i="2"/>
  <c r="G141" i="2"/>
  <c r="G140" i="2"/>
  <c r="G138" i="2"/>
  <c r="G136" i="2"/>
  <c r="G135" i="2"/>
  <c r="G134" i="2"/>
  <c r="G132" i="2"/>
  <c r="G131" i="2"/>
  <c r="G129" i="2"/>
  <c r="G128" i="2"/>
  <c r="G127" i="2"/>
  <c r="G126" i="2"/>
  <c r="G125" i="2"/>
  <c r="G123" i="2"/>
  <c r="G121" i="2"/>
  <c r="G119" i="2"/>
  <c r="G118" i="2"/>
  <c r="G117" i="2"/>
  <c r="G116" i="2"/>
  <c r="G115" i="2"/>
  <c r="G114" i="2"/>
  <c r="G113" i="2"/>
  <c r="G112" i="2"/>
  <c r="G110" i="2"/>
  <c r="G108" i="2"/>
  <c r="G107" i="2"/>
  <c r="G106" i="2"/>
  <c r="G105" i="2"/>
  <c r="G104" i="2"/>
  <c r="G102" i="2"/>
  <c r="G101" i="2"/>
  <c r="G100" i="2"/>
  <c r="G99" i="2"/>
  <c r="G98" i="2"/>
  <c r="G97" i="2"/>
  <c r="G95" i="2"/>
  <c r="G94" i="2"/>
  <c r="G93" i="2"/>
  <c r="G92" i="2"/>
  <c r="G90" i="2"/>
  <c r="G89" i="2"/>
  <c r="G88" i="2"/>
  <c r="G87" i="2"/>
  <c r="G85" i="2"/>
  <c r="G84" i="2"/>
  <c r="G83" i="2"/>
  <c r="G81" i="2"/>
  <c r="G79" i="2"/>
  <c r="G78" i="2"/>
  <c r="G77" i="2"/>
  <c r="G76" i="2"/>
  <c r="G75" i="2"/>
  <c r="G74" i="2"/>
  <c r="G71" i="2"/>
  <c r="G69" i="2"/>
  <c r="G67" i="2"/>
  <c r="G66" i="2"/>
  <c r="G65" i="2"/>
  <c r="G63" i="2"/>
  <c r="G62" i="2"/>
  <c r="G61" i="2"/>
  <c r="G59" i="2"/>
  <c r="G58" i="2"/>
  <c r="G57" i="2"/>
  <c r="G56" i="2"/>
  <c r="G54" i="2"/>
  <c r="G52" i="2"/>
  <c r="G51" i="2"/>
  <c r="G50" i="2"/>
  <c r="G49" i="2"/>
  <c r="G47" i="2"/>
  <c r="G46" i="2"/>
  <c r="G45" i="2"/>
  <c r="G44" i="2"/>
  <c r="G42" i="2"/>
  <c r="G41" i="2"/>
  <c r="G40" i="2"/>
  <c r="G39" i="2"/>
  <c r="G36" i="2"/>
  <c r="G32" i="2"/>
  <c r="G29" i="2"/>
  <c r="G27" i="2"/>
  <c r="G26" i="2"/>
  <c r="G25" i="2"/>
  <c r="G24" i="2"/>
  <c r="G20" i="2"/>
  <c r="G18" i="2"/>
  <c r="G17" i="2"/>
  <c r="G15" i="2"/>
  <c r="G14" i="2"/>
  <c r="G12" i="2"/>
  <c r="G11" i="2"/>
  <c r="G10" i="2"/>
  <c r="G9" i="2"/>
  <c r="G8" i="2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M7" i="3"/>
  <c r="M728" i="3"/>
  <c r="M727" i="3"/>
  <c r="M725" i="3"/>
  <c r="M724" i="3"/>
  <c r="M723" i="3"/>
  <c r="M722" i="3"/>
  <c r="M721" i="3"/>
  <c r="M719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89" i="3"/>
  <c r="M488" i="3"/>
  <c r="M487" i="3"/>
  <c r="M486" i="3"/>
  <c r="M485" i="3"/>
  <c r="M483" i="3"/>
  <c r="M481" i="3"/>
  <c r="M480" i="3"/>
  <c r="M479" i="3"/>
  <c r="M478" i="3"/>
  <c r="M477" i="3"/>
  <c r="M476" i="3"/>
  <c r="M475" i="3"/>
  <c r="M474" i="3"/>
  <c r="M473" i="3"/>
  <c r="M472" i="3"/>
  <c r="M471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6" i="3"/>
  <c r="M455" i="3"/>
  <c r="M454" i="3"/>
  <c r="M453" i="3"/>
  <c r="M452" i="3"/>
  <c r="M451" i="3"/>
  <c r="M450" i="3"/>
  <c r="M449" i="3"/>
  <c r="M448" i="3"/>
  <c r="M447" i="3"/>
  <c r="M446" i="3"/>
  <c r="M445" i="3"/>
  <c r="M444" i="3"/>
  <c r="M443" i="3"/>
  <c r="M441" i="3"/>
  <c r="M440" i="3"/>
  <c r="M439" i="3"/>
  <c r="M438" i="3"/>
  <c r="M437" i="3"/>
  <c r="M436" i="3"/>
  <c r="M435" i="3"/>
  <c r="M434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1" i="3"/>
  <c r="M370" i="3"/>
  <c r="M369" i="3"/>
  <c r="M368" i="3"/>
  <c r="M367" i="3"/>
  <c r="M365" i="3"/>
  <c r="M364" i="3"/>
  <c r="M363" i="3"/>
  <c r="M362" i="3"/>
  <c r="M361" i="3"/>
  <c r="M360" i="3"/>
  <c r="M359" i="3"/>
  <c r="M358" i="3"/>
  <c r="M357" i="3"/>
  <c r="M355" i="3"/>
  <c r="M353" i="3"/>
  <c r="M352" i="3"/>
  <c r="M351" i="3"/>
  <c r="M350" i="3"/>
  <c r="M349" i="3"/>
  <c r="M348" i="3"/>
  <c r="M347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29" i="3"/>
  <c r="M328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5" i="3"/>
  <c r="M294" i="3"/>
  <c r="M293" i="3"/>
  <c r="M292" i="3"/>
  <c r="M291" i="3"/>
  <c r="M289" i="3"/>
  <c r="M288" i="3"/>
  <c r="M287" i="3"/>
  <c r="M286" i="3"/>
  <c r="M285" i="3"/>
  <c r="M284" i="3"/>
  <c r="M283" i="3"/>
  <c r="M282" i="3"/>
  <c r="M280" i="3"/>
  <c r="M279" i="3"/>
  <c r="M277" i="3"/>
  <c r="M275" i="3"/>
  <c r="M274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8" i="3"/>
  <c r="M256" i="3"/>
  <c r="M255" i="3"/>
  <c r="M254" i="3"/>
  <c r="M253" i="3"/>
  <c r="M252" i="3"/>
  <c r="M250" i="3"/>
  <c r="M249" i="3"/>
  <c r="M248" i="3"/>
  <c r="M246" i="3"/>
  <c r="M245" i="3"/>
  <c r="M244" i="3"/>
  <c r="M243" i="3"/>
  <c r="M242" i="3"/>
  <c r="M240" i="3"/>
  <c r="M239" i="3"/>
  <c r="M237" i="3"/>
  <c r="M236" i="3"/>
  <c r="M235" i="3"/>
  <c r="M234" i="3"/>
  <c r="M233" i="3"/>
  <c r="M232" i="3"/>
  <c r="M231" i="3"/>
  <c r="M230" i="3"/>
  <c r="M225" i="3"/>
  <c r="M224" i="3"/>
  <c r="M221" i="3"/>
  <c r="M220" i="3"/>
  <c r="M219" i="3"/>
  <c r="M218" i="3"/>
  <c r="M217" i="3"/>
  <c r="M216" i="3"/>
  <c r="M215" i="3"/>
  <c r="M214" i="3"/>
  <c r="M211" i="3"/>
  <c r="M209" i="3"/>
  <c r="M208" i="3"/>
  <c r="M207" i="3"/>
  <c r="M206" i="3"/>
  <c r="M200" i="3"/>
  <c r="M198" i="3"/>
  <c r="M196" i="3"/>
  <c r="M193" i="3"/>
  <c r="M189" i="3"/>
  <c r="M187" i="3"/>
  <c r="M186" i="3"/>
  <c r="M185" i="3"/>
  <c r="M183" i="3"/>
  <c r="M182" i="3"/>
  <c r="M181" i="3"/>
  <c r="M180" i="3"/>
  <c r="M179" i="3"/>
  <c r="M178" i="3"/>
  <c r="M177" i="3"/>
  <c r="M175" i="3"/>
  <c r="M173" i="3"/>
  <c r="M172" i="3"/>
  <c r="M169" i="3"/>
  <c r="M168" i="3"/>
  <c r="M167" i="3"/>
  <c r="M164" i="3"/>
  <c r="M162" i="3"/>
  <c r="M158" i="3"/>
  <c r="M155" i="3"/>
  <c r="M154" i="3"/>
  <c r="M147" i="3"/>
  <c r="M141" i="3"/>
  <c r="M138" i="3"/>
  <c r="M137" i="3"/>
  <c r="M134" i="3"/>
  <c r="M131" i="3"/>
  <c r="M130" i="3"/>
  <c r="M127" i="3"/>
  <c r="M126" i="3"/>
  <c r="M122" i="3"/>
  <c r="M114" i="3"/>
  <c r="M106" i="3"/>
  <c r="M99" i="3"/>
  <c r="M87" i="3"/>
  <c r="M83" i="3"/>
  <c r="M70" i="3"/>
  <c r="M64" i="3"/>
  <c r="M62" i="3"/>
  <c r="M57" i="3"/>
  <c r="M43" i="3"/>
  <c r="M42" i="3"/>
  <c r="M39" i="3"/>
  <c r="M35" i="3"/>
  <c r="D688" i="3"/>
  <c r="N688" i="3"/>
  <c r="D704" i="3"/>
  <c r="N704" i="3"/>
  <c r="D7" i="3"/>
  <c r="D683" i="3"/>
  <c r="N683" i="3"/>
  <c r="D699" i="3"/>
  <c r="N699" i="3"/>
  <c r="D715" i="3"/>
  <c r="N715" i="3"/>
  <c r="L2" i="3"/>
  <c r="L4" i="3"/>
  <c r="L3" i="3"/>
  <c r="D35" i="3"/>
  <c r="D39" i="3"/>
  <c r="N39" i="3"/>
  <c r="D43" i="3"/>
  <c r="D83" i="3"/>
  <c r="D87" i="3"/>
  <c r="D99" i="3"/>
  <c r="N99" i="3"/>
  <c r="D127" i="3"/>
  <c r="D131" i="3"/>
  <c r="N131" i="3"/>
  <c r="D147" i="3"/>
  <c r="N147" i="3"/>
  <c r="D155" i="3"/>
  <c r="N155" i="3"/>
  <c r="D167" i="3"/>
  <c r="N167" i="3"/>
  <c r="D175" i="3"/>
  <c r="N175" i="3"/>
  <c r="D179" i="3"/>
  <c r="N179" i="3"/>
  <c r="D183" i="3"/>
  <c r="N183" i="3"/>
  <c r="D187" i="3"/>
  <c r="N187" i="3"/>
  <c r="D207" i="3"/>
  <c r="N207" i="3"/>
  <c r="D211" i="3"/>
  <c r="N211" i="3"/>
  <c r="D215" i="3"/>
  <c r="N215" i="3"/>
  <c r="D219" i="3"/>
  <c r="N219" i="3"/>
  <c r="D231" i="3"/>
  <c r="N231" i="3"/>
  <c r="D235" i="3"/>
  <c r="N235" i="3"/>
  <c r="D239" i="3"/>
  <c r="N239" i="3"/>
  <c r="D243" i="3"/>
  <c r="N243" i="3"/>
  <c r="D255" i="3"/>
  <c r="N255" i="3"/>
  <c r="D263" i="3"/>
  <c r="N263" i="3"/>
  <c r="D267" i="3"/>
  <c r="N267" i="3"/>
  <c r="D271" i="3"/>
  <c r="N271" i="3"/>
  <c r="D275" i="3"/>
  <c r="N275" i="3"/>
  <c r="D279" i="3"/>
  <c r="N279" i="3"/>
  <c r="D283" i="3"/>
  <c r="N283" i="3"/>
  <c r="D287" i="3"/>
  <c r="D291" i="3"/>
  <c r="N291" i="3"/>
  <c r="D295" i="3"/>
  <c r="N295" i="3"/>
  <c r="D299" i="3"/>
  <c r="N299" i="3"/>
  <c r="D303" i="3"/>
  <c r="N303" i="3"/>
  <c r="D307" i="3"/>
  <c r="N307" i="3"/>
  <c r="D311" i="3"/>
  <c r="N311" i="3"/>
  <c r="D315" i="3"/>
  <c r="N315" i="3"/>
  <c r="D319" i="3"/>
  <c r="N319" i="3"/>
  <c r="D323" i="3"/>
  <c r="N323" i="3"/>
  <c r="D331" i="3"/>
  <c r="N331" i="3"/>
  <c r="D335" i="3"/>
  <c r="N335" i="3"/>
  <c r="D339" i="3"/>
  <c r="N339" i="3"/>
  <c r="D343" i="3"/>
  <c r="N343" i="3"/>
  <c r="D347" i="3"/>
  <c r="N347" i="3"/>
  <c r="D351" i="3"/>
  <c r="N351" i="3"/>
  <c r="D355" i="3"/>
  <c r="N355" i="3"/>
  <c r="D359" i="3"/>
  <c r="N359" i="3"/>
  <c r="D363" i="3"/>
  <c r="N363" i="3"/>
  <c r="D367" i="3"/>
  <c r="N367" i="3"/>
  <c r="D371" i="3"/>
  <c r="N371" i="3"/>
  <c r="D375" i="3"/>
  <c r="N375" i="3"/>
  <c r="D379" i="3"/>
  <c r="N379" i="3"/>
  <c r="D383" i="3"/>
  <c r="N383" i="3"/>
  <c r="D387" i="3"/>
  <c r="N387" i="3"/>
  <c r="D391" i="3"/>
  <c r="N391" i="3"/>
  <c r="D395" i="3"/>
  <c r="N395" i="3"/>
  <c r="D399" i="3"/>
  <c r="N399" i="3"/>
  <c r="D403" i="3"/>
  <c r="N403" i="3"/>
  <c r="D407" i="3"/>
  <c r="N407" i="3"/>
  <c r="D411" i="3"/>
  <c r="N411" i="3"/>
  <c r="D415" i="3"/>
  <c r="N415" i="3"/>
  <c r="D419" i="3"/>
  <c r="N419" i="3"/>
  <c r="D423" i="3"/>
  <c r="N423" i="3"/>
  <c r="D427" i="3"/>
  <c r="N427" i="3"/>
  <c r="D431" i="3"/>
  <c r="N431" i="3"/>
  <c r="D435" i="3"/>
  <c r="N435" i="3"/>
  <c r="D439" i="3"/>
  <c r="N439" i="3"/>
  <c r="D443" i="3"/>
  <c r="N443" i="3"/>
  <c r="D447" i="3"/>
  <c r="N447" i="3"/>
  <c r="D451" i="3"/>
  <c r="N451" i="3"/>
  <c r="D455" i="3"/>
  <c r="N455" i="3"/>
  <c r="D459" i="3"/>
  <c r="N459" i="3"/>
  <c r="D463" i="3"/>
  <c r="N463" i="3"/>
  <c r="D467" i="3"/>
  <c r="N467" i="3"/>
  <c r="D471" i="3"/>
  <c r="N471" i="3"/>
  <c r="D475" i="3"/>
  <c r="N475" i="3"/>
  <c r="D479" i="3"/>
  <c r="N479" i="3"/>
  <c r="D483" i="3"/>
  <c r="N483" i="3"/>
  <c r="D487" i="3"/>
  <c r="N487" i="3"/>
  <c r="D491" i="3"/>
  <c r="N491" i="3"/>
  <c r="D495" i="3"/>
  <c r="N495" i="3"/>
  <c r="D499" i="3"/>
  <c r="N499" i="3"/>
  <c r="D503" i="3"/>
  <c r="N503" i="3"/>
  <c r="D507" i="3"/>
  <c r="N507" i="3"/>
  <c r="D511" i="3"/>
  <c r="N511" i="3"/>
  <c r="D515" i="3"/>
  <c r="N515" i="3"/>
  <c r="D519" i="3"/>
  <c r="N519" i="3"/>
  <c r="D523" i="3"/>
  <c r="N523" i="3"/>
  <c r="D527" i="3"/>
  <c r="N527" i="3"/>
  <c r="D531" i="3"/>
  <c r="N531" i="3"/>
  <c r="D535" i="3"/>
  <c r="N535" i="3"/>
  <c r="D539" i="3"/>
  <c r="N539" i="3"/>
  <c r="D543" i="3"/>
  <c r="N543" i="3"/>
  <c r="D547" i="3"/>
  <c r="N547" i="3"/>
  <c r="D551" i="3"/>
  <c r="N551" i="3"/>
  <c r="D555" i="3"/>
  <c r="N555" i="3"/>
  <c r="D559" i="3"/>
  <c r="N559" i="3"/>
  <c r="D563" i="3"/>
  <c r="N563" i="3"/>
  <c r="D567" i="3"/>
  <c r="N567" i="3"/>
  <c r="D571" i="3"/>
  <c r="N571" i="3"/>
  <c r="D575" i="3"/>
  <c r="N575" i="3"/>
  <c r="D579" i="3"/>
  <c r="N579" i="3"/>
  <c r="D583" i="3"/>
  <c r="N583" i="3"/>
  <c r="D587" i="3"/>
  <c r="N587" i="3"/>
  <c r="D591" i="3"/>
  <c r="N591" i="3"/>
  <c r="D595" i="3"/>
  <c r="N595" i="3"/>
  <c r="D599" i="3"/>
  <c r="N599" i="3"/>
  <c r="D603" i="3"/>
  <c r="N603" i="3"/>
  <c r="D607" i="3"/>
  <c r="N607" i="3"/>
  <c r="D615" i="3"/>
  <c r="N615" i="3"/>
  <c r="D619" i="3"/>
  <c r="N619" i="3"/>
  <c r="D623" i="3"/>
  <c r="N623" i="3"/>
  <c r="D627" i="3"/>
  <c r="N627" i="3"/>
  <c r="D631" i="3"/>
  <c r="N631" i="3"/>
  <c r="D635" i="3"/>
  <c r="N635" i="3"/>
  <c r="D639" i="3"/>
  <c r="N639" i="3"/>
  <c r="D643" i="3"/>
  <c r="N643" i="3"/>
  <c r="D647" i="3"/>
  <c r="N647" i="3"/>
  <c r="D651" i="3"/>
  <c r="N651" i="3"/>
  <c r="D655" i="3"/>
  <c r="N655" i="3"/>
  <c r="D663" i="3"/>
  <c r="N663" i="3"/>
  <c r="D667" i="3"/>
  <c r="N667" i="3"/>
  <c r="D671" i="3"/>
  <c r="N671" i="3"/>
  <c r="D675" i="3"/>
  <c r="N675" i="3"/>
  <c r="D64" i="3"/>
  <c r="N64" i="3"/>
  <c r="D164" i="3"/>
  <c r="N164" i="3"/>
  <c r="D168" i="3"/>
  <c r="N168" i="3"/>
  <c r="D172" i="3"/>
  <c r="N172" i="3"/>
  <c r="D180" i="3"/>
  <c r="N180" i="3"/>
  <c r="D196" i="3"/>
  <c r="N196" i="3"/>
  <c r="D200" i="3"/>
  <c r="N200" i="3"/>
  <c r="D208" i="3"/>
  <c r="N208" i="3"/>
  <c r="D216" i="3"/>
  <c r="N216" i="3"/>
  <c r="D220" i="3"/>
  <c r="N220" i="3"/>
  <c r="D224" i="3"/>
  <c r="N224" i="3"/>
  <c r="D232" i="3"/>
  <c r="N232" i="3"/>
  <c r="D236" i="3"/>
  <c r="N236" i="3"/>
  <c r="D240" i="3"/>
  <c r="N240" i="3"/>
  <c r="D244" i="3"/>
  <c r="N244" i="3"/>
  <c r="D248" i="3"/>
  <c r="N248" i="3"/>
  <c r="D252" i="3"/>
  <c r="N252" i="3"/>
  <c r="D256" i="3"/>
  <c r="N256" i="3"/>
  <c r="D260" i="3"/>
  <c r="N260" i="3"/>
  <c r="D264" i="3"/>
  <c r="N264" i="3"/>
  <c r="D268" i="3"/>
  <c r="N268" i="3"/>
  <c r="D280" i="3"/>
  <c r="N280" i="3"/>
  <c r="D284" i="3"/>
  <c r="N284" i="3"/>
  <c r="D288" i="3"/>
  <c r="N288" i="3"/>
  <c r="D292" i="3"/>
  <c r="N292" i="3"/>
  <c r="D300" i="3"/>
  <c r="N300" i="3"/>
  <c r="D304" i="3"/>
  <c r="N304" i="3"/>
  <c r="D308" i="3"/>
  <c r="N308" i="3"/>
  <c r="D312" i="3"/>
  <c r="N312" i="3"/>
  <c r="D316" i="3"/>
  <c r="N316" i="3"/>
  <c r="D320" i="3"/>
  <c r="N320" i="3"/>
  <c r="D324" i="3"/>
  <c r="N324" i="3"/>
  <c r="D328" i="3"/>
  <c r="N328" i="3"/>
  <c r="D332" i="3"/>
  <c r="N332" i="3"/>
  <c r="D336" i="3"/>
  <c r="N336" i="3"/>
  <c r="D340" i="3"/>
  <c r="N340" i="3"/>
  <c r="D344" i="3"/>
  <c r="N344" i="3"/>
  <c r="D348" i="3"/>
  <c r="N348" i="3"/>
  <c r="D352" i="3"/>
  <c r="N352" i="3"/>
  <c r="D360" i="3"/>
  <c r="N360" i="3"/>
  <c r="D364" i="3"/>
  <c r="N364" i="3"/>
  <c r="D368" i="3"/>
  <c r="N368" i="3"/>
  <c r="D376" i="3"/>
  <c r="N376" i="3"/>
  <c r="D380" i="3"/>
  <c r="N380" i="3"/>
  <c r="D384" i="3"/>
  <c r="N384" i="3"/>
  <c r="D388" i="3"/>
  <c r="N388" i="3"/>
  <c r="D396" i="3"/>
  <c r="N396" i="3"/>
  <c r="D400" i="3"/>
  <c r="N400" i="3"/>
  <c r="D404" i="3"/>
  <c r="N404" i="3"/>
  <c r="D408" i="3"/>
  <c r="N408" i="3"/>
  <c r="D412" i="3"/>
  <c r="N412" i="3"/>
  <c r="D416" i="3"/>
  <c r="N416" i="3"/>
  <c r="D420" i="3"/>
  <c r="N420" i="3"/>
  <c r="D424" i="3"/>
  <c r="N424" i="3"/>
  <c r="D428" i="3"/>
  <c r="N428" i="3"/>
  <c r="D432" i="3"/>
  <c r="N432" i="3"/>
  <c r="D436" i="3"/>
  <c r="N436" i="3"/>
  <c r="D440" i="3"/>
  <c r="N440" i="3"/>
  <c r="D444" i="3"/>
  <c r="N444" i="3"/>
  <c r="D448" i="3"/>
  <c r="N448" i="3"/>
  <c r="D452" i="3"/>
  <c r="N452" i="3"/>
  <c r="D456" i="3"/>
  <c r="N456" i="3"/>
  <c r="D460" i="3"/>
  <c r="N460" i="3"/>
  <c r="D464" i="3"/>
  <c r="N464" i="3"/>
  <c r="D468" i="3"/>
  <c r="N468" i="3"/>
  <c r="D472" i="3"/>
  <c r="N472" i="3"/>
  <c r="D476" i="3"/>
  <c r="N476" i="3"/>
  <c r="D480" i="3"/>
  <c r="N480" i="3"/>
  <c r="D488" i="3"/>
  <c r="N488" i="3"/>
  <c r="D492" i="3"/>
  <c r="N492" i="3"/>
  <c r="D496" i="3"/>
  <c r="D500" i="3"/>
  <c r="N500" i="3"/>
  <c r="D508" i="3"/>
  <c r="N508" i="3"/>
  <c r="D512" i="3"/>
  <c r="N512" i="3"/>
  <c r="D516" i="3"/>
  <c r="N516" i="3"/>
  <c r="D520" i="3"/>
  <c r="N520" i="3"/>
  <c r="D524" i="3"/>
  <c r="N524" i="3"/>
  <c r="D528" i="3"/>
  <c r="N528" i="3"/>
  <c r="D532" i="3"/>
  <c r="N532" i="3"/>
  <c r="D536" i="3"/>
  <c r="N536" i="3"/>
  <c r="D540" i="3"/>
  <c r="N540" i="3"/>
  <c r="D544" i="3"/>
  <c r="N544" i="3"/>
  <c r="D552" i="3"/>
  <c r="N552" i="3"/>
  <c r="D556" i="3"/>
  <c r="N556" i="3"/>
  <c r="D560" i="3"/>
  <c r="N560" i="3"/>
  <c r="D564" i="3"/>
  <c r="N564" i="3"/>
  <c r="D568" i="3"/>
  <c r="N568" i="3"/>
  <c r="D572" i="3"/>
  <c r="N572" i="3"/>
  <c r="D576" i="3"/>
  <c r="N576" i="3"/>
  <c r="D580" i="3"/>
  <c r="N580" i="3"/>
  <c r="D584" i="3"/>
  <c r="N584" i="3"/>
  <c r="D588" i="3"/>
  <c r="N588" i="3"/>
  <c r="D592" i="3"/>
  <c r="N592" i="3"/>
  <c r="D596" i="3"/>
  <c r="N596" i="3"/>
  <c r="D600" i="3"/>
  <c r="N600" i="3"/>
  <c r="D604" i="3"/>
  <c r="N604" i="3"/>
  <c r="D608" i="3"/>
  <c r="N608" i="3"/>
  <c r="D612" i="3"/>
  <c r="N612" i="3"/>
  <c r="D616" i="3"/>
  <c r="N616" i="3"/>
  <c r="D620" i="3"/>
  <c r="N620" i="3"/>
  <c r="D624" i="3"/>
  <c r="N624" i="3"/>
  <c r="D632" i="3"/>
  <c r="N632" i="3"/>
  <c r="D636" i="3"/>
  <c r="N636" i="3"/>
  <c r="D640" i="3"/>
  <c r="N640" i="3"/>
  <c r="D644" i="3"/>
  <c r="N644" i="3"/>
  <c r="D648" i="3"/>
  <c r="N648" i="3"/>
  <c r="D652" i="3"/>
  <c r="N652" i="3"/>
  <c r="D656" i="3"/>
  <c r="N656" i="3"/>
  <c r="D660" i="3"/>
  <c r="N660" i="3"/>
  <c r="D664" i="3"/>
  <c r="N664" i="3"/>
  <c r="D668" i="3"/>
  <c r="N668" i="3"/>
  <c r="D672" i="3"/>
  <c r="N672" i="3"/>
  <c r="D676" i="3"/>
  <c r="N676" i="3"/>
  <c r="D57" i="3"/>
  <c r="N57" i="3"/>
  <c r="D137" i="3"/>
  <c r="N137" i="3"/>
  <c r="D141" i="3"/>
  <c r="N141" i="3"/>
  <c r="D169" i="3"/>
  <c r="N169" i="3"/>
  <c r="D173" i="3"/>
  <c r="N173" i="3"/>
  <c r="D177" i="3"/>
  <c r="N177" i="3"/>
  <c r="D181" i="3"/>
  <c r="N181" i="3"/>
  <c r="D185" i="3"/>
  <c r="N185" i="3"/>
  <c r="D189" i="3"/>
  <c r="N189" i="3"/>
  <c r="D193" i="3"/>
  <c r="N193" i="3"/>
  <c r="D209" i="3"/>
  <c r="N209" i="3"/>
  <c r="D217" i="3"/>
  <c r="N217" i="3"/>
  <c r="D221" i="3"/>
  <c r="N221" i="3"/>
  <c r="D225" i="3"/>
  <c r="N225" i="3"/>
  <c r="D233" i="3"/>
  <c r="N233" i="3"/>
  <c r="D237" i="3"/>
  <c r="D245" i="3"/>
  <c r="N245" i="3"/>
  <c r="D249" i="3"/>
  <c r="N249" i="3"/>
  <c r="D253" i="3"/>
  <c r="N253" i="3"/>
  <c r="D261" i="3"/>
  <c r="N261" i="3"/>
  <c r="D265" i="3"/>
  <c r="N265" i="3"/>
  <c r="D269" i="3"/>
  <c r="N269" i="3"/>
  <c r="D277" i="3"/>
  <c r="N277" i="3"/>
  <c r="D285" i="3"/>
  <c r="D289" i="3"/>
  <c r="N289" i="3"/>
  <c r="D293" i="3"/>
  <c r="N293" i="3"/>
  <c r="D297" i="3"/>
  <c r="N297" i="3"/>
  <c r="D301" i="3"/>
  <c r="N301" i="3"/>
  <c r="D305" i="3"/>
  <c r="N305" i="3"/>
  <c r="D309" i="3"/>
  <c r="N309" i="3"/>
  <c r="D313" i="3"/>
  <c r="N313" i="3"/>
  <c r="D317" i="3"/>
  <c r="N317" i="3"/>
  <c r="D321" i="3"/>
  <c r="N321" i="3"/>
  <c r="D325" i="3"/>
  <c r="N325" i="3"/>
  <c r="D329" i="3"/>
  <c r="N329" i="3"/>
  <c r="D333" i="3"/>
  <c r="N333" i="3"/>
  <c r="D337" i="3"/>
  <c r="N337" i="3"/>
  <c r="D341" i="3"/>
  <c r="N341" i="3"/>
  <c r="D349" i="3"/>
  <c r="N349" i="3"/>
  <c r="D353" i="3"/>
  <c r="N353" i="3"/>
  <c r="D357" i="3"/>
  <c r="N357" i="3"/>
  <c r="D361" i="3"/>
  <c r="N361" i="3"/>
  <c r="D365" i="3"/>
  <c r="N365" i="3"/>
  <c r="D369" i="3"/>
  <c r="N369" i="3"/>
  <c r="D373" i="3"/>
  <c r="N373" i="3"/>
  <c r="D377" i="3"/>
  <c r="N377" i="3"/>
  <c r="D381" i="3"/>
  <c r="N381" i="3"/>
  <c r="D385" i="3"/>
  <c r="N385" i="3"/>
  <c r="D389" i="3"/>
  <c r="N389" i="3"/>
  <c r="D393" i="3"/>
  <c r="N393" i="3"/>
  <c r="D397" i="3"/>
  <c r="N397" i="3"/>
  <c r="D401" i="3"/>
  <c r="N401" i="3"/>
  <c r="D405" i="3"/>
  <c r="N405" i="3"/>
  <c r="D409" i="3"/>
  <c r="N409" i="3"/>
  <c r="D413" i="3"/>
  <c r="N413" i="3"/>
  <c r="D417" i="3"/>
  <c r="N417" i="3"/>
  <c r="D421" i="3"/>
  <c r="N421" i="3"/>
  <c r="D425" i="3"/>
  <c r="N425" i="3"/>
  <c r="D429" i="3"/>
  <c r="N429" i="3"/>
  <c r="D437" i="3"/>
  <c r="N437" i="3"/>
  <c r="D441" i="3"/>
  <c r="N441" i="3"/>
  <c r="D445" i="3"/>
  <c r="N445" i="3"/>
  <c r="D449" i="3"/>
  <c r="N449" i="3"/>
  <c r="D453" i="3"/>
  <c r="N453" i="3"/>
  <c r="D461" i="3"/>
  <c r="N461" i="3"/>
  <c r="D465" i="3"/>
  <c r="N465" i="3"/>
  <c r="D469" i="3"/>
  <c r="N469" i="3"/>
  <c r="D473" i="3"/>
  <c r="N473" i="3"/>
  <c r="D477" i="3"/>
  <c r="N477" i="3"/>
  <c r="D481" i="3"/>
  <c r="N481" i="3"/>
  <c r="D485" i="3"/>
  <c r="N485" i="3"/>
  <c r="D489" i="3"/>
  <c r="N489" i="3"/>
  <c r="D493" i="3"/>
  <c r="N493" i="3"/>
  <c r="D497" i="3"/>
  <c r="N497" i="3"/>
  <c r="D501" i="3"/>
  <c r="N501" i="3"/>
  <c r="D505" i="3"/>
  <c r="N505" i="3"/>
  <c r="D509" i="3"/>
  <c r="N509" i="3"/>
  <c r="D513" i="3"/>
  <c r="N513" i="3"/>
  <c r="D517" i="3"/>
  <c r="N517" i="3"/>
  <c r="D521" i="3"/>
  <c r="N521" i="3"/>
  <c r="D525" i="3"/>
  <c r="N525" i="3"/>
  <c r="D529" i="3"/>
  <c r="N529" i="3"/>
  <c r="D537" i="3"/>
  <c r="N537" i="3"/>
  <c r="D541" i="3"/>
  <c r="N541" i="3"/>
  <c r="D545" i="3"/>
  <c r="N545" i="3"/>
  <c r="D549" i="3"/>
  <c r="N549" i="3"/>
  <c r="D553" i="3"/>
  <c r="N553" i="3"/>
  <c r="D557" i="3"/>
  <c r="N557" i="3"/>
  <c r="D561" i="3"/>
  <c r="N561" i="3"/>
  <c r="D565" i="3"/>
  <c r="N565" i="3"/>
  <c r="D569" i="3"/>
  <c r="N569" i="3"/>
  <c r="D573" i="3"/>
  <c r="N573" i="3"/>
  <c r="D577" i="3"/>
  <c r="N577" i="3"/>
  <c r="D581" i="3"/>
  <c r="N581" i="3"/>
  <c r="D585" i="3"/>
  <c r="N585" i="3"/>
  <c r="D589" i="3"/>
  <c r="N589" i="3"/>
  <c r="D597" i="3"/>
  <c r="N597" i="3"/>
  <c r="D601" i="3"/>
  <c r="N601" i="3"/>
  <c r="D605" i="3"/>
  <c r="N605" i="3"/>
  <c r="D609" i="3"/>
  <c r="N609" i="3"/>
  <c r="D613" i="3"/>
  <c r="N613" i="3"/>
  <c r="D617" i="3"/>
  <c r="N617" i="3"/>
  <c r="D621" i="3"/>
  <c r="N621" i="3"/>
  <c r="D625" i="3"/>
  <c r="N625" i="3"/>
  <c r="D629" i="3"/>
  <c r="N629" i="3"/>
  <c r="D633" i="3"/>
  <c r="N633" i="3"/>
  <c r="D637" i="3"/>
  <c r="N637" i="3"/>
  <c r="D641" i="3"/>
  <c r="N641" i="3"/>
  <c r="D645" i="3"/>
  <c r="N645" i="3"/>
  <c r="D649" i="3"/>
  <c r="N649" i="3"/>
  <c r="D653" i="3"/>
  <c r="N653" i="3"/>
  <c r="D657" i="3"/>
  <c r="N657" i="3"/>
  <c r="D661" i="3"/>
  <c r="N661" i="3"/>
  <c r="D665" i="3"/>
  <c r="N665" i="3"/>
  <c r="D669" i="3"/>
  <c r="N669" i="3"/>
  <c r="D673" i="3"/>
  <c r="N673" i="3"/>
  <c r="D42" i="3"/>
  <c r="D62" i="3"/>
  <c r="D70" i="3"/>
  <c r="D106" i="3"/>
  <c r="D114" i="3"/>
  <c r="D122" i="3"/>
  <c r="N122" i="3"/>
  <c r="D126" i="3"/>
  <c r="D130" i="3"/>
  <c r="D134" i="3"/>
  <c r="D138" i="3"/>
  <c r="N138" i="3"/>
  <c r="D154" i="3"/>
  <c r="N154" i="3"/>
  <c r="D158" i="3"/>
  <c r="N158" i="3"/>
  <c r="D162" i="3"/>
  <c r="N162" i="3"/>
  <c r="D178" i="3"/>
  <c r="N178" i="3"/>
  <c r="D182" i="3"/>
  <c r="N182" i="3"/>
  <c r="D186" i="3"/>
  <c r="N186" i="3"/>
  <c r="D198" i="3"/>
  <c r="N198" i="3"/>
  <c r="D206" i="3"/>
  <c r="N206" i="3"/>
  <c r="D214" i="3"/>
  <c r="N214" i="3"/>
  <c r="D218" i="3"/>
  <c r="N218" i="3"/>
  <c r="D230" i="3"/>
  <c r="N230" i="3"/>
  <c r="D234" i="3"/>
  <c r="N234" i="3"/>
  <c r="D242" i="3"/>
  <c r="N242" i="3"/>
  <c r="D246" i="3"/>
  <c r="N246" i="3"/>
  <c r="D250" i="3"/>
  <c r="N250" i="3"/>
  <c r="D254" i="3"/>
  <c r="N254" i="3"/>
  <c r="D258" i="3"/>
  <c r="N258" i="3"/>
  <c r="D262" i="3"/>
  <c r="N262" i="3"/>
  <c r="D266" i="3"/>
  <c r="N266" i="3"/>
  <c r="D270" i="3"/>
  <c r="N270" i="3"/>
  <c r="D274" i="3"/>
  <c r="N274" i="3"/>
  <c r="D282" i="3"/>
  <c r="N282" i="3"/>
  <c r="D286" i="3"/>
  <c r="N286" i="3"/>
  <c r="D294" i="3"/>
  <c r="N294" i="3"/>
  <c r="D298" i="3"/>
  <c r="N298" i="3"/>
  <c r="D302" i="3"/>
  <c r="N302" i="3"/>
  <c r="D306" i="3"/>
  <c r="N306" i="3"/>
  <c r="D310" i="3"/>
  <c r="N310" i="3"/>
  <c r="D314" i="3"/>
  <c r="D318" i="3"/>
  <c r="N318" i="3"/>
  <c r="D322" i="3"/>
  <c r="N322" i="3"/>
  <c r="D326" i="3"/>
  <c r="N326" i="3"/>
  <c r="D334" i="3"/>
  <c r="N334" i="3"/>
  <c r="D338" i="3"/>
  <c r="N338" i="3"/>
  <c r="D342" i="3"/>
  <c r="N342" i="3"/>
  <c r="D350" i="3"/>
  <c r="N350" i="3"/>
  <c r="D358" i="3"/>
  <c r="N358" i="3"/>
  <c r="D362" i="3"/>
  <c r="N362" i="3"/>
  <c r="D370" i="3"/>
  <c r="N370" i="3"/>
  <c r="D374" i="3"/>
  <c r="N374" i="3"/>
  <c r="D378" i="3"/>
  <c r="N378" i="3"/>
  <c r="D382" i="3"/>
  <c r="N382" i="3"/>
  <c r="D386" i="3"/>
  <c r="N386" i="3"/>
  <c r="D390" i="3"/>
  <c r="N390" i="3"/>
  <c r="D394" i="3"/>
  <c r="N394" i="3"/>
  <c r="D398" i="3"/>
  <c r="N398" i="3"/>
  <c r="D402" i="3"/>
  <c r="N402" i="3"/>
  <c r="D406" i="3"/>
  <c r="N406" i="3"/>
  <c r="D410" i="3"/>
  <c r="N410" i="3"/>
  <c r="D414" i="3"/>
  <c r="N414" i="3"/>
  <c r="D418" i="3"/>
  <c r="N418" i="3"/>
  <c r="D422" i="3"/>
  <c r="N422" i="3"/>
  <c r="D426" i="3"/>
  <c r="N426" i="3"/>
  <c r="D430" i="3"/>
  <c r="N430" i="3"/>
  <c r="D434" i="3"/>
  <c r="N434" i="3"/>
  <c r="D438" i="3"/>
  <c r="N438" i="3"/>
  <c r="D446" i="3"/>
  <c r="N446" i="3"/>
  <c r="D450" i="3"/>
  <c r="N450" i="3"/>
  <c r="D454" i="3"/>
  <c r="N454" i="3"/>
  <c r="D458" i="3"/>
  <c r="N458" i="3"/>
  <c r="D462" i="3"/>
  <c r="N462" i="3"/>
  <c r="D466" i="3"/>
  <c r="N466" i="3"/>
  <c r="D474" i="3"/>
  <c r="N474" i="3"/>
  <c r="D478" i="3"/>
  <c r="N478" i="3"/>
  <c r="D486" i="3"/>
  <c r="N486" i="3"/>
  <c r="D494" i="3"/>
  <c r="N494" i="3"/>
  <c r="D498" i="3"/>
  <c r="N498" i="3"/>
  <c r="D502" i="3"/>
  <c r="N502" i="3"/>
  <c r="D506" i="3"/>
  <c r="N506" i="3"/>
  <c r="D510" i="3"/>
  <c r="N510" i="3"/>
  <c r="D514" i="3"/>
  <c r="N514" i="3"/>
  <c r="D518" i="3"/>
  <c r="N518" i="3"/>
  <c r="D522" i="3"/>
  <c r="N522" i="3"/>
  <c r="D526" i="3"/>
  <c r="N526" i="3"/>
  <c r="D530" i="3"/>
  <c r="N530" i="3"/>
  <c r="D534" i="3"/>
  <c r="N534" i="3"/>
  <c r="D538" i="3"/>
  <c r="N538" i="3"/>
  <c r="D542" i="3"/>
  <c r="N542" i="3"/>
  <c r="D546" i="3"/>
  <c r="N546" i="3"/>
  <c r="D550" i="3"/>
  <c r="N550" i="3"/>
  <c r="D554" i="3"/>
  <c r="N554" i="3"/>
  <c r="D558" i="3"/>
  <c r="N558" i="3"/>
  <c r="D562" i="3"/>
  <c r="N562" i="3"/>
  <c r="D566" i="3"/>
  <c r="N566" i="3"/>
  <c r="D570" i="3"/>
  <c r="N570" i="3"/>
  <c r="D574" i="3"/>
  <c r="N574" i="3"/>
  <c r="D578" i="3"/>
  <c r="N578" i="3"/>
  <c r="D582" i="3"/>
  <c r="N582" i="3"/>
  <c r="D586" i="3"/>
  <c r="N586" i="3"/>
  <c r="D590" i="3"/>
  <c r="N590" i="3"/>
  <c r="D594" i="3"/>
  <c r="N594" i="3"/>
  <c r="D598" i="3"/>
  <c r="N598" i="3"/>
  <c r="D602" i="3"/>
  <c r="N602" i="3"/>
  <c r="D606" i="3"/>
  <c r="N606" i="3"/>
  <c r="D610" i="3"/>
  <c r="N610" i="3"/>
  <c r="D614" i="3"/>
  <c r="N614" i="3"/>
  <c r="D618" i="3"/>
  <c r="N618" i="3"/>
  <c r="D622" i="3"/>
  <c r="N622" i="3"/>
  <c r="D626" i="3"/>
  <c r="N626" i="3"/>
  <c r="D630" i="3"/>
  <c r="N630" i="3"/>
  <c r="D634" i="3"/>
  <c r="N634" i="3"/>
  <c r="D638" i="3"/>
  <c r="N638" i="3"/>
  <c r="D642" i="3"/>
  <c r="N642" i="3"/>
  <c r="D646" i="3"/>
  <c r="N646" i="3"/>
  <c r="D650" i="3"/>
  <c r="N650" i="3"/>
  <c r="D654" i="3"/>
  <c r="N654" i="3"/>
  <c r="D658" i="3"/>
  <c r="N658" i="3"/>
  <c r="D662" i="3"/>
  <c r="N662" i="3"/>
  <c r="D666" i="3"/>
  <c r="N666" i="3"/>
  <c r="D670" i="3"/>
  <c r="N670" i="3"/>
  <c r="D674" i="3"/>
  <c r="N674" i="3"/>
  <c r="D678" i="3"/>
  <c r="N678" i="3"/>
  <c r="D677" i="3"/>
  <c r="N677" i="3"/>
  <c r="D681" i="3"/>
  <c r="N681" i="3"/>
  <c r="D685" i="3"/>
  <c r="N685" i="3"/>
  <c r="D689" i="3"/>
  <c r="N689" i="3"/>
  <c r="D693" i="3"/>
  <c r="N693" i="3"/>
  <c r="D697" i="3"/>
  <c r="N697" i="3"/>
  <c r="D701" i="3"/>
  <c r="N701" i="3"/>
  <c r="D705" i="3"/>
  <c r="N705" i="3"/>
  <c r="D709" i="3"/>
  <c r="N709" i="3"/>
  <c r="D713" i="3"/>
  <c r="N713" i="3"/>
  <c r="D717" i="3"/>
  <c r="N717" i="3"/>
  <c r="D721" i="3"/>
  <c r="N721" i="3"/>
  <c r="D725" i="3"/>
  <c r="N725" i="3"/>
  <c r="D682" i="3"/>
  <c r="N682" i="3"/>
  <c r="D686" i="3"/>
  <c r="N686" i="3"/>
  <c r="D690" i="3"/>
  <c r="N690" i="3"/>
  <c r="D694" i="3"/>
  <c r="N694" i="3"/>
  <c r="D698" i="3"/>
  <c r="N698" i="3"/>
  <c r="D702" i="3"/>
  <c r="N702" i="3"/>
  <c r="D706" i="3"/>
  <c r="N706" i="3"/>
  <c r="D710" i="3"/>
  <c r="N710" i="3"/>
  <c r="D714" i="3"/>
  <c r="N714" i="3"/>
  <c r="D722" i="3"/>
  <c r="N722" i="3"/>
  <c r="D679" i="3"/>
  <c r="N679" i="3"/>
  <c r="D687" i="3"/>
  <c r="N687" i="3"/>
  <c r="D695" i="3"/>
  <c r="N695" i="3"/>
  <c r="D703" i="3"/>
  <c r="N703" i="3"/>
  <c r="D711" i="3"/>
  <c r="N711" i="3"/>
  <c r="D719" i="3"/>
  <c r="N719" i="3"/>
  <c r="D727" i="3"/>
  <c r="N727" i="3"/>
  <c r="D691" i="3"/>
  <c r="N691" i="3"/>
  <c r="D707" i="3"/>
  <c r="N707" i="3"/>
  <c r="D723" i="3"/>
  <c r="N723" i="3"/>
  <c r="D684" i="3"/>
  <c r="N684" i="3"/>
  <c r="D692" i="3"/>
  <c r="N692" i="3"/>
  <c r="D700" i="3"/>
  <c r="N700" i="3"/>
  <c r="D708" i="3"/>
  <c r="N708" i="3"/>
  <c r="D716" i="3"/>
  <c r="N716" i="3"/>
  <c r="D724" i="3"/>
  <c r="N724" i="3"/>
  <c r="D680" i="3"/>
  <c r="N680" i="3"/>
  <c r="D696" i="3"/>
  <c r="N696" i="3"/>
  <c r="D712" i="3"/>
  <c r="N712" i="3"/>
  <c r="D728" i="3"/>
  <c r="N728" i="3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J6" i="2"/>
  <c r="K6" i="2"/>
  <c r="J251" i="2"/>
  <c r="J187" i="2"/>
  <c r="J123" i="2"/>
  <c r="J59" i="2"/>
  <c r="J74" i="2"/>
  <c r="J161" i="2"/>
  <c r="J248" i="2"/>
  <c r="J24" i="2"/>
  <c r="J218" i="2"/>
  <c r="J154" i="2"/>
  <c r="J86" i="2"/>
  <c r="J189" i="2"/>
  <c r="J41" i="2"/>
  <c r="J108" i="2"/>
  <c r="J213" i="2"/>
  <c r="J200" i="2"/>
  <c r="J112" i="2"/>
  <c r="J147" i="2"/>
  <c r="J19" i="2"/>
  <c r="J13" i="2"/>
  <c r="J226" i="2"/>
  <c r="J114" i="2"/>
  <c r="J149" i="2"/>
  <c r="J16" i="2"/>
  <c r="J176" i="2"/>
  <c r="J255" i="2"/>
  <c r="J191" i="2"/>
  <c r="J127" i="2"/>
  <c r="J63" i="2"/>
  <c r="J50" i="2"/>
  <c r="J141" i="2"/>
  <c r="J160" i="2"/>
  <c r="J231" i="2"/>
  <c r="J167" i="2"/>
  <c r="J103" i="2"/>
  <c r="J39" i="2"/>
  <c r="J34" i="2"/>
  <c r="J121" i="2"/>
  <c r="J192" i="2"/>
  <c r="J262" i="2"/>
  <c r="J198" i="2"/>
  <c r="J134" i="2"/>
  <c r="J46" i="2"/>
  <c r="J157" i="2"/>
  <c r="J244" i="2"/>
  <c r="J32" i="2"/>
  <c r="J73" i="2"/>
  <c r="J136" i="2"/>
  <c r="J28" i="2"/>
  <c r="J211" i="2"/>
  <c r="J99" i="2"/>
  <c r="J26" i="2"/>
  <c r="J224" i="2"/>
  <c r="J194" i="2"/>
  <c r="J249" i="2"/>
  <c r="J184" i="2"/>
  <c r="J228" i="2"/>
  <c r="J82" i="2"/>
  <c r="J158" i="2"/>
  <c r="J124" i="2"/>
  <c r="J270" i="2"/>
  <c r="J173" i="2"/>
  <c r="J164" i="2"/>
  <c r="J126" i="2"/>
  <c r="J273" i="2"/>
  <c r="J174" i="2"/>
  <c r="J172" i="2"/>
  <c r="J171" i="2"/>
  <c r="J107" i="2"/>
  <c r="J43" i="2"/>
  <c r="J42" i="2"/>
  <c r="J129" i="2"/>
  <c r="J204" i="2"/>
  <c r="J202" i="2"/>
  <c r="J138" i="2"/>
  <c r="J54" i="2"/>
  <c r="J165" i="2"/>
  <c r="J256" i="2"/>
  <c r="J48" i="2"/>
  <c r="J148" i="2"/>
  <c r="J44" i="2"/>
  <c r="J115" i="2"/>
  <c r="J58" i="2"/>
  <c r="J180" i="2"/>
  <c r="J210" i="2"/>
  <c r="J61" i="2"/>
  <c r="J237" i="2"/>
  <c r="J52" i="2"/>
  <c r="J239" i="2"/>
  <c r="J175" i="2"/>
  <c r="J111" i="2"/>
  <c r="J18" i="2"/>
  <c r="J97" i="2"/>
  <c r="J104" i="2"/>
  <c r="J215" i="2"/>
  <c r="J151" i="2"/>
  <c r="J87" i="2"/>
  <c r="J23" i="2"/>
  <c r="J77" i="2"/>
  <c r="J140" i="2"/>
  <c r="J246" i="2"/>
  <c r="J182" i="2"/>
  <c r="J10" i="2"/>
  <c r="J113" i="2"/>
  <c r="J196" i="2"/>
  <c r="J265" i="2"/>
  <c r="J68" i="2"/>
  <c r="J275" i="2"/>
  <c r="J195" i="2"/>
  <c r="J67" i="2"/>
  <c r="J120" i="2"/>
  <c r="J162" i="2"/>
  <c r="J177" i="2"/>
  <c r="J116" i="2"/>
  <c r="J264" i="2"/>
  <c r="J90" i="2"/>
  <c r="J225" i="2"/>
  <c r="J268" i="2"/>
  <c r="J60" i="2"/>
  <c r="J30" i="2"/>
  <c r="J235" i="2"/>
  <c r="J266" i="2"/>
  <c r="J89" i="2"/>
  <c r="J70" i="2"/>
  <c r="J47" i="2"/>
  <c r="J253" i="2"/>
  <c r="J118" i="2"/>
  <c r="J21" i="2"/>
  <c r="J181" i="2"/>
  <c r="J80" i="2"/>
  <c r="J206" i="2"/>
  <c r="J219" i="2"/>
  <c r="J155" i="2"/>
  <c r="J91" i="2"/>
  <c r="J27" i="2"/>
  <c r="J14" i="2"/>
  <c r="J85" i="2"/>
  <c r="J152" i="2"/>
  <c r="J250" i="2"/>
  <c r="J186" i="2"/>
  <c r="J122" i="2"/>
  <c r="J22" i="2"/>
  <c r="J125" i="2"/>
  <c r="J208" i="2"/>
  <c r="J269" i="2"/>
  <c r="J33" i="2"/>
  <c r="J88" i="2"/>
  <c r="J227" i="2"/>
  <c r="J83" i="2"/>
  <c r="J229" i="2"/>
  <c r="J56" i="2"/>
  <c r="J178" i="2"/>
  <c r="J38" i="2"/>
  <c r="J232" i="2"/>
  <c r="J117" i="2"/>
  <c r="J76" i="2"/>
  <c r="J223" i="2"/>
  <c r="J159" i="2"/>
  <c r="J95" i="2"/>
  <c r="J31" i="2"/>
  <c r="J217" i="2"/>
  <c r="J49" i="2"/>
  <c r="J263" i="2"/>
  <c r="J199" i="2"/>
  <c r="J135" i="2"/>
  <c r="J71" i="2"/>
  <c r="J7" i="2"/>
  <c r="J193" i="2"/>
  <c r="J25" i="2"/>
  <c r="J72" i="2"/>
  <c r="J230" i="2"/>
  <c r="J166" i="2"/>
  <c r="J102" i="2"/>
  <c r="J209" i="2"/>
  <c r="J69" i="2"/>
  <c r="J144" i="2"/>
  <c r="J241" i="2"/>
  <c r="J236" i="2"/>
  <c r="J272" i="2"/>
  <c r="J259" i="2"/>
  <c r="J163" i="2"/>
  <c r="J35" i="2"/>
  <c r="J109" i="2"/>
  <c r="J274" i="2"/>
  <c r="J130" i="2"/>
  <c r="J105" i="2"/>
  <c r="J261" i="2"/>
  <c r="J168" i="2"/>
  <c r="J40" i="2"/>
  <c r="J197" i="2"/>
  <c r="J212" i="2"/>
  <c r="J142" i="2"/>
  <c r="J64" i="2"/>
  <c r="J254" i="2"/>
  <c r="J137" i="2"/>
  <c r="J100" i="2"/>
  <c r="J233" i="2"/>
  <c r="J36" i="2"/>
  <c r="J139" i="2"/>
  <c r="J37" i="2"/>
  <c r="J106" i="2"/>
  <c r="J245" i="2"/>
  <c r="J51" i="2"/>
  <c r="J205" i="2"/>
  <c r="J207" i="2"/>
  <c r="J169" i="2"/>
  <c r="J119" i="2"/>
  <c r="J240" i="2"/>
  <c r="J78" i="2"/>
  <c r="J133" i="2"/>
  <c r="J131" i="2"/>
  <c r="J98" i="2"/>
  <c r="J222" i="2"/>
  <c r="J101" i="2"/>
  <c r="J238" i="2"/>
  <c r="J260" i="2"/>
  <c r="J75" i="2"/>
  <c r="J84" i="2"/>
  <c r="J221" i="2"/>
  <c r="J252" i="2"/>
  <c r="J145" i="2"/>
  <c r="J132" i="2"/>
  <c r="J143" i="2"/>
  <c r="J216" i="2"/>
  <c r="J55" i="2"/>
  <c r="J8" i="2"/>
  <c r="J185" i="2"/>
  <c r="J188" i="2"/>
  <c r="J94" i="2"/>
  <c r="J17" i="2"/>
  <c r="J53" i="2"/>
  <c r="J190" i="2"/>
  <c r="J110" i="2"/>
  <c r="J11" i="2"/>
  <c r="J234" i="2"/>
  <c r="J81" i="2"/>
  <c r="J20" i="2"/>
  <c r="J258" i="2"/>
  <c r="J9" i="2"/>
  <c r="J79" i="2"/>
  <c r="J247" i="2"/>
  <c r="J66" i="2"/>
  <c r="J214" i="2"/>
  <c r="J29" i="2"/>
  <c r="J96" i="2"/>
  <c r="J65" i="2"/>
  <c r="J57" i="2"/>
  <c r="J220" i="2"/>
  <c r="J93" i="2"/>
  <c r="J203" i="2"/>
  <c r="J201" i="2"/>
  <c r="J170" i="2"/>
  <c r="J156" i="2"/>
  <c r="J179" i="2"/>
  <c r="J146" i="2"/>
  <c r="J271" i="2"/>
  <c r="J15" i="2"/>
  <c r="J183" i="2"/>
  <c r="J153" i="2"/>
  <c r="J150" i="2"/>
  <c r="J92" i="2"/>
  <c r="J243" i="2"/>
  <c r="J242" i="2"/>
  <c r="J62" i="2"/>
  <c r="J257" i="2"/>
  <c r="J267" i="2"/>
  <c r="J128" i="2"/>
  <c r="J12" i="2"/>
  <c r="J45" i="2"/>
  <c r="K45" i="2"/>
  <c r="K12" i="2"/>
  <c r="K128" i="2"/>
  <c r="K267" i="2"/>
  <c r="K257" i="2"/>
  <c r="K62" i="2"/>
  <c r="K242" i="2"/>
  <c r="K243" i="2"/>
  <c r="K92" i="2"/>
  <c r="K150" i="2"/>
  <c r="K153" i="2"/>
  <c r="K183" i="2"/>
  <c r="K15" i="2"/>
  <c r="K271" i="2"/>
  <c r="K146" i="2"/>
  <c r="K179" i="2"/>
  <c r="M179" i="2"/>
  <c r="K156" i="2"/>
  <c r="K170" i="2"/>
  <c r="K201" i="2"/>
  <c r="K203" i="2"/>
  <c r="K93" i="2"/>
  <c r="K220" i="2"/>
  <c r="M220" i="2"/>
  <c r="K57" i="2"/>
  <c r="K65" i="2"/>
  <c r="K96" i="2"/>
  <c r="M96" i="2"/>
  <c r="K29" i="2"/>
  <c r="K214" i="2"/>
  <c r="K66" i="2"/>
  <c r="K247" i="2"/>
  <c r="K79" i="2"/>
  <c r="K9" i="2"/>
  <c r="K258" i="2"/>
  <c r="K20" i="2"/>
  <c r="K81" i="2"/>
  <c r="K234" i="2"/>
  <c r="K11" i="2"/>
  <c r="K110" i="2"/>
  <c r="K190" i="2"/>
  <c r="K53" i="2"/>
  <c r="M53" i="2"/>
  <c r="K17" i="2"/>
  <c r="K94" i="2"/>
  <c r="K188" i="2"/>
  <c r="K185" i="2"/>
  <c r="K8" i="2"/>
  <c r="K55" i="2"/>
  <c r="K216" i="2"/>
  <c r="K143" i="2"/>
  <c r="K132" i="2"/>
  <c r="K145" i="2"/>
  <c r="K252" i="2"/>
  <c r="K221" i="2"/>
  <c r="K84" i="2"/>
  <c r="K75" i="2"/>
  <c r="K260" i="2"/>
  <c r="K238" i="2"/>
  <c r="K101" i="2"/>
  <c r="K222" i="2"/>
  <c r="K98" i="2"/>
  <c r="K131" i="2"/>
  <c r="K133" i="2"/>
  <c r="M133" i="2"/>
  <c r="K78" i="2"/>
  <c r="K240" i="2"/>
  <c r="K119" i="2"/>
  <c r="K169" i="2"/>
  <c r="K207" i="2"/>
  <c r="K205" i="2"/>
  <c r="K51" i="2"/>
  <c r="K245" i="2"/>
  <c r="K106" i="2"/>
  <c r="K37" i="2"/>
  <c r="M37" i="2"/>
  <c r="K139" i="2"/>
  <c r="M139" i="2"/>
  <c r="K36" i="2"/>
  <c r="K233" i="2"/>
  <c r="K100" i="2"/>
  <c r="K137" i="2"/>
  <c r="M137" i="2"/>
  <c r="K254" i="2"/>
  <c r="K64" i="2"/>
  <c r="M64" i="2"/>
  <c r="K142" i="2"/>
  <c r="K212" i="2"/>
  <c r="K197" i="2"/>
  <c r="K40" i="2"/>
  <c r="K168" i="2"/>
  <c r="K261" i="2"/>
  <c r="K105" i="2"/>
  <c r="K130" i="2"/>
  <c r="M130" i="2"/>
  <c r="K274" i="2"/>
  <c r="K109" i="2"/>
  <c r="M109" i="2"/>
  <c r="K35" i="2"/>
  <c r="M35" i="2"/>
  <c r="K163" i="2"/>
  <c r="M163" i="2"/>
  <c r="K259" i="2"/>
  <c r="K272" i="2"/>
  <c r="K236" i="2"/>
  <c r="K241" i="2"/>
  <c r="K144" i="2"/>
  <c r="K69" i="2"/>
  <c r="K209" i="2"/>
  <c r="K102" i="2"/>
  <c r="K166" i="2"/>
  <c r="M166" i="2"/>
  <c r="K230" i="2"/>
  <c r="K72" i="2"/>
  <c r="M72" i="2"/>
  <c r="K25" i="2"/>
  <c r="K193" i="2"/>
  <c r="K7" i="2"/>
  <c r="M7" i="2"/>
  <c r="K71" i="2"/>
  <c r="K135" i="2"/>
  <c r="K199" i="2"/>
  <c r="M199" i="2"/>
  <c r="K263" i="2"/>
  <c r="K49" i="2"/>
  <c r="K217" i="2"/>
  <c r="M217" i="2"/>
  <c r="K31" i="2"/>
  <c r="M31" i="2"/>
  <c r="K95" i="2"/>
  <c r="K159" i="2"/>
  <c r="K223" i="2"/>
  <c r="K76" i="2"/>
  <c r="K117" i="2"/>
  <c r="K232" i="2"/>
  <c r="K38" i="2"/>
  <c r="M38" i="2"/>
  <c r="K178" i="2"/>
  <c r="K56" i="2"/>
  <c r="K229" i="2"/>
  <c r="K83" i="2"/>
  <c r="K227" i="2"/>
  <c r="K88" i="2"/>
  <c r="K33" i="2"/>
  <c r="M33" i="2"/>
  <c r="K269" i="2"/>
  <c r="M269" i="2"/>
  <c r="K208" i="2"/>
  <c r="K125" i="2"/>
  <c r="K22" i="2"/>
  <c r="M22" i="2"/>
  <c r="K122" i="2"/>
  <c r="K186" i="2"/>
  <c r="K250" i="2"/>
  <c r="K152" i="2"/>
  <c r="K85" i="2"/>
  <c r="K14" i="2"/>
  <c r="K27" i="2"/>
  <c r="K91" i="2"/>
  <c r="M91" i="2"/>
  <c r="K155" i="2"/>
  <c r="K219" i="2"/>
  <c r="K206" i="2"/>
  <c r="K80" i="2"/>
  <c r="M80" i="2"/>
  <c r="K181" i="2"/>
  <c r="K21" i="2"/>
  <c r="M21" i="2"/>
  <c r="K118" i="2"/>
  <c r="K253" i="2"/>
  <c r="K47" i="2"/>
  <c r="K70" i="2"/>
  <c r="M70" i="2"/>
  <c r="K89" i="2"/>
  <c r="K266" i="2"/>
  <c r="M266" i="2"/>
  <c r="K235" i="2"/>
  <c r="K30" i="2"/>
  <c r="M30" i="2"/>
  <c r="K60" i="2"/>
  <c r="K268" i="2"/>
  <c r="K225" i="2"/>
  <c r="K90" i="2"/>
  <c r="K264" i="2"/>
  <c r="K116" i="2"/>
  <c r="K177" i="2"/>
  <c r="K162" i="2"/>
  <c r="K120" i="2"/>
  <c r="M120" i="2"/>
  <c r="K67" i="2"/>
  <c r="K195" i="2"/>
  <c r="K275" i="2"/>
  <c r="K68" i="2"/>
  <c r="M68" i="2"/>
  <c r="K265" i="2"/>
  <c r="M265" i="2"/>
  <c r="K196" i="2"/>
  <c r="K113" i="2"/>
  <c r="K10" i="2"/>
  <c r="K182" i="2"/>
  <c r="K246" i="2"/>
  <c r="K140" i="2"/>
  <c r="K77" i="2"/>
  <c r="K23" i="2"/>
  <c r="M23" i="2"/>
  <c r="K87" i="2"/>
  <c r="K151" i="2"/>
  <c r="K215" i="2"/>
  <c r="K104" i="2"/>
  <c r="K97" i="2"/>
  <c r="K18" i="2"/>
  <c r="K111" i="2"/>
  <c r="K175" i="2"/>
  <c r="M175" i="2"/>
  <c r="K239" i="2"/>
  <c r="K52" i="2"/>
  <c r="K237" i="2"/>
  <c r="K61" i="2"/>
  <c r="K210" i="2"/>
  <c r="K180" i="2"/>
  <c r="K58" i="2"/>
  <c r="K115" i="2"/>
  <c r="K44" i="2"/>
  <c r="K148" i="2"/>
  <c r="K48" i="2"/>
  <c r="M48" i="2"/>
  <c r="K256" i="2"/>
  <c r="K165" i="2"/>
  <c r="K54" i="2"/>
  <c r="K138" i="2"/>
  <c r="K202" i="2"/>
  <c r="M202" i="2"/>
  <c r="K204" i="2"/>
  <c r="K129" i="2"/>
  <c r="K42" i="2"/>
  <c r="K43" i="2"/>
  <c r="M43" i="2"/>
  <c r="K107" i="2"/>
  <c r="K171" i="2"/>
  <c r="K172" i="2"/>
  <c r="K174" i="2"/>
  <c r="M174" i="2"/>
  <c r="K273" i="2"/>
  <c r="K126" i="2"/>
  <c r="K164" i="2"/>
  <c r="M164" i="2"/>
  <c r="K173" i="2"/>
  <c r="M173" i="2"/>
  <c r="K270" i="2"/>
  <c r="K124" i="2"/>
  <c r="M124" i="2"/>
  <c r="K158" i="2"/>
  <c r="K82" i="2"/>
  <c r="M82" i="2"/>
  <c r="K228" i="2"/>
  <c r="K184" i="2"/>
  <c r="K249" i="2"/>
  <c r="K194" i="2"/>
  <c r="K224" i="2"/>
  <c r="M224" i="2"/>
  <c r="K26" i="2"/>
  <c r="K99" i="2"/>
  <c r="K211" i="2"/>
  <c r="K28" i="2"/>
  <c r="M28" i="2"/>
  <c r="K136" i="2"/>
  <c r="K73" i="2"/>
  <c r="M73" i="2"/>
  <c r="K32" i="2"/>
  <c r="K244" i="2"/>
  <c r="K157" i="2"/>
  <c r="M157" i="2"/>
  <c r="K46" i="2"/>
  <c r="K134" i="2"/>
  <c r="K198" i="2"/>
  <c r="K262" i="2"/>
  <c r="K192" i="2"/>
  <c r="K121" i="2"/>
  <c r="K34" i="2"/>
  <c r="K39" i="2"/>
  <c r="K103" i="2"/>
  <c r="M103" i="2"/>
  <c r="K167" i="2"/>
  <c r="M167" i="2"/>
  <c r="K231" i="2"/>
  <c r="K160" i="2"/>
  <c r="K141" i="2"/>
  <c r="K50" i="2"/>
  <c r="K63" i="2"/>
  <c r="K127" i="2"/>
  <c r="K191" i="2"/>
  <c r="K255" i="2"/>
  <c r="K176" i="2"/>
  <c r="K16" i="2"/>
  <c r="M16" i="2"/>
  <c r="K149" i="2"/>
  <c r="K114" i="2"/>
  <c r="K226" i="2"/>
  <c r="K13" i="2"/>
  <c r="M13" i="2"/>
  <c r="K19" i="2"/>
  <c r="M19" i="2"/>
  <c r="K147" i="2"/>
  <c r="K112" i="2"/>
  <c r="K200" i="2"/>
  <c r="K213" i="2"/>
  <c r="K108" i="2"/>
  <c r="K41" i="2"/>
  <c r="K189" i="2"/>
  <c r="K86" i="2"/>
  <c r="M86" i="2"/>
  <c r="K154" i="2"/>
  <c r="M154" i="2"/>
  <c r="K218" i="2"/>
  <c r="K24" i="2"/>
  <c r="K248" i="2"/>
  <c r="K161" i="2"/>
  <c r="K74" i="2"/>
  <c r="K59" i="2"/>
  <c r="K123" i="2"/>
  <c r="K187" i="2"/>
  <c r="K251" i="2"/>
  <c r="M6" i="2"/>
  <c r="M729" i="3"/>
  <c r="M161" i="2"/>
  <c r="M659" i="3"/>
  <c r="M147" i="2"/>
  <c r="M151" i="3"/>
  <c r="M114" i="2"/>
  <c r="M144" i="3"/>
  <c r="M255" i="2"/>
  <c r="M54" i="3"/>
  <c r="M50" i="2"/>
  <c r="M197" i="3"/>
  <c r="M121" i="2"/>
  <c r="M10" i="3"/>
  <c r="M134" i="2"/>
  <c r="M41" i="3"/>
  <c r="M32" i="2"/>
  <c r="M194" i="3"/>
  <c r="M211" i="2"/>
  <c r="N83" i="3"/>
  <c r="M194" i="2"/>
  <c r="M97" i="3"/>
  <c r="M256" i="2"/>
  <c r="M157" i="3"/>
  <c r="M115" i="2"/>
  <c r="M628" i="3"/>
  <c r="D628" i="3"/>
  <c r="N628" i="3"/>
  <c r="M61" i="2"/>
  <c r="M195" i="3"/>
  <c r="M104" i="2"/>
  <c r="M152" i="3"/>
  <c r="M182" i="2"/>
  <c r="M241" i="3"/>
  <c r="M67" i="2"/>
  <c r="M82" i="3"/>
  <c r="M116" i="2"/>
  <c r="M103" i="3"/>
  <c r="M268" i="2"/>
  <c r="M25" i="3"/>
  <c r="M253" i="2"/>
  <c r="M47" i="3"/>
  <c r="M152" i="2"/>
  <c r="M533" i="3"/>
  <c r="M229" i="2"/>
  <c r="M117" i="3"/>
  <c r="M232" i="2"/>
  <c r="M101" i="3"/>
  <c r="M159" i="2"/>
  <c r="M222" i="3"/>
  <c r="M49" i="2"/>
  <c r="M442" i="3"/>
  <c r="M71" i="2"/>
  <c r="M116" i="3"/>
  <c r="M209" i="2"/>
  <c r="M484" i="3"/>
  <c r="M236" i="2"/>
  <c r="M104" i="3"/>
  <c r="M105" i="2"/>
  <c r="M257" i="3"/>
  <c r="M197" i="2"/>
  <c r="M14" i="3"/>
  <c r="M254" i="2"/>
  <c r="M213" i="3"/>
  <c r="M36" i="2"/>
  <c r="M281" i="3"/>
  <c r="M245" i="2"/>
  <c r="M17" i="3"/>
  <c r="M169" i="2"/>
  <c r="M77" i="3"/>
  <c r="M101" i="2"/>
  <c r="M276" i="3"/>
  <c r="M84" i="2"/>
  <c r="M16" i="3"/>
  <c r="M132" i="2"/>
  <c r="M226" i="3"/>
  <c r="M8" i="2"/>
  <c r="M372" i="3"/>
  <c r="M17" i="2"/>
  <c r="M149" i="3"/>
  <c r="M11" i="2"/>
  <c r="M199" i="3"/>
  <c r="M258" i="2"/>
  <c r="M105" i="3"/>
  <c r="M66" i="2"/>
  <c r="M212" i="3"/>
  <c r="M65" i="2"/>
  <c r="M53" i="3"/>
  <c r="M203" i="2"/>
  <c r="M56" i="3"/>
  <c r="M183" i="2"/>
  <c r="M69" i="3"/>
  <c r="M243" i="2"/>
  <c r="M726" i="3"/>
  <c r="M267" i="2"/>
  <c r="M44" i="3"/>
  <c r="D729" i="3"/>
  <c r="N729" i="3"/>
  <c r="M213" i="2"/>
  <c r="M100" i="3"/>
  <c r="M149" i="2"/>
  <c r="M273" i="3"/>
  <c r="M191" i="2"/>
  <c r="M148" i="3"/>
  <c r="M141" i="2"/>
  <c r="M32" i="3"/>
  <c r="M192" i="2"/>
  <c r="M229" i="3"/>
  <c r="M46" i="2"/>
  <c r="M718" i="3"/>
  <c r="M99" i="2"/>
  <c r="M457" i="3"/>
  <c r="M249" i="2"/>
  <c r="M55" i="3"/>
  <c r="M158" i="2"/>
  <c r="M201" i="3"/>
  <c r="M172" i="2"/>
  <c r="N496" i="3"/>
  <c r="M42" i="2"/>
  <c r="M170" i="3"/>
  <c r="M138" i="2"/>
  <c r="M113" i="3"/>
  <c r="M58" i="2"/>
  <c r="M94" i="3"/>
  <c r="M237" i="2"/>
  <c r="M31" i="3"/>
  <c r="M111" i="2"/>
  <c r="N285" i="3"/>
  <c r="M215" i="2"/>
  <c r="M67" i="3"/>
  <c r="M77" i="2"/>
  <c r="M174" i="3"/>
  <c r="M10" i="2"/>
  <c r="M135" i="3"/>
  <c r="M264" i="2"/>
  <c r="M50" i="3"/>
  <c r="M60" i="2"/>
  <c r="N62" i="3"/>
  <c r="M89" i="2"/>
  <c r="M146" i="3"/>
  <c r="M118" i="2"/>
  <c r="M58" i="3"/>
  <c r="M206" i="2"/>
  <c r="M38" i="3"/>
  <c r="M27" i="2"/>
  <c r="M124" i="3"/>
  <c r="M250" i="2"/>
  <c r="M40" i="3"/>
  <c r="M125" i="2"/>
  <c r="M163" i="3"/>
  <c r="M88" i="2"/>
  <c r="M143" i="3"/>
  <c r="M56" i="2"/>
  <c r="M202" i="3"/>
  <c r="M117" i="2"/>
  <c r="M159" i="3"/>
  <c r="M95" i="2"/>
  <c r="M110" i="3"/>
  <c r="M263" i="2"/>
  <c r="M366" i="3"/>
  <c r="M230" i="2"/>
  <c r="M118" i="3"/>
  <c r="M69" i="2"/>
  <c r="M139" i="3"/>
  <c r="M272" i="2"/>
  <c r="M93" i="3"/>
  <c r="M261" i="2"/>
  <c r="M79" i="3"/>
  <c r="M212" i="2"/>
  <c r="M392" i="3"/>
  <c r="M51" i="2"/>
  <c r="M76" i="3"/>
  <c r="M119" i="2"/>
  <c r="M296" i="3"/>
  <c r="M131" i="2"/>
  <c r="M98" i="3"/>
  <c r="M238" i="2"/>
  <c r="M12" i="3"/>
  <c r="M221" i="2"/>
  <c r="N35" i="3"/>
  <c r="M143" i="2"/>
  <c r="M203" i="3"/>
  <c r="M185" i="2"/>
  <c r="M52" i="3"/>
  <c r="M234" i="2"/>
  <c r="N106" i="3"/>
  <c r="M9" i="2"/>
  <c r="M65" i="3"/>
  <c r="M214" i="2"/>
  <c r="M132" i="3"/>
  <c r="M57" i="2"/>
  <c r="M78" i="3"/>
  <c r="M201" i="2"/>
  <c r="M45" i="3"/>
  <c r="M146" i="2"/>
  <c r="M192" i="3"/>
  <c r="M153" i="2"/>
  <c r="M251" i="3"/>
  <c r="M242" i="2"/>
  <c r="M128" i="3"/>
  <c r="M128" i="2"/>
  <c r="M548" i="3"/>
  <c r="M123" i="2"/>
  <c r="M150" i="3"/>
  <c r="M24" i="2"/>
  <c r="M107" i="3"/>
  <c r="M200" i="2"/>
  <c r="M8" i="3"/>
  <c r="M160" i="2"/>
  <c r="M111" i="3"/>
  <c r="M39" i="2"/>
  <c r="M108" i="3"/>
  <c r="M262" i="2"/>
  <c r="M20" i="3"/>
  <c r="M136" i="2"/>
  <c r="M75" i="3"/>
  <c r="M26" i="2"/>
  <c r="M140" i="3"/>
  <c r="M184" i="2"/>
  <c r="M13" i="3"/>
  <c r="M126" i="2"/>
  <c r="M356" i="3"/>
  <c r="M171" i="2"/>
  <c r="M470" i="3"/>
  <c r="M129" i="2"/>
  <c r="M156" i="3"/>
  <c r="M54" i="2"/>
  <c r="M81" i="3"/>
  <c r="M148" i="2"/>
  <c r="M88" i="3"/>
  <c r="M180" i="2"/>
  <c r="M142" i="3"/>
  <c r="M52" i="2"/>
  <c r="M354" i="3"/>
  <c r="M18" i="2"/>
  <c r="M490" i="3"/>
  <c r="M151" i="2"/>
  <c r="N134" i="3"/>
  <c r="M140" i="2"/>
  <c r="M60" i="3"/>
  <c r="M113" i="2"/>
  <c r="M125" i="3"/>
  <c r="M275" i="2"/>
  <c r="N43" i="3"/>
  <c r="M162" i="2"/>
  <c r="N126" i="3"/>
  <c r="M90" i="2"/>
  <c r="M259" i="3"/>
  <c r="M219" i="2"/>
  <c r="M49" i="3"/>
  <c r="M14" i="2"/>
  <c r="M63" i="3"/>
  <c r="M186" i="2"/>
  <c r="M59" i="3"/>
  <c r="M208" i="2"/>
  <c r="M80" i="3"/>
  <c r="M227" i="2"/>
  <c r="M123" i="3"/>
  <c r="M178" i="2"/>
  <c r="M119" i="3"/>
  <c r="M76" i="2"/>
  <c r="M15" i="3"/>
  <c r="M193" i="2"/>
  <c r="M46" i="3"/>
  <c r="M144" i="2"/>
  <c r="M210" i="3"/>
  <c r="M259" i="2"/>
  <c r="N87" i="3"/>
  <c r="M274" i="2"/>
  <c r="M96" i="3"/>
  <c r="M168" i="2"/>
  <c r="M272" i="3"/>
  <c r="M142" i="2"/>
  <c r="M190" i="3"/>
  <c r="M100" i="2"/>
  <c r="M161" i="3"/>
  <c r="M205" i="2"/>
  <c r="M28" i="3"/>
  <c r="M240" i="2"/>
  <c r="M91" i="3"/>
  <c r="M98" i="2"/>
  <c r="M433" i="3"/>
  <c r="M260" i="2"/>
  <c r="M19" i="3"/>
  <c r="N314" i="3"/>
  <c r="M252" i="2"/>
  <c r="N42" i="3"/>
  <c r="M216" i="2"/>
  <c r="M120" i="3"/>
  <c r="M188" i="2"/>
  <c r="N127" i="3"/>
  <c r="M190" i="2"/>
  <c r="N70" i="3"/>
  <c r="M81" i="2"/>
  <c r="M247" i="3"/>
  <c r="M79" i="2"/>
  <c r="M238" i="3"/>
  <c r="M29" i="2"/>
  <c r="M278" i="3"/>
  <c r="M170" i="2"/>
  <c r="M223" i="3"/>
  <c r="M271" i="2"/>
  <c r="M85" i="3"/>
  <c r="M150" i="2"/>
  <c r="M720" i="3"/>
  <c r="M62" i="2"/>
  <c r="M204" i="3"/>
  <c r="M12" i="2"/>
  <c r="M160" i="3"/>
  <c r="M187" i="2"/>
  <c r="M29" i="3"/>
  <c r="M108" i="2"/>
  <c r="M165" i="3"/>
  <c r="M248" i="2"/>
  <c r="M33" i="3"/>
  <c r="M59" i="2"/>
  <c r="M30" i="3"/>
  <c r="M189" i="2"/>
  <c r="M51" i="3"/>
  <c r="M127" i="2"/>
  <c r="M66" i="3"/>
  <c r="M251" i="2"/>
  <c r="M330" i="3"/>
  <c r="M74" i="2"/>
  <c r="M171" i="3"/>
  <c r="M218" i="2"/>
  <c r="M112" i="3"/>
  <c r="M41" i="2"/>
  <c r="M18" i="3"/>
  <c r="M112" i="2"/>
  <c r="M92" i="3"/>
  <c r="M226" i="2"/>
  <c r="M21" i="3"/>
  <c r="M176" i="2"/>
  <c r="M188" i="3"/>
  <c r="M63" i="2"/>
  <c r="M482" i="3"/>
  <c r="M231" i="2"/>
  <c r="M23" i="3"/>
  <c r="M34" i="2"/>
  <c r="N287" i="3"/>
  <c r="M198" i="2"/>
  <c r="M145" i="3"/>
  <c r="M244" i="2"/>
  <c r="M89" i="3"/>
  <c r="M228" i="2"/>
  <c r="M48" i="3"/>
  <c r="M270" i="2"/>
  <c r="N7" i="3"/>
  <c r="M273" i="2"/>
  <c r="M11" i="3"/>
  <c r="M107" i="2"/>
  <c r="M227" i="3"/>
  <c r="M204" i="2"/>
  <c r="M74" i="3"/>
  <c r="M165" i="2"/>
  <c r="M327" i="3"/>
  <c r="M44" i="2"/>
  <c r="M34" i="3"/>
  <c r="M210" i="2"/>
  <c r="M27" i="3"/>
  <c r="M239" i="2"/>
  <c r="M86" i="3"/>
  <c r="M97" i="2"/>
  <c r="M176" i="3"/>
  <c r="M87" i="2"/>
  <c r="M611" i="3"/>
  <c r="M246" i="2"/>
  <c r="M102" i="3"/>
  <c r="M196" i="2"/>
  <c r="M129" i="3"/>
  <c r="M195" i="2"/>
  <c r="M6" i="3"/>
  <c r="M177" i="2"/>
  <c r="M37" i="3"/>
  <c r="M225" i="2"/>
  <c r="M24" i="3"/>
  <c r="M235" i="2"/>
  <c r="M9" i="3"/>
  <c r="M47" i="2"/>
  <c r="M115" i="3"/>
  <c r="M181" i="2"/>
  <c r="M22" i="3"/>
  <c r="M155" i="2"/>
  <c r="M84" i="3"/>
  <c r="M85" i="2"/>
  <c r="M90" i="3"/>
  <c r="M122" i="2"/>
  <c r="N237" i="3"/>
  <c r="M83" i="2"/>
  <c r="M504" i="3"/>
  <c r="M223" i="2"/>
  <c r="M184" i="3"/>
  <c r="M135" i="2"/>
  <c r="M153" i="3"/>
  <c r="M25" i="2"/>
  <c r="M290" i="3"/>
  <c r="M102" i="2"/>
  <c r="M109" i="3"/>
  <c r="M241" i="2"/>
  <c r="M71" i="3"/>
  <c r="M40" i="2"/>
  <c r="M228" i="3"/>
  <c r="M233" i="2"/>
  <c r="N130" i="3"/>
  <c r="M106" i="2"/>
  <c r="M593" i="3"/>
  <c r="D593" i="3"/>
  <c r="N593" i="3"/>
  <c r="M207" i="2"/>
  <c r="M26" i="3"/>
  <c r="M78" i="2"/>
  <c r="M72" i="3"/>
  <c r="M222" i="2"/>
  <c r="M61" i="3"/>
  <c r="M75" i="2"/>
  <c r="M73" i="3"/>
  <c r="M145" i="2"/>
  <c r="M133" i="3"/>
  <c r="M55" i="2"/>
  <c r="N114" i="3"/>
  <c r="M94" i="2"/>
  <c r="M95" i="3"/>
  <c r="M110" i="2"/>
  <c r="M345" i="3"/>
  <c r="M20" i="2"/>
  <c r="M166" i="3"/>
  <c r="M247" i="2"/>
  <c r="M191" i="3"/>
  <c r="M93" i="2"/>
  <c r="M205" i="3"/>
  <c r="M156" i="2"/>
  <c r="M136" i="3"/>
  <c r="M15" i="2"/>
  <c r="M346" i="3"/>
  <c r="M92" i="2"/>
  <c r="M121" i="3"/>
  <c r="M257" i="2"/>
  <c r="M36" i="3"/>
  <c r="M45" i="2"/>
  <c r="M68" i="3"/>
  <c r="D161" i="3"/>
  <c r="N161" i="3"/>
  <c r="D272" i="3"/>
  <c r="N272" i="3"/>
  <c r="D46" i="3"/>
  <c r="N46" i="3"/>
  <c r="D142" i="3"/>
  <c r="N142" i="3"/>
  <c r="D470" i="3"/>
  <c r="N470" i="3"/>
  <c r="D75" i="3"/>
  <c r="N75" i="3"/>
  <c r="D108" i="3"/>
  <c r="N108" i="3"/>
  <c r="D150" i="3"/>
  <c r="N150" i="3"/>
  <c r="D192" i="3"/>
  <c r="N192" i="3"/>
  <c r="D78" i="3"/>
  <c r="N78" i="3"/>
  <c r="D65" i="3"/>
  <c r="N65" i="3"/>
  <c r="D98" i="3"/>
  <c r="N98" i="3"/>
  <c r="D76" i="3"/>
  <c r="N76" i="3"/>
  <c r="D79" i="3"/>
  <c r="N79" i="3"/>
  <c r="D139" i="3"/>
  <c r="N139" i="3"/>
  <c r="D366" i="3"/>
  <c r="N366" i="3"/>
  <c r="D159" i="3"/>
  <c r="N159" i="3"/>
  <c r="D143" i="3"/>
  <c r="N143" i="3"/>
  <c r="D40" i="3"/>
  <c r="N40" i="3"/>
  <c r="D38" i="3"/>
  <c r="N38" i="3"/>
  <c r="D146" i="3"/>
  <c r="N146" i="3"/>
  <c r="D50" i="3"/>
  <c r="N50" i="3"/>
  <c r="D174" i="3"/>
  <c r="N174" i="3"/>
  <c r="D94" i="3"/>
  <c r="N94" i="3"/>
  <c r="D170" i="3"/>
  <c r="N170" i="3"/>
  <c r="D201" i="3"/>
  <c r="N201" i="3"/>
  <c r="D457" i="3"/>
  <c r="N457" i="3"/>
  <c r="D229" i="3"/>
  <c r="N229" i="3"/>
  <c r="D148" i="3"/>
  <c r="N148" i="3"/>
  <c r="D100" i="3"/>
  <c r="N100" i="3"/>
  <c r="D44" i="3"/>
  <c r="N44" i="3"/>
  <c r="D69" i="3"/>
  <c r="N69" i="3"/>
  <c r="D53" i="3"/>
  <c r="N53" i="3"/>
  <c r="D105" i="3"/>
  <c r="N105" i="3"/>
  <c r="D149" i="3"/>
  <c r="N149" i="3"/>
  <c r="D226" i="3"/>
  <c r="N226" i="3"/>
  <c r="D276" i="3"/>
  <c r="N276" i="3"/>
  <c r="D17" i="3"/>
  <c r="N17" i="3"/>
  <c r="D213" i="3"/>
  <c r="N213" i="3"/>
  <c r="D257" i="3"/>
  <c r="N257" i="3"/>
  <c r="D484" i="3"/>
  <c r="N484" i="3"/>
  <c r="D442" i="3"/>
  <c r="N442" i="3"/>
  <c r="D101" i="3"/>
  <c r="N101" i="3"/>
  <c r="D533" i="3"/>
  <c r="N533" i="3"/>
  <c r="D25" i="3"/>
  <c r="N25" i="3"/>
  <c r="D82" i="3"/>
  <c r="N82" i="3"/>
  <c r="D152" i="3"/>
  <c r="N152" i="3"/>
  <c r="D97" i="3"/>
  <c r="N97" i="3"/>
  <c r="D194" i="3"/>
  <c r="N194" i="3"/>
  <c r="D10" i="3"/>
  <c r="N10" i="3"/>
  <c r="D54" i="3"/>
  <c r="N54" i="3"/>
  <c r="D151" i="3"/>
  <c r="N151" i="3"/>
  <c r="D119" i="3"/>
  <c r="N119" i="3"/>
  <c r="D80" i="3"/>
  <c r="N80" i="3"/>
  <c r="D63" i="3"/>
  <c r="N63" i="3"/>
  <c r="D259" i="3"/>
  <c r="N259" i="3"/>
  <c r="D60" i="3"/>
  <c r="N60" i="3"/>
  <c r="D490" i="3"/>
  <c r="N490" i="3"/>
  <c r="D81" i="3"/>
  <c r="N81" i="3"/>
  <c r="D13" i="3"/>
  <c r="N13" i="3"/>
  <c r="D8" i="3"/>
  <c r="N8" i="3"/>
  <c r="D128" i="3"/>
  <c r="N128" i="3"/>
  <c r="D52" i="3"/>
  <c r="N52" i="3"/>
  <c r="D68" i="3"/>
  <c r="N68" i="3"/>
  <c r="D121" i="3"/>
  <c r="N121" i="3"/>
  <c r="D136" i="3"/>
  <c r="N136" i="3"/>
  <c r="D191" i="3"/>
  <c r="N191" i="3"/>
  <c r="D345" i="3"/>
  <c r="N345" i="3"/>
  <c r="D73" i="3"/>
  <c r="N73" i="3"/>
  <c r="D72" i="3"/>
  <c r="N72" i="3"/>
  <c r="D228" i="3"/>
  <c r="N228" i="3"/>
  <c r="D109" i="3"/>
  <c r="N109" i="3"/>
  <c r="D153" i="3"/>
  <c r="N153" i="3"/>
  <c r="D504" i="3"/>
  <c r="N504" i="3"/>
  <c r="D90" i="3"/>
  <c r="N90" i="3"/>
  <c r="D22" i="3"/>
  <c r="N22" i="3"/>
  <c r="D9" i="3"/>
  <c r="N9" i="3"/>
  <c r="D37" i="3"/>
  <c r="N37" i="3"/>
  <c r="D129" i="3"/>
  <c r="N129" i="3"/>
  <c r="D611" i="3"/>
  <c r="N611" i="3"/>
  <c r="D86" i="3"/>
  <c r="N86" i="3"/>
  <c r="D34" i="3"/>
  <c r="N34" i="3"/>
  <c r="D74" i="3"/>
  <c r="N74" i="3"/>
  <c r="D11" i="3"/>
  <c r="N11" i="3"/>
  <c r="D48" i="3"/>
  <c r="N48" i="3"/>
  <c r="D145" i="3"/>
  <c r="N145" i="3"/>
  <c r="D23" i="3"/>
  <c r="N23" i="3"/>
  <c r="D188" i="3"/>
  <c r="N188" i="3"/>
  <c r="D92" i="3"/>
  <c r="N92" i="3"/>
  <c r="D112" i="3"/>
  <c r="N112" i="3"/>
  <c r="D330" i="3"/>
  <c r="N330" i="3"/>
  <c r="D51" i="3"/>
  <c r="N51" i="3"/>
  <c r="D33" i="3"/>
  <c r="N33" i="3"/>
  <c r="D29" i="3"/>
  <c r="N29" i="3"/>
  <c r="D204" i="3"/>
  <c r="N204" i="3"/>
  <c r="D85" i="3"/>
  <c r="N85" i="3"/>
  <c r="D278" i="3"/>
  <c r="N278" i="3"/>
  <c r="D247" i="3"/>
  <c r="N247" i="3"/>
  <c r="D91" i="3"/>
  <c r="N91" i="3"/>
  <c r="D433" i="3"/>
  <c r="N433" i="3"/>
  <c r="D96" i="3"/>
  <c r="N96" i="3"/>
  <c r="D15" i="3"/>
  <c r="N15" i="3"/>
  <c r="D59" i="3"/>
  <c r="N59" i="3"/>
  <c r="D125" i="3"/>
  <c r="N125" i="3"/>
  <c r="D354" i="3"/>
  <c r="N354" i="3"/>
  <c r="D156" i="3"/>
  <c r="N156" i="3"/>
  <c r="D20" i="3"/>
  <c r="N20" i="3"/>
  <c r="D107" i="3"/>
  <c r="N107" i="3"/>
  <c r="D548" i="3"/>
  <c r="N548" i="3"/>
  <c r="D45" i="3"/>
  <c r="N45" i="3"/>
  <c r="D132" i="3"/>
  <c r="N132" i="3"/>
  <c r="D203" i="3"/>
  <c r="N203" i="3"/>
  <c r="D12" i="3"/>
  <c r="N12" i="3"/>
  <c r="D296" i="3"/>
  <c r="N296" i="3"/>
  <c r="D392" i="3"/>
  <c r="N392" i="3"/>
  <c r="D93" i="3"/>
  <c r="N93" i="3"/>
  <c r="D118" i="3"/>
  <c r="N118" i="3"/>
  <c r="D110" i="3"/>
  <c r="N110" i="3"/>
  <c r="D202" i="3"/>
  <c r="N202" i="3"/>
  <c r="D163" i="3"/>
  <c r="N163" i="3"/>
  <c r="D124" i="3"/>
  <c r="N124" i="3"/>
  <c r="D58" i="3"/>
  <c r="N58" i="3"/>
  <c r="D135" i="3"/>
  <c r="N135" i="3"/>
  <c r="D67" i="3"/>
  <c r="N67" i="3"/>
  <c r="D31" i="3"/>
  <c r="N31" i="3"/>
  <c r="D113" i="3"/>
  <c r="N113" i="3"/>
  <c r="D55" i="3"/>
  <c r="N55" i="3"/>
  <c r="D718" i="3"/>
  <c r="N718" i="3"/>
  <c r="D32" i="3"/>
  <c r="N32" i="3"/>
  <c r="D273" i="3"/>
  <c r="N273" i="3"/>
  <c r="D726" i="3"/>
  <c r="N726" i="3"/>
  <c r="D56" i="3"/>
  <c r="N56" i="3"/>
  <c r="D212" i="3"/>
  <c r="N212" i="3"/>
  <c r="D199" i="3"/>
  <c r="N199" i="3"/>
  <c r="D372" i="3"/>
  <c r="N372" i="3"/>
  <c r="D16" i="3"/>
  <c r="N16" i="3"/>
  <c r="D77" i="3"/>
  <c r="N77" i="3"/>
  <c r="D281" i="3"/>
  <c r="N281" i="3"/>
  <c r="D14" i="3"/>
  <c r="N14" i="3"/>
  <c r="D104" i="3"/>
  <c r="N104" i="3"/>
  <c r="D116" i="3"/>
  <c r="N116" i="3"/>
  <c r="D222" i="3"/>
  <c r="N222" i="3"/>
  <c r="D117" i="3"/>
  <c r="N117" i="3"/>
  <c r="D47" i="3"/>
  <c r="N47" i="3"/>
  <c r="D103" i="3"/>
  <c r="N103" i="3"/>
  <c r="D241" i="3"/>
  <c r="N241" i="3"/>
  <c r="D195" i="3"/>
  <c r="N195" i="3"/>
  <c r="D157" i="3"/>
  <c r="N157" i="3"/>
  <c r="D41" i="3"/>
  <c r="N41" i="3"/>
  <c r="D197" i="3"/>
  <c r="N197" i="3"/>
  <c r="D144" i="3"/>
  <c r="N144" i="3"/>
  <c r="D659" i="3"/>
  <c r="N659" i="3"/>
  <c r="D19" i="3"/>
  <c r="N19" i="3"/>
  <c r="D28" i="3"/>
  <c r="N28" i="3"/>
  <c r="D190" i="3"/>
  <c r="N190" i="3"/>
  <c r="D210" i="3"/>
  <c r="N210" i="3"/>
  <c r="D123" i="3"/>
  <c r="N123" i="3"/>
  <c r="D49" i="3"/>
  <c r="N49" i="3"/>
  <c r="D88" i="3"/>
  <c r="N88" i="3"/>
  <c r="D356" i="3"/>
  <c r="N356" i="3"/>
  <c r="D140" i="3"/>
  <c r="N140" i="3"/>
  <c r="D111" i="3"/>
  <c r="N111" i="3"/>
  <c r="D251" i="3"/>
  <c r="N251" i="3"/>
  <c r="D36" i="3"/>
  <c r="N36" i="3"/>
  <c r="D346" i="3"/>
  <c r="N346" i="3"/>
  <c r="D205" i="3"/>
  <c r="N205" i="3"/>
  <c r="D166" i="3"/>
  <c r="N166" i="3"/>
  <c r="D95" i="3"/>
  <c r="N95" i="3"/>
  <c r="D133" i="3"/>
  <c r="N133" i="3"/>
  <c r="D61" i="3"/>
  <c r="N61" i="3"/>
  <c r="D26" i="3"/>
  <c r="N26" i="3"/>
  <c r="D71" i="3"/>
  <c r="N71" i="3"/>
  <c r="D290" i="3"/>
  <c r="N290" i="3"/>
  <c r="D184" i="3"/>
  <c r="N184" i="3"/>
  <c r="D84" i="3"/>
  <c r="N84" i="3"/>
  <c r="D115" i="3"/>
  <c r="N115" i="3"/>
  <c r="D24" i="3"/>
  <c r="N24" i="3"/>
  <c r="D6" i="3"/>
  <c r="N6" i="3"/>
  <c r="M2" i="3"/>
  <c r="M4" i="3"/>
  <c r="M3" i="3"/>
  <c r="D102" i="3"/>
  <c r="N102" i="3"/>
  <c r="D176" i="3"/>
  <c r="N176" i="3"/>
  <c r="D27" i="3"/>
  <c r="N27" i="3"/>
  <c r="D327" i="3"/>
  <c r="N327" i="3"/>
  <c r="D227" i="3"/>
  <c r="N227" i="3"/>
  <c r="D89" i="3"/>
  <c r="N89" i="3"/>
  <c r="D482" i="3"/>
  <c r="N482" i="3"/>
  <c r="D21" i="3"/>
  <c r="N21" i="3"/>
  <c r="D18" i="3"/>
  <c r="N18" i="3"/>
  <c r="D171" i="3"/>
  <c r="N171" i="3"/>
  <c r="D66" i="3"/>
  <c r="N66" i="3"/>
  <c r="D30" i="3"/>
  <c r="N30" i="3"/>
  <c r="D165" i="3"/>
  <c r="N165" i="3"/>
  <c r="D160" i="3"/>
  <c r="N160" i="3"/>
  <c r="D720" i="3"/>
  <c r="N720" i="3"/>
  <c r="D223" i="3"/>
  <c r="N223" i="3"/>
  <c r="D238" i="3"/>
  <c r="N238" i="3"/>
  <c r="D120" i="3"/>
  <c r="N120" i="3"/>
  <c r="M4" i="2"/>
  <c r="I275" i="2"/>
  <c r="I269" i="2"/>
  <c r="I265" i="2"/>
  <c r="I259" i="2"/>
  <c r="I233" i="2"/>
  <c r="I221" i="2"/>
  <c r="I217" i="2"/>
  <c r="I211" i="2"/>
  <c r="I199" i="2"/>
  <c r="I179" i="2"/>
  <c r="I175" i="2"/>
  <c r="I173" i="2"/>
  <c r="I167" i="2"/>
  <c r="I163" i="2"/>
  <c r="I157" i="2"/>
  <c r="I151" i="2"/>
  <c r="I139" i="2"/>
  <c r="I137" i="2"/>
  <c r="I133" i="2"/>
  <c r="I111" i="2"/>
  <c r="I109" i="2"/>
  <c r="I103" i="2"/>
  <c r="I91" i="2"/>
  <c r="I73" i="2"/>
  <c r="I55" i="2"/>
  <c r="I53" i="2"/>
  <c r="I43" i="2"/>
  <c r="I37" i="2"/>
  <c r="I35" i="2"/>
  <c r="I33" i="2"/>
  <c r="I31" i="2"/>
  <c r="I23" i="2"/>
  <c r="I21" i="2"/>
  <c r="I19" i="2"/>
  <c r="I13" i="2"/>
  <c r="I7" i="2"/>
  <c r="G252" i="2"/>
  <c r="G224" i="2"/>
  <c r="G220" i="2"/>
  <c r="G188" i="2"/>
  <c r="G172" i="2"/>
  <c r="G164" i="2"/>
  <c r="G124" i="2"/>
  <c r="G120" i="2"/>
  <c r="G96" i="2"/>
  <c r="G80" i="2"/>
  <c r="G72" i="2"/>
  <c r="G68" i="2"/>
  <c r="G64" i="2"/>
  <c r="G60" i="2"/>
  <c r="G48" i="2"/>
  <c r="G28" i="2"/>
  <c r="G16" i="2"/>
  <c r="H275" i="2"/>
  <c r="H269" i="2"/>
  <c r="H265" i="2"/>
  <c r="H259" i="2"/>
  <c r="H233" i="2"/>
  <c r="H221" i="2"/>
  <c r="H217" i="2"/>
  <c r="H211" i="2"/>
  <c r="H199" i="2"/>
  <c r="H179" i="2"/>
  <c r="H175" i="2"/>
  <c r="H173" i="2"/>
  <c r="H167" i="2"/>
  <c r="H163" i="2"/>
  <c r="H157" i="2"/>
  <c r="H151" i="2"/>
  <c r="H139" i="2"/>
  <c r="H137" i="2"/>
  <c r="H133" i="2"/>
  <c r="H111" i="2"/>
  <c r="H109" i="2"/>
  <c r="H103" i="2"/>
  <c r="H91" i="2"/>
  <c r="H73" i="2"/>
  <c r="H55" i="2"/>
  <c r="H53" i="2"/>
  <c r="H43" i="2"/>
  <c r="H37" i="2"/>
  <c r="H35" i="2"/>
  <c r="H33" i="2"/>
  <c r="H31" i="2"/>
  <c r="H23" i="2"/>
  <c r="H21" i="2"/>
  <c r="H19" i="2"/>
  <c r="H13" i="2"/>
  <c r="H7" i="2"/>
  <c r="G275" i="2"/>
  <c r="G259" i="2"/>
  <c r="G211" i="2"/>
  <c r="G199" i="2"/>
  <c r="G179" i="2"/>
  <c r="G175" i="2"/>
  <c r="G167" i="2"/>
  <c r="G163" i="2"/>
  <c r="G151" i="2"/>
  <c r="G139" i="2"/>
  <c r="G111" i="2"/>
  <c r="G103" i="2"/>
  <c r="G91" i="2"/>
  <c r="G55" i="2"/>
  <c r="G43" i="2"/>
  <c r="G35" i="2"/>
  <c r="G31" i="2"/>
  <c r="G23" i="2"/>
  <c r="G19" i="2"/>
  <c r="G7" i="2"/>
  <c r="I270" i="2"/>
  <c r="I266" i="2"/>
  <c r="I252" i="2"/>
  <c r="I234" i="2"/>
  <c r="I224" i="2"/>
  <c r="I220" i="2"/>
  <c r="I202" i="2"/>
  <c r="I190" i="2"/>
  <c r="I188" i="2"/>
  <c r="I174" i="2"/>
  <c r="I172" i="2"/>
  <c r="I166" i="2"/>
  <c r="I164" i="2"/>
  <c r="I162" i="2"/>
  <c r="I154" i="2"/>
  <c r="I130" i="2"/>
  <c r="I124" i="2"/>
  <c r="I122" i="2"/>
  <c r="I120" i="2"/>
  <c r="I96" i="2"/>
  <c r="I86" i="2"/>
  <c r="I82" i="2"/>
  <c r="I80" i="2"/>
  <c r="I72" i="2"/>
  <c r="I70" i="2"/>
  <c r="I68" i="2"/>
  <c r="I64" i="2"/>
  <c r="I60" i="2"/>
  <c r="I48" i="2"/>
  <c r="I38" i="2"/>
  <c r="I34" i="2"/>
  <c r="I30" i="2"/>
  <c r="I28" i="2"/>
  <c r="I22" i="2"/>
  <c r="I16" i="2"/>
  <c r="G270" i="2"/>
  <c r="G266" i="2"/>
  <c r="G234" i="2"/>
  <c r="G202" i="2"/>
  <c r="G190" i="2"/>
  <c r="G174" i="2"/>
  <c r="G166" i="2"/>
  <c r="G162" i="2"/>
  <c r="G154" i="2"/>
  <c r="G130" i="2"/>
  <c r="G122" i="2"/>
  <c r="G86" i="2"/>
  <c r="G82" i="2"/>
  <c r="G70" i="2"/>
  <c r="G38" i="2"/>
  <c r="G34" i="2"/>
  <c r="G30" i="2"/>
  <c r="G22" i="2"/>
  <c r="H270" i="2"/>
  <c r="H266" i="2"/>
  <c r="H252" i="2"/>
  <c r="H234" i="2"/>
  <c r="H224" i="2"/>
  <c r="H220" i="2"/>
  <c r="H202" i="2"/>
  <c r="H190" i="2"/>
  <c r="H188" i="2"/>
  <c r="H174" i="2"/>
  <c r="H172" i="2"/>
  <c r="H166" i="2"/>
  <c r="H164" i="2"/>
  <c r="H162" i="2"/>
  <c r="H154" i="2"/>
  <c r="H130" i="2"/>
  <c r="H124" i="2"/>
  <c r="H122" i="2"/>
  <c r="H120" i="2"/>
  <c r="H96" i="2"/>
  <c r="H86" i="2"/>
  <c r="H82" i="2"/>
  <c r="H80" i="2"/>
  <c r="H72" i="2"/>
  <c r="H70" i="2"/>
  <c r="H68" i="2"/>
  <c r="H64" i="2"/>
  <c r="H60" i="2"/>
  <c r="H48" i="2"/>
  <c r="H38" i="2"/>
  <c r="H34" i="2"/>
  <c r="H30" i="2"/>
  <c r="H28" i="2"/>
  <c r="H22" i="2"/>
  <c r="H16" i="2"/>
  <c r="G269" i="2"/>
  <c r="G265" i="2"/>
  <c r="G233" i="2"/>
  <c r="G221" i="2"/>
  <c r="G217" i="2"/>
  <c r="G173" i="2"/>
  <c r="G157" i="2"/>
  <c r="G137" i="2"/>
  <c r="G133" i="2"/>
  <c r="G109" i="2"/>
  <c r="G73" i="2"/>
  <c r="G53" i="2"/>
  <c r="G37" i="2"/>
  <c r="G33" i="2"/>
  <c r="G21" i="2"/>
  <c r="G13" i="2"/>
  <c r="N3" i="3"/>
  <c r="N4" i="3"/>
  <c r="N2" i="3"/>
  <c r="G4" i="2"/>
</calcChain>
</file>

<file path=xl/sharedStrings.xml><?xml version="1.0" encoding="utf-8"?>
<sst xmlns="http://schemas.openxmlformats.org/spreadsheetml/2006/main" count="23961" uniqueCount="16554">
  <si>
    <t>Studio</t>
  </si>
  <si>
    <t>Cast and crew</t>
  </si>
  <si>
    <t>Genre</t>
  </si>
  <si>
    <t>Country</t>
  </si>
  <si>
    <t>Underworld: Blood Wars</t>
  </si>
  <si>
    <t>Action, Horror</t>
  </si>
  <si>
    <t>US</t>
  </si>
  <si>
    <t>Arsenal</t>
  </si>
  <si>
    <t>Action, Crime, Thriller</t>
  </si>
  <si>
    <t>Between Us</t>
  </si>
  <si>
    <t>IFC Films</t>
  </si>
  <si>
    <t>Comedy, Romance, Drama</t>
  </si>
  <si>
    <t>Railroad Tigers</t>
  </si>
  <si>
    <t>Well Go USA</t>
  </si>
  <si>
    <t>Action, Comedy</t>
  </si>
  <si>
    <t>CN</t>
  </si>
  <si>
    <t>Monster Trucks</t>
  </si>
  <si>
    <t>Animation, Adventure, Sci-Fi</t>
  </si>
  <si>
    <t>The Bye Bye Man</t>
  </si>
  <si>
    <t>Horror</t>
  </si>
  <si>
    <t>Sleepless</t>
  </si>
  <si>
    <t>Action, Thriller</t>
  </si>
  <si>
    <t>100 Streets</t>
  </si>
  <si>
    <t>Samuel Goldwyn Films</t>
  </si>
  <si>
    <t>Drama</t>
  </si>
  <si>
    <t>The Book of Love</t>
  </si>
  <si>
    <t>Electric Entertainment</t>
  </si>
  <si>
    <t>Drama, Comedy</t>
  </si>
  <si>
    <t>Alone in Berlin</t>
  </si>
  <si>
    <t>Drama, Thriller</t>
  </si>
  <si>
    <t>Split</t>
  </si>
  <si>
    <t>Horror, Thriller, Drama</t>
  </si>
  <si>
    <t>xXx: Return of Xander Cage</t>
  </si>
  <si>
    <t>Action, Adventure</t>
  </si>
  <si>
    <t>US, DO</t>
  </si>
  <si>
    <t>The Resurrection of Gavin Stone</t>
  </si>
  <si>
    <t>Comedy, Drama</t>
  </si>
  <si>
    <t>Trespass Against Us</t>
  </si>
  <si>
    <t>A24</t>
  </si>
  <si>
    <t>Crime, Drama, Thriller</t>
  </si>
  <si>
    <t>US, UK</t>
  </si>
  <si>
    <t>Detour</t>
  </si>
  <si>
    <t>Magnolia Pictures</t>
  </si>
  <si>
    <t>Thriller</t>
  </si>
  <si>
    <t>UK, SA</t>
  </si>
  <si>
    <t>The Red Turtle</t>
  </si>
  <si>
    <t>Sony Pictures Classics</t>
  </si>
  <si>
    <t>Michaël Dudok de Wit (director/screenplay)</t>
  </si>
  <si>
    <t>Animation, Fantasy</t>
  </si>
  <si>
    <t>The Big Sick</t>
  </si>
  <si>
    <t>Lionsgate</t>
  </si>
  <si>
    <t>Romance, Comedy</t>
  </si>
  <si>
    <t>Get Out</t>
  </si>
  <si>
    <t>Universal Pictures</t>
  </si>
  <si>
    <t>Sophie and the Rising Sun</t>
  </si>
  <si>
    <t>Monterey Media</t>
  </si>
  <si>
    <t>Drama, Romance</t>
  </si>
  <si>
    <t>A Dog's Purpose</t>
  </si>
  <si>
    <t>Family</t>
  </si>
  <si>
    <t>Resident Evil: The Final Chapter</t>
  </si>
  <si>
    <t>Action, Adventure, Horror, Sci-Fi</t>
  </si>
  <si>
    <t>Lost in Florence</t>
  </si>
  <si>
    <t>Orion Pictures</t>
  </si>
  <si>
    <t>Romance, Drama</t>
  </si>
  <si>
    <t>IT, US</t>
  </si>
  <si>
    <t>I Am Michael</t>
  </si>
  <si>
    <t>Brainstorm Media</t>
  </si>
  <si>
    <t>Biography, Drama</t>
  </si>
  <si>
    <t>iBoy</t>
  </si>
  <si>
    <t>Netflix</t>
  </si>
  <si>
    <t>Action, Crime</t>
  </si>
  <si>
    <t>The Lego Batman Movie</t>
  </si>
  <si>
    <t>Animation, Comedy, Action</t>
  </si>
  <si>
    <t>US, DK</t>
  </si>
  <si>
    <t>Rings</t>
  </si>
  <si>
    <t>Paramount Pictures</t>
  </si>
  <si>
    <t>Horror, Thriller</t>
  </si>
  <si>
    <t>The Space Between Us</t>
  </si>
  <si>
    <t>Sci-Fi, Adventure, Romance</t>
  </si>
  <si>
    <t>Youth in Oregon</t>
  </si>
  <si>
    <t>War on Everyone</t>
  </si>
  <si>
    <t>Saban Films</t>
  </si>
  <si>
    <t>Comedy, Action</t>
  </si>
  <si>
    <t>UK, IE</t>
  </si>
  <si>
    <t>I Am Not Your Negro</t>
  </si>
  <si>
    <t>Documentary</t>
  </si>
  <si>
    <t>Don't Knock Twice</t>
  </si>
  <si>
    <t>Horror, Suspense</t>
  </si>
  <si>
    <t>UK</t>
  </si>
  <si>
    <t>Growing Up Smith</t>
  </si>
  <si>
    <t>Good Deed Entertainment</t>
  </si>
  <si>
    <t>Comedy</t>
  </si>
  <si>
    <t>Fifty Shades Darker</t>
  </si>
  <si>
    <t>John Wick: Chapter 2</t>
  </si>
  <si>
    <t>Summit Entertainment</t>
  </si>
  <si>
    <t>Neo-Noir, Action, Thriller</t>
  </si>
  <si>
    <t>A United Kingdom</t>
  </si>
  <si>
    <t>Fox Searchlight Pictures</t>
  </si>
  <si>
    <t>UK, FR, CZ</t>
  </si>
  <si>
    <t>Kedi</t>
  </si>
  <si>
    <t>Oscilloscope Laboratories</t>
  </si>
  <si>
    <t>Ceyda Torun (director); Bülent Üstün</t>
  </si>
  <si>
    <t>TR</t>
  </si>
  <si>
    <t>The Great Wall</t>
  </si>
  <si>
    <t>Action, Fantasy</t>
  </si>
  <si>
    <t>CN, US</t>
  </si>
  <si>
    <t>A Cure for Wellness</t>
  </si>
  <si>
    <t>US, DE</t>
  </si>
  <si>
    <t>Fist Fight</t>
  </si>
  <si>
    <t>American Fable</t>
  </si>
  <si>
    <t>Thriller, Fantasy</t>
  </si>
  <si>
    <t>XX</t>
  </si>
  <si>
    <t>Magnet Releasing</t>
  </si>
  <si>
    <t>Everybody Loves Somebody</t>
  </si>
  <si>
    <t>Pantelion Films</t>
  </si>
  <si>
    <t>Romantic, Comedy</t>
  </si>
  <si>
    <t>MX</t>
  </si>
  <si>
    <t>Land of Mine</t>
  </si>
  <si>
    <t>War</t>
  </si>
  <si>
    <t>Denmark, Germany</t>
  </si>
  <si>
    <t>Logan</t>
  </si>
  <si>
    <t>Action, Adventure, Superhero</t>
  </si>
  <si>
    <t>Lovesong</t>
  </si>
  <si>
    <t>Strand Releasing</t>
  </si>
  <si>
    <t>Beauty and the Beast</t>
  </si>
  <si>
    <t>Walt Disney Pictures</t>
  </si>
  <si>
    <t>Fantasy, Adventure, Musical, Drama, Romance</t>
  </si>
  <si>
    <t>Collide</t>
  </si>
  <si>
    <t>Open Road Films</t>
  </si>
  <si>
    <t>Action, Crime, Drama</t>
  </si>
  <si>
    <t>The Girl with All the Gifts</t>
  </si>
  <si>
    <t>Post-apocalyptic, Zombie</t>
  </si>
  <si>
    <t>I Don't Feel at Home in This World Anymore</t>
  </si>
  <si>
    <t>Comedy, Thriller</t>
  </si>
  <si>
    <t>Bitter Harvest</t>
  </si>
  <si>
    <t>Roadside Attractions</t>
  </si>
  <si>
    <t>Canada</t>
  </si>
  <si>
    <t>Kong: Skull Island</t>
  </si>
  <si>
    <t>Action, Adventure, Fantasy, Sci-Fi</t>
  </si>
  <si>
    <t>The Shack</t>
  </si>
  <si>
    <t>Before I Fall</t>
  </si>
  <si>
    <t>Table 19</t>
  </si>
  <si>
    <t>The Last Word</t>
  </si>
  <si>
    <t>Bleecker Street</t>
  </si>
  <si>
    <t>Catfight</t>
  </si>
  <si>
    <t>Dark Sky Films</t>
  </si>
  <si>
    <t>Donald Cried</t>
  </si>
  <si>
    <t>The Orchard</t>
  </si>
  <si>
    <t>Sword Art Online The Movie: Ordinal Scale</t>
  </si>
  <si>
    <t>A-1 Pictures</t>
  </si>
  <si>
    <t>Animation, Action, Adventure, Fantasy, Sci-Fi</t>
  </si>
  <si>
    <t>JP</t>
  </si>
  <si>
    <t>The Sense of an Ending</t>
  </si>
  <si>
    <t>Raw</t>
  </si>
  <si>
    <t>Focus Features</t>
  </si>
  <si>
    <t>FR, BE</t>
  </si>
  <si>
    <t>Personal Shopper</t>
  </si>
  <si>
    <t>FR</t>
  </si>
  <si>
    <t>Burning Sands</t>
  </si>
  <si>
    <t>Baby Driver</t>
  </si>
  <si>
    <t>Comedy, Action, Crime</t>
  </si>
  <si>
    <t>The Boss Baby</t>
  </si>
  <si>
    <t>Animation, Comedy</t>
  </si>
  <si>
    <t>The Belko Experiment</t>
  </si>
  <si>
    <t>Action, Horror, Thriller</t>
  </si>
  <si>
    <t>T2 Trainspotting</t>
  </si>
  <si>
    <t>Comedy, Crime, Drama</t>
  </si>
  <si>
    <t>Song to Song</t>
  </si>
  <si>
    <t>Broad Green Pictures</t>
  </si>
  <si>
    <t>Atomica</t>
  </si>
  <si>
    <t>Syfy Films</t>
  </si>
  <si>
    <t>Sci-Fi, Thriller</t>
  </si>
  <si>
    <t>All Nighter</t>
  </si>
  <si>
    <t>Power Rangers</t>
  </si>
  <si>
    <t>Action, Adventure, Drama, Superhero</t>
  </si>
  <si>
    <t>Life</t>
  </si>
  <si>
    <t>Horror, Sci-Fi</t>
  </si>
  <si>
    <t>CHiPs</t>
  </si>
  <si>
    <t>Wilson</t>
  </si>
  <si>
    <t>Ghost in the Shell</t>
  </si>
  <si>
    <t>Action, Adventure, Crime, Sci-Fi</t>
  </si>
  <si>
    <t>The Zookeeper's Wife</t>
  </si>
  <si>
    <t>War, Drama</t>
  </si>
  <si>
    <t>The Blackcoat's Daughter</t>
  </si>
  <si>
    <t>US, CA</t>
  </si>
  <si>
    <t>The Discovery</t>
  </si>
  <si>
    <t>Romance, Drama, Sci-Fi</t>
  </si>
  <si>
    <t>The Fate of the Furious</t>
  </si>
  <si>
    <t>Smurfs: The Lost Village</t>
  </si>
  <si>
    <t>Animation, Comedy, Fantasy, Family</t>
  </si>
  <si>
    <t>The Case for Christ</t>
  </si>
  <si>
    <t>Pure Flix Entertainment</t>
  </si>
  <si>
    <t>Going in Style</t>
  </si>
  <si>
    <t>Comedy, Crime</t>
  </si>
  <si>
    <t>Colossal</t>
  </si>
  <si>
    <t>Neon</t>
  </si>
  <si>
    <t>Sci-Fi, Comedy</t>
  </si>
  <si>
    <t>Gifted</t>
  </si>
  <si>
    <t>Aftermath</t>
  </si>
  <si>
    <t>Lionsgate Premiere</t>
  </si>
  <si>
    <t>Your Name</t>
  </si>
  <si>
    <t>Funimation Films</t>
  </si>
  <si>
    <t>Makoto Shinkai (director/screenplay)</t>
  </si>
  <si>
    <t>Animation, Romance, Fantasy, Comedy, Drama</t>
  </si>
  <si>
    <t>Guardians of the Galaxy Vol. 2</t>
  </si>
  <si>
    <t>Marvel Studios</t>
  </si>
  <si>
    <t>Superhero, Comedy, Adventure, Sci-Fi</t>
  </si>
  <si>
    <t>Spark</t>
  </si>
  <si>
    <t>Sci-Fi, Animation, Comedy</t>
  </si>
  <si>
    <t>CA, SK, US</t>
  </si>
  <si>
    <t>The Lost City of Z</t>
  </si>
  <si>
    <t>Plan B Entertainment</t>
  </si>
  <si>
    <t>Adventure, Drama</t>
  </si>
  <si>
    <t>My Entire High School Sinking Into the Sea</t>
  </si>
  <si>
    <t>GKIDS</t>
  </si>
  <si>
    <t>The Outcasts</t>
  </si>
  <si>
    <t>Swen Group</t>
  </si>
  <si>
    <t>Norman: The Moderate Rise and Tragic Fall of a New York Fixer</t>
  </si>
  <si>
    <t>USA, Israel</t>
  </si>
  <si>
    <t>A Quiet Passion</t>
  </si>
  <si>
    <t>Music Box Films</t>
  </si>
  <si>
    <t>Born in China</t>
  </si>
  <si>
    <t>Disneynature</t>
  </si>
  <si>
    <t>US, CHN</t>
  </si>
  <si>
    <t>Unforgettable</t>
  </si>
  <si>
    <t>Free Fire</t>
  </si>
  <si>
    <t>StudioCanal UK</t>
  </si>
  <si>
    <t>The Promise</t>
  </si>
  <si>
    <t>SP, US</t>
  </si>
  <si>
    <t>Phoenix Forgotten</t>
  </si>
  <si>
    <t>Cinelou Films</t>
  </si>
  <si>
    <t>Justin Barber (director); Chelsea Lopez, Florence Hartigan, Justin Matthews, Luke Spencer Roberts</t>
  </si>
  <si>
    <t>Sci-Fi, Horror</t>
  </si>
  <si>
    <t>The Circle</t>
  </si>
  <si>
    <t>Sci-Fi, Drama, Thriller</t>
  </si>
  <si>
    <t>How to Be a Latin Lover</t>
  </si>
  <si>
    <t>Baahubali 2: The Conclusion</t>
  </si>
  <si>
    <t>Arka Media Works</t>
  </si>
  <si>
    <t>Action, Drama, Romance</t>
  </si>
  <si>
    <t>IND</t>
  </si>
  <si>
    <t>Sleight</t>
  </si>
  <si>
    <t>Sci-Fi, Drama</t>
  </si>
  <si>
    <t>Alien: Covenant</t>
  </si>
  <si>
    <t>UK, US</t>
  </si>
  <si>
    <t>Dangal</t>
  </si>
  <si>
    <t>Sports, Drama</t>
  </si>
  <si>
    <t>The Lovers</t>
  </si>
  <si>
    <t>Comedy, Romance</t>
  </si>
  <si>
    <t>3 Generations</t>
  </si>
  <si>
    <t>The Weinstein Company</t>
  </si>
  <si>
    <t>The Dinner</t>
  </si>
  <si>
    <t>USA</t>
  </si>
  <si>
    <t>Pirates of the Caribbean: Dead Men Tell No Tales</t>
  </si>
  <si>
    <t>Action, Adventure, Fantasy, Comedy</t>
  </si>
  <si>
    <t>King Arthur: Legend of the Sword</t>
  </si>
  <si>
    <t>Action, Adventure, Epic</t>
  </si>
  <si>
    <t>US, UK, AU</t>
  </si>
  <si>
    <t>Snatched</t>
  </si>
  <si>
    <t>Lowriders</t>
  </si>
  <si>
    <t>The Wall</t>
  </si>
  <si>
    <t>Paris Can Wait</t>
  </si>
  <si>
    <t>The Wedding Plan</t>
  </si>
  <si>
    <t>Rama Burshtein (director); Noa Kooler, Amos Tamam, Oz Zehavi, Dafi Alpern, Roni Merhavi, Irit Sheleg</t>
  </si>
  <si>
    <t>Israel</t>
  </si>
  <si>
    <t>Baywatch</t>
  </si>
  <si>
    <t>Wonder Woman</t>
  </si>
  <si>
    <t>Superhero, Action, Adventure, Fantasy, Drama, War</t>
  </si>
  <si>
    <t>Wonderstruck</t>
  </si>
  <si>
    <t>Diary of a Wimpy Kid: The Long Haul</t>
  </si>
  <si>
    <t>20th Century Fox</t>
  </si>
  <si>
    <t>Comedy, Family</t>
  </si>
  <si>
    <t>Everything, Everything</t>
  </si>
  <si>
    <t>Wakefield</t>
  </si>
  <si>
    <t>Captain Underpants: The First Epic Movie</t>
  </si>
  <si>
    <t>Animation, Action, Comedy, Family</t>
  </si>
  <si>
    <t>The Mummy</t>
  </si>
  <si>
    <t>Action, Adventure, Fantasy, Horror</t>
  </si>
  <si>
    <t>Cars 3</t>
  </si>
  <si>
    <t>Animation, Sports, Comedy, Drama</t>
  </si>
  <si>
    <t>Buena Vista Social Club: Adios</t>
  </si>
  <si>
    <t>Lucy Walker (director)</t>
  </si>
  <si>
    <t>War Machine</t>
  </si>
  <si>
    <t>Comedy, Drama, War</t>
  </si>
  <si>
    <t>Dean</t>
  </si>
  <si>
    <t>Comedy, Drama, Romance</t>
  </si>
  <si>
    <t>The Recall</t>
  </si>
  <si>
    <t>Science fiction, Horror</t>
  </si>
  <si>
    <t>Churchill</t>
  </si>
  <si>
    <t>Cohen Media Group</t>
  </si>
  <si>
    <t>It Comes at Night</t>
  </si>
  <si>
    <t>Horror, Mystery</t>
  </si>
  <si>
    <t>My Cousin Rachel</t>
  </si>
  <si>
    <t>Megan Leavey</t>
  </si>
  <si>
    <t>Biography, War</t>
  </si>
  <si>
    <t>Beatriz at Dinner</t>
  </si>
  <si>
    <t>US, CAN</t>
  </si>
  <si>
    <t>Despicable Me 3</t>
  </si>
  <si>
    <t>Animation, Comedy, Adventure, Action</t>
  </si>
  <si>
    <t>Rough Night</t>
  </si>
  <si>
    <t>Columbia Pictures</t>
  </si>
  <si>
    <t>All Eyez on Me</t>
  </si>
  <si>
    <t>47 Meters Down</t>
  </si>
  <si>
    <t>Entertainment Studios</t>
  </si>
  <si>
    <t>The Book of Henry</t>
  </si>
  <si>
    <t>Transformers: The Last Knight</t>
  </si>
  <si>
    <t>Action, Adventure, Sci-Fi</t>
  </si>
  <si>
    <t>The Beguiled</t>
  </si>
  <si>
    <t>Drama, Western</t>
  </si>
  <si>
    <t>The Bad Batch</t>
  </si>
  <si>
    <t>Romance, Horror, Thriller</t>
  </si>
  <si>
    <t>Okja</t>
  </si>
  <si>
    <t>Action, Adventure, Drama, Fantasy</t>
  </si>
  <si>
    <t>South Korea, US</t>
  </si>
  <si>
    <t>Spider-Man: Homecoming</t>
  </si>
  <si>
    <t>Action, Adventure, Superhero, Comedy, Sci-Fi</t>
  </si>
  <si>
    <t>The House</t>
  </si>
  <si>
    <t>The Little Hours</t>
  </si>
  <si>
    <t>Gunpowder &amp; Sky</t>
  </si>
  <si>
    <t>Inconceivable</t>
  </si>
  <si>
    <t>US, AUS</t>
  </si>
  <si>
    <t>A Ghost Story</t>
  </si>
  <si>
    <t>Drama, Fantasy, Horror, Romance</t>
  </si>
  <si>
    <t>War for the Planet of the Apes</t>
  </si>
  <si>
    <t>Sci-Fi, Adventure, Drama, Action</t>
  </si>
  <si>
    <t>Dunkirk</t>
  </si>
  <si>
    <t>Action, War, Drama, History, Adventure, Thriller</t>
  </si>
  <si>
    <t>Wish Upon</t>
  </si>
  <si>
    <t>Thriller, Horror</t>
  </si>
  <si>
    <t>US, CA</t>
  </si>
  <si>
    <t>Lady Macbeth</t>
  </si>
  <si>
    <t>Valerian and the City of a Thousand Planets</t>
  </si>
  <si>
    <t>Sci-Fi, Action, Adventure</t>
  </si>
  <si>
    <t>US, FRA</t>
  </si>
  <si>
    <t>Girls Trip</t>
  </si>
  <si>
    <t>First Kill</t>
  </si>
  <si>
    <t>Thriller, Action</t>
  </si>
  <si>
    <t>Atomic Blonde</t>
  </si>
  <si>
    <t>Spy, Action, Thriller</t>
  </si>
  <si>
    <t>UK, NTH, BUL</t>
  </si>
  <si>
    <t>The Emoji Movie</t>
  </si>
  <si>
    <t>Animation, Comedy, Adventure</t>
  </si>
  <si>
    <t>An Inconvenient Sequel: Truth to Power</t>
  </si>
  <si>
    <t>Bonni Cohen (director); Al Gore</t>
  </si>
  <si>
    <t>Detroit</t>
  </si>
  <si>
    <t>Annapurna Pictures</t>
  </si>
  <si>
    <t>Crime, Drama</t>
  </si>
  <si>
    <t>Brigsby Bear</t>
  </si>
  <si>
    <t>Menashe</t>
  </si>
  <si>
    <t>Joshua Z. Weinstein (director); Joshua Z. Weinstein, Alex Lipschultz, Musa Syeed (screenplay); Menashe Lustig, Ruben Nidorski, Yoel Weisshaus, Meyer Schwartz</t>
  </si>
  <si>
    <t>The Dark Tower</t>
  </si>
  <si>
    <t>Action, Fantasy, Adventure, Horror, Sci-Fi, Western</t>
  </si>
  <si>
    <t>Kidnap</t>
  </si>
  <si>
    <t>Aviron Pictures</t>
  </si>
  <si>
    <t>Step</t>
  </si>
  <si>
    <t>Amanda Lipitz (director); Blessin Giraldo, Cori Grainger, Tayla Solomon, Gari McIntyre, Paula Dofat</t>
  </si>
  <si>
    <t>Wind River</t>
  </si>
  <si>
    <t>Armed Response</t>
  </si>
  <si>
    <t>Thriller, Sci-Fi, Action</t>
  </si>
  <si>
    <t>Annabelle: Creation</t>
  </si>
  <si>
    <t>The Glass Castle</t>
  </si>
  <si>
    <t>The Nut Job 2: Nutty by Nature</t>
  </si>
  <si>
    <t>US, CAN, SOU KOR</t>
  </si>
  <si>
    <t>Good Time</t>
  </si>
  <si>
    <t>Ingrid Goes West</t>
  </si>
  <si>
    <t>The Only Living Boy in New York</t>
  </si>
  <si>
    <t>The Hitman's Bodyguard</t>
  </si>
  <si>
    <t>Logan Lucky</t>
  </si>
  <si>
    <t>Heist, Comedy</t>
  </si>
  <si>
    <t>Patti Cake$</t>
  </si>
  <si>
    <t>Lemon</t>
  </si>
  <si>
    <t>Leap!</t>
  </si>
  <si>
    <t>Musical, Fantasy, Adventure</t>
  </si>
  <si>
    <t>All Saints</t>
  </si>
  <si>
    <t>Served Like A Girl</t>
  </si>
  <si>
    <t>Lysa Heslov (director)</t>
  </si>
  <si>
    <t>Beach Rats</t>
  </si>
  <si>
    <t>Home Again</t>
  </si>
  <si>
    <t>Downsizing</t>
  </si>
  <si>
    <t>Sci-fi, Comedy, Drama</t>
  </si>
  <si>
    <t>Tulip Fever</t>
  </si>
  <si>
    <t>Unlocked</t>
  </si>
  <si>
    <t>Film Stars Don't Die in Liverpool</t>
  </si>
  <si>
    <t>Biographical, Romance, Drama</t>
  </si>
  <si>
    <t>USA, UK</t>
  </si>
  <si>
    <t>Darkest Hour</t>
  </si>
  <si>
    <t>Biography, War, Drama</t>
  </si>
  <si>
    <t>Lady Bird</t>
  </si>
  <si>
    <t>Comedy-Drama</t>
  </si>
  <si>
    <t>Battle of the Sexes</t>
  </si>
  <si>
    <t>Biography, Sports, Comedy, Drama</t>
  </si>
  <si>
    <t>Three Billboards Outside Ebbing, Missouri</t>
  </si>
  <si>
    <t>Comedy, Crime, Drama, Thriller</t>
  </si>
  <si>
    <t>It</t>
  </si>
  <si>
    <t>Horror, Fantasy, Drama</t>
  </si>
  <si>
    <t>Los Buscadores</t>
  </si>
  <si>
    <t>Maneglia Schémbori Realizaciones</t>
  </si>
  <si>
    <t>Juan Carlos Maneglia, Tana Schémbori (directors); Juan Carlos Maneglia (screenplay); Tomás Arredondo, María Cecilia Torres, Mario Toñanez, Christian Ferreira, Sandra Sanabria</t>
  </si>
  <si>
    <t>Adventure</t>
  </si>
  <si>
    <t>PY</t>
  </si>
  <si>
    <t>Atlas Distribution Company</t>
  </si>
  <si>
    <t>Napping Princess</t>
  </si>
  <si>
    <t>Kenji Kamiyama (director/screenplay)</t>
  </si>
  <si>
    <t>Sci-Fi, Fantasy, Animation, Drama</t>
  </si>
  <si>
    <t>The Good Catholic</t>
  </si>
  <si>
    <t>Gun Shy</t>
  </si>
  <si>
    <t>Action</t>
  </si>
  <si>
    <t>I, Tonya</t>
  </si>
  <si>
    <t>Molly's Game</t>
  </si>
  <si>
    <t>STX Entertainment</t>
  </si>
  <si>
    <t>Biography, Crime, Drama</t>
  </si>
  <si>
    <t>American Assassin</t>
  </si>
  <si>
    <t>CBS Films</t>
  </si>
  <si>
    <t>Mother!</t>
  </si>
  <si>
    <t>Drama, Horror</t>
  </si>
  <si>
    <t>Brad's Status</t>
  </si>
  <si>
    <t>Amazon Studios</t>
  </si>
  <si>
    <t>The Lego Ninjago Movie</t>
  </si>
  <si>
    <t>Animation, Action, Comedy, Martial Arts</t>
  </si>
  <si>
    <t>US, DEN</t>
  </si>
  <si>
    <t>Kingsman: The Golden Circle</t>
  </si>
  <si>
    <t>Action, Adventure, Comedy</t>
  </si>
  <si>
    <t>Marshall</t>
  </si>
  <si>
    <t>Biography, Drama, Thriller</t>
  </si>
  <si>
    <t>Goodbye Christopher Robin</t>
  </si>
  <si>
    <t>Biographical, Drama</t>
  </si>
  <si>
    <t>Stronger</t>
  </si>
  <si>
    <t>Loving Vincent</t>
  </si>
  <si>
    <t>Biography, Animation, Drama</t>
  </si>
  <si>
    <t>UK, POL</t>
  </si>
  <si>
    <t>Woodshock</t>
  </si>
  <si>
    <t>Victoria &amp; Abdul</t>
  </si>
  <si>
    <t>My Little Pony: The Movie</t>
  </si>
  <si>
    <t>Animation, Adventure, Comedy, Family, Fantasy, Musical</t>
  </si>
  <si>
    <t>Jeepers Creepers 3</t>
  </si>
  <si>
    <t>American Made</t>
  </si>
  <si>
    <t>Biography, Action, Comedy, Crime, Drama, History, Thriller</t>
  </si>
  <si>
    <t>Flatliners</t>
  </si>
  <si>
    <t>Horror, Sci-Fi, Drama</t>
  </si>
  <si>
    <t>Mark Felt: The Man Who Brought Down the White House</t>
  </si>
  <si>
    <t>Blade Runner 2049</t>
  </si>
  <si>
    <t>Neo-noir, Sci-Fi, Thriller, Mystery</t>
  </si>
  <si>
    <t>The Mountain Between Us</t>
  </si>
  <si>
    <t>Romance, Disaster</t>
  </si>
  <si>
    <t>The Florida Project</t>
  </si>
  <si>
    <t>Brawl in Cell Block 99</t>
  </si>
  <si>
    <t>RLJ Entertainment</t>
  </si>
  <si>
    <t>Drama, Action, Thriller</t>
  </si>
  <si>
    <t>Outrage Coda</t>
  </si>
  <si>
    <t>Warner Bros.</t>
  </si>
  <si>
    <t>Takeshi Kitano (director/screenplay); Takeshi Kitano</t>
  </si>
  <si>
    <t>Drama, Crime</t>
  </si>
  <si>
    <t>JPN</t>
  </si>
  <si>
    <t>Thor: Ragnarok</t>
  </si>
  <si>
    <t>Superhero, Action, Adventure, Fantasy, Sci-Fi, Comedy</t>
  </si>
  <si>
    <t>Happy Death Day</t>
  </si>
  <si>
    <t>Horror, Mystery, Thriller</t>
  </si>
  <si>
    <t>The Foreigner</t>
  </si>
  <si>
    <t>UK, CHN</t>
  </si>
  <si>
    <t>Breathe</t>
  </si>
  <si>
    <t>Professor Marston and the Wonder Women</t>
  </si>
  <si>
    <t>Blood Money</t>
  </si>
  <si>
    <t>Wonder Wheel</t>
  </si>
  <si>
    <t>The Snowman</t>
  </si>
  <si>
    <t>Crime, Drama, Horror, Mystery, Thriller</t>
  </si>
  <si>
    <t>Geostorm</t>
  </si>
  <si>
    <t>Action, Sci-Fi, Thriller</t>
  </si>
  <si>
    <t>Only the Brave</t>
  </si>
  <si>
    <t>Action, Biography, Drama</t>
  </si>
  <si>
    <t>Boo 2! A Madea Halloween</t>
  </si>
  <si>
    <t>Comedy, Horror</t>
  </si>
  <si>
    <t>Same Kind of Different as Me</t>
  </si>
  <si>
    <t>Leatherface</t>
  </si>
  <si>
    <t>The Killing of a Sacred Deer</t>
  </si>
  <si>
    <t>Comedy, Drama, Horror, Mystery, Thriller</t>
  </si>
  <si>
    <t>Coco</t>
  </si>
  <si>
    <t>Animation, Musical, Fantasy, Mystery</t>
  </si>
  <si>
    <t>Justice League</t>
  </si>
  <si>
    <t>Superhero, Action, Adventure, Fantasy, Sci-Fi</t>
  </si>
  <si>
    <t>Thank You for Your Service</t>
  </si>
  <si>
    <t>Suburbicon</t>
  </si>
  <si>
    <t>Crime, Comedy, Drama, Mystery, Thriller</t>
  </si>
  <si>
    <t>Jigsaw</t>
  </si>
  <si>
    <t>Crime, Horror, Mystery, Thriller</t>
  </si>
  <si>
    <t>Novitiate</t>
  </si>
  <si>
    <t>All I See Is You</t>
  </si>
  <si>
    <t>Open Road Films / SC International Pictures</t>
  </si>
  <si>
    <t>The Unknown Soldier</t>
  </si>
  <si>
    <t>SF Studios</t>
  </si>
  <si>
    <t>FI</t>
  </si>
  <si>
    <t>Amityville: The Awakening</t>
  </si>
  <si>
    <t>Murder on the Orient Express</t>
  </si>
  <si>
    <t>Mystery, Crime, Drama</t>
  </si>
  <si>
    <t>A Bad Moms Christmas</t>
  </si>
  <si>
    <t>Last Flag Flying</t>
  </si>
  <si>
    <t>Pokémon the Movie: I Choose You!</t>
  </si>
  <si>
    <t>Animation, Adventure</t>
  </si>
  <si>
    <t>JP, US</t>
  </si>
  <si>
    <t>Daddy's Home 2</t>
  </si>
  <si>
    <t>Paddington 2</t>
  </si>
  <si>
    <t>Animation, Adventure, Family, Comedy</t>
  </si>
  <si>
    <t>Mayhem</t>
  </si>
  <si>
    <t>RLJE Films</t>
  </si>
  <si>
    <t>Action, Horror, Comedy</t>
  </si>
  <si>
    <t>The Man Who Invented Christmas</t>
  </si>
  <si>
    <t>The Star</t>
  </si>
  <si>
    <t>Animation, Adventure, Comedy</t>
  </si>
  <si>
    <t>Wonder</t>
  </si>
  <si>
    <t>Cook Off!</t>
  </si>
  <si>
    <t>Mockumentary, Comedy</t>
  </si>
  <si>
    <t>Mr. Roosevelt</t>
  </si>
  <si>
    <t>Paladin</t>
  </si>
  <si>
    <t>Roman J. Israel, Esq.</t>
  </si>
  <si>
    <t>Call Me by Your Name</t>
  </si>
  <si>
    <t>US, ITL</t>
  </si>
  <si>
    <t>Pitch Perfect 3</t>
  </si>
  <si>
    <t>Musical, Comedy</t>
  </si>
  <si>
    <t>The Disaster Artist</t>
  </si>
  <si>
    <t>Biography, Comedy, Drama</t>
  </si>
  <si>
    <t>The Shape of Water</t>
  </si>
  <si>
    <t>Fantasy, Horror, Romance, Sci-Fi, Thriller</t>
  </si>
  <si>
    <t>Jumanji: Welcome to the Jungle</t>
  </si>
  <si>
    <t>Action, Fantasy, Adventure, Comedy</t>
  </si>
  <si>
    <t>Just Getting Started</t>
  </si>
  <si>
    <t>The Greatest Showman</t>
  </si>
  <si>
    <t>Biography, Musical, Drama</t>
  </si>
  <si>
    <t>Star Wars: The Last Jedi</t>
  </si>
  <si>
    <t>Lucasfilm Ltd.</t>
  </si>
  <si>
    <t>Ferdinand</t>
  </si>
  <si>
    <t>Animation, Adventure, Comedy, Drama, Family</t>
  </si>
  <si>
    <t>Phantom Thread</t>
  </si>
  <si>
    <t>The Post</t>
  </si>
  <si>
    <t>Biography, Drama, History, Thriller</t>
  </si>
  <si>
    <t>Beyond Skyline</t>
  </si>
  <si>
    <t>Vertical Entertainment</t>
  </si>
  <si>
    <t>Sci-Fi, Action, Thriller</t>
  </si>
  <si>
    <t>Permanent</t>
  </si>
  <si>
    <t>All the Money in the World</t>
  </si>
  <si>
    <t>TriStar Pictures</t>
  </si>
  <si>
    <t>Father Figures</t>
  </si>
  <si>
    <t>Bright</t>
  </si>
  <si>
    <t>Action, Fantasy, Sci-Fi</t>
  </si>
  <si>
    <t>Crooked House</t>
  </si>
  <si>
    <t>Crime, Drama, Mystery</t>
  </si>
  <si>
    <t>Hostiles</t>
  </si>
  <si>
    <t>Western</t>
  </si>
  <si>
    <t>URL</t>
  </si>
  <si>
    <t>Wikiname</t>
  </si>
  <si>
    <t>Presummed wikiname</t>
  </si>
  <si>
    <t>Is wikiname?</t>
  </si>
  <si>
    <t>Title 2017</t>
  </si>
  <si>
    <t>Rank</t>
  </si>
  <si>
    <t>Movie Title (click to view)</t>
  </si>
  <si>
    <t>Open</t>
  </si>
  <si>
    <t>Close</t>
  </si>
  <si>
    <t>BV</t>
  </si>
  <si>
    <t>$604,813,031</t>
  </si>
  <si>
    <t>4,232</t>
  </si>
  <si>
    <t>$220,009,584</t>
  </si>
  <si>
    <t>-</t>
  </si>
  <si>
    <t>Beauty and the Beast (2017)</t>
  </si>
  <si>
    <t>$504,014,165</t>
  </si>
  <si>
    <t>4,210</t>
  </si>
  <si>
    <t>$174,750,616</t>
  </si>
  <si>
    <t>WB</t>
  </si>
  <si>
    <t>$412,563,408</t>
  </si>
  <si>
    <t>4,165</t>
  </si>
  <si>
    <t>$103,251,471</t>
  </si>
  <si>
    <t>$389,813,101</t>
  </si>
  <si>
    <t>4,347</t>
  </si>
  <si>
    <t>$146,510,104</t>
  </si>
  <si>
    <t>Sony</t>
  </si>
  <si>
    <t>$334,201,140</t>
  </si>
  <si>
    <t>4,348</t>
  </si>
  <si>
    <t>$117,027,503</t>
  </si>
  <si>
    <t>WB (NL)</t>
  </si>
  <si>
    <t>$327,481,748</t>
  </si>
  <si>
    <t>4,148</t>
  </si>
  <si>
    <t>$123,403,419</t>
  </si>
  <si>
    <t>4,103</t>
  </si>
  <si>
    <t>$317,656,234</t>
  </si>
  <si>
    <t>3,849</t>
  </si>
  <si>
    <t>$36,169,328</t>
  </si>
  <si>
    <t>3,765</t>
  </si>
  <si>
    <t>$313,451,751</t>
  </si>
  <si>
    <t>4,080</t>
  </si>
  <si>
    <t>$122,744,989</t>
  </si>
  <si>
    <t>Uni.</t>
  </si>
  <si>
    <t>$264,624,300</t>
  </si>
  <si>
    <t>4,535</t>
  </si>
  <si>
    <t>$72,434,025</t>
  </si>
  <si>
    <t>4,529</t>
  </si>
  <si>
    <t>$227,712,082</t>
  </si>
  <si>
    <t>4,051</t>
  </si>
  <si>
    <t>$93,842,239</t>
  </si>
  <si>
    <t>Fox</t>
  </si>
  <si>
    <t>$226,277,068</t>
  </si>
  <si>
    <t>4,071</t>
  </si>
  <si>
    <t>$88,411,916</t>
  </si>
  <si>
    <t>$226,008,385</t>
  </si>
  <si>
    <t>4,329</t>
  </si>
  <si>
    <t>$98,786,705</t>
  </si>
  <si>
    <t>4,310</t>
  </si>
  <si>
    <t>$200,855,432</t>
  </si>
  <si>
    <t>3,987</t>
  </si>
  <si>
    <t>$50,802,605</t>
  </si>
  <si>
    <t>$188,045,546</t>
  </si>
  <si>
    <t>4,014</t>
  </si>
  <si>
    <t>$50,513,488</t>
  </si>
  <si>
    <t>3,720</t>
  </si>
  <si>
    <t>The LEGO Batman Movie</t>
  </si>
  <si>
    <t>$175,750,384</t>
  </si>
  <si>
    <t>4,088</t>
  </si>
  <si>
    <t>$53,003,468</t>
  </si>
  <si>
    <t>$175,686,870</t>
  </si>
  <si>
    <t>3,143</t>
  </si>
  <si>
    <t>$33,377,060</t>
  </si>
  <si>
    <t>2,781</t>
  </si>
  <si>
    <t>$175,003,033</t>
  </si>
  <si>
    <t>3,829</t>
  </si>
  <si>
    <t>$50,198,902</t>
  </si>
  <si>
    <t>3,773</t>
  </si>
  <si>
    <t>$172,558,876</t>
  </si>
  <si>
    <t>4,276</t>
  </si>
  <si>
    <t>$62,983,253</t>
  </si>
  <si>
    <t>$168,052,812</t>
  </si>
  <si>
    <t>3,846</t>
  </si>
  <si>
    <t>$61,025,472</t>
  </si>
  <si>
    <t>$152,901,115</t>
  </si>
  <si>
    <t>4,256</t>
  </si>
  <si>
    <t>$53,688,680</t>
  </si>
  <si>
    <t>$146,880,162</t>
  </si>
  <si>
    <t>4,100</t>
  </si>
  <si>
    <t>$56,262,929</t>
  </si>
  <si>
    <t>4,022</t>
  </si>
  <si>
    <t>$138,291,365</t>
  </si>
  <si>
    <t>3,373</t>
  </si>
  <si>
    <t>$40,010,975</t>
  </si>
  <si>
    <t>3,038</t>
  </si>
  <si>
    <t>Par.</t>
  </si>
  <si>
    <t>$130,168,683</t>
  </si>
  <si>
    <t>4,132</t>
  </si>
  <si>
    <t>$44,680,073</t>
  </si>
  <si>
    <t>4,069</t>
  </si>
  <si>
    <t>LGF</t>
  </si>
  <si>
    <t>$129,935,845</t>
  </si>
  <si>
    <t>3,519</t>
  </si>
  <si>
    <t>$27,547,866</t>
  </si>
  <si>
    <t>3,096</t>
  </si>
  <si>
    <t>$115,171,585</t>
  </si>
  <si>
    <t>2,648</t>
  </si>
  <si>
    <t>$31,201,920</t>
  </si>
  <si>
    <t>2,591</t>
  </si>
  <si>
    <t>$114,581,250</t>
  </si>
  <si>
    <t>3,714</t>
  </si>
  <si>
    <t>$46,607,250</t>
  </si>
  <si>
    <t>3,710</t>
  </si>
  <si>
    <t>$113,973,270</t>
  </si>
  <si>
    <t>3,342</t>
  </si>
  <si>
    <t>$8,805,843</t>
  </si>
  <si>
    <t>3,006</t>
  </si>
  <si>
    <t>TriS</t>
  </si>
  <si>
    <t>$107,825,862</t>
  </si>
  <si>
    <t>3,226</t>
  </si>
  <si>
    <t>$20,553,320</t>
  </si>
  <si>
    <t>$103,556,248</t>
  </si>
  <si>
    <t>3,575</t>
  </si>
  <si>
    <t>$29,651,193</t>
  </si>
  <si>
    <t>Murder on the Orient Express (2017)</t>
  </si>
  <si>
    <t>$102,321,408</t>
  </si>
  <si>
    <t>3,354</t>
  </si>
  <si>
    <t>$28,681,472</t>
  </si>
  <si>
    <t>3,341</t>
  </si>
  <si>
    <t>$102,092,201</t>
  </si>
  <si>
    <t>3,565</t>
  </si>
  <si>
    <t>$35,006,404</t>
  </si>
  <si>
    <t>3,502</t>
  </si>
  <si>
    <t>$100,719,410</t>
  </si>
  <si>
    <t>3,468</t>
  </si>
  <si>
    <t>$19,928,525</t>
  </si>
  <si>
    <t>3,447</t>
  </si>
  <si>
    <t>$100,234,838</t>
  </si>
  <si>
    <t>4,038</t>
  </si>
  <si>
    <t>$39,023,010</t>
  </si>
  <si>
    <t>4,003</t>
  </si>
  <si>
    <t>John Wick: Chapter Two</t>
  </si>
  <si>
    <t>LG/S</t>
  </si>
  <si>
    <t>$92,029,184</t>
  </si>
  <si>
    <t>3,113</t>
  </si>
  <si>
    <t>$30,436,123</t>
  </si>
  <si>
    <t>$92,005,220</t>
  </si>
  <si>
    <t>4,058</t>
  </si>
  <si>
    <t>$32,753,122</t>
  </si>
  <si>
    <t>$86,089,513</t>
  </si>
  <si>
    <t>4,075</t>
  </si>
  <si>
    <t>$24,531,923</t>
  </si>
  <si>
    <t>Power Rangers (2017)</t>
  </si>
  <si>
    <t>$85,364,450</t>
  </si>
  <si>
    <t>3,693</t>
  </si>
  <si>
    <t>$40,300,288</t>
  </si>
  <si>
    <t>The Mummy (2017)</t>
  </si>
  <si>
    <t>$80,227,895</t>
  </si>
  <si>
    <t>4,035</t>
  </si>
  <si>
    <t>$31,688,375</t>
  </si>
  <si>
    <t>$79,256,570</t>
  </si>
  <si>
    <t>3,630</t>
  </si>
  <si>
    <t>$13,401,586</t>
  </si>
  <si>
    <t>3,621</t>
  </si>
  <si>
    <t>$75,468,583</t>
  </si>
  <si>
    <t>3,377</t>
  </si>
  <si>
    <t>$21,384,504</t>
  </si>
  <si>
    <t>$74,262,031</t>
  </si>
  <si>
    <t>3,772</t>
  </si>
  <si>
    <t>$36,160,621</t>
  </si>
  <si>
    <t>3,761</t>
  </si>
  <si>
    <t>$73,921,000</t>
  </si>
  <si>
    <t>3,529</t>
  </si>
  <si>
    <t>$23,851,539</t>
  </si>
  <si>
    <t>3,434</t>
  </si>
  <si>
    <t>STX</t>
  </si>
  <si>
    <t>$72,110,659</t>
  </si>
  <si>
    <t>3,615</t>
  </si>
  <si>
    <t>$16,759,161</t>
  </si>
  <si>
    <t>$64,508,620</t>
  </si>
  <si>
    <t>3,178</t>
  </si>
  <si>
    <t>$18,222,810</t>
  </si>
  <si>
    <t>3,059</t>
  </si>
  <si>
    <t>The LEGO Ninjago Movie</t>
  </si>
  <si>
    <t>$59,281,555</t>
  </si>
  <si>
    <t>4,047</t>
  </si>
  <si>
    <t>$20,433,071</t>
  </si>
  <si>
    <t>$58,060,186</t>
  </si>
  <si>
    <t>3,647</t>
  </si>
  <si>
    <t>$18,503,871</t>
  </si>
  <si>
    <t>$57,386,418</t>
  </si>
  <si>
    <t>2,888</t>
  </si>
  <si>
    <t>$16,172,119</t>
  </si>
  <si>
    <t>$55,683,845</t>
  </si>
  <si>
    <t>3,535</t>
  </si>
  <si>
    <t>$26,039,025</t>
  </si>
  <si>
    <t>3,149</t>
  </si>
  <si>
    <t>Focus</t>
  </si>
  <si>
    <t>$51,687,870</t>
  </si>
  <si>
    <t>3,326</t>
  </si>
  <si>
    <t>$18,286,420</t>
  </si>
  <si>
    <t>3,304</t>
  </si>
  <si>
    <t>$51,342,000</t>
  </si>
  <si>
    <t>3,098</t>
  </si>
  <si>
    <t>$16,776,390</t>
  </si>
  <si>
    <t>3,024</t>
  </si>
  <si>
    <t>$50,701,325</t>
  </si>
  <si>
    <t>3,451</t>
  </si>
  <si>
    <t>$19,153,698</t>
  </si>
  <si>
    <t>Tyler Perry's Boo 2! A Madea Halloween</t>
  </si>
  <si>
    <t>$47,319,572</t>
  </si>
  <si>
    <t>2,388</t>
  </si>
  <si>
    <t>$21,226,953</t>
  </si>
  <si>
    <t>$45,852,178</t>
  </si>
  <si>
    <t>3,511</t>
  </si>
  <si>
    <t>$19,542,248</t>
  </si>
  <si>
    <t>3,501</t>
  </si>
  <si>
    <t>$45,763,616</t>
  </si>
  <si>
    <t>2,851</t>
  </si>
  <si>
    <t>$526,011</t>
  </si>
  <si>
    <t>$45,540,830</t>
  </si>
  <si>
    <t>3,328</t>
  </si>
  <si>
    <t>$18,469,620</t>
  </si>
  <si>
    <t>$45,020,282</t>
  </si>
  <si>
    <t>3,610</t>
  </si>
  <si>
    <t>$13,210,449</t>
  </si>
  <si>
    <t>Going in Style (2017)</t>
  </si>
  <si>
    <t>$45,018,541</t>
  </si>
  <si>
    <t>3,076</t>
  </si>
  <si>
    <t>$11,932,330</t>
  </si>
  <si>
    <t>3,061</t>
  </si>
  <si>
    <t>$44,922,302</t>
  </si>
  <si>
    <t>2,471</t>
  </si>
  <si>
    <t>$26,435,354</t>
  </si>
  <si>
    <t>xXx: The Return of Xander Cage</t>
  </si>
  <si>
    <t>$44,898,413</t>
  </si>
  <si>
    <t>3,651</t>
  </si>
  <si>
    <t>$20,130,142</t>
  </si>
  <si>
    <t>ENTMP</t>
  </si>
  <si>
    <t>$44,307,192</t>
  </si>
  <si>
    <t>$11,205,561</t>
  </si>
  <si>
    <t>2,270</t>
  </si>
  <si>
    <t>$42,873,127</t>
  </si>
  <si>
    <t>2,597</t>
  </si>
  <si>
    <t>$421,577</t>
  </si>
  <si>
    <t>$41,189,488</t>
  </si>
  <si>
    <t>3,553</t>
  </si>
  <si>
    <t>$17,007,624</t>
  </si>
  <si>
    <t>$41,085,957</t>
  </si>
  <si>
    <t>1,733</t>
  </si>
  <si>
    <t>$175,006</t>
  </si>
  <si>
    <t>$40,715,377</t>
  </si>
  <si>
    <t>2,976</t>
  </si>
  <si>
    <t>$9,812,674</t>
  </si>
  <si>
    <t>2,837</t>
  </si>
  <si>
    <t>Ghost in the Shell (2017)</t>
  </si>
  <si>
    <t>$40,563,557</t>
  </si>
  <si>
    <t>3,440</t>
  </si>
  <si>
    <t>$18,676,033</t>
  </si>
  <si>
    <t>$39,175,066</t>
  </si>
  <si>
    <t>3,702</t>
  </si>
  <si>
    <t>$15,371,270</t>
  </si>
  <si>
    <t>$39,167,960</t>
  </si>
  <si>
    <t>1,557</t>
  </si>
  <si>
    <t>$364,437</t>
  </si>
  <si>
    <t>$38,052,832</t>
  </si>
  <si>
    <t>2,941</t>
  </si>
  <si>
    <t>$16,640,452</t>
  </si>
  <si>
    <t>$36,249,674</t>
  </si>
  <si>
    <t>3,154</t>
  </si>
  <si>
    <t>$14,846,778</t>
  </si>
  <si>
    <t>$34,393,507</t>
  </si>
  <si>
    <t>2,515</t>
  </si>
  <si>
    <t>$13,113,024</t>
  </si>
  <si>
    <t>$34,121,140</t>
  </si>
  <si>
    <t>2,801</t>
  </si>
  <si>
    <t>$11,727,390</t>
  </si>
  <si>
    <t>Wein.</t>
  </si>
  <si>
    <t>$33,800,859</t>
  </si>
  <si>
    <t>2,890</t>
  </si>
  <si>
    <t>$161,558</t>
  </si>
  <si>
    <t>$33,700,160</t>
  </si>
  <si>
    <t>3,246</t>
  </si>
  <si>
    <t>$13,707,376</t>
  </si>
  <si>
    <t>$33,370,166</t>
  </si>
  <si>
    <t>3,119</t>
  </si>
  <si>
    <t>$10,950,705</t>
  </si>
  <si>
    <t>FoxS</t>
  </si>
  <si>
    <t>$32,254,616</t>
  </si>
  <si>
    <t>1,620</t>
  </si>
  <si>
    <t>$322,168</t>
  </si>
  <si>
    <t>$32,187,017</t>
  </si>
  <si>
    <t>3,185</t>
  </si>
  <si>
    <t>$12,201,873</t>
  </si>
  <si>
    <t>How to be a Latin Lover</t>
  </si>
  <si>
    <t>PNT</t>
  </si>
  <si>
    <t>$32,149,404</t>
  </si>
  <si>
    <t>1,203</t>
  </si>
  <si>
    <t>$12,252,439</t>
  </si>
  <si>
    <t>1,118</t>
  </si>
  <si>
    <t>Kidnap (2017)</t>
  </si>
  <si>
    <t>Aviron</t>
  </si>
  <si>
    <t>$30,718,107</t>
  </si>
  <si>
    <t>2,418</t>
  </si>
  <si>
    <t>$10,016,323</t>
  </si>
  <si>
    <t>2,378</t>
  </si>
  <si>
    <t>$30,441,204</t>
  </si>
  <si>
    <t>$166,564</t>
  </si>
  <si>
    <t>SGem</t>
  </si>
  <si>
    <t>$30,353,973</t>
  </si>
  <si>
    <t>3,070</t>
  </si>
  <si>
    <t>$13,688,751</t>
  </si>
  <si>
    <t>$30,348,555</t>
  </si>
  <si>
    <t>3,259</t>
  </si>
  <si>
    <t>$10,551,336</t>
  </si>
  <si>
    <t>3,088</t>
  </si>
  <si>
    <t>Life (2017)</t>
  </si>
  <si>
    <t>$30,234,022</t>
  </si>
  <si>
    <t>3,146</t>
  </si>
  <si>
    <t>$12,501,936</t>
  </si>
  <si>
    <t>ORF</t>
  </si>
  <si>
    <t>$28,370,522</t>
  </si>
  <si>
    <t>$8,342,311</t>
  </si>
  <si>
    <t>$27,793,018</t>
  </si>
  <si>
    <t>2,931</t>
  </si>
  <si>
    <t>$13,002,632</t>
  </si>
  <si>
    <t>BST</t>
  </si>
  <si>
    <t>$27,780,977</t>
  </si>
  <si>
    <t>3,031</t>
  </si>
  <si>
    <t>$7,600,036</t>
  </si>
  <si>
    <t>$27,020,284</t>
  </si>
  <si>
    <t>3,036</t>
  </si>
  <si>
    <t>$8,567,881</t>
  </si>
  <si>
    <t>2,940</t>
  </si>
  <si>
    <t>$26,830,068</t>
  </si>
  <si>
    <t>3,104</t>
  </si>
  <si>
    <t>$13,601,682</t>
  </si>
  <si>
    <t>$25,584,504</t>
  </si>
  <si>
    <t>3,134</t>
  </si>
  <si>
    <t>$8,724,795</t>
  </si>
  <si>
    <t>$24,801,212</t>
  </si>
  <si>
    <t>2,215</t>
  </si>
  <si>
    <t>$446,380</t>
  </si>
  <si>
    <t>$24,441,842</t>
  </si>
  <si>
    <t>1,708</t>
  </si>
  <si>
    <t>$2,349,967</t>
  </si>
  <si>
    <t>$24,321,434</t>
  </si>
  <si>
    <t>2,668</t>
  </si>
  <si>
    <t>$4,954,287</t>
  </si>
  <si>
    <t>$24,146,293</t>
  </si>
  <si>
    <t>2,123</t>
  </si>
  <si>
    <t>$5,584,684</t>
  </si>
  <si>
    <t>2,074</t>
  </si>
  <si>
    <t>$22,395,806</t>
  </si>
  <si>
    <t>2,220</t>
  </si>
  <si>
    <t>$13,501,349</t>
  </si>
  <si>
    <t>Victoria and Abdul</t>
  </si>
  <si>
    <t>$22,245,070</t>
  </si>
  <si>
    <t>1,060</t>
  </si>
  <si>
    <t>$158,845</t>
  </si>
  <si>
    <t>$22,105,643</t>
  </si>
  <si>
    <t>3,162</t>
  </si>
  <si>
    <t>$8,004,283</t>
  </si>
  <si>
    <t>$21,885,107</t>
  </si>
  <si>
    <t>2,528</t>
  </si>
  <si>
    <t>$8,885,899</t>
  </si>
  <si>
    <t>$21,858,070</t>
  </si>
  <si>
    <t>2,705</t>
  </si>
  <si>
    <t>$4,730,038</t>
  </si>
  <si>
    <t>2,575</t>
  </si>
  <si>
    <t>$20,783,704</t>
  </si>
  <si>
    <t>1,803</t>
  </si>
  <si>
    <t>$8,344,128</t>
  </si>
  <si>
    <t>$20,747,937</t>
  </si>
  <si>
    <t>1,010</t>
  </si>
  <si>
    <t>$1,211,345</t>
  </si>
  <si>
    <t>$20,738,724</t>
  </si>
  <si>
    <t>3,174</t>
  </si>
  <si>
    <t>$7,126,084</t>
  </si>
  <si>
    <t>3,157</t>
  </si>
  <si>
    <t>Match?</t>
  </si>
  <si>
    <t>The Circle (2017)</t>
  </si>
  <si>
    <t>$20,497,844</t>
  </si>
  <si>
    <t>3,163</t>
  </si>
  <si>
    <t>$9,034,148</t>
  </si>
  <si>
    <t>GrtIndia</t>
  </si>
  <si>
    <t>$20,186,659</t>
  </si>
  <si>
    <t>$10,430,497</t>
  </si>
  <si>
    <t>$18,600,152</t>
  </si>
  <si>
    <t>2,464</t>
  </si>
  <si>
    <t>$7,722,802</t>
  </si>
  <si>
    <t>Only The Brave</t>
  </si>
  <si>
    <t>$18,324,258</t>
  </si>
  <si>
    <t>2,577</t>
  </si>
  <si>
    <t>$6,002,665</t>
  </si>
  <si>
    <t>mother!</t>
  </si>
  <si>
    <t>$17,800,004</t>
  </si>
  <si>
    <t>2,368</t>
  </si>
  <si>
    <t>$7,534,673</t>
  </si>
  <si>
    <t>$17,571,660</t>
  </si>
  <si>
    <t>1,057</t>
  </si>
  <si>
    <t>$3,288,835</t>
  </si>
  <si>
    <t>$17,390,334</t>
  </si>
  <si>
    <t>2,902</t>
  </si>
  <si>
    <t>$3,287,451</t>
  </si>
  <si>
    <t>$17,273,059</t>
  </si>
  <si>
    <t>1,461</t>
  </si>
  <si>
    <t>$4,678,548</t>
  </si>
  <si>
    <t>Flatliners (2017)</t>
  </si>
  <si>
    <t>$16,883,115</t>
  </si>
  <si>
    <t>2,552</t>
  </si>
  <si>
    <t>$6,574,326</t>
  </si>
  <si>
    <t>Annapurna</t>
  </si>
  <si>
    <t>$16,790,139</t>
  </si>
  <si>
    <t>3,007</t>
  </si>
  <si>
    <t>$350,190</t>
  </si>
  <si>
    <t>$14,783,202</t>
  </si>
  <si>
    <t>$264,155</t>
  </si>
  <si>
    <t>PFR</t>
  </si>
  <si>
    <t>$14,682,684</t>
  </si>
  <si>
    <t>1,386</t>
  </si>
  <si>
    <t>$3,967,885</t>
  </si>
  <si>
    <t>1,174</t>
  </si>
  <si>
    <t>BG</t>
  </si>
  <si>
    <t>$14,301,505</t>
  </si>
  <si>
    <t>2,250</t>
  </si>
  <si>
    <t>$5,467,084</t>
  </si>
  <si>
    <t>It Comes At Night</t>
  </si>
  <si>
    <t>$13,985,117</t>
  </si>
  <si>
    <t>2,533</t>
  </si>
  <si>
    <t>$5,988,370</t>
  </si>
  <si>
    <t>$13,873,211</t>
  </si>
  <si>
    <t>1,508</t>
  </si>
  <si>
    <t>$4,790,367</t>
  </si>
  <si>
    <t>$13,406,883</t>
  </si>
  <si>
    <t>1,956</t>
  </si>
  <si>
    <t>$3,810,867</t>
  </si>
  <si>
    <t>The Founder</t>
  </si>
  <si>
    <t>$12,786,053</t>
  </si>
  <si>
    <t>1,115</t>
  </si>
  <si>
    <t>$3,404,102</t>
  </si>
  <si>
    <t>$12,638,526</t>
  </si>
  <si>
    <t>1,822</t>
  </si>
  <si>
    <t>$518,332</t>
  </si>
  <si>
    <t>$12,241,122</t>
  </si>
  <si>
    <t>2,346</t>
  </si>
  <si>
    <t>$4,690,214</t>
  </si>
  <si>
    <t>$11,921,413</t>
  </si>
  <si>
    <t>1,669</t>
  </si>
  <si>
    <t>$61,999</t>
  </si>
  <si>
    <t>Unforgettable (2017)</t>
  </si>
  <si>
    <t>$11,368,012</t>
  </si>
  <si>
    <t>2,417</t>
  </si>
  <si>
    <t>$4,785,431</t>
  </si>
  <si>
    <t>The Beguiled (2017)</t>
  </si>
  <si>
    <t>$10,709,995</t>
  </si>
  <si>
    <t>$229,292</t>
  </si>
  <si>
    <t>BH Tilt</t>
  </si>
  <si>
    <t>$10,166,820</t>
  </si>
  <si>
    <t>1,341</t>
  </si>
  <si>
    <t>$4,137,230</t>
  </si>
  <si>
    <t>$10,051,659</t>
  </si>
  <si>
    <t>$3,000,805</t>
  </si>
  <si>
    <t>Thank You for Your Service (2017)</t>
  </si>
  <si>
    <t>$9,536,300</t>
  </si>
  <si>
    <t>2,083</t>
  </si>
  <si>
    <t>$3,817,700</t>
  </si>
  <si>
    <t>2,054</t>
  </si>
  <si>
    <t>Rock Dog</t>
  </si>
  <si>
    <t>$9,420,546</t>
  </si>
  <si>
    <t>2,077</t>
  </si>
  <si>
    <t>$3,704,749</t>
  </si>
  <si>
    <t>SPC</t>
  </si>
  <si>
    <t>$9,135,264</t>
  </si>
  <si>
    <t>$412,932</t>
  </si>
  <si>
    <t>$8,580,410</t>
  </si>
  <si>
    <t>$110,175</t>
  </si>
  <si>
    <t>The Promise (2017)</t>
  </si>
  <si>
    <t>$8,224,288</t>
  </si>
  <si>
    <t>2,251</t>
  </si>
  <si>
    <t>$4,095,718</t>
  </si>
  <si>
    <t>$8,106,986</t>
  </si>
  <si>
    <t>2,704</t>
  </si>
  <si>
    <t>$4,356,941</t>
  </si>
  <si>
    <t>$7,885,294</t>
  </si>
  <si>
    <t>2,812</t>
  </si>
  <si>
    <t>$3,775,596</t>
  </si>
  <si>
    <t>Gold</t>
  </si>
  <si>
    <t>$7,227,038</t>
  </si>
  <si>
    <t>2,166</t>
  </si>
  <si>
    <t>$3,471,316</t>
  </si>
  <si>
    <t>Let there be Light</t>
  </si>
  <si>
    <t>ADC</t>
  </si>
  <si>
    <t>$7,212,466</t>
  </si>
  <si>
    <t>$1,729,535</t>
  </si>
  <si>
    <t>I am Not Your Negro</t>
  </si>
  <si>
    <t>Magn.</t>
  </si>
  <si>
    <t>$7,123,919</t>
  </si>
  <si>
    <t>$686,378</t>
  </si>
  <si>
    <t>Beatriz At Dinner</t>
  </si>
  <si>
    <t>RAtt.</t>
  </si>
  <si>
    <t>$7,115,854</t>
  </si>
  <si>
    <t>$141,959</t>
  </si>
  <si>
    <t>Birth of the Dragon</t>
  </si>
  <si>
    <t>$6,901,965</t>
  </si>
  <si>
    <t>1,633</t>
  </si>
  <si>
    <t>$2,702,430</t>
  </si>
  <si>
    <t>1,618</t>
  </si>
  <si>
    <t>$6,700,035</t>
  </si>
  <si>
    <t>1,815</t>
  </si>
  <si>
    <t>$3,372,565</t>
  </si>
  <si>
    <t>1,812</t>
  </si>
  <si>
    <t>Good Deed</t>
  </si>
  <si>
    <t>$6,532,388</t>
  </si>
  <si>
    <t>$23,180</t>
  </si>
  <si>
    <t>$6,421,798</t>
  </si>
  <si>
    <t>1,362</t>
  </si>
  <si>
    <t>$2,591,985</t>
  </si>
  <si>
    <t>$6,385,599</t>
  </si>
  <si>
    <t>$216,495</t>
  </si>
  <si>
    <t>$6,303,560</t>
  </si>
  <si>
    <t>$2,403,885</t>
  </si>
  <si>
    <t>Maudie</t>
  </si>
  <si>
    <t>$6,170,998</t>
  </si>
  <si>
    <t>$45,920</t>
  </si>
  <si>
    <t>$5,973,430</t>
  </si>
  <si>
    <t>2,161</t>
  </si>
  <si>
    <t>$3,201,459</t>
  </si>
  <si>
    <t>$5,802,208</t>
  </si>
  <si>
    <t>$1,514,278</t>
  </si>
  <si>
    <t>$5,775,178</t>
  </si>
  <si>
    <t>2,046</t>
  </si>
  <si>
    <t>$2,840,246</t>
  </si>
  <si>
    <t>$5,675,791</t>
  </si>
  <si>
    <t>$1,357,129</t>
  </si>
  <si>
    <t>$5,617,731</t>
  </si>
  <si>
    <t>$98,850</t>
  </si>
  <si>
    <t>$5,578,810</t>
  </si>
  <si>
    <t>$157,553</t>
  </si>
  <si>
    <t>Tiger Zinda Hai</t>
  </si>
  <si>
    <t>Yash</t>
  </si>
  <si>
    <t>$5,560,921</t>
  </si>
  <si>
    <t>$1,787,108</t>
  </si>
  <si>
    <t>Your Name.</t>
  </si>
  <si>
    <t>FUN</t>
  </si>
  <si>
    <t>$5,017,246</t>
  </si>
  <si>
    <t>$1,813,781</t>
  </si>
  <si>
    <t>$4,504,974</t>
  </si>
  <si>
    <t>$1,424,540</t>
  </si>
  <si>
    <t>$4,211,129</t>
  </si>
  <si>
    <t>$1,611,040</t>
  </si>
  <si>
    <t>The Hero</t>
  </si>
  <si>
    <t>Orch.</t>
  </si>
  <si>
    <t>$4,077,333</t>
  </si>
  <si>
    <t>$45,317</t>
  </si>
  <si>
    <t>$3,986,245</t>
  </si>
  <si>
    <t>$1,701,785</t>
  </si>
  <si>
    <t>$3,902,185</t>
  </si>
  <si>
    <t>$66,510</t>
  </si>
  <si>
    <t>$3,814,868</t>
  </si>
  <si>
    <t>$99,211</t>
  </si>
  <si>
    <t>Friend Request</t>
  </si>
  <si>
    <t>$3,759,078</t>
  </si>
  <si>
    <t>2,573</t>
  </si>
  <si>
    <t>$2,002,863</t>
  </si>
  <si>
    <t>$3,614,896</t>
  </si>
  <si>
    <t>$1,597,928</t>
  </si>
  <si>
    <t>Their Finest</t>
  </si>
  <si>
    <t>$3,603,484</t>
  </si>
  <si>
    <t>$76,197</t>
  </si>
  <si>
    <t>CLF</t>
  </si>
  <si>
    <t>$3,600,146</t>
  </si>
  <si>
    <t>1,626</t>
  </si>
  <si>
    <t>$1,816,499</t>
  </si>
  <si>
    <t>$3,496,795</t>
  </si>
  <si>
    <t>$124,823</t>
  </si>
  <si>
    <t>Til Death Do Us Part</t>
  </si>
  <si>
    <t>NN</t>
  </si>
  <si>
    <t>$3,455,267</t>
  </si>
  <si>
    <t>$1,527,289</t>
  </si>
  <si>
    <t>Raees</t>
  </si>
  <si>
    <t>Zee</t>
  </si>
  <si>
    <t>$3,262,954</t>
  </si>
  <si>
    <t>$1,798,379</t>
  </si>
  <si>
    <t>Close Encounters of the Third Kind (40th Anniversary)</t>
  </si>
  <si>
    <t>$3,100,479</t>
  </si>
  <si>
    <t>$1,767,758</t>
  </si>
  <si>
    <t>$3,029,287</t>
  </si>
  <si>
    <t>$120,226</t>
  </si>
  <si>
    <t>$3,024,308</t>
  </si>
  <si>
    <t>$135,301</t>
  </si>
  <si>
    <t>Ballerina (2017) [Canada Only]</t>
  </si>
  <si>
    <t>EOne</t>
  </si>
  <si>
    <t>$2,844,490</t>
  </si>
  <si>
    <t>$181,091</t>
  </si>
  <si>
    <t>The Oscar Nominated Short Films 2017</t>
  </si>
  <si>
    <t>Shrts.</t>
  </si>
  <si>
    <t>$2,835,355</t>
  </si>
  <si>
    <t>$692,399</t>
  </si>
  <si>
    <t>Osci.</t>
  </si>
  <si>
    <t>$2,835,047</t>
  </si>
  <si>
    <t>$40,103</t>
  </si>
  <si>
    <t>Wolf Warrior 2</t>
  </si>
  <si>
    <t>HC</t>
  </si>
  <si>
    <t>$2,721,100</t>
  </si>
  <si>
    <t>$219,022</t>
  </si>
  <si>
    <t>$2,716,368</t>
  </si>
  <si>
    <t>$969,941</t>
  </si>
  <si>
    <t>Mayweather vs. McGregor</t>
  </si>
  <si>
    <t>Fathom</t>
  </si>
  <si>
    <t>$2,620,183</t>
  </si>
  <si>
    <t>A Question Of Faith</t>
  </si>
  <si>
    <t>$2,587,072</t>
  </si>
  <si>
    <t>$1,025,489</t>
  </si>
  <si>
    <t>Is Genesis History?</t>
  </si>
  <si>
    <t>$2,570,392</t>
  </si>
  <si>
    <t>N/A</t>
  </si>
  <si>
    <t>Newsies: The Broadway Musical</t>
  </si>
  <si>
    <t>$2,545,060</t>
  </si>
  <si>
    <t>$1,333,538</t>
  </si>
  <si>
    <t>In Our Hands: The Battle for Jerusalem</t>
  </si>
  <si>
    <t>$2,534,370</t>
  </si>
  <si>
    <t>Hazlo Como Hombre (Do It Like An Hombre)</t>
  </si>
  <si>
    <t>$2,534,252</t>
  </si>
  <si>
    <t>$1,174,484</t>
  </si>
  <si>
    <t>LBJ</t>
  </si>
  <si>
    <t>Electric</t>
  </si>
  <si>
    <t>$2,470,979</t>
  </si>
  <si>
    <t>$1,110,565</t>
  </si>
  <si>
    <t>$2,455,635</t>
  </si>
  <si>
    <t>$1,158,017</t>
  </si>
  <si>
    <t>The Salesman</t>
  </si>
  <si>
    <t>Cohen</t>
  </si>
  <si>
    <t>$2,402,067</t>
  </si>
  <si>
    <t>$71,078</t>
  </si>
  <si>
    <t>T2: Trainspotting</t>
  </si>
  <si>
    <t>$2,402,004</t>
  </si>
  <si>
    <t>$170,575</t>
  </si>
  <si>
    <t>Pokemon the Movie: I Choose You!</t>
  </si>
  <si>
    <t>$2,401,722</t>
  </si>
  <si>
    <t>Scre.</t>
  </si>
  <si>
    <t>$2,335,162</t>
  </si>
  <si>
    <t>$19,151</t>
  </si>
  <si>
    <t>The Resurrection of Gavin Stone </t>
  </si>
  <si>
    <t>$2,303,792</t>
  </si>
  <si>
    <t>$1,206,771</t>
  </si>
  <si>
    <t>$2,291,901</t>
  </si>
  <si>
    <t>$115,120</t>
  </si>
  <si>
    <t>$2,280,004</t>
  </si>
  <si>
    <t>2,045</t>
  </si>
  <si>
    <t>$1,512,824</t>
  </si>
  <si>
    <t>$2,194,521</t>
  </si>
  <si>
    <t>$66,286</t>
  </si>
  <si>
    <t>Un Padre No Tan Padre</t>
  </si>
  <si>
    <t>$2,156,047</t>
  </si>
  <si>
    <t>$978,894</t>
  </si>
  <si>
    <t>$2,133,158</t>
  </si>
  <si>
    <t>$89,921</t>
  </si>
  <si>
    <t>$2,026,499</t>
  </si>
  <si>
    <t>$125,101</t>
  </si>
  <si>
    <t>Badrinath Ki Dulhania</t>
  </si>
  <si>
    <t>FIP</t>
  </si>
  <si>
    <t>$1,993,259</t>
  </si>
  <si>
    <t>$862,008</t>
  </si>
  <si>
    <t>$1,915,789</t>
  </si>
  <si>
    <t>$924,201</t>
  </si>
  <si>
    <t>Youth (2017)</t>
  </si>
  <si>
    <t>CL</t>
  </si>
  <si>
    <t>$1,888,311</t>
  </si>
  <si>
    <t>$338,604</t>
  </si>
  <si>
    <t>MBox</t>
  </si>
  <si>
    <t>$1,865,396</t>
  </si>
  <si>
    <t>$45,825</t>
  </si>
  <si>
    <t>Toilet: Ek Prem Katha</t>
  </si>
  <si>
    <t>Relbig.</t>
  </si>
  <si>
    <t>$1,830,715</t>
  </si>
  <si>
    <t>$678,436</t>
  </si>
  <si>
    <t>$1,803,064</t>
  </si>
  <si>
    <t>$897,955</t>
  </si>
  <si>
    <t>$1,799,312</t>
  </si>
  <si>
    <t>1,070</t>
  </si>
  <si>
    <t>$994,431</t>
  </si>
  <si>
    <t>$1,783,421</t>
  </si>
  <si>
    <t>$31,630</t>
  </si>
  <si>
    <t>$1,735,251</t>
  </si>
  <si>
    <t>$57,917</t>
  </si>
  <si>
    <t>$1,703,036</t>
  </si>
  <si>
    <t>$62,078</t>
  </si>
  <si>
    <t>Slamma Jamma</t>
  </si>
  <si>
    <t>RivR</t>
  </si>
  <si>
    <t>$1,687,000</t>
  </si>
  <si>
    <t>Along with the Gods: The Two Worlds</t>
  </si>
  <si>
    <t>WGUSA</t>
  </si>
  <si>
    <t>$1,684,791</t>
  </si>
  <si>
    <t>$185,546</t>
  </si>
  <si>
    <t>Jab Harry Met Sejal</t>
  </si>
  <si>
    <t>$1,664,648</t>
  </si>
  <si>
    <t>$1,284,740</t>
  </si>
  <si>
    <t>Jolly Llb 2</t>
  </si>
  <si>
    <t>$1,654,254</t>
  </si>
  <si>
    <t>$774,355</t>
  </si>
  <si>
    <t>G&amp;S</t>
  </si>
  <si>
    <t>$1,647,175</t>
  </si>
  <si>
    <t>$56,676</t>
  </si>
  <si>
    <t>Jane (2017)</t>
  </si>
  <si>
    <t>Abr.</t>
  </si>
  <si>
    <t>$1,625,674</t>
  </si>
  <si>
    <t>$58,348</t>
  </si>
  <si>
    <t>$1,625,437</t>
  </si>
  <si>
    <t>$22,849</t>
  </si>
  <si>
    <t>$1,596,371</t>
  </si>
  <si>
    <t>$104,030</t>
  </si>
  <si>
    <t>Professor Marston &amp; the Wonder Women</t>
  </si>
  <si>
    <t>$1,584,759</t>
  </si>
  <si>
    <t>1,229</t>
  </si>
  <si>
    <t>$736,883</t>
  </si>
  <si>
    <t>The Stray</t>
  </si>
  <si>
    <t>Purd.</t>
  </si>
  <si>
    <t>$1,579,440</t>
  </si>
  <si>
    <t>$596,547</t>
  </si>
  <si>
    <t>Genesis: Paradise Lost</t>
  </si>
  <si>
    <t>$1,575,000</t>
  </si>
  <si>
    <t>A Taxi Driver</t>
  </si>
  <si>
    <t>$1,527,829</t>
  </si>
  <si>
    <t>$331,854</t>
  </si>
  <si>
    <t>Sword Art Online: The Movie - Ordinal Scale</t>
  </si>
  <si>
    <t>Elev.</t>
  </si>
  <si>
    <t>$1,522,976</t>
  </si>
  <si>
    <t>$196,454</t>
  </si>
  <si>
    <t>Inhumans</t>
  </si>
  <si>
    <t>Imax</t>
  </si>
  <si>
    <t>$1,521,787</t>
  </si>
  <si>
    <t>$1,135,440</t>
  </si>
  <si>
    <t>Mully</t>
  </si>
  <si>
    <t>$1,489,771</t>
  </si>
  <si>
    <t>Judwaa 2</t>
  </si>
  <si>
    <t>$1,431,255</t>
  </si>
  <si>
    <t>$638,045</t>
  </si>
  <si>
    <t>$1,412,404</t>
  </si>
  <si>
    <t>$31,658</t>
  </si>
  <si>
    <t>Amazon</t>
  </si>
  <si>
    <t>$1,392,830</t>
  </si>
  <si>
    <t>$125,570</t>
  </si>
  <si>
    <t>The Square</t>
  </si>
  <si>
    <t>$1,351,205</t>
  </si>
  <si>
    <t>$74,233</t>
  </si>
  <si>
    <t>My Friend Dahmer</t>
  </si>
  <si>
    <t>$1,329,652</t>
  </si>
  <si>
    <t>$35,545</t>
  </si>
  <si>
    <t>$1,323,312</t>
  </si>
  <si>
    <t>$653,944</t>
  </si>
  <si>
    <t>IFC</t>
  </si>
  <si>
    <t>$1,305,195</t>
  </si>
  <si>
    <t>$79,175</t>
  </si>
  <si>
    <t>$1,281,258</t>
  </si>
  <si>
    <t>$408,891</t>
  </si>
  <si>
    <t>CBS</t>
  </si>
  <si>
    <t>$1,274,420</t>
  </si>
  <si>
    <t>$39,692</t>
  </si>
  <si>
    <t>Chonda Pierce: Enough</t>
  </si>
  <si>
    <t>$1,260,116</t>
  </si>
  <si>
    <t>3 Idiotas</t>
  </si>
  <si>
    <t>$1,249,233</t>
  </si>
  <si>
    <t>$609,249</t>
  </si>
  <si>
    <t>True to the Game</t>
  </si>
  <si>
    <t>Faith Media</t>
  </si>
  <si>
    <t>$1,231,040</t>
  </si>
  <si>
    <t>$472,436</t>
  </si>
  <si>
    <t>Steve McQueen: American Icon</t>
  </si>
  <si>
    <t>$1,229,782</t>
  </si>
  <si>
    <t>The Women's Balcony</t>
  </si>
  <si>
    <t>Men.</t>
  </si>
  <si>
    <t>$1,200,885</t>
  </si>
  <si>
    <t>$16,620</t>
  </si>
  <si>
    <t>Spirited Away (Fathom Event)</t>
  </si>
  <si>
    <t>$1,196,791</t>
  </si>
  <si>
    <t>$903,896</t>
  </si>
  <si>
    <t>The Trip to Spain</t>
  </si>
  <si>
    <t>$1,157,604</t>
  </si>
  <si>
    <t>$40,875</t>
  </si>
  <si>
    <t>Step (2017)</t>
  </si>
  <si>
    <t>$1,146,292</t>
  </si>
  <si>
    <t>$146,488</t>
  </si>
  <si>
    <t>$1,129,408</t>
  </si>
  <si>
    <t>$64,537</t>
  </si>
  <si>
    <t>Viceroy's House</t>
  </si>
  <si>
    <t>$1,105,717</t>
  </si>
  <si>
    <t>$48,134</t>
  </si>
  <si>
    <t>The Battleship Island</t>
  </si>
  <si>
    <t>CJ</t>
  </si>
  <si>
    <t>$1,104,957</t>
  </si>
  <si>
    <t>$59,344</t>
  </si>
  <si>
    <t>$1,060,377</t>
  </si>
  <si>
    <t>$65,882</t>
  </si>
  <si>
    <t>Terminator 2: Judgment Day 3D</t>
  </si>
  <si>
    <t>Distrib.</t>
  </si>
  <si>
    <t>$1,037,809</t>
  </si>
  <si>
    <t>$552,773</t>
  </si>
  <si>
    <t>TCM Presents Casablanca 75th Anniversary</t>
  </si>
  <si>
    <t>$1,024,560</t>
  </si>
  <si>
    <t>$596,068</t>
  </si>
  <si>
    <t>Columbus</t>
  </si>
  <si>
    <t>INDEP</t>
  </si>
  <si>
    <t>$1,015,744</t>
  </si>
  <si>
    <t>$26,820</t>
  </si>
  <si>
    <t>Yu-Gi-Oh! The Dark Side of Dimensions</t>
  </si>
  <si>
    <t>SV</t>
  </si>
  <si>
    <t>$1,015,339</t>
  </si>
  <si>
    <t>$656,756</t>
  </si>
  <si>
    <t>Golmaal Again</t>
  </si>
  <si>
    <t>Rel.</t>
  </si>
  <si>
    <t>$1,013,893</t>
  </si>
  <si>
    <t>$965,481</t>
  </si>
  <si>
    <t>$40,558</t>
  </si>
  <si>
    <t>Lucky (2017)</t>
  </si>
  <si>
    <t>$955,925</t>
  </si>
  <si>
    <t>$43,293</t>
  </si>
  <si>
    <t>Landline</t>
  </si>
  <si>
    <t>$940,854</t>
  </si>
  <si>
    <t>$52,555</t>
  </si>
  <si>
    <t>Tubelight</t>
  </si>
  <si>
    <t>$930,058</t>
  </si>
  <si>
    <t>$921,974</t>
  </si>
  <si>
    <t>$21,010</t>
  </si>
  <si>
    <t>Frantz</t>
  </si>
  <si>
    <t>$880,883</t>
  </si>
  <si>
    <t>$18,745</t>
  </si>
  <si>
    <t>Journey to the West: The Demons Strike Back</t>
  </si>
  <si>
    <t>$880,346</t>
  </si>
  <si>
    <t>$463,883</t>
  </si>
  <si>
    <t>The Polar Express (2017 re-release)</t>
  </si>
  <si>
    <t>$875,150</t>
  </si>
  <si>
    <t>$1,321</t>
  </si>
  <si>
    <t>Jagga Jasoos</t>
  </si>
  <si>
    <t>UTV</t>
  </si>
  <si>
    <t>$861,740</t>
  </si>
  <si>
    <t>$490,232</t>
  </si>
  <si>
    <t>Ex-File 3 (Qian Ren 3)</t>
  </si>
  <si>
    <t>$808,378</t>
  </si>
  <si>
    <t>$125,291</t>
  </si>
  <si>
    <t>$800,148</t>
  </si>
  <si>
    <t>$67,599</t>
  </si>
  <si>
    <t>George Takei's Allegiance</t>
  </si>
  <si>
    <t>$784,850</t>
  </si>
  <si>
    <t>$768,946</t>
  </si>
  <si>
    <t>$34,217</t>
  </si>
  <si>
    <t>Mubarakan</t>
  </si>
  <si>
    <t>$758,868</t>
  </si>
  <si>
    <t>$310,170</t>
  </si>
  <si>
    <t>May It Last: A Portrait Of The Avett Brothers</t>
  </si>
  <si>
    <t>$725,286</t>
  </si>
  <si>
    <t>$9,616</t>
  </si>
  <si>
    <t>Kirk Cameron REVIVE US 2</t>
  </si>
  <si>
    <t>$718,607</t>
  </si>
  <si>
    <t>The Exception</t>
  </si>
  <si>
    <t>$708,973</t>
  </si>
  <si>
    <t>$21,351</t>
  </si>
  <si>
    <t>Canelo Vs. GGG: Supremacy</t>
  </si>
  <si>
    <t>$703,396</t>
  </si>
  <si>
    <t>Faces Places</t>
  </si>
  <si>
    <t>$696,989</t>
  </si>
  <si>
    <t>$31,006</t>
  </si>
  <si>
    <t>Chris Brown: Welcome To My Life</t>
  </si>
  <si>
    <t>$693,984</t>
  </si>
  <si>
    <t>$98,088</t>
  </si>
  <si>
    <t>Titanic (20th Anniversary)</t>
  </si>
  <si>
    <t>$691,642</t>
  </si>
  <si>
    <t>$438,602</t>
  </si>
  <si>
    <t>Lost in Paris</t>
  </si>
  <si>
    <t>$691,597</t>
  </si>
  <si>
    <t>$4,510</t>
  </si>
  <si>
    <t>Shubh Mangal Saavdhan</t>
  </si>
  <si>
    <t>Eros</t>
  </si>
  <si>
    <t>$689,874</t>
  </si>
  <si>
    <t>$259,999</t>
  </si>
  <si>
    <t>The Devotion of Suspect X</t>
  </si>
  <si>
    <t>$686,435</t>
  </si>
  <si>
    <t>$323,207</t>
  </si>
  <si>
    <t>Walk With Me</t>
  </si>
  <si>
    <t>Gathr</t>
  </si>
  <si>
    <t>$665,642</t>
  </si>
  <si>
    <t>$9,932</t>
  </si>
  <si>
    <t>$653,951</t>
  </si>
  <si>
    <t>$336,227</t>
  </si>
  <si>
    <t>$624,332</t>
  </si>
  <si>
    <t>$54,458</t>
  </si>
  <si>
    <t>The Midwife</t>
  </si>
  <si>
    <t>$603,582</t>
  </si>
  <si>
    <t>$21,341</t>
  </si>
  <si>
    <t>Battle of Memories</t>
  </si>
  <si>
    <t>$594,552</t>
  </si>
  <si>
    <t>$224,942</t>
  </si>
  <si>
    <t>$574,809</t>
  </si>
  <si>
    <t>$22,724</t>
  </si>
  <si>
    <t>Tommy's Honour</t>
  </si>
  <si>
    <t>$569,306</t>
  </si>
  <si>
    <t>$209,190</t>
  </si>
  <si>
    <t>$557,241</t>
  </si>
  <si>
    <t>$219,357</t>
  </si>
  <si>
    <t>Samaritan's Purse: Facing Darkness (Encore)</t>
  </si>
  <si>
    <t>$555,533</t>
  </si>
  <si>
    <t>Dolores</t>
  </si>
  <si>
    <t>PBS</t>
  </si>
  <si>
    <t>$554,274</t>
  </si>
  <si>
    <t>$13,534</t>
  </si>
  <si>
    <t>$532,669</t>
  </si>
  <si>
    <t>$39,652</t>
  </si>
  <si>
    <t>Human Flow</t>
  </si>
  <si>
    <t>$527,845</t>
  </si>
  <si>
    <t>$45,677</t>
  </si>
  <si>
    <t>JONAH - On Stage!</t>
  </si>
  <si>
    <t>$520,496</t>
  </si>
  <si>
    <t>Fairy Tail: Dragon Cry</t>
  </si>
  <si>
    <t>$519,461</t>
  </si>
  <si>
    <t>$169,203</t>
  </si>
  <si>
    <t>Raw (2017)</t>
  </si>
  <si>
    <t>FCW</t>
  </si>
  <si>
    <t>$514,870</t>
  </si>
  <si>
    <t>$24,825</t>
  </si>
  <si>
    <t>Our President</t>
  </si>
  <si>
    <t>$507,268</t>
  </si>
  <si>
    <t>$9,421</t>
  </si>
  <si>
    <t>Breathe (2017)</t>
  </si>
  <si>
    <t>$490,131</t>
  </si>
  <si>
    <t>$22,285</t>
  </si>
  <si>
    <t>Once Upon A Time</t>
  </si>
  <si>
    <t>$485,728</t>
  </si>
  <si>
    <t>$249,933</t>
  </si>
  <si>
    <t>Confidential Assignment</t>
  </si>
  <si>
    <t>$475,618</t>
  </si>
  <si>
    <t>$21,228</t>
  </si>
  <si>
    <t>$473,771</t>
  </si>
  <si>
    <t>$46,451</t>
  </si>
  <si>
    <t>Duckweed</t>
  </si>
  <si>
    <t>$471,575</t>
  </si>
  <si>
    <t>$160,739</t>
  </si>
  <si>
    <t>DCI 2017 Tour Premeire</t>
  </si>
  <si>
    <t>$467,817</t>
  </si>
  <si>
    <t>Phillauri</t>
  </si>
  <si>
    <t>$467,596</t>
  </si>
  <si>
    <t>$260,982</t>
  </si>
  <si>
    <t>Chasing the Dragon</t>
  </si>
  <si>
    <t>$456,854</t>
  </si>
  <si>
    <t>$138,346</t>
  </si>
  <si>
    <t>Sailor Moon R: The Movie</t>
  </si>
  <si>
    <t>$452,053</t>
  </si>
  <si>
    <t>$253,490</t>
  </si>
  <si>
    <t>$443,684</t>
  </si>
  <si>
    <t>$50,559</t>
  </si>
  <si>
    <t>One Piece Film: Gold</t>
  </si>
  <si>
    <t>$423,593</t>
  </si>
  <si>
    <t>$50,241</t>
  </si>
  <si>
    <t>A Gentleman</t>
  </si>
  <si>
    <t>$410,055</t>
  </si>
  <si>
    <t>$191,530</t>
  </si>
  <si>
    <t>Love, Kennedy</t>
  </si>
  <si>
    <t>$407,871</t>
  </si>
  <si>
    <t>$45,285</t>
  </si>
  <si>
    <t>Chasing Trane: The John Coltrane Documentary</t>
  </si>
  <si>
    <t>$406,284</t>
  </si>
  <si>
    <t>$16,626</t>
  </si>
  <si>
    <t>Rifftrax: Samurai Cop</t>
  </si>
  <si>
    <t>$384,756</t>
  </si>
  <si>
    <t>I'll Push You</t>
  </si>
  <si>
    <t>$378,899</t>
  </si>
  <si>
    <t>Rebel in the Rye</t>
  </si>
  <si>
    <t>$378,294</t>
  </si>
  <si>
    <t>$37,967</t>
  </si>
  <si>
    <t>Boston: An American Running Story</t>
  </si>
  <si>
    <t>$364,369</t>
  </si>
  <si>
    <t>Kung Fu Yoga</t>
  </si>
  <si>
    <t>$362,657</t>
  </si>
  <si>
    <t>$111,979</t>
  </si>
  <si>
    <t>Disney Junior HalloVeen Party</t>
  </si>
  <si>
    <t>$359,745</t>
  </si>
  <si>
    <t>Letters from Baghdad</t>
  </si>
  <si>
    <t>Vita.</t>
  </si>
  <si>
    <t>$359,735</t>
  </si>
  <si>
    <t>$19,725</t>
  </si>
  <si>
    <t>Ok Jaanu</t>
  </si>
  <si>
    <t>$355,922</t>
  </si>
  <si>
    <t>$225,968</t>
  </si>
  <si>
    <t>Long Strange Trip - The Untold Story of The Grateful Dead</t>
  </si>
  <si>
    <t>$351,957</t>
  </si>
  <si>
    <t>$33,272</t>
  </si>
  <si>
    <t>Pearl Jam - Let's Play Two</t>
  </si>
  <si>
    <t>$348,833</t>
  </si>
  <si>
    <t>$53,177</t>
  </si>
  <si>
    <t>Tom of Finland</t>
  </si>
  <si>
    <t>KL</t>
  </si>
  <si>
    <t>$347,038</t>
  </si>
  <si>
    <t>$13,524</t>
  </si>
  <si>
    <t>Canelo vs. Chavez Jr.</t>
  </si>
  <si>
    <t>$343,387</t>
  </si>
  <si>
    <t>This Is Not What I Expected</t>
  </si>
  <si>
    <t>$337,670</t>
  </si>
  <si>
    <t>$135,252</t>
  </si>
  <si>
    <t>Dunkirk (Re-Issue 12/1)</t>
  </si>
  <si>
    <t>$327,615</t>
  </si>
  <si>
    <t>$122,115</t>
  </si>
  <si>
    <t>God's Own Country</t>
  </si>
  <si>
    <t>Orion</t>
  </si>
  <si>
    <t>$324,414</t>
  </si>
  <si>
    <t>$17,768</t>
  </si>
  <si>
    <t>Chuck</t>
  </si>
  <si>
    <t>$320,725</t>
  </si>
  <si>
    <t>$34,565</t>
  </si>
  <si>
    <t>Obit.</t>
  </si>
  <si>
    <t>$315,049</t>
  </si>
  <si>
    <t>Citizen Jane</t>
  </si>
  <si>
    <t>$313,411</t>
  </si>
  <si>
    <t>$31,451</t>
  </si>
  <si>
    <t>City of Rock</t>
  </si>
  <si>
    <t>$312,537</t>
  </si>
  <si>
    <t>$115,524</t>
  </si>
  <si>
    <t>My Life as a Zucchini</t>
  </si>
  <si>
    <t>GK</t>
  </si>
  <si>
    <t>$309,766</t>
  </si>
  <si>
    <t>$31,853</t>
  </si>
  <si>
    <t>ITTEFAQ</t>
  </si>
  <si>
    <t>$298,032</t>
  </si>
  <si>
    <t>Buddies in India</t>
  </si>
  <si>
    <t>$293,194</t>
  </si>
  <si>
    <t>$181,705</t>
  </si>
  <si>
    <t>I Do... Until I Don't</t>
  </si>
  <si>
    <t>TFA</t>
  </si>
  <si>
    <t>$280,668</t>
  </si>
  <si>
    <t>$170,775</t>
  </si>
  <si>
    <t>After the Storm</t>
  </si>
  <si>
    <t>FM</t>
  </si>
  <si>
    <t>$272,132</t>
  </si>
  <si>
    <t>$27,880</t>
  </si>
  <si>
    <t>Stalker (2017 re-release)</t>
  </si>
  <si>
    <t>Jan.</t>
  </si>
  <si>
    <t>$269,881</t>
  </si>
  <si>
    <t>$20,540</t>
  </si>
  <si>
    <t>$269,204</t>
  </si>
  <si>
    <t>$20,365</t>
  </si>
  <si>
    <t>$262,599</t>
  </si>
  <si>
    <t>$11,299</t>
  </si>
  <si>
    <t>I, Daniel Blake</t>
  </si>
  <si>
    <t>$260,354</t>
  </si>
  <si>
    <t>$18,682</t>
  </si>
  <si>
    <t>Cezanne et moi</t>
  </si>
  <si>
    <t>$257,597</t>
  </si>
  <si>
    <t>$15,744</t>
  </si>
  <si>
    <t>$254,536</t>
  </si>
  <si>
    <t>$60,366</t>
  </si>
  <si>
    <t>The Fortress</t>
  </si>
  <si>
    <t>$252,895</t>
  </si>
  <si>
    <t>Gook</t>
  </si>
  <si>
    <t>Gold.</t>
  </si>
  <si>
    <t>$250,130</t>
  </si>
  <si>
    <t>$27,044</t>
  </si>
  <si>
    <t>Sarkar 3</t>
  </si>
  <si>
    <t>$249,588</t>
  </si>
  <si>
    <t>$164,364</t>
  </si>
  <si>
    <t>Band Aid</t>
  </si>
  <si>
    <t>$248,370</t>
  </si>
  <si>
    <t>$29,013</t>
  </si>
  <si>
    <t>Black Butler: Book of the Atlantic</t>
  </si>
  <si>
    <t>$248,286</t>
  </si>
  <si>
    <t>The Breadwinner</t>
  </si>
  <si>
    <t>$242,266</t>
  </si>
  <si>
    <t>$17,395</t>
  </si>
  <si>
    <t>The Swindlers</t>
  </si>
  <si>
    <t>$241,916</t>
  </si>
  <si>
    <t>$82,818</t>
  </si>
  <si>
    <t>The Ottoman Lieutenant</t>
  </si>
  <si>
    <t>Pala.</t>
  </si>
  <si>
    <t>$240,978</t>
  </si>
  <si>
    <t>$149,830</t>
  </si>
  <si>
    <t>Crown Heights</t>
  </si>
  <si>
    <t>$238,558</t>
  </si>
  <si>
    <t>$30,173</t>
  </si>
  <si>
    <t>American Satan</t>
  </si>
  <si>
    <t>Sumerian</t>
  </si>
  <si>
    <t>$237,708</t>
  </si>
  <si>
    <t>$135,378</t>
  </si>
  <si>
    <t>Little Shop of Horrors: The Director's Cut</t>
  </si>
  <si>
    <t>$233,865</t>
  </si>
  <si>
    <t>$156,288</t>
  </si>
  <si>
    <t>Jeremiah Tower</t>
  </si>
  <si>
    <t>$228,153</t>
  </si>
  <si>
    <t>$20,268</t>
  </si>
  <si>
    <t>Rumble: The Indians Who Rocked The World</t>
  </si>
  <si>
    <t>$226,006</t>
  </si>
  <si>
    <t>California Typewriter</t>
  </si>
  <si>
    <t>Grav.</t>
  </si>
  <si>
    <t>$218,563</t>
  </si>
  <si>
    <t>$5,031</t>
  </si>
  <si>
    <t>$218,044</t>
  </si>
  <si>
    <t>$116,211</t>
  </si>
  <si>
    <t>All I See is You</t>
  </si>
  <si>
    <t>$217,644</t>
  </si>
  <si>
    <t>$144,076</t>
  </si>
  <si>
    <t>BOMBSHELL: The Hedy Lamarr Story</t>
  </si>
  <si>
    <t>Zeit.</t>
  </si>
  <si>
    <t>$217,460</t>
  </si>
  <si>
    <t>The Adventurers</t>
  </si>
  <si>
    <t>$216,556</t>
  </si>
  <si>
    <t>$68,614</t>
  </si>
  <si>
    <t>Truman</t>
  </si>
  <si>
    <t>$210,840</t>
  </si>
  <si>
    <t>$18,258</t>
  </si>
  <si>
    <t>Donnie Darko (2017 Re-Release)</t>
  </si>
  <si>
    <t>Arrow</t>
  </si>
  <si>
    <t>$207,971</t>
  </si>
  <si>
    <t>$57,259</t>
  </si>
  <si>
    <t>The Prison</t>
  </si>
  <si>
    <t>$207,481</t>
  </si>
  <si>
    <t>$80,376</t>
  </si>
  <si>
    <t>Risk</t>
  </si>
  <si>
    <t>$200,219</t>
  </si>
  <si>
    <t>$76,327</t>
  </si>
  <si>
    <t>Spark: A Space Tail</t>
  </si>
  <si>
    <t>$196,458</t>
  </si>
  <si>
    <t>$116,873</t>
  </si>
  <si>
    <t>$190,829</t>
  </si>
  <si>
    <t>$34,532</t>
  </si>
  <si>
    <t>Whose Streets?</t>
  </si>
  <si>
    <t>$182,799</t>
  </si>
  <si>
    <t>$43,804</t>
  </si>
  <si>
    <t>$180,851</t>
  </si>
  <si>
    <t>$89,111</t>
  </si>
  <si>
    <t>Marjorie Prime</t>
  </si>
  <si>
    <t>$180,608</t>
  </si>
  <si>
    <t>$20,668</t>
  </si>
  <si>
    <t>Past Life</t>
  </si>
  <si>
    <t>$180,099</t>
  </si>
  <si>
    <t>$14,960</t>
  </si>
  <si>
    <t>The Other Side of Hope</t>
  </si>
  <si>
    <t>$179,848</t>
  </si>
  <si>
    <t>$15,495</t>
  </si>
  <si>
    <t>Take Every Wave: The Life of Liard Hamilton</t>
  </si>
  <si>
    <t>$176,076</t>
  </si>
  <si>
    <t>$12,636</t>
  </si>
  <si>
    <t>Graduation</t>
  </si>
  <si>
    <t>$175,975</t>
  </si>
  <si>
    <t>$10,305</t>
  </si>
  <si>
    <t>Champion</t>
  </si>
  <si>
    <t>AAE</t>
  </si>
  <si>
    <t>$175,232</t>
  </si>
  <si>
    <t>$108,591</t>
  </si>
  <si>
    <t>Mr. Gaga: A True Story of Love and Dance</t>
  </si>
  <si>
    <t>$173,994</t>
  </si>
  <si>
    <t>$25,354</t>
  </si>
  <si>
    <t>In This Corner of the World</t>
  </si>
  <si>
    <t>$172,147</t>
  </si>
  <si>
    <t>$24,205</t>
  </si>
  <si>
    <t>David Lynch: The Art Life</t>
  </si>
  <si>
    <t>$171,419</t>
  </si>
  <si>
    <t>$10,823</t>
  </si>
  <si>
    <t>$170,000</t>
  </si>
  <si>
    <t>Valley of Bones</t>
  </si>
  <si>
    <t>SG</t>
  </si>
  <si>
    <t>$168,738</t>
  </si>
  <si>
    <t>$107,393</t>
  </si>
  <si>
    <t>Polina</t>
  </si>
  <si>
    <t>$165,203</t>
  </si>
  <si>
    <t>$12,588</t>
  </si>
  <si>
    <t>Happy End</t>
  </si>
  <si>
    <t>$161,783</t>
  </si>
  <si>
    <t>$23,091</t>
  </si>
  <si>
    <t>13 Minutes</t>
  </si>
  <si>
    <t>$161,531</t>
  </si>
  <si>
    <t>$11,750</t>
  </si>
  <si>
    <t>Manifesto (2017)</t>
  </si>
  <si>
    <t>$161,101</t>
  </si>
  <si>
    <t>$9,628</t>
  </si>
  <si>
    <t>$155,936</t>
  </si>
  <si>
    <t>$105,215</t>
  </si>
  <si>
    <t>The Journey</t>
  </si>
  <si>
    <t>$155,475</t>
  </si>
  <si>
    <t>$32,895</t>
  </si>
  <si>
    <t>Endless Poetry</t>
  </si>
  <si>
    <t>Abk.</t>
  </si>
  <si>
    <t>$153,440</t>
  </si>
  <si>
    <t>$28,591</t>
  </si>
  <si>
    <t>Ex Libris: The New York Public Library</t>
  </si>
  <si>
    <t>Zipp.</t>
  </si>
  <si>
    <t>$151,356</t>
  </si>
  <si>
    <t>$10,926</t>
  </si>
  <si>
    <t>The Void</t>
  </si>
  <si>
    <t>$151,042</t>
  </si>
  <si>
    <t>$50,026</t>
  </si>
  <si>
    <t>The Unknown Girl</t>
  </si>
  <si>
    <t>$150,549</t>
  </si>
  <si>
    <t>$13,477</t>
  </si>
  <si>
    <t>Blade of the Immortal</t>
  </si>
  <si>
    <t>$150,532</t>
  </si>
  <si>
    <t>$49,569</t>
  </si>
  <si>
    <t>Restless Creature: Wendy Whelan</t>
  </si>
  <si>
    <t>$147,780</t>
  </si>
  <si>
    <t>$19,879</t>
  </si>
  <si>
    <t>Big Sonia</t>
  </si>
  <si>
    <t>Argo.</t>
  </si>
  <si>
    <t>$146,696</t>
  </si>
  <si>
    <t>$4,398</t>
  </si>
  <si>
    <t>Chavela</t>
  </si>
  <si>
    <t>$145,877</t>
  </si>
  <si>
    <t>$22,453</t>
  </si>
  <si>
    <t>The Last Dalai Lama?</t>
  </si>
  <si>
    <t>Mats.</t>
  </si>
  <si>
    <t>$145,524</t>
  </si>
  <si>
    <t>$9,786</t>
  </si>
  <si>
    <t>Irving Berlin's Holiday Inn The Broadway</t>
  </si>
  <si>
    <t>$144,550</t>
  </si>
  <si>
    <t>Thelma</t>
  </si>
  <si>
    <t>$144,152</t>
  </si>
  <si>
    <t>$10,841</t>
  </si>
  <si>
    <t>Hare Krishna! The Mantra, the Movement and the Swami Who Started it All</t>
  </si>
  <si>
    <t>$133,006</t>
  </si>
  <si>
    <t>$22,310</t>
  </si>
  <si>
    <t>Moka</t>
  </si>
  <si>
    <t>$129,547</t>
  </si>
  <si>
    <t>$10,094</t>
  </si>
  <si>
    <t>I Called Him Morgan</t>
  </si>
  <si>
    <t>SD</t>
  </si>
  <si>
    <t>$128,986</t>
  </si>
  <si>
    <t>$12,902</t>
  </si>
  <si>
    <t>City of Ghosts</t>
  </si>
  <si>
    <t>$128,015</t>
  </si>
  <si>
    <t>$13,601</t>
  </si>
  <si>
    <t>Marie Curie: The Courage of Knowledge</t>
  </si>
  <si>
    <t>Society</t>
  </si>
  <si>
    <t>$127,986</t>
  </si>
  <si>
    <t>$18,600</t>
  </si>
  <si>
    <t>The B-Side: Elsa Dorfman's Portrait Photography</t>
  </si>
  <si>
    <t>$125,227</t>
  </si>
  <si>
    <t>$12,035</t>
  </si>
  <si>
    <t>The Thousand Faces Of Dunjia_x000B_</t>
  </si>
  <si>
    <t>$124,187</t>
  </si>
  <si>
    <t>$57,837</t>
  </si>
  <si>
    <t>$123,445</t>
  </si>
  <si>
    <t>$64,469</t>
  </si>
  <si>
    <t>Explosion</t>
  </si>
  <si>
    <t>$122,700</t>
  </si>
  <si>
    <t>$55,307</t>
  </si>
  <si>
    <t>Our Time Will Come</t>
  </si>
  <si>
    <t>$114,560</t>
  </si>
  <si>
    <t>$50,619</t>
  </si>
  <si>
    <t>We Love You, Sally Carmichael!</t>
  </si>
  <si>
    <t>$113,435</t>
  </si>
  <si>
    <t>$30,951</t>
  </si>
  <si>
    <t>Abacus: Small Enough to Jail</t>
  </si>
  <si>
    <t>$113,278</t>
  </si>
  <si>
    <t>$12,528</t>
  </si>
  <si>
    <t>The King's Choice</t>
  </si>
  <si>
    <t>$113,231</t>
  </si>
  <si>
    <t>$7,850</t>
  </si>
  <si>
    <t>Slack Bay</t>
  </si>
  <si>
    <t>$112,621</t>
  </si>
  <si>
    <t>The Trouble with Terkel (2017)</t>
  </si>
  <si>
    <t>Indic.</t>
  </si>
  <si>
    <t>$110,289</t>
  </si>
  <si>
    <t>$32,784</t>
  </si>
  <si>
    <t>Reset (Ni Shi Ying Jiu)</t>
  </si>
  <si>
    <t>$108,970</t>
  </si>
  <si>
    <t>$54,276</t>
  </si>
  <si>
    <t>Like Crazy (2017)</t>
  </si>
  <si>
    <t>Strand</t>
  </si>
  <si>
    <t>$107,362</t>
  </si>
  <si>
    <t>$5,799</t>
  </si>
  <si>
    <t>Fabricated City</t>
  </si>
  <si>
    <t>$104,874</t>
  </si>
  <si>
    <t>$24,808</t>
  </si>
  <si>
    <t>Bolshoi Ballet: Hero of our Time</t>
  </si>
  <si>
    <t>$104,837</t>
  </si>
  <si>
    <t>Walking Out</t>
  </si>
  <si>
    <t>$101,947</t>
  </si>
  <si>
    <t>$5,462</t>
  </si>
  <si>
    <t>The Lure</t>
  </si>
  <si>
    <t>$101,657</t>
  </si>
  <si>
    <t>$7,370</t>
  </si>
  <si>
    <t>Score: A Film Music Documentary</t>
  </si>
  <si>
    <t>$101,382</t>
  </si>
  <si>
    <t>$8,088</t>
  </si>
  <si>
    <t>In the Fade</t>
  </si>
  <si>
    <t>$101,082</t>
  </si>
  <si>
    <t>$10,455</t>
  </si>
  <si>
    <t>Some Like It Hot (Qing Shung)</t>
  </si>
  <si>
    <t>$100,026</t>
  </si>
  <si>
    <t>$42,230</t>
  </si>
  <si>
    <t>Munna Michael</t>
  </si>
  <si>
    <t>$99,629</t>
  </si>
  <si>
    <t>$64,949</t>
  </si>
  <si>
    <t>Aida's Secrets</t>
  </si>
  <si>
    <t>$97,909</t>
  </si>
  <si>
    <t>$5,665</t>
  </si>
  <si>
    <t>Tim Timmerman, Hope of America</t>
  </si>
  <si>
    <t>$97,727</t>
  </si>
  <si>
    <t>$50,604</t>
  </si>
  <si>
    <t>BPM (Beats Per Minute)</t>
  </si>
  <si>
    <t>$97,151</t>
  </si>
  <si>
    <t>$8,566</t>
  </si>
  <si>
    <t>Poster Boys</t>
  </si>
  <si>
    <t>$97,049</t>
  </si>
  <si>
    <t>$51,264</t>
  </si>
  <si>
    <t>The Mayor</t>
  </si>
  <si>
    <t>$96,777</t>
  </si>
  <si>
    <t>$47,128</t>
  </si>
  <si>
    <t>The Fencer</t>
  </si>
  <si>
    <t>CFI</t>
  </si>
  <si>
    <t>$95,952</t>
  </si>
  <si>
    <t>$5,572</t>
  </si>
  <si>
    <t>Keep Watching</t>
  </si>
  <si>
    <t>$94,178</t>
  </si>
  <si>
    <t>Memoir of a Murderer</t>
  </si>
  <si>
    <t>$91,335</t>
  </si>
  <si>
    <t>$27,665</t>
  </si>
  <si>
    <t>The King's Case Note</t>
  </si>
  <si>
    <t>$90,959</t>
  </si>
  <si>
    <t>$8,462</t>
  </si>
  <si>
    <t>Because of Gracia</t>
  </si>
  <si>
    <t>$90,878</t>
  </si>
  <si>
    <t>$52,171</t>
  </si>
  <si>
    <t>Dina</t>
  </si>
  <si>
    <t>$90,503</t>
  </si>
  <si>
    <t>$6,015</t>
  </si>
  <si>
    <t>Night of the Living Dead (2017 4k Restoration)</t>
  </si>
  <si>
    <t>$89,029</t>
  </si>
  <si>
    <t>$5,452</t>
  </si>
  <si>
    <t>Warriors of the Dawn</t>
  </si>
  <si>
    <t>$84,532</t>
  </si>
  <si>
    <t>$41,959</t>
  </si>
  <si>
    <t>Chapter &amp; Verse</t>
  </si>
  <si>
    <t>$84,147</t>
  </si>
  <si>
    <t>$31,331</t>
  </si>
  <si>
    <t>Earth: One Amazing Day</t>
  </si>
  <si>
    <t>BBC</t>
  </si>
  <si>
    <t>$81,345</t>
  </si>
  <si>
    <t>$45,480</t>
  </si>
  <si>
    <t>The Nile Hilton Incident</t>
  </si>
  <si>
    <t>$81,089</t>
  </si>
  <si>
    <t>$8,183</t>
  </si>
  <si>
    <t>Stefan Zweig: Farewell to Europe</t>
  </si>
  <si>
    <t>FRun</t>
  </si>
  <si>
    <t>$78,372</t>
  </si>
  <si>
    <t>$11,729</t>
  </si>
  <si>
    <t>Harold and Lillian: A Hollywood Love Story</t>
  </si>
  <si>
    <t>$78,301</t>
  </si>
  <si>
    <t>$3,510</t>
  </si>
  <si>
    <t>Pop Aye</t>
  </si>
  <si>
    <t>$77,976</t>
  </si>
  <si>
    <t>$3,598</t>
  </si>
  <si>
    <t>Te Ata</t>
  </si>
  <si>
    <t>$73,236</t>
  </si>
  <si>
    <t>$28,640</t>
  </si>
  <si>
    <t>Buster's Mal Heart</t>
  </si>
  <si>
    <t>$73,121</t>
  </si>
  <si>
    <t>$7,137</t>
  </si>
  <si>
    <t>Bill Nye: Science Guy</t>
  </si>
  <si>
    <t>$72,520</t>
  </si>
  <si>
    <t>$7,005</t>
  </si>
  <si>
    <t>Turn It Around: The Story of East Bay Punk</t>
  </si>
  <si>
    <t>$69,787</t>
  </si>
  <si>
    <t>$5,211</t>
  </si>
  <si>
    <t>$68,883</t>
  </si>
  <si>
    <t>$13,684</t>
  </si>
  <si>
    <t>Alive and Kicking</t>
  </si>
  <si>
    <t>$68,485</t>
  </si>
  <si>
    <t>$12,201</t>
  </si>
  <si>
    <t>The Divine Order</t>
  </si>
  <si>
    <t>$66,258</t>
  </si>
  <si>
    <t>Architects of Denial</t>
  </si>
  <si>
    <t>Da.</t>
  </si>
  <si>
    <t>$65,424</t>
  </si>
  <si>
    <t>$58,472</t>
  </si>
  <si>
    <t>The Teacher</t>
  </si>
  <si>
    <t>$64,437</t>
  </si>
  <si>
    <t>$15,091</t>
  </si>
  <si>
    <t>I Can Speak</t>
  </si>
  <si>
    <t>$63,239</t>
  </si>
  <si>
    <t>Tomorrow</t>
  </si>
  <si>
    <t>UTMW</t>
  </si>
  <si>
    <t>$62,511</t>
  </si>
  <si>
    <t>$1,480</t>
  </si>
  <si>
    <t>The Tiger Hunter</t>
  </si>
  <si>
    <t>Shout!</t>
  </si>
  <si>
    <t>$62,398</t>
  </si>
  <si>
    <t>Tragedy Girls</t>
  </si>
  <si>
    <t>$61,899</t>
  </si>
  <si>
    <t>$12,125</t>
  </si>
  <si>
    <t>$61,406</t>
  </si>
  <si>
    <t>$7,977</t>
  </si>
  <si>
    <t>Worlds Apart</t>
  </si>
  <si>
    <t>CLS</t>
  </si>
  <si>
    <t>$60,298</t>
  </si>
  <si>
    <t>$16,353</t>
  </si>
  <si>
    <t>Manolo: The Boy Who Made Shoes for Lizards</t>
  </si>
  <si>
    <t>$60,056</t>
  </si>
  <si>
    <t>$8,186</t>
  </si>
  <si>
    <t>The Force (2017)</t>
  </si>
  <si>
    <t>$59,912</t>
  </si>
  <si>
    <t>Bang! The Bert Berns Story</t>
  </si>
  <si>
    <t>$59,299</t>
  </si>
  <si>
    <t>$3,923</t>
  </si>
  <si>
    <t>Il Boom (2017 re-release)</t>
  </si>
  <si>
    <t>Rialto</t>
  </si>
  <si>
    <t>$57,962</t>
  </si>
  <si>
    <t>$8,164</t>
  </si>
  <si>
    <t>The Paris Opera</t>
  </si>
  <si>
    <t>$55,482</t>
  </si>
  <si>
    <t>$7,709</t>
  </si>
  <si>
    <t>Extraordinary Mission</t>
  </si>
  <si>
    <t>Crimson</t>
  </si>
  <si>
    <t>$54,174</t>
  </si>
  <si>
    <t>$28,649</t>
  </si>
  <si>
    <t>God of War</t>
  </si>
  <si>
    <t>$53,496</t>
  </si>
  <si>
    <t>$23,912</t>
  </si>
  <si>
    <t>My Journey Through French Cinema</t>
  </si>
  <si>
    <t>$52,214</t>
  </si>
  <si>
    <t>$10,636</t>
  </si>
  <si>
    <t>Beautiful Accident</t>
  </si>
  <si>
    <t>$51,766</t>
  </si>
  <si>
    <t>$25,801</t>
  </si>
  <si>
    <t>Tickling Giants</t>
  </si>
  <si>
    <t>Sarkasmos</t>
  </si>
  <si>
    <t>$51,499</t>
  </si>
  <si>
    <t>$8,159</t>
  </si>
  <si>
    <t>The Ornithologist</t>
  </si>
  <si>
    <t>$50,511</t>
  </si>
  <si>
    <t>$6,132</t>
  </si>
  <si>
    <t>Keep Quiet</t>
  </si>
  <si>
    <t>$50,451</t>
  </si>
  <si>
    <t>$6,500</t>
  </si>
  <si>
    <t>Person To Person</t>
  </si>
  <si>
    <t>$48,499</t>
  </si>
  <si>
    <t>$11,852</t>
  </si>
  <si>
    <t>$48,198</t>
  </si>
  <si>
    <t>$10,865</t>
  </si>
  <si>
    <t>Saving Banksy</t>
  </si>
  <si>
    <t>PDF</t>
  </si>
  <si>
    <t>$47,965</t>
  </si>
  <si>
    <t>$1,317</t>
  </si>
  <si>
    <t>Quest (2017)</t>
  </si>
  <si>
    <t>$47,807</t>
  </si>
  <si>
    <t>$6,591</t>
  </si>
  <si>
    <t>From the Land of the Moon</t>
  </si>
  <si>
    <t>$47,748</t>
  </si>
  <si>
    <t>$4,473</t>
  </si>
  <si>
    <t>So B. It</t>
  </si>
  <si>
    <t>$47,627</t>
  </si>
  <si>
    <t>$7,455</t>
  </si>
  <si>
    <t>Twenty Two</t>
  </si>
  <si>
    <t>$46,796</t>
  </si>
  <si>
    <t>$22,222</t>
  </si>
  <si>
    <t>Panique (2017 re-release)</t>
  </si>
  <si>
    <t>$46,041</t>
  </si>
  <si>
    <t>$7,062</t>
  </si>
  <si>
    <t>Maurice (2017 reissue)</t>
  </si>
  <si>
    <t>$45,926</t>
  </si>
  <si>
    <t>$6,972</t>
  </si>
  <si>
    <t>Leon Morin, Priest (2017 re-release)</t>
  </si>
  <si>
    <t>$44,511</t>
  </si>
  <si>
    <t>$11,462</t>
  </si>
  <si>
    <t>Just One Drop</t>
  </si>
  <si>
    <t>$43,726</t>
  </si>
  <si>
    <t>Hermia &amp; Helena</t>
  </si>
  <si>
    <t>$43,152</t>
  </si>
  <si>
    <t>$12,986</t>
  </si>
  <si>
    <t>Bluebeard</t>
  </si>
  <si>
    <t>$43,144</t>
  </si>
  <si>
    <t>$21,234</t>
  </si>
  <si>
    <t>The Death of Louis XIV</t>
  </si>
  <si>
    <t>CGld</t>
  </si>
  <si>
    <t>$43,113</t>
  </si>
  <si>
    <t>$8,002</t>
  </si>
  <si>
    <t>$42,603</t>
  </si>
  <si>
    <t>$12,247</t>
  </si>
  <si>
    <t>One Week and a Day</t>
  </si>
  <si>
    <t>$41,614</t>
  </si>
  <si>
    <t>$6,833</t>
  </si>
  <si>
    <t>The Settlers (2017)</t>
  </si>
  <si>
    <t>$41,562</t>
  </si>
  <si>
    <t>The Sacrifice (2017 re-release)</t>
  </si>
  <si>
    <t>$41,447</t>
  </si>
  <si>
    <t>$4,696</t>
  </si>
  <si>
    <t>Karl Marx City</t>
  </si>
  <si>
    <t>B360</t>
  </si>
  <si>
    <t>$41,072</t>
  </si>
  <si>
    <t>Unrest</t>
  </si>
  <si>
    <t>$40,081</t>
  </si>
  <si>
    <t>$10,607</t>
  </si>
  <si>
    <t>The Commune</t>
  </si>
  <si>
    <t>$38,737</t>
  </si>
  <si>
    <t>$9,249</t>
  </si>
  <si>
    <t>I am the Blues</t>
  </si>
  <si>
    <t>$37,849</t>
  </si>
  <si>
    <t>$5,105</t>
  </si>
  <si>
    <t>78/52: Hitchcock's Shower Scene</t>
  </si>
  <si>
    <t>$37,664</t>
  </si>
  <si>
    <t>$3,738</t>
  </si>
  <si>
    <t>A Woman's Life</t>
  </si>
  <si>
    <t>$37,626</t>
  </si>
  <si>
    <t>$11,483</t>
  </si>
  <si>
    <t>School Life</t>
  </si>
  <si>
    <t>$37,381</t>
  </si>
  <si>
    <t>$2,332</t>
  </si>
  <si>
    <t>Heart Blackened</t>
  </si>
  <si>
    <t>$37,047</t>
  </si>
  <si>
    <t>$35,312</t>
  </si>
  <si>
    <t>$14,867</t>
  </si>
  <si>
    <t>Rat Film</t>
  </si>
  <si>
    <t>$34,893</t>
  </si>
  <si>
    <t>$7,793</t>
  </si>
  <si>
    <t>Mont.</t>
  </si>
  <si>
    <t>$34,630</t>
  </si>
  <si>
    <t>Le Trou (2017 re-release)</t>
  </si>
  <si>
    <t>$34,588</t>
  </si>
  <si>
    <t>$6,756</t>
  </si>
  <si>
    <t>Dave Made a Maze</t>
  </si>
  <si>
    <t>$34,117</t>
  </si>
  <si>
    <t>$17,135</t>
  </si>
  <si>
    <t>Afterimage</t>
  </si>
  <si>
    <t>$33,443</t>
  </si>
  <si>
    <t>$5,832</t>
  </si>
  <si>
    <t>WASTED! The Story of Food Waste</t>
  </si>
  <si>
    <t>Super</t>
  </si>
  <si>
    <t>$33,211</t>
  </si>
  <si>
    <t>$17,189</t>
  </si>
  <si>
    <t>Love &amp; Taxes</t>
  </si>
  <si>
    <t>$33,150</t>
  </si>
  <si>
    <t>$1,698</t>
  </si>
  <si>
    <t>$33,125</t>
  </si>
  <si>
    <t>$8,869</t>
  </si>
  <si>
    <t>Super Dark Times</t>
  </si>
  <si>
    <t>$33,109</t>
  </si>
  <si>
    <t>$19,328</t>
  </si>
  <si>
    <t>Brimstone and Glory</t>
  </si>
  <si>
    <t>$32,059</t>
  </si>
  <si>
    <t>$2,125</t>
  </si>
  <si>
    <t>On the Beach at Night Alone</t>
  </si>
  <si>
    <t>$31,908</t>
  </si>
  <si>
    <t>$7,594</t>
  </si>
  <si>
    <t>Sidemen: Long Road to Glory</t>
  </si>
  <si>
    <t>$31,399</t>
  </si>
  <si>
    <t>$6,120</t>
  </si>
  <si>
    <t>7 Witches</t>
  </si>
  <si>
    <t>$31,100</t>
  </si>
  <si>
    <t>$1,875</t>
  </si>
  <si>
    <t>XX (2017)</t>
  </si>
  <si>
    <t>$30,911</t>
  </si>
  <si>
    <t>$6,222</t>
  </si>
  <si>
    <t>The Wound</t>
  </si>
  <si>
    <t>$30,678</t>
  </si>
  <si>
    <t>Dealt_x000B_</t>
  </si>
  <si>
    <t>$30,414</t>
  </si>
  <si>
    <t>$4,293</t>
  </si>
  <si>
    <t>No Greater Love</t>
  </si>
  <si>
    <t>$30,247</t>
  </si>
  <si>
    <t>$21,520</t>
  </si>
  <si>
    <t>In Pursuit of Silence</t>
  </si>
  <si>
    <t>$29,834</t>
  </si>
  <si>
    <t>$5,141</t>
  </si>
  <si>
    <t>Uncertain</t>
  </si>
  <si>
    <t>LucD.</t>
  </si>
  <si>
    <t>$29,736</t>
  </si>
  <si>
    <t>Signature Move</t>
  </si>
  <si>
    <t>Newcity</t>
  </si>
  <si>
    <t>$29,609</t>
  </si>
  <si>
    <t>$18,935</t>
  </si>
  <si>
    <t>Nocturama</t>
  </si>
  <si>
    <t>Ghop</t>
  </si>
  <si>
    <t>$29,342</t>
  </si>
  <si>
    <t>$5,402</t>
  </si>
  <si>
    <t>$29,258</t>
  </si>
  <si>
    <t>$5,957</t>
  </si>
  <si>
    <t>False Confessions</t>
  </si>
  <si>
    <t>BWP</t>
  </si>
  <si>
    <t>$29,245</t>
  </si>
  <si>
    <t>$7,361</t>
  </si>
  <si>
    <t>Spettacolo</t>
  </si>
  <si>
    <t>$29,014</t>
  </si>
  <si>
    <t>$4,403</t>
  </si>
  <si>
    <t>Berlin Syndrome</t>
  </si>
  <si>
    <t>VE</t>
  </si>
  <si>
    <t>$28,660</t>
  </si>
  <si>
    <t>$22,916</t>
  </si>
  <si>
    <t>Wait For Your Laugh</t>
  </si>
  <si>
    <t>$28,548</t>
  </si>
  <si>
    <t>$14,946</t>
  </si>
  <si>
    <t>Ribbons</t>
  </si>
  <si>
    <t>$27,959</t>
  </si>
  <si>
    <t>$5,715</t>
  </si>
  <si>
    <t>Radio Dreams</t>
  </si>
  <si>
    <t>$27,836</t>
  </si>
  <si>
    <t>$1,707</t>
  </si>
  <si>
    <t>The Villainess</t>
  </si>
  <si>
    <t>$27,741</t>
  </si>
  <si>
    <t>$4,238</t>
  </si>
  <si>
    <t>The Untamed</t>
  </si>
  <si>
    <t>$27,593</t>
  </si>
  <si>
    <t>$2,718</t>
  </si>
  <si>
    <t>The Crime of Monsieur Lange (2017 re-release)</t>
  </si>
  <si>
    <t>$27,474</t>
  </si>
  <si>
    <t>$9,633</t>
  </si>
  <si>
    <t>30 Years of Garbage: The Garbage Pail Kids Story</t>
  </si>
  <si>
    <t>$27,293</t>
  </si>
  <si>
    <t>$5,030</t>
  </si>
  <si>
    <t>Bronx Gothic</t>
  </si>
  <si>
    <t>$27,151</t>
  </si>
  <si>
    <t>Mali Blues</t>
  </si>
  <si>
    <t>Icar.</t>
  </si>
  <si>
    <t>$26,950</t>
  </si>
  <si>
    <t>The Daughter</t>
  </si>
  <si>
    <t>$26,376</t>
  </si>
  <si>
    <t>They Call Us Monsters</t>
  </si>
  <si>
    <t>$26,080</t>
  </si>
  <si>
    <t>The Old Dark House (2017 re-issue)</t>
  </si>
  <si>
    <t>$25,678</t>
  </si>
  <si>
    <t>Birdboy: The Forgotten Children</t>
  </si>
  <si>
    <t>$25,434</t>
  </si>
  <si>
    <t>$5,849</t>
  </si>
  <si>
    <t>Saving Brinton</t>
  </si>
  <si>
    <t>BOP</t>
  </si>
  <si>
    <t>$25,320</t>
  </si>
  <si>
    <t>$2,690</t>
  </si>
  <si>
    <t>Moscow Never Sleeps</t>
  </si>
  <si>
    <t>CAVU</t>
  </si>
  <si>
    <t>$25,306</t>
  </si>
  <si>
    <t>The Marseille Trilogy</t>
  </si>
  <si>
    <t>$24,787</t>
  </si>
  <si>
    <t>$7,720</t>
  </si>
  <si>
    <t>Paradise (2017) [Canada]</t>
  </si>
  <si>
    <t>CARUSEL</t>
  </si>
  <si>
    <t>$24,749</t>
  </si>
  <si>
    <t>$11,845</t>
  </si>
  <si>
    <t>The Departure</t>
  </si>
  <si>
    <t>$24,662</t>
  </si>
  <si>
    <t>$4,850</t>
  </si>
  <si>
    <t>Naples '44</t>
  </si>
  <si>
    <t>$24,620</t>
  </si>
  <si>
    <t>$6,636</t>
  </si>
  <si>
    <t>Jasmine</t>
  </si>
  <si>
    <t>$24,248</t>
  </si>
  <si>
    <t>$8,358</t>
  </si>
  <si>
    <t>Simple Creature</t>
  </si>
  <si>
    <t>$23,918</t>
  </si>
  <si>
    <t>$3,006</t>
  </si>
  <si>
    <t>A Woman, a Part</t>
  </si>
  <si>
    <t>$23,562</t>
  </si>
  <si>
    <t>$5,869</t>
  </si>
  <si>
    <t>For Ahkeem</t>
  </si>
  <si>
    <t>$23,136</t>
  </si>
  <si>
    <t>$10,500</t>
  </si>
  <si>
    <t>Finding Oscar</t>
  </si>
  <si>
    <t>$23,116</t>
  </si>
  <si>
    <t>$2,365</t>
  </si>
  <si>
    <t>The Grace of Jake</t>
  </si>
  <si>
    <t>$23,078</t>
  </si>
  <si>
    <t>$4,784</t>
  </si>
  <si>
    <t>Free</t>
  </si>
  <si>
    <t>$22,943</t>
  </si>
  <si>
    <t>$6,570</t>
  </si>
  <si>
    <t>My Scientology Movie</t>
  </si>
  <si>
    <t>$22,936</t>
  </si>
  <si>
    <t>$11,180</t>
  </si>
  <si>
    <t>Una</t>
  </si>
  <si>
    <t>EF</t>
  </si>
  <si>
    <t>$22,815</t>
  </si>
  <si>
    <t>Paradise Club</t>
  </si>
  <si>
    <t>$22,381</t>
  </si>
  <si>
    <t>$1,758</t>
  </si>
  <si>
    <t>The Transfiguration</t>
  </si>
  <si>
    <t>$22,091</t>
  </si>
  <si>
    <t>$4,605</t>
  </si>
  <si>
    <t>Bending the Arc</t>
  </si>
  <si>
    <t>$21,907</t>
  </si>
  <si>
    <t>$3,160</t>
  </si>
  <si>
    <t>The Passion of Joan of Arc (2017 re-release)</t>
  </si>
  <si>
    <t>$21,877</t>
  </si>
  <si>
    <t>$6,408</t>
  </si>
  <si>
    <t>The Girl Without Hands</t>
  </si>
  <si>
    <t>$21,787</t>
  </si>
  <si>
    <t>$2,916</t>
  </si>
  <si>
    <t>Trophy</t>
  </si>
  <si>
    <t>$21,439</t>
  </si>
  <si>
    <t>$3,522</t>
  </si>
  <si>
    <t>God Knows Where I Am</t>
  </si>
  <si>
    <t>$21,135</t>
  </si>
  <si>
    <t>Massacre on Aisle 12</t>
  </si>
  <si>
    <t>$21,106</t>
  </si>
  <si>
    <t>$967</t>
  </si>
  <si>
    <t>A Beginner's Guide to Snuff</t>
  </si>
  <si>
    <t>$21,031</t>
  </si>
  <si>
    <t>$5,204</t>
  </si>
  <si>
    <t>Whisky Galore</t>
  </si>
  <si>
    <t>$20,991</t>
  </si>
  <si>
    <t>Man Underground</t>
  </si>
  <si>
    <t>$20,907</t>
  </si>
  <si>
    <t>$2,194</t>
  </si>
  <si>
    <t>All These Sleepless Nights</t>
  </si>
  <si>
    <t>$20,762</t>
  </si>
  <si>
    <t>$20,435</t>
  </si>
  <si>
    <t>$12,402</t>
  </si>
  <si>
    <t>RV: Resurrected Victims</t>
  </si>
  <si>
    <t>$20,374</t>
  </si>
  <si>
    <t>$10,589</t>
  </si>
  <si>
    <t>Better Watch Out</t>
  </si>
  <si>
    <t>$20,369</t>
  </si>
  <si>
    <t>$12,569</t>
  </si>
  <si>
    <t>Man from Outerspace</t>
  </si>
  <si>
    <t>$20,102</t>
  </si>
  <si>
    <t>$1,962</t>
  </si>
  <si>
    <t>Heat and Dust (2017 re-release)</t>
  </si>
  <si>
    <t>$19,856</t>
  </si>
  <si>
    <t>$10,289</t>
  </si>
  <si>
    <t>Trafficked</t>
  </si>
  <si>
    <t>EpicPics</t>
  </si>
  <si>
    <t>$19,698</t>
  </si>
  <si>
    <t>$10,413</t>
  </si>
  <si>
    <t>L'important C'est D'aimer (2017 Re-Release)</t>
  </si>
  <si>
    <t>$19,120</t>
  </si>
  <si>
    <t>$5,370</t>
  </si>
  <si>
    <t>Carrie Pilby</t>
  </si>
  <si>
    <t>$18,957</t>
  </si>
  <si>
    <t>$13,944</t>
  </si>
  <si>
    <t>The Lucky Man</t>
  </si>
  <si>
    <t>$18,892</t>
  </si>
  <si>
    <t>$4,956</t>
  </si>
  <si>
    <t>Bobbi Jene</t>
  </si>
  <si>
    <t>$18,579</t>
  </si>
  <si>
    <t>$7,035</t>
  </si>
  <si>
    <t>All The Rage: Saved by Sarno</t>
  </si>
  <si>
    <t>TFC</t>
  </si>
  <si>
    <t>$18,489</t>
  </si>
  <si>
    <t>$9,765</t>
  </si>
  <si>
    <t>Burden</t>
  </si>
  <si>
    <t>$18,440</t>
  </si>
  <si>
    <t>$3,231</t>
  </si>
  <si>
    <t>Glory (2017)</t>
  </si>
  <si>
    <t>$18,415</t>
  </si>
  <si>
    <t>$3,716</t>
  </si>
  <si>
    <t>Clash</t>
  </si>
  <si>
    <t>$18,215</t>
  </si>
  <si>
    <t>Mansfield 66/67</t>
  </si>
  <si>
    <t>FB</t>
  </si>
  <si>
    <t>$17,930</t>
  </si>
  <si>
    <t>$6,451</t>
  </si>
  <si>
    <t>The Last Shaman</t>
  </si>
  <si>
    <t>$17,844</t>
  </si>
  <si>
    <t>$6,799</t>
  </si>
  <si>
    <t>Escapes</t>
  </si>
  <si>
    <t>$17,778</t>
  </si>
  <si>
    <t>$1,339</t>
  </si>
  <si>
    <t>Sacred</t>
  </si>
  <si>
    <t>$17,740</t>
  </si>
  <si>
    <t>$4,149</t>
  </si>
  <si>
    <t>Bad Grandmas</t>
  </si>
  <si>
    <t>$17,688</t>
  </si>
  <si>
    <t>$3,380</t>
  </si>
  <si>
    <t>Harmonium</t>
  </si>
  <si>
    <t>$17,191</t>
  </si>
  <si>
    <t>$3,453</t>
  </si>
  <si>
    <t>Food Evolution</t>
  </si>
  <si>
    <t>$17,181</t>
  </si>
  <si>
    <t>$2,851</t>
  </si>
  <si>
    <t>Swim Team</t>
  </si>
  <si>
    <t>$16,783</t>
  </si>
  <si>
    <t>$4,024</t>
  </si>
  <si>
    <t>The Freedom to Marry</t>
  </si>
  <si>
    <t>$16,611</t>
  </si>
  <si>
    <t>$6,142</t>
  </si>
  <si>
    <t>Brave New Jersey</t>
  </si>
  <si>
    <t>$16,544</t>
  </si>
  <si>
    <t>$13,437</t>
  </si>
  <si>
    <t>Mission Control: The Unsung Heroes of Apollo</t>
  </si>
  <si>
    <t>$16,405</t>
  </si>
  <si>
    <t>All the Queen's Horses</t>
  </si>
  <si>
    <t>$16,172</t>
  </si>
  <si>
    <t>$6,573</t>
  </si>
  <si>
    <t>Kills on Wheels</t>
  </si>
  <si>
    <t>$15,898</t>
  </si>
  <si>
    <t>$380</t>
  </si>
  <si>
    <t>Contemporary Color</t>
  </si>
  <si>
    <t>$15,305</t>
  </si>
  <si>
    <t>$1,451</t>
  </si>
  <si>
    <t>SHOT! The Psycho-Spiritual Mantra of Rock</t>
  </si>
  <si>
    <t>$15,157</t>
  </si>
  <si>
    <t>$6,694</t>
  </si>
  <si>
    <t>Rebels on Pointe</t>
  </si>
  <si>
    <t>$15,088</t>
  </si>
  <si>
    <t>$3,270</t>
  </si>
  <si>
    <t>Paradise (2017)</t>
  </si>
  <si>
    <t>$14,873</t>
  </si>
  <si>
    <t>$2,401</t>
  </si>
  <si>
    <t>Vince Giordano: There's a Future in the Past</t>
  </si>
  <si>
    <t>$14,807</t>
  </si>
  <si>
    <t>$6,285</t>
  </si>
  <si>
    <t>The Farthest</t>
  </si>
  <si>
    <t>$14,773</t>
  </si>
  <si>
    <t>$6,900</t>
  </si>
  <si>
    <t>Antarctica: Ice &amp; Sky</t>
  </si>
  <si>
    <t>$14,475</t>
  </si>
  <si>
    <t>Brotherhood of Blades 2: The Infernal Battlefield</t>
  </si>
  <si>
    <t>$14,204</t>
  </si>
  <si>
    <t>$5,296</t>
  </si>
  <si>
    <t>Abracadabra</t>
  </si>
  <si>
    <t>$13,975</t>
  </si>
  <si>
    <t>$1,942</t>
  </si>
  <si>
    <t>Porto</t>
  </si>
  <si>
    <t>$13,784</t>
  </si>
  <si>
    <t>$2,090</t>
  </si>
  <si>
    <t>Time to Die</t>
  </si>
  <si>
    <t>$13,707</t>
  </si>
  <si>
    <t>$3,411</t>
  </si>
  <si>
    <t>After Love</t>
  </si>
  <si>
    <t>$13,693</t>
  </si>
  <si>
    <t>$810</t>
  </si>
  <si>
    <t>Red Trees</t>
  </si>
  <si>
    <t>$13,666</t>
  </si>
  <si>
    <t>$10,180</t>
  </si>
  <si>
    <t>Legend of the Naga Pearls</t>
  </si>
  <si>
    <t>$13,588</t>
  </si>
  <si>
    <t>$5,122</t>
  </si>
  <si>
    <t>Charged</t>
  </si>
  <si>
    <t>$13,484</t>
  </si>
  <si>
    <t>Intent to Destroy</t>
  </si>
  <si>
    <t>$13,194</t>
  </si>
  <si>
    <t>$8,699</t>
  </si>
  <si>
    <t>Taipei Story (2017 re-release)</t>
  </si>
  <si>
    <t>$12,897</t>
  </si>
  <si>
    <t>$7,333</t>
  </si>
  <si>
    <t>Song of Granite</t>
  </si>
  <si>
    <t>$12,888</t>
  </si>
  <si>
    <t>$3,096</t>
  </si>
  <si>
    <t>$12,847</t>
  </si>
  <si>
    <t>$5,722</t>
  </si>
  <si>
    <t>Junction 48</t>
  </si>
  <si>
    <t>$12,795</t>
  </si>
  <si>
    <t>$5,516</t>
  </si>
  <si>
    <t>In Search of Fellini</t>
  </si>
  <si>
    <t>AMBI</t>
  </si>
  <si>
    <t>$12,772</t>
  </si>
  <si>
    <t>$10,796</t>
  </si>
  <si>
    <t>Last Men in Aleppo</t>
  </si>
  <si>
    <t>$12,696</t>
  </si>
  <si>
    <t>$1,505</t>
  </si>
  <si>
    <t>Heal (2017)</t>
  </si>
  <si>
    <t>$12,668</t>
  </si>
  <si>
    <t>Blind</t>
  </si>
  <si>
    <t>$12,522</t>
  </si>
  <si>
    <t>Seven Beauties (2017 re-release)</t>
  </si>
  <si>
    <t>$12,408</t>
  </si>
  <si>
    <t>$1,536</t>
  </si>
  <si>
    <t>4 Days in France</t>
  </si>
  <si>
    <t>$12,273</t>
  </si>
  <si>
    <t>$3,728</t>
  </si>
  <si>
    <t>Staying Vertical</t>
  </si>
  <si>
    <t>$12,158</t>
  </si>
  <si>
    <t>$4,240</t>
  </si>
  <si>
    <t>Felicite</t>
  </si>
  <si>
    <t>$12,022</t>
  </si>
  <si>
    <t>$1,713</t>
  </si>
  <si>
    <t>Shadowman</t>
  </si>
  <si>
    <t>$11,572</t>
  </si>
  <si>
    <t>$4,113</t>
  </si>
  <si>
    <t>Dead Awake (2017)</t>
  </si>
  <si>
    <t>$11,528</t>
  </si>
  <si>
    <t>$8,834</t>
  </si>
  <si>
    <t>Beside Bowie: The Mick Ronson Story</t>
  </si>
  <si>
    <t>$11,400</t>
  </si>
  <si>
    <t>$2,100</t>
  </si>
  <si>
    <t>Saigon Bodyguards</t>
  </si>
  <si>
    <t>$11,314</t>
  </si>
  <si>
    <t>$2,252</t>
  </si>
  <si>
    <t>The Pathological Optimist</t>
  </si>
  <si>
    <t>$11,222</t>
  </si>
  <si>
    <t>$5,946</t>
  </si>
  <si>
    <t>Ugetsu (2017 re-release)</t>
  </si>
  <si>
    <t>$11,197</t>
  </si>
  <si>
    <t>$6,154</t>
  </si>
  <si>
    <t>Sweet Virginia</t>
  </si>
  <si>
    <t>$11,089</t>
  </si>
  <si>
    <t>$5,183</t>
  </si>
  <si>
    <t>The Challenge (2017)</t>
  </si>
  <si>
    <t>$11,043</t>
  </si>
  <si>
    <t>$2,171</t>
  </si>
  <si>
    <t>$10,626</t>
  </si>
  <si>
    <t>$1,718</t>
  </si>
  <si>
    <t>Clarence (2017)</t>
  </si>
  <si>
    <t>$10,495</t>
  </si>
  <si>
    <t>$5,004</t>
  </si>
  <si>
    <t>Painted Woman</t>
  </si>
  <si>
    <t>Amor</t>
  </si>
  <si>
    <t>$10,298</t>
  </si>
  <si>
    <t>Amelia 2.0</t>
  </si>
  <si>
    <t>TriCoast</t>
  </si>
  <si>
    <t>$10,233</t>
  </si>
  <si>
    <t>$7,836</t>
  </si>
  <si>
    <t>The Sunshine Makers</t>
  </si>
  <si>
    <t>$10,042</t>
  </si>
  <si>
    <t>$1,874</t>
  </si>
  <si>
    <t>Pelle the Conqueror (2017 re-release)</t>
  </si>
  <si>
    <t>$9,757</t>
  </si>
  <si>
    <t>$1,676</t>
  </si>
  <si>
    <t>Machines</t>
  </si>
  <si>
    <t>$9,710</t>
  </si>
  <si>
    <t>$2,838</t>
  </si>
  <si>
    <t>Thirst Street</t>
  </si>
  <si>
    <t>$9,129</t>
  </si>
  <si>
    <t>$1,737</t>
  </si>
  <si>
    <t>Lycan</t>
  </si>
  <si>
    <t>$9,110</t>
  </si>
  <si>
    <t>$4,970</t>
  </si>
  <si>
    <t>The Eyes</t>
  </si>
  <si>
    <t>$9,104</t>
  </si>
  <si>
    <t>$2,075</t>
  </si>
  <si>
    <t>Julian Schnabel: A Private Portrait</t>
  </si>
  <si>
    <t>$9,103</t>
  </si>
  <si>
    <t>Amnesia</t>
  </si>
  <si>
    <t>$8,700</t>
  </si>
  <si>
    <t>$1,202</t>
  </si>
  <si>
    <t>Maigret Sets a Trap (2017 re-release)</t>
  </si>
  <si>
    <t>$8,528</t>
  </si>
  <si>
    <t>$2,556</t>
  </si>
  <si>
    <t>We Are the Flesh</t>
  </si>
  <si>
    <t>$8,438</t>
  </si>
  <si>
    <t>$835</t>
  </si>
  <si>
    <t>Gilbert</t>
  </si>
  <si>
    <t>$8,362</t>
  </si>
  <si>
    <t>Natasha</t>
  </si>
  <si>
    <t>$8,325</t>
  </si>
  <si>
    <t>Mr. Chibbs</t>
  </si>
  <si>
    <t>$8,302</t>
  </si>
  <si>
    <t>$3,163</t>
  </si>
  <si>
    <t>Served Like a Girl</t>
  </si>
  <si>
    <t>$8,290</t>
  </si>
  <si>
    <t>$1,844</t>
  </si>
  <si>
    <t>Anatahan (2017 re-release)</t>
  </si>
  <si>
    <t>$8,171</t>
  </si>
  <si>
    <t>From Nowhere</t>
  </si>
  <si>
    <t>$8,109</t>
  </si>
  <si>
    <t>$5,408</t>
  </si>
  <si>
    <t>Swept Away (2017 re-release)</t>
  </si>
  <si>
    <t>$7,876</t>
  </si>
  <si>
    <t>$1,011</t>
  </si>
  <si>
    <t>The Ballad of Lefty Brown</t>
  </si>
  <si>
    <t>$7,856</t>
  </si>
  <si>
    <t>$5,559</t>
  </si>
  <si>
    <t>Overdrive</t>
  </si>
  <si>
    <t>$4,797</t>
  </si>
  <si>
    <t>Maurizio Cattelan: Be Right Back</t>
  </si>
  <si>
    <t>$7,706</t>
  </si>
  <si>
    <t>The Wrong Light</t>
  </si>
  <si>
    <t>$7,553</t>
  </si>
  <si>
    <t>$5,429</t>
  </si>
  <si>
    <t>Birthright: A War Story</t>
  </si>
  <si>
    <t>$7,519</t>
  </si>
  <si>
    <t>Frank Serpico</t>
  </si>
  <si>
    <t>$7,489</t>
  </si>
  <si>
    <t>$2,283</t>
  </si>
  <si>
    <t>Big Time</t>
  </si>
  <si>
    <t>$7,347</t>
  </si>
  <si>
    <t>Another WolfCop</t>
  </si>
  <si>
    <t>$7,285</t>
  </si>
  <si>
    <t>$5,890</t>
  </si>
  <si>
    <t>The Jazz Funeral</t>
  </si>
  <si>
    <t>$7,103</t>
  </si>
  <si>
    <t>$3,792</t>
  </si>
  <si>
    <t>The Dark Below</t>
  </si>
  <si>
    <t>$7,095</t>
  </si>
  <si>
    <t>$1,526</t>
  </si>
  <si>
    <t>Ichi The Killer (2017 re-release)</t>
  </si>
  <si>
    <t>$7,050</t>
  </si>
  <si>
    <t>$2,750</t>
  </si>
  <si>
    <t>A Kind of Loving (2017 re-release)</t>
  </si>
  <si>
    <t>$6,912</t>
  </si>
  <si>
    <t>$3,278</t>
  </si>
  <si>
    <t>Footnotes</t>
  </si>
  <si>
    <t>MR</t>
  </si>
  <si>
    <t>$6,660</t>
  </si>
  <si>
    <t>$5,900</t>
  </si>
  <si>
    <t>Suntan</t>
  </si>
  <si>
    <t>$6,643</t>
  </si>
  <si>
    <t>$1,629</t>
  </si>
  <si>
    <t>The Persian Connection</t>
  </si>
  <si>
    <t>$6,634</t>
  </si>
  <si>
    <t>Elizabeth Blue</t>
  </si>
  <si>
    <t>Global Digit</t>
  </si>
  <si>
    <t>$6,542</t>
  </si>
  <si>
    <t>$2,948</t>
  </si>
  <si>
    <t>Scum (2017 re-release)</t>
  </si>
  <si>
    <t>$6,461</t>
  </si>
  <si>
    <t>$1,948</t>
  </si>
  <si>
    <t>Last Rampage</t>
  </si>
  <si>
    <t>$6,294</t>
  </si>
  <si>
    <t>$3,054</t>
  </si>
  <si>
    <t>Inseparables</t>
  </si>
  <si>
    <t>$6,258</t>
  </si>
  <si>
    <t>The Skyjacker's Tale</t>
  </si>
  <si>
    <t>$6,253</t>
  </si>
  <si>
    <t>$1,097</t>
  </si>
  <si>
    <t>In the Steps of Trisha Brown</t>
  </si>
  <si>
    <t>$6,230</t>
  </si>
  <si>
    <t>$1,232</t>
  </si>
  <si>
    <t>Arise from Darkness</t>
  </si>
  <si>
    <t>$6,112</t>
  </si>
  <si>
    <t>The Fuzz</t>
  </si>
  <si>
    <t>$6,067</t>
  </si>
  <si>
    <t>$2,236</t>
  </si>
  <si>
    <t>On Wings of Eagles</t>
  </si>
  <si>
    <t>AD</t>
  </si>
  <si>
    <t>$5,975</t>
  </si>
  <si>
    <t>Tad the Lost Explorer and the Secret of King Midas</t>
  </si>
  <si>
    <t>ParC</t>
  </si>
  <si>
    <t>$5,874</t>
  </si>
  <si>
    <t>$4,028</t>
  </si>
  <si>
    <t>The Work</t>
  </si>
  <si>
    <t>$5,853</t>
  </si>
  <si>
    <t>$3,286</t>
  </si>
  <si>
    <t>The Vault</t>
  </si>
  <si>
    <t>$5,728</t>
  </si>
  <si>
    <t>$4,308</t>
  </si>
  <si>
    <t>$5,711</t>
  </si>
  <si>
    <t>$1,620</t>
  </si>
  <si>
    <t>The Ardennes</t>
  </si>
  <si>
    <t>$5,638</t>
  </si>
  <si>
    <t>$840</t>
  </si>
  <si>
    <t>La Chinoise (2017 re-release)</t>
  </si>
  <si>
    <t>$5,631</t>
  </si>
  <si>
    <t>$2,340</t>
  </si>
  <si>
    <t>No culpes al karma</t>
  </si>
  <si>
    <t>$5,614</t>
  </si>
  <si>
    <t>$3,660</t>
  </si>
  <si>
    <t>Oro</t>
  </si>
  <si>
    <t>$5,539</t>
  </si>
  <si>
    <t>$2,571</t>
  </si>
  <si>
    <t>Icaros: A Vision</t>
  </si>
  <si>
    <t>Factory</t>
  </si>
  <si>
    <t>$5,510</t>
  </si>
  <si>
    <t>The Reagan Show</t>
  </si>
  <si>
    <t>$5,500</t>
  </si>
  <si>
    <t>Man From Earth: Holocene</t>
  </si>
  <si>
    <t>$5,472</t>
  </si>
  <si>
    <t>$3,100</t>
  </si>
  <si>
    <t>Reset</t>
  </si>
  <si>
    <t>$5,454</t>
  </si>
  <si>
    <t>$2,198</t>
  </si>
  <si>
    <t>Bad Lucky Goat</t>
  </si>
  <si>
    <t>$5,088</t>
  </si>
  <si>
    <t>$170</t>
  </si>
  <si>
    <t>Company Town</t>
  </si>
  <si>
    <t>$4,934</t>
  </si>
  <si>
    <t>$2,150</t>
  </si>
  <si>
    <t>Starless Dreams</t>
  </si>
  <si>
    <t>$4,776</t>
  </si>
  <si>
    <t>$707</t>
  </si>
  <si>
    <t>Shot</t>
  </si>
  <si>
    <t>$4,701</t>
  </si>
  <si>
    <t>Night School (2017)</t>
  </si>
  <si>
    <t>$4,663</t>
  </si>
  <si>
    <t>$1,588</t>
  </si>
  <si>
    <t>I Love You Both</t>
  </si>
  <si>
    <t>$4,661</t>
  </si>
  <si>
    <t>$3,236</t>
  </si>
  <si>
    <t>Tribes of Palos Verdes</t>
  </si>
  <si>
    <t>$4,651</t>
  </si>
  <si>
    <t>$796</t>
  </si>
  <si>
    <t>Shakespeare Wallah (re-issue)</t>
  </si>
  <si>
    <t>$4,650</t>
  </si>
  <si>
    <t>$3,378</t>
  </si>
  <si>
    <t>A Boy Called Po</t>
  </si>
  <si>
    <t>$4,550</t>
  </si>
  <si>
    <t>$2,693</t>
  </si>
  <si>
    <t>Vengeance: A Love Story</t>
  </si>
  <si>
    <t>$4,526</t>
  </si>
  <si>
    <t>The Pulitzer at 100</t>
  </si>
  <si>
    <t>$4,489</t>
  </si>
  <si>
    <t>$2,577</t>
  </si>
  <si>
    <t>German Concentration Camps Factual Survey</t>
  </si>
  <si>
    <t>$4,468</t>
  </si>
  <si>
    <t>$3,000</t>
  </si>
  <si>
    <t>Generation Iron 2</t>
  </si>
  <si>
    <t>VLA</t>
  </si>
  <si>
    <t>$4,439</t>
  </si>
  <si>
    <t>30-Love</t>
  </si>
  <si>
    <t>$4,392</t>
  </si>
  <si>
    <t>My Father Die</t>
  </si>
  <si>
    <t>$4,252</t>
  </si>
  <si>
    <t>$3,229</t>
  </si>
  <si>
    <t>Singularity</t>
  </si>
  <si>
    <t>$4,176</t>
  </si>
  <si>
    <t>$533</t>
  </si>
  <si>
    <t>Badsville</t>
  </si>
  <si>
    <t>$4,153</t>
  </si>
  <si>
    <t>$3,050</t>
  </si>
  <si>
    <t>Dreamboat</t>
  </si>
  <si>
    <t>$3,981</t>
  </si>
  <si>
    <t>$2,199</t>
  </si>
  <si>
    <t>The Woman Who Left</t>
  </si>
  <si>
    <t>$3,974</t>
  </si>
  <si>
    <t>$2,018</t>
  </si>
  <si>
    <t>Second Nature</t>
  </si>
  <si>
    <t>Smarthouse</t>
  </si>
  <si>
    <t>$3,774</t>
  </si>
  <si>
    <t>Bugs</t>
  </si>
  <si>
    <t>$3,742</t>
  </si>
  <si>
    <t>Soul on a String</t>
  </si>
  <si>
    <t>$3,669</t>
  </si>
  <si>
    <t>$1,355</t>
  </si>
  <si>
    <t>Emily (2017)</t>
  </si>
  <si>
    <t>Hiber</t>
  </si>
  <si>
    <t>$3,642</t>
  </si>
  <si>
    <t>$1,164</t>
  </si>
  <si>
    <t>La Belle Noiseuse (re-issue)</t>
  </si>
  <si>
    <t>$3,540</t>
  </si>
  <si>
    <t>$1,887</t>
  </si>
  <si>
    <t>Who's Crazy? (2017 re-release)</t>
  </si>
  <si>
    <t>$3,497</t>
  </si>
  <si>
    <t>Love, Sweat and Tears</t>
  </si>
  <si>
    <t>$3,482</t>
  </si>
  <si>
    <t>$512</t>
  </si>
  <si>
    <t>Dalida</t>
  </si>
  <si>
    <t>$3,465</t>
  </si>
  <si>
    <t>Speed Sisters</t>
  </si>
  <si>
    <t>$3,423</t>
  </si>
  <si>
    <t>$370</t>
  </si>
  <si>
    <t>Amanda &amp; Jack Go Glamping</t>
  </si>
  <si>
    <t>$3,352</t>
  </si>
  <si>
    <t>Bad Match</t>
  </si>
  <si>
    <t>$3,351</t>
  </si>
  <si>
    <t>Planetarium</t>
  </si>
  <si>
    <t>Swen</t>
  </si>
  <si>
    <t>$3,262</t>
  </si>
  <si>
    <t>$625</t>
  </si>
  <si>
    <t>Justice (2017)</t>
  </si>
  <si>
    <t>$3,259</t>
  </si>
  <si>
    <t>$2,154</t>
  </si>
  <si>
    <t>Heal the Living</t>
  </si>
  <si>
    <t>$3,176</t>
  </si>
  <si>
    <t>The Levelling</t>
  </si>
  <si>
    <t>$3,040</t>
  </si>
  <si>
    <t>$160</t>
  </si>
  <si>
    <t>Kepler's Dream</t>
  </si>
  <si>
    <t>$2,923</t>
  </si>
  <si>
    <t>$1,582</t>
  </si>
  <si>
    <t>Demons</t>
  </si>
  <si>
    <t>Uncork'd</t>
  </si>
  <si>
    <t>$2,900</t>
  </si>
  <si>
    <t>1898: Los ultimos de Filipinas</t>
  </si>
  <si>
    <t>$2,848</t>
  </si>
  <si>
    <t>I Dream In Another Language</t>
  </si>
  <si>
    <t>$2,739</t>
  </si>
  <si>
    <t>Santoalla</t>
  </si>
  <si>
    <t>$2,684</t>
  </si>
  <si>
    <t>$489</t>
  </si>
  <si>
    <t>Daughter of the Nile (re-issue)</t>
  </si>
  <si>
    <t>$2,640</t>
  </si>
  <si>
    <t>Take Me</t>
  </si>
  <si>
    <t>$2,583</t>
  </si>
  <si>
    <t>Apprentice</t>
  </si>
  <si>
    <t>$2,578</t>
  </si>
  <si>
    <t>Miles</t>
  </si>
  <si>
    <t>$2,537</t>
  </si>
  <si>
    <t>$2,147</t>
  </si>
  <si>
    <t>Miss Kiet's Children</t>
  </si>
  <si>
    <t>$2,529</t>
  </si>
  <si>
    <t>Red Christmas</t>
  </si>
  <si>
    <t>Artsploitati</t>
  </si>
  <si>
    <t>$2,255</t>
  </si>
  <si>
    <t>$280</t>
  </si>
  <si>
    <t>Behind the White Glasses</t>
  </si>
  <si>
    <t>$2,223</t>
  </si>
  <si>
    <t>$900</t>
  </si>
  <si>
    <t>7 From Etheria</t>
  </si>
  <si>
    <t>$2,208</t>
  </si>
  <si>
    <t>$940</t>
  </si>
  <si>
    <t>Dayveon</t>
  </si>
  <si>
    <t>$2,077</t>
  </si>
  <si>
    <t>$1,592</t>
  </si>
  <si>
    <t>The Ghoul</t>
  </si>
  <si>
    <t>$2,032</t>
  </si>
  <si>
    <t>$249</t>
  </si>
  <si>
    <t>Accidental Courtesy: Daryl Davis, Race &amp; America</t>
  </si>
  <si>
    <t>$1,940</t>
  </si>
  <si>
    <t>$1,452</t>
  </si>
  <si>
    <t>$1,788</t>
  </si>
  <si>
    <t>$145</t>
  </si>
  <si>
    <t>Almost Friends</t>
  </si>
  <si>
    <t>$1,481</t>
  </si>
  <si>
    <t>$1,455</t>
  </si>
  <si>
    <t>$1,008</t>
  </si>
  <si>
    <t>Forest for the Trees (2017 re-release)</t>
  </si>
  <si>
    <t>$1,410</t>
  </si>
  <si>
    <t>It's Not Yet Dark</t>
  </si>
  <si>
    <t>$1,227</t>
  </si>
  <si>
    <t>$811</t>
  </si>
  <si>
    <t>A Different American Dream</t>
  </si>
  <si>
    <t>$1,172</t>
  </si>
  <si>
    <t>$848</t>
  </si>
  <si>
    <t>The Penguin Counters</t>
  </si>
  <si>
    <t>$976</t>
  </si>
  <si>
    <t>Extraordinary Ordinary People</t>
  </si>
  <si>
    <t>$880</t>
  </si>
  <si>
    <t>$744</t>
  </si>
  <si>
    <t>W/Dim.</t>
  </si>
  <si>
    <t>$742</t>
  </si>
  <si>
    <t>Max &amp; Leon</t>
  </si>
  <si>
    <t>$543</t>
  </si>
  <si>
    <t>The Student</t>
  </si>
  <si>
    <t>$422</t>
  </si>
  <si>
    <t>$294</t>
  </si>
  <si>
    <t>Total gross</t>
  </si>
  <si>
    <t>Opening</t>
  </si>
  <si>
    <t>Total Gross / Theaters</t>
  </si>
  <si>
    <t>Opening / Theaters</t>
  </si>
  <si>
    <r>
      <t>Paul Currie</t>
    </r>
    <r>
      <rPr>
        <sz val="12"/>
        <color rgb="FF222222"/>
        <rFont val="Arial"/>
        <family val="2"/>
      </rPr>
      <t> (director); Nathan Parker, Todd Stein (screenplay); </t>
    </r>
    <r>
      <rPr>
        <sz val="12"/>
        <color rgb="FF0B0080"/>
        <rFont val="Arial"/>
        <family val="2"/>
      </rPr>
      <t>Michiel Huisman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Teresa Palmer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 Reid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Simone Kessell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Maeve Dermody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Kerry Armstrong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Waters</t>
    </r>
  </si>
  <si>
    <r>
      <t>Jim O'Hanlon (director); Leon F. Butler (screenplay); </t>
    </r>
    <r>
      <rPr>
        <sz val="12"/>
        <color rgb="FF0B0080"/>
        <rFont val="Arial"/>
        <family val="2"/>
      </rPr>
      <t>Idris Elba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Gemma Arterton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Charlie Creed-Miles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Franz Drameh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Kierston Wareing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Cullen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Ken Stott</t>
    </r>
  </si>
  <si>
    <r>
      <t>Gaby Dellal</t>
    </r>
    <r>
      <rPr>
        <sz val="12"/>
        <color rgb="FF222222"/>
        <rFont val="Arial"/>
        <family val="2"/>
      </rPr>
      <t> (director/screeplay); </t>
    </r>
    <r>
      <rPr>
        <sz val="12"/>
        <color rgb="FF0B0080"/>
        <rFont val="Arial"/>
        <family val="2"/>
      </rPr>
      <t>Naomi Watts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Elle Fanning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Susan Sarandon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Tate Donovan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Linda Emond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 Trammell</t>
    </r>
  </si>
  <si>
    <r>
      <t>Johannes Roberts</t>
    </r>
    <r>
      <rPr>
        <sz val="12"/>
        <color rgb="FF222222"/>
        <rFont val="Arial"/>
        <family val="2"/>
      </rPr>
      <t> (director); Johannes Roberts, Ernest Riera (screenplay); </t>
    </r>
    <r>
      <rPr>
        <sz val="12"/>
        <color rgb="FF0B0080"/>
        <rFont val="Arial"/>
        <family val="2"/>
      </rPr>
      <t>Mandy Moore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Claire Holt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Matthew Modine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</si>
  <si>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Regency Enterprises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Blind Wink Productions</t>
    </r>
  </si>
  <si>
    <r>
      <t>Gore Verbinski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Justin Haythe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Dane DeHaan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Mia Goth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Isaacs</t>
    </r>
  </si>
  <si>
    <r>
      <t>Terence Davies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Cynthia Nixon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Ehle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Keith Carradine</t>
    </r>
  </si>
  <si>
    <r>
      <t>Amma Asante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Guy Hibbert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David Oyelowo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Rosamund Pike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Terry Pheto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Davenport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Felton</t>
    </r>
    <r>
      <rPr>
        <sz val="12"/>
        <color rgb="FF222222"/>
        <rFont val="Arial"/>
        <family val="2"/>
      </rPr>
      <t>, Abena Ayivor, </t>
    </r>
    <r>
      <rPr>
        <sz val="12"/>
        <color rgb="FF0B0080"/>
        <rFont val="Arial"/>
        <family val="2"/>
      </rPr>
      <t>Vusi Kunene</t>
    </r>
  </si>
  <si>
    <r>
      <t>Elliott Lester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Javier Gullón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Arnold Schwarzenegger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Scoot McNairy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Maggie Grace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Martin Donovan</t>
    </r>
  </si>
  <si>
    <r>
      <t>Summit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Morgan Creek Productions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Codeblack Films</t>
    </r>
  </si>
  <si>
    <r>
      <t>Benny Boom</t>
    </r>
    <r>
      <rPr>
        <sz val="12"/>
        <color rgb="FF222222"/>
        <rFont val="Arial"/>
        <family val="2"/>
      </rPr>
      <t> (director); Ed Gonzalez, Jeremy Haft (screenplay); </t>
    </r>
    <r>
      <rPr>
        <sz val="12"/>
        <color rgb="FF0B0080"/>
        <rFont val="Arial"/>
        <family val="2"/>
      </rPr>
      <t>Demetrius Shipp Jr.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 Graham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Lauren Cohan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Hill Harper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Danai Gurira</t>
    </r>
  </si>
  <si>
    <r>
      <t>Marc Forster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Blake Lively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Clarke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Yvonne Strahovski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Danny Huston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Wes Chatham</t>
    </r>
  </si>
  <si>
    <r>
      <t>Gavin Wiesen (director); Seth W. Owen (screenplay); </t>
    </r>
    <r>
      <rPr>
        <sz val="12"/>
        <color rgb="FF0B0080"/>
        <rFont val="Arial"/>
        <family val="2"/>
      </rPr>
      <t>J. K. Simmons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Emile Hirsch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Analeigh Tipton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Taran Killam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Schaal</t>
    </r>
  </si>
  <si>
    <r>
      <t>Affirm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Provident Films</t>
    </r>
  </si>
  <si>
    <r>
      <t>Steve Gomer</t>
    </r>
    <r>
      <rPr>
        <sz val="12"/>
        <color rgb="FF222222"/>
        <rFont val="Arial"/>
        <family val="2"/>
      </rPr>
      <t> (director); Steve Armour (screenplay); </t>
    </r>
    <r>
      <rPr>
        <sz val="12"/>
        <color rgb="FF0B0080"/>
        <rFont val="Arial"/>
        <family val="2"/>
      </rPr>
      <t>John Corbett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Cara Buono</t>
    </r>
  </si>
  <si>
    <r>
      <t>Vincent Perez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Emma Thompson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Brendan Gleeson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Daniel Brühl</t>
    </r>
  </si>
  <si>
    <r>
      <t>DE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FR</t>
    </r>
    <r>
      <rPr>
        <sz val="12"/>
        <color rgb="FF222222"/>
        <rFont val="Arial"/>
        <family val="2"/>
      </rPr>
      <t>, UK</t>
    </r>
  </si>
  <si>
    <r>
      <t>Anne Hamilton (director/screenplay); </t>
    </r>
    <r>
      <rPr>
        <sz val="12"/>
        <color rgb="FF0B0080"/>
        <rFont val="Arial"/>
        <family val="2"/>
      </rPr>
      <t>Peyton Kennedy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Richard Schiff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Kip Pardue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Marci Miller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Gavin MacIntosh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Zuleikha Robinson</t>
    </r>
  </si>
  <si>
    <r>
      <t>Paramount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Participant Media</t>
    </r>
  </si>
  <si>
    <r>
      <t>Saban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WWE Films</t>
    </r>
  </si>
  <si>
    <r>
      <t>John Stockwell</t>
    </r>
    <r>
      <rPr>
        <sz val="12"/>
        <color rgb="FF222222"/>
        <rFont val="Arial"/>
        <family val="2"/>
      </rPr>
      <t> (director); Matt Savelloni (screenplay); </t>
    </r>
    <r>
      <rPr>
        <sz val="12"/>
        <color rgb="FF0B0080"/>
        <rFont val="Arial"/>
        <family val="2"/>
      </rPr>
      <t>Wesley Snipes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Anne Heche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Dave Annable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Seth Rollins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Gene Simmons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Mo Gallini</t>
    </r>
  </si>
  <si>
    <r>
      <t>Lionsgate Premiere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Grindstone Entertainment Group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Emmett/Furla/Oasis Films</t>
    </r>
  </si>
  <si>
    <r>
      <t>Steven C. Miller</t>
    </r>
    <r>
      <rPr>
        <sz val="12"/>
        <color rgb="FF222222"/>
        <rFont val="Arial"/>
        <family val="2"/>
      </rPr>
      <t> (director); Jason Mosberg (screenplay); </t>
    </r>
    <r>
      <rPr>
        <sz val="12"/>
        <color rgb="FF0B0080"/>
        <rFont val="Arial"/>
        <family val="2"/>
      </rPr>
      <t>Adrian Grenier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Johnathon Schaech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Nicolas Cage</t>
    </r>
    <r>
      <rPr>
        <sz val="12"/>
        <color rgb="FF222222"/>
        <rFont val="Arial"/>
        <family val="2"/>
      </rPr>
      <t>, Lydia Hull, </t>
    </r>
    <r>
      <rPr>
        <sz val="12"/>
        <color rgb="FF0B0080"/>
        <rFont val="Arial"/>
        <family val="2"/>
      </rPr>
      <t>Christopher Coppola</t>
    </r>
    <r>
      <rPr>
        <sz val="12"/>
        <color rgb="FF222222"/>
        <rFont val="Arial"/>
        <family val="2"/>
      </rPr>
      <t>, Megan Leonard, Christopher Rob Bowen, Tyler Jon Olson, </t>
    </r>
    <r>
      <rPr>
        <sz val="12"/>
        <color rgb="FF0B0080"/>
        <rFont val="Arial"/>
        <family val="2"/>
      </rPr>
      <t>Shea Buckner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Cusack</t>
    </r>
  </si>
  <si>
    <r>
      <t>Dagen Merrill (director); Kevin Burke, Fred Fernandez-Armesto, Adam Gyngell (screenplay); </t>
    </r>
    <r>
      <rPr>
        <sz val="12"/>
        <color rgb="FF0B0080"/>
        <rFont val="Arial"/>
        <family val="2"/>
      </rPr>
      <t>Dominic Monaghan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Sizemore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Sarah Habel</t>
    </r>
  </si>
  <si>
    <r>
      <t>S. S. Rajmouli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Prabhas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Rana Daggubati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Ramya Krishna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Anushka Shetty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Tamannah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Nassar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Sathyaraj</t>
    </r>
  </si>
  <si>
    <r>
      <t>Eliza Hittman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Harris Dickinson</t>
    </r>
    <r>
      <rPr>
        <sz val="12"/>
        <color rgb="FF222222"/>
        <rFont val="Arial"/>
        <family val="2"/>
      </rPr>
      <t>, Madeline Weinstein, </t>
    </r>
    <r>
      <rPr>
        <sz val="12"/>
        <color rgb="FF0B0080"/>
        <rFont val="Arial"/>
        <family val="2"/>
      </rPr>
      <t>Kate Hodge</t>
    </r>
  </si>
  <si>
    <r>
      <t>Miguel Arteta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Mike White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Salma Hayek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Chloë Sevigny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Connie Britton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Lithgow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Jay Duplass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Warshofsky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Landecker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Early</t>
    </r>
  </si>
  <si>
    <r>
      <t>Ry Russo-Young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Maria Maggenti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Zoey Deutch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Halston Sage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Logan Miller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Kian Lawley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Elena Kampouris</t>
    </r>
    <r>
      <rPr>
        <sz val="12"/>
        <color rgb="FF222222"/>
        <rFont val="Arial"/>
        <family val="2"/>
      </rPr>
      <t>, Cynthy Wu, </t>
    </r>
    <r>
      <rPr>
        <sz val="12"/>
        <color rgb="FF0B0080"/>
        <rFont val="Arial"/>
        <family val="2"/>
      </rPr>
      <t>Medalion Rahimi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Diego Boneta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Beals</t>
    </r>
  </si>
  <si>
    <r>
      <t>Rafael Palacio Illingworth (director); </t>
    </r>
    <r>
      <rPr>
        <sz val="12"/>
        <color rgb="FF0B0080"/>
        <rFont val="Arial"/>
        <family val="2"/>
      </rPr>
      <t>Olivia Thirlby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 Feldman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Adam Goldberg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Analeigh Tipton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Scott Haze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Peter Bogdanovich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Lesley Ann Warren</t>
    </r>
  </si>
  <si>
    <r>
      <t>George Mendeluk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Max Irons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Samantha Barks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Barry Pepper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Tamer Hassan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Lucy Brown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Terence Stamp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Hollington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Richard Brake</t>
    </r>
    <r>
      <rPr>
        <sz val="12"/>
        <color rgb="FF222222"/>
        <rFont val="Arial"/>
        <family val="2"/>
      </rPr>
      <t>, Ostap Stupka, Alexander Pecheritsyia</t>
    </r>
  </si>
  <si>
    <r>
      <t>Lucky McKee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John Cusack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Ellar Coltrane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Willa Fitzgerald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Jacob Artist</t>
    </r>
  </si>
  <si>
    <r>
      <t>Lionsgate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Tyler Perry Studios</t>
    </r>
  </si>
  <si>
    <r>
      <t>Tyler Perry</t>
    </r>
    <r>
      <rPr>
        <sz val="12"/>
        <color rgb="FF222222"/>
        <rFont val="Arial"/>
        <family val="2"/>
      </rPr>
      <t> (director/screenplay); Tyler Perry, </t>
    </r>
    <r>
      <rPr>
        <sz val="12"/>
        <color rgb="FF0B0080"/>
        <rFont val="Arial"/>
        <family val="2"/>
      </rPr>
      <t>Cassi Davis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Patrice Lovely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Yousef Erakat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Diamond White</t>
    </r>
    <r>
      <rPr>
        <sz val="12"/>
        <color rgb="FF222222"/>
        <rFont val="Arial"/>
        <family val="2"/>
      </rPr>
      <t>, Lexy Panterra, </t>
    </r>
    <r>
      <rPr>
        <sz val="12"/>
        <color rgb="FF0B0080"/>
        <rFont val="Arial"/>
        <family val="2"/>
      </rPr>
      <t>Andre 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Brock O'Hurn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Tito Ortiz</t>
    </r>
  </si>
  <si>
    <r>
      <t>Mike White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Ben Stiller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Sheen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Luke Wilson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Jemaine Clement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Jenna Fischer</t>
    </r>
  </si>
  <si>
    <r>
      <t>S. Craig Zahler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Vince Vaughn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Carpenter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Don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Udo Kier</t>
    </r>
  </si>
  <si>
    <r>
      <t>Bleecker Street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Participant Media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The Imaginarium Studios</t>
    </r>
  </si>
  <si>
    <r>
      <t>Andy Serkis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William Nicholson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Andrew Garfield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Claire Foy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Hollander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Hugh Bonneville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Dean-Charles Chapman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Miranda Raison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Mangan</t>
    </r>
  </si>
  <si>
    <r>
      <t>David Ayer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Max Landis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Will Smith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Joel Edgerton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Noomi Rapace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Lucy Fry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Edgar Ramirez</t>
    </r>
  </si>
  <si>
    <r>
      <t>Dave McCary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Kyle Mooney</t>
    </r>
    <r>
      <rPr>
        <sz val="12"/>
        <color rgb="FF222222"/>
        <rFont val="Arial"/>
        <family val="2"/>
      </rPr>
      <t>, Kevin Costello (screenplay); Kyle Mooney, </t>
    </r>
    <r>
      <rPr>
        <sz val="12"/>
        <color rgb="FF0B0080"/>
        <rFont val="Arial"/>
        <family val="2"/>
      </rPr>
      <t>Mark Hamill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Claire Danes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Greg Kinnear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Andy Samberg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Matt Walsh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Michaela Watkins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Beck Bennett</t>
    </r>
  </si>
  <si>
    <r>
      <t>Gerard McMurray (director/screenplay); Christine Berg (screenplay); </t>
    </r>
    <r>
      <rPr>
        <sz val="12"/>
        <color rgb="FF0B0080"/>
        <rFont val="Arial"/>
        <family val="2"/>
      </rPr>
      <t>Trevor Jackson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Alfre Woodard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 Harris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Trevante Rhodes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Serayah</t>
    </r>
  </si>
  <si>
    <r>
      <t>Onur Tukel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Alicia Silverstone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Anne Heche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Sandra Oh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Dylan Baker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Craig Bierko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</si>
  <si>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</si>
  <si>
    <r>
      <t>Dax Shepard</t>
    </r>
    <r>
      <rPr>
        <sz val="12"/>
        <color rgb="FF222222"/>
        <rFont val="Arial"/>
        <family val="2"/>
      </rPr>
      <t> (director/screenplay); Dax Shepard, </t>
    </r>
    <r>
      <rPr>
        <sz val="12"/>
        <color rgb="FF0B0080"/>
        <rFont val="Arial"/>
        <family val="2"/>
      </rPr>
      <t>Michael Peña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Vincent D'Onofrio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Adam Brody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Rosa Salazar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Vida Guerra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Bell</t>
    </r>
  </si>
  <si>
    <r>
      <t>Jonathan Teplitzky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Brian Cox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Miranda Richardson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Slattery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Ella Purnell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Purefoy</t>
    </r>
  </si>
  <si>
    <r>
      <t>Walt Disney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Pixar</t>
    </r>
  </si>
  <si>
    <r>
      <t>Lee Unkrich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Adrian Molina</t>
    </r>
    <r>
      <rPr>
        <sz val="12"/>
        <color rgb="FF222222"/>
        <rFont val="Arial"/>
        <family val="2"/>
      </rPr>
      <t> (co-director/screenplay); Matthew Aldrich (screenplay); </t>
    </r>
    <r>
      <rPr>
        <sz val="12"/>
        <color rgb="FF0B0080"/>
        <rFont val="Arial"/>
        <family val="2"/>
      </rPr>
      <t>Anthony Gonzalez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Gael García Bernal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Benjamin Bratt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Renée Victor</t>
    </r>
    <r>
      <rPr>
        <sz val="12"/>
        <color rgb="FF222222"/>
        <rFont val="Arial"/>
        <family val="2"/>
      </rPr>
      <t>, Ana Ofelia Murguia, </t>
    </r>
    <r>
      <rPr>
        <sz val="12"/>
        <color rgb="FF0B0080"/>
        <rFont val="Arial"/>
        <family val="2"/>
      </rPr>
      <t>Edward James Olmos</t>
    </r>
  </si>
  <si>
    <r>
      <t>Nacho Vigalondo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Anne Hathaway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Sudeikis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 Stevens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Austin Stowell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Tim Blake Nelson</t>
    </r>
  </si>
  <si>
    <r>
      <t>CAN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SP</t>
    </r>
    <r>
      <rPr>
        <sz val="12"/>
        <color rgb="FF222222"/>
        <rFont val="Arial"/>
        <family val="2"/>
      </rPr>
      <t>, US</t>
    </r>
  </si>
  <si>
    <r>
      <t>Vertical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Sony Pictures</t>
    </r>
  </si>
  <si>
    <r>
      <t>Gilles Paquet-Brenner</t>
    </r>
    <r>
      <rPr>
        <sz val="12"/>
        <color rgb="FF222222"/>
        <rFont val="Arial"/>
        <family val="2"/>
      </rPr>
      <t> (director/screenplay); Tim Rose Price, </t>
    </r>
    <r>
      <rPr>
        <sz val="12"/>
        <color rgb="FF0B0080"/>
        <rFont val="Arial"/>
        <family val="2"/>
      </rPr>
      <t>Julian Fellowes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Max Irons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Glenn Close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Gillian Anderson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Christina Hendricks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Terence Stamp</t>
    </r>
  </si>
  <si>
    <r>
      <t>Paramount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Gary Sanchez Productions</t>
    </r>
  </si>
  <si>
    <r>
      <t>Sean Anders</t>
    </r>
    <r>
      <rPr>
        <sz val="12"/>
        <color rgb="FF222222"/>
        <rFont val="Arial"/>
        <family val="2"/>
      </rPr>
      <t> (director/screenplay), John Morris (screenplay); </t>
    </r>
    <r>
      <rPr>
        <sz val="12"/>
        <color rgb="FF0B0080"/>
        <rFont val="Arial"/>
        <family val="2"/>
      </rPr>
      <t>Will Ferrell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Mark Wahlberg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Linda Cardellini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Cena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Mel Gibson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Lithgow</t>
    </r>
  </si>
  <si>
    <r>
      <t>Focus Features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Working Title Films</t>
    </r>
  </si>
  <si>
    <r>
      <t>Joe Wright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Anthony McCarten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Gary Oldman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 Mendelsohn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Kristin Scott Thomas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Lily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Dillane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Ronald Pickup</t>
    </r>
  </si>
  <si>
    <r>
      <t>Christopher Smith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Tye Sheridan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Bel Powley</t>
    </r>
  </si>
  <si>
    <r>
      <t>Kathryn Bigelow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Mark Boal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John Boyega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 Poulter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Algee Smith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Jacob Latimore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Mitchell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Hannah Murray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Kaitlyn Dever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Reynor</t>
    </r>
    <r>
      <rPr>
        <sz val="12"/>
        <color rgb="FF222222"/>
        <rFont val="Arial"/>
        <family val="2"/>
      </rPr>
      <t>, Ben O'Toole, </t>
    </r>
    <r>
      <rPr>
        <sz val="12"/>
        <color rgb="FF0B0080"/>
        <rFont val="Arial"/>
        <family val="2"/>
      </rPr>
      <t>John Krasinski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Mackie</t>
    </r>
  </si>
  <si>
    <r>
      <t>Caradog W. James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Katee Sackhoff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Lucy Boynton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Javier Botet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Nick Moran</t>
    </r>
  </si>
  <si>
    <r>
      <t>Kristopher Avedisian (director/screenplay); Kristopher Avedisian, Jesse Wakeman, </t>
    </r>
    <r>
      <rPr>
        <sz val="12"/>
        <color rgb="FF0B0080"/>
        <rFont val="Arial"/>
        <family val="2"/>
      </rPr>
      <t>Louisa Krause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Ted Arcidi</t>
    </r>
  </si>
  <si>
    <r>
      <t>Karla Souza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José María Yazpik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</si>
  <si>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Metro-Goldwyn-Mayer</t>
    </r>
  </si>
  <si>
    <r>
      <t>Stella Meghie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J. Mills Goodloe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Amandla Stenberg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Nick Robinson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Anika Noni Rose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Ana de la Reguera</t>
    </r>
    <r>
      <rPr>
        <sz val="12"/>
        <color rgb="FF222222"/>
        <rFont val="Arial"/>
        <family val="2"/>
      </rPr>
      <t>, Danube Hermosillo</t>
    </r>
  </si>
  <si>
    <r>
      <t>Sony Pictures Classics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Lionsgate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Eon Productions</t>
    </r>
    <r>
      <rPr>
        <sz val="12"/>
        <color rgb="FF222222"/>
        <rFont val="Arial"/>
        <family val="2"/>
      </rPr>
      <t>/ </t>
    </r>
    <r>
      <rPr>
        <sz val="12"/>
        <color rgb="FF0B0080"/>
        <rFont val="Arial"/>
        <family val="2"/>
      </rPr>
      <t>IM Global</t>
    </r>
  </si>
  <si>
    <r>
      <t>Paul McGuigan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Matt Greenhalgh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Annette Bening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Jamie 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Julie Walters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Vanessa Redgrave</t>
    </r>
  </si>
  <si>
    <r>
      <t>Steven C. Miller</t>
    </r>
    <r>
      <rPr>
        <sz val="12"/>
        <color rgb="FF222222"/>
        <rFont val="Arial"/>
        <family val="2"/>
      </rPr>
      <t> (director); Nick Gordon (screenplay); </t>
    </r>
    <r>
      <rPr>
        <sz val="12"/>
        <color rgb="FF0B0080"/>
        <rFont val="Arial"/>
        <family val="2"/>
      </rPr>
      <t>Hayden Christensen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Bruce Willis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Gethin Anthony</t>
    </r>
    <r>
      <rPr>
        <sz val="12"/>
        <color rgb="FF222222"/>
        <rFont val="Arial"/>
        <family val="2"/>
      </rPr>
      <t>, Megan Leonard, Tyler Jon Olson, Shea Buckner, Ty Shelton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</si>
  <si>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New Line Cinema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Village Roadshow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21 Laps Entertainment</t>
    </r>
  </si>
  <si>
    <r>
      <t>Richie Keen (director); Van Robichaux, Evan Susser (screenplay); </t>
    </r>
    <r>
      <rPr>
        <sz val="12"/>
        <color rgb="FF0B0080"/>
        <rFont val="Arial"/>
        <family val="2"/>
      </rPr>
      <t>Ice Cube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Charlie Day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Christina Hendricks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Dennis Haysbert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Tracy Morgan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Jillian 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Dean Norris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</si>
  <si>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Cross Creek Pictures</t>
    </r>
  </si>
  <si>
    <r>
      <t>Niels Arden Oplev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Ben Ripley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Ellen Page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Diego Luna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Nina Dobrev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Norton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Kiersey Clemons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Kiefer Sutherland</t>
    </r>
  </si>
  <si>
    <r>
      <t>Ben Wheatley</t>
    </r>
    <r>
      <rPr>
        <sz val="12"/>
        <color rgb="FF222222"/>
        <rFont val="Arial"/>
        <family val="2"/>
      </rPr>
      <t> (director/screenplay); Ann Jump (screenplay); </t>
    </r>
    <r>
      <rPr>
        <sz val="12"/>
        <color rgb="FF0B0080"/>
        <rFont val="Arial"/>
        <family val="2"/>
      </rPr>
      <t>Brie Larson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Sharlto Copley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Armie Hammer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Cillian Murphy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Reynor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</si>
  <si>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Skydance Media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</si>
  <si>
    <r>
      <t>Dean Devlin</t>
    </r>
    <r>
      <rPr>
        <sz val="12"/>
        <color rgb="FF222222"/>
        <rFont val="Arial"/>
        <family val="2"/>
      </rPr>
      <t> (director/screenplay); Paul Guyot (screenplay); </t>
    </r>
    <r>
      <rPr>
        <sz val="12"/>
        <color rgb="FF0B0080"/>
        <rFont val="Arial"/>
        <family val="2"/>
      </rPr>
      <t>Gerard Butler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Abbie Cornish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Alexandra Lara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Jim Sturgess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Amr Waked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 Harris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Andy García</t>
    </r>
  </si>
  <si>
    <r>
      <t>Fox Searchlight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TSG Entertainment</t>
    </r>
  </si>
  <si>
    <r>
      <t>Marc Webb</t>
    </r>
    <r>
      <rPr>
        <sz val="12"/>
        <color rgb="FF222222"/>
        <rFont val="Arial"/>
        <family val="2"/>
      </rPr>
      <t> (director); Tom Flynn (screenplay); </t>
    </r>
    <r>
      <rPr>
        <sz val="12"/>
        <color rgb="FF0B0080"/>
        <rFont val="Arial"/>
        <family val="2"/>
      </rPr>
      <t>Chris Evans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Mckenna Grace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Jenny Slate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Lindsay Duncan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Octavia Spencer</t>
    </r>
  </si>
  <si>
    <r>
      <t>Universal Studios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Perfect World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Will Packer Productions</t>
    </r>
  </si>
  <si>
    <r>
      <t>Malcolm D. Lee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Kenya Barris</t>
    </r>
    <r>
      <rPr>
        <sz val="12"/>
        <color rgb="FF222222"/>
        <rFont val="Arial"/>
        <family val="2"/>
      </rPr>
      <t>, Tracy Oliver (screenplay); </t>
    </r>
    <r>
      <rPr>
        <sz val="12"/>
        <color rgb="FF0B0080"/>
        <rFont val="Arial"/>
        <family val="2"/>
      </rPr>
      <t>Regina 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Queen Latifah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Jada Pinkett Smith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Tiffany Haddish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Larenz Tate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Mike Colter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Kofi Siriboe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</si>
  <si>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New Line Cinema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Village Roadshow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De Line Pictures</t>
    </r>
    <r>
      <rPr>
        <vertAlign val="superscript"/>
        <sz val="12"/>
        <color rgb="FF0B0080"/>
        <rFont val="Arial"/>
        <family val="2"/>
      </rPr>
      <t>[138]</t>
    </r>
  </si>
  <si>
    <r>
      <t>Zach Braff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Theodore Melfi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Morgan Freeman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Caine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Alan Arkin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Joey King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Matt Dillon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Ann-Margret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Christopher Lloyd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Siobhan Fallon Hogan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Ortiz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Peter Serafinowicz</t>
    </r>
  </si>
  <si>
    <r>
      <t>Ben Safdie &amp; Joshua Safdie</t>
    </r>
    <r>
      <rPr>
        <sz val="12"/>
        <color rgb="FF222222"/>
        <rFont val="Arial"/>
        <family val="2"/>
      </rPr>
      <t> (directors); Joshua Safdie, </t>
    </r>
    <r>
      <rPr>
        <sz val="12"/>
        <color rgb="FF0B0080"/>
        <rFont val="Arial"/>
        <family val="2"/>
      </rPr>
      <t>Ronald Bronstein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Robert Pattinson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Jason Leigh</t>
    </r>
    <r>
      <rPr>
        <sz val="12"/>
        <color rgb="FF222222"/>
        <rFont val="Arial"/>
        <family val="2"/>
      </rPr>
      <t>, Ben Safdie, </t>
    </r>
    <r>
      <rPr>
        <sz val="12"/>
        <color rgb="FF0B0080"/>
        <rFont val="Arial"/>
        <family val="2"/>
      </rPr>
      <t>Barkhad Abdi</t>
    </r>
    <r>
      <rPr>
        <sz val="12"/>
        <color rgb="FF222222"/>
        <rFont val="Arial"/>
        <family val="2"/>
      </rPr>
      <t>, Buddy Duress, Taliah Webster</t>
    </r>
  </si>
  <si>
    <r>
      <t>Simon Curtis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Domhnall Gleeson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Margot Robbie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Kelly Macdonald</t>
    </r>
  </si>
  <si>
    <r>
      <t>Frank Lotito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Jason Lee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Anjul Nigam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Brighton Sharbino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Hilarie Burton</t>
    </r>
    <r>
      <rPr>
        <sz val="12"/>
        <color rgb="FF222222"/>
        <rFont val="Arial"/>
        <family val="2"/>
      </rPr>
      <t>, Roni Akurati</t>
    </r>
  </si>
  <si>
    <r>
      <t>Simon West</t>
    </r>
    <r>
      <rPr>
        <sz val="12"/>
        <color rgb="FF222222"/>
        <rFont val="Arial"/>
        <family val="2"/>
      </rPr>
      <t> (director); Toby Davies, </t>
    </r>
    <r>
      <rPr>
        <sz val="12"/>
        <color rgb="FF0B0080"/>
        <rFont val="Arial"/>
        <family val="2"/>
      </rPr>
      <t>Mark Haskell Smith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Antonio Banderas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Olga Kurylenko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</si>
  <si>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Blumhouse Productions</t>
    </r>
  </si>
  <si>
    <r>
      <t>Christopher B. Landon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Scott Lobdell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Jessica Rothe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Israel Broussard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Ruby Modine</t>
    </r>
  </si>
  <si>
    <r>
      <t>Scott Cooper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Donald E. Stewart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Christian Bale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Rosamund Pike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Wes Studi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Q'orianka Kilcher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 Foster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Adam Beach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Rory Cochrane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Jesse Plemons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Timothée Chalamet</t>
    </r>
  </si>
  <si>
    <r>
      <t>Ken Marino</t>
    </r>
    <r>
      <rPr>
        <sz val="12"/>
        <color rgb="FF222222"/>
        <rFont val="Arial"/>
        <family val="2"/>
      </rPr>
      <t> (director); Chris Spain, Jon Zack (screenplay); </t>
    </r>
    <r>
      <rPr>
        <sz val="12"/>
        <color rgb="FF0B0080"/>
        <rFont val="Arial"/>
        <family val="2"/>
      </rPr>
      <t>Eugenio Derbez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Salma Hayek</t>
    </r>
    <r>
      <rPr>
        <sz val="12"/>
        <color rgb="FF222222"/>
        <rFont val="Arial"/>
        <family val="2"/>
      </rPr>
      <t>, Raphael Alejandro, </t>
    </r>
    <r>
      <rPr>
        <sz val="12"/>
        <color rgb="FF0B0080"/>
        <rFont val="Arial"/>
        <family val="2"/>
      </rPr>
      <t>Rob Lowe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Raquel Welch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 Riggle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Renée Taylor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 Huebel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Michaela Watkins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Linda Lavin</t>
    </r>
  </si>
  <si>
    <r>
      <t>Justin Kelly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James Franco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Zachary Quinto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Emma Roberts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Charlie Carver</t>
    </r>
  </si>
  <si>
    <r>
      <t>Magnolia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Amazon Studios</t>
    </r>
  </si>
  <si>
    <r>
      <t>Raoul Peck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Samuel L. Jackson</t>
    </r>
  </si>
  <si>
    <r>
      <t>Netflix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XYZ Films</t>
    </r>
  </si>
  <si>
    <r>
      <t>Macon Blair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Melanie Lynskey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Elijah Wood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Yow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Jane Levy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Devon Graye</t>
    </r>
  </si>
  <si>
    <r>
      <t>Craig Gillespie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Steven Rogers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Margot Robbie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Sebastian Stan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Allison Janney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Julianne Nicholson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Mckenna Grace</t>
    </r>
  </si>
  <si>
    <r>
      <t>Adam Randall (director), Joe Barton (screenplay); </t>
    </r>
    <r>
      <rPr>
        <sz val="12"/>
        <color rgb="FF0B0080"/>
        <rFont val="Arial"/>
        <family val="2"/>
      </rPr>
      <t>Bill Milner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Maisie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Miranda Richardson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Rory Kinnear</t>
    </r>
  </si>
  <si>
    <r>
      <t>Jonathan Baker (director); Chloe King (screenplay); </t>
    </r>
    <r>
      <rPr>
        <sz val="12"/>
        <color rgb="FF0B0080"/>
        <rFont val="Arial"/>
        <family val="2"/>
      </rPr>
      <t>Nicolas Cage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Faye Dunaway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Gina Gershon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Natalie Eva Marie</t>
    </r>
  </si>
  <si>
    <r>
      <t>Matt Spicer (director/screenplay); </t>
    </r>
    <r>
      <rPr>
        <sz val="12"/>
        <color rgb="FF0B0080"/>
        <rFont val="Arial"/>
        <family val="2"/>
      </rPr>
      <t>Aubrey Plaza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Elizabeth Olsen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O'Shea Jackson Jr.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Wyatt Russell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Billy Magnussen</t>
    </r>
  </si>
  <si>
    <r>
      <t>Lionsgate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Twisted Pictures</t>
    </r>
  </si>
  <si>
    <r>
      <t>The Spierig Brothers</t>
    </r>
    <r>
      <rPr>
        <sz val="12"/>
        <color rgb="FF222222"/>
        <rFont val="Arial"/>
        <family val="2"/>
      </rPr>
      <t> (directors); </t>
    </r>
    <r>
      <rPr>
        <sz val="12"/>
        <color rgb="FF0B0080"/>
        <rFont val="Arial"/>
        <family val="2"/>
      </rPr>
      <t>Josh Stolberg</t>
    </r>
    <r>
      <rPr>
        <sz val="12"/>
        <color rgb="FF222222"/>
        <rFont val="Arial"/>
        <family val="2"/>
      </rPr>
      <t>, Pete Goldfinger (screenplay); </t>
    </r>
    <r>
      <rPr>
        <sz val="12"/>
        <color rgb="FF0B0080"/>
        <rFont val="Arial"/>
        <family val="2"/>
      </rPr>
      <t>Tobin 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Mandela Van Peebles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Laura Vandervoort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Brittany Allen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Callum Keith Rennie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Matt Passmore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</si>
  <si>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DC Entertainment</t>
    </r>
  </si>
  <si>
    <r>
      <t>Zack Snyder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Chris Terrio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Joss Whedon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Ben Affleck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Henry Cavill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Gal Gadot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Momoa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Ezra Miller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Ray Fisher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Adams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Jesse Eisenberg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Amber Heard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Jeremy Irons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J. K. Simmons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Willem Dafoe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Julian Lewis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Ciarán Hinds</t>
    </r>
  </si>
  <si>
    <r>
      <t>Greta Gerwig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Saoirse Ronan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Laurie Metcalf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Tracy Letts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Lucas Hedges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Timothée Chalamet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Beanie Feldstein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McKinley Henderson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Lois Smith</t>
    </r>
  </si>
  <si>
    <r>
      <t>William Oldroyd (director); Alice Birch, </t>
    </r>
    <r>
      <rPr>
        <sz val="12"/>
        <color rgb="FF0B0080"/>
        <rFont val="Arial"/>
        <family val="2"/>
      </rPr>
      <t>Florence Pugh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Cosmo Jarvis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Hilton</t>
    </r>
    <r>
      <rPr>
        <sz val="12"/>
        <color rgb="FF222222"/>
        <rFont val="Arial"/>
        <family val="2"/>
      </rPr>
      <t>, Naomi Ackie, </t>
    </r>
    <r>
      <rPr>
        <sz val="12"/>
        <color rgb="FF0B0080"/>
        <rFont val="Arial"/>
        <family val="2"/>
      </rPr>
      <t>Christopher Fairbank</t>
    </r>
  </si>
  <si>
    <r>
      <t>Martin Zandvliet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Roland Møller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Mikkel Følsgaard</t>
    </r>
  </si>
  <si>
    <r>
      <t>Richard Linklater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Darryl Ponicsan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Steve Carell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Bryan Cranston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Laurence Fishburne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Yul Vazquez</t>
    </r>
  </si>
  <si>
    <r>
      <t>Lionsgate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Millennium Films</t>
    </r>
    <r>
      <rPr>
        <sz val="12"/>
        <color rgb="FF222222"/>
        <rFont val="Arial"/>
        <family val="2"/>
      </rPr>
      <t>/ </t>
    </r>
    <r>
      <rPr>
        <sz val="12"/>
        <color rgb="FF0B0080"/>
        <rFont val="Arial"/>
        <family val="2"/>
      </rPr>
      <t>DirecTV</t>
    </r>
  </si>
  <si>
    <r>
      <t>Julien Maury and Alexandre Bustillo</t>
    </r>
    <r>
      <rPr>
        <sz val="12"/>
        <color rgb="FF222222"/>
        <rFont val="Arial"/>
        <family val="2"/>
      </rPr>
      <t> (directors); Seth M. Sherwood (screenplay); </t>
    </r>
    <r>
      <rPr>
        <sz val="12"/>
        <color rgb="FF0B0080"/>
        <rFont val="Arial"/>
        <family val="2"/>
      </rPr>
      <t>Stephen Dorff</t>
    </r>
    <r>
      <rPr>
        <sz val="12"/>
        <color rgb="FF222222"/>
        <rFont val="Arial"/>
        <family val="2"/>
      </rPr>
      <t>, Vanessa Grasse, </t>
    </r>
    <r>
      <rPr>
        <sz val="12"/>
        <color rgb="FF0B0080"/>
        <rFont val="Arial"/>
        <family val="2"/>
      </rPr>
      <t>Sam Strike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Lili Taylor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Bloor</t>
    </r>
    <r>
      <rPr>
        <sz val="12"/>
        <color rgb="FF222222"/>
        <rFont val="Arial"/>
        <family val="2"/>
      </rPr>
      <t>, Jessica Madsen, Sam Coleman, </t>
    </r>
    <r>
      <rPr>
        <sz val="12"/>
        <color rgb="FF0B0080"/>
        <rFont val="Arial"/>
        <family val="2"/>
      </rPr>
      <t>Finn Jones</t>
    </r>
  </si>
  <si>
    <r>
      <t>Janicza Bravo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Brett Gelman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Judy Greer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Cera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Shiri Appleby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Fred Melamed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Rhea Perlman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Paymer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Gillian Jacobs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 Daly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Martin Starr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Megan Mullally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Jeff Garlin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Elizabeth De Razzo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Marla Gibbs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Nia Long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</si>
  <si>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Marvel Entertainment</t>
    </r>
  </si>
  <si>
    <r>
      <t>James Mangold</t>
    </r>
    <r>
      <rPr>
        <sz val="12"/>
        <color rgb="FF222222"/>
        <rFont val="Arial"/>
        <family val="2"/>
      </rPr>
      <t> (director/sceenplay); </t>
    </r>
    <r>
      <rPr>
        <sz val="12"/>
        <color rgb="FF0B0080"/>
        <rFont val="Arial"/>
        <family val="2"/>
      </rPr>
      <t>Scott Frank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Green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Hugh Jackman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Patrick Stewart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Boyd Holbrook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Merchant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Richard E. Grant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Eriq La Salle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Elise Neal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Elizabeth Rodriguez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Dafne Keen</t>
    </r>
  </si>
  <si>
    <r>
      <t>Bleecker Street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FilmNation Entertainment</t>
    </r>
  </si>
  <si>
    <r>
      <t>Steven Soderbergh</t>
    </r>
    <r>
      <rPr>
        <sz val="12"/>
        <color rgb="FF222222"/>
        <rFont val="Arial"/>
        <family val="2"/>
      </rPr>
      <t> (director); Rebecca Blunt (screenplay); </t>
    </r>
    <r>
      <rPr>
        <sz val="12"/>
        <color rgb="FF0B0080"/>
        <rFont val="Arial"/>
        <family val="2"/>
      </rPr>
      <t>Channing Tatum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Adam Driver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Riley Keough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Daniel Craig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Hilary Swank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Seth MacFarlane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Katie Holmes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Katherine Waterston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Sebastian Stan</t>
    </r>
  </si>
  <si>
    <r>
      <t>Evan Oppenheimer (director/screenplay); </t>
    </r>
    <r>
      <rPr>
        <sz val="12"/>
        <color rgb="FF0B0080"/>
        <rFont val="Arial"/>
        <family val="2"/>
      </rPr>
      <t>Brett Dalton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Stana Katic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Alessandra Mastronardi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Alessandro Preziosi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Emily Atack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 Aramayo</t>
    </r>
    <r>
      <rPr>
        <sz val="12"/>
        <color rgb="FF222222"/>
        <rFont val="Arial"/>
        <family val="2"/>
      </rPr>
      <t>, Marco Bonini</t>
    </r>
  </si>
  <si>
    <r>
      <t>So Yong Kim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Jena Malone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Riley Keough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Brooklyn Decker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Seimetz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Marshall Chapman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Ryan Eggold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Rosanna Arquette</t>
    </r>
  </si>
  <si>
    <r>
      <t>Dorota Kobiela, </t>
    </r>
    <r>
      <rPr>
        <sz val="12"/>
        <color rgb="FF0B0080"/>
        <rFont val="Arial"/>
        <family val="2"/>
      </rPr>
      <t>Hugh Welchman</t>
    </r>
    <r>
      <rPr>
        <sz val="12"/>
        <color rgb="FF222222"/>
        <rFont val="Arial"/>
        <family val="2"/>
      </rPr>
      <t> (directors/screenplay); </t>
    </r>
    <r>
      <rPr>
        <sz val="12"/>
        <color rgb="FF0B0080"/>
        <rFont val="Arial"/>
        <family val="2"/>
      </rPr>
      <t>Douglas Booth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Jerome Flynn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Saoirse Ronan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Helen McCrory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 O'Dowd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Sessions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Eleanor Tomlinson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Aidan Turner</t>
    </r>
  </si>
  <si>
    <r>
      <t>BH Tilt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Imagine Entertainment</t>
    </r>
  </si>
  <si>
    <r>
      <t>Ricardo de Montreuil</t>
    </r>
    <r>
      <rPr>
        <sz val="12"/>
        <color rgb="FF222222"/>
        <rFont val="Arial"/>
        <family val="2"/>
      </rPr>
      <t> (director); Justin Tipping (screenplay); </t>
    </r>
    <r>
      <rPr>
        <sz val="12"/>
        <color rgb="FF0B0080"/>
        <rFont val="Arial"/>
        <family val="2"/>
      </rPr>
      <t>Demián Bichir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Gabriel Chavarria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Theo Rossi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Melissa Benoist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 Revolori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Eva Longoria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Cress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Yvette Monreal</t>
    </r>
  </si>
  <si>
    <r>
      <t>Sony Pictures Classics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Mandalay Pictures</t>
    </r>
  </si>
  <si>
    <r>
      <t>Peter Landesman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Liam Neeson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Diane Lane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Marton Csokas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Ike Barinholtz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 Goldwyn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Bruce Greenwood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C. 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Brian d'Arcy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Lucas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Eddie Marsan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Wendi McLendon-Covey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Maika Monroe</t>
    </r>
  </si>
  <si>
    <r>
      <t>Joe Lynch</t>
    </r>
    <r>
      <rPr>
        <sz val="12"/>
        <color rgb="FF222222"/>
        <rFont val="Arial"/>
        <family val="2"/>
      </rPr>
      <t> (director); Matias Caruso (screenplay); </t>
    </r>
    <r>
      <rPr>
        <sz val="12"/>
        <color rgb="FF0B0080"/>
        <rFont val="Arial"/>
        <family val="2"/>
      </rPr>
      <t>Steven Yeun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Samara Weaving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Steven Brand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Caroline Chikezie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Kerry Fox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Dallas Roberts</t>
    </r>
  </si>
  <si>
    <r>
      <t>Gabriela Cowperthwaite (director); </t>
    </r>
    <r>
      <rPr>
        <sz val="12"/>
        <color rgb="FF0B0080"/>
        <rFont val="Arial"/>
        <family val="2"/>
      </rPr>
      <t>Annie Mumolo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Kate Mara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Edie Falco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Common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Ramón Rodríguez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Felton</t>
    </r>
  </si>
  <si>
    <r>
      <t>Aaron Sorkin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Jessica Chastain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Idris Elba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Costner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Brian d'Arcy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Cera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 O'Dowd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 Camp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Jeremy Strong</t>
    </r>
  </si>
  <si>
    <r>
      <t>Darren Aronofsky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Jennifer Lawrence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Javier Bardem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Michelle Pfeiffer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Domhnall Gleeson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 Harris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Wiig</t>
    </r>
  </si>
  <si>
    <r>
      <t>Noël Wells</t>
    </r>
    <r>
      <rPr>
        <sz val="12"/>
        <color rgb="FF222222"/>
        <rFont val="Arial"/>
        <family val="2"/>
      </rPr>
      <t> (director/screenplay); Noël Wells, </t>
    </r>
    <r>
      <rPr>
        <sz val="12"/>
        <color rgb="FF0B0080"/>
        <rFont val="Arial"/>
        <family val="2"/>
      </rPr>
      <t>Nick Thune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Britt Lower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Daniella Pineda</t>
    </r>
    <r>
      <rPr>
        <sz val="12"/>
        <color rgb="FF222222"/>
        <rFont val="Arial"/>
        <family val="2"/>
      </rPr>
      <t>, Andre Hyland, </t>
    </r>
    <r>
      <rPr>
        <sz val="12"/>
        <color rgb="FF0B0080"/>
        <rFont val="Arial"/>
        <family val="2"/>
      </rPr>
      <t>Doug Benson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Armen Weitzman</t>
    </r>
    <r>
      <rPr>
        <sz val="12"/>
        <color rgb="FF222222"/>
        <rFont val="Arial"/>
        <family val="2"/>
      </rPr>
      <t>, Sergio Cilli</t>
    </r>
  </si>
  <si>
    <r>
      <t>Roger Michell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Rachel Weisz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 Claflin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Iain Glen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Holliday Grainger</t>
    </r>
  </si>
  <si>
    <r>
      <t>Dash Shaw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Jason Schwartzman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Reggie Watts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Lena Dunham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Maya Rudolph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Susan Sarandon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Thomas Jay Ryan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Alex Karpovsky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Cameron Mitchell</t>
    </r>
  </si>
  <si>
    <r>
      <t>Joseph Cedar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Richard Gere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Lior Ashkenazi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Hank Azaria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 Buscemi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Charlotte Gainsbourg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Sheen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 Stevens</t>
    </r>
  </si>
  <si>
    <r>
      <t>Maggie Betts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Margaret Qualley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Melissa Leo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Morgan Saylor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Dianna Agron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Julianne Nicholson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Liana Liberato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Denis O'Hare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Maddie Hasson</t>
    </r>
  </si>
  <si>
    <r>
      <t>Joseph Kosinski</t>
    </r>
    <r>
      <rPr>
        <sz val="12"/>
        <color rgb="FF222222"/>
        <rFont val="Arial"/>
        <family val="2"/>
      </rPr>
      <t> (director); Ken Nolan, </t>
    </r>
    <r>
      <rPr>
        <sz val="12"/>
        <color rgb="FF0B0080"/>
        <rFont val="Arial"/>
        <family val="2"/>
      </rPr>
      <t>Eric Warren Singer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Ben Hardy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Connelly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Taylor Kitsch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Miles Teller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Badge Dale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Brolin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Jeff Bridges</t>
    </r>
  </si>
  <si>
    <r>
      <t>Eleanor Coppola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Diane Lane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Alec Baldwin</t>
    </r>
    <r>
      <rPr>
        <sz val="12"/>
        <color rgb="FF222222"/>
        <rFont val="Arial"/>
        <family val="2"/>
      </rPr>
      <t>, Arnaud Viard</t>
    </r>
  </si>
  <si>
    <r>
      <t>Geremy Jasper (director/screenplay); </t>
    </r>
    <r>
      <rPr>
        <sz val="12"/>
        <color rgb="FF0B0080"/>
        <rFont val="Arial"/>
        <family val="2"/>
      </rPr>
      <t>Danielle Macdonald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McCaul Lombardi</t>
    </r>
  </si>
  <si>
    <r>
      <t>Colette Burson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Patricia Arquette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Rainn Wilson</t>
    </r>
    <r>
      <rPr>
        <sz val="12"/>
        <color rgb="FF222222"/>
        <rFont val="Arial"/>
        <family val="2"/>
      </rPr>
      <t>, Kira McLean, Nena Daniels</t>
    </r>
  </si>
  <si>
    <r>
      <t>Olivier Assayas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Kristen Stewart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Anders Danielsen Lie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Lars Eidinger</t>
    </r>
    <r>
      <rPr>
        <sz val="12"/>
        <color rgb="FF222222"/>
        <rFont val="Arial"/>
        <family val="2"/>
      </rPr>
      <t>, Nora von Waldstätten, Pamela Betsy Cooper, </t>
    </r>
    <r>
      <rPr>
        <sz val="12"/>
        <color rgb="FF0B0080"/>
        <rFont val="Arial"/>
        <family val="2"/>
      </rPr>
      <t>Benjamin Biolay</t>
    </r>
  </si>
  <si>
    <r>
      <t>Angela Robinson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Luke Evans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Rebecca 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Bella Heathcote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Connie Britton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Oliver Platt</t>
    </r>
  </si>
  <si>
    <r>
      <t>Ding Sheng</t>
    </r>
    <r>
      <rPr>
        <sz val="12"/>
        <color rgb="FF222222"/>
        <rFont val="Arial"/>
        <family val="2"/>
      </rPr>
      <t>; </t>
    </r>
    <r>
      <rPr>
        <sz val="12"/>
        <color rgb="FF0B0080"/>
        <rFont val="Arial"/>
        <family val="2"/>
      </rPr>
      <t>Jackie Chan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Huang Zitao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Jaycee Chan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Wang Kai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Darren Wang</t>
    </r>
  </si>
  <si>
    <r>
      <t>Julia Ducournau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Garance Marillier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Ella Rumpf</t>
    </r>
    <r>
      <rPr>
        <sz val="12"/>
        <color rgb="FF222222"/>
        <rFont val="Arial"/>
        <family val="2"/>
      </rPr>
      <t>, Rabah Naït Oufella, </t>
    </r>
    <r>
      <rPr>
        <sz val="12"/>
        <color rgb="FF0B0080"/>
        <rFont val="Arial"/>
        <family val="2"/>
      </rPr>
      <t>Laurent Lucas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Joana Preiss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Bouli Lanners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Marion Vernoux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Jean-Louis Sbille</t>
    </r>
  </si>
  <si>
    <r>
      <t>Screen Gems</t>
    </r>
    <r>
      <rPr>
        <sz val="12"/>
        <color rgb="FF222222"/>
        <rFont val="Arial"/>
        <family val="2"/>
      </rPr>
      <t> / Impact Pictures / Davis Films / </t>
    </r>
    <r>
      <rPr>
        <sz val="12"/>
        <color rgb="FF0B0080"/>
        <rFont val="Arial"/>
        <family val="2"/>
      </rPr>
      <t>Constantin Film</t>
    </r>
  </si>
  <si>
    <r>
      <t>Paul W. S. Anderson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Milla Jovovich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Shawn Roberts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Ruby Rose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William Levy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Iain Glen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Eoin Macken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Lee Joon-gi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Ali Larter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</si>
  <si>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Cross Creek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Image Nation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Escape Artists</t>
    </r>
  </si>
  <si>
    <r>
      <t>Dan Gilroy</t>
    </r>
    <r>
      <rPr>
        <sz val="12"/>
        <color rgb="FF222222"/>
        <rFont val="Arial"/>
        <family val="2"/>
      </rPr>
      <t> (director/screenplay), </t>
    </r>
    <r>
      <rPr>
        <sz val="12"/>
        <color rgb="FF0B0080"/>
        <rFont val="Arial"/>
        <family val="2"/>
      </rPr>
      <t>Denzel Washington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Colin Farrell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Carmen Ejogo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Shelley Hennig</t>
    </r>
  </si>
  <si>
    <r>
      <t>Paramount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Pure Flix Entertainment</t>
    </r>
  </si>
  <si>
    <r>
      <t>Michael Carney (director/screenplay); </t>
    </r>
    <r>
      <rPr>
        <sz val="12"/>
        <color rgb="FF0B0080"/>
        <rFont val="Arial"/>
        <family val="2"/>
      </rPr>
      <t>Ron Hall</t>
    </r>
    <r>
      <rPr>
        <sz val="12"/>
        <color rgb="FF222222"/>
        <rFont val="Arial"/>
        <family val="2"/>
      </rPr>
      <t>, Alexander Foard (screenplay); </t>
    </r>
    <r>
      <rPr>
        <sz val="12"/>
        <color rgb="FF0B0080"/>
        <rFont val="Arial"/>
        <family val="2"/>
      </rPr>
      <t>Renée Zellweger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 Voight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Djimon Hounsou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Olivia Holt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Greg Kinnear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Stephanie Leigh Schlund</t>
    </r>
  </si>
  <si>
    <r>
      <t>Open Road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FilmNation Entertainment</t>
    </r>
  </si>
  <si>
    <r>
      <t>Baran bo Odar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Andrea Berloff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Jamie Foxx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T.I.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Drew Sidora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Lloyd Banks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Gabrielle Union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Harbour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Young Jeezy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Michelle Monaghan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Scoot McNairy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Sala Baker</t>
    </r>
  </si>
  <si>
    <r>
      <t>BH Tilt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WWE Studios</t>
    </r>
  </si>
  <si>
    <r>
      <t>J.D. Dillard (director/screenplay); </t>
    </r>
    <r>
      <rPr>
        <sz val="12"/>
        <color rgb="FF0B0080"/>
        <rFont val="Arial"/>
        <family val="2"/>
      </rPr>
      <t>Jacob Latimore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Seychelle Gabriel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Dulé Hill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Storm Reid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Sasheer Zamata</t>
    </r>
    <r>
      <rPr>
        <sz val="12"/>
        <color rgb="FF222222"/>
        <rFont val="Arial"/>
        <family val="2"/>
      </rPr>
      <t>, Michael Villar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</si>
  <si>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TSG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Chernin Entertainment</t>
    </r>
  </si>
  <si>
    <r>
      <t>Jonathan Levine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Katie Dippold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Schumer</t>
    </r>
    <r>
      <rPr>
        <sz val="12"/>
        <color rgb="FF222222"/>
        <rFont val="Arial"/>
        <family val="2"/>
      </rPr>
      <t>, Kim Caramele (screenplay); Amy Schumer, </t>
    </r>
    <r>
      <rPr>
        <sz val="12"/>
        <color rgb="FF0B0080"/>
        <rFont val="Arial"/>
        <family val="2"/>
      </rPr>
      <t>Goldie Hawn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Christopher Meloni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Ike Barinholtz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Óscar Jaenada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Wanda Sykes</t>
    </r>
  </si>
  <si>
    <r>
      <t>Terrence Malick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Ryan Gosling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Fassbender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Rooney Mara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Natalie Portman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Christian Bale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Cate Blanchett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Benicio del Toro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Val Kilmer</t>
    </r>
  </si>
  <si>
    <r>
      <t>Open Road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ToonBox Entertainment</t>
    </r>
  </si>
  <si>
    <r>
      <t>Aaron Woodley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Jace Norman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Jessica Biel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Susan Sarandon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Patrick Stewart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Hilary Swank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</si>
  <si>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Marvel Studios</t>
    </r>
  </si>
  <si>
    <r>
      <t>Jon Watts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John Francis Daley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Jonathan M. Goldstein</t>
    </r>
    <r>
      <rPr>
        <sz val="12"/>
        <color rgb="FF222222"/>
        <rFont val="Arial"/>
        <family val="2"/>
      </rPr>
      <t>, Christopher Ford, </t>
    </r>
    <r>
      <rPr>
        <sz val="12"/>
        <color rgb="FF0B0080"/>
        <rFont val="Arial"/>
        <family val="2"/>
      </rPr>
      <t>Chris McKenna</t>
    </r>
    <r>
      <rPr>
        <sz val="12"/>
        <color rgb="FF222222"/>
        <rFont val="Arial"/>
        <family val="2"/>
      </rPr>
      <t>, Erik Sommers (screenplay); </t>
    </r>
    <r>
      <rPr>
        <sz val="12"/>
        <color rgb="FF0B0080"/>
        <rFont val="Arial"/>
        <family val="2"/>
      </rPr>
      <t>Tom Holland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Keaton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Zendaya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Donald Glover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Jacob Batalon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Laura Harrier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 Revolori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Tyne Daly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Bokeem Woodbine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Marisa Tomei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Robert Downey Jr.</t>
    </r>
  </si>
  <si>
    <r>
      <t>George Clooney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Joel Coen, Ethan Coen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Grant Heslov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Matt Damon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Julianne Moore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Oscar Isaac</t>
    </r>
  </si>
  <si>
    <r>
      <t>TriStar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Film4 Productions</t>
    </r>
  </si>
  <si>
    <r>
      <t>Danny Boyle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John Hodge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Ewan McGregor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Jonny Lee Miller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Ewen Bremner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Robert Carlyle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Kelly Macdonald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Cosmo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Shirley Henderson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Irvine Welsh</t>
    </r>
  </si>
  <si>
    <r>
      <t>Jeffrey Blitz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Jay Duplass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Mark Duplass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Anna Kendrick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Amanda Crew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Merchant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Lisa Kudrow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Wyatt Russell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Craig Robinson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 Revolori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June Squibb</t>
    </r>
  </si>
  <si>
    <r>
      <t>Ana Lily Amirpour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Suki Waterhouse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Momoa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Giovanni Ribisi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Yolonda Ross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Diego Luna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Keanu Reeves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Jim Carrey</t>
    </r>
  </si>
  <si>
    <r>
      <t>Michael Showalter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Kumail Nanjiani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Emily V. Gordon</t>
    </r>
    <r>
      <rPr>
        <sz val="12"/>
        <color rgb="FF222222"/>
        <rFont val="Arial"/>
        <family val="2"/>
      </rPr>
      <t>(screenplay); Kumail Nanjiani, </t>
    </r>
    <r>
      <rPr>
        <sz val="12"/>
        <color rgb="FF0B0080"/>
        <rFont val="Arial"/>
        <family val="2"/>
      </rPr>
      <t>Zoe Kazan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Holly Hunter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Ray Romano</t>
    </r>
  </si>
  <si>
    <r>
      <t>Oz Perkins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Emma Roberts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Kiernan Shipka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Lucy Boynton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Lauren Holly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Remar</t>
    </r>
  </si>
  <si>
    <r>
      <t>Colin Trevorrow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Gregg Hurwitz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Naomi Watts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Jacob Tremblay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Jaeden Lieberher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Dean Norris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Maddie Ziegler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Sarah Silverman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Lee Pace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Bobby Moynihan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Tonya Pinkins</t>
    </r>
  </si>
  <si>
    <r>
      <t>Bill Purple (director/screenplay); </t>
    </r>
    <r>
      <rPr>
        <sz val="12"/>
        <color rgb="FF0B0080"/>
        <rFont val="Arial"/>
        <family val="2"/>
      </rPr>
      <t>Jason Sudeikis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Jessica Biel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Maisie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Mary Steenburgen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Orlando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Reiser</t>
    </r>
  </si>
  <si>
    <r>
      <t>STX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Los Angeles Media Fund</t>
    </r>
    <r>
      <rPr>
        <sz val="12"/>
        <color rgb="FF222222"/>
        <rFont val="Arial"/>
        <family val="2"/>
      </rPr>
      <t> / TANG Media Productions / </t>
    </r>
    <r>
      <rPr>
        <sz val="12"/>
        <color rgb="FF0B0080"/>
        <rFont val="Arial"/>
        <family val="2"/>
      </rPr>
      <t>Intrepid Pictures</t>
    </r>
  </si>
  <si>
    <r>
      <t>Stacy Title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Jonathan Penner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Douglas Smith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Doug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Trucco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Cressida Bonas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Lucien Laviscount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Carrie-Anne Moss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Faye Dunaway</t>
    </r>
  </si>
  <si>
    <r>
      <t>Oren Moverman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Richard Gere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Laura Linney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 Coogan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Rebecca 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Adepero Oduye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Chloë Sevigny</t>
    </r>
    <r>
      <rPr>
        <sz val="12"/>
        <color rgb="FF222222"/>
        <rFont val="Arial"/>
        <family val="2"/>
      </rPr>
      <t>, </t>
    </r>
    <r>
      <rPr>
        <sz val="12"/>
        <color rgb="FFA55858"/>
        <rFont val="Arial"/>
        <family val="2"/>
      </rPr>
      <t>Miles J. Harvey</t>
    </r>
  </si>
  <si>
    <r>
      <t>Charlie McDowell</t>
    </r>
    <r>
      <rPr>
        <sz val="12"/>
        <color rgb="FF222222"/>
        <rFont val="Arial"/>
        <family val="2"/>
      </rPr>
      <t> (director/screenplay); Justin Lader (screenplay); </t>
    </r>
    <r>
      <rPr>
        <sz val="12"/>
        <color rgb="FF0B0080"/>
        <rFont val="Arial"/>
        <family val="2"/>
      </rPr>
      <t>Jason Segel</t>
    </r>
    <r>
      <rPr>
        <sz val="12"/>
        <color rgb="FF222222"/>
        <rFont val="Arial"/>
        <family val="2"/>
      </rPr>
      <t>, </t>
    </r>
    <r>
      <rPr>
        <u/>
        <sz val="12"/>
        <color rgb="FF0B0080"/>
        <rFont val="Arial"/>
        <family val="2"/>
      </rPr>
      <t>Rooney Mara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Robert Redford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Jesse Plemons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Riley Keough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</si>
  <si>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Sony Pictures Animation</t>
    </r>
  </si>
  <si>
    <r>
      <t>Tony Leondis</t>
    </r>
    <r>
      <rPr>
        <sz val="12"/>
        <color rgb="FF222222"/>
        <rFont val="Arial"/>
        <family val="2"/>
      </rPr>
      <t> (director/screenplay); Eric Siegel, </t>
    </r>
    <r>
      <rPr>
        <sz val="12"/>
        <color rgb="FF0B0080"/>
        <rFont val="Arial"/>
        <family val="2"/>
      </rPr>
      <t>Mike White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T. J. Miller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Anna Faris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Corden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Coolidge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 Riggle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Steven Wright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Patrick Stewart</t>
    </r>
  </si>
  <si>
    <r>
      <t>Sean Baker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Chris Bergoch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Willem Dafoe</t>
    </r>
    <r>
      <rPr>
        <sz val="12"/>
        <color rgb="FF222222"/>
        <rFont val="Arial"/>
        <family val="2"/>
      </rPr>
      <t>, Bria Vinaite, Brooklynn Prince, Valeria Cotto, </t>
    </r>
    <r>
      <rPr>
        <sz val="12"/>
        <color rgb="FF0B0080"/>
        <rFont val="Arial"/>
        <family val="2"/>
      </rPr>
      <t>Caleb Landry Jones</t>
    </r>
  </si>
  <si>
    <r>
      <t>STX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Huayi Brothers Pictures</t>
    </r>
  </si>
  <si>
    <r>
      <t>Martin Campbell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David Marconi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Jackie Chan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Pierce Brosnan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Charlie Murphy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McElhatton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Liu Tao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Orla Brady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Katie Leung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Manolo Cardona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Simon Kunz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Pippa Bennett-Warner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Roberta Taylor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Dermot Crowley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Rufus Jones</t>
    </r>
  </si>
  <si>
    <r>
      <t>Saban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Lionsgate</t>
    </r>
  </si>
  <si>
    <r>
      <t>Colm McCarthy</t>
    </r>
    <r>
      <rPr>
        <sz val="12"/>
        <color rgb="FF222222"/>
        <rFont val="Arial"/>
        <family val="2"/>
      </rPr>
      <t> (director), </t>
    </r>
    <r>
      <rPr>
        <sz val="12"/>
        <color rgb="FF0B0080"/>
        <rFont val="Arial"/>
        <family val="2"/>
      </rPr>
      <t>M.R. Carey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Gemma Arterton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Glenn Close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Paddy Considine</t>
    </r>
    <r>
      <rPr>
        <sz val="12"/>
        <color rgb="FF222222"/>
        <rFont val="Arial"/>
        <family val="2"/>
      </rPr>
      <t>, Sennia Nanua</t>
    </r>
  </si>
  <si>
    <r>
      <t>Destin Daniel Cretton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Marti Noxon</t>
    </r>
    <r>
      <rPr>
        <sz val="12"/>
        <color rgb="FF222222"/>
        <rFont val="Arial"/>
        <family val="2"/>
      </rPr>
      <t>, Andrew Lanham (screenplay); </t>
    </r>
    <r>
      <rPr>
        <sz val="12"/>
        <color rgb="FF0B0080"/>
        <rFont val="Arial"/>
        <family val="2"/>
      </rPr>
      <t>Brie Larson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Naomi Watts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Woody Harrelson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Sarah Snook</t>
    </r>
  </si>
  <si>
    <r>
      <t>Paul Shoulberg (director/screenplay); </t>
    </r>
    <r>
      <rPr>
        <sz val="12"/>
        <color rgb="FF0B0080"/>
        <rFont val="Arial"/>
        <family val="2"/>
      </rPr>
      <t>Zachary Spicer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Wrenn Schmidt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C. McGinley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Danny Glover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</si>
  <si>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Legendary Pictures</t>
    </r>
  </si>
  <si>
    <r>
      <t>Zhang Yimou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Tony Gilroy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 Brancato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Doug Miro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Andy Lau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Matt Damon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Willem Dafoe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Jing Tian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Pedro Pascal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Zhang Hanyu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Eddie Peng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 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Lin Gengxin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Chen Xuedong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Huang Xuan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Wang Junkai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Ryan Zheng</t>
    </r>
    <r>
      <rPr>
        <sz val="12"/>
        <color rgb="FF222222"/>
        <rFont val="Arial"/>
        <family val="2"/>
      </rPr>
      <t>, Yu Xintian, Liu Qiong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</si>
  <si>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Chernin Entertainment</t>
    </r>
  </si>
  <si>
    <r>
      <t>Michael Gracey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Jenny Bicks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 Condon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Hugh Jackman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 Efron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Rebecca Ferguson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Michelle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Yahya Abdul-Mateen II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Zendaya</t>
    </r>
  </si>
  <si>
    <r>
      <t>Yorgos Lanthimos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Colin Farrell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Nicole Kidman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Barry Keoghan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Raffey Cassidy</t>
    </r>
    <r>
      <rPr>
        <sz val="12"/>
        <color rgb="FF222222"/>
        <rFont val="Arial"/>
        <family val="2"/>
      </rPr>
      <t>, Sunny Suljic, </t>
    </r>
    <r>
      <rPr>
        <sz val="12"/>
        <color rgb="FF0B0080"/>
        <rFont val="Arial"/>
        <family val="2"/>
      </rPr>
      <t>Alicia Silverstone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 Camp</t>
    </r>
  </si>
  <si>
    <r>
      <t>Mark Pellington</t>
    </r>
    <r>
      <rPr>
        <sz val="12"/>
        <color rgb="FF222222"/>
        <rFont val="Arial"/>
        <family val="2"/>
      </rPr>
      <t> (director); Stuart Ross Fink (screenplay); </t>
    </r>
    <r>
      <rPr>
        <sz val="12"/>
        <color rgb="FF0B0080"/>
        <rFont val="Arial"/>
        <family val="2"/>
      </rPr>
      <t>Shirley MacLaine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Amanda Seyfried</t>
    </r>
  </si>
  <si>
    <r>
      <t>Jeff Baena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Alison Brie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Dave Franco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Kate Micucci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Aubrey Plaza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C. Reilly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Molly Shannon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Fred Armisen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Jemima Kirke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Lauren Weedman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Nick Offerman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Reiser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Adam Pally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Weitz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 Gabrus</t>
    </r>
  </si>
  <si>
    <r>
      <t>James Gray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Charlie Hunnam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Robert Pattinson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Holland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Sienna Miller</t>
    </r>
  </si>
  <si>
    <r>
      <t>Azazel Jacobs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Debra Winger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Tracy Letts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Aidan Gillen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Melora Walters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Tyler Ross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Jessica Sula</t>
    </r>
  </si>
  <si>
    <r>
      <t>Bharat Nalluri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Susan Coyne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Dan Stevens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Christopher Plummer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Jonathan Pryce</t>
    </r>
  </si>
  <si>
    <r>
      <t>Cal Brunker (director/screenplay); </t>
    </r>
    <r>
      <rPr>
        <sz val="12"/>
        <color rgb="FF0B0080"/>
        <rFont val="Arial"/>
        <family val="2"/>
      </rPr>
      <t>Bob Barlen</t>
    </r>
    <r>
      <rPr>
        <sz val="12"/>
        <color rgb="FF222222"/>
        <rFont val="Arial"/>
        <family val="2"/>
      </rPr>
      <t>, Scott Bindley (screenplay); </t>
    </r>
    <r>
      <rPr>
        <sz val="12"/>
        <color rgb="FF0B0080"/>
        <rFont val="Arial"/>
        <family val="2"/>
      </rPr>
      <t>Will Arnett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Katherine Heigl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Maya Rudolph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Sebastian Maniscalco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Kari Wahlgren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Bobby Moynihan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Isabela Moner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Bobby Cannavale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Gabriel Iglesias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Jeff Dunham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Peter Stormare</t>
    </r>
  </si>
  <si>
    <r>
      <t>Amazon Studios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Roadside Attractions</t>
    </r>
  </si>
  <si>
    <r>
      <t>Marc Webb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Allan Loeb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Callum Turner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Kate Beckinsale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Pierce Brosnan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Cynthia Nixon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Jeff Bridges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Kiersey Clemons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Debi Mazar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 Camp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Tate Donovan</t>
    </r>
  </si>
  <si>
    <r>
      <t>Peter Hutchings (director); Dominique Ferrari, Suzanne Wrubel (screenplay); </t>
    </r>
    <r>
      <rPr>
        <sz val="12"/>
        <color rgb="FF0B0080"/>
        <rFont val="Arial"/>
        <family val="2"/>
      </rPr>
      <t>Victoria Justice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Eden Sher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Ashley Rickards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Claudia Lee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Katie Chang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Peyton List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Avan Jogia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 Peltz</t>
    </r>
    <r>
      <rPr>
        <sz val="12"/>
        <color rgb="FF222222"/>
        <rFont val="Arial"/>
        <family val="2"/>
      </rPr>
      <t>, Harry Katzman</t>
    </r>
  </si>
  <si>
    <r>
      <t>Terry George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Robin Swicord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Oscar Isaac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Charlotte Le Bon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Christian Bale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Daniel Giménez Cacho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Shohreh Aghdashloo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Rade Šerbedžija</t>
    </r>
  </si>
  <si>
    <r>
      <t>Minds Eye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Bridgegate Pictures</t>
    </r>
  </si>
  <si>
    <r>
      <t>Mauro Borrelli (director/screenplay), Travis Cloyd (executive producer); </t>
    </r>
    <r>
      <rPr>
        <sz val="12"/>
        <color rgb="FF0B0080"/>
        <rFont val="Arial"/>
        <family val="2"/>
      </rPr>
      <t>Wesley Snipes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R. J. Mitte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Jedidiah Goodacre</t>
    </r>
  </si>
  <si>
    <r>
      <t>FR, </t>
    </r>
    <r>
      <rPr>
        <sz val="12"/>
        <color rgb="FF0B0080"/>
        <rFont val="Arial"/>
        <family val="2"/>
      </rPr>
      <t>BE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JP</t>
    </r>
  </si>
  <si>
    <r>
      <t>BH Tilt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WWE Studios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Walden Media</t>
    </r>
  </si>
  <si>
    <r>
      <t>Dallas Jenkins (director); Andrea Gyertson Nasfell (screenplay); </t>
    </r>
    <r>
      <rPr>
        <sz val="12"/>
        <color rgb="FF0B0080"/>
        <rFont val="Arial"/>
        <family val="2"/>
      </rPr>
      <t>Brett Dalton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Anjelah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Neil Flynn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Shawn Michaels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D. B. Sweeney</t>
    </r>
  </si>
  <si>
    <r>
      <t>Guillermo del Toro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Vanessa Taylor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Sally Hawkins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Shannon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Richard Jenkins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Doug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Lauren Lee Smith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Stuhlbarg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Octavia Spencer</t>
    </r>
  </si>
  <si>
    <r>
      <t>STX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Huayi Brothers Media</t>
    </r>
  </si>
  <si>
    <r>
      <t>Peter Chelsom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Allan Loeb</t>
    </r>
    <r>
      <rPr>
        <sz val="12"/>
        <color rgb="FF222222"/>
        <rFont val="Arial"/>
        <family val="2"/>
      </rPr>
      <t>, Tinker Lindsay (screenplay); </t>
    </r>
    <r>
      <rPr>
        <sz val="12"/>
        <color rgb="FF0B0080"/>
        <rFont val="Arial"/>
        <family val="2"/>
      </rPr>
      <t>Asa Butterfield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Britt Robertson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Gary Oldman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Carla Gugino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B. D. Wong</t>
    </r>
  </si>
  <si>
    <r>
      <t>Aku Louhimies</t>
    </r>
    <r>
      <rPr>
        <sz val="12"/>
        <color rgb="FF222222"/>
        <rFont val="Arial"/>
        <family val="2"/>
      </rPr>
      <t> (director/screenplay); Jari Olavi Rantala (screenplay); </t>
    </r>
    <r>
      <rPr>
        <sz val="12"/>
        <color rgb="FF0B0080"/>
        <rFont val="Arial"/>
        <family val="2"/>
      </rPr>
      <t>Eero Aho</t>
    </r>
    <r>
      <rPr>
        <sz val="12"/>
        <color rgb="FF222222"/>
        <rFont val="Arial"/>
        <family val="2"/>
      </rPr>
      <t>, Johannes Holopainen, </t>
    </r>
    <r>
      <rPr>
        <sz val="12"/>
        <color rgb="FF0B0080"/>
        <rFont val="Arial"/>
        <family val="2"/>
      </rPr>
      <t>Jussi Vatanen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Aku Hirviniemi</t>
    </r>
    <r>
      <rPr>
        <sz val="12"/>
        <color rgb="FF222222"/>
        <rFont val="Arial"/>
        <family val="2"/>
      </rPr>
      <t>, Hannes Suominen, </t>
    </r>
    <r>
      <rPr>
        <sz val="12"/>
        <color rgb="FF0B0080"/>
        <rFont val="Arial"/>
        <family val="2"/>
      </rPr>
      <t>Paula Vesala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Samuli Vauramo</t>
    </r>
    <r>
      <rPr>
        <sz val="12"/>
        <color rgb="FF222222"/>
        <rFont val="Arial"/>
        <family val="2"/>
      </rPr>
      <t>, Joonas Saartamo, Arttu Kapulainen, Andrei Alén, Juho Milonoff, Matti Ristinen</t>
    </r>
  </si>
  <si>
    <r>
      <t>Doug Liman</t>
    </r>
    <r>
      <rPr>
        <sz val="12"/>
        <color rgb="FF222222"/>
        <rFont val="Arial"/>
        <family val="2"/>
      </rPr>
      <t> (director); Dwain Worrell (screenplay); </t>
    </r>
    <r>
      <rPr>
        <sz val="12"/>
        <color rgb="FF0B0080"/>
        <rFont val="Arial"/>
        <family val="2"/>
      </rPr>
      <t>Aaron Taylor-Johnson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Cena</t>
    </r>
  </si>
  <si>
    <r>
      <t>Niki Caro</t>
    </r>
    <r>
      <rPr>
        <sz val="12"/>
        <color rgb="FF222222"/>
        <rFont val="Arial"/>
        <family val="2"/>
      </rPr>
      <t> (director); Angela Workman (screenplay); </t>
    </r>
    <r>
      <rPr>
        <sz val="12"/>
        <color rgb="FF0B0080"/>
        <rFont val="Arial"/>
        <family val="2"/>
      </rPr>
      <t>Jessica Chastain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Johan Heldenbergh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Daniel Brühl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McElhatton</t>
    </r>
  </si>
  <si>
    <r>
      <t>Adam Smith</t>
    </r>
    <r>
      <rPr>
        <sz val="12"/>
        <color rgb="FF222222"/>
        <rFont val="Arial"/>
        <family val="2"/>
      </rPr>
      <t> (director); Alastair Siddons (screenplay); </t>
    </r>
    <r>
      <rPr>
        <sz val="12"/>
        <color rgb="FF0B0080"/>
        <rFont val="Arial"/>
        <family val="2"/>
      </rPr>
      <t>Michael Fassbender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Brendan Gleeson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Lyndsey Marshal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Killian Scott</t>
    </r>
  </si>
  <si>
    <r>
      <t>Denise Di Novi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David Leslie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Christina Hodson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Katherine Heigl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Rosario Dawson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Geoff Stults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Isabella Rice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Cheryl Ladd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Simon Kassianides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Whitney Cummings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Robert Wisdom</t>
    </r>
  </si>
  <si>
    <r>
      <t>Michael Apted</t>
    </r>
    <r>
      <rPr>
        <sz val="12"/>
        <color rgb="FF222222"/>
        <rFont val="Arial"/>
        <family val="2"/>
      </rPr>
      <t> (director); Peter O'Brien (screenplay); </t>
    </r>
    <r>
      <rPr>
        <sz val="12"/>
        <color rgb="FF0B0080"/>
        <rFont val="Arial"/>
        <family val="2"/>
      </rPr>
      <t>Noomi Rapace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Orlando Bloom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Toni Collette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Malkovich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Douglas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Jessica Boone</t>
    </r>
  </si>
  <si>
    <r>
      <t>Focus Features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Perfect World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BBC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Working Title Films</t>
    </r>
  </si>
  <si>
    <r>
      <t>Stephen Frears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Lee Hall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Judi Dench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Ali Fazal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Eddie Izzard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Tim Pigott-Smith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Adeel Akhtar</t>
    </r>
  </si>
  <si>
    <r>
      <t>Robin Swicord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Bryan Cranston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Garner</t>
    </r>
    <r>
      <rPr>
        <sz val="12"/>
        <color rgb="FF222222"/>
        <rFont val="Arial"/>
        <family val="2"/>
      </rPr>
      <t>, Victoria Bruno, </t>
    </r>
    <r>
      <rPr>
        <sz val="12"/>
        <color rgb="FF0B0080"/>
        <rFont val="Arial"/>
        <family val="2"/>
      </rPr>
      <t>Pippa Bennett-Warner</t>
    </r>
  </si>
  <si>
    <r>
      <t>Netflix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Plan B Entertainment</t>
    </r>
  </si>
  <si>
    <r>
      <t>David Michôd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Michael Hastings</t>
    </r>
    <r>
      <rPr>
        <sz val="12"/>
        <color rgb="FF222222"/>
        <rFont val="Arial"/>
        <family val="2"/>
      </rPr>
      <t> (book); </t>
    </r>
    <r>
      <rPr>
        <sz val="12"/>
        <color rgb="FF0B0080"/>
        <rFont val="Arial"/>
        <family val="2"/>
      </rPr>
      <t>Brad Pitt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Michael 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Topher Grace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Hayes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Magaro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Emory Cohen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Daniel Betts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Lakeith Stanfield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RJ Cyler</t>
    </r>
    <r>
      <rPr>
        <sz val="12"/>
        <color rgb="FF222222"/>
        <rFont val="Arial"/>
        <family val="2"/>
      </rPr>
      <t>, Aymen Hamdouchi, </t>
    </r>
    <r>
      <rPr>
        <sz val="12"/>
        <color rgb="FF0B0080"/>
        <rFont val="Arial"/>
        <family val="2"/>
      </rPr>
      <t>Alan Ruck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Meg Tilly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 Poulter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 Kingsley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Tilda Swinton</t>
    </r>
  </si>
  <si>
    <r>
      <t>John Michael McDonagh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Alexander Skarsgård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Pena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Caleb Landry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Theo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Tessa Thompson</t>
    </r>
  </si>
  <si>
    <r>
      <t>Craig Johnson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Daniel Clowes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Woody Harrelson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Laura Dern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Isabella Amara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Judy Greer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Cheryl Hines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Margo Martindale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Warshofsky</t>
    </r>
  </si>
  <si>
    <r>
      <t>Taylor Sheridan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Jeremy Renner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Elizabeth Olsen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 Bernthal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Kelsey Chow</t>
    </r>
  </si>
  <si>
    <r>
      <t>Woody Allen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Kate Winslet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Justin Timberlake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Juno Temple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Jim Belushi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 Sirico</t>
    </r>
  </si>
  <si>
    <r>
      <t>Kate and Laura Mulleavy</t>
    </r>
    <r>
      <rPr>
        <sz val="12"/>
        <color rgb="FF222222"/>
        <rFont val="Arial"/>
        <family val="2"/>
      </rPr>
      <t> (directors/screenplay); </t>
    </r>
    <r>
      <rPr>
        <sz val="12"/>
        <color rgb="FF0B0080"/>
        <rFont val="Arial"/>
        <family val="2"/>
      </rPr>
      <t>Kirsten Dunst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Joe Cole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Pilou Asbæk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Lorelei Linklater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Kilmer</t>
    </r>
  </si>
  <si>
    <r>
      <t>Jovanka Vuckovic, </t>
    </r>
    <r>
      <rPr>
        <sz val="12"/>
        <color rgb="FF0B0080"/>
        <rFont val="Arial"/>
        <family val="2"/>
      </rPr>
      <t>Annie Clark</t>
    </r>
    <r>
      <rPr>
        <sz val="12"/>
        <color rgb="FF222222"/>
        <rFont val="Arial"/>
        <family val="2"/>
      </rPr>
      <t>, Roxanne Benjamin, </t>
    </r>
    <r>
      <rPr>
        <sz val="12"/>
        <color rgb="FF0B0080"/>
        <rFont val="Arial"/>
        <family val="2"/>
      </rPr>
      <t>Karyn Kusama</t>
    </r>
    <r>
      <rPr>
        <sz val="12"/>
        <color rgb="FF222222"/>
        <rFont val="Arial"/>
        <family val="2"/>
      </rPr>
      <t> (directors); </t>
    </r>
    <r>
      <rPr>
        <sz val="12"/>
        <color rgb="FF0B0080"/>
        <rFont val="Arial"/>
        <family val="2"/>
      </rPr>
      <t>Natalie Brown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Melanie Lynskey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Breeda Wool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Christina Kirk</t>
    </r>
  </si>
  <si>
    <r>
      <t>Paramount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Revolution Studios</t>
    </r>
  </si>
  <si>
    <r>
      <t>D. J. Caruso</t>
    </r>
    <r>
      <rPr>
        <sz val="12"/>
        <color rgb="FF222222"/>
        <rFont val="Arial"/>
        <family val="2"/>
      </rPr>
      <t> (director); F. Scott Frazier, Chad St. John (screenplay); </t>
    </r>
    <r>
      <rPr>
        <sz val="12"/>
        <color rgb="FF0B0080"/>
        <rFont val="Arial"/>
        <family val="2"/>
      </rPr>
      <t>Vin Diesel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Samuel L. Jackson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Donnie Yen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Deepika Padukone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 Wu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Nina Dobrev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 Jaa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Ruby Rose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Toni Collette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Nicky Jam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Rory McCann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 Sapienza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Bisping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Ariadna Gutiérrez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Hermione Corfield</t>
    </r>
  </si>
  <si>
    <r>
      <t>Orion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Samuel Goldwyn Films</t>
    </r>
  </si>
  <si>
    <r>
      <t>Joel David Moore</t>
    </r>
    <r>
      <rPr>
        <sz val="12"/>
        <color rgb="FF222222"/>
        <rFont val="Arial"/>
        <family val="2"/>
      </rPr>
      <t> (director); Andrew Eisen (screenplay); </t>
    </r>
    <r>
      <rPr>
        <sz val="12"/>
        <color rgb="FF0B0080"/>
        <rFont val="Arial"/>
        <family val="2"/>
      </rPr>
      <t>Frank Langella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Billy Crudup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Christina Applegate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Nicola Peltz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Lucas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Mary Kay Place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Alex Shaffer</t>
    </r>
  </si>
  <si>
    <r>
      <t>American Zoetrope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Myriad Pictures</t>
    </r>
  </si>
  <si>
    <r>
      <t>Victor Salva</t>
    </r>
    <r>
      <rPr>
        <sz val="12"/>
        <color rgb="FF222222"/>
        <rFont val="Arial"/>
        <family val="2"/>
      </rPr>
      <t> (director/screeplay); </t>
    </r>
    <r>
      <rPr>
        <sz val="12"/>
        <color rgb="FF0B0080"/>
        <rFont val="Arial"/>
        <family val="2"/>
      </rPr>
      <t>Jonathan Breck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Meg Foster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Brandon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Gabrielle Haugh</t>
    </r>
    <r>
      <rPr>
        <sz val="12"/>
        <color rgb="FF222222"/>
        <rFont val="Arial"/>
        <family val="2"/>
      </rPr>
      <t>, Jordan Salloum, Ryan Moore, Brandon Smith, </t>
    </r>
    <r>
      <rPr>
        <sz val="12"/>
        <color rgb="FF0B0080"/>
        <rFont val="Arial"/>
        <family val="2"/>
      </rPr>
      <t>Gina Philips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Christine Ko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Stan Shaw</t>
    </r>
  </si>
  <si>
    <r>
      <t>Trish Sie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Kay Cannon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Anna Kendrick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Anna Camp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Rebel Wilson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Brittany Snow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Hailee Steinfeld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Alexis Knapp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Ester Dean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Hana Mae Lee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Chrissie Fit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Kelley Jakle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Shelley Regner</t>
    </r>
  </si>
  <si>
    <r>
      <t>Trey Edward Shults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Joel Edgerton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Riley Keough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Christopher Abbott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Kelvin Harrison Jr.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Carmen Ejogo</t>
    </r>
  </si>
  <si>
    <r>
      <t>Tomohiko Itō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Yoshitsugu Matsuoka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Haruka Tomatsu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</si>
  <si>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Perfect World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Working Title Films</t>
    </r>
  </si>
  <si>
    <r>
      <t>Tomas Alfredson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Matthew Michael Carnahan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Michael Fassbender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Rebecca Ferguson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Toby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J. K. Simmons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Jakob Oftebro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Chloë Sevigny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</si>
  <si>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DreamWorks Animation</t>
    </r>
  </si>
  <si>
    <r>
      <t>Tom McGrath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Michael McCullers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Alec Baldwin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 Buscemi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Tobey Maguire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Jimmy Kimmel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Lisa Kudrow</t>
    </r>
  </si>
  <si>
    <r>
      <t>Todd Haynes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Brian Selznick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Oakes Fegley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Julianne Moore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Millicent Simmonds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Michelle Williams</t>
    </r>
    <r>
      <rPr>
        <sz val="12"/>
        <color rgb="FF222222"/>
        <rFont val="Arial"/>
        <family val="2"/>
      </rPr>
      <t>, Jaden Michael, </t>
    </r>
    <r>
      <rPr>
        <sz val="12"/>
        <color rgb="FF0B0080"/>
        <rFont val="Arial"/>
        <family val="2"/>
      </rPr>
      <t>Tom Noonan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Urbaniak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Hargreaves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</si>
  <si>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Sony Pictures Animation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Walden Media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Affirm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The Jim Henson Company</t>
    </r>
  </si>
  <si>
    <r>
      <t>Timothy Reckart</t>
    </r>
    <r>
      <rPr>
        <sz val="12"/>
        <color rgb="FF222222"/>
        <rFont val="Arial"/>
        <family val="2"/>
      </rPr>
      <t> (director); Tom Sheridan (screenplay); </t>
    </r>
    <r>
      <rPr>
        <sz val="12"/>
        <color rgb="FF0B0080"/>
        <rFont val="Arial"/>
        <family val="2"/>
      </rPr>
      <t>Steven Yeun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Gina Rodriguez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Zachary Levi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Keegan-Michael Key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Kelly Clarkson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Patricia Heaton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Kristin Chenoweth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Tracy Morgan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Tyler Perry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Oprah Winfrey</t>
    </r>
  </si>
  <si>
    <r>
      <t>Taika Waititi</t>
    </r>
    <r>
      <rPr>
        <sz val="12"/>
        <color rgb="FF222222"/>
        <rFont val="Arial"/>
        <family val="2"/>
      </rPr>
      <t> (director); Eric Pearson (screenplay); </t>
    </r>
    <r>
      <rPr>
        <sz val="12"/>
        <color rgb="FF0B0080"/>
        <rFont val="Arial"/>
        <family val="2"/>
      </rPr>
      <t>Chris Hemsworth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Hiddleston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Cate Blanchett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Idris Elba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Jeff Goldblum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Tessa Thompson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Karl Urban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Mark Ruffalo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Hopkins</t>
    </r>
  </si>
  <si>
    <r>
      <t>Stuart Hazeldine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John Fusco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Sam Worthington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Radha Mitchell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Octavia Spencer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Graham Greene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</si>
  <si>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DreamWorks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Amblin Entertainment</t>
    </r>
  </si>
  <si>
    <r>
      <t>Steven Spielberg</t>
    </r>
    <r>
      <rPr>
        <sz val="12"/>
        <color rgb="FF222222"/>
        <rFont val="Arial"/>
        <family val="2"/>
      </rPr>
      <t> (director); Liz Hannah, </t>
    </r>
    <r>
      <rPr>
        <sz val="12"/>
        <color rgb="FF0B0080"/>
        <rFont val="Arial"/>
        <family val="2"/>
      </rPr>
      <t>Josh Singer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Tom Hanks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Meryl Streep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Bruce Greenwood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Jesse Plemons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Bob Odenkirk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Sarah Paulson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Alison Brie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Cross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Carrie Coon</t>
    </r>
  </si>
  <si>
    <r>
      <t>Lionsgate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Participant Media</t>
    </r>
    <r>
      <rPr>
        <sz val="12"/>
        <color rgb="FF222222"/>
        <rFont val="Arial"/>
        <family val="2"/>
      </rPr>
      <t>/ </t>
    </r>
    <r>
      <rPr>
        <sz val="12"/>
        <color rgb="FF0B0080"/>
        <rFont val="Arial"/>
        <family val="2"/>
      </rPr>
      <t>Walden Media</t>
    </r>
  </si>
  <si>
    <r>
      <t>Stephen Chbosky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Steve Conrad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Thorne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Julia Roberts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Jacob Tremblay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Owen Wilson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Mandy Patinkin</t>
    </r>
  </si>
  <si>
    <r>
      <t>Sofia Coppola</t>
    </r>
    <r>
      <rPr>
        <sz val="12"/>
        <color rgb="FF222222"/>
        <rFont val="Arial"/>
        <family val="2"/>
      </rPr>
      <t> (director, screenplay); </t>
    </r>
    <r>
      <rPr>
        <sz val="12"/>
        <color rgb="FF0B0080"/>
        <rFont val="Arial"/>
        <family val="2"/>
      </rPr>
      <t>Colin Farrell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Nicole Kidman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Kirsten Dunst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Elle Fanning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Angourie Rice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Oona Laurence</t>
    </r>
  </si>
  <si>
    <r>
      <t>Paramount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Uncharted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The Montecito Picture Company</t>
    </r>
  </si>
  <si>
    <r>
      <t>Seth Gordon</t>
    </r>
    <r>
      <rPr>
        <sz val="12"/>
        <color rgb="FF222222"/>
        <rFont val="Arial"/>
        <family val="2"/>
      </rPr>
      <t> (director) </t>
    </r>
    <r>
      <rPr>
        <sz val="12"/>
        <color rgb="FF0B0080"/>
        <rFont val="Arial"/>
        <family val="2"/>
      </rPr>
      <t>Mark Swift and Damian Shannon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Dwayne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 Efron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Priyanka Chopra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Alexandra Daddario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Kelly Rohrbach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Yahya Abdul-Mateen II</t>
    </r>
    <r>
      <rPr>
        <sz val="12"/>
        <color rgb="FF222222"/>
        <rFont val="Arial"/>
        <family val="2"/>
      </rPr>
      <t>, Ilfenesh Hadera, </t>
    </r>
    <r>
      <rPr>
        <sz val="12"/>
        <color rgb="FF0B0080"/>
        <rFont val="Arial"/>
        <family val="2"/>
      </rPr>
      <t>Jon Bass</t>
    </r>
  </si>
  <si>
    <r>
      <t>Paramount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DreamWorks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Reliance Entertainment</t>
    </r>
  </si>
  <si>
    <r>
      <t>Rupert Sanders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Jamie Moss</t>
    </r>
    <r>
      <rPr>
        <sz val="12"/>
        <color rgb="FF222222"/>
        <rFont val="Arial"/>
        <family val="2"/>
      </rPr>
      <t>, William Wheeler, </t>
    </r>
    <r>
      <rPr>
        <sz val="12"/>
        <color rgb="FF0B0080"/>
        <rFont val="Arial"/>
        <family val="2"/>
      </rPr>
      <t>Ehren Kruger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Scarlett Johansson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Takeshi Kitano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Pitt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Pilou Asbæk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Chin 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Juliette Binoche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Rila Fukushima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Anamaria Marinca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Kaori Momoi</t>
    </r>
  </si>
  <si>
    <r>
      <t>Ron Shelton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Morgan Freeman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Tommy Lee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Rene Russo</t>
    </r>
  </si>
  <si>
    <r>
      <t>CBS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Lionsgate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FilmNation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BBC Films</t>
    </r>
  </si>
  <si>
    <r>
      <t>Ritesh Batra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Nick Payne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Jim Broadbent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Charlotte Rampling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Harriet Walter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Emily Mortimer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Michelle Dockery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Freya Mavor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Joe Alwyn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Edward Holcroft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</si>
  <si>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TSG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Scott Free Productions</t>
    </r>
  </si>
  <si>
    <r>
      <t>Ridley Scott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Michael Green</t>
    </r>
    <r>
      <rPr>
        <sz val="12"/>
        <color rgb="FF222222"/>
        <rFont val="Arial"/>
        <family val="2"/>
      </rPr>
      <t>, Jack Paglen (screenplay); </t>
    </r>
    <r>
      <rPr>
        <sz val="12"/>
        <color rgb="FF0B0080"/>
        <rFont val="Arial"/>
        <family val="2"/>
      </rPr>
      <t>Michael Fassbender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Katherine Waterston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Demián Bichir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Billy Crudup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Danny McBride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Jussie Smollett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Seimetz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Carmen Ejogo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Callie Hernandez</t>
    </r>
    <r>
      <rPr>
        <sz val="12"/>
        <color rgb="FF222222"/>
        <rFont val="Arial"/>
        <family val="2"/>
      </rPr>
      <t>, Alex England, </t>
    </r>
    <r>
      <rPr>
        <sz val="12"/>
        <color rgb="FF0B0080"/>
        <rFont val="Arial"/>
        <family val="2"/>
      </rPr>
      <t>James Franco</t>
    </r>
  </si>
  <si>
    <r>
      <t>Ridley Scott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David Scarpa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Michelle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Mark Wahlberg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Christopher Plummer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Timothy Hutton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Charlie Plummer</t>
    </r>
  </si>
  <si>
    <r>
      <t>Rian Johnson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Mark Hamill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Carrie Fisher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Adam Driver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Daisy Ridley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Boyega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Oscar Isaac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Lupita Nyong'o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Domhnall Gleeson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Benicio del Toro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Laura Dern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Daniels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Gwendoline Christie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Andy Serkis</t>
    </r>
  </si>
  <si>
    <r>
      <t>Reginald Hudlin</t>
    </r>
    <r>
      <rPr>
        <sz val="12"/>
        <color rgb="FF222222"/>
        <rFont val="Arial"/>
        <family val="2"/>
      </rPr>
      <t> (director); Michael Koskoff, Jacob Koskoff (screenplay); </t>
    </r>
    <r>
      <rPr>
        <sz val="12"/>
        <color rgb="FF0B0080"/>
        <rFont val="Arial"/>
        <family val="2"/>
      </rPr>
      <t>Chadwick Boseman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Gad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Kate Hudson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 Stevens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Cromwell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Sterling K. Brown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</si>
  <si>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Illumination Entertainment</t>
    </r>
  </si>
  <si>
    <r>
      <t>Pierre Coffin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Kyle Balda</t>
    </r>
    <r>
      <rPr>
        <sz val="12"/>
        <color rgb="FF222222"/>
        <rFont val="Arial"/>
        <family val="2"/>
      </rPr>
      <t> (directors), Eric Guillon (co-director); </t>
    </r>
    <r>
      <rPr>
        <sz val="12"/>
        <color rgb="FF0B0080"/>
        <rFont val="Arial"/>
        <family val="2"/>
      </rPr>
      <t>Cinco Paul, Ken Daurio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Steve Carell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Wiig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Trey Parker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Miranda Cosgrove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Dana Gaier</t>
    </r>
    <r>
      <rPr>
        <sz val="12"/>
        <color rgb="FF222222"/>
        <rFont val="Arial"/>
        <family val="2"/>
      </rPr>
      <t>, Nev Scharrel, </t>
    </r>
    <r>
      <rPr>
        <sz val="12"/>
        <color rgb="FF0B0080"/>
        <rFont val="Arial"/>
        <family val="2"/>
      </rPr>
      <t>Steve Coogan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Jenny Slate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Julie Andrews</t>
    </r>
  </si>
  <si>
    <r>
      <t>Focus Features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Annapurna Pictures</t>
    </r>
  </si>
  <si>
    <r>
      <t>Paul Thomas Anderson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Daniel Day-Lewis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Lesley Manville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Richard Graham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Vicky Krieps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</si>
  <si>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StudioCanal</t>
    </r>
  </si>
  <si>
    <r>
      <t>Paul King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Simon Farnaby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Hugh Grant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Brendan Gleeson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Hugh Bonneville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Sally Hawkins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Julie Walters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Jim Broadbent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Peter Capaldi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Madeleine Harris</t>
    </r>
    <r>
      <rPr>
        <sz val="12"/>
        <color rgb="FF222222"/>
        <rFont val="Arial"/>
        <family val="2"/>
      </rPr>
      <t>, Samuel Joslin, </t>
    </r>
    <r>
      <rPr>
        <sz val="12"/>
        <color rgb="FF0B0080"/>
        <rFont val="Arial"/>
        <family val="2"/>
      </rPr>
      <t>Ben Whishaw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Imelda Staunton</t>
    </r>
  </si>
  <si>
    <r>
      <t>Patty Jenkins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Allan Heinberg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Gal Gadot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 Pine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Connie Nielsen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Robin Wright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Lucy Davis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Lisa Loven Kongsli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Danny Huston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Thewlis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Ewen Bremner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Saïd Taghmaoui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Elena Anaya</t>
    </r>
  </si>
  <si>
    <r>
      <t>Summit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Millennium Media</t>
    </r>
  </si>
  <si>
    <r>
      <t>Patrick Hughes</t>
    </r>
    <r>
      <rPr>
        <sz val="12"/>
        <color rgb="FF222222"/>
        <rFont val="Arial"/>
        <family val="2"/>
      </rPr>
      <t> (director); Tom O'Conner (screenplay); </t>
    </r>
    <r>
      <rPr>
        <sz val="12"/>
        <color rgb="FF0B0080"/>
        <rFont val="Arial"/>
        <family val="2"/>
      </rPr>
      <t>Ryan Reynolds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Samuel L. Jackson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Gary Oldman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Élodie Yung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Salma Hayek</t>
    </r>
  </si>
  <si>
    <r>
      <t>Aamir Khan Productions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UTV Motion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Walt Disney Pictures</t>
    </r>
  </si>
  <si>
    <r>
      <t>Nitesh Tiwari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Aamir Khan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Zaira Wasim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Suhani Bhatnagar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Fatima Sana Shaikh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Sanya Malhotra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Sakshi Tanwar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</si>
  <si>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Media Rights Capital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Imagine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Weed Road Pictures</t>
    </r>
  </si>
  <si>
    <r>
      <t>Nikolaj Arcel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Jeff Pinkner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Idris Elba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Matthew McConaughey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Taylor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Abbey Lee Kershaw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Katheryn Winnick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Jackie Earle Haley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Claudia Kim</t>
    </r>
  </si>
  <si>
    <r>
      <t>Michael Cuesta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Stephen Schiff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Dylan O'Brien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Keaton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Sanaa Lathan</t>
    </r>
    <r>
      <rPr>
        <sz val="12"/>
        <color rgb="FF222222"/>
        <rFont val="Arial"/>
        <family val="2"/>
      </rPr>
      <t>, Shiva Negar, </t>
    </r>
    <r>
      <rPr>
        <sz val="12"/>
        <color rgb="FF0B0080"/>
        <rFont val="Arial"/>
        <family val="2"/>
      </rPr>
      <t>Taylor Kitsch</t>
    </r>
  </si>
  <si>
    <r>
      <t>Michael Bay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Ken Nolan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Art Marcum and Matt Holloway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Mark Wahlberg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Hopkins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Isabela Moner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Duhamel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Turturro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Stanley Tucci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Mitch Pileggi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Jerrod Carmichael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Laura Haddock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Santiago Cabrera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Peter Cullen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Goodman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DiMaggio</t>
    </r>
  </si>
  <si>
    <r>
      <t>Matthew Vaughn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Jane Goldman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Colin Firth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Julianne Moore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Taron Egerton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Mark Strong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Halle Berry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Elton John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Channing Tatum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Jeff Bridges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</si>
  <si>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Chernin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TSG Entertainment</t>
    </r>
  </si>
  <si>
    <r>
      <t>Matt Reeves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Mark Bomback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Andy Serkis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Gabriel Chavarria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Woody Harrelson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Judy Greer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 Zahn</t>
    </r>
  </si>
  <si>
    <r>
      <t>Martin McDonagh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Frances McDormand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Woody Harrelson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 Rockwell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Hawkes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Peter Dinklage</t>
    </r>
  </si>
  <si>
    <r>
      <t>Maggie Greenwald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Julianne Nicholson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Margo Martindale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Lorraine Toussaint</t>
    </r>
    <r>
      <rPr>
        <sz val="12"/>
        <color rgb="FF222222"/>
        <rFont val="Arial"/>
        <family val="2"/>
      </rPr>
      <t>, Takashi Yamaguchi, </t>
    </r>
    <r>
      <rPr>
        <sz val="12"/>
        <color rgb="FF0B0080"/>
        <rFont val="Arial"/>
        <family val="2"/>
      </rPr>
      <t>Diane Ladd</t>
    </r>
  </si>
  <si>
    <r>
      <t>M. Night Shyamalan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James McAvoy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Anya Taylor-Joy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Betty Buckley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Jessica Sula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Haley Lu Richardson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Kim Director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Lyne Renée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Brad William Henke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Neal Huff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Sebastian Arcelus</t>
    </r>
  </si>
  <si>
    <r>
      <t>Luis Prieto (director)</t>
    </r>
    <r>
      <rPr>
        <sz val="12"/>
        <color rgb="FF222222"/>
        <rFont val="Arial"/>
        <family val="2"/>
      </rPr>
      <t>; Knate Gwaltney (screenplay); </t>
    </r>
    <r>
      <rPr>
        <sz val="12"/>
        <color rgb="FF0B0080"/>
        <rFont val="Arial"/>
        <family val="2"/>
      </rPr>
      <t>Halle Berry</t>
    </r>
    <r>
      <rPr>
        <sz val="12"/>
        <color rgb="FF222222"/>
        <rFont val="Arial"/>
        <family val="2"/>
      </rPr>
      <t>, Sage Correa, </t>
    </r>
    <r>
      <rPr>
        <sz val="12"/>
        <color rgb="FF0B0080"/>
        <rFont val="Arial"/>
        <family val="2"/>
      </rPr>
      <t>Lew Temple</t>
    </r>
    <r>
      <rPr>
        <sz val="12"/>
        <color rgb="FF222222"/>
        <rFont val="Arial"/>
        <family val="2"/>
      </rPr>
      <t>, Chris McGinn</t>
    </r>
  </si>
  <si>
    <r>
      <t>Lucia Aniello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Paul W. Downs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Scarlett Johansson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Zoë Kravitz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Kate McKinnon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Jillian 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Ilana Glazer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W. Downs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Demi Moore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Ty Burrell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Colton Haynes</t>
    </r>
  </si>
  <si>
    <r>
      <t>Luca Guadagnino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Timothée Chalamet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Armie Hammer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Stuhlbarg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Amira Casar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Esther Garrel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Victoire Du Bois</t>
    </r>
  </si>
  <si>
    <r>
      <t>STX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EuropaCorp</t>
    </r>
  </si>
  <si>
    <r>
      <t>Luc Besson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Dane DeHaan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Cara Delevingne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Clive Owen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Rihanna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Ethan Hawke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Herbie Hancock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 Wu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Rutger Hauer</t>
    </r>
  </si>
  <si>
    <r>
      <t>Lu Chuan</t>
    </r>
    <r>
      <rPr>
        <sz val="12"/>
        <color rgb="FF222222"/>
        <rFont val="Arial"/>
        <family val="2"/>
      </rPr>
      <t> (director); David Fowler (screenplay); </t>
    </r>
    <r>
      <rPr>
        <sz val="12"/>
        <color rgb="FF0B0080"/>
        <rFont val="Arial"/>
        <family val="2"/>
      </rPr>
      <t>John Krasinski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Zhou Xun</t>
    </r>
    <r>
      <rPr>
        <sz val="12"/>
        <color rgb="FF222222"/>
        <rFont val="Arial"/>
        <family val="2"/>
      </rPr>
      <t> (narrator)</t>
    </r>
  </si>
  <si>
    <r>
      <t>Liam O'Donnell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Frank Grillo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Bojana Novakovic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Callan Mulvey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Iko Uwais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Yayan Ruhian</t>
    </r>
    <r>
      <rPr>
        <sz val="12"/>
        <color rgb="FF222222"/>
        <rFont val="Arial"/>
        <family val="2"/>
      </rPr>
      <t>, Betty Gabriel, </t>
    </r>
    <r>
      <rPr>
        <sz val="12"/>
        <color rgb="FF0B0080"/>
        <rFont val="Arial"/>
        <family val="2"/>
      </rPr>
      <t>Antonio Fargas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</si>
  <si>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Alcon Entertainment</t>
    </r>
  </si>
  <si>
    <r>
      <t>Lawrence Sher</t>
    </r>
    <r>
      <rPr>
        <sz val="12"/>
        <color rgb="FF222222"/>
        <rFont val="Arial"/>
        <family val="2"/>
      </rPr>
      <t> (director); Justin Malen (screenplay); </t>
    </r>
    <r>
      <rPr>
        <sz val="12"/>
        <color rgb="FF0B0080"/>
        <rFont val="Arial"/>
        <family val="2"/>
      </rPr>
      <t>Owen Wilson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 Helms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J. K. Simmons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Terry Bradshaw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Ving Rhames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Katt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Retta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June Squibb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Glenn Close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</si>
  <si>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Amblin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Walden Media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Reliance Entertainment</t>
    </r>
  </si>
  <si>
    <r>
      <t>Lasse Hallström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Audrey Wells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Britt Robertson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Dennis Quaid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Gad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Peggy Lipton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Juliet Rylance</t>
    </r>
  </si>
  <si>
    <r>
      <t>The Pokémon Company International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Fathom Events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OLM, Inc.</t>
    </r>
  </si>
  <si>
    <r>
      <t>Kunihiko Yuyama</t>
    </r>
    <r>
      <rPr>
        <sz val="12"/>
        <color rgb="FF222222"/>
        <rFont val="Arial"/>
        <family val="2"/>
      </rPr>
      <t> (director), </t>
    </r>
    <r>
      <rPr>
        <sz val="12"/>
        <color rgb="FF0B0080"/>
        <rFont val="Arial"/>
        <family val="2"/>
      </rPr>
      <t>Shōji Yonemura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Sarah Natochenny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Ikue Ōtani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Carter Cathcart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Rodger Parsons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Michele Knotz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Mike Pollock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Rachael Lillis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Kate Bristol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</si>
  <si>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Genre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Scott Free Productions</t>
    </r>
  </si>
  <si>
    <r>
      <t>Kenneth Branagh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Michael Green</t>
    </r>
    <r>
      <rPr>
        <sz val="12"/>
        <color rgb="FF222222"/>
        <rFont val="Arial"/>
        <family val="2"/>
      </rPr>
      <t> (screenplay); Kenneth Branagh, </t>
    </r>
    <r>
      <rPr>
        <sz val="12"/>
        <color rgb="FF0B0080"/>
        <rFont val="Arial"/>
        <family val="2"/>
      </rPr>
      <t>Penélope Cruz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Willem Dafoe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Judi Dench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Johnny Depp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Gad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Derek Jacobi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Leslie Odom Jr.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Michelle Pfeiffer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Daisy Ridley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Lucy Boynton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Sergei Polunin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</si>
  <si>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Sony Pictures Animation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The Kerner Entertainment Company</t>
    </r>
  </si>
  <si>
    <r>
      <t>Kelly Asbury</t>
    </r>
    <r>
      <rPr>
        <sz val="12"/>
        <color rgb="FF222222"/>
        <rFont val="Arial"/>
        <family val="2"/>
      </rPr>
      <t> (director); Stacey Harmon, </t>
    </r>
    <r>
      <rPr>
        <sz val="12"/>
        <color rgb="FF0B0080"/>
        <rFont val="Arial"/>
        <family val="2"/>
      </rPr>
      <t>Pamela Ribon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Demi Lovato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Mandy Patinkin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McBrayer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Danny Pudi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Joe Manganiello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Rainn Wilson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Ariel Winter</t>
    </r>
  </si>
  <si>
    <r>
      <t>Justin Chadwick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Tom Stoppard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Alicia Vikander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Dane DeHaan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 Waltz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Holliday Grainger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O'Connell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Zach Galifianakis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Judi Dench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Matthew Morrison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Hollander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Cara Delevingne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</si>
  <si>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Legendary Pictures</t>
    </r>
  </si>
  <si>
    <r>
      <t>Jordan Vogt-Roberts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Max Borenstein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 Gilroy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Derek Connolly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Tom Hiddleston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Brie Larson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Samuel L. Jackson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Goodman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C. Reilly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Toby Kebbell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Jing Tian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Mitchell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Corey Hawkins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Thomas Mann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Ortiz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Shea Whigham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Terry Notary</t>
    </r>
  </si>
  <si>
    <r>
      <t>Jordan Peele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Daniel Kaluuya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Allison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Catherine Keener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Bradley Whitford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Caleb Landry Jones</t>
    </r>
  </si>
  <si>
    <r>
      <t>Jonathan Dayton and Valerie Faris</t>
    </r>
    <r>
      <rPr>
        <sz val="12"/>
        <color rgb="FF222222"/>
        <rFont val="Arial"/>
        <family val="2"/>
      </rPr>
      <t> (directors); </t>
    </r>
    <r>
      <rPr>
        <sz val="12"/>
        <color rgb="FF0B0080"/>
        <rFont val="Arial"/>
        <family val="2"/>
      </rPr>
      <t>Simon Beaufoy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Emma Stone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 Carell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Andrea Riseborough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Elisabeth Shue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Austin Stowell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Sarah Silverman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Alan Cumming</t>
    </r>
  </si>
  <si>
    <r>
      <t>Jon Lucas</t>
    </r>
    <r>
      <rPr>
        <sz val="12"/>
        <color rgb="FF222222"/>
        <rFont val="Arial"/>
        <family val="2"/>
      </rPr>
      <t> (director/screenplay), </t>
    </r>
    <r>
      <rPr>
        <sz val="12"/>
        <color rgb="FF0B0080"/>
        <rFont val="Arial"/>
        <family val="2"/>
      </rPr>
      <t>Scott Moore</t>
    </r>
    <r>
      <rPr>
        <sz val="12"/>
        <color rgb="FF222222"/>
        <rFont val="Arial"/>
        <family val="2"/>
      </rPr>
      <t>(director/screenplay); </t>
    </r>
    <r>
      <rPr>
        <sz val="12"/>
        <color rgb="FF0B0080"/>
        <rFont val="Arial"/>
        <family val="2"/>
      </rPr>
      <t>Mila Kunis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Kathryn Hahn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Jay Hernandez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Susan Sarandon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Christine Baranski</t>
    </r>
  </si>
  <si>
    <r>
      <t>Jon Gunn</t>
    </r>
    <r>
      <rPr>
        <sz val="12"/>
        <color rgb="FF222222"/>
        <rFont val="Arial"/>
        <family val="2"/>
      </rPr>
      <t> (director); Brian Bird (screenplay); </t>
    </r>
    <r>
      <rPr>
        <sz val="12"/>
        <color rgb="FF0B0080"/>
        <rFont val="Arial"/>
        <family val="2"/>
      </rPr>
      <t>Mike Vogel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Erika Christensen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Robert Forster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Faye Dunaway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Grant Goodeve</t>
    </r>
  </si>
  <si>
    <r>
      <t>Broad Green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Orion Pictures</t>
    </r>
  </si>
  <si>
    <r>
      <t>John Leonetti</t>
    </r>
    <r>
      <rPr>
        <sz val="12"/>
        <color rgb="FF222222"/>
        <rFont val="Arial"/>
        <family val="2"/>
      </rPr>
      <t> (director); Barbara Marshall (screenplay); </t>
    </r>
    <r>
      <rPr>
        <sz val="12"/>
        <color rgb="FF0B0080"/>
        <rFont val="Arial"/>
        <family val="2"/>
      </rPr>
      <t>Joey King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Ryan Phillippe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 Hong Lee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Mitchell Slaggert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Shannon Purser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Sydney Park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Hanchard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Sherilyn Fenn</t>
    </r>
  </si>
  <si>
    <r>
      <t>Walt Disney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Jerry Bruckheimer</t>
    </r>
    <r>
      <rPr>
        <sz val="12"/>
        <color rgb="FF222222"/>
        <rFont val="Arial"/>
        <family val="2"/>
      </rPr>
      <t> Films</t>
    </r>
  </si>
  <si>
    <r>
      <t>Joachim Rønning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Espen Sandberg</t>
    </r>
    <r>
      <rPr>
        <sz val="12"/>
        <color rgb="FF222222"/>
        <rFont val="Arial"/>
        <family val="2"/>
      </rPr>
      <t> (directors); </t>
    </r>
    <r>
      <rPr>
        <sz val="12"/>
        <color rgb="FF0B0080"/>
        <rFont val="Arial"/>
        <family val="2"/>
      </rPr>
      <t>Jeff Nathanson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Johnny Depp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Javier Bardem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Orlando Bloom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Brenton Thwaites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Kaya Scodelario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Geoffrey Rush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McNally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Graham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Martin Klebba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McCartney</t>
    </r>
  </si>
  <si>
    <r>
      <t>Lionsgate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Hasbro Studios</t>
    </r>
  </si>
  <si>
    <r>
      <t>Jayson Thiessen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Meghan McCarthy</t>
    </r>
    <r>
      <rPr>
        <sz val="12"/>
        <color rgb="FF222222"/>
        <rFont val="Arial"/>
        <family val="2"/>
      </rPr>
      <t>, Rita Hsiao, Michael Vogel, </t>
    </r>
    <r>
      <rPr>
        <sz val="12"/>
        <color rgb="FF0B0080"/>
        <rFont val="Arial"/>
        <family val="2"/>
      </rPr>
      <t>Joe Ballarini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Tara Strong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Ashleigh Ball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Andrea Libman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Tabitha St. Germain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Cathy Weseluck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Kristin Chenoweth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Emily Blunt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Peña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Uzo Aduba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Liev Schreiber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Taye Diggs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Sia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Zoe Saldana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</si>
  <si>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DreamWorks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Reliance Entertainment</t>
    </r>
  </si>
  <si>
    <r>
      <t>Jason Hall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Miles Teller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Haley Bennett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Beulah Koale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Schumer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Scott Haze</t>
    </r>
  </si>
  <si>
    <r>
      <t>STX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EuropaCorp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Image Nation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Playtone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Likely Story</t>
    </r>
  </si>
  <si>
    <r>
      <t>James Ponsoldt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Tom Hanks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Emma Watson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Boyega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Karen Gillan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Patton Oswalt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 Paxton</t>
    </r>
  </si>
  <si>
    <r>
      <t>James Gunn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Chris Pratt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Zoe Saldana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Dave Bautista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Vin Diesel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Bradley Cooper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Rooker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Karen Gillan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Sean Gunn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Pom Klementieff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Elizabeth Debicki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 Sullivan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Sylvester Stallone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Kurt Russell</t>
    </r>
  </si>
  <si>
    <r>
      <t>A24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Warner Bros.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New Line Cinema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Good Universe</t>
    </r>
  </si>
  <si>
    <r>
      <t>James Franco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Scott Neustadter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H. Weber</t>
    </r>
    <r>
      <rPr>
        <sz val="12"/>
        <color rgb="FF222222"/>
        <rFont val="Arial"/>
        <family val="2"/>
      </rPr>
      <t>(screenplay); James Franco, </t>
    </r>
    <r>
      <rPr>
        <sz val="12"/>
        <color rgb="FF0B0080"/>
        <rFont val="Arial"/>
        <family val="2"/>
      </rPr>
      <t>Dave Franco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Seth Rogen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Alison Brie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Ari Graynor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Hutcherson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Jacki Weaver</t>
    </r>
  </si>
  <si>
    <r>
      <t>James Foley</t>
    </r>
    <r>
      <rPr>
        <sz val="12"/>
        <color rgb="FF222222"/>
        <rFont val="Arial"/>
        <family val="2"/>
      </rPr>
      <t> (director); Niall Leonard (screenplay); </t>
    </r>
    <r>
      <rPr>
        <sz val="12"/>
        <color rgb="FF0B0080"/>
        <rFont val="Arial"/>
        <family val="2"/>
      </rPr>
      <t>Dakota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Jamie Dornan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Kim Basinger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Luke Grimes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Eloise Mumford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Max Martini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Eric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Bella Heathcote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Marcia Gay Harden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Rita Ora</t>
    </r>
  </si>
  <si>
    <r>
      <t>Jake Kasdan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Scott Rosenberg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Dwayne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Black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Hart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Black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Karen Gillan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Nick Jonas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Bobby Cannavale</t>
    </r>
  </si>
  <si>
    <r>
      <t>Hany Abu-Assad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Chris Weitz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Idris Elba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Kate Winslet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Dermot Mulroney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Waleed Zuaiter</t>
    </r>
  </si>
  <si>
    <r>
      <t>Hallie Meyers-Shyer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Reese Witherspoon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Candice Bergen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Sheen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Lake Bell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Nat Wolff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Reid Scott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Pico Alexander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</si>
  <si>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Village Roadshow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Weed Road Pictures</t>
    </r>
  </si>
  <si>
    <r>
      <t>Guy Ritchie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Joby Harold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Charlie Hunnam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Aidan Gillen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Àstrid Bergès-Frisbey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Eric Bana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Jude Law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Djimon Hounsou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Kingsley Ben-Adir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Neil Maskell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Millie Brady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Beckham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Katie McGrath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McElhatton</t>
    </r>
  </si>
  <si>
    <r>
      <t>Orion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Metro-Goldwyn-Mayer</t>
    </r>
  </si>
  <si>
    <r>
      <t>Greg McLean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James Gunn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John Gallagher Jr.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Tony Goldwyn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Del Rio</t>
    </r>
  </si>
  <si>
    <r>
      <t>Dimension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Blumhouse Productions</t>
    </r>
  </si>
  <si>
    <r>
      <t>Franck Khalfoun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Bella Thorne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Jason Leigh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Cameron Monaghan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Mckenna Grace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Jennifer Morrison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Kurtwood Smith</t>
    </r>
  </si>
  <si>
    <r>
      <t>F. Javier Gutiérrez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Matilda Lutz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Alex Roe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Johnny Galecki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Aimee Teegarden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Laura Wiggins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Zach Roerig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Vincent D'Onofrio</t>
    </r>
    <r>
      <rPr>
        <sz val="12"/>
        <color rgb="FF222222"/>
        <rFont val="Arial"/>
        <family val="2"/>
      </rPr>
      <t>, Andrea Laing, Patrick R. Walker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</si>
  <si>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Original Film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One Race Films</t>
    </r>
  </si>
  <si>
    <r>
      <t>F. Gary Gray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Chris Morgan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Vin Diesel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Dwayne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Michelle Rodriguez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Kurt Russell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Charlize Theron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Statham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Helen Mirren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Tyrese Gibson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 Bridges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Elsa Pataky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Nathalie Emmanuel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Scott Eastwood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Kristofer Hivju</t>
    </r>
  </si>
  <si>
    <r>
      <t>Eric Summer (director/screenplay), Éric Warin (director); Carol Noble, Laurent Zeitoun (screenplay); </t>
    </r>
    <r>
      <rPr>
        <sz val="12"/>
        <color rgb="FF0B0080"/>
        <rFont val="Arial"/>
        <family val="2"/>
      </rPr>
      <t>Elle Fanning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Dane DeHaan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Maddie Ziegler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Carly Rae Jepsen</t>
    </r>
  </si>
  <si>
    <r>
      <t>FRA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CAN</t>
    </r>
  </si>
  <si>
    <r>
      <t>Eran Creevy</t>
    </r>
    <r>
      <rPr>
        <sz val="12"/>
        <color rgb="FF222222"/>
        <rFont val="Arial"/>
        <family val="2"/>
      </rPr>
      <t> (director/screenplay); F. Scott Frazier (screenplay); </t>
    </r>
    <r>
      <rPr>
        <sz val="12"/>
        <color rgb="FF0B0080"/>
        <rFont val="Arial"/>
        <family val="2"/>
      </rPr>
      <t>Nicholas Hoult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Felicity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Hopkins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 Kingsley</t>
    </r>
  </si>
  <si>
    <r>
      <t>TriStar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Media Rights Capital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Working Title Films</t>
    </r>
  </si>
  <si>
    <r>
      <t>Edgar Wright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Ansel Elgort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Lily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Jamie Foxx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 Hamm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Spacey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Jon Bernthal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Eiza González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</si>
  <si>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Cross Creek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Imagine Entertainment</t>
    </r>
  </si>
  <si>
    <r>
      <t>Doug Liman</t>
    </r>
    <r>
      <rPr>
        <sz val="12"/>
        <color rgb="FF222222"/>
        <rFont val="Arial"/>
        <family val="2"/>
      </rPr>
      <t> (director); Gary Spinelli (screenplay); </t>
    </r>
    <r>
      <rPr>
        <sz val="12"/>
        <color rgb="FF0B0080"/>
        <rFont val="Arial"/>
        <family val="2"/>
      </rPr>
      <t>Tom Cruise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Domhnall Gleeson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Sarah Wright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Jayma Mays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Jesse Plemons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</si>
  <si>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Alcon Entertainment</t>
    </r>
  </si>
  <si>
    <r>
      <t>Denis Villeneuve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Hampton Fancher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Green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Harrison Ford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Ryan Gosling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Ana de Armas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Mackenzie Davis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Sylvia Hoeks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Lennie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Carla Juri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Robin Wright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Dave Bautista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Jared Leto</t>
    </r>
  </si>
  <si>
    <r>
      <t>CBS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Lionsgate</t>
    </r>
  </si>
  <si>
    <r>
      <t>Demetri Martin</t>
    </r>
    <r>
      <rPr>
        <sz val="12"/>
        <color rgb="FF222222"/>
        <rFont val="Arial"/>
        <family val="2"/>
      </rPr>
      <t> (director/screenplay); Demetri Martin, </t>
    </r>
    <r>
      <rPr>
        <sz val="12"/>
        <color rgb="FF0B0080"/>
        <rFont val="Arial"/>
        <family val="2"/>
      </rPr>
      <t>Kevin Kline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Gillian Jacobs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Mary Steenburgen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Reid Scott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Rory Scovel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Christine Woods</t>
    </r>
    <r>
      <rPr>
        <sz val="12"/>
        <color rgb="FF222222"/>
        <rFont val="Arial"/>
        <family val="2"/>
      </rPr>
      <t>, Ginger Gonzaga, </t>
    </r>
    <r>
      <rPr>
        <sz val="12"/>
        <color rgb="FF0B0080"/>
        <rFont val="Arial"/>
        <family val="2"/>
      </rPr>
      <t>Peter Scolari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Briga Heelan</t>
    </r>
  </si>
  <si>
    <r>
      <t>Lionsgate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Saban Capital Group</t>
    </r>
  </si>
  <si>
    <r>
      <t>Dean Israelite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John Gatins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Dacre Montgomery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Naomi Scott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RJ Cyler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Becky 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Ludi Lin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 Hader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Bryan Cranston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Elizabeth Banks</t>
    </r>
  </si>
  <si>
    <r>
      <t>David Soren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 Letterman</t>
    </r>
    <r>
      <rPr>
        <sz val="12"/>
        <color rgb="FF222222"/>
        <rFont val="Arial"/>
        <family val="2"/>
      </rPr>
      <t> (directors); </t>
    </r>
    <r>
      <rPr>
        <sz val="12"/>
        <color rgb="FF0B0080"/>
        <rFont val="Arial"/>
        <family val="2"/>
      </rPr>
      <t>Nicholas Stoller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Ed Helms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Hart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Thomas Middleditch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Nick Kroll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Anna Kendrick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Jordan Peele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Schaal</t>
    </r>
  </si>
  <si>
    <r>
      <t>David Lowery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Casey Affleck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Rooney Mara</t>
    </r>
  </si>
  <si>
    <r>
      <t>David Leitch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Kurt Johnstad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Charlize Theron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McAvoy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Goodman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Sofia Boutella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Toby Jones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Eddie Marsan</t>
    </r>
  </si>
  <si>
    <r>
      <t>Lionsgate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Roadside Attractions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Bold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Mandeville Films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Nine Stories Productions</t>
    </r>
  </si>
  <si>
    <r>
      <t>David Gordon Green</t>
    </r>
    <r>
      <rPr>
        <sz val="12"/>
        <color rgb="FF222222"/>
        <rFont val="Arial"/>
        <family val="2"/>
      </rPr>
      <t> (director); John Pollono (screenplay); </t>
    </r>
    <r>
      <rPr>
        <sz val="12"/>
        <color rgb="FF0B0080"/>
        <rFont val="Arial"/>
        <family val="2"/>
      </rPr>
      <t>Jake Gyllenhaal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Tatiana Maslany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Miranda Richardson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Clancy Brown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</si>
  <si>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New Line Cinema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</si>
  <si>
    <r>
      <t>David F. Sandberg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Gary Dauberman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Miranda Otto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LaPaglia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Stephanie Sigman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Talitha Bateman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Lulu Wilson</t>
    </r>
    <r>
      <rPr>
        <sz val="12"/>
        <color rgb="FF222222"/>
        <rFont val="Arial"/>
        <family val="2"/>
      </rPr>
      <t>, Tayler Buck, Alicia Vela-Bailey</t>
    </r>
  </si>
  <si>
    <r>
      <t>David Bowers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Adam Sztykiel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Brett Baer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Dave Finkel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Jason Ian Drucker</t>
    </r>
    <r>
      <rPr>
        <sz val="12"/>
        <color rgb="FF222222"/>
        <rFont val="Arial"/>
        <family val="2"/>
      </rPr>
      <t>, Owen Asztalo, </t>
    </r>
    <r>
      <rPr>
        <sz val="12"/>
        <color rgb="FF0B0080"/>
        <rFont val="Arial"/>
        <family val="2"/>
      </rPr>
      <t>Charlie Wright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Alicia Silverstone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Everett Scott</t>
    </r>
  </si>
  <si>
    <r>
      <t>Columbia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Skydance Media</t>
    </r>
  </si>
  <si>
    <r>
      <t>Daniel Espinosa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Paul Wernick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Rhett Reese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Rebecca Ferguson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Jake Gyllenhaal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Ryan Reynolds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Hiroyuki Sanada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</si>
  <si>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Syncopy Inc.</t>
    </r>
  </si>
  <si>
    <r>
      <t>Christopher Nolan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Fionn Whitehead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Tom Hardy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Cillian Murphy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Mark Rylance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Kenneth Branagh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Harry Styles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D'Arcy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Lowden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Guthrie</t>
    </r>
  </si>
  <si>
    <r>
      <t>Paramount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Paramount Animation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Nickelodeon Movies</t>
    </r>
  </si>
  <si>
    <r>
      <t>Chris Wedge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Jonathan Aibel, Glenn Berger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Derek Connolly</t>
    </r>
    <r>
      <rPr>
        <sz val="12"/>
        <color rgb="FF222222"/>
        <rFont val="Arial"/>
        <family val="2"/>
      </rPr>
      <t>, </t>
    </r>
    <r>
      <rPr>
        <u/>
        <sz val="12"/>
        <color rgb="FF0B0080"/>
        <rFont val="Arial"/>
        <family val="2"/>
      </rPr>
      <t>Matthew Robinson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Lucas Till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Jane Levy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Ryan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Holt McCallany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Rob Lowe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Danny Glover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Frank Whaley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Chad Willett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Barry Pepper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Thomas Lennon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Tucker Albrizzi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</si>
  <si>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Warner Animation Group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DC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 Entertainment</t>
    </r>
  </si>
  <si>
    <r>
      <t>Chris McKay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Seth Grahame-Smith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Will Arnett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Ralph Fiennes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Rosario Dawson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Cera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Zach Galifianakis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Mariah Carey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Jenny Slate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Billy Dee Williams</t>
    </r>
  </si>
  <si>
    <r>
      <t>Charlie Sheen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Whoopi Goldberg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</si>
  <si>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Warner Animation Group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RatPac-Dune Entertainment</t>
    </r>
  </si>
  <si>
    <r>
      <t>Charlie Bean</t>
    </r>
    <r>
      <rPr>
        <sz val="12"/>
        <color rgb="FF222222"/>
        <rFont val="Arial"/>
        <family val="2"/>
      </rPr>
      <t> (director); Dan Hageman, Kevin Hageman, Kevin Chesley, Bryan Shukoff (screenplay); </t>
    </r>
    <r>
      <rPr>
        <sz val="12"/>
        <color rgb="FF0B0080"/>
        <rFont val="Arial"/>
        <family val="2"/>
      </rPr>
      <t>Jackie Chan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Justin Theroux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Dave Franco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Olivia Munn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Peña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Abbi Jacobson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Kumail Nanjiani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Zach Woods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Fred Armisen</t>
    </r>
  </si>
  <si>
    <r>
      <t>Chad Stahelski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Derek Kolstad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Keanu Reeves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Common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Bridget Moynahan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Ian McShane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John Leguizamo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Ruby Rose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Laurence Fishburne</t>
    </r>
  </si>
  <si>
    <r>
      <t>Cathryn Michon</t>
    </r>
    <r>
      <rPr>
        <sz val="12"/>
        <color rgb="FF222222"/>
        <rFont val="Arial"/>
        <family val="2"/>
      </rPr>
      <t> (director/screenplay); Guy Shalem (director); </t>
    </r>
    <r>
      <rPr>
        <sz val="12"/>
        <color rgb="FF0B0080"/>
        <rFont val="Arial"/>
        <family val="2"/>
      </rPr>
      <t>Wendi McLendon-Covey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W. Bruce Cameron</t>
    </r>
    <r>
      <rPr>
        <sz val="12"/>
        <color rgb="FF222222"/>
        <rFont val="Arial"/>
        <family val="2"/>
      </rPr>
      <t> (screenplay); Cathryn Michon, </t>
    </r>
    <r>
      <rPr>
        <sz val="12"/>
        <color rgb="FF0B0080"/>
        <rFont val="Arial"/>
        <family val="2"/>
      </rPr>
      <t>Melissa McCarthy</t>
    </r>
    <r>
      <rPr>
        <sz val="12"/>
        <color rgb="FF222222"/>
        <rFont val="Arial"/>
        <family val="2"/>
      </rPr>
      <t>, Wendi McLendon-Covey, </t>
    </r>
    <r>
      <rPr>
        <sz val="12"/>
        <color rgb="FF0B0080"/>
        <rFont val="Arial"/>
        <family val="2"/>
      </rPr>
      <t>Diedrich Bader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Gary Anthony Williams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Ben Falcone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Niecy Nash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Louie Anderson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Root</t>
    </r>
  </si>
  <si>
    <r>
      <t>20th Century Fox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Blue Sky Studios</t>
    </r>
  </si>
  <si>
    <r>
      <t>Carlos Saldanha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Jordan Roberts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John Cena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David Tennant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Anthony Anderson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Gabriel Iglesias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Kate McKinnon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Boris Kodjoe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Miguel Ángel Silvestre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Raúl Esparza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Jerrod Carmichael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Gina Rodriguez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Daveed Diggs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Bobby Cannavale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Sally Phillips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Flula Borg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Karla Martínez</t>
    </r>
  </si>
  <si>
    <r>
      <t>Brian Fee</t>
    </r>
    <r>
      <rPr>
        <sz val="12"/>
        <color rgb="FF222222"/>
        <rFont val="Arial"/>
        <family val="2"/>
      </rPr>
      <t> (director); Kiel Murray, </t>
    </r>
    <r>
      <rPr>
        <sz val="12"/>
        <color rgb="FF0B0080"/>
        <rFont val="Arial"/>
        <family val="2"/>
      </rPr>
      <t>Bob Peterson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Mike Rich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Owen Wilson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Larry the Cable Guy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Bonnie Hunt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Cheech Marin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Michael Wallis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Cristela Alonzo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Armie Hammer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Dooley</t>
    </r>
  </si>
  <si>
    <r>
      <t>Bong Joon-ho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Jon Ronson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Tilda Swinton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Paul Dano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Ahn Seo-hyun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Byun Hee-bong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Steven Yeun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Lily Collins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Yoon Je-moon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Shirley Henderson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Daniel Henshall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Devon Bostick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Choi Woo-shik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Giancarlo Esposito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Jake Gyllenhaal</t>
    </r>
  </si>
  <si>
    <r>
      <t>Bill Condon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Evan Spiliotopoulos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Stephen Chbosky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Emma Watson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Dan Stevens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Luke Evans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Ewan McGregor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Ian McKellen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Emma Thompson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Kevin Kline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Stanley Tucci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Josh Gad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Audra McDonald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Gugu Mbatha-Raw</t>
    </r>
  </si>
  <si>
    <r>
      <t>Screen Gems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Lakeshore Entertainment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Sketch Films</t>
    </r>
  </si>
  <si>
    <r>
      <t>Anna Foerster</t>
    </r>
    <r>
      <rPr>
        <sz val="12"/>
        <color rgb="FF222222"/>
        <rFont val="Arial"/>
        <family val="2"/>
      </rPr>
      <t> (director); Cory Goodman (screenplay); </t>
    </r>
    <r>
      <rPr>
        <sz val="12"/>
        <color rgb="FF0B0080"/>
        <rFont val="Arial"/>
        <family val="2"/>
      </rPr>
      <t>Kate Beckinsale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Theo James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Tobias Menzies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Lara Pulver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James Faulkner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Charles Dance</t>
    </r>
  </si>
  <si>
    <r>
      <t>Warner Bros.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New Line Cinema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Village Roadshow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Good Universe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Gary Sanchez Productions</t>
    </r>
  </si>
  <si>
    <r>
      <t>Andrew J. Cohen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Brendan O'Brien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Will Ferrell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Amy Poehler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Ryan Simpkins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Jason Mantzoukas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Nick Kroll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Cedric Yarbrough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Jeremy Renner</t>
    </r>
  </si>
  <si>
    <r>
      <t>Andrés Muschietti</t>
    </r>
    <r>
      <rPr>
        <sz val="12"/>
        <color rgb="FF222222"/>
        <rFont val="Arial"/>
        <family val="2"/>
      </rPr>
      <t> (director); Chase Palmer, </t>
    </r>
    <r>
      <rPr>
        <sz val="12"/>
        <color rgb="FF0B0080"/>
        <rFont val="Arial"/>
        <family val="2"/>
      </rPr>
      <t>Cary Fukunaga</t>
    </r>
    <r>
      <rPr>
        <sz val="12"/>
        <color rgb="FF222222"/>
        <rFont val="Arial"/>
        <family val="2"/>
      </rPr>
      <t>, Gary Dauberman (screenplay); </t>
    </r>
    <r>
      <rPr>
        <sz val="12"/>
        <color rgb="FF0B0080"/>
        <rFont val="Arial"/>
        <family val="2"/>
      </rPr>
      <t>Bill Skarsgård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Jaeden Lieberher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Finn Wolfhard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Jack Dylan Grazer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Sophia Lillis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Wyatt Oleff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Chosen Jacobs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Jeremy Ray Taylor</t>
    </r>
  </si>
  <si>
    <r>
      <t>Alexander Payne</t>
    </r>
    <r>
      <rPr>
        <sz val="12"/>
        <color rgb="FF222222"/>
        <rFont val="Arial"/>
        <family val="2"/>
      </rPr>
      <t> (director/screenplay); </t>
    </r>
    <r>
      <rPr>
        <sz val="12"/>
        <color rgb="FF0B0080"/>
        <rFont val="Arial"/>
        <family val="2"/>
      </rPr>
      <t>Jim Taylor</t>
    </r>
    <r>
      <rPr>
        <sz val="12"/>
        <color rgb="FF222222"/>
        <rFont val="Arial"/>
        <family val="2"/>
      </rPr>
      <t> (screenplay); </t>
    </r>
    <r>
      <rPr>
        <sz val="12"/>
        <color rgb="FF0B0080"/>
        <rFont val="Arial"/>
        <family val="2"/>
      </rPr>
      <t>Matt Damon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 Waltz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Hong Chau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Kristen Wiig</t>
    </r>
  </si>
  <si>
    <r>
      <t>Universal Pictures</t>
    </r>
    <r>
      <rPr>
        <sz val="12"/>
        <color rgb="FF222222"/>
        <rFont val="Arial"/>
        <family val="2"/>
      </rPr>
      <t> / </t>
    </r>
    <r>
      <rPr>
        <sz val="12"/>
        <color rgb="FF0B0080"/>
        <rFont val="Arial"/>
        <family val="2"/>
      </rPr>
      <t>K/O Paper Products</t>
    </r>
  </si>
  <si>
    <r>
      <t>Alex Kurtzman</t>
    </r>
    <r>
      <rPr>
        <sz val="12"/>
        <color rgb="FF222222"/>
        <rFont val="Arial"/>
        <family val="2"/>
      </rPr>
      <t> (director); </t>
    </r>
    <r>
      <rPr>
        <sz val="12"/>
        <color rgb="FF0B0080"/>
        <rFont val="Arial"/>
        <family val="2"/>
      </rPr>
      <t>Jon Spaihts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Christopher McQuarrie</t>
    </r>
    <r>
      <rPr>
        <sz val="12"/>
        <color rgb="FF222222"/>
        <rFont val="Arial"/>
        <family val="2"/>
      </rPr>
      <t>(screenplay); </t>
    </r>
    <r>
      <rPr>
        <sz val="12"/>
        <color rgb="FF0B0080"/>
        <rFont val="Arial"/>
        <family val="2"/>
      </rPr>
      <t>Tom Cruise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Russell Crowe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Sofia Boutella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Annabelle Wallis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Jake Johnson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Marwan Kenzari</t>
    </r>
    <r>
      <rPr>
        <sz val="12"/>
        <color rgb="FF222222"/>
        <rFont val="Arial"/>
        <family val="2"/>
      </rPr>
      <t>, </t>
    </r>
    <r>
      <rPr>
        <sz val="12"/>
        <color rgb="FF0B0080"/>
        <rFont val="Arial"/>
        <family val="2"/>
      </rPr>
      <t>Courtney B. Vance</t>
    </r>
  </si>
  <si>
    <t>Possible other name (ignore parenthesis)</t>
  </si>
  <si>
    <t>Wikiname based on movie title</t>
  </si>
  <si>
    <t>Wikiname based on movie title and possible other name</t>
  </si>
  <si>
    <t>BOM</t>
  </si>
  <si>
    <t>Wiki</t>
  </si>
  <si>
    <t>Rogue One: A Star Wars Story</t>
  </si>
  <si>
    <t>$532,177,324</t>
  </si>
  <si>
    <t>$155,081,681</t>
  </si>
  <si>
    <t>Finding Dory</t>
  </si>
  <si>
    <t>$486,295,561</t>
  </si>
  <si>
    <t>$135,060,273</t>
  </si>
  <si>
    <t>Captain America: Civil War</t>
  </si>
  <si>
    <t>$408,084,349</t>
  </si>
  <si>
    <t>$179,139,142</t>
  </si>
  <si>
    <t>The Secret Life of Pets</t>
  </si>
  <si>
    <t>$368,384,330</t>
  </si>
  <si>
    <t>$104,352,905</t>
  </si>
  <si>
    <t>The Jungle Book (2016)</t>
  </si>
  <si>
    <t>$364,001,123</t>
  </si>
  <si>
    <t>$103,261,464</t>
  </si>
  <si>
    <t>Deadpool</t>
  </si>
  <si>
    <t>$363,070,709</t>
  </si>
  <si>
    <t>$132,434,639</t>
  </si>
  <si>
    <t>Zootopia</t>
  </si>
  <si>
    <t>$341,268,248</t>
  </si>
  <si>
    <t>$75,063,401</t>
  </si>
  <si>
    <t>Batman v Superman: Dawn of Justice</t>
  </si>
  <si>
    <t>$330,360,194</t>
  </si>
  <si>
    <t>$166,007,347</t>
  </si>
  <si>
    <t>Suicide Squad</t>
  </si>
  <si>
    <t>$325,100,054</t>
  </si>
  <si>
    <t>$133,682,248</t>
  </si>
  <si>
    <t>Sing</t>
  </si>
  <si>
    <t>$270,395,425</t>
  </si>
  <si>
    <t>$35,258,145</t>
  </si>
  <si>
    <t>Moana</t>
  </si>
  <si>
    <t>$248,757,044</t>
  </si>
  <si>
    <t>$56,631,401</t>
  </si>
  <si>
    <t>Fantastic Beasts and Where To Find Them</t>
  </si>
  <si>
    <t>$234,037,575</t>
  </si>
  <si>
    <t>$74,403,387</t>
  </si>
  <si>
    <t>Doctor Strange</t>
  </si>
  <si>
    <t>$232,641,920</t>
  </si>
  <si>
    <t>$85,058,311</t>
  </si>
  <si>
    <t>Hidden Figures</t>
  </si>
  <si>
    <t>$169,607,287</t>
  </si>
  <si>
    <t>$515,499</t>
  </si>
  <si>
    <t>Jason Bourne</t>
  </si>
  <si>
    <t>$162,434,410</t>
  </si>
  <si>
    <t>$59,215,365</t>
  </si>
  <si>
    <t>Star Trek Beyond</t>
  </si>
  <si>
    <t>$158,848,340</t>
  </si>
  <si>
    <t>$59,253,211</t>
  </si>
  <si>
    <t>X-Men: Apocalypse</t>
  </si>
  <si>
    <t>$155,442,489</t>
  </si>
  <si>
    <t>$65,769,562</t>
  </si>
  <si>
    <t>Trolls</t>
  </si>
  <si>
    <t>$153,707,064</t>
  </si>
  <si>
    <t>$46,581,142</t>
  </si>
  <si>
    <t>La La Land</t>
  </si>
  <si>
    <t>$151,101,803</t>
  </si>
  <si>
    <t>$881,104</t>
  </si>
  <si>
    <t>Kung Fu Panda 3</t>
  </si>
  <si>
    <t>$143,528,619</t>
  </si>
  <si>
    <t>$41,282,042</t>
  </si>
  <si>
    <t>Ghostbusters (2016)</t>
  </si>
  <si>
    <t>$128,350,574</t>
  </si>
  <si>
    <t>$46,018,755</t>
  </si>
  <si>
    <t>Central Intelligence</t>
  </si>
  <si>
    <t>$127,440,871</t>
  </si>
  <si>
    <t>$35,535,250</t>
  </si>
  <si>
    <t>The Legend of Tarzan</t>
  </si>
  <si>
    <t>$126,643,061</t>
  </si>
  <si>
    <t>$38,527,856</t>
  </si>
  <si>
    <t>Sully</t>
  </si>
  <si>
    <t>$125,070,033</t>
  </si>
  <si>
    <t>$35,028,301</t>
  </si>
  <si>
    <t>Bad Moms</t>
  </si>
  <si>
    <t>$113,257,297</t>
  </si>
  <si>
    <t>$23,817,340</t>
  </si>
  <si>
    <t>The Angry Birds Movie</t>
  </si>
  <si>
    <t>$107,509,366</t>
  </si>
  <si>
    <t>$38,155,177</t>
  </si>
  <si>
    <t>Independence Day: Resurgence</t>
  </si>
  <si>
    <t>$103,144,286</t>
  </si>
  <si>
    <t>$41,039,944</t>
  </si>
  <si>
    <t>The Conjuring 2</t>
  </si>
  <si>
    <t>$102,470,008</t>
  </si>
  <si>
    <t>$40,406,314</t>
  </si>
  <si>
    <t>Arrival</t>
  </si>
  <si>
    <t>$100,546,139</t>
  </si>
  <si>
    <t>$24,074,047</t>
  </si>
  <si>
    <t>Passengers (2016)</t>
  </si>
  <si>
    <t>$100,014,699</t>
  </si>
  <si>
    <t>$14,869,736</t>
  </si>
  <si>
    <t>Sausage Party</t>
  </si>
  <si>
    <t>$97,685,686</t>
  </si>
  <si>
    <t>$34,263,534</t>
  </si>
  <si>
    <t>The Magnificent Seven (2016)</t>
  </si>
  <si>
    <t>$93,432,655</t>
  </si>
  <si>
    <t>$34,703,397</t>
  </si>
  <si>
    <t>Ride Along 2</t>
  </si>
  <si>
    <t>$91,221,830</t>
  </si>
  <si>
    <t>$35,243,095</t>
  </si>
  <si>
    <t>Don't Breathe</t>
  </si>
  <si>
    <t>$89,217,875</t>
  </si>
  <si>
    <t>$26,411,706</t>
  </si>
  <si>
    <t>Miss Peregrine's Home for Peculiar Children</t>
  </si>
  <si>
    <t>$87,242,834</t>
  </si>
  <si>
    <t>$28,871,140</t>
  </si>
  <si>
    <t>The Accountant</t>
  </si>
  <si>
    <t>$86,260,045</t>
  </si>
  <si>
    <t>$24,710,273</t>
  </si>
  <si>
    <t>Teenage Mutant Ninja Turtles: Out of the Shadows</t>
  </si>
  <si>
    <t>$82,051,601</t>
  </si>
  <si>
    <t>$35,316,382</t>
  </si>
  <si>
    <t>The Purge: Election Year</t>
  </si>
  <si>
    <t>$79,213,375</t>
  </si>
  <si>
    <t>$31,515,110</t>
  </si>
  <si>
    <t>Alice Through the Looking Glass</t>
  </si>
  <si>
    <t>$77,041,381</t>
  </si>
  <si>
    <t>$26,858,726</t>
  </si>
  <si>
    <t>Pete's Dragon (2016)</t>
  </si>
  <si>
    <t>$76,233,151</t>
  </si>
  <si>
    <t>$21,514,095</t>
  </si>
  <si>
    <t>The Girl on the Train (2016)</t>
  </si>
  <si>
    <t>$75,395,035</t>
  </si>
  <si>
    <t>$24,536,265</t>
  </si>
  <si>
    <t>Boo! A Madea Halloween</t>
  </si>
  <si>
    <t>$73,206,343</t>
  </si>
  <si>
    <t>$28,501,448</t>
  </si>
  <si>
    <t>Storks</t>
  </si>
  <si>
    <t>$72,679,278</t>
  </si>
  <si>
    <t>$21,311,407</t>
  </si>
  <si>
    <t>10 Cloverfield Lane</t>
  </si>
  <si>
    <t>$72,082,998</t>
  </si>
  <si>
    <t>$24,727,437</t>
  </si>
  <si>
    <t>Lights Out</t>
  </si>
  <si>
    <t>$67,268,835</t>
  </si>
  <si>
    <t>$21,688,103</t>
  </si>
  <si>
    <t>Hacksaw Ridge</t>
  </si>
  <si>
    <t>$67,209,615</t>
  </si>
  <si>
    <t>$15,190,758</t>
  </si>
  <si>
    <t>The Divergent Series: Allegiant</t>
  </si>
  <si>
    <t>$66,184,051</t>
  </si>
  <si>
    <t>$29,027,348</t>
  </si>
  <si>
    <t>Now You See Me 2</t>
  </si>
  <si>
    <t>$65,075,540</t>
  </si>
  <si>
    <t>$22,383,146</t>
  </si>
  <si>
    <t>Ice Age: Collision Course</t>
  </si>
  <si>
    <t>$64,063,008</t>
  </si>
  <si>
    <t>$21,373,064</t>
  </si>
  <si>
    <t>The Boss</t>
  </si>
  <si>
    <t>$63,285,885</t>
  </si>
  <si>
    <t>$23,586,645</t>
  </si>
  <si>
    <t>London Has Fallen</t>
  </si>
  <si>
    <t>$62,678,608</t>
  </si>
  <si>
    <t>$21,635,601</t>
  </si>
  <si>
    <t>Miracles from Heaven</t>
  </si>
  <si>
    <t>$61,705,123</t>
  </si>
  <si>
    <t>$14,812,393</t>
  </si>
  <si>
    <t>Deepwater Horizon</t>
  </si>
  <si>
    <t>$61,433,527</t>
  </si>
  <si>
    <t>$20,223,544</t>
  </si>
  <si>
    <t>Why Him?</t>
  </si>
  <si>
    <t>$60,323,786</t>
  </si>
  <si>
    <t>$11,002,986</t>
  </si>
  <si>
    <t>My Big Fat Greek Wedding 2</t>
  </si>
  <si>
    <t>$59,689,605</t>
  </si>
  <si>
    <t>$17,861,950</t>
  </si>
  <si>
    <t>Jack Reacher: Never Go Back</t>
  </si>
  <si>
    <t>$58,697,076</t>
  </si>
  <si>
    <t>$22,872,490</t>
  </si>
  <si>
    <t>Fences</t>
  </si>
  <si>
    <t>$57,682,904</t>
  </si>
  <si>
    <t>$129,462</t>
  </si>
  <si>
    <t>Me Before You</t>
  </si>
  <si>
    <t>$56,245,075</t>
  </si>
  <si>
    <t>$18,723,269</t>
  </si>
  <si>
    <t>The BFG</t>
  </si>
  <si>
    <t>$55,483,770</t>
  </si>
  <si>
    <t>$18,775,350</t>
  </si>
  <si>
    <t>Neighbors 2: Sorority Rising</t>
  </si>
  <si>
    <t>$55,455,765</t>
  </si>
  <si>
    <t>$21,760,405</t>
  </si>
  <si>
    <t>The Shallows</t>
  </si>
  <si>
    <t>$55,124,043</t>
  </si>
  <si>
    <t>$16,800,868</t>
  </si>
  <si>
    <t>Office Christmas Party</t>
  </si>
  <si>
    <t>$54,767,494</t>
  </si>
  <si>
    <t>$16,890,204</t>
  </si>
  <si>
    <t>Assassin's Creed</t>
  </si>
  <si>
    <t>$54,647,948</t>
  </si>
  <si>
    <t>$10,278,225</t>
  </si>
  <si>
    <t>Barbershop: The Next Cut</t>
  </si>
  <si>
    <t>$54,030,051</t>
  </si>
  <si>
    <t>$20,242,415</t>
  </si>
  <si>
    <t>13 Hours: The Secret Soldiers of Benghazi</t>
  </si>
  <si>
    <t>$52,853,219</t>
  </si>
  <si>
    <t>$16,194,738</t>
  </si>
  <si>
    <t>Lion</t>
  </si>
  <si>
    <t>$51,738,905</t>
  </si>
  <si>
    <t>$123,360</t>
  </si>
  <si>
    <t>The Huntsman: Winter's War</t>
  </si>
  <si>
    <t>$48,390,190</t>
  </si>
  <si>
    <t>$19,445,035</t>
  </si>
  <si>
    <t>Kubo and the Two Strings</t>
  </si>
  <si>
    <t>$48,023,088</t>
  </si>
  <si>
    <t>$12,608,372</t>
  </si>
  <si>
    <t>Manchester by the Sea</t>
  </si>
  <si>
    <t>$47,695,371</t>
  </si>
  <si>
    <t>$256,498</t>
  </si>
  <si>
    <t>Warcraft</t>
  </si>
  <si>
    <t>$47,365,290</t>
  </si>
  <si>
    <t>$24,166,110</t>
  </si>
  <si>
    <t>How to Be Single</t>
  </si>
  <si>
    <t>$46,843,513</t>
  </si>
  <si>
    <t>$17,878,911</t>
  </si>
  <si>
    <t>Mike and Dave Need Wedding Dates</t>
  </si>
  <si>
    <t>$46,009,673</t>
  </si>
  <si>
    <t>$16,628,170</t>
  </si>
  <si>
    <t>War Dogs</t>
  </si>
  <si>
    <t>$43,034,523</t>
  </si>
  <si>
    <t>$14,685,305</t>
  </si>
  <si>
    <t>Almost Christmas</t>
  </si>
  <si>
    <t>$42,158,780</t>
  </si>
  <si>
    <t>$15,134,235</t>
  </si>
  <si>
    <t>Money Monster</t>
  </si>
  <si>
    <t>$41,012,075</t>
  </si>
  <si>
    <t>$14,788,157</t>
  </si>
  <si>
    <t>Allied</t>
  </si>
  <si>
    <t>$40,098,064</t>
  </si>
  <si>
    <t>$12,701,743</t>
  </si>
  <si>
    <t>Nerve</t>
  </si>
  <si>
    <t>$38,583,626</t>
  </si>
  <si>
    <t>$9,445,456</t>
  </si>
  <si>
    <t>Risen</t>
  </si>
  <si>
    <t>$36,880,033</t>
  </si>
  <si>
    <t>$11,801,271</t>
  </si>
  <si>
    <t>The Nice Guys</t>
  </si>
  <si>
    <t>$36,261,763</t>
  </si>
  <si>
    <t>$11,203,270</t>
  </si>
  <si>
    <t>The Boy (2016)</t>
  </si>
  <si>
    <t>$35,819,556</t>
  </si>
  <si>
    <t>$10,778,392</t>
  </si>
  <si>
    <t>Dirty Grandpa</t>
  </si>
  <si>
    <t>$35,593,113</t>
  </si>
  <si>
    <t>$11,111,875</t>
  </si>
  <si>
    <t>Ouija: Origin of Evil</t>
  </si>
  <si>
    <t>$35,144,505</t>
  </si>
  <si>
    <t>$14,065,500</t>
  </si>
  <si>
    <t>The 5th Wave</t>
  </si>
  <si>
    <t>$34,916,787</t>
  </si>
  <si>
    <t>$10,326,356</t>
  </si>
  <si>
    <t>Inferno</t>
  </si>
  <si>
    <t>$34,343,574</t>
  </si>
  <si>
    <t>$14,860,425</t>
  </si>
  <si>
    <t>Mother's Day</t>
  </si>
  <si>
    <t>$32,492,859</t>
  </si>
  <si>
    <t>$8,369,184</t>
  </si>
  <si>
    <t>Patriots Day</t>
  </si>
  <si>
    <t>$31,886,361</t>
  </si>
  <si>
    <t>$161,306</t>
  </si>
  <si>
    <t>Gods of Egypt</t>
  </si>
  <si>
    <t>$31,153,464</t>
  </si>
  <si>
    <t>$14,123,903</t>
  </si>
  <si>
    <t>Collateral Beauty</t>
  </si>
  <si>
    <t>$31,016,021</t>
  </si>
  <si>
    <t>$7,102,085</t>
  </si>
  <si>
    <t>Hail, Caesar!</t>
  </si>
  <si>
    <t>$30,498,085</t>
  </si>
  <si>
    <t>$11,355,225</t>
  </si>
  <si>
    <t>When the Bough Breaks</t>
  </si>
  <si>
    <t>$29,747,603</t>
  </si>
  <si>
    <t>$14,202,323</t>
  </si>
  <si>
    <t>Zoolander 2</t>
  </si>
  <si>
    <t>$28,848,693</t>
  </si>
  <si>
    <t>$13,841,146</t>
  </si>
  <si>
    <t>Moonlight (2016)</t>
  </si>
  <si>
    <t>$27,854,932</t>
  </si>
  <si>
    <t>$402,075</t>
  </si>
  <si>
    <t>The Finest Hours</t>
  </si>
  <si>
    <t>$27,569,558</t>
  </si>
  <si>
    <t>$10,288,932</t>
  </si>
  <si>
    <t>Florence Foster Jenkins</t>
  </si>
  <si>
    <t>$27,383,770</t>
  </si>
  <si>
    <t>$6,601,313</t>
  </si>
  <si>
    <t>Hell or High Water</t>
  </si>
  <si>
    <t>$27,007,844</t>
  </si>
  <si>
    <t>$621,329</t>
  </si>
  <si>
    <t>The Forest</t>
  </si>
  <si>
    <t>$26,594,261</t>
  </si>
  <si>
    <t>$12,741,176</t>
  </si>
  <si>
    <t>Ben-Hur (2016)</t>
  </si>
  <si>
    <t>$26,410,477</t>
  </si>
  <si>
    <t>$11,203,815</t>
  </si>
  <si>
    <t>The Witch</t>
  </si>
  <si>
    <t>$25,138,705</t>
  </si>
  <si>
    <t>$8,800,230</t>
  </si>
  <si>
    <t>Bridget Jones's Baby</t>
  </si>
  <si>
    <t>$24,252,420</t>
  </si>
  <si>
    <t>$8,571,785</t>
  </si>
  <si>
    <t>Kevin Hart: What Now?</t>
  </si>
  <si>
    <t>$23,591,043</t>
  </si>
  <si>
    <t>$11,767,210</t>
  </si>
  <si>
    <t>Whiskey Tango Foxtrot</t>
  </si>
  <si>
    <t>$23,083,334</t>
  </si>
  <si>
    <t>$7,450,275</t>
  </si>
  <si>
    <t>Snowden</t>
  </si>
  <si>
    <t>$21,587,519</t>
  </si>
  <si>
    <t>$8,000,058</t>
  </si>
  <si>
    <t>Mechanic: Resurrection</t>
  </si>
  <si>
    <t>$21,218,403</t>
  </si>
  <si>
    <t>$7,456,525</t>
  </si>
  <si>
    <t>Free State of Jones</t>
  </si>
  <si>
    <t>$20,810,036</t>
  </si>
  <si>
    <t>$7,572,206</t>
  </si>
  <si>
    <t>Blair Witch</t>
  </si>
  <si>
    <t>$20,777,061</t>
  </si>
  <si>
    <t>$9,576,057</t>
  </si>
  <si>
    <t>God's Not Dead 2</t>
  </si>
  <si>
    <t>$20,774,575</t>
  </si>
  <si>
    <t>$7,623,662</t>
  </si>
  <si>
    <t>Keanu</t>
  </si>
  <si>
    <t>$20,591,853</t>
  </si>
  <si>
    <t>$9,453,224</t>
  </si>
  <si>
    <t>Middle School: The Worst Years of My Life</t>
  </si>
  <si>
    <t>$20,007,149</t>
  </si>
  <si>
    <t>$6,878,437</t>
  </si>
  <si>
    <t>Nine Lives (2016)</t>
  </si>
  <si>
    <t>EC</t>
  </si>
  <si>
    <t>$19,700,032</t>
  </si>
  <si>
    <t>$6,249,915</t>
  </si>
  <si>
    <t>Race (2016)</t>
  </si>
  <si>
    <t>$19,206,207</t>
  </si>
  <si>
    <t>$7,353,922</t>
  </si>
  <si>
    <t>The Choice</t>
  </si>
  <si>
    <t>$18,730,891</t>
  </si>
  <si>
    <t>$6,050,443</t>
  </si>
  <si>
    <t>Eye in the Sky</t>
  </si>
  <si>
    <t>$18,704,595</t>
  </si>
  <si>
    <t>$113,803</t>
  </si>
  <si>
    <t>Bad Santa 2</t>
  </si>
  <si>
    <t>$17,782,178</t>
  </si>
  <si>
    <t>$6,176,680</t>
  </si>
  <si>
    <t>Masterminds (2016)</t>
  </si>
  <si>
    <t>Rela.</t>
  </si>
  <si>
    <t>$17,368,022</t>
  </si>
  <si>
    <t>$6,541,205</t>
  </si>
  <si>
    <t>Norm of the North</t>
  </si>
  <si>
    <t>$17,062,499</t>
  </si>
  <si>
    <t>$6,844,137</t>
  </si>
  <si>
    <t>The Birth of a Nation</t>
  </si>
  <si>
    <t>$15,861,566</t>
  </si>
  <si>
    <t>$7,004,254</t>
  </si>
  <si>
    <t>Eddie the Eagle</t>
  </si>
  <si>
    <t>$15,789,389</t>
  </si>
  <si>
    <t>$6,084,682</t>
  </si>
  <si>
    <t>The Infiltrator</t>
  </si>
  <si>
    <t>$15,436,808</t>
  </si>
  <si>
    <t>$5,303,775</t>
  </si>
  <si>
    <t>Keeping Up with the Joneses</t>
  </si>
  <si>
    <t>$14,904,426</t>
  </si>
  <si>
    <t>$5,461,475</t>
  </si>
  <si>
    <t>Criminal (2016)</t>
  </si>
  <si>
    <t>$14,708,696</t>
  </si>
  <si>
    <t>$5,767,278</t>
  </si>
  <si>
    <t>Hello, My Name is Doris</t>
  </si>
  <si>
    <t>$14,444,999</t>
  </si>
  <si>
    <t>$84,986</t>
  </si>
  <si>
    <t>The Edge of Seventeen</t>
  </si>
  <si>
    <t>$14,431,633</t>
  </si>
  <si>
    <t>$4,754,215</t>
  </si>
  <si>
    <t>Love &amp; Friendship</t>
  </si>
  <si>
    <t>$14,016,568</t>
  </si>
  <si>
    <t>$133,513</t>
  </si>
  <si>
    <t>Jackie</t>
  </si>
  <si>
    <t>$13,960,394</t>
  </si>
  <si>
    <t>$278,715</t>
  </si>
  <si>
    <t>A Beautiful Planet</t>
  </si>
  <si>
    <t>$13,655,429</t>
  </si>
  <si>
    <t>$223,983</t>
  </si>
  <si>
    <t>Hillary's America: The Secret History of the Democratic Party</t>
  </si>
  <si>
    <t>QF</t>
  </si>
  <si>
    <t>$13,099,931</t>
  </si>
  <si>
    <t>$74,814</t>
  </si>
  <si>
    <t>Triple 9</t>
  </si>
  <si>
    <t>$12,639,297</t>
  </si>
  <si>
    <t>$6,109,085</t>
  </si>
  <si>
    <t>The Light Between Oceans</t>
  </si>
  <si>
    <t>$12,545,979</t>
  </si>
  <si>
    <t>$4,765,838</t>
  </si>
  <si>
    <t>$12,391,761</t>
  </si>
  <si>
    <t>$3,248,481</t>
  </si>
  <si>
    <t>Fifty Shades of Black</t>
  </si>
  <si>
    <t>$11,686,940</t>
  </si>
  <si>
    <t>$5,900,528</t>
  </si>
  <si>
    <t>No Manches Frida</t>
  </si>
  <si>
    <t>$11,528,613</t>
  </si>
  <si>
    <t>$3,676,235</t>
  </si>
  <si>
    <t>Cafe Society</t>
  </si>
  <si>
    <t>$11,103,205</t>
  </si>
  <si>
    <t>$359,289</t>
  </si>
  <si>
    <t>Pride and Prejudice and Zombies</t>
  </si>
  <si>
    <t>$10,938,134</t>
  </si>
  <si>
    <t>$5,324,240</t>
  </si>
  <si>
    <t>The Darkness</t>
  </si>
  <si>
    <t>$10,753,574</t>
  </si>
  <si>
    <t>$4,950,859</t>
  </si>
  <si>
    <t>Nocturnal Animals</t>
  </si>
  <si>
    <t>$10,663,357</t>
  </si>
  <si>
    <t>$492,648</t>
  </si>
  <si>
    <t>Live By Night</t>
  </si>
  <si>
    <t>$10,378,555</t>
  </si>
  <si>
    <t>$33,336</t>
  </si>
  <si>
    <t>The Perfect Match</t>
  </si>
  <si>
    <t>$9,669,521</t>
  </si>
  <si>
    <t>$4,294,232</t>
  </si>
  <si>
    <t>Popstar: Never Stop Never Stopping</t>
  </si>
  <si>
    <t>$9,639,125</t>
  </si>
  <si>
    <t>$4,698,715</t>
  </si>
  <si>
    <t>Hardcore Henry</t>
  </si>
  <si>
    <t>$9,252,038</t>
  </si>
  <si>
    <t>$5,107,604</t>
  </si>
  <si>
    <t>Meet the Blacks</t>
  </si>
  <si>
    <t>$9,097,072</t>
  </si>
  <si>
    <t>$4,055,940</t>
  </si>
  <si>
    <t>Queen of Katwe</t>
  </si>
  <si>
    <t>$8,874,389</t>
  </si>
  <si>
    <t>$304,933</t>
  </si>
  <si>
    <t>Ratchet &amp; Clank</t>
  </si>
  <si>
    <t>$8,821,329</t>
  </si>
  <si>
    <t>$4,869,278</t>
  </si>
  <si>
    <t>The Lobster (US Release)</t>
  </si>
  <si>
    <t>$8,700,374</t>
  </si>
  <si>
    <t>$190,252</t>
  </si>
  <si>
    <t>The Wild Life (2016)</t>
  </si>
  <si>
    <t>$8,005,586</t>
  </si>
  <si>
    <t>$3,342,696</t>
  </si>
  <si>
    <t>$7,751,969</t>
  </si>
  <si>
    <t>$159,615</t>
  </si>
  <si>
    <t>Silence (2016)</t>
  </si>
  <si>
    <t>$7,100,177</t>
  </si>
  <si>
    <t>$130,880</t>
  </si>
  <si>
    <t>Shut In</t>
  </si>
  <si>
    <t>$6,900,335</t>
  </si>
  <si>
    <t>$3,613,567</t>
  </si>
  <si>
    <t>The Brothers Grimsby</t>
  </si>
  <si>
    <t>$6,874,837</t>
  </si>
  <si>
    <t>$3,258,327</t>
  </si>
  <si>
    <t>The Young Messiah</t>
  </si>
  <si>
    <t>$6,490,401</t>
  </si>
  <si>
    <t>$3,294,876</t>
  </si>
  <si>
    <t>Southside with You</t>
  </si>
  <si>
    <t>$6,304,223</t>
  </si>
  <si>
    <t>$2,868,403</t>
  </si>
  <si>
    <t>Sultan</t>
  </si>
  <si>
    <t>$6,200,000</t>
  </si>
  <si>
    <t>$2,371,100</t>
  </si>
  <si>
    <t>Captain Fantastic</t>
  </si>
  <si>
    <t>$5,879,736</t>
  </si>
  <si>
    <t>$93,824</t>
  </si>
  <si>
    <t>20th Century Women</t>
  </si>
  <si>
    <t>$5,664,764</t>
  </si>
  <si>
    <t>$111,200</t>
  </si>
  <si>
    <t>Hunt for the Wilderpeople</t>
  </si>
  <si>
    <t>$5,205,468</t>
  </si>
  <si>
    <t>$78,439</t>
  </si>
  <si>
    <t>Bleed for This</t>
  </si>
  <si>
    <t>$5,083,906</t>
  </si>
  <si>
    <t>$2,366,810</t>
  </si>
  <si>
    <t>Incarnate</t>
  </si>
  <si>
    <t>$4,799,774</t>
  </si>
  <si>
    <t>$2,534,884</t>
  </si>
  <si>
    <t>Absolutely Fabulous: The Movie</t>
  </si>
  <si>
    <t>$4,772,155</t>
  </si>
  <si>
    <t>$1,861,118</t>
  </si>
  <si>
    <t>Hands of Stone</t>
  </si>
  <si>
    <t>$4,712,792</t>
  </si>
  <si>
    <t>$1,751,388</t>
  </si>
  <si>
    <t>Don't Think Twice</t>
  </si>
  <si>
    <t>$4,417,667</t>
  </si>
  <si>
    <t>$92,835</t>
  </si>
  <si>
    <t>The Meddler</t>
  </si>
  <si>
    <t>$4,267,218</t>
  </si>
  <si>
    <t>$57,022</t>
  </si>
  <si>
    <t>Ae Dil Hai Mushkil</t>
  </si>
  <si>
    <t>$4,264,983</t>
  </si>
  <si>
    <t>$2,190,042</t>
  </si>
  <si>
    <t>A Hologram for the King</t>
  </si>
  <si>
    <t>$4,212,494</t>
  </si>
  <si>
    <t>$1,138,578</t>
  </si>
  <si>
    <t>Swiss Army Man</t>
  </si>
  <si>
    <t>$4,210,454</t>
  </si>
  <si>
    <t>$105,453</t>
  </si>
  <si>
    <t>Denial</t>
  </si>
  <si>
    <t>$4,073,489</t>
  </si>
  <si>
    <t>$93,728</t>
  </si>
  <si>
    <t>Morgan</t>
  </si>
  <si>
    <t>$3,915,251</t>
  </si>
  <si>
    <t>$2,012,709</t>
  </si>
  <si>
    <t>Kabali</t>
  </si>
  <si>
    <t>CineGalaxy</t>
  </si>
  <si>
    <t>$3,903,095</t>
  </si>
  <si>
    <t>$1,977,716</t>
  </si>
  <si>
    <t>The Man Who Knew Infinity</t>
  </si>
  <si>
    <t>$3,866,794</t>
  </si>
  <si>
    <t>$80,325</t>
  </si>
  <si>
    <t>Where to Invade Next</t>
  </si>
  <si>
    <t>Drft.</t>
  </si>
  <si>
    <t>$3,827,261</t>
  </si>
  <si>
    <t>$897,034</t>
  </si>
  <si>
    <t>Max Steel</t>
  </si>
  <si>
    <t>$3,818,664</t>
  </si>
  <si>
    <t>$2,182,216</t>
  </si>
  <si>
    <t>Batman: The Killing Joke</t>
  </si>
  <si>
    <t>$3,775,000</t>
  </si>
  <si>
    <t>A Monster Calls</t>
  </si>
  <si>
    <t>$3,740,823</t>
  </si>
  <si>
    <t>$30,909</t>
  </si>
  <si>
    <t>Midnight Special</t>
  </si>
  <si>
    <t>$3,712,282</t>
  </si>
  <si>
    <t>$190,012</t>
  </si>
  <si>
    <t>Rules Don't Apply</t>
  </si>
  <si>
    <t>$3,652,206</t>
  </si>
  <si>
    <t>$1,589,625</t>
  </si>
  <si>
    <t>Miss Sloane</t>
  </si>
  <si>
    <t>$3,500,605</t>
  </si>
  <si>
    <t>$59,797</t>
  </si>
  <si>
    <t>A Man Called Ove</t>
  </si>
  <si>
    <t>$3,479,315</t>
  </si>
  <si>
    <t>$54,608</t>
  </si>
  <si>
    <t>Indignation</t>
  </si>
  <si>
    <t>$3,401,155</t>
  </si>
  <si>
    <t>$93,125</t>
  </si>
  <si>
    <t>Everybody Wants Some!!</t>
  </si>
  <si>
    <t>$3,400,278</t>
  </si>
  <si>
    <t>$312,355</t>
  </si>
  <si>
    <t>Maggie's Plan</t>
  </si>
  <si>
    <t>$3,351,735</t>
  </si>
  <si>
    <t>$63,308</t>
  </si>
  <si>
    <t>Sing Street</t>
  </si>
  <si>
    <t>$3,237,118</t>
  </si>
  <si>
    <t>$63,573</t>
  </si>
  <si>
    <t>The Mermaid (Mei ren yu)</t>
  </si>
  <si>
    <t>$3,232,685</t>
  </si>
  <si>
    <t>$985,052</t>
  </si>
  <si>
    <t>Green Room</t>
  </si>
  <si>
    <t>$3,220,371</t>
  </si>
  <si>
    <t>$87,984</t>
  </si>
  <si>
    <t>The Eagle Huntress</t>
  </si>
  <si>
    <t>$3,169,351</t>
  </si>
  <si>
    <t>$52,574</t>
  </si>
  <si>
    <t>Our Kind of Traitor</t>
  </si>
  <si>
    <t>$3,153,157</t>
  </si>
  <si>
    <t>$984,698</t>
  </si>
  <si>
    <t>Compadres</t>
  </si>
  <si>
    <t>$3,127,773</t>
  </si>
  <si>
    <t>$1,397,434</t>
  </si>
  <si>
    <t>The Other Side of the Door</t>
  </si>
  <si>
    <t>$3,000,342</t>
  </si>
  <si>
    <t>$1,211,210</t>
  </si>
  <si>
    <t>Anthropoid</t>
  </si>
  <si>
    <t>$2,964,845</t>
  </si>
  <si>
    <t>$1,233,519</t>
  </si>
  <si>
    <t>The Beatles: Eight Days a Week - The Touring Years</t>
  </si>
  <si>
    <t>$2,930,414</t>
  </si>
  <si>
    <t>$785,336</t>
  </si>
  <si>
    <t>2016 Oscar Nominated Short Films</t>
  </si>
  <si>
    <t>$2,816,816</t>
  </si>
  <si>
    <t>$559,502</t>
  </si>
  <si>
    <t>Ip Man 3</t>
  </si>
  <si>
    <t>$2,679,437</t>
  </si>
  <si>
    <t>$784,839</t>
  </si>
  <si>
    <t>Miles Ahead</t>
  </si>
  <si>
    <t>$2,610,896</t>
  </si>
  <si>
    <t>$114,530</t>
  </si>
  <si>
    <t>Kapoor &amp; Sons - Since 1921</t>
  </si>
  <si>
    <t>$2,607,036</t>
  </si>
  <si>
    <t>$986,992</t>
  </si>
  <si>
    <t>The Disappointments Room</t>
  </si>
  <si>
    <t>$2,423,468</t>
  </si>
  <si>
    <t>$1,402,823</t>
  </si>
  <si>
    <t>Hillsong - Let Hope Rise</t>
  </si>
  <si>
    <t>$2,394,386</t>
  </si>
  <si>
    <t>$1,357,243</t>
  </si>
  <si>
    <t>Dear Zindagi</t>
  </si>
  <si>
    <t>$2,376,479</t>
  </si>
  <si>
    <t>$977,862</t>
  </si>
  <si>
    <t>Elle</t>
  </si>
  <si>
    <t>$2,341,534</t>
  </si>
  <si>
    <t>$50,934</t>
  </si>
  <si>
    <t>A Aa</t>
  </si>
  <si>
    <t>BSC</t>
  </si>
  <si>
    <t>$2,313,043</t>
  </si>
  <si>
    <t>$1,213,057</t>
  </si>
  <si>
    <t>Fan</t>
  </si>
  <si>
    <t>$2,300,000</t>
  </si>
  <si>
    <t>$1,382,871</t>
  </si>
  <si>
    <t>Paterson</t>
  </si>
  <si>
    <t>$2,152,738</t>
  </si>
  <si>
    <t>$69,335</t>
  </si>
  <si>
    <t>Train to Busan</t>
  </si>
  <si>
    <t>$2,129,768</t>
  </si>
  <si>
    <t>$284,776</t>
  </si>
  <si>
    <t>I'm Not Ashamed</t>
  </si>
  <si>
    <t>$2,082,980</t>
  </si>
  <si>
    <t>$927,161</t>
  </si>
  <si>
    <t>A Bigger Splash</t>
  </si>
  <si>
    <t>$2,024,099</t>
  </si>
  <si>
    <t>$114,419</t>
  </si>
  <si>
    <t>The Dressmaker</t>
  </si>
  <si>
    <t>$2,022,115</t>
  </si>
  <si>
    <t>$185,165</t>
  </si>
  <si>
    <t>The Handmaiden</t>
  </si>
  <si>
    <t>$2,006,788</t>
  </si>
  <si>
    <t>$92,129</t>
  </si>
  <si>
    <t>Desierto</t>
  </si>
  <si>
    <t>$2,002,036</t>
  </si>
  <si>
    <t>$514,282</t>
  </si>
  <si>
    <t>Greater</t>
  </si>
  <si>
    <t>Ham</t>
  </si>
  <si>
    <t>$2,000,093</t>
  </si>
  <si>
    <t>$627,974</t>
  </si>
  <si>
    <t>Demolition</t>
  </si>
  <si>
    <t>$1,978,592</t>
  </si>
  <si>
    <t>$1,100,042</t>
  </si>
  <si>
    <t>Shin Godzilla</t>
  </si>
  <si>
    <t>$1,918,403</t>
  </si>
  <si>
    <t>$458,342</t>
  </si>
  <si>
    <t>Purple Rain (2016 re-release)</t>
  </si>
  <si>
    <t>$1,868,075</t>
  </si>
  <si>
    <t>M.S. Dhoni: The Untold Story</t>
  </si>
  <si>
    <t>$1,801,550</t>
  </si>
  <si>
    <t>$1,108,650</t>
  </si>
  <si>
    <t>Busco Novio Para Mi Mujer</t>
  </si>
  <si>
    <t>$1,741,889</t>
  </si>
  <si>
    <t>$902,457</t>
  </si>
  <si>
    <t>Billy Lynn's Long Halftime Walk</t>
  </si>
  <si>
    <t>$1,738,477</t>
  </si>
  <si>
    <t>$114,129</t>
  </si>
  <si>
    <t>Harry Potter IMAX Marathon</t>
  </si>
  <si>
    <t>$1,729,226</t>
  </si>
  <si>
    <t>$1,357,376</t>
  </si>
  <si>
    <t>To Joey, with Love</t>
  </si>
  <si>
    <t>$1,709,073</t>
  </si>
  <si>
    <t>Weiner</t>
  </si>
  <si>
    <t>$1,676,108</t>
  </si>
  <si>
    <t>$84,173</t>
  </si>
  <si>
    <t>The Comedian</t>
  </si>
  <si>
    <t>$1,659,002</t>
  </si>
  <si>
    <t>$10,723</t>
  </si>
  <si>
    <t>I Saw the Light</t>
  </si>
  <si>
    <t>$1,646,788</t>
  </si>
  <si>
    <t>$45,471</t>
  </si>
  <si>
    <t>Equity</t>
  </si>
  <si>
    <t>$1,605,463</t>
  </si>
  <si>
    <t>$82,434</t>
  </si>
  <si>
    <t>Neerja</t>
  </si>
  <si>
    <t>$1,585,687</t>
  </si>
  <si>
    <t>$626,528</t>
  </si>
  <si>
    <t>Jane Got a Gun</t>
  </si>
  <si>
    <t>$1,513,793</t>
  </si>
  <si>
    <t>$835,572</t>
  </si>
  <si>
    <t>Priceless (2016)</t>
  </si>
  <si>
    <t>$1,499,605</t>
  </si>
  <si>
    <t>$707,021</t>
  </si>
  <si>
    <t>Julieta</t>
  </si>
  <si>
    <t>$1,490,948</t>
  </si>
  <si>
    <t>$64,044</t>
  </si>
  <si>
    <t>Toni Erdmann</t>
  </si>
  <si>
    <t>$1,479,387</t>
  </si>
  <si>
    <t>$15,972</t>
  </si>
  <si>
    <t>Genius</t>
  </si>
  <si>
    <t>$1,361,045</t>
  </si>
  <si>
    <t>$98,274</t>
  </si>
  <si>
    <t>The Little Prince</t>
  </si>
  <si>
    <t>$1,339,152</t>
  </si>
  <si>
    <t>$116,927</t>
  </si>
  <si>
    <t>The Neon Demon</t>
  </si>
  <si>
    <t>$1,333,124</t>
  </si>
  <si>
    <t>$589,014</t>
  </si>
  <si>
    <t>Embrace of the Serpent</t>
  </si>
  <si>
    <t>$1,329,249</t>
  </si>
  <si>
    <t>$50,955</t>
  </si>
  <si>
    <t>Housefull 3</t>
  </si>
  <si>
    <t>$1,326,999</t>
  </si>
  <si>
    <t>$683,620</t>
  </si>
  <si>
    <t>Mohenjo Daro</t>
  </si>
  <si>
    <t>$1,264,339</t>
  </si>
  <si>
    <t>$747,791</t>
  </si>
  <si>
    <t>Lazer Team</t>
  </si>
  <si>
    <t>Ampl.</t>
  </si>
  <si>
    <t>$1,186,426</t>
  </si>
  <si>
    <t>$108,586</t>
  </si>
  <si>
    <t>The Music of Strangers</t>
  </si>
  <si>
    <t>$1,176,781</t>
  </si>
  <si>
    <t>$24,614</t>
  </si>
  <si>
    <t>Vaxxed: From Cover-Up to Catastrophe</t>
  </si>
  <si>
    <t>$1,163,265</t>
  </si>
  <si>
    <t>$28,339</t>
  </si>
  <si>
    <t>Dough</t>
  </si>
  <si>
    <t>$1,148,304</t>
  </si>
  <si>
    <t>$50,871</t>
  </si>
  <si>
    <t>Wazir</t>
  </si>
  <si>
    <t>$1,124,045</t>
  </si>
  <si>
    <t>$586,028</t>
  </si>
  <si>
    <t>Papa: Hemingway in Cuba</t>
  </si>
  <si>
    <t>YFG</t>
  </si>
  <si>
    <t>$1,115,615</t>
  </si>
  <si>
    <t>$475,224</t>
  </si>
  <si>
    <t>The Insanity of God</t>
  </si>
  <si>
    <t>LifeWay</t>
  </si>
  <si>
    <t>$1,102,525</t>
  </si>
  <si>
    <t>Certain Women</t>
  </si>
  <si>
    <t>$1,087,585</t>
  </si>
  <si>
    <t>$60,898</t>
  </si>
  <si>
    <t>Rustom</t>
  </si>
  <si>
    <t>$1,087,419</t>
  </si>
  <si>
    <t>$773,662</t>
  </si>
  <si>
    <t>The Innocents</t>
  </si>
  <si>
    <t>$1,065,665</t>
  </si>
  <si>
    <t>$30,896</t>
  </si>
  <si>
    <t>Elvis &amp; Nixon</t>
  </si>
  <si>
    <t>$1,055,287</t>
  </si>
  <si>
    <t>$466,447</t>
  </si>
  <si>
    <t>Operation Chromite</t>
  </si>
  <si>
    <t>$1,023,348</t>
  </si>
  <si>
    <t>$31,662</t>
  </si>
  <si>
    <t>The Hollars</t>
  </si>
  <si>
    <t>$1,016,985</t>
  </si>
  <si>
    <t>$38,210</t>
  </si>
  <si>
    <t>Baar Baar Dekho</t>
  </si>
  <si>
    <t>$981,947</t>
  </si>
  <si>
    <t>$612,363</t>
  </si>
  <si>
    <t>Dark Horse (2016)</t>
  </si>
  <si>
    <t>$940,715</t>
  </si>
  <si>
    <t>$13,838</t>
  </si>
  <si>
    <t>Neruda</t>
  </si>
  <si>
    <t>$939,101</t>
  </si>
  <si>
    <t>$29,402</t>
  </si>
  <si>
    <t>Gentleman</t>
  </si>
  <si>
    <t>Gaatri</t>
  </si>
  <si>
    <t>$897,876</t>
  </si>
  <si>
    <t>$537,490</t>
  </si>
  <si>
    <t>Believe (2016)</t>
  </si>
  <si>
    <t>$890,303</t>
  </si>
  <si>
    <t>$477,387</t>
  </si>
  <si>
    <t>Ki &amp; Ka</t>
  </si>
  <si>
    <t>$857,986</t>
  </si>
  <si>
    <t>$439,521</t>
  </si>
  <si>
    <t>Premam</t>
  </si>
  <si>
    <t>$828,278</t>
  </si>
  <si>
    <t>$448,129</t>
  </si>
  <si>
    <t>Dishoom</t>
  </si>
  <si>
    <t>$812,737</t>
  </si>
  <si>
    <t>$442,299</t>
  </si>
  <si>
    <t>Operation Mekong</t>
  </si>
  <si>
    <t>$800,012</t>
  </si>
  <si>
    <t>$85,082</t>
  </si>
  <si>
    <t>The Wailing (Goksung)</t>
  </si>
  <si>
    <t>$786,633</t>
  </si>
  <si>
    <t>$77,892</t>
  </si>
  <si>
    <t>Saban</t>
  </si>
  <si>
    <t>$779,820</t>
  </si>
  <si>
    <t>Chongqing Hot Pot</t>
  </si>
  <si>
    <t>$779,818</t>
  </si>
  <si>
    <t>$201,960</t>
  </si>
  <si>
    <t>The Polar Express (2016 re-issue)</t>
  </si>
  <si>
    <t>$765,154</t>
  </si>
  <si>
    <t>I Belonged to You</t>
  </si>
  <si>
    <t>$744,541</t>
  </si>
  <si>
    <t>$311,738</t>
  </si>
  <si>
    <t>Saturday's Warrior</t>
  </si>
  <si>
    <t>$744,046</t>
  </si>
  <si>
    <t>$96,041</t>
  </si>
  <si>
    <t>The Monkey King 2 in 3D</t>
  </si>
  <si>
    <t>$709,982</t>
  </si>
  <si>
    <t>$166,391</t>
  </si>
  <si>
    <t>Little Men (2016)</t>
  </si>
  <si>
    <t>$702,537</t>
  </si>
  <si>
    <t>$30,368</t>
  </si>
  <si>
    <t>Chaar Sahibzaade: Rise of Band Singh Bahadur</t>
  </si>
  <si>
    <t>$700,723</t>
  </si>
  <si>
    <t>$303,863</t>
  </si>
  <si>
    <t>Mr. Church</t>
  </si>
  <si>
    <t>$685,780</t>
  </si>
  <si>
    <t>$338,551</t>
  </si>
  <si>
    <t>Born to be Blue (US Release)</t>
  </si>
  <si>
    <t>$678,203</t>
  </si>
  <si>
    <t>$46,184</t>
  </si>
  <si>
    <t>American Honey</t>
  </si>
  <si>
    <t>$663,246</t>
  </si>
  <si>
    <t>$71,203</t>
  </si>
  <si>
    <t>El Jeremias</t>
  </si>
  <si>
    <t>$650,465</t>
  </si>
  <si>
    <t>$314,109</t>
  </si>
  <si>
    <t>City of Gold</t>
  </si>
  <si>
    <t>$640,979</t>
  </si>
  <si>
    <t>$62,959</t>
  </si>
  <si>
    <t>Remember (US Release)</t>
  </si>
  <si>
    <t>$637,555</t>
  </si>
  <si>
    <t>$20,489</t>
  </si>
  <si>
    <t>Range 15</t>
  </si>
  <si>
    <t>TUG</t>
  </si>
  <si>
    <t>$621,738</t>
  </si>
  <si>
    <t>$1,044</t>
  </si>
  <si>
    <t>Embrace: The Documentary</t>
  </si>
  <si>
    <t>$620,255</t>
  </si>
  <si>
    <t>The Bronze</t>
  </si>
  <si>
    <t>$615,816</t>
  </si>
  <si>
    <t>$386,328</t>
  </si>
  <si>
    <t>Tickled</t>
  </si>
  <si>
    <t>$613,956</t>
  </si>
  <si>
    <t>$21,898</t>
  </si>
  <si>
    <t>Master</t>
  </si>
  <si>
    <t>$597,251</t>
  </si>
  <si>
    <t>$72,821</t>
  </si>
  <si>
    <t>Lo and Behold, Reveries of the Connected World</t>
  </si>
  <si>
    <t>$594,912</t>
  </si>
  <si>
    <t>$114,273</t>
  </si>
  <si>
    <t>Gleason</t>
  </si>
  <si>
    <t>$583,664</t>
  </si>
  <si>
    <t>$91,583</t>
  </si>
  <si>
    <t>A Tale of Love and Darkness</t>
  </si>
  <si>
    <t>$572,212</t>
  </si>
  <si>
    <t>$37,170</t>
  </si>
  <si>
    <t>Tunnel</t>
  </si>
  <si>
    <t>$568,876</t>
  </si>
  <si>
    <t>$172,521</t>
  </si>
  <si>
    <t>Knight of Cups</t>
  </si>
  <si>
    <t>$566,006</t>
  </si>
  <si>
    <t>$60,551</t>
  </si>
  <si>
    <t>Harry &amp; Snowman</t>
  </si>
  <si>
    <t>$561,460</t>
  </si>
  <si>
    <t>$56,842</t>
  </si>
  <si>
    <t>Cold War 2</t>
  </si>
  <si>
    <t>$560,824</t>
  </si>
  <si>
    <t>$157,385</t>
  </si>
  <si>
    <t>American Pastoral</t>
  </si>
  <si>
    <t>$544,098</t>
  </si>
  <si>
    <t>$149,038</t>
  </si>
  <si>
    <t>The Age of Shadows</t>
  </si>
  <si>
    <t>$541,719</t>
  </si>
  <si>
    <t>$165,685</t>
  </si>
  <si>
    <t>Fitoor</t>
  </si>
  <si>
    <t>$528,799</t>
  </si>
  <si>
    <t>$347,164</t>
  </si>
  <si>
    <t>The First Monday in May</t>
  </si>
  <si>
    <t>$527,474</t>
  </si>
  <si>
    <t>$99,242</t>
  </si>
  <si>
    <t>Willy Wonka and the Chocolate Factory (2016 re-release)</t>
  </si>
  <si>
    <t>$526,633</t>
  </si>
  <si>
    <t>Unsullied</t>
  </si>
  <si>
    <t>$510,957</t>
  </si>
  <si>
    <t>$179,112</t>
  </si>
  <si>
    <t>Befikre</t>
  </si>
  <si>
    <t>$498,000</t>
  </si>
  <si>
    <t>Marguerite</t>
  </si>
  <si>
    <t>$497,323</t>
  </si>
  <si>
    <t>$19,924</t>
  </si>
  <si>
    <t>The Boy and the Beast</t>
  </si>
  <si>
    <t>$490,643</t>
  </si>
  <si>
    <t>$274,247</t>
  </si>
  <si>
    <t>Wiener-Dog</t>
  </si>
  <si>
    <t>$477,453</t>
  </si>
  <si>
    <t>$24,311</t>
  </si>
  <si>
    <t>Detective Chinatown (Tang ren jie tan an)</t>
  </si>
  <si>
    <t>$474,252</t>
  </si>
  <si>
    <t>$280,281</t>
  </si>
  <si>
    <t>Our Little Sister</t>
  </si>
  <si>
    <t>$467,555</t>
  </si>
  <si>
    <t>$25,118</t>
  </si>
  <si>
    <t>Luck-Key</t>
  </si>
  <si>
    <t>JBG</t>
  </si>
  <si>
    <t>$466,505</t>
  </si>
  <si>
    <t>$113,846</t>
  </si>
  <si>
    <t>Only Yesterday (2016 re-release)</t>
  </si>
  <si>
    <t>$453,243</t>
  </si>
  <si>
    <t>$14,970</t>
  </si>
  <si>
    <t>Gimme Danger</t>
  </si>
  <si>
    <t>$440,627</t>
  </si>
  <si>
    <t>$44,725</t>
  </si>
  <si>
    <t>Baaghi</t>
  </si>
  <si>
    <t>$438,207</t>
  </si>
  <si>
    <t>$237,215</t>
  </si>
  <si>
    <t>I Am Not Madame Bovary</t>
  </si>
  <si>
    <t>$436,798</t>
  </si>
  <si>
    <t>$181,552</t>
  </si>
  <si>
    <t>$435,266</t>
  </si>
  <si>
    <t>$13,754</t>
  </si>
  <si>
    <t>Mad Max: Fury Road (Academy Re-Release)</t>
  </si>
  <si>
    <t>$421,986</t>
  </si>
  <si>
    <t>Voiceless</t>
  </si>
  <si>
    <t>$419,952</t>
  </si>
  <si>
    <t>$292,438</t>
  </si>
  <si>
    <t>Things To Come_x000B_</t>
  </si>
  <si>
    <t>$388,140</t>
  </si>
  <si>
    <t>$31,936</t>
  </si>
  <si>
    <t>The Wasted Times</t>
  </si>
  <si>
    <t>$386,540</t>
  </si>
  <si>
    <t>$95,514</t>
  </si>
  <si>
    <t>The Lobster (Canada Release)</t>
  </si>
  <si>
    <t>Mon</t>
  </si>
  <si>
    <t>$376,871</t>
  </si>
  <si>
    <t>Mr. Donkey</t>
  </si>
  <si>
    <t>$356,255</t>
  </si>
  <si>
    <t>$86,931</t>
  </si>
  <si>
    <t>Eat That Question: Frank Zappa in His Own Words</t>
  </si>
  <si>
    <t>$355,074</t>
  </si>
  <si>
    <t>$16,695</t>
  </si>
  <si>
    <t>Happy Bhaag Jayegi</t>
  </si>
  <si>
    <t>$351,840</t>
  </si>
  <si>
    <t>$159,895</t>
  </si>
  <si>
    <t>Kahaani 2</t>
  </si>
  <si>
    <t>$350,703</t>
  </si>
  <si>
    <t>$279,009</t>
  </si>
  <si>
    <t>L.O.R.D: Legend of Ravaging Dynasties</t>
  </si>
  <si>
    <t>AR</t>
  </si>
  <si>
    <t>$350,456</t>
  </si>
  <si>
    <t>$170,676</t>
  </si>
  <si>
    <t>High-Rise</t>
  </si>
  <si>
    <t>$346,472</t>
  </si>
  <si>
    <t>$79,887</t>
  </si>
  <si>
    <t>Te3n</t>
  </si>
  <si>
    <t>$331,507</t>
  </si>
  <si>
    <t>$258,066</t>
  </si>
  <si>
    <t>Kaashmora</t>
  </si>
  <si>
    <t>$327,959</t>
  </si>
  <si>
    <t>$298,674</t>
  </si>
  <si>
    <t>The Bounce Back</t>
  </si>
  <si>
    <t>VPD</t>
  </si>
  <si>
    <t>$321,910</t>
  </si>
  <si>
    <t>$227,354</t>
  </si>
  <si>
    <t>AmeriGeddon</t>
  </si>
  <si>
    <t>Forewarned</t>
  </si>
  <si>
    <t>$316,554</t>
  </si>
  <si>
    <t>$125,571</t>
  </si>
  <si>
    <t>Francofonia</t>
  </si>
  <si>
    <t>$307,040</t>
  </si>
  <si>
    <t>$22,083</t>
  </si>
  <si>
    <t>Mia Madre</t>
  </si>
  <si>
    <t>$303,002</t>
  </si>
  <si>
    <t>$34,098</t>
  </si>
  <si>
    <t>Christine (2016)</t>
  </si>
  <si>
    <t>$298,525</t>
  </si>
  <si>
    <t>$13,384</t>
  </si>
  <si>
    <t>April and the Extraordinary World</t>
  </si>
  <si>
    <t>$295,488</t>
  </si>
  <si>
    <t>$11,413</t>
  </si>
  <si>
    <t>Ixcanul</t>
  </si>
  <si>
    <t>$295,157</t>
  </si>
  <si>
    <t>$5,980</t>
  </si>
  <si>
    <t>The People vs. Fritz Bauer</t>
  </si>
  <si>
    <t>$288,483</t>
  </si>
  <si>
    <t>$33,781</t>
  </si>
  <si>
    <t>Aquarius</t>
  </si>
  <si>
    <t>$285,930</t>
  </si>
  <si>
    <t>$29,129</t>
  </si>
  <si>
    <t>Kingsglaive: Final Fantasy: XV</t>
  </si>
  <si>
    <t>$269,980</t>
  </si>
  <si>
    <t>$119,801</t>
  </si>
  <si>
    <t>My Golden Days</t>
  </si>
  <si>
    <t>$269,144</t>
  </si>
  <si>
    <t>$26,847</t>
  </si>
  <si>
    <t>The Family Fang</t>
  </si>
  <si>
    <t>SM</t>
  </si>
  <si>
    <t>$262,921</t>
  </si>
  <si>
    <t>$14,506</t>
  </si>
  <si>
    <t>Minimalism: A Documentary About the Important Things</t>
  </si>
  <si>
    <t>$261,865</t>
  </si>
  <si>
    <t>Dheepan</t>
  </si>
  <si>
    <t>$261,819</t>
  </si>
  <si>
    <t>$20,249</t>
  </si>
  <si>
    <t>Yo-kai Watch: The Movie</t>
  </si>
  <si>
    <t>$257,343</t>
  </si>
  <si>
    <t>Life, Animated</t>
  </si>
  <si>
    <t>$255,388</t>
  </si>
  <si>
    <t>$21,883</t>
  </si>
  <si>
    <t>Oasis: Supersonic</t>
  </si>
  <si>
    <t>$242,867</t>
  </si>
  <si>
    <t>$16,880</t>
  </si>
  <si>
    <t>The Invitation</t>
  </si>
  <si>
    <t>$231,737</t>
  </si>
  <si>
    <t>$67,877</t>
  </si>
  <si>
    <t>Jimmy Vestvood: Amerikan Hero</t>
  </si>
  <si>
    <t>SkyI</t>
  </si>
  <si>
    <t>$230,069</t>
  </si>
  <si>
    <t>$60,860</t>
  </si>
  <si>
    <t>The Love Witch</t>
  </si>
  <si>
    <t>$228,894</t>
  </si>
  <si>
    <t>$17,980</t>
  </si>
  <si>
    <t>Tampopo (2016 re-release)</t>
  </si>
  <si>
    <t>$224,097</t>
  </si>
  <si>
    <t>$16,410</t>
  </si>
  <si>
    <t>Miss Hokusai</t>
  </si>
  <si>
    <t>$222,670</t>
  </si>
  <si>
    <t>$24,524</t>
  </si>
  <si>
    <t>Spirit of the Game</t>
  </si>
  <si>
    <t>$222,565</t>
  </si>
  <si>
    <t>$45,580</t>
  </si>
  <si>
    <t>Naam Hai Akira</t>
  </si>
  <si>
    <t>$219,401</t>
  </si>
  <si>
    <t>$136,644</t>
  </si>
  <si>
    <t>Ho Mann Jahaan</t>
  </si>
  <si>
    <t>$208,611</t>
  </si>
  <si>
    <t>$77,548</t>
  </si>
  <si>
    <t>Seed: The Untold Story</t>
  </si>
  <si>
    <t>CEye</t>
  </si>
  <si>
    <t>$207,825</t>
  </si>
  <si>
    <t>Kaptaan</t>
  </si>
  <si>
    <t>$203,790</t>
  </si>
  <si>
    <t>$109,993</t>
  </si>
  <si>
    <t>El Clan</t>
  </si>
  <si>
    <t>$201,227</t>
  </si>
  <si>
    <t>$12,519</t>
  </si>
  <si>
    <t>White Girl</t>
  </si>
  <si>
    <t>$200,242</t>
  </si>
  <si>
    <t>$34,058</t>
  </si>
  <si>
    <t>The Fallen Idol (2016 re-issue)</t>
  </si>
  <si>
    <t>$199,619</t>
  </si>
  <si>
    <t>$12,136</t>
  </si>
  <si>
    <t>Complete Unknown</t>
  </si>
  <si>
    <t>$191,761</t>
  </si>
  <si>
    <t>$14,149</t>
  </si>
  <si>
    <t>Digimon Adventure tri.</t>
  </si>
  <si>
    <t>$190,581</t>
  </si>
  <si>
    <t>$163,005</t>
  </si>
  <si>
    <t>The Masked Saint</t>
  </si>
  <si>
    <t>$182,695</t>
  </si>
  <si>
    <t>$123,839</t>
  </si>
  <si>
    <t>League of Gods</t>
  </si>
  <si>
    <t>$181,633</t>
  </si>
  <si>
    <t>$84,779</t>
  </si>
  <si>
    <t>Viva</t>
  </si>
  <si>
    <t>$178,008</t>
  </si>
  <si>
    <t>$48,995</t>
  </si>
  <si>
    <t>The Wave</t>
  </si>
  <si>
    <t>$177,404</t>
  </si>
  <si>
    <t>$60,321</t>
  </si>
  <si>
    <t>Asura: The City of Madness</t>
  </si>
  <si>
    <t>$175,702</t>
  </si>
  <si>
    <t>$21,253</t>
  </si>
  <si>
    <t>Hieronymus Bosch: Touched by the Devil</t>
  </si>
  <si>
    <t>$172,533</t>
  </si>
  <si>
    <t>Apparition Hill</t>
  </si>
  <si>
    <t>LFlower</t>
  </si>
  <si>
    <t>$170,457</t>
  </si>
  <si>
    <t>$4,152</t>
  </si>
  <si>
    <t>The Fits</t>
  </si>
  <si>
    <t>$166,425</t>
  </si>
  <si>
    <t>$10,602</t>
  </si>
  <si>
    <t>De Palma</t>
  </si>
  <si>
    <t>$165,237</t>
  </si>
  <si>
    <t>$30,355</t>
  </si>
  <si>
    <t>Louder than Bombs</t>
  </si>
  <si>
    <t>$163,807</t>
  </si>
  <si>
    <t>$24,259</t>
  </si>
  <si>
    <t>Howards End (2016 Restoration)</t>
  </si>
  <si>
    <t>$160,282</t>
  </si>
  <si>
    <t>$23,840</t>
  </si>
  <si>
    <t>Beauty and the Beast (2016 re-issue)</t>
  </si>
  <si>
    <t>$160,215</t>
  </si>
  <si>
    <t>$8,264</t>
  </si>
  <si>
    <t>Sunset Song</t>
  </si>
  <si>
    <t>$159,714</t>
  </si>
  <si>
    <t>$12,995</t>
  </si>
  <si>
    <t>The Witness</t>
  </si>
  <si>
    <t>$159,305</t>
  </si>
  <si>
    <t>$14,523</t>
  </si>
  <si>
    <t>Eva Hesse</t>
  </si>
  <si>
    <t>$157,481</t>
  </si>
  <si>
    <t>$12,780</t>
  </si>
  <si>
    <t>Born to be Blue</t>
  </si>
  <si>
    <t>$151,926</t>
  </si>
  <si>
    <t>$14,069</t>
  </si>
  <si>
    <t>Generation Found</t>
  </si>
  <si>
    <t>$151,751</t>
  </si>
  <si>
    <t>Kicks</t>
  </si>
  <si>
    <t>$150,191</t>
  </si>
  <si>
    <t>$32,111</t>
  </si>
  <si>
    <t>Seasons</t>
  </si>
  <si>
    <t>$150,092</t>
  </si>
  <si>
    <t>$27,134</t>
  </si>
  <si>
    <t>Rams (Hrútar)</t>
  </si>
  <si>
    <t>$149,250</t>
  </si>
  <si>
    <t>$13,289</t>
  </si>
  <si>
    <t>Michael Moore In TrumpLand</t>
  </si>
  <si>
    <t>Moore</t>
  </si>
  <si>
    <t>$149,090</t>
  </si>
  <si>
    <t>$50,200</t>
  </si>
  <si>
    <t>Touched with Fire</t>
  </si>
  <si>
    <t>$146,487</t>
  </si>
  <si>
    <t>$16,816</t>
  </si>
  <si>
    <t>Krisha</t>
  </si>
  <si>
    <t>$144,822</t>
  </si>
  <si>
    <t>$9,880</t>
  </si>
  <si>
    <t>Psycho-Pass: The Movie</t>
  </si>
  <si>
    <t>$138,366</t>
  </si>
  <si>
    <t>The Kind Words</t>
  </si>
  <si>
    <t>$135,382</t>
  </si>
  <si>
    <t>$8,571</t>
  </si>
  <si>
    <t>Tumbledown</t>
  </si>
  <si>
    <t>$135,026</t>
  </si>
  <si>
    <t>$7,331</t>
  </si>
  <si>
    <t>ISM</t>
  </si>
  <si>
    <t>$134,165</t>
  </si>
  <si>
    <t>$120,155</t>
  </si>
  <si>
    <t>Dawson City: Frozen Time</t>
  </si>
  <si>
    <t>$132,369</t>
  </si>
  <si>
    <t>Requiem for the American Dream</t>
  </si>
  <si>
    <t>$130,152</t>
  </si>
  <si>
    <t>The Brand New Testament</t>
  </si>
  <si>
    <t>$127,910</t>
  </si>
  <si>
    <t>$10,422</t>
  </si>
  <si>
    <t>Chimes at Midnight (2016 re-release)</t>
  </si>
  <si>
    <t>$126,724</t>
  </si>
  <si>
    <t>$20,480</t>
  </si>
  <si>
    <t>Spirits' Homecoming</t>
  </si>
  <si>
    <t>PM&amp;E</t>
  </si>
  <si>
    <t>$125,616</t>
  </si>
  <si>
    <t>$10,012</t>
  </si>
  <si>
    <t>Sweet Bean</t>
  </si>
  <si>
    <t>$124,800</t>
  </si>
  <si>
    <t>$4,630</t>
  </si>
  <si>
    <t>A War</t>
  </si>
  <si>
    <t>$122,902</t>
  </si>
  <si>
    <t>$9,095</t>
  </si>
  <si>
    <t>Fire at Sea</t>
  </si>
  <si>
    <t>$120,933</t>
  </si>
  <si>
    <t>$11,350</t>
  </si>
  <si>
    <t>Miss Sharon Jones</t>
  </si>
  <si>
    <t>$120,880</t>
  </si>
  <si>
    <t>$10,323</t>
  </si>
  <si>
    <t>Hockney</t>
  </si>
  <si>
    <t>$120,745</t>
  </si>
  <si>
    <t>$13,683</t>
  </si>
  <si>
    <t>Three</t>
  </si>
  <si>
    <t>$119,550</t>
  </si>
  <si>
    <t>$58,196</t>
  </si>
  <si>
    <t>Remember the Goal</t>
  </si>
  <si>
    <t>5&amp;2</t>
  </si>
  <si>
    <t>$119,100</t>
  </si>
  <si>
    <t>$70,136</t>
  </si>
  <si>
    <t>Tale of Tales</t>
  </si>
  <si>
    <t>$118,925</t>
  </si>
  <si>
    <t>$8,871</t>
  </si>
  <si>
    <t>Victor</t>
  </si>
  <si>
    <t>CZ</t>
  </si>
  <si>
    <t>$117,755</t>
  </si>
  <si>
    <t>$38,594</t>
  </si>
  <si>
    <t>Caged No More</t>
  </si>
  <si>
    <t>$114,959</t>
  </si>
  <si>
    <t>$69,372</t>
  </si>
  <si>
    <t>The Measure of a Man</t>
  </si>
  <si>
    <t>$112,391</t>
  </si>
  <si>
    <t>$10,011</t>
  </si>
  <si>
    <t>Elevator to the Gallows (2016 re-issue)</t>
  </si>
  <si>
    <t>$111,267</t>
  </si>
  <si>
    <t>$14,334</t>
  </si>
  <si>
    <t>Zero Days</t>
  </si>
  <si>
    <t>$109,649</t>
  </si>
  <si>
    <t>$49,110</t>
  </si>
  <si>
    <t>Aferim!</t>
  </si>
  <si>
    <t>$108,110</t>
  </si>
  <si>
    <t>$15,892</t>
  </si>
  <si>
    <t>Best Worst Thing That Ever Could Have Happened</t>
  </si>
  <si>
    <t>$106,986</t>
  </si>
  <si>
    <t>$23,490</t>
  </si>
  <si>
    <t>Dekalog (2016 re-release)</t>
  </si>
  <si>
    <t>$106,494</t>
  </si>
  <si>
    <t>$18,532</t>
  </si>
  <si>
    <t>Until Forever (Por Siempre)</t>
  </si>
  <si>
    <t>$105,358</t>
  </si>
  <si>
    <t>$26,687</t>
  </si>
  <si>
    <t>Under the Sun (2016)</t>
  </si>
  <si>
    <t>$105,036</t>
  </si>
  <si>
    <t>$15,454</t>
  </si>
  <si>
    <t>Dictator</t>
  </si>
  <si>
    <t>$104,734</t>
  </si>
  <si>
    <t>$30,593</t>
  </si>
  <si>
    <t>Demon</t>
  </si>
  <si>
    <t>$104,038</t>
  </si>
  <si>
    <t>$13,023</t>
  </si>
  <si>
    <t>Puerto Ricans in Paris</t>
  </si>
  <si>
    <t>$102,890</t>
  </si>
  <si>
    <t>$26,674</t>
  </si>
  <si>
    <t>Cameraperson</t>
  </si>
  <si>
    <t>$102,033</t>
  </si>
  <si>
    <t>$12,760</t>
  </si>
  <si>
    <t>Tower</t>
  </si>
  <si>
    <t>$101,987</t>
  </si>
  <si>
    <t>Our Last Tango</t>
  </si>
  <si>
    <t>$100,086</t>
  </si>
  <si>
    <t>$6,550</t>
  </si>
  <si>
    <t>Rock On 2</t>
  </si>
  <si>
    <t>$98,868</t>
  </si>
  <si>
    <t>$81,023</t>
  </si>
  <si>
    <t>Seondal: The Man Who Sells the River</t>
  </si>
  <si>
    <t>$97,477</t>
  </si>
  <si>
    <t>$36,415</t>
  </si>
  <si>
    <t>So Young 2: Never Gone</t>
  </si>
  <si>
    <t>$96,421</t>
  </si>
  <si>
    <t>$52,134</t>
  </si>
  <si>
    <t>The Fight Within</t>
  </si>
  <si>
    <t>GVN</t>
  </si>
  <si>
    <t>$94,326</t>
  </si>
  <si>
    <t>$57,124</t>
  </si>
  <si>
    <t>New York, New York (2016)</t>
  </si>
  <si>
    <t>$92,377</t>
  </si>
  <si>
    <t>$42,239</t>
  </si>
  <si>
    <t>Other People</t>
  </si>
  <si>
    <t>$91,441</t>
  </si>
  <si>
    <t>$36,997</t>
  </si>
  <si>
    <t>Morris from America</t>
  </si>
  <si>
    <t>$91,151</t>
  </si>
  <si>
    <t>$15,673</t>
  </si>
  <si>
    <t>Fireworks Wednesday</t>
  </si>
  <si>
    <t>$90,519</t>
  </si>
  <si>
    <t>No One's Life Is Easy: So I Married an Anti-Fan</t>
  </si>
  <si>
    <t>$89,282</t>
  </si>
  <si>
    <t>$58,767</t>
  </si>
  <si>
    <t>My Love, Don't Cross that River</t>
  </si>
  <si>
    <t>$88,018</t>
  </si>
  <si>
    <t>$6,340</t>
  </si>
  <si>
    <t>Sand Storm</t>
  </si>
  <si>
    <t>$86,800</t>
  </si>
  <si>
    <t>$6,849</t>
  </si>
  <si>
    <t>Author: The JT LeRoy Story</t>
  </si>
  <si>
    <t>$85,999</t>
  </si>
  <si>
    <t>$23,413</t>
  </si>
  <si>
    <t>Los Sures</t>
  </si>
  <si>
    <t>$83,992</t>
  </si>
  <si>
    <t>$26,088</t>
  </si>
  <si>
    <t>Ocean Waves</t>
  </si>
  <si>
    <t>$83,962</t>
  </si>
  <si>
    <t>$4,942</t>
  </si>
  <si>
    <t>Mountains May Depart</t>
  </si>
  <si>
    <t>$82,913</t>
  </si>
  <si>
    <t>$5,550</t>
  </si>
  <si>
    <t>Cock and Bull</t>
  </si>
  <si>
    <t>$82,778</t>
  </si>
  <si>
    <t>$33,231</t>
  </si>
  <si>
    <t>A Street Cat Named Bob</t>
  </si>
  <si>
    <t>Cleopatra</t>
  </si>
  <si>
    <t>$82,703</t>
  </si>
  <si>
    <t>$32,887</t>
  </si>
  <si>
    <t>Vita Activa: The Spirit of Hannah Arendt</t>
  </si>
  <si>
    <t>$82,143</t>
  </si>
  <si>
    <t>$13,244</t>
  </si>
  <si>
    <t>King Cobra</t>
  </si>
  <si>
    <t>$81,757</t>
  </si>
  <si>
    <t>$11,624</t>
  </si>
  <si>
    <t>Les cowboys</t>
  </si>
  <si>
    <t>$80,843</t>
  </si>
  <si>
    <t>$13,178</t>
  </si>
  <si>
    <t>For the Love of Spock</t>
  </si>
  <si>
    <t>$80,141</t>
  </si>
  <si>
    <t>My Best Friend's Wedding (2016)</t>
  </si>
  <si>
    <t>$78,578</t>
  </si>
  <si>
    <t>$39,984</t>
  </si>
  <si>
    <t>Sky on Fire</t>
  </si>
  <si>
    <t>$78,366</t>
  </si>
  <si>
    <t>$39,589</t>
  </si>
  <si>
    <t>Colliding Dreams</t>
  </si>
  <si>
    <t>ICir</t>
  </si>
  <si>
    <t>$78,288</t>
  </si>
  <si>
    <t>$16,438</t>
  </si>
  <si>
    <t>Saala Khadoos</t>
  </si>
  <si>
    <t>$76,931</t>
  </si>
  <si>
    <t>Don't Blink - Robert Frank</t>
  </si>
  <si>
    <t>$76,134</t>
  </si>
  <si>
    <t>$10,382</t>
  </si>
  <si>
    <t>Sword Master</t>
  </si>
  <si>
    <t>$75,526</t>
  </si>
  <si>
    <t>$40,113</t>
  </si>
  <si>
    <t>Do Not Resist</t>
  </si>
  <si>
    <t>Vanish</t>
  </si>
  <si>
    <t>$72,791</t>
  </si>
  <si>
    <t>$7,150</t>
  </si>
  <si>
    <t>Dancer</t>
  </si>
  <si>
    <t>$71,917</t>
  </si>
  <si>
    <t>$7,140</t>
  </si>
  <si>
    <t>Raiders!: The Story of the Greatest Fan Film Ever Made</t>
  </si>
  <si>
    <t>$71,916</t>
  </si>
  <si>
    <t>$26,059</t>
  </si>
  <si>
    <t>Sweet 20</t>
  </si>
  <si>
    <t>$71,775</t>
  </si>
  <si>
    <t>$24,715</t>
  </si>
  <si>
    <t>The Congressman</t>
  </si>
  <si>
    <t>Shad.</t>
  </si>
  <si>
    <t>$71,451</t>
  </si>
  <si>
    <t>$14,260</t>
  </si>
  <si>
    <t>Norman Lear: Just Another Version of You</t>
  </si>
  <si>
    <t>$70,950</t>
  </si>
  <si>
    <t>$16,912</t>
  </si>
  <si>
    <t>The Dark Horse</t>
  </si>
  <si>
    <t>$67,533</t>
  </si>
  <si>
    <t>$8,152</t>
  </si>
  <si>
    <t>Phantom Detective</t>
  </si>
  <si>
    <t>$67,054</t>
  </si>
  <si>
    <t>$7,804</t>
  </si>
  <si>
    <t>Max Rose</t>
  </si>
  <si>
    <t>$66,680</t>
  </si>
  <si>
    <t>$4,000</t>
  </si>
  <si>
    <t>King Georges</t>
  </si>
  <si>
    <t>$66,175</t>
  </si>
  <si>
    <t>$15,031</t>
  </si>
  <si>
    <t>Ran (2016 re-issue)</t>
  </si>
  <si>
    <t>$66,097</t>
  </si>
  <si>
    <t>Microbe &amp; Gasoline</t>
  </si>
  <si>
    <t>$63,802</t>
  </si>
  <si>
    <t>$11,882</t>
  </si>
  <si>
    <t>The Tenth Man</t>
  </si>
  <si>
    <t>$63,564</t>
  </si>
  <si>
    <t>Trapped (2016)</t>
  </si>
  <si>
    <t>$63,241</t>
  </si>
  <si>
    <t>$17,626</t>
  </si>
  <si>
    <t>Creative Control</t>
  </si>
  <si>
    <t>$63,014</t>
  </si>
  <si>
    <t>$6,964</t>
  </si>
  <si>
    <t>Mifune: The Last Samurai</t>
  </si>
  <si>
    <t>$62,279</t>
  </si>
  <si>
    <t>$4,296</t>
  </si>
  <si>
    <t>Too Late</t>
  </si>
  <si>
    <t>Vanishing</t>
  </si>
  <si>
    <t>$60,438</t>
  </si>
  <si>
    <t>$7,000</t>
  </si>
  <si>
    <t>Girl Asleep</t>
  </si>
  <si>
    <t>$60,289</t>
  </si>
  <si>
    <t>$2,567</t>
  </si>
  <si>
    <t>Presenting Princess Shaw</t>
  </si>
  <si>
    <t>$60,197</t>
  </si>
  <si>
    <t>$4,814</t>
  </si>
  <si>
    <t>Time Renegades</t>
  </si>
  <si>
    <t>$59,425</t>
  </si>
  <si>
    <t>$6,068</t>
  </si>
  <si>
    <t>Vanishing Time: A Boy Who Returned</t>
  </si>
  <si>
    <t>Dreamwest</t>
  </si>
  <si>
    <t>$57,759</t>
  </si>
  <si>
    <t>$4,156</t>
  </si>
  <si>
    <t>Command and Control</t>
  </si>
  <si>
    <t>AEF</t>
  </si>
  <si>
    <t>$57,635</t>
  </si>
  <si>
    <t>$5,385</t>
  </si>
  <si>
    <t>Sold</t>
  </si>
  <si>
    <t>$57,527</t>
  </si>
  <si>
    <t>$5,070</t>
  </si>
  <si>
    <t>Pele: Birth of a Legend</t>
  </si>
  <si>
    <t>$57,046</t>
  </si>
  <si>
    <t>$7,226</t>
  </si>
  <si>
    <t>The Battle of Algiers (2016)</t>
  </si>
  <si>
    <t>$56,853</t>
  </si>
  <si>
    <t>$13,536</t>
  </si>
  <si>
    <t>DONGJU: The Portrait of a Poet</t>
  </si>
  <si>
    <t>$56,550</t>
  </si>
  <si>
    <t>$17,724</t>
  </si>
  <si>
    <t>Wedding Doll</t>
  </si>
  <si>
    <t>$56,196</t>
  </si>
  <si>
    <t>$2,771</t>
  </si>
  <si>
    <t>L'attesa</t>
  </si>
  <si>
    <t>$55,804</t>
  </si>
  <si>
    <t>$5,686</t>
  </si>
  <si>
    <t>The Lovers and the Despot</t>
  </si>
  <si>
    <t>$55,511</t>
  </si>
  <si>
    <t>$14,925</t>
  </si>
  <si>
    <t>Voyage of Time: The IMAX Experience</t>
  </si>
  <si>
    <t>$55,409</t>
  </si>
  <si>
    <t>Regression</t>
  </si>
  <si>
    <t>$55,039</t>
  </si>
  <si>
    <t>$33,915</t>
  </si>
  <si>
    <t>Clown</t>
  </si>
  <si>
    <t>$55,007</t>
  </si>
  <si>
    <t>$26,920</t>
  </si>
  <si>
    <t>Diary of a Chambermaid</t>
  </si>
  <si>
    <t>$54,235</t>
  </si>
  <si>
    <t>$10,053</t>
  </si>
  <si>
    <t>My King (Mon roi)</t>
  </si>
  <si>
    <t>$54,114</t>
  </si>
  <si>
    <t>$6,273</t>
  </si>
  <si>
    <t>In a Valley of Violence</t>
  </si>
  <si>
    <t>$53,647</t>
  </si>
  <si>
    <t>$29,343</t>
  </si>
  <si>
    <t>High Strung (2016)</t>
  </si>
  <si>
    <t>$53,447</t>
  </si>
  <si>
    <t>$40,708</t>
  </si>
  <si>
    <t>The Club</t>
  </si>
  <si>
    <t>$52,761</t>
  </si>
  <si>
    <t>$6,514</t>
  </si>
  <si>
    <t>Being 17</t>
  </si>
  <si>
    <t>$52,713</t>
  </si>
  <si>
    <t>$8,838</t>
  </si>
  <si>
    <t>The Last Man on the Moon</t>
  </si>
  <si>
    <t>$52,482</t>
  </si>
  <si>
    <t>$30,880</t>
  </si>
  <si>
    <t>My Annoying Brother</t>
  </si>
  <si>
    <t>$51,996</t>
  </si>
  <si>
    <t>Cemetery of Splendor</t>
  </si>
  <si>
    <t>$51,950</t>
  </si>
  <si>
    <t>$7,780</t>
  </si>
  <si>
    <t>Disorder</t>
  </si>
  <si>
    <t>$51,879</t>
  </si>
  <si>
    <t>$11,699</t>
  </si>
  <si>
    <t>In the Shadow of Women</t>
  </si>
  <si>
    <t>$50,291</t>
  </si>
  <si>
    <t>$10,431</t>
  </si>
  <si>
    <t>The Take (2016)</t>
  </si>
  <si>
    <t>HTR</t>
  </si>
  <si>
    <t>$50,269</t>
  </si>
  <si>
    <t>$41,546</t>
  </si>
  <si>
    <t>In Order of Disappearance</t>
  </si>
  <si>
    <t>$50,251</t>
  </si>
  <si>
    <t>$5,208</t>
  </si>
  <si>
    <t>The Treasure</t>
  </si>
  <si>
    <t>SDS</t>
  </si>
  <si>
    <t>$50,203</t>
  </si>
  <si>
    <t>$13,624</t>
  </si>
  <si>
    <t>Fatima</t>
  </si>
  <si>
    <t>$50,105</t>
  </si>
  <si>
    <t>$6,221</t>
  </si>
  <si>
    <t>Ma ma</t>
  </si>
  <si>
    <t>$47,258</t>
  </si>
  <si>
    <t>$8,874</t>
  </si>
  <si>
    <t>Tanna</t>
  </si>
  <si>
    <t>Lightyear</t>
  </si>
  <si>
    <t>$46,654</t>
  </si>
  <si>
    <t>The Greasy Strangler</t>
  </si>
  <si>
    <t>$45,878</t>
  </si>
  <si>
    <t>$22,500</t>
  </si>
  <si>
    <t>3 Weeks in Yerevan</t>
  </si>
  <si>
    <t>RME</t>
  </si>
  <si>
    <t>$45,536</t>
  </si>
  <si>
    <t>We Are X</t>
  </si>
  <si>
    <t>$45,270</t>
  </si>
  <si>
    <t>$7,526</t>
  </si>
  <si>
    <t>A Melody to Remember</t>
  </si>
  <si>
    <t>$44,263</t>
  </si>
  <si>
    <t>Nuts!</t>
  </si>
  <si>
    <t>Cartuna</t>
  </si>
  <si>
    <t>$44,230</t>
  </si>
  <si>
    <t>Danny Says</t>
  </si>
  <si>
    <t>$44,213</t>
  </si>
  <si>
    <t>$11,244</t>
  </si>
  <si>
    <t>Phantom of the Theatre</t>
  </si>
  <si>
    <t>$43,955</t>
  </si>
  <si>
    <t>$21,001</t>
  </si>
  <si>
    <t>The Land</t>
  </si>
  <si>
    <t>$43,756</t>
  </si>
  <si>
    <t>$17,958</t>
  </si>
  <si>
    <t>Mastizaade</t>
  </si>
  <si>
    <t>$43,403</t>
  </si>
  <si>
    <t>$29,878</t>
  </si>
  <si>
    <t>Closet Monster</t>
  </si>
  <si>
    <t>$42,166</t>
  </si>
  <si>
    <t>$6,118</t>
  </si>
  <si>
    <t>Daughters of the Dust (2016 re-release)</t>
  </si>
  <si>
    <t>$40,986</t>
  </si>
  <si>
    <t>$10,842</t>
  </si>
  <si>
    <t>Wild Oats</t>
  </si>
  <si>
    <t>$40,598</t>
  </si>
  <si>
    <t>$21,554</t>
  </si>
  <si>
    <t>Is That a Gun in Your Pocket?</t>
  </si>
  <si>
    <t>A23</t>
  </si>
  <si>
    <t>$39,928</t>
  </si>
  <si>
    <t>The Homeless Billionaire</t>
  </si>
  <si>
    <t>Hann.</t>
  </si>
  <si>
    <t>$39,493</t>
  </si>
  <si>
    <t>$19,771</t>
  </si>
  <si>
    <t>La Notte (2016 re-release)</t>
  </si>
  <si>
    <t>$39,236</t>
  </si>
  <si>
    <t>$10,547</t>
  </si>
  <si>
    <t>Restored Me</t>
  </si>
  <si>
    <t>$38,745</t>
  </si>
  <si>
    <t>Catching the Sun</t>
  </si>
  <si>
    <t>$38,613</t>
  </si>
  <si>
    <t>Spa Night</t>
  </si>
  <si>
    <t>$38,578</t>
  </si>
  <si>
    <t>$7,056</t>
  </si>
  <si>
    <t>Germans &amp; Jews</t>
  </si>
  <si>
    <t>$38,100</t>
  </si>
  <si>
    <t>$5,024</t>
  </si>
  <si>
    <t>Band of Outsiders (2016 re-issue)</t>
  </si>
  <si>
    <t>$38,004</t>
  </si>
  <si>
    <t>$13,252</t>
  </si>
  <si>
    <t>Come What May</t>
  </si>
  <si>
    <t>$37,766</t>
  </si>
  <si>
    <t>$9,738</t>
  </si>
  <si>
    <t>Trust Fund</t>
  </si>
  <si>
    <t>Trans</t>
  </si>
  <si>
    <t>$36,885</t>
  </si>
  <si>
    <t>$18,023</t>
  </si>
  <si>
    <t>WOW</t>
  </si>
  <si>
    <t>$5,800</t>
  </si>
  <si>
    <t>Kill Me, Deadly</t>
  </si>
  <si>
    <t>$36,027</t>
  </si>
  <si>
    <t>$11,600</t>
  </si>
  <si>
    <t>Until Forever</t>
  </si>
  <si>
    <t>Linn</t>
  </si>
  <si>
    <t>$35,839</t>
  </si>
  <si>
    <t>$12,445</t>
  </si>
  <si>
    <t>Summertime (2016)</t>
  </si>
  <si>
    <t>$35,322</t>
  </si>
  <si>
    <t>$15,413</t>
  </si>
  <si>
    <t>Songs My Brothers Taught Me</t>
  </si>
  <si>
    <t>$34,793</t>
  </si>
  <si>
    <t>$3,430</t>
  </si>
  <si>
    <t>Mr. Right</t>
  </si>
  <si>
    <t>$34,694</t>
  </si>
  <si>
    <t>$25,369</t>
  </si>
  <si>
    <t>Phantom Boy</t>
  </si>
  <si>
    <t>$34,362</t>
  </si>
  <si>
    <t>$4,352</t>
  </si>
  <si>
    <t>Sweet Sixteen (Xia You Qiao Mu)</t>
  </si>
  <si>
    <t>$34,327</t>
  </si>
  <si>
    <t>Eisenstein in Guanajuato</t>
  </si>
  <si>
    <t>$34,282</t>
  </si>
  <si>
    <t>$9,823</t>
  </si>
  <si>
    <t>Off the Rails</t>
  </si>
  <si>
    <t>$34,249</t>
  </si>
  <si>
    <t>$8,795</t>
  </si>
  <si>
    <t>Last Cab to Darwin</t>
  </si>
  <si>
    <t>$34,193</t>
  </si>
  <si>
    <t>$620</t>
  </si>
  <si>
    <t>The Map Against the World</t>
  </si>
  <si>
    <t>$34,034</t>
  </si>
  <si>
    <t>$9,962</t>
  </si>
  <si>
    <t>Equals</t>
  </si>
  <si>
    <t>$33,258</t>
  </si>
  <si>
    <t>$9,206</t>
  </si>
  <si>
    <t>Multiple Maniacs (2016 re-issue)</t>
  </si>
  <si>
    <t>$33,036</t>
  </si>
  <si>
    <t>$9,814</t>
  </si>
  <si>
    <t>The Intervention</t>
  </si>
  <si>
    <t>$32,919</t>
  </si>
  <si>
    <t>$23,316</t>
  </si>
  <si>
    <t>Monster Hunt</t>
  </si>
  <si>
    <t>$32,766</t>
  </si>
  <si>
    <t>$21,074</t>
  </si>
  <si>
    <t>No Home Movie</t>
  </si>
  <si>
    <t>$32,757</t>
  </si>
  <si>
    <t>Rurouni Kenshin: Origins</t>
  </si>
  <si>
    <t>$32,445</t>
  </si>
  <si>
    <t>Anesthesia</t>
  </si>
  <si>
    <t>$32,163</t>
  </si>
  <si>
    <t>$6,747</t>
  </si>
  <si>
    <t>Rio, I Love You</t>
  </si>
  <si>
    <t>$31,982</t>
  </si>
  <si>
    <t>Under the Shadow</t>
  </si>
  <si>
    <t>$31,900</t>
  </si>
  <si>
    <t>$13,565</t>
  </si>
  <si>
    <t>Paths of the Soul</t>
  </si>
  <si>
    <t>$31,747</t>
  </si>
  <si>
    <t>$2,780</t>
  </si>
  <si>
    <t>As I Open My Eyes</t>
  </si>
  <si>
    <t>$30,989</t>
  </si>
  <si>
    <t>$4,189</t>
  </si>
  <si>
    <t>The Son of Joseph</t>
  </si>
  <si>
    <t>$30,588</t>
  </si>
  <si>
    <t>Being Charlie</t>
  </si>
  <si>
    <t>$30,400</t>
  </si>
  <si>
    <t>$11,872</t>
  </si>
  <si>
    <t>Men &amp; Chicken</t>
  </si>
  <si>
    <t>$30,207</t>
  </si>
  <si>
    <t>$2,654</t>
  </si>
  <si>
    <t>From Afar</t>
  </si>
  <si>
    <t>$30,169</t>
  </si>
  <si>
    <t>$5,136</t>
  </si>
  <si>
    <t>For a Few Bullets</t>
  </si>
  <si>
    <t>$30,142</t>
  </si>
  <si>
    <t>$17,138</t>
  </si>
  <si>
    <t>Therapy for a Vampire</t>
  </si>
  <si>
    <t>$30,115</t>
  </si>
  <si>
    <t>$3,361</t>
  </si>
  <si>
    <t>The Seventh Fire</t>
  </si>
  <si>
    <t>$30,112</t>
  </si>
  <si>
    <t>$8,277</t>
  </si>
  <si>
    <t>The Best Democracy Money Can Buy: A Tale of Billionaires &amp; Ballot Bandits</t>
  </si>
  <si>
    <t>$29,500</t>
  </si>
  <si>
    <t>$9,511</t>
  </si>
  <si>
    <t>The Dog Wedding</t>
  </si>
  <si>
    <t>25th Frame</t>
  </si>
  <si>
    <t>$29,495</t>
  </si>
  <si>
    <t>$12,132</t>
  </si>
  <si>
    <t>Troublemakers: The Story of Land Art</t>
  </si>
  <si>
    <t>$29,462</t>
  </si>
  <si>
    <t>$5,424</t>
  </si>
  <si>
    <t>The Last Princess</t>
  </si>
  <si>
    <t>$29,259</t>
  </si>
  <si>
    <t>$11,607</t>
  </si>
  <si>
    <t>Time to Choose</t>
  </si>
  <si>
    <t>$29,233</t>
  </si>
  <si>
    <t>$12,233</t>
  </si>
  <si>
    <t>Valley of Love</t>
  </si>
  <si>
    <t>$28,648</t>
  </si>
  <si>
    <t>$9,849</t>
  </si>
  <si>
    <t>The Seasons in Quincy: Four Portraits of John Berger</t>
  </si>
  <si>
    <t>$28,456</t>
  </si>
  <si>
    <t>$5,304</t>
  </si>
  <si>
    <t>Rabin, the Last Day</t>
  </si>
  <si>
    <t>$28,411</t>
  </si>
  <si>
    <t>$7,940</t>
  </si>
  <si>
    <t>Take Me to the River (2016)</t>
  </si>
  <si>
    <t>$28,041</t>
  </si>
  <si>
    <t>$1,509</t>
  </si>
  <si>
    <t>Kaili Blues</t>
  </si>
  <si>
    <t>$27,477</t>
  </si>
  <si>
    <t>$4,164</t>
  </si>
  <si>
    <t>Unlocking the Cage</t>
  </si>
  <si>
    <t>$27,284</t>
  </si>
  <si>
    <t>$3,708</t>
  </si>
  <si>
    <t>The Eyes of My Mother</t>
  </si>
  <si>
    <t>$27,099</t>
  </si>
  <si>
    <t>$8,908</t>
  </si>
  <si>
    <t>Blackway</t>
  </si>
  <si>
    <t>$27,079</t>
  </si>
  <si>
    <t>$16,458</t>
  </si>
  <si>
    <t>Neon Bull</t>
  </si>
  <si>
    <t>$26,734</t>
  </si>
  <si>
    <t>$6,413</t>
  </si>
  <si>
    <t>Papa (Luo shan ji dao dan ji hua)</t>
  </si>
  <si>
    <t>Jampa</t>
  </si>
  <si>
    <t>$26,677</t>
  </si>
  <si>
    <t>$14,644</t>
  </si>
  <si>
    <t>Front Cover</t>
  </si>
  <si>
    <t>$26,409</t>
  </si>
  <si>
    <t>$6,907</t>
  </si>
  <si>
    <t>Standing Tall (La tete haute)</t>
  </si>
  <si>
    <t>$26,144</t>
  </si>
  <si>
    <t>$7,488</t>
  </si>
  <si>
    <t>Chevalier</t>
  </si>
  <si>
    <t>$25,696</t>
  </si>
  <si>
    <t>$5,968</t>
  </si>
  <si>
    <t>Gurukulam</t>
  </si>
  <si>
    <t>$25,651</t>
  </si>
  <si>
    <t>Kate Plays Christine</t>
  </si>
  <si>
    <t>$25,564</t>
  </si>
  <si>
    <t>$6,175</t>
  </si>
  <si>
    <t>Banjo</t>
  </si>
  <si>
    <t>$25,531</t>
  </si>
  <si>
    <t>$18,320</t>
  </si>
  <si>
    <t>The New Year's Eve of Old Lee</t>
  </si>
  <si>
    <t>$25,358</t>
  </si>
  <si>
    <t>$15,519</t>
  </si>
  <si>
    <t>Disturbing the Peace</t>
  </si>
  <si>
    <t>$25,287</t>
  </si>
  <si>
    <t>$10,907</t>
  </si>
  <si>
    <t>Cosmos</t>
  </si>
  <si>
    <t>$25,269</t>
  </si>
  <si>
    <t>$3,807</t>
  </si>
  <si>
    <t>A Monster with a Thousand Heads</t>
  </si>
  <si>
    <t>$24,852</t>
  </si>
  <si>
    <t>$3,900</t>
  </si>
  <si>
    <t>Evolution</t>
  </si>
  <si>
    <t>$24,770</t>
  </si>
  <si>
    <t>$7,215</t>
  </si>
  <si>
    <t>Sudden Fear (2016 re-release)</t>
  </si>
  <si>
    <t>$24,476</t>
  </si>
  <si>
    <t>$11,126</t>
  </si>
  <si>
    <t>Right Now, Wrong Then</t>
  </si>
  <si>
    <t>$24,470</t>
  </si>
  <si>
    <t>$5,291</t>
  </si>
  <si>
    <t>Lolo</t>
  </si>
  <si>
    <t>$24,134</t>
  </si>
  <si>
    <t>$4,242</t>
  </si>
  <si>
    <t>The Fiance</t>
  </si>
  <si>
    <t>$23,986</t>
  </si>
  <si>
    <t>$4,812</t>
  </si>
  <si>
    <t>Southbound</t>
  </si>
  <si>
    <t>$23,665</t>
  </si>
  <si>
    <t>$6,250</t>
  </si>
  <si>
    <t>Gridiron Heroes</t>
  </si>
  <si>
    <t>$23,487</t>
  </si>
  <si>
    <t>Project Itoh - Harmony</t>
  </si>
  <si>
    <t>$23,248</t>
  </si>
  <si>
    <t>$760</t>
  </si>
  <si>
    <t>Goat</t>
  </si>
  <si>
    <t>$23,020</t>
  </si>
  <si>
    <t>The Black Dove</t>
  </si>
  <si>
    <t>$22,517</t>
  </si>
  <si>
    <t>$7,124</t>
  </si>
  <si>
    <t>Kamikaze '89</t>
  </si>
  <si>
    <t>$22,440</t>
  </si>
  <si>
    <t>$5,613</t>
  </si>
  <si>
    <t>Be Here Now: The Andy Whitfield Story</t>
  </si>
  <si>
    <t>$22,424</t>
  </si>
  <si>
    <t>$13,577</t>
  </si>
  <si>
    <t>Generation Startup</t>
  </si>
  <si>
    <t>Long Shot</t>
  </si>
  <si>
    <t>$22,271</t>
  </si>
  <si>
    <t>$5,756</t>
  </si>
  <si>
    <t>Reparation</t>
  </si>
  <si>
    <t>Red Dirt</t>
  </si>
  <si>
    <t>$22,267</t>
  </si>
  <si>
    <t>$2,649</t>
  </si>
  <si>
    <t>Sanam Teri Kasam</t>
  </si>
  <si>
    <t>$22,121</t>
  </si>
  <si>
    <t>Blue Jay</t>
  </si>
  <si>
    <t>$21,626</t>
  </si>
  <si>
    <t>$5,159</t>
  </si>
  <si>
    <t>$21,497</t>
  </si>
  <si>
    <t>$344</t>
  </si>
  <si>
    <t>Term Life</t>
  </si>
  <si>
    <t>$21,256</t>
  </si>
  <si>
    <t>$13,040</t>
  </si>
  <si>
    <t>Already Tomorrow in Hong Kong</t>
  </si>
  <si>
    <t>$21,206</t>
  </si>
  <si>
    <t>$14,966</t>
  </si>
  <si>
    <t>Almost Holy</t>
  </si>
  <si>
    <t>$21,142</t>
  </si>
  <si>
    <t>$4,195</t>
  </si>
  <si>
    <t>Time Changer (2016 re-release)</t>
  </si>
  <si>
    <t>$20,797</t>
  </si>
  <si>
    <t>$2,320</t>
  </si>
  <si>
    <t>Hunter Gatherer</t>
  </si>
  <si>
    <t>$20,641</t>
  </si>
  <si>
    <t>Band of Robbers</t>
  </si>
  <si>
    <t>$20,555</t>
  </si>
  <si>
    <t>$14,827</t>
  </si>
  <si>
    <t>This Last Lonely Place</t>
  </si>
  <si>
    <t>$20,507</t>
  </si>
  <si>
    <t>$6,089</t>
  </si>
  <si>
    <t>The Sea of Trees</t>
  </si>
  <si>
    <t>$20,444</t>
  </si>
  <si>
    <t>$1,877</t>
  </si>
  <si>
    <t>Never</t>
  </si>
  <si>
    <t>$20,431</t>
  </si>
  <si>
    <t>$4,312</t>
  </si>
  <si>
    <t>New World Order</t>
  </si>
  <si>
    <t>$20,205</t>
  </si>
  <si>
    <t>$2,790</t>
  </si>
  <si>
    <t>Love Me True</t>
  </si>
  <si>
    <t>$20,100</t>
  </si>
  <si>
    <t>$5,759</t>
  </si>
  <si>
    <t>No Pay, Nudity</t>
  </si>
  <si>
    <t>$20,017</t>
  </si>
  <si>
    <t>$3,221</t>
  </si>
  <si>
    <t>The Romans</t>
  </si>
  <si>
    <t>$19,705</t>
  </si>
  <si>
    <t>$3,256</t>
  </si>
  <si>
    <t>Art Bastard</t>
  </si>
  <si>
    <t>$19,600</t>
  </si>
  <si>
    <t>Revelation: Dawn of Global Government</t>
  </si>
  <si>
    <t>RM</t>
  </si>
  <si>
    <t>$19,107</t>
  </si>
  <si>
    <t>$14,975</t>
  </si>
  <si>
    <t>Search Engines</t>
  </si>
  <si>
    <t>$19,033</t>
  </si>
  <si>
    <t>$3,044</t>
  </si>
  <si>
    <t>Ktown Cowboys</t>
  </si>
  <si>
    <t>$18,863</t>
  </si>
  <si>
    <t>$12,523</t>
  </si>
  <si>
    <t>Seoul Searching</t>
  </si>
  <si>
    <t>$18,654</t>
  </si>
  <si>
    <t>$8,966</t>
  </si>
  <si>
    <t>The Channel</t>
  </si>
  <si>
    <t>$18,319</t>
  </si>
  <si>
    <t>$4,214</t>
  </si>
  <si>
    <t>The Lion in Winter (2016 re-release)</t>
  </si>
  <si>
    <t>$18,177</t>
  </si>
  <si>
    <t>$5,339</t>
  </si>
  <si>
    <t>Coming Through the Rye</t>
  </si>
  <si>
    <t>$18,137</t>
  </si>
  <si>
    <t>$3,761</t>
  </si>
  <si>
    <t>Peter and the Farm</t>
  </si>
  <si>
    <t>$18,123</t>
  </si>
  <si>
    <t>$3,844</t>
  </si>
  <si>
    <t>Harry Benson: Shoot First</t>
  </si>
  <si>
    <t>$18,092</t>
  </si>
  <si>
    <t>$4,798</t>
  </si>
  <si>
    <t>A Bit of Bad Luck</t>
  </si>
  <si>
    <t>$18,089</t>
  </si>
  <si>
    <t>$2,480</t>
  </si>
  <si>
    <t>Wildflower (Secretos del Alma)</t>
  </si>
  <si>
    <t>$18,062</t>
  </si>
  <si>
    <t>$9,237</t>
  </si>
  <si>
    <t>Holy Hell</t>
  </si>
  <si>
    <t>WRA</t>
  </si>
  <si>
    <t>$18,051</t>
  </si>
  <si>
    <t>$9,238</t>
  </si>
  <si>
    <t>I Knew Her Well</t>
  </si>
  <si>
    <t>$18,010</t>
  </si>
  <si>
    <t>$9,312</t>
  </si>
  <si>
    <t>Men Go To Battle</t>
  </si>
  <si>
    <t>$18,006</t>
  </si>
  <si>
    <t>$2,087</t>
  </si>
  <si>
    <t>How He Fell in Love</t>
  </si>
  <si>
    <t>$17,575</t>
  </si>
  <si>
    <t>Streit's: Matzo and the American Dream</t>
  </si>
  <si>
    <t>$17,506</t>
  </si>
  <si>
    <t>$12,065</t>
  </si>
  <si>
    <t>Landfill Harmonic</t>
  </si>
  <si>
    <t>$17,205</t>
  </si>
  <si>
    <t>$3,526</t>
  </si>
  <si>
    <t>Always Shine</t>
  </si>
  <si>
    <t>$17,102</t>
  </si>
  <si>
    <t>$4,211</t>
  </si>
  <si>
    <t>On The Map</t>
  </si>
  <si>
    <t>Jude</t>
  </si>
  <si>
    <t>$17,099</t>
  </si>
  <si>
    <t>Tharlo</t>
  </si>
  <si>
    <t>$17,091</t>
  </si>
  <si>
    <t>$5,160</t>
  </si>
  <si>
    <t>Colonia</t>
  </si>
  <si>
    <t>$15,709</t>
  </si>
  <si>
    <t>Five Nights in Maine</t>
  </si>
  <si>
    <t>$15,587</t>
  </si>
  <si>
    <t>$9,059</t>
  </si>
  <si>
    <t>Be Somebody</t>
  </si>
  <si>
    <t>$15,395</t>
  </si>
  <si>
    <t>$14,129</t>
  </si>
  <si>
    <t>Star Crossed</t>
  </si>
  <si>
    <t>$15,263</t>
  </si>
  <si>
    <t>$2,826</t>
  </si>
  <si>
    <t>Of Mind and Music</t>
  </si>
  <si>
    <t>$15,073</t>
  </si>
  <si>
    <t>$932</t>
  </si>
  <si>
    <t>Argentina</t>
  </si>
  <si>
    <t>$14,869</t>
  </si>
  <si>
    <t>$2,274</t>
  </si>
  <si>
    <t>Remember You</t>
  </si>
  <si>
    <t>$14,814</t>
  </si>
  <si>
    <t>Lamb (2016)</t>
  </si>
  <si>
    <t>$14,547</t>
  </si>
  <si>
    <t>$3,150</t>
  </si>
  <si>
    <t>The Wanderers (2016 re-release)</t>
  </si>
  <si>
    <t>$14,492</t>
  </si>
  <si>
    <t>$2,206</t>
  </si>
  <si>
    <t>The Uncondemned</t>
  </si>
  <si>
    <t>$14,393</t>
  </si>
  <si>
    <t>$4,353</t>
  </si>
  <si>
    <t>Brother Nature</t>
  </si>
  <si>
    <t>$14,218</t>
  </si>
  <si>
    <t>$9,699</t>
  </si>
  <si>
    <t>Newtown</t>
  </si>
  <si>
    <t>$14,109</t>
  </si>
  <si>
    <t>$6,796</t>
  </si>
  <si>
    <t>Shangri-La Suite</t>
  </si>
  <si>
    <t>B&amp;A</t>
  </si>
  <si>
    <t>$14,073</t>
  </si>
  <si>
    <t>$13,344</t>
  </si>
  <si>
    <t>A Perfect Day</t>
  </si>
  <si>
    <t>$14,044</t>
  </si>
  <si>
    <t>Yosemite</t>
  </si>
  <si>
    <t>$13,931</t>
  </si>
  <si>
    <t>$4,461</t>
  </si>
  <si>
    <t>A Space Program</t>
  </si>
  <si>
    <t>$13,739</t>
  </si>
  <si>
    <t>$10,247</t>
  </si>
  <si>
    <t>Tikkun</t>
  </si>
  <si>
    <t>$13,671</t>
  </si>
  <si>
    <t>$3,595</t>
  </si>
  <si>
    <t>Spices of Liberty</t>
  </si>
  <si>
    <t>$13,463</t>
  </si>
  <si>
    <t>$6,625</t>
  </si>
  <si>
    <t>The Duelist</t>
  </si>
  <si>
    <t>$13,450</t>
  </si>
  <si>
    <t>$7,576</t>
  </si>
  <si>
    <t>Late Spring (2016 re-release)</t>
  </si>
  <si>
    <t>$13,254</t>
  </si>
  <si>
    <t>$6,456</t>
  </si>
  <si>
    <t>Adderall Diaries</t>
  </si>
  <si>
    <t>$13,191</t>
  </si>
  <si>
    <t>$5,517</t>
  </si>
  <si>
    <t>The Program (2016)</t>
  </si>
  <si>
    <t>$13,074</t>
  </si>
  <si>
    <t>$5,763</t>
  </si>
  <si>
    <t>Neither Heaven Nor Earth</t>
  </si>
  <si>
    <t>$12,810</t>
  </si>
  <si>
    <t>$2,836</t>
  </si>
  <si>
    <t>The Monster (2016)</t>
  </si>
  <si>
    <t>$12,544</t>
  </si>
  <si>
    <t>$6,624</t>
  </si>
  <si>
    <t>City of Women (2016 re-issue)</t>
  </si>
  <si>
    <t>$12,516</t>
  </si>
  <si>
    <t>$6,244</t>
  </si>
  <si>
    <t>The Ones Below</t>
  </si>
  <si>
    <t>$12,488</t>
  </si>
  <si>
    <t>$5,191</t>
  </si>
  <si>
    <t>Kiki, Love to Love</t>
  </si>
  <si>
    <t>$12,450</t>
  </si>
  <si>
    <t>$3,954</t>
  </si>
  <si>
    <t>Elstree 1976</t>
  </si>
  <si>
    <t>$12,173</t>
  </si>
  <si>
    <t>Fritz Lang's Destiny (2016 re-release)</t>
  </si>
  <si>
    <t>$12,156</t>
  </si>
  <si>
    <t>$2,334</t>
  </si>
  <si>
    <t>Hot Water</t>
  </si>
  <si>
    <t>$12,101</t>
  </si>
  <si>
    <t>$1,512</t>
  </si>
  <si>
    <t>When Two Worlds Collide</t>
  </si>
  <si>
    <t>$12,080</t>
  </si>
  <si>
    <t>$2,548</t>
  </si>
  <si>
    <t>Kill Zone 2</t>
  </si>
  <si>
    <t>$11,998</t>
  </si>
  <si>
    <t>Lucha Mexico</t>
  </si>
  <si>
    <t>$11,722</t>
  </si>
  <si>
    <t>$7,245</t>
  </si>
  <si>
    <t>Don't Call Me Son_x000B_</t>
  </si>
  <si>
    <t>$11,678</t>
  </si>
  <si>
    <t>$2,066</t>
  </si>
  <si>
    <t>The Preppie Connection</t>
  </si>
  <si>
    <t>$11,558</t>
  </si>
  <si>
    <t>$5,576</t>
  </si>
  <si>
    <t>River of Grass</t>
  </si>
  <si>
    <t>$11,553</t>
  </si>
  <si>
    <t>$2,942</t>
  </si>
  <si>
    <t>The Ruins of Lifta</t>
  </si>
  <si>
    <t>$11,548</t>
  </si>
  <si>
    <t>$4,620</t>
  </si>
  <si>
    <t>Viktoria</t>
  </si>
  <si>
    <t>$2,468</t>
  </si>
  <si>
    <t>Jeruzalem</t>
  </si>
  <si>
    <t>$11,287</t>
  </si>
  <si>
    <t>Theo Who Lived</t>
  </si>
  <si>
    <t>$11,271</t>
  </si>
  <si>
    <t>$4,990</t>
  </si>
  <si>
    <t>Anonymous (2016)</t>
  </si>
  <si>
    <t>$11,239</t>
  </si>
  <si>
    <t>$6,716</t>
  </si>
  <si>
    <t>What Happened Last Night</t>
  </si>
  <si>
    <t>Gemelli</t>
  </si>
  <si>
    <t>$10,844</t>
  </si>
  <si>
    <t>$7,147</t>
  </si>
  <si>
    <t>National Bird</t>
  </si>
  <si>
    <t>$10,656</t>
  </si>
  <si>
    <t>$3,030</t>
  </si>
  <si>
    <t>The Autopsy of Jane Doe</t>
  </si>
  <si>
    <t>$10,474</t>
  </si>
  <si>
    <t>Serial Killer 1</t>
  </si>
  <si>
    <t>$10,330</t>
  </si>
  <si>
    <t>Approaching the Unknown</t>
  </si>
  <si>
    <t>$10,232</t>
  </si>
  <si>
    <t>$6,476</t>
  </si>
  <si>
    <t>Beta Test</t>
  </si>
  <si>
    <t>Mirror</t>
  </si>
  <si>
    <t>$10,104</t>
  </si>
  <si>
    <t>$5,778</t>
  </si>
  <si>
    <t>Into the Forest</t>
  </si>
  <si>
    <t>$9,995</t>
  </si>
  <si>
    <t>$6,438</t>
  </si>
  <si>
    <t>Made in France</t>
  </si>
  <si>
    <t>$9,956</t>
  </si>
  <si>
    <t>$3,688</t>
  </si>
  <si>
    <t>The Lost Arcade</t>
  </si>
  <si>
    <t>26 Aries</t>
  </si>
  <si>
    <t>$9,522</t>
  </si>
  <si>
    <t>$7,500</t>
  </si>
  <si>
    <t>Chosen</t>
  </si>
  <si>
    <t>MDL</t>
  </si>
  <si>
    <t>$9,283</t>
  </si>
  <si>
    <t>$2,449</t>
  </si>
  <si>
    <t>Hooligan Sparrow</t>
  </si>
  <si>
    <t>$9,263</t>
  </si>
  <si>
    <t>Frank and Lola</t>
  </si>
  <si>
    <t>$9,188</t>
  </si>
  <si>
    <t>$5,747</t>
  </si>
  <si>
    <t>Chronic</t>
  </si>
  <si>
    <t>$9,033</t>
  </si>
  <si>
    <t>$2,403</t>
  </si>
  <si>
    <t>Magnus</t>
  </si>
  <si>
    <t>$8,944</t>
  </si>
  <si>
    <t>$1,204</t>
  </si>
  <si>
    <t>The Last King</t>
  </si>
  <si>
    <t>$8,905</t>
  </si>
  <si>
    <t>$4,599</t>
  </si>
  <si>
    <t>Providence</t>
  </si>
  <si>
    <t>MS</t>
  </si>
  <si>
    <t>$8,840</t>
  </si>
  <si>
    <t>$6,193</t>
  </si>
  <si>
    <t>We Are Twisted F***ing Sister!</t>
  </si>
  <si>
    <t>$5,804</t>
  </si>
  <si>
    <t>Mojave</t>
  </si>
  <si>
    <t>$8,253</t>
  </si>
  <si>
    <t>$3,303</t>
  </si>
  <si>
    <t>Silicon Cowboys</t>
  </si>
  <si>
    <t>$8,239</t>
  </si>
  <si>
    <t>$5,724</t>
  </si>
  <si>
    <t>Golden Kingdom</t>
  </si>
  <si>
    <t>$8,077</t>
  </si>
  <si>
    <t>$554</t>
  </si>
  <si>
    <t>The Other Side</t>
  </si>
  <si>
    <t>$8,074</t>
  </si>
  <si>
    <t>$1,246</t>
  </si>
  <si>
    <t>Pet</t>
  </si>
  <si>
    <t>$8,004</t>
  </si>
  <si>
    <t>$63</t>
  </si>
  <si>
    <t>Talent Has Hunger</t>
  </si>
  <si>
    <t>$7,998</t>
  </si>
  <si>
    <t>$3,709</t>
  </si>
  <si>
    <t>Roseanne for President!</t>
  </si>
  <si>
    <t>$7,960</t>
  </si>
  <si>
    <t>$3,340</t>
  </si>
  <si>
    <t>Portrait of a Garden</t>
  </si>
  <si>
    <t>$7,914</t>
  </si>
  <si>
    <t>$4,488</t>
  </si>
  <si>
    <t>I Don't Belong Anywhere: The Cinema of Chantal Akerman</t>
  </si>
  <si>
    <t>$7,703</t>
  </si>
  <si>
    <t>$389</t>
  </si>
  <si>
    <t>The President</t>
  </si>
  <si>
    <t>Crnth</t>
  </si>
  <si>
    <t>$7,578</t>
  </si>
  <si>
    <t>They Will Have to Kill Us First</t>
  </si>
  <si>
    <t>$7,516</t>
  </si>
  <si>
    <t>$4,106</t>
  </si>
  <si>
    <t>Old Stone</t>
  </si>
  <si>
    <t>$7,476</t>
  </si>
  <si>
    <t>Indian Point</t>
  </si>
  <si>
    <t>$7,251</t>
  </si>
  <si>
    <t>$3,186</t>
  </si>
  <si>
    <t>It Had to be You</t>
  </si>
  <si>
    <t>$7,162</t>
  </si>
  <si>
    <t>$5,302</t>
  </si>
  <si>
    <t>Ugly, Dirty and Bad (Re-Release)</t>
  </si>
  <si>
    <t>$7,144</t>
  </si>
  <si>
    <t>$4,898</t>
  </si>
  <si>
    <t>The Brainwashing of My Dad</t>
  </si>
  <si>
    <t>JSenko</t>
  </si>
  <si>
    <t>$7,028</t>
  </si>
  <si>
    <t>Boom Bust Boom</t>
  </si>
  <si>
    <t>BSM</t>
  </si>
  <si>
    <t>$6,896</t>
  </si>
  <si>
    <t>Mad Tiger</t>
  </si>
  <si>
    <t>$6,823</t>
  </si>
  <si>
    <t>$1,119</t>
  </si>
  <si>
    <t>Ghost Team</t>
  </si>
  <si>
    <t>$6,639</t>
  </si>
  <si>
    <t>$4,499</t>
  </si>
  <si>
    <t>The Dying of the Light</t>
  </si>
  <si>
    <t>$6,627</t>
  </si>
  <si>
    <t>$996</t>
  </si>
  <si>
    <t>The Charnel House</t>
  </si>
  <si>
    <t>$6,332</t>
  </si>
  <si>
    <t>$4,518</t>
  </si>
  <si>
    <t>The Bad Kids</t>
  </si>
  <si>
    <t>$6,226</t>
  </si>
  <si>
    <t>$1,564</t>
  </si>
  <si>
    <t>The Carer</t>
  </si>
  <si>
    <t>$6,208</t>
  </si>
  <si>
    <t>$5,102</t>
  </si>
  <si>
    <t>Slash</t>
  </si>
  <si>
    <t>Boxcar</t>
  </si>
  <si>
    <t>$5,902</t>
  </si>
  <si>
    <t>Bourek</t>
  </si>
  <si>
    <t>$5,844</t>
  </si>
  <si>
    <t>$2,692</t>
  </si>
  <si>
    <t>Undrafted</t>
  </si>
  <si>
    <t>$5,777</t>
  </si>
  <si>
    <t>$3,829</t>
  </si>
  <si>
    <t>Klown Forever</t>
  </si>
  <si>
    <t>$5,700</t>
  </si>
  <si>
    <t>$860</t>
  </si>
  <si>
    <t>Welcome to Happiness</t>
  </si>
  <si>
    <t>$5,083</t>
  </si>
  <si>
    <t>Call Her Applebroog</t>
  </si>
  <si>
    <t>$4,842</t>
  </si>
  <si>
    <t>$2,559</t>
  </si>
  <si>
    <t>Marinoni: The Fire in the Frame</t>
  </si>
  <si>
    <t>$488</t>
  </si>
  <si>
    <t>Blood on the Mountain</t>
  </si>
  <si>
    <t>$4,664</t>
  </si>
  <si>
    <t>$3,184</t>
  </si>
  <si>
    <t>Sworn Virgin</t>
  </si>
  <si>
    <t>$4,636</t>
  </si>
  <si>
    <t>$830</t>
  </si>
  <si>
    <t>Miss Stevens</t>
  </si>
  <si>
    <t>$4,611</t>
  </si>
  <si>
    <t>$2,451</t>
  </si>
  <si>
    <t>Automatic Hate</t>
  </si>
  <si>
    <t>$4,603</t>
  </si>
  <si>
    <t>$2,346</t>
  </si>
  <si>
    <t>Search Party</t>
  </si>
  <si>
    <t>$4,571</t>
  </si>
  <si>
    <t>$3,073</t>
  </si>
  <si>
    <t>Synchronicity</t>
  </si>
  <si>
    <t>$4,505</t>
  </si>
  <si>
    <t>$2,859</t>
  </si>
  <si>
    <t>On Meditation</t>
  </si>
  <si>
    <t>$4,322</t>
  </si>
  <si>
    <t>Auto Shop of Horrors</t>
  </si>
  <si>
    <t>DWOES</t>
  </si>
  <si>
    <t>$4,300</t>
  </si>
  <si>
    <t>Maximum Ride</t>
  </si>
  <si>
    <t>$4,218</t>
  </si>
  <si>
    <t>$2,462</t>
  </si>
  <si>
    <t>Breaking a Monster</t>
  </si>
  <si>
    <t>$4,212</t>
  </si>
  <si>
    <t>$1,302</t>
  </si>
  <si>
    <t>Among the Believers</t>
  </si>
  <si>
    <t>$1,900</t>
  </si>
  <si>
    <t>The Hollow</t>
  </si>
  <si>
    <t>$3,755</t>
  </si>
  <si>
    <t>The Last Film Festival</t>
  </si>
  <si>
    <t>$3,558</t>
  </si>
  <si>
    <t>The Loving Story (2016 re-release)</t>
  </si>
  <si>
    <t>$3,518</t>
  </si>
  <si>
    <t>Restored Me (Masters Media)</t>
  </si>
  <si>
    <t>Masters</t>
  </si>
  <si>
    <t>$3,428</t>
  </si>
  <si>
    <t>$1,316</t>
  </si>
  <si>
    <t>Burning Bodhi</t>
  </si>
  <si>
    <t>$3,289</t>
  </si>
  <si>
    <t>$1,474</t>
  </si>
  <si>
    <t>The Ghosts of Johnson Woods</t>
  </si>
  <si>
    <t>$3,145</t>
  </si>
  <si>
    <t>In Harmony</t>
  </si>
  <si>
    <t>$3,144</t>
  </si>
  <si>
    <t>$809</t>
  </si>
  <si>
    <t>Best and Most Beautiful Things</t>
  </si>
  <si>
    <t>$3,016</t>
  </si>
  <si>
    <t>$1,591</t>
  </si>
  <si>
    <t>A Kind of Murder</t>
  </si>
  <si>
    <t>$2,915</t>
  </si>
  <si>
    <t>$978</t>
  </si>
  <si>
    <t>The Professor: Tai Chi's Journey West</t>
  </si>
  <si>
    <t>$2,852</t>
  </si>
  <si>
    <t>$1,744</t>
  </si>
  <si>
    <t>White Lies</t>
  </si>
  <si>
    <t>Artma</t>
  </si>
  <si>
    <t>$2,760</t>
  </si>
  <si>
    <t>$1,740</t>
  </si>
  <si>
    <t>Mekong Hotel</t>
  </si>
  <si>
    <t>$2,502</t>
  </si>
  <si>
    <t>$999</t>
  </si>
  <si>
    <t>Homeland</t>
  </si>
  <si>
    <t>$2,491</t>
  </si>
  <si>
    <t>$560</t>
  </si>
  <si>
    <t>From the East</t>
  </si>
  <si>
    <t>$2,436</t>
  </si>
  <si>
    <t>$564</t>
  </si>
  <si>
    <t>1,000 Rupee Note</t>
  </si>
  <si>
    <t>$2,404</t>
  </si>
  <si>
    <t>$1,697</t>
  </si>
  <si>
    <t>Memoria</t>
  </si>
  <si>
    <t>$2,242</t>
  </si>
  <si>
    <t>$47</t>
  </si>
  <si>
    <t>The Vigilante Diaries</t>
  </si>
  <si>
    <t>Anch.</t>
  </si>
  <si>
    <t>$1,991</t>
  </si>
  <si>
    <t>$1,650</t>
  </si>
  <si>
    <t>The Watermelon Woman (20th Anniversary / 2K HD Restoration)</t>
  </si>
  <si>
    <t>$1,989</t>
  </si>
  <si>
    <t>$774</t>
  </si>
  <si>
    <t>A Beautiful Now</t>
  </si>
  <si>
    <t>$1,714</t>
  </si>
  <si>
    <t>$148</t>
  </si>
  <si>
    <t>In Her Name (Au nom de ma fille)</t>
  </si>
  <si>
    <t>$1,623</t>
  </si>
  <si>
    <t>Miss India America</t>
  </si>
  <si>
    <t>MarVista</t>
  </si>
  <si>
    <t>$1,598</t>
  </si>
  <si>
    <t>$687</t>
  </si>
  <si>
    <t>Level Up</t>
  </si>
  <si>
    <t>$1,469</t>
  </si>
  <si>
    <t>Hyena Road</t>
  </si>
  <si>
    <t>$1,430</t>
  </si>
  <si>
    <t>The Silence of Mark Rothko</t>
  </si>
  <si>
    <t>$1,422</t>
  </si>
  <si>
    <t>$268</t>
  </si>
  <si>
    <t>A Small Good Thing</t>
  </si>
  <si>
    <t>$1,196</t>
  </si>
  <si>
    <t>Yalom's Cure</t>
  </si>
  <si>
    <t>$684</t>
  </si>
  <si>
    <t>Officer Downe</t>
  </si>
  <si>
    <t>$850</t>
  </si>
  <si>
    <t>$470</t>
  </si>
  <si>
    <t>Next Time I'll Aim for the Heart</t>
  </si>
  <si>
    <t>$815</t>
  </si>
  <si>
    <t>$310</t>
  </si>
  <si>
    <t>The Student and Mr. Henri</t>
  </si>
  <si>
    <t>$761</t>
  </si>
  <si>
    <t>$486</t>
  </si>
  <si>
    <t>Down By Love</t>
  </si>
  <si>
    <t>$675</t>
  </si>
  <si>
    <t>$390</t>
  </si>
  <si>
    <t>The Pit (2016 re-release)</t>
  </si>
  <si>
    <t>Green is Gold</t>
  </si>
  <si>
    <t>$455</t>
  </si>
  <si>
    <t>$273</t>
  </si>
  <si>
    <t>Hannah: Buddhism's Untold Journey</t>
  </si>
  <si>
    <t>$396</t>
  </si>
  <si>
    <t>News From Planet Mars</t>
  </si>
  <si>
    <t>$24</t>
  </si>
  <si>
    <t>Satanic</t>
  </si>
  <si>
    <t>$252</t>
  </si>
  <si>
    <t>$205</t>
  </si>
  <si>
    <t>Opening / Theaters</t>
  </si>
  <si>
    <t>Star Wars: The Force Awakens</t>
  </si>
  <si>
    <t>$936,662,225</t>
  </si>
  <si>
    <t>$247,966,675</t>
  </si>
  <si>
    <t>Jurassic World</t>
  </si>
  <si>
    <t>$652,270,625</t>
  </si>
  <si>
    <t>$208,806,270</t>
  </si>
  <si>
    <t>Avengers: Age of Ultron</t>
  </si>
  <si>
    <t>$459,005,868</t>
  </si>
  <si>
    <t>$191,271,109</t>
  </si>
  <si>
    <t>Inside Out</t>
  </si>
  <si>
    <t>$356,461,711</t>
  </si>
  <si>
    <t>$90,440,272</t>
  </si>
  <si>
    <t>Furious 7</t>
  </si>
  <si>
    <t>$353,007,020</t>
  </si>
  <si>
    <t>$147,187,040</t>
  </si>
  <si>
    <t>Minions</t>
  </si>
  <si>
    <t>$336,045,770</t>
  </si>
  <si>
    <t>$115,718,405</t>
  </si>
  <si>
    <t>The Hunger Games: Mockingjay - Part 2</t>
  </si>
  <si>
    <t>$281,723,902</t>
  </si>
  <si>
    <t>$102,665,981</t>
  </si>
  <si>
    <t>The Martian</t>
  </si>
  <si>
    <t>$228,433,663</t>
  </si>
  <si>
    <t>$54,308,575</t>
  </si>
  <si>
    <t>Cinderella (2015)</t>
  </si>
  <si>
    <t>$201,151,353</t>
  </si>
  <si>
    <t>$67,877,361</t>
  </si>
  <si>
    <t>Spectre</t>
  </si>
  <si>
    <t>$200,074,609</t>
  </si>
  <si>
    <t>$70,403,148</t>
  </si>
  <si>
    <t>Mission: Impossible - Rogue Nation</t>
  </si>
  <si>
    <t>$195,042,377</t>
  </si>
  <si>
    <t>$55,520,089</t>
  </si>
  <si>
    <t>Pitch Perfect 2</t>
  </si>
  <si>
    <t>$184,296,230</t>
  </si>
  <si>
    <t>$69,216,890</t>
  </si>
  <si>
    <t>The Revenant</t>
  </si>
  <si>
    <t>$183,637,894</t>
  </si>
  <si>
    <t>$474,560</t>
  </si>
  <si>
    <t>Ant-Man</t>
  </si>
  <si>
    <t>$180,202,163</t>
  </si>
  <si>
    <t>$57,225,526</t>
  </si>
  <si>
    <t>Home (2015)</t>
  </si>
  <si>
    <t>$177,397,510</t>
  </si>
  <si>
    <t>$52,107,731</t>
  </si>
  <si>
    <t>Hotel Transylvania 2</t>
  </si>
  <si>
    <t>$169,700,110</t>
  </si>
  <si>
    <t>$48,464,322</t>
  </si>
  <si>
    <t>Fifty Shades of Grey</t>
  </si>
  <si>
    <t>$166,167,230</t>
  </si>
  <si>
    <t>$85,171,450</t>
  </si>
  <si>
    <t>The SpongeBob Movie: Sponge Out of Water</t>
  </si>
  <si>
    <t>$162,994,032</t>
  </si>
  <si>
    <t>$55,365,012</t>
  </si>
  <si>
    <t>Straight Outta Compton</t>
  </si>
  <si>
    <t>$161,197,785</t>
  </si>
  <si>
    <t>$60,200,180</t>
  </si>
  <si>
    <t>San Andreas</t>
  </si>
  <si>
    <t>$155,190,832</t>
  </si>
  <si>
    <t>$54,588,173</t>
  </si>
  <si>
    <t>Mad Max: Fury Road</t>
  </si>
  <si>
    <t>$153,636,354</t>
  </si>
  <si>
    <t>$45,428,128</t>
  </si>
  <si>
    <t>Daddy's Home</t>
  </si>
  <si>
    <t>$150,357,137</t>
  </si>
  <si>
    <t>$38,740,203</t>
  </si>
  <si>
    <t>The Divergent Series: Insurgent</t>
  </si>
  <si>
    <t>$130,179,072</t>
  </si>
  <si>
    <t>$52,263,680</t>
  </si>
  <si>
    <t>The Peanuts Movie</t>
  </si>
  <si>
    <t>$130,178,411</t>
  </si>
  <si>
    <t>$44,213,073</t>
  </si>
  <si>
    <t>Kingsman: The Secret Service</t>
  </si>
  <si>
    <t>$128,261,724</t>
  </si>
  <si>
    <t>$36,206,331</t>
  </si>
  <si>
    <t>The Good Dinosaur</t>
  </si>
  <si>
    <t>$123,087,120</t>
  </si>
  <si>
    <t>$39,155,217</t>
  </si>
  <si>
    <t>Spy</t>
  </si>
  <si>
    <t>$110,825,712</t>
  </si>
  <si>
    <t>$29,085,719</t>
  </si>
  <si>
    <t>Trainwreck</t>
  </si>
  <si>
    <t>$110,212,700</t>
  </si>
  <si>
    <t>$30,097,040</t>
  </si>
  <si>
    <t>Creed</t>
  </si>
  <si>
    <t>$109,767,581</t>
  </si>
  <si>
    <t>$29,632,823</t>
  </si>
  <si>
    <t>Tomorrowland</t>
  </si>
  <si>
    <t>$93,436,322</t>
  </si>
  <si>
    <t>$33,028,165</t>
  </si>
  <si>
    <t>Get Hard</t>
  </si>
  <si>
    <t>$90,411,453</t>
  </si>
  <si>
    <t>$33,803,253</t>
  </si>
  <si>
    <t>Terminator: Genisys</t>
  </si>
  <si>
    <t>$89,760,956</t>
  </si>
  <si>
    <t>$27,018,486</t>
  </si>
  <si>
    <t>Taken 3</t>
  </si>
  <si>
    <t>$89,256,424</t>
  </si>
  <si>
    <t>$39,201,657</t>
  </si>
  <si>
    <t>Sisters</t>
  </si>
  <si>
    <t>$87,044,645</t>
  </si>
  <si>
    <t>$13,922,855</t>
  </si>
  <si>
    <t>Alvin and the Chipmunks: The Road Chip</t>
  </si>
  <si>
    <t>$85,886,987</t>
  </si>
  <si>
    <t>$14,287,159</t>
  </si>
  <si>
    <t>Maze Runner: The Scorch Trials</t>
  </si>
  <si>
    <t>$81,697,192</t>
  </si>
  <si>
    <t>$30,316,510</t>
  </si>
  <si>
    <t>Ted 2</t>
  </si>
  <si>
    <t>$81,476,385</t>
  </si>
  <si>
    <t>$33,507,870</t>
  </si>
  <si>
    <t>Goosebumps</t>
  </si>
  <si>
    <t>$80,080,379</t>
  </si>
  <si>
    <t>$23,618,556</t>
  </si>
  <si>
    <t>Pixels</t>
  </si>
  <si>
    <t>$78,747,585</t>
  </si>
  <si>
    <t>$24,011,616</t>
  </si>
  <si>
    <t>Paddington</t>
  </si>
  <si>
    <t>$76,271,832</t>
  </si>
  <si>
    <t>$18,966,676</t>
  </si>
  <si>
    <t>The Intern</t>
  </si>
  <si>
    <t>$75,764,672</t>
  </si>
  <si>
    <t>$17,728,313</t>
  </si>
  <si>
    <t>Bridge of Spies</t>
  </si>
  <si>
    <t>$72,313,754</t>
  </si>
  <si>
    <t>$15,371,203</t>
  </si>
  <si>
    <t>Paul Blart: Mall Cop 2</t>
  </si>
  <si>
    <t>$71,038,190</t>
  </si>
  <si>
    <t>$23,762,435</t>
  </si>
  <si>
    <t>The Big Short</t>
  </si>
  <si>
    <t>$70,259,870</t>
  </si>
  <si>
    <t>$705,527</t>
  </si>
  <si>
    <t>War Room</t>
  </si>
  <si>
    <t>$67,790,117</t>
  </si>
  <si>
    <t>$11,351,389</t>
  </si>
  <si>
    <t>Magic Mike XXL</t>
  </si>
  <si>
    <t>$66,013,057</t>
  </si>
  <si>
    <t>$12,857,184</t>
  </si>
  <si>
    <t>The Visit</t>
  </si>
  <si>
    <t>$65,206,105</t>
  </si>
  <si>
    <t>$25,427,560</t>
  </si>
  <si>
    <t>The Wedding Ringer</t>
  </si>
  <si>
    <t>$64,460,211</t>
  </si>
  <si>
    <t>$20,649,306</t>
  </si>
  <si>
    <t>Black Mass</t>
  </si>
  <si>
    <t>$62,575,678</t>
  </si>
  <si>
    <t>$22,635,037</t>
  </si>
  <si>
    <t>Vacation</t>
  </si>
  <si>
    <t>$58,884,188</t>
  </si>
  <si>
    <t>$14,681,108</t>
  </si>
  <si>
    <t>The Perfect Guy</t>
  </si>
  <si>
    <t>$57,027,435</t>
  </si>
  <si>
    <t>$25,888,154</t>
  </si>
  <si>
    <t>Joy</t>
  </si>
  <si>
    <t>$56,451,232</t>
  </si>
  <si>
    <t>$17,015,168</t>
  </si>
  <si>
    <t>Fantastic Four</t>
  </si>
  <si>
    <t>$56,117,548</t>
  </si>
  <si>
    <t>$25,685,737</t>
  </si>
  <si>
    <t>The Hateful Eight</t>
  </si>
  <si>
    <t>$54,117,416</t>
  </si>
  <si>
    <t>$4,610,676</t>
  </si>
  <si>
    <t>Focus (2015)</t>
  </si>
  <si>
    <t>$53,862,963</t>
  </si>
  <si>
    <t>$18,685,137</t>
  </si>
  <si>
    <t>Southpaw</t>
  </si>
  <si>
    <t>$52,421,953</t>
  </si>
  <si>
    <t>$16,701,294</t>
  </si>
  <si>
    <t>Insidious Chapter 3</t>
  </si>
  <si>
    <t>$52,218,558</t>
  </si>
  <si>
    <t>$22,692,741</t>
  </si>
  <si>
    <t>Poltergeist (2015)</t>
  </si>
  <si>
    <t>$47,425,125</t>
  </si>
  <si>
    <t>$22,620,386</t>
  </si>
  <si>
    <t>Jupiter Ascending</t>
  </si>
  <si>
    <t>$47,387,723</t>
  </si>
  <si>
    <t>$18,372,372</t>
  </si>
  <si>
    <t>Sicario</t>
  </si>
  <si>
    <t>$46,889,293</t>
  </si>
  <si>
    <t>$401,288</t>
  </si>
  <si>
    <t>The Man From U.N.C.L.E.</t>
  </si>
  <si>
    <t>$45,445,109</t>
  </si>
  <si>
    <t>$13,421,036</t>
  </si>
  <si>
    <t>Spotlight</t>
  </si>
  <si>
    <t>$45,055,776</t>
  </si>
  <si>
    <t>$295,009</t>
  </si>
  <si>
    <t>McFarland, USA</t>
  </si>
  <si>
    <t>$44,482,410</t>
  </si>
  <si>
    <t>$11,020,798</t>
  </si>
  <si>
    <t>The Gift (2015)</t>
  </si>
  <si>
    <t>$43,787,265</t>
  </si>
  <si>
    <t>$11,854,273</t>
  </si>
  <si>
    <t>Everest (2015)</t>
  </si>
  <si>
    <t>$43,482,270</t>
  </si>
  <si>
    <t>$7,222,035</t>
  </si>
  <si>
    <t>The Night Before</t>
  </si>
  <si>
    <t>$43,047,372</t>
  </si>
  <si>
    <t>$9,880,536</t>
  </si>
  <si>
    <t>Krampus</t>
  </si>
  <si>
    <t>$42,725,475</t>
  </si>
  <si>
    <t>$16,293,325</t>
  </si>
  <si>
    <t>Max (2015)</t>
  </si>
  <si>
    <t>$42,656,255</t>
  </si>
  <si>
    <t>$12,155,254</t>
  </si>
  <si>
    <t>The Age of Adaline</t>
  </si>
  <si>
    <t>$42,629,776</t>
  </si>
  <si>
    <t>$13,203,458</t>
  </si>
  <si>
    <t>Brooklyn</t>
  </si>
  <si>
    <t>$38,322,743</t>
  </si>
  <si>
    <t>$187,281</t>
  </si>
  <si>
    <t>The Longest Ride</t>
  </si>
  <si>
    <t>$37,446,117</t>
  </si>
  <si>
    <t>$13,019,686</t>
  </si>
  <si>
    <t>The Boy Next Door</t>
  </si>
  <si>
    <t>$35,423,380</t>
  </si>
  <si>
    <t>$14,910,105</t>
  </si>
  <si>
    <t>Pan</t>
  </si>
  <si>
    <t>$35,088,320</t>
  </si>
  <si>
    <t>$15,315,435</t>
  </si>
  <si>
    <t>Hot Pursuit</t>
  </si>
  <si>
    <t>$34,580,201</t>
  </si>
  <si>
    <t>$13,942,258</t>
  </si>
  <si>
    <t>Concussion (2015)</t>
  </si>
  <si>
    <t>$34,542,474</t>
  </si>
  <si>
    <t>$10,513,749</t>
  </si>
  <si>
    <t>The DUFF</t>
  </si>
  <si>
    <t>$34,030,343</t>
  </si>
  <si>
    <t>$10,809,149</t>
  </si>
  <si>
    <t>Woman in Gold</t>
  </si>
  <si>
    <t>$33,307,793</t>
  </si>
  <si>
    <t>$2,091,551</t>
  </si>
  <si>
    <t>The Second Best Exotic Marigold Hotel</t>
  </si>
  <si>
    <t>$33,078,266</t>
  </si>
  <si>
    <t>$8,540,370</t>
  </si>
  <si>
    <t>Unfriended</t>
  </si>
  <si>
    <t>$32,482,090</t>
  </si>
  <si>
    <t>$15,845,115</t>
  </si>
  <si>
    <t>Entourage</t>
  </si>
  <si>
    <t>$32,363,404</t>
  </si>
  <si>
    <t>$10,283,250</t>
  </si>
  <si>
    <t>Paper Towns</t>
  </si>
  <si>
    <t>$32,000,304</t>
  </si>
  <si>
    <t>$12,650,140</t>
  </si>
  <si>
    <t>Chappie</t>
  </si>
  <si>
    <t>$31,569,268</t>
  </si>
  <si>
    <t>$13,346,782</t>
  </si>
  <si>
    <t>Crimson Peak</t>
  </si>
  <si>
    <t>$31,090,320</t>
  </si>
  <si>
    <t>$13,143,310</t>
  </si>
  <si>
    <t>A Walk in the Woods</t>
  </si>
  <si>
    <t>$29,504,281</t>
  </si>
  <si>
    <t>$8,246,267</t>
  </si>
  <si>
    <t>Point Break (2015)</t>
  </si>
  <si>
    <t>$28,782,481</t>
  </si>
  <si>
    <t>$9,800,252</t>
  </si>
  <si>
    <t>Sinister 2</t>
  </si>
  <si>
    <t>$27,740,955</t>
  </si>
  <si>
    <t>$10,542,116</t>
  </si>
  <si>
    <t>The Last Witch Hunter</t>
  </si>
  <si>
    <t>$27,367,660</t>
  </si>
  <si>
    <t>$10,812,861</t>
  </si>
  <si>
    <t>No Escape</t>
  </si>
  <si>
    <t>$27,288,872</t>
  </si>
  <si>
    <t>$8,111,264</t>
  </si>
  <si>
    <t>Ricki and the Flash</t>
  </si>
  <si>
    <t>$26,822,144</t>
  </si>
  <si>
    <t>$6,610,961</t>
  </si>
  <si>
    <t>The Woman in Black 2: Angel of Death</t>
  </si>
  <si>
    <t>$26,501,323</t>
  </si>
  <si>
    <t>$15,027,415</t>
  </si>
  <si>
    <t>Run All Night</t>
  </si>
  <si>
    <t>$26,461,644</t>
  </si>
  <si>
    <t>$11,012,305</t>
  </si>
  <si>
    <t>Love the Coopers</t>
  </si>
  <si>
    <t>$26,302,731</t>
  </si>
  <si>
    <t>$8,317,545</t>
  </si>
  <si>
    <t>The Lazarus Effect</t>
  </si>
  <si>
    <t>$25,801,047</t>
  </si>
  <si>
    <t>$10,203,437</t>
  </si>
  <si>
    <t>Ex Machina</t>
  </si>
  <si>
    <t>$25,442,958</t>
  </si>
  <si>
    <t>$237,264</t>
  </si>
  <si>
    <t>In the Heart of the Sea</t>
  </si>
  <si>
    <t>$25,020,758</t>
  </si>
  <si>
    <t>$11,053,366</t>
  </si>
  <si>
    <t>The Gallows</t>
  </si>
  <si>
    <t>$22,764,410</t>
  </si>
  <si>
    <t>$9,808,463</t>
  </si>
  <si>
    <t>Hitman: Agent 47</t>
  </si>
  <si>
    <t>$22,467,450</t>
  </si>
  <si>
    <t>$8,326,530</t>
  </si>
  <si>
    <t>Project Almanac</t>
  </si>
  <si>
    <t>$22,348,241</t>
  </si>
  <si>
    <t>$8,310,252</t>
  </si>
  <si>
    <t>Black or White</t>
  </si>
  <si>
    <t>$21,571,189</t>
  </si>
  <si>
    <t>$6,213,362</t>
  </si>
  <si>
    <t>Aloha</t>
  </si>
  <si>
    <t>$21,067,116</t>
  </si>
  <si>
    <t>$9,670,235</t>
  </si>
  <si>
    <t>The Secret in their Eyes (2015)</t>
  </si>
  <si>
    <t>$20,180,155</t>
  </si>
  <si>
    <t>$6,652,996</t>
  </si>
  <si>
    <t>Shaun the Sheep Movie</t>
  </si>
  <si>
    <t>$19,375,982</t>
  </si>
  <si>
    <t>$4,038,962</t>
  </si>
  <si>
    <t>Still Alice</t>
  </si>
  <si>
    <t>$18,754,371</t>
  </si>
  <si>
    <t>$197,000</t>
  </si>
  <si>
    <t>Paranormal Activity: The Ghost Dimension</t>
  </si>
  <si>
    <t>$18,300,124</t>
  </si>
  <si>
    <t>$8,070,493</t>
  </si>
  <si>
    <t>Steve Jobs</t>
  </si>
  <si>
    <t>$17,766,658</t>
  </si>
  <si>
    <t>$521,522</t>
  </si>
  <si>
    <t>Mr. Holmes</t>
  </si>
  <si>
    <t>$17,737,646</t>
  </si>
  <si>
    <t>$2,434,908</t>
  </si>
  <si>
    <t>Dope</t>
  </si>
  <si>
    <t>$17,506,470</t>
  </si>
  <si>
    <t>$6,100,010</t>
  </si>
  <si>
    <t>Seventh Son</t>
  </si>
  <si>
    <t>$17,223,265</t>
  </si>
  <si>
    <t>$7,217,640</t>
  </si>
  <si>
    <t>Monkey Kingdom</t>
  </si>
  <si>
    <t>$16,432,322</t>
  </si>
  <si>
    <t>$4,577,861</t>
  </si>
  <si>
    <t>The Transporter Refueled</t>
  </si>
  <si>
    <t>$16,029,670</t>
  </si>
  <si>
    <t>$7,355,622</t>
  </si>
  <si>
    <t>Room</t>
  </si>
  <si>
    <t>$14,677,654</t>
  </si>
  <si>
    <t>$118,298</t>
  </si>
  <si>
    <t>It Follows</t>
  </si>
  <si>
    <t>RTWC</t>
  </si>
  <si>
    <t>$14,674,076</t>
  </si>
  <si>
    <t>$160,089</t>
  </si>
  <si>
    <t>American Ultra</t>
  </si>
  <si>
    <t>$14,440,985</t>
  </si>
  <si>
    <t>$5,454,284</t>
  </si>
  <si>
    <t>Woodlawn</t>
  </si>
  <si>
    <t>$14,394,097</t>
  </si>
  <si>
    <t>$4,002,226</t>
  </si>
  <si>
    <t>Burnt</t>
  </si>
  <si>
    <t>$13,651,946</t>
  </si>
  <si>
    <t>$5,002,521</t>
  </si>
  <si>
    <t>Do You Believe?</t>
  </si>
  <si>
    <t>$12,985,600</t>
  </si>
  <si>
    <t>$3,591,282</t>
  </si>
  <si>
    <t>Carol</t>
  </si>
  <si>
    <t>$12,711,491</t>
  </si>
  <si>
    <t>$253,510</t>
  </si>
  <si>
    <t>Love &amp; Mercy</t>
  </si>
  <si>
    <t>$12,551,031</t>
  </si>
  <si>
    <t>$2,122,177</t>
  </si>
  <si>
    <t>Strange Magic</t>
  </si>
  <si>
    <t>$12,429,583</t>
  </si>
  <si>
    <t>$5,504,441</t>
  </si>
  <si>
    <t>Hot Tub Time Machine 2</t>
  </si>
  <si>
    <t>$12,314,651</t>
  </si>
  <si>
    <t>$5,963,324</t>
  </si>
  <si>
    <t>Self/Less</t>
  </si>
  <si>
    <t>$12,279,691</t>
  </si>
  <si>
    <t>$5,403,460</t>
  </si>
  <si>
    <t>Far from the Madding Crowd</t>
  </si>
  <si>
    <t>$12,236,500</t>
  </si>
  <si>
    <t>$164,985</t>
  </si>
  <si>
    <t>The 33</t>
  </si>
  <si>
    <t>$12,227,722</t>
  </si>
  <si>
    <t>$5,787,266</t>
  </si>
  <si>
    <t>The Danish Girl</t>
  </si>
  <si>
    <t>$11,114,018</t>
  </si>
  <si>
    <t>$187,318</t>
  </si>
  <si>
    <t>The Gunman</t>
  </si>
  <si>
    <t>$10,664,749</t>
  </si>
  <si>
    <t>$5,028,702</t>
  </si>
  <si>
    <t>Unfinished Business</t>
  </si>
  <si>
    <t>$10,219,501</t>
  </si>
  <si>
    <t>$4,772,613</t>
  </si>
  <si>
    <t>The Walk</t>
  </si>
  <si>
    <t>$10,137,502</t>
  </si>
  <si>
    <t>$1,560,299</t>
  </si>
  <si>
    <t>The Lady in the Van</t>
  </si>
  <si>
    <t>$10,021,175</t>
  </si>
  <si>
    <t>Un Gallo con Muchos Huevos</t>
  </si>
  <si>
    <t>$9,080,818</t>
  </si>
  <si>
    <t>$3,424,702</t>
  </si>
  <si>
    <t>Amy</t>
  </si>
  <si>
    <t>$8,413,144</t>
  </si>
  <si>
    <t>$222,500</t>
  </si>
  <si>
    <t>Bajrangi Bhaijaan</t>
  </si>
  <si>
    <t>$8,178,001</t>
  </si>
  <si>
    <t>$2,621,282</t>
  </si>
  <si>
    <t>Dragon Ball Z: Resurrection 'F'</t>
  </si>
  <si>
    <t>$8,008,363</t>
  </si>
  <si>
    <t>$1,817,937</t>
  </si>
  <si>
    <t>Blackhat</t>
  </si>
  <si>
    <t>$8,005,980</t>
  </si>
  <si>
    <t>$3,901,815</t>
  </si>
  <si>
    <t>Trumbo (2015)</t>
  </si>
  <si>
    <t>$7,857,741</t>
  </si>
  <si>
    <t>$74,177</t>
  </si>
  <si>
    <t>Mortdecai</t>
  </si>
  <si>
    <t>$7,696,134</t>
  </si>
  <si>
    <t>$4,200,586</t>
  </si>
  <si>
    <t>While We're Young</t>
  </si>
  <si>
    <t>$7,587,485</t>
  </si>
  <si>
    <t>$227,688</t>
  </si>
  <si>
    <t>I'll See You In My Dreams</t>
  </si>
  <si>
    <t>$7,449,681</t>
  </si>
  <si>
    <t>$52,091</t>
  </si>
  <si>
    <t>The Green Inferno</t>
  </si>
  <si>
    <t>$7,192,291</t>
  </si>
  <si>
    <t>$3,520,626</t>
  </si>
  <si>
    <t>Our Brand Is Crisis (2015)</t>
  </si>
  <si>
    <t>$7,002,261</t>
  </si>
  <si>
    <t>$3,238,433</t>
  </si>
  <si>
    <t>Grandma (2015)</t>
  </si>
  <si>
    <t>$6,980,524</t>
  </si>
  <si>
    <t>$115,540</t>
  </si>
  <si>
    <t>Me and Earl and the Dying Girl</t>
  </si>
  <si>
    <t>$6,758,416</t>
  </si>
  <si>
    <t>$196,496</t>
  </si>
  <si>
    <t>Baahubali: The Beginning</t>
  </si>
  <si>
    <t>$6,738,000</t>
  </si>
  <si>
    <t>$3,575,000</t>
  </si>
  <si>
    <t>Bajirao Mastani</t>
  </si>
  <si>
    <t>$6,557,047</t>
  </si>
  <si>
    <t>$1,744,975</t>
  </si>
  <si>
    <t>Little Boy</t>
  </si>
  <si>
    <t>$6,485,961</t>
  </si>
  <si>
    <t>$2,750,356</t>
  </si>
  <si>
    <t>The Loft</t>
  </si>
  <si>
    <t>$6,002,684</t>
  </si>
  <si>
    <t>$2,747,342</t>
  </si>
  <si>
    <t>Victor Frankenstein</t>
  </si>
  <si>
    <t>$5,775,076</t>
  </si>
  <si>
    <t>$2,469,341</t>
  </si>
  <si>
    <t>Danny Collins</t>
  </si>
  <si>
    <t>$5,637,066</t>
  </si>
  <si>
    <t>$72,459</t>
  </si>
  <si>
    <t>Dilwale</t>
  </si>
  <si>
    <t>$4,871,263</t>
  </si>
  <si>
    <t>$1,920,402</t>
  </si>
  <si>
    <t>90 Minutes in Heaven</t>
  </si>
  <si>
    <t>$4,842,699</t>
  </si>
  <si>
    <t>$2,035,273</t>
  </si>
  <si>
    <t>True Story</t>
  </si>
  <si>
    <t>$4,719,695</t>
  </si>
  <si>
    <t>$1,950,214</t>
  </si>
  <si>
    <t>Suffragette</t>
  </si>
  <si>
    <t>$4,702,420</t>
  </si>
  <si>
    <t>$76,244</t>
  </si>
  <si>
    <t>Prem Ratan Dhan Payo</t>
  </si>
  <si>
    <t>$4,364,639</t>
  </si>
  <si>
    <t>$2,425,585</t>
  </si>
  <si>
    <t>45 Years</t>
  </si>
  <si>
    <t>$4,247,285</t>
  </si>
  <si>
    <t>$65,775</t>
  </si>
  <si>
    <t>The Water Diviner</t>
  </si>
  <si>
    <t>$4,196,641</t>
  </si>
  <si>
    <t>$1,220,335</t>
  </si>
  <si>
    <t>Irrational Man</t>
  </si>
  <si>
    <t>$4,030,360</t>
  </si>
  <si>
    <t>$175,312</t>
  </si>
  <si>
    <t>Anomalisa</t>
  </si>
  <si>
    <t>$3,759,286</t>
  </si>
  <si>
    <t>$135,222</t>
  </si>
  <si>
    <t>Scouts Guide to the Zombie Apocalypse</t>
  </si>
  <si>
    <t>$3,703,046</t>
  </si>
  <si>
    <t>$1,841,007</t>
  </si>
  <si>
    <t>A La Mala</t>
  </si>
  <si>
    <t>$3,629,842</t>
  </si>
  <si>
    <t>$1,402,118</t>
  </si>
  <si>
    <t>Spare Parts</t>
  </si>
  <si>
    <t>$3,618,912</t>
  </si>
  <si>
    <t>$1,335,768</t>
  </si>
  <si>
    <t>We Are Your Friends</t>
  </si>
  <si>
    <t>$3,591,417</t>
  </si>
  <si>
    <t>$1,767,308</t>
  </si>
  <si>
    <t>What We Do in the Shadows</t>
  </si>
  <si>
    <t>U/P</t>
  </si>
  <si>
    <t>$3,469,224</t>
  </si>
  <si>
    <t>$88,940</t>
  </si>
  <si>
    <t>Learning to Drive</t>
  </si>
  <si>
    <t>$3,447,633</t>
  </si>
  <si>
    <t>$66,015</t>
  </si>
  <si>
    <t>Phoenix (2015)</t>
  </si>
  <si>
    <t>$3,184,472</t>
  </si>
  <si>
    <t>$30,296</t>
  </si>
  <si>
    <t>Wild Tales</t>
  </si>
  <si>
    <t>$3,106,530</t>
  </si>
  <si>
    <t>$85,100</t>
  </si>
  <si>
    <t>Dil Dhadakne Do</t>
  </si>
  <si>
    <t>$3,066,100</t>
  </si>
  <si>
    <t>$1,326,267</t>
  </si>
  <si>
    <t>Ladrones</t>
  </si>
  <si>
    <t>$3,063,505</t>
  </si>
  <si>
    <t>$1,411,031</t>
  </si>
  <si>
    <t>Tanu Weds Manu Returns</t>
  </si>
  <si>
    <t>$3,044,347</t>
  </si>
  <si>
    <t>$1,006,476</t>
  </si>
  <si>
    <t>Rock The Kasbah</t>
  </si>
  <si>
    <t>$3,020,664</t>
  </si>
  <si>
    <t>$1,470,592</t>
  </si>
  <si>
    <t>The End of the Tour</t>
  </si>
  <si>
    <t>$3,002,884</t>
  </si>
  <si>
    <t>$123,238</t>
  </si>
  <si>
    <t>Youth</t>
  </si>
  <si>
    <t>$2,703,296</t>
  </si>
  <si>
    <t>$78,085</t>
  </si>
  <si>
    <t>He Named Me Malala</t>
  </si>
  <si>
    <t>$2,668,936</t>
  </si>
  <si>
    <t>$61,808</t>
  </si>
  <si>
    <t>Chi-Raq</t>
  </si>
  <si>
    <t>$2,653,032</t>
  </si>
  <si>
    <t>$1,198,453</t>
  </si>
  <si>
    <t>Captive (2015)</t>
  </si>
  <si>
    <t>$2,583,301</t>
  </si>
  <si>
    <t>$1,393,243</t>
  </si>
  <si>
    <t>Truth</t>
  </si>
  <si>
    <t>$2,541,854</t>
  </si>
  <si>
    <t>$66,232</t>
  </si>
  <si>
    <t>Mistress America</t>
  </si>
  <si>
    <t>$2,500,431</t>
  </si>
  <si>
    <t>$93,206</t>
  </si>
  <si>
    <t>Pawn Sacrifice</t>
  </si>
  <si>
    <t>$2,436,633</t>
  </si>
  <si>
    <t>$202,053</t>
  </si>
  <si>
    <t>2015 Oscar Nominated Short Films</t>
  </si>
  <si>
    <t>$2,412,593</t>
  </si>
  <si>
    <t>$416,850</t>
  </si>
  <si>
    <t>Meru</t>
  </si>
  <si>
    <t>$2,334,228</t>
  </si>
  <si>
    <t>$91,279</t>
  </si>
  <si>
    <t>WARx2</t>
  </si>
  <si>
    <t>WARX2</t>
  </si>
  <si>
    <t>$2,310,625</t>
  </si>
  <si>
    <t>$30,931</t>
  </si>
  <si>
    <t>My All American</t>
  </si>
  <si>
    <t>CE</t>
  </si>
  <si>
    <t>$2,246,000</t>
  </si>
  <si>
    <t>$1,365,000</t>
  </si>
  <si>
    <t>Jem and the Holograms</t>
  </si>
  <si>
    <t>$2,184,640</t>
  </si>
  <si>
    <t>$1,375,320</t>
  </si>
  <si>
    <t>Tamasha</t>
  </si>
  <si>
    <t>$2,065,487</t>
  </si>
  <si>
    <t>$1,006,059</t>
  </si>
  <si>
    <t>Cake</t>
  </si>
  <si>
    <t>$1,951,776</t>
  </si>
  <si>
    <t>$916,179</t>
  </si>
  <si>
    <t>Old Fashioned</t>
  </si>
  <si>
    <t>$1,914,090</t>
  </si>
  <si>
    <t>$38,965</t>
  </si>
  <si>
    <t>Assassination (2015)</t>
  </si>
  <si>
    <t>$1,904,682</t>
  </si>
  <si>
    <t>$287,700</t>
  </si>
  <si>
    <t>Game of Thrones (IMAX)</t>
  </si>
  <si>
    <t>$1,896,092</t>
  </si>
  <si>
    <t>$1,464,932</t>
  </si>
  <si>
    <t>Legend</t>
  </si>
  <si>
    <t>$1,872,994</t>
  </si>
  <si>
    <t>$86,836</t>
  </si>
  <si>
    <t>Clouds of Sils Maria</t>
  </si>
  <si>
    <t>$1,851,517</t>
  </si>
  <si>
    <t>$61,810</t>
  </si>
  <si>
    <t>Testament of Youth</t>
  </si>
  <si>
    <t>$1,822,250</t>
  </si>
  <si>
    <t>$53,000</t>
  </si>
  <si>
    <t>Piku</t>
  </si>
  <si>
    <t>$1,801,807</t>
  </si>
  <si>
    <t>$941,490</t>
  </si>
  <si>
    <t>The Vatican Tapes</t>
  </si>
  <si>
    <t>$1,784,763</t>
  </si>
  <si>
    <t>$832,271</t>
  </si>
  <si>
    <t>Son of Saul</t>
  </si>
  <si>
    <t>$1,777,043</t>
  </si>
  <si>
    <t>$37,930</t>
  </si>
  <si>
    <t>Meet the Patels</t>
  </si>
  <si>
    <t>Alc</t>
  </si>
  <si>
    <t>$1,700,681</t>
  </si>
  <si>
    <t>$72,180</t>
  </si>
  <si>
    <t>Back to the Future Day</t>
  </si>
  <si>
    <t>UHE</t>
  </si>
  <si>
    <t>$1,650,000</t>
  </si>
  <si>
    <t>The Letters</t>
  </si>
  <si>
    <t>$1,647,416</t>
  </si>
  <si>
    <t>$700,683</t>
  </si>
  <si>
    <t>The Diary of a Teenage Girl</t>
  </si>
  <si>
    <t>$1,477,002</t>
  </si>
  <si>
    <t>$52,334</t>
  </si>
  <si>
    <t>I (2015)</t>
  </si>
  <si>
    <t>AaF</t>
  </si>
  <si>
    <t>$1,449,232</t>
  </si>
  <si>
    <t>$771,312</t>
  </si>
  <si>
    <t>Infinitely Polar Bear</t>
  </si>
  <si>
    <t>$1,430,655</t>
  </si>
  <si>
    <t>$47,000</t>
  </si>
  <si>
    <t>Mr. Six</t>
  </si>
  <si>
    <t>$1,415,450</t>
  </si>
  <si>
    <t>$332,117</t>
  </si>
  <si>
    <t>99 Homes</t>
  </si>
  <si>
    <t>$1,411,927</t>
  </si>
  <si>
    <t>$32,253</t>
  </si>
  <si>
    <t>Welcome Back</t>
  </si>
  <si>
    <t>$1,388,365</t>
  </si>
  <si>
    <t>$714,235</t>
  </si>
  <si>
    <t>The Cokeville Miracle</t>
  </si>
  <si>
    <t>Excel</t>
  </si>
  <si>
    <t>$1,348,456</t>
  </si>
  <si>
    <t>$159,468</t>
  </si>
  <si>
    <t>The Salt of the Earth</t>
  </si>
  <si>
    <t>$1,343,349</t>
  </si>
  <si>
    <t>$44,900</t>
  </si>
  <si>
    <t>Iris (2015)</t>
  </si>
  <si>
    <t>$1,310,678</t>
  </si>
  <si>
    <t>$57,254</t>
  </si>
  <si>
    <t>Lost in Hong Kong</t>
  </si>
  <si>
    <t>$1,302,281</t>
  </si>
  <si>
    <t>$537,736</t>
  </si>
  <si>
    <t>The Wolfpack</t>
  </si>
  <si>
    <t>$1,301,696</t>
  </si>
  <si>
    <t>$43,920</t>
  </si>
  <si>
    <t>Goodbye Mr. Loser</t>
  </si>
  <si>
    <t>$1,293,626</t>
  </si>
  <si>
    <t>$363,949</t>
  </si>
  <si>
    <t>'71</t>
  </si>
  <si>
    <t>$1,270,847</t>
  </si>
  <si>
    <t>$55,761</t>
  </si>
  <si>
    <t>Mojin: The Lost Legend</t>
  </si>
  <si>
    <t>$1,243,810</t>
  </si>
  <si>
    <t>$279,974</t>
  </si>
  <si>
    <t>Beyond the Mask</t>
  </si>
  <si>
    <t>$1,236,094</t>
  </si>
  <si>
    <t>$18,801</t>
  </si>
  <si>
    <t>Child 44</t>
  </si>
  <si>
    <t>$1,224,330</t>
  </si>
  <si>
    <t>$621,812</t>
  </si>
  <si>
    <t>Veteran</t>
  </si>
  <si>
    <t>$1,200,627</t>
  </si>
  <si>
    <t>$371,754</t>
  </si>
  <si>
    <t>Goodnight Mommy</t>
  </si>
  <si>
    <t>$1,178,196</t>
  </si>
  <si>
    <t>$63,641</t>
  </si>
  <si>
    <t>Black Sea</t>
  </si>
  <si>
    <t>$1,171,559</t>
  </si>
  <si>
    <t>$37,675</t>
  </si>
  <si>
    <t>Miss You Already</t>
  </si>
  <si>
    <t>$1,162,653</t>
  </si>
  <si>
    <t>$552,506</t>
  </si>
  <si>
    <t>Where Hope Grows</t>
  </si>
  <si>
    <t>$1,156,000</t>
  </si>
  <si>
    <t>$457,287</t>
  </si>
  <si>
    <t>Macbeth (2015)</t>
  </si>
  <si>
    <t>$1,110,707</t>
  </si>
  <si>
    <t>$69,833</t>
  </si>
  <si>
    <t>The Overnight</t>
  </si>
  <si>
    <t>$1,110,522</t>
  </si>
  <si>
    <t>$53,022</t>
  </si>
  <si>
    <t>Timbuktu</t>
  </si>
  <si>
    <t>$1,076,075</t>
  </si>
  <si>
    <t>$45,110</t>
  </si>
  <si>
    <t>Dior and I</t>
  </si>
  <si>
    <t>$1,028,953</t>
  </si>
  <si>
    <t>$45,772</t>
  </si>
  <si>
    <t>5 Flights Up</t>
  </si>
  <si>
    <t>$1,020,921</t>
  </si>
  <si>
    <t>$238,491</t>
  </si>
  <si>
    <t>Big Stone Gap</t>
  </si>
  <si>
    <t>PH</t>
  </si>
  <si>
    <t>$1,009,301</t>
  </si>
  <si>
    <t>$362,422</t>
  </si>
  <si>
    <t>Faith of Our Fathers</t>
  </si>
  <si>
    <t>$1,004,105</t>
  </si>
  <si>
    <t>$438,000</t>
  </si>
  <si>
    <t>Gett: The Trial of Viviane Amsalem</t>
  </si>
  <si>
    <t>$988,150</t>
  </si>
  <si>
    <t>$24,210</t>
  </si>
  <si>
    <t>The 100-Year Old Man Who Climbed Out the Window and Disappeared</t>
  </si>
  <si>
    <t>$944,193</t>
  </si>
  <si>
    <t>Patterns of Evidence: The Exodus</t>
  </si>
  <si>
    <t>TMF</t>
  </si>
  <si>
    <t>$925,576</t>
  </si>
  <si>
    <t>Boruto: Naruto the Movie</t>
  </si>
  <si>
    <t>$919,651</t>
  </si>
  <si>
    <t>$380,419</t>
  </si>
  <si>
    <t>Singh is Bling</t>
  </si>
  <si>
    <t>$919,095</t>
  </si>
  <si>
    <t>$487,040</t>
  </si>
  <si>
    <t>Best of Enemies</t>
  </si>
  <si>
    <t>$892,802</t>
  </si>
  <si>
    <t>$50,378</t>
  </si>
  <si>
    <t>ABCD (Any Body Can Dance) 2</t>
  </si>
  <si>
    <t>$892,133</t>
  </si>
  <si>
    <t>$444,195</t>
  </si>
  <si>
    <t>Mustang</t>
  </si>
  <si>
    <t>$845,464</t>
  </si>
  <si>
    <t>$20,321</t>
  </si>
  <si>
    <t>Sleeping with Other People</t>
  </si>
  <si>
    <t>$819,431</t>
  </si>
  <si>
    <t>$89,102</t>
  </si>
  <si>
    <t>The Wrecking Crew</t>
  </si>
  <si>
    <t>$801,606</t>
  </si>
  <si>
    <t>$56,858</t>
  </si>
  <si>
    <t>Labyrinth of Lies</t>
  </si>
  <si>
    <t>$794,452</t>
  </si>
  <si>
    <t>$22,101</t>
  </si>
  <si>
    <t>Seymour: An Introduction</t>
  </si>
  <si>
    <t>$743,541</t>
  </si>
  <si>
    <t>$26,587</t>
  </si>
  <si>
    <t>Once I Was a Beehive</t>
  </si>
  <si>
    <t>$732,655</t>
  </si>
  <si>
    <t>$48,409</t>
  </si>
  <si>
    <t>Cartel Land</t>
  </si>
  <si>
    <t>$704,352</t>
  </si>
  <si>
    <t>$15,581</t>
  </si>
  <si>
    <t>Tangerine</t>
  </si>
  <si>
    <t>$702,354</t>
  </si>
  <si>
    <t>$60,683</t>
  </si>
  <si>
    <t>The Himalayas</t>
  </si>
  <si>
    <t>$696,717</t>
  </si>
  <si>
    <t>$13,387</t>
  </si>
  <si>
    <t>Red Army</t>
  </si>
  <si>
    <t>$694,600</t>
  </si>
  <si>
    <t>The D Train</t>
  </si>
  <si>
    <t>$673,151</t>
  </si>
  <si>
    <t>$447,661</t>
  </si>
  <si>
    <t>The Stanford Prison Experiment</t>
  </si>
  <si>
    <t>$660,561</t>
  </si>
  <si>
    <t>$37,514</t>
  </si>
  <si>
    <t>The Assassin</t>
  </si>
  <si>
    <t>$632,542</t>
  </si>
  <si>
    <t>$47,892</t>
  </si>
  <si>
    <t>Kumiko, The Treasure Hunter</t>
  </si>
  <si>
    <t>$623,383</t>
  </si>
  <si>
    <t>$34,114</t>
  </si>
  <si>
    <t>Brothers: Blood Against Blood</t>
  </si>
  <si>
    <t>$613,775</t>
  </si>
  <si>
    <t>$357,404</t>
  </si>
  <si>
    <t>Welcome to Me</t>
  </si>
  <si>
    <t>$608,852</t>
  </si>
  <si>
    <t>$34,920</t>
  </si>
  <si>
    <t>Detective Byomkesh Bakshy</t>
  </si>
  <si>
    <t>$579,055</t>
  </si>
  <si>
    <t>$338,637</t>
  </si>
  <si>
    <t>Freeheld</t>
  </si>
  <si>
    <t>$573,335</t>
  </si>
  <si>
    <t>$37,983</t>
  </si>
  <si>
    <t>When Marnie Was There</t>
  </si>
  <si>
    <t>$561,085</t>
  </si>
  <si>
    <t>$27,388</t>
  </si>
  <si>
    <t>Jimmy's Hall</t>
  </si>
  <si>
    <t>$560,592</t>
  </si>
  <si>
    <t>$19,881</t>
  </si>
  <si>
    <t>A Little Chaos</t>
  </si>
  <si>
    <t>$558,173</t>
  </si>
  <si>
    <t>$181,791</t>
  </si>
  <si>
    <t>Remember (Canada Release)</t>
  </si>
  <si>
    <t>$547,009</t>
  </si>
  <si>
    <t>$27,006</t>
  </si>
  <si>
    <t>By the Sea</t>
  </si>
  <si>
    <t>$538,460</t>
  </si>
  <si>
    <t>$96,250</t>
  </si>
  <si>
    <t>Gabbar is Back</t>
  </si>
  <si>
    <t>$534,601</t>
  </si>
  <si>
    <t>$279,429</t>
  </si>
  <si>
    <t>The Last - Naruto the Movie</t>
  </si>
  <si>
    <t>$524,451</t>
  </si>
  <si>
    <t>$179,370</t>
  </si>
  <si>
    <t>Shaandaar</t>
  </si>
  <si>
    <t>$521,794</t>
  </si>
  <si>
    <t>$384,685</t>
  </si>
  <si>
    <t>Black Panthers: Vanguard of the Revolution</t>
  </si>
  <si>
    <t>$516,893</t>
  </si>
  <si>
    <t>$20,215</t>
  </si>
  <si>
    <t>Deli Man</t>
  </si>
  <si>
    <t>$502,294</t>
  </si>
  <si>
    <t>$37,321</t>
  </si>
  <si>
    <t>Peggy Guggenheim Art Addict</t>
  </si>
  <si>
    <t>$498,428</t>
  </si>
  <si>
    <t>$22,258</t>
  </si>
  <si>
    <t>Steve Jobs: The Man in the Machine</t>
  </si>
  <si>
    <t>$494,506</t>
  </si>
  <si>
    <t>$140,064</t>
  </si>
  <si>
    <t>Phantom (2015)</t>
  </si>
  <si>
    <t>$489,984</t>
  </si>
  <si>
    <t>$266,756</t>
  </si>
  <si>
    <t>Somewhere Only We Know</t>
  </si>
  <si>
    <t>$482,341</t>
  </si>
  <si>
    <t>$304,934</t>
  </si>
  <si>
    <t>Brotherly Love</t>
  </si>
  <si>
    <t>$478,595</t>
  </si>
  <si>
    <t>$246,902</t>
  </si>
  <si>
    <t>About Elly</t>
  </si>
  <si>
    <t>$470,760</t>
  </si>
  <si>
    <t>$13,180</t>
  </si>
  <si>
    <t>Let's Get Married</t>
  </si>
  <si>
    <t>$462,918</t>
  </si>
  <si>
    <t>$180,929</t>
  </si>
  <si>
    <t>Bombay Velvet</t>
  </si>
  <si>
    <t>$450,692</t>
  </si>
  <si>
    <t>$390,774</t>
  </si>
  <si>
    <t>Attack on Titan: Part 1</t>
  </si>
  <si>
    <t>$449,523</t>
  </si>
  <si>
    <t>The Third Man (2015 re-release)</t>
  </si>
  <si>
    <t>$449,191</t>
  </si>
  <si>
    <t>$24,832</t>
  </si>
  <si>
    <t>Felix and Meira</t>
  </si>
  <si>
    <t>$447,353</t>
  </si>
  <si>
    <t>$15,000</t>
  </si>
  <si>
    <t>Rosenwald</t>
  </si>
  <si>
    <t>CIE</t>
  </si>
  <si>
    <t>$433,924</t>
  </si>
  <si>
    <t>$7,902</t>
  </si>
  <si>
    <t>Saint Laurent</t>
  </si>
  <si>
    <t>$429,477</t>
  </si>
  <si>
    <t>$36,000</t>
  </si>
  <si>
    <t>Listen to Me Marlon</t>
  </si>
  <si>
    <t>SHO</t>
  </si>
  <si>
    <t>$425,831</t>
  </si>
  <si>
    <t>$30,068</t>
  </si>
  <si>
    <t>Heart of a Dog</t>
  </si>
  <si>
    <t>$420,813</t>
  </si>
  <si>
    <t>$13,893</t>
  </si>
  <si>
    <t>The Witness (Wo shi zheng ren)</t>
  </si>
  <si>
    <t>$418,063</t>
  </si>
  <si>
    <t>$194,736</t>
  </si>
  <si>
    <t>Janis: Little Girl Blue</t>
  </si>
  <si>
    <t>$410,465</t>
  </si>
  <si>
    <t>$21,861</t>
  </si>
  <si>
    <t>Unbranded</t>
  </si>
  <si>
    <t>$410,185</t>
  </si>
  <si>
    <t>$141,416</t>
  </si>
  <si>
    <t>Badlapur</t>
  </si>
  <si>
    <t>$409,166</t>
  </si>
  <si>
    <t>$227,759</t>
  </si>
  <si>
    <t>The Hunting Ground</t>
  </si>
  <si>
    <t>$405,917</t>
  </si>
  <si>
    <t>$22,464</t>
  </si>
  <si>
    <t>The Apu Trilogy</t>
  </si>
  <si>
    <t>$402,723</t>
  </si>
  <si>
    <t>$16,064</t>
  </si>
  <si>
    <t>Freetown</t>
  </si>
  <si>
    <t>$401,328</t>
  </si>
  <si>
    <t>$118,553</t>
  </si>
  <si>
    <t>Coming Home (2015)</t>
  </si>
  <si>
    <t>$377,607</t>
  </si>
  <si>
    <t>$26,361</t>
  </si>
  <si>
    <t>The Second Mother</t>
  </si>
  <si>
    <t>$376,986</t>
  </si>
  <si>
    <t>$24,086</t>
  </si>
  <si>
    <t>Kahlil Gibran's The Prophet (Gathr)</t>
  </si>
  <si>
    <t>$370,146</t>
  </si>
  <si>
    <t>Katti Batti</t>
  </si>
  <si>
    <t>$364,932</t>
  </si>
  <si>
    <t>$239,816</t>
  </si>
  <si>
    <t>Kahlil Gibran's The Prophet</t>
  </si>
  <si>
    <t>$355,343</t>
  </si>
  <si>
    <t>$27,435</t>
  </si>
  <si>
    <t>Effie Gray</t>
  </si>
  <si>
    <t>AF</t>
  </si>
  <si>
    <t>$352,534</t>
  </si>
  <si>
    <t>$161,728</t>
  </si>
  <si>
    <t>Maps to the Stars</t>
  </si>
  <si>
    <t>$350,741</t>
  </si>
  <si>
    <t>$143,422</t>
  </si>
  <si>
    <t>Noble</t>
  </si>
  <si>
    <t>Asp.</t>
  </si>
  <si>
    <t>$347,321</t>
  </si>
  <si>
    <t>$231,319</t>
  </si>
  <si>
    <t>Talvar</t>
  </si>
  <si>
    <t>$342,370</t>
  </si>
  <si>
    <t>$144,713</t>
  </si>
  <si>
    <t>Northern Limit Line</t>
  </si>
  <si>
    <t>$337,907</t>
  </si>
  <si>
    <t>$108,255</t>
  </si>
  <si>
    <t>Ballet 422</t>
  </si>
  <si>
    <t>$333,554</t>
  </si>
  <si>
    <t>$27,653</t>
  </si>
  <si>
    <t>Shamitabh</t>
  </si>
  <si>
    <t>$324,597</t>
  </si>
  <si>
    <t>$241,720</t>
  </si>
  <si>
    <t>Jafar Panahi's Taxi</t>
  </si>
  <si>
    <t>$321,642</t>
  </si>
  <si>
    <t>$22,531</t>
  </si>
  <si>
    <t>Good Kill</t>
  </si>
  <si>
    <t>$316,472</t>
  </si>
  <si>
    <t>$17,750</t>
  </si>
  <si>
    <t>David and Goliath</t>
  </si>
  <si>
    <t>REI</t>
  </si>
  <si>
    <t>$316,100</t>
  </si>
  <si>
    <t>$154,901</t>
  </si>
  <si>
    <t>Running Man (2015)</t>
  </si>
  <si>
    <t>$310,978</t>
  </si>
  <si>
    <t>$186,926</t>
  </si>
  <si>
    <t>Merchants of Doubt</t>
  </si>
  <si>
    <t>$308,156</t>
  </si>
  <si>
    <t>$20,300</t>
  </si>
  <si>
    <t>Attack on Titan: Part 2</t>
  </si>
  <si>
    <t>$305,934</t>
  </si>
  <si>
    <t>$12,861</t>
  </si>
  <si>
    <t>NH10</t>
  </si>
  <si>
    <t>$303,587</t>
  </si>
  <si>
    <t>$149,546</t>
  </si>
  <si>
    <t>The Man in 3B</t>
  </si>
  <si>
    <t>$291,513</t>
  </si>
  <si>
    <t>$109,043</t>
  </si>
  <si>
    <t>Above and Beyond</t>
  </si>
  <si>
    <t>$288,751</t>
  </si>
  <si>
    <t>$6,448</t>
  </si>
  <si>
    <t>Go Away Mr. Tumor</t>
  </si>
  <si>
    <t>$286,639</t>
  </si>
  <si>
    <t>$50,036</t>
  </si>
  <si>
    <t>Theeb</t>
  </si>
  <si>
    <t>$283,024</t>
  </si>
  <si>
    <t>$9,181</t>
  </si>
  <si>
    <t>White God</t>
  </si>
  <si>
    <t>$282,358</t>
  </si>
  <si>
    <t>$16,139</t>
  </si>
  <si>
    <t>A Borrowed Identity</t>
  </si>
  <si>
    <t>$281,540</t>
  </si>
  <si>
    <t>$10,308</t>
  </si>
  <si>
    <t>In the Name of my Daughter</t>
  </si>
  <si>
    <t>$277,528</t>
  </si>
  <si>
    <t>$14,294</t>
  </si>
  <si>
    <t>Hitchcock/Truffaut</t>
  </si>
  <si>
    <t>$260,430</t>
  </si>
  <si>
    <t>$28,178</t>
  </si>
  <si>
    <t>Love (2015)</t>
  </si>
  <si>
    <t>$249,083</t>
  </si>
  <si>
    <t>$29,301</t>
  </si>
  <si>
    <t>Carter High</t>
  </si>
  <si>
    <t>PN</t>
  </si>
  <si>
    <t>$240,214</t>
  </si>
  <si>
    <t>$87,274</t>
  </si>
  <si>
    <t>Tevar</t>
  </si>
  <si>
    <t>$236,002</t>
  </si>
  <si>
    <t>$171,026</t>
  </si>
  <si>
    <t>Hamari Adhuri Kahani</t>
  </si>
  <si>
    <t>$235,361</t>
  </si>
  <si>
    <t>$131,263</t>
  </si>
  <si>
    <t>20 Once Again</t>
  </si>
  <si>
    <t>$234,573</t>
  </si>
  <si>
    <t>$92,827</t>
  </si>
  <si>
    <t>Slow West</t>
  </si>
  <si>
    <t>$229,094</t>
  </si>
  <si>
    <t>$67,003</t>
  </si>
  <si>
    <t>The Taking of Tiger Mountain</t>
  </si>
  <si>
    <t>$228,984</t>
  </si>
  <si>
    <t>$50,621</t>
  </si>
  <si>
    <t>A Royal Night Out</t>
  </si>
  <si>
    <t>$228,136</t>
  </si>
  <si>
    <t>$100,847</t>
  </si>
  <si>
    <t>A Pigeon Sat on a Branch Reflecting on Existence</t>
  </si>
  <si>
    <t>$222,989</t>
  </si>
  <si>
    <t>$25,313</t>
  </si>
  <si>
    <t>Pyaar Ka Punchnama 2</t>
  </si>
  <si>
    <t>$222,856</t>
  </si>
  <si>
    <t>$107,536</t>
  </si>
  <si>
    <t>Chocolate City</t>
  </si>
  <si>
    <t>$212,662</t>
  </si>
  <si>
    <t>$98,829</t>
  </si>
  <si>
    <t>Fall in Love Like a Star</t>
  </si>
  <si>
    <t>$212,508</t>
  </si>
  <si>
    <t>$120,074</t>
  </si>
  <si>
    <t>Wolf Totem</t>
  </si>
  <si>
    <t>$210,591</t>
  </si>
  <si>
    <t>Dark Places</t>
  </si>
  <si>
    <t>$208,588</t>
  </si>
  <si>
    <t>Heneral Luna</t>
  </si>
  <si>
    <t>$206,040</t>
  </si>
  <si>
    <t>$15,485</t>
  </si>
  <si>
    <t>Escobar: Paradise Lost</t>
  </si>
  <si>
    <t>$195,792</t>
  </si>
  <si>
    <t>$106,869</t>
  </si>
  <si>
    <t>Gemma Bovery</t>
  </si>
  <si>
    <t>$191,533</t>
  </si>
  <si>
    <t>$19,095</t>
  </si>
  <si>
    <t>The Connection</t>
  </si>
  <si>
    <t>$190,980</t>
  </si>
  <si>
    <t>$10,335</t>
  </si>
  <si>
    <t>Love and Lost (Shi Gu)</t>
  </si>
  <si>
    <t>$188,817</t>
  </si>
  <si>
    <t>$86,048</t>
  </si>
  <si>
    <t>Stonewall (2015)</t>
  </si>
  <si>
    <t>$187,674</t>
  </si>
  <si>
    <t>$112,834</t>
  </si>
  <si>
    <t>Maggie</t>
  </si>
  <si>
    <t>$187,112</t>
  </si>
  <si>
    <t>$131,175</t>
  </si>
  <si>
    <t>Detective K: Secret of the Lost Island</t>
  </si>
  <si>
    <t>$185,367</t>
  </si>
  <si>
    <t>$57,663</t>
  </si>
  <si>
    <t>The Priests</t>
  </si>
  <si>
    <t>$185,093</t>
  </si>
  <si>
    <t>Lambert &amp; Stamp</t>
  </si>
  <si>
    <t>$183,320</t>
  </si>
  <si>
    <t>$13,500</t>
  </si>
  <si>
    <t>An Honest Liar</t>
  </si>
  <si>
    <t>$180,590</t>
  </si>
  <si>
    <t>$13,821</t>
  </si>
  <si>
    <t>Serena</t>
  </si>
  <si>
    <t>$176,391</t>
  </si>
  <si>
    <t>$100,090</t>
  </si>
  <si>
    <t>The Young &amp; Prodigious T.S. Spivet</t>
  </si>
  <si>
    <t>$173,564</t>
  </si>
  <si>
    <t>$33,658</t>
  </si>
  <si>
    <t>The Farewell Party</t>
  </si>
  <si>
    <t>$172,860</t>
  </si>
  <si>
    <t>$7,616</t>
  </si>
  <si>
    <t>All Things Must Pass</t>
  </si>
  <si>
    <t>$172,394</t>
  </si>
  <si>
    <t>$19,001</t>
  </si>
  <si>
    <t>A Brilliant Young Mind</t>
  </si>
  <si>
    <t>$171,793</t>
  </si>
  <si>
    <t>$31,408</t>
  </si>
  <si>
    <t>Time Out of Mind</t>
  </si>
  <si>
    <t>$166,775</t>
  </si>
  <si>
    <t>$18,934</t>
  </si>
  <si>
    <t>Snow Girl and the Dark Crystal</t>
  </si>
  <si>
    <t>$165,428</t>
  </si>
  <si>
    <t>$73,817</t>
  </si>
  <si>
    <t>C'Est Si Bon</t>
  </si>
  <si>
    <t>$164,167</t>
  </si>
  <si>
    <t>The Last Women Standing</t>
  </si>
  <si>
    <t>$163,406</t>
  </si>
  <si>
    <t>$73,344</t>
  </si>
  <si>
    <t>5 to 7</t>
  </si>
  <si>
    <t>$162,685</t>
  </si>
  <si>
    <t>After The Ball</t>
  </si>
  <si>
    <t>$161,820</t>
  </si>
  <si>
    <t>$31,718</t>
  </si>
  <si>
    <t>3 Hearts</t>
  </si>
  <si>
    <t>$161,129</t>
  </si>
  <si>
    <t>$11,794</t>
  </si>
  <si>
    <t>Human Capital</t>
  </si>
  <si>
    <t>$158,549</t>
  </si>
  <si>
    <t>Hell and Back</t>
  </si>
  <si>
    <t>$157,768</t>
  </si>
  <si>
    <t>$104,374</t>
  </si>
  <si>
    <t>Experimenter</t>
  </si>
  <si>
    <t>$155,575</t>
  </si>
  <si>
    <t>$8,682</t>
  </si>
  <si>
    <t>Desert Dancer</t>
  </si>
  <si>
    <t>$155,271</t>
  </si>
  <si>
    <t>$40,763</t>
  </si>
  <si>
    <t>Buen Dia, Ramon</t>
  </si>
  <si>
    <t>$154,356</t>
  </si>
  <si>
    <t>$51,105</t>
  </si>
  <si>
    <t>Backstreet Boys: Show 'Em What You're Made Of</t>
  </si>
  <si>
    <t>$153,068</t>
  </si>
  <si>
    <t>Samba</t>
  </si>
  <si>
    <t>$151,530</t>
  </si>
  <si>
    <t>$24,588</t>
  </si>
  <si>
    <t>The Tribe</t>
  </si>
  <si>
    <t>$150,564</t>
  </si>
  <si>
    <t>$11,094</t>
  </si>
  <si>
    <t>Forever Young (2015)</t>
  </si>
  <si>
    <t>$149,761</t>
  </si>
  <si>
    <t>$70,047</t>
  </si>
  <si>
    <t>The New Girlfriend</t>
  </si>
  <si>
    <t>$146,754</t>
  </si>
  <si>
    <t>$39,035</t>
  </si>
  <si>
    <t>The Last 5 Years</t>
  </si>
  <si>
    <t>$145,427</t>
  </si>
  <si>
    <t>$42,042</t>
  </si>
  <si>
    <t>Tangerines</t>
  </si>
  <si>
    <t>$144,501</t>
  </si>
  <si>
    <t>$5,180</t>
  </si>
  <si>
    <t>Yellow Day (2015)</t>
  </si>
  <si>
    <t>PFP</t>
  </si>
  <si>
    <t>$144,163</t>
  </si>
  <si>
    <t>$26,260</t>
  </si>
  <si>
    <t>Manglehorn</t>
  </si>
  <si>
    <t>$143,101</t>
  </si>
  <si>
    <t>$11,227</t>
  </si>
  <si>
    <t>Ingrid Bergman: In Her Own Words</t>
  </si>
  <si>
    <t>$138,148</t>
  </si>
  <si>
    <t>$8,355</t>
  </si>
  <si>
    <t>Twenty (2015)</t>
  </si>
  <si>
    <t>$136,125</t>
  </si>
  <si>
    <t>La Sapienza</t>
  </si>
  <si>
    <t>$135,392</t>
  </si>
  <si>
    <t>Cop Car</t>
  </si>
  <si>
    <t>$134,552</t>
  </si>
  <si>
    <t>$26,146</t>
  </si>
  <si>
    <t>Don't Think I've Forgotten: Cambodia's Lost Rock and Roll</t>
  </si>
  <si>
    <t>$133,443</t>
  </si>
  <si>
    <t>$19,206</t>
  </si>
  <si>
    <t>A Ballerina's Tale</t>
  </si>
  <si>
    <t>$131,995</t>
  </si>
  <si>
    <t>$9,388</t>
  </si>
  <si>
    <t>Devil and Angel (E Gun Tian Shi)</t>
  </si>
  <si>
    <t>$131,058</t>
  </si>
  <si>
    <t>$44,855</t>
  </si>
  <si>
    <t>Mississippi Grind</t>
  </si>
  <si>
    <t>$130,541</t>
  </si>
  <si>
    <t>$12,434</t>
  </si>
  <si>
    <t>Kung Fu Killer</t>
  </si>
  <si>
    <t>$129,784</t>
  </si>
  <si>
    <t>$58,664</t>
  </si>
  <si>
    <t>Boy and the World</t>
  </si>
  <si>
    <t>$129,480</t>
  </si>
  <si>
    <t>$10,077</t>
  </si>
  <si>
    <t>A Journey Through Time with Anthony</t>
  </si>
  <si>
    <t>$127,381</t>
  </si>
  <si>
    <t>$55,292</t>
  </si>
  <si>
    <t>Boulevard</t>
  </si>
  <si>
    <t>$126,150</t>
  </si>
  <si>
    <t>Z for Zachariah</t>
  </si>
  <si>
    <t>$121,461</t>
  </si>
  <si>
    <t>$56,902</t>
  </si>
  <si>
    <t>In Jackson Heights</t>
  </si>
  <si>
    <t>$121,094</t>
  </si>
  <si>
    <t>$15,150</t>
  </si>
  <si>
    <t>Do I Sound Gay?</t>
  </si>
  <si>
    <t>$119,388</t>
  </si>
  <si>
    <t>$10,461</t>
  </si>
  <si>
    <t>Digging for Fire</t>
  </si>
  <si>
    <t>$119,364</t>
  </si>
  <si>
    <t>$25,000</t>
  </si>
  <si>
    <t>Love Live! The School Idol Movie</t>
  </si>
  <si>
    <t>AZ</t>
  </si>
  <si>
    <t>$115,840</t>
  </si>
  <si>
    <t>Road Hard</t>
  </si>
  <si>
    <t>$113,169</t>
  </si>
  <si>
    <t>$105,943</t>
  </si>
  <si>
    <t>She's Funny That Way</t>
  </si>
  <si>
    <t>LGP</t>
  </si>
  <si>
    <t>$111,996</t>
  </si>
  <si>
    <t>BM</t>
  </si>
  <si>
    <t>$111,682</t>
  </si>
  <si>
    <t>$30,448</t>
  </si>
  <si>
    <t>Memories of the Sword</t>
  </si>
  <si>
    <t>$111,071</t>
  </si>
  <si>
    <t>$50,240</t>
  </si>
  <si>
    <t>Roar!</t>
  </si>
  <si>
    <t>$110,048</t>
  </si>
  <si>
    <t>$15,064</t>
  </si>
  <si>
    <t>The Look of Silence</t>
  </si>
  <si>
    <t>$109,089</t>
  </si>
  <si>
    <t>$6,616</t>
  </si>
  <si>
    <t>Adult Beginners</t>
  </si>
  <si>
    <t>$108,808</t>
  </si>
  <si>
    <t>$36,657</t>
  </si>
  <si>
    <t>The Beauty Inside</t>
  </si>
  <si>
    <t>$108,083</t>
  </si>
  <si>
    <t>$50,536</t>
  </si>
  <si>
    <t>The Chronicles of Evil</t>
  </si>
  <si>
    <t>$105,057</t>
  </si>
  <si>
    <t>Results</t>
  </si>
  <si>
    <t>$104,507</t>
  </si>
  <si>
    <t>$17,782</t>
  </si>
  <si>
    <t>Every Secret Thing</t>
  </si>
  <si>
    <t>$103,536</t>
  </si>
  <si>
    <t>$97,020</t>
  </si>
  <si>
    <t>A LEGO Brickumentary</t>
  </si>
  <si>
    <t>$101,531</t>
  </si>
  <si>
    <t>$43,285</t>
  </si>
  <si>
    <t>Man From Reno</t>
  </si>
  <si>
    <t>FPE</t>
  </si>
  <si>
    <t>$101,438</t>
  </si>
  <si>
    <t>$15,158</t>
  </si>
  <si>
    <t>James White</t>
  </si>
  <si>
    <t>$101,368</t>
  </si>
  <si>
    <t>$12,007</t>
  </si>
  <si>
    <t>Ghost in the Shell: The New Movie</t>
  </si>
  <si>
    <t>$101,203</t>
  </si>
  <si>
    <t>Black Souls (Anime Nere)</t>
  </si>
  <si>
    <t>$101,088</t>
  </si>
  <si>
    <t>$6,286</t>
  </si>
  <si>
    <t>A Poem Is a Naked Person (2015 re-issue)</t>
  </si>
  <si>
    <t>$96,592</t>
  </si>
  <si>
    <t>$5,526</t>
  </si>
  <si>
    <t>Saving Mr. Wu</t>
  </si>
  <si>
    <t>UEP</t>
  </si>
  <si>
    <t>$92,696</t>
  </si>
  <si>
    <t>The Tales of Hoffmann (2015 re-issue)</t>
  </si>
  <si>
    <t>$91,930</t>
  </si>
  <si>
    <t>$23,340</t>
  </si>
  <si>
    <t>Legends from the Sky</t>
  </si>
  <si>
    <t>HHF</t>
  </si>
  <si>
    <t>$91,462</t>
  </si>
  <si>
    <t>$18,168</t>
  </si>
  <si>
    <t>Christmas Eve</t>
  </si>
  <si>
    <t>$91,302</t>
  </si>
  <si>
    <t>$45,260</t>
  </si>
  <si>
    <t>Queen of Earth</t>
  </si>
  <si>
    <t>$91,218</t>
  </si>
  <si>
    <t>$11,360</t>
  </si>
  <si>
    <t>Beasts of No Nation</t>
  </si>
  <si>
    <t>$90,777</t>
  </si>
  <si>
    <t>$51,003</t>
  </si>
  <si>
    <t>Dark Horse (Canada Release)</t>
  </si>
  <si>
    <t>$90,136</t>
  </si>
  <si>
    <t>$1,865</t>
  </si>
  <si>
    <t>Hero (2015)</t>
  </si>
  <si>
    <t>$88,675</t>
  </si>
  <si>
    <t>$58,445</t>
  </si>
  <si>
    <t>Sunshine Superman</t>
  </si>
  <si>
    <t>$88,097</t>
  </si>
  <si>
    <t>$8,991</t>
  </si>
  <si>
    <t>Tab Hunter Confidential</t>
  </si>
  <si>
    <t>$85,812</t>
  </si>
  <si>
    <t>$9,945</t>
  </si>
  <si>
    <t>Trace Amounts</t>
  </si>
  <si>
    <t>$80,735</t>
  </si>
  <si>
    <t>Heaven Knows What</t>
  </si>
  <si>
    <t>$80,734</t>
  </si>
  <si>
    <t>$16,862</t>
  </si>
  <si>
    <t>Nasty Baby</t>
  </si>
  <si>
    <t>$79,800</t>
  </si>
  <si>
    <t>$8,023</t>
  </si>
  <si>
    <t>Blackbird</t>
  </si>
  <si>
    <t>Imag.</t>
  </si>
  <si>
    <t>$78,400</t>
  </si>
  <si>
    <t>$45,834</t>
  </si>
  <si>
    <t>Batkid Begins</t>
  </si>
  <si>
    <t>$74,709</t>
  </si>
  <si>
    <t>$19,437</t>
  </si>
  <si>
    <t>Dragon Blade</t>
  </si>
  <si>
    <t>$74,068</t>
  </si>
  <si>
    <t>$30,346</t>
  </si>
  <si>
    <t>The Wonders</t>
  </si>
  <si>
    <t>$73,378</t>
  </si>
  <si>
    <t>Freaks of Nature</t>
  </si>
  <si>
    <t>$70,958</t>
  </si>
  <si>
    <t>$42,713</t>
  </si>
  <si>
    <t>Predestination</t>
  </si>
  <si>
    <t>$68,372</t>
  </si>
  <si>
    <t>$44,028</t>
  </si>
  <si>
    <t>I Am Big Bird</t>
  </si>
  <si>
    <t>Trib.</t>
  </si>
  <si>
    <t>$67,845</t>
  </si>
  <si>
    <t>$10,000</t>
  </si>
  <si>
    <t>The Messenger (2015)</t>
  </si>
  <si>
    <t>$67,816</t>
  </si>
  <si>
    <t>Turbo Kid</t>
  </si>
  <si>
    <t>$67,132</t>
  </si>
  <si>
    <t>$31,428</t>
  </si>
  <si>
    <t>People Places Things</t>
  </si>
  <si>
    <t>$67,046</t>
  </si>
  <si>
    <t>$31,262</t>
  </si>
  <si>
    <t>Eden</t>
  </si>
  <si>
    <t>$65,460</t>
  </si>
  <si>
    <t>$18,987</t>
  </si>
  <si>
    <t>The Duke of Burgundy</t>
  </si>
  <si>
    <t>$64,521</t>
  </si>
  <si>
    <t>$11,902</t>
  </si>
  <si>
    <t>Our Little Sister (Canadian)</t>
  </si>
  <si>
    <t>$64,441</t>
  </si>
  <si>
    <t>$2,078</t>
  </si>
  <si>
    <t>The Office</t>
  </si>
  <si>
    <t>$63,675</t>
  </si>
  <si>
    <t>$34,144</t>
  </si>
  <si>
    <t>Drunk Stoned Brilliant Dead: The Story of the National Lampoon</t>
  </si>
  <si>
    <t>$62,660</t>
  </si>
  <si>
    <t>$5,254</t>
  </si>
  <si>
    <t>Flowers</t>
  </si>
  <si>
    <t>$61,568</t>
  </si>
  <si>
    <t>$6,572</t>
  </si>
  <si>
    <t>Only You</t>
  </si>
  <si>
    <t>$61,565</t>
  </si>
  <si>
    <t>$27,311</t>
  </si>
  <si>
    <t>Dark Star: H.R. Giger's World</t>
  </si>
  <si>
    <t>$61,044</t>
  </si>
  <si>
    <t>$8,349</t>
  </si>
  <si>
    <t>Girlhood (2015)</t>
  </si>
  <si>
    <t>$60,765</t>
  </si>
  <si>
    <t>$7,667</t>
  </si>
  <si>
    <t>Jauja</t>
  </si>
  <si>
    <t>$60,231</t>
  </si>
  <si>
    <t>$8,314</t>
  </si>
  <si>
    <t>Gueros</t>
  </si>
  <si>
    <t>$60,114</t>
  </si>
  <si>
    <t>Cooties</t>
  </si>
  <si>
    <t>$60,058</t>
  </si>
  <si>
    <t>$33,031</t>
  </si>
  <si>
    <t>I Smile Back</t>
  </si>
  <si>
    <t>$58,738</t>
  </si>
  <si>
    <t>$15,758</t>
  </si>
  <si>
    <t>Rififi (2015 re-release)</t>
  </si>
  <si>
    <t>$57,749</t>
  </si>
  <si>
    <t>$17,396</t>
  </si>
  <si>
    <t>Entertainment</t>
  </si>
  <si>
    <t>$55,506</t>
  </si>
  <si>
    <t>$5,132</t>
  </si>
  <si>
    <t>The Search for General Tso</t>
  </si>
  <si>
    <t>$54,275</t>
  </si>
  <si>
    <t>$9,336</t>
  </si>
  <si>
    <t>The Ark of Mr. Chow</t>
  </si>
  <si>
    <t>$54,075</t>
  </si>
  <si>
    <t>$22,583</t>
  </si>
  <si>
    <t>Beloved Sisters</t>
  </si>
  <si>
    <t>$54,030</t>
  </si>
  <si>
    <t>$19,704</t>
  </si>
  <si>
    <t>Aloft</t>
  </si>
  <si>
    <t>$53,086</t>
  </si>
  <si>
    <t>$2,116</t>
  </si>
  <si>
    <t>The Quay Brothers in 35mm</t>
  </si>
  <si>
    <t>$51,858</t>
  </si>
  <si>
    <t>$16,995</t>
  </si>
  <si>
    <t>We Come As Friends</t>
  </si>
  <si>
    <t>$50,921</t>
  </si>
  <si>
    <t>The Yes Men Are Revolting</t>
  </si>
  <si>
    <t>$50,190</t>
  </si>
  <si>
    <t>$12,462</t>
  </si>
  <si>
    <t>The Advocate: A Missing Body</t>
  </si>
  <si>
    <t>$50,162</t>
  </si>
  <si>
    <t>$19,770</t>
  </si>
  <si>
    <t>Heist (2015)</t>
  </si>
  <si>
    <t>$50,136</t>
  </si>
  <si>
    <t>$28,688</t>
  </si>
  <si>
    <t>Spring (2015)</t>
  </si>
  <si>
    <t>$49,970</t>
  </si>
  <si>
    <t>$19,675</t>
  </si>
  <si>
    <t>Difret</t>
  </si>
  <si>
    <t>TA</t>
  </si>
  <si>
    <t>$49,667</t>
  </si>
  <si>
    <t>$6,777</t>
  </si>
  <si>
    <t>Red Herring</t>
  </si>
  <si>
    <t>$49,480</t>
  </si>
  <si>
    <t>$27,804</t>
  </si>
  <si>
    <t>The Seven Five</t>
  </si>
  <si>
    <t>$48,869</t>
  </si>
  <si>
    <t>$14,785</t>
  </si>
  <si>
    <t>Bangistan</t>
  </si>
  <si>
    <t>$48,694</t>
  </si>
  <si>
    <t>$34,263</t>
  </si>
  <si>
    <t>Appropriate Behavior</t>
  </si>
  <si>
    <t>$46,912</t>
  </si>
  <si>
    <t>$19,114</t>
  </si>
  <si>
    <t>Shanghai</t>
  </si>
  <si>
    <t>$46,425</t>
  </si>
  <si>
    <t>$26,604</t>
  </si>
  <si>
    <t>Beyond the Reach</t>
  </si>
  <si>
    <t>$45,895</t>
  </si>
  <si>
    <t>$30,287</t>
  </si>
  <si>
    <t>Lost River</t>
  </si>
  <si>
    <t>$45,431</t>
  </si>
  <si>
    <t>$20,828</t>
  </si>
  <si>
    <t>Mr. X</t>
  </si>
  <si>
    <t>$44,995</t>
  </si>
  <si>
    <t>$30,097</t>
  </si>
  <si>
    <t>The Salvation</t>
  </si>
  <si>
    <t>$44,903</t>
  </si>
  <si>
    <t>River of Fundament</t>
  </si>
  <si>
    <t>$44,840</t>
  </si>
  <si>
    <t>$9,938</t>
  </si>
  <si>
    <t>Madame Bovary</t>
  </si>
  <si>
    <t>$44,235</t>
  </si>
  <si>
    <t>$20,841</t>
  </si>
  <si>
    <t>Charlie's Country</t>
  </si>
  <si>
    <t>$42,937</t>
  </si>
  <si>
    <t>$5,340</t>
  </si>
  <si>
    <t>$42,297</t>
  </si>
  <si>
    <t>$5,063</t>
  </si>
  <si>
    <t>Pearl Button</t>
  </si>
  <si>
    <t>Nowitzki</t>
  </si>
  <si>
    <t>$41,340</t>
  </si>
  <si>
    <t>$20,049</t>
  </si>
  <si>
    <t>Queen and Country</t>
  </si>
  <si>
    <t>$41,297</t>
  </si>
  <si>
    <t>$5,954</t>
  </si>
  <si>
    <t>Censored Voices</t>
  </si>
  <si>
    <t>$41,260</t>
  </si>
  <si>
    <t>$6,153</t>
  </si>
  <si>
    <t>Love Thy Nature</t>
  </si>
  <si>
    <t>ITL</t>
  </si>
  <si>
    <t>$41,149</t>
  </si>
  <si>
    <t>The New Rijksmuseum</t>
  </si>
  <si>
    <t>$40,578</t>
  </si>
  <si>
    <t>$2,631</t>
  </si>
  <si>
    <t>The Phone</t>
  </si>
  <si>
    <t>$40,516</t>
  </si>
  <si>
    <t>$3,824</t>
  </si>
  <si>
    <t>What Our Fathers Did: A Nazi Legacy</t>
  </si>
  <si>
    <t>$40,119</t>
  </si>
  <si>
    <t>$8,132</t>
  </si>
  <si>
    <t>$5,000</t>
  </si>
  <si>
    <t>Lila &amp; Eve</t>
  </si>
  <si>
    <t>$38,263</t>
  </si>
  <si>
    <t>$21,806</t>
  </si>
  <si>
    <t>Match</t>
  </si>
  <si>
    <t>$37,285</t>
  </si>
  <si>
    <t>$6,000</t>
  </si>
  <si>
    <t>Before We Go</t>
  </si>
  <si>
    <t>$37,151</t>
  </si>
  <si>
    <t>$18,630</t>
  </si>
  <si>
    <t>The Mafia Only Kills in Summer</t>
  </si>
  <si>
    <t>$37,134</t>
  </si>
  <si>
    <t>Grey Gardens (2015 re-release)</t>
  </si>
  <si>
    <t>$36,923</t>
  </si>
  <si>
    <t>$13,845</t>
  </si>
  <si>
    <t>Knock Knock</t>
  </si>
  <si>
    <t>$36,336</t>
  </si>
  <si>
    <t>$18,623</t>
  </si>
  <si>
    <t>Kindergarten Teacher</t>
  </si>
  <si>
    <t>$36,190</t>
  </si>
  <si>
    <t>Welcome to Leith</t>
  </si>
  <si>
    <t>$36,010</t>
  </si>
  <si>
    <t>$3,707</t>
  </si>
  <si>
    <t>Finders Keepers (2015)</t>
  </si>
  <si>
    <t>$35,555</t>
  </si>
  <si>
    <t>$5,740</t>
  </si>
  <si>
    <t>Wild City</t>
  </si>
  <si>
    <t>$34,866</t>
  </si>
  <si>
    <t>The Forbidden Room</t>
  </si>
  <si>
    <t>$34,404</t>
  </si>
  <si>
    <t>Pierrot le fou (2015 re-issue)</t>
  </si>
  <si>
    <t>$34,371</t>
  </si>
  <si>
    <t>$7,922</t>
  </si>
  <si>
    <t>The Winding Stream</t>
  </si>
  <si>
    <t>$33,420</t>
  </si>
  <si>
    <t>Song One</t>
  </si>
  <si>
    <t>$32,251</t>
  </si>
  <si>
    <t>$20,200</t>
  </si>
  <si>
    <t>Love Forecast</t>
  </si>
  <si>
    <t>$32,211</t>
  </si>
  <si>
    <t>Amira &amp; Sam</t>
  </si>
  <si>
    <t>$31,849</t>
  </si>
  <si>
    <t>$15,535</t>
  </si>
  <si>
    <t>Out 1, noli me tangere</t>
  </si>
  <si>
    <t>CFilms</t>
  </si>
  <si>
    <t>$31,539</t>
  </si>
  <si>
    <t>$12,537</t>
  </si>
  <si>
    <t>Don Verdean</t>
  </si>
  <si>
    <t>$31,309</t>
  </si>
  <si>
    <t>$12,907</t>
  </si>
  <si>
    <t>3 1/2 Minutes, 10 Bullets</t>
  </si>
  <si>
    <t>Part.</t>
  </si>
  <si>
    <t>$30,407</t>
  </si>
  <si>
    <t>$2,238</t>
  </si>
  <si>
    <t>Runoff</t>
  </si>
  <si>
    <t>$30,186</t>
  </si>
  <si>
    <t>$9,515</t>
  </si>
  <si>
    <t>Paul Taylor: Creative Domain</t>
  </si>
  <si>
    <t>$30,168</t>
  </si>
  <si>
    <t>$8,150</t>
  </si>
  <si>
    <t>Paulette</t>
  </si>
  <si>
    <t>$29,494</t>
  </si>
  <si>
    <t>$8,882</t>
  </si>
  <si>
    <t>Rebels of the Neon God</t>
  </si>
  <si>
    <t>$28,791</t>
  </si>
  <si>
    <t>Americons</t>
  </si>
  <si>
    <t>$28,782</t>
  </si>
  <si>
    <t>$14,404</t>
  </si>
  <si>
    <t>Hard to Be a God</t>
  </si>
  <si>
    <t>$28,608</t>
  </si>
  <si>
    <t>The Nightmare</t>
  </si>
  <si>
    <t>$28,281</t>
  </si>
  <si>
    <t>$13,363</t>
  </si>
  <si>
    <t>Like Sunday, Like Rain</t>
  </si>
  <si>
    <t>$28,208</t>
  </si>
  <si>
    <t>$1,082</t>
  </si>
  <si>
    <t>7 Chinese Brothers</t>
  </si>
  <si>
    <t>$28,180</t>
  </si>
  <si>
    <t>Bikes vs Cars</t>
  </si>
  <si>
    <t>$28,072</t>
  </si>
  <si>
    <t>The Cut</t>
  </si>
  <si>
    <t>$28,066</t>
  </si>
  <si>
    <t>$5,327</t>
  </si>
  <si>
    <t>Sembene!</t>
  </si>
  <si>
    <t>$28,059</t>
  </si>
  <si>
    <t>The Keeping Room</t>
  </si>
  <si>
    <t>$27,166</t>
  </si>
  <si>
    <t>$4,328</t>
  </si>
  <si>
    <t>Tap World</t>
  </si>
  <si>
    <t>$26,747</t>
  </si>
  <si>
    <t>$8,714</t>
  </si>
  <si>
    <t>Peace Officer</t>
  </si>
  <si>
    <t>$26,632</t>
  </si>
  <si>
    <t>The Army of Shadows (2015 re-release)</t>
  </si>
  <si>
    <t>$25,450</t>
  </si>
  <si>
    <t>$8,112</t>
  </si>
  <si>
    <t>Rediscover Sautet</t>
  </si>
  <si>
    <t>$25,314</t>
  </si>
  <si>
    <t>Love At First Fight</t>
  </si>
  <si>
    <t>$25,229</t>
  </si>
  <si>
    <t>$3,187</t>
  </si>
  <si>
    <t>R100</t>
  </si>
  <si>
    <t>$24,956</t>
  </si>
  <si>
    <t>$7,263</t>
  </si>
  <si>
    <t>Olvidados (Forgotten)</t>
  </si>
  <si>
    <t>$24,638</t>
  </si>
  <si>
    <t>$2,791</t>
  </si>
  <si>
    <t>Big Game</t>
  </si>
  <si>
    <t>$24,572</t>
  </si>
  <si>
    <t>$16,909</t>
  </si>
  <si>
    <t>Kill Me Three Times</t>
  </si>
  <si>
    <t>$24,296</t>
  </si>
  <si>
    <t>$15,477</t>
  </si>
  <si>
    <t>Unexpected</t>
  </si>
  <si>
    <t>Can't Stand Losing You: Surviving the Police</t>
  </si>
  <si>
    <t>$23,262</t>
  </si>
  <si>
    <t>$5,656</t>
  </si>
  <si>
    <t>Hippocrates, Diary of a French Doctor</t>
  </si>
  <si>
    <t>$23,050</t>
  </si>
  <si>
    <t>Court</t>
  </si>
  <si>
    <t>$22,898</t>
  </si>
  <si>
    <t>$4,806</t>
  </si>
  <si>
    <t>Salut D'Amour</t>
  </si>
  <si>
    <t>$22,480</t>
  </si>
  <si>
    <t>Metropolitan (2015 re-release)</t>
  </si>
  <si>
    <t>$22,284</t>
  </si>
  <si>
    <t>$7,554</t>
  </si>
  <si>
    <t>Slow Learners</t>
  </si>
  <si>
    <t>$22,272</t>
  </si>
  <si>
    <t>$948</t>
  </si>
  <si>
    <t>Princess Cut</t>
  </si>
  <si>
    <t>WMP</t>
  </si>
  <si>
    <t>$22,167</t>
  </si>
  <si>
    <t>Mediterranea</t>
  </si>
  <si>
    <t>$22,076</t>
  </si>
  <si>
    <t>$5,846</t>
  </si>
  <si>
    <t>Animals (2015)</t>
  </si>
  <si>
    <t>$21,821</t>
  </si>
  <si>
    <t>$14,471</t>
  </si>
  <si>
    <t>Noma - My Perfect Storm</t>
  </si>
  <si>
    <t>$21,130</t>
  </si>
  <si>
    <t>$2,987</t>
  </si>
  <si>
    <t>Consumed</t>
  </si>
  <si>
    <t>$20,476</t>
  </si>
  <si>
    <t>Boy Meets Girl (2015)</t>
  </si>
  <si>
    <t>Bram.</t>
  </si>
  <si>
    <t>$20,441</t>
  </si>
  <si>
    <t>$5,306</t>
  </si>
  <si>
    <t>Love, Rosie</t>
  </si>
  <si>
    <t>$14,893</t>
  </si>
  <si>
    <t>Futuro Beach</t>
  </si>
  <si>
    <t>$20,262</t>
  </si>
  <si>
    <t>$3,324</t>
  </si>
  <si>
    <t>Friends and Romans</t>
  </si>
  <si>
    <t>$20,136</t>
  </si>
  <si>
    <t>Forbidden Games (1952)</t>
  </si>
  <si>
    <t>$19,889</t>
  </si>
  <si>
    <t>$4,316</t>
  </si>
  <si>
    <t>Wild Canaries</t>
  </si>
  <si>
    <t>$19,777</t>
  </si>
  <si>
    <t>$2,683</t>
  </si>
  <si>
    <t>Misery Loves Comedy</t>
  </si>
  <si>
    <t>$19,634</t>
  </si>
  <si>
    <t>$5,300</t>
  </si>
  <si>
    <t>Going Away</t>
  </si>
  <si>
    <t>$19,501</t>
  </si>
  <si>
    <t>$7,714</t>
  </si>
  <si>
    <t>Gabo: The Creation of Gabriel Garcia Marquez</t>
  </si>
  <si>
    <t>$19,337</t>
  </si>
  <si>
    <t>$1,432</t>
  </si>
  <si>
    <t>A Hard Day</t>
  </si>
  <si>
    <t>$19,004</t>
  </si>
  <si>
    <t>The Challenger</t>
  </si>
  <si>
    <t>WinD</t>
  </si>
  <si>
    <t>$19,003</t>
  </si>
  <si>
    <t>$12,246</t>
  </si>
  <si>
    <t>Ardor</t>
  </si>
  <si>
    <t>$18,565</t>
  </si>
  <si>
    <t>$13,726</t>
  </si>
  <si>
    <t>The Little Death</t>
  </si>
  <si>
    <t>$18,238</t>
  </si>
  <si>
    <t>$3,118</t>
  </si>
  <si>
    <t>Gangnam 1970</t>
  </si>
  <si>
    <t>$18,022</t>
  </si>
  <si>
    <t>The Other One</t>
  </si>
  <si>
    <t>$17,727</t>
  </si>
  <si>
    <t>$11,718</t>
  </si>
  <si>
    <t>Butterfly Girl</t>
  </si>
  <si>
    <t>$17,503</t>
  </si>
  <si>
    <t>$4,326</t>
  </si>
  <si>
    <t>Trash</t>
  </si>
  <si>
    <t>$17,484</t>
  </si>
  <si>
    <t>$10,230</t>
  </si>
  <si>
    <t>Strangerland</t>
  </si>
  <si>
    <t>$17,472</t>
  </si>
  <si>
    <t>Great Museum</t>
  </si>
  <si>
    <t>$17,048</t>
  </si>
  <si>
    <t>Eastern Boys</t>
  </si>
  <si>
    <t>$16,831</t>
  </si>
  <si>
    <t>$5,726</t>
  </si>
  <si>
    <t>Extraction</t>
  </si>
  <si>
    <t>$16,775</t>
  </si>
  <si>
    <t>$10,948</t>
  </si>
  <si>
    <t>Eva</t>
  </si>
  <si>
    <t>$16,738</t>
  </si>
  <si>
    <t>$10,395</t>
  </si>
  <si>
    <t>This Changes Everything</t>
  </si>
  <si>
    <t>$16,692</t>
  </si>
  <si>
    <t>$9,770</t>
  </si>
  <si>
    <t>The World of Kanako</t>
  </si>
  <si>
    <t>$16,627</t>
  </si>
  <si>
    <t>$6,834</t>
  </si>
  <si>
    <t>Who Took Johnny</t>
  </si>
  <si>
    <t>Rum.</t>
  </si>
  <si>
    <t>$16,595</t>
  </si>
  <si>
    <t>$7,666</t>
  </si>
  <si>
    <t>Life in a Walk</t>
  </si>
  <si>
    <t>$16,557</t>
  </si>
  <si>
    <t>The Human Centipede 3 (Final Sequence)</t>
  </si>
  <si>
    <t>$16,184</t>
  </si>
  <si>
    <t>Can You Dig This</t>
  </si>
  <si>
    <t>$15,909</t>
  </si>
  <si>
    <t>A Reason</t>
  </si>
  <si>
    <t>$15,792</t>
  </si>
  <si>
    <t>$1,690</t>
  </si>
  <si>
    <t>Full Moon in Paris</t>
  </si>
  <si>
    <t>$15,726</t>
  </si>
  <si>
    <t>$5,040</t>
  </si>
  <si>
    <t>Number One Fan</t>
  </si>
  <si>
    <t>$15,549</t>
  </si>
  <si>
    <t>$1,023</t>
  </si>
  <si>
    <t>Cheatin'</t>
  </si>
  <si>
    <t>Ply</t>
  </si>
  <si>
    <t>$15,077</t>
  </si>
  <si>
    <t>Zombeavers</t>
  </si>
  <si>
    <t>$14,947</t>
  </si>
  <si>
    <t>$8,163</t>
  </si>
  <si>
    <t>Gloria (2015)</t>
  </si>
  <si>
    <t>$14,701</t>
  </si>
  <si>
    <t>$7,930</t>
  </si>
  <si>
    <t>10 Days in a Madhouse</t>
  </si>
  <si>
    <t>CafeP</t>
  </si>
  <si>
    <t>$14,616</t>
  </si>
  <si>
    <t>$4,773</t>
  </si>
  <si>
    <t>Buzzard</t>
  </si>
  <si>
    <t>$14,591</t>
  </si>
  <si>
    <t>$8,031</t>
  </si>
  <si>
    <t>Gone Doggy Gone</t>
  </si>
  <si>
    <t>$14,354</t>
  </si>
  <si>
    <t>$5,625</t>
  </si>
  <si>
    <t>The Hallow</t>
  </si>
  <si>
    <t>$13,906</t>
  </si>
  <si>
    <t>$1,559</t>
  </si>
  <si>
    <t>Backcountry</t>
  </si>
  <si>
    <t>$13,848</t>
  </si>
  <si>
    <t>$1,005</t>
  </si>
  <si>
    <t>Amour Fou</t>
  </si>
  <si>
    <t>$13,702</t>
  </si>
  <si>
    <t>$4,385</t>
  </si>
  <si>
    <t>Eli</t>
  </si>
  <si>
    <t>$13,547</t>
  </si>
  <si>
    <t>$7,098</t>
  </si>
  <si>
    <t>Yakuza Apocalypse</t>
  </si>
  <si>
    <t>$12,756</t>
  </si>
  <si>
    <t>10,000 Km</t>
  </si>
  <si>
    <t>$12,423</t>
  </si>
  <si>
    <t>$8,941</t>
  </si>
  <si>
    <t>The Armor of Light</t>
  </si>
  <si>
    <t>FFS</t>
  </si>
  <si>
    <t>$12,267</t>
  </si>
  <si>
    <t>Arabian Nights: Volume 1 - The Restless One</t>
  </si>
  <si>
    <t>$12,260</t>
  </si>
  <si>
    <t>Wa-shoku: Beyond Sushi</t>
  </si>
  <si>
    <t>$12,240</t>
  </si>
  <si>
    <t>$5,582</t>
  </si>
  <si>
    <t>Murder in the Park</t>
  </si>
  <si>
    <t>$12,088</t>
  </si>
  <si>
    <t>$1,310</t>
  </si>
  <si>
    <t>Little England</t>
  </si>
  <si>
    <t>$12,077</t>
  </si>
  <si>
    <t>$5,775</t>
  </si>
  <si>
    <t>Of Horses and Men</t>
  </si>
  <si>
    <t>$11,894</t>
  </si>
  <si>
    <t>$9,565</t>
  </si>
  <si>
    <t>Dreams Rewired</t>
  </si>
  <si>
    <t>$11,843</t>
  </si>
  <si>
    <t>Emptying the Skies</t>
  </si>
  <si>
    <t>$11,811</t>
  </si>
  <si>
    <t>$4,818</t>
  </si>
  <si>
    <t>Marie's Story</t>
  </si>
  <si>
    <t>$11,720</t>
  </si>
  <si>
    <t>Kidnapping of Michel Houellebecq</t>
  </si>
  <si>
    <t>$11,546</t>
  </si>
  <si>
    <t>The Devil's Violinist</t>
  </si>
  <si>
    <t>$11,294</t>
  </si>
  <si>
    <t>$8,013</t>
  </si>
  <si>
    <t>1001 Grams</t>
  </si>
  <si>
    <t>$10,983</t>
  </si>
  <si>
    <t>Just Before I Go</t>
  </si>
  <si>
    <t>$10,970</t>
  </si>
  <si>
    <t>$8,129</t>
  </si>
  <si>
    <t>Digging Up the Marrow</t>
  </si>
  <si>
    <t>HF</t>
  </si>
  <si>
    <t>$10,969</t>
  </si>
  <si>
    <t>Mala Mala</t>
  </si>
  <si>
    <t>$10,761</t>
  </si>
  <si>
    <t>$2,569</t>
  </si>
  <si>
    <t>Empire of Lust</t>
  </si>
  <si>
    <t>$10,654</t>
  </si>
  <si>
    <t>$2,230</t>
  </si>
  <si>
    <t>The Forecaster</t>
  </si>
  <si>
    <t>FOR</t>
  </si>
  <si>
    <t>$10,172</t>
  </si>
  <si>
    <t>Little Accidents</t>
  </si>
  <si>
    <t>$10,071</t>
  </si>
  <si>
    <t>$8,649</t>
  </si>
  <si>
    <t>The Mind of Mark DeFriest</t>
  </si>
  <si>
    <t>CDF</t>
  </si>
  <si>
    <t>$10,021</t>
  </si>
  <si>
    <t>Still Life (2015)</t>
  </si>
  <si>
    <t>$9,481</t>
  </si>
  <si>
    <t>One Cut, One Life</t>
  </si>
  <si>
    <t>$9,406</t>
  </si>
  <si>
    <t>$4,127</t>
  </si>
  <si>
    <t>Every Thing Will be Fine</t>
  </si>
  <si>
    <t>$9,233</t>
  </si>
  <si>
    <t>$1,428</t>
  </si>
  <si>
    <t>Cupcakes</t>
  </si>
  <si>
    <t>$2,570</t>
  </si>
  <si>
    <t>The Lesson</t>
  </si>
  <si>
    <t>$9,045</t>
  </si>
  <si>
    <t>Station to Station</t>
  </si>
  <si>
    <t>$9,000</t>
  </si>
  <si>
    <t>An Eye for Beauty</t>
  </si>
  <si>
    <t>$8,994</t>
  </si>
  <si>
    <t>$5,248</t>
  </si>
  <si>
    <t>Northern Soul</t>
  </si>
  <si>
    <t>$8,886</t>
  </si>
  <si>
    <t>$6,786</t>
  </si>
  <si>
    <t>B-Side</t>
  </si>
  <si>
    <t>$8,870</t>
  </si>
  <si>
    <t>$6,544</t>
  </si>
  <si>
    <t>The Pardon</t>
  </si>
  <si>
    <t>$8,845</t>
  </si>
  <si>
    <t>$1,418</t>
  </si>
  <si>
    <t>Paul Coelho's Best Story</t>
  </si>
  <si>
    <t>$8,808</t>
  </si>
  <si>
    <t>$5,295</t>
  </si>
  <si>
    <t>Dawn of the Crescent Moon</t>
  </si>
  <si>
    <t>$8,799</t>
  </si>
  <si>
    <t>$6,411</t>
  </si>
  <si>
    <t>Meet Me in Montenegro</t>
  </si>
  <si>
    <t>$8,612</t>
  </si>
  <si>
    <t>$5,010</t>
  </si>
  <si>
    <t>Farewell to Hollywood</t>
  </si>
  <si>
    <t>$8,601</t>
  </si>
  <si>
    <t>$572</t>
  </si>
  <si>
    <t>Counting</t>
  </si>
  <si>
    <t>$8,374</t>
  </si>
  <si>
    <t>$4,904</t>
  </si>
  <si>
    <t>The Girl in the Book</t>
  </si>
  <si>
    <t>$8,245</t>
  </si>
  <si>
    <t>$5,249</t>
  </si>
  <si>
    <t>A Fool (Yi ge shao zi)</t>
  </si>
  <si>
    <t>$8,212</t>
  </si>
  <si>
    <t>$5,741</t>
  </si>
  <si>
    <t>Jellyfish Eyes</t>
  </si>
  <si>
    <t>$8,176</t>
  </si>
  <si>
    <t>$1,927</t>
  </si>
  <si>
    <t>Steak (R)evolution</t>
  </si>
  <si>
    <t>$8,025</t>
  </si>
  <si>
    <t>Straight Outta Tompkins</t>
  </si>
  <si>
    <t>$8,022</t>
  </si>
  <si>
    <t>$4,011</t>
  </si>
  <si>
    <t>One Small Hitch</t>
  </si>
  <si>
    <t>$7,965</t>
  </si>
  <si>
    <t>$5,328</t>
  </si>
  <si>
    <t>Kilo Two Bravo</t>
  </si>
  <si>
    <t>Hon</t>
  </si>
  <si>
    <t>$7,891</t>
  </si>
  <si>
    <t>The Great Man</t>
  </si>
  <si>
    <t>$7,814</t>
  </si>
  <si>
    <t>$2,482</t>
  </si>
  <si>
    <t>The Riot Club</t>
  </si>
  <si>
    <t>$7,734</t>
  </si>
  <si>
    <t>$2,188</t>
  </si>
  <si>
    <t>Area 51</t>
  </si>
  <si>
    <t>PARAIN</t>
  </si>
  <si>
    <t>$7,556</t>
  </si>
  <si>
    <t>On the Way to School</t>
  </si>
  <si>
    <t>$7,424</t>
  </si>
  <si>
    <t>Rubble Kings</t>
  </si>
  <si>
    <t>Sab.</t>
  </si>
  <si>
    <t>$7,416</t>
  </si>
  <si>
    <t>The Film Critic</t>
  </si>
  <si>
    <t>$7,358</t>
  </si>
  <si>
    <t>$839</t>
  </si>
  <si>
    <t>$7,282</t>
  </si>
  <si>
    <t>$805</t>
  </si>
  <si>
    <t>Antarctic Edge</t>
  </si>
  <si>
    <t>$7,193</t>
  </si>
  <si>
    <t>$3,131</t>
  </si>
  <si>
    <t>Li'l Quinquin</t>
  </si>
  <si>
    <t>$7,192</t>
  </si>
  <si>
    <t>$3,204</t>
  </si>
  <si>
    <t>Hungry Hearts</t>
  </si>
  <si>
    <t>$6,921</t>
  </si>
  <si>
    <t>$1,869</t>
  </si>
  <si>
    <t>The Sisterhood of Night</t>
  </si>
  <si>
    <t>$6,870</t>
  </si>
  <si>
    <t>$5,264</t>
  </si>
  <si>
    <t>Steve McQueen: The Man &amp; Le Mans</t>
  </si>
  <si>
    <t>$6,843</t>
  </si>
  <si>
    <t>$4,079</t>
  </si>
  <si>
    <t>Capture the Flag</t>
  </si>
  <si>
    <t>$6,690</t>
  </si>
  <si>
    <t>Horse Money</t>
  </si>
  <si>
    <t>$6,508</t>
  </si>
  <si>
    <t>$3,409</t>
  </si>
  <si>
    <t>The Suicide Theory</t>
  </si>
  <si>
    <t>$6,434</t>
  </si>
  <si>
    <t>$5,229</t>
  </si>
  <si>
    <t>Arabian Nights: Volume 2 - The Desolate One</t>
  </si>
  <si>
    <t>$6,398</t>
  </si>
  <si>
    <t>Alleluia</t>
  </si>
  <si>
    <t>$6,334</t>
  </si>
  <si>
    <t>$2,712</t>
  </si>
  <si>
    <t>The Night of the Shooting Stars (Re-issue)</t>
  </si>
  <si>
    <t>$6,186</t>
  </si>
  <si>
    <t>$4,414</t>
  </si>
  <si>
    <t>Barely Lethal</t>
  </si>
  <si>
    <t>$6,075</t>
  </si>
  <si>
    <t>Marquise of O</t>
  </si>
  <si>
    <t>$6,048</t>
  </si>
  <si>
    <t>Sex, Death and Bowling</t>
  </si>
  <si>
    <t>$5,972</t>
  </si>
  <si>
    <t>$50</t>
  </si>
  <si>
    <t>Gabriel</t>
  </si>
  <si>
    <t>$5,917</t>
  </si>
  <si>
    <t>$2,124</t>
  </si>
  <si>
    <t>Medeas</t>
  </si>
  <si>
    <t>TVC</t>
  </si>
  <si>
    <t>$5,895</t>
  </si>
  <si>
    <t>$3,025</t>
  </si>
  <si>
    <t>Top Spin</t>
  </si>
  <si>
    <t>$5,858</t>
  </si>
  <si>
    <t>$2,177</t>
  </si>
  <si>
    <t>Shout Gladi Gladi</t>
  </si>
  <si>
    <t>$5,839</t>
  </si>
  <si>
    <t>$5,046</t>
  </si>
  <si>
    <t>Black November</t>
  </si>
  <si>
    <t>P4</t>
  </si>
  <si>
    <t>$5,782</t>
  </si>
  <si>
    <t>The Wanted 18</t>
  </si>
  <si>
    <t>$5,680</t>
  </si>
  <si>
    <t>$4,973</t>
  </si>
  <si>
    <t>Tu Dors Nicole</t>
  </si>
  <si>
    <t>Kino</t>
  </si>
  <si>
    <t>$5,662</t>
  </si>
  <si>
    <t>This Isn't Funny</t>
  </si>
  <si>
    <t>CFF</t>
  </si>
  <si>
    <t>$5,654</t>
  </si>
  <si>
    <t>$690</t>
  </si>
  <si>
    <t>Chic!</t>
  </si>
  <si>
    <t>$5,587</t>
  </si>
  <si>
    <t>$587</t>
  </si>
  <si>
    <t>Our Man in Tehran</t>
  </si>
  <si>
    <t>$5,573</t>
  </si>
  <si>
    <t>$1,640</t>
  </si>
  <si>
    <t>The Living</t>
  </si>
  <si>
    <t>$5,514</t>
  </si>
  <si>
    <t>$74</t>
  </si>
  <si>
    <t>Far from Men</t>
  </si>
  <si>
    <t>$5,336</t>
  </si>
  <si>
    <t>She's Lost Control</t>
  </si>
  <si>
    <t>$5,319</t>
  </si>
  <si>
    <t>From Mayerling to Sarajevo (2015 re-issue)</t>
  </si>
  <si>
    <t>FDesk</t>
  </si>
  <si>
    <t>$5,247</t>
  </si>
  <si>
    <t>The Dead Lands</t>
  </si>
  <si>
    <t>$5,240</t>
  </si>
  <si>
    <t>$1,327</t>
  </si>
  <si>
    <t>The Princess of France</t>
  </si>
  <si>
    <t>$5,212</t>
  </si>
  <si>
    <t>Death Valley</t>
  </si>
  <si>
    <t>$4,344</t>
  </si>
  <si>
    <t>On War</t>
  </si>
  <si>
    <t>$5,086</t>
  </si>
  <si>
    <t>$2,210</t>
  </si>
  <si>
    <t>SBK The-Movie</t>
  </si>
  <si>
    <t>HanM</t>
  </si>
  <si>
    <t>$4,950</t>
  </si>
  <si>
    <t>$2,650</t>
  </si>
  <si>
    <t>Gerontophilia</t>
  </si>
  <si>
    <t>$4,916</t>
  </si>
  <si>
    <t>Guidance</t>
  </si>
  <si>
    <t>$4,900</t>
  </si>
  <si>
    <t>Miss Hill: Making Dance Matter</t>
  </si>
  <si>
    <t>$4,706</t>
  </si>
  <si>
    <t>$2,560</t>
  </si>
  <si>
    <t>Jenny's Wedding</t>
  </si>
  <si>
    <t>$4,704</t>
  </si>
  <si>
    <t>$2,254</t>
  </si>
  <si>
    <t>Against the Sun</t>
  </si>
  <si>
    <t>TAFC</t>
  </si>
  <si>
    <t>$4,646</t>
  </si>
  <si>
    <t>$3,023</t>
  </si>
  <si>
    <t>Ashby</t>
  </si>
  <si>
    <t>$4,631</t>
  </si>
  <si>
    <t>Seeds of Time</t>
  </si>
  <si>
    <t>Arabian Nights: Volume 3 - The Enchanted One</t>
  </si>
  <si>
    <t>$4,502</t>
  </si>
  <si>
    <t>The Summer of Sangaile</t>
  </si>
  <si>
    <t>$4,480</t>
  </si>
  <si>
    <t>$453</t>
  </si>
  <si>
    <t>Farewell, Herr Schwarz</t>
  </si>
  <si>
    <t>$4,445</t>
  </si>
  <si>
    <t>Club Life</t>
  </si>
  <si>
    <t>$4,444</t>
  </si>
  <si>
    <t>Back to the Jurassic</t>
  </si>
  <si>
    <t>$4,351</t>
  </si>
  <si>
    <t>Days of Grace</t>
  </si>
  <si>
    <t>CP</t>
  </si>
  <si>
    <t>$2,213</t>
  </si>
  <si>
    <t>Set Fire to the Stars</t>
  </si>
  <si>
    <t>$4,280</t>
  </si>
  <si>
    <t>$1,132</t>
  </si>
  <si>
    <t>La Navaja de Don Juan</t>
  </si>
  <si>
    <t>$4,254</t>
  </si>
  <si>
    <t>$2,330</t>
  </si>
  <si>
    <t>Three Night Stand</t>
  </si>
  <si>
    <t>$4,076</t>
  </si>
  <si>
    <t>$2,538</t>
  </si>
  <si>
    <t>Salvation Army</t>
  </si>
  <si>
    <t>$3,929</t>
  </si>
  <si>
    <t>$2,433</t>
  </si>
  <si>
    <t>Unfreedom</t>
  </si>
  <si>
    <t>DFL</t>
  </si>
  <si>
    <t>$3,778</t>
  </si>
  <si>
    <t>The Free Speech Apocalypse</t>
  </si>
  <si>
    <t>PMD</t>
  </si>
  <si>
    <t>$3,726</t>
  </si>
  <si>
    <t>In the Basement</t>
  </si>
  <si>
    <t>$3,643</t>
  </si>
  <si>
    <t>$748</t>
  </si>
  <si>
    <t>That Sugar Film</t>
  </si>
  <si>
    <t>$3,500</t>
  </si>
  <si>
    <t>Hyena</t>
  </si>
  <si>
    <t>$3,401</t>
  </si>
  <si>
    <t>Mi America</t>
  </si>
  <si>
    <t>IH</t>
  </si>
  <si>
    <t>$3,330</t>
  </si>
  <si>
    <t>Know How</t>
  </si>
  <si>
    <t>$3,323</t>
  </si>
  <si>
    <t>$2,414</t>
  </si>
  <si>
    <t>Drunk Wedding</t>
  </si>
  <si>
    <t>$3,301</t>
  </si>
  <si>
    <t>Windsor Drive</t>
  </si>
  <si>
    <t>$2,160</t>
  </si>
  <si>
    <t>blackhats (2015)</t>
  </si>
  <si>
    <t>R1</t>
  </si>
  <si>
    <t>$3,216</t>
  </si>
  <si>
    <t>Xenia</t>
  </si>
  <si>
    <t>$3,181</t>
  </si>
  <si>
    <t>$358</t>
  </si>
  <si>
    <t>The Iron Ministry</t>
  </si>
  <si>
    <t>$3,159</t>
  </si>
  <si>
    <t>$896</t>
  </si>
  <si>
    <t>Moana With Sound (2015 re-issue)</t>
  </si>
  <si>
    <t>$2,993</t>
  </si>
  <si>
    <t>Julia (2015)</t>
  </si>
  <si>
    <t>TD</t>
  </si>
  <si>
    <t>$2,710</t>
  </si>
  <si>
    <t>$2,110</t>
  </si>
  <si>
    <t>Chocolat (2015 re-release)</t>
  </si>
  <si>
    <t>FILMDESK</t>
  </si>
  <si>
    <t>Body</t>
  </si>
  <si>
    <t>$2,634</t>
  </si>
  <si>
    <t>$2,457</t>
  </si>
  <si>
    <t>Hayride 2</t>
  </si>
  <si>
    <t>$1,668</t>
  </si>
  <si>
    <t>L.A. Slasher</t>
  </si>
  <si>
    <t>$2,421</t>
  </si>
  <si>
    <t>Anita Ho</t>
  </si>
  <si>
    <t>$2,250</t>
  </si>
  <si>
    <t>The Lady in the Car with Glasses and a Gun</t>
  </si>
  <si>
    <t>$2,167</t>
  </si>
  <si>
    <t>$297</t>
  </si>
  <si>
    <t>Me You and Five Bucks</t>
  </si>
  <si>
    <t>$2,105</t>
  </si>
  <si>
    <t>$862</t>
  </si>
  <si>
    <t>Sneakerheadz</t>
  </si>
  <si>
    <t>$1,903</t>
  </si>
  <si>
    <t>The Other Man: F.W. de Klerk and the End of Apartheid in South Africa</t>
  </si>
  <si>
    <t>$1,747</t>
  </si>
  <si>
    <t>$1,153</t>
  </si>
  <si>
    <t>Dark Forest</t>
  </si>
  <si>
    <t>ZKS</t>
  </si>
  <si>
    <t>$1,739</t>
  </si>
  <si>
    <t>The Looking Glass</t>
  </si>
  <si>
    <t>$1,711</t>
  </si>
  <si>
    <t>$107</t>
  </si>
  <si>
    <t>Drown</t>
  </si>
  <si>
    <t>$1,631</t>
  </si>
  <si>
    <t>Cut Snake</t>
  </si>
  <si>
    <t>$1,625</t>
  </si>
  <si>
    <t>$55</t>
  </si>
  <si>
    <t>Forever (2015)</t>
  </si>
  <si>
    <t>Stations of the Cross</t>
  </si>
  <si>
    <t>$688</t>
  </si>
  <si>
    <t>Making Rounds</t>
  </si>
  <si>
    <t>$1,484</t>
  </si>
  <si>
    <t>$1,056</t>
  </si>
  <si>
    <t>Along the Roadside</t>
  </si>
  <si>
    <t>$1,352</t>
  </si>
  <si>
    <t>$965</t>
  </si>
  <si>
    <t>3 Nights in the Desert</t>
  </si>
  <si>
    <t>$1,297</t>
  </si>
  <si>
    <t>$234</t>
  </si>
  <si>
    <t>Skin Trade</t>
  </si>
  <si>
    <t>$1,242</t>
  </si>
  <si>
    <t>$162</t>
  </si>
  <si>
    <t>El Nino</t>
  </si>
  <si>
    <t>$1,237</t>
  </si>
  <si>
    <t>$245</t>
  </si>
  <si>
    <t>Childless</t>
  </si>
  <si>
    <t>$1,036</t>
  </si>
  <si>
    <t>$732</t>
  </si>
  <si>
    <t>They are We</t>
  </si>
  <si>
    <t>$590</t>
  </si>
  <si>
    <t>Thanks to My Friends</t>
  </si>
  <si>
    <t>$889</t>
  </si>
  <si>
    <t>Big Muddy</t>
  </si>
  <si>
    <t>$881</t>
  </si>
  <si>
    <t>$147</t>
  </si>
  <si>
    <t>REC 4: Apocalypse</t>
  </si>
  <si>
    <t>$837</t>
  </si>
  <si>
    <t>$708</t>
  </si>
  <si>
    <t>It's All So Quiet (Boven is het stil)</t>
  </si>
  <si>
    <t>$724</t>
  </si>
  <si>
    <t>$362</t>
  </si>
  <si>
    <t>Tough Being Loved By Jerks</t>
  </si>
  <si>
    <t>$697</t>
  </si>
  <si>
    <t>United Passions</t>
  </si>
  <si>
    <t>$607</t>
  </si>
  <si>
    <t>The Chambermaid</t>
  </si>
  <si>
    <t>$315</t>
  </si>
  <si>
    <t>Lou! Journal infime</t>
  </si>
  <si>
    <t>$287</t>
  </si>
  <si>
    <t>$88</t>
  </si>
  <si>
    <t>Paranoid Girls</t>
  </si>
  <si>
    <t>$78</t>
  </si>
  <si>
    <t>$54</t>
  </si>
  <si>
    <t>Confession of a Child of the Century</t>
  </si>
  <si>
    <t>$68</t>
  </si>
  <si>
    <t>American Sniper</t>
  </si>
  <si>
    <t>$350,126,372</t>
  </si>
  <si>
    <t>$633,456</t>
  </si>
  <si>
    <t>The Hunger Games: Mockingjay - Part 1</t>
  </si>
  <si>
    <t>$337,135,885</t>
  </si>
  <si>
    <t>$121,897,634</t>
  </si>
  <si>
    <t>Guardians of the Galaxy</t>
  </si>
  <si>
    <t>$333,176,600</t>
  </si>
  <si>
    <t>$94,320,883</t>
  </si>
  <si>
    <t>Captain America: The Winter Soldier</t>
  </si>
  <si>
    <t>$259,766,572</t>
  </si>
  <si>
    <t>$95,023,721</t>
  </si>
  <si>
    <t>The LEGO Movie</t>
  </si>
  <si>
    <t>$257,760,692</t>
  </si>
  <si>
    <t>$69,050,279</t>
  </si>
  <si>
    <t>The Hobbit: The Battle of the Five Armies</t>
  </si>
  <si>
    <t>$255,119,788</t>
  </si>
  <si>
    <t>$54,724,334</t>
  </si>
  <si>
    <t>Transformers: Age of Extinction</t>
  </si>
  <si>
    <t>$245,439,076</t>
  </si>
  <si>
    <t>$100,038,390</t>
  </si>
  <si>
    <t>Maleficent</t>
  </si>
  <si>
    <t>$241,410,378</t>
  </si>
  <si>
    <t>$69,431,298</t>
  </si>
  <si>
    <t>X-Men: Days of Future Past</t>
  </si>
  <si>
    <t>$233,921,534</t>
  </si>
  <si>
    <t>$90,823,660</t>
  </si>
  <si>
    <t>Big Hero 6</t>
  </si>
  <si>
    <t>$222,527,828</t>
  </si>
  <si>
    <t>$56,215,889</t>
  </si>
  <si>
    <t>Dawn of the Planet of the Apes</t>
  </si>
  <si>
    <t>$208,545,589</t>
  </si>
  <si>
    <t>$72,611,427</t>
  </si>
  <si>
    <t>The Amazing Spider-Man 2</t>
  </si>
  <si>
    <t>$202,853,933</t>
  </si>
  <si>
    <t>$91,608,337</t>
  </si>
  <si>
    <t>Godzilla (2014)</t>
  </si>
  <si>
    <t>$200,676,069</t>
  </si>
  <si>
    <t>$93,188,384</t>
  </si>
  <si>
    <t>22 Jump Street</t>
  </si>
  <si>
    <t>$191,719,337</t>
  </si>
  <si>
    <t>$57,071,445</t>
  </si>
  <si>
    <t>Teenage Mutant Ninja Turtles (2014)</t>
  </si>
  <si>
    <t>$191,204,754</t>
  </si>
  <si>
    <t>$65,575,105</t>
  </si>
  <si>
    <t>Interstellar</t>
  </si>
  <si>
    <t>$188,020,017</t>
  </si>
  <si>
    <t>$47,510,360</t>
  </si>
  <si>
    <t>How to Train Your Dragon 2</t>
  </si>
  <si>
    <t>$177,002,924</t>
  </si>
  <si>
    <t>$49,451,322</t>
  </si>
  <si>
    <t>Gone Girl</t>
  </si>
  <si>
    <t>$167,767,189</t>
  </si>
  <si>
    <t>$37,513,109</t>
  </si>
  <si>
    <t>Divergent</t>
  </si>
  <si>
    <t>$150,947,895</t>
  </si>
  <si>
    <t>$54,607,747</t>
  </si>
  <si>
    <t>Neighbors</t>
  </si>
  <si>
    <t>$150,157,400</t>
  </si>
  <si>
    <t>$49,033,915</t>
  </si>
  <si>
    <t>Ride Along</t>
  </si>
  <si>
    <t>$134,938,200</t>
  </si>
  <si>
    <t>$41,516,170</t>
  </si>
  <si>
    <t>Rio 2</t>
  </si>
  <si>
    <t>$131,538,435</t>
  </si>
  <si>
    <t>$39,327,869</t>
  </si>
  <si>
    <t>Into the Woods</t>
  </si>
  <si>
    <t>$128,002,372</t>
  </si>
  <si>
    <t>$31,051,923</t>
  </si>
  <si>
    <t>Lucy</t>
  </si>
  <si>
    <t>$126,663,600</t>
  </si>
  <si>
    <t>$43,899,340</t>
  </si>
  <si>
    <t>The Fault in our Stars</t>
  </si>
  <si>
    <t>$124,872,350</t>
  </si>
  <si>
    <t>$48,002,523</t>
  </si>
  <si>
    <t>Unbroken</t>
  </si>
  <si>
    <t>$115,637,895</t>
  </si>
  <si>
    <t>$30,621,445</t>
  </si>
  <si>
    <t>Night at the Museum: Secret of the Tomb</t>
  </si>
  <si>
    <t>$113,746,621</t>
  </si>
  <si>
    <t>$17,100,520</t>
  </si>
  <si>
    <t>Mr. Peabody &amp; Sherman</t>
  </si>
  <si>
    <t>$111,506,430</t>
  </si>
  <si>
    <t>$32,207,057</t>
  </si>
  <si>
    <t>300: Rise of An Empire</t>
  </si>
  <si>
    <t>$106,580,051</t>
  </si>
  <si>
    <t>$45,038,460</t>
  </si>
  <si>
    <t>The Maze Runner</t>
  </si>
  <si>
    <t>$102,427,862</t>
  </si>
  <si>
    <t>$32,512,804</t>
  </si>
  <si>
    <t>The Equalizer</t>
  </si>
  <si>
    <t>$101,530,738</t>
  </si>
  <si>
    <t>$34,137,828</t>
  </si>
  <si>
    <t>Noah</t>
  </si>
  <si>
    <t>$101,200,044</t>
  </si>
  <si>
    <t>$43,720,472</t>
  </si>
  <si>
    <t>Edge of Tomorrow</t>
  </si>
  <si>
    <t>$100,206,256</t>
  </si>
  <si>
    <t>$28,760,246</t>
  </si>
  <si>
    <t>Non-Stop</t>
  </si>
  <si>
    <t>$92,168,600</t>
  </si>
  <si>
    <t>$28,875,635</t>
  </si>
  <si>
    <t>Heaven is for Real</t>
  </si>
  <si>
    <t>$91,443,253</t>
  </si>
  <si>
    <t>$22,522,221</t>
  </si>
  <si>
    <t>The Imitation Game</t>
  </si>
  <si>
    <t>$91,125,683</t>
  </si>
  <si>
    <t>$479,352</t>
  </si>
  <si>
    <t>Dumb and Dumber To</t>
  </si>
  <si>
    <t>$86,208,010</t>
  </si>
  <si>
    <t>$36,111,775</t>
  </si>
  <si>
    <t>Annie (2014)</t>
  </si>
  <si>
    <t>$85,911,262</t>
  </si>
  <si>
    <t>$15,861,939</t>
  </si>
  <si>
    <t>Fury (2014)</t>
  </si>
  <si>
    <t>$85,817,906</t>
  </si>
  <si>
    <t>$23,702,421</t>
  </si>
  <si>
    <t>Tammy</t>
  </si>
  <si>
    <t>$84,525,432</t>
  </si>
  <si>
    <t>$21,577,049</t>
  </si>
  <si>
    <t>Annabelle</t>
  </si>
  <si>
    <t>$84,273,813</t>
  </si>
  <si>
    <t>$37,134,255</t>
  </si>
  <si>
    <t>The Other Woman (2014)</t>
  </si>
  <si>
    <t>$83,911,193</t>
  </si>
  <si>
    <t>$24,763,752</t>
  </si>
  <si>
    <t>Penguins of Madagascar</t>
  </si>
  <si>
    <t>$83,350,911</t>
  </si>
  <si>
    <t>$25,447,444</t>
  </si>
  <si>
    <t>Let's Be Cops</t>
  </si>
  <si>
    <t>$82,390,774</t>
  </si>
  <si>
    <t>$17,813,722</t>
  </si>
  <si>
    <t>The Monuments Men</t>
  </si>
  <si>
    <t>$78,031,620</t>
  </si>
  <si>
    <t>$22,003,433</t>
  </si>
  <si>
    <t>Hercules (2014)</t>
  </si>
  <si>
    <t>$72,688,614</t>
  </si>
  <si>
    <t>$29,800,263</t>
  </si>
  <si>
    <t>The Purge: Anarchy</t>
  </si>
  <si>
    <t>$71,962,800</t>
  </si>
  <si>
    <t>$29,816,675</t>
  </si>
  <si>
    <t>Alexander and the Terrible, Horrible, No Good, Very Bad Day</t>
  </si>
  <si>
    <t>$66,954,149</t>
  </si>
  <si>
    <t>$18,360,230</t>
  </si>
  <si>
    <t>Think Like a Man Too</t>
  </si>
  <si>
    <t>$65,182,182</t>
  </si>
  <si>
    <t>$29,241,911</t>
  </si>
  <si>
    <t>Exodus: Gods and Kings</t>
  </si>
  <si>
    <t>$65,014,513</t>
  </si>
  <si>
    <t>$24,115,934</t>
  </si>
  <si>
    <t>The Nut Job</t>
  </si>
  <si>
    <t>$64,251,541</t>
  </si>
  <si>
    <t>$19,423,000</t>
  </si>
  <si>
    <t>God's Not Dead</t>
  </si>
  <si>
    <t>$60,755,732</t>
  </si>
  <si>
    <t>$9,217,013</t>
  </si>
  <si>
    <t>Son of God</t>
  </si>
  <si>
    <t>$59,700,064</t>
  </si>
  <si>
    <t>$25,601,865</t>
  </si>
  <si>
    <t>The Grand Budapest Hotel</t>
  </si>
  <si>
    <t>$59,301,324</t>
  </si>
  <si>
    <t>$811,166</t>
  </si>
  <si>
    <t>Planes: Fire &amp; Rescue</t>
  </si>
  <si>
    <t>$59,165,787</t>
  </si>
  <si>
    <t>$17,509,407</t>
  </si>
  <si>
    <t>RoboCop (2014)</t>
  </si>
  <si>
    <t>$58,607,007</t>
  </si>
  <si>
    <t>$21,681,430</t>
  </si>
  <si>
    <t>Dracula Untold</t>
  </si>
  <si>
    <t>$56,280,355</t>
  </si>
  <si>
    <t>$23,514,615</t>
  </si>
  <si>
    <t>Horrible Bosses 2</t>
  </si>
  <si>
    <t>$54,445,357</t>
  </si>
  <si>
    <t>$15,457,418</t>
  </si>
  <si>
    <t>The Hundred-Foot Journey</t>
  </si>
  <si>
    <t>$54,240,821</t>
  </si>
  <si>
    <t>$10,979,290</t>
  </si>
  <si>
    <t>No Good Deed (2014)</t>
  </si>
  <si>
    <t>$52,543,632</t>
  </si>
  <si>
    <t>$24,250,283</t>
  </si>
  <si>
    <t>Selma</t>
  </si>
  <si>
    <t>$52,076,908</t>
  </si>
  <si>
    <t>$571,450</t>
  </si>
  <si>
    <t>Muppets Most Wanted</t>
  </si>
  <si>
    <t>$51,183,113</t>
  </si>
  <si>
    <t>$17,005,126</t>
  </si>
  <si>
    <t>Ouija</t>
  </si>
  <si>
    <t>$50,856,010</t>
  </si>
  <si>
    <t>$19,875,995</t>
  </si>
  <si>
    <t>The Boxtrolls</t>
  </si>
  <si>
    <t>$50,837,305</t>
  </si>
  <si>
    <t>$17,275,239</t>
  </si>
  <si>
    <t>Jack Ryan: Shadow Recruit</t>
  </si>
  <si>
    <t>$50,577,412</t>
  </si>
  <si>
    <t>$15,451,981</t>
  </si>
  <si>
    <t>If I Stay</t>
  </si>
  <si>
    <t>$50,474,843</t>
  </si>
  <si>
    <t>$15,679,190</t>
  </si>
  <si>
    <t>The Book of Life (2014)</t>
  </si>
  <si>
    <t>$50,151,543</t>
  </si>
  <si>
    <t>$17,005,218</t>
  </si>
  <si>
    <t>About Last Night (2014)</t>
  </si>
  <si>
    <t>$48,637,684</t>
  </si>
  <si>
    <t>$25,649,011</t>
  </si>
  <si>
    <t>Into The Storm</t>
  </si>
  <si>
    <t>$47,602,194</t>
  </si>
  <si>
    <t>$17,346,427</t>
  </si>
  <si>
    <t>The Judge</t>
  </si>
  <si>
    <t>$47,119,388</t>
  </si>
  <si>
    <t>$13,116,226</t>
  </si>
  <si>
    <t>Jersey Boys</t>
  </si>
  <si>
    <t>$47,047,013</t>
  </si>
  <si>
    <t>$13,319,371</t>
  </si>
  <si>
    <t>Blended</t>
  </si>
  <si>
    <t>$46,294,610</t>
  </si>
  <si>
    <t>$14,284,031</t>
  </si>
  <si>
    <t>The Giver</t>
  </si>
  <si>
    <t>$45,090,374</t>
  </si>
  <si>
    <t>$12,305,016</t>
  </si>
  <si>
    <t>St. Vincent</t>
  </si>
  <si>
    <t>$44,137,712</t>
  </si>
  <si>
    <t>$109,878</t>
  </si>
  <si>
    <t>Need for Speed</t>
  </si>
  <si>
    <t>$43,577,636</t>
  </si>
  <si>
    <t>$17,844,939</t>
  </si>
  <si>
    <t>A Million Ways to Die in the West</t>
  </si>
  <si>
    <t>$43,139,300</t>
  </si>
  <si>
    <t>$16,797,385</t>
  </si>
  <si>
    <t>John Wick</t>
  </si>
  <si>
    <t>$43,037,835</t>
  </si>
  <si>
    <t>$14,415,922</t>
  </si>
  <si>
    <t>Birdman</t>
  </si>
  <si>
    <t>$42,340,598</t>
  </si>
  <si>
    <t>$424,397</t>
  </si>
  <si>
    <t>Dolphin Tale 2</t>
  </si>
  <si>
    <t>$42,024,533</t>
  </si>
  <si>
    <t>$15,873,397</t>
  </si>
  <si>
    <t>The Expendables 3</t>
  </si>
  <si>
    <t>$39,322,544</t>
  </si>
  <si>
    <t>$15,879,645</t>
  </si>
  <si>
    <t>Earth to Echo</t>
  </si>
  <si>
    <t>$38,934,842</t>
  </si>
  <si>
    <t>$8,364,658</t>
  </si>
  <si>
    <t>Sex Tape</t>
  </si>
  <si>
    <t>$38,543,473</t>
  </si>
  <si>
    <t>$14,608,152</t>
  </si>
  <si>
    <t>Wild (2014)</t>
  </si>
  <si>
    <t>$37,880,356</t>
  </si>
  <si>
    <t>$606,810</t>
  </si>
  <si>
    <t>Million Dollar Arm</t>
  </si>
  <si>
    <t>$36,457,627</t>
  </si>
  <si>
    <t>$10,515,659</t>
  </si>
  <si>
    <t>The Theory of Everything</t>
  </si>
  <si>
    <t>$35,893,537</t>
  </si>
  <si>
    <t>$208,763</t>
  </si>
  <si>
    <t>This is Where I Leave You</t>
  </si>
  <si>
    <t>$34,296,320</t>
  </si>
  <si>
    <t>$11,558,149</t>
  </si>
  <si>
    <t>The Gambler</t>
  </si>
  <si>
    <t>$33,680,992</t>
  </si>
  <si>
    <t>$9,129,999</t>
  </si>
  <si>
    <t>Paranormal Activity: The Marked Ones</t>
  </si>
  <si>
    <t>$32,462,372</t>
  </si>
  <si>
    <t>$18,343,611</t>
  </si>
  <si>
    <t>Nightcrawler</t>
  </si>
  <si>
    <t>$32,381,217</t>
  </si>
  <si>
    <t>$10,441,000</t>
  </si>
  <si>
    <t>Chef</t>
  </si>
  <si>
    <t>$31,424,003</t>
  </si>
  <si>
    <t>$204,961</t>
  </si>
  <si>
    <t>Get On Up</t>
  </si>
  <si>
    <t>$30,703,100</t>
  </si>
  <si>
    <t>$13,585,915</t>
  </si>
  <si>
    <t>3 Days to Kill</t>
  </si>
  <si>
    <t>$30,697,999</t>
  </si>
  <si>
    <t>$12,242,218</t>
  </si>
  <si>
    <t>Deliver Us From Evil</t>
  </si>
  <si>
    <t>$30,577,122</t>
  </si>
  <si>
    <t>$9,740,471</t>
  </si>
  <si>
    <t>When the Game Stands Tall</t>
  </si>
  <si>
    <t>$30,127,963</t>
  </si>
  <si>
    <t>$8,381,509</t>
  </si>
  <si>
    <t>Draft Day</t>
  </si>
  <si>
    <t>$28,842,237</t>
  </si>
  <si>
    <t>$9,783,603</t>
  </si>
  <si>
    <t>Oculus</t>
  </si>
  <si>
    <t>$27,695,246</t>
  </si>
  <si>
    <t>$12,005,402</t>
  </si>
  <si>
    <t>The Best of Me</t>
  </si>
  <si>
    <t>$26,766,213</t>
  </si>
  <si>
    <t>$10,003,827</t>
  </si>
  <si>
    <t>A Walk Among the Tombstones</t>
  </si>
  <si>
    <t>$26,307,600</t>
  </si>
  <si>
    <t>$12,758,780</t>
  </si>
  <si>
    <t>That Awkward Moment</t>
  </si>
  <si>
    <t>$26,068,955</t>
  </si>
  <si>
    <t>$8,742,109</t>
  </si>
  <si>
    <t>Boyhood</t>
  </si>
  <si>
    <t>$25,352,281</t>
  </si>
  <si>
    <t>$387,618</t>
  </si>
  <si>
    <r>
      <t>Total Gross</t>
    </r>
    <r>
      <rPr>
        <sz val="10"/>
        <color theme="1"/>
        <rFont val="Calibri"/>
        <family val="2"/>
        <scheme val="minor"/>
      </rPr>
      <t xml:space="preserve"> / Theaters</t>
    </r>
  </si>
  <si>
    <t>Top Five</t>
  </si>
  <si>
    <t>$25,317,379</t>
  </si>
  <si>
    <t>$6,896,593</t>
  </si>
  <si>
    <t>The November Man</t>
  </si>
  <si>
    <t>$25,018,119</t>
  </si>
  <si>
    <t>$7,911,597</t>
  </si>
  <si>
    <t>Endless Love (2014)</t>
  </si>
  <si>
    <t>$23,438,250</t>
  </si>
  <si>
    <t>$13,307,125</t>
  </si>
  <si>
    <t>Pompeii</t>
  </si>
  <si>
    <t>$23,219,748</t>
  </si>
  <si>
    <t>$10,340,823</t>
  </si>
  <si>
    <t>Transcendence</t>
  </si>
  <si>
    <t>$23,022,309</t>
  </si>
  <si>
    <t>$10,886,386</t>
  </si>
  <si>
    <t>As Above/So Below</t>
  </si>
  <si>
    <t>$21,321,100</t>
  </si>
  <si>
    <t>$8,632,820</t>
  </si>
  <si>
    <t>Brick Mansions</t>
  </si>
  <si>
    <t>$20,396,829</t>
  </si>
  <si>
    <t>$9,516,855</t>
  </si>
  <si>
    <t>I, Frankenstein</t>
  </si>
  <si>
    <t>$19,075,290</t>
  </si>
  <si>
    <t>$8,610,441</t>
  </si>
  <si>
    <t>The Legend of Hercules</t>
  </si>
  <si>
    <t>$18,848,538</t>
  </si>
  <si>
    <t>$8,868,318</t>
  </si>
  <si>
    <t>Bears</t>
  </si>
  <si>
    <t>$17,780,194</t>
  </si>
  <si>
    <t>$4,776,267</t>
  </si>
  <si>
    <t>Addicted</t>
  </si>
  <si>
    <t>$17,390,770</t>
  </si>
  <si>
    <t>$7,485,346</t>
  </si>
  <si>
    <t>A Haunted House 2</t>
  </si>
  <si>
    <t>$17,329,486</t>
  </si>
  <si>
    <t>$8,843,875</t>
  </si>
  <si>
    <t>A Most Wanted Man</t>
  </si>
  <si>
    <t>$17,237,855</t>
  </si>
  <si>
    <t>$2,687,227</t>
  </si>
  <si>
    <t>Begin Again</t>
  </si>
  <si>
    <t>$16,170,632</t>
  </si>
  <si>
    <t>$134,064</t>
  </si>
  <si>
    <t>Tyler Perry's The Single Moms Club</t>
  </si>
  <si>
    <t>$15,973,881</t>
  </si>
  <si>
    <t>$8,075,111</t>
  </si>
  <si>
    <t>Devil's Due</t>
  </si>
  <si>
    <t>$15,821,461</t>
  </si>
  <si>
    <t>$8,308,220</t>
  </si>
  <si>
    <t>And So It Goes</t>
  </si>
  <si>
    <t>$15,160,801</t>
  </si>
  <si>
    <t>$4,642,329</t>
  </si>
  <si>
    <t>Step Up All In</t>
  </si>
  <si>
    <t>$14,904,384</t>
  </si>
  <si>
    <t>$6,469,857</t>
  </si>
  <si>
    <t>Beyond the Lights</t>
  </si>
  <si>
    <t>$14,618,727</t>
  </si>
  <si>
    <t>$6,200,284</t>
  </si>
  <si>
    <t>Big Eyes</t>
  </si>
  <si>
    <t>$14,482,031</t>
  </si>
  <si>
    <t>$3,001,738</t>
  </si>
  <si>
    <t>America (2014)</t>
  </si>
  <si>
    <t>$14,444,502</t>
  </si>
  <si>
    <t>$38,608</t>
  </si>
  <si>
    <t>Left Behind (2014)</t>
  </si>
  <si>
    <t>$14,019,924</t>
  </si>
  <si>
    <t>$6,300,147</t>
  </si>
  <si>
    <t>Frank Miller's Sin City: A Dame to Kill For</t>
  </si>
  <si>
    <t>$13,757,804</t>
  </si>
  <si>
    <t>$6,317,683</t>
  </si>
  <si>
    <t>Labor Day</t>
  </si>
  <si>
    <t>$13,371,528</t>
  </si>
  <si>
    <t>$5,175,282</t>
  </si>
  <si>
    <t>Whiplash</t>
  </si>
  <si>
    <t>$13,092,000</t>
  </si>
  <si>
    <t>$135,388</t>
  </si>
  <si>
    <t>Winter's Tale</t>
  </si>
  <si>
    <t>$12,600,231</t>
  </si>
  <si>
    <t>$7,297,694</t>
  </si>
  <si>
    <t>Foxcatcher</t>
  </si>
  <si>
    <t>$12,096,300</t>
  </si>
  <si>
    <t>$270,877</t>
  </si>
  <si>
    <t>Island of Lemurs: Madagascar (IMAX)</t>
  </si>
  <si>
    <t>$11,218,086</t>
  </si>
  <si>
    <t>$188,307</t>
  </si>
  <si>
    <t>Belle</t>
  </si>
  <si>
    <t>$10,726,630</t>
  </si>
  <si>
    <t>$106,578</t>
  </si>
  <si>
    <t>The Drop</t>
  </si>
  <si>
    <t>$10,724,389</t>
  </si>
  <si>
    <t>$4,104,552</t>
  </si>
  <si>
    <t>P.K.</t>
  </si>
  <si>
    <t>$10,616,104</t>
  </si>
  <si>
    <t>$3,565,258</t>
  </si>
  <si>
    <t>Magic in the Moonlight</t>
  </si>
  <si>
    <t>$10,539,326</t>
  </si>
  <si>
    <t>$412,095</t>
  </si>
  <si>
    <t>Sabotage (2014)</t>
  </si>
  <si>
    <t>$10,508,518</t>
  </si>
  <si>
    <t>$5,272,444</t>
  </si>
  <si>
    <t>Moms' Night Out</t>
  </si>
  <si>
    <t>$10,429,707</t>
  </si>
  <si>
    <t>$4,311,083</t>
  </si>
  <si>
    <t>The Quiet Ones</t>
  </si>
  <si>
    <t>$8,509,867</t>
  </si>
  <si>
    <t>$3,880,053</t>
  </si>
  <si>
    <t>Legends of Oz: Dorothy's Return</t>
  </si>
  <si>
    <t>$8,462,027</t>
  </si>
  <si>
    <t>$3,747,780</t>
  </si>
  <si>
    <t>Inherent Vice</t>
  </si>
  <si>
    <t>$8,110,975</t>
  </si>
  <si>
    <t>$328,184</t>
  </si>
  <si>
    <t>Vampire Academy</t>
  </si>
  <si>
    <t>$7,791,979</t>
  </si>
  <si>
    <t>$3,921,742</t>
  </si>
  <si>
    <t>Bad Words</t>
  </si>
  <si>
    <t>$7,779,614</t>
  </si>
  <si>
    <t>$113,301</t>
  </si>
  <si>
    <t>Cantinflas</t>
  </si>
  <si>
    <t>$6,382,924</t>
  </si>
  <si>
    <t>$2,661,253</t>
  </si>
  <si>
    <t>The Interview (2014)</t>
  </si>
  <si>
    <t>$6,105,175</t>
  </si>
  <si>
    <t>$1,794,666</t>
  </si>
  <si>
    <t>Meet the Mormons</t>
  </si>
  <si>
    <t>$6,047,363</t>
  </si>
  <si>
    <t>$2,509,808</t>
  </si>
  <si>
    <t>A Most Violent Year</t>
  </si>
  <si>
    <t>$5,749,134</t>
  </si>
  <si>
    <t>$172,788</t>
  </si>
  <si>
    <t>Cesar Chavez</t>
  </si>
  <si>
    <t>$5,571,497</t>
  </si>
  <si>
    <t>$2,861,528</t>
  </si>
  <si>
    <t>The Skeleton Twins</t>
  </si>
  <si>
    <t>$5,284,309</t>
  </si>
  <si>
    <t>$380,691</t>
  </si>
  <si>
    <t>The Wind Rises</t>
  </si>
  <si>
    <t>$5,209,580</t>
  </si>
  <si>
    <t>$313,751</t>
  </si>
  <si>
    <t>Snowpiercer</t>
  </si>
  <si>
    <t>$4,563,650</t>
  </si>
  <si>
    <t>$171,187</t>
  </si>
  <si>
    <t>The Railway Man</t>
  </si>
  <si>
    <t>$4,438,438</t>
  </si>
  <si>
    <t>$61,845</t>
  </si>
  <si>
    <t>Dear White People</t>
  </si>
  <si>
    <t>$4,404,154</t>
  </si>
  <si>
    <t>$347,959</t>
  </si>
  <si>
    <t>The Lunchbox</t>
  </si>
  <si>
    <t>$4,235,151</t>
  </si>
  <si>
    <t>$44,542</t>
  </si>
  <si>
    <t>My Old Lady</t>
  </si>
  <si>
    <t>$4,013,786</t>
  </si>
  <si>
    <t>$124,680</t>
  </si>
  <si>
    <t>Mr. Turner</t>
  </si>
  <si>
    <t>$3,958,500</t>
  </si>
  <si>
    <t>$109,000</t>
  </si>
  <si>
    <t>Ida</t>
  </si>
  <si>
    <t>$3,827,060</t>
  </si>
  <si>
    <t>$55,438</t>
  </si>
  <si>
    <t>Fading Gigolo</t>
  </si>
  <si>
    <t>MNE</t>
  </si>
  <si>
    <t>$3,769,873</t>
  </si>
  <si>
    <t>$180,801</t>
  </si>
  <si>
    <t>Calvary</t>
  </si>
  <si>
    <t>$3,600,006</t>
  </si>
  <si>
    <t>$74,149</t>
  </si>
  <si>
    <t>Wish I Was Here</t>
  </si>
  <si>
    <t>$3,591,299</t>
  </si>
  <si>
    <t>$484,401</t>
  </si>
  <si>
    <t>Ghostbusters (30th Anniversary re-release)</t>
  </si>
  <si>
    <t>$3,580,343</t>
  </si>
  <si>
    <t>$1,756,513</t>
  </si>
  <si>
    <t>Mommy</t>
  </si>
  <si>
    <t>$3,494,070</t>
  </si>
  <si>
    <t>$473,882</t>
  </si>
  <si>
    <t>What If (2014)</t>
  </si>
  <si>
    <t>$3,493,000</t>
  </si>
  <si>
    <t>$133,898</t>
  </si>
  <si>
    <t>The Grand Seduction</t>
  </si>
  <si>
    <t>$3,430,018</t>
  </si>
  <si>
    <t>$323,743</t>
  </si>
  <si>
    <t>Veronica Mars</t>
  </si>
  <si>
    <t>$3,322,127</t>
  </si>
  <si>
    <t>$1,988,351</t>
  </si>
  <si>
    <t>Before I Go To Sleep</t>
  </si>
  <si>
    <t>$3,242,457</t>
  </si>
  <si>
    <t>$1,843,347</t>
  </si>
  <si>
    <t>Rosewater</t>
  </si>
  <si>
    <t>$3,128,941</t>
  </si>
  <si>
    <t>$1,154,303</t>
  </si>
  <si>
    <t>Obvious Child</t>
  </si>
  <si>
    <t>$3,123,963</t>
  </si>
  <si>
    <t>$77,315</t>
  </si>
  <si>
    <t>The Trip to Italy</t>
  </si>
  <si>
    <t>$2,880,537</t>
  </si>
  <si>
    <t>$71,712</t>
  </si>
  <si>
    <t>The Identical</t>
  </si>
  <si>
    <t>$2,827,666</t>
  </si>
  <si>
    <t>$1,587,137</t>
  </si>
  <si>
    <t>The Fluffy Movie</t>
  </si>
  <si>
    <t>$2,827,393</t>
  </si>
  <si>
    <t>$1,311,446</t>
  </si>
  <si>
    <t>Citizenfour</t>
  </si>
  <si>
    <t>$2,800,870</t>
  </si>
  <si>
    <t>$126,321</t>
  </si>
  <si>
    <t>Kirk Cameron's Saving Christmas</t>
  </si>
  <si>
    <t>$2,783,970</t>
  </si>
  <si>
    <t>$992,087</t>
  </si>
  <si>
    <t>The Pyramid</t>
  </si>
  <si>
    <t>$2,756,333</t>
  </si>
  <si>
    <t>$1,369,935</t>
  </si>
  <si>
    <t>The Good Lie</t>
  </si>
  <si>
    <t>$2,722,209</t>
  </si>
  <si>
    <t>$841,422</t>
  </si>
  <si>
    <t>The Raid 2</t>
  </si>
  <si>
    <t>$2,627,209</t>
  </si>
  <si>
    <t>$165,292</t>
  </si>
  <si>
    <t>Under the Skin (2014)</t>
  </si>
  <si>
    <t>$2,614,251</t>
  </si>
  <si>
    <t>$133,154</t>
  </si>
  <si>
    <t>The Admiral: Roaring Currents</t>
  </si>
  <si>
    <t>$2,589,811</t>
  </si>
  <si>
    <t>$51,431</t>
  </si>
  <si>
    <t>Dragon Ball Z: Battle of Gods</t>
  </si>
  <si>
    <t>$2,553,002</t>
  </si>
  <si>
    <t>$296,414</t>
  </si>
  <si>
    <t>Bang Bang</t>
  </si>
  <si>
    <t>$2,546,172</t>
  </si>
  <si>
    <t>$1,278,690</t>
  </si>
  <si>
    <t>Kick</t>
  </si>
  <si>
    <t>$2,472,695</t>
  </si>
  <si>
    <t>$1,071,373</t>
  </si>
  <si>
    <t>Kill the Messenger</t>
  </si>
  <si>
    <t>$2,450,846</t>
  </si>
  <si>
    <t>$941,809</t>
  </si>
  <si>
    <t>The Homesman</t>
  </si>
  <si>
    <t>$2,429,989</t>
  </si>
  <si>
    <t>$45,433</t>
  </si>
  <si>
    <t>Ode to My Father</t>
  </si>
  <si>
    <t>$2,300,121</t>
  </si>
  <si>
    <t>$33,880</t>
  </si>
  <si>
    <t>Love is Strange</t>
  </si>
  <si>
    <t>$2,262,223</t>
  </si>
  <si>
    <t>$117,276</t>
  </si>
  <si>
    <t>2 States</t>
  </si>
  <si>
    <t>$2,238,174</t>
  </si>
  <si>
    <t>$1,073,898</t>
  </si>
  <si>
    <t>Le Week-End</t>
  </si>
  <si>
    <t>$2,225,098</t>
  </si>
  <si>
    <t>$43,608</t>
  </si>
  <si>
    <t>Anchorman 2 (R-Rated Extended Cut)</t>
  </si>
  <si>
    <t>$2,184,339</t>
  </si>
  <si>
    <t>$1,358,833</t>
  </si>
  <si>
    <t>2014 Oscar Nominated Short Films</t>
  </si>
  <si>
    <t>$2,171,849</t>
  </si>
  <si>
    <t>$329,505</t>
  </si>
  <si>
    <t>Words and Pictures</t>
  </si>
  <si>
    <t>$2,171,257</t>
  </si>
  <si>
    <t>$87,879</t>
  </si>
  <si>
    <t>Gloria (2014)</t>
  </si>
  <si>
    <t>$2,107,925</t>
  </si>
  <si>
    <t>$56,454</t>
  </si>
  <si>
    <t>The Immigrant</t>
  </si>
  <si>
    <t>$2,025,328</t>
  </si>
  <si>
    <t>$44,064</t>
  </si>
  <si>
    <t>Only Lovers Left Alive</t>
  </si>
  <si>
    <t>$1,879,534</t>
  </si>
  <si>
    <t>$87,989</t>
  </si>
  <si>
    <t>Tusk</t>
  </si>
  <si>
    <t>$1,826,705</t>
  </si>
  <si>
    <t>$846,831</t>
  </si>
  <si>
    <t>Tim's Vermeer</t>
  </si>
  <si>
    <t>$1,671,377</t>
  </si>
  <si>
    <t>$49,777</t>
  </si>
  <si>
    <t>Persecuted</t>
  </si>
  <si>
    <t>$1,558,836</t>
  </si>
  <si>
    <t>$851,391</t>
  </si>
  <si>
    <t>Awake: The Life of Yogananda</t>
  </si>
  <si>
    <t>CF&amp;SR</t>
  </si>
  <si>
    <t>$1,539,680</t>
  </si>
  <si>
    <t>$18,885</t>
  </si>
  <si>
    <t>Fed Up</t>
  </si>
  <si>
    <t>$1,538,899</t>
  </si>
  <si>
    <t>$126,028</t>
  </si>
  <si>
    <t>Finding Vivian Maier</t>
  </si>
  <si>
    <t>$1,514,782</t>
  </si>
  <si>
    <t>$63,600</t>
  </si>
  <si>
    <t>Pride (2014)</t>
  </si>
  <si>
    <t>$1,446,634</t>
  </si>
  <si>
    <t>$100,040</t>
  </si>
  <si>
    <t>Two Days, One Night</t>
  </si>
  <si>
    <t>$1,436,243</t>
  </si>
  <si>
    <t>$30,700</t>
  </si>
  <si>
    <t>Locke</t>
  </si>
  <si>
    <t>$1,375,769</t>
  </si>
  <si>
    <t>$81,006</t>
  </si>
  <si>
    <t>Gimme Shelter</t>
  </si>
  <si>
    <t>$1,359,910</t>
  </si>
  <si>
    <t>$689,070</t>
  </si>
  <si>
    <t>Force Majeure</t>
  </si>
  <si>
    <t>$1,359,497</t>
  </si>
  <si>
    <t>$23,309</t>
  </si>
  <si>
    <t>Jai Ho</t>
  </si>
  <si>
    <t>$1,264,515</t>
  </si>
  <si>
    <t>$840,506</t>
  </si>
  <si>
    <t>Singham Returns</t>
  </si>
  <si>
    <t>$1,232,018</t>
  </si>
  <si>
    <t>$654,045</t>
  </si>
  <si>
    <t>Repentance</t>
  </si>
  <si>
    <t>$1,189,612</t>
  </si>
  <si>
    <t>$501,290</t>
  </si>
  <si>
    <t>The Remaining</t>
  </si>
  <si>
    <t>Triu</t>
  </si>
  <si>
    <t>$1,169,603</t>
  </si>
  <si>
    <t>$159,143</t>
  </si>
  <si>
    <t>Hector And The Search For Happiness</t>
  </si>
  <si>
    <t>$1,124,445</t>
  </si>
  <si>
    <t>$40,847</t>
  </si>
  <si>
    <t>The Rover</t>
  </si>
  <si>
    <t>$1,114,423</t>
  </si>
  <si>
    <t>$69,302</t>
  </si>
  <si>
    <t>Walking with the Enemy</t>
  </si>
  <si>
    <t>LS</t>
  </si>
  <si>
    <t>$1,112,592</t>
  </si>
  <si>
    <t>$331,855</t>
  </si>
  <si>
    <t>Leviathan (2014)</t>
  </si>
  <si>
    <t>$1,092,800</t>
  </si>
  <si>
    <t>$15,200</t>
  </si>
  <si>
    <t>The Captive</t>
  </si>
  <si>
    <t>$1,075,178</t>
  </si>
  <si>
    <t>$407,804</t>
  </si>
  <si>
    <t>Laggies</t>
  </si>
  <si>
    <t>$1,066,981</t>
  </si>
  <si>
    <t>$74,139</t>
  </si>
  <si>
    <t>50 to 1</t>
  </si>
  <si>
    <t>10F</t>
  </si>
  <si>
    <t>$1,064,454</t>
  </si>
  <si>
    <t>$78,480</t>
  </si>
  <si>
    <t>Haider</t>
  </si>
  <si>
    <t>$1,048,143</t>
  </si>
  <si>
    <t>$508,084</t>
  </si>
  <si>
    <t>Third Person</t>
  </si>
  <si>
    <t>$1,021,398</t>
  </si>
  <si>
    <t>$38,856</t>
  </si>
  <si>
    <t>Stalingrad (2014)</t>
  </si>
  <si>
    <t>$1,013,945</t>
  </si>
  <si>
    <t>$510,846</t>
  </si>
  <si>
    <t>The Song</t>
  </si>
  <si>
    <t>$1,009,620</t>
  </si>
  <si>
    <t>$568,596</t>
  </si>
  <si>
    <t>Enemy</t>
  </si>
  <si>
    <t>$1,008,726</t>
  </si>
  <si>
    <t>$16,161</t>
  </si>
  <si>
    <t>The Babadook</t>
  </si>
  <si>
    <t>$964,413</t>
  </si>
  <si>
    <t>$30,007</t>
  </si>
  <si>
    <t>Shaadi Ke Side Effects</t>
  </si>
  <si>
    <t>$921,277</t>
  </si>
  <si>
    <t>$582,672</t>
  </si>
  <si>
    <t>Mas Negro Que La Noche</t>
  </si>
  <si>
    <t>$870,063</t>
  </si>
  <si>
    <t>$539,867</t>
  </si>
  <si>
    <t>Particle Fever</t>
  </si>
  <si>
    <t>$869,838</t>
  </si>
  <si>
    <t>$53,901</t>
  </si>
  <si>
    <t>Song of the Sea</t>
  </si>
  <si>
    <t>$857,522</t>
  </si>
  <si>
    <t>$21,910</t>
  </si>
  <si>
    <t>Atlas Shrugged Part III: Who Is John Galt?</t>
  </si>
  <si>
    <t>$846,704</t>
  </si>
  <si>
    <t>$461,179</t>
  </si>
  <si>
    <t>Kochadaiiyaan</t>
  </si>
  <si>
    <t>$817,192</t>
  </si>
  <si>
    <t>$583,172</t>
  </si>
  <si>
    <t>Saw 10th Anniversary</t>
  </si>
  <si>
    <t>$815,324</t>
  </si>
  <si>
    <t>$650,051</t>
  </si>
  <si>
    <t>Life Itself</t>
  </si>
  <si>
    <t>$810,454</t>
  </si>
  <si>
    <t>$131,411</t>
  </si>
  <si>
    <t>Nymphomaniac: Volume I</t>
  </si>
  <si>
    <t>$785,896</t>
  </si>
  <si>
    <t>$158,369</t>
  </si>
  <si>
    <t>Breakup Buddies</t>
  </si>
  <si>
    <t>$777,896</t>
  </si>
  <si>
    <t>$230,204</t>
  </si>
  <si>
    <t>Palo Alto</t>
  </si>
  <si>
    <t>$767,732</t>
  </si>
  <si>
    <t>$63,461</t>
  </si>
  <si>
    <t>Ek Villain</t>
  </si>
  <si>
    <t>$730,530</t>
  </si>
  <si>
    <t>$414,116</t>
  </si>
  <si>
    <t>Land Ho!</t>
  </si>
  <si>
    <t>$727,594</t>
  </si>
  <si>
    <t>$34,319</t>
  </si>
  <si>
    <t>Yves Saint Laurent</t>
  </si>
  <si>
    <t>$723,593</t>
  </si>
  <si>
    <t>$24,207</t>
  </si>
  <si>
    <t>Khoobsurat</t>
  </si>
  <si>
    <t>$710,508</t>
  </si>
  <si>
    <t>$345,085</t>
  </si>
  <si>
    <t>Holiday (2014)</t>
  </si>
  <si>
    <t>$706,893</t>
  </si>
  <si>
    <t>$394,797</t>
  </si>
  <si>
    <t>Men, Women &amp; Children</t>
  </si>
  <si>
    <t>$705,908</t>
  </si>
  <si>
    <t>$48,024</t>
  </si>
  <si>
    <t>The Tale of The Princess Kaguya</t>
  </si>
  <si>
    <t>$703,232</t>
  </si>
  <si>
    <t>$54,915</t>
  </si>
  <si>
    <t>Frankie &amp; Alice (2014)</t>
  </si>
  <si>
    <t>$695,876</t>
  </si>
  <si>
    <t>$350,647</t>
  </si>
  <si>
    <t>A Matter of Faith</t>
  </si>
  <si>
    <t>$680,113</t>
  </si>
  <si>
    <t>$138,677</t>
  </si>
  <si>
    <t>Jodorowsky's Dune</t>
  </si>
  <si>
    <t>$647,280</t>
  </si>
  <si>
    <t>$36,018</t>
  </si>
  <si>
    <t>Hasee Toh Phasee</t>
  </si>
  <si>
    <t>$646,035</t>
  </si>
  <si>
    <t>$336,985</t>
  </si>
  <si>
    <t>Frank</t>
  </si>
  <si>
    <t>$645,186</t>
  </si>
  <si>
    <t>$16,056</t>
  </si>
  <si>
    <t>Mary Kom</t>
  </si>
  <si>
    <t>$621,300</t>
  </si>
  <si>
    <t>$370,277</t>
  </si>
  <si>
    <t>Finding Fanny</t>
  </si>
  <si>
    <t>$615,691</t>
  </si>
  <si>
    <t>$515,393</t>
  </si>
  <si>
    <t>The Signal (2014)</t>
  </si>
  <si>
    <t>$600,896</t>
  </si>
  <si>
    <t>$155,642</t>
  </si>
  <si>
    <t>The Disappearance of Eleanor Rigby</t>
  </si>
  <si>
    <t>$587,774</t>
  </si>
  <si>
    <t>$66,941</t>
  </si>
  <si>
    <t>Back in Time (Congcong Nanian)</t>
  </si>
  <si>
    <t>$569,280</t>
  </si>
  <si>
    <t>$206,591</t>
  </si>
  <si>
    <t>Forrest Gump (IMAX)</t>
  </si>
  <si>
    <t>$557,683</t>
  </si>
  <si>
    <t>$398,560</t>
  </si>
  <si>
    <t>The Attorney</t>
  </si>
  <si>
    <t>$557,236</t>
  </si>
  <si>
    <t>$216,035</t>
  </si>
  <si>
    <t>23 Blast</t>
  </si>
  <si>
    <t>OAE</t>
  </si>
  <si>
    <t>$549,185</t>
  </si>
  <si>
    <t>$337,091</t>
  </si>
  <si>
    <t>On Any Sunday: The Next Chapter</t>
  </si>
  <si>
    <t>$543,044</t>
  </si>
  <si>
    <t>$320,894</t>
  </si>
  <si>
    <t>Highway (2014)</t>
  </si>
  <si>
    <t>$529,136</t>
  </si>
  <si>
    <t>$326,654</t>
  </si>
  <si>
    <t>Dom Hemingway</t>
  </si>
  <si>
    <t>$523,511</t>
  </si>
  <si>
    <t>$29,276</t>
  </si>
  <si>
    <t>A Hard Day's Night (2014 re-release)</t>
  </si>
  <si>
    <t>$515,005</t>
  </si>
  <si>
    <t>$220,542</t>
  </si>
  <si>
    <t>The One I Love</t>
  </si>
  <si>
    <t>$513,447</t>
  </si>
  <si>
    <t>$48,059</t>
  </si>
  <si>
    <t>Tracks (2014)</t>
  </si>
  <si>
    <t>$510,007</t>
  </si>
  <si>
    <t>$21,544</t>
  </si>
  <si>
    <t>The Two Faces of January</t>
  </si>
  <si>
    <t>$507,463</t>
  </si>
  <si>
    <t>$43,116</t>
  </si>
  <si>
    <t>A Girl Walks Home Alone at Night</t>
  </si>
  <si>
    <t>$491,910</t>
  </si>
  <si>
    <t>Last Days in Vietnam</t>
  </si>
  <si>
    <t>$466,114</t>
  </si>
  <si>
    <t>$30,500</t>
  </si>
  <si>
    <t>In Secret</t>
  </si>
  <si>
    <t>$444,179</t>
  </si>
  <si>
    <t>$265,586</t>
  </si>
  <si>
    <t>But Always (Yi Sheng Yi Shi)</t>
  </si>
  <si>
    <t>$430,760</t>
  </si>
  <si>
    <t>$144,720</t>
  </si>
  <si>
    <t>Beijing Love Story</t>
  </si>
  <si>
    <t>$428,318</t>
  </si>
  <si>
    <t>$140,106</t>
  </si>
  <si>
    <t>Cold in July</t>
  </si>
  <si>
    <t>$427,418</t>
  </si>
  <si>
    <t>$40,317</t>
  </si>
  <si>
    <t>She's Beautiful When She's Angry</t>
  </si>
  <si>
    <t>$421,573</t>
  </si>
  <si>
    <t>$10,505</t>
  </si>
  <si>
    <t>The German Doctor</t>
  </si>
  <si>
    <t>$418,392</t>
  </si>
  <si>
    <t>$34,259</t>
  </si>
  <si>
    <t>The Pirates</t>
  </si>
  <si>
    <t>$415,775</t>
  </si>
  <si>
    <t>$26,025</t>
  </si>
  <si>
    <t>Goodbye to Language</t>
  </si>
  <si>
    <t>$390,099</t>
  </si>
  <si>
    <t>Humpty Sharma Ki Dulhania</t>
  </si>
  <si>
    <t>$380,011</t>
  </si>
  <si>
    <t>Women Who Flirt (Sajiao Nvren)</t>
  </si>
  <si>
    <t>$375,495</t>
  </si>
  <si>
    <t>$74,052</t>
  </si>
  <si>
    <t>Venus in Fur</t>
  </si>
  <si>
    <t>$373,605</t>
  </si>
  <si>
    <t>$24,761</t>
  </si>
  <si>
    <t>Joe (2014)</t>
  </si>
  <si>
    <t>$373,375</t>
  </si>
  <si>
    <t>$105,881</t>
  </si>
  <si>
    <t>Glen Campbell... I'll Be Me</t>
  </si>
  <si>
    <t>$365,422</t>
  </si>
  <si>
    <t>$86,741</t>
  </si>
  <si>
    <t>Omar</t>
  </si>
  <si>
    <t>$356,000</t>
  </si>
  <si>
    <t>$157,000</t>
  </si>
  <si>
    <t>The Face of Love</t>
  </si>
  <si>
    <t>$350,006</t>
  </si>
  <si>
    <t>$24,660</t>
  </si>
  <si>
    <t>Le Chef</t>
  </si>
  <si>
    <t>$342,667</t>
  </si>
  <si>
    <t>$11,290</t>
  </si>
  <si>
    <t>Jimi: All Is By My Side</t>
  </si>
  <si>
    <t>XL</t>
  </si>
  <si>
    <t>$340,911</t>
  </si>
  <si>
    <t>$97,008</t>
  </si>
  <si>
    <t>Chinese Puzzle</t>
  </si>
  <si>
    <t>$338,523</t>
  </si>
  <si>
    <t>$23,544</t>
  </si>
  <si>
    <t>I Origins</t>
  </si>
  <si>
    <t>$336,472</t>
  </si>
  <si>
    <t>$27,652</t>
  </si>
  <si>
    <t>Like Father, Like Son (2014)</t>
  </si>
  <si>
    <t>$334,616</t>
  </si>
  <si>
    <t>$16,044</t>
  </si>
  <si>
    <t>The Guest (2014)</t>
  </si>
  <si>
    <t>$332,890</t>
  </si>
  <si>
    <t>$84,527</t>
  </si>
  <si>
    <t>Elaine Stritch: Shoot Me</t>
  </si>
  <si>
    <t>$327,452</t>
  </si>
  <si>
    <t>$27,853</t>
  </si>
  <si>
    <t>Nymphomaniac: Volume II</t>
  </si>
  <si>
    <t>$327,167</t>
  </si>
  <si>
    <t>$74,978</t>
  </si>
  <si>
    <t>Stranger By the Lake</t>
  </si>
  <si>
    <t>$325,196</t>
  </si>
  <si>
    <t>$27,599</t>
  </si>
  <si>
    <t>On My Way</t>
  </si>
  <si>
    <t>$317,324</t>
  </si>
  <si>
    <t>$10,536</t>
  </si>
  <si>
    <t>Happy Ending</t>
  </si>
  <si>
    <t>$313,770</t>
  </si>
  <si>
    <t>$198,702</t>
  </si>
  <si>
    <t>The Hornet's Nest</t>
  </si>
  <si>
    <t>$312,706</t>
  </si>
  <si>
    <t>$26,550</t>
  </si>
  <si>
    <t>I Am Eleven</t>
  </si>
  <si>
    <t>Proud</t>
  </si>
  <si>
    <t>$310,116</t>
  </si>
  <si>
    <t>A Five Star Life</t>
  </si>
  <si>
    <t>$306,917</t>
  </si>
  <si>
    <t>$15,996</t>
  </si>
  <si>
    <t>Mood Indigo</t>
  </si>
  <si>
    <t>$303,187</t>
  </si>
  <si>
    <t>$26,511</t>
  </si>
  <si>
    <t>Innocence (2014)</t>
  </si>
  <si>
    <t>JSC</t>
  </si>
  <si>
    <t>$294,039</t>
  </si>
  <si>
    <t>$235,224</t>
  </si>
  <si>
    <t>The Dance of Reality</t>
  </si>
  <si>
    <t>$293,680</t>
  </si>
  <si>
    <t>$24,768</t>
  </si>
  <si>
    <t>Antarctica: A Year on Ice</t>
  </si>
  <si>
    <t>$288,757</t>
  </si>
  <si>
    <t>$32,238</t>
  </si>
  <si>
    <t>The Last of Robin Hood</t>
  </si>
  <si>
    <t>$288,545</t>
  </si>
  <si>
    <t>$25,821</t>
  </si>
  <si>
    <t>Elsa &amp; Fred (2014)</t>
  </si>
  <si>
    <t>$285,863</t>
  </si>
  <si>
    <t>$65,275</t>
  </si>
  <si>
    <t>Kundo: Age of the Rampant</t>
  </si>
  <si>
    <t>$280,958</t>
  </si>
  <si>
    <t>$120,857</t>
  </si>
  <si>
    <t>20,000 Days on Earth</t>
  </si>
  <si>
    <t>$279,558</t>
  </si>
  <si>
    <t>$27,879</t>
  </si>
  <si>
    <t>The Unknown Known</t>
  </si>
  <si>
    <t>$276,497</t>
  </si>
  <si>
    <t>$64,315</t>
  </si>
  <si>
    <t>Main Tera Hero</t>
  </si>
  <si>
    <t>$274,579</t>
  </si>
  <si>
    <t>$162,404</t>
  </si>
  <si>
    <t>Night Moves</t>
  </si>
  <si>
    <t>Cdgm.</t>
  </si>
  <si>
    <t>$271,755</t>
  </si>
  <si>
    <t>$21,488</t>
  </si>
  <si>
    <t>Love on the Cloud (Wei Ai)</t>
  </si>
  <si>
    <t>$271,734</t>
  </si>
  <si>
    <t>$67,967</t>
  </si>
  <si>
    <t>The Love Punch</t>
  </si>
  <si>
    <t>KE</t>
  </si>
  <si>
    <t>$266,588</t>
  </si>
  <si>
    <t>$26,420</t>
  </si>
  <si>
    <t>Life of Crime</t>
  </si>
  <si>
    <t>$265,452</t>
  </si>
  <si>
    <t>$104,300</t>
  </si>
  <si>
    <t>Ernest &amp; Celestine</t>
  </si>
  <si>
    <t>$262,075</t>
  </si>
  <si>
    <t>$13,078</t>
  </si>
  <si>
    <t>Blue Ruin</t>
  </si>
  <si>
    <t>$258,384</t>
  </si>
  <si>
    <t>$32,608</t>
  </si>
  <si>
    <t>The Green Prince</t>
  </si>
  <si>
    <t>$258,237</t>
  </si>
  <si>
    <t>$32,698</t>
  </si>
  <si>
    <t>The Zero Theorem</t>
  </si>
  <si>
    <t>$257,706</t>
  </si>
  <si>
    <t>$83,803</t>
  </si>
  <si>
    <t>Action Jackson (2014)</t>
  </si>
  <si>
    <t>$256,872</t>
  </si>
  <si>
    <t>$171,795</t>
  </si>
  <si>
    <t>Alive Inside</t>
  </si>
  <si>
    <t>$256,682</t>
  </si>
  <si>
    <t>$7,200</t>
  </si>
  <si>
    <t>The Blue Room</t>
  </si>
  <si>
    <t>$254,666</t>
  </si>
  <si>
    <t>$21,809</t>
  </si>
  <si>
    <t>National Gallery</t>
  </si>
  <si>
    <t>$253,941</t>
  </si>
  <si>
    <t>$10,049</t>
  </si>
  <si>
    <t>Tazza: The Hidden Card</t>
  </si>
  <si>
    <t>$251,555</t>
  </si>
  <si>
    <t>$24,106</t>
  </si>
  <si>
    <t>The Galapagos Affair: Satan Came to Eden</t>
  </si>
  <si>
    <t>$247,159</t>
  </si>
  <si>
    <t>$5,185</t>
  </si>
  <si>
    <t>James Cameron's Deepsea Challenge 3D</t>
  </si>
  <si>
    <t>DLA</t>
  </si>
  <si>
    <t>$235,659</t>
  </si>
  <si>
    <t>$149,879</t>
  </si>
  <si>
    <t>Art and Craft</t>
  </si>
  <si>
    <t>$235,037</t>
  </si>
  <si>
    <t>$20,879</t>
  </si>
  <si>
    <t>Diplomacy</t>
  </si>
  <si>
    <t>$230,880</t>
  </si>
  <si>
    <t>$8,518</t>
  </si>
  <si>
    <t>Dr. Cabbie (U.S. only)</t>
  </si>
  <si>
    <t>$225,490</t>
  </si>
  <si>
    <t>$118,732</t>
  </si>
  <si>
    <t>The Suspect (2014)</t>
  </si>
  <si>
    <t>$218,693</t>
  </si>
  <si>
    <t>$86,137</t>
  </si>
  <si>
    <t>Supermensch: The Legend of Shep Gordon</t>
  </si>
  <si>
    <t>$213,064</t>
  </si>
  <si>
    <t>$23,017</t>
  </si>
  <si>
    <t>The Breakup Guru</t>
  </si>
  <si>
    <t>$208,959</t>
  </si>
  <si>
    <t>$62,717</t>
  </si>
  <si>
    <t>Rob the Mob</t>
  </si>
  <si>
    <t>$208,693</t>
  </si>
  <si>
    <t>$13,833</t>
  </si>
  <si>
    <t>Under the Electric Sky</t>
  </si>
  <si>
    <t>$207,584</t>
  </si>
  <si>
    <t>Jinn</t>
  </si>
  <si>
    <t>$202,348</t>
  </si>
  <si>
    <t>$149,337</t>
  </si>
  <si>
    <t>Bethlehem</t>
  </si>
  <si>
    <t>$201,700</t>
  </si>
  <si>
    <t>$69,700</t>
  </si>
  <si>
    <t>The Double (2014)</t>
  </si>
  <si>
    <t>$200,406</t>
  </si>
  <si>
    <t>$14,646</t>
  </si>
  <si>
    <t>Listen Up Philip</t>
  </si>
  <si>
    <t>$200,126</t>
  </si>
  <si>
    <t>$23,284</t>
  </si>
  <si>
    <t>A Summer's Tale</t>
  </si>
  <si>
    <t>$198,126</t>
  </si>
  <si>
    <t>$12,863</t>
  </si>
  <si>
    <t>Code Black</t>
  </si>
  <si>
    <t>$190,229</t>
  </si>
  <si>
    <t>$6,319</t>
  </si>
  <si>
    <t>We Are The Best!</t>
  </si>
  <si>
    <t>$17,664</t>
  </si>
  <si>
    <t>Anita</t>
  </si>
  <si>
    <t>$176,979</t>
  </si>
  <si>
    <t>$44,114</t>
  </si>
  <si>
    <t>Evangelion: 3.0 You Can (Not) Redo</t>
  </si>
  <si>
    <t>$174,945</t>
  </si>
  <si>
    <t>$110,825</t>
  </si>
  <si>
    <t>Horns</t>
  </si>
  <si>
    <t>$173,948</t>
  </si>
  <si>
    <t>$107,544</t>
  </si>
  <si>
    <t>Afternoon of a Faun</t>
  </si>
  <si>
    <t>$172,450</t>
  </si>
  <si>
    <t>$15,292</t>
  </si>
  <si>
    <t>That Demon Within</t>
  </si>
  <si>
    <t>$172,343</t>
  </si>
  <si>
    <t>$77,130</t>
  </si>
  <si>
    <t>God's Pocket</t>
  </si>
  <si>
    <t>$169,976</t>
  </si>
  <si>
    <t>$21,482</t>
  </si>
  <si>
    <t>NAS: Time is Illmatic</t>
  </si>
  <si>
    <t>$164,540</t>
  </si>
  <si>
    <t>$23,200</t>
  </si>
  <si>
    <t>Keep On Keepin' On</t>
  </si>
  <si>
    <t>$163,745</t>
  </si>
  <si>
    <t>$12,930</t>
  </si>
  <si>
    <t>Sinbad: The Fifth Voyage</t>
  </si>
  <si>
    <t>GFl</t>
  </si>
  <si>
    <t>$159,862</t>
  </si>
  <si>
    <t>$103,384</t>
  </si>
  <si>
    <t>Citizen Koch</t>
  </si>
  <si>
    <t>Vari.</t>
  </si>
  <si>
    <t>$153,908</t>
  </si>
  <si>
    <t>$10,200</t>
  </si>
  <si>
    <t>Alan Partridge: The Movie</t>
  </si>
  <si>
    <t>$153,426</t>
  </si>
  <si>
    <t>$12,664</t>
  </si>
  <si>
    <t>Dancing in Jaffa</t>
  </si>
  <si>
    <t>$151,098</t>
  </si>
  <si>
    <t>$10,564</t>
  </si>
  <si>
    <t>A Coffee in Berlin</t>
  </si>
  <si>
    <t>$150,275</t>
  </si>
  <si>
    <t>$3,918</t>
  </si>
  <si>
    <t>Godzilla: The Japanese Original</t>
  </si>
  <si>
    <t>$10,903</t>
  </si>
  <si>
    <t>Kids For Cash</t>
  </si>
  <si>
    <t>$143,178</t>
  </si>
  <si>
    <t>$36,639</t>
  </si>
  <si>
    <t>Gore Vidal: United States of Amnesia</t>
  </si>
  <si>
    <t>$140,164</t>
  </si>
  <si>
    <t>$13,744</t>
  </si>
  <si>
    <t>Mistaken for Strangers</t>
  </si>
  <si>
    <t>$138,991</t>
  </si>
  <si>
    <t>$87,743</t>
  </si>
  <si>
    <t>The Congress</t>
  </si>
  <si>
    <t>$137,815</t>
  </si>
  <si>
    <t>The Divine Move</t>
  </si>
  <si>
    <t>$136,707</t>
  </si>
  <si>
    <t>$49,057</t>
  </si>
  <si>
    <t>Redwood Highway</t>
  </si>
  <si>
    <t>$134,049</t>
  </si>
  <si>
    <t>$30</t>
  </si>
  <si>
    <t>The Jewish Cardinal</t>
  </si>
  <si>
    <t>$133,663</t>
  </si>
  <si>
    <t>Raja Natwarlal</t>
  </si>
  <si>
    <t>$131,105</t>
  </si>
  <si>
    <t>$83,669</t>
  </si>
  <si>
    <t>Bjork - Biophilia Live</t>
  </si>
  <si>
    <t>$127,754</t>
  </si>
  <si>
    <t>Make Your Move</t>
  </si>
  <si>
    <t>$125,106</t>
  </si>
  <si>
    <t>$81,172</t>
  </si>
  <si>
    <t>Knights of Badassdom</t>
  </si>
  <si>
    <t>$123,854</t>
  </si>
  <si>
    <t>$17,449</t>
  </si>
  <si>
    <t>Afflicted (2014)</t>
  </si>
  <si>
    <t>$121,179</t>
  </si>
  <si>
    <t>$69,447</t>
  </si>
  <si>
    <t>Finding Fela</t>
  </si>
  <si>
    <t>$120,980</t>
  </si>
  <si>
    <t>Zero Motivation</t>
  </si>
  <si>
    <t>$116,044</t>
  </si>
  <si>
    <t>$9,427</t>
  </si>
  <si>
    <t>God the Father</t>
  </si>
  <si>
    <t>$113,276</t>
  </si>
  <si>
    <t>$15,037</t>
  </si>
  <si>
    <t>The Liberator</t>
  </si>
  <si>
    <t>$113,067</t>
  </si>
  <si>
    <t>$69,992</t>
  </si>
  <si>
    <t>Penton: The John Penton Story</t>
  </si>
  <si>
    <t>$112,159</t>
  </si>
  <si>
    <t>Rich Hill</t>
  </si>
  <si>
    <t>$111,376</t>
  </si>
  <si>
    <t>$9,635</t>
  </si>
  <si>
    <t>The Overnighters</t>
  </si>
  <si>
    <t>$110,763</t>
  </si>
  <si>
    <t>$4,324</t>
  </si>
  <si>
    <t>Duran Duran: Unstaged</t>
  </si>
  <si>
    <t>$110,746</t>
  </si>
  <si>
    <t>Anohana The Movie: The Flower We Saw That Day</t>
  </si>
  <si>
    <t>$109,630</t>
  </si>
  <si>
    <t>$37,480</t>
  </si>
  <si>
    <t>Ivory Tower</t>
  </si>
  <si>
    <t>$106,771</t>
  </si>
  <si>
    <t>$17,857</t>
  </si>
  <si>
    <t>Six Dance Lessons in Six Weeks</t>
  </si>
  <si>
    <t>$106,323</t>
  </si>
  <si>
    <t>$12,542</t>
  </si>
  <si>
    <t>The Golden Era</t>
  </si>
  <si>
    <t>$102,931</t>
  </si>
  <si>
    <t>$50,242</t>
  </si>
  <si>
    <t>God Help the Girl</t>
  </si>
  <si>
    <t>$102,757</t>
  </si>
  <si>
    <t>$11,330</t>
  </si>
  <si>
    <t>Coherence</t>
  </si>
  <si>
    <t>$102,617</t>
  </si>
  <si>
    <t>$17,000</t>
  </si>
  <si>
    <t>The Way He Looks</t>
  </si>
  <si>
    <t>$101,451</t>
  </si>
  <si>
    <t>$26,334</t>
  </si>
  <si>
    <t>Korengal</t>
  </si>
  <si>
    <t>$101,310</t>
  </si>
  <si>
    <t>$14,630</t>
  </si>
  <si>
    <t>One Chance</t>
  </si>
  <si>
    <t>$101,196</t>
  </si>
  <si>
    <t>$33,405</t>
  </si>
  <si>
    <t>Beyond Sight: The Derek Rabelo Story</t>
  </si>
  <si>
    <t>WOWF</t>
  </si>
  <si>
    <t>$101,074</t>
  </si>
  <si>
    <t>$26,840</t>
  </si>
  <si>
    <t>The Best Offer</t>
  </si>
  <si>
    <t>$100,035</t>
  </si>
  <si>
    <t>$2,595</t>
  </si>
  <si>
    <t>Child's Pose</t>
  </si>
  <si>
    <t>$97,170</t>
  </si>
  <si>
    <t>$12,955</t>
  </si>
  <si>
    <t>Hiroshima Mon Amour (2014 re-release)</t>
  </si>
  <si>
    <t>$96,439</t>
  </si>
  <si>
    <t>$18,494</t>
  </si>
  <si>
    <t>Cuban Fury</t>
  </si>
  <si>
    <t>$92,384</t>
  </si>
  <si>
    <t>$57,105</t>
  </si>
  <si>
    <t>Generation War</t>
  </si>
  <si>
    <t>$91,595</t>
  </si>
  <si>
    <t>$7,386</t>
  </si>
  <si>
    <t>Girl on a Bicycle</t>
  </si>
  <si>
    <t>$91,401</t>
  </si>
  <si>
    <t>$37,610</t>
  </si>
  <si>
    <t>Pump</t>
  </si>
  <si>
    <t>$89,787</t>
  </si>
  <si>
    <t>$42,200</t>
  </si>
  <si>
    <t>Breathe In</t>
  </si>
  <si>
    <t>$89,661</t>
  </si>
  <si>
    <t>$15,324</t>
  </si>
  <si>
    <t>The Principle</t>
  </si>
  <si>
    <t>$89,543</t>
  </si>
  <si>
    <t>$8,657</t>
  </si>
  <si>
    <t>Life After Beth</t>
  </si>
  <si>
    <t>$88,273</t>
  </si>
  <si>
    <t>$15,843</t>
  </si>
  <si>
    <t>Advanced Style</t>
  </si>
  <si>
    <t>Visitors (2014)</t>
  </si>
  <si>
    <t>$84,577</t>
  </si>
  <si>
    <t>$9,094</t>
  </si>
  <si>
    <t>Watermark</t>
  </si>
  <si>
    <t>$84,464</t>
  </si>
  <si>
    <t>$7,724</t>
  </si>
  <si>
    <t>12 O'Clock Boys</t>
  </si>
  <si>
    <t>$82,614</t>
  </si>
  <si>
    <t>$44,108</t>
  </si>
  <si>
    <t>Water &amp; Power</t>
  </si>
  <si>
    <t>NS</t>
  </si>
  <si>
    <t>$82,312</t>
  </si>
  <si>
    <t>$39,428</t>
  </si>
  <si>
    <t>Fort McCoy</t>
  </si>
  <si>
    <t>$78,948</t>
  </si>
  <si>
    <t>$4,070</t>
  </si>
  <si>
    <t>Whitey: USA v. James J. Bulger</t>
  </si>
  <si>
    <t>$75,881</t>
  </si>
  <si>
    <t>$14,287</t>
  </si>
  <si>
    <t>Just a Sigh</t>
  </si>
  <si>
    <t>$75,531</t>
  </si>
  <si>
    <t>$11,500</t>
  </si>
  <si>
    <t>Better Living Through Chemistry</t>
  </si>
  <si>
    <t>$75,143</t>
  </si>
  <si>
    <t>$46,435</t>
  </si>
  <si>
    <t>Veil of Tears</t>
  </si>
  <si>
    <t>WF</t>
  </si>
  <si>
    <t>$72,078</t>
  </si>
  <si>
    <t>$44,358</t>
  </si>
  <si>
    <t>Flamenco, Flamenco</t>
  </si>
  <si>
    <t>$71,732</t>
  </si>
  <si>
    <t>$1,259</t>
  </si>
  <si>
    <t>Je T'aime, Je T'aime (2014 re-issue)</t>
  </si>
  <si>
    <t>$71,717</t>
  </si>
  <si>
    <t>$12,869</t>
  </si>
  <si>
    <t>A Letter to Momo</t>
  </si>
  <si>
    <t>$4,596</t>
  </si>
  <si>
    <t>The Better Angels</t>
  </si>
  <si>
    <t>$70,918</t>
  </si>
  <si>
    <t>$4,246</t>
  </si>
  <si>
    <t>Take Me to the River</t>
  </si>
  <si>
    <t>$68,598</t>
  </si>
  <si>
    <t>$25,588</t>
  </si>
  <si>
    <t>For No Good Reason</t>
  </si>
  <si>
    <t>$67,421</t>
  </si>
  <si>
    <t>$4,516</t>
  </si>
  <si>
    <t>The Notebook (2014)</t>
  </si>
  <si>
    <t>$66,559</t>
  </si>
  <si>
    <t>$3,127</t>
  </si>
  <si>
    <t>Through a Lens Darkly</t>
  </si>
  <si>
    <t>$65,169</t>
  </si>
  <si>
    <t>$9,456</t>
  </si>
  <si>
    <t>Art of the Steal</t>
  </si>
  <si>
    <t>$64,065</t>
  </si>
  <si>
    <t>$40,003</t>
  </si>
  <si>
    <t>Jealousy</t>
  </si>
  <si>
    <t>$63,946</t>
  </si>
  <si>
    <t>$5,533</t>
  </si>
  <si>
    <t>Heropanti</t>
  </si>
  <si>
    <t>$63,649</t>
  </si>
  <si>
    <t>$32,831</t>
  </si>
  <si>
    <t>No Tears for the Dead</t>
  </si>
  <si>
    <t>$63,063</t>
  </si>
  <si>
    <t>$8,329</t>
  </si>
  <si>
    <t>The Last Sentence</t>
  </si>
  <si>
    <t>$62,506</t>
  </si>
  <si>
    <t>$9,020</t>
  </si>
  <si>
    <t>Young and Beautiful</t>
  </si>
  <si>
    <t>$61,067</t>
  </si>
  <si>
    <t>$4,607</t>
  </si>
  <si>
    <t>Siddharth</t>
  </si>
  <si>
    <t>$60,537</t>
  </si>
  <si>
    <t>$4,564</t>
  </si>
  <si>
    <t>Bicycling with Moliere</t>
  </si>
  <si>
    <t>$59,874</t>
  </si>
  <si>
    <t>$3,896</t>
  </si>
  <si>
    <t>Frontera</t>
  </si>
  <si>
    <t>$59,696</t>
  </si>
  <si>
    <t>$10,962</t>
  </si>
  <si>
    <t>Wetlands</t>
  </si>
  <si>
    <t>$59,478</t>
  </si>
  <si>
    <t>$6,488</t>
  </si>
  <si>
    <t>Cheap Thrills</t>
  </si>
  <si>
    <t>$59,424</t>
  </si>
  <si>
    <t>$18,638</t>
  </si>
  <si>
    <t>Walk of Shame</t>
  </si>
  <si>
    <t>$59,209</t>
  </si>
  <si>
    <t>$39,751</t>
  </si>
  <si>
    <t>The One I Wrote For You</t>
  </si>
  <si>
    <t>$58,872</t>
  </si>
  <si>
    <t>$48,643</t>
  </si>
  <si>
    <t>Sagrada: The Mystery of Creation</t>
  </si>
  <si>
    <t>$58,755</t>
  </si>
  <si>
    <t>$2,009</t>
  </si>
  <si>
    <t>The Conformist (2014 re-release)</t>
  </si>
  <si>
    <t>$58,657</t>
  </si>
  <si>
    <t>Rudderless</t>
  </si>
  <si>
    <t>$58,293</t>
  </si>
  <si>
    <t>$37,440</t>
  </si>
  <si>
    <t>Borgman</t>
  </si>
  <si>
    <t>$57,474</t>
  </si>
  <si>
    <t>$5,317</t>
  </si>
  <si>
    <t>The Rocket (2014)</t>
  </si>
  <si>
    <t>$56,823</t>
  </si>
  <si>
    <t>$4,621</t>
  </si>
  <si>
    <t>Ilo Ilo</t>
  </si>
  <si>
    <t>$56,773</t>
  </si>
  <si>
    <t>$8,775</t>
  </si>
  <si>
    <t>The Bag Man</t>
  </si>
  <si>
    <t>$56,574</t>
  </si>
  <si>
    <t>$29,231</t>
  </si>
  <si>
    <t>Big Men</t>
  </si>
  <si>
    <t>$56,286</t>
  </si>
  <si>
    <t>$7,539</t>
  </si>
  <si>
    <t>In Bloom</t>
  </si>
  <si>
    <t>$56,092</t>
  </si>
  <si>
    <t>$9,280</t>
  </si>
  <si>
    <t>Hellion</t>
  </si>
  <si>
    <t>$55,708</t>
  </si>
  <si>
    <t>$7,601</t>
  </si>
  <si>
    <t>Starred Up</t>
  </si>
  <si>
    <t>$10,358</t>
  </si>
  <si>
    <t>Half of a Yellow Sun</t>
  </si>
  <si>
    <t>$54,529</t>
  </si>
  <si>
    <t>$4,843</t>
  </si>
  <si>
    <t>Low Down</t>
  </si>
  <si>
    <t>$54,051</t>
  </si>
  <si>
    <t>$5,278</t>
  </si>
  <si>
    <t>Hateship Loveship</t>
  </si>
  <si>
    <t>1,000 Times Good Night</t>
  </si>
  <si>
    <t>$53,895</t>
  </si>
  <si>
    <t>$24,120</t>
  </si>
  <si>
    <t>At Middleton</t>
  </si>
  <si>
    <t>$53,837</t>
  </si>
  <si>
    <t>$33,768</t>
  </si>
  <si>
    <t>Ping Pong Summer</t>
  </si>
  <si>
    <t>$52,909</t>
  </si>
  <si>
    <t>$25,781</t>
  </si>
  <si>
    <t>To Be Takei</t>
  </si>
  <si>
    <t>$52,823</t>
  </si>
  <si>
    <t>$22,846</t>
  </si>
  <si>
    <t>The Missing Picture</t>
  </si>
  <si>
    <t>$52,164</t>
  </si>
  <si>
    <t>$10,148</t>
  </si>
  <si>
    <t>The Retrieval</t>
  </si>
  <si>
    <t>$50,257</t>
  </si>
  <si>
    <t>$7,232</t>
  </si>
  <si>
    <t>The Discoverers</t>
  </si>
  <si>
    <t>Quad</t>
  </si>
  <si>
    <t>$50,020</t>
  </si>
  <si>
    <t>$7,166</t>
  </si>
  <si>
    <t>NOW: In the Wings on a World Stage</t>
  </si>
  <si>
    <t>Spa.</t>
  </si>
  <si>
    <t>$49,591</t>
  </si>
  <si>
    <t>$21,500</t>
  </si>
  <si>
    <t>Shirin in Love</t>
  </si>
  <si>
    <t>SSR</t>
  </si>
  <si>
    <t>$49,254</t>
  </si>
  <si>
    <t>The Internet's Own Boy</t>
  </si>
  <si>
    <t>FB/Part.</t>
  </si>
  <si>
    <t>$48,911</t>
  </si>
  <si>
    <t>$21,705</t>
  </si>
  <si>
    <t>A Birder's Guide to Everything</t>
  </si>
  <si>
    <t>$48,713</t>
  </si>
  <si>
    <t>$21,602</t>
  </si>
  <si>
    <t>American Mustang</t>
  </si>
  <si>
    <t>$48,700</t>
  </si>
  <si>
    <t>$7,906</t>
  </si>
  <si>
    <t>Viva La Liberta</t>
  </si>
  <si>
    <t>$48,541</t>
  </si>
  <si>
    <t>$5,272</t>
  </si>
  <si>
    <t>Lucky Them</t>
  </si>
  <si>
    <t>$48,421</t>
  </si>
  <si>
    <t>Decoding Annie Parker</t>
  </si>
  <si>
    <t>$48,390</t>
  </si>
  <si>
    <t>$16,781</t>
  </si>
  <si>
    <t>Alphaville (2013 re-release)</t>
  </si>
  <si>
    <t>$47,696</t>
  </si>
  <si>
    <t>$7,298</t>
  </si>
  <si>
    <t>A Master Builder</t>
  </si>
  <si>
    <t>$46,874</t>
  </si>
  <si>
    <t>$7,017</t>
  </si>
  <si>
    <t>Monk With a Camera</t>
  </si>
  <si>
    <t>$45,938</t>
  </si>
  <si>
    <t>Filmistaan</t>
  </si>
  <si>
    <t>$45,406</t>
  </si>
  <si>
    <t>$31,113</t>
  </si>
  <si>
    <t>Return to The Hiding Place</t>
  </si>
  <si>
    <t>SEA</t>
  </si>
  <si>
    <t>$45,405</t>
  </si>
  <si>
    <t>$36,942</t>
  </si>
  <si>
    <t>Ai Weiwei: The Fake Case</t>
  </si>
  <si>
    <t>$45,255</t>
  </si>
  <si>
    <t>$5,066</t>
  </si>
  <si>
    <t>There's No Place Like Utopia</t>
  </si>
  <si>
    <t>$45,254</t>
  </si>
  <si>
    <t>$30,710</t>
  </si>
  <si>
    <t>The Dog</t>
  </si>
  <si>
    <t>$44,581</t>
  </si>
  <si>
    <t>$12,431</t>
  </si>
  <si>
    <t>If You Build It</t>
  </si>
  <si>
    <t>$43,393</t>
  </si>
  <si>
    <t>$4,949</t>
  </si>
  <si>
    <t>Road to Ninja - Naruto the Movie</t>
  </si>
  <si>
    <t>$43,171</t>
  </si>
  <si>
    <t>$19,017</t>
  </si>
  <si>
    <t>Next Goal Wins</t>
  </si>
  <si>
    <t>$43,089</t>
  </si>
  <si>
    <t>$2,568</t>
  </si>
  <si>
    <t>Interior. Leather Bar.</t>
  </si>
  <si>
    <t>$42,534</t>
  </si>
  <si>
    <t>$5,218</t>
  </si>
  <si>
    <t>Blood Ties (2014)</t>
  </si>
  <si>
    <t>$42,472</t>
  </si>
  <si>
    <t>$26,912</t>
  </si>
  <si>
    <t>The Last Of The Unjust</t>
  </si>
  <si>
    <t>$40,563</t>
  </si>
  <si>
    <t>$14,328</t>
  </si>
  <si>
    <t>Teenage</t>
  </si>
  <si>
    <t>$40,169</t>
  </si>
  <si>
    <t>$8,000</t>
  </si>
  <si>
    <t>Child of God</t>
  </si>
  <si>
    <t>$39,324</t>
  </si>
  <si>
    <t>$27,630</t>
  </si>
  <si>
    <t>Expedition to the End of the World</t>
  </si>
  <si>
    <t>$39,115</t>
  </si>
  <si>
    <t>$6,635</t>
  </si>
  <si>
    <t>7 Boxes</t>
  </si>
  <si>
    <t>BGP</t>
  </si>
  <si>
    <t>$38,106</t>
  </si>
  <si>
    <t>$6,447</t>
  </si>
  <si>
    <t>Dead Snow 2: Red vs. Dead</t>
  </si>
  <si>
    <t>$37,473</t>
  </si>
  <si>
    <t>$17,331</t>
  </si>
  <si>
    <t>Not Cool</t>
  </si>
  <si>
    <t>$36,026</t>
  </si>
  <si>
    <t>$10,329</t>
  </si>
  <si>
    <t>Le Jour Se Leve (2014 re-release)</t>
  </si>
  <si>
    <t>$35,321</t>
  </si>
  <si>
    <t>$11,864</t>
  </si>
  <si>
    <t>That Man From Rio</t>
  </si>
  <si>
    <t>$35,144</t>
  </si>
  <si>
    <t>Beneath the Harvest Sky</t>
  </si>
  <si>
    <t>$34,768</t>
  </si>
  <si>
    <t>$16,768</t>
  </si>
  <si>
    <t>This Ain't No Mouse Music!</t>
  </si>
  <si>
    <t>$34,754</t>
  </si>
  <si>
    <t>$15,982</t>
  </si>
  <si>
    <t>Expelled from Paradise</t>
  </si>
  <si>
    <t>$34,510</t>
  </si>
  <si>
    <t>$18,869</t>
  </si>
  <si>
    <t>Tiger &amp; Bunny The Movie: The Rising</t>
  </si>
  <si>
    <t>$34,471</t>
  </si>
  <si>
    <t>$23,171</t>
  </si>
  <si>
    <t>Filth</t>
  </si>
  <si>
    <t>$34,411</t>
  </si>
  <si>
    <t>Rocks in my Pockets</t>
  </si>
  <si>
    <t>$34,236</t>
  </si>
  <si>
    <t>$4,674</t>
  </si>
  <si>
    <t>White Bird in a Blizzard</t>
  </si>
  <si>
    <t>$33,821</t>
  </si>
  <si>
    <t>$6,302</t>
  </si>
  <si>
    <t>It Felt Like Love</t>
  </si>
  <si>
    <t>$33,817</t>
  </si>
  <si>
    <t>$8,211</t>
  </si>
  <si>
    <t>K: Missing Kings</t>
  </si>
  <si>
    <t>$33,531</t>
  </si>
  <si>
    <t>Big Bad Wolves</t>
  </si>
  <si>
    <t>$33,232</t>
  </si>
  <si>
    <t>$6,342</t>
  </si>
  <si>
    <t>A Field in England</t>
  </si>
  <si>
    <t>$32,846</t>
  </si>
  <si>
    <t>$9,498</t>
  </si>
  <si>
    <t>For a Woman</t>
  </si>
  <si>
    <t>$32,286</t>
  </si>
  <si>
    <t>$6,530</t>
  </si>
  <si>
    <t>The Hero of Color City</t>
  </si>
  <si>
    <t>$32,188</t>
  </si>
  <si>
    <t>$24,260</t>
  </si>
  <si>
    <t>Bird People</t>
  </si>
  <si>
    <t>$7,443</t>
  </si>
  <si>
    <t>Abuse of Weakness</t>
  </si>
  <si>
    <t>$31,611</t>
  </si>
  <si>
    <t>$9,140</t>
  </si>
  <si>
    <t>The Passionate Thief (2014 re-release)</t>
  </si>
  <si>
    <t>$8,677</t>
  </si>
  <si>
    <t>Documented</t>
  </si>
  <si>
    <t>DefA</t>
  </si>
  <si>
    <t>$30,662</t>
  </si>
  <si>
    <t>$5,422</t>
  </si>
  <si>
    <t>Happy Christmas</t>
  </si>
  <si>
    <t>$30,312</t>
  </si>
  <si>
    <t>$7,523</t>
  </si>
  <si>
    <t>Jimmy P</t>
  </si>
  <si>
    <t>$30,283</t>
  </si>
  <si>
    <t>$7,191</t>
  </si>
  <si>
    <t>Southern Baptist Sissies</t>
  </si>
  <si>
    <t>$30,160</t>
  </si>
  <si>
    <t>$5,200</t>
  </si>
  <si>
    <t>A Long Way Off</t>
  </si>
  <si>
    <t>MVE</t>
  </si>
  <si>
    <t>$30,104</t>
  </si>
  <si>
    <t>$1,926</t>
  </si>
  <si>
    <t>Manakamana</t>
  </si>
  <si>
    <t>$30,029</t>
  </si>
  <si>
    <t>$3,635</t>
  </si>
  <si>
    <t>Yellow Day</t>
  </si>
  <si>
    <t>$29,656</t>
  </si>
  <si>
    <t>$29,144</t>
  </si>
  <si>
    <t>Othello (2014 re-release)</t>
  </si>
  <si>
    <t>$28,980</t>
  </si>
  <si>
    <t>$6,010</t>
  </si>
  <si>
    <t>Why Don't You Play in Hell</t>
  </si>
  <si>
    <t>$28,534</t>
  </si>
  <si>
    <t>$5,060</t>
  </si>
  <si>
    <t>Stations of the Elevated</t>
  </si>
  <si>
    <t>APD/C</t>
  </si>
  <si>
    <t>$28,516</t>
  </si>
  <si>
    <t>$9,423</t>
  </si>
  <si>
    <t>Closed Curtain</t>
  </si>
  <si>
    <t>$28,098</t>
  </si>
  <si>
    <t>$5,002</t>
  </si>
  <si>
    <t>The King and the Mockingbird</t>
  </si>
  <si>
    <t>$27,513</t>
  </si>
  <si>
    <t>$3,721</t>
  </si>
  <si>
    <t>Lilting</t>
  </si>
  <si>
    <t>$27,054</t>
  </si>
  <si>
    <t>$1,567</t>
  </si>
  <si>
    <t>Last Weekend</t>
  </si>
  <si>
    <t>$27,053</t>
  </si>
  <si>
    <t>$2,661</t>
  </si>
  <si>
    <t>Level Five</t>
  </si>
  <si>
    <t>$27,000</t>
  </si>
  <si>
    <t>$7,161</t>
  </si>
  <si>
    <t>Elena (2014)</t>
  </si>
  <si>
    <t>$25,788</t>
  </si>
  <si>
    <t>$10,341</t>
  </si>
  <si>
    <t>Christian Mingle</t>
  </si>
  <si>
    <t>$25,480</t>
  </si>
  <si>
    <t>$19,836</t>
  </si>
  <si>
    <t>Adult World</t>
  </si>
  <si>
    <t>$25,368</t>
  </si>
  <si>
    <t>$3,783</t>
  </si>
  <si>
    <t>Born to Fly: Elizabeth Streb vs. Gravity</t>
  </si>
  <si>
    <t>$24,630</t>
  </si>
  <si>
    <t>$8,406</t>
  </si>
  <si>
    <t>Happy Valley (2014)</t>
  </si>
  <si>
    <t>$23,868</t>
  </si>
  <si>
    <t>$9,047</t>
  </si>
  <si>
    <t>Believe Me</t>
  </si>
  <si>
    <t>Riot</t>
  </si>
  <si>
    <t>$23,419</t>
  </si>
  <si>
    <t>A Tale of Winter (Conte d'hiver)</t>
  </si>
  <si>
    <t>$23,268</t>
  </si>
  <si>
    <t>$3,802</t>
  </si>
  <si>
    <t>History of Jazz: Oxygen for the Ears</t>
  </si>
  <si>
    <t>$23,048</t>
  </si>
  <si>
    <t>$7,566</t>
  </si>
  <si>
    <t>Video Games: The Movie</t>
  </si>
  <si>
    <t>$23,043</t>
  </si>
  <si>
    <t>$12,759</t>
  </si>
  <si>
    <t>Short Peace</t>
  </si>
  <si>
    <t>$22,862</t>
  </si>
  <si>
    <t>Two Lives</t>
  </si>
  <si>
    <t>$22,620</t>
  </si>
  <si>
    <t>$1,303</t>
  </si>
  <si>
    <t>Grand Piano</t>
  </si>
  <si>
    <t>$22,555</t>
  </si>
  <si>
    <t>$2,964</t>
  </si>
  <si>
    <t>May in the Summer</t>
  </si>
  <si>
    <t>$22,004</t>
  </si>
  <si>
    <t>Bright Days Ahead</t>
  </si>
  <si>
    <t>$21,770</t>
  </si>
  <si>
    <t>$4,919</t>
  </si>
  <si>
    <t>The Decent One</t>
  </si>
  <si>
    <t>$21,327</t>
  </si>
  <si>
    <t>Memphis</t>
  </si>
  <si>
    <t>$21,286</t>
  </si>
  <si>
    <t>NightLights</t>
  </si>
  <si>
    <t>$21,147</t>
  </si>
  <si>
    <t>$6,414</t>
  </si>
  <si>
    <t>The Sacrifice</t>
  </si>
  <si>
    <t>$20,945</t>
  </si>
  <si>
    <t>Lekar Hum Deewana Dil</t>
  </si>
  <si>
    <t>$20,874</t>
  </si>
  <si>
    <t>$14,418</t>
  </si>
  <si>
    <t>The Great Flood</t>
  </si>
  <si>
    <t>$20,694</t>
  </si>
  <si>
    <t>$3,596</t>
  </si>
  <si>
    <t>Coming Up Roses (2014 re-release)</t>
  </si>
  <si>
    <t>$20,567</t>
  </si>
  <si>
    <t>$6,432</t>
  </si>
  <si>
    <t>Run and Jump</t>
  </si>
  <si>
    <t>$20,061</t>
  </si>
  <si>
    <t>$3,944</t>
  </si>
  <si>
    <t>The Past is a Grotesque Animal</t>
  </si>
  <si>
    <t>$20,056</t>
  </si>
  <si>
    <t>Uzumasa Limelight</t>
  </si>
  <si>
    <t>$19,597</t>
  </si>
  <si>
    <t>$10,090</t>
  </si>
  <si>
    <t>A Picture of You</t>
  </si>
  <si>
    <t>$19,480</t>
  </si>
  <si>
    <t>$5,650</t>
  </si>
  <si>
    <t>Guardian Angel</t>
  </si>
  <si>
    <t>$12,624</t>
  </si>
  <si>
    <t>Peter Brook: The Tightrope</t>
  </si>
  <si>
    <t>$19,365</t>
  </si>
  <si>
    <t>$6,768</t>
  </si>
  <si>
    <t>Actress (2014)</t>
  </si>
  <si>
    <t>$4,880</t>
  </si>
  <si>
    <t>Watchers of the Sky</t>
  </si>
  <si>
    <t>$19,339</t>
  </si>
  <si>
    <t>$7,473</t>
  </si>
  <si>
    <t>The Kill Team</t>
  </si>
  <si>
    <t>$18,983</t>
  </si>
  <si>
    <t>Test</t>
  </si>
  <si>
    <t>$18,823</t>
  </si>
  <si>
    <t>Tasting Menu</t>
  </si>
  <si>
    <t>$18,686</t>
  </si>
  <si>
    <t>Two Night Stand</t>
  </si>
  <si>
    <t>$18,612</t>
  </si>
  <si>
    <t>$15,600</t>
  </si>
  <si>
    <t>Who is Dayani Cristal?</t>
  </si>
  <si>
    <t>$18,190</t>
  </si>
  <si>
    <t>$5,712</t>
  </si>
  <si>
    <t>Tosca's Kiss (2014 re-release)</t>
  </si>
  <si>
    <t>$18,087</t>
  </si>
  <si>
    <t>$418</t>
  </si>
  <si>
    <t>Journey to the West</t>
  </si>
  <si>
    <t>$18,058</t>
  </si>
  <si>
    <t>$7,456</t>
  </si>
  <si>
    <t>One Day Pina Asked...</t>
  </si>
  <si>
    <t>$18,016</t>
  </si>
  <si>
    <t>$1,756</t>
  </si>
  <si>
    <t>Kelly &amp; Cal</t>
  </si>
  <si>
    <t>$17,702</t>
  </si>
  <si>
    <t>$5,387</t>
  </si>
  <si>
    <t>The Homestretch</t>
  </si>
  <si>
    <t>KF</t>
  </si>
  <si>
    <t>$17,306</t>
  </si>
  <si>
    <t>$8,373</t>
  </si>
  <si>
    <t>Stand Clear of the Closing Doors</t>
  </si>
  <si>
    <t>$17,282</t>
  </si>
  <si>
    <t>Accident</t>
  </si>
  <si>
    <t>$17,161</t>
  </si>
  <si>
    <t>$5,798</t>
  </si>
  <si>
    <t>Goodbye To All That</t>
  </si>
  <si>
    <t>$16,986</t>
  </si>
  <si>
    <t>Cold Comes the Night</t>
  </si>
  <si>
    <t>$16,971</t>
  </si>
  <si>
    <t>$11,603</t>
  </si>
  <si>
    <t>Hank and Asha</t>
  </si>
  <si>
    <t>$16,878</t>
  </si>
  <si>
    <t>$6,192</t>
  </si>
  <si>
    <t>Burning Bush</t>
  </si>
  <si>
    <t>$16,731</t>
  </si>
  <si>
    <t>Magician: The Astonishing Life and Work of Orson Welles</t>
  </si>
  <si>
    <t>$16,400</t>
  </si>
  <si>
    <t>$7,130</t>
  </si>
  <si>
    <t>Levitated Mass</t>
  </si>
  <si>
    <t>$16,086</t>
  </si>
  <si>
    <t>$4,589</t>
  </si>
  <si>
    <t>Olivia Experiment</t>
  </si>
  <si>
    <t>$15,122</t>
  </si>
  <si>
    <t>$2,754</t>
  </si>
  <si>
    <t>Barefoot</t>
  </si>
  <si>
    <t>$15,071</t>
  </si>
  <si>
    <t>$11,767</t>
  </si>
  <si>
    <t>Horses of God</t>
  </si>
  <si>
    <t>$14,817</t>
  </si>
  <si>
    <t>$2,251</t>
  </si>
  <si>
    <t>Last Passenger</t>
  </si>
  <si>
    <t>$14,806</t>
  </si>
  <si>
    <t>$9,326</t>
  </si>
  <si>
    <t>Exhibition</t>
  </si>
  <si>
    <t>$14,344</t>
  </si>
  <si>
    <t>13 Sins</t>
  </si>
  <si>
    <t>$13,809</t>
  </si>
  <si>
    <t>$9,261</t>
  </si>
  <si>
    <t>The Pretty One</t>
  </si>
  <si>
    <t>$13,769</t>
  </si>
  <si>
    <t>Fifi Howls From Happiness</t>
  </si>
  <si>
    <t>$13,614</t>
  </si>
  <si>
    <t>$2,728</t>
  </si>
  <si>
    <t>War of the Worlds: Goliath</t>
  </si>
  <si>
    <t>BCMG</t>
  </si>
  <si>
    <t>$13,385</t>
  </si>
  <si>
    <t>A Long Way Down</t>
  </si>
  <si>
    <t>$13,347</t>
  </si>
  <si>
    <t>$1,426</t>
  </si>
  <si>
    <t>Camp X-Ray</t>
  </si>
  <si>
    <t>$13,302</t>
  </si>
  <si>
    <t>Days and Nights</t>
  </si>
  <si>
    <t>$13,243</t>
  </si>
  <si>
    <t>$6,003</t>
  </si>
  <si>
    <t>Sol LeWitt</t>
  </si>
  <si>
    <t>$13,146</t>
  </si>
  <si>
    <t>$4,051</t>
  </si>
  <si>
    <t>The Pleasures of Being Out of Step</t>
  </si>
  <si>
    <t>$13,137</t>
  </si>
  <si>
    <t>$1,846</t>
  </si>
  <si>
    <t>K2: Siren of the Himalayas</t>
  </si>
  <si>
    <t>$12,959</t>
  </si>
  <si>
    <t>$1,421</t>
  </si>
  <si>
    <t>Alien Abduction</t>
  </si>
  <si>
    <t>$10,514</t>
  </si>
  <si>
    <t>Concerning Violence</t>
  </si>
  <si>
    <t>$12,680</t>
  </si>
  <si>
    <t>Special ID</t>
  </si>
  <si>
    <t>$12,666</t>
  </si>
  <si>
    <t>Bhopal: A Prayer for Rain</t>
  </si>
  <si>
    <t>Rvl</t>
  </si>
  <si>
    <t>$12,628</t>
  </si>
  <si>
    <t>$5,948</t>
  </si>
  <si>
    <t>Boy Meets Girl</t>
  </si>
  <si>
    <t>$12,589</t>
  </si>
  <si>
    <t>Touch the Wall</t>
  </si>
  <si>
    <t>TTW</t>
  </si>
  <si>
    <t>$6,200</t>
  </si>
  <si>
    <t>Wolves</t>
  </si>
  <si>
    <t>$12,139</t>
  </si>
  <si>
    <t>In No Great Hurry: 13 Lessons in Life with Saul Leiter</t>
  </si>
  <si>
    <t>mTuck</t>
  </si>
  <si>
    <t>$12,133</t>
  </si>
  <si>
    <t>$6,100</t>
  </si>
  <si>
    <t>The French Minister</t>
  </si>
  <si>
    <t>$12,027</t>
  </si>
  <si>
    <t>$3,800</t>
  </si>
  <si>
    <t>Queen Margot (2014 re-release)</t>
  </si>
  <si>
    <t>$12,005</t>
  </si>
  <si>
    <t>$4,985</t>
  </si>
  <si>
    <t>Revenge of the Mekons</t>
  </si>
  <si>
    <t>$11,861</t>
  </si>
  <si>
    <t>$2,354</t>
  </si>
  <si>
    <t>Falcon Rising</t>
  </si>
  <si>
    <t>$11,774</t>
  </si>
  <si>
    <t>$8,691</t>
  </si>
  <si>
    <t>Life of Riley</t>
  </si>
  <si>
    <t>$11,616</t>
  </si>
  <si>
    <t>Living is Easy with Eyes Closed</t>
  </si>
  <si>
    <t>Outs</t>
  </si>
  <si>
    <t>You're Not You</t>
  </si>
  <si>
    <t>$11,486</t>
  </si>
  <si>
    <t>$9,226</t>
  </si>
  <si>
    <t>The Great Invisible</t>
  </si>
  <si>
    <t>$11,428</t>
  </si>
  <si>
    <t>$2,348</t>
  </si>
  <si>
    <t>The Final Member</t>
  </si>
  <si>
    <t>$2,064</t>
  </si>
  <si>
    <t>The Amazing Catfish</t>
  </si>
  <si>
    <t>$11,342</t>
  </si>
  <si>
    <t>$733</t>
  </si>
  <si>
    <t>Dishkiyaoon</t>
  </si>
  <si>
    <t>$11,288</t>
  </si>
  <si>
    <t>$8,173</t>
  </si>
  <si>
    <t>Policeman</t>
  </si>
  <si>
    <t>$11,263</t>
  </si>
  <si>
    <t>$7,379</t>
  </si>
  <si>
    <t>Pay 2 Play: Democracy's High Stakes</t>
  </si>
  <si>
    <t>SFI</t>
  </si>
  <si>
    <t>$11,021</t>
  </si>
  <si>
    <t>$2,233</t>
  </si>
  <si>
    <t>The Players</t>
  </si>
  <si>
    <t>$10,854</t>
  </si>
  <si>
    <t>$6,674</t>
  </si>
  <si>
    <t>As It Is In Heaven</t>
  </si>
  <si>
    <t>$10,850</t>
  </si>
  <si>
    <t>$531</t>
  </si>
  <si>
    <t>Inside the Mind of Leonardo Da Vinci in 3D</t>
  </si>
  <si>
    <t>$10,600</t>
  </si>
  <si>
    <t>Norte, the End of History</t>
  </si>
  <si>
    <t>$10,457</t>
  </si>
  <si>
    <t>$2,164</t>
  </si>
  <si>
    <t>Stray Dogs</t>
  </si>
  <si>
    <t>$10,433</t>
  </si>
  <si>
    <t>$2,998</t>
  </si>
  <si>
    <t>The Endless Summer (2014 re-release)</t>
  </si>
  <si>
    <t>Before I Disappear</t>
  </si>
  <si>
    <t>$10,078</t>
  </si>
  <si>
    <t>$2,676</t>
  </si>
  <si>
    <t>Kabbalah Me</t>
  </si>
  <si>
    <t>$9,816</t>
  </si>
  <si>
    <t>$2,196</t>
  </si>
  <si>
    <t>Marius</t>
  </si>
  <si>
    <t>$9,781</t>
  </si>
  <si>
    <t>If You Don't, I Will</t>
  </si>
  <si>
    <t>$9,719</t>
  </si>
  <si>
    <t>On the Other Side of the Tracks</t>
  </si>
  <si>
    <t>$9,572</t>
  </si>
  <si>
    <t>$5,923</t>
  </si>
  <si>
    <t>In the House of Flies</t>
  </si>
  <si>
    <t>$9,480</t>
  </si>
  <si>
    <t>Radio Free Albemuth</t>
  </si>
  <si>
    <t>$9,365</t>
  </si>
  <si>
    <t>$5,553</t>
  </si>
  <si>
    <t>The Immortalists</t>
  </si>
  <si>
    <t>$9,331</t>
  </si>
  <si>
    <t>$1,308</t>
  </si>
  <si>
    <t>Honeymoon</t>
  </si>
  <si>
    <t>$9,318</t>
  </si>
  <si>
    <t>$4,131</t>
  </si>
  <si>
    <t>The Sacrament</t>
  </si>
  <si>
    <t>$9,221</t>
  </si>
  <si>
    <t>$583</t>
  </si>
  <si>
    <t>Faith Connections</t>
  </si>
  <si>
    <t>$9,111</t>
  </si>
  <si>
    <t>The Cabinet of Dr. Caligari (2014 re-release)</t>
  </si>
  <si>
    <t>$8,811</t>
  </si>
  <si>
    <t>Fanny</t>
  </si>
  <si>
    <t>$8,735</t>
  </si>
  <si>
    <t>$1,872</t>
  </si>
  <si>
    <t>Comet</t>
  </si>
  <si>
    <t>$8,623</t>
  </si>
  <si>
    <t>The Mystery of Happiness</t>
  </si>
  <si>
    <t>$382</t>
  </si>
  <si>
    <t>The Quitter</t>
  </si>
  <si>
    <t>OGP</t>
  </si>
  <si>
    <t>$8,512</t>
  </si>
  <si>
    <t>$5,588</t>
  </si>
  <si>
    <t>Canopy</t>
  </si>
  <si>
    <t>$3,042</t>
  </si>
  <si>
    <t>Almost Human</t>
  </si>
  <si>
    <t>$8,447</t>
  </si>
  <si>
    <t>$2,722</t>
  </si>
  <si>
    <t>Red Hollywood</t>
  </si>
  <si>
    <t>$8,426</t>
  </si>
  <si>
    <t>$4,760</t>
  </si>
  <si>
    <t>Love is in the Air</t>
  </si>
  <si>
    <t>$8,425</t>
  </si>
  <si>
    <t>$4,937</t>
  </si>
  <si>
    <t>Eternity the Movie</t>
  </si>
  <si>
    <t>$8,350</t>
  </si>
  <si>
    <t>Gringo Trails</t>
  </si>
  <si>
    <t>$158</t>
  </si>
  <si>
    <t>Life Partners</t>
  </si>
  <si>
    <t>$8,265</t>
  </si>
  <si>
    <t>$2,665</t>
  </si>
  <si>
    <t>Empty Hours</t>
  </si>
  <si>
    <t>$8,244</t>
  </si>
  <si>
    <t>$1,366</t>
  </si>
  <si>
    <t>Gladiators of Rome</t>
  </si>
  <si>
    <t>$8,201</t>
  </si>
  <si>
    <t>$1,920</t>
  </si>
  <si>
    <t>Next Year Jerusalem</t>
  </si>
  <si>
    <t>$8,093</t>
  </si>
  <si>
    <t>$2,590</t>
  </si>
  <si>
    <t>Rigor Mortis</t>
  </si>
  <si>
    <t>$7,865</t>
  </si>
  <si>
    <t>Archipelago</t>
  </si>
  <si>
    <t>$7,791</t>
  </si>
  <si>
    <t>Come Back to Me</t>
  </si>
  <si>
    <t>$7,744</t>
  </si>
  <si>
    <t>Iceman (2014)</t>
  </si>
  <si>
    <t>$7,679</t>
  </si>
  <si>
    <t>$4,698</t>
  </si>
  <si>
    <t>The Little Bedroom</t>
  </si>
  <si>
    <t>$7,440</t>
  </si>
  <si>
    <t>$2,981</t>
  </si>
  <si>
    <t>Raze</t>
  </si>
  <si>
    <t>$7,429</t>
  </si>
  <si>
    <t>I Am Ali</t>
  </si>
  <si>
    <t>$7,205</t>
  </si>
  <si>
    <t>$4,178</t>
  </si>
  <si>
    <t>The Strange Color of Your Body's Tears</t>
  </si>
  <si>
    <t>$7,182</t>
  </si>
  <si>
    <t>$1,535</t>
  </si>
  <si>
    <t>ABCs of Death 2</t>
  </si>
  <si>
    <t>$7,171</t>
  </si>
  <si>
    <t>$4,022</t>
  </si>
  <si>
    <t>Stage Fright (2014)</t>
  </si>
  <si>
    <t>$7,078</t>
  </si>
  <si>
    <t>$3,562</t>
  </si>
  <si>
    <t>Plot for Peace</t>
  </si>
  <si>
    <t>$7,051</t>
  </si>
  <si>
    <t>$2,554</t>
  </si>
  <si>
    <t>Very Good Girls</t>
  </si>
  <si>
    <t>$6,940</t>
  </si>
  <si>
    <t>$4,102</t>
  </si>
  <si>
    <t>Pioneer</t>
  </si>
  <si>
    <t>$6,871</t>
  </si>
  <si>
    <t>$1,857</t>
  </si>
  <si>
    <t>No God, No Master</t>
  </si>
  <si>
    <t>Before You Know It</t>
  </si>
  <si>
    <t>$6,717</t>
  </si>
  <si>
    <t>Will You Still Love Me Tomorrow</t>
  </si>
  <si>
    <t>$2,969</t>
  </si>
  <si>
    <t>Aatsinki: The Story of Arctic Cowboys</t>
  </si>
  <si>
    <t>$6,601</t>
  </si>
  <si>
    <t>$2,842</t>
  </si>
  <si>
    <t>Life of a King</t>
  </si>
  <si>
    <t>$6,547</t>
  </si>
  <si>
    <t>$4,231</t>
  </si>
  <si>
    <t>Jews of Egypt</t>
  </si>
  <si>
    <t>$6,505</t>
  </si>
  <si>
    <t>$2,179</t>
  </si>
  <si>
    <t>The Adventurer: The Curse of the Midas Box</t>
  </si>
  <si>
    <t>$6,399</t>
  </si>
  <si>
    <t>$4,756</t>
  </si>
  <si>
    <t>Manuscripts Don't Burn</t>
  </si>
  <si>
    <t>$6,295</t>
  </si>
  <si>
    <t>Tip Top</t>
  </si>
  <si>
    <t>$6,050</t>
  </si>
  <si>
    <t>Love and Air Sex</t>
  </si>
  <si>
    <t>$6,047</t>
  </si>
  <si>
    <t>Cavemen</t>
  </si>
  <si>
    <t>$3,544</t>
  </si>
  <si>
    <t>Gang of Ghosts</t>
  </si>
  <si>
    <t>$5,906</t>
  </si>
  <si>
    <t>$4,520</t>
  </si>
  <si>
    <t>The Strange Little Cat</t>
  </si>
  <si>
    <t>KS</t>
  </si>
  <si>
    <t>$5,885</t>
  </si>
  <si>
    <t>$3,594</t>
  </si>
  <si>
    <t>2 Autumns, 3 Winters</t>
  </si>
  <si>
    <t>$5,819</t>
  </si>
  <si>
    <t>$2,163</t>
  </si>
  <si>
    <t>The Devil's Hand</t>
  </si>
  <si>
    <t>$5,746</t>
  </si>
  <si>
    <t>$4,239</t>
  </si>
  <si>
    <t>Papirosen</t>
  </si>
  <si>
    <t>$5,658</t>
  </si>
  <si>
    <t>Kid Cannabis</t>
  </si>
  <si>
    <t>$5,565</t>
  </si>
  <si>
    <t>Gabrielle (2014)</t>
  </si>
  <si>
    <t>$5,534</t>
  </si>
  <si>
    <t>$3,024</t>
  </si>
  <si>
    <t>Flex is Kings</t>
  </si>
  <si>
    <t>BBFR</t>
  </si>
  <si>
    <t>$5,418</t>
  </si>
  <si>
    <t>$3,152</t>
  </si>
  <si>
    <t>The Only Real Game</t>
  </si>
  <si>
    <t>TORG</t>
  </si>
  <si>
    <t>$5,384</t>
  </si>
  <si>
    <t>$1,130</t>
  </si>
  <si>
    <t>Return to Nuke 'Em High Volume 1</t>
  </si>
  <si>
    <t>$3,226</t>
  </si>
  <si>
    <t>Sleepwalker</t>
  </si>
  <si>
    <t>$5,012</t>
  </si>
  <si>
    <t>$2,636</t>
  </si>
  <si>
    <t>Nothing Bad Can Happen</t>
  </si>
  <si>
    <t>$4,870</t>
  </si>
  <si>
    <t>$2,853</t>
  </si>
  <si>
    <t>Half the Road</t>
  </si>
  <si>
    <t>$4,783</t>
  </si>
  <si>
    <t>$1,613</t>
  </si>
  <si>
    <t>Death Metal Angola</t>
  </si>
  <si>
    <t>$895</t>
  </si>
  <si>
    <t>Smiling Through the Apocalypse</t>
  </si>
  <si>
    <t>$4,560</t>
  </si>
  <si>
    <t>Unrelated</t>
  </si>
  <si>
    <t>$4,529</t>
  </si>
  <si>
    <t>The Truth About Emanuel</t>
  </si>
  <si>
    <t>$4,404</t>
  </si>
  <si>
    <t>Anna</t>
  </si>
  <si>
    <t>$4,288</t>
  </si>
  <si>
    <t>$2,541</t>
  </si>
  <si>
    <t>Free the Nipple</t>
  </si>
  <si>
    <t>$4,198</t>
  </si>
  <si>
    <t>$606</t>
  </si>
  <si>
    <t>Thunder and the House of Magic!</t>
  </si>
  <si>
    <t>$4,091</t>
  </si>
  <si>
    <t>Maidan</t>
  </si>
  <si>
    <t>$3,909</t>
  </si>
  <si>
    <t>$1,847</t>
  </si>
  <si>
    <t>Beyond Outrage</t>
  </si>
  <si>
    <t>$3,878</t>
  </si>
  <si>
    <t>$1,938</t>
  </si>
  <si>
    <t>Swim Little Fish Swim</t>
  </si>
  <si>
    <t>$3,877</t>
  </si>
  <si>
    <t>Hollidaysburg</t>
  </si>
  <si>
    <t>$3,861</t>
  </si>
  <si>
    <t>The Word</t>
  </si>
  <si>
    <t>SSP</t>
  </si>
  <si>
    <t>$3,648</t>
  </si>
  <si>
    <t>Stop the Pounding Heart</t>
  </si>
  <si>
    <t>$2,363</t>
  </si>
  <si>
    <t>Hide Your Smiling Faces</t>
  </si>
  <si>
    <t>$3,576</t>
  </si>
  <si>
    <t>Evolution of a Criminal</t>
  </si>
  <si>
    <t>$3,568</t>
  </si>
  <si>
    <t>Locker 13</t>
  </si>
  <si>
    <t>BIP</t>
  </si>
  <si>
    <t>$3,496</t>
  </si>
  <si>
    <t>The Hacker Wars</t>
  </si>
  <si>
    <t>$3,470</t>
  </si>
  <si>
    <t>$2,958</t>
  </si>
  <si>
    <t>Aftermath (2014)</t>
  </si>
  <si>
    <t>$3,451</t>
  </si>
  <si>
    <t>$1,124</t>
  </si>
  <si>
    <t>Life's a Breeze</t>
  </si>
  <si>
    <t>$3,450</t>
  </si>
  <si>
    <t>$1,361</t>
  </si>
  <si>
    <t>Age of Uprising: The Legend of Michael Kohlhaas (U.S. only)</t>
  </si>
  <si>
    <t>$3,313</t>
  </si>
  <si>
    <t>The Girl on the Train (2014)</t>
  </si>
  <si>
    <t>$3,124</t>
  </si>
  <si>
    <t>$211</t>
  </si>
  <si>
    <t>Showrunners: The Art of Running a TV Show</t>
  </si>
  <si>
    <t>What Now? Remind Me</t>
  </si>
  <si>
    <t>$3,089</t>
  </si>
  <si>
    <t>$1,434</t>
  </si>
  <si>
    <t>French Gigolo (Cliente)</t>
  </si>
  <si>
    <t>$3,021</t>
  </si>
  <si>
    <t>Fatal Assistance</t>
  </si>
  <si>
    <t>Velv.</t>
  </si>
  <si>
    <t>V/H/S: Viral</t>
  </si>
  <si>
    <t>$2,756</t>
  </si>
  <si>
    <t>$1,221</t>
  </si>
  <si>
    <t>Black Out</t>
  </si>
  <si>
    <t>DR</t>
  </si>
  <si>
    <t>$2,734</t>
  </si>
  <si>
    <t>$1,749</t>
  </si>
  <si>
    <t>Mercedes Sosa: The Voice of Latin America</t>
  </si>
  <si>
    <t>$2,648</t>
  </si>
  <si>
    <t>$1,415</t>
  </si>
  <si>
    <t>Refuge</t>
  </si>
  <si>
    <t>$1,274</t>
  </si>
  <si>
    <t>Indigo Children</t>
  </si>
  <si>
    <t>SE</t>
  </si>
  <si>
    <t>$2,621</t>
  </si>
  <si>
    <t>$1,829</t>
  </si>
  <si>
    <t>Jake Squared</t>
  </si>
  <si>
    <t>$2,592</t>
  </si>
  <si>
    <t>$1,681</t>
  </si>
  <si>
    <t>McCanick</t>
  </si>
  <si>
    <t>$2,572</t>
  </si>
  <si>
    <t>$1,929</t>
  </si>
  <si>
    <t>Two-Bit Waltz</t>
  </si>
  <si>
    <t>$2,540</t>
  </si>
  <si>
    <t>$136</t>
  </si>
  <si>
    <t>The Wait</t>
  </si>
  <si>
    <t>$161</t>
  </si>
  <si>
    <t>The Protector 2</t>
  </si>
  <si>
    <t>$2,463</t>
  </si>
  <si>
    <t>$270</t>
  </si>
  <si>
    <t>Evergreen: The Road to Legalization</t>
  </si>
  <si>
    <t>$189</t>
  </si>
  <si>
    <t>Moebius</t>
  </si>
  <si>
    <t>$876</t>
  </si>
  <si>
    <t>Infliction</t>
  </si>
  <si>
    <t>FTP</t>
  </si>
  <si>
    <t>$2,256</t>
  </si>
  <si>
    <t>$816</t>
  </si>
  <si>
    <t>Missionary</t>
  </si>
  <si>
    <t>$2,120</t>
  </si>
  <si>
    <t>The Right Kind of Wrong</t>
  </si>
  <si>
    <t>$2,098</t>
  </si>
  <si>
    <t>$593</t>
  </si>
  <si>
    <t>Algorithms</t>
  </si>
  <si>
    <t>$2,021</t>
  </si>
  <si>
    <t>$317</t>
  </si>
  <si>
    <t>Open Windows</t>
  </si>
  <si>
    <t>$1,750</t>
  </si>
  <si>
    <t>Mr. Pip</t>
  </si>
  <si>
    <t>More Than the Rainbow</t>
  </si>
  <si>
    <t>$1,677</t>
  </si>
  <si>
    <t>Summer in February</t>
  </si>
  <si>
    <t>$1,624</t>
  </si>
  <si>
    <t>Rhymes for Young Ghouls</t>
  </si>
  <si>
    <t>$1,529</t>
  </si>
  <si>
    <t>$141</t>
  </si>
  <si>
    <t>Postman Pat: The Movie</t>
  </si>
  <si>
    <t>$1,519</t>
  </si>
  <si>
    <t>$1,254</t>
  </si>
  <si>
    <t>Souldier</t>
  </si>
  <si>
    <t>$1,500</t>
  </si>
  <si>
    <t>Ragnarok</t>
  </si>
  <si>
    <t>$1,369</t>
  </si>
  <si>
    <t>$522</t>
  </si>
  <si>
    <t>The Tower (2014)</t>
  </si>
  <si>
    <t>$1,117</t>
  </si>
  <si>
    <t>$726</t>
  </si>
  <si>
    <t>Anything For Alice</t>
  </si>
  <si>
    <t>$1,092</t>
  </si>
  <si>
    <t>$738</t>
  </si>
  <si>
    <t>We Are the Giant</t>
  </si>
  <si>
    <t>$1,088</t>
  </si>
  <si>
    <t>The Butterfly Room</t>
  </si>
  <si>
    <t>$1,081</t>
  </si>
  <si>
    <t>Demi-Soeur</t>
  </si>
  <si>
    <t>$943</t>
  </si>
  <si>
    <t>$634</t>
  </si>
  <si>
    <t>A People Uncounted</t>
  </si>
  <si>
    <t>$930</t>
  </si>
  <si>
    <t>Jackpot</t>
  </si>
  <si>
    <t>$806</t>
  </si>
  <si>
    <t>Grand Depart</t>
  </si>
  <si>
    <t>$677</t>
  </si>
  <si>
    <t>$339</t>
  </si>
  <si>
    <t>Skinless</t>
  </si>
  <si>
    <t>PPF</t>
  </si>
  <si>
    <t>$400</t>
  </si>
  <si>
    <t>$168</t>
  </si>
  <si>
    <t>Cinemanovels</t>
  </si>
  <si>
    <t>$398</t>
  </si>
  <si>
    <t>Mummy, I'm a Zombie</t>
  </si>
  <si>
    <t>$120</t>
  </si>
  <si>
    <t xml:space="preserve">Loving </t>
  </si>
  <si>
    <t>The Hunger Games: Catching Fire</t>
  </si>
  <si>
    <t>$424,668,047</t>
  </si>
  <si>
    <t>$158,074,286</t>
  </si>
  <si>
    <t>Iron Man 3</t>
  </si>
  <si>
    <t>$409,013,994</t>
  </si>
  <si>
    <t>$174,144,585</t>
  </si>
  <si>
    <t>Frozen</t>
  </si>
  <si>
    <t>$400,738,009</t>
  </si>
  <si>
    <t>$243,390</t>
  </si>
  <si>
    <t>Despicable Me 2</t>
  </si>
  <si>
    <t>$368,061,265</t>
  </si>
  <si>
    <t>$83,517,315</t>
  </si>
  <si>
    <t>Man of Steel</t>
  </si>
  <si>
    <t>$291,045,518</t>
  </si>
  <si>
    <t>$116,619,362</t>
  </si>
  <si>
    <t>Gravity</t>
  </si>
  <si>
    <t>$274,092,705</t>
  </si>
  <si>
    <t>$55,785,112</t>
  </si>
  <si>
    <t>Monsters University</t>
  </si>
  <si>
    <t>$268,492,764</t>
  </si>
  <si>
    <t>$82,429,469</t>
  </si>
  <si>
    <t>The Hobbit: The Desolation of Smaug</t>
  </si>
  <si>
    <t>$258,366,855</t>
  </si>
  <si>
    <t>$73,645,197</t>
  </si>
  <si>
    <t>Fast &amp; Furious 6</t>
  </si>
  <si>
    <t>$238,679,850</t>
  </si>
  <si>
    <t>$97,375,245</t>
  </si>
  <si>
    <t>Oz The Great and Powerful</t>
  </si>
  <si>
    <t>$234,911,825</t>
  </si>
  <si>
    <t>$79,110,453</t>
  </si>
  <si>
    <t>Star Trek Into Darkness</t>
  </si>
  <si>
    <t>$228,778,661</t>
  </si>
  <si>
    <t>$70,165,559</t>
  </si>
  <si>
    <t>Thor: The Dark World</t>
  </si>
  <si>
    <t>$206,362,140</t>
  </si>
  <si>
    <t>$85,737,841</t>
  </si>
  <si>
    <t>World War Z</t>
  </si>
  <si>
    <t>$202,359,711</t>
  </si>
  <si>
    <t>$66,411,834</t>
  </si>
  <si>
    <t>The Croods</t>
  </si>
  <si>
    <t>$187,168,425</t>
  </si>
  <si>
    <t>$43,639,736</t>
  </si>
  <si>
    <t>The Heat</t>
  </si>
  <si>
    <t>$159,582,188</t>
  </si>
  <si>
    <t>$39,115,043</t>
  </si>
  <si>
    <t>We're the Millers</t>
  </si>
  <si>
    <t>$150,394,119</t>
  </si>
  <si>
    <t>$26,419,396</t>
  </si>
  <si>
    <t>American Hustle</t>
  </si>
  <si>
    <t>$150,117,807</t>
  </si>
  <si>
    <t>$740,455</t>
  </si>
  <si>
    <t>The Great Gatsby (2013)</t>
  </si>
  <si>
    <t>$144,840,419</t>
  </si>
  <si>
    <t>$50,085,185</t>
  </si>
  <si>
    <t>The Conjuring</t>
  </si>
  <si>
    <t>$137,400,141</t>
  </si>
  <si>
    <t>$41,855,326</t>
  </si>
  <si>
    <t>Identity Thief</t>
  </si>
  <si>
    <t>$134,506,920</t>
  </si>
  <si>
    <t>$34,551,025</t>
  </si>
  <si>
    <t>Grown Ups 2</t>
  </si>
  <si>
    <t>$133,668,525</t>
  </si>
  <si>
    <t>$41,508,572</t>
  </si>
  <si>
    <t>The Wolverine</t>
  </si>
  <si>
    <t>$132,556,852</t>
  </si>
  <si>
    <t>$53,113,752</t>
  </si>
  <si>
    <t>Anchorman 2: The Legend Continues</t>
  </si>
  <si>
    <t>$125,168,368</t>
  </si>
  <si>
    <t>$26,232,425</t>
  </si>
  <si>
    <t>Lone Survivor</t>
  </si>
  <si>
    <t>$125,095,601</t>
  </si>
  <si>
    <t>$90,872</t>
  </si>
  <si>
    <t>G.I. Joe: Retaliation</t>
  </si>
  <si>
    <t>$122,523,060</t>
  </si>
  <si>
    <t>$40,501,814</t>
  </si>
  <si>
    <t>Cloudy with a Chance of Meatballs 2</t>
  </si>
  <si>
    <t>$119,793,567</t>
  </si>
  <si>
    <t>$34,017,930</t>
  </si>
  <si>
    <t>Now You See Me</t>
  </si>
  <si>
    <t>$117,723,989</t>
  </si>
  <si>
    <t>$29,350,389</t>
  </si>
  <si>
    <t>The Wolf of Wall Street</t>
  </si>
  <si>
    <t>$116,900,694</t>
  </si>
  <si>
    <t>$18,361,578</t>
  </si>
  <si>
    <t>Lee Daniels' The Butler</t>
  </si>
  <si>
    <t>$116,632,095</t>
  </si>
  <si>
    <t>$24,637,312</t>
  </si>
  <si>
    <t>The Hangover Part III</t>
  </si>
  <si>
    <t>$112,200,072</t>
  </si>
  <si>
    <t>$41,671,198</t>
  </si>
  <si>
    <t>Epic</t>
  </si>
  <si>
    <t>$107,518,682</t>
  </si>
  <si>
    <t>$33,531,068</t>
  </si>
  <si>
    <t>Captain Phillips</t>
  </si>
  <si>
    <t>$107,100,855</t>
  </si>
  <si>
    <t>$25,718,314</t>
  </si>
  <si>
    <t>Jackass Presents: Bad Grandpa</t>
  </si>
  <si>
    <t>$102,003,019</t>
  </si>
  <si>
    <t>$32,055,177</t>
  </si>
  <si>
    <t>Pacific Rim</t>
  </si>
  <si>
    <t>$101,802,906</t>
  </si>
  <si>
    <t>$37,285,325</t>
  </si>
  <si>
    <t>This is the End</t>
  </si>
  <si>
    <t>$101,470,202</t>
  </si>
  <si>
    <t>$20,719,162</t>
  </si>
  <si>
    <t>Olympus Has Fallen</t>
  </si>
  <si>
    <t>FD</t>
  </si>
  <si>
    <t>$98,925,640</t>
  </si>
  <si>
    <t>$30,373,794</t>
  </si>
  <si>
    <t>$95,020,213</t>
  </si>
  <si>
    <t>$27,487,144</t>
  </si>
  <si>
    <t>Elysium</t>
  </si>
  <si>
    <t>$93,050,117</t>
  </si>
  <si>
    <t>$29,807,393</t>
  </si>
  <si>
    <t>Planes</t>
  </si>
  <si>
    <t>$90,288,712</t>
  </si>
  <si>
    <t>$22,232,291</t>
  </si>
  <si>
    <t>The Lone Ranger</t>
  </si>
  <si>
    <t>$89,302,115</t>
  </si>
  <si>
    <t>$29,210,849</t>
  </si>
  <si>
    <t>Oblivion</t>
  </si>
  <si>
    <t>$89,107,235</t>
  </si>
  <si>
    <t>$37,054,485</t>
  </si>
  <si>
    <t>Insidious Chapter 2</t>
  </si>
  <si>
    <t>$83,586,447</t>
  </si>
  <si>
    <t>$40,272,103</t>
  </si>
  <si>
    <t>Saving Mr. Banks</t>
  </si>
  <si>
    <t>$83,301,580</t>
  </si>
  <si>
    <t>$413,373</t>
  </si>
  <si>
    <t>Turbo</t>
  </si>
  <si>
    <t>$83,028,128</t>
  </si>
  <si>
    <t>$21,312,625</t>
  </si>
  <si>
    <t>2 Guns</t>
  </si>
  <si>
    <t>$75,612,460</t>
  </si>
  <si>
    <t>$27,059,130</t>
  </si>
  <si>
    <t>White House Down</t>
  </si>
  <si>
    <t>$73,103,784</t>
  </si>
  <si>
    <t>$24,852,258</t>
  </si>
  <si>
    <t>Mama</t>
  </si>
  <si>
    <t>$71,628,180</t>
  </si>
  <si>
    <t>$28,402,310</t>
  </si>
  <si>
    <t>Safe Haven</t>
  </si>
  <si>
    <t>$71,349,120</t>
  </si>
  <si>
    <t>$21,401,594</t>
  </si>
  <si>
    <t>The Smurfs 2</t>
  </si>
  <si>
    <t>$71,017,784</t>
  </si>
  <si>
    <t>$17,548,389</t>
  </si>
  <si>
    <t>The Best Man Holiday</t>
  </si>
  <si>
    <t>$70,525,195</t>
  </si>
  <si>
    <t>$30,107,555</t>
  </si>
  <si>
    <t>Percy Jackson: Sea of Monsters</t>
  </si>
  <si>
    <t>$68,559,554</t>
  </si>
  <si>
    <t>$14,401,054</t>
  </si>
  <si>
    <t>A Good Day to Die Hard</t>
  </si>
  <si>
    <t>$67,349,198</t>
  </si>
  <si>
    <t>$24,834,845</t>
  </si>
  <si>
    <t>Warm Bodies</t>
  </si>
  <si>
    <t>$66,380,662</t>
  </si>
  <si>
    <t>$20,353,967</t>
  </si>
  <si>
    <t>Jack the Giant Slayer</t>
  </si>
  <si>
    <t>$65,187,603</t>
  </si>
  <si>
    <t>$27,202,226</t>
  </si>
  <si>
    <t>The Purge</t>
  </si>
  <si>
    <t>$64,473,115</t>
  </si>
  <si>
    <t>$34,058,360</t>
  </si>
  <si>
    <t>Last Vegas</t>
  </si>
  <si>
    <t>$63,914,167</t>
  </si>
  <si>
    <t>$16,334,566</t>
  </si>
  <si>
    <t>Ender's Game</t>
  </si>
  <si>
    <t>$61,737,191</t>
  </si>
  <si>
    <t>$27,017,351</t>
  </si>
  <si>
    <t>Prisoners</t>
  </si>
  <si>
    <t>$61,002,302</t>
  </si>
  <si>
    <t>$20,817,053</t>
  </si>
  <si>
    <t>After Earth</t>
  </si>
  <si>
    <t>$60,522,097</t>
  </si>
  <si>
    <t>$27,520,040</t>
  </si>
  <si>
    <t>The Secret Life of Walter Mitty</t>
  </si>
  <si>
    <t>$58,236,838</t>
  </si>
  <si>
    <t>$12,765,508</t>
  </si>
  <si>
    <t>Escape From Planet Earth</t>
  </si>
  <si>
    <t>$57,012,977</t>
  </si>
  <si>
    <t>$15,891,055</t>
  </si>
  <si>
    <t>12 Years a Slave</t>
  </si>
  <si>
    <t>$56,671,993</t>
  </si>
  <si>
    <t>$923,715</t>
  </si>
  <si>
    <t>Free Birds</t>
  </si>
  <si>
    <t>$55,750,480</t>
  </si>
  <si>
    <t>$15,805,237</t>
  </si>
  <si>
    <t>Hansel and Gretel: Witch Hunters</t>
  </si>
  <si>
    <t>$55,703,475</t>
  </si>
  <si>
    <t>$19,690,956</t>
  </si>
  <si>
    <t>Evil Dead (2013)</t>
  </si>
  <si>
    <t>$54,239,856</t>
  </si>
  <si>
    <t>$25,775,847</t>
  </si>
  <si>
    <t>Red 2</t>
  </si>
  <si>
    <t>$53,262,560</t>
  </si>
  <si>
    <t>$18,048,422</t>
  </si>
  <si>
    <t>Tyler Perry's A Madea Christmas</t>
  </si>
  <si>
    <t>$52,543,354</t>
  </si>
  <si>
    <t>$16,007,634</t>
  </si>
  <si>
    <t>Tyler Perry's Temptation: Confessions of a Marriage Counselor</t>
  </si>
  <si>
    <t>$51,975,354</t>
  </si>
  <si>
    <t>$21,641,679</t>
  </si>
  <si>
    <t>The Call</t>
  </si>
  <si>
    <t>$51,872,378</t>
  </si>
  <si>
    <t>$17,118,745</t>
  </si>
  <si>
    <t>Pain and Gain</t>
  </si>
  <si>
    <t>$49,875,291</t>
  </si>
  <si>
    <t>$20,244,505</t>
  </si>
  <si>
    <t>Gangster Squad</t>
  </si>
  <si>
    <t>$46,000,903</t>
  </si>
  <si>
    <t>$17,070,347</t>
  </si>
  <si>
    <t>Jurassic Park 3D</t>
  </si>
  <si>
    <t>$45,385,935</t>
  </si>
  <si>
    <t>$18,620,145</t>
  </si>
  <si>
    <t>The Internship</t>
  </si>
  <si>
    <t>$44,672,764</t>
  </si>
  <si>
    <t>$17,325,307</t>
  </si>
  <si>
    <t>Instructions Not Included</t>
  </si>
  <si>
    <t>$44,467,206</t>
  </si>
  <si>
    <t>$7,846,426</t>
  </si>
  <si>
    <t>Snitch</t>
  </si>
  <si>
    <t>$42,930,462</t>
  </si>
  <si>
    <t>$13,167,607</t>
  </si>
  <si>
    <t>Riddick</t>
  </si>
  <si>
    <t>$42,025,135</t>
  </si>
  <si>
    <t>$19,030,375</t>
  </si>
  <si>
    <t>A Haunted House</t>
  </si>
  <si>
    <t>$40,041,683</t>
  </si>
  <si>
    <t>$18,101,682</t>
  </si>
  <si>
    <t>47 Ronin</t>
  </si>
  <si>
    <t>$38,362,475</t>
  </si>
  <si>
    <t>$9,910,310</t>
  </si>
  <si>
    <t>August: Osage County</t>
  </si>
  <si>
    <t>$37,738,810</t>
  </si>
  <si>
    <t>$179,302</t>
  </si>
  <si>
    <t>Philomena</t>
  </si>
  <si>
    <t>$37,709,979</t>
  </si>
  <si>
    <t>$128,435</t>
  </si>
  <si>
    <t>The Family (2013)</t>
  </si>
  <si>
    <t>$36,918,811</t>
  </si>
  <si>
    <t>$14,034,764</t>
  </si>
  <si>
    <t>Walking with Dinosaurs</t>
  </si>
  <si>
    <t>$36,076,121</t>
  </si>
  <si>
    <t>$7,091,938</t>
  </si>
  <si>
    <t>Carrie (2013)</t>
  </si>
  <si>
    <t>$35,266,619</t>
  </si>
  <si>
    <t>$16,101,552</t>
  </si>
  <si>
    <t>Texas Chainsaw 3D</t>
  </si>
  <si>
    <t>$34,341,945</t>
  </si>
  <si>
    <t>$21,744,470</t>
  </si>
  <si>
    <t>R.I.P.D.</t>
  </si>
  <si>
    <t>$33,618,855</t>
  </si>
  <si>
    <t>$12,691,415</t>
  </si>
  <si>
    <t>Blue Jasmine</t>
  </si>
  <si>
    <t>$33,405,481</t>
  </si>
  <si>
    <t>$612,064</t>
  </si>
  <si>
    <t>Kevin Hart: Let Me Explain</t>
  </si>
  <si>
    <t>$32,244,051</t>
  </si>
  <si>
    <t>$10,030,463</t>
  </si>
  <si>
    <t>Side Effects (2013)</t>
  </si>
  <si>
    <t>$32,172,757</t>
  </si>
  <si>
    <t>$9,303,145</t>
  </si>
  <si>
    <t>Scary Movie 5</t>
  </si>
  <si>
    <t>$32,015,787</t>
  </si>
  <si>
    <t>$14,157,367</t>
  </si>
  <si>
    <t>The Mortal Instruments: City of Bones</t>
  </si>
  <si>
    <t>$31,165,421</t>
  </si>
  <si>
    <t>$9,336,957</t>
  </si>
  <si>
    <t>Delivery Man</t>
  </si>
  <si>
    <t>$30,664,106</t>
  </si>
  <si>
    <t>$7,944,977</t>
  </si>
  <si>
    <t>Grudge Match</t>
  </si>
  <si>
    <t>$29,807,260</t>
  </si>
  <si>
    <t>$7,021,993</t>
  </si>
  <si>
    <t>One Direction: This is Us</t>
  </si>
  <si>
    <t>$28,873,374</t>
  </si>
  <si>
    <t>$15,815,497</t>
  </si>
  <si>
    <t>Kick-Ass 2</t>
  </si>
  <si>
    <t>$28,795,985</t>
  </si>
  <si>
    <t>$13,332,955</t>
  </si>
  <si>
    <t>Dallas Buyers Club</t>
  </si>
  <si>
    <t>$27,298,285</t>
  </si>
  <si>
    <t>$260,865</t>
  </si>
  <si>
    <t>Rush (2013)</t>
  </si>
  <si>
    <t>$26,947,624</t>
  </si>
  <si>
    <t>$187,289</t>
  </si>
  <si>
    <t>The Host (2013)</t>
  </si>
  <si>
    <t>$26,627,201</t>
  </si>
  <si>
    <t>$10,600,112</t>
  </si>
  <si>
    <t>The World's End</t>
  </si>
  <si>
    <t>$26,004,851</t>
  </si>
  <si>
    <t>$8,811,790</t>
  </si>
  <si>
    <t>21 and Over</t>
  </si>
  <si>
    <t>$25,682,380</t>
  </si>
  <si>
    <t>$8,754,168</t>
  </si>
  <si>
    <t>Her (2013)</t>
  </si>
  <si>
    <t>$25,568,251</t>
  </si>
  <si>
    <t>$260,382</t>
  </si>
  <si>
    <t>Escape Plan</t>
  </si>
  <si>
    <t>$25,135,965</t>
  </si>
  <si>
    <t>$9,885,732</t>
  </si>
  <si>
    <t>Don Jon</t>
  </si>
  <si>
    <t>$24,477,704</t>
  </si>
  <si>
    <t>$8,677,009</t>
  </si>
  <si>
    <t>The Incredible Burt Wonderstone</t>
  </si>
  <si>
    <t>$22,537,881</t>
  </si>
  <si>
    <t>$10,177,257</t>
  </si>
  <si>
    <t>The Big Wedding</t>
  </si>
  <si>
    <t>$21,819,348</t>
  </si>
  <si>
    <t>$7,591,663</t>
  </si>
  <si>
    <t>Mud</t>
  </si>
  <si>
    <t>$21,590,086</t>
  </si>
  <si>
    <t>$2,215,891</t>
  </si>
  <si>
    <t>Baggage Claim</t>
  </si>
  <si>
    <t>$21,569,509</t>
  </si>
  <si>
    <t>$9,031,102</t>
  </si>
  <si>
    <t>The Way, Way Back</t>
  </si>
  <si>
    <t>$21,506,546</t>
  </si>
  <si>
    <t>$552,788</t>
  </si>
  <si>
    <t>The Book Thief</t>
  </si>
  <si>
    <t>$21,488,481</t>
  </si>
  <si>
    <t>$105,005</t>
  </si>
  <si>
    <t>The Place Beyond the Pines</t>
  </si>
  <si>
    <t>$21,403,519</t>
  </si>
  <si>
    <t>$279,457</t>
  </si>
  <si>
    <t>Homefront</t>
  </si>
  <si>
    <t>$20,158,898</t>
  </si>
  <si>
    <t>$6,915,241</t>
  </si>
  <si>
    <t>Broken City</t>
  </si>
  <si>
    <t>$19,701,164</t>
  </si>
  <si>
    <t>$8,268,908</t>
  </si>
  <si>
    <t>Beautiful Creatures (2013)</t>
  </si>
  <si>
    <t>$19,452,138</t>
  </si>
  <si>
    <t>$7,582,595</t>
  </si>
  <si>
    <t>Runner Runner</t>
  </si>
  <si>
    <t>$19,316,646</t>
  </si>
  <si>
    <t>$7,706,712</t>
  </si>
  <si>
    <t>You're Next</t>
  </si>
  <si>
    <t>$18,494,006</t>
  </si>
  <si>
    <t>$7,020,196</t>
  </si>
  <si>
    <t>Quartet</t>
  </si>
  <si>
    <t>$18,390,117</t>
  </si>
  <si>
    <t>$47,122</t>
  </si>
  <si>
    <t>Admission</t>
  </si>
  <si>
    <t>$18,007,317</t>
  </si>
  <si>
    <t>$6,154,984</t>
  </si>
  <si>
    <t>Nebraska</t>
  </si>
  <si>
    <t>$17,654,912</t>
  </si>
  <si>
    <t>$140,401</t>
  </si>
  <si>
    <t>Parker</t>
  </si>
  <si>
    <t>$17,616,641</t>
  </si>
  <si>
    <t>$7,008,222</t>
  </si>
  <si>
    <t>Enough Said</t>
  </si>
  <si>
    <t>$17,550,872</t>
  </si>
  <si>
    <t>$232,800</t>
  </si>
  <si>
    <t>Dark Skies</t>
  </si>
  <si>
    <t>$17,418,667</t>
  </si>
  <si>
    <t>$8,189,166</t>
  </si>
  <si>
    <t>The Counselor</t>
  </si>
  <si>
    <t>$16,973,715</t>
  </si>
  <si>
    <t>$7,842,930</t>
  </si>
  <si>
    <t>Jobs</t>
  </si>
  <si>
    <t>$16,131,410</t>
  </si>
  <si>
    <t>$6,713,900</t>
  </si>
  <si>
    <t>Fruitvale Station</t>
  </si>
  <si>
    <t>$16,101,339</t>
  </si>
  <si>
    <t>$386,291</t>
  </si>
  <si>
    <t>About Time</t>
  </si>
  <si>
    <t>$15,322,921</t>
  </si>
  <si>
    <t>$1,076,250</t>
  </si>
  <si>
    <t>The Last Exorcism Part II</t>
  </si>
  <si>
    <t>$15,179,302</t>
  </si>
  <si>
    <t>$7,728,354</t>
  </si>
  <si>
    <t>Spring Breakers</t>
  </si>
  <si>
    <t>$14,124,284</t>
  </si>
  <si>
    <t>$263,002</t>
  </si>
  <si>
    <t>Inside Llewyn Davis</t>
  </si>
  <si>
    <t>$13,235,319</t>
  </si>
  <si>
    <t>$405,411</t>
  </si>
  <si>
    <t>The Last Stand</t>
  </si>
  <si>
    <t>$12,050,299</t>
  </si>
  <si>
    <t>$6,281,433</t>
  </si>
  <si>
    <t>Out of the Furnace</t>
  </si>
  <si>
    <t>$11,330,849</t>
  </si>
  <si>
    <t>$5,220,288</t>
  </si>
  <si>
    <t>Dead Man Down</t>
  </si>
  <si>
    <t>$10,895,295</t>
  </si>
  <si>
    <t>$5,345,250</t>
  </si>
  <si>
    <t>Getaway (2013)</t>
  </si>
  <si>
    <t>$10,501,938</t>
  </si>
  <si>
    <t>$4,503,892</t>
  </si>
  <si>
    <t>Bullet to the Head</t>
  </si>
  <si>
    <t>$9,489,829</t>
  </si>
  <si>
    <t>$4,548,201</t>
  </si>
  <si>
    <t>Tyler Perry Presents Peeples</t>
  </si>
  <si>
    <t>$9,177,065</t>
  </si>
  <si>
    <t>$4,611,534</t>
  </si>
  <si>
    <t>Battle of the Year</t>
  </si>
  <si>
    <t>$8,888,355</t>
  </si>
  <si>
    <t>$4,603,177</t>
  </si>
  <si>
    <t>Movie 43</t>
  </si>
  <si>
    <t>$8,840,453</t>
  </si>
  <si>
    <t>$4,805,878</t>
  </si>
  <si>
    <t>Mandela: Long Walk to Freedom</t>
  </si>
  <si>
    <t>$8,323,085</t>
  </si>
  <si>
    <t>$84,283</t>
  </si>
  <si>
    <t>Before Midnight</t>
  </si>
  <si>
    <t>$8,114,627</t>
  </si>
  <si>
    <t>$246,914</t>
  </si>
  <si>
    <t>Dhoom 3</t>
  </si>
  <si>
    <t>$8,031,955</t>
  </si>
  <si>
    <t>$3,423,508</t>
  </si>
  <si>
    <t>Jerusalem</t>
  </si>
  <si>
    <t>NGE</t>
  </si>
  <si>
    <t>$8,020,721</t>
  </si>
  <si>
    <t>Machete Kills</t>
  </si>
  <si>
    <t>$8,008,161</t>
  </si>
  <si>
    <t>$3,837,183</t>
  </si>
  <si>
    <t>Journey to the South Pacific</t>
  </si>
  <si>
    <t>$7,621,084</t>
  </si>
  <si>
    <t>$8,137</t>
  </si>
  <si>
    <t>Paranoia</t>
  </si>
  <si>
    <t>$7,385,015</t>
  </si>
  <si>
    <t>$3,528,376</t>
  </si>
  <si>
    <t>Black Nativity</t>
  </si>
  <si>
    <t>$7,018,189</t>
  </si>
  <si>
    <t>$3,669,530</t>
  </si>
  <si>
    <t>The Spectacular Now</t>
  </si>
  <si>
    <t>$6,854,611</t>
  </si>
  <si>
    <t>$197,415</t>
  </si>
  <si>
    <t>The Grandmaster</t>
  </si>
  <si>
    <t>$6,594,959</t>
  </si>
  <si>
    <t>$132,617</t>
  </si>
  <si>
    <t>All Is Lost</t>
  </si>
  <si>
    <t>$6,263,670</t>
  </si>
  <si>
    <t>$93,583</t>
  </si>
  <si>
    <t>Believe</t>
  </si>
  <si>
    <t>$6,206,566</t>
  </si>
  <si>
    <t>$2,007,567</t>
  </si>
  <si>
    <t>The Bling Ring</t>
  </si>
  <si>
    <t>$5,845,732</t>
  </si>
  <si>
    <t>$214,395</t>
  </si>
  <si>
    <t>Pulling Strings</t>
  </si>
  <si>
    <t>$5,842,961</t>
  </si>
  <si>
    <t>$2,467,168</t>
  </si>
  <si>
    <t>Closed Circuit</t>
  </si>
  <si>
    <t>$5,750,401</t>
  </si>
  <si>
    <t>$2,464,931</t>
  </si>
  <si>
    <t>The Wizard of Oz (3D/IMAX)</t>
  </si>
  <si>
    <t>$5,633,202</t>
  </si>
  <si>
    <t>$3,093,998</t>
  </si>
  <si>
    <t>Chennai Express</t>
  </si>
  <si>
    <t>$5,307,960</t>
  </si>
  <si>
    <t>$2,220,497</t>
  </si>
  <si>
    <t>The Company You Keep</t>
  </si>
  <si>
    <t>$5,133,027</t>
  </si>
  <si>
    <t>$131,718</t>
  </si>
  <si>
    <t>20 Feet from Stardom</t>
  </si>
  <si>
    <t>$4,946,445</t>
  </si>
  <si>
    <t>$54,596</t>
  </si>
  <si>
    <t>Much Ado About Nothing (2013)</t>
  </si>
  <si>
    <t>$4,328,849</t>
  </si>
  <si>
    <t>$171,942</t>
  </si>
  <si>
    <t>Frances Ha</t>
  </si>
  <si>
    <t>$4,069,826</t>
  </si>
  <si>
    <t>$137,398</t>
  </si>
  <si>
    <t>Yeh Jawaani Hai Deewani</t>
  </si>
  <si>
    <t>$3,827,466</t>
  </si>
  <si>
    <t>$1,568,677</t>
  </si>
  <si>
    <t>The To-Do List</t>
  </si>
  <si>
    <t>$3,491,669</t>
  </si>
  <si>
    <t>$1,579,402</t>
  </si>
  <si>
    <t>Metallica Through the Never</t>
  </si>
  <si>
    <t>$3,419,967</t>
  </si>
  <si>
    <t>$1,576,561</t>
  </si>
  <si>
    <t>Emperor</t>
  </si>
  <si>
    <t>$3,346,265</t>
  </si>
  <si>
    <t>$1,014,099</t>
  </si>
  <si>
    <t>Stand Up Guys</t>
  </si>
  <si>
    <t>$3,310,031</t>
  </si>
  <si>
    <t>$1,486,390</t>
  </si>
  <si>
    <t>The Fifth Estate</t>
  </si>
  <si>
    <t>$3,255,008</t>
  </si>
  <si>
    <t>$1,673,351</t>
  </si>
  <si>
    <t>Top Gun 3D</t>
  </si>
  <si>
    <t>$3,018,873</t>
  </si>
  <si>
    <t>$1,965,737</t>
  </si>
  <si>
    <t>In a World</t>
  </si>
  <si>
    <t>$2,963,902</t>
  </si>
  <si>
    <t>$70,541</t>
  </si>
  <si>
    <t>Home Run</t>
  </si>
  <si>
    <t>$2,861,020</t>
  </si>
  <si>
    <t>$1,582,466</t>
  </si>
  <si>
    <t>The Great Beauty</t>
  </si>
  <si>
    <t>$2,852,400</t>
  </si>
  <si>
    <t>$23,442</t>
  </si>
  <si>
    <t>Filly Brown</t>
  </si>
  <si>
    <t>$2,850,357</t>
  </si>
  <si>
    <t>$1,478,323</t>
  </si>
  <si>
    <t>Ram-Leela</t>
  </si>
  <si>
    <t>$2,738,863</t>
  </si>
  <si>
    <t>$1,449,174</t>
  </si>
  <si>
    <t>Grace Unplugged</t>
  </si>
  <si>
    <t>$2,507,201</t>
  </si>
  <si>
    <t>$998,145</t>
  </si>
  <si>
    <t>The Sapphires</t>
  </si>
  <si>
    <t>$2,450,867</t>
  </si>
  <si>
    <t>$38,372</t>
  </si>
  <si>
    <t>The Gatekeepers</t>
  </si>
  <si>
    <t>$2,415,727</t>
  </si>
  <si>
    <t>$61,552</t>
  </si>
  <si>
    <t>I'm In Love With a Church Girl</t>
  </si>
  <si>
    <t>$2,387,730</t>
  </si>
  <si>
    <t>$971,826</t>
  </si>
  <si>
    <t>No (2013)</t>
  </si>
  <si>
    <t>$2,343,664</t>
  </si>
  <si>
    <t>$71,742</t>
  </si>
  <si>
    <t>Trance</t>
  </si>
  <si>
    <t>$2,328,743</t>
  </si>
  <si>
    <t>$131,145</t>
  </si>
  <si>
    <t>The East</t>
  </si>
  <si>
    <t>$2,301,839</t>
  </si>
  <si>
    <t>$77,031</t>
  </si>
  <si>
    <t>Renoir</t>
  </si>
  <si>
    <t>$2,293,798</t>
  </si>
  <si>
    <t>$65,194</t>
  </si>
  <si>
    <t>The Christmas Candle</t>
  </si>
  <si>
    <t>ELS</t>
  </si>
  <si>
    <t>$2,258,620</t>
  </si>
  <si>
    <t>$68,655</t>
  </si>
  <si>
    <t>Blue Is the Warmest Color</t>
  </si>
  <si>
    <t>$2,199,787</t>
  </si>
  <si>
    <t>$100,316</t>
  </si>
  <si>
    <t>Oldboy (2013)</t>
  </si>
  <si>
    <t>$2,193,658</t>
  </si>
  <si>
    <t>$885,382</t>
  </si>
  <si>
    <t>Krrish 3</t>
  </si>
  <si>
    <t>$2,191,534</t>
  </si>
  <si>
    <t>$1,049,560</t>
  </si>
  <si>
    <t>Austenland</t>
  </si>
  <si>
    <t>$2,159,041</t>
  </si>
  <si>
    <t>$40,662</t>
  </si>
  <si>
    <t>The Saratov Approach</t>
  </si>
  <si>
    <t>$2,146,999</t>
  </si>
  <si>
    <t>$137,226</t>
  </si>
  <si>
    <t>2013 Oscar Nominated Short Films</t>
  </si>
  <si>
    <t>$2,142,342</t>
  </si>
  <si>
    <t>$371,605</t>
  </si>
  <si>
    <t>Blackfish</t>
  </si>
  <si>
    <t>$2,073,582</t>
  </si>
  <si>
    <t>$75,962</t>
  </si>
  <si>
    <t>The Iceman (2013)</t>
  </si>
  <si>
    <t>$1,969,193</t>
  </si>
  <si>
    <t>$87,946</t>
  </si>
  <si>
    <t>Fill the Void</t>
  </si>
  <si>
    <t>$1,775,316</t>
  </si>
  <si>
    <t>$59,164</t>
  </si>
  <si>
    <t>Girl Rising</t>
  </si>
  <si>
    <t>$1,727,259</t>
  </si>
  <si>
    <t>$81,640</t>
  </si>
  <si>
    <t>The Attack</t>
  </si>
  <si>
    <t>$1,720,325</t>
  </si>
  <si>
    <t>$27,379</t>
  </si>
  <si>
    <t>Stoker</t>
  </si>
  <si>
    <t>$1,714,221</t>
  </si>
  <si>
    <t>$160,547</t>
  </si>
  <si>
    <t>Unfinished Song</t>
  </si>
  <si>
    <t>$1,702,668</t>
  </si>
  <si>
    <t>$25,728</t>
  </si>
  <si>
    <t>Bhaag Milkha Bhaag</t>
  </si>
  <si>
    <t>$1,636,731</t>
  </si>
  <si>
    <t>$647,112</t>
  </si>
  <si>
    <t>Love is All You Need</t>
  </si>
  <si>
    <t>$1,631,709</t>
  </si>
  <si>
    <t>$36,746</t>
  </si>
  <si>
    <t>Stories We Tell</t>
  </si>
  <si>
    <t>$1,600,145</t>
  </si>
  <si>
    <t>Race 2</t>
  </si>
  <si>
    <t>$1,579,940</t>
  </si>
  <si>
    <t>$884,757</t>
  </si>
  <si>
    <t>Bless Me Ultima</t>
  </si>
  <si>
    <t>Aren</t>
  </si>
  <si>
    <t>$1,553,826</t>
  </si>
  <si>
    <t>$470,109</t>
  </si>
  <si>
    <t>Kon-Tiki</t>
  </si>
  <si>
    <t>$1,517,410</t>
  </si>
  <si>
    <t>$22,168</t>
  </si>
  <si>
    <t>Disconnect</t>
  </si>
  <si>
    <t>LD</t>
  </si>
  <si>
    <t>$1,436,900</t>
  </si>
  <si>
    <t>$124,000</t>
  </si>
  <si>
    <t>Girl Most Likely</t>
  </si>
  <si>
    <t>$1,378,591</t>
  </si>
  <si>
    <t>$694,447</t>
  </si>
  <si>
    <t>I'm So Excited</t>
  </si>
  <si>
    <t>$1,368,119</t>
  </si>
  <si>
    <t>$97,328</t>
  </si>
  <si>
    <t>Wadjda (U.S. only)</t>
  </si>
  <si>
    <t>$1,347,747</t>
  </si>
  <si>
    <t>$41,253</t>
  </si>
  <si>
    <t>The Past</t>
  </si>
  <si>
    <t>$1,331,747</t>
  </si>
  <si>
    <t>$29,270</t>
  </si>
  <si>
    <t>The Ultimate Life</t>
  </si>
  <si>
    <t>$1,327,149</t>
  </si>
  <si>
    <t>$659,912</t>
  </si>
  <si>
    <t>The Kings of Summer</t>
  </si>
  <si>
    <t>$1,315,590</t>
  </si>
  <si>
    <t>$58,962</t>
  </si>
  <si>
    <t>The Invisible Woman</t>
  </si>
  <si>
    <t>$1,234,254</t>
  </si>
  <si>
    <t>$31,948</t>
  </si>
  <si>
    <t>Inequality for All</t>
  </si>
  <si>
    <t>$1,205,273</t>
  </si>
  <si>
    <t>$140,888</t>
  </si>
  <si>
    <t>The Lords of Salem</t>
  </si>
  <si>
    <t>$1,165,882</t>
  </si>
  <si>
    <t>$642,942</t>
  </si>
  <si>
    <t>Romeo and Juliet (2013)</t>
  </si>
  <si>
    <t>$1,162,635</t>
  </si>
  <si>
    <t>$520,116</t>
  </si>
  <si>
    <t>Still Mine</t>
  </si>
  <si>
    <t>$1,159,336</t>
  </si>
  <si>
    <t>$19,920</t>
  </si>
  <si>
    <t>Kai Po Che</t>
  </si>
  <si>
    <t>$1,122,527</t>
  </si>
  <si>
    <t>$522,765</t>
  </si>
  <si>
    <t>What Maisie Knew</t>
  </si>
  <si>
    <t>$1,066,471</t>
  </si>
  <si>
    <t>$21,480</t>
  </si>
  <si>
    <t>Thanks for Sharing</t>
  </si>
  <si>
    <t>$1,065,881</t>
  </si>
  <si>
    <t>$536,591</t>
  </si>
  <si>
    <t>Phantom (2013)</t>
  </si>
  <si>
    <t>RCR</t>
  </si>
  <si>
    <t>$1,034,589</t>
  </si>
  <si>
    <t>$508,000</t>
  </si>
  <si>
    <t>Kill Your Darlings</t>
  </si>
  <si>
    <t>$1,030,064</t>
  </si>
  <si>
    <t>$53,452</t>
  </si>
  <si>
    <t>Short Term 12</t>
  </si>
  <si>
    <t>$1,013,100</t>
  </si>
  <si>
    <t>$56,206</t>
  </si>
  <si>
    <t>Ginger &amp; Rosa</t>
  </si>
  <si>
    <t>$1,012,973</t>
  </si>
  <si>
    <t>$42,838</t>
  </si>
  <si>
    <t>From Up on Poppy Hill</t>
  </si>
  <si>
    <t>$1,002,895</t>
  </si>
  <si>
    <t>$57,585</t>
  </si>
  <si>
    <t>Lore</t>
  </si>
  <si>
    <t>$970,325</t>
  </si>
  <si>
    <t>$31,498</t>
  </si>
  <si>
    <t>Raanjhana</t>
  </si>
  <si>
    <t>$903,232</t>
  </si>
  <si>
    <t>$414,211</t>
  </si>
  <si>
    <t>Alone Yet Not Alone</t>
  </si>
  <si>
    <t>S/IMA</t>
  </si>
  <si>
    <t>$887,851</t>
  </si>
  <si>
    <t>$125,775</t>
  </si>
  <si>
    <t>Generation Iron</t>
  </si>
  <si>
    <t>$849,521</t>
  </si>
  <si>
    <t>$245,000</t>
  </si>
  <si>
    <t>Only God Forgives</t>
  </si>
  <si>
    <t>$779,188</t>
  </si>
  <si>
    <t>$313,958</t>
  </si>
  <si>
    <t>Satyagraha</t>
  </si>
  <si>
    <t>$738,525</t>
  </si>
  <si>
    <t>$412,148</t>
  </si>
  <si>
    <t>Hannah Arendt</t>
  </si>
  <si>
    <t>$717,205</t>
  </si>
  <si>
    <t>$31,270</t>
  </si>
  <si>
    <t>56 Up</t>
  </si>
  <si>
    <t>$701,278</t>
  </si>
  <si>
    <t>$22,088</t>
  </si>
  <si>
    <t>Muscle Shoals</t>
  </si>
  <si>
    <t>$696,241</t>
  </si>
  <si>
    <t>$13,901</t>
  </si>
  <si>
    <t>Besharam</t>
  </si>
  <si>
    <t>$679,866</t>
  </si>
  <si>
    <t>$364,962</t>
  </si>
  <si>
    <t>The Berlin File</t>
  </si>
  <si>
    <t>$665,210</t>
  </si>
  <si>
    <t>Parkland</t>
  </si>
  <si>
    <t>EXCL</t>
  </si>
  <si>
    <t>$653,651</t>
  </si>
  <si>
    <t>$310,246</t>
  </si>
  <si>
    <t>The Hunt</t>
  </si>
  <si>
    <t>$613,308</t>
  </si>
  <si>
    <t>$43,045</t>
  </si>
  <si>
    <t>Walking the Camino: Six Ways to Santiago</t>
  </si>
  <si>
    <t>FEF</t>
  </si>
  <si>
    <t>$612,717</t>
  </si>
  <si>
    <t>To The Wonder</t>
  </si>
  <si>
    <t>$587,615</t>
  </si>
  <si>
    <t>$116,551</t>
  </si>
  <si>
    <t>Salinger</t>
  </si>
  <si>
    <t>$583,633</t>
  </si>
  <si>
    <t>$86,956</t>
  </si>
  <si>
    <t>Lootera</t>
  </si>
  <si>
    <t>$581,813</t>
  </si>
  <si>
    <t>$314,958</t>
  </si>
  <si>
    <t>Museum Hours</t>
  </si>
  <si>
    <t>$561,457</t>
  </si>
  <si>
    <t>$29,400</t>
  </si>
  <si>
    <t>The Reluctant Fundamentalist</t>
  </si>
  <si>
    <t>$552,959</t>
  </si>
  <si>
    <t>$30,920</t>
  </si>
  <si>
    <t>The Lost Medallion</t>
  </si>
  <si>
    <t>MTE</t>
  </si>
  <si>
    <t>$549,632</t>
  </si>
  <si>
    <t>$143,532</t>
  </si>
  <si>
    <t>Scatter My Ashes at Bergdorf's</t>
  </si>
  <si>
    <t>$518,342</t>
  </si>
  <si>
    <t>$39,630</t>
  </si>
  <si>
    <t>The Face Reader</t>
  </si>
  <si>
    <t>$515,876</t>
  </si>
  <si>
    <t>$159,720</t>
  </si>
  <si>
    <t>The Inevitable Defeat of Mister and Pete</t>
  </si>
  <si>
    <t>$494,608</t>
  </si>
  <si>
    <t>$254,279</t>
  </si>
  <si>
    <t>Act of Killing</t>
  </si>
  <si>
    <t>$486,919</t>
  </si>
  <si>
    <t>$27,450</t>
  </si>
  <si>
    <t>New World (2013)</t>
  </si>
  <si>
    <t>$457,806</t>
  </si>
  <si>
    <t>$129,954</t>
  </si>
  <si>
    <t>Upstream Color</t>
  </si>
  <si>
    <t>erbp</t>
  </si>
  <si>
    <t>$444,098</t>
  </si>
  <si>
    <t>Sound City</t>
  </si>
  <si>
    <t>$422,853</t>
  </si>
  <si>
    <t>$62,842</t>
  </si>
  <si>
    <t>A Hijacking</t>
  </si>
  <si>
    <t>$414,437</t>
  </si>
  <si>
    <t>$39,392</t>
  </si>
  <si>
    <t>Grand Masti</t>
  </si>
  <si>
    <t>$413,903</t>
  </si>
  <si>
    <t>$223,222</t>
  </si>
  <si>
    <t>Phata Poster Nikla Hero</t>
  </si>
  <si>
    <t>$410,526</t>
  </si>
  <si>
    <t>$260,188</t>
  </si>
  <si>
    <t>Ain't Them Bodies Saints</t>
  </si>
  <si>
    <t>$396,519</t>
  </si>
  <si>
    <t>$26,419</t>
  </si>
  <si>
    <t>In the House</t>
  </si>
  <si>
    <t>$389,757</t>
  </si>
  <si>
    <t>$31,441</t>
  </si>
  <si>
    <t>Dirty Wars</t>
  </si>
  <si>
    <t>$384,473</t>
  </si>
  <si>
    <t>$63,504</t>
  </si>
  <si>
    <t>The Armstrong Lie</t>
  </si>
  <si>
    <t>$383,294</t>
  </si>
  <si>
    <t>$28,992</t>
  </si>
  <si>
    <t>At Any Price</t>
  </si>
  <si>
    <t>$380,594</t>
  </si>
  <si>
    <t>$16,095</t>
  </si>
  <si>
    <t>Personal Tailor</t>
  </si>
  <si>
    <t>$375,892</t>
  </si>
  <si>
    <t>$112,224</t>
  </si>
  <si>
    <t>Puella Magi Madoka Magica the Movie: Rebellion</t>
  </si>
  <si>
    <t>$375,627</t>
  </si>
  <si>
    <t>$189,514</t>
  </si>
  <si>
    <t>Hava Nagila (The Movie)</t>
  </si>
  <si>
    <t>$370,218</t>
  </si>
  <si>
    <t>$8,218</t>
  </si>
  <si>
    <t>Shootout at Wadala</t>
  </si>
  <si>
    <t>$369,573</t>
  </si>
  <si>
    <t>$212,346</t>
  </si>
  <si>
    <t>When Comedy Went to School</t>
  </si>
  <si>
    <t>$369,065</t>
  </si>
  <si>
    <t>$17,001</t>
  </si>
  <si>
    <t>Lovelace</t>
  </si>
  <si>
    <t>$356,582</t>
  </si>
  <si>
    <t>$184,536</t>
  </si>
  <si>
    <t>The Angels' Share</t>
  </si>
  <si>
    <t>$346,669</t>
  </si>
  <si>
    <t>$18,837</t>
  </si>
  <si>
    <t>Drinking Buddies</t>
  </si>
  <si>
    <t>$343,341</t>
  </si>
  <si>
    <t>$19,505</t>
  </si>
  <si>
    <t>Koch</t>
  </si>
  <si>
    <t>$342,941</t>
  </si>
  <si>
    <t>$35,196</t>
  </si>
  <si>
    <t>The Shining (2013 re-release)</t>
  </si>
  <si>
    <t>$342,749</t>
  </si>
  <si>
    <t>Gori Tere Pyaar Mein</t>
  </si>
  <si>
    <t>$342,184</t>
  </si>
  <si>
    <t>$199,463</t>
  </si>
  <si>
    <t>Starbuck (U.S. only)</t>
  </si>
  <si>
    <t>E1</t>
  </si>
  <si>
    <t>$340,058</t>
  </si>
  <si>
    <t>$15,530</t>
  </si>
  <si>
    <t>Happy People: A Year in the Taiga</t>
  </si>
  <si>
    <t>$338,987</t>
  </si>
  <si>
    <t>$10,481</t>
  </si>
  <si>
    <t>Diana</t>
  </si>
  <si>
    <t>$335,359</t>
  </si>
  <si>
    <t>$67,754</t>
  </si>
  <si>
    <t>Camp (2013)</t>
  </si>
  <si>
    <t>$324,977</t>
  </si>
  <si>
    <t>$7,785</t>
  </si>
  <si>
    <t>Adore</t>
  </si>
  <si>
    <t>$318,982</t>
  </si>
  <si>
    <t>$119,806</t>
  </si>
  <si>
    <t>Not Today</t>
  </si>
  <si>
    <t>$318,121</t>
  </si>
  <si>
    <t>$96,347</t>
  </si>
  <si>
    <t>Linsanity</t>
  </si>
  <si>
    <t>$302,645</t>
  </si>
  <si>
    <t>$99,462</t>
  </si>
  <si>
    <t>Go Goa Gone</t>
  </si>
  <si>
    <t>$298,457</t>
  </si>
  <si>
    <t>$170,044</t>
  </si>
  <si>
    <t>Room 237</t>
  </si>
  <si>
    <t>$296,359</t>
  </si>
  <si>
    <t>$29,693</t>
  </si>
  <si>
    <t>You Will Be My Son</t>
  </si>
  <si>
    <t>$285,151</t>
  </si>
  <si>
    <t>$15,301</t>
  </si>
  <si>
    <t>The Anonymous People</t>
  </si>
  <si>
    <t>AM</t>
  </si>
  <si>
    <t>$284,147</t>
  </si>
  <si>
    <t>Blancanieves</t>
  </si>
  <si>
    <t>$279,735</t>
  </si>
  <si>
    <t>$25,264</t>
  </si>
  <si>
    <t>Himmatwala</t>
  </si>
  <si>
    <t>$270,880</t>
  </si>
  <si>
    <t>$197,770</t>
  </si>
  <si>
    <t>Great Expectations (2013)</t>
  </si>
  <si>
    <t>MSF</t>
  </si>
  <si>
    <t>$258,656</t>
  </si>
  <si>
    <t>$88,500</t>
  </si>
  <si>
    <t>The Attacks of 26/11</t>
  </si>
  <si>
    <t>$248,346</t>
  </si>
  <si>
    <t>$159,619</t>
  </si>
  <si>
    <t>The Summit</t>
  </si>
  <si>
    <t>$243,550</t>
  </si>
  <si>
    <t>$20,904</t>
  </si>
  <si>
    <t>Like Someone in Love</t>
  </si>
  <si>
    <t>$239,056</t>
  </si>
  <si>
    <t>$21,813</t>
  </si>
  <si>
    <t>A Place at the Table</t>
  </si>
  <si>
    <t>$231,378</t>
  </si>
  <si>
    <t>$92,257</t>
  </si>
  <si>
    <t>InAPPropriate Comedy</t>
  </si>
  <si>
    <t>$228,004</t>
  </si>
  <si>
    <t>$156,414</t>
  </si>
  <si>
    <t>Singh Saab The Great</t>
  </si>
  <si>
    <t>$225,668</t>
  </si>
  <si>
    <t>$138,127</t>
  </si>
  <si>
    <t>ABCD (Any Body Can Dance)</t>
  </si>
  <si>
    <t>$222,098</t>
  </si>
  <si>
    <t>$95,236</t>
  </si>
  <si>
    <t>Haute Cuisine</t>
  </si>
  <si>
    <t>$217,883</t>
  </si>
  <si>
    <t>$14,387</t>
  </si>
  <si>
    <t>Arthur Newman</t>
  </si>
  <si>
    <t>$207,853</t>
  </si>
  <si>
    <t>$112,788</t>
  </si>
  <si>
    <t>Prince Avalanche</t>
  </si>
  <si>
    <t>$205,139</t>
  </si>
  <si>
    <t>$36,694</t>
  </si>
  <si>
    <t>Ghanchakkar</t>
  </si>
  <si>
    <t>$203,044</t>
  </si>
  <si>
    <t>$143,616</t>
  </si>
  <si>
    <t>Crystal Fairy</t>
  </si>
  <si>
    <t>$202,370</t>
  </si>
  <si>
    <t>$25,052</t>
  </si>
  <si>
    <t>No Place on Earth</t>
  </si>
  <si>
    <t>$200,238</t>
  </si>
  <si>
    <t>$13,813</t>
  </si>
  <si>
    <t>Cutie and the Boxer</t>
  </si>
  <si>
    <t>$200,036</t>
  </si>
  <si>
    <t>$21,098</t>
  </si>
  <si>
    <t>Free Angela and All Political Prisoners</t>
  </si>
  <si>
    <t>Code</t>
  </si>
  <si>
    <t>$194,102</t>
  </si>
  <si>
    <t>$69,306</t>
  </si>
  <si>
    <t>Midnight's Children</t>
  </si>
  <si>
    <t>P/108</t>
  </si>
  <si>
    <t>$190,022</t>
  </si>
  <si>
    <t>$12,200</t>
  </si>
  <si>
    <t>Populaire</t>
  </si>
  <si>
    <t>$179,091</t>
  </si>
  <si>
    <t>$15,690</t>
  </si>
  <si>
    <t>A.C.O.D.</t>
  </si>
  <si>
    <t>$175,705</t>
  </si>
  <si>
    <t>Broken Circle Breakdown</t>
  </si>
  <si>
    <t>$175,058</t>
  </si>
  <si>
    <t>$7,100</t>
  </si>
  <si>
    <t>Afternoon Delight</t>
  </si>
  <si>
    <t>$174,496</t>
  </si>
  <si>
    <t>$27,352</t>
  </si>
  <si>
    <t>Somm</t>
  </si>
  <si>
    <t>$174,197</t>
  </si>
  <si>
    <t>$28,050</t>
  </si>
  <si>
    <t>Cinco De Mayo: La Batalla</t>
  </si>
  <si>
    <t>$173,472</t>
  </si>
  <si>
    <t>$83,586</t>
  </si>
  <si>
    <t>Escape from Tomorrow</t>
  </si>
  <si>
    <t>PDA</t>
  </si>
  <si>
    <t>$171,962</t>
  </si>
  <si>
    <t>$63,297</t>
  </si>
  <si>
    <t>Copperhead</t>
  </si>
  <si>
    <t>FC</t>
  </si>
  <si>
    <t>$171,740</t>
  </si>
  <si>
    <t>$55,625</t>
  </si>
  <si>
    <t>R... Rajkumar</t>
  </si>
  <si>
    <t>$166,503</t>
  </si>
  <si>
    <t>$124,669</t>
  </si>
  <si>
    <t>We Steal Secrets: The Story of Wikileaks</t>
  </si>
  <si>
    <t>$166,243</t>
  </si>
  <si>
    <t>$27,689</t>
  </si>
  <si>
    <t>On the Job</t>
  </si>
  <si>
    <t>$164,620</t>
  </si>
  <si>
    <t>$56,098</t>
  </si>
  <si>
    <t>Mother of George</t>
  </si>
  <si>
    <t>$157,937</t>
  </si>
  <si>
    <t>Free the Mind</t>
  </si>
  <si>
    <t>$157,201</t>
  </si>
  <si>
    <t>$12,215</t>
  </si>
  <si>
    <t>LUV</t>
  </si>
  <si>
    <t>IM</t>
  </si>
  <si>
    <t>$156,996</t>
  </si>
  <si>
    <t>$83,194</t>
  </si>
  <si>
    <t>A Touch of Sin</t>
  </si>
  <si>
    <t>$154,120</t>
  </si>
  <si>
    <t>$19,867</t>
  </si>
  <si>
    <t>Deceptive Practice: The Mysteries and Mentors of Ricky Jay</t>
  </si>
  <si>
    <t>$152,791</t>
  </si>
  <si>
    <t>$13,802</t>
  </si>
  <si>
    <t>Snake and Mongoose</t>
  </si>
  <si>
    <t>$152,200</t>
  </si>
  <si>
    <t>$20,254</t>
  </si>
  <si>
    <t>The Patience Stone</t>
  </si>
  <si>
    <t>$148,671</t>
  </si>
  <si>
    <t>$9,361</t>
  </si>
  <si>
    <t>Rangeelay</t>
  </si>
  <si>
    <t>$148,418</t>
  </si>
  <si>
    <t>$73,541</t>
  </si>
  <si>
    <t>American Promise</t>
  </si>
  <si>
    <t>RFG</t>
  </si>
  <si>
    <t>$146,702</t>
  </si>
  <si>
    <t>$18,300</t>
  </si>
  <si>
    <t>Narco Cultura</t>
  </si>
  <si>
    <t>$145,088</t>
  </si>
  <si>
    <t>$6,093</t>
  </si>
  <si>
    <t>John Dies at the End</t>
  </si>
  <si>
    <t>$141,951</t>
  </si>
  <si>
    <t>$12,467</t>
  </si>
  <si>
    <t>Good Ol' Freda</t>
  </si>
  <si>
    <t>$138,811</t>
  </si>
  <si>
    <t>$6,798</t>
  </si>
  <si>
    <t>Is the Man Who Is Tall Happy?</t>
  </si>
  <si>
    <t>$137,042</t>
  </si>
  <si>
    <t>$31,800</t>
  </si>
  <si>
    <t>Fists of Legend</t>
  </si>
  <si>
    <t>$134,213</t>
  </si>
  <si>
    <t>$49,252</t>
  </si>
  <si>
    <t>Drug War</t>
  </si>
  <si>
    <t>$128,195</t>
  </si>
  <si>
    <t>$5,926</t>
  </si>
  <si>
    <t>The Artist and the Model</t>
  </si>
  <si>
    <t>$127,958</t>
  </si>
  <si>
    <t>$16,900</t>
  </si>
  <si>
    <t>A Band Called Death</t>
  </si>
  <si>
    <t>$127,257</t>
  </si>
  <si>
    <t>$34,839</t>
  </si>
  <si>
    <t>Europa Report</t>
  </si>
  <si>
    <t>$125,687</t>
  </si>
  <si>
    <t>$22,243</t>
  </si>
  <si>
    <t>Fukrey</t>
  </si>
  <si>
    <t>$125,279</t>
  </si>
  <si>
    <t>$74,110</t>
  </si>
  <si>
    <t>Beyond the Hills</t>
  </si>
  <si>
    <t>$124,919</t>
  </si>
  <si>
    <t>$14,622</t>
  </si>
  <si>
    <t>Final: The Rapture</t>
  </si>
  <si>
    <t>$124,561</t>
  </si>
  <si>
    <t>The Square (2013)</t>
  </si>
  <si>
    <t>Nou</t>
  </si>
  <si>
    <t>$124,244</t>
  </si>
  <si>
    <t>$16,359</t>
  </si>
  <si>
    <t>The Punk Singer</t>
  </si>
  <si>
    <t>$122,742</t>
  </si>
  <si>
    <t>$24,729</t>
  </si>
  <si>
    <t>Lost and Found in Armenia</t>
  </si>
  <si>
    <t>$122,305</t>
  </si>
  <si>
    <t>$49,829</t>
  </si>
  <si>
    <t>Spark: A Burning Man Story</t>
  </si>
  <si>
    <t>P/FB</t>
  </si>
  <si>
    <t>$120,459</t>
  </si>
  <si>
    <t>$9,366</t>
  </si>
  <si>
    <t>Storm Surfers 3D</t>
  </si>
  <si>
    <t>$117,090</t>
  </si>
  <si>
    <t>$7,299</t>
  </si>
  <si>
    <t>Yossi</t>
  </si>
  <si>
    <t>$117,047</t>
  </si>
  <si>
    <t>$12,287</t>
  </si>
  <si>
    <t>Spinning Plates</t>
  </si>
  <si>
    <t>$112,449</t>
  </si>
  <si>
    <t>$20,717</t>
  </si>
  <si>
    <t>Ek Thi Daayan</t>
  </si>
  <si>
    <t>$112,135</t>
  </si>
  <si>
    <t>$65,857</t>
  </si>
  <si>
    <t>Bettie Page Reveals All</t>
  </si>
  <si>
    <t>$108,118</t>
  </si>
  <si>
    <t>$4,846</t>
  </si>
  <si>
    <t>Augustine</t>
  </si>
  <si>
    <t>$107,352</t>
  </si>
  <si>
    <t>$13,616</t>
  </si>
  <si>
    <t>Big Star: Nothing Can Hurt Me</t>
  </si>
  <si>
    <t>$105,998</t>
  </si>
  <si>
    <t>$15,096</t>
  </si>
  <si>
    <t>Upside Down</t>
  </si>
  <si>
    <t>$105,095</t>
  </si>
  <si>
    <t>$28,722</t>
  </si>
  <si>
    <t>The English Teacher</t>
  </si>
  <si>
    <t>$104,810</t>
  </si>
  <si>
    <t>$6,001</t>
  </si>
  <si>
    <t>Gimme the Loot</t>
  </si>
  <si>
    <t>$104,442</t>
  </si>
  <si>
    <t>$21,065</t>
  </si>
  <si>
    <t>The Investigator</t>
  </si>
  <si>
    <t>GMF</t>
  </si>
  <si>
    <t>$103,739</t>
  </si>
  <si>
    <t>$93,690</t>
  </si>
  <si>
    <t>Stevie Nicks - In Your Dreams</t>
  </si>
  <si>
    <t>$103,028</t>
  </si>
  <si>
    <t>Computer Chess</t>
  </si>
  <si>
    <t>$102,041</t>
  </si>
  <si>
    <t>$9,683</t>
  </si>
  <si>
    <t>Therese</t>
  </si>
  <si>
    <t>MPI</t>
  </si>
  <si>
    <t>$101,944</t>
  </si>
  <si>
    <t>$20,050</t>
  </si>
  <si>
    <t>Capital</t>
  </si>
  <si>
    <t>$101,700</t>
  </si>
  <si>
    <t>$22,400</t>
  </si>
  <si>
    <t>Una Noche</t>
  </si>
  <si>
    <t>$100,887</t>
  </si>
  <si>
    <t>$17,194</t>
  </si>
  <si>
    <t>Shadow Dancer</t>
  </si>
  <si>
    <t>$100,616</t>
  </si>
  <si>
    <t>$10,672</t>
  </si>
  <si>
    <t>The United States of Autism</t>
  </si>
  <si>
    <t>JM</t>
  </si>
  <si>
    <t>$100,403</t>
  </si>
  <si>
    <t>$3,413</t>
  </si>
  <si>
    <t>One Track Heart: The Story of Krishna Das</t>
  </si>
  <si>
    <t>$100,401</t>
  </si>
  <si>
    <t>$11,515</t>
  </si>
  <si>
    <t>The Silence</t>
  </si>
  <si>
    <t>$100,214</t>
  </si>
  <si>
    <t>$7,992</t>
  </si>
  <si>
    <t>Man of Tai Chi</t>
  </si>
  <si>
    <t>$100,144</t>
  </si>
  <si>
    <t>$61,054</t>
  </si>
  <si>
    <t>Blue Caprice</t>
  </si>
  <si>
    <t>$93,995</t>
  </si>
  <si>
    <t>$13,400</t>
  </si>
  <si>
    <t>Passion</t>
  </si>
  <si>
    <t>$92,181</t>
  </si>
  <si>
    <t>$33,400</t>
  </si>
  <si>
    <t>Kings Faith</t>
  </si>
  <si>
    <t>WG</t>
  </si>
  <si>
    <t>$90,106</t>
  </si>
  <si>
    <t>$27,648</t>
  </si>
  <si>
    <t>Somebody Up There Likes Me</t>
  </si>
  <si>
    <t>$89,435</t>
  </si>
  <si>
    <t>Byzantium</t>
  </si>
  <si>
    <t>$89,237</t>
  </si>
  <si>
    <t>$16,643</t>
  </si>
  <si>
    <t>Money for Nothing: Inside the Federal Reserve</t>
  </si>
  <si>
    <t>LibSt.</t>
  </si>
  <si>
    <t>$88,045</t>
  </si>
  <si>
    <t>Settai</t>
  </si>
  <si>
    <t>$87,838</t>
  </si>
  <si>
    <t>$52,386</t>
  </si>
  <si>
    <t>Young Detective Dee: Rise of the Sea Dragon</t>
  </si>
  <si>
    <t>WAMCR</t>
  </si>
  <si>
    <t>$87,783</t>
  </si>
  <si>
    <t>$32,795</t>
  </si>
  <si>
    <t>The Rooftop</t>
  </si>
  <si>
    <t>$85,755</t>
  </si>
  <si>
    <t>$47,259</t>
  </si>
  <si>
    <t>Something in the Air</t>
  </si>
  <si>
    <t>$85,154</t>
  </si>
  <si>
    <t>$13,288</t>
  </si>
  <si>
    <t>I Am Divine</t>
  </si>
  <si>
    <t>$81,497</t>
  </si>
  <si>
    <t>We Are What We Are</t>
  </si>
  <si>
    <t>$81,381</t>
  </si>
  <si>
    <t>$13,727</t>
  </si>
  <si>
    <t>Stuck in Love</t>
  </si>
  <si>
    <t>$81,071</t>
  </si>
  <si>
    <t>$34,967</t>
  </si>
  <si>
    <t>Winnie Mandela</t>
  </si>
  <si>
    <t>$80,634</t>
  </si>
  <si>
    <t>$61,847</t>
  </si>
  <si>
    <t>Ramaiya Vastavaiya</t>
  </si>
  <si>
    <t>Prab.</t>
  </si>
  <si>
    <t>$80,108</t>
  </si>
  <si>
    <t>$52,514</t>
  </si>
  <si>
    <t>More Than Honey</t>
  </si>
  <si>
    <t>$79,772</t>
  </si>
  <si>
    <t>$5,225</t>
  </si>
  <si>
    <t>Caesar Must Die</t>
  </si>
  <si>
    <t>$76,908</t>
  </si>
  <si>
    <t>Commitment</t>
  </si>
  <si>
    <t>$76,543</t>
  </si>
  <si>
    <t>Leviathan (2013)</t>
  </si>
  <si>
    <t>$76,211</t>
  </si>
  <si>
    <t>No One Lives</t>
  </si>
  <si>
    <t>$74,918</t>
  </si>
  <si>
    <t>$47,800</t>
  </si>
  <si>
    <t>Reality (2013)</t>
  </si>
  <si>
    <t>$72,577</t>
  </si>
  <si>
    <t>$7,072</t>
  </si>
  <si>
    <t>After Tiller</t>
  </si>
  <si>
    <t>$72,125</t>
  </si>
  <si>
    <t>$15,500</t>
  </si>
  <si>
    <t>An Oversimplification of Her Beauty</t>
  </si>
  <si>
    <t>$71,906</t>
  </si>
  <si>
    <t>$10,055</t>
  </si>
  <si>
    <t>Seasons of Gray</t>
  </si>
  <si>
    <t>$70,605</t>
  </si>
  <si>
    <t>$31,953</t>
  </si>
  <si>
    <t>War Witch</t>
  </si>
  <si>
    <t>$70,544</t>
  </si>
  <si>
    <t>Go For Sisters</t>
  </si>
  <si>
    <t>$70,495</t>
  </si>
  <si>
    <t>Maidentrip</t>
  </si>
  <si>
    <t>$68,243</t>
  </si>
  <si>
    <t>$1,622</t>
  </si>
  <si>
    <t>The Pervert's Guide to Ideology</t>
  </si>
  <si>
    <t>$67,966</t>
  </si>
  <si>
    <t>$9,165</t>
  </si>
  <si>
    <t>Pandora's Promise</t>
  </si>
  <si>
    <t>Let the Fire Burn</t>
  </si>
  <si>
    <t>$64,489</t>
  </si>
  <si>
    <t>$5,226</t>
  </si>
  <si>
    <t>My Lucky Star</t>
  </si>
  <si>
    <t>$64,432</t>
  </si>
  <si>
    <t>$47,006</t>
  </si>
  <si>
    <t>Becoming Traviata</t>
  </si>
  <si>
    <t>$62,652</t>
  </si>
  <si>
    <t>Sightseers</t>
  </si>
  <si>
    <t>$61,782</t>
  </si>
  <si>
    <t>$7,384</t>
  </si>
  <si>
    <t>Don't Stop Believin': Everyman's Journey</t>
  </si>
  <si>
    <t>$61,018</t>
  </si>
  <si>
    <t>$25,573</t>
  </si>
  <si>
    <t>The Wicker Man - Final Cut</t>
  </si>
  <si>
    <t>$60,891</t>
  </si>
  <si>
    <t>$5,493</t>
  </si>
  <si>
    <t>It's a Disaster</t>
  </si>
  <si>
    <t>$60,818</t>
  </si>
  <si>
    <t>How I Live Now</t>
  </si>
  <si>
    <t>$60,213</t>
  </si>
  <si>
    <t>$28,547</t>
  </si>
  <si>
    <t>Sweet Dreams (2013)</t>
  </si>
  <si>
    <t>$59,403</t>
  </si>
  <si>
    <t>The Trials of Muhammad Ali</t>
  </si>
  <si>
    <t>$59,081</t>
  </si>
  <si>
    <t>$2,980</t>
  </si>
  <si>
    <t>Aftershock</t>
  </si>
  <si>
    <t>$58,510</t>
  </si>
  <si>
    <t>$40,179</t>
  </si>
  <si>
    <t>Faust</t>
  </si>
  <si>
    <t>Leis.</t>
  </si>
  <si>
    <t>$58,132</t>
  </si>
  <si>
    <t>$10,030</t>
  </si>
  <si>
    <t>Lost in Thailand</t>
  </si>
  <si>
    <t>$57,387</t>
  </si>
  <si>
    <t>$32,206</t>
  </si>
  <si>
    <t>The Canyons</t>
  </si>
  <si>
    <t>$56,825</t>
  </si>
  <si>
    <t>$13,351</t>
  </si>
  <si>
    <t>Terms and Conditions May Apply</t>
  </si>
  <si>
    <t>$55,824</t>
  </si>
  <si>
    <t>$4,446</t>
  </si>
  <si>
    <t>Bajatey Raho</t>
  </si>
  <si>
    <t>$55,397</t>
  </si>
  <si>
    <t>$37,801</t>
  </si>
  <si>
    <t>C.O.G.</t>
  </si>
  <si>
    <t>$55,301</t>
  </si>
  <si>
    <t>$32,677</t>
  </si>
  <si>
    <t>Mission Park</t>
  </si>
  <si>
    <t>AMP</t>
  </si>
  <si>
    <t>$54,204</t>
  </si>
  <si>
    <t>$26,839</t>
  </si>
  <si>
    <t>Le Joli Mai</t>
  </si>
  <si>
    <t>$54,168</t>
  </si>
  <si>
    <t>$10,662</t>
  </si>
  <si>
    <t>Leonie</t>
  </si>
  <si>
    <t>$53,692</t>
  </si>
  <si>
    <t>$291</t>
  </si>
  <si>
    <t>Going Attractions: The Definitive Story of the American Drive-in Movie</t>
  </si>
  <si>
    <t>DID</t>
  </si>
  <si>
    <t>$52,458</t>
  </si>
  <si>
    <t>Venus and Serena</t>
  </si>
  <si>
    <t>$51,271</t>
  </si>
  <si>
    <t>$10,981</t>
  </si>
  <si>
    <t>God Loves Uganda</t>
  </si>
  <si>
    <t>$51,229</t>
  </si>
  <si>
    <t>$7,300</t>
  </si>
  <si>
    <t>Mademoiselle C</t>
  </si>
  <si>
    <t>$48,668</t>
  </si>
  <si>
    <t>$14,284</t>
  </si>
  <si>
    <t>Un Flic (2013 re-release)</t>
  </si>
  <si>
    <t>$48,040</t>
  </si>
  <si>
    <t>$10,342</t>
  </si>
  <si>
    <t>GMO OMG</t>
  </si>
  <si>
    <t>$47,558</t>
  </si>
  <si>
    <t>$15,100</t>
  </si>
  <si>
    <t>Table No. 21</t>
  </si>
  <si>
    <t>$46,720</t>
  </si>
  <si>
    <t>Jewtopia</t>
  </si>
  <si>
    <t>LPC</t>
  </si>
  <si>
    <t>$46,437</t>
  </si>
  <si>
    <t>$26,371</t>
  </si>
  <si>
    <t>Wish You Were Here (2013)</t>
  </si>
  <si>
    <t>$46,347</t>
  </si>
  <si>
    <t>$25,937</t>
  </si>
  <si>
    <t>Wrong (2013)</t>
  </si>
  <si>
    <t>$46,021</t>
  </si>
  <si>
    <t>$20,424</t>
  </si>
  <si>
    <t>Reaching for the Moon</t>
  </si>
  <si>
    <t>Wlfe.</t>
  </si>
  <si>
    <t>$45,502</t>
  </si>
  <si>
    <t>$14,573</t>
  </si>
  <si>
    <t>A Glimpse Inside the Mind of Charles Swan III</t>
  </si>
  <si>
    <t>$45,350</t>
  </si>
  <si>
    <t>$12,000</t>
  </si>
  <si>
    <t>American Made Movie</t>
  </si>
  <si>
    <t>$45,175</t>
  </si>
  <si>
    <t>Greedy Lying Bastards</t>
  </si>
  <si>
    <t>LR</t>
  </si>
  <si>
    <t>$45,000</t>
  </si>
  <si>
    <t>My Brother The Devil</t>
  </si>
  <si>
    <t>$44,906</t>
  </si>
  <si>
    <t>Tiny Times 2</t>
  </si>
  <si>
    <t>$43,788</t>
  </si>
  <si>
    <t>$20,652</t>
  </si>
  <si>
    <t>Contempt (2013 re-release)</t>
  </si>
  <si>
    <t>$43,763</t>
  </si>
  <si>
    <t>$8,322</t>
  </si>
  <si>
    <t>Andre Gregory: Before and After Dinner</t>
  </si>
  <si>
    <t>$42,892</t>
  </si>
  <si>
    <t>$7,980</t>
  </si>
  <si>
    <t>Concussion</t>
  </si>
  <si>
    <t>$42,606</t>
  </si>
  <si>
    <t>$8,313</t>
  </si>
  <si>
    <t>Zaytoun</t>
  </si>
  <si>
    <t>$42,330</t>
  </si>
  <si>
    <t>$4,100</t>
  </si>
  <si>
    <t>The We and the I</t>
  </si>
  <si>
    <t>$42,172</t>
  </si>
  <si>
    <t>$10,774</t>
  </si>
  <si>
    <t>Holla II</t>
  </si>
  <si>
    <t>RR</t>
  </si>
  <si>
    <t>$41,537</t>
  </si>
  <si>
    <t>$37,444</t>
  </si>
  <si>
    <t>Language of a Broken Heart</t>
  </si>
  <si>
    <t>HLM</t>
  </si>
  <si>
    <t>$40,645</t>
  </si>
  <si>
    <t>$5,861</t>
  </si>
  <si>
    <t>CBGB</t>
  </si>
  <si>
    <t>$40,400</t>
  </si>
  <si>
    <t>Killing Season</t>
  </si>
  <si>
    <t>$39,881</t>
  </si>
  <si>
    <t>$27,713</t>
  </si>
  <si>
    <t>The Short Game</t>
  </si>
  <si>
    <t>$39,819</t>
  </si>
  <si>
    <t>$28,434</t>
  </si>
  <si>
    <t>How to Make Money Selling Drugs</t>
  </si>
  <si>
    <t>$39,192</t>
  </si>
  <si>
    <t>$9,202</t>
  </si>
  <si>
    <t>Post Tenebras Lux</t>
  </si>
  <si>
    <t>$39,185</t>
  </si>
  <si>
    <t>Herb and Dorothy 50x50</t>
  </si>
  <si>
    <t>FLM</t>
  </si>
  <si>
    <t>$38,933</t>
  </si>
  <si>
    <t>$6,157</t>
  </si>
  <si>
    <t>The Wall (2013)</t>
  </si>
  <si>
    <t>$38,674</t>
  </si>
  <si>
    <t>Rising From Ashes</t>
  </si>
  <si>
    <t>$38,602</t>
  </si>
  <si>
    <t>Berberian Sound Studio</t>
  </si>
  <si>
    <t>$38,493</t>
  </si>
  <si>
    <t>$6,605</t>
  </si>
  <si>
    <t>Russian Ark (2013 re-release)</t>
  </si>
  <si>
    <t>$37,984</t>
  </si>
  <si>
    <t>Ip Man: The Final Fight</t>
  </si>
  <si>
    <t>$37,884</t>
  </si>
  <si>
    <t>$15,514</t>
  </si>
  <si>
    <t>Mumia: Long Distance Revolutionary</t>
  </si>
  <si>
    <t>$37,731</t>
  </si>
  <si>
    <t>Big Sur</t>
  </si>
  <si>
    <t>$37,466</t>
  </si>
  <si>
    <t>$16,835</t>
  </si>
  <si>
    <t>Savannah</t>
  </si>
  <si>
    <t>$37,240</t>
  </si>
  <si>
    <t>$15,599</t>
  </si>
  <si>
    <t>Redemption (2013)</t>
  </si>
  <si>
    <t>$36,895</t>
  </si>
  <si>
    <t>$19,977</t>
  </si>
  <si>
    <t>The Servant (2013 re-release)</t>
  </si>
  <si>
    <t>$36,463</t>
  </si>
  <si>
    <t>$7,859</t>
  </si>
  <si>
    <t>Touchy Feely</t>
  </si>
  <si>
    <t>$36,128</t>
  </si>
  <si>
    <t>$3,447</t>
  </si>
  <si>
    <t>Far Out Isn't Far Enough: The Tomi Ungerer Story</t>
  </si>
  <si>
    <t>$35,647</t>
  </si>
  <si>
    <t>$3,700</t>
  </si>
  <si>
    <t>Fritz Lang's 'M' (2013 re-release)</t>
  </si>
  <si>
    <t>$35,566</t>
  </si>
  <si>
    <t>$6,123</t>
  </si>
  <si>
    <t>Camille Claudel 1915</t>
  </si>
  <si>
    <t>$35,296</t>
  </si>
  <si>
    <t>$5,106</t>
  </si>
  <si>
    <t>Underdogs</t>
  </si>
  <si>
    <t>$35,271</t>
  </si>
  <si>
    <t>$18,722</t>
  </si>
  <si>
    <t>Mauvais Sang (2013 re-release)</t>
  </si>
  <si>
    <t>$35,176</t>
  </si>
  <si>
    <t>$8,482</t>
  </si>
  <si>
    <t>Tai Chi Hero</t>
  </si>
  <si>
    <t>$35,067</t>
  </si>
  <si>
    <t>The Girl (2013)</t>
  </si>
  <si>
    <t>$35,048</t>
  </si>
  <si>
    <t>$11,164</t>
  </si>
  <si>
    <t>I Give It a Year</t>
  </si>
  <si>
    <t>$34,657</t>
  </si>
  <si>
    <t>$5,436</t>
  </si>
  <si>
    <t>Bert Stern: Original Mad Man</t>
  </si>
  <si>
    <t>$34,005</t>
  </si>
  <si>
    <t>$4,691</t>
  </si>
  <si>
    <t>Running From Crazy</t>
  </si>
  <si>
    <t>$33,300</t>
  </si>
  <si>
    <t>$6,822</t>
  </si>
  <si>
    <t>Dislecksia: The Movie</t>
  </si>
  <si>
    <t>$33,066</t>
  </si>
  <si>
    <t>At Berkeley</t>
  </si>
  <si>
    <t>$31,736</t>
  </si>
  <si>
    <t>$5,069</t>
  </si>
  <si>
    <t>Beyond the Farthest Star</t>
  </si>
  <si>
    <t>$31,433</t>
  </si>
  <si>
    <t>Evocateur: The Morton Downey Jr. Movie</t>
  </si>
  <si>
    <t>$31,313</t>
  </si>
  <si>
    <t>$3,936</t>
  </si>
  <si>
    <t>Maniac (2013)</t>
  </si>
  <si>
    <t>$31,081</t>
  </si>
  <si>
    <t>$5,571</t>
  </si>
  <si>
    <t>These Birds Walk</t>
  </si>
  <si>
    <t>$30,408</t>
  </si>
  <si>
    <t>Long Shot: The Kevin Laue Story (2013)</t>
  </si>
  <si>
    <t>Cini</t>
  </si>
  <si>
    <t>$29,863</t>
  </si>
  <si>
    <t>$7,006</t>
  </si>
  <si>
    <t>A Fierce Green Fire</t>
  </si>
  <si>
    <t>$29,817</t>
  </si>
  <si>
    <t>Dead Man's Burden</t>
  </si>
  <si>
    <t>$29,634</t>
  </si>
  <si>
    <t>$7,620</t>
  </si>
  <si>
    <t>Little Fugitive (2013 re-release)</t>
  </si>
  <si>
    <t>$29,505</t>
  </si>
  <si>
    <t>$9,040</t>
  </si>
  <si>
    <t>Cousin Jules</t>
  </si>
  <si>
    <t>$29,337</t>
  </si>
  <si>
    <t>$5,135</t>
  </si>
  <si>
    <t>Fire in the Blood</t>
  </si>
  <si>
    <t>$28,994</t>
  </si>
  <si>
    <t>$4,856</t>
  </si>
  <si>
    <t>Struck By Lightning</t>
  </si>
  <si>
    <t>$28,378</t>
  </si>
  <si>
    <t>$12,940</t>
  </si>
  <si>
    <t>Simon Killer</t>
  </si>
  <si>
    <t>$27,740</t>
  </si>
  <si>
    <t>$5,054</t>
  </si>
  <si>
    <t>Broadway Idiot</t>
  </si>
  <si>
    <t>$27,595</t>
  </si>
  <si>
    <t>Tiger Eyes</t>
  </si>
  <si>
    <t>$27,160</t>
  </si>
  <si>
    <t>$10,874</t>
  </si>
  <si>
    <t>Out in the Dark</t>
  </si>
  <si>
    <t>$26,966</t>
  </si>
  <si>
    <t>$14,067</t>
  </si>
  <si>
    <t>The Sweeney</t>
  </si>
  <si>
    <t>$26,650</t>
  </si>
  <si>
    <t>The Power of Few</t>
  </si>
  <si>
    <t>SP</t>
  </si>
  <si>
    <t>$7,614</t>
  </si>
  <si>
    <t>Graceland</t>
  </si>
  <si>
    <t>$24,529</t>
  </si>
  <si>
    <t>$13,059</t>
  </si>
  <si>
    <t>Bastards</t>
  </si>
  <si>
    <t>$24,525</t>
  </si>
  <si>
    <t>$4,432</t>
  </si>
  <si>
    <t>Le Petit Soldat (2013 re-release)</t>
  </si>
  <si>
    <t>$6,848</t>
  </si>
  <si>
    <t>The Citizen</t>
  </si>
  <si>
    <t>$368</t>
  </si>
  <si>
    <t>Paradise: Love</t>
  </si>
  <si>
    <t>$24,267</t>
  </si>
  <si>
    <t>$6,014</t>
  </si>
  <si>
    <t>The Last Days on Mars</t>
  </si>
  <si>
    <t>$24,084</t>
  </si>
  <si>
    <t>$4,608</t>
  </si>
  <si>
    <t>Harry Dean Stanton: Partly Fiction</t>
  </si>
  <si>
    <t>$23,959</t>
  </si>
  <si>
    <t>$6,330</t>
  </si>
  <si>
    <t>Dear Mr. Watterson</t>
  </si>
  <si>
    <t>$23,899</t>
  </si>
  <si>
    <t>$6,199</t>
  </si>
  <si>
    <t>Greenwich Village: Music That Defined a Generation</t>
  </si>
  <si>
    <t>$23,701</t>
  </si>
  <si>
    <t>$5,530</t>
  </si>
  <si>
    <t>Tiny Times</t>
  </si>
  <si>
    <t>$23,462</t>
  </si>
  <si>
    <t>$12,294</t>
  </si>
  <si>
    <t>Our Children</t>
  </si>
  <si>
    <t>$23,203</t>
  </si>
  <si>
    <t>The Iran Job</t>
  </si>
  <si>
    <t>$23,115</t>
  </si>
  <si>
    <t>I Used to Be Darker</t>
  </si>
  <si>
    <t>$22,214</t>
  </si>
  <si>
    <t>$3,533</t>
  </si>
  <si>
    <t>Murder 11</t>
  </si>
  <si>
    <t>$22,107</t>
  </si>
  <si>
    <t>$8,106</t>
  </si>
  <si>
    <t>Pieta</t>
  </si>
  <si>
    <t>$22,080</t>
  </si>
  <si>
    <t>V/H/S/2</t>
  </si>
  <si>
    <t>$21,833</t>
  </si>
  <si>
    <t>The ABC's of Death</t>
  </si>
  <si>
    <t>$21,832</t>
  </si>
  <si>
    <t>$10,110</t>
  </si>
  <si>
    <t>Viola</t>
  </si>
  <si>
    <t>$21,818</t>
  </si>
  <si>
    <t>$6,109</t>
  </si>
  <si>
    <t>Blue Exorcist The Movie</t>
  </si>
  <si>
    <t>$21,796</t>
  </si>
  <si>
    <t>Violeta Went to Heaven</t>
  </si>
  <si>
    <t>$21,496</t>
  </si>
  <si>
    <t>Tio Papi</t>
  </si>
  <si>
    <t>AFP</t>
  </si>
  <si>
    <t>$21,316</t>
  </si>
  <si>
    <t>$16,108</t>
  </si>
  <si>
    <t>The Look of Love</t>
  </si>
  <si>
    <t>$21,252</t>
  </si>
  <si>
    <t>The Painting (2013)</t>
  </si>
  <si>
    <t>$21,008</t>
  </si>
  <si>
    <t>$3,626</t>
  </si>
  <si>
    <t>The Ghosts In Our Machine</t>
  </si>
  <si>
    <t>GMI</t>
  </si>
  <si>
    <t>$20,709</t>
  </si>
  <si>
    <t>$8,756</t>
  </si>
  <si>
    <t>Our Nixon</t>
  </si>
  <si>
    <t>$20,584</t>
  </si>
  <si>
    <t>$6,090</t>
  </si>
  <si>
    <t>Hunky Dory</t>
  </si>
  <si>
    <t>$20,296</t>
  </si>
  <si>
    <t>Terraferma</t>
  </si>
  <si>
    <t>$19,996</t>
  </si>
  <si>
    <t>Wedding Palace</t>
  </si>
  <si>
    <t>GGGE</t>
  </si>
  <si>
    <t>$19,908</t>
  </si>
  <si>
    <t>Love and Honor (2013)</t>
  </si>
  <si>
    <t>$19,684</t>
  </si>
  <si>
    <t>$2,815</t>
  </si>
  <si>
    <t>Bad Milo!</t>
  </si>
  <si>
    <t>$19,613</t>
  </si>
  <si>
    <t>$4,503</t>
  </si>
  <si>
    <t>Whensday</t>
  </si>
  <si>
    <t>NC</t>
  </si>
  <si>
    <t>$19,463</t>
  </si>
  <si>
    <t>$12,497</t>
  </si>
  <si>
    <t>Smash &amp; Grab: The Story of the Pink Panthers</t>
  </si>
  <si>
    <t>$18,938</t>
  </si>
  <si>
    <t>$4,794</t>
  </si>
  <si>
    <t>You Ain't Seen Nothin' Yet</t>
  </si>
  <si>
    <t>$18,929</t>
  </si>
  <si>
    <t>$5,343</t>
  </si>
  <si>
    <t>Nostalghia</t>
  </si>
  <si>
    <t>$18,846</t>
  </si>
  <si>
    <t>$5,233</t>
  </si>
  <si>
    <t>The Sorcerer and the White Snake</t>
  </si>
  <si>
    <t>$18,759</t>
  </si>
  <si>
    <t>A Single Shot</t>
  </si>
  <si>
    <t>$18,642</t>
  </si>
  <si>
    <t>$10,020</t>
  </si>
  <si>
    <t>La Camioneta</t>
  </si>
  <si>
    <t>FYN</t>
  </si>
  <si>
    <t>$18,558</t>
  </si>
  <si>
    <t>Let My People Go!</t>
  </si>
  <si>
    <t>$18,529</t>
  </si>
  <si>
    <t>A Pig Across Paris (2013 re-issue)</t>
  </si>
  <si>
    <t>$18,297</t>
  </si>
  <si>
    <t>$9,997</t>
  </si>
  <si>
    <t>Twice Born</t>
  </si>
  <si>
    <t>$18,295</t>
  </si>
  <si>
    <t>Torn</t>
  </si>
  <si>
    <t>$18,202</t>
  </si>
  <si>
    <t>$4,881</t>
  </si>
  <si>
    <t>Casting By</t>
  </si>
  <si>
    <t>$18,164</t>
  </si>
  <si>
    <t>$5,649</t>
  </si>
  <si>
    <t>Jamel Shabazz Street Photographer</t>
  </si>
  <si>
    <t>$17,992</t>
  </si>
  <si>
    <t>$7,105</t>
  </si>
  <si>
    <t>Dealin' With Idiots</t>
  </si>
  <si>
    <t>$17,909</t>
  </si>
  <si>
    <t>$8,508</t>
  </si>
  <si>
    <t>Mental</t>
  </si>
  <si>
    <t>$17,669</t>
  </si>
  <si>
    <t>$9,804</t>
  </si>
  <si>
    <t>The History of Future Folk</t>
  </si>
  <si>
    <t>$17,646</t>
  </si>
  <si>
    <t>Violet &amp; Daisy</t>
  </si>
  <si>
    <t>$17,186</t>
  </si>
  <si>
    <t>$9,982</t>
  </si>
  <si>
    <t>Le Pont du Nord (2013 re-release)</t>
  </si>
  <si>
    <t>$17,110</t>
  </si>
  <si>
    <t>$5,333</t>
  </si>
  <si>
    <t>Night Across the Street</t>
  </si>
  <si>
    <t>$16,778</t>
  </si>
  <si>
    <t>$3,248</t>
  </si>
  <si>
    <t>As I Lay Dying</t>
  </si>
  <si>
    <t>$16,697</t>
  </si>
  <si>
    <t>$7,143</t>
  </si>
  <si>
    <t>Design is One</t>
  </si>
  <si>
    <t>$16,386</t>
  </si>
  <si>
    <t>$4,236</t>
  </si>
  <si>
    <t>Out of the Clear Blue Sky</t>
  </si>
  <si>
    <t>$16,050</t>
  </si>
  <si>
    <t>$2,344</t>
  </si>
  <si>
    <t>I Declare War</t>
  </si>
  <si>
    <t>$14,928</t>
  </si>
  <si>
    <t>$8,634</t>
  </si>
  <si>
    <t>Jayne Mansfield's Car</t>
  </si>
  <si>
    <t>$14,836</t>
  </si>
  <si>
    <t>$9,320</t>
  </si>
  <si>
    <t>Kiss of the Damned</t>
  </si>
  <si>
    <t>$14,752</t>
  </si>
  <si>
    <t>$2,723</t>
  </si>
  <si>
    <t>The Unbelievers</t>
  </si>
  <si>
    <t>CM</t>
  </si>
  <si>
    <t>$14,400</t>
  </si>
  <si>
    <t>$5,925</t>
  </si>
  <si>
    <t>Justice Is Mind</t>
  </si>
  <si>
    <t>TAT</t>
  </si>
  <si>
    <t>$14,360</t>
  </si>
  <si>
    <t>A Wedding Invitation</t>
  </si>
  <si>
    <t>$14,350</t>
  </si>
  <si>
    <t>$3,183</t>
  </si>
  <si>
    <t>Il Futuro</t>
  </si>
  <si>
    <t>$14,001</t>
  </si>
  <si>
    <t>The Prey</t>
  </si>
  <si>
    <t>$13,959</t>
  </si>
  <si>
    <t>$5,889</t>
  </si>
  <si>
    <t>This is Martin Bonner</t>
  </si>
  <si>
    <t>$13,888</t>
  </si>
  <si>
    <t>Dorfman in Love</t>
  </si>
  <si>
    <t>$13,737</t>
  </si>
  <si>
    <t>$6,410</t>
  </si>
  <si>
    <t>The Monk</t>
  </si>
  <si>
    <t>ATO</t>
  </si>
  <si>
    <t>$13,472</t>
  </si>
  <si>
    <t>$8,418</t>
  </si>
  <si>
    <t>Red Obsession</t>
  </si>
  <si>
    <t>$13,199</t>
  </si>
  <si>
    <t>A Green Story</t>
  </si>
  <si>
    <t>$12,901</t>
  </si>
  <si>
    <t>BoyBand (2013)</t>
  </si>
  <si>
    <t>$12,708</t>
  </si>
  <si>
    <t>The Selfish Giant</t>
  </si>
  <si>
    <t>$12,189</t>
  </si>
  <si>
    <t>$2,589</t>
  </si>
  <si>
    <t>Shahid</t>
  </si>
  <si>
    <t>$12,153</t>
  </si>
  <si>
    <t>In the Fog</t>
  </si>
  <si>
    <t>$2,327</t>
  </si>
  <si>
    <t>Charlie Countryman</t>
  </si>
  <si>
    <t>$11,650</t>
  </si>
  <si>
    <t>$7,973</t>
  </si>
  <si>
    <t>36 Saints</t>
  </si>
  <si>
    <t>$11,640</t>
  </si>
  <si>
    <t>$7,373</t>
  </si>
  <si>
    <t>Just Like a Woman</t>
  </si>
  <si>
    <t>$11,403</t>
  </si>
  <si>
    <t>So Young</t>
  </si>
  <si>
    <t>$11,186</t>
  </si>
  <si>
    <t>$5,281</t>
  </si>
  <si>
    <t>Greetings from Tim Buckley</t>
  </si>
  <si>
    <t>$11,157</t>
  </si>
  <si>
    <t>A Resurrection</t>
  </si>
  <si>
    <t>$10,730</t>
  </si>
  <si>
    <t>Made in Cleveland</t>
  </si>
  <si>
    <t>$10,681</t>
  </si>
  <si>
    <t>American Meat</t>
  </si>
  <si>
    <t>LB</t>
  </si>
  <si>
    <t>$10,650</t>
  </si>
  <si>
    <t>$7,659</t>
  </si>
  <si>
    <t>Caucus</t>
  </si>
  <si>
    <t>BFOA</t>
  </si>
  <si>
    <t>$10,645</t>
  </si>
  <si>
    <t>Midget Zombie Takeover</t>
  </si>
  <si>
    <t>$10,604</t>
  </si>
  <si>
    <t>$2,755</t>
  </si>
  <si>
    <t>Evil Intent</t>
  </si>
  <si>
    <t>$10,454</t>
  </si>
  <si>
    <t>Shanghai Calling</t>
  </si>
  <si>
    <t>$10,400</t>
  </si>
  <si>
    <t>Elemental</t>
  </si>
  <si>
    <t>Liv &amp; Ingmar</t>
  </si>
  <si>
    <t>$10,347</t>
  </si>
  <si>
    <t>$5,451</t>
  </si>
  <si>
    <t>Shepard and Dark</t>
  </si>
  <si>
    <t>$10,278</t>
  </si>
  <si>
    <t>$1,226</t>
  </si>
  <si>
    <t>The Informant</t>
  </si>
  <si>
    <t>$10,068</t>
  </si>
  <si>
    <t>$2,947</t>
  </si>
  <si>
    <t>In the Name Of</t>
  </si>
  <si>
    <t>$9,883</t>
  </si>
  <si>
    <t>$2,635</t>
  </si>
  <si>
    <t>InchAllah (U.S. only)</t>
  </si>
  <si>
    <t>$9,840</t>
  </si>
  <si>
    <t>$3,391</t>
  </si>
  <si>
    <t>Birth of the Living Dead</t>
  </si>
  <si>
    <t>$9,802</t>
  </si>
  <si>
    <t>$1,239</t>
  </si>
  <si>
    <t>Welcome to the Punch</t>
  </si>
  <si>
    <t>$9,747</t>
  </si>
  <si>
    <t>$2,736</t>
  </si>
  <si>
    <t>Antoine and Antoinette (2013 re-issue)</t>
  </si>
  <si>
    <t>$9,704</t>
  </si>
  <si>
    <t>$4,147</t>
  </si>
  <si>
    <t>Northern Lights (2013 re-release)</t>
  </si>
  <si>
    <t>$9,453</t>
  </si>
  <si>
    <t>If I Were You</t>
  </si>
  <si>
    <t>$9,432</t>
  </si>
  <si>
    <t>$3,889</t>
  </si>
  <si>
    <t>Zero Charisma</t>
  </si>
  <si>
    <t>$9,417</t>
  </si>
  <si>
    <t>The End of Love</t>
  </si>
  <si>
    <t>$9,342</t>
  </si>
  <si>
    <t>$1,955</t>
  </si>
  <si>
    <t>200 Cartas</t>
  </si>
  <si>
    <t>VF</t>
  </si>
  <si>
    <t>$9,338</t>
  </si>
  <si>
    <t>Better Mus' Come</t>
  </si>
  <si>
    <t>AFFRM</t>
  </si>
  <si>
    <t>$6,140</t>
  </si>
  <si>
    <t>11 Flowers</t>
  </si>
  <si>
    <t>$9,213</t>
  </si>
  <si>
    <t>$3,516</t>
  </si>
  <si>
    <t>Ghost Team One</t>
  </si>
  <si>
    <t>$9,195</t>
  </si>
  <si>
    <t>$7,345</t>
  </si>
  <si>
    <t>Trouble Every Day (2013 re-release)</t>
  </si>
  <si>
    <t>$9,189</t>
  </si>
  <si>
    <t>$2,984</t>
  </si>
  <si>
    <t>Call Me Kuchu</t>
  </si>
  <si>
    <t>$9,124</t>
  </si>
  <si>
    <t>$3,476</t>
  </si>
  <si>
    <t>Clandestine Childhood</t>
  </si>
  <si>
    <t>$9,017</t>
  </si>
  <si>
    <t>Big Words</t>
  </si>
  <si>
    <t>$8,965</t>
  </si>
  <si>
    <t>$7,371</t>
  </si>
  <si>
    <t>White Elephant</t>
  </si>
  <si>
    <t>$8,884</t>
  </si>
  <si>
    <t>$5,098</t>
  </si>
  <si>
    <t>Hell Baby</t>
  </si>
  <si>
    <t>$8,785</t>
  </si>
  <si>
    <t>$4,980</t>
  </si>
  <si>
    <t>The Institute</t>
  </si>
  <si>
    <t>$8,445</t>
  </si>
  <si>
    <t>$3,017</t>
  </si>
  <si>
    <t>Hello Herman</t>
  </si>
  <si>
    <t>$8,437</t>
  </si>
  <si>
    <t>$5,985</t>
  </si>
  <si>
    <t>The Happy Sad</t>
  </si>
  <si>
    <t>THS</t>
  </si>
  <si>
    <t>$8,395</t>
  </si>
  <si>
    <t>Downloaded</t>
  </si>
  <si>
    <t>$8,377</t>
  </si>
  <si>
    <t>$2,504</t>
  </si>
  <si>
    <t>A Teacher</t>
  </si>
  <si>
    <t>$8,348</t>
  </si>
  <si>
    <t>$4,684</t>
  </si>
  <si>
    <t>Aliyah</t>
  </si>
  <si>
    <t>$1,627</t>
  </si>
  <si>
    <t>Argento's Dracula 3D</t>
  </si>
  <si>
    <t>$8,139</t>
  </si>
  <si>
    <t>$3,085</t>
  </si>
  <si>
    <t>What's In a Name?</t>
  </si>
  <si>
    <t>$8,111</t>
  </si>
  <si>
    <t>La Maison De La Radio</t>
  </si>
  <si>
    <t>$8,095</t>
  </si>
  <si>
    <t>Pawn Shop Chronicles</t>
  </si>
  <si>
    <t>$4,915</t>
  </si>
  <si>
    <t>Nothing Left to Fear</t>
  </si>
  <si>
    <t>$7,886</t>
  </si>
  <si>
    <t>And While We Were Here</t>
  </si>
  <si>
    <t>$7,750</t>
  </si>
  <si>
    <t>Girls Against Boys</t>
  </si>
  <si>
    <t>$7,529</t>
  </si>
  <si>
    <t>$6,111</t>
  </si>
  <si>
    <t>Desperate Acts of Magic</t>
  </si>
  <si>
    <t>GCF</t>
  </si>
  <si>
    <t>A Perfect Man</t>
  </si>
  <si>
    <t>$7,117</t>
  </si>
  <si>
    <t>$388</t>
  </si>
  <si>
    <t>The Brass Teapot</t>
  </si>
  <si>
    <t>$6,997</t>
  </si>
  <si>
    <t>Finding Mr. Right</t>
  </si>
  <si>
    <t>$6,945</t>
  </si>
  <si>
    <t>Assaulted: Civil Rights Under Fire</t>
  </si>
  <si>
    <t>$6,905</t>
  </si>
  <si>
    <t>$4,570</t>
  </si>
  <si>
    <t>Sal</t>
  </si>
  <si>
    <t>$6,883</t>
  </si>
  <si>
    <t>$5,375</t>
  </si>
  <si>
    <t>The Human Scale</t>
  </si>
  <si>
    <t>$6,878</t>
  </si>
  <si>
    <t>Paradise: Hope</t>
  </si>
  <si>
    <t>$6,701</t>
  </si>
  <si>
    <t>$2,664</t>
  </si>
  <si>
    <t>Breakfast with Curtis</t>
  </si>
  <si>
    <t>$6,629</t>
  </si>
  <si>
    <t>$1,601</t>
  </si>
  <si>
    <t>Brief Reunion</t>
  </si>
  <si>
    <t>Down the Shore</t>
  </si>
  <si>
    <t>$6,558</t>
  </si>
  <si>
    <t>$4,808</t>
  </si>
  <si>
    <t>Paradise: Faith</t>
  </si>
  <si>
    <t>Some Velvet Morning</t>
  </si>
  <si>
    <t>$6,420</t>
  </si>
  <si>
    <t>100 Bloody Acres</t>
  </si>
  <si>
    <t>$6,388</t>
  </si>
  <si>
    <t>$3,419</t>
  </si>
  <si>
    <t>Inescapable</t>
  </si>
  <si>
    <t>$1,545</t>
  </si>
  <si>
    <t>Sweetwater</t>
  </si>
  <si>
    <t>$6,147</t>
  </si>
  <si>
    <t>Guitar Innovators: John Fahey &amp; Nels Cline</t>
  </si>
  <si>
    <t>Welcome to Pine Hill</t>
  </si>
  <si>
    <t>$6,115</t>
  </si>
  <si>
    <t>$3,629</t>
  </si>
  <si>
    <t>Rangrezz</t>
  </si>
  <si>
    <t>$6,108</t>
  </si>
  <si>
    <t>$4,318</t>
  </si>
  <si>
    <t>The Last Time I Saw Macao</t>
  </si>
  <si>
    <t>$6,095</t>
  </si>
  <si>
    <t>The Playroom</t>
  </si>
  <si>
    <t>$5,964</t>
  </si>
  <si>
    <t>A Bottle in the Gaza Sea</t>
  </si>
  <si>
    <t>$5,872</t>
  </si>
  <si>
    <t>$2,531</t>
  </si>
  <si>
    <t>Five Dances</t>
  </si>
  <si>
    <t>$5,788</t>
  </si>
  <si>
    <t>A Dark Truth</t>
  </si>
  <si>
    <t>$5,750</t>
  </si>
  <si>
    <t>$630</t>
  </si>
  <si>
    <t>People of a Feather</t>
  </si>
  <si>
    <t>$5,677</t>
  </si>
  <si>
    <t>$2,413</t>
  </si>
  <si>
    <t>Knife Fight</t>
  </si>
  <si>
    <t>$5,661</t>
  </si>
  <si>
    <t>The Guillotines</t>
  </si>
  <si>
    <t>$5,290</t>
  </si>
  <si>
    <t>$3,296</t>
  </si>
  <si>
    <t>The Time Being</t>
  </si>
  <si>
    <t>$5,274</t>
  </si>
  <si>
    <t>Bidder 70</t>
  </si>
  <si>
    <t>$5,074</t>
  </si>
  <si>
    <t>$2,477</t>
  </si>
  <si>
    <t>Nuclear Nation</t>
  </si>
  <si>
    <t>$4,960</t>
  </si>
  <si>
    <t>$2,268</t>
  </si>
  <si>
    <t>Herman's House</t>
  </si>
  <si>
    <t>$3,552</t>
  </si>
  <si>
    <t>Supporting Characters</t>
  </si>
  <si>
    <t>$4,917</t>
  </si>
  <si>
    <t>Revelation Road 2</t>
  </si>
  <si>
    <t>$4,871</t>
  </si>
  <si>
    <t>$3,722</t>
  </si>
  <si>
    <t>Ferlinghetti: The Rebirth of Wonder</t>
  </si>
  <si>
    <t>$4,816</t>
  </si>
  <si>
    <t>$1,197</t>
  </si>
  <si>
    <t>Hotel Normandy</t>
  </si>
  <si>
    <t>$4,640</t>
  </si>
  <si>
    <t>$2,552</t>
  </si>
  <si>
    <t>All is Bright</t>
  </si>
  <si>
    <t>$4,556</t>
  </si>
  <si>
    <t>Here Comes the Devil</t>
  </si>
  <si>
    <t>$4,534</t>
  </si>
  <si>
    <t>$783</t>
  </si>
  <si>
    <t>$4,380</t>
  </si>
  <si>
    <t>The End of Time</t>
  </si>
  <si>
    <t>$4,375</t>
  </si>
  <si>
    <t>$1,468</t>
  </si>
  <si>
    <t>A Case of You</t>
  </si>
  <si>
    <t>$4,187</t>
  </si>
  <si>
    <t>3 Geezers!</t>
  </si>
  <si>
    <t>$4,175</t>
  </si>
  <si>
    <t>$1,372</t>
  </si>
  <si>
    <t>Pawn</t>
  </si>
  <si>
    <t>$4,141</t>
  </si>
  <si>
    <t>$2,137</t>
  </si>
  <si>
    <t>Contracted</t>
  </si>
  <si>
    <t>$4,105</t>
  </si>
  <si>
    <t>$3,328</t>
  </si>
  <si>
    <t>Weekend of a Champion</t>
  </si>
  <si>
    <t>Silver Circle</t>
  </si>
  <si>
    <t>$4,080</t>
  </si>
  <si>
    <t>$1,314</t>
  </si>
  <si>
    <t>The Kitchen</t>
  </si>
  <si>
    <t>$4,054</t>
  </si>
  <si>
    <t>Morning</t>
  </si>
  <si>
    <t>$4,029</t>
  </si>
  <si>
    <t>$2,876</t>
  </si>
  <si>
    <t>Approved for Adoption</t>
  </si>
  <si>
    <t>$4,015</t>
  </si>
  <si>
    <t>Three Worlds</t>
  </si>
  <si>
    <t>$3,952</t>
  </si>
  <si>
    <t>$1,791</t>
  </si>
  <si>
    <t>High Tech, Low Life</t>
  </si>
  <si>
    <t>$3,836</t>
  </si>
  <si>
    <t>The Condemned (2013)</t>
  </si>
  <si>
    <t>$3,718</t>
  </si>
  <si>
    <t>$2,511</t>
  </si>
  <si>
    <t>Mr. Nobody</t>
  </si>
  <si>
    <t>$3,622</t>
  </si>
  <si>
    <t>$1,612</t>
  </si>
  <si>
    <t>Tricked</t>
  </si>
  <si>
    <t>$1,930</t>
  </si>
  <si>
    <t>The Stroller Strategy</t>
  </si>
  <si>
    <t>$3,462</t>
  </si>
  <si>
    <t>$1,799</t>
  </si>
  <si>
    <t>Scenic Route</t>
  </si>
  <si>
    <t>$3,434</t>
  </si>
  <si>
    <t>The Happy Poet</t>
  </si>
  <si>
    <t>$3,400</t>
  </si>
  <si>
    <t>Swerve</t>
  </si>
  <si>
    <t>$3,338</t>
  </si>
  <si>
    <t>$2,725</t>
  </si>
  <si>
    <t>Axe Giant: The Wrath of Paul Bunyan</t>
  </si>
  <si>
    <t>$3,287</t>
  </si>
  <si>
    <t>$775</t>
  </si>
  <si>
    <t>As Cool As I Am</t>
  </si>
  <si>
    <t>$3,234</t>
  </si>
  <si>
    <t>Plush</t>
  </si>
  <si>
    <t>IMG/B</t>
  </si>
  <si>
    <t>$3,080</t>
  </si>
  <si>
    <t>$2,843</t>
  </si>
  <si>
    <t>Drew: The Man Behind the Poster</t>
  </si>
  <si>
    <t>$3,078</t>
  </si>
  <si>
    <t>$1,764</t>
  </si>
  <si>
    <t>A Girl and a Gun</t>
  </si>
  <si>
    <t>$3,018</t>
  </si>
  <si>
    <t>$1,731</t>
  </si>
  <si>
    <t>Approaching Midnight</t>
  </si>
  <si>
    <t>$2,795</t>
  </si>
  <si>
    <t>What Richard Did</t>
  </si>
  <si>
    <t>$2,749</t>
  </si>
  <si>
    <t>The Lesser Blessed</t>
  </si>
  <si>
    <t>$2,732</t>
  </si>
  <si>
    <t>Come Out and Play</t>
  </si>
  <si>
    <t>$2,638</t>
  </si>
  <si>
    <t>$1,600</t>
  </si>
  <si>
    <t>Sparrow's Dance</t>
  </si>
  <si>
    <t>$2,602</t>
  </si>
  <si>
    <t>Last Flight of the Champion</t>
  </si>
  <si>
    <t>$2,597</t>
  </si>
  <si>
    <t>$1,493</t>
  </si>
  <si>
    <t>Cassadaga</t>
  </si>
  <si>
    <t>$2,544</t>
  </si>
  <si>
    <t>$1,678</t>
  </si>
  <si>
    <t>Almost in Love</t>
  </si>
  <si>
    <t>$2,510</t>
  </si>
  <si>
    <t>$1,110</t>
  </si>
  <si>
    <t>The Last Day of August</t>
  </si>
  <si>
    <t>$2,492</t>
  </si>
  <si>
    <t>$1,693</t>
  </si>
  <si>
    <t>Men at Lunch</t>
  </si>
  <si>
    <t>$2,483</t>
  </si>
  <si>
    <t>$1,530</t>
  </si>
  <si>
    <t>Lotus Eaters</t>
  </si>
  <si>
    <t>$2,325</t>
  </si>
  <si>
    <t>$1,715</t>
  </si>
  <si>
    <t>The Happy House</t>
  </si>
  <si>
    <t>$2,311</t>
  </si>
  <si>
    <t>InSpectres</t>
  </si>
  <si>
    <t>R88</t>
  </si>
  <si>
    <t>$2,207</t>
  </si>
  <si>
    <t>$610</t>
  </si>
  <si>
    <t>Rubberneck</t>
  </si>
  <si>
    <t>Red Flag</t>
  </si>
  <si>
    <t>Best Man Down</t>
  </si>
  <si>
    <t>$1,171</t>
  </si>
  <si>
    <t>Detention of the Dead</t>
  </si>
  <si>
    <t>$1,777</t>
  </si>
  <si>
    <t>$1,332</t>
  </si>
  <si>
    <t>You Don't Need Feet to Dance</t>
  </si>
  <si>
    <t>$1,719</t>
  </si>
  <si>
    <t>Eddie the Sleepwalking Cannibal</t>
  </si>
  <si>
    <t>$1,632</t>
  </si>
  <si>
    <t>$1,016</t>
  </si>
  <si>
    <t>The Package (2013)</t>
  </si>
  <si>
    <t>$1,095</t>
  </si>
  <si>
    <t>Officer Down</t>
  </si>
  <si>
    <t>$1,463</t>
  </si>
  <si>
    <t>$1,061</t>
  </si>
  <si>
    <t>A Zombie Invasion</t>
  </si>
  <si>
    <t>ALP</t>
  </si>
  <si>
    <t>$1,170</t>
  </si>
  <si>
    <t>Veer!</t>
  </si>
  <si>
    <t>BLS</t>
  </si>
  <si>
    <t>$713</t>
  </si>
  <si>
    <t>Caught in the Web</t>
  </si>
  <si>
    <t>$1,067</t>
  </si>
  <si>
    <t>$361</t>
  </si>
  <si>
    <t>Java Heat</t>
  </si>
  <si>
    <t>Paris Countdown</t>
  </si>
  <si>
    <t>$1,055</t>
  </si>
  <si>
    <t>Absence</t>
  </si>
  <si>
    <t>$1,031</t>
  </si>
  <si>
    <t>Khumba</t>
  </si>
  <si>
    <t>$1,029</t>
  </si>
  <si>
    <t>Remnants</t>
  </si>
  <si>
    <t>$1,022</t>
  </si>
  <si>
    <t>Billy and Buddy</t>
  </si>
  <si>
    <t>$894</t>
  </si>
  <si>
    <t>I Spit on Your Grave 2</t>
  </si>
  <si>
    <t>$441</t>
  </si>
  <si>
    <t>Into the White</t>
  </si>
  <si>
    <t>$704</t>
  </si>
  <si>
    <t>$90</t>
  </si>
  <si>
    <t>Syrup</t>
  </si>
  <si>
    <t>$663</t>
  </si>
  <si>
    <t>$301</t>
  </si>
  <si>
    <t>Hammer of the Gods</t>
  </si>
  <si>
    <t>$641</t>
  </si>
  <si>
    <t>$164</t>
  </si>
  <si>
    <t>Triumph of the Wall</t>
  </si>
  <si>
    <t>$476</t>
  </si>
  <si>
    <t>$430</t>
  </si>
  <si>
    <t>Storage 24</t>
  </si>
  <si>
    <t>$72</t>
  </si>
  <si>
    <t>Marvel's The Avengers</t>
  </si>
  <si>
    <t>$623,357,910</t>
  </si>
  <si>
    <t>$207,438,708</t>
  </si>
  <si>
    <t>The Dark Knight Rises</t>
  </si>
  <si>
    <t>$448,139,099</t>
  </si>
  <si>
    <t>$160,887,295</t>
  </si>
  <si>
    <t>The Hunger Games</t>
  </si>
  <si>
    <t>$408,010,692</t>
  </si>
  <si>
    <t>$152,535,747</t>
  </si>
  <si>
    <t>Skyfall</t>
  </si>
  <si>
    <t>$304,360,277</t>
  </si>
  <si>
    <t>$88,364,714</t>
  </si>
  <si>
    <t>The Hobbit: An Unexpected Journey</t>
  </si>
  <si>
    <t>$303,003,568</t>
  </si>
  <si>
    <t>$84,617,303</t>
  </si>
  <si>
    <t>The Twilight Saga: Breaking Dawn Part 2</t>
  </si>
  <si>
    <t>$292,324,737</t>
  </si>
  <si>
    <t>$141,067,634</t>
  </si>
  <si>
    <t>The Amazing Spider-Man</t>
  </si>
  <si>
    <t>$262,030,663</t>
  </si>
  <si>
    <t>$62,004,688</t>
  </si>
  <si>
    <t>Brave</t>
  </si>
  <si>
    <t>$237,283,207</t>
  </si>
  <si>
    <t>$66,323,594</t>
  </si>
  <si>
    <t>Ted</t>
  </si>
  <si>
    <t>$218,815,487</t>
  </si>
  <si>
    <t>$54,415,205</t>
  </si>
  <si>
    <t>Madagascar 3: Europe's Most Wanted</t>
  </si>
  <si>
    <t>P/DW</t>
  </si>
  <si>
    <t>$216,391,482</t>
  </si>
  <si>
    <t>$60,316,738</t>
  </si>
  <si>
    <t>Dr. Seuss' The Lorax</t>
  </si>
  <si>
    <t>$214,030,500</t>
  </si>
  <si>
    <t>$70,217,070</t>
  </si>
  <si>
    <t>Wreck-It Ralph</t>
  </si>
  <si>
    <t>$189,422,889</t>
  </si>
  <si>
    <t>$49,038,712</t>
  </si>
  <si>
    <t>Lincoln</t>
  </si>
  <si>
    <t>$182,207,973</t>
  </si>
  <si>
    <t>$944,308</t>
  </si>
  <si>
    <t>MIB 3</t>
  </si>
  <si>
    <t>$179,020,854</t>
  </si>
  <si>
    <t>$54,592,779</t>
  </si>
  <si>
    <t>Django Unchained</t>
  </si>
  <si>
    <t>$162,805,434</t>
  </si>
  <si>
    <t>$30,122,888</t>
  </si>
  <si>
    <t>Ice Age: Continental Drift</t>
  </si>
  <si>
    <t>$161,321,843</t>
  </si>
  <si>
    <t>$46,629,259</t>
  </si>
  <si>
    <t>Snow White and the Huntsman</t>
  </si>
  <si>
    <t>$155,332,381</t>
  </si>
  <si>
    <t>$56,217,700</t>
  </si>
  <si>
    <t>Les Miserables (2012)</t>
  </si>
  <si>
    <t>$148,809,770</t>
  </si>
  <si>
    <t>$27,281,735</t>
  </si>
  <si>
    <t>Hotel Transylvania</t>
  </si>
  <si>
    <t>$148,313,048</t>
  </si>
  <si>
    <t>$42,522,194</t>
  </si>
  <si>
    <t>Taken 2</t>
  </si>
  <si>
    <t>$139,854,287</t>
  </si>
  <si>
    <t>$49,514,769</t>
  </si>
  <si>
    <t>21 Jump Street</t>
  </si>
  <si>
    <t>$138,447,667</t>
  </si>
  <si>
    <t>$36,302,612</t>
  </si>
  <si>
    <t>Argo</t>
  </si>
  <si>
    <t>$136,025,503</t>
  </si>
  <si>
    <t>$19,458,109</t>
  </si>
  <si>
    <t>Silver Linings Playbook</t>
  </si>
  <si>
    <t>$132,092,958</t>
  </si>
  <si>
    <t>$443,003</t>
  </si>
  <si>
    <t>Prometheus</t>
  </si>
  <si>
    <t>$126,477,084</t>
  </si>
  <si>
    <t>$51,050,101</t>
  </si>
  <si>
    <t>Safe House</t>
  </si>
  <si>
    <t>$126,373,434</t>
  </si>
  <si>
    <t>$40,172,720</t>
  </si>
  <si>
    <t>The Vow</t>
  </si>
  <si>
    <t>$125,014,030</t>
  </si>
  <si>
    <t>$41,202,458</t>
  </si>
  <si>
    <t>Life of Pi</t>
  </si>
  <si>
    <t>$124,987,023</t>
  </si>
  <si>
    <t>$22,451,514</t>
  </si>
  <si>
    <t>Magic Mike</t>
  </si>
  <si>
    <t>$113,721,571</t>
  </si>
  <si>
    <t>$39,127,170</t>
  </si>
  <si>
    <t>The Bourne Legacy</t>
  </si>
  <si>
    <t>$113,203,870</t>
  </si>
  <si>
    <t>$38,142,825</t>
  </si>
  <si>
    <t>Journey 2: The Mysterious Island</t>
  </si>
  <si>
    <t>$103,860,290</t>
  </si>
  <si>
    <t>$27,335,363</t>
  </si>
  <si>
    <t>Rise of the Guardians</t>
  </si>
  <si>
    <t>$103,412,758</t>
  </si>
  <si>
    <t>$23,773,465</t>
  </si>
  <si>
    <t>Zero Dark Thirty</t>
  </si>
  <si>
    <t>$95,720,716</t>
  </si>
  <si>
    <t>$417,150</t>
  </si>
  <si>
    <t>Flight</t>
  </si>
  <si>
    <t>$93,772,375</t>
  </si>
  <si>
    <t>$24,900,566</t>
  </si>
  <si>
    <t>Think Like a Man</t>
  </si>
  <si>
    <t>$91,547,205</t>
  </si>
  <si>
    <t>$33,636,303</t>
  </si>
  <si>
    <t>The Campaign</t>
  </si>
  <si>
    <t>$86,907,746</t>
  </si>
  <si>
    <t>$26,588,460</t>
  </si>
  <si>
    <t>The Expendables 2</t>
  </si>
  <si>
    <t>$85,028,192</t>
  </si>
  <si>
    <t>$28,591,370</t>
  </si>
  <si>
    <t>Wrath of the Titans</t>
  </si>
  <si>
    <t>$83,670,083</t>
  </si>
  <si>
    <t>$33,457,188</t>
  </si>
  <si>
    <t>Jack Reacher</t>
  </si>
  <si>
    <t>$80,070,736</t>
  </si>
  <si>
    <t>$15,210,156</t>
  </si>
  <si>
    <t>Dark Shadows</t>
  </si>
  <si>
    <t>$79,727,149</t>
  </si>
  <si>
    <t>$29,685,274</t>
  </si>
  <si>
    <t>Parental Guidance</t>
  </si>
  <si>
    <t>$77,267,296</t>
  </si>
  <si>
    <t>$14,554,053</t>
  </si>
  <si>
    <t>John Carter</t>
  </si>
  <si>
    <t>$73,078,100</t>
  </si>
  <si>
    <t>$30,180,188</t>
  </si>
  <si>
    <t>Act of Valor</t>
  </si>
  <si>
    <t>$70,012,847</t>
  </si>
  <si>
    <t>$24,476,632</t>
  </si>
  <si>
    <t>This Is 40</t>
  </si>
  <si>
    <t>$67,544,505</t>
  </si>
  <si>
    <t>$11,579,175</t>
  </si>
  <si>
    <t>Contraband</t>
  </si>
  <si>
    <t>$66,528,000</t>
  </si>
  <si>
    <t>$24,349,815</t>
  </si>
  <si>
    <t>Looper</t>
  </si>
  <si>
    <t>$66,486,205</t>
  </si>
  <si>
    <t>$20,801,552</t>
  </si>
  <si>
    <t>Tyler Perry's Madea's Witness Protection</t>
  </si>
  <si>
    <t>$65,653,242</t>
  </si>
  <si>
    <t>$25,390,575</t>
  </si>
  <si>
    <t>Battleship</t>
  </si>
  <si>
    <t>$65,422,625</t>
  </si>
  <si>
    <t>$25,534,825</t>
  </si>
  <si>
    <t>Pitch Perfect</t>
  </si>
  <si>
    <t>$65,001,093</t>
  </si>
  <si>
    <t>$5,149,433</t>
  </si>
  <si>
    <t>Mirror Mirror</t>
  </si>
  <si>
    <t>$64,935,167</t>
  </si>
  <si>
    <t>$18,132,085</t>
  </si>
  <si>
    <t>Chronicle (2012)</t>
  </si>
  <si>
    <t>$64,575,175</t>
  </si>
  <si>
    <t>$22,004,098</t>
  </si>
  <si>
    <t>Hope Springs</t>
  </si>
  <si>
    <t>$63,536,011</t>
  </si>
  <si>
    <t>$14,650,121</t>
  </si>
  <si>
    <t>Underworld Awakening</t>
  </si>
  <si>
    <t>$62,321,039</t>
  </si>
  <si>
    <t>$25,306,725</t>
  </si>
  <si>
    <t>The Lucky One</t>
  </si>
  <si>
    <t>$60,457,138</t>
  </si>
  <si>
    <t>$22,518,358</t>
  </si>
  <si>
    <t>The Dictator</t>
  </si>
  <si>
    <t>$59,650,222</t>
  </si>
  <si>
    <t>$17,435,092</t>
  </si>
  <si>
    <t>Total Recall (2012)</t>
  </si>
  <si>
    <t>$58,877,969</t>
  </si>
  <si>
    <t>$25,577,758</t>
  </si>
  <si>
    <t>Titanic 3D</t>
  </si>
  <si>
    <t>$57,884,114</t>
  </si>
  <si>
    <t>$17,285,453</t>
  </si>
  <si>
    <t>American Reunion</t>
  </si>
  <si>
    <t>$57,011,521</t>
  </si>
  <si>
    <t>$21,514,080</t>
  </si>
  <si>
    <t>ParaNorman</t>
  </si>
  <si>
    <t>$56,003,051</t>
  </si>
  <si>
    <t>$14,087,050</t>
  </si>
  <si>
    <t>This Means War</t>
  </si>
  <si>
    <t>$54,760,791</t>
  </si>
  <si>
    <t>$17,405,930</t>
  </si>
  <si>
    <t>Project X</t>
  </si>
  <si>
    <t>$54,731,865</t>
  </si>
  <si>
    <t>$21,051,363</t>
  </si>
  <si>
    <t>The Woman in Black</t>
  </si>
  <si>
    <t>$54,333,290</t>
  </si>
  <si>
    <t>$20,874,072</t>
  </si>
  <si>
    <t>Paranormal Activity 4</t>
  </si>
  <si>
    <t>$53,900,335</t>
  </si>
  <si>
    <t>$29,003,866</t>
  </si>
  <si>
    <t>The Devil Inside</t>
  </si>
  <si>
    <t>$53,261,944</t>
  </si>
  <si>
    <t>$33,732,515</t>
  </si>
  <si>
    <t>The Odd Life of Timothy Green</t>
  </si>
  <si>
    <t>$51,854,875</t>
  </si>
  <si>
    <t>$10,822,903</t>
  </si>
  <si>
    <t>Ghost Rider: Spirit of Vengeance</t>
  </si>
  <si>
    <t>$51,774,002</t>
  </si>
  <si>
    <t>$22,115,334</t>
  </si>
  <si>
    <t>The Grey</t>
  </si>
  <si>
    <t>$51,580,236</t>
  </si>
  <si>
    <t>$19,665,101</t>
  </si>
  <si>
    <t>Red Tails</t>
  </si>
  <si>
    <t>$49,876,377</t>
  </si>
  <si>
    <t>$18,782,154</t>
  </si>
  <si>
    <t>The Possession</t>
  </si>
  <si>
    <t>$49,130,154</t>
  </si>
  <si>
    <t>$17,732,480</t>
  </si>
  <si>
    <t>Diary of a Wimpy Kid: Dog Days</t>
  </si>
  <si>
    <t>$49,008,662</t>
  </si>
  <si>
    <t>$14,623,599</t>
  </si>
  <si>
    <t>Sinister</t>
  </si>
  <si>
    <t>$48,086,903</t>
  </si>
  <si>
    <t>$18,007,634</t>
  </si>
  <si>
    <t>Beauty and the Beast (3D)</t>
  </si>
  <si>
    <t>$47,617,067</t>
  </si>
  <si>
    <t>$17,751,905</t>
  </si>
  <si>
    <t>Savages (2012)</t>
  </si>
  <si>
    <t>$47,382,068</t>
  </si>
  <si>
    <t>$16,016,910</t>
  </si>
  <si>
    <t>The Best Exotic Marigold Hotel</t>
  </si>
  <si>
    <t>$46,412,041</t>
  </si>
  <si>
    <t>$737,051</t>
  </si>
  <si>
    <t>Moonrise Kingdom</t>
  </si>
  <si>
    <t>$45,512,466</t>
  </si>
  <si>
    <t>$522,996</t>
  </si>
  <si>
    <t>Here Comes the Boom</t>
  </si>
  <si>
    <t>$45,290,318</t>
  </si>
  <si>
    <t>$11,816,596</t>
  </si>
  <si>
    <t>Red Dawn (2012)</t>
  </si>
  <si>
    <t>$44,806,783</t>
  </si>
  <si>
    <t>$14,276,668</t>
  </si>
  <si>
    <t>The Three Stooges</t>
  </si>
  <si>
    <t>$44,338,224</t>
  </si>
  <si>
    <t>$17,010,125</t>
  </si>
  <si>
    <t>Star Wars: Episode I - The Phantom Menace (in 3D)</t>
  </si>
  <si>
    <t>$43,456,382</t>
  </si>
  <si>
    <t>$22,469,932</t>
  </si>
  <si>
    <t>Resident Evil: Retribution</t>
  </si>
  <si>
    <t>$42,345,531</t>
  </si>
  <si>
    <t>$21,052,227</t>
  </si>
  <si>
    <t>The Cabin in the Woods</t>
  </si>
  <si>
    <t>$42,073,277</t>
  </si>
  <si>
    <t>$14,743,614</t>
  </si>
  <si>
    <t>What to Expect When You're Expecting</t>
  </si>
  <si>
    <t>$41,152,203</t>
  </si>
  <si>
    <t>$10,547,068</t>
  </si>
  <si>
    <t>Finding Nemo (3D)</t>
  </si>
  <si>
    <t>$41,128,283</t>
  </si>
  <si>
    <t>$16,687,773</t>
  </si>
  <si>
    <t>End of Watch</t>
  </si>
  <si>
    <t>$41,003,371</t>
  </si>
  <si>
    <t>$13,152,683</t>
  </si>
  <si>
    <t>Rock of Ages</t>
  </si>
  <si>
    <t>$38,518,613</t>
  </si>
  <si>
    <t>$14,437,269</t>
  </si>
  <si>
    <t>Abraham Lincoln: Vampire Hunter</t>
  </si>
  <si>
    <t>$37,519,139</t>
  </si>
  <si>
    <t>$16,306,974</t>
  </si>
  <si>
    <t>Lawless</t>
  </si>
  <si>
    <t>$37,400,127</t>
  </si>
  <si>
    <t>$10,001,982</t>
  </si>
  <si>
    <t>The Guilt Trip</t>
  </si>
  <si>
    <t>$37,134,215</t>
  </si>
  <si>
    <t>$5,290,629</t>
  </si>
  <si>
    <t>That's My Boy</t>
  </si>
  <si>
    <t>$36,931,089</t>
  </si>
  <si>
    <t>$13,453,714</t>
  </si>
  <si>
    <t>Trouble with the Curve</t>
  </si>
  <si>
    <t>$35,763,137</t>
  </si>
  <si>
    <t>$12,162,040</t>
  </si>
  <si>
    <t>The Watch</t>
  </si>
  <si>
    <t>$35,353,000</t>
  </si>
  <si>
    <t>$12,750,297</t>
  </si>
  <si>
    <t>Frankenweenie</t>
  </si>
  <si>
    <t>$35,291,068</t>
  </si>
  <si>
    <t>$11,412,213</t>
  </si>
  <si>
    <t>Step Up Revolution</t>
  </si>
  <si>
    <t>$35,074,677</t>
  </si>
  <si>
    <t>$11,731,708</t>
  </si>
  <si>
    <t>Tyler Perry's Good Deeds</t>
  </si>
  <si>
    <t>$35,025,791</t>
  </si>
  <si>
    <t>$15,583,924</t>
  </si>
  <si>
    <t>Monsters, Inc. (3D)</t>
  </si>
  <si>
    <t>$34,043,006</t>
  </si>
  <si>
    <t>$4,774,686</t>
  </si>
  <si>
    <t>2016 Obama's America</t>
  </si>
  <si>
    <t>$33,449,086</t>
  </si>
  <si>
    <t>$31,610</t>
  </si>
  <si>
    <t>House at the End of The Street</t>
  </si>
  <si>
    <t>$31,611,916</t>
  </si>
  <si>
    <t>$12,287,234</t>
  </si>
  <si>
    <t>The Pirates! Band of Misfits</t>
  </si>
  <si>
    <t>$31,051,126</t>
  </si>
  <si>
    <t>$11,137,734</t>
  </si>
  <si>
    <t>Joyful Noise</t>
  </si>
  <si>
    <t>$30,932,113</t>
  </si>
  <si>
    <t>$11,225,190</t>
  </si>
  <si>
    <t>Chimpanzee</t>
  </si>
  <si>
    <t>$28,972,764</t>
  </si>
  <si>
    <t>$10,673,748</t>
  </si>
  <si>
    <t>The Five-Year Engagement</t>
  </si>
  <si>
    <t>$28,835,528</t>
  </si>
  <si>
    <t>$10,610,060</t>
  </si>
  <si>
    <t>Cloud Atlas</t>
  </si>
  <si>
    <t>$27,108,272</t>
  </si>
  <si>
    <t>$9,612,247</t>
  </si>
  <si>
    <t>One For the Money</t>
  </si>
  <si>
    <t>$26,414,527</t>
  </si>
  <si>
    <t>$11,515,790</t>
  </si>
  <si>
    <t>Alex Cross</t>
  </si>
  <si>
    <t>$25,888,412</t>
  </si>
  <si>
    <t>$11,396,768</t>
  </si>
  <si>
    <t>Katy Perry: Part of Me</t>
  </si>
  <si>
    <t>$25,326,071</t>
  </si>
  <si>
    <t>$7,138,266</t>
  </si>
  <si>
    <t>Sparkle (2012)</t>
  </si>
  <si>
    <t>$24,397,469</t>
  </si>
  <si>
    <t>$11,643,342</t>
  </si>
  <si>
    <t>Premium Rush</t>
  </si>
  <si>
    <t>$20,275,446</t>
  </si>
  <si>
    <t>$6,030,164</t>
  </si>
  <si>
    <t>Big Miracle</t>
  </si>
  <si>
    <t>$20,157,300</t>
  </si>
  <si>
    <t>$7,760,205</t>
  </si>
  <si>
    <t>The Secret World of Arrietty</t>
  </si>
  <si>
    <t>$19,202,743</t>
  </si>
  <si>
    <t>$6,446,395</t>
  </si>
  <si>
    <t>The Impossible</t>
  </si>
  <si>
    <t>$19,019,882</t>
  </si>
  <si>
    <t>$143,818</t>
  </si>
  <si>
    <t>Haywire</t>
  </si>
  <si>
    <t>$18,942,396</t>
  </si>
  <si>
    <t>$8,425,370</t>
  </si>
  <si>
    <t>Man on a Ledge</t>
  </si>
  <si>
    <t>$18,620,000</t>
  </si>
  <si>
    <t>$8,001,932</t>
  </si>
  <si>
    <t>A Thousand Words</t>
  </si>
  <si>
    <t>$18,450,127</t>
  </si>
  <si>
    <t>$6,176,280</t>
  </si>
  <si>
    <t>Chernobyl Diaries</t>
  </si>
  <si>
    <t>$18,119,640</t>
  </si>
  <si>
    <t>$7,955,307</t>
  </si>
  <si>
    <t>The Perks of Being a Wallflower</t>
  </si>
  <si>
    <t>$17,742,948</t>
  </si>
  <si>
    <t>$228,359</t>
  </si>
  <si>
    <t>Silent Hill: Revelation 3D</t>
  </si>
  <si>
    <t>$17,529,157</t>
  </si>
  <si>
    <t>$8,023,036</t>
  </si>
  <si>
    <t>Wanderlust</t>
  </si>
  <si>
    <t>$17,450,535</t>
  </si>
  <si>
    <t>$6,526,650</t>
  </si>
  <si>
    <t>Safe (2012)</t>
  </si>
  <si>
    <t>$17,142,080</t>
  </si>
  <si>
    <t>$7,892,539</t>
  </si>
  <si>
    <t>To Rome with Love</t>
  </si>
  <si>
    <t>$16,685,867</t>
  </si>
  <si>
    <t>$361,359</t>
  </si>
  <si>
    <t>The Master</t>
  </si>
  <si>
    <t>$16,377,274</t>
  </si>
  <si>
    <t>$736,311</t>
  </si>
  <si>
    <t>The Raven</t>
  </si>
  <si>
    <t>$16,008,272</t>
  </si>
  <si>
    <t>$7,289,642</t>
  </si>
  <si>
    <t>The Man with the Iron Fists</t>
  </si>
  <si>
    <t>$15,634,090</t>
  </si>
  <si>
    <t>$7,910,980</t>
  </si>
  <si>
    <t>Killing Them Softly</t>
  </si>
  <si>
    <t>$15,026,056</t>
  </si>
  <si>
    <t>$6,812,900</t>
  </si>
  <si>
    <t>Seven Psychopaths</t>
  </si>
  <si>
    <t>$15,024,049</t>
  </si>
  <si>
    <t>$4,174,915</t>
  </si>
  <si>
    <t>To the Arctic (IMAX)</t>
  </si>
  <si>
    <t>$14,522,130</t>
  </si>
  <si>
    <t>$270,228</t>
  </si>
  <si>
    <t>Lockout</t>
  </si>
  <si>
    <t>$14,326,864</t>
  </si>
  <si>
    <t>$6,231,836</t>
  </si>
  <si>
    <t>Hit and Run</t>
  </si>
  <si>
    <t>$13,749,300</t>
  </si>
  <si>
    <t>$4,526,222</t>
  </si>
  <si>
    <t>Dredd</t>
  </si>
  <si>
    <t>$13,414,714</t>
  </si>
  <si>
    <t>$6,278,491</t>
  </si>
  <si>
    <t>Playing for Keeps</t>
  </si>
  <si>
    <t>$13,102,272</t>
  </si>
  <si>
    <t>$5,750,288</t>
  </si>
  <si>
    <t>Anna Karenina</t>
  </si>
  <si>
    <t>$12,816,367</t>
  </si>
  <si>
    <t>$320,690</t>
  </si>
  <si>
    <t>Beasts of the Southern Wild</t>
  </si>
  <si>
    <t>$12,795,746</t>
  </si>
  <si>
    <t>$169,702</t>
  </si>
  <si>
    <t>Silent House</t>
  </si>
  <si>
    <t>$12,754,783</t>
  </si>
  <si>
    <t>$6,661,234</t>
  </si>
  <si>
    <t>Cirque Du Soleil: Worlds Away</t>
  </si>
  <si>
    <t>$12,512,862</t>
  </si>
  <si>
    <t>$2,162,993</t>
  </si>
  <si>
    <t>People Like Us</t>
  </si>
  <si>
    <t>$12,434,778</t>
  </si>
  <si>
    <t>$4,255,423</t>
  </si>
  <si>
    <t>Gone</t>
  </si>
  <si>
    <t>$11,682,205</t>
  </si>
  <si>
    <t>$4,770,360</t>
  </si>
  <si>
    <t>The Words</t>
  </si>
  <si>
    <t>$11,494,838</t>
  </si>
  <si>
    <t>$4,750,894</t>
  </si>
  <si>
    <t>The Intouchables (U.S.-only)</t>
  </si>
  <si>
    <t>$10,198,820</t>
  </si>
  <si>
    <t>$103,507</t>
  </si>
  <si>
    <t>Fun Size</t>
  </si>
  <si>
    <t>$9,409,538</t>
  </si>
  <si>
    <t>$4,101,017</t>
  </si>
  <si>
    <t>Bernie</t>
  </si>
  <si>
    <t>$9,206,470</t>
  </si>
  <si>
    <t>$85,805</t>
  </si>
  <si>
    <t>Salmon Fishing in the Yemen</t>
  </si>
  <si>
    <t>$9,047,981</t>
  </si>
  <si>
    <t>$225,894</t>
  </si>
  <si>
    <t>Arbitrage</t>
  </si>
  <si>
    <t>$7,919,574</t>
  </si>
  <si>
    <t>$2,002,165</t>
  </si>
  <si>
    <t>Promised Land (2012)</t>
  </si>
  <si>
    <t>$7,597,898</t>
  </si>
  <si>
    <t>$173,915</t>
  </si>
  <si>
    <t>Friends with Kids</t>
  </si>
  <si>
    <t>$7,251,073</t>
  </si>
  <si>
    <t>$2,019,083</t>
  </si>
  <si>
    <t>Seeking a Friend for the End of the World</t>
  </si>
  <si>
    <t>$7,078,738</t>
  </si>
  <si>
    <t>$3,822,803</t>
  </si>
  <si>
    <t>The Collection</t>
  </si>
  <si>
    <t>$6,842,058</t>
  </si>
  <si>
    <t>$3,104,269</t>
  </si>
  <si>
    <t>Amour</t>
  </si>
  <si>
    <t>$6,739,492</t>
  </si>
  <si>
    <t>$68,266</t>
  </si>
  <si>
    <t>Hyde Park on Hudson</t>
  </si>
  <si>
    <t>$6,376,145</t>
  </si>
  <si>
    <t>$81,362</t>
  </si>
  <si>
    <t>Hitchcock</t>
  </si>
  <si>
    <t>$6,008,677</t>
  </si>
  <si>
    <t>$287,715</t>
  </si>
  <si>
    <t>Chasing Mavericks</t>
  </si>
  <si>
    <t>$6,002,756</t>
  </si>
  <si>
    <t>$2,268,274</t>
  </si>
  <si>
    <t>The Sessions</t>
  </si>
  <si>
    <t>$6,002,451</t>
  </si>
  <si>
    <t>$113,467</t>
  </si>
  <si>
    <t>Casa De Mi Padre</t>
  </si>
  <si>
    <t>$5,909,483</t>
  </si>
  <si>
    <t>$2,287,239</t>
  </si>
  <si>
    <t>For Greater Glory</t>
  </si>
  <si>
    <t>ArcEnt</t>
  </si>
  <si>
    <t>$5,672,846</t>
  </si>
  <si>
    <t>$1,885,608</t>
  </si>
  <si>
    <t>Won't Back Down</t>
  </si>
  <si>
    <t>$5,310,554</t>
  </si>
  <si>
    <t>$2,603,370</t>
  </si>
  <si>
    <t>October Baby (2012)</t>
  </si>
  <si>
    <t>$5,157,886</t>
  </si>
  <si>
    <t>$1,697,130</t>
  </si>
  <si>
    <t>The Apparition</t>
  </si>
  <si>
    <t>$4,936,819</t>
  </si>
  <si>
    <t>$2,841,488</t>
  </si>
  <si>
    <t>Jeff, Who Lives at Home</t>
  </si>
  <si>
    <t>ParV</t>
  </si>
  <si>
    <t>$4,269,426</t>
  </si>
  <si>
    <t>$855,709</t>
  </si>
  <si>
    <t>Goon</t>
  </si>
  <si>
    <t>$4,168,528</t>
  </si>
  <si>
    <t>$1,232,860</t>
  </si>
  <si>
    <t>The Raid: Redemption</t>
  </si>
  <si>
    <t>$4,105,187</t>
  </si>
  <si>
    <t>$213,785</t>
  </si>
  <si>
    <t>Safety Not Guaranteed</t>
  </si>
  <si>
    <t>$4,010,957</t>
  </si>
  <si>
    <t>$97,762</t>
  </si>
  <si>
    <t>Bully (PG-13)</t>
  </si>
  <si>
    <t>$3,863,446</t>
  </si>
  <si>
    <t>$535,433</t>
  </si>
  <si>
    <t>The Cold Light of Day</t>
  </si>
  <si>
    <t>$3,763,583</t>
  </si>
  <si>
    <t>$1,831,588</t>
  </si>
  <si>
    <t>Searching for Sugar Man</t>
  </si>
  <si>
    <t>$3,696,196</t>
  </si>
  <si>
    <t>$27,459</t>
  </si>
  <si>
    <t>Nitro Circus the Movie 3D</t>
  </si>
  <si>
    <t>$3,377,618</t>
  </si>
  <si>
    <t>$1,183,701</t>
  </si>
  <si>
    <t>Atlas Shrugged: Part II</t>
  </si>
  <si>
    <t>$3,336,053</t>
  </si>
  <si>
    <t>$1,751,572</t>
  </si>
  <si>
    <t>Last Ounce of Courage</t>
  </si>
  <si>
    <t>$3,329,674</t>
  </si>
  <si>
    <t>$1,585,994</t>
  </si>
  <si>
    <t>Robot &amp; Frank</t>
  </si>
  <si>
    <t>$3,325,038</t>
  </si>
  <si>
    <t>$35,539</t>
  </si>
  <si>
    <t>Raiders of the Lost Ark (IMAX)</t>
  </si>
  <si>
    <t>$3,125,613</t>
  </si>
  <si>
    <t>$1,673,731</t>
  </si>
  <si>
    <t>Celeste and Jesse Forever</t>
  </si>
  <si>
    <t>$3,094,813</t>
  </si>
  <si>
    <t>$107,785</t>
  </si>
  <si>
    <t>Jab Tak Hai Jaan</t>
  </si>
  <si>
    <t>$3,047,539</t>
  </si>
  <si>
    <t>$1,283,585</t>
  </si>
  <si>
    <t>Albert Nobbs</t>
  </si>
  <si>
    <t>$3,014,696</t>
  </si>
  <si>
    <t>$696,088</t>
  </si>
  <si>
    <t>Talaash</t>
  </si>
  <si>
    <t>$2,871,956</t>
  </si>
  <si>
    <t>$1,638,706</t>
  </si>
  <si>
    <t>Barfi!</t>
  </si>
  <si>
    <t>$2,804,874</t>
  </si>
  <si>
    <t>$1,061,713</t>
  </si>
  <si>
    <t>Samsara</t>
  </si>
  <si>
    <t>$2,672,413</t>
  </si>
  <si>
    <t>$76,222</t>
  </si>
  <si>
    <t>Girl in Progress</t>
  </si>
  <si>
    <t>$2,609,412</t>
  </si>
  <si>
    <t>$1,384,078</t>
  </si>
  <si>
    <t>Jiro Dreams of Sushi</t>
  </si>
  <si>
    <t>$2,552,478</t>
  </si>
  <si>
    <t>$42,035</t>
  </si>
  <si>
    <t>Ruby Sparks</t>
  </si>
  <si>
    <t>$2,540,106</t>
  </si>
  <si>
    <t>$140,822</t>
  </si>
  <si>
    <t>Dabangg 2</t>
  </si>
  <si>
    <t>$2,519,190</t>
  </si>
  <si>
    <t>$1,019,213</t>
  </si>
  <si>
    <t>The Queen of Versailles</t>
  </si>
  <si>
    <t>$2,401,999</t>
  </si>
  <si>
    <t>$51,326</t>
  </si>
  <si>
    <t>Ek Tha Tiger</t>
  </si>
  <si>
    <t>$2,347,774</t>
  </si>
  <si>
    <t>$1,139,340</t>
  </si>
  <si>
    <t>Sleepwalk with Me</t>
  </si>
  <si>
    <t>$2,266,067</t>
  </si>
  <si>
    <t>$68,801</t>
  </si>
  <si>
    <t>Rust and Bone</t>
  </si>
  <si>
    <t>$2,062,027</t>
  </si>
  <si>
    <t>$27,154</t>
  </si>
  <si>
    <t>Monsieur Lazhar (U.S.-only)</t>
  </si>
  <si>
    <t>$2,009,517</t>
  </si>
  <si>
    <t>$112,190</t>
  </si>
  <si>
    <t>Footnote</t>
  </si>
  <si>
    <t>$2,007,758</t>
  </si>
  <si>
    <t>$47,528</t>
  </si>
  <si>
    <t>Killer Joe</t>
  </si>
  <si>
    <t>$1,987,762</t>
  </si>
  <si>
    <t>$37,900</t>
  </si>
  <si>
    <t>Agneepath</t>
  </si>
  <si>
    <t>$1,986,748</t>
  </si>
  <si>
    <t>$1,140,464</t>
  </si>
  <si>
    <t>English Vinglish</t>
  </si>
  <si>
    <t>$1,862,086</t>
  </si>
  <si>
    <t>$745,414</t>
  </si>
  <si>
    <t>Crooked Arrows</t>
  </si>
  <si>
    <t>BPE</t>
  </si>
  <si>
    <t>$1,832,541</t>
  </si>
  <si>
    <t>$257,364</t>
  </si>
  <si>
    <t>Hysteria</t>
  </si>
  <si>
    <t>$1,804,139</t>
  </si>
  <si>
    <t>$35,656</t>
  </si>
  <si>
    <t>Housefull 2</t>
  </si>
  <si>
    <t>$1,791,780</t>
  </si>
  <si>
    <t>$847,132</t>
  </si>
  <si>
    <t>2012 Oscar Nominated Short Films</t>
  </si>
  <si>
    <t>$1,702,415</t>
  </si>
  <si>
    <t>$412,304</t>
  </si>
  <si>
    <t>Your Sister's Sister</t>
  </si>
  <si>
    <t>$1,636,190</t>
  </si>
  <si>
    <t>$109,221</t>
  </si>
  <si>
    <t>Singin' In the Rain (2012 re-release)</t>
  </si>
  <si>
    <t>$1,608,925</t>
  </si>
  <si>
    <t>$587,211</t>
  </si>
  <si>
    <t>Farewell My Queen</t>
  </si>
  <si>
    <t>$1,597,998</t>
  </si>
  <si>
    <t>$72,100</t>
  </si>
  <si>
    <t>A Late Quartet</t>
  </si>
  <si>
    <t>$1,562,546</t>
  </si>
  <si>
    <t>$75,279</t>
  </si>
  <si>
    <t>A Royal Affair</t>
  </si>
  <si>
    <t>$1,546,761</t>
  </si>
  <si>
    <t>$38,212</t>
  </si>
  <si>
    <t>The Dark Knight (2012 re-release)</t>
  </si>
  <si>
    <t>$1,513,086</t>
  </si>
  <si>
    <t>Batman Begins (2012 re-release)</t>
  </si>
  <si>
    <t>$1,508,658</t>
  </si>
  <si>
    <t>Kid With a Bike</t>
  </si>
  <si>
    <t>$1,470,000</t>
  </si>
  <si>
    <t>$45,933</t>
  </si>
  <si>
    <t>Marley</t>
  </si>
  <si>
    <t>$1,413,480</t>
  </si>
  <si>
    <t>$262,004</t>
  </si>
  <si>
    <t>Chasing Ice</t>
  </si>
  <si>
    <t>$1,328,467</t>
  </si>
  <si>
    <t>Air Racers 3D</t>
  </si>
  <si>
    <t>3D</t>
  </si>
  <si>
    <t>$1,309,987</t>
  </si>
  <si>
    <t>The Other Son</t>
  </si>
  <si>
    <t>$1,285,918</t>
  </si>
  <si>
    <t>$125,691</t>
  </si>
  <si>
    <t xml:space="preserve">For a Good Time, Call... </t>
  </si>
  <si>
    <t>$1,251,749</t>
  </si>
  <si>
    <t>$143,935</t>
  </si>
  <si>
    <t>Take This Waltz</t>
  </si>
  <si>
    <t>$1,239,692</t>
  </si>
  <si>
    <t>$137,019</t>
  </si>
  <si>
    <t>Cocktail (2012)</t>
  </si>
  <si>
    <t>$1,227,789</t>
  </si>
  <si>
    <t>$647,956</t>
  </si>
  <si>
    <t>Bol Bachchan</t>
  </si>
  <si>
    <t>$1,216,258</t>
  </si>
  <si>
    <t>$561,996</t>
  </si>
  <si>
    <t>Woman Thou Art Loosed!: On the 7th Day</t>
  </si>
  <si>
    <t>$1,213,128</t>
  </si>
  <si>
    <t>$641,542</t>
  </si>
  <si>
    <t>Headhunters</t>
  </si>
  <si>
    <t>$1,200,010</t>
  </si>
  <si>
    <t>$43,013</t>
  </si>
  <si>
    <t>Casablanca (2012 re-release)</t>
  </si>
  <si>
    <t>$1,155,330</t>
  </si>
  <si>
    <t>The Deep Blue Sea</t>
  </si>
  <si>
    <t>$1,126,525</t>
  </si>
  <si>
    <t>$123,841</t>
  </si>
  <si>
    <t>Oogieloves In The BIG Balloon Adventure</t>
  </si>
  <si>
    <t>KVP</t>
  </si>
  <si>
    <t>$1,065,907</t>
  </si>
  <si>
    <t>$443,901</t>
  </si>
  <si>
    <t>In Darkness</t>
  </si>
  <si>
    <t>$1,041,455</t>
  </si>
  <si>
    <t>$27,413</t>
  </si>
  <si>
    <t>Diana Vreeland: The Eye Has to Travel</t>
  </si>
  <si>
    <t>$1,017,579</t>
  </si>
  <si>
    <t>$63,700</t>
  </si>
  <si>
    <t>First Position</t>
  </si>
  <si>
    <t>$1,014,071</t>
  </si>
  <si>
    <t>Barbara</t>
  </si>
  <si>
    <t>$1,013,902</t>
  </si>
  <si>
    <t>$63,410</t>
  </si>
  <si>
    <t>Damsels in Distress</t>
  </si>
  <si>
    <t>$1,008,455</t>
  </si>
  <si>
    <t>$58,589</t>
  </si>
  <si>
    <t>Unconditional</t>
  </si>
  <si>
    <t>VMP</t>
  </si>
  <si>
    <t>$1,005,800</t>
  </si>
  <si>
    <t>$525,192</t>
  </si>
  <si>
    <t>Burn</t>
  </si>
  <si>
    <t>CB</t>
  </si>
  <si>
    <t>$996,103</t>
  </si>
  <si>
    <t>Rampart</t>
  </si>
  <si>
    <t>$972,512</t>
  </si>
  <si>
    <t>$60,446</t>
  </si>
  <si>
    <t>Masquerade (2012)</t>
  </si>
  <si>
    <t>$922,921</t>
  </si>
  <si>
    <t>The Imposter</t>
  </si>
  <si>
    <t>$898,317</t>
  </si>
  <si>
    <t>$22,379</t>
  </si>
  <si>
    <t>Bill W.</t>
  </si>
  <si>
    <t>P124</t>
  </si>
  <si>
    <t>$809,590</t>
  </si>
  <si>
    <t>Darling Companion</t>
  </si>
  <si>
    <t>$793,815</t>
  </si>
  <si>
    <t>$39,962</t>
  </si>
  <si>
    <t>Thin Ice</t>
  </si>
  <si>
    <t>$790,421</t>
  </si>
  <si>
    <t>$183,527</t>
  </si>
  <si>
    <t>Teri Meri Kahaani</t>
  </si>
  <si>
    <t>$781,196</t>
  </si>
  <si>
    <t>$405,926</t>
  </si>
  <si>
    <t>Meerkats</t>
  </si>
  <si>
    <t>$777,595</t>
  </si>
  <si>
    <t>Rowdy Rathore</t>
  </si>
  <si>
    <t>$777,373</t>
  </si>
  <si>
    <t>$381,784</t>
  </si>
  <si>
    <t>Son of Sardaar</t>
  </si>
  <si>
    <t>$771,789</t>
  </si>
  <si>
    <t>$341,552</t>
  </si>
  <si>
    <t>Cosmopolis</t>
  </si>
  <si>
    <t>$763,556</t>
  </si>
  <si>
    <t>$70,339</t>
  </si>
  <si>
    <t>Coriolanus</t>
  </si>
  <si>
    <t>$757,195</t>
  </si>
  <si>
    <t>$61,136</t>
  </si>
  <si>
    <t>On the Road</t>
  </si>
  <si>
    <t>$744,296</t>
  </si>
  <si>
    <t>$39,550</t>
  </si>
  <si>
    <t>Agent Vinod</t>
  </si>
  <si>
    <t>$698,210</t>
  </si>
  <si>
    <t>$427,043</t>
  </si>
  <si>
    <t>The Paperboy</t>
  </si>
  <si>
    <t>$693,286</t>
  </si>
  <si>
    <t>$102,706</t>
  </si>
  <si>
    <t>The Thieves</t>
  </si>
  <si>
    <t>$685,839</t>
  </si>
  <si>
    <t>$136,993</t>
  </si>
  <si>
    <t>Student of the Year</t>
  </si>
  <si>
    <t>$670,086</t>
  </si>
  <si>
    <t>$326,508</t>
  </si>
  <si>
    <t>The Polar Express (2012 re-issue)</t>
  </si>
  <si>
    <t>$669,289</t>
  </si>
  <si>
    <t>$73,514</t>
  </si>
  <si>
    <t>Holy Motors</t>
  </si>
  <si>
    <t>$641,100</t>
  </si>
  <si>
    <t>$18,866</t>
  </si>
  <si>
    <t>2 Days in New York</t>
  </si>
  <si>
    <t>$633,210</t>
  </si>
  <si>
    <t>$23,942</t>
  </si>
  <si>
    <t>Not Fade Away</t>
  </si>
  <si>
    <t>$610,792</t>
  </si>
  <si>
    <t>$19,182</t>
  </si>
  <si>
    <t>Heroine</t>
  </si>
  <si>
    <t>$598,668</t>
  </si>
  <si>
    <t>$389,901</t>
  </si>
  <si>
    <t>Blue Like Jazz</t>
  </si>
  <si>
    <t>$595,018</t>
  </si>
  <si>
    <t>$261,190</t>
  </si>
  <si>
    <t>Peace, Love and Misunderstanding</t>
  </si>
  <si>
    <t>$590,700</t>
  </si>
  <si>
    <t>$105,960</t>
  </si>
  <si>
    <t>Thunderstruck</t>
  </si>
  <si>
    <t>W.E.</t>
  </si>
  <si>
    <t>$583,455</t>
  </si>
  <si>
    <t>$47,074</t>
  </si>
  <si>
    <t>Undefeated (2012)</t>
  </si>
  <si>
    <t>$562,218</t>
  </si>
  <si>
    <t>$33,165</t>
  </si>
  <si>
    <t>Vicky Donor</t>
  </si>
  <si>
    <t>$549,001</t>
  </si>
  <si>
    <t>$169,209</t>
  </si>
  <si>
    <t>We Have a Pope</t>
  </si>
  <si>
    <t>$548,115</t>
  </si>
  <si>
    <t>$31,368</t>
  </si>
  <si>
    <t>Being Flynn</t>
  </si>
  <si>
    <t>$540,152</t>
  </si>
  <si>
    <t>$43,990</t>
  </si>
  <si>
    <t>Ai Weiwei: Never Sorry</t>
  </si>
  <si>
    <t>$534,100</t>
  </si>
  <si>
    <t>$41,104</t>
  </si>
  <si>
    <t>Where Do We Go Now?</t>
  </si>
  <si>
    <t>$531,997</t>
  </si>
  <si>
    <t>$15,382</t>
  </si>
  <si>
    <t>Shut Up and Play the Hits</t>
  </si>
  <si>
    <t>$510,334</t>
  </si>
  <si>
    <t>Delicacy</t>
  </si>
  <si>
    <t>$498,584</t>
  </si>
  <si>
    <t>The Flat</t>
  </si>
  <si>
    <t>$471,842</t>
  </si>
  <si>
    <t>$19,916</t>
  </si>
  <si>
    <t>Bachelorette</t>
  </si>
  <si>
    <t>$447,954</t>
  </si>
  <si>
    <t>$181,494</t>
  </si>
  <si>
    <t>Ferrari Ki Sawaari</t>
  </si>
  <si>
    <t>$434,107</t>
  </si>
  <si>
    <t>$240,792</t>
  </si>
  <si>
    <t>Seeking Justice</t>
  </si>
  <si>
    <t>$411,746</t>
  </si>
  <si>
    <t>$249,912</t>
  </si>
  <si>
    <t>Sound of My Voice</t>
  </si>
  <si>
    <t>$408,015</t>
  </si>
  <si>
    <t>$36,134</t>
  </si>
  <si>
    <t>Detropia</t>
  </si>
  <si>
    <t>LF</t>
  </si>
  <si>
    <t>$390,024</t>
  </si>
  <si>
    <t>$17,414</t>
  </si>
  <si>
    <t>The Well-Digger's Daughter</t>
  </si>
  <si>
    <t>$386,368</t>
  </si>
  <si>
    <t>$10,273</t>
  </si>
  <si>
    <t>Khiladi 786</t>
  </si>
  <si>
    <t>$379,466</t>
  </si>
  <si>
    <t>$228,967</t>
  </si>
  <si>
    <t>Smashed</t>
  </si>
  <si>
    <t>$376,597</t>
  </si>
  <si>
    <t>$26,943</t>
  </si>
  <si>
    <t>Piranha 3DD</t>
  </si>
  <si>
    <t>$376,512</t>
  </si>
  <si>
    <t>$182,237</t>
  </si>
  <si>
    <t>The Oranges</t>
  </si>
  <si>
    <t>$366,377</t>
  </si>
  <si>
    <t>$198,461</t>
  </si>
  <si>
    <t>The Lady</t>
  </si>
  <si>
    <t>$355,391</t>
  </si>
  <si>
    <t>Branded</t>
  </si>
  <si>
    <t>$353,513</t>
  </si>
  <si>
    <t>$240,589</t>
  </si>
  <si>
    <t>Chico &amp; Rita</t>
  </si>
  <si>
    <t>$350,524</t>
  </si>
  <si>
    <t>$20,654</t>
  </si>
  <si>
    <t>A Werewolf Boy</t>
  </si>
  <si>
    <t>$342,922</t>
  </si>
  <si>
    <t>Red Hook Summer</t>
  </si>
  <si>
    <t>$338,803</t>
  </si>
  <si>
    <t>$40,070</t>
  </si>
  <si>
    <t>Liberal Arts</t>
  </si>
  <si>
    <t>$327,345</t>
  </si>
  <si>
    <t>The Central Park Five</t>
  </si>
  <si>
    <t>$325,653</t>
  </si>
  <si>
    <t>$30,570</t>
  </si>
  <si>
    <t>Compliance</t>
  </si>
  <si>
    <t>$319,285</t>
  </si>
  <si>
    <t>$16,427</t>
  </si>
  <si>
    <t>The Salt of Life</t>
  </si>
  <si>
    <t>$317,405</t>
  </si>
  <si>
    <t>$19,176</t>
  </si>
  <si>
    <t>Back to 1942</t>
  </si>
  <si>
    <t>$312,954</t>
  </si>
  <si>
    <t>$105,702</t>
  </si>
  <si>
    <t>The Flowers of War</t>
  </si>
  <si>
    <t>WHE</t>
  </si>
  <si>
    <t>$311,434</t>
  </si>
  <si>
    <t>$48,448</t>
  </si>
  <si>
    <t>West of Memphis</t>
  </si>
  <si>
    <t>$310,154</t>
  </si>
  <si>
    <t>$13,360</t>
  </si>
  <si>
    <t>A Cat in Paris</t>
  </si>
  <si>
    <t>$309,973</t>
  </si>
  <si>
    <t>$34,554</t>
  </si>
  <si>
    <t>Love (2012)</t>
  </si>
  <si>
    <t>$309,200</t>
  </si>
  <si>
    <t>$83,178</t>
  </si>
  <si>
    <t>Stolen (2012)</t>
  </si>
  <si>
    <t>$304,318</t>
  </si>
  <si>
    <t>$183,125</t>
  </si>
  <si>
    <t>Something From Nothing: The Art of Rap</t>
  </si>
  <si>
    <t>$288,312</t>
  </si>
  <si>
    <t>$150,337</t>
  </si>
  <si>
    <t>Bully (2012)</t>
  </si>
  <si>
    <t>$279,202</t>
  </si>
  <si>
    <t>$116,472</t>
  </si>
  <si>
    <t>Love in the Buff</t>
  </si>
  <si>
    <t>$256,451</t>
  </si>
  <si>
    <t>$91,233</t>
  </si>
  <si>
    <t>Boy (2012)</t>
  </si>
  <si>
    <t>PalUni</t>
  </si>
  <si>
    <t>$256,211</t>
  </si>
  <si>
    <t>$21,244</t>
  </si>
  <si>
    <t>Chicken with Plums</t>
  </si>
  <si>
    <t>$253,874</t>
  </si>
  <si>
    <t>$11,301</t>
  </si>
  <si>
    <t>Lola Versus</t>
  </si>
  <si>
    <t>$252,603</t>
  </si>
  <si>
    <t>$31,815</t>
  </si>
  <si>
    <t>Keep the Lights On</t>
  </si>
  <si>
    <t>$246,112</t>
  </si>
  <si>
    <t>$55,574</t>
  </si>
  <si>
    <t>The Waiting Room</t>
  </si>
  <si>
    <t>$244,951</t>
  </si>
  <si>
    <t>$7,086</t>
  </si>
  <si>
    <t>My Uncle Rafael</t>
  </si>
  <si>
    <t>$243,616</t>
  </si>
  <si>
    <t>$109,747</t>
  </si>
  <si>
    <t>Gerhard Richter Painting</t>
  </si>
  <si>
    <t>$242,646</t>
  </si>
  <si>
    <t>$13,537</t>
  </si>
  <si>
    <t>Trishna</t>
  </si>
  <si>
    <t>$240,381</t>
  </si>
  <si>
    <t>$29,140</t>
  </si>
  <si>
    <t>Middle of Nowhere (2012)</t>
  </si>
  <si>
    <t>$236,806</t>
  </si>
  <si>
    <t>$67,909</t>
  </si>
  <si>
    <t>Elena</t>
  </si>
  <si>
    <t>$233,380</t>
  </si>
  <si>
    <t>$9,035</t>
  </si>
  <si>
    <t>Tezz</t>
  </si>
  <si>
    <t>$229,931</t>
  </si>
  <si>
    <t>$148,133</t>
  </si>
  <si>
    <t>The Viral Factor</t>
  </si>
  <si>
    <t>$220,496</t>
  </si>
  <si>
    <t>$63,235</t>
  </si>
  <si>
    <t>Brooklyn Castle</t>
  </si>
  <si>
    <t>$219,407</t>
  </si>
  <si>
    <t>$18,761</t>
  </si>
  <si>
    <t>Neil Young Journeys</t>
  </si>
  <si>
    <t>$215,026</t>
  </si>
  <si>
    <t>$12,025</t>
  </si>
  <si>
    <t>Thaandavam</t>
  </si>
  <si>
    <t>$213,476</t>
  </si>
  <si>
    <t>$129,044</t>
  </si>
  <si>
    <t>Tai Chi Zero</t>
  </si>
  <si>
    <t>$212,094</t>
  </si>
  <si>
    <t>$85,094</t>
  </si>
  <si>
    <t>Polisse</t>
  </si>
  <si>
    <t>$211,440</t>
  </si>
  <si>
    <t>$16,568</t>
  </si>
  <si>
    <t>Somewhere Between</t>
  </si>
  <si>
    <t>$210,975</t>
  </si>
  <si>
    <t>$7,799</t>
  </si>
  <si>
    <t>The House I Live In</t>
  </si>
  <si>
    <t>$210,752</t>
  </si>
  <si>
    <t>$16,453</t>
  </si>
  <si>
    <t>The Awakening (2012)</t>
  </si>
  <si>
    <t>$209,696</t>
  </si>
  <si>
    <t>$95,933</t>
  </si>
  <si>
    <t>Little White Lies</t>
  </si>
  <si>
    <t>$206,088</t>
  </si>
  <si>
    <t>$25,654</t>
  </si>
  <si>
    <t>Easy Money (2012)</t>
  </si>
  <si>
    <t>$205,741</t>
  </si>
  <si>
    <t>$24,684</t>
  </si>
  <si>
    <t>Vettai</t>
  </si>
  <si>
    <t>$204,373</t>
  </si>
  <si>
    <t>$87,921</t>
  </si>
  <si>
    <t>Touchback</t>
  </si>
  <si>
    <t>$204,232</t>
  </si>
  <si>
    <t>$66,998</t>
  </si>
  <si>
    <t>10 Years</t>
  </si>
  <si>
    <t>$203,373</t>
  </si>
  <si>
    <t>$22,707</t>
  </si>
  <si>
    <t>Tim &amp; Eric's Billion Dollar Movie</t>
  </si>
  <si>
    <t>$201,436</t>
  </si>
  <si>
    <t>$87,475</t>
  </si>
  <si>
    <t>Any Day Now</t>
  </si>
  <si>
    <t>$201,395</t>
  </si>
  <si>
    <t>$40,489</t>
  </si>
  <si>
    <t>A Simple Life</t>
  </si>
  <si>
    <t>$191,826</t>
  </si>
  <si>
    <t>$43,372</t>
  </si>
  <si>
    <t>Puella Magi Madoka Magica the Movie</t>
  </si>
  <si>
    <t>$180,440</t>
  </si>
  <si>
    <t>$62,340</t>
  </si>
  <si>
    <t>Lost Woods</t>
  </si>
  <si>
    <t>Noct.</t>
  </si>
  <si>
    <t>$180,117</t>
  </si>
  <si>
    <t>$58,240</t>
  </si>
  <si>
    <t>Fullmetal Alchemist: The Sacred Star of Milos</t>
  </si>
  <si>
    <t>$177,802</t>
  </si>
  <si>
    <t>$119,300</t>
  </si>
  <si>
    <t>Tere Naal Love Ho Gaya</t>
  </si>
  <si>
    <t>$177,743</t>
  </si>
  <si>
    <t>$94,583</t>
  </si>
  <si>
    <t>Monumental: In Search of America's National Treasure</t>
  </si>
  <si>
    <t>$177,729</t>
  </si>
  <si>
    <t>$28,340</t>
  </si>
  <si>
    <t>The Hunter (2012)</t>
  </si>
  <si>
    <t>$176,669</t>
  </si>
  <si>
    <t>$19,032</t>
  </si>
  <si>
    <t>Grand Illusion (2012 re-release)</t>
  </si>
  <si>
    <t>$174,065</t>
  </si>
  <si>
    <t>Battlefield America</t>
  </si>
  <si>
    <t>CEB&amp;B</t>
  </si>
  <si>
    <t>$172,000</t>
  </si>
  <si>
    <t>$113,882</t>
  </si>
  <si>
    <t>Flying Swords of Dragon Gate</t>
  </si>
  <si>
    <t>$170,276</t>
  </si>
  <si>
    <t>$95,452</t>
  </si>
  <si>
    <t>Joker</t>
  </si>
  <si>
    <t>$169,181</t>
  </si>
  <si>
    <t>$105,366</t>
  </si>
  <si>
    <t>Dark Horse</t>
  </si>
  <si>
    <t>BM&amp;DH</t>
  </si>
  <si>
    <t>$166,228</t>
  </si>
  <si>
    <t>$13,551</t>
  </si>
  <si>
    <t>The Big Picture (2012)</t>
  </si>
  <si>
    <t>$158,411</t>
  </si>
  <si>
    <t>$13,760</t>
  </si>
  <si>
    <t>Crazy Horse</t>
  </si>
  <si>
    <t>$157,782</t>
  </si>
  <si>
    <t>$7,963</t>
  </si>
  <si>
    <t>Elles</t>
  </si>
  <si>
    <t>$157,508</t>
  </si>
  <si>
    <t>$24,286</t>
  </si>
  <si>
    <t>Deadtime</t>
  </si>
  <si>
    <t>$156,072</t>
  </si>
  <si>
    <t>$30,240</t>
  </si>
  <si>
    <t>Shirin Farhad Ki Toh Nikal Padi</t>
  </si>
  <si>
    <t>$155,758</t>
  </si>
  <si>
    <t>$119,743</t>
  </si>
  <si>
    <t>Sister (2012)</t>
  </si>
  <si>
    <t>$154,659</t>
  </si>
  <si>
    <t>$15,401</t>
  </si>
  <si>
    <t>Unforgivable</t>
  </si>
  <si>
    <t>$154,189</t>
  </si>
  <si>
    <t>$27,857</t>
  </si>
  <si>
    <t>Once Upon a Time in Anatolia</t>
  </si>
  <si>
    <t>$152,408</t>
  </si>
  <si>
    <t>$10,952</t>
  </si>
  <si>
    <t>Bullhead</t>
  </si>
  <si>
    <t>$151,840</t>
  </si>
  <si>
    <t>$32,267</t>
  </si>
  <si>
    <t>Chakravyuh</t>
  </si>
  <si>
    <t>$151,778</t>
  </si>
  <si>
    <t>$97,896</t>
  </si>
  <si>
    <t>Hecho En Mexico</t>
  </si>
  <si>
    <t>$151,133</t>
  </si>
  <si>
    <t>$76,123</t>
  </si>
  <si>
    <t>Simon and the Oaks</t>
  </si>
  <si>
    <t>$150,664</t>
  </si>
  <si>
    <t>$9,964</t>
  </si>
  <si>
    <t>Deadly Renovations</t>
  </si>
  <si>
    <t>$146,146</t>
  </si>
  <si>
    <t>$42,588</t>
  </si>
  <si>
    <t>I Wish</t>
  </si>
  <si>
    <t>$145,808</t>
  </si>
  <si>
    <t>$10,919</t>
  </si>
  <si>
    <t>From Beneath</t>
  </si>
  <si>
    <t>$144,123</t>
  </si>
  <si>
    <t>$47,628</t>
  </si>
  <si>
    <t>This Must Be the Place</t>
  </si>
  <si>
    <t>$143,979</t>
  </si>
  <si>
    <t>$7,754</t>
  </si>
  <si>
    <t>Luv Shuv Tey Chicken Khurana</t>
  </si>
  <si>
    <t>$143,507</t>
  </si>
  <si>
    <t>$95,364</t>
  </si>
  <si>
    <t>High School</t>
  </si>
  <si>
    <t>$139,034</t>
  </si>
  <si>
    <t>$82,832</t>
  </si>
  <si>
    <t>Beloved (2012)</t>
  </si>
  <si>
    <t>$137,515</t>
  </si>
  <si>
    <t>$25,825</t>
  </si>
  <si>
    <t>Slaughter Creek</t>
  </si>
  <si>
    <t>$136,815</t>
  </si>
  <si>
    <t>$49,392</t>
  </si>
  <si>
    <t>Warriors of the Rainbow: Seediq Bale</t>
  </si>
  <si>
    <t>$136,166</t>
  </si>
  <si>
    <t>$57,183</t>
  </si>
  <si>
    <t>The Other Dream Team</t>
  </si>
  <si>
    <t>$135,228</t>
  </si>
  <si>
    <t>$19,821</t>
  </si>
  <si>
    <t>Kumare</t>
  </si>
  <si>
    <t>$132,160</t>
  </si>
  <si>
    <t>$9,601</t>
  </si>
  <si>
    <t>How to Survive a Plague</t>
  </si>
  <si>
    <t>$132,055</t>
  </si>
  <si>
    <t>$28,250</t>
  </si>
  <si>
    <t>The Loneliest Planet</t>
  </si>
  <si>
    <t>$129,579</t>
  </si>
  <si>
    <t>$15,689</t>
  </si>
  <si>
    <t>Forgiveness of Blood</t>
  </si>
  <si>
    <t>$126,700</t>
  </si>
  <si>
    <t>$26,724</t>
  </si>
  <si>
    <t>Escape Fire</t>
  </si>
  <si>
    <t>$126,238</t>
  </si>
  <si>
    <t>$30,953</t>
  </si>
  <si>
    <t>Turn Me On, Dammit!</t>
  </si>
  <si>
    <t>NYer</t>
  </si>
  <si>
    <t>$126,085</t>
  </si>
  <si>
    <t>$10,145</t>
  </si>
  <si>
    <t>God Bless America</t>
  </si>
  <si>
    <t>$122,550</t>
  </si>
  <si>
    <t>$27,308</t>
  </si>
  <si>
    <t>Iron Sky</t>
  </si>
  <si>
    <t>$122,082</t>
  </si>
  <si>
    <t>Cowgirls n' Angels</t>
  </si>
  <si>
    <t>$120,680</t>
  </si>
  <si>
    <t>$54,675</t>
  </si>
  <si>
    <t>Bel Ami</t>
  </si>
  <si>
    <t>$120,462</t>
  </si>
  <si>
    <t>$38,018</t>
  </si>
  <si>
    <t>Bullet Vanishes</t>
  </si>
  <si>
    <t>$117,629</t>
  </si>
  <si>
    <t>$43,444</t>
  </si>
  <si>
    <t>Beware of Mr. Baker</t>
  </si>
  <si>
    <t>SF</t>
  </si>
  <si>
    <t>$116,476</t>
  </si>
  <si>
    <t>$12,195</t>
  </si>
  <si>
    <t>The Woman in the Fifth</t>
  </si>
  <si>
    <t>$113,800</t>
  </si>
  <si>
    <t>$33,011</t>
  </si>
  <si>
    <t>Burn (2012)</t>
  </si>
  <si>
    <t>$113,173</t>
  </si>
  <si>
    <t>$1,970</t>
  </si>
  <si>
    <t>Follow Me: The Yoni Netanyahu Story</t>
  </si>
  <si>
    <t>$112,679</t>
  </si>
  <si>
    <t>$7,882</t>
  </si>
  <si>
    <t>Wild Horse Wild Ride</t>
  </si>
  <si>
    <t>$111,205</t>
  </si>
  <si>
    <t>$3,610</t>
  </si>
  <si>
    <t>The Obama Effect</t>
  </si>
  <si>
    <t>$110,904</t>
  </si>
  <si>
    <t>$83,896</t>
  </si>
  <si>
    <t>The Perfect Family</t>
  </si>
  <si>
    <t>$110,313</t>
  </si>
  <si>
    <t>$14,300</t>
  </si>
  <si>
    <t>5 Broken Cameras</t>
  </si>
  <si>
    <t>$109,983</t>
  </si>
  <si>
    <t>Hello I Must Be Going</t>
  </si>
  <si>
    <t>$106,709</t>
  </si>
  <si>
    <t>$23,904</t>
  </si>
  <si>
    <t>Butter</t>
  </si>
  <si>
    <t>$105,018</t>
  </si>
  <si>
    <t>$70,931</t>
  </si>
  <si>
    <t>The Magic of Belle Isle</t>
  </si>
  <si>
    <t>$102,388</t>
  </si>
  <si>
    <t>$10,367</t>
  </si>
  <si>
    <t>Oslo, August 31st</t>
  </si>
  <si>
    <t>$101,475</t>
  </si>
  <si>
    <t>$9,564</t>
  </si>
  <si>
    <t>Wuthering Heights (2012)</t>
  </si>
  <si>
    <t>$100,915</t>
  </si>
  <si>
    <t>$8,956</t>
  </si>
  <si>
    <t>Mugamoodi</t>
  </si>
  <si>
    <t>$100,809</t>
  </si>
  <si>
    <t>$55,501</t>
  </si>
  <si>
    <t>V/H/S</t>
  </si>
  <si>
    <t>$100,345</t>
  </si>
  <si>
    <t>$36,402</t>
  </si>
  <si>
    <t>$100,343</t>
  </si>
  <si>
    <t>$12,186</t>
  </si>
  <si>
    <t>Hardflip</t>
  </si>
  <si>
    <t>$96,734</t>
  </si>
  <si>
    <t>$49,879</t>
  </si>
  <si>
    <t>Goodbye First Love</t>
  </si>
  <si>
    <t>$95,000</t>
  </si>
  <si>
    <t>$21,077</t>
  </si>
  <si>
    <t>The Road (2012)</t>
  </si>
  <si>
    <t>$92,476</t>
  </si>
  <si>
    <t>$56,692</t>
  </si>
  <si>
    <t>Starlet</t>
  </si>
  <si>
    <t>$88,212</t>
  </si>
  <si>
    <t>$15,662</t>
  </si>
  <si>
    <t>Marina Abramovic: The Artist is Present</t>
  </si>
  <si>
    <t>$86,637</t>
  </si>
  <si>
    <t>$11,041</t>
  </si>
  <si>
    <t>The Eye of the Storm</t>
  </si>
  <si>
    <t>SEG</t>
  </si>
  <si>
    <t>$83,566</t>
  </si>
  <si>
    <t>$25,785</t>
  </si>
  <si>
    <t>Hating Breitbart</t>
  </si>
  <si>
    <t>$81,432</t>
  </si>
  <si>
    <t>$40,673</t>
  </si>
  <si>
    <t>Harvest of Empire</t>
  </si>
  <si>
    <t>Onyx</t>
  </si>
  <si>
    <t>$79,627</t>
  </si>
  <si>
    <t>The Innkeepers</t>
  </si>
  <si>
    <t>$78,396</t>
  </si>
  <si>
    <t>$29,557</t>
  </si>
  <si>
    <t>This is Not a Film</t>
  </si>
  <si>
    <t>PalT</t>
  </si>
  <si>
    <t>$77,016</t>
  </si>
  <si>
    <t>$12,608</t>
  </si>
  <si>
    <t>2/29</t>
  </si>
  <si>
    <t>The Island President</t>
  </si>
  <si>
    <t>$76,398</t>
  </si>
  <si>
    <t>$13,998</t>
  </si>
  <si>
    <t>Hara-Kiri: Death of a Samurai</t>
  </si>
  <si>
    <t>$75,688</t>
  </si>
  <si>
    <t>$10,920</t>
  </si>
  <si>
    <t>On the Ice</t>
  </si>
  <si>
    <t>PMKBNC</t>
  </si>
  <si>
    <t>$73,492</t>
  </si>
  <si>
    <t>$17,901</t>
  </si>
  <si>
    <t>Detachment</t>
  </si>
  <si>
    <t>$72,689</t>
  </si>
  <si>
    <t>$10,739</t>
  </si>
  <si>
    <t>The Invisible War</t>
  </si>
  <si>
    <t>$71,968</t>
  </si>
  <si>
    <t>$16,500</t>
  </si>
  <si>
    <t>Runaway Slave</t>
  </si>
  <si>
    <t>$71,737</t>
  </si>
  <si>
    <t>My Way (2012)</t>
  </si>
  <si>
    <t>$70,177</t>
  </si>
  <si>
    <t>$17,817</t>
  </si>
  <si>
    <t>Taur Mittran Di</t>
  </si>
  <si>
    <t>$69,510</t>
  </si>
  <si>
    <t>$49,926</t>
  </si>
  <si>
    <t>An Inconsistent Truth</t>
  </si>
  <si>
    <t>$69,394</t>
  </si>
  <si>
    <t>$20,733</t>
  </si>
  <si>
    <t>Intruders</t>
  </si>
  <si>
    <t>$69,136</t>
  </si>
  <si>
    <t>$40,746</t>
  </si>
  <si>
    <t>Klown</t>
  </si>
  <si>
    <t>$68,795</t>
  </si>
  <si>
    <t>$19,683</t>
  </si>
  <si>
    <t>Deadfall (2012)</t>
  </si>
  <si>
    <t>$66,351</t>
  </si>
  <si>
    <t>$19,391</t>
  </si>
  <si>
    <t>Toys in the Attic</t>
  </si>
  <si>
    <t>$64,918</t>
  </si>
  <si>
    <t>$19,913</t>
  </si>
  <si>
    <t>Girlfriend Boyfriend - GF BF</t>
  </si>
  <si>
    <t>$64,414</t>
  </si>
  <si>
    <t>$29,016</t>
  </si>
  <si>
    <t>The Details</t>
  </si>
  <si>
    <t>$63,595</t>
  </si>
  <si>
    <t>$18,528</t>
  </si>
  <si>
    <t>Let the Bullets Fly</t>
  </si>
  <si>
    <t>$63,012</t>
  </si>
  <si>
    <t>Backwards</t>
  </si>
  <si>
    <t>$61,465</t>
  </si>
  <si>
    <t>$23,190</t>
  </si>
  <si>
    <t>The Bodyguard (2012 re-release)</t>
  </si>
  <si>
    <t>$61,020</t>
  </si>
  <si>
    <t>Neighboring Sounds</t>
  </si>
  <si>
    <t>$60,255</t>
  </si>
  <si>
    <t>Gregory Crewdson: Brief Encounters</t>
  </si>
  <si>
    <t>$60,064</t>
  </si>
  <si>
    <t>$1,492</t>
  </si>
  <si>
    <t>Declaration of War</t>
  </si>
  <si>
    <t>$59,100</t>
  </si>
  <si>
    <t>$12,791</t>
  </si>
  <si>
    <t>Vulgaria</t>
  </si>
  <si>
    <t>$59,059</t>
  </si>
  <si>
    <t>$31,097</t>
  </si>
  <si>
    <t>Side By Side</t>
  </si>
  <si>
    <t>$58,825</t>
  </si>
  <si>
    <t>$6,956</t>
  </si>
  <si>
    <t>Beyond the Black Rainbow</t>
  </si>
  <si>
    <t>$56,491</t>
  </si>
  <si>
    <t>$4,957</t>
  </si>
  <si>
    <t>The Turin Horse</t>
  </si>
  <si>
    <t>$56,391</t>
  </si>
  <si>
    <t>$9,145</t>
  </si>
  <si>
    <t>Natural Selection</t>
  </si>
  <si>
    <t>$55,282</t>
  </si>
  <si>
    <t>$10,375</t>
  </si>
  <si>
    <t>Deitrick Haddon's A Beautiful Soul</t>
  </si>
  <si>
    <t>TMF&amp;RE</t>
  </si>
  <si>
    <t>$54,008</t>
  </si>
  <si>
    <t>$46,410</t>
  </si>
  <si>
    <t>Dangerous Liaisons (2012)</t>
  </si>
  <si>
    <t>$54,000</t>
  </si>
  <si>
    <t>$18,027</t>
  </si>
  <si>
    <t>Surviving Progress</t>
  </si>
  <si>
    <t>$53,953</t>
  </si>
  <si>
    <t>$4,161</t>
  </si>
  <si>
    <t>Free Men</t>
  </si>
  <si>
    <t>$53,810</t>
  </si>
  <si>
    <t>A Trip to the Moon/The Extraordinary Voyage</t>
  </si>
  <si>
    <t>FA</t>
  </si>
  <si>
    <t>$52,986</t>
  </si>
  <si>
    <t>Occupy Unmasked</t>
  </si>
  <si>
    <t>$52,768</t>
  </si>
  <si>
    <t>$40,952</t>
  </si>
  <si>
    <t>Red Lights (2012)</t>
  </si>
  <si>
    <t>$52,624</t>
  </si>
  <si>
    <t>$10,340</t>
  </si>
  <si>
    <t>Jodi Breakers</t>
  </si>
  <si>
    <t>$52,618</t>
  </si>
  <si>
    <t>Painted Skin: The Resurrection</t>
  </si>
  <si>
    <t>$50,425</t>
  </si>
  <si>
    <t>$17,791</t>
  </si>
  <si>
    <t>Wake in Fright</t>
  </si>
  <si>
    <t>$50,394</t>
  </si>
  <si>
    <t>$6,761</t>
  </si>
  <si>
    <t>The Fitzgerald Family Christmas</t>
  </si>
  <si>
    <t>$50,292</t>
  </si>
  <si>
    <t>$13,800</t>
  </si>
  <si>
    <t>All's Well, End's Well (2012)</t>
  </si>
  <si>
    <t>$47,919</t>
  </si>
  <si>
    <t>$23,250</t>
  </si>
  <si>
    <t>War of the Buttons (2012)</t>
  </si>
  <si>
    <t>$47,771</t>
  </si>
  <si>
    <t>$4,737</t>
  </si>
  <si>
    <t>Sing Your Song</t>
  </si>
  <si>
    <t>S2BN</t>
  </si>
  <si>
    <t>$47,718</t>
  </si>
  <si>
    <t>$13,459</t>
  </si>
  <si>
    <t>Step Up to the Plate</t>
  </si>
  <si>
    <t>$47,439</t>
  </si>
  <si>
    <t>$5,643</t>
  </si>
  <si>
    <t>Ballplayer: Pelotero</t>
  </si>
  <si>
    <t>$46,109</t>
  </si>
  <si>
    <t>$20,628</t>
  </si>
  <si>
    <t>The Pruitt-Igoe Myth</t>
  </si>
  <si>
    <t>$44,883</t>
  </si>
  <si>
    <t>$4,721</t>
  </si>
  <si>
    <t>Union Square</t>
  </si>
  <si>
    <t>$44,830</t>
  </si>
  <si>
    <t>$14,406</t>
  </si>
  <si>
    <t xml:space="preserve">Double Trouble </t>
  </si>
  <si>
    <t>$44,788</t>
  </si>
  <si>
    <t>$17,978</t>
  </si>
  <si>
    <t>OC87</t>
  </si>
  <si>
    <t>FKF</t>
  </si>
  <si>
    <t>$43,583</t>
  </si>
  <si>
    <t>$5,733</t>
  </si>
  <si>
    <t>The Graduate: 45th Anniversary Reunion</t>
  </si>
  <si>
    <t>$43,466</t>
  </si>
  <si>
    <t>All Together</t>
  </si>
  <si>
    <t>$43,180</t>
  </si>
  <si>
    <t>$12,887</t>
  </si>
  <si>
    <t>Nobody Else But You</t>
  </si>
  <si>
    <t>$43,040</t>
  </si>
  <si>
    <t>$3,759</t>
  </si>
  <si>
    <t>Last Call at the Oasis</t>
  </si>
  <si>
    <t>$42,423</t>
  </si>
  <si>
    <t>$8,899</t>
  </si>
  <si>
    <t>Fixing the Future</t>
  </si>
  <si>
    <t>$42,393</t>
  </si>
  <si>
    <t>Fat Kid Rules the World</t>
  </si>
  <si>
    <t>OutF</t>
  </si>
  <si>
    <t>$41,457</t>
  </si>
  <si>
    <t>$1,450</t>
  </si>
  <si>
    <t>The Comedy</t>
  </si>
  <si>
    <t>$41,113</t>
  </si>
  <si>
    <t>The FP</t>
  </si>
  <si>
    <t>$40,557</t>
  </si>
  <si>
    <t>$15,465</t>
  </si>
  <si>
    <t>Paan Singh Tomar</t>
  </si>
  <si>
    <t>$40,311</t>
  </si>
  <si>
    <t>$20,568</t>
  </si>
  <si>
    <t>Soldiers of Fortune</t>
  </si>
  <si>
    <t>$38,898</t>
  </si>
  <si>
    <t>$24,978</t>
  </si>
  <si>
    <t>Paul Williams Still Alive</t>
  </si>
  <si>
    <t>$38,691</t>
  </si>
  <si>
    <t>$6,116</t>
  </si>
  <si>
    <t>Death by China</t>
  </si>
  <si>
    <t>$38,492</t>
  </si>
  <si>
    <t>$5,701</t>
  </si>
  <si>
    <t>The Fairy</t>
  </si>
  <si>
    <t>$38,399</t>
  </si>
  <si>
    <t>$4,199</t>
  </si>
  <si>
    <t>Wagner &amp; Me</t>
  </si>
  <si>
    <t>$37,745</t>
  </si>
  <si>
    <t>$4,891</t>
  </si>
  <si>
    <t>Children of Paradise (2012 re-release)</t>
  </si>
  <si>
    <t>$36,986</t>
  </si>
  <si>
    <t>$10,741</t>
  </si>
  <si>
    <t>Mansome</t>
  </si>
  <si>
    <t>$36,280</t>
  </si>
  <si>
    <t>$18,395</t>
  </si>
  <si>
    <t>The Inbetweeners Movie</t>
  </si>
  <si>
    <t>Bangkok Revenge</t>
  </si>
  <si>
    <t>$35,784</t>
  </si>
  <si>
    <t>$22,116</t>
  </si>
  <si>
    <t>Fetih 1453: The Conquest of Constantinople</t>
  </si>
  <si>
    <t>NeoC</t>
  </si>
  <si>
    <t>$35,730</t>
  </si>
  <si>
    <t>Max et les Ferrailleurs (Max and the Junkmen) (2012 re-release)</t>
  </si>
  <si>
    <t>$35,387</t>
  </si>
  <si>
    <t>$11,264</t>
  </si>
  <si>
    <t>Comic-Con Episode IV: A Fan's Hope</t>
  </si>
  <si>
    <t>$34,665</t>
  </si>
  <si>
    <t>$8,203</t>
  </si>
  <si>
    <t>Orchestra of Exiles</t>
  </si>
  <si>
    <t>$34,577</t>
  </si>
  <si>
    <t>$6,719</t>
  </si>
  <si>
    <t>Hit So Hard</t>
  </si>
  <si>
    <t>$34,025</t>
  </si>
  <si>
    <t>District of Corruption</t>
  </si>
  <si>
    <t>$31,954</t>
  </si>
  <si>
    <t>$25,086</t>
  </si>
  <si>
    <t>Musical Chairs</t>
  </si>
  <si>
    <t>$31,478</t>
  </si>
  <si>
    <t>$9,092</t>
  </si>
  <si>
    <t>Celine &amp; Julie Go Boating (re-issue)</t>
  </si>
  <si>
    <t>$31,452</t>
  </si>
  <si>
    <t>$5,624</t>
  </si>
  <si>
    <t>Whores' Glory</t>
  </si>
  <si>
    <t>$31,420</t>
  </si>
  <si>
    <t>$5,358</t>
  </si>
  <si>
    <t>Kalakalappu@Masala Cafe</t>
  </si>
  <si>
    <t>$30,949</t>
  </si>
  <si>
    <t>$17,101</t>
  </si>
  <si>
    <t>L!fe Happens</t>
  </si>
  <si>
    <t>$30,905</t>
  </si>
  <si>
    <t>$20,186</t>
  </si>
  <si>
    <t>Meet the Fokkens</t>
  </si>
  <si>
    <t>$30,810</t>
  </si>
  <si>
    <t>$7,628</t>
  </si>
  <si>
    <t>The Bay</t>
  </si>
  <si>
    <t>$30,668</t>
  </si>
  <si>
    <t>$19,747</t>
  </si>
  <si>
    <t>Hide Away (2012)</t>
  </si>
  <si>
    <t>JLF</t>
  </si>
  <si>
    <t>$30,655</t>
  </si>
  <si>
    <t>$689</t>
  </si>
  <si>
    <t>Hermano</t>
  </si>
  <si>
    <t>$29,864</t>
  </si>
  <si>
    <t>$18,835</t>
  </si>
  <si>
    <t>Sacrifice</t>
  </si>
  <si>
    <t>$29,792</t>
  </si>
  <si>
    <t>$15,243</t>
  </si>
  <si>
    <t>You've Been Trumped</t>
  </si>
  <si>
    <t>$29,273</t>
  </si>
  <si>
    <t>$4,497</t>
  </si>
  <si>
    <t>Kill List</t>
  </si>
  <si>
    <t>$29,063</t>
  </si>
  <si>
    <t>$9,838</t>
  </si>
  <si>
    <t>Hitler's Children</t>
  </si>
  <si>
    <t>$28,663</t>
  </si>
  <si>
    <t>$2,939</t>
  </si>
  <si>
    <t>North Sea Texas</t>
  </si>
  <si>
    <t>$28,307</t>
  </si>
  <si>
    <t>$4,487</t>
  </si>
  <si>
    <t>The Ambassador</t>
  </si>
  <si>
    <t>$28,102</t>
  </si>
  <si>
    <t>$13,046</t>
  </si>
  <si>
    <t>Least Among Saints</t>
  </si>
  <si>
    <t>$28,026</t>
  </si>
  <si>
    <t>$15,774</t>
  </si>
  <si>
    <t>Port of Shadows (2012 re-issue)</t>
  </si>
  <si>
    <t>$27,389</t>
  </si>
  <si>
    <t>$6,618</t>
  </si>
  <si>
    <t>The Devil, Probably (2012 re-release)</t>
  </si>
  <si>
    <t>$26,816</t>
  </si>
  <si>
    <t>$1,688</t>
  </si>
  <si>
    <t>Here (2012)</t>
  </si>
  <si>
    <t>$26,743</t>
  </si>
  <si>
    <t>$7,927</t>
  </si>
  <si>
    <t>Pink Ribbons, Inc.</t>
  </si>
  <si>
    <t>$26,608</t>
  </si>
  <si>
    <t>$2,721</t>
  </si>
  <si>
    <t>Django (2012 re-release)</t>
  </si>
  <si>
    <t>$25,916</t>
  </si>
  <si>
    <t>$6,150</t>
  </si>
  <si>
    <t>Nobody Walks</t>
  </si>
  <si>
    <t>$25,342</t>
  </si>
  <si>
    <t>$7,269</t>
  </si>
  <si>
    <t>Death of the Virgin</t>
  </si>
  <si>
    <t>$25,247</t>
  </si>
  <si>
    <t>$8,628</t>
  </si>
  <si>
    <t>In Another Country</t>
  </si>
  <si>
    <t>$25,079</t>
  </si>
  <si>
    <t>$3,207</t>
  </si>
  <si>
    <t>Sound of Noise</t>
  </si>
  <si>
    <t>$24,565</t>
  </si>
  <si>
    <t>$5,877</t>
  </si>
  <si>
    <t>Otter 501</t>
  </si>
  <si>
    <t>$24,449</t>
  </si>
  <si>
    <t>$5,444</t>
  </si>
  <si>
    <t>Radio Unnameable</t>
  </si>
  <si>
    <t>$24,090</t>
  </si>
  <si>
    <t>$5,833</t>
  </si>
  <si>
    <t>Attenberg</t>
  </si>
  <si>
    <t>$24,036</t>
  </si>
  <si>
    <t>$3,998</t>
  </si>
  <si>
    <t>The Rabbi's Cat</t>
  </si>
  <si>
    <t>$23,392</t>
  </si>
  <si>
    <t>$4,301</t>
  </si>
  <si>
    <t>Hellbound?</t>
  </si>
  <si>
    <t>$22,887</t>
  </si>
  <si>
    <t>$3,938</t>
  </si>
  <si>
    <t>The First Time</t>
  </si>
  <si>
    <t>$22,836</t>
  </si>
  <si>
    <t>$17,061</t>
  </si>
  <si>
    <t>Keyhole</t>
  </si>
  <si>
    <t>$22,826</t>
  </si>
  <si>
    <t>$3,294</t>
  </si>
  <si>
    <t>The Long Day Closes (2012 re-release)</t>
  </si>
  <si>
    <t>$22,765</t>
  </si>
  <si>
    <t>$1,407</t>
  </si>
  <si>
    <t>Carol Channing: Larger Than Life</t>
  </si>
  <si>
    <t>$22,740</t>
  </si>
  <si>
    <t>The Revisionaries</t>
  </si>
  <si>
    <t>$22,664</t>
  </si>
  <si>
    <t>$2,608</t>
  </si>
  <si>
    <t>Losing Control</t>
  </si>
  <si>
    <t>$22,081</t>
  </si>
  <si>
    <t>My Worst Nightmare</t>
  </si>
  <si>
    <t>$21,952</t>
  </si>
  <si>
    <t>$1,142</t>
  </si>
  <si>
    <t>Better Than Something: Jay Reatard</t>
  </si>
  <si>
    <t>BTS</t>
  </si>
  <si>
    <t>$21,697</t>
  </si>
  <si>
    <t>Sedona</t>
  </si>
  <si>
    <t>Pasi.</t>
  </si>
  <si>
    <t>$21,638</t>
  </si>
  <si>
    <t>Waiting for Lightning</t>
  </si>
  <si>
    <t>$21,577</t>
  </si>
  <si>
    <t>$19,537</t>
  </si>
  <si>
    <t>Bonsai</t>
  </si>
  <si>
    <t>$21,267</t>
  </si>
  <si>
    <t>$2,293</t>
  </si>
  <si>
    <t>Girl Model</t>
  </si>
  <si>
    <t>$21,154</t>
  </si>
  <si>
    <t>Lay the Favorite</t>
  </si>
  <si>
    <t>$20,998</t>
  </si>
  <si>
    <t>The Day</t>
  </si>
  <si>
    <t>$20,984</t>
  </si>
  <si>
    <t>$10,121</t>
  </si>
  <si>
    <t>The Highest Pass</t>
  </si>
  <si>
    <t>$20,386</t>
  </si>
  <si>
    <t>$10,125</t>
  </si>
  <si>
    <t>Jesus Henry Christ</t>
  </si>
  <si>
    <t>$20,183</t>
  </si>
  <si>
    <t>$8,192</t>
  </si>
  <si>
    <t>How to Grow a Band</t>
  </si>
  <si>
    <t>$20,135</t>
  </si>
  <si>
    <t>$5,705</t>
  </si>
  <si>
    <t>In Over My Head</t>
  </si>
  <si>
    <t>SBE</t>
  </si>
  <si>
    <t>$19,482</t>
  </si>
  <si>
    <t>Tchoupitoulas</t>
  </si>
  <si>
    <t>$19,375</t>
  </si>
  <si>
    <t>$2,379</t>
  </si>
  <si>
    <t>The Color Wheel</t>
  </si>
  <si>
    <t>$3,884</t>
  </si>
  <si>
    <t>Sophomore</t>
  </si>
  <si>
    <t>$18,945</t>
  </si>
  <si>
    <t>$13,097</t>
  </si>
  <si>
    <t>28 Hotel Rooms</t>
  </si>
  <si>
    <t>Chely Wright: Wish Me Away</t>
  </si>
  <si>
    <t>$18,618</t>
  </si>
  <si>
    <t>$5,026</t>
  </si>
  <si>
    <t>Lovely Molly</t>
  </si>
  <si>
    <t>$18,464</t>
  </si>
  <si>
    <t>$12,555</t>
  </si>
  <si>
    <t>El Milagro De Marcelino Pan</t>
  </si>
  <si>
    <t>GPR</t>
  </si>
  <si>
    <t>$18,193</t>
  </si>
  <si>
    <t>$17,092</t>
  </si>
  <si>
    <t>Total Recall (2012 re-release)</t>
  </si>
  <si>
    <t>$18,081</t>
  </si>
  <si>
    <t>Juan of the Dead</t>
  </si>
  <si>
    <t>$18,000</t>
  </si>
  <si>
    <t>Payback (2012)</t>
  </si>
  <si>
    <t>$17,979</t>
  </si>
  <si>
    <t>$2,186</t>
  </si>
  <si>
    <t>4:44: Last Day on Earth</t>
  </si>
  <si>
    <t>$17,801</t>
  </si>
  <si>
    <t>Little Birds</t>
  </si>
  <si>
    <t>$17,739</t>
  </si>
  <si>
    <t>$4,574</t>
  </si>
  <si>
    <t>Grandmaster</t>
  </si>
  <si>
    <t>$17,077</t>
  </si>
  <si>
    <t>$10,479</t>
  </si>
  <si>
    <t>The Understudy</t>
  </si>
  <si>
    <t>$17,036</t>
  </si>
  <si>
    <t>The Prophet's Son</t>
  </si>
  <si>
    <t>$16,983</t>
  </si>
  <si>
    <t>$8,168</t>
  </si>
  <si>
    <t>Inventing Our Life: The Kibbutz Experiment</t>
  </si>
  <si>
    <t>$16,734</t>
  </si>
  <si>
    <t>Teddy Bear</t>
  </si>
  <si>
    <t>$16,138</t>
  </si>
  <si>
    <t>$5,388</t>
  </si>
  <si>
    <t>Return (2012)</t>
  </si>
  <si>
    <t>$16,124</t>
  </si>
  <si>
    <t>Alps</t>
  </si>
  <si>
    <t>$16,057</t>
  </si>
  <si>
    <t>$2,628</t>
  </si>
  <si>
    <t>Long Shot: The Kevin Laue Story</t>
  </si>
  <si>
    <t>DM</t>
  </si>
  <si>
    <t>$16,011</t>
  </si>
  <si>
    <t>Patience (After Sebald)</t>
  </si>
  <si>
    <t>$15,941</t>
  </si>
  <si>
    <t>$upercapitalist</t>
  </si>
  <si>
    <t>Truly</t>
  </si>
  <si>
    <t>$15,919</t>
  </si>
  <si>
    <t>$8,372</t>
  </si>
  <si>
    <t>This Binary Universe</t>
  </si>
  <si>
    <t>$15,875</t>
  </si>
  <si>
    <t>$1,794</t>
  </si>
  <si>
    <t>Take Me Home</t>
  </si>
  <si>
    <t>$15,760</t>
  </si>
  <si>
    <t>$322</t>
  </si>
  <si>
    <t>Michael (2012)</t>
  </si>
  <si>
    <t>$15,715</t>
  </si>
  <si>
    <t>$3,366</t>
  </si>
  <si>
    <t>Quill: The Life of a Guide Dog</t>
  </si>
  <si>
    <t>$15,674</t>
  </si>
  <si>
    <t>California Solo</t>
  </si>
  <si>
    <t>$15,433</t>
  </si>
  <si>
    <t>$3,412</t>
  </si>
  <si>
    <t>A Little Bit of Heaven</t>
  </si>
  <si>
    <t>$15,375</t>
  </si>
  <si>
    <t>Only the Young</t>
  </si>
  <si>
    <t>$15,312</t>
  </si>
  <si>
    <t>$1,446</t>
  </si>
  <si>
    <t>17 Girls</t>
  </si>
  <si>
    <t>$15,123</t>
  </si>
  <si>
    <t>$4,449</t>
  </si>
  <si>
    <t>Kung Fu Joe</t>
  </si>
  <si>
    <t>$15,120</t>
  </si>
  <si>
    <t>$3,158</t>
  </si>
  <si>
    <t>Trade of Innocents</t>
  </si>
  <si>
    <t>$588</t>
  </si>
  <si>
    <t>30 Beats</t>
  </si>
  <si>
    <t>$14,693</t>
  </si>
  <si>
    <t>$8,624</t>
  </si>
  <si>
    <t>Unraveled</t>
  </si>
  <si>
    <t>GD</t>
  </si>
  <si>
    <t>$14,615</t>
  </si>
  <si>
    <t>$9,006</t>
  </si>
  <si>
    <t>Tristana (2012 re-release)</t>
  </si>
  <si>
    <t>$14,586</t>
  </si>
  <si>
    <t>$4,754</t>
  </si>
  <si>
    <t>Silent Night</t>
  </si>
  <si>
    <t>$14,567</t>
  </si>
  <si>
    <t>$9,780</t>
  </si>
  <si>
    <t>Space Dogs 3D</t>
  </si>
  <si>
    <t>$14,408</t>
  </si>
  <si>
    <t>Never Stand Still: Dancing at Jacob's Pillow</t>
  </si>
  <si>
    <t>$14,272</t>
  </si>
  <si>
    <t>$1,951</t>
  </si>
  <si>
    <t>We Won't Grow Old Together (2012 re-release)</t>
  </si>
  <si>
    <t>$14,104</t>
  </si>
  <si>
    <t>Gayby</t>
  </si>
  <si>
    <t>$14,062</t>
  </si>
  <si>
    <t>$4,792</t>
  </si>
  <si>
    <t>6 Month Rule</t>
  </si>
  <si>
    <t>SIP</t>
  </si>
  <si>
    <t>$14,057</t>
  </si>
  <si>
    <t>$1,963</t>
  </si>
  <si>
    <t>Head Games</t>
  </si>
  <si>
    <t>$14,056</t>
  </si>
  <si>
    <t>$1,152</t>
  </si>
  <si>
    <t>Planet of Snail</t>
  </si>
  <si>
    <t>$13,957</t>
  </si>
  <si>
    <t>$2,011</t>
  </si>
  <si>
    <t>Falling Away</t>
  </si>
  <si>
    <t>$13,869</t>
  </si>
  <si>
    <t>$1,284</t>
  </si>
  <si>
    <t>The Day He Arrives</t>
  </si>
  <si>
    <t>$13,746</t>
  </si>
  <si>
    <t>$3,311</t>
  </si>
  <si>
    <t>Daisies (2012 re-release)</t>
  </si>
  <si>
    <t>$13,692</t>
  </si>
  <si>
    <t>$6,576</t>
  </si>
  <si>
    <t>The Law in These Parts</t>
  </si>
  <si>
    <t>$2,814</t>
  </si>
  <si>
    <t>When the Iron Bird Flies</t>
  </si>
  <si>
    <t>$13,598</t>
  </si>
  <si>
    <t>Reuniting the Rubins</t>
  </si>
  <si>
    <t>$13,569</t>
  </si>
  <si>
    <t>$734</t>
  </si>
  <si>
    <t>Dysfunctional Friends</t>
  </si>
  <si>
    <t>DTP</t>
  </si>
  <si>
    <t>$13,546</t>
  </si>
  <si>
    <t>$7,409</t>
  </si>
  <si>
    <t>Citadel</t>
  </si>
  <si>
    <t>$13,377</t>
  </si>
  <si>
    <t>The Trouble with Bliss</t>
  </si>
  <si>
    <t>7A</t>
  </si>
  <si>
    <t>$13,093</t>
  </si>
  <si>
    <t>$4,618</t>
  </si>
  <si>
    <t>Nothing But a Man (2012 re-release)</t>
  </si>
  <si>
    <t>$13,063</t>
  </si>
  <si>
    <t>$3,466</t>
  </si>
  <si>
    <t>How Much Does Your Building Weigh, Mr. Foster?</t>
  </si>
  <si>
    <t>$13,013</t>
  </si>
  <si>
    <t>$2,759</t>
  </si>
  <si>
    <t>Norwegian Wood</t>
  </si>
  <si>
    <t>RF</t>
  </si>
  <si>
    <t>$13,000</t>
  </si>
  <si>
    <t>Virginia</t>
  </si>
  <si>
    <t>$12,728</t>
  </si>
  <si>
    <t>$6,915</t>
  </si>
  <si>
    <t>Around June</t>
  </si>
  <si>
    <t>$12,578</t>
  </si>
  <si>
    <t>For Ellen</t>
  </si>
  <si>
    <t>$12,396</t>
  </si>
  <si>
    <t>$4,616</t>
  </si>
  <si>
    <t>Grassroots</t>
  </si>
  <si>
    <t>$12,356</t>
  </si>
  <si>
    <t>$6,497</t>
  </si>
  <si>
    <t>Lost Angels: Skid Row is My Home</t>
  </si>
  <si>
    <t>$7,039</t>
  </si>
  <si>
    <t>Ultrasuede</t>
  </si>
  <si>
    <t>$11,539</t>
  </si>
  <si>
    <t>$3,968</t>
  </si>
  <si>
    <t>Now, Forager</t>
  </si>
  <si>
    <t>$11,146</t>
  </si>
  <si>
    <t>$1,539</t>
  </si>
  <si>
    <t>Dragon (2012)</t>
  </si>
  <si>
    <t>$11,137</t>
  </si>
  <si>
    <t>The Front Line</t>
  </si>
  <si>
    <t>$11,018</t>
  </si>
  <si>
    <t>$7,188</t>
  </si>
  <si>
    <t>Tales of the Night</t>
  </si>
  <si>
    <t>$10,975</t>
  </si>
  <si>
    <t>$7,154</t>
  </si>
  <si>
    <t>Henning Mankell's 'Wallander': The Revenge</t>
  </si>
  <si>
    <t>$10,960</t>
  </si>
  <si>
    <t>The Man Who Shook the Hand of Vicente Fernandez</t>
  </si>
  <si>
    <t>$10,782</t>
  </si>
  <si>
    <t>$3,099</t>
  </si>
  <si>
    <t>Special Forces</t>
  </si>
  <si>
    <t>$10,759</t>
  </si>
  <si>
    <t>Found Memories</t>
  </si>
  <si>
    <t>$10,575</t>
  </si>
  <si>
    <t>$3,874</t>
  </si>
  <si>
    <t>China Heavyweight</t>
  </si>
  <si>
    <t>$10,550</t>
  </si>
  <si>
    <t>Santa Mesa</t>
  </si>
  <si>
    <t>$10,490</t>
  </si>
  <si>
    <t>$3,846</t>
  </si>
  <si>
    <t>Husbands in Goa</t>
  </si>
  <si>
    <t>$10,135</t>
  </si>
  <si>
    <t>$4,483</t>
  </si>
  <si>
    <t>Putin's Kiss</t>
  </si>
  <si>
    <t>$10,082</t>
  </si>
  <si>
    <t>$1,525</t>
  </si>
  <si>
    <t>Starry Starry Night</t>
  </si>
  <si>
    <t>$10,033</t>
  </si>
  <si>
    <t>$2,312</t>
  </si>
  <si>
    <t>Arjun: The Warrior Prince</t>
  </si>
  <si>
    <t>$10,017</t>
  </si>
  <si>
    <t>$5,527</t>
  </si>
  <si>
    <t>The Do-Deca-Pentathlon</t>
  </si>
  <si>
    <t>Post Mortem</t>
  </si>
  <si>
    <t>$9,750</t>
  </si>
  <si>
    <t>$2,406</t>
  </si>
  <si>
    <t>Rec 3: Genesis</t>
  </si>
  <si>
    <t>$9,600</t>
  </si>
  <si>
    <t>$3,001</t>
  </si>
  <si>
    <t>The City Dark</t>
  </si>
  <si>
    <t>$9,269</t>
  </si>
  <si>
    <t>$2,983</t>
  </si>
  <si>
    <t>Decoding Deepak</t>
  </si>
  <si>
    <t>$9,100</t>
  </si>
  <si>
    <t>Art of Submission</t>
  </si>
  <si>
    <t>PMP</t>
  </si>
  <si>
    <t>$9,004</t>
  </si>
  <si>
    <t>$8,759</t>
  </si>
  <si>
    <t>Three Stars</t>
  </si>
  <si>
    <t>$8,942</t>
  </si>
  <si>
    <t>$1,003</t>
  </si>
  <si>
    <t>Corpo Celeste</t>
  </si>
  <si>
    <t>$8,919</t>
  </si>
  <si>
    <t>$2,263</t>
  </si>
  <si>
    <t>Home Run Showdown</t>
  </si>
  <si>
    <t>$8,824</t>
  </si>
  <si>
    <t>The Man in the White Suit (2012 re-release)</t>
  </si>
  <si>
    <t>$8,718</t>
  </si>
  <si>
    <t>Man on a Mission</t>
  </si>
  <si>
    <t>$8,688</t>
  </si>
  <si>
    <t>Small, Beautiful Moving Parts</t>
  </si>
  <si>
    <t>$8,631</t>
  </si>
  <si>
    <t>$3,087</t>
  </si>
  <si>
    <t>Mosquita y Mari</t>
  </si>
  <si>
    <t>$8,614</t>
  </si>
  <si>
    <t>General Education</t>
  </si>
  <si>
    <t>PHP</t>
  </si>
  <si>
    <t>$282</t>
  </si>
  <si>
    <t>Cartas a Elena</t>
  </si>
  <si>
    <t>$8,511</t>
  </si>
  <si>
    <t>$7,711</t>
  </si>
  <si>
    <t>The Snowtown Murders</t>
  </si>
  <si>
    <t>$8,452</t>
  </si>
  <si>
    <t>$1,273</t>
  </si>
  <si>
    <t>Dreams of a Life</t>
  </si>
  <si>
    <t>$8,405</t>
  </si>
  <si>
    <t>Restless City</t>
  </si>
  <si>
    <t>$8,100</t>
  </si>
  <si>
    <t>The Babymakers</t>
  </si>
  <si>
    <t>$7,889</t>
  </si>
  <si>
    <t>$5,215</t>
  </si>
  <si>
    <t>Roadie (2012)</t>
  </si>
  <si>
    <t>$7,825</t>
  </si>
  <si>
    <t>Photographic Memory</t>
  </si>
  <si>
    <t>$7,822</t>
  </si>
  <si>
    <t>Last Days Here</t>
  </si>
  <si>
    <t>$7,643</t>
  </si>
  <si>
    <t>$2,671</t>
  </si>
  <si>
    <t>Brooklyn Brothers Beat the Best</t>
  </si>
  <si>
    <t>$7,466</t>
  </si>
  <si>
    <t>$3,850</t>
  </si>
  <si>
    <t>Bel Borba Aqui</t>
  </si>
  <si>
    <t>$7,426</t>
  </si>
  <si>
    <t>Price Check</t>
  </si>
  <si>
    <t>$7,413</t>
  </si>
  <si>
    <t>$2,783</t>
  </si>
  <si>
    <t>The Giant Mechanical Man</t>
  </si>
  <si>
    <t>$7,396</t>
  </si>
  <si>
    <t>$1,789</t>
  </si>
  <si>
    <t>Domain (2012)</t>
  </si>
  <si>
    <t>$2,810</t>
  </si>
  <si>
    <t>Love, Marilyn</t>
  </si>
  <si>
    <t>$6,950</t>
  </si>
  <si>
    <t>Last Ride</t>
  </si>
  <si>
    <t>$6,853</t>
  </si>
  <si>
    <t>$838</t>
  </si>
  <si>
    <t>In Our Nature</t>
  </si>
  <si>
    <t>$6,543</t>
  </si>
  <si>
    <t>$4,378</t>
  </si>
  <si>
    <t>Windfall</t>
  </si>
  <si>
    <t>$6,504</t>
  </si>
  <si>
    <t>$1,780</t>
  </si>
  <si>
    <t>The Beat Hotel</t>
  </si>
  <si>
    <t>$6,480</t>
  </si>
  <si>
    <t>$1,458</t>
  </si>
  <si>
    <t>Tonight You're Mine</t>
  </si>
  <si>
    <t>$6,255</t>
  </si>
  <si>
    <t>$2,144</t>
  </si>
  <si>
    <t>Crazy Eyes</t>
  </si>
  <si>
    <t>$6,141</t>
  </si>
  <si>
    <t>The Last Fall</t>
  </si>
  <si>
    <t>TFO</t>
  </si>
  <si>
    <t>The Miners' Hymns</t>
  </si>
  <si>
    <t>$6,051</t>
  </si>
  <si>
    <t>$3,217</t>
  </si>
  <si>
    <t>Las Acacias</t>
  </si>
  <si>
    <t>American Animal</t>
  </si>
  <si>
    <t>$5,928</t>
  </si>
  <si>
    <t>Buzzkill</t>
  </si>
  <si>
    <t>$5,860</t>
  </si>
  <si>
    <t>Sushi: The Global Catch</t>
  </si>
  <si>
    <t>$5,757</t>
  </si>
  <si>
    <t>$516</t>
  </si>
  <si>
    <t>Save the Date</t>
  </si>
  <si>
    <t>$5,719</t>
  </si>
  <si>
    <t>Bookers Place</t>
  </si>
  <si>
    <t>$5,549</t>
  </si>
  <si>
    <t>$2,455</t>
  </si>
  <si>
    <t>Young and Wild</t>
  </si>
  <si>
    <t>$3,798</t>
  </si>
  <si>
    <t>Universal Soldier: Day of Reckoning</t>
  </si>
  <si>
    <t>$5,460</t>
  </si>
  <si>
    <t>The Good Doctor</t>
  </si>
  <si>
    <t>$5,206</t>
  </si>
  <si>
    <t>$3,180</t>
  </si>
  <si>
    <t>Liar's Autobiography</t>
  </si>
  <si>
    <t>Downtown Express</t>
  </si>
  <si>
    <t>$3,474</t>
  </si>
  <si>
    <t>Bringing Up Bobby</t>
  </si>
  <si>
    <t>$4,975</t>
  </si>
  <si>
    <t>Tomorrow When the War Began</t>
  </si>
  <si>
    <t>$4,936</t>
  </si>
  <si>
    <t>$3,172</t>
  </si>
  <si>
    <t>Brake</t>
  </si>
  <si>
    <t>$4,876</t>
  </si>
  <si>
    <t>$4,330</t>
  </si>
  <si>
    <t>A Man Vanishes (2012 re-release)</t>
  </si>
  <si>
    <t>$4,829</t>
  </si>
  <si>
    <t>$1,576</t>
  </si>
  <si>
    <t>Breathing</t>
  </si>
  <si>
    <t>$949</t>
  </si>
  <si>
    <t>Newlyweds</t>
  </si>
  <si>
    <t>$4,584</t>
  </si>
  <si>
    <t>Art Is... The Permanent Revolution</t>
  </si>
  <si>
    <t>$4,291</t>
  </si>
  <si>
    <t>Yangsi</t>
  </si>
  <si>
    <t>$4,008</t>
  </si>
  <si>
    <t>The Moth Diaries</t>
  </si>
  <si>
    <t>$3,838</t>
  </si>
  <si>
    <t>$2,276</t>
  </si>
  <si>
    <t>Free Radicals: A History of Experimental Film</t>
  </si>
  <si>
    <t>$3,804</t>
  </si>
  <si>
    <t>$1,350</t>
  </si>
  <si>
    <t>They Come to America</t>
  </si>
  <si>
    <t>C/360</t>
  </si>
  <si>
    <t>$3,775</t>
  </si>
  <si>
    <t>Bad Blood the Hunger</t>
  </si>
  <si>
    <t>GA</t>
  </si>
  <si>
    <t>$3,731</t>
  </si>
  <si>
    <t>Pickin &amp; Grinnin</t>
  </si>
  <si>
    <t>$3,613</t>
  </si>
  <si>
    <t>$3,003</t>
  </si>
  <si>
    <t>The Day I Saw Your Heart</t>
  </si>
  <si>
    <t>$3,546</t>
  </si>
  <si>
    <t>Loosies</t>
  </si>
  <si>
    <t>$3,519</t>
  </si>
  <si>
    <t>$808</t>
  </si>
  <si>
    <t>Cirkus Columbia</t>
  </si>
  <si>
    <t>$3,457</t>
  </si>
  <si>
    <t>Vamps</t>
  </si>
  <si>
    <t>$548</t>
  </si>
  <si>
    <t>Sleepless Night</t>
  </si>
  <si>
    <t>$3,358</t>
  </si>
  <si>
    <t>$2,106</t>
  </si>
  <si>
    <t>After the Wizard</t>
  </si>
  <si>
    <t>$2,527</t>
  </si>
  <si>
    <t>Apart (2012)</t>
  </si>
  <si>
    <t>$3,161</t>
  </si>
  <si>
    <t>ATM</t>
  </si>
  <si>
    <t>$3,010</t>
  </si>
  <si>
    <t>$2,034</t>
  </si>
  <si>
    <t>About Cherry</t>
  </si>
  <si>
    <t>Perfect Sense</t>
  </si>
  <si>
    <t>$2,959</t>
  </si>
  <si>
    <t>Cheerful Weather for the Wedding</t>
  </si>
  <si>
    <t>$2,651</t>
  </si>
  <si>
    <t>$727</t>
  </si>
  <si>
    <t>Carl</t>
  </si>
  <si>
    <t>The Samaritan</t>
  </si>
  <si>
    <t>$2,521</t>
  </si>
  <si>
    <t>The Ghastly Love of Johnny X</t>
  </si>
  <si>
    <t>$86</t>
  </si>
  <si>
    <t>Why Stop Now?</t>
  </si>
  <si>
    <t>$2,432</t>
  </si>
  <si>
    <t>$1,641</t>
  </si>
  <si>
    <t>Split: A Deeper Divide</t>
  </si>
  <si>
    <t>FPR</t>
  </si>
  <si>
    <t>$2,338</t>
  </si>
  <si>
    <t>Scorn</t>
  </si>
  <si>
    <t>Cort.</t>
  </si>
  <si>
    <t>Patagonia Rising</t>
  </si>
  <si>
    <t>$981</t>
  </si>
  <si>
    <t>I Kissed a Vampire</t>
  </si>
  <si>
    <t>$1,380</t>
  </si>
  <si>
    <t>Dystopia 2013</t>
  </si>
  <si>
    <t>ZMG</t>
  </si>
  <si>
    <t>$1,708</t>
  </si>
  <si>
    <t>El Velador (The Night Watchman)</t>
  </si>
  <si>
    <t>$378</t>
  </si>
  <si>
    <t>Where Are You Taking Me?</t>
  </si>
  <si>
    <t>$937</t>
  </si>
  <si>
    <t>Bestiaire</t>
  </si>
  <si>
    <t>KS/Zeit</t>
  </si>
  <si>
    <t>Headshot</t>
  </si>
  <si>
    <t>$1,373</t>
  </si>
  <si>
    <t>$456</t>
  </si>
  <si>
    <t>Jason Becker: Not Dead Yet</t>
  </si>
  <si>
    <t>$1,294</t>
  </si>
  <si>
    <t>$319</t>
  </si>
  <si>
    <t>Snowman's Land</t>
  </si>
  <si>
    <t>$1,190</t>
  </si>
  <si>
    <t>$656</t>
  </si>
  <si>
    <t>Jack and Diane</t>
  </si>
  <si>
    <t>The Decoy Bride</t>
  </si>
  <si>
    <t>$759</t>
  </si>
  <si>
    <t>$542</t>
  </si>
  <si>
    <t>The Loving Story</t>
  </si>
  <si>
    <t>$700</t>
  </si>
  <si>
    <t>$448</t>
  </si>
  <si>
    <t>Nature Calls</t>
  </si>
  <si>
    <t>$646</t>
  </si>
  <si>
    <t>Citizen Gangster</t>
  </si>
  <si>
    <t>Death of a Superhero</t>
  </si>
  <si>
    <t>$345</t>
  </si>
  <si>
    <t>Gottfried Helnwein and the Dreaming Child</t>
  </si>
  <si>
    <t>$601</t>
  </si>
  <si>
    <t>$402</t>
  </si>
  <si>
    <t>Meeting Evil</t>
  </si>
  <si>
    <t>$525</t>
  </si>
  <si>
    <t>$181</t>
  </si>
  <si>
    <t>Apartment 143</t>
  </si>
  <si>
    <t>$383</t>
  </si>
  <si>
    <t>$256</t>
  </si>
  <si>
    <t>Playback</t>
  </si>
  <si>
    <t>$264</t>
  </si>
  <si>
    <t>Harry Potter and the Deathly Hallows Part 2</t>
  </si>
  <si>
    <t>$381,011,219</t>
  </si>
  <si>
    <t>$169,189,427</t>
  </si>
  <si>
    <t>Transformers: Dark of the Moon</t>
  </si>
  <si>
    <t>$352,390,543</t>
  </si>
  <si>
    <t>$97,852,865</t>
  </si>
  <si>
    <t>The Twilight Saga: Breaking Dawn Part 1</t>
  </si>
  <si>
    <t>Sum.</t>
  </si>
  <si>
    <t>$281,287,133</t>
  </si>
  <si>
    <t>$138,122,261</t>
  </si>
  <si>
    <t>The Hangover Part II</t>
  </si>
  <si>
    <t>$254,464,305</t>
  </si>
  <si>
    <t>$85,946,294</t>
  </si>
  <si>
    <t>Pirates of the Caribbean: On Stranger Tides</t>
  </si>
  <si>
    <t>$241,071,802</t>
  </si>
  <si>
    <t>$90,151,958</t>
  </si>
  <si>
    <t>Fast Five</t>
  </si>
  <si>
    <t>$209,837,675</t>
  </si>
  <si>
    <t>$86,198,765</t>
  </si>
  <si>
    <t>Mission: Impossible - Ghost Protocol</t>
  </si>
  <si>
    <t>$209,397,903</t>
  </si>
  <si>
    <t>$12,785,204</t>
  </si>
  <si>
    <t>Cars 2</t>
  </si>
  <si>
    <t>$191,452,396</t>
  </si>
  <si>
    <t>$66,135,507</t>
  </si>
  <si>
    <t>Sherlock Holmes: A Game of Shadows</t>
  </si>
  <si>
    <t>$186,848,418</t>
  </si>
  <si>
    <t>$39,637,079</t>
  </si>
  <si>
    <t>Thor</t>
  </si>
  <si>
    <t>$181,030,624</t>
  </si>
  <si>
    <t>$65,723,338</t>
  </si>
  <si>
    <t>Rise of the Planet of the Apes</t>
  </si>
  <si>
    <t>$176,760,185</t>
  </si>
  <si>
    <t>$54,806,191</t>
  </si>
  <si>
    <t>Captain America: The First Avenger</t>
  </si>
  <si>
    <t>$176,654,505</t>
  </si>
  <si>
    <t>$65,058,524</t>
  </si>
  <si>
    <t>The Help</t>
  </si>
  <si>
    <t>$169,708,112</t>
  </si>
  <si>
    <t>$26,044,590</t>
  </si>
  <si>
    <t>Bridesmaids</t>
  </si>
  <si>
    <t>$169,106,725</t>
  </si>
  <si>
    <t>$26,247,410</t>
  </si>
  <si>
    <t>Kung Fu Panda 2</t>
  </si>
  <si>
    <t>$165,249,063</t>
  </si>
  <si>
    <t>$47,656,302</t>
  </si>
  <si>
    <t>Puss in Boots</t>
  </si>
  <si>
    <t>$149,260,504</t>
  </si>
  <si>
    <t>$34,077,439</t>
  </si>
  <si>
    <t>X-Men: First Class</t>
  </si>
  <si>
    <t>$146,408,305</t>
  </si>
  <si>
    <t>$55,101,604</t>
  </si>
  <si>
    <t>Rio</t>
  </si>
  <si>
    <t>$143,619,809</t>
  </si>
  <si>
    <t>$39,225,962</t>
  </si>
  <si>
    <t>The Smurfs</t>
  </si>
  <si>
    <t>$142,614,158</t>
  </si>
  <si>
    <t>$35,611,637</t>
  </si>
  <si>
    <t>Alvin and the Chipmunks: Chipwrecked</t>
  </si>
  <si>
    <t>$133,110,742</t>
  </si>
  <si>
    <t>$23,244,744</t>
  </si>
  <si>
    <t>Super 8</t>
  </si>
  <si>
    <t>$127,004,179</t>
  </si>
  <si>
    <t>$35,451,168</t>
  </si>
  <si>
    <t>Rango</t>
  </si>
  <si>
    <t>$123,477,607</t>
  </si>
  <si>
    <t>$38,079,323</t>
  </si>
  <si>
    <t>Horrible Bosses</t>
  </si>
  <si>
    <t>$117,538,559</t>
  </si>
  <si>
    <t>$28,302,165</t>
  </si>
  <si>
    <t>Green Lantern</t>
  </si>
  <si>
    <t>$116,601,172</t>
  </si>
  <si>
    <t>$53,174,303</t>
  </si>
  <si>
    <t>Hop</t>
  </si>
  <si>
    <t>$108,085,305</t>
  </si>
  <si>
    <t>$37,543,710</t>
  </si>
  <si>
    <t>Paranormal Activity 3</t>
  </si>
  <si>
    <t>$104,028,807</t>
  </si>
  <si>
    <t>$52,568,183</t>
  </si>
  <si>
    <t>Just Go With It</t>
  </si>
  <si>
    <t>$103,028,109</t>
  </si>
  <si>
    <t>$30,514,732</t>
  </si>
  <si>
    <t>The Girl with the Dragon Tattoo (2011)</t>
  </si>
  <si>
    <t>$102,515,793</t>
  </si>
  <si>
    <t>$12,768,604</t>
  </si>
  <si>
    <t>Bad Teacher</t>
  </si>
  <si>
    <t>$100,292,856</t>
  </si>
  <si>
    <t>$31,603,106</t>
  </si>
  <si>
    <t>Cowboys &amp; Aliens</t>
  </si>
  <si>
    <t>$100,240,551</t>
  </si>
  <si>
    <t>$36,431,290</t>
  </si>
  <si>
    <t>Gnomeo and Juliet</t>
  </si>
  <si>
    <t>$99,967,670</t>
  </si>
  <si>
    <t>$25,356,909</t>
  </si>
  <si>
    <t>The Green Hornet</t>
  </si>
  <si>
    <t>$98,780,042</t>
  </si>
  <si>
    <t>$33,526,876</t>
  </si>
  <si>
    <t>The Lion King (in 3D)</t>
  </si>
  <si>
    <t>$94,242,001</t>
  </si>
  <si>
    <t>$30,151,614</t>
  </si>
  <si>
    <t>The Muppets</t>
  </si>
  <si>
    <t>$88,631,237</t>
  </si>
  <si>
    <t>$29,239,026</t>
  </si>
  <si>
    <t>Real Steel</t>
  </si>
  <si>
    <t>$85,468,508</t>
  </si>
  <si>
    <t>$27,319,677</t>
  </si>
  <si>
    <t>Crazy, Stupid, Love.</t>
  </si>
  <si>
    <t>$84,351,197</t>
  </si>
  <si>
    <t>$19,104,303</t>
  </si>
  <si>
    <t>Battle: Los Angeles</t>
  </si>
  <si>
    <t>$83,552,429</t>
  </si>
  <si>
    <t>$35,573,187</t>
  </si>
  <si>
    <t>Immortals</t>
  </si>
  <si>
    <t>$83,504,017</t>
  </si>
  <si>
    <t>$32,206,425</t>
  </si>
  <si>
    <t>The Descendants</t>
  </si>
  <si>
    <t>$82,584,160</t>
  </si>
  <si>
    <t>$1,190,096</t>
  </si>
  <si>
    <t>Zookeeper</t>
  </si>
  <si>
    <t>$80,360,843</t>
  </si>
  <si>
    <t>$20,065,617</t>
  </si>
  <si>
    <t>War Horse</t>
  </si>
  <si>
    <t>$79,884,879</t>
  </si>
  <si>
    <t>$7,515,402</t>
  </si>
  <si>
    <t>Limitless</t>
  </si>
  <si>
    <t>$79,249,455</t>
  </si>
  <si>
    <t>$18,907,302</t>
  </si>
  <si>
    <t>Tower Heist</t>
  </si>
  <si>
    <t>$78,046,570</t>
  </si>
  <si>
    <t>$24,025,190</t>
  </si>
  <si>
    <t>The Adventures of Tintin</t>
  </si>
  <si>
    <t>$77,591,831</t>
  </si>
  <si>
    <t>$9,720,993</t>
  </si>
  <si>
    <t>Contagion</t>
  </si>
  <si>
    <t>$75,658,097</t>
  </si>
  <si>
    <t>$22,403,596</t>
  </si>
  <si>
    <t>We Bought a Zoo</t>
  </si>
  <si>
    <t>$75,624,550</t>
  </si>
  <si>
    <t>$9,360,434</t>
  </si>
  <si>
    <t>Moneyball</t>
  </si>
  <si>
    <t>$75,605,492</t>
  </si>
  <si>
    <t>$19,501,302</t>
  </si>
  <si>
    <t>Jack and Jill</t>
  </si>
  <si>
    <t>$74,158,157</t>
  </si>
  <si>
    <t>$25,003,575</t>
  </si>
  <si>
    <t>Hugo</t>
  </si>
  <si>
    <t>$73,864,507</t>
  </si>
  <si>
    <t>$11,364,505</t>
  </si>
  <si>
    <t>Justin Bieber: Never Say Never</t>
  </si>
  <si>
    <t>$73,013,910</t>
  </si>
  <si>
    <t>$29,514,054</t>
  </si>
  <si>
    <t>Dolphin Tale</t>
  </si>
  <si>
    <t>$72,286,779</t>
  </si>
  <si>
    <t>$19,152,401</t>
  </si>
  <si>
    <t>No Strings Attached</t>
  </si>
  <si>
    <t>$70,662,220</t>
  </si>
  <si>
    <t>$19,652,921</t>
  </si>
  <si>
    <t>Mr. Popper's Penguins</t>
  </si>
  <si>
    <t>$68,224,452</t>
  </si>
  <si>
    <t>$18,445,355</t>
  </si>
  <si>
    <t>Happy Feet Two</t>
  </si>
  <si>
    <t>$64,006,466</t>
  </si>
  <si>
    <t>$21,237,068</t>
  </si>
  <si>
    <t>Unknown</t>
  </si>
  <si>
    <t>$63,686,397</t>
  </si>
  <si>
    <t>$21,856,389</t>
  </si>
  <si>
    <t>The Adjustment Bureau</t>
  </si>
  <si>
    <t>$62,495,645</t>
  </si>
  <si>
    <t>$21,157,730</t>
  </si>
  <si>
    <t>Water for Elephants</t>
  </si>
  <si>
    <t>$58,709,717</t>
  </si>
  <si>
    <t>$16,842,353</t>
  </si>
  <si>
    <t>The Lincoln Lawyer</t>
  </si>
  <si>
    <t>$58,009,200</t>
  </si>
  <si>
    <t>$13,206,453</t>
  </si>
  <si>
    <t>Midnight in Paris</t>
  </si>
  <si>
    <t>$56,817,045</t>
  </si>
  <si>
    <t>$599,003</t>
  </si>
  <si>
    <t>Friends with Benefits</t>
  </si>
  <si>
    <t>$55,802,754</t>
  </si>
  <si>
    <t>$18,622,150</t>
  </si>
  <si>
    <t>I Am Number Four</t>
  </si>
  <si>
    <t>$55,100,437</t>
  </si>
  <si>
    <t>$19,449,893</t>
  </si>
  <si>
    <t>Source Code</t>
  </si>
  <si>
    <t>$54,712,227</t>
  </si>
  <si>
    <t>$14,812,094</t>
  </si>
  <si>
    <t>New Year's Eve</t>
  </si>
  <si>
    <t>$54,544,638</t>
  </si>
  <si>
    <t>$13,019,180</t>
  </si>
  <si>
    <t>Insidious</t>
  </si>
  <si>
    <t>$54,009,150</t>
  </si>
  <si>
    <t>$13,271,464</t>
  </si>
  <si>
    <t>Tyler Perry's Madea's Big Happy Family</t>
  </si>
  <si>
    <t>$53,345,287</t>
  </si>
  <si>
    <t>$25,068,677</t>
  </si>
  <si>
    <t>Diary of a Wimpy Kid: Rodrick Rules</t>
  </si>
  <si>
    <t>$52,698,535</t>
  </si>
  <si>
    <t>$23,751,502</t>
  </si>
  <si>
    <t>Footloose (2011)</t>
  </si>
  <si>
    <t>$51,802,742</t>
  </si>
  <si>
    <t>$15,556,113</t>
  </si>
  <si>
    <t>The Dilemma</t>
  </si>
  <si>
    <t>$48,475,290</t>
  </si>
  <si>
    <t>$17,816,230</t>
  </si>
  <si>
    <t>Arthur Christmas</t>
  </si>
  <si>
    <t>$46,462,469</t>
  </si>
  <si>
    <t>$12,068,931</t>
  </si>
  <si>
    <t>Hall Pass</t>
  </si>
  <si>
    <t>$45,060,734</t>
  </si>
  <si>
    <t>$13,535,374</t>
  </si>
  <si>
    <t>The Artist</t>
  </si>
  <si>
    <t>$44,671,682</t>
  </si>
  <si>
    <t>$204,878</t>
  </si>
  <si>
    <t>Soul Surfer</t>
  </si>
  <si>
    <t>$43,853,424</t>
  </si>
  <si>
    <t>$10,601,862</t>
  </si>
  <si>
    <t>Final Destination 5</t>
  </si>
  <si>
    <t>$42,587,643</t>
  </si>
  <si>
    <t>$18,031,396</t>
  </si>
  <si>
    <t>The Ides of March</t>
  </si>
  <si>
    <t>$40,962,534</t>
  </si>
  <si>
    <t>$10,470,143</t>
  </si>
  <si>
    <t>Hanna</t>
  </si>
  <si>
    <t>$40,259,119</t>
  </si>
  <si>
    <t>$12,370,549</t>
  </si>
  <si>
    <t>Something Borrowed</t>
  </si>
  <si>
    <t>$39,046,489</t>
  </si>
  <si>
    <t>$13,945,368</t>
  </si>
  <si>
    <t>Spy Kids: All the Time in the World</t>
  </si>
  <si>
    <t>$38,538,188</t>
  </si>
  <si>
    <t>$11,644,672</t>
  </si>
  <si>
    <t>Scream 4</t>
  </si>
  <si>
    <t>$38,180,928</t>
  </si>
  <si>
    <t>$18,692,090</t>
  </si>
  <si>
    <t>Big Mommas: Like Father, Like Son</t>
  </si>
  <si>
    <t>$37,915,414</t>
  </si>
  <si>
    <t>$16,300,803</t>
  </si>
  <si>
    <t>Red Riding Hood</t>
  </si>
  <si>
    <t>$37,662,162</t>
  </si>
  <si>
    <t>$14,005,335</t>
  </si>
  <si>
    <t>In Time</t>
  </si>
  <si>
    <t>$37,520,095</t>
  </si>
  <si>
    <t>$12,050,368</t>
  </si>
  <si>
    <t>Paul</t>
  </si>
  <si>
    <t>$37,412,945</t>
  </si>
  <si>
    <t>$13,043,310</t>
  </si>
  <si>
    <t>J. Edgar</t>
  </si>
  <si>
    <t>$37,306,030</t>
  </si>
  <si>
    <t>$11,217,324</t>
  </si>
  <si>
    <t>The Roommate</t>
  </si>
  <si>
    <t>$37,300,107</t>
  </si>
  <si>
    <t>$15,002,635</t>
  </si>
  <si>
    <t>Jumping the Broom</t>
  </si>
  <si>
    <t>$37,295,394</t>
  </si>
  <si>
    <t>$15,215,487</t>
  </si>
  <si>
    <t>The Change-Up</t>
  </si>
  <si>
    <t>$37,081,475</t>
  </si>
  <si>
    <t>$13,531,115</t>
  </si>
  <si>
    <t>30 Minutes or Less</t>
  </si>
  <si>
    <t>$37,053,924</t>
  </si>
  <si>
    <t>$13,330,118</t>
  </si>
  <si>
    <t>Colombiana</t>
  </si>
  <si>
    <t>$36,665,854</t>
  </si>
  <si>
    <t>$10,408,176</t>
  </si>
  <si>
    <t>Sucker Punch</t>
  </si>
  <si>
    <t>$36,392,502</t>
  </si>
  <si>
    <t>$19,058,199</t>
  </si>
  <si>
    <t>Larry Crowne</t>
  </si>
  <si>
    <t>$35,608,245</t>
  </si>
  <si>
    <t>$13,096,065</t>
  </si>
  <si>
    <t>A Very Harold &amp; Kumar 3D Christmas</t>
  </si>
  <si>
    <t>$35,061,031</t>
  </si>
  <si>
    <t>$12,954,142</t>
  </si>
  <si>
    <t>Drive (2011)</t>
  </si>
  <si>
    <t>$35,060,689</t>
  </si>
  <si>
    <t>$11,340,461</t>
  </si>
  <si>
    <t>50/50</t>
  </si>
  <si>
    <t>$35,014,192</t>
  </si>
  <si>
    <t>$8,644,095</t>
  </si>
  <si>
    <t>Courageous</t>
  </si>
  <si>
    <t>$34,522,221</t>
  </si>
  <si>
    <t>$9,112,839</t>
  </si>
  <si>
    <t>The Rite</t>
  </si>
  <si>
    <t>$33,047,633</t>
  </si>
  <si>
    <t>$14,789,393</t>
  </si>
  <si>
    <t>Arthur (2011)</t>
  </si>
  <si>
    <t>$33,035,397</t>
  </si>
  <si>
    <t>$12,222,756</t>
  </si>
  <si>
    <t>Extremely Loud &amp; Incredibly Close</t>
  </si>
  <si>
    <t>$31,847,881</t>
  </si>
  <si>
    <t>$72,348</t>
  </si>
  <si>
    <t>The Debt</t>
  </si>
  <si>
    <t>$31,177,548</t>
  </si>
  <si>
    <t>$9,909,499</t>
  </si>
  <si>
    <t>The Sitter</t>
  </si>
  <si>
    <t>$30,441,326</t>
  </si>
  <si>
    <t>$9,851,435</t>
  </si>
  <si>
    <t>The Iron Lady</t>
  </si>
  <si>
    <t>$30,017,992</t>
  </si>
  <si>
    <t>$220,409</t>
  </si>
  <si>
    <t>Priest</t>
  </si>
  <si>
    <t>$29,136,626</t>
  </si>
  <si>
    <t>$14,953,664</t>
  </si>
  <si>
    <t>The Mechanic</t>
  </si>
  <si>
    <t>$29,121,498</t>
  </si>
  <si>
    <t>$11,422,006</t>
  </si>
  <si>
    <t>Abduction</t>
  </si>
  <si>
    <t>$28,087,155</t>
  </si>
  <si>
    <t>$10,925,253</t>
  </si>
  <si>
    <t>Beastly</t>
  </si>
  <si>
    <t>$27,865,571</t>
  </si>
  <si>
    <t>$9,851,102</t>
  </si>
  <si>
    <t>Winnie the Pooh</t>
  </si>
  <si>
    <t>$26,692,846</t>
  </si>
  <si>
    <t>$7,857,076</t>
  </si>
  <si>
    <t>Born to Be Wild (IMAX)</t>
  </si>
  <si>
    <t>$25,661,393</t>
  </si>
  <si>
    <t>$871,478</t>
  </si>
  <si>
    <t>Killer Elite</t>
  </si>
  <si>
    <t>$25,124,966</t>
  </si>
  <si>
    <t>$9,352,008</t>
  </si>
  <si>
    <t>Season of the Witch</t>
  </si>
  <si>
    <t>$24,827,228</t>
  </si>
  <si>
    <t>$10,612,375</t>
  </si>
  <si>
    <t>Our Idiot Brother</t>
  </si>
  <si>
    <t>$24,816,118</t>
  </si>
  <si>
    <t>$7,011,631</t>
  </si>
  <si>
    <t>Tinker, Tailor, Soldier, Spy</t>
  </si>
  <si>
    <t>$24,149,393</t>
  </si>
  <si>
    <t>$310,562</t>
  </si>
  <si>
    <t>Don't Be Afraid of the Dark</t>
  </si>
  <si>
    <t>$24,046,682</t>
  </si>
  <si>
    <t>$8,525,728</t>
  </si>
  <si>
    <t>Sanctum</t>
  </si>
  <si>
    <t>$23,209,310</t>
  </si>
  <si>
    <t>$9,447,930</t>
  </si>
  <si>
    <t>Monte Carlo</t>
  </si>
  <si>
    <t>$23,186,769</t>
  </si>
  <si>
    <t>$7,453,944</t>
  </si>
  <si>
    <t>Your Highness</t>
  </si>
  <si>
    <t>$21,596,445</t>
  </si>
  <si>
    <t>$9,360,020</t>
  </si>
  <si>
    <t>The Darkest Hour</t>
  </si>
  <si>
    <t>$21,443,494</t>
  </si>
  <si>
    <t>$2,993,519</t>
  </si>
  <si>
    <t>Mars Needs Moms</t>
  </si>
  <si>
    <t>$21,392,758</t>
  </si>
  <si>
    <t>$6,914,488</t>
  </si>
  <si>
    <t>Dream House</t>
  </si>
  <si>
    <t>$21,302,340</t>
  </si>
  <si>
    <t>$8,129,355</t>
  </si>
  <si>
    <t>Conan the Barbarian (2011)</t>
  </si>
  <si>
    <t>$21,295,021</t>
  </si>
  <si>
    <t>$10,021,215</t>
  </si>
  <si>
    <t>The Three Musketeers (2011)</t>
  </si>
  <si>
    <t>$20,374,484</t>
  </si>
  <si>
    <t>$8,674,452</t>
  </si>
  <si>
    <t>The Eagle</t>
  </si>
  <si>
    <t>$19,490,041</t>
  </si>
  <si>
    <t>$8,684,464</t>
  </si>
  <si>
    <t>Shark Night 3D</t>
  </si>
  <si>
    <t>$18,877,153</t>
  </si>
  <si>
    <t>$8,404,260</t>
  </si>
  <si>
    <t>Fright Night (2011)</t>
  </si>
  <si>
    <t>$18,302,607</t>
  </si>
  <si>
    <t>$7,714,388</t>
  </si>
  <si>
    <t>Apollo 18</t>
  </si>
  <si>
    <t>$17,687,709</t>
  </si>
  <si>
    <t>$8,704,271</t>
  </si>
  <si>
    <t>The Thing (2011)</t>
  </si>
  <si>
    <t>$16,928,670</t>
  </si>
  <si>
    <t>$8,493,665</t>
  </si>
  <si>
    <t>Young Adult</t>
  </si>
  <si>
    <t>$16,311,571</t>
  </si>
  <si>
    <t>$310,263</t>
  </si>
  <si>
    <t>African Cats</t>
  </si>
  <si>
    <t>$15,428,747</t>
  </si>
  <si>
    <t>$6,003,200</t>
  </si>
  <si>
    <t>Judy Moody and the NOT Bummer Summer</t>
  </si>
  <si>
    <t>$15,013,650</t>
  </si>
  <si>
    <t>$6,076,859</t>
  </si>
  <si>
    <t>My Week with Marilyn</t>
  </si>
  <si>
    <t>$14,600,347</t>
  </si>
  <si>
    <t>$1,750,507</t>
  </si>
  <si>
    <t>What's Your Number?</t>
  </si>
  <si>
    <t>$14,011,084</t>
  </si>
  <si>
    <t>$5,421,669</t>
  </si>
  <si>
    <t>One Day</t>
  </si>
  <si>
    <t>$13,843,771</t>
  </si>
  <si>
    <t>$5,079,566</t>
  </si>
  <si>
    <t>Warrior</t>
  </si>
  <si>
    <t>$13,657,115</t>
  </si>
  <si>
    <t>$5,242,107</t>
  </si>
  <si>
    <t>The Tree of Life</t>
  </si>
  <si>
    <t>$13,303,319</t>
  </si>
  <si>
    <t>$372,920</t>
  </si>
  <si>
    <t>The Rum Diary</t>
  </si>
  <si>
    <t>$13,109,815</t>
  </si>
  <si>
    <t>$5,135,369</t>
  </si>
  <si>
    <t>Glee The 3D Concert Movie</t>
  </si>
  <si>
    <t>$11,862,398</t>
  </si>
  <si>
    <t>$5,961,231</t>
  </si>
  <si>
    <t>The Conspirator</t>
  </si>
  <si>
    <t>$11,538,204</t>
  </si>
  <si>
    <t>$3,506,602</t>
  </si>
  <si>
    <t>Jane Eyre</t>
  </si>
  <si>
    <t>$11,242,660</t>
  </si>
  <si>
    <t>$182,885</t>
  </si>
  <si>
    <t>Drive Angry</t>
  </si>
  <si>
    <t>$10,721,033</t>
  </si>
  <si>
    <t>$5,187,625</t>
  </si>
  <si>
    <t>Straw Dogs (2011)</t>
  </si>
  <si>
    <t>$10,324,441</t>
  </si>
  <si>
    <t>$5,123,760</t>
  </si>
  <si>
    <t>Win Win</t>
  </si>
  <si>
    <t>$10,179,275</t>
  </si>
  <si>
    <t>$150,362</t>
  </si>
  <si>
    <t>Hoodwinked Too! Hood vs. Evil</t>
  </si>
  <si>
    <t>$10,143,779</t>
  </si>
  <si>
    <t>$4,108,630</t>
  </si>
  <si>
    <t>Prom</t>
  </si>
  <si>
    <t>$10,130,219</t>
  </si>
  <si>
    <t>$4,712,638</t>
  </si>
  <si>
    <t>I Don't Know How She Does It</t>
  </si>
  <si>
    <t>$9,662,284</t>
  </si>
  <si>
    <t>$4,402,201</t>
  </si>
  <si>
    <t>Johnny English Reborn</t>
  </si>
  <si>
    <t>$8,305,970</t>
  </si>
  <si>
    <t>$3,833,300</t>
  </si>
  <si>
    <t>Kevin Hart: Laugh at My Pain</t>
  </si>
  <si>
    <t>$7,706,436</t>
  </si>
  <si>
    <t>$1,908,420</t>
  </si>
  <si>
    <t>Sarah's Key</t>
  </si>
  <si>
    <t>$7,693,187</t>
  </si>
  <si>
    <t>$115,708</t>
  </si>
  <si>
    <t>The Big Year</t>
  </si>
  <si>
    <t>$7,204,138</t>
  </si>
  <si>
    <t>$3,251,884</t>
  </si>
  <si>
    <t>A Separation</t>
  </si>
  <si>
    <t>$7,099,055</t>
  </si>
  <si>
    <t>$59,481</t>
  </si>
  <si>
    <t>Take Me Home Tonight</t>
  </si>
  <si>
    <t>$6,928,068</t>
  </si>
  <si>
    <t>$3,464,679</t>
  </si>
  <si>
    <t>Cedar Rapids</t>
  </si>
  <si>
    <t>$6,861,102</t>
  </si>
  <si>
    <t>$302,968</t>
  </si>
  <si>
    <t>Beginners</t>
  </si>
  <si>
    <t>$5,790,894</t>
  </si>
  <si>
    <t>$141,340</t>
  </si>
  <si>
    <t>Flying Monsters</t>
  </si>
  <si>
    <t>$5,705,874</t>
  </si>
  <si>
    <t>A Dangerous Method</t>
  </si>
  <si>
    <t>$5,704,709</t>
  </si>
  <si>
    <t>$167,953</t>
  </si>
  <si>
    <t>The Guard</t>
  </si>
  <si>
    <t>$5,360,274</t>
  </si>
  <si>
    <t>$76,834</t>
  </si>
  <si>
    <t>Margin Call</t>
  </si>
  <si>
    <t>$5,354,039</t>
  </si>
  <si>
    <t>$561,906</t>
  </si>
  <si>
    <t>Cave of Forgotten Dreams</t>
  </si>
  <si>
    <t>$5,304,920</t>
  </si>
  <si>
    <t>$139,101</t>
  </si>
  <si>
    <t>Biutiful</t>
  </si>
  <si>
    <t>$5,101,237</t>
  </si>
  <si>
    <t>$457,206</t>
  </si>
  <si>
    <t>Atlas Shrugged: Part I</t>
  </si>
  <si>
    <t>$4,627,375</t>
  </si>
  <si>
    <t>$1,686,347</t>
  </si>
  <si>
    <t>Anonymous</t>
  </si>
  <si>
    <t>$4,463,292</t>
  </si>
  <si>
    <t>$1,021,768</t>
  </si>
  <si>
    <t>The Company Men</t>
  </si>
  <si>
    <t>$4,441,272</t>
  </si>
  <si>
    <t>$647,797</t>
  </si>
  <si>
    <t>Barney's Version (U.S. only)</t>
  </si>
  <si>
    <t>$4,439,201</t>
  </si>
  <si>
    <t>$65,241</t>
  </si>
  <si>
    <t>The Way</t>
  </si>
  <si>
    <t>$4,430,765</t>
  </si>
  <si>
    <t>$110,418</t>
  </si>
  <si>
    <t>Seven Days in Utopia</t>
  </si>
  <si>
    <t>Visio</t>
  </si>
  <si>
    <t>$4,373,074</t>
  </si>
  <si>
    <t>$1,316,910</t>
  </si>
  <si>
    <t>Buck</t>
  </si>
  <si>
    <t>$4,038,912</t>
  </si>
  <si>
    <t>$67,548</t>
  </si>
  <si>
    <t>Of Gods and Men</t>
  </si>
  <si>
    <t>$3,954,651</t>
  </si>
  <si>
    <t>$308,895</t>
  </si>
  <si>
    <t>Shame</t>
  </si>
  <si>
    <t>$3,909,002</t>
  </si>
  <si>
    <t>$349,519</t>
  </si>
  <si>
    <t>Don 2</t>
  </si>
  <si>
    <t>$3,680,306</t>
  </si>
  <si>
    <t>$1,673,921</t>
  </si>
  <si>
    <t>Pina</t>
  </si>
  <si>
    <t>$3,524,826</t>
  </si>
  <si>
    <t>$68,012</t>
  </si>
  <si>
    <t>Like Crazy</t>
  </si>
  <si>
    <t>$3,395,391</t>
  </si>
  <si>
    <t>$123,140</t>
  </si>
  <si>
    <t>The King's Speech (PG-13)</t>
  </si>
  <si>
    <t>$3,344,306</t>
  </si>
  <si>
    <t>$1,133,162</t>
  </si>
  <si>
    <t>The Skin I Live In</t>
  </si>
  <si>
    <t>$3,185,812</t>
  </si>
  <si>
    <t>$223,119</t>
  </si>
  <si>
    <t>Zindagi Na Milegi Dobara</t>
  </si>
  <si>
    <t>$3,108,485</t>
  </si>
  <si>
    <t>$960,548</t>
  </si>
  <si>
    <t>From Prada to Nada</t>
  </si>
  <si>
    <t>$3,033,623</t>
  </si>
  <si>
    <t>$1,115,638</t>
  </si>
  <si>
    <t>Melancholia</t>
  </si>
  <si>
    <t>$3,030,848</t>
  </si>
  <si>
    <t>$257,174</t>
  </si>
  <si>
    <t>Martha Marcy May Marlene</t>
  </si>
  <si>
    <t>$2,990,625</t>
  </si>
  <si>
    <t>$137,651</t>
  </si>
  <si>
    <t>Everything Must Go</t>
  </si>
  <si>
    <t>$2,711,643</t>
  </si>
  <si>
    <t>$791,676</t>
  </si>
  <si>
    <t>The Way Back</t>
  </si>
  <si>
    <t>NM</t>
  </si>
  <si>
    <t>$2,701,859</t>
  </si>
  <si>
    <t>$1,218,868</t>
  </si>
  <si>
    <t>Carnage (2011)</t>
  </si>
  <si>
    <t>$2,547,047</t>
  </si>
  <si>
    <t>$79,795</t>
  </si>
  <si>
    <t>Bucky Larson: Born to Be a Star</t>
  </si>
  <si>
    <t>$2,529,395</t>
  </si>
  <si>
    <t>$1,415,023</t>
  </si>
  <si>
    <t>RA One</t>
  </si>
  <si>
    <t>$2,511,689</t>
  </si>
  <si>
    <t>The Grace Card</t>
  </si>
  <si>
    <t>$2,430,735</t>
  </si>
  <si>
    <t>$1,010,299</t>
  </si>
  <si>
    <t>Incendies (U.S. only)</t>
  </si>
  <si>
    <t>$2,071,334</t>
  </si>
  <si>
    <t>$50,679</t>
  </si>
  <si>
    <t>The Trip (2011)</t>
  </si>
  <si>
    <t>$2,030,962</t>
  </si>
  <si>
    <t>$77,904</t>
  </si>
  <si>
    <t>The Mighty Macs</t>
  </si>
  <si>
    <t>QM</t>
  </si>
  <si>
    <t>$1,891,936</t>
  </si>
  <si>
    <t>$963,221</t>
  </si>
  <si>
    <t>Bodyguard</t>
  </si>
  <si>
    <t>$1,834,384</t>
  </si>
  <si>
    <t>$863,751</t>
  </si>
  <si>
    <t>A Better Life</t>
  </si>
  <si>
    <t>$1,759,252</t>
  </si>
  <si>
    <t>$62,087</t>
  </si>
  <si>
    <t>We Need to Talk About Kevin</t>
  </si>
  <si>
    <t>$1,738,692</t>
  </si>
  <si>
    <t>$24,587</t>
  </si>
  <si>
    <t>Take Shelter</t>
  </si>
  <si>
    <t>$1,730,296</t>
  </si>
  <si>
    <t>$52,041</t>
  </si>
  <si>
    <t>Potiche</t>
  </si>
  <si>
    <t>$1,618,844</t>
  </si>
  <si>
    <t>$86,017</t>
  </si>
  <si>
    <t>Senna</t>
  </si>
  <si>
    <t>$1,612,430</t>
  </si>
  <si>
    <t>$73,497</t>
  </si>
  <si>
    <t>I Am</t>
  </si>
  <si>
    <t>$1,591,034</t>
  </si>
  <si>
    <t>$10,092</t>
  </si>
  <si>
    <t>Delhi Belly</t>
  </si>
  <si>
    <t>$1,532,594</t>
  </si>
  <si>
    <t>$581,943</t>
  </si>
  <si>
    <t>The Double Hour</t>
  </si>
  <si>
    <t>$1,514,942</t>
  </si>
  <si>
    <t>$30,246</t>
  </si>
  <si>
    <t>Bill Cunningham New York</t>
  </si>
  <si>
    <t>$1,510,026</t>
  </si>
  <si>
    <t>$33,677</t>
  </si>
  <si>
    <t>The Art of Getting By</t>
  </si>
  <si>
    <t>$1,430,241</t>
  </si>
  <si>
    <t>$679,160</t>
  </si>
  <si>
    <t>Saving Private Perez</t>
  </si>
  <si>
    <t>$1,400,726</t>
  </si>
  <si>
    <t>$664,517</t>
  </si>
  <si>
    <t>Certified Copy</t>
  </si>
  <si>
    <t>$1,373,975</t>
  </si>
  <si>
    <t>$77,937</t>
  </si>
  <si>
    <t>The Devil's Double</t>
  </si>
  <si>
    <t>$1,361,512</t>
  </si>
  <si>
    <t>$96,414</t>
  </si>
  <si>
    <t>2011 Oscar Shorts</t>
  </si>
  <si>
    <t>$1,352,152</t>
  </si>
  <si>
    <t>$300,706</t>
  </si>
  <si>
    <t>Snow Flower and the Secret Fan</t>
  </si>
  <si>
    <t>$1,348,205</t>
  </si>
  <si>
    <t>$134,005</t>
  </si>
  <si>
    <t>No Eres Tu, Soy Yo</t>
  </si>
  <si>
    <t>$1,339,911</t>
  </si>
  <si>
    <t>$588,938</t>
  </si>
  <si>
    <t>Another Earth</t>
  </si>
  <si>
    <t>$1,321,194</t>
  </si>
  <si>
    <t>$77,740</t>
  </si>
  <si>
    <t>Beats, Rhymes &amp; Life: The Travels of a Tribe Called Quest</t>
  </si>
  <si>
    <t>$1,200,326</t>
  </si>
  <si>
    <t>$111,982</t>
  </si>
  <si>
    <t>Kill the Irishman</t>
  </si>
  <si>
    <t>$1,188,194</t>
  </si>
  <si>
    <t>$145,430</t>
  </si>
  <si>
    <t>Dylan Dog: Dead of Night</t>
  </si>
  <si>
    <t>OMNI/FSR</t>
  </si>
  <si>
    <t>$1,186,538</t>
  </si>
  <si>
    <t>$754,779</t>
  </si>
  <si>
    <t>The Whistleblower</t>
  </si>
  <si>
    <t>$1,124,966</t>
  </si>
  <si>
    <t>$61,002</t>
  </si>
  <si>
    <t>Red State</t>
  </si>
  <si>
    <t>SMod</t>
  </si>
  <si>
    <t>$1,104,682</t>
  </si>
  <si>
    <t>$204,230</t>
  </si>
  <si>
    <t>The Heart Specialist</t>
  </si>
  <si>
    <t>$1,103,037</t>
  </si>
  <si>
    <t>$473,062</t>
  </si>
  <si>
    <t>Desi Boyz</t>
  </si>
  <si>
    <t>$1,078,826</t>
  </si>
  <si>
    <t>$702,325</t>
  </si>
  <si>
    <t>There Be Dragons</t>
  </si>
  <si>
    <t>$1,069,334</t>
  </si>
  <si>
    <t>$705,537</t>
  </si>
  <si>
    <t>Page One: A Year Inside the New York Times</t>
  </si>
  <si>
    <t>$1,067,028</t>
  </si>
  <si>
    <t>$28,911</t>
  </si>
  <si>
    <t>Attack the Block</t>
  </si>
  <si>
    <t>$1,024,175</t>
  </si>
  <si>
    <t>$139,506</t>
  </si>
  <si>
    <t>In a Better World</t>
  </si>
  <si>
    <t>$1,008,098</t>
  </si>
  <si>
    <t>$33,058</t>
  </si>
  <si>
    <t>Yamla Pagla Deewana</t>
  </si>
  <si>
    <t>$993,031</t>
  </si>
  <si>
    <t>$504,116</t>
  </si>
  <si>
    <t>Rockstar (2011)</t>
  </si>
  <si>
    <t>$986,697</t>
  </si>
  <si>
    <t>$612,235</t>
  </si>
  <si>
    <t>Meek's Cutoff</t>
  </si>
  <si>
    <t>$977,772</t>
  </si>
  <si>
    <t>$20,024</t>
  </si>
  <si>
    <t>The Beaver</t>
  </si>
  <si>
    <t>$970,816</t>
  </si>
  <si>
    <t>$107,577</t>
  </si>
  <si>
    <t>Ready</t>
  </si>
  <si>
    <t>$955,148</t>
  </si>
  <si>
    <t>$460,238</t>
  </si>
  <si>
    <t>Sholem Aleichem: Laughing in the Darkness</t>
  </si>
  <si>
    <t>$906,666</t>
  </si>
  <si>
    <t>$20,247</t>
  </si>
  <si>
    <t>Higher Ground</t>
  </si>
  <si>
    <t>$841,733</t>
  </si>
  <si>
    <t>$21,495</t>
  </si>
  <si>
    <t>The Lord of the Rings: The Return of the King (2011 re-release)</t>
  </si>
  <si>
    <t>$818,580</t>
  </si>
  <si>
    <t>13 Assassins</t>
  </si>
  <si>
    <t>$802,778</t>
  </si>
  <si>
    <t>$45,854</t>
  </si>
  <si>
    <t>Pariah</t>
  </si>
  <si>
    <t>$769,552</t>
  </si>
  <si>
    <t>$48,579</t>
  </si>
  <si>
    <t>The Lord of the Rings: The Fellowship of the Ring (2011 re-release)</t>
  </si>
  <si>
    <t>$768,580</t>
  </si>
  <si>
    <t>The Lord of the Rings: The Two Towers (2011 re-release)</t>
  </si>
  <si>
    <t>$764,607</t>
  </si>
  <si>
    <t>Forks Over Knives</t>
  </si>
  <si>
    <t>Pas.</t>
  </si>
  <si>
    <t>$739,561</t>
  </si>
  <si>
    <t>$17,645</t>
  </si>
  <si>
    <t>Mausam</t>
  </si>
  <si>
    <t>$728,316</t>
  </si>
  <si>
    <t>$459,024</t>
  </si>
  <si>
    <t>The Women on the 6th Floor</t>
  </si>
  <si>
    <t>$719,823</t>
  </si>
  <si>
    <t>$26,200</t>
  </si>
  <si>
    <t>The Polar Express (2011 re-issue)</t>
  </si>
  <si>
    <t>$711,168</t>
  </si>
  <si>
    <t>$55,299</t>
  </si>
  <si>
    <t>Point Blank</t>
  </si>
  <si>
    <t>$708,215</t>
  </si>
  <si>
    <t>$41,031</t>
  </si>
  <si>
    <t>The Hedgehog</t>
  </si>
  <si>
    <t>$707,945</t>
  </si>
  <si>
    <t>$39,276</t>
  </si>
  <si>
    <t>Mozart's Sister</t>
  </si>
  <si>
    <t>$707,885</t>
  </si>
  <si>
    <t>$34,046</t>
  </si>
  <si>
    <t>Hobo With a Shotgun</t>
  </si>
  <si>
    <t>$703,372</t>
  </si>
  <si>
    <t>$12,046</t>
  </si>
  <si>
    <t>Tabloid</t>
  </si>
  <si>
    <t>$696,921</t>
  </si>
  <si>
    <t>$91,201</t>
  </si>
  <si>
    <t>My Afternoons with Margueritte</t>
  </si>
  <si>
    <t>$666,557</t>
  </si>
  <si>
    <t>$20,900</t>
  </si>
  <si>
    <t>Terri</t>
  </si>
  <si>
    <t>$655,802</t>
  </si>
  <si>
    <t>$65,103</t>
  </si>
  <si>
    <t>Aarakshan (Reservation)</t>
  </si>
  <si>
    <t>$651,096</t>
  </si>
  <si>
    <t>$344,661</t>
  </si>
  <si>
    <t>POM Wonderful Presents: The Greatest Movie Ever Sold</t>
  </si>
  <si>
    <t>$638,476</t>
  </si>
  <si>
    <t>$118,294</t>
  </si>
  <si>
    <t>The Last Lions</t>
  </si>
  <si>
    <t>$635,325</t>
  </si>
  <si>
    <t>$53,344</t>
  </si>
  <si>
    <t>Le Havre</t>
  </si>
  <si>
    <t>$611,709</t>
  </si>
  <si>
    <t>$26,363</t>
  </si>
  <si>
    <t>Dhobi Ghat (Mumbai Diaries)</t>
  </si>
  <si>
    <t>$576,639</t>
  </si>
  <si>
    <t>$365,297</t>
  </si>
  <si>
    <t>The Future</t>
  </si>
  <si>
    <t>$568,662</t>
  </si>
  <si>
    <t>$27,137</t>
  </si>
  <si>
    <t>Dum Maaro Dum</t>
  </si>
  <si>
    <t>$564,489</t>
  </si>
  <si>
    <t>$327,523</t>
  </si>
  <si>
    <t>The Greatest Miracle</t>
  </si>
  <si>
    <t>KKM</t>
  </si>
  <si>
    <t>$555,166</t>
  </si>
  <si>
    <t>$35,768</t>
  </si>
  <si>
    <t>Double Dhamaal</t>
  </si>
  <si>
    <t>$543,646</t>
  </si>
  <si>
    <t>$301,831</t>
  </si>
  <si>
    <t>Winter in Wartime</t>
  </si>
  <si>
    <t>$543,100</t>
  </si>
  <si>
    <t>$14,937</t>
  </si>
  <si>
    <t>Love Crime</t>
  </si>
  <si>
    <t>$539,792</t>
  </si>
  <si>
    <t>$35,375</t>
  </si>
  <si>
    <t>Machine Gun Preacher</t>
  </si>
  <si>
    <t>$538,690</t>
  </si>
  <si>
    <t>$45,130</t>
  </si>
  <si>
    <t>Even the Rain</t>
  </si>
  <si>
    <t>$518,017</t>
  </si>
  <si>
    <t>$53,730</t>
  </si>
  <si>
    <t>The Names of Love</t>
  </si>
  <si>
    <t>$514,237</t>
  </si>
  <si>
    <t>$30,372</t>
  </si>
  <si>
    <t>Creature (2011)</t>
  </si>
  <si>
    <t>BD</t>
  </si>
  <si>
    <t>$508,714</t>
  </si>
  <si>
    <t>$327,000</t>
  </si>
  <si>
    <t>Bride Flight</t>
  </si>
  <si>
    <t>$501,360</t>
  </si>
  <si>
    <t>$54,044</t>
  </si>
  <si>
    <t>Mere Brother Ki Dulhan</t>
  </si>
  <si>
    <t>$496,172</t>
  </si>
  <si>
    <t>$403,017</t>
  </si>
  <si>
    <t>Weekend (2011)</t>
  </si>
  <si>
    <t>$484,592</t>
  </si>
  <si>
    <t>$27,245</t>
  </si>
  <si>
    <t>Queen to Play</t>
  </si>
  <si>
    <t>$478,710</t>
  </si>
  <si>
    <t>$28,092</t>
  </si>
  <si>
    <t>Pearl Jam Twenty</t>
  </si>
  <si>
    <t>$471,334</t>
  </si>
  <si>
    <t>$102,448</t>
  </si>
  <si>
    <t>Submarine</t>
  </si>
  <si>
    <t>$467,602</t>
  </si>
  <si>
    <t>$41,832</t>
  </si>
  <si>
    <t>Thank You (2011)</t>
  </si>
  <si>
    <t>$463,540</t>
  </si>
  <si>
    <t>$244,183</t>
  </si>
  <si>
    <t>Detective Dee and the Mystery of the Phantom Flame</t>
  </si>
  <si>
    <t>$459,836</t>
  </si>
  <si>
    <t>$52,617</t>
  </si>
  <si>
    <t>Circumstance</t>
  </si>
  <si>
    <t>$454,121</t>
  </si>
  <si>
    <t>$43,318</t>
  </si>
  <si>
    <t>No One Killed Jessica</t>
  </si>
  <si>
    <t>$440,525</t>
  </si>
  <si>
    <t>$227,473</t>
  </si>
  <si>
    <t>Project Nim</t>
  </si>
  <si>
    <t>$411,184</t>
  </si>
  <si>
    <t>$25,820</t>
  </si>
  <si>
    <t>The 5th Quarter</t>
  </si>
  <si>
    <t>$408,159</t>
  </si>
  <si>
    <t>$202,342</t>
  </si>
  <si>
    <t>Turtle: The Incredible Journey</t>
  </si>
  <si>
    <t>$386,073</t>
  </si>
  <si>
    <t>$69,389</t>
  </si>
  <si>
    <t>Hesher</t>
  </si>
  <si>
    <t>$382,946</t>
  </si>
  <si>
    <t>$126,046</t>
  </si>
  <si>
    <t>Miral</t>
  </si>
  <si>
    <t>$373,420</t>
  </si>
  <si>
    <t>$66,244</t>
  </si>
  <si>
    <t>Mooz-lum</t>
  </si>
  <si>
    <t>PF</t>
  </si>
  <si>
    <t>$369,129</t>
  </si>
  <si>
    <t>$139,835</t>
  </si>
  <si>
    <t>Poetry</t>
  </si>
  <si>
    <t>$356,149</t>
  </si>
  <si>
    <t>$18,900</t>
  </si>
  <si>
    <t>The Princess of Montpensier</t>
  </si>
  <si>
    <t>$352,428</t>
  </si>
  <si>
    <t>$23,456</t>
  </si>
  <si>
    <t>Singham</t>
  </si>
  <si>
    <t>$350,864</t>
  </si>
  <si>
    <t>$161,063</t>
  </si>
  <si>
    <t>The First Grader</t>
  </si>
  <si>
    <t>$332,306</t>
  </si>
  <si>
    <t>$20,437</t>
  </si>
  <si>
    <t>$327,716</t>
  </si>
  <si>
    <t>$46,549</t>
  </si>
  <si>
    <t>L'Amour Fou</t>
  </si>
  <si>
    <t>$312,494</t>
  </si>
  <si>
    <t>$37,250</t>
  </si>
  <si>
    <t>The Mill and the Cross</t>
  </si>
  <si>
    <t>KC</t>
  </si>
  <si>
    <t>$312,187</t>
  </si>
  <si>
    <t>$11,354</t>
  </si>
  <si>
    <t>Being Elmo: A Puppeteer's Journey</t>
  </si>
  <si>
    <t>$304,052</t>
  </si>
  <si>
    <t>$22,963</t>
  </si>
  <si>
    <t>In the Land of Blood and Honey</t>
  </si>
  <si>
    <t>$303,877</t>
  </si>
  <si>
    <t>$18,854</t>
  </si>
  <si>
    <t>The Interrupters</t>
  </si>
  <si>
    <t>$282,448</t>
  </si>
  <si>
    <t>$7,920</t>
  </si>
  <si>
    <t>Rascals</t>
  </si>
  <si>
    <t>$273,829</t>
  </si>
  <si>
    <t>$168,082</t>
  </si>
  <si>
    <t>The Black Power Mix Tape: 1967-1975</t>
  </si>
  <si>
    <t>$273,749</t>
  </si>
  <si>
    <t>$17,316</t>
  </si>
  <si>
    <t>7 Khoon Maaf</t>
  </si>
  <si>
    <t>$270,207</t>
  </si>
  <si>
    <t>$164,153</t>
  </si>
  <si>
    <t>Conan O'Brien Can't Stop</t>
  </si>
  <si>
    <t>$267,965</t>
  </si>
  <si>
    <t>$97,043</t>
  </si>
  <si>
    <t>Munger Road</t>
  </si>
  <si>
    <t>$266,689</t>
  </si>
  <si>
    <t>$36,605</t>
  </si>
  <si>
    <t>Phil Ochs: There But For Fortune</t>
  </si>
  <si>
    <t>$263,723</t>
  </si>
  <si>
    <t>$18,211</t>
  </si>
  <si>
    <t>The Music Never Stopped</t>
  </si>
  <si>
    <t>$258,223</t>
  </si>
  <si>
    <t>Passione</t>
  </si>
  <si>
    <t>$255,355</t>
  </si>
  <si>
    <t>$15,377</t>
  </si>
  <si>
    <t>Trollhunter</t>
  </si>
  <si>
    <t>$253,444</t>
  </si>
  <si>
    <t>$5,585</t>
  </si>
  <si>
    <t>Life in a Day</t>
  </si>
  <si>
    <t>$252,788</t>
  </si>
  <si>
    <t>$45,202</t>
  </si>
  <si>
    <t>War of the Arrows</t>
  </si>
  <si>
    <t>$251,200</t>
  </si>
  <si>
    <t>$24,041</t>
  </si>
  <si>
    <t>My Perestroika</t>
  </si>
  <si>
    <t>$242,707</t>
  </si>
  <si>
    <t>$17,680</t>
  </si>
  <si>
    <t>El Bulli: Cooking in Progress</t>
  </si>
  <si>
    <t>$237,181</t>
  </si>
  <si>
    <t>Gainsbourg: A Heroic Life</t>
  </si>
  <si>
    <t>$233,007</t>
  </si>
  <si>
    <t>$25,189</t>
  </si>
  <si>
    <t>Brighton Rock</t>
  </si>
  <si>
    <t>$229,653</t>
  </si>
  <si>
    <t>$32,774</t>
  </si>
  <si>
    <t>Into the Abyss</t>
  </si>
  <si>
    <t>$223,880</t>
  </si>
  <si>
    <t>$47,559</t>
  </si>
  <si>
    <t>Tucker &amp; Dale Vs. Evil</t>
  </si>
  <si>
    <t>$223,838</t>
  </si>
  <si>
    <t>$52,843</t>
  </si>
  <si>
    <t>HappyThankYouMorePlease</t>
  </si>
  <si>
    <t>$216,110</t>
  </si>
  <si>
    <t>$35,063</t>
  </si>
  <si>
    <t>The Afflicted</t>
  </si>
  <si>
    <t>$212,940</t>
  </si>
  <si>
    <t>$90,272</t>
  </si>
  <si>
    <t>Ip Man 2: Legend of the Grandmaster</t>
  </si>
  <si>
    <t>$205,675</t>
  </si>
  <si>
    <t>$61,057</t>
  </si>
  <si>
    <t>Filth to Ashes, Flesh to Dust</t>
  </si>
  <si>
    <t>$202,531</t>
  </si>
  <si>
    <t>$86,086</t>
  </si>
  <si>
    <t>Blackthorn</t>
  </si>
  <si>
    <t>$200,558</t>
  </si>
  <si>
    <t>$15,254</t>
  </si>
  <si>
    <t>A Good Old Fashioned Orgy</t>
  </si>
  <si>
    <t>$200,227</t>
  </si>
  <si>
    <t>$117,564</t>
  </si>
  <si>
    <t>October Baby</t>
  </si>
  <si>
    <t>$199,442</t>
  </si>
  <si>
    <t>$102,096</t>
  </si>
  <si>
    <t>Bol</t>
  </si>
  <si>
    <t>$188,850</t>
  </si>
  <si>
    <t>$62,473</t>
  </si>
  <si>
    <t>Amigo</t>
  </si>
  <si>
    <t>$184,705</t>
  </si>
  <si>
    <t>$37,324</t>
  </si>
  <si>
    <t>Uncle Boonmee Who Can Recall His Past Lives</t>
  </si>
  <si>
    <t>$184,292</t>
  </si>
  <si>
    <t>$23,540</t>
  </si>
  <si>
    <t>Jig</t>
  </si>
  <si>
    <t>$183,790</t>
  </si>
  <si>
    <t>$70,432</t>
  </si>
  <si>
    <t>The Man Nobody Knew: In Search of My Father, CIA Spymaster William Colby</t>
  </si>
  <si>
    <t>$183,342</t>
  </si>
  <si>
    <t>$15,411</t>
  </si>
  <si>
    <t>Go For It</t>
  </si>
  <si>
    <t>$180,237</t>
  </si>
  <si>
    <t>$119,714</t>
  </si>
  <si>
    <t>Bellflower</t>
  </si>
  <si>
    <t>$168,226</t>
  </si>
  <si>
    <t>$22,279</t>
  </si>
  <si>
    <t>The Last Godfather</t>
  </si>
  <si>
    <t>$164,247</t>
  </si>
  <si>
    <t>$101,779</t>
  </si>
  <si>
    <t>Nostalgia for the Light</t>
  </si>
  <si>
    <t>$163,488</t>
  </si>
  <si>
    <t>$5,664</t>
  </si>
  <si>
    <t>Restless (2011)</t>
  </si>
  <si>
    <t>$163,265</t>
  </si>
  <si>
    <t>$15,467</t>
  </si>
  <si>
    <t>Young Goethe in Love</t>
  </si>
  <si>
    <t>$162,138</t>
  </si>
  <si>
    <t>$17,143</t>
  </si>
  <si>
    <t>Pastorela</t>
  </si>
  <si>
    <t>$161,194</t>
  </si>
  <si>
    <t>$82,175</t>
  </si>
  <si>
    <t>The Housemaid</t>
  </si>
  <si>
    <t>$157,961</t>
  </si>
  <si>
    <t>$16,670</t>
  </si>
  <si>
    <t>Chasing Madoff</t>
  </si>
  <si>
    <t>$157,612</t>
  </si>
  <si>
    <t>Magic Trip</t>
  </si>
  <si>
    <t>$154,521</t>
  </si>
  <si>
    <t>$14,367</t>
  </si>
  <si>
    <t>Sex and Zen 3D: Extreme Ecstasy</t>
  </si>
  <si>
    <t>$153,215</t>
  </si>
  <si>
    <t>$903</t>
  </si>
  <si>
    <t>Eames: The Architect and the Painter</t>
  </si>
  <si>
    <t>$153,088</t>
  </si>
  <si>
    <t>Le Quattro Volte</t>
  </si>
  <si>
    <t>Lorb.</t>
  </si>
  <si>
    <t>$152,530</t>
  </si>
  <si>
    <t>$16,192</t>
  </si>
  <si>
    <t>Beginning of the Great Revival</t>
  </si>
  <si>
    <t>$151,305</t>
  </si>
  <si>
    <t>$65,866</t>
  </si>
  <si>
    <t>Revenge of the Electric Car</t>
  </si>
  <si>
    <t>$150,886</t>
  </si>
  <si>
    <t>$17,482</t>
  </si>
  <si>
    <t>Gun Hill Road</t>
  </si>
  <si>
    <t>MFG</t>
  </si>
  <si>
    <t>$148,994</t>
  </si>
  <si>
    <t>$37,963</t>
  </si>
  <si>
    <t>Thunder Soul</t>
  </si>
  <si>
    <t>$143,986</t>
  </si>
  <si>
    <t>$51,260</t>
  </si>
  <si>
    <t>Oranges and Sunshine</t>
  </si>
  <si>
    <t>$143,480</t>
  </si>
  <si>
    <t>The Human Centipede 2: Full Sequence</t>
  </si>
  <si>
    <t>$141,877</t>
  </si>
  <si>
    <t>$49,456</t>
  </si>
  <si>
    <t>Cold Weather</t>
  </si>
  <si>
    <t>$141,358</t>
  </si>
  <si>
    <t>$14,513</t>
  </si>
  <si>
    <t>Game (2011)</t>
  </si>
  <si>
    <t>$139,528</t>
  </si>
  <si>
    <t>$83,783</t>
  </si>
  <si>
    <t>The Double</t>
  </si>
  <si>
    <t>$137,921</t>
  </si>
  <si>
    <t>$26,640</t>
  </si>
  <si>
    <t>Labios Rojos</t>
  </si>
  <si>
    <t>$136,163</t>
  </si>
  <si>
    <t>$73,476</t>
  </si>
  <si>
    <t>I Will Follow</t>
  </si>
  <si>
    <t>$135,809</t>
  </si>
  <si>
    <t>$56,176</t>
  </si>
  <si>
    <t>$135,739</t>
  </si>
  <si>
    <t>$55,850</t>
  </si>
  <si>
    <t>Life, Above All</t>
  </si>
  <si>
    <t>$134,461</t>
  </si>
  <si>
    <t>$13,788</t>
  </si>
  <si>
    <t>Evangelion 2.0: You Can (Not) Advance</t>
  </si>
  <si>
    <t>$133,640</t>
  </si>
  <si>
    <t>$84,157</t>
  </si>
  <si>
    <t>Tomboy (2011)</t>
  </si>
  <si>
    <t>$129,834</t>
  </si>
  <si>
    <t>I Saw the Devil</t>
  </si>
  <si>
    <t>$129,210</t>
  </si>
  <si>
    <t>$13,567</t>
  </si>
  <si>
    <t xml:space="preserve">What Women Want (Wo Zhi Nu Run Xin) </t>
  </si>
  <si>
    <t>$123,526</t>
  </si>
  <si>
    <t>$53,224</t>
  </si>
  <si>
    <t>Inni</t>
  </si>
  <si>
    <t>$123,482</t>
  </si>
  <si>
    <t>$14,903</t>
  </si>
  <si>
    <t>The Last Mountain</t>
  </si>
  <si>
    <t>$122,961</t>
  </si>
  <si>
    <t>$17,570</t>
  </si>
  <si>
    <t>City of Life and Death</t>
  </si>
  <si>
    <t>$122,558</t>
  </si>
  <si>
    <t>$5,610</t>
  </si>
  <si>
    <t>Trust (2011)</t>
  </si>
  <si>
    <t>$120,016</t>
  </si>
  <si>
    <t>$58,214</t>
  </si>
  <si>
    <t>Kaboom</t>
  </si>
  <si>
    <t>$118,919</t>
  </si>
  <si>
    <t>$13,714</t>
  </si>
  <si>
    <t>The Undefeated (2011)</t>
  </si>
  <si>
    <t>$116,381</t>
  </si>
  <si>
    <t>$65,132</t>
  </si>
  <si>
    <t>Blank City</t>
  </si>
  <si>
    <t>IR</t>
  </si>
  <si>
    <t>$116,037</t>
  </si>
  <si>
    <t>$13,989</t>
  </si>
  <si>
    <t>35 and Ticking</t>
  </si>
  <si>
    <t>$113,794</t>
  </si>
  <si>
    <t>$29,808</t>
  </si>
  <si>
    <t>Mysteries of Lisbon</t>
  </si>
  <si>
    <t>$110,507</t>
  </si>
  <si>
    <t>$12,308</t>
  </si>
  <si>
    <t>Steve Jobs: The Lost Interview</t>
  </si>
  <si>
    <t>$105,710</t>
  </si>
  <si>
    <t>Henry's Crime</t>
  </si>
  <si>
    <t>MPFT</t>
  </si>
  <si>
    <t>$102,541</t>
  </si>
  <si>
    <t>$8,726</t>
  </si>
  <si>
    <t>In the Family</t>
  </si>
  <si>
    <t>ITF</t>
  </si>
  <si>
    <t>$101,934</t>
  </si>
  <si>
    <t>Rubber</t>
  </si>
  <si>
    <t>$100,370</t>
  </si>
  <si>
    <t>$16,346</t>
  </si>
  <si>
    <t>Rejoice and Shout</t>
  </si>
  <si>
    <t>$100,237</t>
  </si>
  <si>
    <t>$6,589</t>
  </si>
  <si>
    <t>Elite Squad: The Enemy Within</t>
  </si>
  <si>
    <t>$100,119</t>
  </si>
  <si>
    <t>$8,648</t>
  </si>
  <si>
    <t>The Man Who Fell to Earth (35th anniversary re-issue)</t>
  </si>
  <si>
    <t>$100,072</t>
  </si>
  <si>
    <t>$5,922</t>
  </si>
  <si>
    <t>Last Night</t>
  </si>
  <si>
    <t>$98,986</t>
  </si>
  <si>
    <t>A Little Help</t>
  </si>
  <si>
    <t>$96,868</t>
  </si>
  <si>
    <t>$44,870</t>
  </si>
  <si>
    <t>Chalo Dilli</t>
  </si>
  <si>
    <t>$94,300</t>
  </si>
  <si>
    <t>$38,268</t>
  </si>
  <si>
    <t>My Reincarnation</t>
  </si>
  <si>
    <t>$92,822</t>
  </si>
  <si>
    <t>$6,498</t>
  </si>
  <si>
    <t>American: The Bill Hicks Story</t>
  </si>
  <si>
    <t>$92,234</t>
  </si>
  <si>
    <t>Evil Bong 3-D</t>
  </si>
  <si>
    <t>FMP</t>
  </si>
  <si>
    <t>$91,260</t>
  </si>
  <si>
    <t>$24,775</t>
  </si>
  <si>
    <t>Exporting Raymond</t>
  </si>
  <si>
    <t>$87,727</t>
  </si>
  <si>
    <t>$35,292</t>
  </si>
  <si>
    <t>Crazy Wisdom</t>
  </si>
  <si>
    <t>$86,202</t>
  </si>
  <si>
    <t>$10,304</t>
  </si>
  <si>
    <t>Vidal Sassoon: The Movie</t>
  </si>
  <si>
    <t>$85,974</t>
  </si>
  <si>
    <t>$13,053</t>
  </si>
  <si>
    <t>Carancho</t>
  </si>
  <si>
    <t>$85,526</t>
  </si>
  <si>
    <t>$15,810</t>
  </si>
  <si>
    <t>Wretches &amp; Jabberers</t>
  </si>
  <si>
    <t>$84,610</t>
  </si>
  <si>
    <t>The Robber</t>
  </si>
  <si>
    <t>$83,451</t>
  </si>
  <si>
    <t>$2,169</t>
  </si>
  <si>
    <t>The Whale</t>
  </si>
  <si>
    <t>$81,881</t>
  </si>
  <si>
    <t>$4,835</t>
  </si>
  <si>
    <t>Inkubus</t>
  </si>
  <si>
    <t>$81,600</t>
  </si>
  <si>
    <t>Circo</t>
  </si>
  <si>
    <t>$77,466</t>
  </si>
  <si>
    <t>$5,403</t>
  </si>
  <si>
    <t>Beautiful Boy</t>
  </si>
  <si>
    <t>$77,247</t>
  </si>
  <si>
    <t>$16,162</t>
  </si>
  <si>
    <t>To Catch a Dollar</t>
  </si>
  <si>
    <t>$77,142</t>
  </si>
  <si>
    <t>The Conquest</t>
  </si>
  <si>
    <t>$74,474</t>
  </si>
  <si>
    <t>$16,273</t>
  </si>
  <si>
    <t>The Tree</t>
  </si>
  <si>
    <t>$71,158</t>
  </si>
  <si>
    <t>$4,983</t>
  </si>
  <si>
    <t>Fireflies in the Garden</t>
  </si>
  <si>
    <t>$70,600</t>
  </si>
  <si>
    <t>$36,884</t>
  </si>
  <si>
    <t>The Warring States</t>
  </si>
  <si>
    <t>$68,961</t>
  </si>
  <si>
    <t>$35,381</t>
  </si>
  <si>
    <t>Puncture</t>
  </si>
  <si>
    <t>$68,945</t>
  </si>
  <si>
    <t>$29,175</t>
  </si>
  <si>
    <t>Heartbeats</t>
  </si>
  <si>
    <t>$68,723</t>
  </si>
  <si>
    <t>$7,197</t>
  </si>
  <si>
    <t>A Beautiful Life</t>
  </si>
  <si>
    <t>$66,171</t>
  </si>
  <si>
    <t>$23,605</t>
  </si>
  <si>
    <t>Shaolin</t>
  </si>
  <si>
    <t>$66,099</t>
  </si>
  <si>
    <t>$19,132</t>
  </si>
  <si>
    <t>Battle of the Brides (Co Dau Dai Chien)</t>
  </si>
  <si>
    <t>$64,572</t>
  </si>
  <si>
    <t>$23,612</t>
  </si>
  <si>
    <t>The Human Resources Manager</t>
  </si>
  <si>
    <t>$64,014</t>
  </si>
  <si>
    <t>Public Speaking</t>
  </si>
  <si>
    <t>$62,173</t>
  </si>
  <si>
    <t>$6,260</t>
  </si>
  <si>
    <t>Trigun: Badlands Rumble</t>
  </si>
  <si>
    <t>$62,027</t>
  </si>
  <si>
    <t>$29,201</t>
  </si>
  <si>
    <t>If a Tree Falls: A Story of the Earth Liberation Front</t>
  </si>
  <si>
    <t>$61,794</t>
  </si>
  <si>
    <t>$5,634</t>
  </si>
  <si>
    <t>Viva Riva!</t>
  </si>
  <si>
    <t>$61,759</t>
  </si>
  <si>
    <t>$10,314</t>
  </si>
  <si>
    <t>How to Live Forever</t>
  </si>
  <si>
    <t>$60,630</t>
  </si>
  <si>
    <t>Limelight</t>
  </si>
  <si>
    <t>$60,335</t>
  </si>
  <si>
    <t>$9,259</t>
  </si>
  <si>
    <t>Crime After Crime</t>
  </si>
  <si>
    <t>LSF</t>
  </si>
  <si>
    <t>$60,291</t>
  </si>
  <si>
    <t>$3,215</t>
  </si>
  <si>
    <t>3 (2011)</t>
  </si>
  <si>
    <t>$59,954</t>
  </si>
  <si>
    <t>$9,821</t>
  </si>
  <si>
    <t>Murder 2</t>
  </si>
  <si>
    <t>$59,472</t>
  </si>
  <si>
    <t>Farmageddon</t>
  </si>
  <si>
    <t>KMP</t>
  </si>
  <si>
    <t>$56,573</t>
  </si>
  <si>
    <t>$2,699</t>
  </si>
  <si>
    <t>Finding Joe</t>
  </si>
  <si>
    <t>Bal.</t>
  </si>
  <si>
    <t>$55,518</t>
  </si>
  <si>
    <t>$8,753</t>
  </si>
  <si>
    <t>Into Eternity</t>
  </si>
  <si>
    <t>$55,366</t>
  </si>
  <si>
    <t>$3,530</t>
  </si>
  <si>
    <t>Dirty Girl</t>
  </si>
  <si>
    <t>$55,125</t>
  </si>
  <si>
    <t>$17,859</t>
  </si>
  <si>
    <t>Snowmen</t>
  </si>
  <si>
    <t>$54,805</t>
  </si>
  <si>
    <t>$54,333</t>
  </si>
  <si>
    <t>The Other F Word</t>
  </si>
  <si>
    <t>$53,714</t>
  </si>
  <si>
    <t>Women, Art, Revolution</t>
  </si>
  <si>
    <t>$52,681</t>
  </si>
  <si>
    <t>$5,791</t>
  </si>
  <si>
    <t>Over Your Cities Grass Will Grow</t>
  </si>
  <si>
    <t>$51,301</t>
  </si>
  <si>
    <t>$7,272</t>
  </si>
  <si>
    <t>Battleship Potemkin (2011 re-issue)</t>
  </si>
  <si>
    <t>$51,198</t>
  </si>
  <si>
    <t>$5,641</t>
  </si>
  <si>
    <t>Legend of the Fist: The Return of Chen Zhen</t>
  </si>
  <si>
    <t>$50,433</t>
  </si>
  <si>
    <t>$11,365</t>
  </si>
  <si>
    <t>Putty Hill</t>
  </si>
  <si>
    <t>$49,918</t>
  </si>
  <si>
    <t>$4,868</t>
  </si>
  <si>
    <t>Pianomania</t>
  </si>
  <si>
    <t>$49,852</t>
  </si>
  <si>
    <t>Orgasm Inc.</t>
  </si>
  <si>
    <t>$49,001</t>
  </si>
  <si>
    <t>$8,773</t>
  </si>
  <si>
    <t>The Perfect Host</t>
  </si>
  <si>
    <t>$48,764</t>
  </si>
  <si>
    <t>$7,505</t>
  </si>
  <si>
    <t>Love U Mr. Kalakaar</t>
  </si>
  <si>
    <t>$48,557</t>
  </si>
  <si>
    <t>Lebanon, Pa.</t>
  </si>
  <si>
    <t>$48,381</t>
  </si>
  <si>
    <t>$6,675</t>
  </si>
  <si>
    <t>The Butcher, the Chef and the Swordsman</t>
  </si>
  <si>
    <t>$47,896</t>
  </si>
  <si>
    <t>$23,425</t>
  </si>
  <si>
    <t>Alabama Moon</t>
  </si>
  <si>
    <t>$47,305</t>
  </si>
  <si>
    <t>$6,568</t>
  </si>
  <si>
    <t>Went The Day Well? (2011 re-release)</t>
  </si>
  <si>
    <t>$47,214</t>
  </si>
  <si>
    <t>$7,849</t>
  </si>
  <si>
    <t>Diary of a Country Priest (2011 re-release)</t>
  </si>
  <si>
    <t>$46,979</t>
  </si>
  <si>
    <t>$7,674</t>
  </si>
  <si>
    <t>Connected</t>
  </si>
  <si>
    <t>$46,782</t>
  </si>
  <si>
    <t>$13,301</t>
  </si>
  <si>
    <t>The Woodmans</t>
  </si>
  <si>
    <t>$46,623</t>
  </si>
  <si>
    <t>Margaret</t>
  </si>
  <si>
    <t>$46,495</t>
  </si>
  <si>
    <t>$7,525</t>
  </si>
  <si>
    <t>Every Day</t>
  </si>
  <si>
    <t>$46,029</t>
  </si>
  <si>
    <t>$9,857</t>
  </si>
  <si>
    <t>Rapt</t>
  </si>
  <si>
    <t>$45,759</t>
  </si>
  <si>
    <t>Texas Killing Fields</t>
  </si>
  <si>
    <t>$45,469</t>
  </si>
  <si>
    <t>$8,772</t>
  </si>
  <si>
    <t>CornerStore</t>
  </si>
  <si>
    <t>STP</t>
  </si>
  <si>
    <t>$45,176</t>
  </si>
  <si>
    <t>$12,743</t>
  </si>
  <si>
    <t>Happy, Happy</t>
  </si>
  <si>
    <t>$45,154</t>
  </si>
  <si>
    <t>$7,125</t>
  </si>
  <si>
    <t>Outrage (2011)</t>
  </si>
  <si>
    <t>$44,745</t>
  </si>
  <si>
    <t>$6,518</t>
  </si>
  <si>
    <t>The Bride Wore Black (2011 re-release)</t>
  </si>
  <si>
    <t>$44,566</t>
  </si>
  <si>
    <t>$6,463</t>
  </si>
  <si>
    <t>Desert Flower</t>
  </si>
  <si>
    <t>$44,348</t>
  </si>
  <si>
    <t>$7,657</t>
  </si>
  <si>
    <t>Granito: How to Nail a Dictator</t>
  </si>
  <si>
    <t>$43,942</t>
  </si>
  <si>
    <t>Le Rayon Vert (Summer)</t>
  </si>
  <si>
    <t>$43,839</t>
  </si>
  <si>
    <t>Bereavement</t>
  </si>
  <si>
    <t>PMK</t>
  </si>
  <si>
    <t>$43,712</t>
  </si>
  <si>
    <t>$20,744</t>
  </si>
  <si>
    <t>Love Etc.</t>
  </si>
  <si>
    <t>$43,593</t>
  </si>
  <si>
    <t>$8,781</t>
  </si>
  <si>
    <t>3 Backyards</t>
  </si>
  <si>
    <t>$43,073</t>
  </si>
  <si>
    <t>$11,332</t>
  </si>
  <si>
    <t>Down for Life</t>
  </si>
  <si>
    <t>BDF</t>
  </si>
  <si>
    <t>$41,914</t>
  </si>
  <si>
    <t>$23,176</t>
  </si>
  <si>
    <t>The Myth of the American Sleepover</t>
  </si>
  <si>
    <t>$41,045</t>
  </si>
  <si>
    <t>Hell and Back Again</t>
  </si>
  <si>
    <t>DF</t>
  </si>
  <si>
    <t>$40,634</t>
  </si>
  <si>
    <t>The Last Circus</t>
  </si>
  <si>
    <t>$40,548</t>
  </si>
  <si>
    <t>$4,757</t>
  </si>
  <si>
    <t>Louder Than a Bomb</t>
  </si>
  <si>
    <t>$40,362</t>
  </si>
  <si>
    <t>$2,300</t>
  </si>
  <si>
    <t>Road to Nowhere</t>
  </si>
  <si>
    <t>$40,294</t>
  </si>
  <si>
    <t>Addiction Incorporated</t>
  </si>
  <si>
    <t>$40,106</t>
  </si>
  <si>
    <t>Khodorkovsky</t>
  </si>
  <si>
    <t>$39,522</t>
  </si>
  <si>
    <t>$6,110</t>
  </si>
  <si>
    <t>Where Soldiers Come From</t>
  </si>
  <si>
    <t>$39,201</t>
  </si>
  <si>
    <t>A Somewhat Gentle Man</t>
  </si>
  <si>
    <t>$37,743</t>
  </si>
  <si>
    <t>$2,506</t>
  </si>
  <si>
    <t>Sleeping Beauty (2011) (II)</t>
  </si>
  <si>
    <t>$36,578</t>
  </si>
  <si>
    <t>$9,207</t>
  </si>
  <si>
    <t>My Kingdom (2011)</t>
  </si>
  <si>
    <t>$36,533</t>
  </si>
  <si>
    <t>Paul Goodman Changed My Life</t>
  </si>
  <si>
    <t>$35,671</t>
  </si>
  <si>
    <t>$5,754</t>
  </si>
  <si>
    <t>Kinyarwanda</t>
  </si>
  <si>
    <t>$35,412</t>
  </si>
  <si>
    <t>$21,097</t>
  </si>
  <si>
    <t>When Harry Tries to Marry</t>
  </si>
  <si>
    <t>$35,100</t>
  </si>
  <si>
    <t>$23,790</t>
  </si>
  <si>
    <t>Love in Space</t>
  </si>
  <si>
    <t>$34,787</t>
  </si>
  <si>
    <t>$13,795</t>
  </si>
  <si>
    <t>Beautiful Darling</t>
  </si>
  <si>
    <t>$34,096</t>
  </si>
  <si>
    <t>$12,406</t>
  </si>
  <si>
    <t>The Autobiography of Nicolae Ceausescu</t>
  </si>
  <si>
    <t>$34,023</t>
  </si>
  <si>
    <t>$4,644</t>
  </si>
  <si>
    <t>Making the Boys</t>
  </si>
  <si>
    <t>$7,513</t>
  </si>
  <si>
    <t>Stake Land</t>
  </si>
  <si>
    <t>$33,245</t>
  </si>
  <si>
    <t>$7,258</t>
  </si>
  <si>
    <t>American Teacher</t>
  </si>
  <si>
    <t>$33,144</t>
  </si>
  <si>
    <t>$6,036</t>
  </si>
  <si>
    <t>Meet Monica Velour</t>
  </si>
  <si>
    <t>$33,042</t>
  </si>
  <si>
    <t>$7,438</t>
  </si>
  <si>
    <t>Film Socialisme</t>
  </si>
  <si>
    <t>$32,977</t>
  </si>
  <si>
    <t>The Time That Remains</t>
  </si>
  <si>
    <t>$32,869</t>
  </si>
  <si>
    <t>$6,453</t>
  </si>
  <si>
    <t>Rocket</t>
  </si>
  <si>
    <t>$32,771</t>
  </si>
  <si>
    <t>Octubre</t>
  </si>
  <si>
    <t>$32,127</t>
  </si>
  <si>
    <t>$7,054</t>
  </si>
  <si>
    <t>Hey, Boo: Harper Lee &amp; To Kill A Mockingbird</t>
  </si>
  <si>
    <t>$31,135</t>
  </si>
  <si>
    <t>$5,457</t>
  </si>
  <si>
    <t>Small Town Murder Songs</t>
  </si>
  <si>
    <t>$31,133</t>
  </si>
  <si>
    <t>White Irish Drinkers</t>
  </si>
  <si>
    <t>$31,056</t>
  </si>
  <si>
    <t>$16,836</t>
  </si>
  <si>
    <t>The Son of No One</t>
  </si>
  <si>
    <t>$30,680</t>
  </si>
  <si>
    <t>$18,015</t>
  </si>
  <si>
    <t>Muran</t>
  </si>
  <si>
    <t>$30,116</t>
  </si>
  <si>
    <t>$16,490</t>
  </si>
  <si>
    <t>Cat Run</t>
  </si>
  <si>
    <t>$30,000</t>
  </si>
  <si>
    <t>Evidence of a Haunting</t>
  </si>
  <si>
    <t>$29,904</t>
  </si>
  <si>
    <t>$16,800</t>
  </si>
  <si>
    <t>Cracks</t>
  </si>
  <si>
    <t>$29,683</t>
  </si>
  <si>
    <t>$9,467</t>
  </si>
  <si>
    <t>Redemption Road</t>
  </si>
  <si>
    <t>$29,384</t>
  </si>
  <si>
    <t>$19,152</t>
  </si>
  <si>
    <t>The Topp Twins: Untouchable Girls</t>
  </si>
  <si>
    <t>$29,316</t>
  </si>
  <si>
    <t>The Sleeping Beauty</t>
  </si>
  <si>
    <t>$29,066</t>
  </si>
  <si>
    <t>$5,973</t>
  </si>
  <si>
    <t>Garbo: The Spy</t>
  </si>
  <si>
    <t>$28,563</t>
  </si>
  <si>
    <t>$5,593</t>
  </si>
  <si>
    <t>Salvation Boulevard</t>
  </si>
  <si>
    <t>$28,468</t>
  </si>
  <si>
    <t>$7,208</t>
  </si>
  <si>
    <t>Tuesday, After Christmas</t>
  </si>
  <si>
    <t>$27,813</t>
  </si>
  <si>
    <t>$6,472</t>
  </si>
  <si>
    <t>Giorgio Moroder Presents Metropolis</t>
  </si>
  <si>
    <t>$27,362</t>
  </si>
  <si>
    <t>Jane's Journey</t>
  </si>
  <si>
    <t>$27,253</t>
  </si>
  <si>
    <t>Clash (Bay Rong)</t>
  </si>
  <si>
    <t>$27,052</t>
  </si>
  <si>
    <t>$12,249</t>
  </si>
  <si>
    <t>The Last Ride</t>
  </si>
  <si>
    <t>C1</t>
  </si>
  <si>
    <t>$16,270</t>
  </si>
  <si>
    <t>Caesar &amp; Otto's Summer Camp Massacre</t>
  </si>
  <si>
    <t>$25,844</t>
  </si>
  <si>
    <t>$11,375</t>
  </si>
  <si>
    <t>Waiting for Forever</t>
  </si>
  <si>
    <t>$25,517</t>
  </si>
  <si>
    <t>$8,917</t>
  </si>
  <si>
    <t>The Other Woman</t>
  </si>
  <si>
    <t>$25,423</t>
  </si>
  <si>
    <t>$6,224</t>
  </si>
  <si>
    <t>The Worst Movie EVER!</t>
  </si>
  <si>
    <t>$25,206</t>
  </si>
  <si>
    <t>$11</t>
  </si>
  <si>
    <t>Bonnie &amp; Clyde Vs. Dracula</t>
  </si>
  <si>
    <t>$25,027</t>
  </si>
  <si>
    <t>$5,688</t>
  </si>
  <si>
    <t>Harvest</t>
  </si>
  <si>
    <t>$24,657</t>
  </si>
  <si>
    <t>$5,870</t>
  </si>
  <si>
    <t>Immigration Tango</t>
  </si>
  <si>
    <t>$24,554</t>
  </si>
  <si>
    <t>$14,432</t>
  </si>
  <si>
    <t>After</t>
  </si>
  <si>
    <t>$24,544</t>
  </si>
  <si>
    <t>$6,333</t>
  </si>
  <si>
    <t>Trespass (2011)</t>
  </si>
  <si>
    <t>$24,094</t>
  </si>
  <si>
    <t>Ranchero</t>
  </si>
  <si>
    <t>$3,826</t>
  </si>
  <si>
    <t>Shut Up Little Man</t>
  </si>
  <si>
    <t>$23,901</t>
  </si>
  <si>
    <t>Raw Faith</t>
  </si>
  <si>
    <t>$23,667</t>
  </si>
  <si>
    <t>Lost Bohemia</t>
  </si>
  <si>
    <t>$23,584</t>
  </si>
  <si>
    <t>Vanishing on 7th Street</t>
  </si>
  <si>
    <t>$22,729</t>
  </si>
  <si>
    <t>$2,898</t>
  </si>
  <si>
    <t>Black Death</t>
  </si>
  <si>
    <t>$22,554</t>
  </si>
  <si>
    <t>$6,692</t>
  </si>
  <si>
    <t>Incendiary</t>
  </si>
  <si>
    <t>$22,457</t>
  </si>
  <si>
    <t>$7,308</t>
  </si>
  <si>
    <t>Tyrannosaur</t>
  </si>
  <si>
    <t>$22,321</t>
  </si>
  <si>
    <t>$7,635</t>
  </si>
  <si>
    <t>Ceremony</t>
  </si>
  <si>
    <t>$22,270</t>
  </si>
  <si>
    <t>$6,920</t>
  </si>
  <si>
    <t>All's Faire in Love</t>
  </si>
  <si>
    <t>$22,180</t>
  </si>
  <si>
    <t>$16,440</t>
  </si>
  <si>
    <t>Four Adventures of Reinette and Mirabelle (2011 re-release)</t>
  </si>
  <si>
    <t>$22,039</t>
  </si>
  <si>
    <t>$5,051</t>
  </si>
  <si>
    <t>Answers to Nothing</t>
  </si>
  <si>
    <t>$22,029</t>
  </si>
  <si>
    <t>$14,262</t>
  </si>
  <si>
    <t>The Arbor</t>
  </si>
  <si>
    <t>$21,620</t>
  </si>
  <si>
    <t>Monogamy</t>
  </si>
  <si>
    <t>$21,527</t>
  </si>
  <si>
    <t>$4,476</t>
  </si>
  <si>
    <t>Always Kabhi Kabhi</t>
  </si>
  <si>
    <t>$21,381</t>
  </si>
  <si>
    <t>$14,570</t>
  </si>
  <si>
    <t>Resurrect Dead: The Mystery of the Toynbee Tiles</t>
  </si>
  <si>
    <t>$21,242</t>
  </si>
  <si>
    <t>Cameraman: The Work and Life of Jack Cardiff</t>
  </si>
  <si>
    <t>$20,840</t>
  </si>
  <si>
    <t>$1,998</t>
  </si>
  <si>
    <t>Charlotte Rampling: The Look</t>
  </si>
  <si>
    <t>$19,988</t>
  </si>
  <si>
    <t>$5,905</t>
  </si>
  <si>
    <t>Brotherhood (2011)</t>
  </si>
  <si>
    <t>$19,722</t>
  </si>
  <si>
    <t>$7,873</t>
  </si>
  <si>
    <t>When We Leave (Die Fremde)</t>
  </si>
  <si>
    <t>Olive</t>
  </si>
  <si>
    <t>$19,631</t>
  </si>
  <si>
    <t>$6,018</t>
  </si>
  <si>
    <t>Skateland</t>
  </si>
  <si>
    <t>$19,411</t>
  </si>
  <si>
    <t>House of Pleasures</t>
  </si>
  <si>
    <t>$19,327</t>
  </si>
  <si>
    <t>$4,766</t>
  </si>
  <si>
    <t>Make Believe</t>
  </si>
  <si>
    <t>CS</t>
  </si>
  <si>
    <t>$19,085</t>
  </si>
  <si>
    <t>OKA!</t>
  </si>
  <si>
    <t>$18,364</t>
  </si>
  <si>
    <t>Battle for Brooklyn</t>
  </si>
  <si>
    <t>$17,981</t>
  </si>
  <si>
    <t>$11,141</t>
  </si>
  <si>
    <t>Cook County</t>
  </si>
  <si>
    <t>$17,977</t>
  </si>
  <si>
    <t>$7,579</t>
  </si>
  <si>
    <t>5 Days of War</t>
  </si>
  <si>
    <t>$17,479</t>
  </si>
  <si>
    <t>$6,254</t>
  </si>
  <si>
    <t>Littlerock</t>
  </si>
  <si>
    <t>$17,309</t>
  </si>
  <si>
    <t>Archie's Final Project</t>
  </si>
  <si>
    <t>$3,657</t>
  </si>
  <si>
    <t>Mia and the Migoo</t>
  </si>
  <si>
    <t>$16,975</t>
  </si>
  <si>
    <t>London Boulevard</t>
  </si>
  <si>
    <t>$16,075</t>
  </si>
  <si>
    <t>$3,431</t>
  </si>
  <si>
    <t>Anchor Baby</t>
  </si>
  <si>
    <t>AGF</t>
  </si>
  <si>
    <t>$15,790</t>
  </si>
  <si>
    <t>Dumbstruck</t>
  </si>
  <si>
    <t>$15,379</t>
  </si>
  <si>
    <t>I'm Not Jesus Mommy</t>
  </si>
  <si>
    <t>FDem</t>
  </si>
  <si>
    <t>$15,005</t>
  </si>
  <si>
    <t>$5,280</t>
  </si>
  <si>
    <t>The Tenant (2011)</t>
  </si>
  <si>
    <t>$15,003</t>
  </si>
  <si>
    <t>$750</t>
  </si>
  <si>
    <t>Ong Bak 3</t>
  </si>
  <si>
    <t>$14,890</t>
  </si>
  <si>
    <t>$5,648</t>
  </si>
  <si>
    <t>Armadillo</t>
  </si>
  <si>
    <t>$14,566</t>
  </si>
  <si>
    <t>$3,958</t>
  </si>
  <si>
    <t>Peep World</t>
  </si>
  <si>
    <t>$14,351</t>
  </si>
  <si>
    <t>$6,702</t>
  </si>
  <si>
    <t>Saheb Biwi Aur Gangster</t>
  </si>
  <si>
    <t>$14,231</t>
  </si>
  <si>
    <t>$9,548</t>
  </si>
  <si>
    <t>Sympathy for Delicious</t>
  </si>
  <si>
    <t>Maya</t>
  </si>
  <si>
    <t>$13,826</t>
  </si>
  <si>
    <t>$9,448</t>
  </si>
  <si>
    <t>Benda Bilili!</t>
  </si>
  <si>
    <t>$13,420</t>
  </si>
  <si>
    <t>Under the Boardwalk: The Monopoly Story</t>
  </si>
  <si>
    <t>Tost.</t>
  </si>
  <si>
    <t>$13,080</t>
  </si>
  <si>
    <t>Leap Year (2011)</t>
  </si>
  <si>
    <t>$12,979</t>
  </si>
  <si>
    <t>$2,727</t>
  </si>
  <si>
    <t>Bloodworth</t>
  </si>
  <si>
    <t>$12,971</t>
  </si>
  <si>
    <t>$9,612</t>
  </si>
  <si>
    <t>America the Beautiful 2: The Thin Commandments</t>
  </si>
  <si>
    <t>$12,366</t>
  </si>
  <si>
    <t>$5,599</t>
  </si>
  <si>
    <t>Rebirth</t>
  </si>
  <si>
    <t>$12,358</t>
  </si>
  <si>
    <t>$2,740</t>
  </si>
  <si>
    <t>Back Door Channels</t>
  </si>
  <si>
    <t>$3,425</t>
  </si>
  <si>
    <t>If I Want to Whistle, I Whistle</t>
  </si>
  <si>
    <t>$12,135</t>
  </si>
  <si>
    <t>$2,999</t>
  </si>
  <si>
    <t>Deep Gold</t>
  </si>
  <si>
    <t>BFA</t>
  </si>
  <si>
    <t>Rid of Me</t>
  </si>
  <si>
    <t>$11,740</t>
  </si>
  <si>
    <t>$2,070</t>
  </si>
  <si>
    <t>Elektra Luxx</t>
  </si>
  <si>
    <t>$11,514</t>
  </si>
  <si>
    <t>$5,601</t>
  </si>
  <si>
    <t>InSight</t>
  </si>
  <si>
    <t>CED</t>
  </si>
  <si>
    <t>$11,100</t>
  </si>
  <si>
    <t>$9,571</t>
  </si>
  <si>
    <t>The Woman with the Five Elephants</t>
  </si>
  <si>
    <t>$11,026</t>
  </si>
  <si>
    <t>$4,988</t>
  </si>
  <si>
    <t>Sarah Palin - You Betcha!</t>
  </si>
  <si>
    <t>$10,935</t>
  </si>
  <si>
    <t>$6,911</t>
  </si>
  <si>
    <t>Magic to Win</t>
  </si>
  <si>
    <t>$10,697</t>
  </si>
  <si>
    <t>$5,125</t>
  </si>
  <si>
    <t>Frankie &amp; Alice</t>
  </si>
  <si>
    <t>$10,670</t>
  </si>
  <si>
    <t>Marriage, Italian Style (2011 re-release)</t>
  </si>
  <si>
    <t>$4,967</t>
  </si>
  <si>
    <t>Zero Bridge</t>
  </si>
  <si>
    <t>$10,357</t>
  </si>
  <si>
    <t>$3,304</t>
  </si>
  <si>
    <t>The Heir Apparent: Largo Winch</t>
  </si>
  <si>
    <t>$10,352</t>
  </si>
  <si>
    <t>$2,830</t>
  </si>
  <si>
    <t>The Prince of the Himalayas</t>
  </si>
  <si>
    <t>$10,190</t>
  </si>
  <si>
    <t>Miss Minoes</t>
  </si>
  <si>
    <t>$10,189</t>
  </si>
  <si>
    <t>$1,901</t>
  </si>
  <si>
    <t>A Bird of the Air</t>
  </si>
  <si>
    <t>$10,152</t>
  </si>
  <si>
    <t>$3,819</t>
  </si>
  <si>
    <t>A Screaming Man</t>
  </si>
  <si>
    <t>$9,862</t>
  </si>
  <si>
    <t>Vito Bonafacci</t>
  </si>
  <si>
    <t>$9,570</t>
  </si>
  <si>
    <t>$3,027</t>
  </si>
  <si>
    <t>The Ledge</t>
  </si>
  <si>
    <t>$9,216</t>
  </si>
  <si>
    <t>$5,176</t>
  </si>
  <si>
    <t>Special Treatment</t>
  </si>
  <si>
    <t>$8,856</t>
  </si>
  <si>
    <t>$678</t>
  </si>
  <si>
    <t>How I Ended This Summer</t>
  </si>
  <si>
    <t>$8,733</t>
  </si>
  <si>
    <t>$4,968</t>
  </si>
  <si>
    <t>I'm Glad My Mother is Alive</t>
  </si>
  <si>
    <t>$8,705</t>
  </si>
  <si>
    <t>Lucky (2011)</t>
  </si>
  <si>
    <t>$8,564</t>
  </si>
  <si>
    <t>$4,986</t>
  </si>
  <si>
    <t>Another Happy Day</t>
  </si>
  <si>
    <t>$8,464</t>
  </si>
  <si>
    <t>Korkoro</t>
  </si>
  <si>
    <t>$8,242</t>
  </si>
  <si>
    <t>$1,224</t>
  </si>
  <si>
    <t>Wrecked</t>
  </si>
  <si>
    <t>$8,020</t>
  </si>
  <si>
    <t>$2,054</t>
  </si>
  <si>
    <t>King of Devil's Island</t>
  </si>
  <si>
    <t>$7,615</t>
  </si>
  <si>
    <t>$1,039</t>
  </si>
  <si>
    <t>London River</t>
  </si>
  <si>
    <t>Libre</t>
  </si>
  <si>
    <t>Good Neighbors</t>
  </si>
  <si>
    <t>$2,953</t>
  </si>
  <si>
    <t>Corman's World</t>
  </si>
  <si>
    <t>My Piece of the Pie</t>
  </si>
  <si>
    <t>$6,850</t>
  </si>
  <si>
    <t>$4,213</t>
  </si>
  <si>
    <t>Janie Jones</t>
  </si>
  <si>
    <t>$6,840</t>
  </si>
  <si>
    <t>I Melt With You</t>
  </si>
  <si>
    <t>$6,361</t>
  </si>
  <si>
    <t>$2,729</t>
  </si>
  <si>
    <t>Chillar Party</t>
  </si>
  <si>
    <t>$4,155</t>
  </si>
  <si>
    <t>My Joy</t>
  </si>
  <si>
    <t>$6,298</t>
  </si>
  <si>
    <t>El Sicario, Room 164</t>
  </si>
  <si>
    <t>$2,040</t>
  </si>
  <si>
    <t>The Family Tree</t>
  </si>
  <si>
    <t>$6,035</t>
  </si>
  <si>
    <t>$3,658</t>
  </si>
  <si>
    <t>The Imperialists Are Still Alive!</t>
  </si>
  <si>
    <t>$2,832</t>
  </si>
  <si>
    <t>Aurora</t>
  </si>
  <si>
    <t>Rage (Rabia)</t>
  </si>
  <si>
    <t>$5,594</t>
  </si>
  <si>
    <t>$952</t>
  </si>
  <si>
    <t>Elevate</t>
  </si>
  <si>
    <t>$5,580</t>
  </si>
  <si>
    <t>$3,547</t>
  </si>
  <si>
    <t>And They're Off</t>
  </si>
  <si>
    <t>KBR</t>
  </si>
  <si>
    <t>$5,154</t>
  </si>
  <si>
    <t>Tanner Hall</t>
  </si>
  <si>
    <t>$5,073</t>
  </si>
  <si>
    <t>$2,803</t>
  </si>
  <si>
    <t>Flypaper</t>
  </si>
  <si>
    <t>$5,043</t>
  </si>
  <si>
    <t>$1,098</t>
  </si>
  <si>
    <t>Burke and Hare</t>
  </si>
  <si>
    <t>$4,833</t>
  </si>
  <si>
    <t>$947</t>
  </si>
  <si>
    <t>The Catechism Cataclysm</t>
  </si>
  <si>
    <t>$4,373</t>
  </si>
  <si>
    <t>$897</t>
  </si>
  <si>
    <t>Campus Radio</t>
  </si>
  <si>
    <t>EBP</t>
  </si>
  <si>
    <t>$4,370</t>
  </si>
  <si>
    <t>$3,196</t>
  </si>
  <si>
    <t>Daylight (2011)</t>
  </si>
  <si>
    <t>$4,171</t>
  </si>
  <si>
    <t>$959</t>
  </si>
  <si>
    <t>Caterpillar</t>
  </si>
  <si>
    <t>$4,157</t>
  </si>
  <si>
    <t>$2,109</t>
  </si>
  <si>
    <t>To Die Like a Man</t>
  </si>
  <si>
    <t>The Harvest/La Cosecha</t>
  </si>
  <si>
    <t>$2,245</t>
  </si>
  <si>
    <t>Passion Play</t>
  </si>
  <si>
    <t>Building Hope</t>
  </si>
  <si>
    <t>NobP</t>
  </si>
  <si>
    <t>The Sons of Tennessee Williams</t>
  </si>
  <si>
    <t>$3,242</t>
  </si>
  <si>
    <t>Plastic Planet</t>
  </si>
  <si>
    <t>$3,164</t>
  </si>
  <si>
    <t>$740</t>
  </si>
  <si>
    <t>Balls to the Wall</t>
  </si>
  <si>
    <t>$3,140</t>
  </si>
  <si>
    <t>The Weird World of Blowfly</t>
  </si>
  <si>
    <t>$3,062</t>
  </si>
  <si>
    <t>The Lie</t>
  </si>
  <si>
    <t>Protektor</t>
  </si>
  <si>
    <t>$2,968</t>
  </si>
  <si>
    <t>Zokkomon</t>
  </si>
  <si>
    <t>Blood Ties</t>
  </si>
  <si>
    <t>Restitution</t>
  </si>
  <si>
    <t>$1,779</t>
  </si>
  <si>
    <t>United Red Army</t>
  </si>
  <si>
    <t>$2,659</t>
  </si>
  <si>
    <t>$1,161</t>
  </si>
  <si>
    <t>Knuckle</t>
  </si>
  <si>
    <t>$2,647</t>
  </si>
  <si>
    <t>Main Street</t>
  </si>
  <si>
    <t>$1,553</t>
  </si>
  <si>
    <t>Sidewalls</t>
  </si>
  <si>
    <t>$2,377</t>
  </si>
  <si>
    <t>$1,304</t>
  </si>
  <si>
    <t>Pool Boys</t>
  </si>
  <si>
    <t>$2,269</t>
  </si>
  <si>
    <t>Love, Wedding, Marriage</t>
  </si>
  <si>
    <t>$1,378</t>
  </si>
  <si>
    <t>Now &amp; Later</t>
  </si>
  <si>
    <t>$1,808</t>
  </si>
  <si>
    <t>$1,516</t>
  </si>
  <si>
    <t>Chalet Girl</t>
  </si>
  <si>
    <t>$1,710</t>
  </si>
  <si>
    <t>$192</t>
  </si>
  <si>
    <t>They're Out of Business</t>
  </si>
  <si>
    <t>$1,655</t>
  </si>
  <si>
    <t>The Tunnel (2011)</t>
  </si>
  <si>
    <t>BR</t>
  </si>
  <si>
    <t>$1,532</t>
  </si>
  <si>
    <t>$507</t>
  </si>
  <si>
    <t>Little Girl (La Pivellina)</t>
  </si>
  <si>
    <t>$526</t>
  </si>
  <si>
    <t>An Invisible Sign</t>
  </si>
  <si>
    <t>$1,279</t>
  </si>
  <si>
    <t>Romeos</t>
  </si>
  <si>
    <t>$773</t>
  </si>
  <si>
    <t>Strangers Online</t>
  </si>
  <si>
    <t>$968</t>
  </si>
  <si>
    <t>Angels Crest</t>
  </si>
  <si>
    <t>$832</t>
  </si>
  <si>
    <t>$407</t>
  </si>
  <si>
    <t>Redneck Carnage</t>
  </si>
  <si>
    <t>$706</t>
  </si>
  <si>
    <t>$325</t>
  </si>
  <si>
    <t>Illegal (2011)</t>
  </si>
  <si>
    <t>$651</t>
  </si>
  <si>
    <t>$404</t>
  </si>
  <si>
    <t>A Good Day to Die</t>
  </si>
  <si>
    <t>$573</t>
  </si>
  <si>
    <t>Toy Story 3</t>
  </si>
  <si>
    <t>$415,004,880</t>
  </si>
  <si>
    <t>$110,307,189</t>
  </si>
  <si>
    <t>Alice in Wonderland (2010)</t>
  </si>
  <si>
    <t>$334,191,110</t>
  </si>
  <si>
    <t>$116,101,023</t>
  </si>
  <si>
    <t>Iron Man 2</t>
  </si>
  <si>
    <t>$312,433,331</t>
  </si>
  <si>
    <t>$128,122,480</t>
  </si>
  <si>
    <t>The Twilight Saga: Eclipse</t>
  </si>
  <si>
    <t>$300,531,751</t>
  </si>
  <si>
    <t>$64,832,191</t>
  </si>
  <si>
    <t>Harry Potter and the Deathly Hallows Part 1</t>
  </si>
  <si>
    <t>$295,983,305</t>
  </si>
  <si>
    <t>$125,017,372</t>
  </si>
  <si>
    <t>Inception</t>
  </si>
  <si>
    <t>$292,576,195</t>
  </si>
  <si>
    <t>$62,785,337</t>
  </si>
  <si>
    <t>Despicable Me</t>
  </si>
  <si>
    <t>$251,513,985</t>
  </si>
  <si>
    <t>$56,397,125</t>
  </si>
  <si>
    <t>Shrek Forever After</t>
  </si>
  <si>
    <t>$238,736,787</t>
  </si>
  <si>
    <t>$70,838,207</t>
  </si>
  <si>
    <t>How to Train Your Dragon</t>
  </si>
  <si>
    <t>$217,581,231</t>
  </si>
  <si>
    <t>$43,732,319</t>
  </si>
  <si>
    <t>Tangled</t>
  </si>
  <si>
    <t>$200,821,936</t>
  </si>
  <si>
    <t>$48,767,052</t>
  </si>
  <si>
    <t>The Karate Kid</t>
  </si>
  <si>
    <t>$176,591,618</t>
  </si>
  <si>
    <t>$55,665,805</t>
  </si>
  <si>
    <t>Tron Legacy</t>
  </si>
  <si>
    <t>$172,062,763</t>
  </si>
  <si>
    <t>$44,026,211</t>
  </si>
  <si>
    <t>True Grit</t>
  </si>
  <si>
    <t>$171,243,005</t>
  </si>
  <si>
    <t>$24,830,443</t>
  </si>
  <si>
    <t>Clash of the Titans (2010)</t>
  </si>
  <si>
    <t>$163,214,888</t>
  </si>
  <si>
    <t>$61,235,105</t>
  </si>
  <si>
    <t>Grown Ups</t>
  </si>
  <si>
    <t>$162,001,186</t>
  </si>
  <si>
    <t>$40,506,562</t>
  </si>
  <si>
    <t>Little Fockers</t>
  </si>
  <si>
    <t>$148,438,600</t>
  </si>
  <si>
    <t>$30,833,665</t>
  </si>
  <si>
    <t>Megamind</t>
  </si>
  <si>
    <t>$148,415,853</t>
  </si>
  <si>
    <t>$46,016,833</t>
  </si>
  <si>
    <t>The King's Speech</t>
  </si>
  <si>
    <t>$135,453,143</t>
  </si>
  <si>
    <t>$355,450</t>
  </si>
  <si>
    <t>The Last Airbender</t>
  </si>
  <si>
    <t>$131,772,187</t>
  </si>
  <si>
    <t>$40,325,019</t>
  </si>
  <si>
    <t>Shutter Island</t>
  </si>
  <si>
    <t>$128,012,934</t>
  </si>
  <si>
    <t>$41,062,440</t>
  </si>
  <si>
    <t>The Other Guys</t>
  </si>
  <si>
    <t>$119,219,978</t>
  </si>
  <si>
    <t>$35,543,162</t>
  </si>
  <si>
    <t>Salt</t>
  </si>
  <si>
    <t>$118,311,368</t>
  </si>
  <si>
    <t>$36,011,243</t>
  </si>
  <si>
    <t>Jackass 3-D</t>
  </si>
  <si>
    <t>$117,229,692</t>
  </si>
  <si>
    <t>$50,353,641</t>
  </si>
  <si>
    <t>Valentine's Day</t>
  </si>
  <si>
    <t>$110,485,654</t>
  </si>
  <si>
    <t>$56,260,707</t>
  </si>
  <si>
    <t>Black Swan</t>
  </si>
  <si>
    <t>$106,954,678</t>
  </si>
  <si>
    <t>$1,443,809</t>
  </si>
  <si>
    <t>Robin Hood</t>
  </si>
  <si>
    <t>$105,269,730</t>
  </si>
  <si>
    <t>$36,063,385</t>
  </si>
  <si>
    <t>The Chronicles of Narnia: The Voyage of the Dawn Treader</t>
  </si>
  <si>
    <t>$104,386,950</t>
  </si>
  <si>
    <t>$24,005,069</t>
  </si>
  <si>
    <t>The Expendables</t>
  </si>
  <si>
    <t>$103,068,524</t>
  </si>
  <si>
    <t>$34,825,135</t>
  </si>
  <si>
    <t>Due Date</t>
  </si>
  <si>
    <t>$100,539,043</t>
  </si>
  <si>
    <t>$32,689,406</t>
  </si>
  <si>
    <t>Yogi Bear</t>
  </si>
  <si>
    <t>$100,246,011</t>
  </si>
  <si>
    <t>$16,411,322</t>
  </si>
  <si>
    <t>Date Night</t>
  </si>
  <si>
    <t>$98,711,404</t>
  </si>
  <si>
    <t>$25,207,599</t>
  </si>
  <si>
    <t>The Social Network</t>
  </si>
  <si>
    <t>$96,962,694</t>
  </si>
  <si>
    <t>$22,445,653</t>
  </si>
  <si>
    <t>Sex and the City 2</t>
  </si>
  <si>
    <t>$95,347,692</t>
  </si>
  <si>
    <t>$31,001,870</t>
  </si>
  <si>
    <t>The Book of Eli</t>
  </si>
  <si>
    <t>$94,835,059</t>
  </si>
  <si>
    <t>$32,789,494</t>
  </si>
  <si>
    <t>The Fighter</t>
  </si>
  <si>
    <t>$93,617,009</t>
  </si>
  <si>
    <t>$300,010</t>
  </si>
  <si>
    <t>The Town</t>
  </si>
  <si>
    <t>$92,186,262</t>
  </si>
  <si>
    <t>$23,808,032</t>
  </si>
  <si>
    <t>Prince of Persia: The Sands of Time</t>
  </si>
  <si>
    <t>$90,759,676</t>
  </si>
  <si>
    <t>$30,095,259</t>
  </si>
  <si>
    <t>Red</t>
  </si>
  <si>
    <t>$90,380,162</t>
  </si>
  <si>
    <t>$21,761,408</t>
  </si>
  <si>
    <t>Percy Jackson &amp; The Olympians: The Lightning Thief</t>
  </si>
  <si>
    <t>$88,768,303</t>
  </si>
  <si>
    <t>$31,236,067</t>
  </si>
  <si>
    <t>Paranormal Activity 2</t>
  </si>
  <si>
    <t>$84,752,907</t>
  </si>
  <si>
    <t>$40,678,424</t>
  </si>
  <si>
    <t>Unstoppable</t>
  </si>
  <si>
    <t>$81,562,942</t>
  </si>
  <si>
    <t>$22,688,457</t>
  </si>
  <si>
    <t>Eat Pray Love</t>
  </si>
  <si>
    <t>$80,574,010</t>
  </si>
  <si>
    <t>$23,104,523</t>
  </si>
  <si>
    <t>Dear John</t>
  </si>
  <si>
    <t>$80,014,842</t>
  </si>
  <si>
    <t>$30,468,614</t>
  </si>
  <si>
    <t>The A-Team</t>
  </si>
  <si>
    <t>$77,222,099</t>
  </si>
  <si>
    <t>$25,669,455</t>
  </si>
  <si>
    <t>Knight &amp; Day</t>
  </si>
  <si>
    <t>$76,423,035</t>
  </si>
  <si>
    <t>$20,139,985</t>
  </si>
  <si>
    <t>Dinner for Schmucks</t>
  </si>
  <si>
    <t>$73,026,337</t>
  </si>
  <si>
    <t>$23,527,839</t>
  </si>
  <si>
    <t>The Tourist</t>
  </si>
  <si>
    <t>$67,631,157</t>
  </si>
  <si>
    <t>$16,472,458</t>
  </si>
  <si>
    <t>The Bounty Hunter</t>
  </si>
  <si>
    <t>$67,061,228</t>
  </si>
  <si>
    <t>$20,686,423</t>
  </si>
  <si>
    <t>Diary of a Wimpy Kid</t>
  </si>
  <si>
    <t>$64,003,625</t>
  </si>
  <si>
    <t>$22,126,166</t>
  </si>
  <si>
    <t>The Sorcerer's Apprentice</t>
  </si>
  <si>
    <t>$63,150,991</t>
  </si>
  <si>
    <t>$17,619,622</t>
  </si>
  <si>
    <t>A Nightmare on Elm Street (2010)</t>
  </si>
  <si>
    <t>$63,075,011</t>
  </si>
  <si>
    <t>$32,902,299</t>
  </si>
  <si>
    <t>The Last Song</t>
  </si>
  <si>
    <t>$62,950,384</t>
  </si>
  <si>
    <t>$16,007,426</t>
  </si>
  <si>
    <t>The Wolfman</t>
  </si>
  <si>
    <t>$61,979,680</t>
  </si>
  <si>
    <t>$31,479,235</t>
  </si>
  <si>
    <t>Get Him to the Greek</t>
  </si>
  <si>
    <t>$60,974,475</t>
  </si>
  <si>
    <t>$17,570,955</t>
  </si>
  <si>
    <t>Resident Evil: Afterlife</t>
  </si>
  <si>
    <t>$60,128,566</t>
  </si>
  <si>
    <t>$26,650,264</t>
  </si>
  <si>
    <t>Tyler Perry's Why Did I Get Married Too?</t>
  </si>
  <si>
    <t>$60,095,852</t>
  </si>
  <si>
    <t>$29,289,537</t>
  </si>
  <si>
    <t>Tooth Fairy</t>
  </si>
  <si>
    <t>$60,022,256</t>
  </si>
  <si>
    <t>$14,010,409</t>
  </si>
  <si>
    <t>Secretariat</t>
  </si>
  <si>
    <t>$59,713,955</t>
  </si>
  <si>
    <t>$12,694,770</t>
  </si>
  <si>
    <t>Easy A</t>
  </si>
  <si>
    <t>$58,401,464</t>
  </si>
  <si>
    <t>$17,734,040</t>
  </si>
  <si>
    <t>Takers</t>
  </si>
  <si>
    <t>$57,744,720</t>
  </si>
  <si>
    <t>$20,512,304</t>
  </si>
  <si>
    <t>Legend of the Guardians: The Owls of Ga'Hoole</t>
  </si>
  <si>
    <t>$55,675,313</t>
  </si>
  <si>
    <t>$16,112,211</t>
  </si>
  <si>
    <t>Life as We Know It</t>
  </si>
  <si>
    <t>$53,374,681</t>
  </si>
  <si>
    <t>$14,506,464</t>
  </si>
  <si>
    <t>Letters to Juliet</t>
  </si>
  <si>
    <t>$53,032,453</t>
  </si>
  <si>
    <t>$13,540,486</t>
  </si>
  <si>
    <t>Wall Street: Money Never Sleeps</t>
  </si>
  <si>
    <t>$52,474,616</t>
  </si>
  <si>
    <t>$19,011,188</t>
  </si>
  <si>
    <t>Hubble 3D</t>
  </si>
  <si>
    <t>$52,092,295</t>
  </si>
  <si>
    <t>$413,477</t>
  </si>
  <si>
    <t>Predators</t>
  </si>
  <si>
    <t>$52,000,688</t>
  </si>
  <si>
    <t>$24,760,882</t>
  </si>
  <si>
    <t>Hot Tub Time Machine</t>
  </si>
  <si>
    <t>MGM</t>
  </si>
  <si>
    <t>$50,287,556</t>
  </si>
  <si>
    <t>$14,020,502</t>
  </si>
  <si>
    <t>Kick-Ass</t>
  </si>
  <si>
    <t>$48,071,303</t>
  </si>
  <si>
    <t>$19,828,687</t>
  </si>
  <si>
    <t>Killers</t>
  </si>
  <si>
    <t>$47,059,963</t>
  </si>
  <si>
    <t>$15,837,266</t>
  </si>
  <si>
    <t>Saw 3D</t>
  </si>
  <si>
    <t>$45,710,178</t>
  </si>
  <si>
    <t>$22,530,123</t>
  </si>
  <si>
    <t>Cop Out</t>
  </si>
  <si>
    <t>$44,875,481</t>
  </si>
  <si>
    <t>$18,211,126</t>
  </si>
  <si>
    <t>Cats &amp; Dogs: The Revenge of Kitty Galore</t>
  </si>
  <si>
    <t>$43,585,753</t>
  </si>
  <si>
    <t>$12,279,363</t>
  </si>
  <si>
    <t>Edge of Darkness</t>
  </si>
  <si>
    <t>$43,313,890</t>
  </si>
  <si>
    <t>$17,214,384</t>
  </si>
  <si>
    <t>Gulliver's Travels</t>
  </si>
  <si>
    <t>$42,779,261</t>
  </si>
  <si>
    <t>$6,307,691</t>
  </si>
  <si>
    <t>Death at a Funeral (2010)</t>
  </si>
  <si>
    <t>$42,739,347</t>
  </si>
  <si>
    <t>$16,217,540</t>
  </si>
  <si>
    <t>Step Up 3-D</t>
  </si>
  <si>
    <t>$42,400,223</t>
  </si>
  <si>
    <t>$15,812,311</t>
  </si>
  <si>
    <t>The Last Exorcism</t>
  </si>
  <si>
    <t>$41,034,350</t>
  </si>
  <si>
    <t>$20,366,613</t>
  </si>
  <si>
    <t>Legion (2010)</t>
  </si>
  <si>
    <t>$40,168,080</t>
  </si>
  <si>
    <t>$17,501,625</t>
  </si>
  <si>
    <t>Burlesque</t>
  </si>
  <si>
    <t>$39,440,655</t>
  </si>
  <si>
    <t>$11,947,744</t>
  </si>
  <si>
    <t>The Crazies</t>
  </si>
  <si>
    <t>Over.</t>
  </si>
  <si>
    <t>$39,123,589</t>
  </si>
  <si>
    <t>$16,067,552</t>
  </si>
  <si>
    <t>For Colored Girls</t>
  </si>
  <si>
    <t>$37,729,698</t>
  </si>
  <si>
    <t>$19,497,324</t>
  </si>
  <si>
    <t>The Back-Up Plan</t>
  </si>
  <si>
    <t>$37,490,007</t>
  </si>
  <si>
    <t>$12,201,710</t>
  </si>
  <si>
    <t>Vampires Suck</t>
  </si>
  <si>
    <t>$36,661,504</t>
  </si>
  <si>
    <t>$12,202,831</t>
  </si>
  <si>
    <t>The American</t>
  </si>
  <si>
    <t>$35,606,376</t>
  </si>
  <si>
    <t>$13,177,790</t>
  </si>
  <si>
    <t>Green Zone</t>
  </si>
  <si>
    <t>$35,053,660</t>
  </si>
  <si>
    <t>$14,309,295</t>
  </si>
  <si>
    <t>Marmaduke</t>
  </si>
  <si>
    <t>$33,644,788</t>
  </si>
  <si>
    <t>$11,599,661</t>
  </si>
  <si>
    <t>Devil</t>
  </si>
  <si>
    <t>$33,601,190</t>
  </si>
  <si>
    <t>$12,289,375</t>
  </si>
  <si>
    <t>Hereafter</t>
  </si>
  <si>
    <t>$32,746,941</t>
  </si>
  <si>
    <t>$220,322</t>
  </si>
  <si>
    <t>When in Rome</t>
  </si>
  <si>
    <t>$32,680,633</t>
  </si>
  <si>
    <t>$12,350,041</t>
  </si>
  <si>
    <t>Love and Other Drugs</t>
  </si>
  <si>
    <t>$32,367,005</t>
  </si>
  <si>
    <t>$9,739,161</t>
  </si>
  <si>
    <t>She's Out of My League</t>
  </si>
  <si>
    <t>$32,010,860</t>
  </si>
  <si>
    <t>$9,775,278</t>
  </si>
  <si>
    <t>Scott Pilgrim vs. the World</t>
  </si>
  <si>
    <t>$31,524,275</t>
  </si>
  <si>
    <t>$10,609,795</t>
  </si>
  <si>
    <t>Charlie St. Cloud</t>
  </si>
  <si>
    <t>$31,162,545</t>
  </si>
  <si>
    <t>$12,381,585</t>
  </si>
  <si>
    <t>Morning Glory</t>
  </si>
  <si>
    <t>$31,011,732</t>
  </si>
  <si>
    <t>$9,203,266</t>
  </si>
  <si>
    <t>How Do You Know</t>
  </si>
  <si>
    <t>$30,212,620</t>
  </si>
  <si>
    <t>$7,484,696</t>
  </si>
  <si>
    <t>Daybreakers</t>
  </si>
  <si>
    <t>$30,101,577</t>
  </si>
  <si>
    <t>$15,146,692</t>
  </si>
  <si>
    <t>Nanny McPhee Returns</t>
  </si>
  <si>
    <t>$29,011,215</t>
  </si>
  <si>
    <t>$8,407,685</t>
  </si>
  <si>
    <t>The Switch</t>
  </si>
  <si>
    <t>Mira.</t>
  </si>
  <si>
    <t>$27,779,426</t>
  </si>
  <si>
    <t>$8,436,713</t>
  </si>
  <si>
    <t>Brooklyn's Finest</t>
  </si>
  <si>
    <t>$27,163,593</t>
  </si>
  <si>
    <t>$13,350,299</t>
  </si>
  <si>
    <t>Machete</t>
  </si>
  <si>
    <t>$26,593,646</t>
  </si>
  <si>
    <t>$11,416,164</t>
  </si>
  <si>
    <t>Ramona and Beezus</t>
  </si>
  <si>
    <t>$26,167,002</t>
  </si>
  <si>
    <t>$7,810,481</t>
  </si>
  <si>
    <t>Leap Year</t>
  </si>
  <si>
    <t>$25,918,920</t>
  </si>
  <si>
    <t>$9,202,815</t>
  </si>
  <si>
    <t>You Again</t>
  </si>
  <si>
    <t>$25,702,053</t>
  </si>
  <si>
    <t>$8,407,513</t>
  </si>
  <si>
    <t>Alpha and Omega</t>
  </si>
  <si>
    <t>$25,107,267</t>
  </si>
  <si>
    <t>$9,106,906</t>
  </si>
  <si>
    <t>Piranha 3D</t>
  </si>
  <si>
    <t>$25,003,155</t>
  </si>
  <si>
    <t>$10,106,872</t>
  </si>
  <si>
    <t>Lottery Ticket</t>
  </si>
  <si>
    <t>$24,719,879</t>
  </si>
  <si>
    <t>$10,652,297</t>
  </si>
  <si>
    <t>The Spy Next Door</t>
  </si>
  <si>
    <t>$24,307,086</t>
  </si>
  <si>
    <t>$9,726,056</t>
  </si>
  <si>
    <t>From Paris with Love</t>
  </si>
  <si>
    <t>$24,077,427</t>
  </si>
  <si>
    <t>$8,158,860</t>
  </si>
  <si>
    <t>The Losers</t>
  </si>
  <si>
    <t>$23,591,432</t>
  </si>
  <si>
    <t>$9,406,348</t>
  </si>
  <si>
    <t>Faster</t>
  </si>
  <si>
    <t>$23,240,020</t>
  </si>
  <si>
    <t>$8,523,153</t>
  </si>
  <si>
    <t>Just Wright</t>
  </si>
  <si>
    <t>$21,540,363</t>
  </si>
  <si>
    <t>$8,284,989</t>
  </si>
  <si>
    <t>Skyline</t>
  </si>
  <si>
    <t>$21,393,620</t>
  </si>
  <si>
    <t>$11,692,415</t>
  </si>
  <si>
    <t>The Next Three Days</t>
  </si>
  <si>
    <t>$21,148,651</t>
  </si>
  <si>
    <t>$6,542,779</t>
  </si>
  <si>
    <t>The Kids Are All Right</t>
  </si>
  <si>
    <t>$20,811,365</t>
  </si>
  <si>
    <t>$491,971</t>
  </si>
  <si>
    <t>Our Family Wedding</t>
  </si>
  <si>
    <t>$20,255,281</t>
  </si>
  <si>
    <t>$7,629,862</t>
  </si>
  <si>
    <t>Country Strong</t>
  </si>
  <si>
    <t>$20,218,921</t>
  </si>
  <si>
    <t>$30,452</t>
  </si>
  <si>
    <t>Oceans</t>
  </si>
  <si>
    <t>$19,422,319</t>
  </si>
  <si>
    <t>$6,058,958</t>
  </si>
  <si>
    <t>Remember Me</t>
  </si>
  <si>
    <t>$19,068,240</t>
  </si>
  <si>
    <t>$8,089,139</t>
  </si>
  <si>
    <t>127 Hours</t>
  </si>
  <si>
    <t>$18,335,230</t>
  </si>
  <si>
    <t>$264,851</t>
  </si>
  <si>
    <t>Going the Distance</t>
  </si>
  <si>
    <t>$17,804,299</t>
  </si>
  <si>
    <t>$6,884,964</t>
  </si>
  <si>
    <t>Furry Vengeance</t>
  </si>
  <si>
    <t>$17,630,465</t>
  </si>
  <si>
    <t>$6,627,564</t>
  </si>
  <si>
    <t>Splice</t>
  </si>
  <si>
    <t>$17,010,170</t>
  </si>
  <si>
    <t>$7,385,277</t>
  </si>
  <si>
    <t>The Ghost Writer</t>
  </si>
  <si>
    <t>$15,541,549</t>
  </si>
  <si>
    <t>$183,009</t>
  </si>
  <si>
    <t>Youth in Revolt</t>
  </si>
  <si>
    <t>$15,281,286</t>
  </si>
  <si>
    <t>$6,888,334</t>
  </si>
  <si>
    <t>My Soul to Take</t>
  </si>
  <si>
    <t>$14,744,435</t>
  </si>
  <si>
    <t>$6,842,220</t>
  </si>
  <si>
    <t>Repo Men</t>
  </si>
  <si>
    <t>$13,794,835</t>
  </si>
  <si>
    <t>$6,126,170</t>
  </si>
  <si>
    <t>Case 39</t>
  </si>
  <si>
    <t>$13,261,851</t>
  </si>
  <si>
    <t>$5,350,570</t>
  </si>
  <si>
    <t>Let Me In</t>
  </si>
  <si>
    <t>$12,134,935</t>
  </si>
  <si>
    <t>$5,147,479</t>
  </si>
  <si>
    <t>Extraordinary Measures</t>
  </si>
  <si>
    <t>$12,068,313</t>
  </si>
  <si>
    <t>$6,012,594</t>
  </si>
  <si>
    <t>Avatar: Special Edition</t>
  </si>
  <si>
    <t>$10,741,486</t>
  </si>
  <si>
    <t>$4,007,750</t>
  </si>
  <si>
    <t>Jonah Hex</t>
  </si>
  <si>
    <t>$10,547,117</t>
  </si>
  <si>
    <t>$5,379,365</t>
  </si>
  <si>
    <t>The Girl with the Dragon Tattoo</t>
  </si>
  <si>
    <t>$10,095,170</t>
  </si>
  <si>
    <t>$335,502</t>
  </si>
  <si>
    <t>Blue Valentine</t>
  </si>
  <si>
    <t>$9,706,328</t>
  </si>
  <si>
    <t>$193,728</t>
  </si>
  <si>
    <t>Fair Game (2010)</t>
  </si>
  <si>
    <t>$9,540,691</t>
  </si>
  <si>
    <t>$651,082</t>
  </si>
  <si>
    <t>Get Low</t>
  </si>
  <si>
    <t>$9,176,933</t>
  </si>
  <si>
    <t>$88,182</t>
  </si>
  <si>
    <t>MacGruber</t>
  </si>
  <si>
    <t>$8,525,600</t>
  </si>
  <si>
    <t>$4,043,495</t>
  </si>
  <si>
    <t>The Girl Who Played with Fire</t>
  </si>
  <si>
    <t>$7,638,241</t>
  </si>
  <si>
    <t>$904,998</t>
  </si>
  <si>
    <t>Cyrus</t>
  </si>
  <si>
    <t>$7,468,936</t>
  </si>
  <si>
    <t>$181,716</t>
  </si>
  <si>
    <t>Babies</t>
  </si>
  <si>
    <t>$7,320,323</t>
  </si>
  <si>
    <t>$2,160,460</t>
  </si>
  <si>
    <t>Conviction</t>
  </si>
  <si>
    <t>$6,783,129</t>
  </si>
  <si>
    <t>$102,351</t>
  </si>
  <si>
    <t>City Island</t>
  </si>
  <si>
    <t>$6,671,036</t>
  </si>
  <si>
    <t>$32,001</t>
  </si>
  <si>
    <t>The Last Station</t>
  </si>
  <si>
    <t>$6,617,867</t>
  </si>
  <si>
    <t>$73,723</t>
  </si>
  <si>
    <t>Winter's Bone</t>
  </si>
  <si>
    <t>$6,531,503</t>
  </si>
  <si>
    <t>$84,797</t>
  </si>
  <si>
    <t>Waiting for "Superman"</t>
  </si>
  <si>
    <t>$6,417,135</t>
  </si>
  <si>
    <t>$139,033</t>
  </si>
  <si>
    <t>The Secret in Their Eyes</t>
  </si>
  <si>
    <t>$6,391,436</t>
  </si>
  <si>
    <t>$167,866</t>
  </si>
  <si>
    <t>It's Kind of a Funny Story</t>
  </si>
  <si>
    <t>$6,363,628</t>
  </si>
  <si>
    <t>$2,013,406</t>
  </si>
  <si>
    <t>Sea Rex 3D: Journey to a Prehistoric World</t>
  </si>
  <si>
    <t>$6,096,582</t>
  </si>
  <si>
    <t>The Warrior's Way</t>
  </si>
  <si>
    <t>$5,666,340</t>
  </si>
  <si>
    <t>$3,048,665</t>
  </si>
  <si>
    <t>The Girl Who Kicked the Hornet's Nest</t>
  </si>
  <si>
    <t>$5,190,196</t>
  </si>
  <si>
    <t>$881,737</t>
  </si>
  <si>
    <t>I Am Love</t>
  </si>
  <si>
    <t>$5,005,465</t>
  </si>
  <si>
    <t>$121,504</t>
  </si>
  <si>
    <t>Mao's Last Dancer</t>
  </si>
  <si>
    <t>$4,817,770</t>
  </si>
  <si>
    <t>$199,657</t>
  </si>
  <si>
    <t>Solitary Man</t>
  </si>
  <si>
    <t>$4,360,548</t>
  </si>
  <si>
    <t>$94,936</t>
  </si>
  <si>
    <t>Inside Job</t>
  </si>
  <si>
    <t>$4,312,735</t>
  </si>
  <si>
    <t>$39,649</t>
  </si>
  <si>
    <t>Greenberg</t>
  </si>
  <si>
    <t>$4,234,170</t>
  </si>
  <si>
    <t>$118,152</t>
  </si>
  <si>
    <t>Please Give</t>
  </si>
  <si>
    <t>$4,033,574</t>
  </si>
  <si>
    <t>$118,123</t>
  </si>
  <si>
    <t>My Name is Khan</t>
  </si>
  <si>
    <t>$4,018,771</t>
  </si>
  <si>
    <t>$1,944,027</t>
  </si>
  <si>
    <t>To Save a Life</t>
  </si>
  <si>
    <t>$3,777,210</t>
  </si>
  <si>
    <t>$1,581,517</t>
  </si>
  <si>
    <t>The Runaways</t>
  </si>
  <si>
    <t>App.</t>
  </si>
  <si>
    <t>$3,573,673</t>
  </si>
  <si>
    <t>$805,115</t>
  </si>
  <si>
    <t>Exit Through the Gift Shop</t>
  </si>
  <si>
    <t>$3,291,250</t>
  </si>
  <si>
    <t>$170,756</t>
  </si>
  <si>
    <t>You Will Meet a Tall Dark Stranger</t>
  </si>
  <si>
    <t>$3,248,246</t>
  </si>
  <si>
    <t>$160,103</t>
  </si>
  <si>
    <t>Catfish</t>
  </si>
  <si>
    <t>Rog.</t>
  </si>
  <si>
    <t>$3,237,343</t>
  </si>
  <si>
    <t>$257,285</t>
  </si>
  <si>
    <t>Another Year</t>
  </si>
  <si>
    <t>$3,205,706</t>
  </si>
  <si>
    <t>$111,869</t>
  </si>
  <si>
    <t>Chloe</t>
  </si>
  <si>
    <t>$3,075,255</t>
  </si>
  <si>
    <t>$900,688</t>
  </si>
  <si>
    <t>Joan Rivers: A Piece of Work</t>
  </si>
  <si>
    <t>$2,930,687</t>
  </si>
  <si>
    <t>$164,351</t>
  </si>
  <si>
    <t>Letters to God</t>
  </si>
  <si>
    <t>Viv.</t>
  </si>
  <si>
    <t>$2,848,578</t>
  </si>
  <si>
    <t>$1,088,873</t>
  </si>
  <si>
    <t>N'Secure</t>
  </si>
  <si>
    <t>$2,595,644</t>
  </si>
  <si>
    <t>$1,166,406</t>
  </si>
  <si>
    <t>Never Let Me Go</t>
  </si>
  <si>
    <t>$2,434,652</t>
  </si>
  <si>
    <t>$111,734</t>
  </si>
  <si>
    <t>Twilight/New Moon Combo (one-night-only)</t>
  </si>
  <si>
    <t>$2,385,237</t>
  </si>
  <si>
    <t>The Illusionist (2010)</t>
  </si>
  <si>
    <t>$2,231,474</t>
  </si>
  <si>
    <t>Rabbit Hole</t>
  </si>
  <si>
    <t>$2,229,058</t>
  </si>
  <si>
    <t>$53,778</t>
  </si>
  <si>
    <t>A Prophet (Un prophète)</t>
  </si>
  <si>
    <t>$2,087,720</t>
  </si>
  <si>
    <t>$163,773</t>
  </si>
  <si>
    <t>I Love You, Phillip Morris</t>
  </si>
  <si>
    <t>$2,037,459</t>
  </si>
  <si>
    <t>$112,520</t>
  </si>
  <si>
    <t>Harry Brown</t>
  </si>
  <si>
    <t>$1,818,681</t>
  </si>
  <si>
    <t>$173,353</t>
  </si>
  <si>
    <t>Stone</t>
  </si>
  <si>
    <t>$1,810,078</t>
  </si>
  <si>
    <t>$75,766</t>
  </si>
  <si>
    <t>Somewhere</t>
  </si>
  <si>
    <t>$1,785,645</t>
  </si>
  <si>
    <t>$119,086</t>
  </si>
  <si>
    <t>Flipped</t>
  </si>
  <si>
    <t>$1,755,212</t>
  </si>
  <si>
    <t>$224,233</t>
  </si>
  <si>
    <t>Kites</t>
  </si>
  <si>
    <t>$1,643,486</t>
  </si>
  <si>
    <t>$959,329</t>
  </si>
  <si>
    <t>Coco Chanel &amp; Igor Stravinsky</t>
  </si>
  <si>
    <t>$1,621,226</t>
  </si>
  <si>
    <t>$44,454</t>
  </si>
  <si>
    <t>Cairo Time</t>
  </si>
  <si>
    <t>$1,603,616</t>
  </si>
  <si>
    <t>$66,245</t>
  </si>
  <si>
    <t>Raajneeti</t>
  </si>
  <si>
    <t>$1,514,558</t>
  </si>
  <si>
    <t>$850,244</t>
  </si>
  <si>
    <t>The Joneses</t>
  </si>
  <si>
    <t>$1,475,746</t>
  </si>
  <si>
    <t>$509,689</t>
  </si>
  <si>
    <t>Nowhere Boy</t>
  </si>
  <si>
    <t>$1,457,248</t>
  </si>
  <si>
    <t>$52,749</t>
  </si>
  <si>
    <t>Restrepo</t>
  </si>
  <si>
    <t>$1,330,894</t>
  </si>
  <si>
    <t>$35,581</t>
  </si>
  <si>
    <t>Dabangg</t>
  </si>
  <si>
    <t>$1,288,549</t>
  </si>
  <si>
    <t>$628,137</t>
  </si>
  <si>
    <t>Micmacs</t>
  </si>
  <si>
    <t>$1,262,079</t>
  </si>
  <si>
    <t>$42,751</t>
  </si>
  <si>
    <t>Housefull</t>
  </si>
  <si>
    <t>$1,183,658</t>
  </si>
  <si>
    <t>$642,156</t>
  </si>
  <si>
    <t>Golmaal 3</t>
  </si>
  <si>
    <t>$1,132,192</t>
  </si>
  <si>
    <t>$626,432</t>
  </si>
  <si>
    <t>Mother and Child</t>
  </si>
  <si>
    <t>$1,110,509</t>
  </si>
  <si>
    <t>Made in Dagenham</t>
  </si>
  <si>
    <t>$1,095,369</t>
  </si>
  <si>
    <t>$37,563</t>
  </si>
  <si>
    <t>Tees Maar Khan</t>
  </si>
  <si>
    <t>$1,076,443</t>
  </si>
  <si>
    <t>$539,793</t>
  </si>
  <si>
    <t>La Mission</t>
  </si>
  <si>
    <t>$1,062,941</t>
  </si>
  <si>
    <t>$49,046</t>
  </si>
  <si>
    <t>Buried</t>
  </si>
  <si>
    <t>$1,044,143</t>
  </si>
  <si>
    <t>$100,268</t>
  </si>
  <si>
    <t>Animal Kingdom</t>
  </si>
  <si>
    <t>$1,044,039</t>
  </si>
  <si>
    <t>$61,968</t>
  </si>
  <si>
    <t>Casino Jack</t>
  </si>
  <si>
    <t>$1,042,959</t>
  </si>
  <si>
    <t>$34,528</t>
  </si>
  <si>
    <t>The Perfect Game</t>
  </si>
  <si>
    <t>IW</t>
  </si>
  <si>
    <t>$1,037,071</t>
  </si>
  <si>
    <t>$511,698</t>
  </si>
  <si>
    <t>2010 Oscar Shorts</t>
  </si>
  <si>
    <t>$1,018,169</t>
  </si>
  <si>
    <t>$291,360</t>
  </si>
  <si>
    <t>Guzaarish</t>
  </si>
  <si>
    <t>$1,017,335</t>
  </si>
  <si>
    <t>$488,121</t>
  </si>
  <si>
    <t>The Salvation Poem (Poema de Salvacion)</t>
  </si>
  <si>
    <t>$914,818</t>
  </si>
  <si>
    <t>The Wildest Dream</t>
  </si>
  <si>
    <t>$898,137</t>
  </si>
  <si>
    <t>$67,848</t>
  </si>
  <si>
    <t>Princess Kaiulani</t>
  </si>
  <si>
    <t>$883,887</t>
  </si>
  <si>
    <t>$186,995</t>
  </si>
  <si>
    <t>Anjaana Anjaani</t>
  </si>
  <si>
    <t>$854,757</t>
  </si>
  <si>
    <t>$517,608</t>
  </si>
  <si>
    <t>I Hate Luv Storys</t>
  </si>
  <si>
    <t>$847,993</t>
  </si>
  <si>
    <t>$375,297</t>
  </si>
  <si>
    <t>What If...</t>
  </si>
  <si>
    <t>$814,906</t>
  </si>
  <si>
    <t>$49,770</t>
  </si>
  <si>
    <t>The Tillman Story</t>
  </si>
  <si>
    <t>$802,535</t>
  </si>
  <si>
    <t>$52,185</t>
  </si>
  <si>
    <t>Peepli Live</t>
  </si>
  <si>
    <t>$757,951</t>
  </si>
  <si>
    <t>$350,054</t>
  </si>
  <si>
    <t>Middle Men</t>
  </si>
  <si>
    <t>$754,301</t>
  </si>
  <si>
    <t>$325,641</t>
  </si>
  <si>
    <t>North Face</t>
  </si>
  <si>
    <t>$711,421</t>
  </si>
  <si>
    <t>Raavan</t>
  </si>
  <si>
    <t>$708,726</t>
  </si>
  <si>
    <t>$482,760</t>
  </si>
  <si>
    <t>The Secret of Kells</t>
  </si>
  <si>
    <t>$676,775</t>
  </si>
  <si>
    <t>$39,826</t>
  </si>
  <si>
    <t>Mid-August Lunch</t>
  </si>
  <si>
    <t>$675,299</t>
  </si>
  <si>
    <t>$13,090</t>
  </si>
  <si>
    <t>The Polar Express (IMAX re-issue 2010)</t>
  </si>
  <si>
    <t>$672,796</t>
  </si>
  <si>
    <t>$80,505</t>
  </si>
  <si>
    <t>The Concert</t>
  </si>
  <si>
    <t>$657,986</t>
  </si>
  <si>
    <t>$21,742</t>
  </si>
  <si>
    <t>We Are Family</t>
  </si>
  <si>
    <t>$638,144</t>
  </si>
  <si>
    <t>$296,907</t>
  </si>
  <si>
    <t>The Virginity Hit</t>
  </si>
  <si>
    <t>$636,706</t>
  </si>
  <si>
    <t>$301,885</t>
  </si>
  <si>
    <t>Ajami</t>
  </si>
  <si>
    <t>$622,403</t>
  </si>
  <si>
    <t>$35,792</t>
  </si>
  <si>
    <t>Agora</t>
  </si>
  <si>
    <t>$619,423</t>
  </si>
  <si>
    <t>$33,262</t>
  </si>
  <si>
    <t>Vincere</t>
  </si>
  <si>
    <t>$619,162</t>
  </si>
  <si>
    <t>$18,096</t>
  </si>
  <si>
    <t>Howl</t>
  </si>
  <si>
    <t>$617,334</t>
  </si>
  <si>
    <t>$51,185</t>
  </si>
  <si>
    <t>Elvis On Tour 75th Anniversary</t>
  </si>
  <si>
    <t>$587,818</t>
  </si>
  <si>
    <t>All Good Things</t>
  </si>
  <si>
    <t>$582,024</t>
  </si>
  <si>
    <t>$37,172</t>
  </si>
  <si>
    <t>Tamara Drewe</t>
  </si>
  <si>
    <t>$560,391</t>
  </si>
  <si>
    <t>$18,604</t>
  </si>
  <si>
    <t>Mesrine: Killer Instinct</t>
  </si>
  <si>
    <t>$551,697</t>
  </si>
  <si>
    <t>$152,873</t>
  </si>
  <si>
    <t>Mother (2010)</t>
  </si>
  <si>
    <t>$551,509</t>
  </si>
  <si>
    <t>$35,858</t>
  </si>
  <si>
    <t>Ondine</t>
  </si>
  <si>
    <t>$550,472</t>
  </si>
  <si>
    <t>$27,497</t>
  </si>
  <si>
    <t>The Art of the Steal</t>
  </si>
  <si>
    <t>$544,890</t>
  </si>
  <si>
    <t>$39,019</t>
  </si>
  <si>
    <t>Jack Goes Boating</t>
  </si>
  <si>
    <t>$541,992</t>
  </si>
  <si>
    <t>$28,916</t>
  </si>
  <si>
    <t>Khatta Meetha</t>
  </si>
  <si>
    <t>$541,904</t>
  </si>
  <si>
    <t>$309,211</t>
  </si>
  <si>
    <t>Standing Ovation</t>
  </si>
  <si>
    <t>$531,806</t>
  </si>
  <si>
    <t>$343,125</t>
  </si>
  <si>
    <t>Mademoiselle Chambon</t>
  </si>
  <si>
    <t>$531,685</t>
  </si>
  <si>
    <t>$19,446</t>
  </si>
  <si>
    <t>Metropolis (2010 re-issue)</t>
  </si>
  <si>
    <t>$529,603</t>
  </si>
  <si>
    <t>$19,978</t>
  </si>
  <si>
    <t>The Man From Nowhere</t>
  </si>
  <si>
    <t>$528,175</t>
  </si>
  <si>
    <t>$35,751</t>
  </si>
  <si>
    <t>Veer (2010)</t>
  </si>
  <si>
    <t>$527,193</t>
  </si>
  <si>
    <t>$334,562</t>
  </si>
  <si>
    <t>Preacher's Kid</t>
  </si>
  <si>
    <t>8X</t>
  </si>
  <si>
    <t>$515,065</t>
  </si>
  <si>
    <t>$190,638</t>
  </si>
  <si>
    <t>Heartbreaker</t>
  </si>
  <si>
    <t>$504,030</t>
  </si>
  <si>
    <t>$52,628</t>
  </si>
  <si>
    <t>The City of Your Final Destination</t>
  </si>
  <si>
    <t>$493,296</t>
  </si>
  <si>
    <t>$24,401</t>
  </si>
  <si>
    <t>The Most Dangerous Man in America: Daniel Ellsberg and the Pentagon Papers</t>
  </si>
  <si>
    <t>$453,993</t>
  </si>
  <si>
    <t>$1,114</t>
  </si>
  <si>
    <t>The Extra Man</t>
  </si>
  <si>
    <t>$453,377</t>
  </si>
  <si>
    <t>$18,861</t>
  </si>
  <si>
    <t>Vision</t>
  </si>
  <si>
    <t>$435,274</t>
  </si>
  <si>
    <t>$11,406</t>
  </si>
  <si>
    <t>I Want Your Money</t>
  </si>
  <si>
    <t>$433,588</t>
  </si>
  <si>
    <t>$249,428</t>
  </si>
  <si>
    <t>Break Ke Baad</t>
  </si>
  <si>
    <t>$427,628</t>
  </si>
  <si>
    <t>$194,737</t>
  </si>
  <si>
    <t>If You Are the One 2 (Fei Cheng Wu Rao II)</t>
  </si>
  <si>
    <t>$426,894</t>
  </si>
  <si>
    <t>$182,517</t>
  </si>
  <si>
    <t>I'm Still Here</t>
  </si>
  <si>
    <t>$408,983</t>
  </si>
  <si>
    <t>$96,658</t>
  </si>
  <si>
    <t>$406,116</t>
  </si>
  <si>
    <t>Wild Grass</t>
  </si>
  <si>
    <t>$403,952</t>
  </si>
  <si>
    <t>$39,162</t>
  </si>
  <si>
    <t>Tiny Furniture</t>
  </si>
  <si>
    <t>$391,674</t>
  </si>
  <si>
    <t>$21,235</t>
  </si>
  <si>
    <t>Fish Tank</t>
  </si>
  <si>
    <t>$374,675</t>
  </si>
  <si>
    <t>$25,854</t>
  </si>
  <si>
    <t>Lebanon</t>
  </si>
  <si>
    <t>$368,088</t>
  </si>
  <si>
    <t>$17,145</t>
  </si>
  <si>
    <t>Grease (Sing-a-Long re-issue)</t>
  </si>
  <si>
    <t>$365,802</t>
  </si>
  <si>
    <t>$60,759</t>
  </si>
  <si>
    <t>Breathless (2010 re-issue)</t>
  </si>
  <si>
    <t>$363,031</t>
  </si>
  <si>
    <t>$32,424</t>
  </si>
  <si>
    <t>Like Dandelion Dust</t>
  </si>
  <si>
    <t>BCR</t>
  </si>
  <si>
    <t>$352,810</t>
  </si>
  <si>
    <t>$77,960</t>
  </si>
  <si>
    <t>Creation</t>
  </si>
  <si>
    <t>$341,323</t>
  </si>
  <si>
    <t>$53,073</t>
  </si>
  <si>
    <t>Enter the Void</t>
  </si>
  <si>
    <t>$336,467</t>
  </si>
  <si>
    <t>$43,651</t>
  </si>
  <si>
    <t>Kings of Pastry</t>
  </si>
  <si>
    <t>$336,386</t>
  </si>
  <si>
    <t>$15,162</t>
  </si>
  <si>
    <t>A Film Unfinished</t>
  </si>
  <si>
    <t>$320,486</t>
  </si>
  <si>
    <t>$34,060</t>
  </si>
  <si>
    <t>The Yellow Handkerchief</t>
  </si>
  <si>
    <t>$318,623</t>
  </si>
  <si>
    <t>$37,296</t>
  </si>
  <si>
    <t>Today's Special</t>
  </si>
  <si>
    <t>$317,831</t>
  </si>
  <si>
    <t>$90,639</t>
  </si>
  <si>
    <t>Four Lions</t>
  </si>
  <si>
    <t>$304,616</t>
  </si>
  <si>
    <t>$41,512</t>
  </si>
  <si>
    <t>White Material</t>
  </si>
  <si>
    <t>$304,020</t>
  </si>
  <si>
    <t>$34,613</t>
  </si>
  <si>
    <t>Holy Rollers</t>
  </si>
  <si>
    <t>FInd.</t>
  </si>
  <si>
    <t>$303,064</t>
  </si>
  <si>
    <t>$39,685</t>
  </si>
  <si>
    <t>Last Train Home</t>
  </si>
  <si>
    <t>$288,328</t>
  </si>
  <si>
    <t>$20,418</t>
  </si>
  <si>
    <t>Karthik Calling Karthik</t>
  </si>
  <si>
    <t>$286,409</t>
  </si>
  <si>
    <t>$179,643</t>
  </si>
  <si>
    <t>No Problem</t>
  </si>
  <si>
    <t>$285,468</t>
  </si>
  <si>
    <t>$242,116</t>
  </si>
  <si>
    <t>Life During Wartime</t>
  </si>
  <si>
    <t>$281,447</t>
  </si>
  <si>
    <t>$30,507</t>
  </si>
  <si>
    <t>The Tempest</t>
  </si>
  <si>
    <t>$277,943</t>
  </si>
  <si>
    <t>$42,436</t>
  </si>
  <si>
    <t>Soul Kitchen</t>
  </si>
  <si>
    <t>$276,901</t>
  </si>
  <si>
    <t>$20,916</t>
  </si>
  <si>
    <t>Mesrine: Public Enemy No. 1</t>
  </si>
  <si>
    <t>$275,387</t>
  </si>
  <si>
    <t>$74,449</t>
  </si>
  <si>
    <t>Countdown to Zero</t>
  </si>
  <si>
    <t>$272,040</t>
  </si>
  <si>
    <t>$41,307</t>
  </si>
  <si>
    <t>Jean-Michel Basquiat: The Radiant Child</t>
  </si>
  <si>
    <t>Arth.</t>
  </si>
  <si>
    <t>$256,242</t>
  </si>
  <si>
    <t>$17,466</t>
  </si>
  <si>
    <t>My Dog Tulip</t>
  </si>
  <si>
    <t>$246,574</t>
  </si>
  <si>
    <t>$11,550</t>
  </si>
  <si>
    <t>Frozen (2010)</t>
  </si>
  <si>
    <t>$246,176</t>
  </si>
  <si>
    <t>$131,395</t>
  </si>
  <si>
    <t>When You're Strange</t>
  </si>
  <si>
    <t>$246,078</t>
  </si>
  <si>
    <t>$66,833</t>
  </si>
  <si>
    <t>Monsters</t>
  </si>
  <si>
    <t>$237,301</t>
  </si>
  <si>
    <t>$20,508</t>
  </si>
  <si>
    <t>Rare Exports: A Christmas Tale</t>
  </si>
  <si>
    <t>$236,347</t>
  </si>
  <si>
    <t>$9,281</t>
  </si>
  <si>
    <t>The Exorcist Extended Director's Cut</t>
  </si>
  <si>
    <t>$235,134</t>
  </si>
  <si>
    <t>Formosa Betrayed</t>
  </si>
  <si>
    <t>$225,341</t>
  </si>
  <si>
    <t>$77,326</t>
  </si>
  <si>
    <t>The Black Waters of Echo's Pond</t>
  </si>
  <si>
    <t>PM</t>
  </si>
  <si>
    <t>$224,409</t>
  </si>
  <si>
    <t>The Killer Inside Me</t>
  </si>
  <si>
    <t>$217,277</t>
  </si>
  <si>
    <t>$11,083</t>
  </si>
  <si>
    <t>La Soga</t>
  </si>
  <si>
    <t>7-57</t>
  </si>
  <si>
    <t>$210,625</t>
  </si>
  <si>
    <t>$52,554</t>
  </si>
  <si>
    <t>The Girl on the Train</t>
  </si>
  <si>
    <t>$208,023</t>
  </si>
  <si>
    <t>$19,154</t>
  </si>
  <si>
    <t>Sweetgrass</t>
  </si>
  <si>
    <t>$207,473</t>
  </si>
  <si>
    <t>$9,870</t>
  </si>
  <si>
    <t>Legendary</t>
  </si>
  <si>
    <t>$200,393</t>
  </si>
  <si>
    <t>$126,964</t>
  </si>
  <si>
    <t>South of the Border</t>
  </si>
  <si>
    <t>$198,600</t>
  </si>
  <si>
    <t>$21,545</t>
  </si>
  <si>
    <t>The Nutcracker in 3D</t>
  </si>
  <si>
    <t>$195,459</t>
  </si>
  <si>
    <t>$65,944</t>
  </si>
  <si>
    <t>A Woman, A Gun and A Noodle Shop</t>
  </si>
  <si>
    <t>$190,946</t>
  </si>
  <si>
    <t>$27,330</t>
  </si>
  <si>
    <t>Client 9: The Rise and Fall of Eliot Spitzer</t>
  </si>
  <si>
    <t>$189,416</t>
  </si>
  <si>
    <t>$16,962</t>
  </si>
  <si>
    <t>Nick Saban: Gamechanger</t>
  </si>
  <si>
    <t>FLF</t>
  </si>
  <si>
    <t>$188,786</t>
  </si>
  <si>
    <t>Waste Land</t>
  </si>
  <si>
    <t>$187,716</t>
  </si>
  <si>
    <t>$9,806</t>
  </si>
  <si>
    <t>Twelve</t>
  </si>
  <si>
    <t>$183,920</t>
  </si>
  <si>
    <t>$110,238</t>
  </si>
  <si>
    <t>Human Centipede</t>
  </si>
  <si>
    <t>$181,467</t>
  </si>
  <si>
    <t>$12,424</t>
  </si>
  <si>
    <t>Winnebago Man</t>
  </si>
  <si>
    <t>$181,039</t>
  </si>
  <si>
    <t>$16,469</t>
  </si>
  <si>
    <t>Casino Jack and the United States of Money</t>
  </si>
  <si>
    <t>$176,865</t>
  </si>
  <si>
    <t>$28,234</t>
  </si>
  <si>
    <t>71 Into the Fire</t>
  </si>
  <si>
    <t>JS</t>
  </si>
  <si>
    <t>$176,638</t>
  </si>
  <si>
    <t>$77,161</t>
  </si>
  <si>
    <t>Leaving</t>
  </si>
  <si>
    <t>$176,113</t>
  </si>
  <si>
    <t>$12,697</t>
  </si>
  <si>
    <t>Terribly Happy</t>
  </si>
  <si>
    <t>$170,943</t>
  </si>
  <si>
    <t>Chance Pe Dance</t>
  </si>
  <si>
    <t>$168,643</t>
  </si>
  <si>
    <t>$117,917</t>
  </si>
  <si>
    <t>Genius Within: The Inner Life of Glenn Gould</t>
  </si>
  <si>
    <t>$167,508</t>
  </si>
  <si>
    <t>$17,034</t>
  </si>
  <si>
    <t>The Disappearance of Alice Creed</t>
  </si>
  <si>
    <t>$166,980</t>
  </si>
  <si>
    <t>$40,258</t>
  </si>
  <si>
    <t>De Mai Tinh (Fool for Love)</t>
  </si>
  <si>
    <t>$165,987</t>
  </si>
  <si>
    <t>$49,313</t>
  </si>
  <si>
    <t>Welcome to the Rileys</t>
  </si>
  <si>
    <t>$158,898</t>
  </si>
  <si>
    <t>$42,145</t>
  </si>
  <si>
    <t>Red Riding Trilogy</t>
  </si>
  <si>
    <t>$151,644</t>
  </si>
  <si>
    <t>$14,526</t>
  </si>
  <si>
    <t>The Cremaster Cycle (re-issue)</t>
  </si>
  <si>
    <t>$151,239</t>
  </si>
  <si>
    <t>$7,982</t>
  </si>
  <si>
    <t>House (re-release)</t>
  </si>
  <si>
    <t>$150,284</t>
  </si>
  <si>
    <t>$12,032</t>
  </si>
  <si>
    <t>$150,000</t>
  </si>
  <si>
    <t>$14,825</t>
  </si>
  <si>
    <t>Carlos</t>
  </si>
  <si>
    <t>$145,526</t>
  </si>
  <si>
    <t>$20,006</t>
  </si>
  <si>
    <t>Father of My Children</t>
  </si>
  <si>
    <t>$144,022</t>
  </si>
  <si>
    <t>$10,414</t>
  </si>
  <si>
    <t>The Weathered Underground</t>
  </si>
  <si>
    <t>$140,091</t>
  </si>
  <si>
    <t>$1,010</t>
  </si>
  <si>
    <t>Chain Letter</t>
  </si>
  <si>
    <t>NFC</t>
  </si>
  <si>
    <t>$138,788</t>
  </si>
  <si>
    <t>Love Ranch</t>
  </si>
  <si>
    <t>$137,885</t>
  </si>
  <si>
    <t>$44,220</t>
  </si>
  <si>
    <t>Pure Country 2</t>
  </si>
  <si>
    <t>$133,771</t>
  </si>
  <si>
    <t>The Eclipse</t>
  </si>
  <si>
    <t>$133,411</t>
  </si>
  <si>
    <t>$13,207</t>
  </si>
  <si>
    <t>Warlords</t>
  </si>
  <si>
    <t>$129,078</t>
  </si>
  <si>
    <t>$10,073</t>
  </si>
  <si>
    <t>The Good, the Bad, the Weird</t>
  </si>
  <si>
    <t>$128,486</t>
  </si>
  <si>
    <t>$4,775</t>
  </si>
  <si>
    <t>Stonewall Uprising</t>
  </si>
  <si>
    <t>$128,203</t>
  </si>
  <si>
    <t>$15,729</t>
  </si>
  <si>
    <t>Lovely, Still</t>
  </si>
  <si>
    <t>$127,564</t>
  </si>
  <si>
    <t>Ran (2010 re-issue)</t>
  </si>
  <si>
    <t>$124,673</t>
  </si>
  <si>
    <t>$10,245</t>
  </si>
  <si>
    <t>Centurion</t>
  </si>
  <si>
    <t>$123,570</t>
  </si>
  <si>
    <t>$42,826</t>
  </si>
  <si>
    <t>Valley of the Heart's Delight</t>
  </si>
  <si>
    <t>$119,290</t>
  </si>
  <si>
    <t>$5,164</t>
  </si>
  <si>
    <t>See What I'm Saying: The Deaf Entertainers Documentary</t>
  </si>
  <si>
    <t>WP</t>
  </si>
  <si>
    <t>$118,206</t>
  </si>
  <si>
    <t>$4,996</t>
  </si>
  <si>
    <t>Touching Home</t>
  </si>
  <si>
    <t>$116,353</t>
  </si>
  <si>
    <t>$47,382</t>
  </si>
  <si>
    <t>The Greatest (2010)</t>
  </si>
  <si>
    <t>$114,766</t>
  </si>
  <si>
    <t>$33,616</t>
  </si>
  <si>
    <t>Bran Nue Dae</t>
  </si>
  <si>
    <t>$113,568</t>
  </si>
  <si>
    <t>$23,527</t>
  </si>
  <si>
    <t>Marwencol</t>
  </si>
  <si>
    <t>$112,036</t>
  </si>
  <si>
    <t>$3,276</t>
  </si>
  <si>
    <t>Let it Rain</t>
  </si>
  <si>
    <t>$111,844</t>
  </si>
  <si>
    <t>$16,290</t>
  </si>
  <si>
    <t>Dogtooth</t>
  </si>
  <si>
    <t>$110,248</t>
  </si>
  <si>
    <t>$6,686</t>
  </si>
  <si>
    <t>Best Worst Movie</t>
  </si>
  <si>
    <t>$109,895</t>
  </si>
  <si>
    <t>$5,503</t>
  </si>
  <si>
    <t>Blood Done Sign My Name</t>
  </si>
  <si>
    <t>$109,383</t>
  </si>
  <si>
    <t>$82,739</t>
  </si>
  <si>
    <t>Undertow (2010)</t>
  </si>
  <si>
    <t>$108,620</t>
  </si>
  <si>
    <t>$6,749</t>
  </si>
  <si>
    <t>After.Life</t>
  </si>
  <si>
    <t>$108,595</t>
  </si>
  <si>
    <t>$59,946</t>
  </si>
  <si>
    <t>Wild Target</t>
  </si>
  <si>
    <t>$108,589</t>
  </si>
  <si>
    <t>$23,174</t>
  </si>
  <si>
    <t>Inspector Bellamy</t>
  </si>
  <si>
    <t>$107,612</t>
  </si>
  <si>
    <t>$20,635</t>
  </si>
  <si>
    <t>The Romantics</t>
  </si>
  <si>
    <t>FOAK</t>
  </si>
  <si>
    <t>$106,524</t>
  </si>
  <si>
    <t>$45,527</t>
  </si>
  <si>
    <t>Saint John of Las Vegas</t>
  </si>
  <si>
    <t>IVP</t>
  </si>
  <si>
    <t>$102,645</t>
  </si>
  <si>
    <t>$21,666</t>
  </si>
  <si>
    <t>Everyone Else</t>
  </si>
  <si>
    <t>$102,042</t>
  </si>
  <si>
    <t>$10,810</t>
  </si>
  <si>
    <t>George A. Romero's Survival of the Dead</t>
  </si>
  <si>
    <t>$101,740</t>
  </si>
  <si>
    <t>$43,757</t>
  </si>
  <si>
    <t>Freakonomics</t>
  </si>
  <si>
    <t>$101,270</t>
  </si>
  <si>
    <t>$31,893</t>
  </si>
  <si>
    <t>Feed the Fish</t>
  </si>
  <si>
    <t>$101,170</t>
  </si>
  <si>
    <t>$5,820</t>
  </si>
  <si>
    <t>The Good Guy</t>
  </si>
  <si>
    <t>$100,688</t>
  </si>
  <si>
    <t>$34,712</t>
  </si>
  <si>
    <t>8: The Mormon Proposition</t>
  </si>
  <si>
    <t>$100,280</t>
  </si>
  <si>
    <t>$42,566</t>
  </si>
  <si>
    <t>Bhutto</t>
  </si>
  <si>
    <t>$100,202</t>
  </si>
  <si>
    <t>$8,275</t>
  </si>
  <si>
    <t>Kings of the Evening</t>
  </si>
  <si>
    <t>$99,270</t>
  </si>
  <si>
    <t>$11,156</t>
  </si>
  <si>
    <t>Outside the Law (Hors-la-loi)</t>
  </si>
  <si>
    <t>$96,933</t>
  </si>
  <si>
    <t>I Spit on Your Grave</t>
  </si>
  <si>
    <t>$93,051</t>
  </si>
  <si>
    <t>$32,440</t>
  </si>
  <si>
    <t>Oy Vey! My Son is Gay!</t>
  </si>
  <si>
    <t>SJI</t>
  </si>
  <si>
    <t>$89,507</t>
  </si>
  <si>
    <t>$4,042</t>
  </si>
  <si>
    <t>OSS 117: Lost in Rio</t>
  </si>
  <si>
    <t>$89,375</t>
  </si>
  <si>
    <t>$10,243</t>
  </si>
  <si>
    <t>Crazy on the Outside</t>
  </si>
  <si>
    <t>$88,335</t>
  </si>
  <si>
    <t>$64,438</t>
  </si>
  <si>
    <t>The Cartel</t>
  </si>
  <si>
    <t>MP</t>
  </si>
  <si>
    <t>$87,763</t>
  </si>
  <si>
    <t>$3,694</t>
  </si>
  <si>
    <t>No One Knows About Persian Cats</t>
  </si>
  <si>
    <t>$81,768</t>
  </si>
  <si>
    <t>$8,843</t>
  </si>
  <si>
    <t>Kisses</t>
  </si>
  <si>
    <t>$81,680</t>
  </si>
  <si>
    <t>Summer Wars</t>
  </si>
  <si>
    <t>$80,768</t>
  </si>
  <si>
    <t>$1,412</t>
  </si>
  <si>
    <t>Waking Sleeping Beauty</t>
  </si>
  <si>
    <t>$80,741</t>
  </si>
  <si>
    <t>$33,115</t>
  </si>
  <si>
    <t>Breaking Upwards</t>
  </si>
  <si>
    <t>$77,389</t>
  </si>
  <si>
    <t>Night Catches Us</t>
  </si>
  <si>
    <t>$76,185</t>
  </si>
  <si>
    <t>$13,562</t>
  </si>
  <si>
    <t>Prodigal Sons</t>
  </si>
  <si>
    <t>$73,544</t>
  </si>
  <si>
    <t>$6,102</t>
  </si>
  <si>
    <t>Enemies of the People</t>
  </si>
  <si>
    <t>$73,171</t>
  </si>
  <si>
    <t>$2,277</t>
  </si>
  <si>
    <t>The Sicilian Girl</t>
  </si>
  <si>
    <t>$71,239</t>
  </si>
  <si>
    <t>Rosencrantz &amp; Guildenstern Are Undead</t>
  </si>
  <si>
    <t>$71,007</t>
  </si>
  <si>
    <t>$14,370</t>
  </si>
  <si>
    <t>Leaves of Grass</t>
  </si>
  <si>
    <t>First</t>
  </si>
  <si>
    <t>$70,066</t>
  </si>
  <si>
    <t>$20,987</t>
  </si>
  <si>
    <t>Strange Powers: Stephin Merritt and the Magnetic Fields</t>
  </si>
  <si>
    <t>$68,719</t>
  </si>
  <si>
    <t>Budrus</t>
  </si>
  <si>
    <t>$68,353</t>
  </si>
  <si>
    <t>$7,819</t>
  </si>
  <si>
    <t>2012: Time for Change</t>
  </si>
  <si>
    <t>Mang.</t>
  </si>
  <si>
    <t>$68,339</t>
  </si>
  <si>
    <t>$9,009</t>
  </si>
  <si>
    <t>Le Amiche (re-issue)</t>
  </si>
  <si>
    <t>$68,167</t>
  </si>
  <si>
    <t>John Rabe</t>
  </si>
  <si>
    <t>$67,519</t>
  </si>
  <si>
    <t>$4,892</t>
  </si>
  <si>
    <t>The Sun Behind the Clouds: Tibet's Struggle for Freedom</t>
  </si>
  <si>
    <t>$67,095</t>
  </si>
  <si>
    <t>$10,884</t>
  </si>
  <si>
    <t>Dancing Across Borders</t>
  </si>
  <si>
    <t>$66,166</t>
  </si>
  <si>
    <t>Racing Dreams</t>
  </si>
  <si>
    <t>$65,082</t>
  </si>
  <si>
    <t>$20,048</t>
  </si>
  <si>
    <t>Aftershock (Tangshan Dadizhen)</t>
  </si>
  <si>
    <t>$62,962</t>
  </si>
  <si>
    <t>$19,329</t>
  </si>
  <si>
    <t>Cool It</t>
  </si>
  <si>
    <t>$62,713</t>
  </si>
  <si>
    <t>Alamar</t>
  </si>
  <si>
    <t>$61,613</t>
  </si>
  <si>
    <t>$7,668</t>
  </si>
  <si>
    <t>Orlando (re-issue)</t>
  </si>
  <si>
    <t>$58,198</t>
  </si>
  <si>
    <t>$10,885</t>
  </si>
  <si>
    <t>Looking for Eric</t>
  </si>
  <si>
    <t>$6,743</t>
  </si>
  <si>
    <t>The Nature of Existence</t>
  </si>
  <si>
    <t>WS</t>
  </si>
  <si>
    <t>$54,645</t>
  </si>
  <si>
    <t>$2,977</t>
  </si>
  <si>
    <t>The Lottery</t>
  </si>
  <si>
    <t>$54,543</t>
  </si>
  <si>
    <t>$16,435</t>
  </si>
  <si>
    <t>The Harimaya Bridge</t>
  </si>
  <si>
    <t>$54,473</t>
  </si>
  <si>
    <t>Harlan: In the Shadow of Jew Suss</t>
  </si>
  <si>
    <t>$54,305</t>
  </si>
  <si>
    <t>$9,258</t>
  </si>
  <si>
    <t>God of Vampires</t>
  </si>
  <si>
    <t>$53,345</t>
  </si>
  <si>
    <t>Hatchet 2</t>
  </si>
  <si>
    <t>$52,604</t>
  </si>
  <si>
    <t>Cropsey</t>
  </si>
  <si>
    <t>$52,476</t>
  </si>
  <si>
    <t>$6,306</t>
  </si>
  <si>
    <t>Breath Made Visible</t>
  </si>
  <si>
    <t>$52,387</t>
  </si>
  <si>
    <t>The Human Experience</t>
  </si>
  <si>
    <t>Gr.</t>
  </si>
  <si>
    <t>$52,296</t>
  </si>
  <si>
    <t>$27,170</t>
  </si>
  <si>
    <t>The Strange Case of Angelica</t>
  </si>
  <si>
    <t>$50,135</t>
  </si>
  <si>
    <t>$7,499</t>
  </si>
  <si>
    <t>Tales from Earthsea</t>
  </si>
  <si>
    <t>$48,461</t>
  </si>
  <si>
    <t>$20,614</t>
  </si>
  <si>
    <t>Every Man for Himself (2010 re-issue)</t>
  </si>
  <si>
    <t>$47,262</t>
  </si>
  <si>
    <t>$7,926</t>
  </si>
  <si>
    <t>Change of Plans</t>
  </si>
  <si>
    <t>$46,714</t>
  </si>
  <si>
    <t>$15,378</t>
  </si>
  <si>
    <t>Ca$h</t>
  </si>
  <si>
    <t>$46,488</t>
  </si>
  <si>
    <t>William S. Burroughs: A Man Within</t>
  </si>
  <si>
    <t>$46,380</t>
  </si>
  <si>
    <t>$6,510</t>
  </si>
  <si>
    <t>Defendor</t>
  </si>
  <si>
    <t>Dar.</t>
  </si>
  <si>
    <t>$44,462</t>
  </si>
  <si>
    <t>$13,265</t>
  </si>
  <si>
    <t>Band Baaja Baaraat</t>
  </si>
  <si>
    <t>$43,820</t>
  </si>
  <si>
    <t>The Oath</t>
  </si>
  <si>
    <t>$42,273</t>
  </si>
  <si>
    <t>$5,760</t>
  </si>
  <si>
    <t>On the Bowery (re-release)</t>
  </si>
  <si>
    <t>Mile.</t>
  </si>
  <si>
    <t>$41,802</t>
  </si>
  <si>
    <t>$13,236</t>
  </si>
  <si>
    <t>Kites: The Remix</t>
  </si>
  <si>
    <t>$41,783</t>
  </si>
  <si>
    <t>$24,869</t>
  </si>
  <si>
    <t>The Trouble with Terkel (2010)</t>
  </si>
  <si>
    <t>$40,385</t>
  </si>
  <si>
    <t>$3,972</t>
  </si>
  <si>
    <t>44 Inch Chest</t>
  </si>
  <si>
    <t>$39,033</t>
  </si>
  <si>
    <t>$4,185</t>
  </si>
  <si>
    <t>Nine Nation Animation</t>
  </si>
  <si>
    <t>Shorts</t>
  </si>
  <si>
    <t>$38,382</t>
  </si>
  <si>
    <t>$2,834</t>
  </si>
  <si>
    <t>The Legend of Pale Male</t>
  </si>
  <si>
    <t>$38,083</t>
  </si>
  <si>
    <t>$12,910</t>
  </si>
  <si>
    <t>The Red Baron</t>
  </si>
  <si>
    <t>$37,189</t>
  </si>
  <si>
    <t>Army of Crime</t>
  </si>
  <si>
    <t>$37,031</t>
  </si>
  <si>
    <t>$8,102</t>
  </si>
  <si>
    <t>District B13: Ultimatum</t>
  </si>
  <si>
    <t>$36,136</t>
  </si>
  <si>
    <t>$11,870</t>
  </si>
  <si>
    <t>Guy and Madeline on a Park Bench</t>
  </si>
  <si>
    <t>$35,556</t>
  </si>
  <si>
    <t>$3,233</t>
  </si>
  <si>
    <t>Hideaway (Le Refuge)</t>
  </si>
  <si>
    <t>$34,525</t>
  </si>
  <si>
    <t>$11,124</t>
  </si>
  <si>
    <t>$33,490</t>
  </si>
  <si>
    <t>$8,370</t>
  </si>
  <si>
    <t>Around a Small Mountain</t>
  </si>
  <si>
    <t>$33,216</t>
  </si>
  <si>
    <t>$5,326</t>
  </si>
  <si>
    <t>Ahead of Time</t>
  </si>
  <si>
    <t>$33,024</t>
  </si>
  <si>
    <t>$12,790</t>
  </si>
  <si>
    <t>Spoken Word</t>
  </si>
  <si>
    <t>$32,961</t>
  </si>
  <si>
    <t>$2,343</t>
  </si>
  <si>
    <t>Boxing Gym</t>
  </si>
  <si>
    <t>$32,476</t>
  </si>
  <si>
    <t>Beetle Queen Conquers Tokyo</t>
  </si>
  <si>
    <t>$32,308</t>
  </si>
  <si>
    <t>Living in Emergency</t>
  </si>
  <si>
    <t>$32,208</t>
  </si>
  <si>
    <t>$21,905</t>
  </si>
  <si>
    <t>180 South</t>
  </si>
  <si>
    <t>$31,745</t>
  </si>
  <si>
    <t>$10,269</t>
  </si>
  <si>
    <t>Who Is Harry Nilsson?</t>
  </si>
  <si>
    <t>$30,975</t>
  </si>
  <si>
    <t>$6,078</t>
  </si>
  <si>
    <t>GasLand</t>
  </si>
  <si>
    <t>$30,846</t>
  </si>
  <si>
    <t>$2,641</t>
  </si>
  <si>
    <t>Valhalla Rising</t>
  </si>
  <si>
    <t>$30,638</t>
  </si>
  <si>
    <t>$7,905</t>
  </si>
  <si>
    <t>Shanghai Red</t>
  </si>
  <si>
    <t>$30,353</t>
  </si>
  <si>
    <t>$3,008</t>
  </si>
  <si>
    <t>In My Sleep</t>
  </si>
  <si>
    <t>MSP</t>
  </si>
  <si>
    <t>$30,158</t>
  </si>
  <si>
    <t>$9,285</t>
  </si>
  <si>
    <t>Saint Misbehavin': The Wavy Gravy Movie</t>
  </si>
  <si>
    <t>$29,893</t>
  </si>
  <si>
    <t>$10,976</t>
  </si>
  <si>
    <t>Lbs.</t>
  </si>
  <si>
    <t>$29,866</t>
  </si>
  <si>
    <t>$11,690</t>
  </si>
  <si>
    <t>Multiple Sarcasms</t>
  </si>
  <si>
    <t>MAC</t>
  </si>
  <si>
    <t>$29,731</t>
  </si>
  <si>
    <t>$16,025</t>
  </si>
  <si>
    <t>Two in the Wave</t>
  </si>
  <si>
    <t>$28,808</t>
  </si>
  <si>
    <t>$5,676</t>
  </si>
  <si>
    <t>[Rec] 2</t>
  </si>
  <si>
    <t>$27,766</t>
  </si>
  <si>
    <t>$8,191</t>
  </si>
  <si>
    <t>Here and There</t>
  </si>
  <si>
    <t>$27,156</t>
  </si>
  <si>
    <t>$6,352</t>
  </si>
  <si>
    <t>Eyes Wide Open</t>
  </si>
  <si>
    <t>NAV</t>
  </si>
  <si>
    <t>$26,258</t>
  </si>
  <si>
    <t>$6,818</t>
  </si>
  <si>
    <t>October Country</t>
  </si>
  <si>
    <t>$26,185</t>
  </si>
  <si>
    <t>$7,026</t>
  </si>
  <si>
    <t>The Exploding Girl</t>
  </si>
  <si>
    <t>$25,572</t>
  </si>
  <si>
    <t>$5,910</t>
  </si>
  <si>
    <t>Henri-Georges Clouzot's Inferno</t>
  </si>
  <si>
    <t>$25,489</t>
  </si>
  <si>
    <t>Fresh (2010)</t>
  </si>
  <si>
    <t>$25,115</t>
  </si>
  <si>
    <t>Behind the Burly Q</t>
  </si>
  <si>
    <t>$23,889</t>
  </si>
  <si>
    <t>Videocracy</t>
  </si>
  <si>
    <t>$23,720</t>
  </si>
  <si>
    <t>$8,324</t>
  </si>
  <si>
    <t>The Other City</t>
  </si>
  <si>
    <t>CF</t>
  </si>
  <si>
    <t>$22,539</t>
  </si>
  <si>
    <t>$10,396</t>
  </si>
  <si>
    <t>Happy Tears</t>
  </si>
  <si>
    <t>$13,009</t>
  </si>
  <si>
    <t>Hemingway's Garden of Eden</t>
  </si>
  <si>
    <t>$12,404</t>
  </si>
  <si>
    <t>And Everything is Going Fine</t>
  </si>
  <si>
    <t>Daddy Longlegs</t>
  </si>
  <si>
    <t>$21,766</t>
  </si>
  <si>
    <t>$8,323</t>
  </si>
  <si>
    <t>Toe to Toe</t>
  </si>
  <si>
    <t>$21,648</t>
  </si>
  <si>
    <t>$5,205</t>
  </si>
  <si>
    <t>Red Hill</t>
  </si>
  <si>
    <t>$21,087</t>
  </si>
  <si>
    <t>$8,650</t>
  </si>
  <si>
    <t>The Good Heart</t>
  </si>
  <si>
    <t>$20,930</t>
  </si>
  <si>
    <t>$5,955</t>
  </si>
  <si>
    <t>Douchebag</t>
  </si>
  <si>
    <t>$20,615</t>
  </si>
  <si>
    <t>$2,966</t>
  </si>
  <si>
    <t>The Korean</t>
  </si>
  <si>
    <t>$20,279</t>
  </si>
  <si>
    <t>$4,002</t>
  </si>
  <si>
    <t>Double Take (2010)</t>
  </si>
  <si>
    <t>$20,218</t>
  </si>
  <si>
    <t>Shoah</t>
  </si>
  <si>
    <t>$20,175</t>
  </si>
  <si>
    <t>$2,874</t>
  </si>
  <si>
    <t>The Trial (2010)</t>
  </si>
  <si>
    <t>MTop</t>
  </si>
  <si>
    <t>$19,753</t>
  </si>
  <si>
    <t>$8,957</t>
  </si>
  <si>
    <t>Neshoba: The Price of Freedom</t>
  </si>
  <si>
    <t>$19,245</t>
  </si>
  <si>
    <t>$4,645</t>
  </si>
  <si>
    <t>The People I've Slept With</t>
  </si>
  <si>
    <t>PP</t>
  </si>
  <si>
    <t>$19,137</t>
  </si>
  <si>
    <t>Off and Running</t>
  </si>
  <si>
    <t>$18,262</t>
  </si>
  <si>
    <t>$7,978</t>
  </si>
  <si>
    <t>Nenette</t>
  </si>
  <si>
    <t>$18,009</t>
  </si>
  <si>
    <t>$1,176</t>
  </si>
  <si>
    <t>Great Directors</t>
  </si>
  <si>
    <t>$17,921</t>
  </si>
  <si>
    <t>$5,440</t>
  </si>
  <si>
    <t>Bitch Slap</t>
  </si>
  <si>
    <t>$17,365</t>
  </si>
  <si>
    <t>$12,254</t>
  </si>
  <si>
    <t>The Law (re-release)</t>
  </si>
  <si>
    <t>$17,351</t>
  </si>
  <si>
    <t>Carbon Nation</t>
  </si>
  <si>
    <t>CWM</t>
  </si>
  <si>
    <t>$16,901</t>
  </si>
  <si>
    <t>The Freebie</t>
  </si>
  <si>
    <t>$16,613</t>
  </si>
  <si>
    <t>$4,309</t>
  </si>
  <si>
    <t>BoyBand</t>
  </si>
  <si>
    <t>A/A</t>
  </si>
  <si>
    <t>$15,628</t>
  </si>
  <si>
    <t>$7,591</t>
  </si>
  <si>
    <t>Dreamkiller</t>
  </si>
  <si>
    <t>Del.</t>
  </si>
  <si>
    <t>$861</t>
  </si>
  <si>
    <t>The Two Escobars</t>
  </si>
  <si>
    <t>ARF</t>
  </si>
  <si>
    <t>$14,457</t>
  </si>
  <si>
    <t>GhettoPhysics: Will the Real Pimps and Hos Please Stand Up?</t>
  </si>
  <si>
    <t>$14,034</t>
  </si>
  <si>
    <t>$10,087</t>
  </si>
  <si>
    <t>Don McKay</t>
  </si>
  <si>
    <t>$13,722</t>
  </si>
  <si>
    <t>Paper Man</t>
  </si>
  <si>
    <t>$13,514</t>
  </si>
  <si>
    <t>$8,613</t>
  </si>
  <si>
    <t>Handsome Harry</t>
  </si>
  <si>
    <t>Violet Tendencies</t>
  </si>
  <si>
    <t>Embr.</t>
  </si>
  <si>
    <t>$13,304</t>
  </si>
  <si>
    <t>Jim (2010)</t>
  </si>
  <si>
    <t>$13,015</t>
  </si>
  <si>
    <t>$7,809</t>
  </si>
  <si>
    <t>The Living Wake</t>
  </si>
  <si>
    <t>$12,232</t>
  </si>
  <si>
    <t>$3,821</t>
  </si>
  <si>
    <t>The Kids Grow Up</t>
  </si>
  <si>
    <t>$12,095</t>
  </si>
  <si>
    <t>Picture Me</t>
  </si>
  <si>
    <t>$12,008</t>
  </si>
  <si>
    <t>$6,718</t>
  </si>
  <si>
    <t>The Dry Land</t>
  </si>
  <si>
    <t>$11,777</t>
  </si>
  <si>
    <t>$7,351</t>
  </si>
  <si>
    <t>White Wedding</t>
  </si>
  <si>
    <t>$11,710</t>
  </si>
  <si>
    <t>Salt of this Sea</t>
  </si>
  <si>
    <t>$11,662</t>
  </si>
  <si>
    <t>After the Cup: Sons of Sakhnin United</t>
  </si>
  <si>
    <t>$11,538</t>
  </si>
  <si>
    <t>$2,501</t>
  </si>
  <si>
    <t>The Taqwacores</t>
  </si>
  <si>
    <t>$11,445</t>
  </si>
  <si>
    <t>$3,532</t>
  </si>
  <si>
    <t>Cherry</t>
  </si>
  <si>
    <t>$11,362</t>
  </si>
  <si>
    <t>$2,416</t>
  </si>
  <si>
    <t>Children of Invention</t>
  </si>
  <si>
    <t>$11,183</t>
  </si>
  <si>
    <t>$4,874</t>
  </si>
  <si>
    <t>Christina</t>
  </si>
  <si>
    <t>$11,000</t>
  </si>
  <si>
    <t>Spring Fever</t>
  </si>
  <si>
    <t>$10,824</t>
  </si>
  <si>
    <t>$854</t>
  </si>
  <si>
    <t>Terkel in Trouble</t>
  </si>
  <si>
    <t>$10,783</t>
  </si>
  <si>
    <t>Waiting for Armageddon</t>
  </si>
  <si>
    <t>$10,501</t>
  </si>
  <si>
    <t>$2,579</t>
  </si>
  <si>
    <t>The Milk of Sorrow</t>
  </si>
  <si>
    <t>$10,462</t>
  </si>
  <si>
    <t>$1,914</t>
  </si>
  <si>
    <t>Come Undone (2010)</t>
  </si>
  <si>
    <t>$10,035</t>
  </si>
  <si>
    <t>$2,030</t>
  </si>
  <si>
    <t>Circle</t>
  </si>
  <si>
    <t>$10,024</t>
  </si>
  <si>
    <t>$3,926</t>
  </si>
  <si>
    <t>Hugh Hefner: Playboy, Activist and Rebel</t>
  </si>
  <si>
    <t>Down Terrace</t>
  </si>
  <si>
    <t>$9,812</t>
  </si>
  <si>
    <t>$3,088</t>
  </si>
  <si>
    <t>Brutal Beauty: Tales of the Rose City Rollers</t>
  </si>
  <si>
    <t>$9,677</t>
  </si>
  <si>
    <t>Wonderful World</t>
  </si>
  <si>
    <t>$9,309</t>
  </si>
  <si>
    <t>$4,582</t>
  </si>
  <si>
    <t>Brotherhood (Broderskab)</t>
  </si>
  <si>
    <t>$8,979</t>
  </si>
  <si>
    <t>$2,341</t>
  </si>
  <si>
    <t>Only When I Dance</t>
  </si>
  <si>
    <t>$8,738</t>
  </si>
  <si>
    <t>$2,181</t>
  </si>
  <si>
    <t>All About Evil</t>
  </si>
  <si>
    <t>PC</t>
  </si>
  <si>
    <t>$7,995</t>
  </si>
  <si>
    <t>Stolen (2010)</t>
  </si>
  <si>
    <t>$7,943</t>
  </si>
  <si>
    <t>$1,035</t>
  </si>
  <si>
    <t>Mugabe and the White African</t>
  </si>
  <si>
    <t>$7,924</t>
  </si>
  <si>
    <t>$1,907</t>
  </si>
  <si>
    <t>Zenith</t>
  </si>
  <si>
    <t>$7,862</t>
  </si>
  <si>
    <t>$2,347</t>
  </si>
  <si>
    <t>Tales from the Script</t>
  </si>
  <si>
    <t>$7,535</t>
  </si>
  <si>
    <t>Udaan</t>
  </si>
  <si>
    <t>$7,461</t>
  </si>
  <si>
    <t>$2,715</t>
  </si>
  <si>
    <t>The Thorn in the Heart</t>
  </si>
  <si>
    <t>$7,376</t>
  </si>
  <si>
    <t>$5,173</t>
  </si>
  <si>
    <t>Gangster's Paradise: Jerusalema</t>
  </si>
  <si>
    <t>$7,294</t>
  </si>
  <si>
    <t>$4,958</t>
  </si>
  <si>
    <t>Happiness Runs</t>
  </si>
  <si>
    <t>$7,199</t>
  </si>
  <si>
    <t>$2,674</t>
  </si>
  <si>
    <t>RB</t>
  </si>
  <si>
    <t>Misconceptions</t>
  </si>
  <si>
    <t>Reg.</t>
  </si>
  <si>
    <t>$6,892</t>
  </si>
  <si>
    <t>$3,796</t>
  </si>
  <si>
    <t>Finding Bliss</t>
  </si>
  <si>
    <t>$6,783</t>
  </si>
  <si>
    <t>$2,115</t>
  </si>
  <si>
    <t>Mercy (2010)</t>
  </si>
  <si>
    <t>$6,780</t>
  </si>
  <si>
    <t>$1,776</t>
  </si>
  <si>
    <t>Regina Spektor: Live In London</t>
  </si>
  <si>
    <t>$6,684</t>
  </si>
  <si>
    <t>$1,798</t>
  </si>
  <si>
    <t>Dream Boy</t>
  </si>
  <si>
    <t>$6,534</t>
  </si>
  <si>
    <t>$2,243</t>
  </si>
  <si>
    <t>Watercolors</t>
  </si>
  <si>
    <t>$6,305</t>
  </si>
  <si>
    <t>The Red Chapel</t>
  </si>
  <si>
    <t>$6,196</t>
  </si>
  <si>
    <t>$2,459</t>
  </si>
  <si>
    <t>BearCity</t>
  </si>
  <si>
    <t>TLA</t>
  </si>
  <si>
    <t>Sweethearts of the Prison Rodeo</t>
  </si>
  <si>
    <t>Midnight Reckoning</t>
  </si>
  <si>
    <t>Wint.</t>
  </si>
  <si>
    <t>$5,673</t>
  </si>
  <si>
    <t>American Grindhouse</t>
  </si>
  <si>
    <t>$5,529</t>
  </si>
  <si>
    <t>Whiz Kids</t>
  </si>
  <si>
    <t>$5,386</t>
  </si>
  <si>
    <t>$1,333</t>
  </si>
  <si>
    <t>Speed-Dating</t>
  </si>
  <si>
    <t>$3,394</t>
  </si>
  <si>
    <t>Hadewijch</t>
  </si>
  <si>
    <t>$5,006</t>
  </si>
  <si>
    <t>$1,892</t>
  </si>
  <si>
    <t>The Oxford Murders</t>
  </si>
  <si>
    <t>$4,803</t>
  </si>
  <si>
    <t>$1,191</t>
  </si>
  <si>
    <t>To Die is Hard</t>
  </si>
  <si>
    <t>$4,549</t>
  </si>
  <si>
    <t>$112</t>
  </si>
  <si>
    <t>Promised Lands (2010 re-issue)</t>
  </si>
  <si>
    <t>$4,546</t>
  </si>
  <si>
    <t>$797</t>
  </si>
  <si>
    <t>Kimjongilia</t>
  </si>
  <si>
    <t>$4,362</t>
  </si>
  <si>
    <t>$1,497</t>
  </si>
  <si>
    <t>Helena From the Wedding</t>
  </si>
  <si>
    <t>$4,190</t>
  </si>
  <si>
    <t>Inhale</t>
  </si>
  <si>
    <t>$4,115</t>
  </si>
  <si>
    <t>Just Say Love</t>
  </si>
  <si>
    <t>$1,257</t>
  </si>
  <si>
    <t>In/Significant Others</t>
  </si>
  <si>
    <t>NPP</t>
  </si>
  <si>
    <t>$3,763</t>
  </si>
  <si>
    <t>$1,408</t>
  </si>
  <si>
    <t>Heartless</t>
  </si>
  <si>
    <t>$3,697</t>
  </si>
  <si>
    <t>$2,033</t>
  </si>
  <si>
    <t>Smash His Camera</t>
  </si>
  <si>
    <t>$3,644</t>
  </si>
  <si>
    <t>$2,367</t>
  </si>
  <si>
    <t>Metal Messiah</t>
  </si>
  <si>
    <t>Wind Pixie</t>
  </si>
  <si>
    <t>The Full Picture</t>
  </si>
  <si>
    <t>$3,467</t>
  </si>
  <si>
    <t>$1,358</t>
  </si>
  <si>
    <t>Murder in Fashion</t>
  </si>
  <si>
    <t>$3,346</t>
  </si>
  <si>
    <t>$1,046</t>
  </si>
  <si>
    <t>El Superstar: The Unlikely Rise of Juan Frances</t>
  </si>
  <si>
    <t>$3,271</t>
  </si>
  <si>
    <t>My Year Without Sex</t>
  </si>
  <si>
    <t>$3,119</t>
  </si>
  <si>
    <t>$528</t>
  </si>
  <si>
    <t>The Afterlight</t>
  </si>
  <si>
    <t>$3,059</t>
  </si>
  <si>
    <t>$1,466</t>
  </si>
  <si>
    <t>Altiplano</t>
  </si>
  <si>
    <t>$2,961</t>
  </si>
  <si>
    <t>$1,269</t>
  </si>
  <si>
    <t>Eichmann</t>
  </si>
  <si>
    <t>$2,706</t>
  </si>
  <si>
    <t>Boogie Woogie</t>
  </si>
  <si>
    <t>$2,618</t>
  </si>
  <si>
    <t>Daniel &amp; Ana</t>
  </si>
  <si>
    <t>$2,372</t>
  </si>
  <si>
    <t>$1,400</t>
  </si>
  <si>
    <t>You Won't Miss Me</t>
  </si>
  <si>
    <t>ReelD</t>
  </si>
  <si>
    <t>$2,240</t>
  </si>
  <si>
    <t>The Girl (Flickan)</t>
  </si>
  <si>
    <t>$2,201</t>
  </si>
  <si>
    <t>$712</t>
  </si>
  <si>
    <t>Nobody's Perfect</t>
  </si>
  <si>
    <t>$2,122</t>
  </si>
  <si>
    <t>As Good as Dead</t>
  </si>
  <si>
    <t>$1,981</t>
  </si>
  <si>
    <t>$1,494</t>
  </si>
  <si>
    <t>Falling Awake</t>
  </si>
  <si>
    <t>$1,978</t>
  </si>
  <si>
    <t>$847</t>
  </si>
  <si>
    <t>The Temptation of St. Tony</t>
  </si>
  <si>
    <t>$747</t>
  </si>
  <si>
    <t>A Mother's Courage: Talking Back to Autism</t>
  </si>
  <si>
    <t>$1,916</t>
  </si>
  <si>
    <t>$822</t>
  </si>
  <si>
    <t>Manuela and Manuel</t>
  </si>
  <si>
    <t>$629</t>
  </si>
  <si>
    <t>Carmo, Hit the Road</t>
  </si>
  <si>
    <t>Drool</t>
  </si>
  <si>
    <t>$1,403</t>
  </si>
  <si>
    <t>$1,199</t>
  </si>
  <si>
    <t>7Arts</t>
  </si>
  <si>
    <t>$853</t>
  </si>
  <si>
    <t>Perrier's Bounty</t>
  </si>
  <si>
    <t>$828</t>
  </si>
  <si>
    <t>Shake Hands with the Devil</t>
  </si>
  <si>
    <t>$594</t>
  </si>
  <si>
    <t>The Magician (2010)</t>
  </si>
  <si>
    <t>$406</t>
  </si>
  <si>
    <t>$117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</si>
</sst>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rgb="FF222222"/>
      <name val="Arial"/>
      <family val="2"/>
    </font>
    <font>
      <sz val="12"/>
      <color rgb="FF0B0080"/>
      <name val="Arial"/>
      <family val="2"/>
    </font>
    <font>
      <sz val="12"/>
      <color rgb="FF222222"/>
      <name val="Arial"/>
      <family val="2"/>
    </font>
    <font>
      <vertAlign val="superscript"/>
      <sz val="12"/>
      <color rgb="FF0B0080"/>
      <name val="Arial"/>
      <family val="2"/>
    </font>
    <font>
      <i/>
      <sz val="12"/>
      <color rgb="FF222222"/>
      <name val="Arial"/>
      <family val="2"/>
    </font>
    <font>
      <sz val="12"/>
      <color rgb="FFA55858"/>
      <name val="Arial"/>
      <family val="2"/>
    </font>
    <font>
      <u/>
      <sz val="12"/>
      <color rgb="FF0B008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1" applyFont="1"/>
    <xf numFmtId="16" fontId="5" fillId="0" borderId="0" xfId="1" applyNumberFormat="1" applyFont="1"/>
    <xf numFmtId="20" fontId="5" fillId="0" borderId="0" xfId="1" applyNumberFormat="1" applyFont="1"/>
    <xf numFmtId="0" fontId="6" fillId="0" borderId="0" xfId="0" applyFont="1"/>
    <xf numFmtId="0" fontId="7" fillId="0" borderId="0" xfId="0" applyFont="1"/>
    <xf numFmtId="16" fontId="6" fillId="0" borderId="0" xfId="0" applyNumberFormat="1" applyFont="1"/>
    <xf numFmtId="9" fontId="3" fillId="0" borderId="0" xfId="2" applyFont="1"/>
    <xf numFmtId="10" fontId="3" fillId="0" borderId="0" xfId="0" applyNumberFormat="1" applyFont="1"/>
    <xf numFmtId="0" fontId="3" fillId="2" borderId="0" xfId="0" applyFont="1" applyFill="1"/>
    <xf numFmtId="0" fontId="8" fillId="0" borderId="0" xfId="0" applyFont="1"/>
    <xf numFmtId="0" fontId="8" fillId="2" borderId="0" xfId="0" applyFont="1" applyFill="1"/>
    <xf numFmtId="0" fontId="9" fillId="0" borderId="0" xfId="0" applyFont="1"/>
    <xf numFmtId="0" fontId="10" fillId="0" borderId="0" xfId="0" applyFont="1"/>
    <xf numFmtId="0" fontId="10" fillId="0" borderId="0" xfId="0" applyFont="1" applyAlignment="1">
      <alignment horizontal="right"/>
    </xf>
    <xf numFmtId="0" fontId="12" fillId="0" borderId="0" xfId="0" applyFont="1"/>
    <xf numFmtId="0" fontId="11" fillId="0" borderId="0" xfId="0" applyFont="1"/>
    <xf numFmtId="0" fontId="3" fillId="3" borderId="0" xfId="0" applyFont="1" applyFill="1"/>
    <xf numFmtId="0" fontId="16" fillId="0" borderId="0" xfId="0" applyFont="1"/>
    <xf numFmtId="0" fontId="1" fillId="0" borderId="0" xfId="1"/>
    <xf numFmtId="0" fontId="15" fillId="0" borderId="0" xfId="0" applyFont="1"/>
    <xf numFmtId="0" fontId="1" fillId="0" borderId="0" xfId="1"/>
    <xf numFmtId="16" fontId="15" fillId="0" borderId="0" xfId="0" applyNumberFormat="1" applyFont="1"/>
    <xf numFmtId="16" fontId="1" fillId="0" borderId="0" xfId="1" applyNumberFormat="1"/>
    <xf numFmtId="0" fontId="1" fillId="0" borderId="0" xfId="1"/>
    <xf numFmtId="14" fontId="1" fillId="0" borderId="0" xfId="1" applyNumberFormat="1"/>
  </cellXfs>
  <cellStyles count="3">
    <cellStyle name="Hyperlänk" xfId="1" builtinId="8"/>
    <cellStyle name="Normal" xfId="0" builtinId="0"/>
    <cellStyle name="Pro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500" Type="http://schemas.openxmlformats.org/officeDocument/2006/relationships/hyperlink" Target="http://www.boxofficemojo.com/schedule/?view=bydate&amp;release=theatrical&amp;date=2012-08-17&amp;p=.htm" TargetMode="External"/><Relationship Id="rId501" Type="http://schemas.openxmlformats.org/officeDocument/2006/relationships/hyperlink" Target="http://www.boxofficemojo.com/movies/?id=raidersimax.htm" TargetMode="External"/><Relationship Id="rId502" Type="http://schemas.openxmlformats.org/officeDocument/2006/relationships/hyperlink" Target="http://www.boxofficemojo.com/studio/chart/?studio=paramount.htm" TargetMode="External"/><Relationship Id="rId503" Type="http://schemas.openxmlformats.org/officeDocument/2006/relationships/hyperlink" Target="http://www.boxofficemojo.com/schedule/?view=bydate&amp;release=theatrical&amp;date=2012-09-07&amp;p=.htm" TargetMode="External"/><Relationship Id="rId110" Type="http://schemas.openxmlformats.org/officeDocument/2006/relationships/hyperlink" Target="http://www.boxofficemojo.com/schedule/?view=bydate&amp;release=theatrical&amp;date=2012-08-10&amp;p=.htm" TargetMode="External"/><Relationship Id="rId111" Type="http://schemas.openxmlformats.org/officeDocument/2006/relationships/hyperlink" Target="http://www.boxofficemojo.com/movies/?id=expendables2.htm" TargetMode="External"/><Relationship Id="rId112" Type="http://schemas.openxmlformats.org/officeDocument/2006/relationships/hyperlink" Target="http://www.boxofficemojo.com/studio/chart/?studio=lionsgate.htm" TargetMode="External"/><Relationship Id="rId113" Type="http://schemas.openxmlformats.org/officeDocument/2006/relationships/hyperlink" Target="http://www.boxofficemojo.com/schedule/?view=bydate&amp;release=theatrical&amp;date=2012-08-17&amp;p=.htm" TargetMode="External"/><Relationship Id="rId114" Type="http://schemas.openxmlformats.org/officeDocument/2006/relationships/hyperlink" Target="http://www.boxofficemojo.com/movies/?id=clashofthetitans2.htm" TargetMode="External"/><Relationship Id="rId115" Type="http://schemas.openxmlformats.org/officeDocument/2006/relationships/hyperlink" Target="http://www.boxofficemojo.com/studio/chart/?studio=warnerbros.htm" TargetMode="External"/><Relationship Id="rId116" Type="http://schemas.openxmlformats.org/officeDocument/2006/relationships/hyperlink" Target="http://www.boxofficemojo.com/schedule/?view=bydate&amp;release=theatrical&amp;date=2012-03-30&amp;p=.htm" TargetMode="External"/><Relationship Id="rId117" Type="http://schemas.openxmlformats.org/officeDocument/2006/relationships/hyperlink" Target="http://www.boxofficemojo.com/movies/?id=oneshot.htm" TargetMode="External"/><Relationship Id="rId118" Type="http://schemas.openxmlformats.org/officeDocument/2006/relationships/hyperlink" Target="http://www.boxofficemojo.com/studio/chart/?studio=paramount.htm" TargetMode="External"/><Relationship Id="rId119" Type="http://schemas.openxmlformats.org/officeDocument/2006/relationships/hyperlink" Target="http://www.boxofficemojo.com/schedule/?view=bydate&amp;release=theatrical&amp;date=2012-12-21&amp;p=.htm" TargetMode="External"/><Relationship Id="rId504" Type="http://schemas.openxmlformats.org/officeDocument/2006/relationships/hyperlink" Target="http://www.boxofficemojo.com/movies/?id=celesteandjesseforever.htm" TargetMode="External"/><Relationship Id="rId505" Type="http://schemas.openxmlformats.org/officeDocument/2006/relationships/hyperlink" Target="http://www.boxofficemojo.com/studio/chart/?studio=sonyclassics.htm" TargetMode="External"/><Relationship Id="rId506" Type="http://schemas.openxmlformats.org/officeDocument/2006/relationships/hyperlink" Target="http://www.boxofficemojo.com/schedule/?view=bydate&amp;release=theatrical&amp;date=2012-08-03&amp;p=.htm" TargetMode="External"/><Relationship Id="rId507" Type="http://schemas.openxmlformats.org/officeDocument/2006/relationships/hyperlink" Target="http://www.boxofficemojo.com/movies/?id=yashchopra.htm" TargetMode="External"/><Relationship Id="rId508" Type="http://schemas.openxmlformats.org/officeDocument/2006/relationships/hyperlink" Target="http://www.boxofficemojo.com/studio/chart/?studio=yashraj.htm" TargetMode="External"/><Relationship Id="rId509" Type="http://schemas.openxmlformats.org/officeDocument/2006/relationships/hyperlink" Target="http://www.boxofficemojo.com/schedule/?view=bydate&amp;release=theatrical&amp;date=2012-11-13&amp;p=.htm" TargetMode="External"/><Relationship Id="rId1760" Type="http://schemas.openxmlformats.org/officeDocument/2006/relationships/hyperlink" Target="http://www.boxofficemojo.com/schedule/?view=bydate&amp;release=theatrical&amp;date=2012-08-24&amp;p=.htm" TargetMode="External"/><Relationship Id="rId1761" Type="http://schemas.openxmlformats.org/officeDocument/2006/relationships/hyperlink" Target="http://www.boxofficemojo.com/movies/?id=cartasaelena.htm" TargetMode="External"/><Relationship Id="rId1762" Type="http://schemas.openxmlformats.org/officeDocument/2006/relationships/hyperlink" Target="http://www.boxofficemojo.com/studio/chart/?studio=fs.htm" TargetMode="External"/><Relationship Id="rId1763" Type="http://schemas.openxmlformats.org/officeDocument/2006/relationships/hyperlink" Target="http://www.boxofficemojo.com/schedule/?view=bydate&amp;release=theatrical&amp;date=2012-06-08&amp;p=.htm" TargetMode="External"/><Relationship Id="rId1370" Type="http://schemas.openxmlformats.org/officeDocument/2006/relationships/hyperlink" Target="http://www.boxofficemojo.com/schedule/?view=bydate&amp;release=theatrical&amp;date=2012-11-02&amp;p=.htm" TargetMode="External"/><Relationship Id="rId1371" Type="http://schemas.openxmlformats.org/officeDocument/2006/relationships/hyperlink" Target="http://www.boxofficemojo.com/movies/?id=hideaway2012.htm" TargetMode="External"/><Relationship Id="rId1372" Type="http://schemas.openxmlformats.org/officeDocument/2006/relationships/hyperlink" Target="http://www.boxofficemojo.com/studio/chart/?studio=joulesfilms.htm" TargetMode="External"/><Relationship Id="rId1373" Type="http://schemas.openxmlformats.org/officeDocument/2006/relationships/hyperlink" Target="http://www.boxofficemojo.com/schedule/?view=bydate&amp;release=theatrical&amp;date=2012-05-25&amp;p=.htm" TargetMode="External"/><Relationship Id="rId1374" Type="http://schemas.openxmlformats.org/officeDocument/2006/relationships/hyperlink" Target="http://www.boxofficemojo.com/movies/?id=hermano.htm" TargetMode="External"/><Relationship Id="rId1375" Type="http://schemas.openxmlformats.org/officeDocument/2006/relationships/hyperlink" Target="http://www.boxofficemojo.com/studio/chart/?studio=musicboxfilms.htm" TargetMode="External"/><Relationship Id="rId1376" Type="http://schemas.openxmlformats.org/officeDocument/2006/relationships/hyperlink" Target="http://www.boxofficemojo.com/schedule/?view=bydate&amp;release=theatrical&amp;date=2012-08-24&amp;p=.htm" TargetMode="External"/><Relationship Id="rId1377" Type="http://schemas.openxmlformats.org/officeDocument/2006/relationships/hyperlink" Target="http://www.boxofficemojo.com/movies/?id=sacrifice.htm" TargetMode="External"/><Relationship Id="rId1378" Type="http://schemas.openxmlformats.org/officeDocument/2006/relationships/hyperlink" Target="http://www.boxofficemojo.com/studio/chart/?studio=samuelgoldwyn.htm" TargetMode="External"/><Relationship Id="rId1379" Type="http://schemas.openxmlformats.org/officeDocument/2006/relationships/hyperlink" Target="http://www.boxofficemojo.com/schedule/?view=bydate&amp;release=theatrical&amp;date=2012-07-27&amp;p=.htm" TargetMode="External"/><Relationship Id="rId1764" Type="http://schemas.openxmlformats.org/officeDocument/2006/relationships/hyperlink" Target="http://www.boxofficemojo.com/movies/?id=snowtown.htm" TargetMode="External"/><Relationship Id="rId1765" Type="http://schemas.openxmlformats.org/officeDocument/2006/relationships/hyperlink" Target="http://www.boxofficemojo.com/studio/chart/?studio=ifc.htm" TargetMode="External"/><Relationship Id="rId1766" Type="http://schemas.openxmlformats.org/officeDocument/2006/relationships/hyperlink" Target="http://www.boxofficemojo.com/schedule/?view=bydate&amp;release=theatrical&amp;date=2012-03-02&amp;p=.htm" TargetMode="External"/><Relationship Id="rId1767" Type="http://schemas.openxmlformats.org/officeDocument/2006/relationships/hyperlink" Target="http://www.boxofficemojo.com/movies/?id=dreamsofalife.htm" TargetMode="External"/><Relationship Id="rId1768" Type="http://schemas.openxmlformats.org/officeDocument/2006/relationships/hyperlink" Target="http://www.boxofficemojo.com/studio/chart/?studio=strand.htm" TargetMode="External"/><Relationship Id="rId1769" Type="http://schemas.openxmlformats.org/officeDocument/2006/relationships/hyperlink" Target="http://www.boxofficemojo.com/schedule/?view=bydate&amp;release=theatrical&amp;date=2012-08-03&amp;p=.htm" TargetMode="External"/><Relationship Id="rId900" Type="http://schemas.openxmlformats.org/officeDocument/2006/relationships/hyperlink" Target="http://www.boxofficemojo.com/movies/?id=houseilivein.htm" TargetMode="External"/><Relationship Id="rId901" Type="http://schemas.openxmlformats.org/officeDocument/2006/relationships/hyperlink" Target="http://www.boxofficemojo.com/studio/chart/?studio=abramorama.htm" TargetMode="External"/><Relationship Id="rId902" Type="http://schemas.openxmlformats.org/officeDocument/2006/relationships/hyperlink" Target="http://www.boxofficemojo.com/schedule/?view=bydate&amp;release=theatrical&amp;date=2012-10-05&amp;p=.htm" TargetMode="External"/><Relationship Id="rId903" Type="http://schemas.openxmlformats.org/officeDocument/2006/relationships/hyperlink" Target="http://www.boxofficemojo.com/movies/?id=awakening2012.htm" TargetMode="External"/><Relationship Id="rId904" Type="http://schemas.openxmlformats.org/officeDocument/2006/relationships/hyperlink" Target="http://www.boxofficemojo.com/studio/chart/?studio=cohenmedia.htm" TargetMode="External"/><Relationship Id="rId905" Type="http://schemas.openxmlformats.org/officeDocument/2006/relationships/hyperlink" Target="http://www.boxofficemojo.com/schedule/?view=bydate&amp;release=theatrical&amp;date=2012-08-17&amp;p=.htm" TargetMode="External"/><Relationship Id="rId906" Type="http://schemas.openxmlformats.org/officeDocument/2006/relationships/hyperlink" Target="http://www.boxofficemojo.com/movies/?id=littlewhitelies.htm" TargetMode="External"/><Relationship Id="rId907" Type="http://schemas.openxmlformats.org/officeDocument/2006/relationships/hyperlink" Target="http://www.boxofficemojo.com/studio/chart/?studio=mpimediagroup.htm" TargetMode="External"/><Relationship Id="rId120" Type="http://schemas.openxmlformats.org/officeDocument/2006/relationships/hyperlink" Target="http://www.boxofficemojo.com/movies/?id=darkshadows.htm" TargetMode="External"/><Relationship Id="rId121" Type="http://schemas.openxmlformats.org/officeDocument/2006/relationships/hyperlink" Target="http://www.boxofficemojo.com/studio/chart/?studio=warnerbros.htm" TargetMode="External"/><Relationship Id="rId122" Type="http://schemas.openxmlformats.org/officeDocument/2006/relationships/hyperlink" Target="http://www.boxofficemojo.com/schedule/?view=bydate&amp;release=theatrical&amp;date=2012-05-11&amp;p=.htm" TargetMode="External"/><Relationship Id="rId123" Type="http://schemas.openxmlformats.org/officeDocument/2006/relationships/hyperlink" Target="http://www.boxofficemojo.com/movies/?id=parentalguidance.htm" TargetMode="External"/><Relationship Id="rId124" Type="http://schemas.openxmlformats.org/officeDocument/2006/relationships/hyperlink" Target="http://www.boxofficemojo.com/studio/chart/?studio=fox.htm" TargetMode="External"/><Relationship Id="rId125" Type="http://schemas.openxmlformats.org/officeDocument/2006/relationships/hyperlink" Target="http://www.boxofficemojo.com/schedule/?view=bydate&amp;release=theatrical&amp;date=2012-12-25&amp;p=.htm" TargetMode="External"/><Relationship Id="rId126" Type="http://schemas.openxmlformats.org/officeDocument/2006/relationships/hyperlink" Target="http://www.boxofficemojo.com/movies/?id=johncarterofmars.htm" TargetMode="External"/><Relationship Id="rId127" Type="http://schemas.openxmlformats.org/officeDocument/2006/relationships/hyperlink" Target="http://www.boxofficemojo.com/studio/chart/?studio=buenavista.htm" TargetMode="External"/><Relationship Id="rId128" Type="http://schemas.openxmlformats.org/officeDocument/2006/relationships/hyperlink" Target="http://www.boxofficemojo.com/schedule/?view=bydate&amp;release=theatrical&amp;date=2012-03-09&amp;p=.htm" TargetMode="External"/><Relationship Id="rId129" Type="http://schemas.openxmlformats.org/officeDocument/2006/relationships/hyperlink" Target="http://www.boxofficemojo.com/movies/?id=actofvalor.htm" TargetMode="External"/><Relationship Id="rId908" Type="http://schemas.openxmlformats.org/officeDocument/2006/relationships/hyperlink" Target="http://www.boxofficemojo.com/schedule/?view=bydate&amp;release=theatrical&amp;date=2012-08-24&amp;p=.htm" TargetMode="External"/><Relationship Id="rId909" Type="http://schemas.openxmlformats.org/officeDocument/2006/relationships/hyperlink" Target="http://www.boxofficemojo.com/movies/?id=easymoney2012.htm" TargetMode="External"/><Relationship Id="rId510" Type="http://schemas.openxmlformats.org/officeDocument/2006/relationships/hyperlink" Target="http://www.boxofficemojo.com/movies/?id=albertnobbs.htm" TargetMode="External"/><Relationship Id="rId511" Type="http://schemas.openxmlformats.org/officeDocument/2006/relationships/hyperlink" Target="http://www.boxofficemojo.com/studio/chart/?studio=roadsideattractions.htm" TargetMode="External"/><Relationship Id="rId512" Type="http://schemas.openxmlformats.org/officeDocument/2006/relationships/hyperlink" Target="http://www.boxofficemojo.com/schedule/?view=bydate&amp;release=theatrical&amp;date=2012-01-27&amp;p=.htm" TargetMode="External"/><Relationship Id="rId513" Type="http://schemas.openxmlformats.org/officeDocument/2006/relationships/hyperlink" Target="http://www.boxofficemojo.com/movies/?id=talaash.htm" TargetMode="External"/><Relationship Id="rId514" Type="http://schemas.openxmlformats.org/officeDocument/2006/relationships/hyperlink" Target="http://www.boxofficemojo.com/studio/chart/?studio=reliancebigpictures.htm" TargetMode="External"/><Relationship Id="rId515" Type="http://schemas.openxmlformats.org/officeDocument/2006/relationships/hyperlink" Target="http://www.boxofficemojo.com/schedule/?view=bydate&amp;release=theatrical&amp;date=2012-11-30&amp;p=.htm" TargetMode="External"/><Relationship Id="rId516" Type="http://schemas.openxmlformats.org/officeDocument/2006/relationships/hyperlink" Target="http://www.boxofficemojo.com/movies/?id=barfi.htm" TargetMode="External"/><Relationship Id="rId517" Type="http://schemas.openxmlformats.org/officeDocument/2006/relationships/hyperlink" Target="http://www.boxofficemojo.com/studio/chart/?studio=utv.htm" TargetMode="External"/><Relationship Id="rId518" Type="http://schemas.openxmlformats.org/officeDocument/2006/relationships/hyperlink" Target="http://www.boxofficemojo.com/schedule/?view=bydate&amp;release=theatrical&amp;date=2012-09-14&amp;p=.htm" TargetMode="External"/><Relationship Id="rId519" Type="http://schemas.openxmlformats.org/officeDocument/2006/relationships/hyperlink" Target="http://www.boxofficemojo.com/movies/?id=samsara.htm" TargetMode="External"/><Relationship Id="rId1770" Type="http://schemas.openxmlformats.org/officeDocument/2006/relationships/hyperlink" Target="http://www.boxofficemojo.com/movies/?id=restlesscity.htm" TargetMode="External"/><Relationship Id="rId1771" Type="http://schemas.openxmlformats.org/officeDocument/2006/relationships/hyperlink" Target="http://www.boxofficemojo.com/studio/chart/?studio=affrm.htm" TargetMode="External"/><Relationship Id="rId1772" Type="http://schemas.openxmlformats.org/officeDocument/2006/relationships/hyperlink" Target="http://www.boxofficemojo.com/schedule/?view=bydate&amp;release=theatrical&amp;date=2012-04-27&amp;p=.htm" TargetMode="External"/><Relationship Id="rId1773" Type="http://schemas.openxmlformats.org/officeDocument/2006/relationships/hyperlink" Target="http://www.boxofficemojo.com/movies/?id=babymakers.htm" TargetMode="External"/><Relationship Id="rId1380" Type="http://schemas.openxmlformats.org/officeDocument/2006/relationships/hyperlink" Target="http://www.boxofficemojo.com/movies/?id=youvebeentrumped.htm" TargetMode="External"/><Relationship Id="rId1381" Type="http://schemas.openxmlformats.org/officeDocument/2006/relationships/hyperlink" Target="http://www.boxofficemojo.com/studio/chart/?studio=intlfilmcircuit.htm" TargetMode="External"/><Relationship Id="rId1382" Type="http://schemas.openxmlformats.org/officeDocument/2006/relationships/hyperlink" Target="http://www.boxofficemojo.com/schedule/?view=bydate&amp;release=theatrical&amp;date=2012-08-03&amp;p=.htm" TargetMode="External"/><Relationship Id="rId1383" Type="http://schemas.openxmlformats.org/officeDocument/2006/relationships/hyperlink" Target="http://www.boxofficemojo.com/movies/?id=killlist.htm" TargetMode="External"/><Relationship Id="rId1384" Type="http://schemas.openxmlformats.org/officeDocument/2006/relationships/hyperlink" Target="http://www.boxofficemojo.com/studio/chart/?studio=ifc.htm" TargetMode="External"/><Relationship Id="rId1385" Type="http://schemas.openxmlformats.org/officeDocument/2006/relationships/hyperlink" Target="http://www.boxofficemojo.com/schedule/?view=bydate&amp;release=theatrical&amp;date=2012-02-03&amp;p=.htm" TargetMode="External"/><Relationship Id="rId1386" Type="http://schemas.openxmlformats.org/officeDocument/2006/relationships/hyperlink" Target="http://www.boxofficemojo.com/movies/?id=hitlerschildren.htm" TargetMode="External"/><Relationship Id="rId1387" Type="http://schemas.openxmlformats.org/officeDocument/2006/relationships/hyperlink" Target="http://www.boxofficemojo.com/studio/chart/?studio=filmmovement.htm" TargetMode="External"/><Relationship Id="rId1388" Type="http://schemas.openxmlformats.org/officeDocument/2006/relationships/hyperlink" Target="http://www.boxofficemojo.com/schedule/?view=bydate&amp;release=theatrical&amp;date=2012-11-16&amp;p=.htm" TargetMode="External"/><Relationship Id="rId1389" Type="http://schemas.openxmlformats.org/officeDocument/2006/relationships/hyperlink" Target="http://www.boxofficemojo.com/movies/?id=northseatexas.htm" TargetMode="External"/><Relationship Id="rId1774" Type="http://schemas.openxmlformats.org/officeDocument/2006/relationships/hyperlink" Target="http://www.boxofficemojo.com/studio/chart/?studio=millenniumentertainment.htm" TargetMode="External"/><Relationship Id="rId1775" Type="http://schemas.openxmlformats.org/officeDocument/2006/relationships/hyperlink" Target="http://www.boxofficemojo.com/schedule/?view=bydate&amp;release=theatrical&amp;date=2012-08-03&amp;p=.htm" TargetMode="External"/><Relationship Id="rId1776" Type="http://schemas.openxmlformats.org/officeDocument/2006/relationships/hyperlink" Target="http://www.boxofficemojo.com/movies/?id=roadie2012.htm" TargetMode="External"/><Relationship Id="rId1777" Type="http://schemas.openxmlformats.org/officeDocument/2006/relationships/hyperlink" Target="http://www.boxofficemojo.com/studio/chart/?studio=magnolia.htm" TargetMode="External"/><Relationship Id="rId1778" Type="http://schemas.openxmlformats.org/officeDocument/2006/relationships/hyperlink" Target="http://www.boxofficemojo.com/schedule/?view=bydate&amp;release=theatrical&amp;date=2012-01-06&amp;p=.htm" TargetMode="External"/><Relationship Id="rId1779" Type="http://schemas.openxmlformats.org/officeDocument/2006/relationships/hyperlink" Target="http://www.boxofficemojo.com/movies/?id=photographicmemory.htm" TargetMode="External"/><Relationship Id="rId910" Type="http://schemas.openxmlformats.org/officeDocument/2006/relationships/hyperlink" Target="http://www.boxofficemojo.com/studio/chart/?studio=weinsteincompany.htm" TargetMode="External"/><Relationship Id="rId911" Type="http://schemas.openxmlformats.org/officeDocument/2006/relationships/hyperlink" Target="http://www.boxofficemojo.com/schedule/?view=bydate&amp;release=theatrical&amp;date=2012-07-11&amp;p=.htm" TargetMode="External"/><Relationship Id="rId912" Type="http://schemas.openxmlformats.org/officeDocument/2006/relationships/hyperlink" Target="http://www.boxofficemojo.com/movies/?id=vettai.htm" TargetMode="External"/><Relationship Id="rId913" Type="http://schemas.openxmlformats.org/officeDocument/2006/relationships/hyperlink" Target="http://www.boxofficemojo.com/studio/chart/?studio=utv.htm" TargetMode="External"/><Relationship Id="rId914" Type="http://schemas.openxmlformats.org/officeDocument/2006/relationships/hyperlink" Target="http://www.boxofficemojo.com/schedule/?view=bydate&amp;release=theatrical&amp;date=2012-01-13&amp;p=.htm" TargetMode="External"/><Relationship Id="rId915" Type="http://schemas.openxmlformats.org/officeDocument/2006/relationships/hyperlink" Target="http://www.boxofficemojo.com/movies/?id=touchback.htm" TargetMode="External"/><Relationship Id="rId916" Type="http://schemas.openxmlformats.org/officeDocument/2006/relationships/hyperlink" Target="http://www.boxofficemojo.com/studio/chart/?studio=anchorbayentertainment.htm" TargetMode="External"/><Relationship Id="rId917" Type="http://schemas.openxmlformats.org/officeDocument/2006/relationships/hyperlink" Target="http://www.boxofficemojo.com/schedule/?view=bydate&amp;release=theatrical&amp;date=2012-04-13&amp;p=.htm" TargetMode="External"/><Relationship Id="rId130" Type="http://schemas.openxmlformats.org/officeDocument/2006/relationships/hyperlink" Target="http://www.boxofficemojo.com/studio/chart/?studio=relativity.htm" TargetMode="External"/><Relationship Id="rId131" Type="http://schemas.openxmlformats.org/officeDocument/2006/relationships/hyperlink" Target="http://www.boxofficemojo.com/schedule/?view=bydate&amp;release=theatrical&amp;date=2012-02-24&amp;p=.htm" TargetMode="External"/><Relationship Id="rId132" Type="http://schemas.openxmlformats.org/officeDocument/2006/relationships/hyperlink" Target="http://www.boxofficemojo.com/movies/?id=apatow.htm" TargetMode="External"/><Relationship Id="rId133" Type="http://schemas.openxmlformats.org/officeDocument/2006/relationships/hyperlink" Target="http://www.boxofficemojo.com/studio/chart/?studio=universal.htm" TargetMode="External"/><Relationship Id="rId134" Type="http://schemas.openxmlformats.org/officeDocument/2006/relationships/hyperlink" Target="http://www.boxofficemojo.com/schedule/?view=bydate&amp;release=theatrical&amp;date=2012-12-21&amp;p=.htm" TargetMode="External"/><Relationship Id="rId135" Type="http://schemas.openxmlformats.org/officeDocument/2006/relationships/hyperlink" Target="http://www.boxofficemojo.com/movies/?id=contraband.htm" TargetMode="External"/><Relationship Id="rId136" Type="http://schemas.openxmlformats.org/officeDocument/2006/relationships/hyperlink" Target="http://www.boxofficemojo.com/studio/chart/?studio=universal.htm" TargetMode="External"/><Relationship Id="rId137" Type="http://schemas.openxmlformats.org/officeDocument/2006/relationships/hyperlink" Target="http://www.boxofficemojo.com/schedule/?view=bydate&amp;release=theatrical&amp;date=2012-01-13&amp;p=.htm" TargetMode="External"/><Relationship Id="rId138" Type="http://schemas.openxmlformats.org/officeDocument/2006/relationships/hyperlink" Target="http://www.boxofficemojo.com/movies/?id=loopers.htm" TargetMode="External"/><Relationship Id="rId139" Type="http://schemas.openxmlformats.org/officeDocument/2006/relationships/hyperlink" Target="http://www.boxofficemojo.com/studio/chart/?studio=tristar.htm" TargetMode="External"/><Relationship Id="rId918" Type="http://schemas.openxmlformats.org/officeDocument/2006/relationships/hyperlink" Target="http://www.boxofficemojo.com/movies/?id=10years.htm" TargetMode="External"/><Relationship Id="rId919" Type="http://schemas.openxmlformats.org/officeDocument/2006/relationships/hyperlink" Target="http://www.boxofficemojo.com/studio/chart/?studio=anchorbayentertainment.htm" TargetMode="External"/><Relationship Id="rId520" Type="http://schemas.openxmlformats.org/officeDocument/2006/relationships/hyperlink" Target="http://www.boxofficemojo.com/studio/chart/?studio=oscilloscopepictures.htm" TargetMode="External"/><Relationship Id="rId521" Type="http://schemas.openxmlformats.org/officeDocument/2006/relationships/hyperlink" Target="http://www.boxofficemojo.com/schedule/?view=bydate&amp;release=theatrical&amp;date=2012-08-24&amp;p=.htm" TargetMode="External"/><Relationship Id="rId522" Type="http://schemas.openxmlformats.org/officeDocument/2006/relationships/hyperlink" Target="http://www.boxofficemojo.com/movies/?id=girlinprogress.htm" TargetMode="External"/><Relationship Id="rId523" Type="http://schemas.openxmlformats.org/officeDocument/2006/relationships/hyperlink" Target="http://www.boxofficemojo.com/studio/chart/?studio=lionsgate.htm" TargetMode="External"/><Relationship Id="rId524" Type="http://schemas.openxmlformats.org/officeDocument/2006/relationships/hyperlink" Target="http://www.boxofficemojo.com/schedule/?view=bydate&amp;release=theatrical&amp;date=2012-05-11&amp;p=.htm" TargetMode="External"/><Relationship Id="rId525" Type="http://schemas.openxmlformats.org/officeDocument/2006/relationships/hyperlink" Target="http://www.boxofficemojo.com/movies/?id=jirodreamsofsushi.htm" TargetMode="External"/><Relationship Id="rId526" Type="http://schemas.openxmlformats.org/officeDocument/2006/relationships/hyperlink" Target="http://www.boxofficemojo.com/studio/chart/?studio=magnolia.htm" TargetMode="External"/><Relationship Id="rId527" Type="http://schemas.openxmlformats.org/officeDocument/2006/relationships/hyperlink" Target="http://www.boxofficemojo.com/schedule/?view=bydate&amp;release=theatrical&amp;date=2012-03-09&amp;p=.htm" TargetMode="External"/><Relationship Id="rId528" Type="http://schemas.openxmlformats.org/officeDocument/2006/relationships/hyperlink" Target="http://www.boxofficemojo.com/movies/?id=rubysparks.htm" TargetMode="External"/><Relationship Id="rId529" Type="http://schemas.openxmlformats.org/officeDocument/2006/relationships/hyperlink" Target="http://www.boxofficemojo.com/studio/chart/?studio=foxsearchlight.htm" TargetMode="External"/><Relationship Id="rId1780" Type="http://schemas.openxmlformats.org/officeDocument/2006/relationships/hyperlink" Target="http://www.boxofficemojo.com/studio/chart/?studio=firstrun.htm" TargetMode="External"/><Relationship Id="rId1781" Type="http://schemas.openxmlformats.org/officeDocument/2006/relationships/hyperlink" Target="http://www.boxofficemojo.com/schedule/?view=bydate&amp;release=theatrical&amp;date=2012-10-12&amp;p=.htm" TargetMode="External"/><Relationship Id="rId1782" Type="http://schemas.openxmlformats.org/officeDocument/2006/relationships/hyperlink" Target="http://www.boxofficemojo.com/movies/?id=lastdayshere.htm" TargetMode="External"/><Relationship Id="rId1783" Type="http://schemas.openxmlformats.org/officeDocument/2006/relationships/hyperlink" Target="http://www.boxofficemojo.com/studio/chart/?studio=ifc.htm" TargetMode="External"/><Relationship Id="rId1390" Type="http://schemas.openxmlformats.org/officeDocument/2006/relationships/hyperlink" Target="http://www.boxofficemojo.com/studio/chart/?studio=strand.htm" TargetMode="External"/><Relationship Id="rId1391" Type="http://schemas.openxmlformats.org/officeDocument/2006/relationships/hyperlink" Target="http://www.boxofficemojo.com/schedule/?view=bydate&amp;release=theatrical&amp;date=2012-11-02&amp;p=.htm" TargetMode="External"/><Relationship Id="rId1392" Type="http://schemas.openxmlformats.org/officeDocument/2006/relationships/hyperlink" Target="http://www.boxofficemojo.com/movies/?id=ambassador.htm" TargetMode="External"/><Relationship Id="rId1393" Type="http://schemas.openxmlformats.org/officeDocument/2006/relationships/hyperlink" Target="http://www.boxofficemojo.com/studio/chart/?studio=drafthousefilms.htm" TargetMode="External"/><Relationship Id="rId1394" Type="http://schemas.openxmlformats.org/officeDocument/2006/relationships/hyperlink" Target="http://www.boxofficemojo.com/schedule/?view=bydate&amp;release=theatrical&amp;date=2012-08-29&amp;p=.htm" TargetMode="External"/><Relationship Id="rId1395" Type="http://schemas.openxmlformats.org/officeDocument/2006/relationships/hyperlink" Target="http://www.boxofficemojo.com/movies/?id=leastamongsaints.htm" TargetMode="External"/><Relationship Id="rId1396" Type="http://schemas.openxmlformats.org/officeDocument/2006/relationships/hyperlink" Target="http://www.boxofficemojo.com/studio/chart/?studio=brainstormmedia.htm" TargetMode="External"/><Relationship Id="rId1397" Type="http://schemas.openxmlformats.org/officeDocument/2006/relationships/hyperlink" Target="http://www.boxofficemojo.com/schedule/?view=bydate&amp;release=theatrical&amp;date=2012-10-12&amp;p=.htm" TargetMode="External"/><Relationship Id="rId1398" Type="http://schemas.openxmlformats.org/officeDocument/2006/relationships/hyperlink" Target="http://www.boxofficemojo.com/movies/?id=portofshadows.htm" TargetMode="External"/><Relationship Id="rId1399" Type="http://schemas.openxmlformats.org/officeDocument/2006/relationships/hyperlink" Target="http://www.boxofficemojo.com/studio/chart/?studio=rialto.htm" TargetMode="External"/><Relationship Id="rId1784" Type="http://schemas.openxmlformats.org/officeDocument/2006/relationships/hyperlink" Target="http://www.boxofficemojo.com/schedule/?view=bydate&amp;release=theatrical&amp;date=2012-03-02&amp;p=.htm" TargetMode="External"/><Relationship Id="rId1785" Type="http://schemas.openxmlformats.org/officeDocument/2006/relationships/hyperlink" Target="http://www.boxofficemojo.com/movies/?id=brooklynbrothers.htm" TargetMode="External"/><Relationship Id="rId1786" Type="http://schemas.openxmlformats.org/officeDocument/2006/relationships/hyperlink" Target="http://www.boxofficemojo.com/studio/chart/?studio=oscilloscopepictures.htm" TargetMode="External"/><Relationship Id="rId1787" Type="http://schemas.openxmlformats.org/officeDocument/2006/relationships/hyperlink" Target="http://www.boxofficemojo.com/schedule/?view=bydate&amp;release=theatrical&amp;date=2012-09-21&amp;p=.htm" TargetMode="External"/><Relationship Id="rId1788" Type="http://schemas.openxmlformats.org/officeDocument/2006/relationships/hyperlink" Target="http://www.boxofficemojo.com/movies/?id=belborbaaqui.htm" TargetMode="External"/><Relationship Id="rId1789" Type="http://schemas.openxmlformats.org/officeDocument/2006/relationships/hyperlink" Target="http://www.boxofficemojo.com/studio/chart/?studio=pda.htm" TargetMode="External"/><Relationship Id="rId1" Type="http://schemas.openxmlformats.org/officeDocument/2006/relationships/hyperlink" Target="http://www.boxofficemojo.com/yearly/chart/?view=releasedate&amp;view2=domestic&amp;yr=2012&amp;sort=gross&amp;order=ASC&amp;p=.htm" TargetMode="External"/><Relationship Id="rId2" Type="http://schemas.openxmlformats.org/officeDocument/2006/relationships/hyperlink" Target="http://www.boxofficemojo.com/yearly/chart/?view=releasedate&amp;view2=domestic&amp;yr=2012&amp;sort=title&amp;order=ASC&amp;p=.htm" TargetMode="External"/><Relationship Id="rId3" Type="http://schemas.openxmlformats.org/officeDocument/2006/relationships/hyperlink" Target="http://www.boxofficemojo.com/yearly/chart/?view=releasedate&amp;view2=domestic&amp;yr=2012&amp;sort=studio&amp;order=ASC&amp;p=.htm" TargetMode="External"/><Relationship Id="rId920" Type="http://schemas.openxmlformats.org/officeDocument/2006/relationships/hyperlink" Target="http://www.boxofficemojo.com/schedule/?view=bydate&amp;release=theatrical&amp;date=2012-09-14&amp;p=.htm" TargetMode="External"/><Relationship Id="rId921" Type="http://schemas.openxmlformats.org/officeDocument/2006/relationships/hyperlink" Target="http://www.boxofficemojo.com/movies/?id=timanderic.htm" TargetMode="External"/><Relationship Id="rId922" Type="http://schemas.openxmlformats.org/officeDocument/2006/relationships/hyperlink" Target="http://www.boxofficemojo.com/studio/chart/?studio=magnolia.htm" TargetMode="External"/><Relationship Id="rId923" Type="http://schemas.openxmlformats.org/officeDocument/2006/relationships/hyperlink" Target="http://www.boxofficemojo.com/schedule/?view=bydate&amp;release=theatrical&amp;date=2012-03-02&amp;p=.htm" TargetMode="External"/><Relationship Id="rId924" Type="http://schemas.openxmlformats.org/officeDocument/2006/relationships/hyperlink" Target="http://www.boxofficemojo.com/movies/?id=anydaynow.htm" TargetMode="External"/><Relationship Id="rId925" Type="http://schemas.openxmlformats.org/officeDocument/2006/relationships/hyperlink" Target="http://www.boxofficemojo.com/studio/chart/?studio=musicboxfilms.htm" TargetMode="External"/><Relationship Id="rId926" Type="http://schemas.openxmlformats.org/officeDocument/2006/relationships/hyperlink" Target="http://www.boxofficemojo.com/schedule/?view=bydate&amp;release=theatrical&amp;date=2012-12-14&amp;p=.htm" TargetMode="External"/><Relationship Id="rId927" Type="http://schemas.openxmlformats.org/officeDocument/2006/relationships/hyperlink" Target="http://www.boxofficemojo.com/movies/?id=simplelife.htm" TargetMode="External"/><Relationship Id="rId140" Type="http://schemas.openxmlformats.org/officeDocument/2006/relationships/hyperlink" Target="http://www.boxofficemojo.com/schedule/?view=bydate&amp;release=theatrical&amp;date=2012-09-28&amp;p=.htm" TargetMode="External"/><Relationship Id="rId141" Type="http://schemas.openxmlformats.org/officeDocument/2006/relationships/hyperlink" Target="http://www.boxofficemojo.com/movies/?id=madeaswitnessprotection.htm" TargetMode="External"/><Relationship Id="rId142" Type="http://schemas.openxmlformats.org/officeDocument/2006/relationships/hyperlink" Target="http://www.boxofficemojo.com/studio/chart/?studio=lionsgate.htm" TargetMode="External"/><Relationship Id="rId143" Type="http://schemas.openxmlformats.org/officeDocument/2006/relationships/hyperlink" Target="http://www.boxofficemojo.com/schedule/?view=bydate&amp;release=theatrical&amp;date=2012-06-29&amp;p=.htm" TargetMode="External"/><Relationship Id="rId144" Type="http://schemas.openxmlformats.org/officeDocument/2006/relationships/hyperlink" Target="http://www.boxofficemojo.com/movies/?id=battleship.htm" TargetMode="External"/><Relationship Id="rId145" Type="http://schemas.openxmlformats.org/officeDocument/2006/relationships/hyperlink" Target="http://www.boxofficemojo.com/studio/chart/?studio=universal.htm" TargetMode="External"/><Relationship Id="rId146" Type="http://schemas.openxmlformats.org/officeDocument/2006/relationships/hyperlink" Target="http://www.boxofficemojo.com/schedule/?view=bydate&amp;release=theatrical&amp;date=2012-05-18&amp;p=.htm" TargetMode="External"/><Relationship Id="rId147" Type="http://schemas.openxmlformats.org/officeDocument/2006/relationships/hyperlink" Target="http://www.boxofficemojo.com/movies/?id=pitchperfect.htm" TargetMode="External"/><Relationship Id="rId148" Type="http://schemas.openxmlformats.org/officeDocument/2006/relationships/hyperlink" Target="http://www.boxofficemojo.com/studio/chart/?studio=universal.htm" TargetMode="External"/><Relationship Id="rId149" Type="http://schemas.openxmlformats.org/officeDocument/2006/relationships/hyperlink" Target="http://www.boxofficemojo.com/schedule/?view=bydate&amp;release=theatrical&amp;date=2012-09-28&amp;p=.htm" TargetMode="External"/><Relationship Id="rId928" Type="http://schemas.openxmlformats.org/officeDocument/2006/relationships/hyperlink" Target="http://www.boxofficemojo.com/studio/chart/?studio=chinalion.htm" TargetMode="External"/><Relationship Id="rId929" Type="http://schemas.openxmlformats.org/officeDocument/2006/relationships/hyperlink" Target="http://www.boxofficemojo.com/schedule/?view=bydate&amp;release=theatrical&amp;date=2012-04-13&amp;p=.htm" TargetMode="External"/><Relationship Id="rId530" Type="http://schemas.openxmlformats.org/officeDocument/2006/relationships/hyperlink" Target="http://www.boxofficemojo.com/schedule/?view=bydate&amp;release=theatrical&amp;date=2012-07-25&amp;p=.htm" TargetMode="External"/><Relationship Id="rId531" Type="http://schemas.openxmlformats.org/officeDocument/2006/relationships/hyperlink" Target="http://www.boxofficemojo.com/movies/?id=debangg2.htm" TargetMode="External"/><Relationship Id="rId532" Type="http://schemas.openxmlformats.org/officeDocument/2006/relationships/hyperlink" Target="http://www.boxofficemojo.com/studio/chart/?studio=eros.htm" TargetMode="External"/><Relationship Id="rId533" Type="http://schemas.openxmlformats.org/officeDocument/2006/relationships/hyperlink" Target="http://www.boxofficemojo.com/schedule/?view=bydate&amp;release=theatrical&amp;date=2012-12-21&amp;p=.htm" TargetMode="External"/><Relationship Id="rId534" Type="http://schemas.openxmlformats.org/officeDocument/2006/relationships/hyperlink" Target="http://www.boxofficemojo.com/movies/?id=queenofversailles.htm" TargetMode="External"/><Relationship Id="rId535" Type="http://schemas.openxmlformats.org/officeDocument/2006/relationships/hyperlink" Target="http://www.boxofficemojo.com/studio/chart/?studio=magnolia.htm" TargetMode="External"/><Relationship Id="rId536" Type="http://schemas.openxmlformats.org/officeDocument/2006/relationships/hyperlink" Target="http://www.boxofficemojo.com/schedule/?view=bydate&amp;release=theatrical&amp;date=2012-07-20&amp;p=.htm" TargetMode="External"/><Relationship Id="rId537" Type="http://schemas.openxmlformats.org/officeDocument/2006/relationships/hyperlink" Target="http://www.boxofficemojo.com/movies/?id=ekthatiger.htm" TargetMode="External"/><Relationship Id="rId538" Type="http://schemas.openxmlformats.org/officeDocument/2006/relationships/hyperlink" Target="http://www.boxofficemojo.com/studio/chart/?studio=yashraj.htm" TargetMode="External"/><Relationship Id="rId539" Type="http://schemas.openxmlformats.org/officeDocument/2006/relationships/hyperlink" Target="http://www.boxofficemojo.com/schedule/?view=bydate&amp;release=theatrical&amp;date=2012-08-15&amp;p=.htm" TargetMode="External"/><Relationship Id="rId4" Type="http://schemas.openxmlformats.org/officeDocument/2006/relationships/hyperlink" Target="http://www.boxofficemojo.com/yearly/chart/?view=releasedate&amp;view2=domestic&amp;yr=2012&amp;sort=open&amp;order=DESC&amp;p=.htm" TargetMode="External"/><Relationship Id="rId5" Type="http://schemas.openxmlformats.org/officeDocument/2006/relationships/hyperlink" Target="http://www.boxofficemojo.com/yearly/chart/?view=releasedate&amp;view2=domestic&amp;yr=2012&amp;sort=close&amp;order=DESC&amp;p=.htm" TargetMode="External"/><Relationship Id="rId6" Type="http://schemas.openxmlformats.org/officeDocument/2006/relationships/hyperlink" Target="http://www.boxofficemojo.com/movies/?id=avengers11.htm" TargetMode="External"/><Relationship Id="rId7" Type="http://schemas.openxmlformats.org/officeDocument/2006/relationships/hyperlink" Target="http://www.boxofficemojo.com/studio/chart/?studio=buenavista.htm" TargetMode="External"/><Relationship Id="rId8" Type="http://schemas.openxmlformats.org/officeDocument/2006/relationships/hyperlink" Target="http://www.boxofficemojo.com/schedule/?view=bydate&amp;release=theatrical&amp;date=2012-05-04&amp;p=.htm" TargetMode="External"/><Relationship Id="rId9" Type="http://schemas.openxmlformats.org/officeDocument/2006/relationships/hyperlink" Target="http://www.boxofficemojo.com/movies/?id=batman3.htm" TargetMode="External"/><Relationship Id="rId1790" Type="http://schemas.openxmlformats.org/officeDocument/2006/relationships/hyperlink" Target="http://www.boxofficemojo.com/schedule/?view=bydate&amp;release=theatrical&amp;date=2012-10-03&amp;p=.htm" TargetMode="External"/><Relationship Id="rId1791" Type="http://schemas.openxmlformats.org/officeDocument/2006/relationships/hyperlink" Target="http://www.boxofficemojo.com/movies/?id=pricecheck.htm" TargetMode="External"/><Relationship Id="rId1792" Type="http://schemas.openxmlformats.org/officeDocument/2006/relationships/hyperlink" Target="http://www.boxofficemojo.com/studio/chart/?studio=ifc.htm" TargetMode="External"/><Relationship Id="rId1793" Type="http://schemas.openxmlformats.org/officeDocument/2006/relationships/hyperlink" Target="http://www.boxofficemojo.com/schedule/?view=bydate&amp;release=theatrical&amp;date=2012-11-16&amp;p=.htm" TargetMode="External"/><Relationship Id="rId1794" Type="http://schemas.openxmlformats.org/officeDocument/2006/relationships/hyperlink" Target="http://www.boxofficemojo.com/movies/?id=giantmechanicalman.htm" TargetMode="External"/><Relationship Id="rId1795" Type="http://schemas.openxmlformats.org/officeDocument/2006/relationships/hyperlink" Target="http://www.boxofficemojo.com/studio/chart/?studio=tribecafilm.htm" TargetMode="External"/><Relationship Id="rId1796" Type="http://schemas.openxmlformats.org/officeDocument/2006/relationships/hyperlink" Target="http://www.boxofficemojo.com/schedule/?view=bydate&amp;release=theatrical&amp;date=2012-04-27&amp;p=.htm" TargetMode="External"/><Relationship Id="rId1797" Type="http://schemas.openxmlformats.org/officeDocument/2006/relationships/hyperlink" Target="http://www.boxofficemojo.com/movies/?id=domain2012.htm" TargetMode="External"/><Relationship Id="rId1798" Type="http://schemas.openxmlformats.org/officeDocument/2006/relationships/hyperlink" Target="http://www.boxofficemojo.com/studio/chart/?studio=strand.htm" TargetMode="External"/><Relationship Id="rId1799" Type="http://schemas.openxmlformats.org/officeDocument/2006/relationships/hyperlink" Target="http://www.boxofficemojo.com/schedule/?view=bydate&amp;release=theatrical&amp;date=2012-01-13&amp;p=.htm" TargetMode="External"/><Relationship Id="rId1000" Type="http://schemas.openxmlformats.org/officeDocument/2006/relationships/hyperlink" Target="http://www.boxofficemojo.com/studio/chart/?studio=nocturnalfeatures.htm" TargetMode="External"/><Relationship Id="rId1001" Type="http://schemas.openxmlformats.org/officeDocument/2006/relationships/hyperlink" Target="http://www.boxofficemojo.com/schedule/?view=bydate&amp;release=theatrical&amp;date=2012-06-08&amp;p=.htm" TargetMode="External"/><Relationship Id="rId1002" Type="http://schemas.openxmlformats.org/officeDocument/2006/relationships/hyperlink" Target="http://www.boxofficemojo.com/movies/?id=iwish.htm" TargetMode="External"/><Relationship Id="rId1003" Type="http://schemas.openxmlformats.org/officeDocument/2006/relationships/hyperlink" Target="http://www.boxofficemojo.com/studio/chart/?studio=magnolia.htm" TargetMode="External"/><Relationship Id="rId930" Type="http://schemas.openxmlformats.org/officeDocument/2006/relationships/hyperlink" Target="http://www.boxofficemojo.com/movies/?id=puellamagi.htm" TargetMode="External"/><Relationship Id="rId931" Type="http://schemas.openxmlformats.org/officeDocument/2006/relationships/hyperlink" Target="http://www.boxofficemojo.com/studio/chart/?studio=elevenarts.htm" TargetMode="External"/><Relationship Id="rId932" Type="http://schemas.openxmlformats.org/officeDocument/2006/relationships/hyperlink" Target="http://www.boxofficemojo.com/schedule/?view=bydate&amp;release=theatrical&amp;date=2012-10-19&amp;p=.htm" TargetMode="External"/><Relationship Id="rId933" Type="http://schemas.openxmlformats.org/officeDocument/2006/relationships/hyperlink" Target="http://www.boxofficemojo.com/movies/?id=lostwoods.htm" TargetMode="External"/><Relationship Id="rId934" Type="http://schemas.openxmlformats.org/officeDocument/2006/relationships/hyperlink" Target="http://www.boxofficemojo.com/studio/chart/?studio=nocturnalfeatures.htm" TargetMode="External"/><Relationship Id="rId935" Type="http://schemas.openxmlformats.org/officeDocument/2006/relationships/hyperlink" Target="http://www.boxofficemojo.com/schedule/?view=bydate&amp;release=theatrical&amp;date=2012-03-02&amp;p=.htm" TargetMode="External"/><Relationship Id="rId936" Type="http://schemas.openxmlformats.org/officeDocument/2006/relationships/hyperlink" Target="http://www.boxofficemojo.com/movies/?id=fullmetalalchemist2012.htm" TargetMode="External"/><Relationship Id="rId937" Type="http://schemas.openxmlformats.org/officeDocument/2006/relationships/hyperlink" Target="http://www.boxofficemojo.com/studio/chart/?studio=elevenarts.htm" TargetMode="External"/><Relationship Id="rId150" Type="http://schemas.openxmlformats.org/officeDocument/2006/relationships/hyperlink" Target="http://www.boxofficemojo.com/movies/?id=untitledsnowwhite.htm" TargetMode="External"/><Relationship Id="rId151" Type="http://schemas.openxmlformats.org/officeDocument/2006/relationships/hyperlink" Target="http://www.boxofficemojo.com/studio/chart/?studio=relativity.htm" TargetMode="External"/><Relationship Id="rId152" Type="http://schemas.openxmlformats.org/officeDocument/2006/relationships/hyperlink" Target="http://www.boxofficemojo.com/schedule/?view=bydate&amp;release=theatrical&amp;date=2012-03-30&amp;p=.htm" TargetMode="External"/><Relationship Id="rId153" Type="http://schemas.openxmlformats.org/officeDocument/2006/relationships/hyperlink" Target="http://www.boxofficemojo.com/movies/?id=chronicle2012.htm" TargetMode="External"/><Relationship Id="rId154" Type="http://schemas.openxmlformats.org/officeDocument/2006/relationships/hyperlink" Target="http://www.boxofficemojo.com/studio/chart/?studio=fox.htm" TargetMode="External"/><Relationship Id="rId155" Type="http://schemas.openxmlformats.org/officeDocument/2006/relationships/hyperlink" Target="http://www.boxofficemojo.com/schedule/?view=bydate&amp;release=theatrical&amp;date=2012-02-03&amp;p=.htm" TargetMode="External"/><Relationship Id="rId156" Type="http://schemas.openxmlformats.org/officeDocument/2006/relationships/hyperlink" Target="http://www.boxofficemojo.com/movies/?id=greathopesprings.htm" TargetMode="External"/><Relationship Id="rId157" Type="http://schemas.openxmlformats.org/officeDocument/2006/relationships/hyperlink" Target="http://www.boxofficemojo.com/studio/chart/?studio=sony.htm" TargetMode="External"/><Relationship Id="rId158" Type="http://schemas.openxmlformats.org/officeDocument/2006/relationships/hyperlink" Target="http://www.boxofficemojo.com/schedule/?view=bydate&amp;release=theatrical&amp;date=2012-08-08&amp;p=.htm" TargetMode="External"/><Relationship Id="rId159" Type="http://schemas.openxmlformats.org/officeDocument/2006/relationships/hyperlink" Target="http://www.boxofficemojo.com/movies/?id=underworld4.htm" TargetMode="External"/><Relationship Id="rId938" Type="http://schemas.openxmlformats.org/officeDocument/2006/relationships/hyperlink" Target="http://www.boxofficemojo.com/schedule/?view=bydate&amp;release=theatrical&amp;date=2012-01-20&amp;p=.htm" TargetMode="External"/><Relationship Id="rId939" Type="http://schemas.openxmlformats.org/officeDocument/2006/relationships/hyperlink" Target="http://www.boxofficemojo.com/movies/?id=terenaallovehogaya.htm" TargetMode="External"/><Relationship Id="rId1004" Type="http://schemas.openxmlformats.org/officeDocument/2006/relationships/hyperlink" Target="http://www.boxofficemojo.com/schedule/?view=bydate&amp;release=theatrical&amp;date=2012-05-11&amp;p=.htm" TargetMode="External"/><Relationship Id="rId1005" Type="http://schemas.openxmlformats.org/officeDocument/2006/relationships/hyperlink" Target="http://www.boxofficemojo.com/movies/?id=frombeneath.htm" TargetMode="External"/><Relationship Id="rId1006" Type="http://schemas.openxmlformats.org/officeDocument/2006/relationships/hyperlink" Target="http://www.boxofficemojo.com/studio/chart/?studio=nocturnalfeatures.htm" TargetMode="External"/><Relationship Id="rId1007" Type="http://schemas.openxmlformats.org/officeDocument/2006/relationships/hyperlink" Target="http://www.boxofficemojo.com/schedule/?view=bydate&amp;release=theatrical&amp;date=2012-08-10&amp;p=.htm" TargetMode="External"/><Relationship Id="rId1008" Type="http://schemas.openxmlformats.org/officeDocument/2006/relationships/hyperlink" Target="http://www.boxofficemojo.com/movies/?id=thismustbetheplace.htm" TargetMode="External"/><Relationship Id="rId1009" Type="http://schemas.openxmlformats.org/officeDocument/2006/relationships/hyperlink" Target="http://www.boxofficemojo.com/studio/chart/?studio=weinsteincompany.htm" TargetMode="External"/><Relationship Id="rId540" Type="http://schemas.openxmlformats.org/officeDocument/2006/relationships/hyperlink" Target="http://www.boxofficemojo.com/movies/?id=sleepwalkwithme.htm" TargetMode="External"/><Relationship Id="rId541" Type="http://schemas.openxmlformats.org/officeDocument/2006/relationships/hyperlink" Target="http://www.boxofficemojo.com/studio/chart/?studio=ifc.htm" TargetMode="External"/><Relationship Id="rId542" Type="http://schemas.openxmlformats.org/officeDocument/2006/relationships/hyperlink" Target="http://www.boxofficemojo.com/schedule/?view=bydate&amp;release=theatrical&amp;date=2012-08-24&amp;p=.htm" TargetMode="External"/><Relationship Id="rId543" Type="http://schemas.openxmlformats.org/officeDocument/2006/relationships/hyperlink" Target="http://www.boxofficemojo.com/movies/?id=rustandbone.htm" TargetMode="External"/><Relationship Id="rId544" Type="http://schemas.openxmlformats.org/officeDocument/2006/relationships/hyperlink" Target="http://www.boxofficemojo.com/studio/chart/?studio=sonyclassics.htm" TargetMode="External"/><Relationship Id="rId545" Type="http://schemas.openxmlformats.org/officeDocument/2006/relationships/hyperlink" Target="http://www.boxofficemojo.com/schedule/?view=bydate&amp;release=theatrical&amp;date=2012-11-23&amp;p=.htm" TargetMode="External"/><Relationship Id="rId546" Type="http://schemas.openxmlformats.org/officeDocument/2006/relationships/hyperlink" Target="http://www.boxofficemojo.com/movies/?id=monsieurlazhar.htm" TargetMode="External"/><Relationship Id="rId547" Type="http://schemas.openxmlformats.org/officeDocument/2006/relationships/hyperlink" Target="http://www.boxofficemojo.com/studio/chart/?studio=musicboxfilms.htm" TargetMode="External"/><Relationship Id="rId548" Type="http://schemas.openxmlformats.org/officeDocument/2006/relationships/hyperlink" Target="http://www.boxofficemojo.com/schedule/?view=bydate&amp;release=theatrical&amp;date=2012-04-13&amp;p=.htm" TargetMode="External"/><Relationship Id="rId549" Type="http://schemas.openxmlformats.org/officeDocument/2006/relationships/hyperlink" Target="http://www.boxofficemojo.com/movies/?id=footnote.htm" TargetMode="External"/><Relationship Id="rId1400" Type="http://schemas.openxmlformats.org/officeDocument/2006/relationships/hyperlink" Target="http://www.boxofficemojo.com/schedule/?view=bydate&amp;release=theatrical&amp;date=2012-09-14&amp;p=.htm" TargetMode="External"/><Relationship Id="rId1401" Type="http://schemas.openxmlformats.org/officeDocument/2006/relationships/hyperlink" Target="http://www.boxofficemojo.com/movies/?id=devilprobably2012.htm" TargetMode="External"/><Relationship Id="rId1402" Type="http://schemas.openxmlformats.org/officeDocument/2006/relationships/hyperlink" Target="http://www.boxofficemojo.com/studio/chart/?studio=thefilmdesk.htm" TargetMode="External"/><Relationship Id="rId1403" Type="http://schemas.openxmlformats.org/officeDocument/2006/relationships/hyperlink" Target="http://www.boxofficemojo.com/schedule/?view=bydate&amp;release=theatrical&amp;date=2012-01-13&amp;p=.htm" TargetMode="External"/><Relationship Id="rId1404" Type="http://schemas.openxmlformats.org/officeDocument/2006/relationships/hyperlink" Target="http://www.boxofficemojo.com/movies/?id=here2012.htm" TargetMode="External"/><Relationship Id="rId1405" Type="http://schemas.openxmlformats.org/officeDocument/2006/relationships/hyperlink" Target="http://www.boxofficemojo.com/studio/chart/?studio=strand.htm" TargetMode="External"/><Relationship Id="rId1406" Type="http://schemas.openxmlformats.org/officeDocument/2006/relationships/hyperlink" Target="http://www.boxofficemojo.com/schedule/?view=bydate&amp;release=theatrical&amp;date=2012-04-13&amp;p=.htm" TargetMode="External"/><Relationship Id="rId1407" Type="http://schemas.openxmlformats.org/officeDocument/2006/relationships/hyperlink" Target="http://www.boxofficemojo.com/movies/?id=pinkribbons.htm" TargetMode="External"/><Relationship Id="rId1408" Type="http://schemas.openxmlformats.org/officeDocument/2006/relationships/hyperlink" Target="http://www.boxofficemojo.com/studio/chart/?studio=firstrun.htm" TargetMode="External"/><Relationship Id="rId1409" Type="http://schemas.openxmlformats.org/officeDocument/2006/relationships/hyperlink" Target="http://www.boxofficemojo.com/schedule/?view=bydate&amp;release=theatrical&amp;date=2012-06-01&amp;p=.htm" TargetMode="External"/><Relationship Id="rId940" Type="http://schemas.openxmlformats.org/officeDocument/2006/relationships/hyperlink" Target="http://www.boxofficemojo.com/studio/chart/?studio=utv.htm" TargetMode="External"/><Relationship Id="rId941" Type="http://schemas.openxmlformats.org/officeDocument/2006/relationships/hyperlink" Target="http://www.boxofficemojo.com/schedule/?view=bydate&amp;release=theatrical&amp;date=2012-02-24&amp;p=.htm" TargetMode="External"/><Relationship Id="rId942" Type="http://schemas.openxmlformats.org/officeDocument/2006/relationships/hyperlink" Target="http://www.boxofficemojo.com/movies/?id=monumental2012.htm" TargetMode="External"/><Relationship Id="rId943" Type="http://schemas.openxmlformats.org/officeDocument/2006/relationships/hyperlink" Target="http://www.boxofficemojo.com/studio/chart/?studio=artaffects.htm" TargetMode="External"/><Relationship Id="rId944" Type="http://schemas.openxmlformats.org/officeDocument/2006/relationships/hyperlink" Target="http://www.boxofficemojo.com/schedule/?view=bydate&amp;release=theatrical&amp;date=2012-03-30&amp;p=.htm" TargetMode="External"/><Relationship Id="rId945" Type="http://schemas.openxmlformats.org/officeDocument/2006/relationships/hyperlink" Target="http://www.boxofficemojo.com/movies/?id=hunter2012.htm" TargetMode="External"/><Relationship Id="rId160" Type="http://schemas.openxmlformats.org/officeDocument/2006/relationships/hyperlink" Target="http://www.boxofficemojo.com/studio/chart/?studio=screengems.htm" TargetMode="External"/><Relationship Id="rId161" Type="http://schemas.openxmlformats.org/officeDocument/2006/relationships/hyperlink" Target="http://www.boxofficemojo.com/schedule/?view=bydate&amp;release=theatrical&amp;date=2012-01-20&amp;p=.htm" TargetMode="External"/><Relationship Id="rId162" Type="http://schemas.openxmlformats.org/officeDocument/2006/relationships/hyperlink" Target="http://www.boxofficemojo.com/movies/?id=luckyone.htm" TargetMode="External"/><Relationship Id="rId163" Type="http://schemas.openxmlformats.org/officeDocument/2006/relationships/hyperlink" Target="http://www.boxofficemojo.com/studio/chart/?studio=warnerbros.htm" TargetMode="External"/><Relationship Id="rId164" Type="http://schemas.openxmlformats.org/officeDocument/2006/relationships/hyperlink" Target="http://www.boxofficemojo.com/schedule/?view=bydate&amp;release=theatrical&amp;date=2012-04-20&amp;p=.htm" TargetMode="External"/><Relationship Id="rId165" Type="http://schemas.openxmlformats.org/officeDocument/2006/relationships/hyperlink" Target="http://www.boxofficemojo.com/movies/?id=dictator.htm" TargetMode="External"/><Relationship Id="rId166" Type="http://schemas.openxmlformats.org/officeDocument/2006/relationships/hyperlink" Target="http://www.boxofficemojo.com/studio/chart/?studio=paramount.htm" TargetMode="External"/><Relationship Id="rId167" Type="http://schemas.openxmlformats.org/officeDocument/2006/relationships/hyperlink" Target="http://www.boxofficemojo.com/schedule/?view=bydate&amp;release=theatrical&amp;date=2012-05-16&amp;p=.htm" TargetMode="External"/><Relationship Id="rId168" Type="http://schemas.openxmlformats.org/officeDocument/2006/relationships/hyperlink" Target="http://www.boxofficemojo.com/movies/?id=totalrecall2012.htm" TargetMode="External"/><Relationship Id="rId169" Type="http://schemas.openxmlformats.org/officeDocument/2006/relationships/hyperlink" Target="http://www.boxofficemojo.com/studio/chart/?studio=sony.htm" TargetMode="External"/><Relationship Id="rId946" Type="http://schemas.openxmlformats.org/officeDocument/2006/relationships/hyperlink" Target="http://www.boxofficemojo.com/studio/chart/?studio=magnolia.htm" TargetMode="External"/><Relationship Id="rId947" Type="http://schemas.openxmlformats.org/officeDocument/2006/relationships/hyperlink" Target="http://www.boxofficemojo.com/schedule/?view=bydate&amp;release=theatrical&amp;date=2012-04-06&amp;p=.htm" TargetMode="External"/><Relationship Id="rId948" Type="http://schemas.openxmlformats.org/officeDocument/2006/relationships/hyperlink" Target="http://www.boxofficemojo.com/movies/?id=grandillusion2012.htm" TargetMode="External"/><Relationship Id="rId949" Type="http://schemas.openxmlformats.org/officeDocument/2006/relationships/hyperlink" Target="http://www.boxofficemojo.com/studio/chart/?studio=rialto.htm" TargetMode="External"/><Relationship Id="rId1010" Type="http://schemas.openxmlformats.org/officeDocument/2006/relationships/hyperlink" Target="http://www.boxofficemojo.com/schedule/?view=bydate&amp;release=theatrical&amp;date=2012-11-02&amp;p=.htm" TargetMode="External"/><Relationship Id="rId1011" Type="http://schemas.openxmlformats.org/officeDocument/2006/relationships/hyperlink" Target="http://www.boxofficemojo.com/movies/?id=luvshuvtey.htm" TargetMode="External"/><Relationship Id="rId1012" Type="http://schemas.openxmlformats.org/officeDocument/2006/relationships/hyperlink" Target="http://www.boxofficemojo.com/studio/chart/?studio=utv.htm" TargetMode="External"/><Relationship Id="rId1013" Type="http://schemas.openxmlformats.org/officeDocument/2006/relationships/hyperlink" Target="http://www.boxofficemojo.com/schedule/?view=bydate&amp;release=theatrical&amp;date=2012-11-02&amp;p=.htm" TargetMode="External"/><Relationship Id="rId1014" Type="http://schemas.openxmlformats.org/officeDocument/2006/relationships/hyperlink" Target="http://www.boxofficemojo.com/movies/?id=highschool.htm" TargetMode="External"/><Relationship Id="rId1015" Type="http://schemas.openxmlformats.org/officeDocument/2006/relationships/hyperlink" Target="http://www.boxofficemojo.com/studio/chart/?studio=anchorbayentertainment.htm" TargetMode="External"/><Relationship Id="rId1016" Type="http://schemas.openxmlformats.org/officeDocument/2006/relationships/hyperlink" Target="http://www.boxofficemojo.com/schedule/?view=bydate&amp;release=theatrical&amp;date=2012-06-01&amp;p=.htm" TargetMode="External"/><Relationship Id="rId1017" Type="http://schemas.openxmlformats.org/officeDocument/2006/relationships/hyperlink" Target="http://www.boxofficemojo.com/movies/?id=beloved2012.htm" TargetMode="External"/><Relationship Id="rId1018" Type="http://schemas.openxmlformats.org/officeDocument/2006/relationships/hyperlink" Target="http://www.boxofficemojo.com/studio/chart/?studio=ifc.htm" TargetMode="External"/><Relationship Id="rId1019" Type="http://schemas.openxmlformats.org/officeDocument/2006/relationships/hyperlink" Target="http://www.boxofficemojo.com/schedule/?view=bydate&amp;release=theatrical&amp;date=2012-08-17&amp;p=.htm" TargetMode="External"/><Relationship Id="rId550" Type="http://schemas.openxmlformats.org/officeDocument/2006/relationships/hyperlink" Target="http://www.boxofficemojo.com/studio/chart/?studio=sonyclassics.htm" TargetMode="External"/><Relationship Id="rId551" Type="http://schemas.openxmlformats.org/officeDocument/2006/relationships/hyperlink" Target="http://www.boxofficemojo.com/schedule/?view=bydate&amp;release=theatrical&amp;date=2012-03-09&amp;p=.htm" TargetMode="External"/><Relationship Id="rId552" Type="http://schemas.openxmlformats.org/officeDocument/2006/relationships/hyperlink" Target="http://www.boxofficemojo.com/movies/?id=killerjoe.htm" TargetMode="External"/><Relationship Id="rId553" Type="http://schemas.openxmlformats.org/officeDocument/2006/relationships/hyperlink" Target="http://www.boxofficemojo.com/studio/chart/?studio=lddistribution.htm" TargetMode="External"/><Relationship Id="rId554" Type="http://schemas.openxmlformats.org/officeDocument/2006/relationships/hyperlink" Target="http://www.boxofficemojo.com/schedule/?view=bydate&amp;release=theatrical&amp;date=2012-07-27&amp;p=.htm" TargetMode="External"/><Relationship Id="rId555" Type="http://schemas.openxmlformats.org/officeDocument/2006/relationships/hyperlink" Target="http://www.boxofficemojo.com/movies/?id=agneepath.htm" TargetMode="External"/><Relationship Id="rId556" Type="http://schemas.openxmlformats.org/officeDocument/2006/relationships/hyperlink" Target="http://www.boxofficemojo.com/studio/chart/?studio=eros.htm" TargetMode="External"/><Relationship Id="rId557" Type="http://schemas.openxmlformats.org/officeDocument/2006/relationships/hyperlink" Target="http://www.boxofficemojo.com/schedule/?view=bydate&amp;release=theatrical&amp;date=2012-01-26&amp;p=.htm" TargetMode="External"/><Relationship Id="rId558" Type="http://schemas.openxmlformats.org/officeDocument/2006/relationships/hyperlink" Target="http://www.boxofficemojo.com/movies/?id=englishvinglish.htm" TargetMode="External"/><Relationship Id="rId559" Type="http://schemas.openxmlformats.org/officeDocument/2006/relationships/hyperlink" Target="http://www.boxofficemojo.com/studio/chart/?studio=eros.htm" TargetMode="External"/><Relationship Id="rId1800" Type="http://schemas.openxmlformats.org/officeDocument/2006/relationships/hyperlink" Target="http://www.boxofficemojo.com/movies/?id=lovemarilyn.htm" TargetMode="External"/><Relationship Id="rId1801" Type="http://schemas.openxmlformats.org/officeDocument/2006/relationships/hyperlink" Target="http://www.boxofficemojo.com/studio/chart/?studio=submarinedeluxe.htm" TargetMode="External"/><Relationship Id="rId1802" Type="http://schemas.openxmlformats.org/officeDocument/2006/relationships/hyperlink" Target="http://www.boxofficemojo.com/schedule/?view=bydate&amp;release=theatrical&amp;date=2012-11-30&amp;p=.htm" TargetMode="External"/><Relationship Id="rId1803" Type="http://schemas.openxmlformats.org/officeDocument/2006/relationships/hyperlink" Target="http://www.boxofficemojo.com/movies/?id=lastride12.htm" TargetMode="External"/><Relationship Id="rId1410" Type="http://schemas.openxmlformats.org/officeDocument/2006/relationships/hyperlink" Target="http://www.boxofficemojo.com/movies/?id=django2012.htm" TargetMode="External"/><Relationship Id="rId1411" Type="http://schemas.openxmlformats.org/officeDocument/2006/relationships/hyperlink" Target="http://www.boxofficemojo.com/studio/chart/?studio=rialto.htm" TargetMode="External"/><Relationship Id="rId1412" Type="http://schemas.openxmlformats.org/officeDocument/2006/relationships/hyperlink" Target="http://www.boxofficemojo.com/schedule/?view=bydate&amp;release=theatrical&amp;date=2012-12-21&amp;p=.htm" TargetMode="External"/><Relationship Id="rId1413" Type="http://schemas.openxmlformats.org/officeDocument/2006/relationships/hyperlink" Target="http://www.boxofficemojo.com/movies/?id=nobodywalks.htm" TargetMode="External"/><Relationship Id="rId1414" Type="http://schemas.openxmlformats.org/officeDocument/2006/relationships/hyperlink" Target="http://www.boxofficemojo.com/studio/chart/?studio=magnolia.htm" TargetMode="External"/><Relationship Id="rId1415" Type="http://schemas.openxmlformats.org/officeDocument/2006/relationships/hyperlink" Target="http://www.boxofficemojo.com/schedule/?view=bydate&amp;release=theatrical&amp;date=2012-10-19&amp;p=.htm" TargetMode="External"/><Relationship Id="rId1416" Type="http://schemas.openxmlformats.org/officeDocument/2006/relationships/hyperlink" Target="http://www.boxofficemojo.com/movies/?id=deathofthevirgin.htm" TargetMode="External"/><Relationship Id="rId1417" Type="http://schemas.openxmlformats.org/officeDocument/2006/relationships/hyperlink" Target="http://www.boxofficemojo.com/studio/chart/?studio=indican.htm" TargetMode="External"/><Relationship Id="rId1418" Type="http://schemas.openxmlformats.org/officeDocument/2006/relationships/hyperlink" Target="http://www.boxofficemojo.com/schedule/?view=bydate&amp;release=theatrical&amp;date=2012-02-10&amp;p=.htm" TargetMode="External"/><Relationship Id="rId1419" Type="http://schemas.openxmlformats.org/officeDocument/2006/relationships/hyperlink" Target="http://www.boxofficemojo.com/movies/?id=inanothercountry.htm" TargetMode="External"/><Relationship Id="rId950" Type="http://schemas.openxmlformats.org/officeDocument/2006/relationships/hyperlink" Target="http://www.boxofficemojo.com/schedule/?view=bydate&amp;release=theatrical&amp;date=2012-05-11&amp;p=.htm" TargetMode="External"/><Relationship Id="rId951" Type="http://schemas.openxmlformats.org/officeDocument/2006/relationships/hyperlink" Target="http://www.boxofficemojo.com/movies/?id=battlefieldamerica.htm" TargetMode="External"/><Relationship Id="rId952" Type="http://schemas.openxmlformats.org/officeDocument/2006/relationships/hyperlink" Target="http://www.boxofficemojo.com/studio/chart/?studio=cinedigmbrianbarrett.htm" TargetMode="External"/><Relationship Id="rId953" Type="http://schemas.openxmlformats.org/officeDocument/2006/relationships/hyperlink" Target="http://www.boxofficemojo.com/schedule/?view=bydate&amp;release=theatrical&amp;date=2012-06-01&amp;p=.htm" TargetMode="External"/><Relationship Id="rId954" Type="http://schemas.openxmlformats.org/officeDocument/2006/relationships/hyperlink" Target="http://www.boxofficemojo.com/movies/?id=flyingswordsofdragongate.htm" TargetMode="External"/><Relationship Id="rId955" Type="http://schemas.openxmlformats.org/officeDocument/2006/relationships/hyperlink" Target="http://www.boxofficemojo.com/studio/chart/?studio=indomina.htm" TargetMode="External"/><Relationship Id="rId170" Type="http://schemas.openxmlformats.org/officeDocument/2006/relationships/hyperlink" Target="http://www.boxofficemojo.com/schedule/?view=bydate&amp;release=theatrical&amp;date=2012-08-03&amp;p=.htm" TargetMode="External"/><Relationship Id="rId171" Type="http://schemas.openxmlformats.org/officeDocument/2006/relationships/hyperlink" Target="http://www.boxofficemojo.com/movies/?id=titanic3d.htm" TargetMode="External"/><Relationship Id="rId172" Type="http://schemas.openxmlformats.org/officeDocument/2006/relationships/hyperlink" Target="http://www.boxofficemojo.com/studio/chart/?studio=paramount.htm" TargetMode="External"/><Relationship Id="rId173" Type="http://schemas.openxmlformats.org/officeDocument/2006/relationships/hyperlink" Target="http://www.boxofficemojo.com/schedule/?view=bydate&amp;release=theatrical&amp;date=2012-04-04&amp;p=.htm" TargetMode="External"/><Relationship Id="rId174" Type="http://schemas.openxmlformats.org/officeDocument/2006/relationships/hyperlink" Target="http://www.boxofficemojo.com/movies/?id=americanreunion.htm" TargetMode="External"/><Relationship Id="rId175" Type="http://schemas.openxmlformats.org/officeDocument/2006/relationships/hyperlink" Target="http://www.boxofficemojo.com/studio/chart/?studio=universal.htm" TargetMode="External"/><Relationship Id="rId176" Type="http://schemas.openxmlformats.org/officeDocument/2006/relationships/hyperlink" Target="http://www.boxofficemojo.com/schedule/?view=bydate&amp;release=theatrical&amp;date=2012-04-06&amp;p=.htm" TargetMode="External"/><Relationship Id="rId177" Type="http://schemas.openxmlformats.org/officeDocument/2006/relationships/hyperlink" Target="http://www.boxofficemojo.com/movies/?id=paranorman.htm" TargetMode="External"/><Relationship Id="rId178" Type="http://schemas.openxmlformats.org/officeDocument/2006/relationships/hyperlink" Target="http://www.boxofficemojo.com/studio/chart/?studio=focus.htm" TargetMode="External"/><Relationship Id="rId179" Type="http://schemas.openxmlformats.org/officeDocument/2006/relationships/hyperlink" Target="http://www.boxofficemojo.com/schedule/?view=bydate&amp;release=theatrical&amp;date=2012-08-17&amp;p=.htm" TargetMode="External"/><Relationship Id="rId956" Type="http://schemas.openxmlformats.org/officeDocument/2006/relationships/hyperlink" Target="http://www.boxofficemojo.com/schedule/?view=bydate&amp;release=theatrical&amp;date=2012-08-31&amp;p=.htm" TargetMode="External"/><Relationship Id="rId957" Type="http://schemas.openxmlformats.org/officeDocument/2006/relationships/hyperlink" Target="http://www.boxofficemojo.com/movies/?id=joker.htm" TargetMode="External"/><Relationship Id="rId958" Type="http://schemas.openxmlformats.org/officeDocument/2006/relationships/hyperlink" Target="http://www.boxofficemojo.com/studio/chart/?studio=utv.htm" TargetMode="External"/><Relationship Id="rId959" Type="http://schemas.openxmlformats.org/officeDocument/2006/relationships/hyperlink" Target="http://www.boxofficemojo.com/schedule/?view=bydate&amp;release=theatrical&amp;date=2012-08-31&amp;p=.htm" TargetMode="External"/><Relationship Id="rId1020" Type="http://schemas.openxmlformats.org/officeDocument/2006/relationships/hyperlink" Target="http://www.boxofficemojo.com/movies/?id=slaughtercreek.htm" TargetMode="External"/><Relationship Id="rId1021" Type="http://schemas.openxmlformats.org/officeDocument/2006/relationships/hyperlink" Target="http://www.boxofficemojo.com/studio/chart/?studio=nocturnalfeatures.htm" TargetMode="External"/><Relationship Id="rId1022" Type="http://schemas.openxmlformats.org/officeDocument/2006/relationships/hyperlink" Target="http://www.boxofficemojo.com/schedule/?view=bydate&amp;release=theatrical&amp;date=2012-09-14&amp;p=.htm" TargetMode="External"/><Relationship Id="rId1023" Type="http://schemas.openxmlformats.org/officeDocument/2006/relationships/hyperlink" Target="http://www.boxofficemojo.com/movies/?id=seddiqbale.htm" TargetMode="External"/><Relationship Id="rId1024" Type="http://schemas.openxmlformats.org/officeDocument/2006/relationships/hyperlink" Target="http://www.boxofficemojo.com/studio/chart/?studio=wellgo.htm" TargetMode="External"/><Relationship Id="rId1025" Type="http://schemas.openxmlformats.org/officeDocument/2006/relationships/hyperlink" Target="http://www.boxofficemojo.com/schedule/?view=bydate&amp;release=theatrical&amp;date=2012-04-27&amp;p=.htm" TargetMode="External"/><Relationship Id="rId1026" Type="http://schemas.openxmlformats.org/officeDocument/2006/relationships/hyperlink" Target="http://www.boxofficemojo.com/movies/?id=otherdreamteam.htm" TargetMode="External"/><Relationship Id="rId1027" Type="http://schemas.openxmlformats.org/officeDocument/2006/relationships/hyperlink" Target="http://www.boxofficemojo.com/studio/chart/?studio=filmarcade.htm" TargetMode="External"/><Relationship Id="rId1028" Type="http://schemas.openxmlformats.org/officeDocument/2006/relationships/hyperlink" Target="http://www.boxofficemojo.com/schedule/?view=bydate&amp;release=theatrical&amp;date=2012-09-28&amp;p=.htm" TargetMode="External"/><Relationship Id="rId1029" Type="http://schemas.openxmlformats.org/officeDocument/2006/relationships/hyperlink" Target="http://www.boxofficemojo.com/movies/?id=kumare.htm" TargetMode="External"/><Relationship Id="rId560" Type="http://schemas.openxmlformats.org/officeDocument/2006/relationships/hyperlink" Target="http://www.boxofficemojo.com/schedule/?view=bydate&amp;release=theatrical&amp;date=2012-10-05&amp;p=.htm" TargetMode="External"/><Relationship Id="rId561" Type="http://schemas.openxmlformats.org/officeDocument/2006/relationships/hyperlink" Target="http://www.boxofficemojo.com/movies/?id=crookedarrows.htm" TargetMode="External"/><Relationship Id="rId562" Type="http://schemas.openxmlformats.org/officeDocument/2006/relationships/hyperlink" Target="http://www.boxofficemojo.com/studio/chart/?studio=brandedpeck.htm" TargetMode="External"/><Relationship Id="rId563" Type="http://schemas.openxmlformats.org/officeDocument/2006/relationships/hyperlink" Target="http://www.boxofficemojo.com/schedule/?view=bydate&amp;release=theatrical&amp;date=2012-05-18&amp;p=.htm" TargetMode="External"/><Relationship Id="rId564" Type="http://schemas.openxmlformats.org/officeDocument/2006/relationships/hyperlink" Target="http://www.boxofficemojo.com/movies/?id=hysteria.htm" TargetMode="External"/><Relationship Id="rId565" Type="http://schemas.openxmlformats.org/officeDocument/2006/relationships/hyperlink" Target="http://www.boxofficemojo.com/studio/chart/?studio=sonyclassics.htm" TargetMode="External"/><Relationship Id="rId566" Type="http://schemas.openxmlformats.org/officeDocument/2006/relationships/hyperlink" Target="http://www.boxofficemojo.com/schedule/?view=bydate&amp;release=theatrical&amp;date=2012-05-18&amp;p=.htm" TargetMode="External"/><Relationship Id="rId567" Type="http://schemas.openxmlformats.org/officeDocument/2006/relationships/hyperlink" Target="http://www.boxofficemojo.com/movies/?id=housefull2.htm" TargetMode="External"/><Relationship Id="rId568" Type="http://schemas.openxmlformats.org/officeDocument/2006/relationships/hyperlink" Target="http://www.boxofficemojo.com/studio/chart/?studio=eros.htm" TargetMode="External"/><Relationship Id="rId569" Type="http://schemas.openxmlformats.org/officeDocument/2006/relationships/hyperlink" Target="http://www.boxofficemojo.com/schedule/?view=bydate&amp;release=theatrical&amp;date=2012-04-06&amp;p=.htm" TargetMode="External"/><Relationship Id="rId1804" Type="http://schemas.openxmlformats.org/officeDocument/2006/relationships/hyperlink" Target="http://www.boxofficemojo.com/studio/chart/?studio=musicboxfilms.htm" TargetMode="External"/><Relationship Id="rId1805" Type="http://schemas.openxmlformats.org/officeDocument/2006/relationships/hyperlink" Target="http://www.boxofficemojo.com/schedule/?view=bydate&amp;release=theatrical&amp;date=2012-06-29&amp;p=.htm" TargetMode="External"/><Relationship Id="rId1806" Type="http://schemas.openxmlformats.org/officeDocument/2006/relationships/hyperlink" Target="http://www.boxofficemojo.com/movies/?id=inournature.htm" TargetMode="External"/><Relationship Id="rId1807" Type="http://schemas.openxmlformats.org/officeDocument/2006/relationships/hyperlink" Target="http://www.boxofficemojo.com/studio/chart/?studio=cinedigmentertainment.htm" TargetMode="External"/><Relationship Id="rId1808" Type="http://schemas.openxmlformats.org/officeDocument/2006/relationships/hyperlink" Target="http://www.boxofficemojo.com/schedule/?view=bydate&amp;release=theatrical&amp;date=2012-12-07&amp;p=.htm" TargetMode="External"/><Relationship Id="rId1809" Type="http://schemas.openxmlformats.org/officeDocument/2006/relationships/hyperlink" Target="http://www.boxofficemojo.com/movies/?id=windfall.htm" TargetMode="External"/><Relationship Id="rId1810" Type="http://schemas.openxmlformats.org/officeDocument/2006/relationships/hyperlink" Target="http://www.boxofficemojo.com/studio/chart/?studio=firstrun.htm" TargetMode="External"/><Relationship Id="rId1811" Type="http://schemas.openxmlformats.org/officeDocument/2006/relationships/hyperlink" Target="http://www.boxofficemojo.com/schedule/?view=bydate&amp;release=theatrical&amp;date=2012-02-03&amp;p=.htm" TargetMode="External"/><Relationship Id="rId1812" Type="http://schemas.openxmlformats.org/officeDocument/2006/relationships/hyperlink" Target="http://www.boxofficemojo.com/movies/?id=beathotel.htm" TargetMode="External"/><Relationship Id="rId1813" Type="http://schemas.openxmlformats.org/officeDocument/2006/relationships/hyperlink" Target="http://www.boxofficemojo.com/studio/chart/?studio=firstrun.htm" TargetMode="External"/><Relationship Id="rId1420" Type="http://schemas.openxmlformats.org/officeDocument/2006/relationships/hyperlink" Target="http://www.boxofficemojo.com/studio/chart/?studio=kinolorber.htm" TargetMode="External"/><Relationship Id="rId1421" Type="http://schemas.openxmlformats.org/officeDocument/2006/relationships/hyperlink" Target="http://www.boxofficemojo.com/schedule/?view=bydate&amp;release=theatrical&amp;date=2012-11-09&amp;p=.htm" TargetMode="External"/><Relationship Id="rId1422" Type="http://schemas.openxmlformats.org/officeDocument/2006/relationships/hyperlink" Target="http://www.boxofficemojo.com/movies/?id=soundofnoise.htm" TargetMode="External"/><Relationship Id="rId1423" Type="http://schemas.openxmlformats.org/officeDocument/2006/relationships/hyperlink" Target="http://www.boxofficemojo.com/studio/chart/?studio=magnolia.htm" TargetMode="External"/><Relationship Id="rId1424" Type="http://schemas.openxmlformats.org/officeDocument/2006/relationships/hyperlink" Target="http://www.boxofficemojo.com/schedule/?view=bydate&amp;release=theatrical&amp;date=2012-03-09&amp;p=.htm" TargetMode="External"/><Relationship Id="rId1425" Type="http://schemas.openxmlformats.org/officeDocument/2006/relationships/hyperlink" Target="http://www.boxofficemojo.com/movies/?id=otter501.htm" TargetMode="External"/><Relationship Id="rId1426" Type="http://schemas.openxmlformats.org/officeDocument/2006/relationships/hyperlink" Target="http://www.boxofficemojo.com/studio/chart/?studio=paladin.htm" TargetMode="External"/><Relationship Id="rId1427" Type="http://schemas.openxmlformats.org/officeDocument/2006/relationships/hyperlink" Target="http://www.boxofficemojo.com/schedule/?view=bydate&amp;release=theatrical&amp;date=2012-05-11&amp;p=.htm" TargetMode="External"/><Relationship Id="rId1428" Type="http://schemas.openxmlformats.org/officeDocument/2006/relationships/hyperlink" Target="http://www.boxofficemojo.com/movies/?id=radiounnameable.htm" TargetMode="External"/><Relationship Id="rId1429" Type="http://schemas.openxmlformats.org/officeDocument/2006/relationships/hyperlink" Target="http://www.boxofficemojo.com/studio/chart/?studio=kinolorber.htm" TargetMode="External"/><Relationship Id="rId960" Type="http://schemas.openxmlformats.org/officeDocument/2006/relationships/hyperlink" Target="http://www.boxofficemojo.com/movies/?id=darkhorse.htm" TargetMode="External"/><Relationship Id="rId961" Type="http://schemas.openxmlformats.org/officeDocument/2006/relationships/hyperlink" Target="http://www.boxofficemojo.com/studio/chart/?studio=brainstormanddoublehope.htm" TargetMode="External"/><Relationship Id="rId962" Type="http://schemas.openxmlformats.org/officeDocument/2006/relationships/hyperlink" Target="http://www.boxofficemojo.com/schedule/?view=bydate&amp;release=theatrical&amp;date=2012-06-08&amp;p=.htm" TargetMode="External"/><Relationship Id="rId963" Type="http://schemas.openxmlformats.org/officeDocument/2006/relationships/hyperlink" Target="http://www.boxofficemojo.com/movies/?id=bigpicture2012.htm" TargetMode="External"/><Relationship Id="rId964" Type="http://schemas.openxmlformats.org/officeDocument/2006/relationships/hyperlink" Target="http://www.boxofficemojo.com/studio/chart/?studio=mpimediagroup.htm" TargetMode="External"/><Relationship Id="rId965" Type="http://schemas.openxmlformats.org/officeDocument/2006/relationships/hyperlink" Target="http://www.boxofficemojo.com/schedule/?view=bydate&amp;release=theatrical&amp;date=2012-10-12&amp;p=.htm" TargetMode="External"/><Relationship Id="rId180" Type="http://schemas.openxmlformats.org/officeDocument/2006/relationships/hyperlink" Target="http://www.boxofficemojo.com/movies/?id=thismeanwar.htm" TargetMode="External"/><Relationship Id="rId181" Type="http://schemas.openxmlformats.org/officeDocument/2006/relationships/hyperlink" Target="http://www.boxofficemojo.com/studio/chart/?studio=fox.htm" TargetMode="External"/><Relationship Id="rId182" Type="http://schemas.openxmlformats.org/officeDocument/2006/relationships/hyperlink" Target="http://www.boxofficemojo.com/schedule/?view=bydate&amp;release=theatrical&amp;date=2012-02-17&amp;p=.htm" TargetMode="External"/><Relationship Id="rId183" Type="http://schemas.openxmlformats.org/officeDocument/2006/relationships/hyperlink" Target="http://www.boxofficemojo.com/movies/?id=projectx2011.htm" TargetMode="External"/><Relationship Id="rId184" Type="http://schemas.openxmlformats.org/officeDocument/2006/relationships/hyperlink" Target="http://www.boxofficemojo.com/studio/chart/?studio=warnerbros.htm" TargetMode="External"/><Relationship Id="rId185" Type="http://schemas.openxmlformats.org/officeDocument/2006/relationships/hyperlink" Target="http://www.boxofficemojo.com/schedule/?view=bydate&amp;release=theatrical&amp;date=2012-03-02&amp;p=.htm" TargetMode="External"/><Relationship Id="rId186" Type="http://schemas.openxmlformats.org/officeDocument/2006/relationships/hyperlink" Target="http://www.boxofficemojo.com/movies/?id=womaninblack.htm" TargetMode="External"/><Relationship Id="rId187" Type="http://schemas.openxmlformats.org/officeDocument/2006/relationships/hyperlink" Target="http://www.boxofficemojo.com/studio/chart/?studio=cbsfilms.htm" TargetMode="External"/><Relationship Id="rId188" Type="http://schemas.openxmlformats.org/officeDocument/2006/relationships/hyperlink" Target="http://www.boxofficemojo.com/schedule/?view=bydate&amp;release=theatrical&amp;date=2012-02-03&amp;p=.htm" TargetMode="External"/><Relationship Id="rId189" Type="http://schemas.openxmlformats.org/officeDocument/2006/relationships/hyperlink" Target="http://www.boxofficemojo.com/movies/?id=paranormalactivity4.htm" TargetMode="External"/><Relationship Id="rId966" Type="http://schemas.openxmlformats.org/officeDocument/2006/relationships/hyperlink" Target="http://www.boxofficemojo.com/movies/?id=crazyhorse.htm" TargetMode="External"/><Relationship Id="rId967" Type="http://schemas.openxmlformats.org/officeDocument/2006/relationships/hyperlink" Target="http://www.boxofficemojo.com/studio/chart/?studio=zipporahfilms.htm" TargetMode="External"/><Relationship Id="rId968" Type="http://schemas.openxmlformats.org/officeDocument/2006/relationships/hyperlink" Target="http://www.boxofficemojo.com/schedule/?view=bydate&amp;release=theatrical&amp;date=2012-01-18&amp;p=.htm" TargetMode="External"/><Relationship Id="rId969" Type="http://schemas.openxmlformats.org/officeDocument/2006/relationships/hyperlink" Target="http://www.boxofficemojo.com/movies/?id=elles.htm" TargetMode="External"/><Relationship Id="rId1030" Type="http://schemas.openxmlformats.org/officeDocument/2006/relationships/hyperlink" Target="http://www.boxofficemojo.com/studio/chart/?studio=kinolorber.htm" TargetMode="External"/><Relationship Id="rId1031" Type="http://schemas.openxmlformats.org/officeDocument/2006/relationships/hyperlink" Target="http://www.boxofficemojo.com/schedule/?view=bydate&amp;release=theatrical&amp;date=2012-06-20&amp;p=.htm" TargetMode="External"/><Relationship Id="rId1032" Type="http://schemas.openxmlformats.org/officeDocument/2006/relationships/hyperlink" Target="http://www.boxofficemojo.com/movies/?id=surviveaplague.htm" TargetMode="External"/><Relationship Id="rId1033" Type="http://schemas.openxmlformats.org/officeDocument/2006/relationships/hyperlink" Target="http://www.boxofficemojo.com/studio/chart/?studio=ifc.htm" TargetMode="External"/><Relationship Id="rId1034" Type="http://schemas.openxmlformats.org/officeDocument/2006/relationships/hyperlink" Target="http://www.boxofficemojo.com/schedule/?view=bydate&amp;release=theatrical&amp;date=2012-09-21&amp;p=.htm" TargetMode="External"/><Relationship Id="rId1035" Type="http://schemas.openxmlformats.org/officeDocument/2006/relationships/hyperlink" Target="http://www.boxofficemojo.com/movies/?id=loneliestplanet.htm" TargetMode="External"/><Relationship Id="rId1036" Type="http://schemas.openxmlformats.org/officeDocument/2006/relationships/hyperlink" Target="http://www.boxofficemojo.com/studio/chart/?studio=ifc.htm" TargetMode="External"/><Relationship Id="rId1037" Type="http://schemas.openxmlformats.org/officeDocument/2006/relationships/hyperlink" Target="http://www.boxofficemojo.com/schedule/?view=bydate&amp;release=theatrical&amp;date=2012-10-26&amp;p=.htm" TargetMode="External"/><Relationship Id="rId1038" Type="http://schemas.openxmlformats.org/officeDocument/2006/relationships/hyperlink" Target="http://www.boxofficemojo.com/movies/?id=forgivenessofblood.htm" TargetMode="External"/><Relationship Id="rId1039" Type="http://schemas.openxmlformats.org/officeDocument/2006/relationships/hyperlink" Target="http://www.boxofficemojo.com/studio/chart/?studio=ifc.htm" TargetMode="External"/><Relationship Id="rId570" Type="http://schemas.openxmlformats.org/officeDocument/2006/relationships/hyperlink" Target="http://www.boxofficemojo.com/movies/?id=2012oscarshorts.htm" TargetMode="External"/><Relationship Id="rId571" Type="http://schemas.openxmlformats.org/officeDocument/2006/relationships/hyperlink" Target="http://www.boxofficemojo.com/studio/chart/?studio=shortsinternational.htm" TargetMode="External"/><Relationship Id="rId572" Type="http://schemas.openxmlformats.org/officeDocument/2006/relationships/hyperlink" Target="http://www.boxofficemojo.com/schedule/?view=bydate&amp;release=theatrical&amp;date=2012-02-10&amp;p=.htm" TargetMode="External"/><Relationship Id="rId573" Type="http://schemas.openxmlformats.org/officeDocument/2006/relationships/hyperlink" Target="http://www.boxofficemojo.com/movies/?id=yoursisterssister.htm" TargetMode="External"/><Relationship Id="rId574" Type="http://schemas.openxmlformats.org/officeDocument/2006/relationships/hyperlink" Target="http://www.boxofficemojo.com/studio/chart/?studio=ifc.htm" TargetMode="External"/><Relationship Id="rId575" Type="http://schemas.openxmlformats.org/officeDocument/2006/relationships/hyperlink" Target="http://www.boxofficemojo.com/schedule/?view=bydate&amp;release=theatrical&amp;date=2012-06-15&amp;p=.htm" TargetMode="External"/><Relationship Id="rId576" Type="http://schemas.openxmlformats.org/officeDocument/2006/relationships/hyperlink" Target="http://www.boxofficemojo.com/movies/?id=singinintherain2012.htm" TargetMode="External"/><Relationship Id="rId577" Type="http://schemas.openxmlformats.org/officeDocument/2006/relationships/hyperlink" Target="http://www.boxofficemojo.com/studio/chart/?studio=warnerbros.htm" TargetMode="External"/><Relationship Id="rId578" Type="http://schemas.openxmlformats.org/officeDocument/2006/relationships/hyperlink" Target="http://www.boxofficemojo.com/schedule/?view=bydate&amp;release=theatrical&amp;date=2012-07-12&amp;p=.htm" TargetMode="External"/><Relationship Id="rId579" Type="http://schemas.openxmlformats.org/officeDocument/2006/relationships/hyperlink" Target="http://www.boxofficemojo.com/movies/?id=farewellmyqueen.htm" TargetMode="External"/><Relationship Id="rId1814" Type="http://schemas.openxmlformats.org/officeDocument/2006/relationships/hyperlink" Target="http://www.boxofficemojo.com/schedule/?view=bydate&amp;release=theatrical&amp;date=2012-03-30&amp;p=.htm" TargetMode="External"/><Relationship Id="rId1815" Type="http://schemas.openxmlformats.org/officeDocument/2006/relationships/hyperlink" Target="http://www.boxofficemojo.com/movies/?id=tonightyouremine.htm" TargetMode="External"/><Relationship Id="rId1816" Type="http://schemas.openxmlformats.org/officeDocument/2006/relationships/hyperlink" Target="http://www.boxofficemojo.com/studio/chart/?studio=roadsideattractions.htm" TargetMode="External"/><Relationship Id="rId1817" Type="http://schemas.openxmlformats.org/officeDocument/2006/relationships/hyperlink" Target="http://www.boxofficemojo.com/schedule/?view=bydate&amp;release=theatrical&amp;date=2012-05-11&amp;p=.htm" TargetMode="External"/><Relationship Id="rId1818" Type="http://schemas.openxmlformats.org/officeDocument/2006/relationships/hyperlink" Target="http://www.boxofficemojo.com/movies/?id=crazyeyes.htm" TargetMode="External"/><Relationship Id="rId1819" Type="http://schemas.openxmlformats.org/officeDocument/2006/relationships/hyperlink" Target="http://www.boxofficemojo.com/studio/chart/?studio=strand.htm" TargetMode="External"/><Relationship Id="rId1820" Type="http://schemas.openxmlformats.org/officeDocument/2006/relationships/hyperlink" Target="http://www.boxofficemojo.com/schedule/?view=bydate&amp;release=theatrical&amp;date=2012-07-06&amp;p=.htm" TargetMode="External"/><Relationship Id="rId1821" Type="http://schemas.openxmlformats.org/officeDocument/2006/relationships/hyperlink" Target="http://www.boxofficemojo.com/movies/?id=lastfall.htm" TargetMode="External"/><Relationship Id="rId1822" Type="http://schemas.openxmlformats.org/officeDocument/2006/relationships/hyperlink" Target="http://www.boxofficemojo.com/studio/chart/?studio=transparentouter.htm" TargetMode="External"/><Relationship Id="rId1823" Type="http://schemas.openxmlformats.org/officeDocument/2006/relationships/hyperlink" Target="http://www.boxofficemojo.com/schedule/?view=bydate&amp;release=theatrical&amp;date=2012-10-26&amp;p=.htm" TargetMode="External"/><Relationship Id="rId1430" Type="http://schemas.openxmlformats.org/officeDocument/2006/relationships/hyperlink" Target="http://www.boxofficemojo.com/schedule/?view=bydate&amp;release=theatrical&amp;date=2012-09-19&amp;p=.htm" TargetMode="External"/><Relationship Id="rId1431" Type="http://schemas.openxmlformats.org/officeDocument/2006/relationships/hyperlink" Target="http://www.boxofficemojo.com/movies/?id=attenberg.htm" TargetMode="External"/><Relationship Id="rId1432" Type="http://schemas.openxmlformats.org/officeDocument/2006/relationships/hyperlink" Target="http://www.boxofficemojo.com/studio/chart/?studio=strand.htm" TargetMode="External"/><Relationship Id="rId1433" Type="http://schemas.openxmlformats.org/officeDocument/2006/relationships/hyperlink" Target="http://www.boxofficemojo.com/schedule/?view=bydate&amp;release=theatrical&amp;date=2012-03-09&amp;p=.htm" TargetMode="External"/><Relationship Id="rId1434" Type="http://schemas.openxmlformats.org/officeDocument/2006/relationships/hyperlink" Target="http://www.boxofficemojo.com/movies/?id=rabbiscat.htm" TargetMode="External"/><Relationship Id="rId1435" Type="http://schemas.openxmlformats.org/officeDocument/2006/relationships/hyperlink" Target="http://www.boxofficemojo.com/studio/chart/?studio=gkids.htm" TargetMode="External"/><Relationship Id="rId1436" Type="http://schemas.openxmlformats.org/officeDocument/2006/relationships/hyperlink" Target="http://www.boxofficemojo.com/schedule/?view=bydate&amp;release=theatrical&amp;date=2012-12-07&amp;p=.htm" TargetMode="External"/><Relationship Id="rId1437" Type="http://schemas.openxmlformats.org/officeDocument/2006/relationships/hyperlink" Target="http://www.boxofficemojo.com/movies/?id=hellbound.htm" TargetMode="External"/><Relationship Id="rId1438" Type="http://schemas.openxmlformats.org/officeDocument/2006/relationships/hyperlink" Target="http://www.boxofficemojo.com/studio/chart/?studio=area23a.htm" TargetMode="External"/><Relationship Id="rId1439" Type="http://schemas.openxmlformats.org/officeDocument/2006/relationships/hyperlink" Target="http://www.boxofficemojo.com/schedule/?view=bydate&amp;release=theatrical&amp;date=2012-09-21&amp;p=.htm" TargetMode="External"/><Relationship Id="rId970" Type="http://schemas.openxmlformats.org/officeDocument/2006/relationships/hyperlink" Target="http://www.boxofficemojo.com/studio/chart/?studio=kinolorber.htm" TargetMode="External"/><Relationship Id="rId971" Type="http://schemas.openxmlformats.org/officeDocument/2006/relationships/hyperlink" Target="http://www.boxofficemojo.com/schedule/?view=bydate&amp;release=theatrical&amp;date=2012-04-27&amp;p=.htm" TargetMode="External"/><Relationship Id="rId972" Type="http://schemas.openxmlformats.org/officeDocument/2006/relationships/hyperlink" Target="http://www.boxofficemojo.com/movies/?id=deadtime.htm" TargetMode="External"/><Relationship Id="rId973" Type="http://schemas.openxmlformats.org/officeDocument/2006/relationships/hyperlink" Target="http://www.boxofficemojo.com/studio/chart/?studio=nocturnalfeatures.htm" TargetMode="External"/><Relationship Id="rId974" Type="http://schemas.openxmlformats.org/officeDocument/2006/relationships/hyperlink" Target="http://www.boxofficemojo.com/schedule/?view=bydate&amp;release=theatrical&amp;date=2012-05-11&amp;p=.htm" TargetMode="External"/><Relationship Id="rId975" Type="http://schemas.openxmlformats.org/officeDocument/2006/relationships/hyperlink" Target="http://www.boxofficemojo.com/movies/?id=shirinfarhad.htm" TargetMode="External"/><Relationship Id="rId190" Type="http://schemas.openxmlformats.org/officeDocument/2006/relationships/hyperlink" Target="http://www.boxofficemojo.com/studio/chart/?studio=paramount.htm" TargetMode="External"/><Relationship Id="rId191" Type="http://schemas.openxmlformats.org/officeDocument/2006/relationships/hyperlink" Target="http://www.boxofficemojo.com/schedule/?view=bydate&amp;release=theatrical&amp;date=2012-10-19&amp;p=.htm" TargetMode="External"/><Relationship Id="rId192" Type="http://schemas.openxmlformats.org/officeDocument/2006/relationships/hyperlink" Target="http://www.boxofficemojo.com/movies/?id=devilinside.htm" TargetMode="External"/><Relationship Id="rId193" Type="http://schemas.openxmlformats.org/officeDocument/2006/relationships/hyperlink" Target="http://www.boxofficemojo.com/studio/chart/?studio=paramount.htm" TargetMode="External"/><Relationship Id="rId194" Type="http://schemas.openxmlformats.org/officeDocument/2006/relationships/hyperlink" Target="http://www.boxofficemojo.com/schedule/?view=bydate&amp;release=theatrical&amp;date=2012-01-06&amp;p=.htm" TargetMode="External"/><Relationship Id="rId195" Type="http://schemas.openxmlformats.org/officeDocument/2006/relationships/hyperlink" Target="http://www.boxofficemojo.com/movies/?id=oddlifeoftimothygreen.htm" TargetMode="External"/><Relationship Id="rId196" Type="http://schemas.openxmlformats.org/officeDocument/2006/relationships/hyperlink" Target="http://www.boxofficemojo.com/studio/chart/?studio=buenavista.htm" TargetMode="External"/><Relationship Id="rId197" Type="http://schemas.openxmlformats.org/officeDocument/2006/relationships/hyperlink" Target="http://www.boxofficemojo.com/schedule/?view=bydate&amp;release=theatrical&amp;date=2012-08-15&amp;p=.htm" TargetMode="External"/><Relationship Id="rId198" Type="http://schemas.openxmlformats.org/officeDocument/2006/relationships/hyperlink" Target="http://www.boxofficemojo.com/movies/?id=ghostrider2.htm" TargetMode="External"/><Relationship Id="rId199" Type="http://schemas.openxmlformats.org/officeDocument/2006/relationships/hyperlink" Target="http://www.boxofficemojo.com/studio/chart/?studio=sony.htm" TargetMode="External"/><Relationship Id="rId976" Type="http://schemas.openxmlformats.org/officeDocument/2006/relationships/hyperlink" Target="http://www.boxofficemojo.com/studio/chart/?studio=eros.htm" TargetMode="External"/><Relationship Id="rId977" Type="http://schemas.openxmlformats.org/officeDocument/2006/relationships/hyperlink" Target="http://www.boxofficemojo.com/schedule/?view=bydate&amp;release=theatrical&amp;date=2012-08-24&amp;p=.htm" TargetMode="External"/><Relationship Id="rId978" Type="http://schemas.openxmlformats.org/officeDocument/2006/relationships/hyperlink" Target="http://www.boxofficemojo.com/movies/?id=sister2012).htm" TargetMode="External"/><Relationship Id="rId979" Type="http://schemas.openxmlformats.org/officeDocument/2006/relationships/hyperlink" Target="http://www.boxofficemojo.com/studio/chart/?studio=adoptfilms.htm" TargetMode="External"/><Relationship Id="rId1040" Type="http://schemas.openxmlformats.org/officeDocument/2006/relationships/hyperlink" Target="http://www.boxofficemojo.com/schedule/?view=bydate&amp;release=theatrical&amp;date=2012-02-24&amp;p=.htm" TargetMode="External"/><Relationship Id="rId1041" Type="http://schemas.openxmlformats.org/officeDocument/2006/relationships/hyperlink" Target="http://www.boxofficemojo.com/movies/?id=escapefire.htm" TargetMode="External"/><Relationship Id="rId1042" Type="http://schemas.openxmlformats.org/officeDocument/2006/relationships/hyperlink" Target="http://www.boxofficemojo.com/studio/chart/?studio=roadsideattractions.htm" TargetMode="External"/><Relationship Id="rId1043" Type="http://schemas.openxmlformats.org/officeDocument/2006/relationships/hyperlink" Target="http://www.boxofficemojo.com/schedule/?view=bydate&amp;release=theatrical&amp;date=2012-10-05&amp;p=.htm" TargetMode="External"/><Relationship Id="rId1044" Type="http://schemas.openxmlformats.org/officeDocument/2006/relationships/hyperlink" Target="http://www.boxofficemojo.com/movies/?id=turnmeondammit.htm" TargetMode="External"/><Relationship Id="rId1045" Type="http://schemas.openxmlformats.org/officeDocument/2006/relationships/hyperlink" Target="http://www.boxofficemojo.com/studio/chart/?studio=newyorker.htm" TargetMode="External"/><Relationship Id="rId1046" Type="http://schemas.openxmlformats.org/officeDocument/2006/relationships/hyperlink" Target="http://www.boxofficemojo.com/schedule/?view=bydate&amp;release=theatrical&amp;date=2012-03-30&amp;p=.htm" TargetMode="External"/><Relationship Id="rId1047" Type="http://schemas.openxmlformats.org/officeDocument/2006/relationships/hyperlink" Target="http://www.boxofficemojo.com/movies/?id=godblessamerica.htm" TargetMode="External"/><Relationship Id="rId1048" Type="http://schemas.openxmlformats.org/officeDocument/2006/relationships/hyperlink" Target="http://www.boxofficemojo.com/studio/chart/?studio=magnolia.htm" TargetMode="External"/><Relationship Id="rId1049" Type="http://schemas.openxmlformats.org/officeDocument/2006/relationships/hyperlink" Target="http://www.boxofficemojo.com/schedule/?view=bydate&amp;release=theatrical&amp;date=2012-05-11&amp;p=.htm" TargetMode="External"/><Relationship Id="rId580" Type="http://schemas.openxmlformats.org/officeDocument/2006/relationships/hyperlink" Target="http://www.boxofficemojo.com/studio/chart/?studio=cohenmedia.htm" TargetMode="External"/><Relationship Id="rId581" Type="http://schemas.openxmlformats.org/officeDocument/2006/relationships/hyperlink" Target="http://www.boxofficemojo.com/schedule/?view=bydate&amp;release=theatrical&amp;date=2012-07-13&amp;p=.htm" TargetMode="External"/><Relationship Id="rId582" Type="http://schemas.openxmlformats.org/officeDocument/2006/relationships/hyperlink" Target="http://www.boxofficemojo.com/movies/?id=alatequartet.htm" TargetMode="External"/><Relationship Id="rId583" Type="http://schemas.openxmlformats.org/officeDocument/2006/relationships/hyperlink" Target="http://www.boxofficemojo.com/studio/chart/?studio=entertainmentone.htm" TargetMode="External"/><Relationship Id="rId584" Type="http://schemas.openxmlformats.org/officeDocument/2006/relationships/hyperlink" Target="http://www.boxofficemojo.com/schedule/?view=bydate&amp;release=theatrical&amp;date=2012-11-02&amp;p=.htm" TargetMode="External"/><Relationship Id="rId585" Type="http://schemas.openxmlformats.org/officeDocument/2006/relationships/hyperlink" Target="http://www.boxofficemojo.com/movies/?id=aroyalaffair.htm" TargetMode="External"/><Relationship Id="rId586" Type="http://schemas.openxmlformats.org/officeDocument/2006/relationships/hyperlink" Target="http://www.boxofficemojo.com/studio/chart/?studio=magnolia.htm" TargetMode="External"/><Relationship Id="rId587" Type="http://schemas.openxmlformats.org/officeDocument/2006/relationships/hyperlink" Target="http://www.boxofficemojo.com/schedule/?view=bydate&amp;release=theatrical&amp;date=2012-11-09&amp;p=.htm" TargetMode="External"/><Relationship Id="rId588" Type="http://schemas.openxmlformats.org/officeDocument/2006/relationships/hyperlink" Target="http://www.boxofficemojo.com/movies/?id=darkknight2012.htm" TargetMode="External"/><Relationship Id="rId589" Type="http://schemas.openxmlformats.org/officeDocument/2006/relationships/hyperlink" Target="http://www.boxofficemojo.com/studio/chart/?studio=warnerbros.htm" TargetMode="External"/><Relationship Id="rId1824" Type="http://schemas.openxmlformats.org/officeDocument/2006/relationships/hyperlink" Target="http://www.boxofficemojo.com/movies/?id=minershymns.htm" TargetMode="External"/><Relationship Id="rId1825" Type="http://schemas.openxmlformats.org/officeDocument/2006/relationships/hyperlink" Target="http://www.boxofficemojo.com/studio/chart/?studio=icarus.htm" TargetMode="External"/><Relationship Id="rId1826" Type="http://schemas.openxmlformats.org/officeDocument/2006/relationships/hyperlink" Target="http://www.boxofficemojo.com/schedule/?view=bydate&amp;release=theatrical&amp;date=2012-02-08&amp;p=.htm" TargetMode="External"/><Relationship Id="rId1827" Type="http://schemas.openxmlformats.org/officeDocument/2006/relationships/hyperlink" Target="http://www.boxofficemojo.com/movies/?id=lasacacias.htm" TargetMode="External"/><Relationship Id="rId1828" Type="http://schemas.openxmlformats.org/officeDocument/2006/relationships/hyperlink" Target="http://www.boxofficemojo.com/studio/chart/?studio=outsiderfilms.htm" TargetMode="External"/><Relationship Id="rId1829" Type="http://schemas.openxmlformats.org/officeDocument/2006/relationships/hyperlink" Target="http://www.boxofficemojo.com/schedule/?view=bydate&amp;release=theatrical&amp;date=2012-09-07&amp;p=.htm" TargetMode="External"/><Relationship Id="rId1830" Type="http://schemas.openxmlformats.org/officeDocument/2006/relationships/hyperlink" Target="http://www.boxofficemojo.com/movies/?id=americananimal.htm" TargetMode="External"/><Relationship Id="rId1831" Type="http://schemas.openxmlformats.org/officeDocument/2006/relationships/hyperlink" Target="http://www.boxofficemojo.com/studio/chart/?studio=screenmedia.htm" TargetMode="External"/><Relationship Id="rId1832" Type="http://schemas.openxmlformats.org/officeDocument/2006/relationships/hyperlink" Target="http://www.boxofficemojo.com/schedule/?view=bydate&amp;release=theatrical&amp;date=2012-05-18&amp;p=.htm" TargetMode="External"/><Relationship Id="rId1833" Type="http://schemas.openxmlformats.org/officeDocument/2006/relationships/hyperlink" Target="http://www.boxofficemojo.com/movies/?id=buzzkill.htm" TargetMode="External"/><Relationship Id="rId1440" Type="http://schemas.openxmlformats.org/officeDocument/2006/relationships/hyperlink" Target="http://www.boxofficemojo.com/movies/?id=firsttime.htm" TargetMode="External"/><Relationship Id="rId1441" Type="http://schemas.openxmlformats.org/officeDocument/2006/relationships/hyperlink" Target="http://www.boxofficemojo.com/studio/chart/?studio=samuelgoldwyn.htm" TargetMode="External"/><Relationship Id="rId1442" Type="http://schemas.openxmlformats.org/officeDocument/2006/relationships/hyperlink" Target="http://www.boxofficemojo.com/schedule/?view=bydate&amp;release=theatrical&amp;date=2012-10-19&amp;p=.htm" TargetMode="External"/><Relationship Id="rId1443" Type="http://schemas.openxmlformats.org/officeDocument/2006/relationships/hyperlink" Target="http://www.boxofficemojo.com/movies/?id=keyhole.htm" TargetMode="External"/><Relationship Id="rId1444" Type="http://schemas.openxmlformats.org/officeDocument/2006/relationships/hyperlink" Target="http://www.boxofficemojo.com/studio/chart/?studio=montereymediainc.htm" TargetMode="External"/><Relationship Id="rId1445" Type="http://schemas.openxmlformats.org/officeDocument/2006/relationships/hyperlink" Target="http://www.boxofficemojo.com/schedule/?view=bydate&amp;release=theatrical&amp;date=2012-04-06&amp;p=.htm" TargetMode="External"/><Relationship Id="rId1446" Type="http://schemas.openxmlformats.org/officeDocument/2006/relationships/hyperlink" Target="http://www.boxofficemojo.com/movies/?id=thelongdaycloses.htm" TargetMode="External"/><Relationship Id="rId1447" Type="http://schemas.openxmlformats.org/officeDocument/2006/relationships/hyperlink" Target="http://www.boxofficemojo.com/studio/chart/?studio=thefilmdesk.htm" TargetMode="External"/><Relationship Id="rId1448" Type="http://schemas.openxmlformats.org/officeDocument/2006/relationships/hyperlink" Target="http://www.boxofficemojo.com/schedule/?view=bydate&amp;release=theatrical&amp;date=2012-03-05&amp;p=.htm" TargetMode="External"/><Relationship Id="rId1449" Type="http://schemas.openxmlformats.org/officeDocument/2006/relationships/hyperlink" Target="http://www.boxofficemojo.com/movies/?id=carolchanning.htm" TargetMode="External"/><Relationship Id="rId980" Type="http://schemas.openxmlformats.org/officeDocument/2006/relationships/hyperlink" Target="http://www.boxofficemojo.com/schedule/?view=bydate&amp;release=theatrical&amp;date=2012-10-05&amp;p=.htm" TargetMode="External"/><Relationship Id="rId981" Type="http://schemas.openxmlformats.org/officeDocument/2006/relationships/hyperlink" Target="http://www.boxofficemojo.com/movies/?id=unforgiveable.htm" TargetMode="External"/><Relationship Id="rId982" Type="http://schemas.openxmlformats.org/officeDocument/2006/relationships/hyperlink" Target="http://www.boxofficemojo.com/studio/chart/?studio=strand.htm" TargetMode="External"/><Relationship Id="rId983" Type="http://schemas.openxmlformats.org/officeDocument/2006/relationships/hyperlink" Target="http://www.boxofficemojo.com/schedule/?view=bydate&amp;release=theatrical&amp;date=2012-06-29&amp;p=.htm" TargetMode="External"/><Relationship Id="rId984" Type="http://schemas.openxmlformats.org/officeDocument/2006/relationships/hyperlink" Target="http://www.boxofficemojo.com/movies/?id=onceuponatimeinanatolia.htm" TargetMode="External"/><Relationship Id="rId985" Type="http://schemas.openxmlformats.org/officeDocument/2006/relationships/hyperlink" Target="http://www.boxofficemojo.com/studio/chart/?studio=cinemaguild.htm" TargetMode="External"/><Relationship Id="rId986" Type="http://schemas.openxmlformats.org/officeDocument/2006/relationships/hyperlink" Target="http://www.boxofficemojo.com/schedule/?view=bydate&amp;release=theatrical&amp;date=2012-01-04&amp;p=.htm" TargetMode="External"/><Relationship Id="rId987" Type="http://schemas.openxmlformats.org/officeDocument/2006/relationships/hyperlink" Target="http://www.boxofficemojo.com/movies/?id=bullhead.htm" TargetMode="External"/><Relationship Id="rId988" Type="http://schemas.openxmlformats.org/officeDocument/2006/relationships/hyperlink" Target="http://www.boxofficemojo.com/studio/chart/?studio=drafthousefilms.htm" TargetMode="External"/><Relationship Id="rId989" Type="http://schemas.openxmlformats.org/officeDocument/2006/relationships/hyperlink" Target="http://www.boxofficemojo.com/schedule/?view=bydate&amp;release=theatrical&amp;date=2012-02-17&amp;p=.htm" TargetMode="External"/><Relationship Id="rId1050" Type="http://schemas.openxmlformats.org/officeDocument/2006/relationships/hyperlink" Target="http://www.boxofficemojo.com/movies/?id=ironsky.htm" TargetMode="External"/><Relationship Id="rId1051" Type="http://schemas.openxmlformats.org/officeDocument/2006/relationships/hyperlink" Target="http://www.boxofficemojo.com/studio/chart/?studio=entertainmentone.htm" TargetMode="External"/><Relationship Id="rId1052" Type="http://schemas.openxmlformats.org/officeDocument/2006/relationships/hyperlink" Target="http://www.boxofficemojo.com/schedule/?view=bydate&amp;release=theatrical&amp;date=2012-07-25&amp;p=.htm" TargetMode="External"/><Relationship Id="rId1053" Type="http://schemas.openxmlformats.org/officeDocument/2006/relationships/hyperlink" Target="http://www.boxofficemojo.com/movies/?id=cowgirlsnangels.htm" TargetMode="External"/><Relationship Id="rId1054" Type="http://schemas.openxmlformats.org/officeDocument/2006/relationships/hyperlink" Target="http://www.boxofficemojo.com/studio/chart/?studio=samuelgoldwyn.htm" TargetMode="External"/><Relationship Id="rId1055" Type="http://schemas.openxmlformats.org/officeDocument/2006/relationships/hyperlink" Target="http://www.boxofficemojo.com/schedule/?view=bydate&amp;release=theatrical&amp;date=2012-05-25&amp;p=.htm" TargetMode="External"/><Relationship Id="rId1056" Type="http://schemas.openxmlformats.org/officeDocument/2006/relationships/hyperlink" Target="http://www.boxofficemojo.com/movies/?id=belami.htm" TargetMode="External"/><Relationship Id="rId1057" Type="http://schemas.openxmlformats.org/officeDocument/2006/relationships/hyperlink" Target="http://www.boxofficemojo.com/studio/chart/?studio=magnolia.htm" TargetMode="External"/><Relationship Id="rId1058" Type="http://schemas.openxmlformats.org/officeDocument/2006/relationships/hyperlink" Target="http://www.boxofficemojo.com/schedule/?view=bydate&amp;release=theatrical&amp;date=2012-06-08&amp;p=.htm" TargetMode="External"/><Relationship Id="rId1059" Type="http://schemas.openxmlformats.org/officeDocument/2006/relationships/hyperlink" Target="http://www.boxofficemojo.com/movies/?id=bulletvanishes.htm" TargetMode="External"/><Relationship Id="rId590" Type="http://schemas.openxmlformats.org/officeDocument/2006/relationships/hyperlink" Target="http://www.boxofficemojo.com/schedule/?view=bydate&amp;release=theatrical&amp;date=2012-07-19&amp;p=.htm" TargetMode="External"/><Relationship Id="rId591" Type="http://schemas.openxmlformats.org/officeDocument/2006/relationships/hyperlink" Target="http://www.boxofficemojo.com/movies/?id=batman2012.htm" TargetMode="External"/><Relationship Id="rId592" Type="http://schemas.openxmlformats.org/officeDocument/2006/relationships/hyperlink" Target="http://www.boxofficemojo.com/studio/chart/?studio=warnerbros.htm" TargetMode="External"/><Relationship Id="rId593" Type="http://schemas.openxmlformats.org/officeDocument/2006/relationships/hyperlink" Target="http://www.boxofficemojo.com/schedule/?view=bydate&amp;release=theatrical&amp;date=2012-07-19&amp;p=.htm" TargetMode="External"/><Relationship Id="rId594" Type="http://schemas.openxmlformats.org/officeDocument/2006/relationships/hyperlink" Target="http://www.boxofficemojo.com/movies/?id=kidwithabike.htm" TargetMode="External"/><Relationship Id="rId595" Type="http://schemas.openxmlformats.org/officeDocument/2006/relationships/hyperlink" Target="http://www.boxofficemojo.com/studio/chart/?studio=ifc.htm" TargetMode="External"/><Relationship Id="rId596" Type="http://schemas.openxmlformats.org/officeDocument/2006/relationships/hyperlink" Target="http://www.boxofficemojo.com/schedule/?view=bydate&amp;release=theatrical&amp;date=2012-03-16&amp;p=.htm" TargetMode="External"/><Relationship Id="rId597" Type="http://schemas.openxmlformats.org/officeDocument/2006/relationships/hyperlink" Target="http://www.boxofficemojo.com/movies/?id=marley.htm" TargetMode="External"/><Relationship Id="rId598" Type="http://schemas.openxmlformats.org/officeDocument/2006/relationships/hyperlink" Target="http://www.boxofficemojo.com/studio/chart/?studio=magnolia.htm" TargetMode="External"/><Relationship Id="rId599" Type="http://schemas.openxmlformats.org/officeDocument/2006/relationships/hyperlink" Target="http://www.boxofficemojo.com/schedule/?view=bydate&amp;release=theatrical&amp;date=2012-04-20&amp;p=.htm" TargetMode="External"/><Relationship Id="rId1834" Type="http://schemas.openxmlformats.org/officeDocument/2006/relationships/hyperlink" Target="http://www.boxofficemojo.com/studio/chart/?studio=indican.htm" TargetMode="External"/><Relationship Id="rId1835" Type="http://schemas.openxmlformats.org/officeDocument/2006/relationships/hyperlink" Target="http://www.boxofficemojo.com/schedule/?view=bydate&amp;release=theatrical&amp;date=2012-01-20&amp;p=.htm" TargetMode="External"/><Relationship Id="rId1836" Type="http://schemas.openxmlformats.org/officeDocument/2006/relationships/hyperlink" Target="http://www.boxofficemojo.com/movies/?id=sushi.htm" TargetMode="External"/><Relationship Id="rId1837" Type="http://schemas.openxmlformats.org/officeDocument/2006/relationships/hyperlink" Target="http://www.boxofficemojo.com/studio/chart/?studio=alivemind.htm" TargetMode="External"/><Relationship Id="rId1838" Type="http://schemas.openxmlformats.org/officeDocument/2006/relationships/hyperlink" Target="http://www.boxofficemojo.com/schedule/?view=bydate&amp;release=theatrical&amp;date=2012-08-03&amp;p=.htm" TargetMode="External"/><Relationship Id="rId1839" Type="http://schemas.openxmlformats.org/officeDocument/2006/relationships/hyperlink" Target="http://www.boxofficemojo.com/movies/?id=savethedate.htm" TargetMode="External"/><Relationship Id="rId1840" Type="http://schemas.openxmlformats.org/officeDocument/2006/relationships/hyperlink" Target="http://www.boxofficemojo.com/studio/chart/?studio=ifc.htm" TargetMode="External"/><Relationship Id="rId1841" Type="http://schemas.openxmlformats.org/officeDocument/2006/relationships/hyperlink" Target="http://www.boxofficemojo.com/schedule/?view=bydate&amp;release=theatrical&amp;date=2012-12-14&amp;p=.htm" TargetMode="External"/><Relationship Id="rId1842" Type="http://schemas.openxmlformats.org/officeDocument/2006/relationships/hyperlink" Target="http://www.boxofficemojo.com/movies/?id=bookersplace.htm" TargetMode="External"/><Relationship Id="rId1843" Type="http://schemas.openxmlformats.org/officeDocument/2006/relationships/hyperlink" Target="http://www.boxofficemojo.com/studio/chart/?studio=tribecafilm.htm" TargetMode="External"/><Relationship Id="rId1450" Type="http://schemas.openxmlformats.org/officeDocument/2006/relationships/hyperlink" Target="http://www.boxofficemojo.com/studio/chart/?studio=entertainmentone.htm" TargetMode="External"/><Relationship Id="rId1451" Type="http://schemas.openxmlformats.org/officeDocument/2006/relationships/hyperlink" Target="http://www.boxofficemojo.com/schedule/?view=bydate&amp;release=theatrical&amp;date=2012-01-20&amp;p=.htm" TargetMode="External"/><Relationship Id="rId1452" Type="http://schemas.openxmlformats.org/officeDocument/2006/relationships/hyperlink" Target="http://www.boxofficemojo.com/movies/?id=revisionaries.htm" TargetMode="External"/><Relationship Id="rId1453" Type="http://schemas.openxmlformats.org/officeDocument/2006/relationships/hyperlink" Target="http://www.boxofficemojo.com/studio/chart/?studio=kinolorber.htm" TargetMode="External"/><Relationship Id="rId1454" Type="http://schemas.openxmlformats.org/officeDocument/2006/relationships/hyperlink" Target="http://www.boxofficemojo.com/schedule/?view=bydate&amp;release=theatrical&amp;date=2012-10-05&amp;p=.htm" TargetMode="External"/><Relationship Id="rId1455" Type="http://schemas.openxmlformats.org/officeDocument/2006/relationships/hyperlink" Target="http://www.boxofficemojo.com/movies/?id=losingcontrol.htm" TargetMode="External"/><Relationship Id="rId1456" Type="http://schemas.openxmlformats.org/officeDocument/2006/relationships/hyperlink" Target="http://www.boxofficemojo.com/studio/chart/?studio=houselightsmedia.htm" TargetMode="External"/><Relationship Id="rId1457" Type="http://schemas.openxmlformats.org/officeDocument/2006/relationships/hyperlink" Target="http://www.boxofficemojo.com/schedule/?view=bydate&amp;release=theatrical&amp;date=2012-03-23&amp;p=.htm" TargetMode="External"/><Relationship Id="rId1458" Type="http://schemas.openxmlformats.org/officeDocument/2006/relationships/hyperlink" Target="http://www.boxofficemojo.com/movies/?id=myworstnightmare.htm" TargetMode="External"/><Relationship Id="rId1459" Type="http://schemas.openxmlformats.org/officeDocument/2006/relationships/hyperlink" Target="http://www.boxofficemojo.com/studio/chart/?studio=strand.htm" TargetMode="External"/><Relationship Id="rId990" Type="http://schemas.openxmlformats.org/officeDocument/2006/relationships/hyperlink" Target="http://www.boxofficemojo.com/movies/?id=chakravyuh.htm" TargetMode="External"/><Relationship Id="rId991" Type="http://schemas.openxmlformats.org/officeDocument/2006/relationships/hyperlink" Target="http://www.boxofficemojo.com/studio/chart/?studio=eros.htm" TargetMode="External"/><Relationship Id="rId992" Type="http://schemas.openxmlformats.org/officeDocument/2006/relationships/hyperlink" Target="http://www.boxofficemojo.com/schedule/?view=bydate&amp;release=theatrical&amp;date=2012-10-24&amp;p=.htm" TargetMode="External"/><Relationship Id="rId993" Type="http://schemas.openxmlformats.org/officeDocument/2006/relationships/hyperlink" Target="http://www.boxofficemojo.com/movies/?id=hechoenmexico.htm" TargetMode="External"/><Relationship Id="rId994" Type="http://schemas.openxmlformats.org/officeDocument/2006/relationships/hyperlink" Target="http://www.boxofficemojo.com/studio/chart/?studio=lionsgate.htm" TargetMode="External"/><Relationship Id="rId995" Type="http://schemas.openxmlformats.org/officeDocument/2006/relationships/hyperlink" Target="http://www.boxofficemojo.com/schedule/?view=bydate&amp;release=theatrical&amp;date=2012-11-30&amp;p=.htm" TargetMode="External"/><Relationship Id="rId996" Type="http://schemas.openxmlformats.org/officeDocument/2006/relationships/hyperlink" Target="http://www.boxofficemojo.com/movies/?id=simonandtheoaks.htm" TargetMode="External"/><Relationship Id="rId997" Type="http://schemas.openxmlformats.org/officeDocument/2006/relationships/hyperlink" Target="http://www.boxofficemojo.com/studio/chart/?studio=filmarcade.htm" TargetMode="External"/><Relationship Id="rId998" Type="http://schemas.openxmlformats.org/officeDocument/2006/relationships/hyperlink" Target="http://www.boxofficemojo.com/schedule/?view=bydate&amp;release=theatrical&amp;date=2012-10-12&amp;p=.htm" TargetMode="External"/><Relationship Id="rId999" Type="http://schemas.openxmlformats.org/officeDocument/2006/relationships/hyperlink" Target="http://www.boxofficemojo.com/movies/?id=deadlyrenovations.htm" TargetMode="External"/><Relationship Id="rId1060" Type="http://schemas.openxmlformats.org/officeDocument/2006/relationships/hyperlink" Target="http://www.boxofficemojo.com/studio/chart/?studio=chinalion.htm" TargetMode="External"/><Relationship Id="rId1061" Type="http://schemas.openxmlformats.org/officeDocument/2006/relationships/hyperlink" Target="http://www.boxofficemojo.com/schedule/?view=bydate&amp;release=theatrical&amp;date=2012-08-31&amp;p=.htm" TargetMode="External"/><Relationship Id="rId1062" Type="http://schemas.openxmlformats.org/officeDocument/2006/relationships/hyperlink" Target="http://www.boxofficemojo.com/movies/?id=bewareofmrbaker.htm" TargetMode="External"/><Relationship Id="rId1063" Type="http://schemas.openxmlformats.org/officeDocument/2006/relationships/hyperlink" Target="http://www.boxofficemojo.com/studio/chart/?studio=snagfilms.htm" TargetMode="External"/><Relationship Id="rId1064" Type="http://schemas.openxmlformats.org/officeDocument/2006/relationships/hyperlink" Target="http://www.boxofficemojo.com/schedule/?view=bydate&amp;release=theatrical&amp;date=2012-11-28&amp;p=.htm" TargetMode="External"/><Relationship Id="rId1065" Type="http://schemas.openxmlformats.org/officeDocument/2006/relationships/hyperlink" Target="http://www.boxofficemojo.com/movies/?id=womaninthefifth.htm" TargetMode="External"/><Relationship Id="rId1066" Type="http://schemas.openxmlformats.org/officeDocument/2006/relationships/hyperlink" Target="http://www.boxofficemojo.com/studio/chart/?studio=atopictures.htm" TargetMode="External"/><Relationship Id="rId1067" Type="http://schemas.openxmlformats.org/officeDocument/2006/relationships/hyperlink" Target="http://www.boxofficemojo.com/schedule/?view=bydate&amp;release=theatrical&amp;date=2012-06-15&amp;p=.htm" TargetMode="External"/><Relationship Id="rId1068" Type="http://schemas.openxmlformats.org/officeDocument/2006/relationships/hyperlink" Target="http://www.boxofficemojo.com/movies/?id=burn2012.htm" TargetMode="External"/><Relationship Id="rId1069" Type="http://schemas.openxmlformats.org/officeDocument/2006/relationships/hyperlink" Target="http://www.boxofficemojo.com/studio/chart/?studio=area23a.htm" TargetMode="External"/><Relationship Id="rId1844" Type="http://schemas.openxmlformats.org/officeDocument/2006/relationships/hyperlink" Target="http://www.boxofficemojo.com/schedule/?view=bydate&amp;release=theatrical&amp;date=2012-04-25&amp;p=.htm" TargetMode="External"/><Relationship Id="rId1845" Type="http://schemas.openxmlformats.org/officeDocument/2006/relationships/hyperlink" Target="http://www.boxofficemojo.com/movies/?id=youngandwild.htm" TargetMode="External"/><Relationship Id="rId1846" Type="http://schemas.openxmlformats.org/officeDocument/2006/relationships/hyperlink" Target="http://www.boxofficemojo.com/studio/chart/?studio=ifc.htm" TargetMode="External"/><Relationship Id="rId1847" Type="http://schemas.openxmlformats.org/officeDocument/2006/relationships/hyperlink" Target="http://www.boxofficemojo.com/schedule/?view=bydate&amp;release=theatrical&amp;date=2012-11-30&amp;p=.htm" TargetMode="External"/><Relationship Id="rId1848" Type="http://schemas.openxmlformats.org/officeDocument/2006/relationships/hyperlink" Target="http://www.boxofficemojo.com/movies/?id=universalsoldier2012.htm" TargetMode="External"/><Relationship Id="rId1849" Type="http://schemas.openxmlformats.org/officeDocument/2006/relationships/hyperlink" Target="http://www.boxofficemojo.com/studio/chart/?studio=magnolia.htm" TargetMode="External"/><Relationship Id="rId200" Type="http://schemas.openxmlformats.org/officeDocument/2006/relationships/hyperlink" Target="http://www.boxofficemojo.com/schedule/?view=bydate&amp;release=theatrical&amp;date=2012-02-17&amp;p=.htm" TargetMode="External"/><Relationship Id="rId201" Type="http://schemas.openxmlformats.org/officeDocument/2006/relationships/hyperlink" Target="http://www.boxofficemojo.com/movies/?id=grey.htm" TargetMode="External"/><Relationship Id="rId202" Type="http://schemas.openxmlformats.org/officeDocument/2006/relationships/hyperlink" Target="http://www.boxofficemojo.com/studio/chart/?studio=openroads.htm" TargetMode="External"/><Relationship Id="rId203" Type="http://schemas.openxmlformats.org/officeDocument/2006/relationships/hyperlink" Target="http://www.boxofficemojo.com/schedule/?view=bydate&amp;release=theatrical&amp;date=2012-01-27&amp;p=.htm" TargetMode="External"/><Relationship Id="rId204" Type="http://schemas.openxmlformats.org/officeDocument/2006/relationships/hyperlink" Target="http://www.boxofficemojo.com/movies/?id=redtails.htm" TargetMode="External"/><Relationship Id="rId205" Type="http://schemas.openxmlformats.org/officeDocument/2006/relationships/hyperlink" Target="http://www.boxofficemojo.com/studio/chart/?studio=fox.htm" TargetMode="External"/><Relationship Id="rId206" Type="http://schemas.openxmlformats.org/officeDocument/2006/relationships/hyperlink" Target="http://www.boxofficemojo.com/schedule/?view=bydate&amp;release=theatrical&amp;date=2012-01-20&amp;p=.htm" TargetMode="External"/><Relationship Id="rId207" Type="http://schemas.openxmlformats.org/officeDocument/2006/relationships/hyperlink" Target="http://www.boxofficemojo.com/movies/?id=dibbukbox.htm" TargetMode="External"/><Relationship Id="rId208" Type="http://schemas.openxmlformats.org/officeDocument/2006/relationships/hyperlink" Target="http://www.boxofficemojo.com/studio/chart/?studio=lionsgate.htm" TargetMode="External"/><Relationship Id="rId209" Type="http://schemas.openxmlformats.org/officeDocument/2006/relationships/hyperlink" Target="http://www.boxofficemojo.com/schedule/?view=bydate&amp;release=theatrical&amp;date=2012-08-31&amp;p=.htm" TargetMode="External"/><Relationship Id="rId1850" Type="http://schemas.openxmlformats.org/officeDocument/2006/relationships/hyperlink" Target="http://www.boxofficemojo.com/schedule/?view=bydate&amp;release=theatrical&amp;date=2012-11-30&amp;p=.htm" TargetMode="External"/><Relationship Id="rId1851" Type="http://schemas.openxmlformats.org/officeDocument/2006/relationships/hyperlink" Target="http://www.boxofficemojo.com/movies/?id=gooddoctor.htm" TargetMode="External"/><Relationship Id="rId1852" Type="http://schemas.openxmlformats.org/officeDocument/2006/relationships/hyperlink" Target="http://www.boxofficemojo.com/studio/chart/?studio=magnolia.htm" TargetMode="External"/><Relationship Id="rId1853" Type="http://schemas.openxmlformats.org/officeDocument/2006/relationships/hyperlink" Target="http://www.boxofficemojo.com/schedule/?view=bydate&amp;release=theatrical&amp;date=2012-08-31&amp;p=.htm" TargetMode="External"/><Relationship Id="rId1460" Type="http://schemas.openxmlformats.org/officeDocument/2006/relationships/hyperlink" Target="http://www.boxofficemojo.com/schedule/?view=bydate&amp;release=theatrical&amp;date=2012-10-19&amp;p=.htm" TargetMode="External"/><Relationship Id="rId1461" Type="http://schemas.openxmlformats.org/officeDocument/2006/relationships/hyperlink" Target="http://www.boxofficemojo.com/movies/?id=betterthansomething.htm" TargetMode="External"/><Relationship Id="rId1462" Type="http://schemas.openxmlformats.org/officeDocument/2006/relationships/hyperlink" Target="http://www.boxofficemojo.com/studio/chart/?studio=betterthansomething.htm" TargetMode="External"/><Relationship Id="rId1463" Type="http://schemas.openxmlformats.org/officeDocument/2006/relationships/hyperlink" Target="http://www.boxofficemojo.com/schedule/?view=bydate&amp;release=theatrical&amp;date=2012-03-02&amp;p=.htm" TargetMode="External"/><Relationship Id="rId1464" Type="http://schemas.openxmlformats.org/officeDocument/2006/relationships/hyperlink" Target="http://www.boxofficemojo.com/movies/?id=sedona.htm" TargetMode="External"/><Relationship Id="rId1465" Type="http://schemas.openxmlformats.org/officeDocument/2006/relationships/hyperlink" Target="http://www.boxofficemojo.com/studio/chart/?studio=pasidg.htm" TargetMode="External"/><Relationship Id="rId1466" Type="http://schemas.openxmlformats.org/officeDocument/2006/relationships/hyperlink" Target="http://www.boxofficemojo.com/schedule/?view=bydate&amp;release=theatrical&amp;date=2012-03-16&amp;p=.htm" TargetMode="External"/><Relationship Id="rId1467" Type="http://schemas.openxmlformats.org/officeDocument/2006/relationships/hyperlink" Target="http://www.boxofficemojo.com/movies/?id=waitingforlightning.htm" TargetMode="External"/><Relationship Id="rId1468" Type="http://schemas.openxmlformats.org/officeDocument/2006/relationships/hyperlink" Target="http://www.boxofficemojo.com/studio/chart/?studio=samuelgoldwyn.htm" TargetMode="External"/><Relationship Id="rId1469" Type="http://schemas.openxmlformats.org/officeDocument/2006/relationships/hyperlink" Target="http://www.boxofficemojo.com/schedule/?view=bydate&amp;release=theatrical&amp;date=2012-12-07&amp;p=.htm" TargetMode="External"/><Relationship Id="rId1070" Type="http://schemas.openxmlformats.org/officeDocument/2006/relationships/hyperlink" Target="http://www.boxofficemojo.com/schedule/?view=bydate&amp;release=theatrical&amp;date=2012-11-09&amp;p=.htm" TargetMode="External"/><Relationship Id="rId1071" Type="http://schemas.openxmlformats.org/officeDocument/2006/relationships/hyperlink" Target="http://www.boxofficemojo.com/movies/?id=followme.htm" TargetMode="External"/><Relationship Id="rId1072" Type="http://schemas.openxmlformats.org/officeDocument/2006/relationships/hyperlink" Target="http://www.boxofficemojo.com/studio/chart/?studio=intlfilmcircuit.htm" TargetMode="External"/><Relationship Id="rId1073" Type="http://schemas.openxmlformats.org/officeDocument/2006/relationships/hyperlink" Target="http://www.boxofficemojo.com/schedule/?view=bydate&amp;release=theatrical&amp;date=2012-05-04&amp;p=.htm" TargetMode="External"/><Relationship Id="rId1074" Type="http://schemas.openxmlformats.org/officeDocument/2006/relationships/hyperlink" Target="http://www.boxofficemojo.com/movies/?id=wildhorsewildride.htm" TargetMode="External"/><Relationship Id="rId1075" Type="http://schemas.openxmlformats.org/officeDocument/2006/relationships/hyperlink" Target="http://www.boxofficemojo.com/studio/chart/?studio=screenmedia.htm" TargetMode="External"/><Relationship Id="rId1076" Type="http://schemas.openxmlformats.org/officeDocument/2006/relationships/hyperlink" Target="http://www.boxofficemojo.com/schedule/?view=bydate&amp;release=theatrical&amp;date=2012-08-24&amp;p=.htm" TargetMode="External"/><Relationship Id="rId1077" Type="http://schemas.openxmlformats.org/officeDocument/2006/relationships/hyperlink" Target="http://www.boxofficemojo.com/movies/?id=obamaeffect.htm" TargetMode="External"/><Relationship Id="rId1078" Type="http://schemas.openxmlformats.org/officeDocument/2006/relationships/hyperlink" Target="http://www.boxofficemojo.com/studio/chart/?studio=arcent.htm" TargetMode="External"/><Relationship Id="rId1079" Type="http://schemas.openxmlformats.org/officeDocument/2006/relationships/hyperlink" Target="http://www.boxofficemojo.com/schedule/?view=bydate&amp;release=theatrical&amp;date=2012-07-13&amp;p=.htm" TargetMode="External"/><Relationship Id="rId1854" Type="http://schemas.openxmlformats.org/officeDocument/2006/relationships/hyperlink" Target="http://www.boxofficemojo.com/movies/?id=liarsautobiography.htm" TargetMode="External"/><Relationship Id="rId1855" Type="http://schemas.openxmlformats.org/officeDocument/2006/relationships/hyperlink" Target="http://www.boxofficemojo.com/studio/chart/?studio=brainstormmedia.htm" TargetMode="External"/><Relationship Id="rId1856" Type="http://schemas.openxmlformats.org/officeDocument/2006/relationships/hyperlink" Target="http://www.boxofficemojo.com/schedule/?view=bydate&amp;release=theatrical&amp;date=2012-11-02&amp;p=.htm" TargetMode="External"/><Relationship Id="rId1857" Type="http://schemas.openxmlformats.org/officeDocument/2006/relationships/hyperlink" Target="http://www.boxofficemojo.com/movies/?id=downtownexpress.htm" TargetMode="External"/><Relationship Id="rId1858" Type="http://schemas.openxmlformats.org/officeDocument/2006/relationships/hyperlink" Target="http://www.boxofficemojo.com/studio/chart/?studio=intlfilmcircuit.htm" TargetMode="External"/><Relationship Id="rId1859" Type="http://schemas.openxmlformats.org/officeDocument/2006/relationships/hyperlink" Target="http://www.boxofficemojo.com/schedule/?view=bydate&amp;release=theatrical&amp;date=2012-04-20&amp;p=.htm" TargetMode="External"/><Relationship Id="rId600" Type="http://schemas.openxmlformats.org/officeDocument/2006/relationships/hyperlink" Target="http://www.boxofficemojo.com/movies/?id=chasingice.htm" TargetMode="External"/><Relationship Id="rId601" Type="http://schemas.openxmlformats.org/officeDocument/2006/relationships/hyperlink" Target="http://www.boxofficemojo.com/studio/chart/?studio=submarinedeluxe.htm" TargetMode="External"/><Relationship Id="rId602" Type="http://schemas.openxmlformats.org/officeDocument/2006/relationships/hyperlink" Target="http://www.boxofficemojo.com/schedule/?view=bydate&amp;release=theatrical&amp;date=2012-11-09&amp;p=.htm" TargetMode="External"/><Relationship Id="rId603" Type="http://schemas.openxmlformats.org/officeDocument/2006/relationships/hyperlink" Target="http://www.boxofficemojo.com/movies/?id=airracers.htm" TargetMode="External"/><Relationship Id="rId604" Type="http://schemas.openxmlformats.org/officeDocument/2006/relationships/hyperlink" Target="http://www.boxofficemojo.com/studio/chart/?studio=3dentertainment.htm" TargetMode="External"/><Relationship Id="rId605" Type="http://schemas.openxmlformats.org/officeDocument/2006/relationships/hyperlink" Target="http://www.boxofficemojo.com/schedule/?view=bydate&amp;release=theatrical&amp;date=2012-04-06&amp;p=.htm" TargetMode="External"/><Relationship Id="rId606" Type="http://schemas.openxmlformats.org/officeDocument/2006/relationships/hyperlink" Target="http://www.boxofficemojo.com/movies/?id=otherson.htm" TargetMode="External"/><Relationship Id="rId607" Type="http://schemas.openxmlformats.org/officeDocument/2006/relationships/hyperlink" Target="http://www.boxofficemojo.com/studio/chart/?studio=cohenmedia.htm" TargetMode="External"/><Relationship Id="rId608" Type="http://schemas.openxmlformats.org/officeDocument/2006/relationships/hyperlink" Target="http://www.boxofficemojo.com/schedule/?view=bydate&amp;release=theatrical&amp;date=2012-10-26&amp;p=.htm" TargetMode="External"/><Relationship Id="rId609" Type="http://schemas.openxmlformats.org/officeDocument/2006/relationships/hyperlink" Target="http://www.boxofficemojo.com/movies/?id=foragoodtimecall.htm" TargetMode="External"/><Relationship Id="rId210" Type="http://schemas.openxmlformats.org/officeDocument/2006/relationships/hyperlink" Target="http://www.boxofficemojo.com/movies/?id=diaryofawimpykid3.htm" TargetMode="External"/><Relationship Id="rId211" Type="http://schemas.openxmlformats.org/officeDocument/2006/relationships/hyperlink" Target="http://www.boxofficemojo.com/studio/chart/?studio=fox.htm" TargetMode="External"/><Relationship Id="rId212" Type="http://schemas.openxmlformats.org/officeDocument/2006/relationships/hyperlink" Target="http://www.boxofficemojo.com/schedule/?view=bydate&amp;release=theatrical&amp;date=2012-08-03&amp;p=.htm" TargetMode="External"/><Relationship Id="rId213" Type="http://schemas.openxmlformats.org/officeDocument/2006/relationships/hyperlink" Target="http://www.boxofficemojo.com/movies/?id=sinister.htm" TargetMode="External"/><Relationship Id="rId214" Type="http://schemas.openxmlformats.org/officeDocument/2006/relationships/hyperlink" Target="http://www.boxofficemojo.com/studio/chart/?studio=lionsgatesummit.htm" TargetMode="External"/><Relationship Id="rId215" Type="http://schemas.openxmlformats.org/officeDocument/2006/relationships/hyperlink" Target="http://www.boxofficemojo.com/schedule/?view=bydate&amp;release=theatrical&amp;date=2012-10-12&amp;p=.htm" TargetMode="External"/><Relationship Id="rId216" Type="http://schemas.openxmlformats.org/officeDocument/2006/relationships/hyperlink" Target="http://www.boxofficemojo.com/movies/?id=beautyandthebeast3d.htm" TargetMode="External"/><Relationship Id="rId217" Type="http://schemas.openxmlformats.org/officeDocument/2006/relationships/hyperlink" Target="http://www.boxofficemojo.com/studio/chart/?studio=buenavista.htm" TargetMode="External"/><Relationship Id="rId218" Type="http://schemas.openxmlformats.org/officeDocument/2006/relationships/hyperlink" Target="http://www.boxofficemojo.com/schedule/?view=bydate&amp;release=theatrical&amp;date=2012-01-13&amp;p=.htm" TargetMode="External"/><Relationship Id="rId219" Type="http://schemas.openxmlformats.org/officeDocument/2006/relationships/hyperlink" Target="http://www.boxofficemojo.com/movies/?id=savages12.htm" TargetMode="External"/><Relationship Id="rId1860" Type="http://schemas.openxmlformats.org/officeDocument/2006/relationships/hyperlink" Target="http://www.boxofficemojo.com/movies/?id=bringingupbobby.htm" TargetMode="External"/><Relationship Id="rId1861" Type="http://schemas.openxmlformats.org/officeDocument/2006/relationships/hyperlink" Target="http://www.boxofficemojo.com/studio/chart/?studio=montereymediainc.htm" TargetMode="External"/><Relationship Id="rId1862" Type="http://schemas.openxmlformats.org/officeDocument/2006/relationships/hyperlink" Target="http://www.boxofficemojo.com/schedule/?view=bydate&amp;release=theatrical&amp;date=2012-09-28&amp;p=.htm" TargetMode="External"/><Relationship Id="rId1863" Type="http://schemas.openxmlformats.org/officeDocument/2006/relationships/hyperlink" Target="http://www.boxofficemojo.com/movies/?id=warbegan.htm" TargetMode="External"/><Relationship Id="rId1470" Type="http://schemas.openxmlformats.org/officeDocument/2006/relationships/hyperlink" Target="http://www.boxofficemojo.com/movies/?id=bonsai.htm" TargetMode="External"/><Relationship Id="rId1471" Type="http://schemas.openxmlformats.org/officeDocument/2006/relationships/hyperlink" Target="http://www.boxofficemojo.com/studio/chart/?studio=strand.htm" TargetMode="External"/><Relationship Id="rId1472" Type="http://schemas.openxmlformats.org/officeDocument/2006/relationships/hyperlink" Target="http://www.boxofficemojo.com/schedule/?view=bydate&amp;release=theatrical&amp;date=2012-05-11&amp;p=.htm" TargetMode="External"/><Relationship Id="rId1473" Type="http://schemas.openxmlformats.org/officeDocument/2006/relationships/hyperlink" Target="http://www.boxofficemojo.com/movies/?id=girlmodel.htm" TargetMode="External"/><Relationship Id="rId1474" Type="http://schemas.openxmlformats.org/officeDocument/2006/relationships/hyperlink" Target="http://www.boxofficemojo.com/studio/chart/?studio=firstrun.htm" TargetMode="External"/><Relationship Id="rId1475" Type="http://schemas.openxmlformats.org/officeDocument/2006/relationships/hyperlink" Target="http://www.boxofficemojo.com/schedule/?view=bydate&amp;release=theatrical&amp;date=2012-09-05&amp;p=.htm" TargetMode="External"/><Relationship Id="rId1476" Type="http://schemas.openxmlformats.org/officeDocument/2006/relationships/hyperlink" Target="http://www.boxofficemojo.com/movies/?id=laythefavorite.htm" TargetMode="External"/><Relationship Id="rId1477" Type="http://schemas.openxmlformats.org/officeDocument/2006/relationships/hyperlink" Target="http://www.boxofficemojo.com/studio/chart/?studio=radiustwc.htm" TargetMode="External"/><Relationship Id="rId1478" Type="http://schemas.openxmlformats.org/officeDocument/2006/relationships/hyperlink" Target="http://www.boxofficemojo.com/schedule/?view=bydate&amp;release=theatrical&amp;date=2012-12-07&amp;p=.htm" TargetMode="External"/><Relationship Id="rId1479" Type="http://schemas.openxmlformats.org/officeDocument/2006/relationships/hyperlink" Target="http://www.boxofficemojo.com/movies/?id=day2012.htm" TargetMode="External"/><Relationship Id="rId1080" Type="http://schemas.openxmlformats.org/officeDocument/2006/relationships/hyperlink" Target="http://www.boxofficemojo.com/movies/?id=perfectfamily.htm" TargetMode="External"/><Relationship Id="rId1081" Type="http://schemas.openxmlformats.org/officeDocument/2006/relationships/hyperlink" Target="http://www.boxofficemojo.com/studio/chart/?studio=variancefilms.htm" TargetMode="External"/><Relationship Id="rId1082" Type="http://schemas.openxmlformats.org/officeDocument/2006/relationships/hyperlink" Target="http://www.boxofficemojo.com/schedule/?view=bydate&amp;release=theatrical&amp;date=2012-05-04&amp;p=.htm" TargetMode="External"/><Relationship Id="rId1083" Type="http://schemas.openxmlformats.org/officeDocument/2006/relationships/hyperlink" Target="http://www.boxofficemojo.com/movies/?id=fivebrokencameras.htm" TargetMode="External"/><Relationship Id="rId1084" Type="http://schemas.openxmlformats.org/officeDocument/2006/relationships/hyperlink" Target="http://www.boxofficemojo.com/studio/chart/?studio=kinolorber.htm" TargetMode="External"/><Relationship Id="rId1085" Type="http://schemas.openxmlformats.org/officeDocument/2006/relationships/hyperlink" Target="http://www.boxofficemojo.com/schedule/?view=bydate&amp;release=theatrical&amp;date=2012-05-30&amp;p=.htm" TargetMode="External"/><Relationship Id="rId1086" Type="http://schemas.openxmlformats.org/officeDocument/2006/relationships/hyperlink" Target="http://www.boxofficemojo.com/movies/?id=helloimustbegoing.htm" TargetMode="External"/><Relationship Id="rId1087" Type="http://schemas.openxmlformats.org/officeDocument/2006/relationships/hyperlink" Target="http://www.boxofficemojo.com/studio/chart/?studio=oscilloscopepictures.htm" TargetMode="External"/><Relationship Id="rId1088" Type="http://schemas.openxmlformats.org/officeDocument/2006/relationships/hyperlink" Target="http://www.boxofficemojo.com/schedule/?view=bydate&amp;release=theatrical&amp;date=2012-09-07&amp;p=.htm" TargetMode="External"/><Relationship Id="rId1089" Type="http://schemas.openxmlformats.org/officeDocument/2006/relationships/hyperlink" Target="http://www.boxofficemojo.com/movies/?id=butter.htm" TargetMode="External"/><Relationship Id="rId1864" Type="http://schemas.openxmlformats.org/officeDocument/2006/relationships/hyperlink" Target="http://www.boxofficemojo.com/studio/chart/?studio=fs.htm" TargetMode="External"/><Relationship Id="rId1865" Type="http://schemas.openxmlformats.org/officeDocument/2006/relationships/hyperlink" Target="http://www.boxofficemojo.com/schedule/?view=bydate&amp;release=theatrical&amp;date=2012-02-24&amp;p=.htm" TargetMode="External"/><Relationship Id="rId1866" Type="http://schemas.openxmlformats.org/officeDocument/2006/relationships/hyperlink" Target="http://www.boxofficemojo.com/movies/?id=brake.htm" TargetMode="External"/><Relationship Id="rId1867" Type="http://schemas.openxmlformats.org/officeDocument/2006/relationships/hyperlink" Target="http://www.boxofficemojo.com/studio/chart/?studio=ifc.htm" TargetMode="External"/><Relationship Id="rId1868" Type="http://schemas.openxmlformats.org/officeDocument/2006/relationships/hyperlink" Target="http://www.boxofficemojo.com/schedule/?view=bydate&amp;release=theatrical&amp;date=2012-03-21&amp;p=.htm" TargetMode="External"/><Relationship Id="rId1869" Type="http://schemas.openxmlformats.org/officeDocument/2006/relationships/hyperlink" Target="http://www.boxofficemojo.com/movies/?id=amanvanishes2012.htm" TargetMode="External"/><Relationship Id="rId610" Type="http://schemas.openxmlformats.org/officeDocument/2006/relationships/hyperlink" Target="http://www.boxofficemojo.com/studio/chart/?studio=focus.htm" TargetMode="External"/><Relationship Id="rId611" Type="http://schemas.openxmlformats.org/officeDocument/2006/relationships/hyperlink" Target="http://www.boxofficemojo.com/schedule/?view=bydate&amp;release=theatrical&amp;date=2012-08-31&amp;p=.htm" TargetMode="External"/><Relationship Id="rId612" Type="http://schemas.openxmlformats.org/officeDocument/2006/relationships/hyperlink" Target="http://www.boxofficemojo.com/movies/?id=takethiswaltz.htm" TargetMode="External"/><Relationship Id="rId613" Type="http://schemas.openxmlformats.org/officeDocument/2006/relationships/hyperlink" Target="http://www.boxofficemojo.com/studio/chart/?studio=magnolia.htm" TargetMode="External"/><Relationship Id="rId614" Type="http://schemas.openxmlformats.org/officeDocument/2006/relationships/hyperlink" Target="http://www.boxofficemojo.com/schedule/?view=bydate&amp;release=theatrical&amp;date=2012-06-29&amp;p=.htm" TargetMode="External"/><Relationship Id="rId615" Type="http://schemas.openxmlformats.org/officeDocument/2006/relationships/hyperlink" Target="http://www.boxofficemojo.com/movies/?id=cocktail2012.htm" TargetMode="External"/><Relationship Id="rId616" Type="http://schemas.openxmlformats.org/officeDocument/2006/relationships/hyperlink" Target="http://www.boxofficemojo.com/studio/chart/?studio=eros.htm" TargetMode="External"/><Relationship Id="rId617" Type="http://schemas.openxmlformats.org/officeDocument/2006/relationships/hyperlink" Target="http://www.boxofficemojo.com/schedule/?view=bydate&amp;release=theatrical&amp;date=2012-07-13&amp;p=.htm" TargetMode="External"/><Relationship Id="rId618" Type="http://schemas.openxmlformats.org/officeDocument/2006/relationships/hyperlink" Target="http://www.boxofficemojo.com/movies/?id=bolbachchan.htm" TargetMode="External"/><Relationship Id="rId619" Type="http://schemas.openxmlformats.org/officeDocument/2006/relationships/hyperlink" Target="http://www.boxofficemojo.com/studio/chart/?studio=fip.htm" TargetMode="External"/><Relationship Id="rId220" Type="http://schemas.openxmlformats.org/officeDocument/2006/relationships/hyperlink" Target="http://www.boxofficemojo.com/studio/chart/?studio=universal.htm" TargetMode="External"/><Relationship Id="rId221" Type="http://schemas.openxmlformats.org/officeDocument/2006/relationships/hyperlink" Target="http://www.boxofficemojo.com/schedule/?view=bydate&amp;release=theatrical&amp;date=2012-07-06&amp;p=.htm" TargetMode="External"/><Relationship Id="rId222" Type="http://schemas.openxmlformats.org/officeDocument/2006/relationships/hyperlink" Target="http://www.boxofficemojo.com/movies/?id=bestexoticmarigoldhotel.htm" TargetMode="External"/><Relationship Id="rId223" Type="http://schemas.openxmlformats.org/officeDocument/2006/relationships/hyperlink" Target="http://www.boxofficemojo.com/studio/chart/?studio=foxsearchlight.htm" TargetMode="External"/><Relationship Id="rId224" Type="http://schemas.openxmlformats.org/officeDocument/2006/relationships/hyperlink" Target="http://www.boxofficemojo.com/schedule/?view=bydate&amp;release=theatrical&amp;date=2012-05-04&amp;p=.htm" TargetMode="External"/><Relationship Id="rId225" Type="http://schemas.openxmlformats.org/officeDocument/2006/relationships/hyperlink" Target="http://www.boxofficemojo.com/movies/?id=moonrisekingdom.htm" TargetMode="External"/><Relationship Id="rId226" Type="http://schemas.openxmlformats.org/officeDocument/2006/relationships/hyperlink" Target="http://www.boxofficemojo.com/studio/chart/?studio=focus.htm" TargetMode="External"/><Relationship Id="rId227" Type="http://schemas.openxmlformats.org/officeDocument/2006/relationships/hyperlink" Target="http://www.boxofficemojo.com/schedule/?view=bydate&amp;release=theatrical&amp;date=2012-05-25&amp;p=.htm" TargetMode="External"/><Relationship Id="rId228" Type="http://schemas.openxmlformats.org/officeDocument/2006/relationships/hyperlink" Target="http://www.boxofficemojo.com/movies/?id=herecomestheboom.htm" TargetMode="External"/><Relationship Id="rId229" Type="http://schemas.openxmlformats.org/officeDocument/2006/relationships/hyperlink" Target="http://www.boxofficemojo.com/studio/chart/?studio=sony.htm" TargetMode="External"/><Relationship Id="rId1870" Type="http://schemas.openxmlformats.org/officeDocument/2006/relationships/hyperlink" Target="http://www.boxofficemojo.com/studio/chart/?studio=icarus.htm" TargetMode="External"/><Relationship Id="rId1871" Type="http://schemas.openxmlformats.org/officeDocument/2006/relationships/hyperlink" Target="http://www.boxofficemojo.com/schedule/?view=bydate&amp;release=theatrical&amp;date=2012-11-15&amp;p=.htm" TargetMode="External"/><Relationship Id="rId1872" Type="http://schemas.openxmlformats.org/officeDocument/2006/relationships/hyperlink" Target="http://www.boxofficemojo.com/movies/?id=breathing.htm" TargetMode="External"/><Relationship Id="rId1873" Type="http://schemas.openxmlformats.org/officeDocument/2006/relationships/hyperlink" Target="http://www.boxofficemojo.com/studio/chart/?studio=kinolorber.htm" TargetMode="External"/><Relationship Id="rId1480" Type="http://schemas.openxmlformats.org/officeDocument/2006/relationships/hyperlink" Target="http://www.boxofficemojo.com/studio/chart/?studio=anchorbayentertainment.htm" TargetMode="External"/><Relationship Id="rId1481" Type="http://schemas.openxmlformats.org/officeDocument/2006/relationships/hyperlink" Target="http://www.boxofficemojo.com/schedule/?view=bydate&amp;release=theatrical&amp;date=2012-08-29&amp;p=.htm" TargetMode="External"/><Relationship Id="rId1482" Type="http://schemas.openxmlformats.org/officeDocument/2006/relationships/hyperlink" Target="http://www.boxofficemojo.com/movies/?id=highestpass.htm" TargetMode="External"/><Relationship Id="rId1483" Type="http://schemas.openxmlformats.org/officeDocument/2006/relationships/hyperlink" Target="http://www.boxofficemojo.com/studio/chart/?studio=cls.htm" TargetMode="External"/><Relationship Id="rId1484" Type="http://schemas.openxmlformats.org/officeDocument/2006/relationships/hyperlink" Target="http://www.boxofficemojo.com/schedule/?view=bydate&amp;release=theatrical&amp;date=2012-04-27&amp;p=.htm" TargetMode="External"/><Relationship Id="rId1485" Type="http://schemas.openxmlformats.org/officeDocument/2006/relationships/hyperlink" Target="http://www.boxofficemojo.com/movies/?id=jesushenrychrist.htm" TargetMode="External"/><Relationship Id="rId1486" Type="http://schemas.openxmlformats.org/officeDocument/2006/relationships/hyperlink" Target="http://www.boxofficemojo.com/studio/chart/?studio=entertainmentone.htm" TargetMode="External"/><Relationship Id="rId1487" Type="http://schemas.openxmlformats.org/officeDocument/2006/relationships/hyperlink" Target="http://www.boxofficemojo.com/schedule/?view=bydate&amp;release=theatrical&amp;date=2012-04-20&amp;p=.htm" TargetMode="External"/><Relationship Id="rId1488" Type="http://schemas.openxmlformats.org/officeDocument/2006/relationships/hyperlink" Target="http://www.boxofficemojo.com/movies/?id=howtogrowaband.htm" TargetMode="External"/><Relationship Id="rId1489" Type="http://schemas.openxmlformats.org/officeDocument/2006/relationships/hyperlink" Target="http://www.boxofficemojo.com/studio/chart/?studio=intlfilmcircuit.htm" TargetMode="External"/><Relationship Id="rId1090" Type="http://schemas.openxmlformats.org/officeDocument/2006/relationships/hyperlink" Target="http://www.boxofficemojo.com/studio/chart/?studio=radiustwc.htm" TargetMode="External"/><Relationship Id="rId1091" Type="http://schemas.openxmlformats.org/officeDocument/2006/relationships/hyperlink" Target="http://www.boxofficemojo.com/schedule/?view=bydate&amp;release=theatrical&amp;date=2012-10-05&amp;p=.htm" TargetMode="External"/><Relationship Id="rId1092" Type="http://schemas.openxmlformats.org/officeDocument/2006/relationships/hyperlink" Target="http://www.boxofficemojo.com/movies/?id=magicofbelleisle.htm" TargetMode="External"/><Relationship Id="rId1093" Type="http://schemas.openxmlformats.org/officeDocument/2006/relationships/hyperlink" Target="http://www.boxofficemojo.com/studio/chart/?studio=magnolia.htm" TargetMode="External"/><Relationship Id="rId1094" Type="http://schemas.openxmlformats.org/officeDocument/2006/relationships/hyperlink" Target="http://www.boxofficemojo.com/schedule/?view=bydate&amp;release=theatrical&amp;date=2012-07-06&amp;p=.htm" TargetMode="External"/><Relationship Id="rId1095" Type="http://schemas.openxmlformats.org/officeDocument/2006/relationships/hyperlink" Target="http://www.boxofficemojo.com/movies/?id=osloaugust31.htm" TargetMode="External"/><Relationship Id="rId1096" Type="http://schemas.openxmlformats.org/officeDocument/2006/relationships/hyperlink" Target="http://www.boxofficemojo.com/studio/chart/?studio=strand.htm" TargetMode="External"/><Relationship Id="rId1097" Type="http://schemas.openxmlformats.org/officeDocument/2006/relationships/hyperlink" Target="http://www.boxofficemojo.com/schedule/?view=bydate&amp;release=theatrical&amp;date=2012-05-25&amp;p=.htm" TargetMode="External"/><Relationship Id="rId1098" Type="http://schemas.openxmlformats.org/officeDocument/2006/relationships/hyperlink" Target="http://www.boxofficemojo.com/movies/?id=wutheringheights2012.htm" TargetMode="External"/><Relationship Id="rId1099" Type="http://schemas.openxmlformats.org/officeDocument/2006/relationships/hyperlink" Target="http://www.boxofficemojo.com/studio/chart/?studio=oscilloscopepictures.htm" TargetMode="External"/><Relationship Id="rId1874" Type="http://schemas.openxmlformats.org/officeDocument/2006/relationships/hyperlink" Target="http://www.boxofficemojo.com/schedule/?view=bydate&amp;release=theatrical&amp;date=2012-08-31&amp;p=.htm" TargetMode="External"/><Relationship Id="rId1875" Type="http://schemas.openxmlformats.org/officeDocument/2006/relationships/hyperlink" Target="http://www.boxofficemojo.com/movies/?id=newlyweds.htm" TargetMode="External"/><Relationship Id="rId1876" Type="http://schemas.openxmlformats.org/officeDocument/2006/relationships/hyperlink" Target="http://www.boxofficemojo.com/studio/chart/?studio=tribecafilm.htm" TargetMode="External"/><Relationship Id="rId1877" Type="http://schemas.openxmlformats.org/officeDocument/2006/relationships/hyperlink" Target="http://www.boxofficemojo.com/schedule/?view=bydate&amp;release=theatrical&amp;date=2012-01-13&amp;p=.htm" TargetMode="External"/><Relationship Id="rId1878" Type="http://schemas.openxmlformats.org/officeDocument/2006/relationships/hyperlink" Target="http://www.boxofficemojo.com/movies/?id=artispermanent.htm" TargetMode="External"/><Relationship Id="rId1879" Type="http://schemas.openxmlformats.org/officeDocument/2006/relationships/hyperlink" Target="http://www.boxofficemojo.com/studio/chart/?studio=firstrun.htm" TargetMode="External"/><Relationship Id="rId620" Type="http://schemas.openxmlformats.org/officeDocument/2006/relationships/hyperlink" Target="http://www.boxofficemojo.com/schedule/?view=bydate&amp;release=theatrical&amp;date=2012-07-06&amp;p=.htm" TargetMode="External"/><Relationship Id="rId621" Type="http://schemas.openxmlformats.org/officeDocument/2006/relationships/hyperlink" Target="http://www.boxofficemojo.com/movies/?id=womanthouartloosed2.htm" TargetMode="External"/><Relationship Id="rId622" Type="http://schemas.openxmlformats.org/officeDocument/2006/relationships/hyperlink" Target="http://www.boxofficemojo.com/studio/chart/?studio=codeblackentertainment.htm" TargetMode="External"/><Relationship Id="rId623" Type="http://schemas.openxmlformats.org/officeDocument/2006/relationships/hyperlink" Target="http://www.boxofficemojo.com/schedule/?view=bydate&amp;release=theatrical&amp;date=2012-04-13&amp;p=.htm" TargetMode="External"/><Relationship Id="rId624" Type="http://schemas.openxmlformats.org/officeDocument/2006/relationships/hyperlink" Target="http://www.boxofficemojo.com/movies/?id=headhunters.htm" TargetMode="External"/><Relationship Id="rId625" Type="http://schemas.openxmlformats.org/officeDocument/2006/relationships/hyperlink" Target="http://www.boxofficemojo.com/studio/chart/?studio=magnolia.htm" TargetMode="External"/><Relationship Id="rId626" Type="http://schemas.openxmlformats.org/officeDocument/2006/relationships/hyperlink" Target="http://www.boxofficemojo.com/schedule/?view=bydate&amp;release=theatrical&amp;date=2012-04-27&amp;p=.htm" TargetMode="External"/><Relationship Id="rId627" Type="http://schemas.openxmlformats.org/officeDocument/2006/relationships/hyperlink" Target="http://www.boxofficemojo.com/movies/?id=casablanca2012.htm" TargetMode="External"/><Relationship Id="rId628" Type="http://schemas.openxmlformats.org/officeDocument/2006/relationships/hyperlink" Target="http://www.boxofficemojo.com/studio/chart/?studio=warnerbros.htm" TargetMode="External"/><Relationship Id="rId629" Type="http://schemas.openxmlformats.org/officeDocument/2006/relationships/hyperlink" Target="http://www.boxofficemojo.com/schedule/?view=bydate&amp;release=theatrical&amp;date=2012-03-21&amp;p=.htm" TargetMode="External"/><Relationship Id="rId230" Type="http://schemas.openxmlformats.org/officeDocument/2006/relationships/hyperlink" Target="http://www.boxofficemojo.com/schedule/?view=bydate&amp;release=theatrical&amp;date=2012-10-12&amp;p=.htm" TargetMode="External"/><Relationship Id="rId231" Type="http://schemas.openxmlformats.org/officeDocument/2006/relationships/hyperlink" Target="http://www.boxofficemojo.com/movies/?id=reddawn10.htm" TargetMode="External"/><Relationship Id="rId232" Type="http://schemas.openxmlformats.org/officeDocument/2006/relationships/hyperlink" Target="http://www.boxofficemojo.com/studio/chart/?studio=filmdistrict.htm" TargetMode="External"/><Relationship Id="rId233" Type="http://schemas.openxmlformats.org/officeDocument/2006/relationships/hyperlink" Target="http://www.boxofficemojo.com/schedule/?view=bydate&amp;release=theatrical&amp;date=2012-11-21&amp;p=.htm" TargetMode="External"/><Relationship Id="rId234" Type="http://schemas.openxmlformats.org/officeDocument/2006/relationships/hyperlink" Target="http://www.boxofficemojo.com/movies/?id=threestooges.htm" TargetMode="External"/><Relationship Id="rId235" Type="http://schemas.openxmlformats.org/officeDocument/2006/relationships/hyperlink" Target="http://www.boxofficemojo.com/studio/chart/?studio=fox.htm" TargetMode="External"/><Relationship Id="rId236" Type="http://schemas.openxmlformats.org/officeDocument/2006/relationships/hyperlink" Target="http://www.boxofficemojo.com/schedule/?view=bydate&amp;release=theatrical&amp;date=2012-04-13&amp;p=.htm" TargetMode="External"/><Relationship Id="rId237" Type="http://schemas.openxmlformats.org/officeDocument/2006/relationships/hyperlink" Target="http://www.boxofficemojo.com/movies/?id=starwars3d.htm" TargetMode="External"/><Relationship Id="rId238" Type="http://schemas.openxmlformats.org/officeDocument/2006/relationships/hyperlink" Target="http://www.boxofficemojo.com/studio/chart/?studio=fox.htm" TargetMode="External"/><Relationship Id="rId239" Type="http://schemas.openxmlformats.org/officeDocument/2006/relationships/hyperlink" Target="http://www.boxofficemojo.com/schedule/?view=bydate&amp;release=theatrical&amp;date=2012-02-10&amp;p=.htm" TargetMode="External"/><Relationship Id="rId1880" Type="http://schemas.openxmlformats.org/officeDocument/2006/relationships/hyperlink" Target="http://www.boxofficemojo.com/schedule/?view=bydate&amp;release=theatrical&amp;date=2012-03-02&amp;p=.htm" TargetMode="External"/><Relationship Id="rId1881" Type="http://schemas.openxmlformats.org/officeDocument/2006/relationships/hyperlink" Target="http://www.boxofficemojo.com/movies/?id=yangsi.htm" TargetMode="External"/><Relationship Id="rId1882" Type="http://schemas.openxmlformats.org/officeDocument/2006/relationships/hyperlink" Target="http://www.boxofficemojo.com/studio/chart/?studio=kinolorber.htm" TargetMode="External"/><Relationship Id="rId1883" Type="http://schemas.openxmlformats.org/officeDocument/2006/relationships/hyperlink" Target="http://www.boxofficemojo.com/schedule/?view=bydate&amp;release=theatrical&amp;date=2012-12-07&amp;p=.htm" TargetMode="External"/><Relationship Id="rId1490" Type="http://schemas.openxmlformats.org/officeDocument/2006/relationships/hyperlink" Target="http://www.boxofficemojo.com/schedule/?view=bydate&amp;release=theatrical&amp;date=2012-04-13&amp;p=.htm" TargetMode="External"/><Relationship Id="rId1491" Type="http://schemas.openxmlformats.org/officeDocument/2006/relationships/hyperlink" Target="http://www.boxofficemojo.com/movies/?id=inovermyhead.htm" TargetMode="External"/><Relationship Id="rId1492" Type="http://schemas.openxmlformats.org/officeDocument/2006/relationships/hyperlink" Target="http://www.boxofficemojo.com/studio/chart/?studio=slaterbros.htm" TargetMode="External"/><Relationship Id="rId1493" Type="http://schemas.openxmlformats.org/officeDocument/2006/relationships/hyperlink" Target="http://www.boxofficemojo.com/schedule/?view=bydate&amp;release=theatrical&amp;date=2012-10-26&amp;p=.htm" TargetMode="External"/><Relationship Id="rId1494" Type="http://schemas.openxmlformats.org/officeDocument/2006/relationships/hyperlink" Target="http://www.boxofficemojo.com/movies/?id=tchoupitoulas.htm" TargetMode="External"/><Relationship Id="rId1495" Type="http://schemas.openxmlformats.org/officeDocument/2006/relationships/hyperlink" Target="http://www.boxofficemojo.com/studio/chart/?studio=oscilloscopepictures.htm" TargetMode="External"/><Relationship Id="rId1496" Type="http://schemas.openxmlformats.org/officeDocument/2006/relationships/hyperlink" Target="http://www.boxofficemojo.com/schedule/?view=bydate&amp;release=theatrical&amp;date=2012-12-07&amp;p=.htm" TargetMode="External"/><Relationship Id="rId1497" Type="http://schemas.openxmlformats.org/officeDocument/2006/relationships/hyperlink" Target="http://www.boxofficemojo.com/movies/?id=thecolorwheel.htm" TargetMode="External"/><Relationship Id="rId1498" Type="http://schemas.openxmlformats.org/officeDocument/2006/relationships/hyperlink" Target="http://www.boxofficemojo.com/studio/chart/?studio=apdcinema.htm" TargetMode="External"/><Relationship Id="rId1499" Type="http://schemas.openxmlformats.org/officeDocument/2006/relationships/hyperlink" Target="http://www.boxofficemojo.com/schedule/?view=bydate&amp;release=theatrical&amp;date=2012-05-18&amp;p=.htm" TargetMode="External"/><Relationship Id="rId1884" Type="http://schemas.openxmlformats.org/officeDocument/2006/relationships/hyperlink" Target="http://www.boxofficemojo.com/movies/?id=mothdiaries.htm" TargetMode="External"/><Relationship Id="rId1885" Type="http://schemas.openxmlformats.org/officeDocument/2006/relationships/hyperlink" Target="http://www.boxofficemojo.com/studio/chart/?studio=ifc.htm" TargetMode="External"/><Relationship Id="rId1886" Type="http://schemas.openxmlformats.org/officeDocument/2006/relationships/hyperlink" Target="http://www.boxofficemojo.com/schedule/?view=bydate&amp;release=theatrical&amp;date=2012-04-20&amp;p=.htm" TargetMode="External"/><Relationship Id="rId1887" Type="http://schemas.openxmlformats.org/officeDocument/2006/relationships/hyperlink" Target="http://www.boxofficemojo.com/movies/?id=freeradicals12.htm" TargetMode="External"/><Relationship Id="rId1888" Type="http://schemas.openxmlformats.org/officeDocument/2006/relationships/hyperlink" Target="http://www.boxofficemojo.com/studio/chart/?studio=kinolorber.htm" TargetMode="External"/><Relationship Id="rId1889" Type="http://schemas.openxmlformats.org/officeDocument/2006/relationships/hyperlink" Target="http://www.boxofficemojo.com/schedule/?view=bydate&amp;release=theatrical&amp;date=2012-08-03&amp;p=.htm" TargetMode="External"/><Relationship Id="rId10" Type="http://schemas.openxmlformats.org/officeDocument/2006/relationships/hyperlink" Target="http://www.boxofficemojo.com/studio/chart/?studio=warnerbros.htm" TargetMode="External"/><Relationship Id="rId11" Type="http://schemas.openxmlformats.org/officeDocument/2006/relationships/hyperlink" Target="http://www.boxofficemojo.com/schedule/?view=bydate&amp;release=theatrical&amp;date=2012-07-20&amp;p=.htm" TargetMode="External"/><Relationship Id="rId12" Type="http://schemas.openxmlformats.org/officeDocument/2006/relationships/hyperlink" Target="http://www.boxofficemojo.com/movies/?id=hungergames.htm" TargetMode="External"/><Relationship Id="rId13" Type="http://schemas.openxmlformats.org/officeDocument/2006/relationships/hyperlink" Target="http://www.boxofficemojo.com/studio/chart/?studio=lionsgate.htm" TargetMode="External"/><Relationship Id="rId14" Type="http://schemas.openxmlformats.org/officeDocument/2006/relationships/hyperlink" Target="http://www.boxofficemojo.com/schedule/?view=bydate&amp;release=theatrical&amp;date=2012-03-23&amp;p=.htm" TargetMode="External"/><Relationship Id="rId15" Type="http://schemas.openxmlformats.org/officeDocument/2006/relationships/hyperlink" Target="http://www.boxofficemojo.com/movies/?id=bond23.htm" TargetMode="External"/><Relationship Id="rId16" Type="http://schemas.openxmlformats.org/officeDocument/2006/relationships/hyperlink" Target="http://www.boxofficemojo.com/studio/chart/?studio=sony.htm" TargetMode="External"/><Relationship Id="rId17" Type="http://schemas.openxmlformats.org/officeDocument/2006/relationships/hyperlink" Target="http://www.boxofficemojo.com/schedule/?view=bydate&amp;release=theatrical&amp;date=2012-11-09&amp;p=.htm" TargetMode="External"/><Relationship Id="rId18" Type="http://schemas.openxmlformats.org/officeDocument/2006/relationships/hyperlink" Target="http://www.boxofficemojo.com/movies/?id=hobbit.htm" TargetMode="External"/><Relationship Id="rId19" Type="http://schemas.openxmlformats.org/officeDocument/2006/relationships/hyperlink" Target="http://www.boxofficemojo.com/studio/chart/?studio=wb-newline.htm" TargetMode="External"/><Relationship Id="rId630" Type="http://schemas.openxmlformats.org/officeDocument/2006/relationships/hyperlink" Target="http://www.boxofficemojo.com/movies/?id=deepbluesea12.htm" TargetMode="External"/><Relationship Id="rId631" Type="http://schemas.openxmlformats.org/officeDocument/2006/relationships/hyperlink" Target="http://www.boxofficemojo.com/studio/chart/?studio=musicboxfilms.htm" TargetMode="External"/><Relationship Id="rId632" Type="http://schemas.openxmlformats.org/officeDocument/2006/relationships/hyperlink" Target="http://www.boxofficemojo.com/schedule/?view=bydate&amp;release=theatrical&amp;date=2012-03-23&amp;p=.htm" TargetMode="External"/><Relationship Id="rId633" Type="http://schemas.openxmlformats.org/officeDocument/2006/relationships/hyperlink" Target="http://www.boxofficemojo.com/movies/?id=oogieloves.htm" TargetMode="External"/><Relationship Id="rId634" Type="http://schemas.openxmlformats.org/officeDocument/2006/relationships/hyperlink" Target="http://www.boxofficemojo.com/studio/chart/?studio=kennviselman.htm" TargetMode="External"/><Relationship Id="rId635" Type="http://schemas.openxmlformats.org/officeDocument/2006/relationships/hyperlink" Target="http://www.boxofficemojo.com/schedule/?view=bydate&amp;release=theatrical&amp;date=2012-08-29&amp;p=.htm" TargetMode="External"/><Relationship Id="rId636" Type="http://schemas.openxmlformats.org/officeDocument/2006/relationships/hyperlink" Target="http://www.boxofficemojo.com/movies/?id=indarkness.htm" TargetMode="External"/><Relationship Id="rId637" Type="http://schemas.openxmlformats.org/officeDocument/2006/relationships/hyperlink" Target="http://www.boxofficemojo.com/studio/chart/?studio=sonyclassics.htm" TargetMode="External"/><Relationship Id="rId638" Type="http://schemas.openxmlformats.org/officeDocument/2006/relationships/hyperlink" Target="http://www.boxofficemojo.com/schedule/?view=bydate&amp;release=theatrical&amp;date=2012-02-10&amp;p=.htm" TargetMode="External"/><Relationship Id="rId639" Type="http://schemas.openxmlformats.org/officeDocument/2006/relationships/hyperlink" Target="http://www.boxofficemojo.com/movies/?id=dianavreeland.htm" TargetMode="External"/><Relationship Id="rId240" Type="http://schemas.openxmlformats.org/officeDocument/2006/relationships/hyperlink" Target="http://www.boxofficemojo.com/movies/?id=residentevil5.htm" TargetMode="External"/><Relationship Id="rId241" Type="http://schemas.openxmlformats.org/officeDocument/2006/relationships/hyperlink" Target="http://www.boxofficemojo.com/studio/chart/?studio=screengems.htm" TargetMode="External"/><Relationship Id="rId242" Type="http://schemas.openxmlformats.org/officeDocument/2006/relationships/hyperlink" Target="http://www.boxofficemojo.com/schedule/?view=bydate&amp;release=theatrical&amp;date=2012-09-14&amp;p=.htm" TargetMode="External"/><Relationship Id="rId243" Type="http://schemas.openxmlformats.org/officeDocument/2006/relationships/hyperlink" Target="http://www.boxofficemojo.com/movies/?id=cabininthewoods.htm" TargetMode="External"/><Relationship Id="rId244" Type="http://schemas.openxmlformats.org/officeDocument/2006/relationships/hyperlink" Target="http://www.boxofficemojo.com/studio/chart/?studio=lionsgate.htm" TargetMode="External"/><Relationship Id="rId245" Type="http://schemas.openxmlformats.org/officeDocument/2006/relationships/hyperlink" Target="http://www.boxofficemojo.com/schedule/?view=bydate&amp;release=theatrical&amp;date=2012-04-13&amp;p=.htm" TargetMode="External"/><Relationship Id="rId246" Type="http://schemas.openxmlformats.org/officeDocument/2006/relationships/hyperlink" Target="http://www.boxofficemojo.com/movies/?id=whattoexpect.htm" TargetMode="External"/><Relationship Id="rId247" Type="http://schemas.openxmlformats.org/officeDocument/2006/relationships/hyperlink" Target="http://www.boxofficemojo.com/studio/chart/?studio=lionsgate.htm" TargetMode="External"/><Relationship Id="rId248" Type="http://schemas.openxmlformats.org/officeDocument/2006/relationships/hyperlink" Target="http://www.boxofficemojo.com/schedule/?view=bydate&amp;release=theatrical&amp;date=2012-05-18&amp;p=.htm" TargetMode="External"/><Relationship Id="rId249" Type="http://schemas.openxmlformats.org/officeDocument/2006/relationships/hyperlink" Target="http://www.boxofficemojo.com/movies/?id=findingnemo3d.htm" TargetMode="External"/><Relationship Id="rId1890" Type="http://schemas.openxmlformats.org/officeDocument/2006/relationships/hyperlink" Target="http://www.boxofficemojo.com/movies/?id=theycometoamerica.htm" TargetMode="External"/><Relationship Id="rId1891" Type="http://schemas.openxmlformats.org/officeDocument/2006/relationships/hyperlink" Target="http://www.boxofficemojo.com/studio/chart/?studio=corinth360.htm" TargetMode="External"/><Relationship Id="rId1892" Type="http://schemas.openxmlformats.org/officeDocument/2006/relationships/hyperlink" Target="http://www.boxofficemojo.com/schedule/?view=bydate&amp;release=theatrical&amp;date=2012-03-31&amp;p=.htm" TargetMode="External"/><Relationship Id="rId1893" Type="http://schemas.openxmlformats.org/officeDocument/2006/relationships/hyperlink" Target="http://www.boxofficemojo.com/movies/?id=badbloodthehunger.htm" TargetMode="External"/><Relationship Id="rId1894" Type="http://schemas.openxmlformats.org/officeDocument/2006/relationships/hyperlink" Target="http://www.boxofficemojo.com/studio/chart/?studio=gravityarch.htm" TargetMode="External"/><Relationship Id="rId1895" Type="http://schemas.openxmlformats.org/officeDocument/2006/relationships/hyperlink" Target="http://www.boxofficemojo.com/schedule/?view=bydate&amp;release=theatrical&amp;date=2012-10-26&amp;p=.htm" TargetMode="External"/><Relationship Id="rId1896" Type="http://schemas.openxmlformats.org/officeDocument/2006/relationships/hyperlink" Target="http://www.boxofficemojo.com/movies/?id=pickinandgrinnin.htm" TargetMode="External"/><Relationship Id="rId1897" Type="http://schemas.openxmlformats.org/officeDocument/2006/relationships/hyperlink" Target="http://www.boxofficemojo.com/studio/chart/?studio=houselightsmedia.htm" TargetMode="External"/><Relationship Id="rId1898" Type="http://schemas.openxmlformats.org/officeDocument/2006/relationships/hyperlink" Target="http://www.boxofficemojo.com/schedule/?view=bydate&amp;release=theatrical&amp;date=2012-09-07&amp;p=.htm" TargetMode="External"/><Relationship Id="rId1899" Type="http://schemas.openxmlformats.org/officeDocument/2006/relationships/hyperlink" Target="http://www.boxofficemojo.com/movies/?id=dayisawyourheart.htm" TargetMode="External"/><Relationship Id="rId20" Type="http://schemas.openxmlformats.org/officeDocument/2006/relationships/hyperlink" Target="http://www.boxofficemojo.com/schedule/?view=bydate&amp;release=theatrical&amp;date=2012-12-14&amp;p=.htm" TargetMode="External"/><Relationship Id="rId21" Type="http://schemas.openxmlformats.org/officeDocument/2006/relationships/hyperlink" Target="http://www.boxofficemojo.com/movies/?id=breakingdawn2.htm" TargetMode="External"/><Relationship Id="rId22" Type="http://schemas.openxmlformats.org/officeDocument/2006/relationships/hyperlink" Target="http://www.boxofficemojo.com/studio/chart/?studio=lionsgatesummit.htm" TargetMode="External"/><Relationship Id="rId23" Type="http://schemas.openxmlformats.org/officeDocument/2006/relationships/hyperlink" Target="http://www.boxofficemojo.com/schedule/?view=bydate&amp;release=theatrical&amp;date=2012-11-16&amp;p=.htm" TargetMode="External"/><Relationship Id="rId24" Type="http://schemas.openxmlformats.org/officeDocument/2006/relationships/hyperlink" Target="http://www.boxofficemojo.com/movies/?id=spiderman4.htm" TargetMode="External"/><Relationship Id="rId25" Type="http://schemas.openxmlformats.org/officeDocument/2006/relationships/hyperlink" Target="http://www.boxofficemojo.com/studio/chart/?studio=sony.htm" TargetMode="External"/><Relationship Id="rId26" Type="http://schemas.openxmlformats.org/officeDocument/2006/relationships/hyperlink" Target="http://www.boxofficemojo.com/schedule/?view=bydate&amp;release=theatrical&amp;date=2012-07-03&amp;p=.htm" TargetMode="External"/><Relationship Id="rId27" Type="http://schemas.openxmlformats.org/officeDocument/2006/relationships/hyperlink" Target="http://www.boxofficemojo.com/movies/?id=bearandthebow.htm" TargetMode="External"/><Relationship Id="rId28" Type="http://schemas.openxmlformats.org/officeDocument/2006/relationships/hyperlink" Target="http://www.boxofficemojo.com/studio/chart/?studio=buenavista.htm" TargetMode="External"/><Relationship Id="rId29" Type="http://schemas.openxmlformats.org/officeDocument/2006/relationships/hyperlink" Target="http://www.boxofficemojo.com/schedule/?view=bydate&amp;release=theatrical&amp;date=2012-06-22&amp;p=.htm" TargetMode="External"/><Relationship Id="rId1100" Type="http://schemas.openxmlformats.org/officeDocument/2006/relationships/hyperlink" Target="http://www.boxofficemojo.com/schedule/?view=bydate&amp;release=theatrical&amp;date=2012-10-05&amp;p=.htm" TargetMode="External"/><Relationship Id="rId1101" Type="http://schemas.openxmlformats.org/officeDocument/2006/relationships/hyperlink" Target="http://www.boxofficemojo.com/movies/?id=mugamoodi.htm" TargetMode="External"/><Relationship Id="rId1102" Type="http://schemas.openxmlformats.org/officeDocument/2006/relationships/hyperlink" Target="http://www.boxofficemojo.com/studio/chart/?studio=utv.htm" TargetMode="External"/><Relationship Id="rId1103" Type="http://schemas.openxmlformats.org/officeDocument/2006/relationships/hyperlink" Target="http://www.boxofficemojo.com/schedule/?view=bydate&amp;release=theatrical&amp;date=2012-08-31&amp;p=.htm" TargetMode="External"/><Relationship Id="rId1104" Type="http://schemas.openxmlformats.org/officeDocument/2006/relationships/hyperlink" Target="http://www.boxofficemojo.com/movies/?id=vhs.htm" TargetMode="External"/><Relationship Id="rId1105" Type="http://schemas.openxmlformats.org/officeDocument/2006/relationships/hyperlink" Target="http://www.boxofficemojo.com/studio/chart/?studio=magnolia.htm" TargetMode="External"/><Relationship Id="rId1106" Type="http://schemas.openxmlformats.org/officeDocument/2006/relationships/hyperlink" Target="http://www.boxofficemojo.com/schedule/?view=bydate&amp;release=theatrical&amp;date=2012-10-05&amp;p=.htm" TargetMode="External"/><Relationship Id="rId1107" Type="http://schemas.openxmlformats.org/officeDocument/2006/relationships/hyperlink" Target="http://www.boxofficemojo.com/movies/?id=360.htm" TargetMode="External"/><Relationship Id="rId1108" Type="http://schemas.openxmlformats.org/officeDocument/2006/relationships/hyperlink" Target="http://www.boxofficemojo.com/studio/chart/?studio=magnolia.htm" TargetMode="External"/><Relationship Id="rId1109" Type="http://schemas.openxmlformats.org/officeDocument/2006/relationships/hyperlink" Target="http://www.boxofficemojo.com/schedule/?view=bydate&amp;release=theatrical&amp;date=2012-08-03&amp;p=.htm" TargetMode="External"/><Relationship Id="rId640" Type="http://schemas.openxmlformats.org/officeDocument/2006/relationships/hyperlink" Target="http://www.boxofficemojo.com/studio/chart/?studio=samuelgoldwyn.htm" TargetMode="External"/><Relationship Id="rId641" Type="http://schemas.openxmlformats.org/officeDocument/2006/relationships/hyperlink" Target="http://www.boxofficemojo.com/schedule/?view=bydate&amp;release=theatrical&amp;date=2012-09-21&amp;p=.htm" TargetMode="External"/><Relationship Id="rId642" Type="http://schemas.openxmlformats.org/officeDocument/2006/relationships/hyperlink" Target="http://www.boxofficemojo.com/movies/?id=firstposition.htm" TargetMode="External"/><Relationship Id="rId643" Type="http://schemas.openxmlformats.org/officeDocument/2006/relationships/hyperlink" Target="http://www.boxofficemojo.com/studio/chart/?studio=ifc.htm" TargetMode="External"/><Relationship Id="rId644" Type="http://schemas.openxmlformats.org/officeDocument/2006/relationships/hyperlink" Target="http://www.boxofficemojo.com/schedule/?view=bydate&amp;release=theatrical&amp;date=2012-05-04&amp;p=.htm" TargetMode="External"/><Relationship Id="rId645" Type="http://schemas.openxmlformats.org/officeDocument/2006/relationships/hyperlink" Target="http://www.boxofficemojo.com/movies/?id=barbara.htm" TargetMode="External"/><Relationship Id="rId646" Type="http://schemas.openxmlformats.org/officeDocument/2006/relationships/hyperlink" Target="http://www.boxofficemojo.com/studio/chart/?studio=adoptfilms.htm" TargetMode="External"/><Relationship Id="rId647" Type="http://schemas.openxmlformats.org/officeDocument/2006/relationships/hyperlink" Target="http://www.boxofficemojo.com/schedule/?view=bydate&amp;release=theatrical&amp;date=2012-12-21&amp;p=.htm" TargetMode="External"/><Relationship Id="rId648" Type="http://schemas.openxmlformats.org/officeDocument/2006/relationships/hyperlink" Target="http://www.boxofficemojo.com/movies/?id=damselsindistress.htm" TargetMode="External"/><Relationship Id="rId649" Type="http://schemas.openxmlformats.org/officeDocument/2006/relationships/hyperlink" Target="http://www.boxofficemojo.com/studio/chart/?studio=sonyclassics.htm" TargetMode="External"/><Relationship Id="rId250" Type="http://schemas.openxmlformats.org/officeDocument/2006/relationships/hyperlink" Target="http://www.boxofficemojo.com/studio/chart/?studio=buenavista.htm" TargetMode="External"/><Relationship Id="rId251" Type="http://schemas.openxmlformats.org/officeDocument/2006/relationships/hyperlink" Target="http://www.boxofficemojo.com/schedule/?view=bydate&amp;release=theatrical&amp;date=2012-09-14&amp;p=.htm" TargetMode="External"/><Relationship Id="rId252" Type="http://schemas.openxmlformats.org/officeDocument/2006/relationships/hyperlink" Target="http://www.boxofficemojo.com/movies/?id=endofwatch.htm" TargetMode="External"/><Relationship Id="rId253" Type="http://schemas.openxmlformats.org/officeDocument/2006/relationships/hyperlink" Target="http://www.boxofficemojo.com/studio/chart/?studio=openroads.htm" TargetMode="External"/><Relationship Id="rId254" Type="http://schemas.openxmlformats.org/officeDocument/2006/relationships/hyperlink" Target="http://www.boxofficemojo.com/schedule/?view=bydate&amp;release=theatrical&amp;date=2012-09-21&amp;p=.htm" TargetMode="External"/><Relationship Id="rId255" Type="http://schemas.openxmlformats.org/officeDocument/2006/relationships/hyperlink" Target="http://www.boxofficemojo.com/movies/?id=rockofages.htm" TargetMode="External"/><Relationship Id="rId256" Type="http://schemas.openxmlformats.org/officeDocument/2006/relationships/hyperlink" Target="http://www.boxofficemojo.com/studio/chart/?studio=wb-newline.htm" TargetMode="External"/><Relationship Id="rId257" Type="http://schemas.openxmlformats.org/officeDocument/2006/relationships/hyperlink" Target="http://www.boxofficemojo.com/schedule/?view=bydate&amp;release=theatrical&amp;date=2012-06-15&amp;p=.htm" TargetMode="External"/><Relationship Id="rId258" Type="http://schemas.openxmlformats.org/officeDocument/2006/relationships/hyperlink" Target="http://www.boxofficemojo.com/movies/?id=abrahamlincolnvampirehunter.htm" TargetMode="External"/><Relationship Id="rId259" Type="http://schemas.openxmlformats.org/officeDocument/2006/relationships/hyperlink" Target="http://www.boxofficemojo.com/studio/chart/?studio=fox.htm" TargetMode="External"/><Relationship Id="rId30" Type="http://schemas.openxmlformats.org/officeDocument/2006/relationships/hyperlink" Target="http://www.boxofficemojo.com/movies/?id=ted.htm" TargetMode="External"/><Relationship Id="rId31" Type="http://schemas.openxmlformats.org/officeDocument/2006/relationships/hyperlink" Target="http://www.boxofficemojo.com/studio/chart/?studio=universal.htm" TargetMode="External"/><Relationship Id="rId32" Type="http://schemas.openxmlformats.org/officeDocument/2006/relationships/hyperlink" Target="http://www.boxofficemojo.com/schedule/?view=bydate&amp;release=theatrical&amp;date=2012-06-29&amp;p=.htm" TargetMode="External"/><Relationship Id="rId33" Type="http://schemas.openxmlformats.org/officeDocument/2006/relationships/hyperlink" Target="http://www.boxofficemojo.com/movies/?id=madagascar3.htm" TargetMode="External"/><Relationship Id="rId34" Type="http://schemas.openxmlformats.org/officeDocument/2006/relationships/hyperlink" Target="http://www.boxofficemojo.com/studio/chart/?studio=pardw.htm" TargetMode="External"/><Relationship Id="rId35" Type="http://schemas.openxmlformats.org/officeDocument/2006/relationships/hyperlink" Target="http://www.boxofficemojo.com/schedule/?view=bydate&amp;release=theatrical&amp;date=2012-06-08&amp;p=.htm" TargetMode="External"/><Relationship Id="rId36" Type="http://schemas.openxmlformats.org/officeDocument/2006/relationships/hyperlink" Target="http://www.boxofficemojo.com/movies/?id=lorax.htm" TargetMode="External"/><Relationship Id="rId37" Type="http://schemas.openxmlformats.org/officeDocument/2006/relationships/hyperlink" Target="http://www.boxofficemojo.com/studio/chart/?studio=universal.htm" TargetMode="External"/><Relationship Id="rId38" Type="http://schemas.openxmlformats.org/officeDocument/2006/relationships/hyperlink" Target="http://www.boxofficemojo.com/schedule/?view=bydate&amp;release=theatrical&amp;date=2012-03-02&amp;p=.htm" TargetMode="External"/><Relationship Id="rId39" Type="http://schemas.openxmlformats.org/officeDocument/2006/relationships/hyperlink" Target="http://www.boxofficemojo.com/movies/?id=rebootralph.htm" TargetMode="External"/><Relationship Id="rId1500" Type="http://schemas.openxmlformats.org/officeDocument/2006/relationships/hyperlink" Target="http://www.boxofficemojo.com/movies/?id=sophomore.htm" TargetMode="External"/><Relationship Id="rId1501" Type="http://schemas.openxmlformats.org/officeDocument/2006/relationships/hyperlink" Target="http://www.boxofficemojo.com/studio/chart/?studio=unknown.htm" TargetMode="External"/><Relationship Id="rId1502" Type="http://schemas.openxmlformats.org/officeDocument/2006/relationships/hyperlink" Target="http://www.boxofficemojo.com/schedule/?view=bydate&amp;release=theatrical&amp;date=2012-01-13&amp;p=.htm" TargetMode="External"/><Relationship Id="rId1503" Type="http://schemas.openxmlformats.org/officeDocument/2006/relationships/hyperlink" Target="http://www.boxofficemojo.com/movies/?id=28hotelrooms.htm" TargetMode="External"/><Relationship Id="rId1110" Type="http://schemas.openxmlformats.org/officeDocument/2006/relationships/hyperlink" Target="http://www.boxofficemojo.com/movies/?id=hardflip.htm" TargetMode="External"/><Relationship Id="rId1111" Type="http://schemas.openxmlformats.org/officeDocument/2006/relationships/hyperlink" Target="http://www.boxofficemojo.com/studio/chart/?studio=rockymountainpictures.htm" TargetMode="External"/><Relationship Id="rId1112" Type="http://schemas.openxmlformats.org/officeDocument/2006/relationships/hyperlink" Target="http://www.boxofficemojo.com/schedule/?view=bydate&amp;release=theatrical&amp;date=2012-06-01&amp;p=.htm" TargetMode="External"/><Relationship Id="rId1113" Type="http://schemas.openxmlformats.org/officeDocument/2006/relationships/hyperlink" Target="http://www.boxofficemojo.com/movies/?id=goodbyefirstlove.htm" TargetMode="External"/><Relationship Id="rId1114" Type="http://schemas.openxmlformats.org/officeDocument/2006/relationships/hyperlink" Target="http://www.boxofficemojo.com/studio/chart/?studio=ifc.htm" TargetMode="External"/><Relationship Id="rId1115" Type="http://schemas.openxmlformats.org/officeDocument/2006/relationships/hyperlink" Target="http://www.boxofficemojo.com/schedule/?view=bydate&amp;release=theatrical&amp;date=2012-04-20&amp;p=.htm" TargetMode="External"/><Relationship Id="rId1116" Type="http://schemas.openxmlformats.org/officeDocument/2006/relationships/hyperlink" Target="http://www.boxofficemojo.com/movies/?id=road2012.htm" TargetMode="External"/><Relationship Id="rId1117" Type="http://schemas.openxmlformats.org/officeDocument/2006/relationships/hyperlink" Target="http://www.boxofficemojo.com/studio/chart/?studio=fs.htm" TargetMode="External"/><Relationship Id="rId1118" Type="http://schemas.openxmlformats.org/officeDocument/2006/relationships/hyperlink" Target="http://www.boxofficemojo.com/schedule/?view=bydate&amp;release=theatrical&amp;date=2012-05-11&amp;p=.htm" TargetMode="External"/><Relationship Id="rId1119" Type="http://schemas.openxmlformats.org/officeDocument/2006/relationships/hyperlink" Target="http://www.boxofficemojo.com/movies/?id=starlet.htm" TargetMode="External"/><Relationship Id="rId650" Type="http://schemas.openxmlformats.org/officeDocument/2006/relationships/hyperlink" Target="http://www.boxofficemojo.com/schedule/?view=bydate&amp;release=theatrical&amp;date=2012-04-06&amp;p=.htm" TargetMode="External"/><Relationship Id="rId651" Type="http://schemas.openxmlformats.org/officeDocument/2006/relationships/hyperlink" Target="http://www.boxofficemojo.com/movies/?id=unconditional.htm" TargetMode="External"/><Relationship Id="rId652" Type="http://schemas.openxmlformats.org/officeDocument/2006/relationships/hyperlink" Target="http://www.boxofficemojo.com/studio/chart/?studio=veracity.htm" TargetMode="External"/><Relationship Id="rId653" Type="http://schemas.openxmlformats.org/officeDocument/2006/relationships/hyperlink" Target="http://www.boxofficemojo.com/schedule/?view=bydate&amp;release=theatrical&amp;date=2012-09-21&amp;p=.htm" TargetMode="External"/><Relationship Id="rId654" Type="http://schemas.openxmlformats.org/officeDocument/2006/relationships/hyperlink" Target="http://www.boxofficemojo.com/movies/?id=burn.htm" TargetMode="External"/><Relationship Id="rId655" Type="http://schemas.openxmlformats.org/officeDocument/2006/relationships/hyperlink" Target="http://www.boxofficemojo.com/studio/chart/?studio=callbox.htm" TargetMode="External"/><Relationship Id="rId656" Type="http://schemas.openxmlformats.org/officeDocument/2006/relationships/hyperlink" Target="http://www.boxofficemojo.com/schedule/?view=bydate&amp;release=theatrical&amp;date=2012-07-24&amp;p=.htm" TargetMode="External"/><Relationship Id="rId657" Type="http://schemas.openxmlformats.org/officeDocument/2006/relationships/hyperlink" Target="http://www.boxofficemojo.com/movies/?id=rampart.htm" TargetMode="External"/><Relationship Id="rId658" Type="http://schemas.openxmlformats.org/officeDocument/2006/relationships/hyperlink" Target="http://www.boxofficemojo.com/studio/chart/?studio=millenniumentertainment.htm" TargetMode="External"/><Relationship Id="rId659" Type="http://schemas.openxmlformats.org/officeDocument/2006/relationships/hyperlink" Target="http://www.boxofficemojo.com/schedule/?view=bydate&amp;release=theatrical&amp;date=2012-02-10&amp;p=.htm" TargetMode="External"/><Relationship Id="rId1504" Type="http://schemas.openxmlformats.org/officeDocument/2006/relationships/hyperlink" Target="http://www.boxofficemojo.com/studio/chart/?studio=oscilloscopepictures.htm" TargetMode="External"/><Relationship Id="rId1505" Type="http://schemas.openxmlformats.org/officeDocument/2006/relationships/hyperlink" Target="http://www.boxofficemojo.com/schedule/?view=bydate&amp;release=theatrical&amp;date=2012-11-09&amp;p=.htm" TargetMode="External"/><Relationship Id="rId1506" Type="http://schemas.openxmlformats.org/officeDocument/2006/relationships/hyperlink" Target="http://www.boxofficemojo.com/movies/?id=chelywright.htm" TargetMode="External"/><Relationship Id="rId1507" Type="http://schemas.openxmlformats.org/officeDocument/2006/relationships/hyperlink" Target="http://www.boxofficemojo.com/studio/chart/?studio=firstrun.htm" TargetMode="External"/><Relationship Id="rId1508" Type="http://schemas.openxmlformats.org/officeDocument/2006/relationships/hyperlink" Target="http://www.boxofficemojo.com/schedule/?view=bydate&amp;release=theatrical&amp;date=2012-06-01&amp;p=.htm" TargetMode="External"/><Relationship Id="rId1509" Type="http://schemas.openxmlformats.org/officeDocument/2006/relationships/hyperlink" Target="http://www.boxofficemojo.com/movies/?id=lovelymolly.htm" TargetMode="External"/><Relationship Id="rId260" Type="http://schemas.openxmlformats.org/officeDocument/2006/relationships/hyperlink" Target="http://www.boxofficemojo.com/schedule/?view=bydate&amp;release=theatrical&amp;date=2012-06-22&amp;p=.htm" TargetMode="External"/><Relationship Id="rId261" Type="http://schemas.openxmlformats.org/officeDocument/2006/relationships/hyperlink" Target="http://www.boxofficemojo.com/movies/?id=wettestcountry.htm" TargetMode="External"/><Relationship Id="rId262" Type="http://schemas.openxmlformats.org/officeDocument/2006/relationships/hyperlink" Target="http://www.boxofficemojo.com/studio/chart/?studio=weinsteincompany.htm" TargetMode="External"/><Relationship Id="rId263" Type="http://schemas.openxmlformats.org/officeDocument/2006/relationships/hyperlink" Target="http://www.boxofficemojo.com/schedule/?view=bydate&amp;release=theatrical&amp;date=2012-08-29&amp;p=.htm" TargetMode="External"/><Relationship Id="rId264" Type="http://schemas.openxmlformats.org/officeDocument/2006/relationships/hyperlink" Target="http://www.boxofficemojo.com/movies/?id=mymotherscurse.htm" TargetMode="External"/><Relationship Id="rId265" Type="http://schemas.openxmlformats.org/officeDocument/2006/relationships/hyperlink" Target="http://www.boxofficemojo.com/studio/chart/?studio=paramount.htm" TargetMode="External"/><Relationship Id="rId266" Type="http://schemas.openxmlformats.org/officeDocument/2006/relationships/hyperlink" Target="http://www.boxofficemojo.com/schedule/?view=bydate&amp;release=theatrical&amp;date=2012-12-19&amp;p=.htm" TargetMode="External"/><Relationship Id="rId267" Type="http://schemas.openxmlformats.org/officeDocument/2006/relationships/hyperlink" Target="http://www.boxofficemojo.com/movies/?id=ihateyoudad.htm" TargetMode="External"/><Relationship Id="rId268" Type="http://schemas.openxmlformats.org/officeDocument/2006/relationships/hyperlink" Target="http://www.boxofficemojo.com/studio/chart/?studio=sony.htm" TargetMode="External"/><Relationship Id="rId269" Type="http://schemas.openxmlformats.org/officeDocument/2006/relationships/hyperlink" Target="http://www.boxofficemojo.com/schedule/?view=bydate&amp;release=theatrical&amp;date=2012-06-15&amp;p=.htm" TargetMode="External"/><Relationship Id="rId40" Type="http://schemas.openxmlformats.org/officeDocument/2006/relationships/hyperlink" Target="http://www.boxofficemojo.com/studio/chart/?studio=buenavista.htm" TargetMode="External"/><Relationship Id="rId41" Type="http://schemas.openxmlformats.org/officeDocument/2006/relationships/hyperlink" Target="http://www.boxofficemojo.com/schedule/?view=bydate&amp;release=theatrical&amp;date=2012-11-02&amp;p=.htm" TargetMode="External"/><Relationship Id="rId42" Type="http://schemas.openxmlformats.org/officeDocument/2006/relationships/hyperlink" Target="http://www.boxofficemojo.com/movies/?id=lincoln.htm" TargetMode="External"/><Relationship Id="rId43" Type="http://schemas.openxmlformats.org/officeDocument/2006/relationships/hyperlink" Target="http://www.boxofficemojo.com/studio/chart/?studio=buenavista.htm" TargetMode="External"/><Relationship Id="rId44" Type="http://schemas.openxmlformats.org/officeDocument/2006/relationships/hyperlink" Target="http://www.boxofficemojo.com/schedule/?view=bydate&amp;release=theatrical&amp;date=2012-11-09&amp;p=.htm" TargetMode="External"/><Relationship Id="rId45" Type="http://schemas.openxmlformats.org/officeDocument/2006/relationships/hyperlink" Target="http://www.boxofficemojo.com/movies/?id=mib3.htm" TargetMode="External"/><Relationship Id="rId46" Type="http://schemas.openxmlformats.org/officeDocument/2006/relationships/hyperlink" Target="http://www.boxofficemojo.com/studio/chart/?studio=sony.htm" TargetMode="External"/><Relationship Id="rId47" Type="http://schemas.openxmlformats.org/officeDocument/2006/relationships/hyperlink" Target="http://www.boxofficemojo.com/schedule/?view=bydate&amp;release=theatrical&amp;date=2012-05-25&amp;p=.htm" TargetMode="External"/><Relationship Id="rId48" Type="http://schemas.openxmlformats.org/officeDocument/2006/relationships/hyperlink" Target="http://www.boxofficemojo.com/movies/?id=djangounchained.htm" TargetMode="External"/><Relationship Id="rId49" Type="http://schemas.openxmlformats.org/officeDocument/2006/relationships/hyperlink" Target="http://www.boxofficemojo.com/studio/chart/?studio=weinsteincompany.htm" TargetMode="External"/><Relationship Id="rId1900" Type="http://schemas.openxmlformats.org/officeDocument/2006/relationships/hyperlink" Target="http://www.boxofficemojo.com/studio/chart/?studio=filmmovement.htm" TargetMode="External"/><Relationship Id="rId1901" Type="http://schemas.openxmlformats.org/officeDocument/2006/relationships/hyperlink" Target="http://www.boxofficemojo.com/schedule/?view=bydate&amp;release=theatrical&amp;date=2012-08-24&amp;p=.htm" TargetMode="External"/><Relationship Id="rId1902" Type="http://schemas.openxmlformats.org/officeDocument/2006/relationships/hyperlink" Target="http://www.boxofficemojo.com/movies/?id=loosies.htm" TargetMode="External"/><Relationship Id="rId1903" Type="http://schemas.openxmlformats.org/officeDocument/2006/relationships/hyperlink" Target="http://www.boxofficemojo.com/studio/chart/?studio=ifc.htm" TargetMode="External"/><Relationship Id="rId1510" Type="http://schemas.openxmlformats.org/officeDocument/2006/relationships/hyperlink" Target="http://www.boxofficemojo.com/studio/chart/?studio=imageentertainment.htm" TargetMode="External"/><Relationship Id="rId1511" Type="http://schemas.openxmlformats.org/officeDocument/2006/relationships/hyperlink" Target="http://www.boxofficemojo.com/schedule/?view=bydate&amp;release=theatrical&amp;date=2012-05-18&amp;p=.htm" TargetMode="External"/><Relationship Id="rId1512" Type="http://schemas.openxmlformats.org/officeDocument/2006/relationships/hyperlink" Target="http://www.boxofficemojo.com/movies/?id=elmilagrodemarcelinopan.htm" TargetMode="External"/><Relationship Id="rId1513" Type="http://schemas.openxmlformats.org/officeDocument/2006/relationships/hyperlink" Target="http://www.boxofficemojo.com/studio/chart/?studio=gigapix.htm" TargetMode="External"/><Relationship Id="rId1120" Type="http://schemas.openxmlformats.org/officeDocument/2006/relationships/hyperlink" Target="http://www.boxofficemojo.com/studio/chart/?studio=musicboxfilms.htm" TargetMode="External"/><Relationship Id="rId1121" Type="http://schemas.openxmlformats.org/officeDocument/2006/relationships/hyperlink" Target="http://www.boxofficemojo.com/schedule/?view=bydate&amp;release=theatrical&amp;date=2012-11-09&amp;p=.htm" TargetMode="External"/><Relationship Id="rId1122" Type="http://schemas.openxmlformats.org/officeDocument/2006/relationships/hyperlink" Target="http://www.boxofficemojo.com/movies/?id=marinaabramovic.htm" TargetMode="External"/><Relationship Id="rId1123" Type="http://schemas.openxmlformats.org/officeDocument/2006/relationships/hyperlink" Target="http://www.boxofficemojo.com/studio/chart/?studio=musicboxfilms.htm" TargetMode="External"/><Relationship Id="rId1124" Type="http://schemas.openxmlformats.org/officeDocument/2006/relationships/hyperlink" Target="http://www.boxofficemojo.com/schedule/?view=bydate&amp;release=theatrical&amp;date=2012-06-13&amp;p=.htm" TargetMode="External"/><Relationship Id="rId1125" Type="http://schemas.openxmlformats.org/officeDocument/2006/relationships/hyperlink" Target="http://www.boxofficemojo.com/movies/?id=eyeofthestorm.htm" TargetMode="External"/><Relationship Id="rId1126" Type="http://schemas.openxmlformats.org/officeDocument/2006/relationships/hyperlink" Target="http://www.boxofficemojo.com/studio/chart/?studio=sycamore.htm" TargetMode="External"/><Relationship Id="rId1127" Type="http://schemas.openxmlformats.org/officeDocument/2006/relationships/hyperlink" Target="http://www.boxofficemojo.com/schedule/?view=bydate&amp;release=theatrical&amp;date=2012-09-07&amp;p=.htm" TargetMode="External"/><Relationship Id="rId1128" Type="http://schemas.openxmlformats.org/officeDocument/2006/relationships/hyperlink" Target="http://www.boxofficemojo.com/movies/?id=hatingbreitbart.htm" TargetMode="External"/><Relationship Id="rId1129" Type="http://schemas.openxmlformats.org/officeDocument/2006/relationships/hyperlink" Target="http://www.boxofficemojo.com/studio/chart/?studio=rockymountainpictures.htm" TargetMode="External"/><Relationship Id="rId660" Type="http://schemas.openxmlformats.org/officeDocument/2006/relationships/hyperlink" Target="http://www.boxofficemojo.com/movies/?id=masquerade2012.htm" TargetMode="External"/><Relationship Id="rId661" Type="http://schemas.openxmlformats.org/officeDocument/2006/relationships/hyperlink" Target="http://www.boxofficemojo.com/studio/chart/?studio=cjentertainment.htm" TargetMode="External"/><Relationship Id="rId662" Type="http://schemas.openxmlformats.org/officeDocument/2006/relationships/hyperlink" Target="http://www.boxofficemojo.com/schedule/?view=bydate&amp;release=theatrical&amp;date=2012-09-21&amp;p=.htm" TargetMode="External"/><Relationship Id="rId663" Type="http://schemas.openxmlformats.org/officeDocument/2006/relationships/hyperlink" Target="http://www.boxofficemojo.com/movies/?id=imposter2012.htm" TargetMode="External"/><Relationship Id="rId664" Type="http://schemas.openxmlformats.org/officeDocument/2006/relationships/hyperlink" Target="http://www.boxofficemojo.com/studio/chart/?studio=indomina.htm" TargetMode="External"/><Relationship Id="rId665" Type="http://schemas.openxmlformats.org/officeDocument/2006/relationships/hyperlink" Target="http://www.boxofficemojo.com/schedule/?view=bydate&amp;release=theatrical&amp;date=2012-07-13&amp;p=.htm" TargetMode="External"/><Relationship Id="rId666" Type="http://schemas.openxmlformats.org/officeDocument/2006/relationships/hyperlink" Target="http://www.boxofficemojo.com/movies/?id=billw.htm" TargetMode="External"/><Relationship Id="rId667" Type="http://schemas.openxmlformats.org/officeDocument/2006/relationships/hyperlink" Target="http://www.boxofficemojo.com/studio/chart/?studio=page124.htm" TargetMode="External"/><Relationship Id="rId668" Type="http://schemas.openxmlformats.org/officeDocument/2006/relationships/hyperlink" Target="http://www.boxofficemojo.com/schedule/?view=bydate&amp;release=theatrical&amp;date=2012-05-18&amp;p=.htm" TargetMode="External"/><Relationship Id="rId669" Type="http://schemas.openxmlformats.org/officeDocument/2006/relationships/hyperlink" Target="http://www.boxofficemojo.com/movies/?id=darlingcompanion.htm" TargetMode="External"/><Relationship Id="rId1514" Type="http://schemas.openxmlformats.org/officeDocument/2006/relationships/hyperlink" Target="http://www.boxofficemojo.com/schedule/?view=bydate&amp;release=theatrical&amp;date=2012-10-26&amp;p=.htm" TargetMode="External"/><Relationship Id="rId1515" Type="http://schemas.openxmlformats.org/officeDocument/2006/relationships/hyperlink" Target="http://www.boxofficemojo.com/movies/?id=totalrecall2012rerelease.htm" TargetMode="External"/><Relationship Id="rId1516" Type="http://schemas.openxmlformats.org/officeDocument/2006/relationships/hyperlink" Target="http://www.boxofficemojo.com/studio/chart/?studio=rialto.htm" TargetMode="External"/><Relationship Id="rId1517" Type="http://schemas.openxmlformats.org/officeDocument/2006/relationships/hyperlink" Target="http://www.boxofficemojo.com/schedule/?view=bydate&amp;release=theatrical&amp;date=2012-08-10&amp;p=.htm" TargetMode="External"/><Relationship Id="rId1518" Type="http://schemas.openxmlformats.org/officeDocument/2006/relationships/hyperlink" Target="http://www.boxofficemojo.com/movies/?id=juanofthedead.htm" TargetMode="External"/><Relationship Id="rId1519" Type="http://schemas.openxmlformats.org/officeDocument/2006/relationships/hyperlink" Target="http://www.boxofficemojo.com/studio/chart/?studio=outsiderpictures.htm" TargetMode="External"/><Relationship Id="rId270" Type="http://schemas.openxmlformats.org/officeDocument/2006/relationships/hyperlink" Target="http://www.boxofficemojo.com/movies/?id=troublewiththecurve.htm" TargetMode="External"/><Relationship Id="rId271" Type="http://schemas.openxmlformats.org/officeDocument/2006/relationships/hyperlink" Target="http://www.boxofficemojo.com/studio/chart/?studio=warnerbros.htm" TargetMode="External"/><Relationship Id="rId272" Type="http://schemas.openxmlformats.org/officeDocument/2006/relationships/hyperlink" Target="http://www.boxofficemojo.com/schedule/?view=bydate&amp;release=theatrical&amp;date=2012-09-21&amp;p=.htm" TargetMode="External"/><Relationship Id="rId273" Type="http://schemas.openxmlformats.org/officeDocument/2006/relationships/hyperlink" Target="http://www.boxofficemojo.com/movies/?id=neighborhoodwatch.htm" TargetMode="External"/><Relationship Id="rId274" Type="http://schemas.openxmlformats.org/officeDocument/2006/relationships/hyperlink" Target="http://www.boxofficemojo.com/studio/chart/?studio=fox.htm" TargetMode="External"/><Relationship Id="rId275" Type="http://schemas.openxmlformats.org/officeDocument/2006/relationships/hyperlink" Target="http://www.boxofficemojo.com/schedule/?view=bydate&amp;release=theatrical&amp;date=2012-07-27&amp;p=.htm" TargetMode="External"/><Relationship Id="rId276" Type="http://schemas.openxmlformats.org/officeDocument/2006/relationships/hyperlink" Target="http://www.boxofficemojo.com/movies/?id=frankenweenie.htm" TargetMode="External"/><Relationship Id="rId277" Type="http://schemas.openxmlformats.org/officeDocument/2006/relationships/hyperlink" Target="http://www.boxofficemojo.com/studio/chart/?studio=buenavista.htm" TargetMode="External"/><Relationship Id="rId278" Type="http://schemas.openxmlformats.org/officeDocument/2006/relationships/hyperlink" Target="http://www.boxofficemojo.com/schedule/?view=bydate&amp;release=theatrical&amp;date=2012-10-05&amp;p=.htm" TargetMode="External"/><Relationship Id="rId279" Type="http://schemas.openxmlformats.org/officeDocument/2006/relationships/hyperlink" Target="http://www.boxofficemojo.com/movies/?id=stepup4.htm" TargetMode="External"/><Relationship Id="rId1904" Type="http://schemas.openxmlformats.org/officeDocument/2006/relationships/hyperlink" Target="http://www.boxofficemojo.com/schedule/?view=bydate&amp;release=theatrical&amp;date=2012-01-11&amp;p=.htm" TargetMode="External"/><Relationship Id="rId1905" Type="http://schemas.openxmlformats.org/officeDocument/2006/relationships/hyperlink" Target="http://www.boxofficemojo.com/movies/?id=cirkuscolumbia.htm" TargetMode="External"/><Relationship Id="rId1906" Type="http://schemas.openxmlformats.org/officeDocument/2006/relationships/hyperlink" Target="http://www.boxofficemojo.com/studio/chart/?studio=strand.htm" TargetMode="External"/><Relationship Id="rId1907" Type="http://schemas.openxmlformats.org/officeDocument/2006/relationships/hyperlink" Target="http://www.boxofficemojo.com/schedule/?view=bydate&amp;release=theatrical&amp;date=2012-02-17&amp;p=.htm" TargetMode="External"/><Relationship Id="rId1908" Type="http://schemas.openxmlformats.org/officeDocument/2006/relationships/hyperlink" Target="http://www.boxofficemojo.com/movies/?id=vamps.htm" TargetMode="External"/><Relationship Id="rId1909" Type="http://schemas.openxmlformats.org/officeDocument/2006/relationships/hyperlink" Target="http://www.boxofficemojo.com/studio/chart/?studio=anchorbayentertainment.htm" TargetMode="External"/><Relationship Id="rId50" Type="http://schemas.openxmlformats.org/officeDocument/2006/relationships/hyperlink" Target="http://www.boxofficemojo.com/schedule/?view=bydate&amp;release=theatrical&amp;date=2012-12-25&amp;p=.htm" TargetMode="External"/><Relationship Id="rId51" Type="http://schemas.openxmlformats.org/officeDocument/2006/relationships/hyperlink" Target="http://www.boxofficemojo.com/movies/?id=iceage4.htm" TargetMode="External"/><Relationship Id="rId52" Type="http://schemas.openxmlformats.org/officeDocument/2006/relationships/hyperlink" Target="http://www.boxofficemojo.com/studio/chart/?studio=fox.htm" TargetMode="External"/><Relationship Id="rId53" Type="http://schemas.openxmlformats.org/officeDocument/2006/relationships/hyperlink" Target="http://www.boxofficemojo.com/schedule/?view=bydate&amp;release=theatrical&amp;date=2012-07-13&amp;p=.htm" TargetMode="External"/><Relationship Id="rId54" Type="http://schemas.openxmlformats.org/officeDocument/2006/relationships/hyperlink" Target="http://www.boxofficemojo.com/movies/?id=snowwhiteandthehuntsman.htm" TargetMode="External"/><Relationship Id="rId55" Type="http://schemas.openxmlformats.org/officeDocument/2006/relationships/hyperlink" Target="http://www.boxofficemojo.com/studio/chart/?studio=universal.htm" TargetMode="External"/><Relationship Id="rId56" Type="http://schemas.openxmlformats.org/officeDocument/2006/relationships/hyperlink" Target="http://www.boxofficemojo.com/schedule/?view=bydate&amp;release=theatrical&amp;date=2012-06-01&amp;p=.htm" TargetMode="External"/><Relationship Id="rId57" Type="http://schemas.openxmlformats.org/officeDocument/2006/relationships/hyperlink" Target="http://www.boxofficemojo.com/movies/?id=lesmiserables2012.htm" TargetMode="External"/><Relationship Id="rId58" Type="http://schemas.openxmlformats.org/officeDocument/2006/relationships/hyperlink" Target="http://www.boxofficemojo.com/studio/chart/?studio=universal.htm" TargetMode="External"/><Relationship Id="rId59" Type="http://schemas.openxmlformats.org/officeDocument/2006/relationships/hyperlink" Target="http://www.boxofficemojo.com/schedule/?view=bydate&amp;release=theatrical&amp;date=2012-12-25&amp;p=.htm" TargetMode="External"/><Relationship Id="rId1910" Type="http://schemas.openxmlformats.org/officeDocument/2006/relationships/hyperlink" Target="http://www.boxofficemojo.com/schedule/?view=bydate&amp;release=theatrical&amp;date=2012-11-02&amp;p=.htm" TargetMode="External"/><Relationship Id="rId1911" Type="http://schemas.openxmlformats.org/officeDocument/2006/relationships/hyperlink" Target="http://www.boxofficemojo.com/movies/?id=sleeplessnight.htm" TargetMode="External"/><Relationship Id="rId1912" Type="http://schemas.openxmlformats.org/officeDocument/2006/relationships/hyperlink" Target="http://www.boxofficemojo.com/studio/chart/?studio=tribecafilm.htm" TargetMode="External"/><Relationship Id="rId1913" Type="http://schemas.openxmlformats.org/officeDocument/2006/relationships/hyperlink" Target="http://www.boxofficemojo.com/schedule/?view=bydate&amp;release=theatrical&amp;date=2012-05-11&amp;p=.htm" TargetMode="External"/><Relationship Id="rId1520" Type="http://schemas.openxmlformats.org/officeDocument/2006/relationships/hyperlink" Target="http://www.boxofficemojo.com/schedule/?view=bydate&amp;release=theatrical&amp;date=2012-03-16&amp;p=.htm" TargetMode="External"/><Relationship Id="rId1521" Type="http://schemas.openxmlformats.org/officeDocument/2006/relationships/hyperlink" Target="http://www.boxofficemojo.com/movies/?id=payback2012.htm" TargetMode="External"/><Relationship Id="rId1522" Type="http://schemas.openxmlformats.org/officeDocument/2006/relationships/hyperlink" Target="http://www.boxofficemojo.com/studio/chart/?studio=zeitgeist.htm" TargetMode="External"/><Relationship Id="rId1523" Type="http://schemas.openxmlformats.org/officeDocument/2006/relationships/hyperlink" Target="http://www.boxofficemojo.com/schedule/?view=bydate&amp;release=theatrical&amp;date=2012-04-25&amp;p=.htm" TargetMode="External"/><Relationship Id="rId1130" Type="http://schemas.openxmlformats.org/officeDocument/2006/relationships/hyperlink" Target="http://www.boxofficemojo.com/schedule/?view=bydate&amp;release=theatrical&amp;date=2012-10-19&amp;p=.htm" TargetMode="External"/><Relationship Id="rId1131" Type="http://schemas.openxmlformats.org/officeDocument/2006/relationships/hyperlink" Target="http://www.boxofficemojo.com/movies/?id=harvestofempire.htm" TargetMode="External"/><Relationship Id="rId1132" Type="http://schemas.openxmlformats.org/officeDocument/2006/relationships/hyperlink" Target="http://www.boxofficemojo.com/studio/chart/?studio=onyx.htm" TargetMode="External"/><Relationship Id="rId1133" Type="http://schemas.openxmlformats.org/officeDocument/2006/relationships/hyperlink" Target="http://www.boxofficemojo.com/schedule/?view=bydate&amp;release=theatrical&amp;date=2012-09-28&amp;p=.htm" TargetMode="External"/><Relationship Id="rId1134" Type="http://schemas.openxmlformats.org/officeDocument/2006/relationships/hyperlink" Target="http://www.boxofficemojo.com/movies/?id=innkeepers.htm" TargetMode="External"/><Relationship Id="rId1135" Type="http://schemas.openxmlformats.org/officeDocument/2006/relationships/hyperlink" Target="http://www.boxofficemojo.com/studio/chart/?studio=magnolia.htm" TargetMode="External"/><Relationship Id="rId1136" Type="http://schemas.openxmlformats.org/officeDocument/2006/relationships/hyperlink" Target="http://www.boxofficemojo.com/schedule/?view=bydate&amp;release=theatrical&amp;date=2012-02-03&amp;p=.htm" TargetMode="External"/><Relationship Id="rId1137" Type="http://schemas.openxmlformats.org/officeDocument/2006/relationships/hyperlink" Target="http://www.boxofficemojo.com/movies/?id=thisisnotafilm.htm" TargetMode="External"/><Relationship Id="rId1138" Type="http://schemas.openxmlformats.org/officeDocument/2006/relationships/hyperlink" Target="http://www.boxofficemojo.com/studio/chart/?studio=palisadestartan.htm" TargetMode="External"/><Relationship Id="rId1139" Type="http://schemas.openxmlformats.org/officeDocument/2006/relationships/hyperlink" Target="http://www.boxofficemojo.com/schedule/?view=bydate&amp;release=theatrical&amp;date=2012-02-29&amp;p=.htm" TargetMode="External"/><Relationship Id="rId670" Type="http://schemas.openxmlformats.org/officeDocument/2006/relationships/hyperlink" Target="http://www.boxofficemojo.com/studio/chart/?studio=sonyclassics.htm" TargetMode="External"/><Relationship Id="rId671" Type="http://schemas.openxmlformats.org/officeDocument/2006/relationships/hyperlink" Target="http://www.boxofficemojo.com/schedule/?view=bydate&amp;release=theatrical&amp;date=2012-04-20&amp;p=.htm" TargetMode="External"/><Relationship Id="rId280" Type="http://schemas.openxmlformats.org/officeDocument/2006/relationships/hyperlink" Target="http://www.boxofficemojo.com/studio/chart/?studio=lionsgatesummit.htm" TargetMode="External"/><Relationship Id="rId281" Type="http://schemas.openxmlformats.org/officeDocument/2006/relationships/hyperlink" Target="http://www.boxofficemojo.com/schedule/?view=bydate&amp;release=theatrical&amp;date=2012-07-27&amp;p=.htm" TargetMode="External"/><Relationship Id="rId282" Type="http://schemas.openxmlformats.org/officeDocument/2006/relationships/hyperlink" Target="http://www.boxofficemojo.com/movies/?id=gooddeeds.htm" TargetMode="External"/><Relationship Id="rId283" Type="http://schemas.openxmlformats.org/officeDocument/2006/relationships/hyperlink" Target="http://www.boxofficemojo.com/studio/chart/?studio=lionsgate.htm" TargetMode="External"/><Relationship Id="rId284" Type="http://schemas.openxmlformats.org/officeDocument/2006/relationships/hyperlink" Target="http://www.boxofficemojo.com/schedule/?view=bydate&amp;release=theatrical&amp;date=2012-02-24&amp;p=.htm" TargetMode="External"/><Relationship Id="rId285" Type="http://schemas.openxmlformats.org/officeDocument/2006/relationships/hyperlink" Target="http://www.boxofficemojo.com/movies/?id=monstersinc3d.htm" TargetMode="External"/><Relationship Id="rId286" Type="http://schemas.openxmlformats.org/officeDocument/2006/relationships/hyperlink" Target="http://www.boxofficemojo.com/studio/chart/?studio=buenavista.htm" TargetMode="External"/><Relationship Id="rId287" Type="http://schemas.openxmlformats.org/officeDocument/2006/relationships/hyperlink" Target="http://www.boxofficemojo.com/schedule/?view=bydate&amp;release=theatrical&amp;date=2012-12-19&amp;p=.htm" TargetMode="External"/><Relationship Id="rId288" Type="http://schemas.openxmlformats.org/officeDocument/2006/relationships/hyperlink" Target="http://www.boxofficemojo.com/movies/?id=2016obamasamerica.htm" TargetMode="External"/><Relationship Id="rId289" Type="http://schemas.openxmlformats.org/officeDocument/2006/relationships/hyperlink" Target="http://www.boxofficemojo.com/studio/chart/?studio=rockymountainpictures.htm" TargetMode="External"/><Relationship Id="rId672" Type="http://schemas.openxmlformats.org/officeDocument/2006/relationships/hyperlink" Target="http://www.boxofficemojo.com/movies/?id=thinice.htm" TargetMode="External"/><Relationship Id="rId673" Type="http://schemas.openxmlformats.org/officeDocument/2006/relationships/hyperlink" Target="http://www.boxofficemojo.com/studio/chart/?studio=atopictures.htm" TargetMode="External"/><Relationship Id="rId674" Type="http://schemas.openxmlformats.org/officeDocument/2006/relationships/hyperlink" Target="http://www.boxofficemojo.com/schedule/?view=bydate&amp;release=theatrical&amp;date=2012-02-17&amp;p=.htm" TargetMode="External"/><Relationship Id="rId675" Type="http://schemas.openxmlformats.org/officeDocument/2006/relationships/hyperlink" Target="http://www.boxofficemojo.com/movies/?id=terimerikahaani.htm" TargetMode="External"/><Relationship Id="rId676" Type="http://schemas.openxmlformats.org/officeDocument/2006/relationships/hyperlink" Target="http://www.boxofficemojo.com/studio/chart/?studio=eros.htm" TargetMode="External"/><Relationship Id="rId677" Type="http://schemas.openxmlformats.org/officeDocument/2006/relationships/hyperlink" Target="http://www.boxofficemojo.com/schedule/?view=bydate&amp;release=theatrical&amp;date=2012-06-22&amp;p=.htm" TargetMode="External"/><Relationship Id="rId678" Type="http://schemas.openxmlformats.org/officeDocument/2006/relationships/hyperlink" Target="http://www.boxofficemojo.com/movies/?id=meerkats.htm" TargetMode="External"/><Relationship Id="rId679" Type="http://schemas.openxmlformats.org/officeDocument/2006/relationships/hyperlink" Target="http://www.boxofficemojo.com/studio/chart/?studio=nationalgeographiccinema.htm" TargetMode="External"/><Relationship Id="rId1524" Type="http://schemas.openxmlformats.org/officeDocument/2006/relationships/hyperlink" Target="http://www.boxofficemojo.com/movies/?id=444lastdayonearth.htm" TargetMode="External"/><Relationship Id="rId1525" Type="http://schemas.openxmlformats.org/officeDocument/2006/relationships/hyperlink" Target="http://www.boxofficemojo.com/studio/chart/?studio=ifc.htm" TargetMode="External"/><Relationship Id="rId1526" Type="http://schemas.openxmlformats.org/officeDocument/2006/relationships/hyperlink" Target="http://www.boxofficemojo.com/schedule/?view=bydate&amp;release=theatrical&amp;date=2012-03-23&amp;p=.htm" TargetMode="External"/><Relationship Id="rId1527" Type="http://schemas.openxmlformats.org/officeDocument/2006/relationships/hyperlink" Target="http://www.boxofficemojo.com/movies/?id=littlebirds.htm" TargetMode="External"/><Relationship Id="rId1528" Type="http://schemas.openxmlformats.org/officeDocument/2006/relationships/hyperlink" Target="http://www.boxofficemojo.com/studio/chart/?studio=millenniumentertainment.htm" TargetMode="External"/><Relationship Id="rId1529" Type="http://schemas.openxmlformats.org/officeDocument/2006/relationships/hyperlink" Target="http://www.boxofficemojo.com/schedule/?view=bydate&amp;release=theatrical&amp;date=2012-08-29&amp;p=.htm" TargetMode="External"/><Relationship Id="rId1914" Type="http://schemas.openxmlformats.org/officeDocument/2006/relationships/hyperlink" Target="http://www.boxofficemojo.com/movies/?id=afterthewizard.htm" TargetMode="External"/><Relationship Id="rId1915" Type="http://schemas.openxmlformats.org/officeDocument/2006/relationships/hyperlink" Target="http://www.boxofficemojo.com/studio/chart/?studio=breakingglass.htm" TargetMode="External"/><Relationship Id="rId1916" Type="http://schemas.openxmlformats.org/officeDocument/2006/relationships/hyperlink" Target="http://www.boxofficemojo.com/schedule/?view=bydate&amp;release=theatrical&amp;date=2012-08-10&amp;p=.htm" TargetMode="External"/><Relationship Id="rId1917" Type="http://schemas.openxmlformats.org/officeDocument/2006/relationships/hyperlink" Target="http://www.boxofficemojo.com/movies/?id=apart2012.htm" TargetMode="External"/><Relationship Id="rId1918" Type="http://schemas.openxmlformats.org/officeDocument/2006/relationships/hyperlink" Target="http://www.boxofficemojo.com/studio/chart/?studio=trulyindie.htm" TargetMode="External"/><Relationship Id="rId1919" Type="http://schemas.openxmlformats.org/officeDocument/2006/relationships/hyperlink" Target="http://www.boxofficemojo.com/schedule/?view=bydate&amp;release=theatrical&amp;date=2012-03-09&amp;p=.htm" TargetMode="External"/><Relationship Id="rId60" Type="http://schemas.openxmlformats.org/officeDocument/2006/relationships/hyperlink" Target="http://www.boxofficemojo.com/movies/?id=hoteltransylvania.htm" TargetMode="External"/><Relationship Id="rId61" Type="http://schemas.openxmlformats.org/officeDocument/2006/relationships/hyperlink" Target="http://www.boxofficemojo.com/studio/chart/?studio=sony.htm" TargetMode="External"/><Relationship Id="rId62" Type="http://schemas.openxmlformats.org/officeDocument/2006/relationships/hyperlink" Target="http://www.boxofficemojo.com/schedule/?view=bydate&amp;release=theatrical&amp;date=2012-09-28&amp;p=.htm" TargetMode="External"/><Relationship Id="rId63" Type="http://schemas.openxmlformats.org/officeDocument/2006/relationships/hyperlink" Target="http://www.boxofficemojo.com/movies/?id=taken2.htm" TargetMode="External"/><Relationship Id="rId64" Type="http://schemas.openxmlformats.org/officeDocument/2006/relationships/hyperlink" Target="http://www.boxofficemojo.com/studio/chart/?studio=fox.htm" TargetMode="External"/><Relationship Id="rId65" Type="http://schemas.openxmlformats.org/officeDocument/2006/relationships/hyperlink" Target="http://www.boxofficemojo.com/schedule/?view=bydate&amp;release=theatrical&amp;date=2012-10-05&amp;p=.htm" TargetMode="External"/><Relationship Id="rId66" Type="http://schemas.openxmlformats.org/officeDocument/2006/relationships/hyperlink" Target="http://www.boxofficemojo.com/movies/?id=21jumpstreet.htm" TargetMode="External"/><Relationship Id="rId67" Type="http://schemas.openxmlformats.org/officeDocument/2006/relationships/hyperlink" Target="http://www.boxofficemojo.com/studio/chart/?studio=sony.htm" TargetMode="External"/><Relationship Id="rId68" Type="http://schemas.openxmlformats.org/officeDocument/2006/relationships/hyperlink" Target="http://www.boxofficemojo.com/schedule/?view=bydate&amp;release=theatrical&amp;date=2012-03-16&amp;p=.htm" TargetMode="External"/><Relationship Id="rId69" Type="http://schemas.openxmlformats.org/officeDocument/2006/relationships/hyperlink" Target="http://www.boxofficemojo.com/movies/?id=argo.htm" TargetMode="External"/><Relationship Id="rId1920" Type="http://schemas.openxmlformats.org/officeDocument/2006/relationships/hyperlink" Target="http://www.boxofficemojo.com/movies/?id=atm.htm" TargetMode="External"/><Relationship Id="rId1921" Type="http://schemas.openxmlformats.org/officeDocument/2006/relationships/hyperlink" Target="http://www.boxofficemojo.com/studio/chart/?studio=ifc.htm" TargetMode="External"/><Relationship Id="rId1922" Type="http://schemas.openxmlformats.org/officeDocument/2006/relationships/hyperlink" Target="http://www.boxofficemojo.com/schedule/?view=bydate&amp;release=theatrical&amp;date=2012-04-06&amp;p=.htm" TargetMode="External"/><Relationship Id="rId1923" Type="http://schemas.openxmlformats.org/officeDocument/2006/relationships/hyperlink" Target="http://www.boxofficemojo.com/movies/?id=aboutcherry.htm" TargetMode="External"/><Relationship Id="rId1530" Type="http://schemas.openxmlformats.org/officeDocument/2006/relationships/hyperlink" Target="http://www.boxofficemojo.com/movies/?id=grandmaster.htm" TargetMode="External"/><Relationship Id="rId1531" Type="http://schemas.openxmlformats.org/officeDocument/2006/relationships/hyperlink" Target="http://www.boxofficemojo.com/studio/chart/?studio=utv.htm" TargetMode="External"/><Relationship Id="rId1532" Type="http://schemas.openxmlformats.org/officeDocument/2006/relationships/hyperlink" Target="http://www.boxofficemojo.com/schedule/?view=bydate&amp;release=theatrical&amp;date=2012-05-04&amp;p=.htm" TargetMode="External"/><Relationship Id="rId1533" Type="http://schemas.openxmlformats.org/officeDocument/2006/relationships/hyperlink" Target="http://www.boxofficemojo.com/movies/?id=understudy.htm" TargetMode="External"/><Relationship Id="rId1140" Type="http://schemas.openxmlformats.org/officeDocument/2006/relationships/hyperlink" Target="http://www.boxofficemojo.com/movies/?id=islandpresident.htm" TargetMode="External"/><Relationship Id="rId1141" Type="http://schemas.openxmlformats.org/officeDocument/2006/relationships/hyperlink" Target="http://www.boxofficemojo.com/studio/chart/?studio=samuelgoldwyn.htm" TargetMode="External"/><Relationship Id="rId1142" Type="http://schemas.openxmlformats.org/officeDocument/2006/relationships/hyperlink" Target="http://www.boxofficemojo.com/schedule/?view=bydate&amp;release=theatrical&amp;date=2012-03-28&amp;p=.htm" TargetMode="External"/><Relationship Id="rId1143" Type="http://schemas.openxmlformats.org/officeDocument/2006/relationships/hyperlink" Target="http://www.boxofficemojo.com/movies/?id=harakiri.htm" TargetMode="External"/><Relationship Id="rId1144" Type="http://schemas.openxmlformats.org/officeDocument/2006/relationships/hyperlink" Target="http://www.boxofficemojo.com/studio/chart/?studio=tribecafilm.htm" TargetMode="External"/><Relationship Id="rId1145" Type="http://schemas.openxmlformats.org/officeDocument/2006/relationships/hyperlink" Target="http://www.boxofficemojo.com/schedule/?view=bydate&amp;release=theatrical&amp;date=2012-07-20&amp;p=.htm" TargetMode="External"/><Relationship Id="rId1146" Type="http://schemas.openxmlformats.org/officeDocument/2006/relationships/hyperlink" Target="http://www.boxofficemojo.com/movies/?id=ontheice.htm" TargetMode="External"/><Relationship Id="rId1147" Type="http://schemas.openxmlformats.org/officeDocument/2006/relationships/hyperlink" Target="http://www.boxofficemojo.com/studio/chart/?studio=pmkbncfilms.htm" TargetMode="External"/><Relationship Id="rId1148" Type="http://schemas.openxmlformats.org/officeDocument/2006/relationships/hyperlink" Target="http://www.boxofficemojo.com/schedule/?view=bydate&amp;release=theatrical&amp;date=2012-02-17&amp;p=.htm" TargetMode="External"/><Relationship Id="rId1149" Type="http://schemas.openxmlformats.org/officeDocument/2006/relationships/hyperlink" Target="http://www.boxofficemojo.com/movies/?id=detachment.htm" TargetMode="External"/><Relationship Id="rId680" Type="http://schemas.openxmlformats.org/officeDocument/2006/relationships/hyperlink" Target="http://www.boxofficemojo.com/schedule/?view=bydate&amp;release=theatrical&amp;date=2012-05-26&amp;p=.htm" TargetMode="External"/><Relationship Id="rId681" Type="http://schemas.openxmlformats.org/officeDocument/2006/relationships/hyperlink" Target="http://www.boxofficemojo.com/movies/?id=rowdyrathore.htm" TargetMode="External"/><Relationship Id="rId290" Type="http://schemas.openxmlformats.org/officeDocument/2006/relationships/hyperlink" Target="http://www.boxofficemojo.com/schedule/?view=bydate&amp;release=theatrical&amp;date=2012-07-13&amp;p=.htm" TargetMode="External"/><Relationship Id="rId291" Type="http://schemas.openxmlformats.org/officeDocument/2006/relationships/hyperlink" Target="http://www.boxofficemojo.com/movies/?id=houseattheendofthestreet.htm" TargetMode="External"/><Relationship Id="rId292" Type="http://schemas.openxmlformats.org/officeDocument/2006/relationships/hyperlink" Target="http://www.boxofficemojo.com/studio/chart/?studio=relativity.htm" TargetMode="External"/><Relationship Id="rId293" Type="http://schemas.openxmlformats.org/officeDocument/2006/relationships/hyperlink" Target="http://www.boxofficemojo.com/schedule/?view=bydate&amp;release=theatrical&amp;date=2012-09-21&amp;p=.htm" TargetMode="External"/><Relationship Id="rId294" Type="http://schemas.openxmlformats.org/officeDocument/2006/relationships/hyperlink" Target="http://www.boxofficemojo.com/movies/?id=pirates12.htm" TargetMode="External"/><Relationship Id="rId295" Type="http://schemas.openxmlformats.org/officeDocument/2006/relationships/hyperlink" Target="http://www.boxofficemojo.com/studio/chart/?studio=sony.htm" TargetMode="External"/><Relationship Id="rId296" Type="http://schemas.openxmlformats.org/officeDocument/2006/relationships/hyperlink" Target="http://www.boxofficemojo.com/schedule/?view=bydate&amp;release=theatrical&amp;date=2012-04-27&amp;p=.htm" TargetMode="External"/><Relationship Id="rId297" Type="http://schemas.openxmlformats.org/officeDocument/2006/relationships/hyperlink" Target="http://www.boxofficemojo.com/movies/?id=joyfulnoise.htm" TargetMode="External"/><Relationship Id="rId298" Type="http://schemas.openxmlformats.org/officeDocument/2006/relationships/hyperlink" Target="http://www.boxofficemojo.com/studio/chart/?studio=warnerbros.htm" TargetMode="External"/><Relationship Id="rId299" Type="http://schemas.openxmlformats.org/officeDocument/2006/relationships/hyperlink" Target="http://www.boxofficemojo.com/schedule/?view=bydate&amp;release=theatrical&amp;date=2012-01-13&amp;p=.htm" TargetMode="External"/><Relationship Id="rId682" Type="http://schemas.openxmlformats.org/officeDocument/2006/relationships/hyperlink" Target="http://www.boxofficemojo.com/studio/chart/?studio=utv.htm" TargetMode="External"/><Relationship Id="rId683" Type="http://schemas.openxmlformats.org/officeDocument/2006/relationships/hyperlink" Target="http://www.boxofficemojo.com/schedule/?view=bydate&amp;release=theatrical&amp;date=2012-06-01&amp;p=.htm" TargetMode="External"/><Relationship Id="rId684" Type="http://schemas.openxmlformats.org/officeDocument/2006/relationships/hyperlink" Target="http://www.boxofficemojo.com/movies/?id=sonofsardaar.htm" TargetMode="External"/><Relationship Id="rId685" Type="http://schemas.openxmlformats.org/officeDocument/2006/relationships/hyperlink" Target="http://www.boxofficemojo.com/studio/chart/?studio=eros.htm" TargetMode="External"/><Relationship Id="rId686" Type="http://schemas.openxmlformats.org/officeDocument/2006/relationships/hyperlink" Target="http://www.boxofficemojo.com/schedule/?view=bydate&amp;release=theatrical&amp;date=2012-11-13&amp;p=.htm" TargetMode="External"/><Relationship Id="rId687" Type="http://schemas.openxmlformats.org/officeDocument/2006/relationships/hyperlink" Target="http://www.boxofficemojo.com/movies/?id=cosmopolis.htm" TargetMode="External"/><Relationship Id="rId688" Type="http://schemas.openxmlformats.org/officeDocument/2006/relationships/hyperlink" Target="http://www.boxofficemojo.com/studio/chart/?studio=entertainmentone.htm" TargetMode="External"/><Relationship Id="rId689" Type="http://schemas.openxmlformats.org/officeDocument/2006/relationships/hyperlink" Target="http://www.boxofficemojo.com/schedule/?view=bydate&amp;release=theatrical&amp;date=2012-08-17&amp;p=.htm" TargetMode="External"/><Relationship Id="rId1534" Type="http://schemas.openxmlformats.org/officeDocument/2006/relationships/hyperlink" Target="http://www.boxofficemojo.com/studio/chart/?studio=indican.htm" TargetMode="External"/><Relationship Id="rId1535" Type="http://schemas.openxmlformats.org/officeDocument/2006/relationships/hyperlink" Target="http://www.boxofficemojo.com/schedule/?view=bydate&amp;release=theatrical&amp;date=2012-03-16&amp;p=.htm" TargetMode="External"/><Relationship Id="rId1536" Type="http://schemas.openxmlformats.org/officeDocument/2006/relationships/hyperlink" Target="http://www.boxofficemojo.com/movies/?id=prophetsson.htm" TargetMode="External"/><Relationship Id="rId1537" Type="http://schemas.openxmlformats.org/officeDocument/2006/relationships/hyperlink" Target="http://www.boxofficemojo.com/studio/chart/?studio=slaterbros.htm" TargetMode="External"/><Relationship Id="rId1538" Type="http://schemas.openxmlformats.org/officeDocument/2006/relationships/hyperlink" Target="http://www.boxofficemojo.com/schedule/?view=bydate&amp;release=theatrical&amp;date=2012-09-29&amp;p=.htm" TargetMode="External"/><Relationship Id="rId1539" Type="http://schemas.openxmlformats.org/officeDocument/2006/relationships/hyperlink" Target="http://www.boxofficemojo.com/movies/?id=inventingourlife.htm" TargetMode="External"/><Relationship Id="rId1924" Type="http://schemas.openxmlformats.org/officeDocument/2006/relationships/hyperlink" Target="http://www.boxofficemojo.com/studio/chart/?studio=ifc.htm" TargetMode="External"/><Relationship Id="rId1925" Type="http://schemas.openxmlformats.org/officeDocument/2006/relationships/hyperlink" Target="http://www.boxofficemojo.com/schedule/?view=bydate&amp;release=theatrical&amp;date=2012-09-21&amp;p=.htm" TargetMode="External"/><Relationship Id="rId1926" Type="http://schemas.openxmlformats.org/officeDocument/2006/relationships/hyperlink" Target="http://www.boxofficemojo.com/movies/?id=perfectsense.htm" TargetMode="External"/><Relationship Id="rId1927" Type="http://schemas.openxmlformats.org/officeDocument/2006/relationships/hyperlink" Target="http://www.boxofficemojo.com/studio/chart/?studio=ifc.htm" TargetMode="External"/><Relationship Id="rId1928" Type="http://schemas.openxmlformats.org/officeDocument/2006/relationships/hyperlink" Target="http://www.boxofficemojo.com/schedule/?view=bydate&amp;release=theatrical&amp;date=2012-02-03&amp;p=.htm" TargetMode="External"/><Relationship Id="rId1929" Type="http://schemas.openxmlformats.org/officeDocument/2006/relationships/hyperlink" Target="http://www.boxofficemojo.com/movies/?id=cheerfulweather.htm" TargetMode="External"/><Relationship Id="rId70" Type="http://schemas.openxmlformats.org/officeDocument/2006/relationships/hyperlink" Target="http://www.boxofficemojo.com/studio/chart/?studio=warnerbros.htm" TargetMode="External"/><Relationship Id="rId71" Type="http://schemas.openxmlformats.org/officeDocument/2006/relationships/hyperlink" Target="http://www.boxofficemojo.com/schedule/?view=bydate&amp;release=theatrical&amp;date=2012-10-12&amp;p=.htm" TargetMode="External"/><Relationship Id="rId72" Type="http://schemas.openxmlformats.org/officeDocument/2006/relationships/hyperlink" Target="http://www.boxofficemojo.com/movies/?id=silverliningsplaybook.htm" TargetMode="External"/><Relationship Id="rId73" Type="http://schemas.openxmlformats.org/officeDocument/2006/relationships/hyperlink" Target="http://www.boxofficemojo.com/studio/chart/?studio=weinsteincompany.htm" TargetMode="External"/><Relationship Id="rId74" Type="http://schemas.openxmlformats.org/officeDocument/2006/relationships/hyperlink" Target="http://www.boxofficemojo.com/schedule/?view=bydate&amp;release=theatrical&amp;date=2012-11-16&amp;p=.htm" TargetMode="External"/><Relationship Id="rId75" Type="http://schemas.openxmlformats.org/officeDocument/2006/relationships/hyperlink" Target="http://www.boxofficemojo.com/movies/?id=prometheus.htm" TargetMode="External"/><Relationship Id="rId76" Type="http://schemas.openxmlformats.org/officeDocument/2006/relationships/hyperlink" Target="http://www.boxofficemojo.com/studio/chart/?studio=fox.htm" TargetMode="External"/><Relationship Id="rId77" Type="http://schemas.openxmlformats.org/officeDocument/2006/relationships/hyperlink" Target="http://www.boxofficemojo.com/schedule/?view=bydate&amp;release=theatrical&amp;date=2012-06-08&amp;p=.htm" TargetMode="External"/><Relationship Id="rId78" Type="http://schemas.openxmlformats.org/officeDocument/2006/relationships/hyperlink" Target="http://www.boxofficemojo.com/movies/?id=safehouse.htm" TargetMode="External"/><Relationship Id="rId79" Type="http://schemas.openxmlformats.org/officeDocument/2006/relationships/hyperlink" Target="http://www.boxofficemojo.com/studio/chart/?studio=universal.htm" TargetMode="External"/><Relationship Id="rId1930" Type="http://schemas.openxmlformats.org/officeDocument/2006/relationships/hyperlink" Target="http://www.boxofficemojo.com/studio/chart/?studio=ifc.htm" TargetMode="External"/><Relationship Id="rId1931" Type="http://schemas.openxmlformats.org/officeDocument/2006/relationships/hyperlink" Target="http://www.boxofficemojo.com/schedule/?view=bydate&amp;release=theatrical&amp;date=2012-12-07&amp;p=.htm" TargetMode="External"/><Relationship Id="rId1932" Type="http://schemas.openxmlformats.org/officeDocument/2006/relationships/hyperlink" Target="http://www.boxofficemojo.com/movies/?id=carl.htm" TargetMode="External"/><Relationship Id="rId1933" Type="http://schemas.openxmlformats.org/officeDocument/2006/relationships/hyperlink" Target="http://www.boxofficemojo.com/studio/chart/?studio=afterlifepictures.htm" TargetMode="External"/><Relationship Id="rId1540" Type="http://schemas.openxmlformats.org/officeDocument/2006/relationships/hyperlink" Target="http://www.boxofficemojo.com/studio/chart/?studio=firstrun.htm" TargetMode="External"/><Relationship Id="rId1541" Type="http://schemas.openxmlformats.org/officeDocument/2006/relationships/hyperlink" Target="http://www.boxofficemojo.com/schedule/?view=bydate&amp;release=theatrical&amp;date=2012-04-27&amp;p=.htm" TargetMode="External"/><Relationship Id="rId1542" Type="http://schemas.openxmlformats.org/officeDocument/2006/relationships/hyperlink" Target="http://www.boxofficemojo.com/movies/?id=teddybear.htm" TargetMode="External"/><Relationship Id="rId1543" Type="http://schemas.openxmlformats.org/officeDocument/2006/relationships/hyperlink" Target="http://www.boxofficemojo.com/studio/chart/?studio=filmmovement.htm" TargetMode="External"/><Relationship Id="rId1150" Type="http://schemas.openxmlformats.org/officeDocument/2006/relationships/hyperlink" Target="http://www.boxofficemojo.com/studio/chart/?studio=tribecafilm.htm" TargetMode="External"/><Relationship Id="rId1151" Type="http://schemas.openxmlformats.org/officeDocument/2006/relationships/hyperlink" Target="http://www.boxofficemojo.com/schedule/?view=bydate&amp;release=theatrical&amp;date=2012-03-16&amp;p=.htm" TargetMode="External"/><Relationship Id="rId1152" Type="http://schemas.openxmlformats.org/officeDocument/2006/relationships/hyperlink" Target="http://www.boxofficemojo.com/movies/?id=invisiblewar.htm" TargetMode="External"/><Relationship Id="rId1153" Type="http://schemas.openxmlformats.org/officeDocument/2006/relationships/hyperlink" Target="http://www.boxofficemojo.com/studio/chart/?studio=cinedigmentertainment.htm" TargetMode="External"/><Relationship Id="rId1154" Type="http://schemas.openxmlformats.org/officeDocument/2006/relationships/hyperlink" Target="http://www.boxofficemojo.com/schedule/?view=bydate&amp;release=theatrical&amp;date=2012-06-22&amp;p=.htm" TargetMode="External"/><Relationship Id="rId1155" Type="http://schemas.openxmlformats.org/officeDocument/2006/relationships/hyperlink" Target="http://www.boxofficemojo.com/movies/?id=runawayslave.htm" TargetMode="External"/><Relationship Id="rId1156" Type="http://schemas.openxmlformats.org/officeDocument/2006/relationships/hyperlink" Target="http://www.boxofficemojo.com/studio/chart/?studio=rockymountainpictures.htm" TargetMode="External"/><Relationship Id="rId1157" Type="http://schemas.openxmlformats.org/officeDocument/2006/relationships/hyperlink" Target="http://www.boxofficemojo.com/schedule/?view=bydate&amp;release=theatrical&amp;date=2012-07-06&amp;p=.htm" TargetMode="External"/><Relationship Id="rId1158" Type="http://schemas.openxmlformats.org/officeDocument/2006/relationships/hyperlink" Target="http://www.boxofficemojo.com/movies/?id=myway2012.htm" TargetMode="External"/><Relationship Id="rId1159" Type="http://schemas.openxmlformats.org/officeDocument/2006/relationships/hyperlink" Target="http://www.boxofficemojo.com/studio/chart/?studio=cjentertainment.htm" TargetMode="External"/><Relationship Id="rId690" Type="http://schemas.openxmlformats.org/officeDocument/2006/relationships/hyperlink" Target="http://www.boxofficemojo.com/movies/?id=coriolanus.htm" TargetMode="External"/><Relationship Id="rId691" Type="http://schemas.openxmlformats.org/officeDocument/2006/relationships/hyperlink" Target="http://www.boxofficemojo.com/studio/chart/?studio=weinsteincompany.htm" TargetMode="External"/><Relationship Id="rId692" Type="http://schemas.openxmlformats.org/officeDocument/2006/relationships/hyperlink" Target="http://www.boxofficemojo.com/schedule/?view=bydate&amp;release=theatrical&amp;date=2012-01-20&amp;p=.htm" TargetMode="External"/><Relationship Id="rId693" Type="http://schemas.openxmlformats.org/officeDocument/2006/relationships/hyperlink" Target="http://www.boxofficemojo.com/movies/?id=ontheroad.htm" TargetMode="External"/><Relationship Id="rId694" Type="http://schemas.openxmlformats.org/officeDocument/2006/relationships/hyperlink" Target="http://www.boxofficemojo.com/studio/chart/?studio=ifc.htm" TargetMode="External"/><Relationship Id="rId695" Type="http://schemas.openxmlformats.org/officeDocument/2006/relationships/hyperlink" Target="http://www.boxofficemojo.com/schedule/?view=bydate&amp;release=theatrical&amp;date=2012-12-21&amp;p=.htm" TargetMode="External"/><Relationship Id="rId696" Type="http://schemas.openxmlformats.org/officeDocument/2006/relationships/hyperlink" Target="http://www.boxofficemojo.com/movies/?id=agentvinod.htm" TargetMode="External"/><Relationship Id="rId697" Type="http://schemas.openxmlformats.org/officeDocument/2006/relationships/hyperlink" Target="http://www.boxofficemojo.com/studio/chart/?studio=eros.htm" TargetMode="External"/><Relationship Id="rId698" Type="http://schemas.openxmlformats.org/officeDocument/2006/relationships/hyperlink" Target="http://www.boxofficemojo.com/schedule/?view=bydate&amp;release=theatrical&amp;date=2012-03-23&amp;p=.htm" TargetMode="External"/><Relationship Id="rId699" Type="http://schemas.openxmlformats.org/officeDocument/2006/relationships/hyperlink" Target="http://www.boxofficemojo.com/movies/?id=paperboy.htm" TargetMode="External"/><Relationship Id="rId1544" Type="http://schemas.openxmlformats.org/officeDocument/2006/relationships/hyperlink" Target="http://www.boxofficemojo.com/schedule/?view=bydate&amp;release=theatrical&amp;date=2012-08-22&amp;p=.htm" TargetMode="External"/><Relationship Id="rId1545" Type="http://schemas.openxmlformats.org/officeDocument/2006/relationships/hyperlink" Target="http://www.boxofficemojo.com/movies/?id=return2012.htm" TargetMode="External"/><Relationship Id="rId1546" Type="http://schemas.openxmlformats.org/officeDocument/2006/relationships/hyperlink" Target="http://www.boxofficemojo.com/studio/chart/?studio=dada.htm" TargetMode="External"/><Relationship Id="rId1547" Type="http://schemas.openxmlformats.org/officeDocument/2006/relationships/hyperlink" Target="http://www.boxofficemojo.com/schedule/?view=bydate&amp;release=theatrical&amp;date=2012-02-10&amp;p=.htm" TargetMode="External"/><Relationship Id="rId1548" Type="http://schemas.openxmlformats.org/officeDocument/2006/relationships/hyperlink" Target="http://www.boxofficemojo.com/movies/?id=alps.htm" TargetMode="External"/><Relationship Id="rId1549" Type="http://schemas.openxmlformats.org/officeDocument/2006/relationships/hyperlink" Target="http://www.boxofficemojo.com/studio/chart/?studio=kinolorber.htm" TargetMode="External"/><Relationship Id="rId1934" Type="http://schemas.openxmlformats.org/officeDocument/2006/relationships/hyperlink" Target="http://www.boxofficemojo.com/schedule/?view=bydate&amp;release=theatrical&amp;date=2012-04-27&amp;p=.htm" TargetMode="External"/><Relationship Id="rId1935" Type="http://schemas.openxmlformats.org/officeDocument/2006/relationships/hyperlink" Target="http://www.boxofficemojo.com/movies/?id=samaritan.htm" TargetMode="External"/><Relationship Id="rId1936" Type="http://schemas.openxmlformats.org/officeDocument/2006/relationships/hyperlink" Target="http://www.boxofficemojo.com/studio/chart/?studio=ifc.htm" TargetMode="External"/><Relationship Id="rId1937" Type="http://schemas.openxmlformats.org/officeDocument/2006/relationships/hyperlink" Target="http://www.boxofficemojo.com/schedule/?view=bydate&amp;release=theatrical&amp;date=2012-05-18&amp;p=.htm" TargetMode="External"/><Relationship Id="rId1938" Type="http://schemas.openxmlformats.org/officeDocument/2006/relationships/hyperlink" Target="http://www.boxofficemojo.com/movies/?id=ghastlylove.htm" TargetMode="External"/><Relationship Id="rId1939" Type="http://schemas.openxmlformats.org/officeDocument/2006/relationships/hyperlink" Target="http://www.boxofficemojo.com/studio/chart/?studio=strand.htm" TargetMode="External"/><Relationship Id="rId80" Type="http://schemas.openxmlformats.org/officeDocument/2006/relationships/hyperlink" Target="http://www.boxofficemojo.com/schedule/?view=bydate&amp;release=theatrical&amp;date=2012-02-10&amp;p=.htm" TargetMode="External"/><Relationship Id="rId81" Type="http://schemas.openxmlformats.org/officeDocument/2006/relationships/hyperlink" Target="http://www.boxofficemojo.com/movies/?id=vow.htm" TargetMode="External"/><Relationship Id="rId82" Type="http://schemas.openxmlformats.org/officeDocument/2006/relationships/hyperlink" Target="http://www.boxofficemojo.com/studio/chart/?studio=screengems.htm" TargetMode="External"/><Relationship Id="rId83" Type="http://schemas.openxmlformats.org/officeDocument/2006/relationships/hyperlink" Target="http://www.boxofficemojo.com/schedule/?view=bydate&amp;release=theatrical&amp;date=2012-02-10&amp;p=.htm" TargetMode="External"/><Relationship Id="rId84" Type="http://schemas.openxmlformats.org/officeDocument/2006/relationships/hyperlink" Target="http://www.boxofficemojo.com/movies/?id=lifeofpi.htm" TargetMode="External"/><Relationship Id="rId85" Type="http://schemas.openxmlformats.org/officeDocument/2006/relationships/hyperlink" Target="http://www.boxofficemojo.com/studio/chart/?studio=fox.htm" TargetMode="External"/><Relationship Id="rId86" Type="http://schemas.openxmlformats.org/officeDocument/2006/relationships/hyperlink" Target="http://www.boxofficemojo.com/schedule/?view=bydate&amp;release=theatrical&amp;date=2012-11-21&amp;p=.htm" TargetMode="External"/><Relationship Id="rId87" Type="http://schemas.openxmlformats.org/officeDocument/2006/relationships/hyperlink" Target="http://www.boxofficemojo.com/movies/?id=magicmike.htm" TargetMode="External"/><Relationship Id="rId88" Type="http://schemas.openxmlformats.org/officeDocument/2006/relationships/hyperlink" Target="http://www.boxofficemojo.com/studio/chart/?studio=warnerbros.htm" TargetMode="External"/><Relationship Id="rId89" Type="http://schemas.openxmlformats.org/officeDocument/2006/relationships/hyperlink" Target="http://www.boxofficemojo.com/schedule/?view=bydate&amp;release=theatrical&amp;date=2012-06-29&amp;p=.htm" TargetMode="External"/><Relationship Id="rId1940" Type="http://schemas.openxmlformats.org/officeDocument/2006/relationships/hyperlink" Target="http://www.boxofficemojo.com/schedule/?view=bydate&amp;release=theatrical&amp;date=2012-10-26&amp;p=.htm" TargetMode="External"/><Relationship Id="rId1941" Type="http://schemas.openxmlformats.org/officeDocument/2006/relationships/hyperlink" Target="http://www.boxofficemojo.com/movies/?id=whystopnow.htm" TargetMode="External"/><Relationship Id="rId1942" Type="http://schemas.openxmlformats.org/officeDocument/2006/relationships/hyperlink" Target="http://www.boxofficemojo.com/studio/chart/?studio=ifc.htm" TargetMode="External"/><Relationship Id="rId1943" Type="http://schemas.openxmlformats.org/officeDocument/2006/relationships/hyperlink" Target="http://www.boxofficemojo.com/schedule/?view=bydate&amp;release=theatrical&amp;date=2012-08-17&amp;p=.htm" TargetMode="External"/><Relationship Id="rId1550" Type="http://schemas.openxmlformats.org/officeDocument/2006/relationships/hyperlink" Target="http://www.boxofficemojo.com/schedule/?view=bydate&amp;release=theatrical&amp;date=2012-07-13&amp;p=.htm" TargetMode="External"/><Relationship Id="rId1551" Type="http://schemas.openxmlformats.org/officeDocument/2006/relationships/hyperlink" Target="http://www.boxofficemojo.com/movies/?id=longshot2012.htm" TargetMode="External"/><Relationship Id="rId1552" Type="http://schemas.openxmlformats.org/officeDocument/2006/relationships/hyperlink" Target="http://www.boxofficemojo.com/studio/chart/?studio=dutchmen.htm" TargetMode="External"/><Relationship Id="rId1553" Type="http://schemas.openxmlformats.org/officeDocument/2006/relationships/hyperlink" Target="http://www.boxofficemojo.com/schedule/?view=bydate&amp;release=theatrical&amp;date=2012-10-26&amp;p=.htm" TargetMode="External"/><Relationship Id="rId1160" Type="http://schemas.openxmlformats.org/officeDocument/2006/relationships/hyperlink" Target="http://www.boxofficemojo.com/schedule/?view=bydate&amp;release=theatrical&amp;date=2012-04-20&amp;p=.htm" TargetMode="External"/><Relationship Id="rId1161" Type="http://schemas.openxmlformats.org/officeDocument/2006/relationships/hyperlink" Target="http://www.boxofficemojo.com/movies/?id=taurmittrandi.htm" TargetMode="External"/><Relationship Id="rId1162" Type="http://schemas.openxmlformats.org/officeDocument/2006/relationships/hyperlink" Target="http://www.boxofficemojo.com/studio/chart/?studio=eros.htm" TargetMode="External"/><Relationship Id="rId1163" Type="http://schemas.openxmlformats.org/officeDocument/2006/relationships/hyperlink" Target="http://www.boxofficemojo.com/schedule/?view=bydate&amp;release=theatrical&amp;date=2012-05-11&amp;p=.htm" TargetMode="External"/><Relationship Id="rId1164" Type="http://schemas.openxmlformats.org/officeDocument/2006/relationships/hyperlink" Target="http://www.boxofficemojo.com/movies/?id=aninconsistenttruth.htm" TargetMode="External"/><Relationship Id="rId1165" Type="http://schemas.openxmlformats.org/officeDocument/2006/relationships/hyperlink" Target="http://www.boxofficemojo.com/studio/chart/?studio=rockymountainpictures.htm" TargetMode="External"/><Relationship Id="rId1166" Type="http://schemas.openxmlformats.org/officeDocument/2006/relationships/hyperlink" Target="http://www.boxofficemojo.com/schedule/?view=bydate&amp;release=theatrical&amp;date=2012-01-27&amp;p=.htm" TargetMode="External"/><Relationship Id="rId1167" Type="http://schemas.openxmlformats.org/officeDocument/2006/relationships/hyperlink" Target="http://www.boxofficemojo.com/movies/?id=intruders.htm" TargetMode="External"/><Relationship Id="rId1168" Type="http://schemas.openxmlformats.org/officeDocument/2006/relationships/hyperlink" Target="http://www.boxofficemojo.com/studio/chart/?studio=millenniumentertainment.htm" TargetMode="External"/><Relationship Id="rId1169" Type="http://schemas.openxmlformats.org/officeDocument/2006/relationships/hyperlink" Target="http://www.boxofficemojo.com/schedule/?view=bydate&amp;release=theatrical&amp;date=2012-03-30&amp;p=.htm" TargetMode="External"/><Relationship Id="rId1554" Type="http://schemas.openxmlformats.org/officeDocument/2006/relationships/hyperlink" Target="http://www.boxofficemojo.com/movies/?id=patience2012.htm" TargetMode="External"/><Relationship Id="rId1555" Type="http://schemas.openxmlformats.org/officeDocument/2006/relationships/hyperlink" Target="http://www.boxofficemojo.com/studio/chart/?studio=cinemaguild.htm" TargetMode="External"/><Relationship Id="rId1556" Type="http://schemas.openxmlformats.org/officeDocument/2006/relationships/hyperlink" Target="http://www.boxofficemojo.com/schedule/?view=bydate&amp;release=theatrical&amp;date=2012-05-09&amp;p=.htm" TargetMode="External"/><Relationship Id="rId1557" Type="http://schemas.openxmlformats.org/officeDocument/2006/relationships/hyperlink" Target="http://www.boxofficemojo.com/movies/?id=supercapitalist.htm" TargetMode="External"/><Relationship Id="rId1558" Type="http://schemas.openxmlformats.org/officeDocument/2006/relationships/hyperlink" Target="http://www.boxofficemojo.com/studio/chart/?studio=trulyindie.htm" TargetMode="External"/><Relationship Id="rId1559" Type="http://schemas.openxmlformats.org/officeDocument/2006/relationships/hyperlink" Target="http://www.boxofficemojo.com/schedule/?view=bydate&amp;release=theatrical&amp;date=2012-08-10&amp;p=.htm" TargetMode="External"/><Relationship Id="rId1944" Type="http://schemas.openxmlformats.org/officeDocument/2006/relationships/hyperlink" Target="http://www.boxofficemojo.com/movies/?id=split.htm" TargetMode="External"/><Relationship Id="rId1945" Type="http://schemas.openxmlformats.org/officeDocument/2006/relationships/hyperlink" Target="http://www.boxofficemojo.com/studio/chart/?studio=featurepresentations.htm" TargetMode="External"/><Relationship Id="rId1946" Type="http://schemas.openxmlformats.org/officeDocument/2006/relationships/hyperlink" Target="http://www.boxofficemojo.com/schedule/?view=bydate&amp;release=theatrical&amp;date=2012-10-12&amp;p=.htm" TargetMode="External"/><Relationship Id="rId1947" Type="http://schemas.openxmlformats.org/officeDocument/2006/relationships/hyperlink" Target="http://www.boxofficemojo.com/movies/?id=scorn.htm" TargetMode="External"/><Relationship Id="rId1948" Type="http://schemas.openxmlformats.org/officeDocument/2006/relationships/hyperlink" Target="http://www.boxofficemojo.com/studio/chart/?studio=cortelyou.htm" TargetMode="External"/><Relationship Id="rId1949" Type="http://schemas.openxmlformats.org/officeDocument/2006/relationships/hyperlink" Target="http://www.boxofficemojo.com/schedule/?view=bydate&amp;release=theatrical&amp;date=2012-03-01&amp;p=.htm" TargetMode="External"/><Relationship Id="rId300" Type="http://schemas.openxmlformats.org/officeDocument/2006/relationships/hyperlink" Target="http://www.boxofficemojo.com/movies/?id=chimpanzee.htm" TargetMode="External"/><Relationship Id="rId301" Type="http://schemas.openxmlformats.org/officeDocument/2006/relationships/hyperlink" Target="http://www.boxofficemojo.com/studio/chart/?studio=buenavista.htm" TargetMode="External"/><Relationship Id="rId302" Type="http://schemas.openxmlformats.org/officeDocument/2006/relationships/hyperlink" Target="http://www.boxofficemojo.com/schedule/?view=bydate&amp;release=theatrical&amp;date=2012-04-20&amp;p=.htm" TargetMode="External"/><Relationship Id="rId303" Type="http://schemas.openxmlformats.org/officeDocument/2006/relationships/hyperlink" Target="http://www.boxofficemojo.com/movies/?id=fiveyearengagement.htm" TargetMode="External"/><Relationship Id="rId304" Type="http://schemas.openxmlformats.org/officeDocument/2006/relationships/hyperlink" Target="http://www.boxofficemojo.com/studio/chart/?studio=universal.htm" TargetMode="External"/><Relationship Id="rId305" Type="http://schemas.openxmlformats.org/officeDocument/2006/relationships/hyperlink" Target="http://www.boxofficemojo.com/schedule/?view=bydate&amp;release=theatrical&amp;date=2012-04-27&amp;p=.htm" TargetMode="External"/><Relationship Id="rId306" Type="http://schemas.openxmlformats.org/officeDocument/2006/relationships/hyperlink" Target="http://www.boxofficemojo.com/movies/?id=cloudatlas.htm" TargetMode="External"/><Relationship Id="rId307" Type="http://schemas.openxmlformats.org/officeDocument/2006/relationships/hyperlink" Target="http://www.boxofficemojo.com/studio/chart/?studio=warnerbros.htm" TargetMode="External"/><Relationship Id="rId308" Type="http://schemas.openxmlformats.org/officeDocument/2006/relationships/hyperlink" Target="http://www.boxofficemojo.com/schedule/?view=bydate&amp;release=theatrical&amp;date=2012-10-26&amp;p=.htm" TargetMode="External"/><Relationship Id="rId309" Type="http://schemas.openxmlformats.org/officeDocument/2006/relationships/hyperlink" Target="http://www.boxofficemojo.com/movies/?id=oneforthemoney.htm" TargetMode="External"/><Relationship Id="rId90" Type="http://schemas.openxmlformats.org/officeDocument/2006/relationships/hyperlink" Target="http://www.boxofficemojo.com/movies/?id=bourne4.htm" TargetMode="External"/><Relationship Id="rId91" Type="http://schemas.openxmlformats.org/officeDocument/2006/relationships/hyperlink" Target="http://www.boxofficemojo.com/studio/chart/?studio=universal.htm" TargetMode="External"/><Relationship Id="rId92" Type="http://schemas.openxmlformats.org/officeDocument/2006/relationships/hyperlink" Target="http://www.boxofficemojo.com/schedule/?view=bydate&amp;release=theatrical&amp;date=2012-08-10&amp;p=.htm" TargetMode="External"/><Relationship Id="rId93" Type="http://schemas.openxmlformats.org/officeDocument/2006/relationships/hyperlink" Target="http://www.boxofficemojo.com/movies/?id=journey2.htm" TargetMode="External"/><Relationship Id="rId94" Type="http://schemas.openxmlformats.org/officeDocument/2006/relationships/hyperlink" Target="http://www.boxofficemojo.com/studio/chart/?studio=wb-newline.htm" TargetMode="External"/><Relationship Id="rId95" Type="http://schemas.openxmlformats.org/officeDocument/2006/relationships/hyperlink" Target="http://www.boxofficemojo.com/schedule/?view=bydate&amp;release=theatrical&amp;date=2012-02-10&amp;p=.htm" TargetMode="External"/><Relationship Id="rId96" Type="http://schemas.openxmlformats.org/officeDocument/2006/relationships/hyperlink" Target="http://www.boxofficemojo.com/movies/?id=guardians.htm" TargetMode="External"/><Relationship Id="rId97" Type="http://schemas.openxmlformats.org/officeDocument/2006/relationships/hyperlink" Target="http://www.boxofficemojo.com/studio/chart/?studio=pardw.htm" TargetMode="External"/><Relationship Id="rId98" Type="http://schemas.openxmlformats.org/officeDocument/2006/relationships/hyperlink" Target="http://www.boxofficemojo.com/schedule/?view=bydate&amp;release=theatrical&amp;date=2012-11-21&amp;p=.htm" TargetMode="External"/><Relationship Id="rId99" Type="http://schemas.openxmlformats.org/officeDocument/2006/relationships/hyperlink" Target="http://www.boxofficemojo.com/movies/?id=binladen.htm" TargetMode="External"/><Relationship Id="rId1950" Type="http://schemas.openxmlformats.org/officeDocument/2006/relationships/hyperlink" Target="http://www.boxofficemojo.com/movies/?id=patagoniarising.htm" TargetMode="External"/><Relationship Id="rId1951" Type="http://schemas.openxmlformats.org/officeDocument/2006/relationships/hyperlink" Target="http://www.boxofficemojo.com/studio/chart/?studio=firstrun.htm" TargetMode="External"/><Relationship Id="rId1952" Type="http://schemas.openxmlformats.org/officeDocument/2006/relationships/hyperlink" Target="http://www.boxofficemojo.com/schedule/?view=bydate&amp;release=theatrical&amp;date=2012-06-08&amp;p=.htm" TargetMode="External"/><Relationship Id="rId1953" Type="http://schemas.openxmlformats.org/officeDocument/2006/relationships/hyperlink" Target="http://www.boxofficemojo.com/movies/?id=ikissedavampire.htm" TargetMode="External"/><Relationship Id="rId1560" Type="http://schemas.openxmlformats.org/officeDocument/2006/relationships/hyperlink" Target="http://www.boxofficemojo.com/movies/?id=binaryuniverse.htm" TargetMode="External"/><Relationship Id="rId1561" Type="http://schemas.openxmlformats.org/officeDocument/2006/relationships/hyperlink" Target="http://www.boxofficemojo.com/studio/chart/?studio=indican.htm" TargetMode="External"/><Relationship Id="rId1562" Type="http://schemas.openxmlformats.org/officeDocument/2006/relationships/hyperlink" Target="http://www.boxofficemojo.com/schedule/?view=bydate&amp;release=theatrical&amp;date=2012-05-04&amp;p=.htm" TargetMode="External"/><Relationship Id="rId1563" Type="http://schemas.openxmlformats.org/officeDocument/2006/relationships/hyperlink" Target="http://www.boxofficemojo.com/movies/?id=takemehome.htm" TargetMode="External"/><Relationship Id="rId1170" Type="http://schemas.openxmlformats.org/officeDocument/2006/relationships/hyperlink" Target="http://www.boxofficemojo.com/movies/?id=klown.htm" TargetMode="External"/><Relationship Id="rId1171" Type="http://schemas.openxmlformats.org/officeDocument/2006/relationships/hyperlink" Target="http://www.boxofficemojo.com/studio/chart/?studio=drafthousefilms.htm" TargetMode="External"/><Relationship Id="rId1172" Type="http://schemas.openxmlformats.org/officeDocument/2006/relationships/hyperlink" Target="http://www.boxofficemojo.com/schedule/?view=bydate&amp;release=theatrical&amp;date=2012-07-27&amp;p=.htm" TargetMode="External"/><Relationship Id="rId1173" Type="http://schemas.openxmlformats.org/officeDocument/2006/relationships/hyperlink" Target="http://www.boxofficemojo.com/movies/?id=deadfall2012.htm" TargetMode="External"/><Relationship Id="rId1174" Type="http://schemas.openxmlformats.org/officeDocument/2006/relationships/hyperlink" Target="http://www.boxofficemojo.com/studio/chart/?studio=magnolia.htm" TargetMode="External"/><Relationship Id="rId1175" Type="http://schemas.openxmlformats.org/officeDocument/2006/relationships/hyperlink" Target="http://www.boxofficemojo.com/schedule/?view=bydate&amp;release=theatrical&amp;date=2012-12-07&amp;p=.htm" TargetMode="External"/><Relationship Id="rId1176" Type="http://schemas.openxmlformats.org/officeDocument/2006/relationships/hyperlink" Target="http://www.boxofficemojo.com/movies/?id=toysintheattic.htm" TargetMode="External"/><Relationship Id="rId1177" Type="http://schemas.openxmlformats.org/officeDocument/2006/relationships/hyperlink" Target="http://www.boxofficemojo.com/studio/chart/?studio=hannoverhouse.htm" TargetMode="External"/><Relationship Id="rId1178" Type="http://schemas.openxmlformats.org/officeDocument/2006/relationships/hyperlink" Target="http://www.boxofficemojo.com/schedule/?view=bydate&amp;release=theatrical&amp;date=2012-09-07&amp;p=.htm" TargetMode="External"/><Relationship Id="rId1179" Type="http://schemas.openxmlformats.org/officeDocument/2006/relationships/hyperlink" Target="http://www.boxofficemojo.com/movies/?id=girlfriendboyfriend.htm" TargetMode="External"/><Relationship Id="rId1564" Type="http://schemas.openxmlformats.org/officeDocument/2006/relationships/hyperlink" Target="http://www.boxofficemojo.com/studio/chart/?studio=montereymediainc.htm" TargetMode="External"/><Relationship Id="rId1565" Type="http://schemas.openxmlformats.org/officeDocument/2006/relationships/hyperlink" Target="http://www.boxofficemojo.com/schedule/?view=bydate&amp;release=theatrical&amp;date=2012-03-09&amp;p=.htm" TargetMode="External"/><Relationship Id="rId1566" Type="http://schemas.openxmlformats.org/officeDocument/2006/relationships/hyperlink" Target="http://www.boxofficemojo.com/movies/?id=michael2012.htm" TargetMode="External"/><Relationship Id="rId1567" Type="http://schemas.openxmlformats.org/officeDocument/2006/relationships/hyperlink" Target="http://www.boxofficemojo.com/studio/chart/?studio=strand.htm" TargetMode="External"/><Relationship Id="rId1568" Type="http://schemas.openxmlformats.org/officeDocument/2006/relationships/hyperlink" Target="http://www.boxofficemojo.com/schedule/?view=bydate&amp;release=theatrical&amp;date=2012-02-15&amp;p=.htm" TargetMode="External"/><Relationship Id="rId1569" Type="http://schemas.openxmlformats.org/officeDocument/2006/relationships/hyperlink" Target="http://www.boxofficemojo.com/movies/?id=quill2012.htm" TargetMode="External"/><Relationship Id="rId1954" Type="http://schemas.openxmlformats.org/officeDocument/2006/relationships/hyperlink" Target="http://www.boxofficemojo.com/studio/chart/?studio=montereymediainc.htm" TargetMode="External"/><Relationship Id="rId1955" Type="http://schemas.openxmlformats.org/officeDocument/2006/relationships/hyperlink" Target="http://www.boxofficemojo.com/schedule/?view=bydate&amp;release=theatrical&amp;date=2012-03-30&amp;p=.htm" TargetMode="External"/><Relationship Id="rId1956" Type="http://schemas.openxmlformats.org/officeDocument/2006/relationships/hyperlink" Target="http://www.boxofficemojo.com/movies/?id=dystopia2013.htm" TargetMode="External"/><Relationship Id="rId1957" Type="http://schemas.openxmlformats.org/officeDocument/2006/relationships/hyperlink" Target="http://www.boxofficemojo.com/studio/chart/?studio=zomularmedia.htm" TargetMode="External"/><Relationship Id="rId1958" Type="http://schemas.openxmlformats.org/officeDocument/2006/relationships/hyperlink" Target="http://www.boxofficemojo.com/schedule/?view=bydate&amp;release=theatrical&amp;date=2012-01-13&amp;p=.htm" TargetMode="External"/><Relationship Id="rId1959" Type="http://schemas.openxmlformats.org/officeDocument/2006/relationships/hyperlink" Target="http://www.boxofficemojo.com/movies/?id=elvelador.htm" TargetMode="External"/><Relationship Id="rId700" Type="http://schemas.openxmlformats.org/officeDocument/2006/relationships/hyperlink" Target="http://www.boxofficemojo.com/studio/chart/?studio=millenniumentertainment.htm" TargetMode="External"/><Relationship Id="rId701" Type="http://schemas.openxmlformats.org/officeDocument/2006/relationships/hyperlink" Target="http://www.boxofficemojo.com/schedule/?view=bydate&amp;release=theatrical&amp;date=2012-10-05&amp;p=.htm" TargetMode="External"/><Relationship Id="rId702" Type="http://schemas.openxmlformats.org/officeDocument/2006/relationships/hyperlink" Target="http://www.boxofficemojo.com/movies/?id=thieves.htm" TargetMode="External"/><Relationship Id="rId703" Type="http://schemas.openxmlformats.org/officeDocument/2006/relationships/hyperlink" Target="http://www.boxofficemojo.com/studio/chart/?studio=wellgo.htm" TargetMode="External"/><Relationship Id="rId310" Type="http://schemas.openxmlformats.org/officeDocument/2006/relationships/hyperlink" Target="http://www.boxofficemojo.com/studio/chart/?studio=lionsgate.htm" TargetMode="External"/><Relationship Id="rId311" Type="http://schemas.openxmlformats.org/officeDocument/2006/relationships/hyperlink" Target="http://www.boxofficemojo.com/schedule/?view=bydate&amp;release=theatrical&amp;date=2012-01-27&amp;p=.htm" TargetMode="External"/><Relationship Id="rId312" Type="http://schemas.openxmlformats.org/officeDocument/2006/relationships/hyperlink" Target="http://www.boxofficemojo.com/movies/?id=alexcross.htm" TargetMode="External"/><Relationship Id="rId313" Type="http://schemas.openxmlformats.org/officeDocument/2006/relationships/hyperlink" Target="http://www.boxofficemojo.com/studio/chart/?studio=lionsgatesummit.htm" TargetMode="External"/><Relationship Id="rId314" Type="http://schemas.openxmlformats.org/officeDocument/2006/relationships/hyperlink" Target="http://www.boxofficemojo.com/schedule/?view=bydate&amp;release=theatrical&amp;date=2012-10-19&amp;p=.htm" TargetMode="External"/><Relationship Id="rId315" Type="http://schemas.openxmlformats.org/officeDocument/2006/relationships/hyperlink" Target="http://www.boxofficemojo.com/movies/?id=katyperry.htm" TargetMode="External"/><Relationship Id="rId316" Type="http://schemas.openxmlformats.org/officeDocument/2006/relationships/hyperlink" Target="http://www.boxofficemojo.com/studio/chart/?studio=paramount.htm" TargetMode="External"/><Relationship Id="rId317" Type="http://schemas.openxmlformats.org/officeDocument/2006/relationships/hyperlink" Target="http://www.boxofficemojo.com/schedule/?view=bydate&amp;release=theatrical&amp;date=2012-07-05&amp;p=.htm" TargetMode="External"/><Relationship Id="rId318" Type="http://schemas.openxmlformats.org/officeDocument/2006/relationships/hyperlink" Target="http://www.boxofficemojo.com/movies/?id=sparkle2012.htm" TargetMode="External"/><Relationship Id="rId319" Type="http://schemas.openxmlformats.org/officeDocument/2006/relationships/hyperlink" Target="http://www.boxofficemojo.com/studio/chart/?studio=tristar.htm" TargetMode="External"/><Relationship Id="rId704" Type="http://schemas.openxmlformats.org/officeDocument/2006/relationships/hyperlink" Target="http://www.boxofficemojo.com/schedule/?view=bydate&amp;release=theatrical&amp;date=2012-10-12&amp;p=.htm" TargetMode="External"/><Relationship Id="rId705" Type="http://schemas.openxmlformats.org/officeDocument/2006/relationships/hyperlink" Target="http://www.boxofficemojo.com/movies/?id=studentoftheyear.htm" TargetMode="External"/><Relationship Id="rId706" Type="http://schemas.openxmlformats.org/officeDocument/2006/relationships/hyperlink" Target="http://www.boxofficemojo.com/studio/chart/?studio=eros.htm" TargetMode="External"/><Relationship Id="rId707" Type="http://schemas.openxmlformats.org/officeDocument/2006/relationships/hyperlink" Target="http://www.boxofficemojo.com/schedule/?view=bydate&amp;release=theatrical&amp;date=2012-10-19&amp;p=.htm" TargetMode="External"/><Relationship Id="rId708" Type="http://schemas.openxmlformats.org/officeDocument/2006/relationships/hyperlink" Target="http://www.boxofficemojo.com/movies/?id=polarexpress2012.htm" TargetMode="External"/><Relationship Id="rId709" Type="http://schemas.openxmlformats.org/officeDocument/2006/relationships/hyperlink" Target="http://www.boxofficemojo.com/studio/chart/?studio=warnerbros.htm" TargetMode="External"/><Relationship Id="rId1960" Type="http://schemas.openxmlformats.org/officeDocument/2006/relationships/hyperlink" Target="http://www.boxofficemojo.com/studio/chart/?studio=icarus.htm" TargetMode="External"/><Relationship Id="rId1961" Type="http://schemas.openxmlformats.org/officeDocument/2006/relationships/hyperlink" Target="http://www.boxofficemojo.com/schedule/?view=bydate&amp;release=theatrical&amp;date=2012-07-06&amp;p=.htm" TargetMode="External"/><Relationship Id="rId1962" Type="http://schemas.openxmlformats.org/officeDocument/2006/relationships/hyperlink" Target="http://www.boxofficemojo.com/movies/?id=whereareyoutakingme.htm" TargetMode="External"/><Relationship Id="rId1963" Type="http://schemas.openxmlformats.org/officeDocument/2006/relationships/hyperlink" Target="http://www.boxofficemojo.com/studio/chart/?studio=icarus.htm" TargetMode="External"/><Relationship Id="rId1570" Type="http://schemas.openxmlformats.org/officeDocument/2006/relationships/hyperlink" Target="http://www.boxofficemojo.com/studio/chart/?studio=musicboxfilms.htm" TargetMode="External"/><Relationship Id="rId1571" Type="http://schemas.openxmlformats.org/officeDocument/2006/relationships/hyperlink" Target="http://www.boxofficemojo.com/schedule/?view=bydate&amp;release=theatrical&amp;date=2012-05-18&amp;p=.htm" TargetMode="External"/><Relationship Id="rId1572" Type="http://schemas.openxmlformats.org/officeDocument/2006/relationships/hyperlink" Target="http://www.boxofficemojo.com/movies/?id=californiasolo.htm" TargetMode="External"/><Relationship Id="rId1573" Type="http://schemas.openxmlformats.org/officeDocument/2006/relationships/hyperlink" Target="http://www.boxofficemojo.com/studio/chart/?studio=strand.htm" TargetMode="External"/><Relationship Id="rId1180" Type="http://schemas.openxmlformats.org/officeDocument/2006/relationships/hyperlink" Target="http://www.boxofficemojo.com/studio/chart/?studio=chinalion.htm" TargetMode="External"/><Relationship Id="rId1181" Type="http://schemas.openxmlformats.org/officeDocument/2006/relationships/hyperlink" Target="http://www.boxofficemojo.com/schedule/?view=bydate&amp;release=theatrical&amp;date=2012-08-03&amp;p=.htm" TargetMode="External"/><Relationship Id="rId1182" Type="http://schemas.openxmlformats.org/officeDocument/2006/relationships/hyperlink" Target="http://www.boxofficemojo.com/movies/?id=details.htm" TargetMode="External"/><Relationship Id="rId1183" Type="http://schemas.openxmlformats.org/officeDocument/2006/relationships/hyperlink" Target="http://www.boxofficemojo.com/studio/chart/?studio=radiustwc.htm" TargetMode="External"/><Relationship Id="rId1184" Type="http://schemas.openxmlformats.org/officeDocument/2006/relationships/hyperlink" Target="http://www.boxofficemojo.com/schedule/?view=bydate&amp;release=theatrical&amp;date=2012-11-02&amp;p=.htm" TargetMode="External"/><Relationship Id="rId1185" Type="http://schemas.openxmlformats.org/officeDocument/2006/relationships/hyperlink" Target="http://www.boxofficemojo.com/movies/?id=letthebulletsfly.htm" TargetMode="External"/><Relationship Id="rId1186" Type="http://schemas.openxmlformats.org/officeDocument/2006/relationships/hyperlink" Target="http://www.boxofficemojo.com/studio/chart/?studio=variancefilms.htm" TargetMode="External"/><Relationship Id="rId1187" Type="http://schemas.openxmlformats.org/officeDocument/2006/relationships/hyperlink" Target="http://www.boxofficemojo.com/schedule/?view=bydate&amp;release=theatrical&amp;date=2012-03-02&amp;p=.htm" TargetMode="External"/><Relationship Id="rId1188" Type="http://schemas.openxmlformats.org/officeDocument/2006/relationships/hyperlink" Target="http://www.boxofficemojo.com/movies/?id=backwards.htm" TargetMode="External"/><Relationship Id="rId1189" Type="http://schemas.openxmlformats.org/officeDocument/2006/relationships/hyperlink" Target="http://www.boxofficemojo.com/studio/chart/?studio=dada.htm" TargetMode="External"/><Relationship Id="rId1574" Type="http://schemas.openxmlformats.org/officeDocument/2006/relationships/hyperlink" Target="http://www.boxofficemojo.com/schedule/?view=bydate&amp;release=theatrical&amp;date=2012-11-30&amp;p=.htm" TargetMode="External"/><Relationship Id="rId1575" Type="http://schemas.openxmlformats.org/officeDocument/2006/relationships/hyperlink" Target="http://www.boxofficemojo.com/movies/?id=littlebitofheaven.htm" TargetMode="External"/><Relationship Id="rId1576" Type="http://schemas.openxmlformats.org/officeDocument/2006/relationships/hyperlink" Target="http://www.boxofficemojo.com/studio/chart/?studio=millenniumentertainment.htm" TargetMode="External"/><Relationship Id="rId1577" Type="http://schemas.openxmlformats.org/officeDocument/2006/relationships/hyperlink" Target="http://www.boxofficemojo.com/schedule/?view=bydate&amp;release=theatrical&amp;date=2012-05-04&amp;p=.htm" TargetMode="External"/><Relationship Id="rId1578" Type="http://schemas.openxmlformats.org/officeDocument/2006/relationships/hyperlink" Target="http://www.boxofficemojo.com/movies/?id=onlytheyoung.htm" TargetMode="External"/><Relationship Id="rId1579" Type="http://schemas.openxmlformats.org/officeDocument/2006/relationships/hyperlink" Target="http://www.boxofficemojo.com/studio/chart/?studio=oscilloscopepictures.htm" TargetMode="External"/><Relationship Id="rId1964" Type="http://schemas.openxmlformats.org/officeDocument/2006/relationships/hyperlink" Target="http://www.boxofficemojo.com/schedule/?view=bydate&amp;release=theatrical&amp;date=2012-03-02&amp;p=.htm" TargetMode="External"/><Relationship Id="rId1965" Type="http://schemas.openxmlformats.org/officeDocument/2006/relationships/hyperlink" Target="http://www.boxofficemojo.com/movies/?id=bestiaire.htm" TargetMode="External"/><Relationship Id="rId1966" Type="http://schemas.openxmlformats.org/officeDocument/2006/relationships/hyperlink" Target="http://www.boxofficemojo.com/studio/chart/?studio=kimstimzeitgeist.htm" TargetMode="External"/><Relationship Id="rId1967" Type="http://schemas.openxmlformats.org/officeDocument/2006/relationships/hyperlink" Target="http://www.boxofficemojo.com/schedule/?view=bydate&amp;release=theatrical&amp;date=2012-10-19&amp;p=.htm" TargetMode="External"/><Relationship Id="rId1968" Type="http://schemas.openxmlformats.org/officeDocument/2006/relationships/hyperlink" Target="http://www.boxofficemojo.com/movies/?id=headshot.htm" TargetMode="External"/><Relationship Id="rId1969" Type="http://schemas.openxmlformats.org/officeDocument/2006/relationships/hyperlink" Target="http://www.boxofficemojo.com/studio/chart/?studio=kinolorber.htm" TargetMode="External"/><Relationship Id="rId710" Type="http://schemas.openxmlformats.org/officeDocument/2006/relationships/hyperlink" Target="http://www.boxofficemojo.com/schedule/?view=bydate&amp;release=theatrical&amp;date=2012-11-21&amp;p=.htm" TargetMode="External"/><Relationship Id="rId711" Type="http://schemas.openxmlformats.org/officeDocument/2006/relationships/hyperlink" Target="http://www.boxofficemojo.com/movies/?id=holymotors.htm" TargetMode="External"/><Relationship Id="rId712" Type="http://schemas.openxmlformats.org/officeDocument/2006/relationships/hyperlink" Target="http://www.boxofficemojo.com/studio/chart/?studio=indomina.htm" TargetMode="External"/><Relationship Id="rId713" Type="http://schemas.openxmlformats.org/officeDocument/2006/relationships/hyperlink" Target="http://www.boxofficemojo.com/schedule/?view=bydate&amp;release=theatrical&amp;date=2012-10-17&amp;p=.htm" TargetMode="External"/><Relationship Id="rId320" Type="http://schemas.openxmlformats.org/officeDocument/2006/relationships/hyperlink" Target="http://www.boxofficemojo.com/schedule/?view=bydate&amp;release=theatrical&amp;date=2012-08-17&amp;p=.htm" TargetMode="External"/><Relationship Id="rId321" Type="http://schemas.openxmlformats.org/officeDocument/2006/relationships/hyperlink" Target="http://www.boxofficemojo.com/movies/?id=premiumrush.htm" TargetMode="External"/><Relationship Id="rId322" Type="http://schemas.openxmlformats.org/officeDocument/2006/relationships/hyperlink" Target="http://www.boxofficemojo.com/studio/chart/?studio=sony.htm" TargetMode="External"/><Relationship Id="rId323" Type="http://schemas.openxmlformats.org/officeDocument/2006/relationships/hyperlink" Target="http://www.boxofficemojo.com/schedule/?view=bydate&amp;release=theatrical&amp;date=2012-08-24&amp;p=.htm" TargetMode="External"/><Relationship Id="rId324" Type="http://schemas.openxmlformats.org/officeDocument/2006/relationships/hyperlink" Target="http://www.boxofficemojo.com/movies/?id=everybodyloveswhales.htm" TargetMode="External"/><Relationship Id="rId325" Type="http://schemas.openxmlformats.org/officeDocument/2006/relationships/hyperlink" Target="http://www.boxofficemojo.com/studio/chart/?studio=universal.htm" TargetMode="External"/><Relationship Id="rId326" Type="http://schemas.openxmlformats.org/officeDocument/2006/relationships/hyperlink" Target="http://www.boxofficemojo.com/schedule/?view=bydate&amp;release=theatrical&amp;date=2012-02-03&amp;p=.htm" TargetMode="External"/><Relationship Id="rId327" Type="http://schemas.openxmlformats.org/officeDocument/2006/relationships/hyperlink" Target="http://www.boxofficemojo.com/movies/?id=arrietty.htm" TargetMode="External"/><Relationship Id="rId328" Type="http://schemas.openxmlformats.org/officeDocument/2006/relationships/hyperlink" Target="http://www.boxofficemojo.com/studio/chart/?studio=buenavista.htm" TargetMode="External"/><Relationship Id="rId329" Type="http://schemas.openxmlformats.org/officeDocument/2006/relationships/hyperlink" Target="http://www.boxofficemojo.com/schedule/?view=bydate&amp;release=theatrical&amp;date=2012-02-17&amp;p=.htm" TargetMode="External"/><Relationship Id="rId714" Type="http://schemas.openxmlformats.org/officeDocument/2006/relationships/hyperlink" Target="http://www.boxofficemojo.com/movies/?id=2daysinnewyork.htm" TargetMode="External"/><Relationship Id="rId715" Type="http://schemas.openxmlformats.org/officeDocument/2006/relationships/hyperlink" Target="http://www.boxofficemojo.com/studio/chart/?studio=magnolia.htm" TargetMode="External"/><Relationship Id="rId716" Type="http://schemas.openxmlformats.org/officeDocument/2006/relationships/hyperlink" Target="http://www.boxofficemojo.com/schedule/?view=bydate&amp;release=theatrical&amp;date=2012-08-10&amp;p=.htm" TargetMode="External"/><Relationship Id="rId717" Type="http://schemas.openxmlformats.org/officeDocument/2006/relationships/hyperlink" Target="http://www.boxofficemojo.com/movies/?id=davidchase2012.htm" TargetMode="External"/><Relationship Id="rId718" Type="http://schemas.openxmlformats.org/officeDocument/2006/relationships/hyperlink" Target="http://www.boxofficemojo.com/studio/chart/?studio=paramountvantage.htm" TargetMode="External"/><Relationship Id="rId719" Type="http://schemas.openxmlformats.org/officeDocument/2006/relationships/hyperlink" Target="http://www.boxofficemojo.com/schedule/?view=bydate&amp;release=theatrical&amp;date=2012-12-21&amp;p=.htm" TargetMode="External"/><Relationship Id="rId1970" Type="http://schemas.openxmlformats.org/officeDocument/2006/relationships/hyperlink" Target="http://www.boxofficemojo.com/schedule/?view=bydate&amp;release=theatrical&amp;date=2012-09-28&amp;p=.htm" TargetMode="External"/><Relationship Id="rId1971" Type="http://schemas.openxmlformats.org/officeDocument/2006/relationships/hyperlink" Target="http://www.boxofficemojo.com/movies/?id=jasonbecker.htm" TargetMode="External"/><Relationship Id="rId1972" Type="http://schemas.openxmlformats.org/officeDocument/2006/relationships/hyperlink" Target="http://www.boxofficemojo.com/studio/chart/?studio=kinolorber.htm" TargetMode="External"/><Relationship Id="rId1973" Type="http://schemas.openxmlformats.org/officeDocument/2006/relationships/hyperlink" Target="http://www.boxofficemojo.com/schedule/?view=bydate&amp;release=theatrical&amp;date=2012-12-12&amp;p=.htm" TargetMode="External"/><Relationship Id="rId1580" Type="http://schemas.openxmlformats.org/officeDocument/2006/relationships/hyperlink" Target="http://www.boxofficemojo.com/schedule/?view=bydate&amp;release=theatrical&amp;date=2012-12-07&amp;p=.htm" TargetMode="External"/><Relationship Id="rId1581" Type="http://schemas.openxmlformats.org/officeDocument/2006/relationships/hyperlink" Target="http://www.boxofficemojo.com/movies/?id=17girls.htm" TargetMode="External"/><Relationship Id="rId1582" Type="http://schemas.openxmlformats.org/officeDocument/2006/relationships/hyperlink" Target="http://www.boxofficemojo.com/studio/chart/?studio=strand.htm" TargetMode="External"/><Relationship Id="rId1583" Type="http://schemas.openxmlformats.org/officeDocument/2006/relationships/hyperlink" Target="http://www.boxofficemojo.com/schedule/?view=bydate&amp;release=theatrical&amp;date=2012-09-21&amp;p=.htm" TargetMode="External"/><Relationship Id="rId1190" Type="http://schemas.openxmlformats.org/officeDocument/2006/relationships/hyperlink" Target="http://www.boxofficemojo.com/schedule/?view=bydate&amp;release=theatrical&amp;date=2012-09-21&amp;p=.htm" TargetMode="External"/><Relationship Id="rId1191" Type="http://schemas.openxmlformats.org/officeDocument/2006/relationships/hyperlink" Target="http://www.boxofficemojo.com/movies/?id=bodyguard2012.htm" TargetMode="External"/><Relationship Id="rId1192" Type="http://schemas.openxmlformats.org/officeDocument/2006/relationships/hyperlink" Target="http://www.boxofficemojo.com/studio/chart/?studio=warnerbros.htm" TargetMode="External"/><Relationship Id="rId1193" Type="http://schemas.openxmlformats.org/officeDocument/2006/relationships/hyperlink" Target="http://www.boxofficemojo.com/schedule/?view=bydate&amp;release=theatrical&amp;date=2012-03-28&amp;p=.htm" TargetMode="External"/><Relationship Id="rId1194" Type="http://schemas.openxmlformats.org/officeDocument/2006/relationships/hyperlink" Target="http://www.boxofficemojo.com/movies/?id=neighboringsounds.htm" TargetMode="External"/><Relationship Id="rId1195" Type="http://schemas.openxmlformats.org/officeDocument/2006/relationships/hyperlink" Target="http://www.boxofficemojo.com/studio/chart/?studio=cinemaguild.htm" TargetMode="External"/><Relationship Id="rId1196" Type="http://schemas.openxmlformats.org/officeDocument/2006/relationships/hyperlink" Target="http://www.boxofficemojo.com/schedule/?view=bydate&amp;release=theatrical&amp;date=2012-08-24&amp;p=.htm" TargetMode="External"/><Relationship Id="rId1197" Type="http://schemas.openxmlformats.org/officeDocument/2006/relationships/hyperlink" Target="http://www.boxofficemojo.com/movies/?id=gregorycrewdson.htm" TargetMode="External"/><Relationship Id="rId1198" Type="http://schemas.openxmlformats.org/officeDocument/2006/relationships/hyperlink" Target="http://www.boxofficemojo.com/studio/chart/?studio=zeitgeist.htm" TargetMode="External"/><Relationship Id="rId1199" Type="http://schemas.openxmlformats.org/officeDocument/2006/relationships/hyperlink" Target="http://www.boxofficemojo.com/schedule/?view=bydate&amp;release=theatrical&amp;date=2012-11-02&amp;p=.htm" TargetMode="External"/><Relationship Id="rId1584" Type="http://schemas.openxmlformats.org/officeDocument/2006/relationships/hyperlink" Target="http://www.boxofficemojo.com/movies/?id=kungfujoe.htm" TargetMode="External"/><Relationship Id="rId1585" Type="http://schemas.openxmlformats.org/officeDocument/2006/relationships/hyperlink" Target="http://www.boxofficemojo.com/studio/chart/?studio=indican.htm" TargetMode="External"/><Relationship Id="rId1586" Type="http://schemas.openxmlformats.org/officeDocument/2006/relationships/hyperlink" Target="http://www.boxofficemojo.com/schedule/?view=bydate&amp;release=theatrical&amp;date=2012-02-10&amp;p=.htm" TargetMode="External"/><Relationship Id="rId1587" Type="http://schemas.openxmlformats.org/officeDocument/2006/relationships/hyperlink" Target="http://www.boxofficemojo.com/movies/?id=tradeofinnocents.htm" TargetMode="External"/><Relationship Id="rId1588" Type="http://schemas.openxmlformats.org/officeDocument/2006/relationships/hyperlink" Target="http://www.boxofficemojo.com/studio/chart/?studio=montereymediainc.htm" TargetMode="External"/><Relationship Id="rId1589" Type="http://schemas.openxmlformats.org/officeDocument/2006/relationships/hyperlink" Target="http://www.boxofficemojo.com/schedule/?view=bydate&amp;release=theatrical&amp;date=2012-10-05&amp;p=.htm" TargetMode="External"/><Relationship Id="rId1974" Type="http://schemas.openxmlformats.org/officeDocument/2006/relationships/hyperlink" Target="http://www.boxofficemojo.com/movies/?id=snowmansland.htm" TargetMode="External"/><Relationship Id="rId1975" Type="http://schemas.openxmlformats.org/officeDocument/2006/relationships/hyperlink" Target="http://www.boxofficemojo.com/studio/chart/?studio=musicboxfilms.htm" TargetMode="External"/><Relationship Id="rId1976" Type="http://schemas.openxmlformats.org/officeDocument/2006/relationships/hyperlink" Target="http://www.boxofficemojo.com/schedule/?view=bydate&amp;release=theatrical&amp;date=2012-09-14&amp;p=.htm" TargetMode="External"/><Relationship Id="rId1977" Type="http://schemas.openxmlformats.org/officeDocument/2006/relationships/hyperlink" Target="http://www.boxofficemojo.com/movies/?id=jackanddiane.htm" TargetMode="External"/><Relationship Id="rId1978" Type="http://schemas.openxmlformats.org/officeDocument/2006/relationships/hyperlink" Target="http://www.boxofficemojo.com/studio/chart/?studio=magnolia.htm" TargetMode="External"/><Relationship Id="rId1979" Type="http://schemas.openxmlformats.org/officeDocument/2006/relationships/hyperlink" Target="http://www.boxofficemojo.com/schedule/?view=bydate&amp;release=theatrical&amp;date=2012-11-02&amp;p=.htm" TargetMode="External"/><Relationship Id="rId720" Type="http://schemas.openxmlformats.org/officeDocument/2006/relationships/hyperlink" Target="http://www.boxofficemojo.com/movies/?id=heroine.htm" TargetMode="External"/><Relationship Id="rId721" Type="http://schemas.openxmlformats.org/officeDocument/2006/relationships/hyperlink" Target="http://www.boxofficemojo.com/studio/chart/?studio=utv.htm" TargetMode="External"/><Relationship Id="rId722" Type="http://schemas.openxmlformats.org/officeDocument/2006/relationships/hyperlink" Target="http://www.boxofficemojo.com/schedule/?view=bydate&amp;release=theatrical&amp;date=2012-09-21&amp;p=.htm" TargetMode="External"/><Relationship Id="rId723" Type="http://schemas.openxmlformats.org/officeDocument/2006/relationships/hyperlink" Target="http://www.boxofficemojo.com/movies/?id=bluelikejazz.htm" TargetMode="External"/><Relationship Id="rId330" Type="http://schemas.openxmlformats.org/officeDocument/2006/relationships/hyperlink" Target="http://www.boxofficemojo.com/movies/?id=impossible.htm" TargetMode="External"/><Relationship Id="rId331" Type="http://schemas.openxmlformats.org/officeDocument/2006/relationships/hyperlink" Target="http://www.boxofficemojo.com/studio/chart/?studio=lionsgatesummit.htm" TargetMode="External"/><Relationship Id="rId332" Type="http://schemas.openxmlformats.org/officeDocument/2006/relationships/hyperlink" Target="http://www.boxofficemojo.com/schedule/?view=bydate&amp;release=theatrical&amp;date=2012-12-21&amp;p=.htm" TargetMode="External"/><Relationship Id="rId333" Type="http://schemas.openxmlformats.org/officeDocument/2006/relationships/hyperlink" Target="http://www.boxofficemojo.com/movies/?id=haywire.htm" TargetMode="External"/><Relationship Id="rId334" Type="http://schemas.openxmlformats.org/officeDocument/2006/relationships/hyperlink" Target="http://www.boxofficemojo.com/studio/chart/?studio=relativity.htm" TargetMode="External"/><Relationship Id="rId335" Type="http://schemas.openxmlformats.org/officeDocument/2006/relationships/hyperlink" Target="http://www.boxofficemojo.com/schedule/?view=bydate&amp;release=theatrical&amp;date=2012-01-20&amp;p=.htm" TargetMode="External"/><Relationship Id="rId336" Type="http://schemas.openxmlformats.org/officeDocument/2006/relationships/hyperlink" Target="http://www.boxofficemojo.com/movies/?id=manonaledge.htm" TargetMode="External"/><Relationship Id="rId337" Type="http://schemas.openxmlformats.org/officeDocument/2006/relationships/hyperlink" Target="http://www.boxofficemojo.com/studio/chart/?studio=lionsgatesummit.htm" TargetMode="External"/><Relationship Id="rId338" Type="http://schemas.openxmlformats.org/officeDocument/2006/relationships/hyperlink" Target="http://www.boxofficemojo.com/schedule/?view=bydate&amp;release=theatrical&amp;date=2012-01-27&amp;p=.htm" TargetMode="External"/><Relationship Id="rId339" Type="http://schemas.openxmlformats.org/officeDocument/2006/relationships/hyperlink" Target="http://www.boxofficemojo.com/movies/?id=athousandwords.htm" TargetMode="External"/><Relationship Id="rId724" Type="http://schemas.openxmlformats.org/officeDocument/2006/relationships/hyperlink" Target="http://www.boxofficemojo.com/studio/chart/?studio=roadsideattractions.htm" TargetMode="External"/><Relationship Id="rId725" Type="http://schemas.openxmlformats.org/officeDocument/2006/relationships/hyperlink" Target="http://www.boxofficemojo.com/schedule/?view=bydate&amp;release=theatrical&amp;date=2012-04-13&amp;p=.htm" TargetMode="External"/><Relationship Id="rId726" Type="http://schemas.openxmlformats.org/officeDocument/2006/relationships/hyperlink" Target="http://www.boxofficemojo.com/movies/?id=peacelove.htm" TargetMode="External"/><Relationship Id="rId727" Type="http://schemas.openxmlformats.org/officeDocument/2006/relationships/hyperlink" Target="http://www.boxofficemojo.com/studio/chart/?studio=ifc.htm" TargetMode="External"/><Relationship Id="rId728" Type="http://schemas.openxmlformats.org/officeDocument/2006/relationships/hyperlink" Target="http://www.boxofficemojo.com/schedule/?view=bydate&amp;release=theatrical&amp;date=2012-06-08&amp;p=.htm" TargetMode="External"/><Relationship Id="rId729" Type="http://schemas.openxmlformats.org/officeDocument/2006/relationships/hyperlink" Target="http://www.boxofficemojo.com/movies/?id=thunderstruck.htm" TargetMode="External"/><Relationship Id="rId1980" Type="http://schemas.openxmlformats.org/officeDocument/2006/relationships/hyperlink" Target="http://www.boxofficemojo.com/movies/?id=decoybride.htm" TargetMode="External"/><Relationship Id="rId1981" Type="http://schemas.openxmlformats.org/officeDocument/2006/relationships/hyperlink" Target="http://www.boxofficemojo.com/studio/chart/?studio=ifc.htm" TargetMode="External"/><Relationship Id="rId1982" Type="http://schemas.openxmlformats.org/officeDocument/2006/relationships/hyperlink" Target="http://www.boxofficemojo.com/schedule/?view=bydate&amp;release=theatrical&amp;date=2012-03-09&amp;p=.htm" TargetMode="External"/><Relationship Id="rId1983" Type="http://schemas.openxmlformats.org/officeDocument/2006/relationships/hyperlink" Target="http://www.boxofficemojo.com/movies/?id=thelovingstory.htm" TargetMode="External"/><Relationship Id="rId1590" Type="http://schemas.openxmlformats.org/officeDocument/2006/relationships/hyperlink" Target="http://www.boxofficemojo.com/movies/?id=30beats.htm" TargetMode="External"/><Relationship Id="rId1591" Type="http://schemas.openxmlformats.org/officeDocument/2006/relationships/hyperlink" Target="http://www.boxofficemojo.com/studio/chart/?studio=roadsideattractions.htm" TargetMode="External"/><Relationship Id="rId1592" Type="http://schemas.openxmlformats.org/officeDocument/2006/relationships/hyperlink" Target="http://www.boxofficemojo.com/schedule/?view=bydate&amp;release=theatrical&amp;date=2012-07-20&amp;p=.htm" TargetMode="External"/><Relationship Id="rId1593" Type="http://schemas.openxmlformats.org/officeDocument/2006/relationships/hyperlink" Target="http://www.boxofficemojo.com/movies/?id=unraveled.htm" TargetMode="External"/><Relationship Id="rId1594" Type="http://schemas.openxmlformats.org/officeDocument/2006/relationships/hyperlink" Target="http://www.boxofficemojo.com/studio/chart/?studio=godigital.htm" TargetMode="External"/><Relationship Id="rId1595" Type="http://schemas.openxmlformats.org/officeDocument/2006/relationships/hyperlink" Target="http://www.boxofficemojo.com/schedule/?view=bydate&amp;release=theatrical&amp;date=2012-04-13&amp;p=.htm" TargetMode="External"/><Relationship Id="rId1596" Type="http://schemas.openxmlformats.org/officeDocument/2006/relationships/hyperlink" Target="http://www.boxofficemojo.com/movies/?id=tristana2012.htm" TargetMode="External"/><Relationship Id="rId1597" Type="http://schemas.openxmlformats.org/officeDocument/2006/relationships/hyperlink" Target="http://www.boxofficemojo.com/studio/chart/?studio=cohenmedia.htm" TargetMode="External"/><Relationship Id="rId1598" Type="http://schemas.openxmlformats.org/officeDocument/2006/relationships/hyperlink" Target="http://www.boxofficemojo.com/schedule/?view=bydate&amp;release=theatrical&amp;date=2012-10-12&amp;p=.htm" TargetMode="External"/><Relationship Id="rId1599" Type="http://schemas.openxmlformats.org/officeDocument/2006/relationships/hyperlink" Target="http://www.boxofficemojo.com/movies/?id=silentnight.htm" TargetMode="External"/><Relationship Id="rId1984" Type="http://schemas.openxmlformats.org/officeDocument/2006/relationships/hyperlink" Target="http://www.boxofficemojo.com/studio/chart/?studio=icarus.htm" TargetMode="External"/><Relationship Id="rId1985" Type="http://schemas.openxmlformats.org/officeDocument/2006/relationships/hyperlink" Target="http://www.boxofficemojo.com/schedule/?view=bydate&amp;release=theatrical&amp;date=2012-06-08&amp;p=.htm" TargetMode="External"/><Relationship Id="rId1986" Type="http://schemas.openxmlformats.org/officeDocument/2006/relationships/hyperlink" Target="http://www.boxofficemojo.com/movies/?id=naturecalls.htm" TargetMode="External"/><Relationship Id="rId1987" Type="http://schemas.openxmlformats.org/officeDocument/2006/relationships/hyperlink" Target="http://www.boxofficemojo.com/studio/chart/?studio=magnolia.htm" TargetMode="External"/><Relationship Id="rId1988" Type="http://schemas.openxmlformats.org/officeDocument/2006/relationships/hyperlink" Target="http://www.boxofficemojo.com/schedule/?view=bydate&amp;release=theatrical&amp;date=2012-11-09&amp;p=.htm" TargetMode="External"/><Relationship Id="rId1989" Type="http://schemas.openxmlformats.org/officeDocument/2006/relationships/hyperlink" Target="http://www.boxofficemojo.com/movies/?id=citizengangster.htm" TargetMode="External"/><Relationship Id="rId730" Type="http://schemas.openxmlformats.org/officeDocument/2006/relationships/hyperlink" Target="http://www.boxofficemojo.com/studio/chart/?studio=warnerbros.htm" TargetMode="External"/><Relationship Id="rId731" Type="http://schemas.openxmlformats.org/officeDocument/2006/relationships/hyperlink" Target="http://www.boxofficemojo.com/schedule/?view=bydate&amp;release=theatrical&amp;date=2012-08-24&amp;p=.htm" TargetMode="External"/><Relationship Id="rId732" Type="http://schemas.openxmlformats.org/officeDocument/2006/relationships/hyperlink" Target="http://www.boxofficemojo.com/movies/?id=wemadonna.htm" TargetMode="External"/><Relationship Id="rId733" Type="http://schemas.openxmlformats.org/officeDocument/2006/relationships/hyperlink" Target="http://www.boxofficemojo.com/studio/chart/?studio=weinsteincompany.htm" TargetMode="External"/><Relationship Id="rId734" Type="http://schemas.openxmlformats.org/officeDocument/2006/relationships/hyperlink" Target="http://www.boxofficemojo.com/schedule/?view=bydate&amp;release=theatrical&amp;date=2012-02-03&amp;p=.htm" TargetMode="External"/><Relationship Id="rId735" Type="http://schemas.openxmlformats.org/officeDocument/2006/relationships/hyperlink" Target="http://www.boxofficemojo.com/movies/?id=undefeated2012.htm" TargetMode="External"/><Relationship Id="rId736" Type="http://schemas.openxmlformats.org/officeDocument/2006/relationships/hyperlink" Target="http://www.boxofficemojo.com/studio/chart/?studio=weinsteincompany.htm" TargetMode="External"/><Relationship Id="rId737" Type="http://schemas.openxmlformats.org/officeDocument/2006/relationships/hyperlink" Target="http://www.boxofficemojo.com/schedule/?view=bydate&amp;release=theatrical&amp;date=2012-02-17&amp;p=.htm" TargetMode="External"/><Relationship Id="rId738" Type="http://schemas.openxmlformats.org/officeDocument/2006/relationships/hyperlink" Target="http://www.boxofficemojo.com/movies/?id=vickydonor.htm" TargetMode="External"/><Relationship Id="rId739" Type="http://schemas.openxmlformats.org/officeDocument/2006/relationships/hyperlink" Target="http://www.boxofficemojo.com/studio/chart/?studio=eros.htm" TargetMode="External"/><Relationship Id="rId340" Type="http://schemas.openxmlformats.org/officeDocument/2006/relationships/hyperlink" Target="http://www.boxofficemojo.com/studio/chart/?studio=pardw.htm" TargetMode="External"/><Relationship Id="rId341" Type="http://schemas.openxmlformats.org/officeDocument/2006/relationships/hyperlink" Target="http://www.boxofficemojo.com/schedule/?view=bydate&amp;release=theatrical&amp;date=2012-03-09&amp;p=.htm" TargetMode="External"/><Relationship Id="rId342" Type="http://schemas.openxmlformats.org/officeDocument/2006/relationships/hyperlink" Target="http://www.boxofficemojo.com/movies/?id=chernobyldiaries.htm" TargetMode="External"/><Relationship Id="rId343" Type="http://schemas.openxmlformats.org/officeDocument/2006/relationships/hyperlink" Target="http://www.boxofficemojo.com/studio/chart/?studio=warnerbros.htm" TargetMode="External"/><Relationship Id="rId344" Type="http://schemas.openxmlformats.org/officeDocument/2006/relationships/hyperlink" Target="http://www.boxofficemojo.com/schedule/?view=bydate&amp;release=theatrical&amp;date=2012-05-25&amp;p=.htm" TargetMode="External"/><Relationship Id="rId345" Type="http://schemas.openxmlformats.org/officeDocument/2006/relationships/hyperlink" Target="http://www.boxofficemojo.com/movies/?id=perksofbeingawallflower.htm" TargetMode="External"/><Relationship Id="rId346" Type="http://schemas.openxmlformats.org/officeDocument/2006/relationships/hyperlink" Target="http://www.boxofficemojo.com/studio/chart/?studio=lionsgatesummit.htm" TargetMode="External"/><Relationship Id="rId347" Type="http://schemas.openxmlformats.org/officeDocument/2006/relationships/hyperlink" Target="http://www.boxofficemojo.com/schedule/?view=bydate&amp;release=theatrical&amp;date=2012-09-21&amp;p=.htm" TargetMode="External"/><Relationship Id="rId348" Type="http://schemas.openxmlformats.org/officeDocument/2006/relationships/hyperlink" Target="http://www.boxofficemojo.com/movies/?id=silenthill2.htm" TargetMode="External"/><Relationship Id="rId349" Type="http://schemas.openxmlformats.org/officeDocument/2006/relationships/hyperlink" Target="http://www.boxofficemojo.com/studio/chart/?studio=openroads.htm" TargetMode="External"/><Relationship Id="rId1990" Type="http://schemas.openxmlformats.org/officeDocument/2006/relationships/hyperlink" Target="http://www.boxofficemojo.com/studio/chart/?studio=ifc.htm" TargetMode="External"/><Relationship Id="rId1991" Type="http://schemas.openxmlformats.org/officeDocument/2006/relationships/hyperlink" Target="http://www.boxofficemojo.com/schedule/?view=bydate&amp;release=theatrical&amp;date=2012-04-27&amp;p=.htm" TargetMode="External"/><Relationship Id="rId1992" Type="http://schemas.openxmlformats.org/officeDocument/2006/relationships/hyperlink" Target="http://www.boxofficemojo.com/movies/?id=deathofasuperhero.htm" TargetMode="External"/><Relationship Id="rId1993" Type="http://schemas.openxmlformats.org/officeDocument/2006/relationships/hyperlink" Target="http://www.boxofficemojo.com/studio/chart/?studio=tribecafilm.htm" TargetMode="External"/><Relationship Id="rId1994" Type="http://schemas.openxmlformats.org/officeDocument/2006/relationships/hyperlink" Target="http://www.boxofficemojo.com/schedule/?view=bydate&amp;release=theatrical&amp;date=2012-05-04&amp;p=.htm" TargetMode="External"/><Relationship Id="rId1995" Type="http://schemas.openxmlformats.org/officeDocument/2006/relationships/hyperlink" Target="http://www.boxofficemojo.com/movies/?id=gottfried.htm" TargetMode="External"/><Relationship Id="rId1996" Type="http://schemas.openxmlformats.org/officeDocument/2006/relationships/hyperlink" Target="http://www.boxofficemojo.com/studio/chart/?studio=firstrun.htm" TargetMode="External"/><Relationship Id="rId1997" Type="http://schemas.openxmlformats.org/officeDocument/2006/relationships/hyperlink" Target="http://www.boxofficemojo.com/schedule/?view=bydate&amp;release=theatrical&amp;date=2012-11-23&amp;p=.htm" TargetMode="External"/><Relationship Id="rId1998" Type="http://schemas.openxmlformats.org/officeDocument/2006/relationships/hyperlink" Target="http://www.boxofficemojo.com/movies/?id=meetingevil.htm" TargetMode="External"/><Relationship Id="rId1999" Type="http://schemas.openxmlformats.org/officeDocument/2006/relationships/hyperlink" Target="http://www.boxofficemojo.com/studio/chart/?studio=magnolia.htm" TargetMode="External"/><Relationship Id="rId1200" Type="http://schemas.openxmlformats.org/officeDocument/2006/relationships/hyperlink" Target="http://www.boxofficemojo.com/movies/?id=declarationofwar.htm" TargetMode="External"/><Relationship Id="rId1201" Type="http://schemas.openxmlformats.org/officeDocument/2006/relationships/hyperlink" Target="http://www.boxofficemojo.com/studio/chart/?studio=ifc.htm" TargetMode="External"/><Relationship Id="rId1202" Type="http://schemas.openxmlformats.org/officeDocument/2006/relationships/hyperlink" Target="http://www.boxofficemojo.com/schedule/?view=bydate&amp;release=theatrical&amp;date=2012-01-27&amp;p=.htm" TargetMode="External"/><Relationship Id="rId1203" Type="http://schemas.openxmlformats.org/officeDocument/2006/relationships/hyperlink" Target="http://www.boxofficemojo.com/movies/?id=vulgaria.htm" TargetMode="External"/><Relationship Id="rId1204" Type="http://schemas.openxmlformats.org/officeDocument/2006/relationships/hyperlink" Target="http://www.boxofficemojo.com/studio/chart/?studio=chinalion.htm" TargetMode="External"/><Relationship Id="rId1205" Type="http://schemas.openxmlformats.org/officeDocument/2006/relationships/hyperlink" Target="http://www.boxofficemojo.com/schedule/?view=bydate&amp;release=theatrical&amp;date=2012-09-28&amp;p=.htm" TargetMode="External"/><Relationship Id="rId1206" Type="http://schemas.openxmlformats.org/officeDocument/2006/relationships/hyperlink" Target="http://www.boxofficemojo.com/movies/?id=sidebyside.htm" TargetMode="External"/><Relationship Id="rId1207" Type="http://schemas.openxmlformats.org/officeDocument/2006/relationships/hyperlink" Target="http://www.boxofficemojo.com/studio/chart/?studio=tribecafilm.htm" TargetMode="External"/><Relationship Id="rId740" Type="http://schemas.openxmlformats.org/officeDocument/2006/relationships/hyperlink" Target="http://www.boxofficemojo.com/schedule/?view=bydate&amp;release=theatrical&amp;date=2012-04-20&amp;p=.htm" TargetMode="External"/><Relationship Id="rId741" Type="http://schemas.openxmlformats.org/officeDocument/2006/relationships/hyperlink" Target="http://www.boxofficemojo.com/movies/?id=wehaveapope.htm" TargetMode="External"/><Relationship Id="rId742" Type="http://schemas.openxmlformats.org/officeDocument/2006/relationships/hyperlink" Target="http://www.boxofficemojo.com/studio/chart/?studio=ifc.htm" TargetMode="External"/><Relationship Id="rId743" Type="http://schemas.openxmlformats.org/officeDocument/2006/relationships/hyperlink" Target="http://www.boxofficemojo.com/schedule/?view=bydate&amp;release=theatrical&amp;date=2012-04-06&amp;p=.htm" TargetMode="External"/><Relationship Id="rId744" Type="http://schemas.openxmlformats.org/officeDocument/2006/relationships/hyperlink" Target="http://www.boxofficemojo.com/movies/?id=beingflynn.htm" TargetMode="External"/><Relationship Id="rId745" Type="http://schemas.openxmlformats.org/officeDocument/2006/relationships/hyperlink" Target="http://www.boxofficemojo.com/studio/chart/?studio=focus.htm" TargetMode="External"/><Relationship Id="rId746" Type="http://schemas.openxmlformats.org/officeDocument/2006/relationships/hyperlink" Target="http://www.boxofficemojo.com/schedule/?view=bydate&amp;release=theatrical&amp;date=2012-03-02&amp;p=.htm" TargetMode="External"/><Relationship Id="rId747" Type="http://schemas.openxmlformats.org/officeDocument/2006/relationships/hyperlink" Target="http://www.boxofficemojo.com/movies/?id=aiweiweineversorry.htm" TargetMode="External"/><Relationship Id="rId748" Type="http://schemas.openxmlformats.org/officeDocument/2006/relationships/hyperlink" Target="http://www.boxofficemojo.com/studio/chart/?studio=ifc.htm" TargetMode="External"/><Relationship Id="rId749" Type="http://schemas.openxmlformats.org/officeDocument/2006/relationships/hyperlink" Target="http://www.boxofficemojo.com/schedule/?view=bydate&amp;release=theatrical&amp;date=2012-07-27&amp;p=.htm" TargetMode="External"/><Relationship Id="rId350" Type="http://schemas.openxmlformats.org/officeDocument/2006/relationships/hyperlink" Target="http://www.boxofficemojo.com/schedule/?view=bydate&amp;release=theatrical&amp;date=2012-10-26&amp;p=.htm" TargetMode="External"/><Relationship Id="rId351" Type="http://schemas.openxmlformats.org/officeDocument/2006/relationships/hyperlink" Target="http://www.boxofficemojo.com/movies/?id=wanderlust.htm" TargetMode="External"/><Relationship Id="rId352" Type="http://schemas.openxmlformats.org/officeDocument/2006/relationships/hyperlink" Target="http://www.boxofficemojo.com/studio/chart/?studio=universal.htm" TargetMode="External"/><Relationship Id="rId353" Type="http://schemas.openxmlformats.org/officeDocument/2006/relationships/hyperlink" Target="http://www.boxofficemojo.com/schedule/?view=bydate&amp;release=theatrical&amp;date=2012-02-24&amp;p=.htm" TargetMode="External"/><Relationship Id="rId354" Type="http://schemas.openxmlformats.org/officeDocument/2006/relationships/hyperlink" Target="http://www.boxofficemojo.com/movies/?id=safe2011.htm" TargetMode="External"/><Relationship Id="rId355" Type="http://schemas.openxmlformats.org/officeDocument/2006/relationships/hyperlink" Target="http://www.boxofficemojo.com/studio/chart/?studio=lionsgate.htm" TargetMode="External"/><Relationship Id="rId356" Type="http://schemas.openxmlformats.org/officeDocument/2006/relationships/hyperlink" Target="http://www.boxofficemojo.com/schedule/?view=bydate&amp;release=theatrical&amp;date=2012-04-27&amp;p=.htm" TargetMode="External"/><Relationship Id="rId357" Type="http://schemas.openxmlformats.org/officeDocument/2006/relationships/hyperlink" Target="http://www.boxofficemojo.com/movies/?id=nerofiddled.htm" TargetMode="External"/><Relationship Id="rId358" Type="http://schemas.openxmlformats.org/officeDocument/2006/relationships/hyperlink" Target="http://www.boxofficemojo.com/studio/chart/?studio=sonyclassics.htm" TargetMode="External"/><Relationship Id="rId359" Type="http://schemas.openxmlformats.org/officeDocument/2006/relationships/hyperlink" Target="http://www.boxofficemojo.com/schedule/?view=bydate&amp;release=theatrical&amp;date=2012-06-22&amp;p=.htm" TargetMode="External"/><Relationship Id="rId1208" Type="http://schemas.openxmlformats.org/officeDocument/2006/relationships/hyperlink" Target="http://www.boxofficemojo.com/schedule/?view=bydate&amp;release=theatrical&amp;date=2012-08-17&amp;p=.htm" TargetMode="External"/><Relationship Id="rId1209" Type="http://schemas.openxmlformats.org/officeDocument/2006/relationships/hyperlink" Target="http://www.boxofficemojo.com/movies/?id=beyondtheblackrainbow.htm" TargetMode="External"/><Relationship Id="rId1600" Type="http://schemas.openxmlformats.org/officeDocument/2006/relationships/hyperlink" Target="http://www.boxofficemojo.com/studio/chart/?studio=anchorbayentertainment.htm" TargetMode="External"/><Relationship Id="rId1601" Type="http://schemas.openxmlformats.org/officeDocument/2006/relationships/hyperlink" Target="http://www.boxofficemojo.com/schedule/?view=bydate&amp;release=theatrical&amp;date=2012-11-30&amp;p=.htm" TargetMode="External"/><Relationship Id="rId1602" Type="http://schemas.openxmlformats.org/officeDocument/2006/relationships/hyperlink" Target="http://www.boxofficemojo.com/movies/?id=spacedogs3d.htm" TargetMode="External"/><Relationship Id="rId1603" Type="http://schemas.openxmlformats.org/officeDocument/2006/relationships/hyperlink" Target="http://www.boxofficemojo.com/studio/chart/?studio=epicpics.htm" TargetMode="External"/><Relationship Id="rId1604" Type="http://schemas.openxmlformats.org/officeDocument/2006/relationships/hyperlink" Target="http://www.boxofficemojo.com/schedule/?view=bydate&amp;release=theatrical&amp;date=2012-05-18&amp;p=.htm" TargetMode="External"/><Relationship Id="rId1605" Type="http://schemas.openxmlformats.org/officeDocument/2006/relationships/hyperlink" Target="http://www.boxofficemojo.com/movies/?id=neverstandstill.htm" TargetMode="External"/><Relationship Id="rId1606" Type="http://schemas.openxmlformats.org/officeDocument/2006/relationships/hyperlink" Target="http://www.boxofficemojo.com/studio/chart/?studio=firstrun.htm" TargetMode="External"/><Relationship Id="rId1607" Type="http://schemas.openxmlformats.org/officeDocument/2006/relationships/hyperlink" Target="http://www.boxofficemojo.com/schedule/?view=bydate&amp;release=theatrical&amp;date=2012-05-18&amp;p=.htm" TargetMode="External"/><Relationship Id="rId1608" Type="http://schemas.openxmlformats.org/officeDocument/2006/relationships/hyperlink" Target="http://www.boxofficemojo.com/movies/?id=wewontgrowoldtogether.htm" TargetMode="External"/><Relationship Id="rId1609" Type="http://schemas.openxmlformats.org/officeDocument/2006/relationships/hyperlink" Target="http://www.boxofficemojo.com/studio/chart/?studio=thefilmdesk.htm" TargetMode="External"/><Relationship Id="rId1210" Type="http://schemas.openxmlformats.org/officeDocument/2006/relationships/hyperlink" Target="http://www.boxofficemojo.com/studio/chart/?studio=magnolia.htm" TargetMode="External"/><Relationship Id="rId1211" Type="http://schemas.openxmlformats.org/officeDocument/2006/relationships/hyperlink" Target="http://www.boxofficemojo.com/schedule/?view=bydate&amp;release=theatrical&amp;date=2012-05-18&amp;p=.htm" TargetMode="External"/><Relationship Id="rId750" Type="http://schemas.openxmlformats.org/officeDocument/2006/relationships/hyperlink" Target="http://www.boxofficemojo.com/movies/?id=wheredowegonow.htm" TargetMode="External"/><Relationship Id="rId751" Type="http://schemas.openxmlformats.org/officeDocument/2006/relationships/hyperlink" Target="http://www.boxofficemojo.com/studio/chart/?studio=sonyclassics.htm" TargetMode="External"/><Relationship Id="rId752" Type="http://schemas.openxmlformats.org/officeDocument/2006/relationships/hyperlink" Target="http://www.boxofficemojo.com/schedule/?view=bydate&amp;release=theatrical&amp;date=2012-05-11&amp;p=.htm" TargetMode="External"/><Relationship Id="rId753" Type="http://schemas.openxmlformats.org/officeDocument/2006/relationships/hyperlink" Target="http://www.boxofficemojo.com/movies/?id=shutupandplaythehits.htm" TargetMode="External"/><Relationship Id="rId754" Type="http://schemas.openxmlformats.org/officeDocument/2006/relationships/hyperlink" Target="http://www.boxofficemojo.com/studio/chart/?studio=oscilloscopepictures.htm" TargetMode="External"/><Relationship Id="rId755" Type="http://schemas.openxmlformats.org/officeDocument/2006/relationships/hyperlink" Target="http://www.boxofficemojo.com/schedule/?view=bydate&amp;release=theatrical&amp;date=2012-07-18&amp;p=.htm" TargetMode="External"/><Relationship Id="rId756" Type="http://schemas.openxmlformats.org/officeDocument/2006/relationships/hyperlink" Target="http://www.boxofficemojo.com/movies/?id=delicacy.htm" TargetMode="External"/><Relationship Id="rId757" Type="http://schemas.openxmlformats.org/officeDocument/2006/relationships/hyperlink" Target="http://www.boxofficemojo.com/studio/chart/?studio=cohenmedia.htm" TargetMode="External"/><Relationship Id="rId758" Type="http://schemas.openxmlformats.org/officeDocument/2006/relationships/hyperlink" Target="http://www.boxofficemojo.com/schedule/?view=bydate&amp;release=theatrical&amp;date=2012-03-16&amp;p=.htm" TargetMode="External"/><Relationship Id="rId759" Type="http://schemas.openxmlformats.org/officeDocument/2006/relationships/hyperlink" Target="http://www.boxofficemojo.com/movies/?id=flat.htm" TargetMode="External"/><Relationship Id="rId360" Type="http://schemas.openxmlformats.org/officeDocument/2006/relationships/hyperlink" Target="http://www.boxofficemojo.com/movies/?id=themaster.htm" TargetMode="External"/><Relationship Id="rId361" Type="http://schemas.openxmlformats.org/officeDocument/2006/relationships/hyperlink" Target="http://www.boxofficemojo.com/studio/chart/?studio=weinsteincompany.htm" TargetMode="External"/><Relationship Id="rId362" Type="http://schemas.openxmlformats.org/officeDocument/2006/relationships/hyperlink" Target="http://www.boxofficemojo.com/schedule/?view=bydate&amp;release=theatrical&amp;date=2012-09-14&amp;p=.htm" TargetMode="External"/><Relationship Id="rId363" Type="http://schemas.openxmlformats.org/officeDocument/2006/relationships/hyperlink" Target="http://www.boxofficemojo.com/movies/?id=raven.htm" TargetMode="External"/><Relationship Id="rId364" Type="http://schemas.openxmlformats.org/officeDocument/2006/relationships/hyperlink" Target="http://www.boxofficemojo.com/studio/chart/?studio=relativity.htm" TargetMode="External"/><Relationship Id="rId365" Type="http://schemas.openxmlformats.org/officeDocument/2006/relationships/hyperlink" Target="http://www.boxofficemojo.com/schedule/?view=bydate&amp;release=theatrical&amp;date=2012-04-27&amp;p=.htm" TargetMode="External"/><Relationship Id="rId366" Type="http://schemas.openxmlformats.org/officeDocument/2006/relationships/hyperlink" Target="http://www.boxofficemojo.com/movies/?id=manwiththeironfists.htm" TargetMode="External"/><Relationship Id="rId367" Type="http://schemas.openxmlformats.org/officeDocument/2006/relationships/hyperlink" Target="http://www.boxofficemojo.com/studio/chart/?studio=universal.htm" TargetMode="External"/><Relationship Id="rId368" Type="http://schemas.openxmlformats.org/officeDocument/2006/relationships/hyperlink" Target="http://www.boxofficemojo.com/schedule/?view=bydate&amp;release=theatrical&amp;date=2012-11-02&amp;p=.htm" TargetMode="External"/><Relationship Id="rId369" Type="http://schemas.openxmlformats.org/officeDocument/2006/relationships/hyperlink" Target="http://www.boxofficemojo.com/movies/?id=coganstrade.htm" TargetMode="External"/><Relationship Id="rId1212" Type="http://schemas.openxmlformats.org/officeDocument/2006/relationships/hyperlink" Target="http://www.boxofficemojo.com/movies/?id=turinhorse.htm" TargetMode="External"/><Relationship Id="rId1213" Type="http://schemas.openxmlformats.org/officeDocument/2006/relationships/hyperlink" Target="http://www.boxofficemojo.com/studio/chart/?studio=cinemaguild.htm" TargetMode="External"/><Relationship Id="rId1214" Type="http://schemas.openxmlformats.org/officeDocument/2006/relationships/hyperlink" Target="http://www.boxofficemojo.com/schedule/?view=bydate&amp;release=theatrical&amp;date=2012-02-10&amp;p=.htm" TargetMode="External"/><Relationship Id="rId1215" Type="http://schemas.openxmlformats.org/officeDocument/2006/relationships/hyperlink" Target="http://www.boxofficemojo.com/movies/?id=naturalselection.htm" TargetMode="External"/><Relationship Id="rId1216" Type="http://schemas.openxmlformats.org/officeDocument/2006/relationships/hyperlink" Target="http://www.boxofficemojo.com/studio/chart/?studio=cinemaguild.htm" TargetMode="External"/><Relationship Id="rId1217" Type="http://schemas.openxmlformats.org/officeDocument/2006/relationships/hyperlink" Target="http://www.boxofficemojo.com/schedule/?view=bydate&amp;release=theatrical&amp;date=2012-03-16&amp;p=.htm" TargetMode="External"/><Relationship Id="rId1218" Type="http://schemas.openxmlformats.org/officeDocument/2006/relationships/hyperlink" Target="http://www.boxofficemojo.com/movies/?id=beautifulsoul.htm" TargetMode="External"/><Relationship Id="rId1219" Type="http://schemas.openxmlformats.org/officeDocument/2006/relationships/hyperlink" Target="http://www.boxofficemojo.com/studio/chart/?studio=tyscotmanhaddon.htm" TargetMode="External"/><Relationship Id="rId1610" Type="http://schemas.openxmlformats.org/officeDocument/2006/relationships/hyperlink" Target="http://www.boxofficemojo.com/schedule/?view=bydate&amp;release=theatrical&amp;date=2012-06-08&amp;p=.htm" TargetMode="External"/><Relationship Id="rId1611" Type="http://schemas.openxmlformats.org/officeDocument/2006/relationships/hyperlink" Target="http://www.boxofficemojo.com/movies/?id=gayby.htm" TargetMode="External"/><Relationship Id="rId1612" Type="http://schemas.openxmlformats.org/officeDocument/2006/relationships/hyperlink" Target="http://www.boxofficemojo.com/studio/chart/?studio=filmcollaborative.htm" TargetMode="External"/><Relationship Id="rId1613" Type="http://schemas.openxmlformats.org/officeDocument/2006/relationships/hyperlink" Target="http://www.boxofficemojo.com/schedule/?view=bydate&amp;release=theatrical&amp;date=2012-10-12&amp;p=.htm" TargetMode="External"/><Relationship Id="rId1614" Type="http://schemas.openxmlformats.org/officeDocument/2006/relationships/hyperlink" Target="http://www.boxofficemojo.com/movies/?id=6monthrule.htm" TargetMode="External"/><Relationship Id="rId1615" Type="http://schemas.openxmlformats.org/officeDocument/2006/relationships/hyperlink" Target="http://www.boxofficemojo.com/studio/chart/?studio=secretidentity.htm" TargetMode="External"/><Relationship Id="rId1616" Type="http://schemas.openxmlformats.org/officeDocument/2006/relationships/hyperlink" Target="http://www.boxofficemojo.com/schedule/?view=bydate&amp;release=theatrical&amp;date=2012-06-01&amp;p=.htm" TargetMode="External"/><Relationship Id="rId1617" Type="http://schemas.openxmlformats.org/officeDocument/2006/relationships/hyperlink" Target="http://www.boxofficemojo.com/movies/?id=headgames.htm" TargetMode="External"/><Relationship Id="rId1618" Type="http://schemas.openxmlformats.org/officeDocument/2006/relationships/hyperlink" Target="http://www.boxofficemojo.com/studio/chart/?studio=variancefilms.htm" TargetMode="External"/><Relationship Id="rId1619" Type="http://schemas.openxmlformats.org/officeDocument/2006/relationships/hyperlink" Target="http://www.boxofficemojo.com/schedule/?view=bydate&amp;release=theatrical&amp;date=2012-09-21&amp;p=.htm" TargetMode="External"/><Relationship Id="rId1220" Type="http://schemas.openxmlformats.org/officeDocument/2006/relationships/hyperlink" Target="http://www.boxofficemojo.com/schedule/?view=bydate&amp;release=theatrical&amp;date=2012-05-04&amp;p=.htm" TargetMode="External"/><Relationship Id="rId1221" Type="http://schemas.openxmlformats.org/officeDocument/2006/relationships/hyperlink" Target="http://www.boxofficemojo.com/movies/?id=dangerousliaisons2012.htm" TargetMode="External"/><Relationship Id="rId760" Type="http://schemas.openxmlformats.org/officeDocument/2006/relationships/hyperlink" Target="http://www.boxofficemojo.com/studio/chart/?studio=ifc.htm" TargetMode="External"/><Relationship Id="rId761" Type="http://schemas.openxmlformats.org/officeDocument/2006/relationships/hyperlink" Target="http://www.boxofficemojo.com/schedule/?view=bydate&amp;release=theatrical&amp;date=2012-10-19&amp;p=.htm" TargetMode="External"/><Relationship Id="rId762" Type="http://schemas.openxmlformats.org/officeDocument/2006/relationships/hyperlink" Target="http://www.boxofficemojo.com/movies/?id=bachelorette.htm" TargetMode="External"/><Relationship Id="rId763" Type="http://schemas.openxmlformats.org/officeDocument/2006/relationships/hyperlink" Target="http://www.boxofficemojo.com/studio/chart/?studio=radiustwc.htm" TargetMode="External"/><Relationship Id="rId764" Type="http://schemas.openxmlformats.org/officeDocument/2006/relationships/hyperlink" Target="http://www.boxofficemojo.com/schedule/?view=bydate&amp;release=theatrical&amp;date=2012-09-07&amp;p=.htm" TargetMode="External"/><Relationship Id="rId765" Type="http://schemas.openxmlformats.org/officeDocument/2006/relationships/hyperlink" Target="http://www.boxofficemojo.com/movies/?id=ferrarikisawaari.htm" TargetMode="External"/><Relationship Id="rId766" Type="http://schemas.openxmlformats.org/officeDocument/2006/relationships/hyperlink" Target="http://www.boxofficemojo.com/studio/chart/?studio=eros.htm" TargetMode="External"/><Relationship Id="rId767" Type="http://schemas.openxmlformats.org/officeDocument/2006/relationships/hyperlink" Target="http://www.boxofficemojo.com/schedule/?view=bydate&amp;release=theatrical&amp;date=2012-06-15&amp;p=.htm" TargetMode="External"/><Relationship Id="rId768" Type="http://schemas.openxmlformats.org/officeDocument/2006/relationships/hyperlink" Target="http://www.boxofficemojo.com/movies/?id=seekingjustice.htm" TargetMode="External"/><Relationship Id="rId769" Type="http://schemas.openxmlformats.org/officeDocument/2006/relationships/hyperlink" Target="http://www.boxofficemojo.com/studio/chart/?studio=anchorbayentertainment.htm" TargetMode="External"/><Relationship Id="rId370" Type="http://schemas.openxmlformats.org/officeDocument/2006/relationships/hyperlink" Target="http://www.boxofficemojo.com/studio/chart/?studio=weinsteincompany.htm" TargetMode="External"/><Relationship Id="rId371" Type="http://schemas.openxmlformats.org/officeDocument/2006/relationships/hyperlink" Target="http://www.boxofficemojo.com/schedule/?view=bydate&amp;release=theatrical&amp;date=2012-11-30&amp;p=.htm" TargetMode="External"/><Relationship Id="rId372" Type="http://schemas.openxmlformats.org/officeDocument/2006/relationships/hyperlink" Target="http://www.boxofficemojo.com/movies/?id=sevenpsychopaths.htm" TargetMode="External"/><Relationship Id="rId373" Type="http://schemas.openxmlformats.org/officeDocument/2006/relationships/hyperlink" Target="http://www.boxofficemojo.com/studio/chart/?studio=cbsfilms.htm" TargetMode="External"/><Relationship Id="rId374" Type="http://schemas.openxmlformats.org/officeDocument/2006/relationships/hyperlink" Target="http://www.boxofficemojo.com/schedule/?view=bydate&amp;release=theatrical&amp;date=2012-10-12&amp;p=.htm" TargetMode="External"/><Relationship Id="rId375" Type="http://schemas.openxmlformats.org/officeDocument/2006/relationships/hyperlink" Target="http://www.boxofficemojo.com/movies/?id=tothearctic.htm" TargetMode="External"/><Relationship Id="rId376" Type="http://schemas.openxmlformats.org/officeDocument/2006/relationships/hyperlink" Target="http://www.boxofficemojo.com/studio/chart/?studio=warnerbros.htm" TargetMode="External"/><Relationship Id="rId377" Type="http://schemas.openxmlformats.org/officeDocument/2006/relationships/hyperlink" Target="http://www.boxofficemojo.com/schedule/?view=bydate&amp;release=theatrical&amp;date=2012-04-20&amp;p=.htm" TargetMode="External"/><Relationship Id="rId378" Type="http://schemas.openxmlformats.org/officeDocument/2006/relationships/hyperlink" Target="http://www.boxofficemojo.com/movies/?id=lockout.htm" TargetMode="External"/><Relationship Id="rId379" Type="http://schemas.openxmlformats.org/officeDocument/2006/relationships/hyperlink" Target="http://www.boxofficemojo.com/studio/chart/?studio=filmdistrict.htm" TargetMode="External"/><Relationship Id="rId1222" Type="http://schemas.openxmlformats.org/officeDocument/2006/relationships/hyperlink" Target="http://www.boxofficemojo.com/studio/chart/?studio=wellgo.htm" TargetMode="External"/><Relationship Id="rId1223" Type="http://schemas.openxmlformats.org/officeDocument/2006/relationships/hyperlink" Target="http://www.boxofficemojo.com/schedule/?view=bydate&amp;release=theatrical&amp;date=2012-11-09&amp;p=.htm" TargetMode="External"/><Relationship Id="rId1224" Type="http://schemas.openxmlformats.org/officeDocument/2006/relationships/hyperlink" Target="http://www.boxofficemojo.com/movies/?id=survivingprogress.htm" TargetMode="External"/><Relationship Id="rId1225" Type="http://schemas.openxmlformats.org/officeDocument/2006/relationships/hyperlink" Target="http://www.boxofficemojo.com/studio/chart/?studio=firstrun.htm" TargetMode="External"/><Relationship Id="rId1226" Type="http://schemas.openxmlformats.org/officeDocument/2006/relationships/hyperlink" Target="http://www.boxofficemojo.com/schedule/?view=bydate&amp;release=theatrical&amp;date=2012-04-06&amp;p=.htm" TargetMode="External"/><Relationship Id="rId1227" Type="http://schemas.openxmlformats.org/officeDocument/2006/relationships/hyperlink" Target="http://www.boxofficemojo.com/movies/?id=freemen.htm" TargetMode="External"/><Relationship Id="rId1228" Type="http://schemas.openxmlformats.org/officeDocument/2006/relationships/hyperlink" Target="http://www.boxofficemojo.com/studio/chart/?studio=filmmovement.htm" TargetMode="External"/><Relationship Id="rId1229" Type="http://schemas.openxmlformats.org/officeDocument/2006/relationships/hyperlink" Target="http://www.boxofficemojo.com/schedule/?view=bydate&amp;release=theatrical&amp;date=2012-03-16&amp;p=.htm" TargetMode="External"/><Relationship Id="rId1620" Type="http://schemas.openxmlformats.org/officeDocument/2006/relationships/hyperlink" Target="http://www.boxofficemojo.com/movies/?id=planetofsnail.htm" TargetMode="External"/><Relationship Id="rId1621" Type="http://schemas.openxmlformats.org/officeDocument/2006/relationships/hyperlink" Target="http://www.boxofficemojo.com/studio/chart/?studio=cinemaguild.htm" TargetMode="External"/><Relationship Id="rId1622" Type="http://schemas.openxmlformats.org/officeDocument/2006/relationships/hyperlink" Target="http://www.boxofficemojo.com/schedule/?view=bydate&amp;release=theatrical&amp;date=2012-07-25&amp;p=.htm" TargetMode="External"/><Relationship Id="rId1623" Type="http://schemas.openxmlformats.org/officeDocument/2006/relationships/hyperlink" Target="http://www.boxofficemojo.com/movies/?id=fallingaway.htm" TargetMode="External"/><Relationship Id="rId1624" Type="http://schemas.openxmlformats.org/officeDocument/2006/relationships/hyperlink" Target="http://www.boxofficemojo.com/studio/chart/?studio=indican.htm" TargetMode="External"/><Relationship Id="rId1625" Type="http://schemas.openxmlformats.org/officeDocument/2006/relationships/hyperlink" Target="http://www.boxofficemojo.com/schedule/?view=bydate&amp;release=theatrical&amp;date=2012-03-02&amp;p=.htm" TargetMode="External"/><Relationship Id="rId1626" Type="http://schemas.openxmlformats.org/officeDocument/2006/relationships/hyperlink" Target="http://www.boxofficemojo.com/movies/?id=dayhearrives.htm" TargetMode="External"/><Relationship Id="rId1627" Type="http://schemas.openxmlformats.org/officeDocument/2006/relationships/hyperlink" Target="http://www.boxofficemojo.com/studio/chart/?studio=cinemaguild.htm" TargetMode="External"/><Relationship Id="rId1628" Type="http://schemas.openxmlformats.org/officeDocument/2006/relationships/hyperlink" Target="http://www.boxofficemojo.com/schedule/?view=bydate&amp;release=theatrical&amp;date=2012-04-20&amp;p=.htm" TargetMode="External"/><Relationship Id="rId1629" Type="http://schemas.openxmlformats.org/officeDocument/2006/relationships/hyperlink" Target="http://www.boxofficemojo.com/movies/?id=daisies2012.htm" TargetMode="External"/><Relationship Id="rId1230" Type="http://schemas.openxmlformats.org/officeDocument/2006/relationships/hyperlink" Target="http://www.boxofficemojo.com/movies/?id=triptothemoon.htm" TargetMode="External"/><Relationship Id="rId1231" Type="http://schemas.openxmlformats.org/officeDocument/2006/relationships/hyperlink" Target="http://www.boxofficemojo.com/studio/chart/?studio=flickeralley.htm" TargetMode="External"/><Relationship Id="rId770" Type="http://schemas.openxmlformats.org/officeDocument/2006/relationships/hyperlink" Target="http://www.boxofficemojo.com/schedule/?view=bydate&amp;release=theatrical&amp;date=2012-03-16&amp;p=.htm" TargetMode="External"/><Relationship Id="rId771" Type="http://schemas.openxmlformats.org/officeDocument/2006/relationships/hyperlink" Target="http://www.boxofficemojo.com/movies/?id=soundofmyvoice.htm" TargetMode="External"/><Relationship Id="rId772" Type="http://schemas.openxmlformats.org/officeDocument/2006/relationships/hyperlink" Target="http://www.boxofficemojo.com/studio/chart/?studio=foxsearchlight.htm" TargetMode="External"/><Relationship Id="rId773" Type="http://schemas.openxmlformats.org/officeDocument/2006/relationships/hyperlink" Target="http://www.boxofficemojo.com/schedule/?view=bydate&amp;release=theatrical&amp;date=2012-04-27&amp;p=.htm" TargetMode="External"/><Relationship Id="rId774" Type="http://schemas.openxmlformats.org/officeDocument/2006/relationships/hyperlink" Target="http://www.boxofficemojo.com/movies/?id=detropia.htm" TargetMode="External"/><Relationship Id="rId775" Type="http://schemas.openxmlformats.org/officeDocument/2006/relationships/hyperlink" Target="http://www.boxofficemojo.com/studio/chart/?studio=lokifilms.htm" TargetMode="External"/><Relationship Id="rId776" Type="http://schemas.openxmlformats.org/officeDocument/2006/relationships/hyperlink" Target="http://www.boxofficemojo.com/schedule/?view=bydate&amp;release=theatrical&amp;date=2012-09-07&amp;p=.htm" TargetMode="External"/><Relationship Id="rId777" Type="http://schemas.openxmlformats.org/officeDocument/2006/relationships/hyperlink" Target="http://www.boxofficemojo.com/movies/?id=welldiggersdaughter.htm" TargetMode="External"/><Relationship Id="rId778" Type="http://schemas.openxmlformats.org/officeDocument/2006/relationships/hyperlink" Target="http://www.boxofficemojo.com/studio/chart/?studio=kinolorber.htm" TargetMode="External"/><Relationship Id="rId779" Type="http://schemas.openxmlformats.org/officeDocument/2006/relationships/hyperlink" Target="http://www.boxofficemojo.com/schedule/?view=bydate&amp;release=theatrical&amp;date=2012-07-20&amp;p=.htm" TargetMode="External"/><Relationship Id="rId380" Type="http://schemas.openxmlformats.org/officeDocument/2006/relationships/hyperlink" Target="http://www.boxofficemojo.com/schedule/?view=bydate&amp;release=theatrical&amp;date=2012-04-13&amp;p=.htm" TargetMode="External"/><Relationship Id="rId381" Type="http://schemas.openxmlformats.org/officeDocument/2006/relationships/hyperlink" Target="http://www.boxofficemojo.com/movies/?id=hitandrun.htm" TargetMode="External"/><Relationship Id="rId382" Type="http://schemas.openxmlformats.org/officeDocument/2006/relationships/hyperlink" Target="http://www.boxofficemojo.com/studio/chart/?studio=openroads.htm" TargetMode="External"/><Relationship Id="rId383" Type="http://schemas.openxmlformats.org/officeDocument/2006/relationships/hyperlink" Target="http://www.boxofficemojo.com/schedule/?view=bydate&amp;release=theatrical&amp;date=2012-08-22&amp;p=.htm" TargetMode="External"/><Relationship Id="rId384" Type="http://schemas.openxmlformats.org/officeDocument/2006/relationships/hyperlink" Target="http://www.boxofficemojo.com/movies/?id=dredd.htm" TargetMode="External"/><Relationship Id="rId385" Type="http://schemas.openxmlformats.org/officeDocument/2006/relationships/hyperlink" Target="http://www.boxofficemojo.com/studio/chart/?studio=lionsgate.htm" TargetMode="External"/><Relationship Id="rId386" Type="http://schemas.openxmlformats.org/officeDocument/2006/relationships/hyperlink" Target="http://www.boxofficemojo.com/schedule/?view=bydate&amp;release=theatrical&amp;date=2012-09-21&amp;p=.htm" TargetMode="External"/><Relationship Id="rId387" Type="http://schemas.openxmlformats.org/officeDocument/2006/relationships/hyperlink" Target="http://www.boxofficemojo.com/movies/?id=playingthefield.htm" TargetMode="External"/><Relationship Id="rId388" Type="http://schemas.openxmlformats.org/officeDocument/2006/relationships/hyperlink" Target="http://www.boxofficemojo.com/studio/chart/?studio=filmdistrict.htm" TargetMode="External"/><Relationship Id="rId389" Type="http://schemas.openxmlformats.org/officeDocument/2006/relationships/hyperlink" Target="http://www.boxofficemojo.com/schedule/?view=bydate&amp;release=theatrical&amp;date=2012-12-07&amp;p=.htm" TargetMode="External"/><Relationship Id="rId1232" Type="http://schemas.openxmlformats.org/officeDocument/2006/relationships/hyperlink" Target="http://www.boxofficemojo.com/schedule/?view=bydate&amp;release=theatrical&amp;date=2012-02-10&amp;p=.htm" TargetMode="External"/><Relationship Id="rId1233" Type="http://schemas.openxmlformats.org/officeDocument/2006/relationships/hyperlink" Target="http://www.boxofficemojo.com/movies/?id=occupyunmasked.htm" TargetMode="External"/><Relationship Id="rId1234" Type="http://schemas.openxmlformats.org/officeDocument/2006/relationships/hyperlink" Target="http://www.boxofficemojo.com/studio/chart/?studio=magnolia.htm" TargetMode="External"/><Relationship Id="rId1235" Type="http://schemas.openxmlformats.org/officeDocument/2006/relationships/hyperlink" Target="http://www.boxofficemojo.com/schedule/?view=bydate&amp;release=theatrical&amp;date=2012-09-21&amp;p=.htm" TargetMode="External"/><Relationship Id="rId1236" Type="http://schemas.openxmlformats.org/officeDocument/2006/relationships/hyperlink" Target="http://www.boxofficemojo.com/movies/?id=redlights2012.htm" TargetMode="External"/><Relationship Id="rId1237" Type="http://schemas.openxmlformats.org/officeDocument/2006/relationships/hyperlink" Target="http://www.boxofficemojo.com/studio/chart/?studio=millenniumentertainment.htm" TargetMode="External"/><Relationship Id="rId1238" Type="http://schemas.openxmlformats.org/officeDocument/2006/relationships/hyperlink" Target="http://www.boxofficemojo.com/schedule/?view=bydate&amp;release=theatrical&amp;date=2012-07-13&amp;p=.htm" TargetMode="External"/><Relationship Id="rId1239" Type="http://schemas.openxmlformats.org/officeDocument/2006/relationships/hyperlink" Target="http://www.boxofficemojo.com/movies/?id=jodibreakers.htm" TargetMode="External"/><Relationship Id="rId1630" Type="http://schemas.openxmlformats.org/officeDocument/2006/relationships/hyperlink" Target="http://www.boxofficemojo.com/studio/chart/?studio=janusfilms.htm" TargetMode="External"/><Relationship Id="rId1631" Type="http://schemas.openxmlformats.org/officeDocument/2006/relationships/hyperlink" Target="http://www.boxofficemojo.com/schedule/?view=bydate&amp;release=theatrical&amp;date=2012-07-06&amp;p=.htm" TargetMode="External"/><Relationship Id="rId1632" Type="http://schemas.openxmlformats.org/officeDocument/2006/relationships/hyperlink" Target="http://www.boxofficemojo.com/movies/?id=lawintheseparts.htm" TargetMode="External"/><Relationship Id="rId1633" Type="http://schemas.openxmlformats.org/officeDocument/2006/relationships/hyperlink" Target="http://www.boxofficemojo.com/studio/chart/?studio=cinemaguild.htm" TargetMode="External"/><Relationship Id="rId1634" Type="http://schemas.openxmlformats.org/officeDocument/2006/relationships/hyperlink" Target="http://www.boxofficemojo.com/schedule/?view=bydate&amp;release=theatrical&amp;date=2012-11-16&amp;p=.htm" TargetMode="External"/><Relationship Id="rId1635" Type="http://schemas.openxmlformats.org/officeDocument/2006/relationships/hyperlink" Target="http://www.boxofficemojo.com/movies/?id=whentheironbirdflies.htm" TargetMode="External"/><Relationship Id="rId1636" Type="http://schemas.openxmlformats.org/officeDocument/2006/relationships/hyperlink" Target="http://www.boxofficemojo.com/studio/chart/?studio=alivemind.htm" TargetMode="External"/><Relationship Id="rId1637" Type="http://schemas.openxmlformats.org/officeDocument/2006/relationships/hyperlink" Target="http://www.boxofficemojo.com/schedule/?view=bydate&amp;release=theatrical&amp;date=2012-10-19&amp;p=.htm" TargetMode="External"/><Relationship Id="rId1638" Type="http://schemas.openxmlformats.org/officeDocument/2006/relationships/hyperlink" Target="http://www.boxofficemojo.com/movies/?id=reunitingtherubins.htm" TargetMode="External"/><Relationship Id="rId1639" Type="http://schemas.openxmlformats.org/officeDocument/2006/relationships/hyperlink" Target="http://www.boxofficemojo.com/studio/chart/?studio=montereymediainc.htm" TargetMode="External"/><Relationship Id="rId1240" Type="http://schemas.openxmlformats.org/officeDocument/2006/relationships/hyperlink" Target="http://www.boxofficemojo.com/studio/chart/?studio=yashraj.htm" TargetMode="External"/><Relationship Id="rId1241" Type="http://schemas.openxmlformats.org/officeDocument/2006/relationships/hyperlink" Target="http://www.boxofficemojo.com/schedule/?view=bydate&amp;release=theatrical&amp;date=2012-02-24&amp;p=.htm" TargetMode="External"/><Relationship Id="rId780" Type="http://schemas.openxmlformats.org/officeDocument/2006/relationships/hyperlink" Target="http://www.boxofficemojo.com/movies/?id=khiladi786.htm" TargetMode="External"/><Relationship Id="rId781" Type="http://schemas.openxmlformats.org/officeDocument/2006/relationships/hyperlink" Target="http://www.boxofficemojo.com/studio/chart/?studio=eros.htm" TargetMode="External"/><Relationship Id="rId782" Type="http://schemas.openxmlformats.org/officeDocument/2006/relationships/hyperlink" Target="http://www.boxofficemojo.com/schedule/?view=bydate&amp;release=theatrical&amp;date=2012-12-07&amp;p=.htm" TargetMode="External"/><Relationship Id="rId783" Type="http://schemas.openxmlformats.org/officeDocument/2006/relationships/hyperlink" Target="http://www.boxofficemojo.com/movies/?id=smashed.htm" TargetMode="External"/><Relationship Id="rId784" Type="http://schemas.openxmlformats.org/officeDocument/2006/relationships/hyperlink" Target="http://www.boxofficemojo.com/studio/chart/?studio=sonyclassics.htm" TargetMode="External"/><Relationship Id="rId785" Type="http://schemas.openxmlformats.org/officeDocument/2006/relationships/hyperlink" Target="http://www.boxofficemojo.com/schedule/?view=bydate&amp;release=theatrical&amp;date=2012-10-12&amp;p=.htm" TargetMode="External"/><Relationship Id="rId786" Type="http://schemas.openxmlformats.org/officeDocument/2006/relationships/hyperlink" Target="http://www.boxofficemojo.com/movies/?id=piranha3dd.htm" TargetMode="External"/><Relationship Id="rId787" Type="http://schemas.openxmlformats.org/officeDocument/2006/relationships/hyperlink" Target="http://www.boxofficemojo.com/studio/chart/?studio=wdimension.htm" TargetMode="External"/><Relationship Id="rId788" Type="http://schemas.openxmlformats.org/officeDocument/2006/relationships/hyperlink" Target="http://www.boxofficemojo.com/schedule/?view=bydate&amp;release=theatrical&amp;date=2012-06-01&amp;p=.htm" TargetMode="External"/><Relationship Id="rId789" Type="http://schemas.openxmlformats.org/officeDocument/2006/relationships/hyperlink" Target="http://www.boxofficemojo.com/movies/?id=oranges.htm" TargetMode="External"/><Relationship Id="rId390" Type="http://schemas.openxmlformats.org/officeDocument/2006/relationships/hyperlink" Target="http://www.boxofficemojo.com/movies/?id=annakarenina2012.htm" TargetMode="External"/><Relationship Id="rId391" Type="http://schemas.openxmlformats.org/officeDocument/2006/relationships/hyperlink" Target="http://www.boxofficemojo.com/studio/chart/?studio=focus.htm" TargetMode="External"/><Relationship Id="rId392" Type="http://schemas.openxmlformats.org/officeDocument/2006/relationships/hyperlink" Target="http://www.boxofficemojo.com/schedule/?view=bydate&amp;release=theatrical&amp;date=2012-11-16&amp;p=.htm" TargetMode="External"/><Relationship Id="rId393" Type="http://schemas.openxmlformats.org/officeDocument/2006/relationships/hyperlink" Target="http://www.boxofficemojo.com/movies/?id=beastsofthesouthernwild.htm" TargetMode="External"/><Relationship Id="rId394" Type="http://schemas.openxmlformats.org/officeDocument/2006/relationships/hyperlink" Target="http://www.boxofficemojo.com/studio/chart/?studio=foxsearchlight.htm" TargetMode="External"/><Relationship Id="rId395" Type="http://schemas.openxmlformats.org/officeDocument/2006/relationships/hyperlink" Target="http://www.boxofficemojo.com/schedule/?view=bydate&amp;release=theatrical&amp;date=2012-06-27&amp;p=.htm" TargetMode="External"/><Relationship Id="rId396" Type="http://schemas.openxmlformats.org/officeDocument/2006/relationships/hyperlink" Target="http://www.boxofficemojo.com/movies/?id=silenthouse.htm" TargetMode="External"/><Relationship Id="rId397" Type="http://schemas.openxmlformats.org/officeDocument/2006/relationships/hyperlink" Target="http://www.boxofficemojo.com/studio/chart/?studio=openroads.htm" TargetMode="External"/><Relationship Id="rId398" Type="http://schemas.openxmlformats.org/officeDocument/2006/relationships/hyperlink" Target="http://www.boxofficemojo.com/schedule/?view=bydate&amp;release=theatrical&amp;date=2012-03-09&amp;p=.htm" TargetMode="External"/><Relationship Id="rId399" Type="http://schemas.openxmlformats.org/officeDocument/2006/relationships/hyperlink" Target="http://www.boxofficemojo.com/movies/?id=cirquedusoleil.htm" TargetMode="External"/><Relationship Id="rId1242" Type="http://schemas.openxmlformats.org/officeDocument/2006/relationships/hyperlink" Target="http://www.boxofficemojo.com/movies/?id=paintedskin.htm" TargetMode="External"/><Relationship Id="rId1243" Type="http://schemas.openxmlformats.org/officeDocument/2006/relationships/hyperlink" Target="http://www.boxofficemojo.com/studio/chart/?studio=wellgo.htm" TargetMode="External"/><Relationship Id="rId1244" Type="http://schemas.openxmlformats.org/officeDocument/2006/relationships/hyperlink" Target="http://www.boxofficemojo.com/schedule/?view=bydate&amp;release=theatrical&amp;date=2012-08-17&amp;p=.htm" TargetMode="External"/><Relationship Id="rId1245" Type="http://schemas.openxmlformats.org/officeDocument/2006/relationships/hyperlink" Target="http://www.boxofficemojo.com/movies/?id=wakeinfright.htm" TargetMode="External"/><Relationship Id="rId1246" Type="http://schemas.openxmlformats.org/officeDocument/2006/relationships/hyperlink" Target="http://www.boxofficemojo.com/studio/chart/?studio=drafthousefilms.htm" TargetMode="External"/><Relationship Id="rId1247" Type="http://schemas.openxmlformats.org/officeDocument/2006/relationships/hyperlink" Target="http://www.boxofficemojo.com/schedule/?view=bydate&amp;release=theatrical&amp;date=2012-10-05&amp;p=.htm" TargetMode="External"/><Relationship Id="rId1248" Type="http://schemas.openxmlformats.org/officeDocument/2006/relationships/hyperlink" Target="http://www.boxofficemojo.com/movies/?id=fitzgerald.htm" TargetMode="External"/><Relationship Id="rId1249" Type="http://schemas.openxmlformats.org/officeDocument/2006/relationships/hyperlink" Target="http://www.boxofficemojo.com/studio/chart/?studio=tribecafilm.htm" TargetMode="External"/><Relationship Id="rId1640" Type="http://schemas.openxmlformats.org/officeDocument/2006/relationships/hyperlink" Target="http://www.boxofficemojo.com/schedule/?view=bydate&amp;release=theatrical&amp;date=2012-03-16&amp;p=.htm" TargetMode="External"/><Relationship Id="rId1641" Type="http://schemas.openxmlformats.org/officeDocument/2006/relationships/hyperlink" Target="http://www.boxofficemojo.com/movies/?id=dysfunctionalfriends.htm" TargetMode="External"/><Relationship Id="rId1642" Type="http://schemas.openxmlformats.org/officeDocument/2006/relationships/hyperlink" Target="http://www.boxofficemojo.com/studio/chart/?studio=datariturner.htm" TargetMode="External"/><Relationship Id="rId1643" Type="http://schemas.openxmlformats.org/officeDocument/2006/relationships/hyperlink" Target="http://www.boxofficemojo.com/schedule/?view=bydate&amp;release=theatrical&amp;date=2012-02-03&amp;p=.htm" TargetMode="External"/><Relationship Id="rId1644" Type="http://schemas.openxmlformats.org/officeDocument/2006/relationships/hyperlink" Target="http://www.boxofficemojo.com/movies/?id=citadel.htm" TargetMode="External"/><Relationship Id="rId1645" Type="http://schemas.openxmlformats.org/officeDocument/2006/relationships/hyperlink" Target="http://www.boxofficemojo.com/studio/chart/?studio=cinedigmentertainment.htm" TargetMode="External"/><Relationship Id="rId1646" Type="http://schemas.openxmlformats.org/officeDocument/2006/relationships/hyperlink" Target="http://www.boxofficemojo.com/schedule/?view=bydate&amp;release=theatrical&amp;date=2012-11-09&amp;p=.htm" TargetMode="External"/><Relationship Id="rId1647" Type="http://schemas.openxmlformats.org/officeDocument/2006/relationships/hyperlink" Target="http://www.boxofficemojo.com/movies/?id=troublewithbliss.htm" TargetMode="External"/><Relationship Id="rId1648" Type="http://schemas.openxmlformats.org/officeDocument/2006/relationships/hyperlink" Target="http://www.boxofficemojo.com/studio/chart/?studio=7aproductions.htm" TargetMode="External"/><Relationship Id="rId1649" Type="http://schemas.openxmlformats.org/officeDocument/2006/relationships/hyperlink" Target="http://www.boxofficemojo.com/schedule/?view=bydate&amp;release=theatrical&amp;date=2012-03-23&amp;p=.htm" TargetMode="External"/><Relationship Id="rId1250" Type="http://schemas.openxmlformats.org/officeDocument/2006/relationships/hyperlink" Target="http://www.boxofficemojo.com/schedule/?view=bydate&amp;release=theatrical&amp;date=2012-12-07&amp;p=.htm" TargetMode="External"/><Relationship Id="rId1251" Type="http://schemas.openxmlformats.org/officeDocument/2006/relationships/hyperlink" Target="http://www.boxofficemojo.com/movies/?id=allswellthatendswell.htm" TargetMode="External"/><Relationship Id="rId790" Type="http://schemas.openxmlformats.org/officeDocument/2006/relationships/hyperlink" Target="http://www.boxofficemojo.com/studio/chart/?studio=atopictures.htm" TargetMode="External"/><Relationship Id="rId791" Type="http://schemas.openxmlformats.org/officeDocument/2006/relationships/hyperlink" Target="http://www.boxofficemojo.com/schedule/?view=bydate&amp;release=theatrical&amp;date=2012-10-05&amp;p=.htm" TargetMode="External"/><Relationship Id="rId792" Type="http://schemas.openxmlformats.org/officeDocument/2006/relationships/hyperlink" Target="http://www.boxofficemojo.com/movies/?id=lady2011.htm" TargetMode="External"/><Relationship Id="rId793" Type="http://schemas.openxmlformats.org/officeDocument/2006/relationships/hyperlink" Target="http://www.boxofficemojo.com/studio/chart/?studio=cohenmedia.htm" TargetMode="External"/><Relationship Id="rId794" Type="http://schemas.openxmlformats.org/officeDocument/2006/relationships/hyperlink" Target="http://www.boxofficemojo.com/schedule/?view=bydate&amp;release=theatrical&amp;date=2012-04-13&amp;p=.htm" TargetMode="External"/><Relationship Id="rId795" Type="http://schemas.openxmlformats.org/officeDocument/2006/relationships/hyperlink" Target="http://www.boxofficemojo.com/movies/?id=branded.htm" TargetMode="External"/><Relationship Id="rId796" Type="http://schemas.openxmlformats.org/officeDocument/2006/relationships/hyperlink" Target="http://www.boxofficemojo.com/studio/chart/?studio=roadsideattractions.htm" TargetMode="External"/><Relationship Id="rId797" Type="http://schemas.openxmlformats.org/officeDocument/2006/relationships/hyperlink" Target="http://www.boxofficemojo.com/schedule/?view=bydate&amp;release=theatrical&amp;date=2012-09-07&amp;p=.htm" TargetMode="External"/><Relationship Id="rId798" Type="http://schemas.openxmlformats.org/officeDocument/2006/relationships/hyperlink" Target="http://www.boxofficemojo.com/movies/?id=chicoandrita.htm" TargetMode="External"/><Relationship Id="rId799" Type="http://schemas.openxmlformats.org/officeDocument/2006/relationships/hyperlink" Target="http://www.boxofficemojo.com/studio/chart/?studio=gkids.htm" TargetMode="External"/><Relationship Id="rId1252" Type="http://schemas.openxmlformats.org/officeDocument/2006/relationships/hyperlink" Target="http://www.boxofficemojo.com/studio/chart/?studio=chinalion.htm" TargetMode="External"/><Relationship Id="rId1253" Type="http://schemas.openxmlformats.org/officeDocument/2006/relationships/hyperlink" Target="http://www.boxofficemojo.com/schedule/?view=bydate&amp;release=theatrical&amp;date=2012-01-27&amp;p=.htm" TargetMode="External"/><Relationship Id="rId1254" Type="http://schemas.openxmlformats.org/officeDocument/2006/relationships/hyperlink" Target="http://www.boxofficemojo.com/movies/?id=warofthebuttons2012.htm" TargetMode="External"/><Relationship Id="rId1255" Type="http://schemas.openxmlformats.org/officeDocument/2006/relationships/hyperlink" Target="http://www.boxofficemojo.com/studio/chart/?studio=weinsteincompany.htm" TargetMode="External"/><Relationship Id="rId1256" Type="http://schemas.openxmlformats.org/officeDocument/2006/relationships/hyperlink" Target="http://www.boxofficemojo.com/schedule/?view=bydate&amp;release=theatrical&amp;date=2012-10-12&amp;p=.htm" TargetMode="External"/><Relationship Id="rId1257" Type="http://schemas.openxmlformats.org/officeDocument/2006/relationships/hyperlink" Target="http://www.boxofficemojo.com/movies/?id=singyoursong.htm" TargetMode="External"/><Relationship Id="rId1258" Type="http://schemas.openxmlformats.org/officeDocument/2006/relationships/hyperlink" Target="http://www.boxofficemojo.com/studio/chart/?studio=s2bnfilms.htm" TargetMode="External"/><Relationship Id="rId1259" Type="http://schemas.openxmlformats.org/officeDocument/2006/relationships/hyperlink" Target="http://www.boxofficemojo.com/schedule/?view=bydate&amp;release=theatrical&amp;date=2012-01-13&amp;p=.htm" TargetMode="External"/><Relationship Id="rId1650" Type="http://schemas.openxmlformats.org/officeDocument/2006/relationships/hyperlink" Target="http://www.boxofficemojo.com/movies/?id=nothingbutaman2012.htm" TargetMode="External"/><Relationship Id="rId1651" Type="http://schemas.openxmlformats.org/officeDocument/2006/relationships/hyperlink" Target="http://www.boxofficemojo.com/studio/chart/?studio=apdcinema.htm" TargetMode="External"/><Relationship Id="rId1652" Type="http://schemas.openxmlformats.org/officeDocument/2006/relationships/hyperlink" Target="http://www.boxofficemojo.com/schedule/?view=bydate&amp;release=theatrical&amp;date=2012-11-09&amp;p=.htm" TargetMode="External"/><Relationship Id="rId1653" Type="http://schemas.openxmlformats.org/officeDocument/2006/relationships/hyperlink" Target="http://www.boxofficemojo.com/movies/?id=mrfoster.htm" TargetMode="External"/><Relationship Id="rId1654" Type="http://schemas.openxmlformats.org/officeDocument/2006/relationships/hyperlink" Target="http://www.boxofficemojo.com/studio/chart/?studio=firstrun.htm" TargetMode="External"/><Relationship Id="rId1655" Type="http://schemas.openxmlformats.org/officeDocument/2006/relationships/hyperlink" Target="http://www.boxofficemojo.com/schedule/?view=bydate&amp;release=theatrical&amp;date=2012-01-25&amp;p=.htm" TargetMode="External"/><Relationship Id="rId1656" Type="http://schemas.openxmlformats.org/officeDocument/2006/relationships/hyperlink" Target="http://www.boxofficemojo.com/movies/?id=norwegianwood.htm" TargetMode="External"/><Relationship Id="rId1657" Type="http://schemas.openxmlformats.org/officeDocument/2006/relationships/hyperlink" Target="http://www.boxofficemojo.com/studio/chart/?studio=redflag.htm" TargetMode="External"/><Relationship Id="rId1658" Type="http://schemas.openxmlformats.org/officeDocument/2006/relationships/hyperlink" Target="http://www.boxofficemojo.com/schedule/?view=bydate&amp;release=theatrical&amp;date=2012-01-06&amp;p=.htm" TargetMode="External"/><Relationship Id="rId1659" Type="http://schemas.openxmlformats.org/officeDocument/2006/relationships/hyperlink" Target="http://www.boxofficemojo.com/movies/?id=virginia.htm" TargetMode="External"/><Relationship Id="rId1260" Type="http://schemas.openxmlformats.org/officeDocument/2006/relationships/hyperlink" Target="http://www.boxofficemojo.com/movies/?id=stepuptotheplate.htm" TargetMode="External"/><Relationship Id="rId1261" Type="http://schemas.openxmlformats.org/officeDocument/2006/relationships/hyperlink" Target="http://www.boxofficemojo.com/studio/chart/?studio=cinemaguild.htm" TargetMode="External"/><Relationship Id="rId1262" Type="http://schemas.openxmlformats.org/officeDocument/2006/relationships/hyperlink" Target="http://www.boxofficemojo.com/schedule/?view=bydate&amp;release=theatrical&amp;date=2012-09-14&amp;p=.htm" TargetMode="External"/><Relationship Id="rId1263" Type="http://schemas.openxmlformats.org/officeDocument/2006/relationships/hyperlink" Target="http://www.boxofficemojo.com/movies/?id=pelotero.htm" TargetMode="External"/><Relationship Id="rId1264" Type="http://schemas.openxmlformats.org/officeDocument/2006/relationships/hyperlink" Target="http://www.boxofficemojo.com/studio/chart/?studio=strand.htm" TargetMode="External"/><Relationship Id="rId1265" Type="http://schemas.openxmlformats.org/officeDocument/2006/relationships/hyperlink" Target="http://www.boxofficemojo.com/schedule/?view=bydate&amp;release=theatrical&amp;date=2012-07-13&amp;p=.htm" TargetMode="External"/><Relationship Id="rId1266" Type="http://schemas.openxmlformats.org/officeDocument/2006/relationships/hyperlink" Target="http://www.boxofficemojo.com/movies/?id=pruittigoemyth.htm" TargetMode="External"/><Relationship Id="rId1267" Type="http://schemas.openxmlformats.org/officeDocument/2006/relationships/hyperlink" Target="http://www.boxofficemojo.com/studio/chart/?studio=firstrun.htm" TargetMode="External"/><Relationship Id="rId1268" Type="http://schemas.openxmlformats.org/officeDocument/2006/relationships/hyperlink" Target="http://www.boxofficemojo.com/schedule/?view=bydate&amp;release=theatrical&amp;date=2012-01-20&amp;p=.htm" TargetMode="External"/><Relationship Id="rId1269" Type="http://schemas.openxmlformats.org/officeDocument/2006/relationships/hyperlink" Target="http://www.boxofficemojo.com/movies/?id=unionsquare.htm" TargetMode="External"/><Relationship Id="rId400" Type="http://schemas.openxmlformats.org/officeDocument/2006/relationships/hyperlink" Target="http://www.boxofficemojo.com/studio/chart/?studio=paramount.htm" TargetMode="External"/><Relationship Id="rId401" Type="http://schemas.openxmlformats.org/officeDocument/2006/relationships/hyperlink" Target="http://www.boxofficemojo.com/schedule/?view=bydate&amp;release=theatrical&amp;date=2012-12-21&amp;p=.htm" TargetMode="External"/><Relationship Id="rId402" Type="http://schemas.openxmlformats.org/officeDocument/2006/relationships/hyperlink" Target="http://www.boxofficemojo.com/movies/?id=peoplelikeus.htm" TargetMode="External"/><Relationship Id="rId403" Type="http://schemas.openxmlformats.org/officeDocument/2006/relationships/hyperlink" Target="http://www.boxofficemojo.com/studio/chart/?studio=buenavista.htm" TargetMode="External"/><Relationship Id="rId404" Type="http://schemas.openxmlformats.org/officeDocument/2006/relationships/hyperlink" Target="http://www.boxofficemojo.com/schedule/?view=bydate&amp;release=theatrical&amp;date=2012-06-29&amp;p=.htm" TargetMode="External"/><Relationship Id="rId405" Type="http://schemas.openxmlformats.org/officeDocument/2006/relationships/hyperlink" Target="http://www.boxofficemojo.com/movies/?id=gone.htm" TargetMode="External"/><Relationship Id="rId406" Type="http://schemas.openxmlformats.org/officeDocument/2006/relationships/hyperlink" Target="http://www.boxofficemojo.com/studio/chart/?studio=lionsgatesummit.htm" TargetMode="External"/><Relationship Id="rId407" Type="http://schemas.openxmlformats.org/officeDocument/2006/relationships/hyperlink" Target="http://www.boxofficemojo.com/schedule/?view=bydate&amp;release=theatrical&amp;date=2012-02-24&amp;p=.htm" TargetMode="External"/><Relationship Id="rId408" Type="http://schemas.openxmlformats.org/officeDocument/2006/relationships/hyperlink" Target="http://www.boxofficemojo.com/movies/?id=words2012.htm" TargetMode="External"/><Relationship Id="rId409" Type="http://schemas.openxmlformats.org/officeDocument/2006/relationships/hyperlink" Target="http://www.boxofficemojo.com/studio/chart/?studio=cbsfilms.htm" TargetMode="External"/><Relationship Id="rId1660" Type="http://schemas.openxmlformats.org/officeDocument/2006/relationships/hyperlink" Target="http://www.boxofficemojo.com/studio/chart/?studio=entertainmentone.htm" TargetMode="External"/><Relationship Id="rId1661" Type="http://schemas.openxmlformats.org/officeDocument/2006/relationships/hyperlink" Target="http://www.boxofficemojo.com/schedule/?view=bydate&amp;release=theatrical&amp;date=2012-05-18&amp;p=.htm" TargetMode="External"/><Relationship Id="rId1662" Type="http://schemas.openxmlformats.org/officeDocument/2006/relationships/hyperlink" Target="http://www.boxofficemojo.com/movies/?id=aroundjune.htm" TargetMode="External"/><Relationship Id="rId1663" Type="http://schemas.openxmlformats.org/officeDocument/2006/relationships/hyperlink" Target="http://www.boxofficemojo.com/studio/chart/?studio=indican.htm" TargetMode="External"/><Relationship Id="rId1664" Type="http://schemas.openxmlformats.org/officeDocument/2006/relationships/hyperlink" Target="http://www.boxofficemojo.com/schedule/?view=bydate&amp;release=theatrical&amp;date=2012-02-24&amp;p=.htm" TargetMode="External"/><Relationship Id="rId1665" Type="http://schemas.openxmlformats.org/officeDocument/2006/relationships/hyperlink" Target="http://www.boxofficemojo.com/movies/?id=forellen.htm" TargetMode="External"/><Relationship Id="rId1666" Type="http://schemas.openxmlformats.org/officeDocument/2006/relationships/hyperlink" Target="http://www.boxofficemojo.com/studio/chart/?studio=tribecafilm.htm" TargetMode="External"/><Relationship Id="rId1667" Type="http://schemas.openxmlformats.org/officeDocument/2006/relationships/hyperlink" Target="http://www.boxofficemojo.com/schedule/?view=bydate&amp;release=theatrical&amp;date=2012-09-05&amp;p=.htm" TargetMode="External"/><Relationship Id="rId1668" Type="http://schemas.openxmlformats.org/officeDocument/2006/relationships/hyperlink" Target="http://www.boxofficemojo.com/movies/?id=grassroots.htm" TargetMode="External"/><Relationship Id="rId1669" Type="http://schemas.openxmlformats.org/officeDocument/2006/relationships/hyperlink" Target="http://www.boxofficemojo.com/studio/chart/?studio=samuelgoldwyn.htm" TargetMode="External"/><Relationship Id="rId1270" Type="http://schemas.openxmlformats.org/officeDocument/2006/relationships/hyperlink" Target="http://www.boxofficemojo.com/studio/chart/?studio=dada.htm" TargetMode="External"/><Relationship Id="rId1271" Type="http://schemas.openxmlformats.org/officeDocument/2006/relationships/hyperlink" Target="http://www.boxofficemojo.com/schedule/?view=bydate&amp;release=theatrical&amp;date=2012-07-13&amp;p=.htm" TargetMode="External"/><Relationship Id="rId1272" Type="http://schemas.openxmlformats.org/officeDocument/2006/relationships/hyperlink" Target="http://www.boxofficemojo.com/movies/?id=doubletrouble.htm" TargetMode="External"/><Relationship Id="rId1273" Type="http://schemas.openxmlformats.org/officeDocument/2006/relationships/hyperlink" Target="http://www.boxofficemojo.com/studio/chart/?studio=chinalion.htm" TargetMode="External"/><Relationship Id="rId1274" Type="http://schemas.openxmlformats.org/officeDocument/2006/relationships/hyperlink" Target="http://www.boxofficemojo.com/schedule/?view=bydate&amp;release=theatrical&amp;date=2012-06-08&amp;p=.htm" TargetMode="External"/><Relationship Id="rId1275" Type="http://schemas.openxmlformats.org/officeDocument/2006/relationships/hyperlink" Target="http://www.boxofficemojo.com/movies/?id=oc87.htm" TargetMode="External"/><Relationship Id="rId1276" Type="http://schemas.openxmlformats.org/officeDocument/2006/relationships/hyperlink" Target="http://www.boxofficemojo.com/studio/chart/?studio=fisherklingenstein.htm" TargetMode="External"/><Relationship Id="rId1277" Type="http://schemas.openxmlformats.org/officeDocument/2006/relationships/hyperlink" Target="http://www.boxofficemojo.com/schedule/?view=bydate&amp;release=theatrical&amp;date=2012-05-25&amp;p=.htm" TargetMode="External"/><Relationship Id="rId1278" Type="http://schemas.openxmlformats.org/officeDocument/2006/relationships/hyperlink" Target="http://www.boxofficemojo.com/movies/?id=graduate2012.htm" TargetMode="External"/><Relationship Id="rId1279" Type="http://schemas.openxmlformats.org/officeDocument/2006/relationships/hyperlink" Target="http://www.boxofficemojo.com/studio/chart/?studio=rialto.htm" TargetMode="External"/><Relationship Id="rId800" Type="http://schemas.openxmlformats.org/officeDocument/2006/relationships/hyperlink" Target="http://www.boxofficemojo.com/schedule/?view=bydate&amp;release=theatrical&amp;date=2012-02-10&amp;p=.htm" TargetMode="External"/><Relationship Id="rId801" Type="http://schemas.openxmlformats.org/officeDocument/2006/relationships/hyperlink" Target="http://www.boxofficemojo.com/movies/?id=werewolfboy.htm" TargetMode="External"/><Relationship Id="rId802" Type="http://schemas.openxmlformats.org/officeDocument/2006/relationships/hyperlink" Target="http://www.boxofficemojo.com/studio/chart/?studio=cjentertainment.htm" TargetMode="External"/><Relationship Id="rId803" Type="http://schemas.openxmlformats.org/officeDocument/2006/relationships/hyperlink" Target="http://www.boxofficemojo.com/schedule/?view=bydate&amp;release=theatrical&amp;date=2012-11-30&amp;p=.htm" TargetMode="External"/><Relationship Id="rId410" Type="http://schemas.openxmlformats.org/officeDocument/2006/relationships/hyperlink" Target="http://www.boxofficemojo.com/schedule/?view=bydate&amp;release=theatrical&amp;date=2012-09-07&amp;p=.htm" TargetMode="External"/><Relationship Id="rId411" Type="http://schemas.openxmlformats.org/officeDocument/2006/relationships/hyperlink" Target="http://www.boxofficemojo.com/movies/?id=intouchables.htm" TargetMode="External"/><Relationship Id="rId412" Type="http://schemas.openxmlformats.org/officeDocument/2006/relationships/hyperlink" Target="http://www.boxofficemojo.com/studio/chart/?studio=weinsteincompany.htm" TargetMode="External"/><Relationship Id="rId413" Type="http://schemas.openxmlformats.org/officeDocument/2006/relationships/hyperlink" Target="http://www.boxofficemojo.com/schedule/?view=bydate&amp;release=theatrical&amp;date=2012-05-25&amp;p=.htm" TargetMode="External"/><Relationship Id="rId414" Type="http://schemas.openxmlformats.org/officeDocument/2006/relationships/hyperlink" Target="http://www.boxofficemojo.com/movies/?id=funsize.htm" TargetMode="External"/><Relationship Id="rId415" Type="http://schemas.openxmlformats.org/officeDocument/2006/relationships/hyperlink" Target="http://www.boxofficemojo.com/studio/chart/?studio=paramount.htm" TargetMode="External"/><Relationship Id="rId416" Type="http://schemas.openxmlformats.org/officeDocument/2006/relationships/hyperlink" Target="http://www.boxofficemojo.com/schedule/?view=bydate&amp;release=theatrical&amp;date=2012-10-26&amp;p=.htm" TargetMode="External"/><Relationship Id="rId417" Type="http://schemas.openxmlformats.org/officeDocument/2006/relationships/hyperlink" Target="http://www.boxofficemojo.com/movies/?id=bernie.htm" TargetMode="External"/><Relationship Id="rId418" Type="http://schemas.openxmlformats.org/officeDocument/2006/relationships/hyperlink" Target="http://www.boxofficemojo.com/studio/chart/?studio=millenniumentertainment.htm" TargetMode="External"/><Relationship Id="rId419" Type="http://schemas.openxmlformats.org/officeDocument/2006/relationships/hyperlink" Target="http://www.boxofficemojo.com/schedule/?view=bydate&amp;release=theatrical&amp;date=2012-04-27&amp;p=.htm" TargetMode="External"/><Relationship Id="rId804" Type="http://schemas.openxmlformats.org/officeDocument/2006/relationships/hyperlink" Target="http://www.boxofficemojo.com/movies/?id=redhooksummer.htm" TargetMode="External"/><Relationship Id="rId805" Type="http://schemas.openxmlformats.org/officeDocument/2006/relationships/hyperlink" Target="http://www.boxofficemojo.com/studio/chart/?studio=variancefilms.htm" TargetMode="External"/><Relationship Id="rId806" Type="http://schemas.openxmlformats.org/officeDocument/2006/relationships/hyperlink" Target="http://www.boxofficemojo.com/schedule/?view=bydate&amp;release=theatrical&amp;date=2012-08-10&amp;p=.htm" TargetMode="External"/><Relationship Id="rId807" Type="http://schemas.openxmlformats.org/officeDocument/2006/relationships/hyperlink" Target="http://www.boxofficemojo.com/movies/?id=liberalarts.htm" TargetMode="External"/><Relationship Id="rId808" Type="http://schemas.openxmlformats.org/officeDocument/2006/relationships/hyperlink" Target="http://www.boxofficemojo.com/studio/chart/?studio=ifc.htm" TargetMode="External"/><Relationship Id="rId809" Type="http://schemas.openxmlformats.org/officeDocument/2006/relationships/hyperlink" Target="http://www.boxofficemojo.com/schedule/?view=bydate&amp;release=theatrical&amp;date=2012-09-14&amp;p=.htm" TargetMode="External"/><Relationship Id="rId1670" Type="http://schemas.openxmlformats.org/officeDocument/2006/relationships/hyperlink" Target="http://www.boxofficemojo.com/schedule/?view=bydate&amp;release=theatrical&amp;date=2012-06-22&amp;p=.htm" TargetMode="External"/><Relationship Id="rId1671" Type="http://schemas.openxmlformats.org/officeDocument/2006/relationships/hyperlink" Target="http://www.boxofficemojo.com/movies/?id=lostangels2012.htm" TargetMode="External"/><Relationship Id="rId1672" Type="http://schemas.openxmlformats.org/officeDocument/2006/relationships/hyperlink" Target="http://www.boxofficemojo.com/studio/chart/?studio=cls.htm" TargetMode="External"/><Relationship Id="rId1673" Type="http://schemas.openxmlformats.org/officeDocument/2006/relationships/hyperlink" Target="http://www.boxofficemojo.com/schedule/?view=bydate&amp;release=theatrical&amp;date=2012-12-07&amp;p=.htm" TargetMode="External"/><Relationship Id="rId1280" Type="http://schemas.openxmlformats.org/officeDocument/2006/relationships/hyperlink" Target="http://www.boxofficemojo.com/schedule/?view=bydate&amp;release=theatrical&amp;date=2012-04-11&amp;p=.htm" TargetMode="External"/><Relationship Id="rId1281" Type="http://schemas.openxmlformats.org/officeDocument/2006/relationships/hyperlink" Target="http://www.boxofficemojo.com/movies/?id=alltogether.htm" TargetMode="External"/><Relationship Id="rId1282" Type="http://schemas.openxmlformats.org/officeDocument/2006/relationships/hyperlink" Target="http://www.boxofficemojo.com/studio/chart/?studio=kinolorber.htm" TargetMode="External"/><Relationship Id="rId1283" Type="http://schemas.openxmlformats.org/officeDocument/2006/relationships/hyperlink" Target="http://www.boxofficemojo.com/schedule/?view=bydate&amp;release=theatrical&amp;date=2012-10-19&amp;p=.htm" TargetMode="External"/><Relationship Id="rId1284" Type="http://schemas.openxmlformats.org/officeDocument/2006/relationships/hyperlink" Target="http://www.boxofficemojo.com/movies/?id=nobodyelsebutyou.htm" TargetMode="External"/><Relationship Id="rId1285" Type="http://schemas.openxmlformats.org/officeDocument/2006/relationships/hyperlink" Target="http://www.boxofficemojo.com/studio/chart/?studio=firstrun.htm" TargetMode="External"/><Relationship Id="rId1286" Type="http://schemas.openxmlformats.org/officeDocument/2006/relationships/hyperlink" Target="http://www.boxofficemojo.com/schedule/?view=bydate&amp;release=theatrical&amp;date=2012-05-11&amp;p=.htm" TargetMode="External"/><Relationship Id="rId1287" Type="http://schemas.openxmlformats.org/officeDocument/2006/relationships/hyperlink" Target="http://www.boxofficemojo.com/movies/?id=lastcallattheoasis.htm" TargetMode="External"/><Relationship Id="rId1288" Type="http://schemas.openxmlformats.org/officeDocument/2006/relationships/hyperlink" Target="http://www.boxofficemojo.com/studio/chart/?studio=atopictures.htm" TargetMode="External"/><Relationship Id="rId1289" Type="http://schemas.openxmlformats.org/officeDocument/2006/relationships/hyperlink" Target="http://www.boxofficemojo.com/schedule/?view=bydate&amp;release=theatrical&amp;date=2012-05-04&amp;p=.htm" TargetMode="External"/><Relationship Id="rId1674" Type="http://schemas.openxmlformats.org/officeDocument/2006/relationships/hyperlink" Target="http://www.boxofficemojo.com/movies/?id=ultrasuede.htm" TargetMode="External"/><Relationship Id="rId1675" Type="http://schemas.openxmlformats.org/officeDocument/2006/relationships/hyperlink" Target="http://www.boxofficemojo.com/studio/chart/?studio=tribecafilm.htm" TargetMode="External"/><Relationship Id="rId1676" Type="http://schemas.openxmlformats.org/officeDocument/2006/relationships/hyperlink" Target="http://www.boxofficemojo.com/schedule/?view=bydate&amp;release=theatrical&amp;date=2012-01-20&amp;p=.htm" TargetMode="External"/><Relationship Id="rId1677" Type="http://schemas.openxmlformats.org/officeDocument/2006/relationships/hyperlink" Target="http://www.boxofficemojo.com/movies/?id=nowforager.htm" TargetMode="External"/><Relationship Id="rId1678" Type="http://schemas.openxmlformats.org/officeDocument/2006/relationships/hyperlink" Target="http://www.boxofficemojo.com/studio/chart/?studio=argotpictures.htm" TargetMode="External"/><Relationship Id="rId1679" Type="http://schemas.openxmlformats.org/officeDocument/2006/relationships/hyperlink" Target="http://www.boxofficemojo.com/schedule/?view=bydate&amp;release=theatrical&amp;date=2012-10-03&amp;p=.htm" TargetMode="External"/><Relationship Id="rId810" Type="http://schemas.openxmlformats.org/officeDocument/2006/relationships/hyperlink" Target="http://www.boxofficemojo.com/movies/?id=centralparkfive.htm" TargetMode="External"/><Relationship Id="rId811" Type="http://schemas.openxmlformats.org/officeDocument/2006/relationships/hyperlink" Target="http://www.boxofficemojo.com/studio/chart/?studio=ifc.htm" TargetMode="External"/><Relationship Id="rId812" Type="http://schemas.openxmlformats.org/officeDocument/2006/relationships/hyperlink" Target="http://www.boxofficemojo.com/schedule/?view=bydate&amp;release=theatrical&amp;date=2012-11-23&amp;p=.htm" TargetMode="External"/><Relationship Id="rId813" Type="http://schemas.openxmlformats.org/officeDocument/2006/relationships/hyperlink" Target="http://www.boxofficemojo.com/movies/?id=compliance.htm" TargetMode="External"/><Relationship Id="rId420" Type="http://schemas.openxmlformats.org/officeDocument/2006/relationships/hyperlink" Target="http://www.boxofficemojo.com/movies/?id=salmonfishing.htm" TargetMode="External"/><Relationship Id="rId421" Type="http://schemas.openxmlformats.org/officeDocument/2006/relationships/hyperlink" Target="http://www.boxofficemojo.com/studio/chart/?studio=cbsfilms.htm" TargetMode="External"/><Relationship Id="rId422" Type="http://schemas.openxmlformats.org/officeDocument/2006/relationships/hyperlink" Target="http://www.boxofficemojo.com/schedule/?view=bydate&amp;release=theatrical&amp;date=2012-03-09&amp;p=.htm" TargetMode="External"/><Relationship Id="rId423" Type="http://schemas.openxmlformats.org/officeDocument/2006/relationships/hyperlink" Target="http://www.boxofficemojo.com/movies/?id=arbitrage.htm" TargetMode="External"/><Relationship Id="rId424" Type="http://schemas.openxmlformats.org/officeDocument/2006/relationships/hyperlink" Target="http://www.boxofficemojo.com/studio/chart/?studio=roadsideattractions.htm" TargetMode="External"/><Relationship Id="rId425" Type="http://schemas.openxmlformats.org/officeDocument/2006/relationships/hyperlink" Target="http://www.boxofficemojo.com/schedule/?view=bydate&amp;release=theatrical&amp;date=2012-09-14&amp;p=.htm" TargetMode="External"/><Relationship Id="rId426" Type="http://schemas.openxmlformats.org/officeDocument/2006/relationships/hyperlink" Target="http://www.boxofficemojo.com/movies/?id=promisedland2012.htm" TargetMode="External"/><Relationship Id="rId427" Type="http://schemas.openxmlformats.org/officeDocument/2006/relationships/hyperlink" Target="http://www.boxofficemojo.com/studio/chart/?studio=focus.htm" TargetMode="External"/><Relationship Id="rId428" Type="http://schemas.openxmlformats.org/officeDocument/2006/relationships/hyperlink" Target="http://www.boxofficemojo.com/schedule/?view=bydate&amp;release=theatrical&amp;date=2012-12-28&amp;p=.htm" TargetMode="External"/><Relationship Id="rId429" Type="http://schemas.openxmlformats.org/officeDocument/2006/relationships/hyperlink" Target="http://www.boxofficemojo.com/movies/?id=friendswithkids.htm" TargetMode="External"/><Relationship Id="rId814" Type="http://schemas.openxmlformats.org/officeDocument/2006/relationships/hyperlink" Target="http://www.boxofficemojo.com/studio/chart/?studio=magnolia.htm" TargetMode="External"/><Relationship Id="rId815" Type="http://schemas.openxmlformats.org/officeDocument/2006/relationships/hyperlink" Target="http://www.boxofficemojo.com/schedule/?view=bydate&amp;release=theatrical&amp;date=2012-08-17&amp;p=.htm" TargetMode="External"/><Relationship Id="rId816" Type="http://schemas.openxmlformats.org/officeDocument/2006/relationships/hyperlink" Target="http://www.boxofficemojo.com/movies/?id=saltoflife.htm" TargetMode="External"/><Relationship Id="rId817" Type="http://schemas.openxmlformats.org/officeDocument/2006/relationships/hyperlink" Target="http://www.boxofficemojo.com/studio/chart/?studio=zeitgeist.htm" TargetMode="External"/><Relationship Id="rId818" Type="http://schemas.openxmlformats.org/officeDocument/2006/relationships/hyperlink" Target="http://www.boxofficemojo.com/schedule/?view=bydate&amp;release=theatrical&amp;date=2012-03-02&amp;p=.htm" TargetMode="External"/><Relationship Id="rId819" Type="http://schemas.openxmlformats.org/officeDocument/2006/relationships/hyperlink" Target="http://www.boxofficemojo.com/movies/?id=backto1942.htm" TargetMode="External"/><Relationship Id="rId1680" Type="http://schemas.openxmlformats.org/officeDocument/2006/relationships/hyperlink" Target="http://www.boxofficemojo.com/movies/?id=dragon2012.htm" TargetMode="External"/><Relationship Id="rId1681" Type="http://schemas.openxmlformats.org/officeDocument/2006/relationships/hyperlink" Target="http://www.boxofficemojo.com/studio/chart/?studio=radiustwc.htm" TargetMode="External"/><Relationship Id="rId1682" Type="http://schemas.openxmlformats.org/officeDocument/2006/relationships/hyperlink" Target="http://www.boxofficemojo.com/schedule/?view=bydate&amp;release=theatrical&amp;date=2012-11-30&amp;p=.htm" TargetMode="External"/><Relationship Id="rId1683" Type="http://schemas.openxmlformats.org/officeDocument/2006/relationships/hyperlink" Target="http://www.boxofficemojo.com/movies/?id=frontline.htm" TargetMode="External"/><Relationship Id="rId1290" Type="http://schemas.openxmlformats.org/officeDocument/2006/relationships/hyperlink" Target="http://www.boxofficemojo.com/movies/?id=fixingthefuture.htm" TargetMode="External"/><Relationship Id="rId1291" Type="http://schemas.openxmlformats.org/officeDocument/2006/relationships/hyperlink" Target="http://www.boxofficemojo.com/studio/chart/?studio=area23a.htm" TargetMode="External"/><Relationship Id="rId1292" Type="http://schemas.openxmlformats.org/officeDocument/2006/relationships/hyperlink" Target="http://www.boxofficemojo.com/schedule/?view=bydate&amp;release=theatrical&amp;date=2012-07-18&amp;p=.htm" TargetMode="External"/><Relationship Id="rId1293" Type="http://schemas.openxmlformats.org/officeDocument/2006/relationships/hyperlink" Target="http://www.boxofficemojo.com/movies/?id=fatkidrulestheworld.htm" TargetMode="External"/><Relationship Id="rId1294" Type="http://schemas.openxmlformats.org/officeDocument/2006/relationships/hyperlink" Target="http://www.boxofficemojo.com/studio/chart/?studio=outsiderfilms.htm" TargetMode="External"/><Relationship Id="rId1295" Type="http://schemas.openxmlformats.org/officeDocument/2006/relationships/hyperlink" Target="http://www.boxofficemojo.com/schedule/?view=bydate&amp;release=theatrical&amp;date=2012-10-05&amp;p=.htm" TargetMode="External"/><Relationship Id="rId1296" Type="http://schemas.openxmlformats.org/officeDocument/2006/relationships/hyperlink" Target="http://www.boxofficemojo.com/movies/?id=comedy.htm" TargetMode="External"/><Relationship Id="rId1297" Type="http://schemas.openxmlformats.org/officeDocument/2006/relationships/hyperlink" Target="http://www.boxofficemojo.com/studio/chart/?studio=tribecafilm.htm" TargetMode="External"/><Relationship Id="rId1298" Type="http://schemas.openxmlformats.org/officeDocument/2006/relationships/hyperlink" Target="http://www.boxofficemojo.com/schedule/?view=bydate&amp;release=theatrical&amp;date=2012-11-09&amp;p=.htm" TargetMode="External"/><Relationship Id="rId1299" Type="http://schemas.openxmlformats.org/officeDocument/2006/relationships/hyperlink" Target="http://www.boxofficemojo.com/movies/?id=fp.htm" TargetMode="External"/><Relationship Id="rId1684" Type="http://schemas.openxmlformats.org/officeDocument/2006/relationships/hyperlink" Target="http://www.boxofficemojo.com/studio/chart/?studio=wellgo.htm" TargetMode="External"/><Relationship Id="rId1685" Type="http://schemas.openxmlformats.org/officeDocument/2006/relationships/hyperlink" Target="http://www.boxofficemojo.com/schedule/?view=bydate&amp;release=theatrical&amp;date=2012-01-20&amp;p=.htm" TargetMode="External"/><Relationship Id="rId1686" Type="http://schemas.openxmlformats.org/officeDocument/2006/relationships/hyperlink" Target="http://www.boxofficemojo.com/movies/?id=talesofthenight.htm" TargetMode="External"/><Relationship Id="rId1687" Type="http://schemas.openxmlformats.org/officeDocument/2006/relationships/hyperlink" Target="http://www.boxofficemojo.com/studio/chart/?studio=gkids.htm" TargetMode="External"/><Relationship Id="rId1688" Type="http://schemas.openxmlformats.org/officeDocument/2006/relationships/hyperlink" Target="http://www.boxofficemojo.com/schedule/?view=bydate&amp;release=theatrical&amp;date=2012-09-26&amp;p=.htm" TargetMode="External"/><Relationship Id="rId1689" Type="http://schemas.openxmlformats.org/officeDocument/2006/relationships/hyperlink" Target="http://www.boxofficemojo.com/movies/?id=wallander.htm" TargetMode="External"/><Relationship Id="rId820" Type="http://schemas.openxmlformats.org/officeDocument/2006/relationships/hyperlink" Target="http://www.boxofficemojo.com/studio/chart/?studio=chinalion.htm" TargetMode="External"/><Relationship Id="rId821" Type="http://schemas.openxmlformats.org/officeDocument/2006/relationships/hyperlink" Target="http://www.boxofficemojo.com/schedule/?view=bydate&amp;release=theatrical&amp;date=2012-11-30&amp;p=.htm" TargetMode="External"/><Relationship Id="rId822" Type="http://schemas.openxmlformats.org/officeDocument/2006/relationships/hyperlink" Target="http://www.boxofficemojo.com/movies/?id=flowersofwar.htm" TargetMode="External"/><Relationship Id="rId823" Type="http://schemas.openxmlformats.org/officeDocument/2006/relationships/hyperlink" Target="http://www.boxofficemojo.com/studio/chart/?studio=wreckinhill.htm" TargetMode="External"/><Relationship Id="rId430" Type="http://schemas.openxmlformats.org/officeDocument/2006/relationships/hyperlink" Target="http://www.boxofficemojo.com/studio/chart/?studio=roadsideattractions.htm" TargetMode="External"/><Relationship Id="rId431" Type="http://schemas.openxmlformats.org/officeDocument/2006/relationships/hyperlink" Target="http://www.boxofficemojo.com/schedule/?view=bydate&amp;release=theatrical&amp;date=2012-03-09&amp;p=.htm" TargetMode="External"/><Relationship Id="rId432" Type="http://schemas.openxmlformats.org/officeDocument/2006/relationships/hyperlink" Target="http://www.boxofficemojo.com/movies/?id=seekingafriend.htm" TargetMode="External"/><Relationship Id="rId433" Type="http://schemas.openxmlformats.org/officeDocument/2006/relationships/hyperlink" Target="http://www.boxofficemojo.com/studio/chart/?studio=focus.htm" TargetMode="External"/><Relationship Id="rId434" Type="http://schemas.openxmlformats.org/officeDocument/2006/relationships/hyperlink" Target="http://www.boxofficemojo.com/schedule/?view=bydate&amp;release=theatrical&amp;date=2012-06-22&amp;p=.htm" TargetMode="External"/><Relationship Id="rId435" Type="http://schemas.openxmlformats.org/officeDocument/2006/relationships/hyperlink" Target="http://www.boxofficemojo.com/movies/?id=collection.htm" TargetMode="External"/><Relationship Id="rId436" Type="http://schemas.openxmlformats.org/officeDocument/2006/relationships/hyperlink" Target="http://www.boxofficemojo.com/studio/chart/?studio=lddistribution.htm" TargetMode="External"/><Relationship Id="rId437" Type="http://schemas.openxmlformats.org/officeDocument/2006/relationships/hyperlink" Target="http://www.boxofficemojo.com/schedule/?view=bydate&amp;release=theatrical&amp;date=2012-11-30&amp;p=.htm" TargetMode="External"/><Relationship Id="rId438" Type="http://schemas.openxmlformats.org/officeDocument/2006/relationships/hyperlink" Target="http://www.boxofficemojo.com/movies/?id=amour.htm" TargetMode="External"/><Relationship Id="rId439" Type="http://schemas.openxmlformats.org/officeDocument/2006/relationships/hyperlink" Target="http://www.boxofficemojo.com/studio/chart/?studio=sonyclassics.htm" TargetMode="External"/><Relationship Id="rId824" Type="http://schemas.openxmlformats.org/officeDocument/2006/relationships/hyperlink" Target="http://www.boxofficemojo.com/schedule/?view=bydate&amp;release=theatrical&amp;date=2012-01-20&amp;p=.htm" TargetMode="External"/><Relationship Id="rId825" Type="http://schemas.openxmlformats.org/officeDocument/2006/relationships/hyperlink" Target="http://www.boxofficemojo.com/movies/?id=westofmemphis.htm" TargetMode="External"/><Relationship Id="rId826" Type="http://schemas.openxmlformats.org/officeDocument/2006/relationships/hyperlink" Target="http://www.boxofficemojo.com/studio/chart/?studio=sonyclassics.htm" TargetMode="External"/><Relationship Id="rId827" Type="http://schemas.openxmlformats.org/officeDocument/2006/relationships/hyperlink" Target="http://www.boxofficemojo.com/schedule/?view=bydate&amp;release=theatrical&amp;date=2012-12-25&amp;p=.htm" TargetMode="External"/><Relationship Id="rId828" Type="http://schemas.openxmlformats.org/officeDocument/2006/relationships/hyperlink" Target="http://www.boxofficemojo.com/movies/?id=acatinparis.htm" TargetMode="External"/><Relationship Id="rId829" Type="http://schemas.openxmlformats.org/officeDocument/2006/relationships/hyperlink" Target="http://www.boxofficemojo.com/studio/chart/?studio=gkids.htm" TargetMode="External"/><Relationship Id="rId1690" Type="http://schemas.openxmlformats.org/officeDocument/2006/relationships/hyperlink" Target="http://www.boxofficemojo.com/studio/chart/?studio=musicboxfilms.htm" TargetMode="External"/><Relationship Id="rId1691" Type="http://schemas.openxmlformats.org/officeDocument/2006/relationships/hyperlink" Target="http://www.boxofficemojo.com/schedule/?view=bydate&amp;release=theatrical&amp;date=2012-05-25&amp;p=.htm" TargetMode="External"/><Relationship Id="rId1692" Type="http://schemas.openxmlformats.org/officeDocument/2006/relationships/hyperlink" Target="http://www.boxofficemojo.com/movies/?id=vicentefernandez.htm" TargetMode="External"/><Relationship Id="rId1693" Type="http://schemas.openxmlformats.org/officeDocument/2006/relationships/hyperlink" Target="http://www.boxofficemojo.com/studio/chart/?studio=indican.htm" TargetMode="External"/><Relationship Id="rId1694" Type="http://schemas.openxmlformats.org/officeDocument/2006/relationships/hyperlink" Target="http://www.boxofficemojo.com/schedule/?view=bydate&amp;release=theatrical&amp;date=2012-12-07&amp;p=.htm" TargetMode="External"/><Relationship Id="rId1695" Type="http://schemas.openxmlformats.org/officeDocument/2006/relationships/hyperlink" Target="http://www.boxofficemojo.com/movies/?id=specialforces.htm" TargetMode="External"/><Relationship Id="rId1696" Type="http://schemas.openxmlformats.org/officeDocument/2006/relationships/hyperlink" Target="http://www.boxofficemojo.com/studio/chart/?studio=entertainmentone.htm" TargetMode="External"/><Relationship Id="rId1697" Type="http://schemas.openxmlformats.org/officeDocument/2006/relationships/hyperlink" Target="http://www.boxofficemojo.com/schedule/?view=bydate&amp;release=theatrical&amp;date=2012-10-12&amp;p=.htm" TargetMode="External"/><Relationship Id="rId1698" Type="http://schemas.openxmlformats.org/officeDocument/2006/relationships/hyperlink" Target="http://www.boxofficemojo.com/movies/?id=foundmemories.htm" TargetMode="External"/><Relationship Id="rId1699" Type="http://schemas.openxmlformats.org/officeDocument/2006/relationships/hyperlink" Target="http://www.boxofficemojo.com/studio/chart/?studio=filmmovement.htm" TargetMode="External"/><Relationship Id="rId830" Type="http://schemas.openxmlformats.org/officeDocument/2006/relationships/hyperlink" Target="http://www.boxofficemojo.com/schedule/?view=bydate&amp;release=theatrical&amp;date=2012-06-01&amp;p=.htm" TargetMode="External"/><Relationship Id="rId831" Type="http://schemas.openxmlformats.org/officeDocument/2006/relationships/hyperlink" Target="http://www.boxofficemojo.com/movies/?id=love2012.htm" TargetMode="External"/><Relationship Id="rId832" Type="http://schemas.openxmlformats.org/officeDocument/2006/relationships/hyperlink" Target="http://www.boxofficemojo.com/studio/chart/?studio=chinalion.htm" TargetMode="External"/><Relationship Id="rId833" Type="http://schemas.openxmlformats.org/officeDocument/2006/relationships/hyperlink" Target="http://www.boxofficemojo.com/schedule/?view=bydate&amp;release=theatrical&amp;date=2012-02-17&amp;p=.htm" TargetMode="External"/><Relationship Id="rId440" Type="http://schemas.openxmlformats.org/officeDocument/2006/relationships/hyperlink" Target="http://www.boxofficemojo.com/schedule/?view=bydate&amp;release=theatrical&amp;date=2012-12-19&amp;p=.htm" TargetMode="External"/><Relationship Id="rId441" Type="http://schemas.openxmlformats.org/officeDocument/2006/relationships/hyperlink" Target="http://www.boxofficemojo.com/movies/?id=hydepark.htm" TargetMode="External"/><Relationship Id="rId442" Type="http://schemas.openxmlformats.org/officeDocument/2006/relationships/hyperlink" Target="http://www.boxofficemojo.com/studio/chart/?studio=focus.htm" TargetMode="External"/><Relationship Id="rId443" Type="http://schemas.openxmlformats.org/officeDocument/2006/relationships/hyperlink" Target="http://www.boxofficemojo.com/schedule/?view=bydate&amp;release=theatrical&amp;date=2012-12-07&amp;p=.htm" TargetMode="External"/><Relationship Id="rId444" Type="http://schemas.openxmlformats.org/officeDocument/2006/relationships/hyperlink" Target="http://www.boxofficemojo.com/movies/?id=hitchcock.htm" TargetMode="External"/><Relationship Id="rId445" Type="http://schemas.openxmlformats.org/officeDocument/2006/relationships/hyperlink" Target="http://www.boxofficemojo.com/studio/chart/?studio=foxsearchlight.htm" TargetMode="External"/><Relationship Id="rId446" Type="http://schemas.openxmlformats.org/officeDocument/2006/relationships/hyperlink" Target="http://www.boxofficemojo.com/schedule/?view=bydate&amp;release=theatrical&amp;date=2012-11-23&amp;p=.htm" TargetMode="External"/><Relationship Id="rId447" Type="http://schemas.openxmlformats.org/officeDocument/2006/relationships/hyperlink" Target="http://www.boxofficemojo.com/movies/?id=ofmenandmavericks.htm" TargetMode="External"/><Relationship Id="rId448" Type="http://schemas.openxmlformats.org/officeDocument/2006/relationships/hyperlink" Target="http://www.boxofficemojo.com/studio/chart/?studio=fox.htm" TargetMode="External"/><Relationship Id="rId449" Type="http://schemas.openxmlformats.org/officeDocument/2006/relationships/hyperlink" Target="http://www.boxofficemojo.com/schedule/?view=bydate&amp;release=theatrical&amp;date=2012-10-26&amp;p=.htm" TargetMode="External"/><Relationship Id="rId834" Type="http://schemas.openxmlformats.org/officeDocument/2006/relationships/hyperlink" Target="http://www.boxofficemojo.com/movies/?id=stolen2012.htm" TargetMode="External"/><Relationship Id="rId835" Type="http://schemas.openxmlformats.org/officeDocument/2006/relationships/hyperlink" Target="http://www.boxofficemojo.com/studio/chart/?studio=millenniumentertainment.htm" TargetMode="External"/><Relationship Id="rId836" Type="http://schemas.openxmlformats.org/officeDocument/2006/relationships/hyperlink" Target="http://www.boxofficemojo.com/schedule/?view=bydate&amp;release=theatrical&amp;date=2012-09-14&amp;p=.htm" TargetMode="External"/><Relationship Id="rId837" Type="http://schemas.openxmlformats.org/officeDocument/2006/relationships/hyperlink" Target="http://www.boxofficemojo.com/movies/?id=artofrap.htm" TargetMode="External"/><Relationship Id="rId838" Type="http://schemas.openxmlformats.org/officeDocument/2006/relationships/hyperlink" Target="http://www.boxofficemojo.com/studio/chart/?studio=indomina.htm" TargetMode="External"/><Relationship Id="rId839" Type="http://schemas.openxmlformats.org/officeDocument/2006/relationships/hyperlink" Target="http://www.boxofficemojo.com/schedule/?view=bydate&amp;release=theatrical&amp;date=2012-06-15&amp;p=.htm" TargetMode="External"/><Relationship Id="rId1300" Type="http://schemas.openxmlformats.org/officeDocument/2006/relationships/hyperlink" Target="http://www.boxofficemojo.com/studio/chart/?studio=drafthousefilms.htm" TargetMode="External"/><Relationship Id="rId1301" Type="http://schemas.openxmlformats.org/officeDocument/2006/relationships/hyperlink" Target="http://www.boxofficemojo.com/schedule/?view=bydate&amp;release=theatrical&amp;date=2012-03-16&amp;p=.htm" TargetMode="External"/><Relationship Id="rId1302" Type="http://schemas.openxmlformats.org/officeDocument/2006/relationships/hyperlink" Target="http://www.boxofficemojo.com/movies/?id=paansinghtomar.htm" TargetMode="External"/><Relationship Id="rId1303" Type="http://schemas.openxmlformats.org/officeDocument/2006/relationships/hyperlink" Target="http://www.boxofficemojo.com/studio/chart/?studio=utv.htm" TargetMode="External"/><Relationship Id="rId1304" Type="http://schemas.openxmlformats.org/officeDocument/2006/relationships/hyperlink" Target="http://www.boxofficemojo.com/schedule/?view=bydate&amp;release=theatrical&amp;date=2012-03-02&amp;p=.htm" TargetMode="External"/><Relationship Id="rId1305" Type="http://schemas.openxmlformats.org/officeDocument/2006/relationships/hyperlink" Target="http://www.boxofficemojo.com/movies/?id=soldiersoffortune.htm" TargetMode="External"/><Relationship Id="rId1306" Type="http://schemas.openxmlformats.org/officeDocument/2006/relationships/hyperlink" Target="http://www.boxofficemojo.com/studio/chart/?studio=roadsideattractions.htm" TargetMode="External"/><Relationship Id="rId1307" Type="http://schemas.openxmlformats.org/officeDocument/2006/relationships/hyperlink" Target="http://www.boxofficemojo.com/schedule/?view=bydate&amp;release=theatrical&amp;date=2012-08-03&amp;p=.htm" TargetMode="External"/><Relationship Id="rId1308" Type="http://schemas.openxmlformats.org/officeDocument/2006/relationships/hyperlink" Target="http://www.boxofficemojo.com/movies/?id=paulwilliamsstillalive.htm" TargetMode="External"/><Relationship Id="rId1309" Type="http://schemas.openxmlformats.org/officeDocument/2006/relationships/hyperlink" Target="http://www.boxofficemojo.com/studio/chart/?studio=abramorama.htm" TargetMode="External"/><Relationship Id="rId840" Type="http://schemas.openxmlformats.org/officeDocument/2006/relationships/hyperlink" Target="http://www.boxofficemojo.com/movies/?id=bullyproject.htm" TargetMode="External"/><Relationship Id="rId841" Type="http://schemas.openxmlformats.org/officeDocument/2006/relationships/hyperlink" Target="http://www.boxofficemojo.com/studio/chart/?studio=weinsteincompany.htm" TargetMode="External"/><Relationship Id="rId450" Type="http://schemas.openxmlformats.org/officeDocument/2006/relationships/hyperlink" Target="http://www.boxofficemojo.com/movies/?id=sixsessions.htm" TargetMode="External"/><Relationship Id="rId451" Type="http://schemas.openxmlformats.org/officeDocument/2006/relationships/hyperlink" Target="http://www.boxofficemojo.com/studio/chart/?studio=foxsearchlight.htm" TargetMode="External"/><Relationship Id="rId452" Type="http://schemas.openxmlformats.org/officeDocument/2006/relationships/hyperlink" Target="http://www.boxofficemojo.com/schedule/?view=bydate&amp;release=theatrical&amp;date=2012-10-19&amp;p=.htm" TargetMode="External"/><Relationship Id="rId453" Type="http://schemas.openxmlformats.org/officeDocument/2006/relationships/hyperlink" Target="http://www.boxofficemojo.com/movies/?id=casademipadre.htm" TargetMode="External"/><Relationship Id="rId454" Type="http://schemas.openxmlformats.org/officeDocument/2006/relationships/hyperlink" Target="http://www.boxofficemojo.com/studio/chart/?studio=lionsgate.htm" TargetMode="External"/><Relationship Id="rId455" Type="http://schemas.openxmlformats.org/officeDocument/2006/relationships/hyperlink" Target="http://www.boxofficemojo.com/schedule/?view=bydate&amp;release=theatrical&amp;date=2012-03-16&amp;p=.htm" TargetMode="External"/><Relationship Id="rId456" Type="http://schemas.openxmlformats.org/officeDocument/2006/relationships/hyperlink" Target="http://www.boxofficemojo.com/movies/?id=forgreaterglory.htm" TargetMode="External"/><Relationship Id="rId457" Type="http://schemas.openxmlformats.org/officeDocument/2006/relationships/hyperlink" Target="http://www.boxofficemojo.com/studio/chart/?studio=arcent.htm" TargetMode="External"/><Relationship Id="rId458" Type="http://schemas.openxmlformats.org/officeDocument/2006/relationships/hyperlink" Target="http://www.boxofficemojo.com/schedule/?view=bydate&amp;release=theatrical&amp;date=2012-06-01&amp;p=.htm" TargetMode="External"/><Relationship Id="rId459" Type="http://schemas.openxmlformats.org/officeDocument/2006/relationships/hyperlink" Target="http://www.boxofficemojo.com/movies/?id=learningtofly.htm" TargetMode="External"/><Relationship Id="rId842" Type="http://schemas.openxmlformats.org/officeDocument/2006/relationships/hyperlink" Target="http://www.boxofficemojo.com/schedule/?view=bydate&amp;release=theatrical&amp;date=2012-03-30&amp;p=.htm" TargetMode="External"/><Relationship Id="rId843" Type="http://schemas.openxmlformats.org/officeDocument/2006/relationships/hyperlink" Target="http://www.boxofficemojo.com/movies/?id=loveinthebuff.htm" TargetMode="External"/><Relationship Id="rId844" Type="http://schemas.openxmlformats.org/officeDocument/2006/relationships/hyperlink" Target="http://www.boxofficemojo.com/studio/chart/?studio=chinalion.htm" TargetMode="External"/><Relationship Id="rId845" Type="http://schemas.openxmlformats.org/officeDocument/2006/relationships/hyperlink" Target="http://www.boxofficemojo.com/schedule/?view=bydate&amp;release=theatrical&amp;date=2012-03-30&amp;p=.htm" TargetMode="External"/><Relationship Id="rId846" Type="http://schemas.openxmlformats.org/officeDocument/2006/relationships/hyperlink" Target="http://www.boxofficemojo.com/movies/?id=boy2012.htm" TargetMode="External"/><Relationship Id="rId847" Type="http://schemas.openxmlformats.org/officeDocument/2006/relationships/hyperlink" Target="http://www.boxofficemojo.com/studio/chart/?studio=paladinunison.htm" TargetMode="External"/><Relationship Id="rId848" Type="http://schemas.openxmlformats.org/officeDocument/2006/relationships/hyperlink" Target="http://www.boxofficemojo.com/schedule/?view=bydate&amp;release=theatrical&amp;date=2012-03-02&amp;p=.htm" TargetMode="External"/><Relationship Id="rId849" Type="http://schemas.openxmlformats.org/officeDocument/2006/relationships/hyperlink" Target="http://www.boxofficemojo.com/movies/?id=chickenwithplums.htm" TargetMode="External"/><Relationship Id="rId1700" Type="http://schemas.openxmlformats.org/officeDocument/2006/relationships/hyperlink" Target="http://www.boxofficemojo.com/schedule/?view=bydate&amp;release=theatrical&amp;date=2012-06-01&amp;p=.htm" TargetMode="External"/><Relationship Id="rId1701" Type="http://schemas.openxmlformats.org/officeDocument/2006/relationships/hyperlink" Target="http://www.boxofficemojo.com/movies/?id=chinaheavyweight.htm" TargetMode="External"/><Relationship Id="rId1702" Type="http://schemas.openxmlformats.org/officeDocument/2006/relationships/hyperlink" Target="http://www.boxofficemojo.com/studio/chart/?studio=zeitgeist.htm" TargetMode="External"/><Relationship Id="rId1703" Type="http://schemas.openxmlformats.org/officeDocument/2006/relationships/hyperlink" Target="http://www.boxofficemojo.com/schedule/?view=bydate&amp;release=theatrical&amp;date=2012-07-06&amp;p=.htm" TargetMode="External"/><Relationship Id="rId1310" Type="http://schemas.openxmlformats.org/officeDocument/2006/relationships/hyperlink" Target="http://www.boxofficemojo.com/schedule/?view=bydate&amp;release=theatrical&amp;date=2012-06-08&amp;p=.htm" TargetMode="External"/><Relationship Id="rId1311" Type="http://schemas.openxmlformats.org/officeDocument/2006/relationships/hyperlink" Target="http://www.boxofficemojo.com/movies/?id=deathbychina.htm" TargetMode="External"/><Relationship Id="rId1312" Type="http://schemas.openxmlformats.org/officeDocument/2006/relationships/hyperlink" Target="http://www.boxofficemojo.com/studio/chart/?studio=area23a.htm" TargetMode="External"/><Relationship Id="rId1313" Type="http://schemas.openxmlformats.org/officeDocument/2006/relationships/hyperlink" Target="http://www.boxofficemojo.com/schedule/?view=bydate&amp;release=theatrical&amp;date=2012-08-17&amp;p=.htm" TargetMode="External"/><Relationship Id="rId1314" Type="http://schemas.openxmlformats.org/officeDocument/2006/relationships/hyperlink" Target="http://www.boxofficemojo.com/movies/?id=fairy.htm" TargetMode="External"/><Relationship Id="rId1315" Type="http://schemas.openxmlformats.org/officeDocument/2006/relationships/hyperlink" Target="http://www.boxofficemojo.com/studio/chart/?studio=kinolorber.htm" TargetMode="External"/><Relationship Id="rId1316" Type="http://schemas.openxmlformats.org/officeDocument/2006/relationships/hyperlink" Target="http://www.boxofficemojo.com/schedule/?view=bydate&amp;release=theatrical&amp;date=2012-02-24&amp;p=.htm" TargetMode="External"/><Relationship Id="rId1317" Type="http://schemas.openxmlformats.org/officeDocument/2006/relationships/hyperlink" Target="http://www.boxofficemojo.com/movies/?id=wagnerandme.htm" TargetMode="External"/><Relationship Id="rId1318" Type="http://schemas.openxmlformats.org/officeDocument/2006/relationships/hyperlink" Target="http://www.boxofficemojo.com/studio/chart/?studio=firstrun.htm" TargetMode="External"/><Relationship Id="rId1319" Type="http://schemas.openxmlformats.org/officeDocument/2006/relationships/hyperlink" Target="http://www.boxofficemojo.com/schedule/?view=bydate&amp;release=theatrical&amp;date=2012-12-07&amp;p=.htm" TargetMode="External"/><Relationship Id="rId850" Type="http://schemas.openxmlformats.org/officeDocument/2006/relationships/hyperlink" Target="http://www.boxofficemojo.com/studio/chart/?studio=sonyclassics.htm" TargetMode="External"/><Relationship Id="rId851" Type="http://schemas.openxmlformats.org/officeDocument/2006/relationships/hyperlink" Target="http://www.boxofficemojo.com/schedule/?view=bydate&amp;release=theatrical&amp;date=2012-08-17&amp;p=.htm" TargetMode="External"/><Relationship Id="rId460" Type="http://schemas.openxmlformats.org/officeDocument/2006/relationships/hyperlink" Target="http://www.boxofficemojo.com/studio/chart/?studio=fox.htm" TargetMode="External"/><Relationship Id="rId461" Type="http://schemas.openxmlformats.org/officeDocument/2006/relationships/hyperlink" Target="http://www.boxofficemojo.com/schedule/?view=bydate&amp;release=theatrical&amp;date=2012-09-28&amp;p=.htm" TargetMode="External"/><Relationship Id="rId462" Type="http://schemas.openxmlformats.org/officeDocument/2006/relationships/hyperlink" Target="http://www.boxofficemojo.com/movies/?id=octoberbaby2012.htm" TargetMode="External"/><Relationship Id="rId463" Type="http://schemas.openxmlformats.org/officeDocument/2006/relationships/hyperlink" Target="http://www.boxofficemojo.com/studio/chart/?studio=samuelgoldwyn.htm" TargetMode="External"/><Relationship Id="rId464" Type="http://schemas.openxmlformats.org/officeDocument/2006/relationships/hyperlink" Target="http://www.boxofficemojo.com/schedule/?view=bydate&amp;release=theatrical&amp;date=2012-03-23&amp;p=.htm" TargetMode="External"/><Relationship Id="rId465" Type="http://schemas.openxmlformats.org/officeDocument/2006/relationships/hyperlink" Target="http://www.boxofficemojo.com/movies/?id=apparition.htm" TargetMode="External"/><Relationship Id="rId466" Type="http://schemas.openxmlformats.org/officeDocument/2006/relationships/hyperlink" Target="http://www.boxofficemojo.com/studio/chart/?studio=warnerbros.htm" TargetMode="External"/><Relationship Id="rId467" Type="http://schemas.openxmlformats.org/officeDocument/2006/relationships/hyperlink" Target="http://www.boxofficemojo.com/schedule/?view=bydate&amp;release=theatrical&amp;date=2012-08-24&amp;p=.htm" TargetMode="External"/><Relationship Id="rId468" Type="http://schemas.openxmlformats.org/officeDocument/2006/relationships/hyperlink" Target="http://www.boxofficemojo.com/movies/?id=jeffwholivesathome.htm" TargetMode="External"/><Relationship Id="rId469" Type="http://schemas.openxmlformats.org/officeDocument/2006/relationships/hyperlink" Target="http://www.boxofficemojo.com/studio/chart/?studio=paramountvantage.htm" TargetMode="External"/><Relationship Id="rId852" Type="http://schemas.openxmlformats.org/officeDocument/2006/relationships/hyperlink" Target="http://www.boxofficemojo.com/movies/?id=lolaversus.htm" TargetMode="External"/><Relationship Id="rId853" Type="http://schemas.openxmlformats.org/officeDocument/2006/relationships/hyperlink" Target="http://www.boxofficemojo.com/studio/chart/?studio=foxsearchlight.htm" TargetMode="External"/><Relationship Id="rId854" Type="http://schemas.openxmlformats.org/officeDocument/2006/relationships/hyperlink" Target="http://www.boxofficemojo.com/schedule/?view=bydate&amp;release=theatrical&amp;date=2012-06-08&amp;p=.htm" TargetMode="External"/><Relationship Id="rId855" Type="http://schemas.openxmlformats.org/officeDocument/2006/relationships/hyperlink" Target="http://www.boxofficemojo.com/movies/?id=keepthelightson.htm" TargetMode="External"/><Relationship Id="rId856" Type="http://schemas.openxmlformats.org/officeDocument/2006/relationships/hyperlink" Target="http://www.boxofficemojo.com/studio/chart/?studio=musicboxfilms.htm" TargetMode="External"/><Relationship Id="rId857" Type="http://schemas.openxmlformats.org/officeDocument/2006/relationships/hyperlink" Target="http://www.boxofficemojo.com/schedule/?view=bydate&amp;release=theatrical&amp;date=2012-09-07&amp;p=.htm" TargetMode="External"/><Relationship Id="rId858" Type="http://schemas.openxmlformats.org/officeDocument/2006/relationships/hyperlink" Target="http://www.boxofficemojo.com/movies/?id=waitingroom.htm" TargetMode="External"/><Relationship Id="rId859" Type="http://schemas.openxmlformats.org/officeDocument/2006/relationships/hyperlink" Target="http://www.boxofficemojo.com/studio/chart/?studio=intlfilmcircuit.htm" TargetMode="External"/><Relationship Id="rId1704" Type="http://schemas.openxmlformats.org/officeDocument/2006/relationships/hyperlink" Target="http://www.boxofficemojo.com/movies/?id=santamesa.htm" TargetMode="External"/><Relationship Id="rId1705" Type="http://schemas.openxmlformats.org/officeDocument/2006/relationships/hyperlink" Target="http://www.boxofficemojo.com/studio/chart/?studio=indican.htm" TargetMode="External"/><Relationship Id="rId1706" Type="http://schemas.openxmlformats.org/officeDocument/2006/relationships/hyperlink" Target="http://www.boxofficemojo.com/schedule/?view=bydate&amp;release=theatrical&amp;date=2012-01-13&amp;p=.htm" TargetMode="External"/><Relationship Id="rId1707" Type="http://schemas.openxmlformats.org/officeDocument/2006/relationships/hyperlink" Target="http://www.boxofficemojo.com/movies/?id=husbandsingoa.htm" TargetMode="External"/><Relationship Id="rId1708" Type="http://schemas.openxmlformats.org/officeDocument/2006/relationships/hyperlink" Target="http://www.boxofficemojo.com/studio/chart/?studio=utv.htm" TargetMode="External"/><Relationship Id="rId1709" Type="http://schemas.openxmlformats.org/officeDocument/2006/relationships/hyperlink" Target="http://www.boxofficemojo.com/schedule/?view=bydate&amp;release=theatrical&amp;date=2012-09-21&amp;p=.htm" TargetMode="External"/><Relationship Id="rId2000" Type="http://schemas.openxmlformats.org/officeDocument/2006/relationships/hyperlink" Target="http://www.boxofficemojo.com/schedule/?view=bydate&amp;release=theatrical&amp;date=2012-05-04&amp;p=.htm" TargetMode="External"/><Relationship Id="rId2001" Type="http://schemas.openxmlformats.org/officeDocument/2006/relationships/hyperlink" Target="http://www.boxofficemojo.com/movies/?id=apartment143.htm" TargetMode="External"/><Relationship Id="rId2002" Type="http://schemas.openxmlformats.org/officeDocument/2006/relationships/hyperlink" Target="http://www.boxofficemojo.com/studio/chart/?studio=magnolia.htm" TargetMode="External"/><Relationship Id="rId2003" Type="http://schemas.openxmlformats.org/officeDocument/2006/relationships/hyperlink" Target="http://www.boxofficemojo.com/schedule/?view=bydate&amp;release=theatrical&amp;date=2012-06-01&amp;p=.htm" TargetMode="External"/><Relationship Id="rId2004" Type="http://schemas.openxmlformats.org/officeDocument/2006/relationships/hyperlink" Target="http://www.boxofficemojo.com/movies/?id=playback.htm" TargetMode="External"/><Relationship Id="rId2005" Type="http://schemas.openxmlformats.org/officeDocument/2006/relationships/hyperlink" Target="http://www.boxofficemojo.com/studio/chart/?studio=magnolia.htm" TargetMode="External"/><Relationship Id="rId2006" Type="http://schemas.openxmlformats.org/officeDocument/2006/relationships/hyperlink" Target="http://www.boxofficemojo.com/schedule/?view=bydate&amp;release=theatrical&amp;date=2012-03-16&amp;p=.htm" TargetMode="External"/><Relationship Id="rId1710" Type="http://schemas.openxmlformats.org/officeDocument/2006/relationships/hyperlink" Target="http://www.boxofficemojo.com/movies/?id=putinskiss.htm" TargetMode="External"/><Relationship Id="rId1711" Type="http://schemas.openxmlformats.org/officeDocument/2006/relationships/hyperlink" Target="http://www.boxofficemojo.com/studio/chart/?studio=kinolorber.htm" TargetMode="External"/><Relationship Id="rId1712" Type="http://schemas.openxmlformats.org/officeDocument/2006/relationships/hyperlink" Target="http://www.boxofficemojo.com/schedule/?view=bydate&amp;release=theatrical&amp;date=2012-02-17&amp;p=.htm" TargetMode="External"/><Relationship Id="rId1713" Type="http://schemas.openxmlformats.org/officeDocument/2006/relationships/hyperlink" Target="http://www.boxofficemojo.com/movies/?id=starrystarrynight.htm" TargetMode="External"/><Relationship Id="rId1320" Type="http://schemas.openxmlformats.org/officeDocument/2006/relationships/hyperlink" Target="http://www.boxofficemojo.com/movies/?id=childrenofparadise.htm" TargetMode="External"/><Relationship Id="rId1321" Type="http://schemas.openxmlformats.org/officeDocument/2006/relationships/hyperlink" Target="http://www.boxofficemojo.com/studio/chart/?studio=janusfilms.htm" TargetMode="External"/><Relationship Id="rId1322" Type="http://schemas.openxmlformats.org/officeDocument/2006/relationships/hyperlink" Target="http://www.boxofficemojo.com/schedule/?view=bydate&amp;release=theatrical&amp;date=2012-03-09&amp;p=.htm" TargetMode="External"/><Relationship Id="rId1323" Type="http://schemas.openxmlformats.org/officeDocument/2006/relationships/hyperlink" Target="http://www.boxofficemojo.com/movies/?id=mansome.htm" TargetMode="External"/><Relationship Id="rId1324" Type="http://schemas.openxmlformats.org/officeDocument/2006/relationships/hyperlink" Target="http://www.boxofficemojo.com/studio/chart/?studio=paladin.htm" TargetMode="External"/><Relationship Id="rId1325" Type="http://schemas.openxmlformats.org/officeDocument/2006/relationships/hyperlink" Target="http://www.boxofficemojo.com/schedule/?view=bydate&amp;release=theatrical&amp;date=2012-05-18&amp;p=.htm" TargetMode="External"/><Relationship Id="rId1326" Type="http://schemas.openxmlformats.org/officeDocument/2006/relationships/hyperlink" Target="http://www.boxofficemojo.com/movies/?id=inbetweeners.htm" TargetMode="External"/><Relationship Id="rId1327" Type="http://schemas.openxmlformats.org/officeDocument/2006/relationships/hyperlink" Target="http://www.boxofficemojo.com/studio/chart/?studio=wreckinhill.htm" TargetMode="External"/><Relationship Id="rId1328" Type="http://schemas.openxmlformats.org/officeDocument/2006/relationships/hyperlink" Target="http://www.boxofficemojo.com/schedule/?view=bydate&amp;release=theatrical&amp;date=2012-09-07&amp;p=.htm" TargetMode="External"/><Relationship Id="rId1329" Type="http://schemas.openxmlformats.org/officeDocument/2006/relationships/hyperlink" Target="http://www.boxofficemojo.com/movies/?id=rebirth2012.htm" TargetMode="External"/><Relationship Id="rId860" Type="http://schemas.openxmlformats.org/officeDocument/2006/relationships/hyperlink" Target="http://www.boxofficemojo.com/schedule/?view=bydate&amp;release=theatrical&amp;date=2012-09-26&amp;p=.htm" TargetMode="External"/><Relationship Id="rId861" Type="http://schemas.openxmlformats.org/officeDocument/2006/relationships/hyperlink" Target="http://www.boxofficemojo.com/movies/?id=myunclerafael.htm" TargetMode="External"/><Relationship Id="rId470" Type="http://schemas.openxmlformats.org/officeDocument/2006/relationships/hyperlink" Target="http://www.boxofficemojo.com/schedule/?view=bydate&amp;release=theatrical&amp;date=2012-03-16&amp;p=.htm" TargetMode="External"/><Relationship Id="rId471" Type="http://schemas.openxmlformats.org/officeDocument/2006/relationships/hyperlink" Target="http://www.boxofficemojo.com/movies/?id=goon.htm" TargetMode="External"/><Relationship Id="rId472" Type="http://schemas.openxmlformats.org/officeDocument/2006/relationships/hyperlink" Target="http://www.boxofficemojo.com/studio/chart/?studio=magnolia.htm" TargetMode="External"/><Relationship Id="rId473" Type="http://schemas.openxmlformats.org/officeDocument/2006/relationships/hyperlink" Target="http://www.boxofficemojo.com/schedule/?view=bydate&amp;release=theatrical&amp;date=2012-02-24&amp;p=.htm" TargetMode="External"/><Relationship Id="rId474" Type="http://schemas.openxmlformats.org/officeDocument/2006/relationships/hyperlink" Target="http://www.boxofficemojo.com/movies/?id=raid.htm" TargetMode="External"/><Relationship Id="rId475" Type="http://schemas.openxmlformats.org/officeDocument/2006/relationships/hyperlink" Target="http://www.boxofficemojo.com/studio/chart/?studio=sonyclassics.htm" TargetMode="External"/><Relationship Id="rId476" Type="http://schemas.openxmlformats.org/officeDocument/2006/relationships/hyperlink" Target="http://www.boxofficemojo.com/schedule/?view=bydate&amp;release=theatrical&amp;date=2012-03-23&amp;p=.htm" TargetMode="External"/><Relationship Id="rId477" Type="http://schemas.openxmlformats.org/officeDocument/2006/relationships/hyperlink" Target="http://www.boxofficemojo.com/movies/?id=safetynotguaranteed.htm" TargetMode="External"/><Relationship Id="rId478" Type="http://schemas.openxmlformats.org/officeDocument/2006/relationships/hyperlink" Target="http://www.boxofficemojo.com/studio/chart/?studio=filmdistrict.htm" TargetMode="External"/><Relationship Id="rId479" Type="http://schemas.openxmlformats.org/officeDocument/2006/relationships/hyperlink" Target="http://www.boxofficemojo.com/schedule/?view=bydate&amp;release=theatrical&amp;date=2012-06-08&amp;p=.htm" TargetMode="External"/><Relationship Id="rId862" Type="http://schemas.openxmlformats.org/officeDocument/2006/relationships/hyperlink" Target="http://www.boxofficemojo.com/studio/chart/?studio=rockymountainpictures.htm" TargetMode="External"/><Relationship Id="rId863" Type="http://schemas.openxmlformats.org/officeDocument/2006/relationships/hyperlink" Target="http://www.boxofficemojo.com/schedule/?view=bydate&amp;release=theatrical&amp;date=2012-09-21&amp;p=.htm" TargetMode="External"/><Relationship Id="rId864" Type="http://schemas.openxmlformats.org/officeDocument/2006/relationships/hyperlink" Target="http://www.boxofficemojo.com/movies/?id=gerhardrichterpainting.htm" TargetMode="External"/><Relationship Id="rId865" Type="http://schemas.openxmlformats.org/officeDocument/2006/relationships/hyperlink" Target="http://www.boxofficemojo.com/studio/chart/?studio=kinolorber.htm" TargetMode="External"/><Relationship Id="rId866" Type="http://schemas.openxmlformats.org/officeDocument/2006/relationships/hyperlink" Target="http://www.boxofficemojo.com/schedule/?view=bydate&amp;release=theatrical&amp;date=2012-03-14&amp;p=.htm" TargetMode="External"/><Relationship Id="rId867" Type="http://schemas.openxmlformats.org/officeDocument/2006/relationships/hyperlink" Target="http://www.boxofficemojo.com/movies/?id=trishna.htm" TargetMode="External"/><Relationship Id="rId868" Type="http://schemas.openxmlformats.org/officeDocument/2006/relationships/hyperlink" Target="http://www.boxofficemojo.com/studio/chart/?studio=ifc.htm" TargetMode="External"/><Relationship Id="rId869" Type="http://schemas.openxmlformats.org/officeDocument/2006/relationships/hyperlink" Target="http://www.boxofficemojo.com/schedule/?view=bydate&amp;release=theatrical&amp;date=2012-07-13&amp;p=.htm" TargetMode="External"/><Relationship Id="rId1714" Type="http://schemas.openxmlformats.org/officeDocument/2006/relationships/hyperlink" Target="http://www.boxofficemojo.com/studio/chart/?studio=chinalion.htm" TargetMode="External"/><Relationship Id="rId1715" Type="http://schemas.openxmlformats.org/officeDocument/2006/relationships/hyperlink" Target="http://www.boxofficemojo.com/schedule/?view=bydate&amp;release=theatrical&amp;date=2012-03-23&amp;p=.htm" TargetMode="External"/><Relationship Id="rId1716" Type="http://schemas.openxmlformats.org/officeDocument/2006/relationships/hyperlink" Target="http://www.boxofficemojo.com/movies/?id=arjun-thewarriorprince.htm" TargetMode="External"/><Relationship Id="rId1717" Type="http://schemas.openxmlformats.org/officeDocument/2006/relationships/hyperlink" Target="http://www.boxofficemojo.com/studio/chart/?studio=utv.htm" TargetMode="External"/><Relationship Id="rId1718" Type="http://schemas.openxmlformats.org/officeDocument/2006/relationships/hyperlink" Target="http://www.boxofficemojo.com/schedule/?view=bydate&amp;release=theatrical&amp;date=2012-05-25&amp;p=.htm" TargetMode="External"/><Relationship Id="rId1719" Type="http://schemas.openxmlformats.org/officeDocument/2006/relationships/hyperlink" Target="http://www.boxofficemojo.com/movies/?id=dodeca.htm" TargetMode="External"/><Relationship Id="rId1720" Type="http://schemas.openxmlformats.org/officeDocument/2006/relationships/hyperlink" Target="http://www.boxofficemojo.com/studio/chart/?studio=redflag.htm" TargetMode="External"/><Relationship Id="rId1721" Type="http://schemas.openxmlformats.org/officeDocument/2006/relationships/hyperlink" Target="http://www.boxofficemojo.com/schedule/?view=bydate&amp;release=theatrical&amp;date=2012-07-06&amp;p=.htm" TargetMode="External"/><Relationship Id="rId1722" Type="http://schemas.openxmlformats.org/officeDocument/2006/relationships/hyperlink" Target="http://www.boxofficemojo.com/movies/?id=postmortem.htm" TargetMode="External"/><Relationship Id="rId1723" Type="http://schemas.openxmlformats.org/officeDocument/2006/relationships/hyperlink" Target="http://www.boxofficemojo.com/studio/chart/?studio=kinolorber.htm" TargetMode="External"/><Relationship Id="rId1330" Type="http://schemas.openxmlformats.org/officeDocument/2006/relationships/hyperlink" Target="http://www.boxofficemojo.com/studio/chart/?studio=chinalion.htm" TargetMode="External"/><Relationship Id="rId1331" Type="http://schemas.openxmlformats.org/officeDocument/2006/relationships/hyperlink" Target="http://www.boxofficemojo.com/schedule/?view=bydate&amp;release=theatrical&amp;date=2012-09-14&amp;p=.htm" TargetMode="External"/><Relationship Id="rId1332" Type="http://schemas.openxmlformats.org/officeDocument/2006/relationships/hyperlink" Target="http://www.boxofficemojo.com/movies/?id=fetih1453.htm" TargetMode="External"/><Relationship Id="rId1333" Type="http://schemas.openxmlformats.org/officeDocument/2006/relationships/hyperlink" Target="http://www.boxofficemojo.com/studio/chart/?studio=neoclassicsfilms.htm" TargetMode="External"/><Relationship Id="rId1334" Type="http://schemas.openxmlformats.org/officeDocument/2006/relationships/hyperlink" Target="http://www.boxofficemojo.com/schedule/?view=bydate&amp;release=theatrical&amp;date=2012-04-06&amp;p=.htm" TargetMode="External"/><Relationship Id="rId1335" Type="http://schemas.openxmlformats.org/officeDocument/2006/relationships/hyperlink" Target="http://www.boxofficemojo.com/movies/?id=maxetlesferrailleurs.htm" TargetMode="External"/><Relationship Id="rId1336" Type="http://schemas.openxmlformats.org/officeDocument/2006/relationships/hyperlink" Target="http://www.boxofficemojo.com/studio/chart/?studio=rialto.htm" TargetMode="External"/><Relationship Id="rId1337" Type="http://schemas.openxmlformats.org/officeDocument/2006/relationships/hyperlink" Target="http://www.boxofficemojo.com/schedule/?view=bydate&amp;release=theatrical&amp;date=2012-08-10&amp;p=.htm" TargetMode="External"/><Relationship Id="rId1338" Type="http://schemas.openxmlformats.org/officeDocument/2006/relationships/hyperlink" Target="http://www.boxofficemojo.com/movies/?id=comicconiv.htm" TargetMode="External"/><Relationship Id="rId1339" Type="http://schemas.openxmlformats.org/officeDocument/2006/relationships/hyperlink" Target="http://www.boxofficemojo.com/studio/chart/?studio=wreckinhill.htm" TargetMode="External"/><Relationship Id="rId870" Type="http://schemas.openxmlformats.org/officeDocument/2006/relationships/hyperlink" Target="http://www.boxofficemojo.com/movies/?id=middleofnowhere2012.htm" TargetMode="External"/><Relationship Id="rId871" Type="http://schemas.openxmlformats.org/officeDocument/2006/relationships/hyperlink" Target="http://www.boxofficemojo.com/studio/chart/?studio=affrm.htm" TargetMode="External"/><Relationship Id="rId480" Type="http://schemas.openxmlformats.org/officeDocument/2006/relationships/hyperlink" Target="http://www.boxofficemojo.com/movies/?id=bullypg13.htm" TargetMode="External"/><Relationship Id="rId481" Type="http://schemas.openxmlformats.org/officeDocument/2006/relationships/hyperlink" Target="http://www.boxofficemojo.com/studio/chart/?studio=weinsteincompany.htm" TargetMode="External"/><Relationship Id="rId482" Type="http://schemas.openxmlformats.org/officeDocument/2006/relationships/hyperlink" Target="http://www.boxofficemojo.com/schedule/?view=bydate&amp;release=theatrical&amp;date=2012-04-13&amp;p=.htm" TargetMode="External"/><Relationship Id="rId483" Type="http://schemas.openxmlformats.org/officeDocument/2006/relationships/hyperlink" Target="http://www.boxofficemojo.com/movies/?id=coldlightofday.htm" TargetMode="External"/><Relationship Id="rId484" Type="http://schemas.openxmlformats.org/officeDocument/2006/relationships/hyperlink" Target="http://www.boxofficemojo.com/studio/chart/?studio=lionsgatesummit.htm" TargetMode="External"/><Relationship Id="rId485" Type="http://schemas.openxmlformats.org/officeDocument/2006/relationships/hyperlink" Target="http://www.boxofficemojo.com/schedule/?view=bydate&amp;release=theatrical&amp;date=2012-09-07&amp;p=.htm" TargetMode="External"/><Relationship Id="rId486" Type="http://schemas.openxmlformats.org/officeDocument/2006/relationships/hyperlink" Target="http://www.boxofficemojo.com/movies/?id=searchingforsugarman.htm" TargetMode="External"/><Relationship Id="rId487" Type="http://schemas.openxmlformats.org/officeDocument/2006/relationships/hyperlink" Target="http://www.boxofficemojo.com/studio/chart/?studio=sonyclassics.htm" TargetMode="External"/><Relationship Id="rId488" Type="http://schemas.openxmlformats.org/officeDocument/2006/relationships/hyperlink" Target="http://www.boxofficemojo.com/schedule/?view=bydate&amp;release=theatrical&amp;date=2012-07-27&amp;p=.htm" TargetMode="External"/><Relationship Id="rId489" Type="http://schemas.openxmlformats.org/officeDocument/2006/relationships/hyperlink" Target="http://www.boxofficemojo.com/movies/?id=nitrocircus.htm" TargetMode="External"/><Relationship Id="rId872" Type="http://schemas.openxmlformats.org/officeDocument/2006/relationships/hyperlink" Target="http://www.boxofficemojo.com/schedule/?view=bydate&amp;release=theatrical&amp;date=2012-10-12&amp;p=.htm" TargetMode="External"/><Relationship Id="rId873" Type="http://schemas.openxmlformats.org/officeDocument/2006/relationships/hyperlink" Target="http://www.boxofficemojo.com/movies/?id=elena.htm" TargetMode="External"/><Relationship Id="rId874" Type="http://schemas.openxmlformats.org/officeDocument/2006/relationships/hyperlink" Target="http://www.boxofficemojo.com/studio/chart/?studio=zeitgeist.htm" TargetMode="External"/><Relationship Id="rId875" Type="http://schemas.openxmlformats.org/officeDocument/2006/relationships/hyperlink" Target="http://www.boxofficemojo.com/schedule/?view=bydate&amp;release=theatrical&amp;date=2012-05-16&amp;p=.htm" TargetMode="External"/><Relationship Id="rId876" Type="http://schemas.openxmlformats.org/officeDocument/2006/relationships/hyperlink" Target="http://www.boxofficemojo.com/movies/?id=tezz.htm" TargetMode="External"/><Relationship Id="rId877" Type="http://schemas.openxmlformats.org/officeDocument/2006/relationships/hyperlink" Target="http://www.boxofficemojo.com/studio/chart/?studio=eros.htm" TargetMode="External"/><Relationship Id="rId878" Type="http://schemas.openxmlformats.org/officeDocument/2006/relationships/hyperlink" Target="http://www.boxofficemojo.com/schedule/?view=bydate&amp;release=theatrical&amp;date=2012-04-27&amp;p=.htm" TargetMode="External"/><Relationship Id="rId879" Type="http://schemas.openxmlformats.org/officeDocument/2006/relationships/hyperlink" Target="http://www.boxofficemojo.com/movies/?id=viralfactor.htm" TargetMode="External"/><Relationship Id="rId1724" Type="http://schemas.openxmlformats.org/officeDocument/2006/relationships/hyperlink" Target="http://www.boxofficemojo.com/schedule/?view=bydate&amp;release=theatrical&amp;date=2012-04-11&amp;p=.htm" TargetMode="External"/><Relationship Id="rId1725" Type="http://schemas.openxmlformats.org/officeDocument/2006/relationships/hyperlink" Target="http://www.boxofficemojo.com/movies/?id=rec3.htm" TargetMode="External"/><Relationship Id="rId1726" Type="http://schemas.openxmlformats.org/officeDocument/2006/relationships/hyperlink" Target="http://www.boxofficemojo.com/studio/chart/?studio=magnolia.htm" TargetMode="External"/><Relationship Id="rId1727" Type="http://schemas.openxmlformats.org/officeDocument/2006/relationships/hyperlink" Target="http://www.boxofficemojo.com/schedule/?view=bydate&amp;release=theatrical&amp;date=2012-09-07&amp;p=.htm" TargetMode="External"/><Relationship Id="rId1728" Type="http://schemas.openxmlformats.org/officeDocument/2006/relationships/hyperlink" Target="http://www.boxofficemojo.com/movies/?id=citydark.htm" TargetMode="External"/><Relationship Id="rId1729" Type="http://schemas.openxmlformats.org/officeDocument/2006/relationships/hyperlink" Target="http://www.boxofficemojo.com/studio/chart/?studio=argotpictures.htm" TargetMode="External"/><Relationship Id="rId1730" Type="http://schemas.openxmlformats.org/officeDocument/2006/relationships/hyperlink" Target="http://www.boxofficemojo.com/schedule/?view=bydate&amp;release=theatrical&amp;date=2012-01-18&amp;p=.htm" TargetMode="External"/><Relationship Id="rId1731" Type="http://schemas.openxmlformats.org/officeDocument/2006/relationships/hyperlink" Target="http://www.boxofficemojo.com/movies/?id=decodingdeepak.htm" TargetMode="External"/><Relationship Id="rId1732" Type="http://schemas.openxmlformats.org/officeDocument/2006/relationships/hyperlink" Target="http://www.boxofficemojo.com/studio/chart/?studio=snagfilms.htm" TargetMode="External"/><Relationship Id="rId1733" Type="http://schemas.openxmlformats.org/officeDocument/2006/relationships/hyperlink" Target="http://www.boxofficemojo.com/schedule/?view=bydate&amp;release=theatrical&amp;date=2012-10-05&amp;p=.htm" TargetMode="External"/><Relationship Id="rId1340" Type="http://schemas.openxmlformats.org/officeDocument/2006/relationships/hyperlink" Target="http://www.boxofficemojo.com/schedule/?view=bydate&amp;release=theatrical&amp;date=2012-04-06&amp;p=.htm" TargetMode="External"/><Relationship Id="rId1341" Type="http://schemas.openxmlformats.org/officeDocument/2006/relationships/hyperlink" Target="http://www.boxofficemojo.com/movies/?id=orchestraofexiles.htm" TargetMode="External"/><Relationship Id="rId1342" Type="http://schemas.openxmlformats.org/officeDocument/2006/relationships/hyperlink" Target="http://www.boxofficemojo.com/studio/chart/?studio=firstrun.htm" TargetMode="External"/><Relationship Id="rId1343" Type="http://schemas.openxmlformats.org/officeDocument/2006/relationships/hyperlink" Target="http://www.boxofficemojo.com/schedule/?view=bydate&amp;release=theatrical&amp;date=2012-10-26&amp;p=.htm" TargetMode="External"/><Relationship Id="rId1344" Type="http://schemas.openxmlformats.org/officeDocument/2006/relationships/hyperlink" Target="http://www.boxofficemojo.com/movies/?id=hitsohard.htm" TargetMode="External"/><Relationship Id="rId1345" Type="http://schemas.openxmlformats.org/officeDocument/2006/relationships/hyperlink" Target="http://www.boxofficemojo.com/studio/chart/?studio=variancefilms.htm" TargetMode="External"/><Relationship Id="rId1346" Type="http://schemas.openxmlformats.org/officeDocument/2006/relationships/hyperlink" Target="http://www.boxofficemojo.com/schedule/?view=bydate&amp;release=theatrical&amp;date=2012-04-13&amp;p=.htm" TargetMode="External"/><Relationship Id="rId1347" Type="http://schemas.openxmlformats.org/officeDocument/2006/relationships/hyperlink" Target="http://www.boxofficemojo.com/movies/?id=districtofcorruption.htm" TargetMode="External"/><Relationship Id="rId1348" Type="http://schemas.openxmlformats.org/officeDocument/2006/relationships/hyperlink" Target="http://www.boxofficemojo.com/studio/chart/?studio=rockymountainpictures.htm" TargetMode="External"/><Relationship Id="rId1349" Type="http://schemas.openxmlformats.org/officeDocument/2006/relationships/hyperlink" Target="http://www.boxofficemojo.com/schedule/?view=bydate&amp;release=theatrical&amp;date=2012-10-26&amp;p=.htm" TargetMode="External"/><Relationship Id="rId880" Type="http://schemas.openxmlformats.org/officeDocument/2006/relationships/hyperlink" Target="http://www.boxofficemojo.com/studio/chart/?studio=chinalion.htm" TargetMode="External"/><Relationship Id="rId881" Type="http://schemas.openxmlformats.org/officeDocument/2006/relationships/hyperlink" Target="http://www.boxofficemojo.com/schedule/?view=bydate&amp;release=theatrical&amp;date=2012-01-20&amp;p=.htm" TargetMode="External"/><Relationship Id="rId490" Type="http://schemas.openxmlformats.org/officeDocument/2006/relationships/hyperlink" Target="http://www.boxofficemojo.com/studio/chart/?studio=arcent.htm" TargetMode="External"/><Relationship Id="rId491" Type="http://schemas.openxmlformats.org/officeDocument/2006/relationships/hyperlink" Target="http://www.boxofficemojo.com/schedule/?view=bydate&amp;release=theatrical&amp;date=2012-08-08&amp;p=.htm" TargetMode="External"/><Relationship Id="rId492" Type="http://schemas.openxmlformats.org/officeDocument/2006/relationships/hyperlink" Target="http://www.boxofficemojo.com/movies/?id=atlasshruggedpart2.htm" TargetMode="External"/><Relationship Id="rId493" Type="http://schemas.openxmlformats.org/officeDocument/2006/relationships/hyperlink" Target="http://www.boxofficemojo.com/studio/chart/?studio=atlas.htm" TargetMode="External"/><Relationship Id="rId494" Type="http://schemas.openxmlformats.org/officeDocument/2006/relationships/hyperlink" Target="http://www.boxofficemojo.com/schedule/?view=bydate&amp;release=theatrical&amp;date=2012-10-12&amp;p=.htm" TargetMode="External"/><Relationship Id="rId495" Type="http://schemas.openxmlformats.org/officeDocument/2006/relationships/hyperlink" Target="http://www.boxofficemojo.com/movies/?id=lastounceofcourage.htm" TargetMode="External"/><Relationship Id="rId496" Type="http://schemas.openxmlformats.org/officeDocument/2006/relationships/hyperlink" Target="http://www.boxofficemojo.com/studio/chart/?studio=rockymountainpictures.htm" TargetMode="External"/><Relationship Id="rId497" Type="http://schemas.openxmlformats.org/officeDocument/2006/relationships/hyperlink" Target="http://www.boxofficemojo.com/schedule/?view=bydate&amp;release=theatrical&amp;date=2012-09-14&amp;p=.htm" TargetMode="External"/><Relationship Id="rId498" Type="http://schemas.openxmlformats.org/officeDocument/2006/relationships/hyperlink" Target="http://www.boxofficemojo.com/movies/?id=robotandfrank.htm" TargetMode="External"/><Relationship Id="rId499" Type="http://schemas.openxmlformats.org/officeDocument/2006/relationships/hyperlink" Target="http://www.boxofficemojo.com/studio/chart/?studio=samuelgoldwyn.htm" TargetMode="External"/><Relationship Id="rId882" Type="http://schemas.openxmlformats.org/officeDocument/2006/relationships/hyperlink" Target="http://www.boxofficemojo.com/movies/?id=brooklyncastle.htm" TargetMode="External"/><Relationship Id="rId883" Type="http://schemas.openxmlformats.org/officeDocument/2006/relationships/hyperlink" Target="http://www.boxofficemojo.com/studio/chart/?studio=pda.htm" TargetMode="External"/><Relationship Id="rId884" Type="http://schemas.openxmlformats.org/officeDocument/2006/relationships/hyperlink" Target="http://www.boxofficemojo.com/schedule/?view=bydate&amp;release=theatrical&amp;date=2012-10-19&amp;p=.htm" TargetMode="External"/><Relationship Id="rId885" Type="http://schemas.openxmlformats.org/officeDocument/2006/relationships/hyperlink" Target="http://www.boxofficemojo.com/movies/?id=neilyoungjourneys.htm" TargetMode="External"/><Relationship Id="rId886" Type="http://schemas.openxmlformats.org/officeDocument/2006/relationships/hyperlink" Target="http://www.boxofficemojo.com/studio/chart/?studio=sonyclassics.htm" TargetMode="External"/><Relationship Id="rId887" Type="http://schemas.openxmlformats.org/officeDocument/2006/relationships/hyperlink" Target="http://www.boxofficemojo.com/schedule/?view=bydate&amp;release=theatrical&amp;date=2012-06-29&amp;p=.htm" TargetMode="External"/><Relationship Id="rId888" Type="http://schemas.openxmlformats.org/officeDocument/2006/relationships/hyperlink" Target="http://www.boxofficemojo.com/movies/?id=thaandavam.htm" TargetMode="External"/><Relationship Id="rId889" Type="http://schemas.openxmlformats.org/officeDocument/2006/relationships/hyperlink" Target="http://www.boxofficemojo.com/studio/chart/?studio=utv.htm" TargetMode="External"/><Relationship Id="rId1734" Type="http://schemas.openxmlformats.org/officeDocument/2006/relationships/hyperlink" Target="http://www.boxofficemojo.com/movies/?id=artofsubmission.htm" TargetMode="External"/><Relationship Id="rId1735" Type="http://schemas.openxmlformats.org/officeDocument/2006/relationships/hyperlink" Target="http://www.boxofficemojo.com/studio/chart/?studio=promotionpictures.htm" TargetMode="External"/><Relationship Id="rId1736" Type="http://schemas.openxmlformats.org/officeDocument/2006/relationships/hyperlink" Target="http://www.boxofficemojo.com/schedule/?view=bydate&amp;release=theatrical&amp;date=2012-09-21&amp;p=.htm" TargetMode="External"/><Relationship Id="rId1737" Type="http://schemas.openxmlformats.org/officeDocument/2006/relationships/hyperlink" Target="http://www.boxofficemojo.com/movies/?id=threestars.htm" TargetMode="External"/><Relationship Id="rId1738" Type="http://schemas.openxmlformats.org/officeDocument/2006/relationships/hyperlink" Target="http://www.boxofficemojo.com/studio/chart/?studio=firstrun.htm" TargetMode="External"/><Relationship Id="rId1739" Type="http://schemas.openxmlformats.org/officeDocument/2006/relationships/hyperlink" Target="http://www.boxofficemojo.com/schedule/?view=bydate&amp;release=theatrical&amp;date=2012-09-21&amp;p=.htm" TargetMode="External"/><Relationship Id="rId1740" Type="http://schemas.openxmlformats.org/officeDocument/2006/relationships/hyperlink" Target="http://www.boxofficemojo.com/movies/?id=corpoceleste.htm" TargetMode="External"/><Relationship Id="rId1741" Type="http://schemas.openxmlformats.org/officeDocument/2006/relationships/hyperlink" Target="http://www.boxofficemojo.com/studio/chart/?studio=filmmovement.htm" TargetMode="External"/><Relationship Id="rId1742" Type="http://schemas.openxmlformats.org/officeDocument/2006/relationships/hyperlink" Target="http://www.boxofficemojo.com/schedule/?view=bydate&amp;release=theatrical&amp;date=2012-06-08&amp;p=.htm" TargetMode="External"/><Relationship Id="rId1743" Type="http://schemas.openxmlformats.org/officeDocument/2006/relationships/hyperlink" Target="http://www.boxofficemojo.com/movies/?id=homerunshowdown.htm" TargetMode="External"/><Relationship Id="rId1350" Type="http://schemas.openxmlformats.org/officeDocument/2006/relationships/hyperlink" Target="http://www.boxofficemojo.com/movies/?id=musicalchairs.htm" TargetMode="External"/><Relationship Id="rId1351" Type="http://schemas.openxmlformats.org/officeDocument/2006/relationships/hyperlink" Target="http://www.boxofficemojo.com/studio/chart/?studio=paladin.htm" TargetMode="External"/><Relationship Id="rId1352" Type="http://schemas.openxmlformats.org/officeDocument/2006/relationships/hyperlink" Target="http://www.boxofficemojo.com/schedule/?view=bydate&amp;release=theatrical&amp;date=2012-03-23&amp;p=.htm" TargetMode="External"/><Relationship Id="rId1353" Type="http://schemas.openxmlformats.org/officeDocument/2006/relationships/hyperlink" Target="http://www.boxofficemojo.com/movies/?id=celineandjulie.htm" TargetMode="External"/><Relationship Id="rId1354" Type="http://schemas.openxmlformats.org/officeDocument/2006/relationships/hyperlink" Target="http://www.boxofficemojo.com/studio/chart/?studio=newyorker.htm" TargetMode="External"/><Relationship Id="rId1355" Type="http://schemas.openxmlformats.org/officeDocument/2006/relationships/hyperlink" Target="http://www.boxofficemojo.com/schedule/?view=bydate&amp;release=theatrical&amp;date=2012-05-04&amp;p=.htm" TargetMode="External"/><Relationship Id="rId1356" Type="http://schemas.openxmlformats.org/officeDocument/2006/relationships/hyperlink" Target="http://www.boxofficemojo.com/movies/?id=whoresglory.htm" TargetMode="External"/><Relationship Id="rId1357" Type="http://schemas.openxmlformats.org/officeDocument/2006/relationships/hyperlink" Target="http://www.boxofficemojo.com/studio/chart/?studio=kinolorber.htm" TargetMode="External"/><Relationship Id="rId1358" Type="http://schemas.openxmlformats.org/officeDocument/2006/relationships/hyperlink" Target="http://www.boxofficemojo.com/schedule/?view=bydate&amp;release=theatrical&amp;date=2012-04-27&amp;p=.htm" TargetMode="External"/><Relationship Id="rId1359" Type="http://schemas.openxmlformats.org/officeDocument/2006/relationships/hyperlink" Target="http://www.boxofficemojo.com/movies/?id=kalakalappu.htm" TargetMode="External"/><Relationship Id="rId890" Type="http://schemas.openxmlformats.org/officeDocument/2006/relationships/hyperlink" Target="http://www.boxofficemojo.com/schedule/?view=bydate&amp;release=theatrical&amp;date=2012-09-28&amp;p=.htm" TargetMode="External"/><Relationship Id="rId891" Type="http://schemas.openxmlformats.org/officeDocument/2006/relationships/hyperlink" Target="http://www.boxofficemojo.com/movies/?id=taichi.htm" TargetMode="External"/><Relationship Id="rId892" Type="http://schemas.openxmlformats.org/officeDocument/2006/relationships/hyperlink" Target="http://www.boxofficemojo.com/studio/chart/?studio=variancefilms.htm" TargetMode="External"/><Relationship Id="rId893" Type="http://schemas.openxmlformats.org/officeDocument/2006/relationships/hyperlink" Target="http://www.boxofficemojo.com/schedule/?view=bydate&amp;release=theatrical&amp;date=2012-10-19&amp;p=.htm" TargetMode="External"/><Relationship Id="rId894" Type="http://schemas.openxmlformats.org/officeDocument/2006/relationships/hyperlink" Target="http://www.boxofficemojo.com/movies/?id=polisse.htm" TargetMode="External"/><Relationship Id="rId895" Type="http://schemas.openxmlformats.org/officeDocument/2006/relationships/hyperlink" Target="http://www.boxofficemojo.com/studio/chart/?studio=ifc.htm" TargetMode="External"/><Relationship Id="rId896" Type="http://schemas.openxmlformats.org/officeDocument/2006/relationships/hyperlink" Target="http://www.boxofficemojo.com/schedule/?view=bydate&amp;release=theatrical&amp;date=2012-05-18&amp;p=.htm" TargetMode="External"/><Relationship Id="rId897" Type="http://schemas.openxmlformats.org/officeDocument/2006/relationships/hyperlink" Target="http://www.boxofficemojo.com/movies/?id=somewherebetween.htm" TargetMode="External"/><Relationship Id="rId898" Type="http://schemas.openxmlformats.org/officeDocument/2006/relationships/hyperlink" Target="http://www.boxofficemojo.com/studio/chart/?studio=longshotfactory.htm" TargetMode="External"/><Relationship Id="rId899" Type="http://schemas.openxmlformats.org/officeDocument/2006/relationships/hyperlink" Target="http://www.boxofficemojo.com/schedule/?view=bydate&amp;release=theatrical&amp;date=2012-08-24&amp;p=.htm" TargetMode="External"/><Relationship Id="rId1744" Type="http://schemas.openxmlformats.org/officeDocument/2006/relationships/hyperlink" Target="http://www.boxofficemojo.com/studio/chart/?studio=imageentertainment.htm" TargetMode="External"/><Relationship Id="rId1745" Type="http://schemas.openxmlformats.org/officeDocument/2006/relationships/hyperlink" Target="http://www.boxofficemojo.com/schedule/?view=bydate&amp;release=theatrical&amp;date=2012-07-27&amp;p=.htm" TargetMode="External"/><Relationship Id="rId1746" Type="http://schemas.openxmlformats.org/officeDocument/2006/relationships/hyperlink" Target="http://www.boxofficemojo.com/movies/?id=maninthewhitesuit2012.htm" TargetMode="External"/><Relationship Id="rId1747" Type="http://schemas.openxmlformats.org/officeDocument/2006/relationships/hyperlink" Target="http://www.boxofficemojo.com/studio/chart/?studio=rialto.htm" TargetMode="External"/><Relationship Id="rId1748" Type="http://schemas.openxmlformats.org/officeDocument/2006/relationships/hyperlink" Target="http://www.boxofficemojo.com/schedule/?view=bydate&amp;release=theatrical&amp;date=2012-11-16&amp;p=.htm" TargetMode="External"/><Relationship Id="rId1749" Type="http://schemas.openxmlformats.org/officeDocument/2006/relationships/hyperlink" Target="http://www.boxofficemojo.com/movies/?id=manonamission.htm" TargetMode="External"/><Relationship Id="rId100" Type="http://schemas.openxmlformats.org/officeDocument/2006/relationships/hyperlink" Target="http://www.boxofficemojo.com/studio/chart/?studio=sony.htm" TargetMode="External"/><Relationship Id="rId101" Type="http://schemas.openxmlformats.org/officeDocument/2006/relationships/hyperlink" Target="http://www.boxofficemojo.com/schedule/?view=bydate&amp;release=theatrical&amp;date=2012-12-19&amp;p=.htm" TargetMode="External"/><Relationship Id="rId102" Type="http://schemas.openxmlformats.org/officeDocument/2006/relationships/hyperlink" Target="http://www.boxofficemojo.com/movies/?id=flight.htm" TargetMode="External"/><Relationship Id="rId103" Type="http://schemas.openxmlformats.org/officeDocument/2006/relationships/hyperlink" Target="http://www.boxofficemojo.com/studio/chart/?studio=paramount.htm" TargetMode="External"/><Relationship Id="rId104" Type="http://schemas.openxmlformats.org/officeDocument/2006/relationships/hyperlink" Target="http://www.boxofficemojo.com/schedule/?view=bydate&amp;release=theatrical&amp;date=2012-11-02&amp;p=.htm" TargetMode="External"/><Relationship Id="rId105" Type="http://schemas.openxmlformats.org/officeDocument/2006/relationships/hyperlink" Target="http://www.boxofficemojo.com/movies/?id=thinklikeaman.htm" TargetMode="External"/><Relationship Id="rId106" Type="http://schemas.openxmlformats.org/officeDocument/2006/relationships/hyperlink" Target="http://www.boxofficemojo.com/studio/chart/?studio=screengems.htm" TargetMode="External"/><Relationship Id="rId107" Type="http://schemas.openxmlformats.org/officeDocument/2006/relationships/hyperlink" Target="http://www.boxofficemojo.com/schedule/?view=bydate&amp;release=theatrical&amp;date=2012-04-20&amp;p=.htm" TargetMode="External"/><Relationship Id="rId108" Type="http://schemas.openxmlformats.org/officeDocument/2006/relationships/hyperlink" Target="http://www.boxofficemojo.com/movies/?id=rivals.htm" TargetMode="External"/><Relationship Id="rId109" Type="http://schemas.openxmlformats.org/officeDocument/2006/relationships/hyperlink" Target="http://www.boxofficemojo.com/studio/chart/?studio=warnerbros.htm" TargetMode="External"/><Relationship Id="rId1750" Type="http://schemas.openxmlformats.org/officeDocument/2006/relationships/hyperlink" Target="http://www.boxofficemojo.com/studio/chart/?studio=firstrun.htm" TargetMode="External"/><Relationship Id="rId1751" Type="http://schemas.openxmlformats.org/officeDocument/2006/relationships/hyperlink" Target="http://www.boxofficemojo.com/schedule/?view=bydate&amp;release=theatrical&amp;date=2012-01-13&amp;p=.htm" TargetMode="External"/><Relationship Id="rId1752" Type="http://schemas.openxmlformats.org/officeDocument/2006/relationships/hyperlink" Target="http://www.boxofficemojo.com/movies/?id=smallmovingparts.htm" TargetMode="External"/><Relationship Id="rId1753" Type="http://schemas.openxmlformats.org/officeDocument/2006/relationships/hyperlink" Target="http://www.boxofficemojo.com/studio/chart/?studio=longshotfactory.htm" TargetMode="External"/><Relationship Id="rId1360" Type="http://schemas.openxmlformats.org/officeDocument/2006/relationships/hyperlink" Target="http://www.boxofficemojo.com/studio/chart/?studio=utv.htm" TargetMode="External"/><Relationship Id="rId1361" Type="http://schemas.openxmlformats.org/officeDocument/2006/relationships/hyperlink" Target="http://www.boxofficemojo.com/schedule/?view=bydate&amp;release=theatrical&amp;date=2012-05-11&amp;p=.htm" TargetMode="External"/><Relationship Id="rId1362" Type="http://schemas.openxmlformats.org/officeDocument/2006/relationships/hyperlink" Target="http://www.boxofficemojo.com/movies/?id=lifehappens.htm" TargetMode="External"/><Relationship Id="rId1363" Type="http://schemas.openxmlformats.org/officeDocument/2006/relationships/hyperlink" Target="http://www.boxofficemojo.com/studio/chart/?studio=pmkbncfilms.htm" TargetMode="External"/><Relationship Id="rId1364" Type="http://schemas.openxmlformats.org/officeDocument/2006/relationships/hyperlink" Target="http://www.boxofficemojo.com/schedule/?view=bydate&amp;release=theatrical&amp;date=2012-04-13&amp;p=.htm" TargetMode="External"/><Relationship Id="rId1365" Type="http://schemas.openxmlformats.org/officeDocument/2006/relationships/hyperlink" Target="http://www.boxofficemojo.com/movies/?id=meetthefokkens.htm" TargetMode="External"/><Relationship Id="rId1366" Type="http://schemas.openxmlformats.org/officeDocument/2006/relationships/hyperlink" Target="http://www.boxofficemojo.com/studio/chart/?studio=kinolorber.htm" TargetMode="External"/><Relationship Id="rId1367" Type="http://schemas.openxmlformats.org/officeDocument/2006/relationships/hyperlink" Target="http://www.boxofficemojo.com/schedule/?view=bydate&amp;release=theatrical&amp;date=2012-08-08&amp;p=.htm" TargetMode="External"/><Relationship Id="rId1368" Type="http://schemas.openxmlformats.org/officeDocument/2006/relationships/hyperlink" Target="http://www.boxofficemojo.com/movies/?id=bay.htm" TargetMode="External"/><Relationship Id="rId1369" Type="http://schemas.openxmlformats.org/officeDocument/2006/relationships/hyperlink" Target="http://www.boxofficemojo.com/studio/chart/?studio=roadsideattractions.htm" TargetMode="External"/><Relationship Id="rId1754" Type="http://schemas.openxmlformats.org/officeDocument/2006/relationships/hyperlink" Target="http://www.boxofficemojo.com/schedule/?view=bydate&amp;release=theatrical&amp;date=2012-05-11&amp;p=.htm" TargetMode="External"/><Relationship Id="rId1755" Type="http://schemas.openxmlformats.org/officeDocument/2006/relationships/hyperlink" Target="http://www.boxofficemojo.com/movies/?id=mosquitaymari.htm" TargetMode="External"/><Relationship Id="rId1756" Type="http://schemas.openxmlformats.org/officeDocument/2006/relationships/hyperlink" Target="http://www.boxofficemojo.com/studio/chart/?studio=filmcollaborative.htm" TargetMode="External"/><Relationship Id="rId1757" Type="http://schemas.openxmlformats.org/officeDocument/2006/relationships/hyperlink" Target="http://www.boxofficemojo.com/schedule/?view=bydate&amp;release=theatrical&amp;date=2012-08-03&amp;p=.htm" TargetMode="External"/><Relationship Id="rId1758" Type="http://schemas.openxmlformats.org/officeDocument/2006/relationships/hyperlink" Target="http://www.boxofficemojo.com/movies/?id=generaleducation.htm" TargetMode="External"/><Relationship Id="rId1759" Type="http://schemas.openxmlformats.org/officeDocument/2006/relationships/hyperlink" Target="http://www.boxofficemojo.com/studio/chart/?studio=pelicanhouse.htm" TargetMode="External"/></Relationships>
</file>

<file path=xl/worksheets/_rels/sheet2.xml.rels><?xml version="1.0" encoding="UTF-8" standalone="yes"?>
<Relationships xmlns="http://schemas.openxmlformats.org/package/2006/relationships"><Relationship Id="rId500" Type="http://schemas.openxmlformats.org/officeDocument/2006/relationships/hyperlink" Target="http://www.boxofficemojo.com/schedule/?view=bydate&amp;release=theatrical&amp;date=2013-04-19&amp;p=.htm" TargetMode="External"/><Relationship Id="rId501" Type="http://schemas.openxmlformats.org/officeDocument/2006/relationships/hyperlink" Target="http://www.boxofficemojo.com/movies/?id=greatbeauty.htm" TargetMode="External"/><Relationship Id="rId502" Type="http://schemas.openxmlformats.org/officeDocument/2006/relationships/hyperlink" Target="http://www.boxofficemojo.com/studio/chart/?studio=janusfilms.htm" TargetMode="External"/><Relationship Id="rId503" Type="http://schemas.openxmlformats.org/officeDocument/2006/relationships/hyperlink" Target="http://www.boxofficemojo.com/schedule/?view=bydate&amp;release=theatrical&amp;date=2013-11-15&amp;p=.htm" TargetMode="External"/><Relationship Id="rId110" Type="http://schemas.openxmlformats.org/officeDocument/2006/relationships/hyperlink" Target="http://www.boxofficemojo.com/schedule/?view=bydate&amp;release=theatrical&amp;date=2013-06-12&amp;p=.htm" TargetMode="External"/><Relationship Id="rId111" Type="http://schemas.openxmlformats.org/officeDocument/2006/relationships/hyperlink" Target="http://www.boxofficemojo.com/movies/?id=olympushasfallen.htm" TargetMode="External"/><Relationship Id="rId112" Type="http://schemas.openxmlformats.org/officeDocument/2006/relationships/hyperlink" Target="http://www.boxofficemojo.com/studio/chart/?studio=filmdistrict.htm" TargetMode="External"/><Relationship Id="rId113" Type="http://schemas.openxmlformats.org/officeDocument/2006/relationships/hyperlink" Target="http://www.boxofficemojo.com/schedule/?view=bydate&amp;release=theatrical&amp;date=2013-03-22&amp;p=.htm" TargetMode="External"/><Relationship Id="rId114" Type="http://schemas.openxmlformats.org/officeDocument/2006/relationships/hyperlink" Target="http://www.boxofficemojo.com/movies/?id=42.htm" TargetMode="External"/><Relationship Id="rId115" Type="http://schemas.openxmlformats.org/officeDocument/2006/relationships/hyperlink" Target="http://www.boxofficemojo.com/studio/chart/?studio=warnerbros.htm" TargetMode="External"/><Relationship Id="rId116" Type="http://schemas.openxmlformats.org/officeDocument/2006/relationships/hyperlink" Target="http://www.boxofficemojo.com/schedule/?view=bydate&amp;release=theatrical&amp;date=2013-04-12&amp;p=.htm" TargetMode="External"/><Relationship Id="rId117" Type="http://schemas.openxmlformats.org/officeDocument/2006/relationships/hyperlink" Target="http://www.boxofficemojo.com/movies/?id=elysium.htm" TargetMode="External"/><Relationship Id="rId118" Type="http://schemas.openxmlformats.org/officeDocument/2006/relationships/hyperlink" Target="http://www.boxofficemojo.com/studio/chart/?studio=tristar.htm" TargetMode="External"/><Relationship Id="rId119" Type="http://schemas.openxmlformats.org/officeDocument/2006/relationships/hyperlink" Target="http://www.boxofficemojo.com/schedule/?view=bydate&amp;release=theatrical&amp;date=2013-08-09&amp;p=.htm" TargetMode="External"/><Relationship Id="rId504" Type="http://schemas.openxmlformats.org/officeDocument/2006/relationships/hyperlink" Target="http://www.boxofficemojo.com/movies/?id=fillybrown.htm" TargetMode="External"/><Relationship Id="rId505" Type="http://schemas.openxmlformats.org/officeDocument/2006/relationships/hyperlink" Target="http://www.boxofficemojo.com/studio/chart/?studio=lionsgate.htm" TargetMode="External"/><Relationship Id="rId506" Type="http://schemas.openxmlformats.org/officeDocument/2006/relationships/hyperlink" Target="http://www.boxofficemojo.com/schedule/?view=bydate&amp;release=theatrical&amp;date=2013-04-19&amp;p=.htm" TargetMode="External"/><Relationship Id="rId507" Type="http://schemas.openxmlformats.org/officeDocument/2006/relationships/hyperlink" Target="http://www.boxofficemojo.com/movies/?id=ramleela.htm" TargetMode="External"/><Relationship Id="rId508" Type="http://schemas.openxmlformats.org/officeDocument/2006/relationships/hyperlink" Target="http://www.boxofficemojo.com/studio/chart/?studio=eros.htm" TargetMode="External"/><Relationship Id="rId509" Type="http://schemas.openxmlformats.org/officeDocument/2006/relationships/hyperlink" Target="http://www.boxofficemojo.com/schedule/?view=bydate&amp;release=theatrical&amp;date=2013-11-15&amp;p=.htm" TargetMode="External"/><Relationship Id="rId1760" Type="http://schemas.openxmlformats.org/officeDocument/2006/relationships/hyperlink" Target="http://www.boxofficemojo.com/schedule/?view=bydate&amp;release=theatrical&amp;date=2013-05-03&amp;p=.htm" TargetMode="External"/><Relationship Id="rId1761" Type="http://schemas.openxmlformats.org/officeDocument/2006/relationships/hyperlink" Target="http://www.boxofficemojo.com/movies/?id=aperfectman.htm" TargetMode="External"/><Relationship Id="rId1762" Type="http://schemas.openxmlformats.org/officeDocument/2006/relationships/hyperlink" Target="http://www.boxofficemojo.com/studio/chart/?studio=ifc.htm" TargetMode="External"/><Relationship Id="rId1763" Type="http://schemas.openxmlformats.org/officeDocument/2006/relationships/hyperlink" Target="http://www.boxofficemojo.com/schedule/?view=bydate&amp;release=theatrical&amp;date=2013-11-01&amp;p=.htm" TargetMode="External"/><Relationship Id="rId1370" Type="http://schemas.openxmlformats.org/officeDocument/2006/relationships/hyperlink" Target="http://www.boxofficemojo.com/schedule/?view=bydate&amp;release=theatrical&amp;date=2013-10-25&amp;p=.htm" TargetMode="External"/><Relationship Id="rId1371" Type="http://schemas.openxmlformats.org/officeDocument/2006/relationships/hyperlink" Target="http://www.boxofficemojo.com/movies/?id=fiercegreenfire.htm" TargetMode="External"/><Relationship Id="rId1372" Type="http://schemas.openxmlformats.org/officeDocument/2006/relationships/hyperlink" Target="http://www.boxofficemojo.com/studio/chart/?studio=firstrun.htm" TargetMode="External"/><Relationship Id="rId1373" Type="http://schemas.openxmlformats.org/officeDocument/2006/relationships/hyperlink" Target="http://www.boxofficemojo.com/schedule/?view=bydate&amp;release=theatrical&amp;date=2013-02-22&amp;p=.htm" TargetMode="External"/><Relationship Id="rId1374" Type="http://schemas.openxmlformats.org/officeDocument/2006/relationships/hyperlink" Target="http://www.boxofficemojo.com/movies/?id=deadmansburden.htm" TargetMode="External"/><Relationship Id="rId1375" Type="http://schemas.openxmlformats.org/officeDocument/2006/relationships/hyperlink" Target="http://www.boxofficemojo.com/studio/chart/?studio=cinedigmentertainment.htm" TargetMode="External"/><Relationship Id="rId1376" Type="http://schemas.openxmlformats.org/officeDocument/2006/relationships/hyperlink" Target="http://www.boxofficemojo.com/schedule/?view=bydate&amp;release=theatrical&amp;date=2013-05-03&amp;p=.htm" TargetMode="External"/><Relationship Id="rId1377" Type="http://schemas.openxmlformats.org/officeDocument/2006/relationships/hyperlink" Target="http://www.boxofficemojo.com/movies/?id=littlefugitive.htm" TargetMode="External"/><Relationship Id="rId1378" Type="http://schemas.openxmlformats.org/officeDocument/2006/relationships/hyperlink" Target="http://www.boxofficemojo.com/studio/chart/?studio=apdcinema.htm" TargetMode="External"/><Relationship Id="rId1379" Type="http://schemas.openxmlformats.org/officeDocument/2006/relationships/hyperlink" Target="http://www.boxofficemojo.com/schedule/?view=bydate&amp;release=theatrical&amp;date=2013-02-01&amp;p=.htm" TargetMode="External"/><Relationship Id="rId1764" Type="http://schemas.openxmlformats.org/officeDocument/2006/relationships/hyperlink" Target="http://www.boxofficemojo.com/movies/?id=brassteapot.htm" TargetMode="External"/><Relationship Id="rId1765" Type="http://schemas.openxmlformats.org/officeDocument/2006/relationships/hyperlink" Target="http://www.boxofficemojo.com/studio/chart/?studio=magnolia.htm" TargetMode="External"/><Relationship Id="rId1766" Type="http://schemas.openxmlformats.org/officeDocument/2006/relationships/hyperlink" Target="http://www.boxofficemojo.com/schedule/?view=bydate&amp;release=theatrical&amp;date=2013-04-05&amp;p=.htm" TargetMode="External"/><Relationship Id="rId1767" Type="http://schemas.openxmlformats.org/officeDocument/2006/relationships/hyperlink" Target="http://www.boxofficemojo.com/movies/?id=findingmrright.htm" TargetMode="External"/><Relationship Id="rId1768" Type="http://schemas.openxmlformats.org/officeDocument/2006/relationships/hyperlink" Target="http://www.boxofficemojo.com/studio/chart/?studio=chinalion.htm" TargetMode="External"/><Relationship Id="rId1769" Type="http://schemas.openxmlformats.org/officeDocument/2006/relationships/hyperlink" Target="http://www.boxofficemojo.com/schedule/?view=bydate&amp;release=theatrical&amp;date=2013-11-08&amp;p=.htm" TargetMode="External"/><Relationship Id="rId900" Type="http://schemas.openxmlformats.org/officeDocument/2006/relationships/hyperlink" Target="http://www.boxofficemojo.com/movies/?id=escapefromtomorrow.htm" TargetMode="External"/><Relationship Id="rId901" Type="http://schemas.openxmlformats.org/officeDocument/2006/relationships/hyperlink" Target="http://www.boxofficemojo.com/studio/chart/?studio=pda.htm" TargetMode="External"/><Relationship Id="rId902" Type="http://schemas.openxmlformats.org/officeDocument/2006/relationships/hyperlink" Target="http://www.boxofficemojo.com/schedule/?view=bydate&amp;release=theatrical&amp;date=2013-10-11&amp;p=.htm" TargetMode="External"/><Relationship Id="rId903" Type="http://schemas.openxmlformats.org/officeDocument/2006/relationships/hyperlink" Target="http://www.boxofficemojo.com/movies/?id=copperhead.htm" TargetMode="External"/><Relationship Id="rId904" Type="http://schemas.openxmlformats.org/officeDocument/2006/relationships/hyperlink" Target="http://www.boxofficemojo.com/studio/chart/?studio=filmcollective.htm" TargetMode="External"/><Relationship Id="rId905" Type="http://schemas.openxmlformats.org/officeDocument/2006/relationships/hyperlink" Target="http://www.boxofficemojo.com/schedule/?view=bydate&amp;release=theatrical&amp;date=2013-06-28&amp;p=.htm" TargetMode="External"/><Relationship Id="rId906" Type="http://schemas.openxmlformats.org/officeDocument/2006/relationships/hyperlink" Target="http://www.boxofficemojo.com/movies/?id=rajkumar.htm" TargetMode="External"/><Relationship Id="rId907" Type="http://schemas.openxmlformats.org/officeDocument/2006/relationships/hyperlink" Target="http://www.boxofficemojo.com/studio/chart/?studio=eros.htm" TargetMode="External"/><Relationship Id="rId120" Type="http://schemas.openxmlformats.org/officeDocument/2006/relationships/hyperlink" Target="http://www.boxofficemojo.com/movies/?id=planes.htm" TargetMode="External"/><Relationship Id="rId121" Type="http://schemas.openxmlformats.org/officeDocument/2006/relationships/hyperlink" Target="http://www.boxofficemojo.com/studio/chart/?studio=buenavista.htm" TargetMode="External"/><Relationship Id="rId122" Type="http://schemas.openxmlformats.org/officeDocument/2006/relationships/hyperlink" Target="http://www.boxofficemojo.com/schedule/?view=bydate&amp;release=theatrical&amp;date=2013-08-09&amp;p=.htm" TargetMode="External"/><Relationship Id="rId123" Type="http://schemas.openxmlformats.org/officeDocument/2006/relationships/hyperlink" Target="http://www.boxofficemojo.com/movies/?id=loneranger.htm" TargetMode="External"/><Relationship Id="rId124" Type="http://schemas.openxmlformats.org/officeDocument/2006/relationships/hyperlink" Target="http://www.boxofficemojo.com/studio/chart/?studio=buenavista.htm" TargetMode="External"/><Relationship Id="rId125" Type="http://schemas.openxmlformats.org/officeDocument/2006/relationships/hyperlink" Target="http://www.boxofficemojo.com/schedule/?view=bydate&amp;release=theatrical&amp;date=2013-07-03&amp;p=.htm" TargetMode="External"/><Relationship Id="rId126" Type="http://schemas.openxmlformats.org/officeDocument/2006/relationships/hyperlink" Target="http://www.boxofficemojo.com/movies/?id=oblivion.htm" TargetMode="External"/><Relationship Id="rId127" Type="http://schemas.openxmlformats.org/officeDocument/2006/relationships/hyperlink" Target="http://www.boxofficemojo.com/studio/chart/?studio=universal.htm" TargetMode="External"/><Relationship Id="rId128" Type="http://schemas.openxmlformats.org/officeDocument/2006/relationships/hyperlink" Target="http://www.boxofficemojo.com/schedule/?view=bydate&amp;release=theatrical&amp;date=2013-04-19&amp;p=.htm" TargetMode="External"/><Relationship Id="rId129" Type="http://schemas.openxmlformats.org/officeDocument/2006/relationships/hyperlink" Target="http://www.boxofficemojo.com/movies/?id=insidious2.htm" TargetMode="External"/><Relationship Id="rId908" Type="http://schemas.openxmlformats.org/officeDocument/2006/relationships/hyperlink" Target="http://www.boxofficemojo.com/schedule/?view=bydate&amp;release=theatrical&amp;date=2013-12-06&amp;p=.htm" TargetMode="External"/><Relationship Id="rId909" Type="http://schemas.openxmlformats.org/officeDocument/2006/relationships/hyperlink" Target="http://www.boxofficemojo.com/movies/?id=westealsecrets.htm" TargetMode="External"/><Relationship Id="rId510" Type="http://schemas.openxmlformats.org/officeDocument/2006/relationships/hyperlink" Target="http://www.boxofficemojo.com/movies/?id=graceunplugged.htm" TargetMode="External"/><Relationship Id="rId511" Type="http://schemas.openxmlformats.org/officeDocument/2006/relationships/hyperlink" Target="http://www.boxofficemojo.com/studio/chart/?studio=roadsideattractions.htm" TargetMode="External"/><Relationship Id="rId512" Type="http://schemas.openxmlformats.org/officeDocument/2006/relationships/hyperlink" Target="http://www.boxofficemojo.com/schedule/?view=bydate&amp;release=theatrical&amp;date=2013-10-04&amp;p=.htm" TargetMode="External"/><Relationship Id="rId513" Type="http://schemas.openxmlformats.org/officeDocument/2006/relationships/hyperlink" Target="http://www.boxofficemojo.com/movies/?id=sapphires.htm" TargetMode="External"/><Relationship Id="rId514" Type="http://schemas.openxmlformats.org/officeDocument/2006/relationships/hyperlink" Target="http://www.boxofficemojo.com/studio/chart/?studio=weinsteincompany.htm" TargetMode="External"/><Relationship Id="rId515" Type="http://schemas.openxmlformats.org/officeDocument/2006/relationships/hyperlink" Target="http://www.boxofficemojo.com/schedule/?view=bydate&amp;release=theatrical&amp;date=2013-03-22&amp;p=.htm" TargetMode="External"/><Relationship Id="rId516" Type="http://schemas.openxmlformats.org/officeDocument/2006/relationships/hyperlink" Target="http://www.boxofficemojo.com/movies/?id=gatekeepers.htm" TargetMode="External"/><Relationship Id="rId517" Type="http://schemas.openxmlformats.org/officeDocument/2006/relationships/hyperlink" Target="http://www.boxofficemojo.com/studio/chart/?studio=sonyclassics.htm" TargetMode="External"/><Relationship Id="rId518" Type="http://schemas.openxmlformats.org/officeDocument/2006/relationships/hyperlink" Target="http://www.boxofficemojo.com/schedule/?view=bydate&amp;release=theatrical&amp;date=2013-02-01&amp;p=.htm" TargetMode="External"/><Relationship Id="rId519" Type="http://schemas.openxmlformats.org/officeDocument/2006/relationships/hyperlink" Target="http://www.boxofficemojo.com/movies/?id=churchgirl.htm" TargetMode="External"/><Relationship Id="rId1770" Type="http://schemas.openxmlformats.org/officeDocument/2006/relationships/hyperlink" Target="http://www.boxofficemojo.com/movies/?id=assaulted.htm" TargetMode="External"/><Relationship Id="rId1771" Type="http://schemas.openxmlformats.org/officeDocument/2006/relationships/hyperlink" Target="http://www.boxofficemojo.com/studio/chart/?studio=hightop.htm" TargetMode="External"/><Relationship Id="rId1772" Type="http://schemas.openxmlformats.org/officeDocument/2006/relationships/hyperlink" Target="http://www.boxofficemojo.com/schedule/?view=bydate&amp;release=theatrical&amp;date=2013-06-20&amp;p=.htm" TargetMode="External"/><Relationship Id="rId1773" Type="http://schemas.openxmlformats.org/officeDocument/2006/relationships/hyperlink" Target="http://www.boxofficemojo.com/movies/?id=sal.htm" TargetMode="External"/><Relationship Id="rId1380" Type="http://schemas.openxmlformats.org/officeDocument/2006/relationships/hyperlink" Target="http://www.boxofficemojo.com/movies/?id=cousinjules.htm" TargetMode="External"/><Relationship Id="rId1381" Type="http://schemas.openxmlformats.org/officeDocument/2006/relationships/hyperlink" Target="http://www.boxofficemojo.com/studio/chart/?studio=cinemaguild.htm" TargetMode="External"/><Relationship Id="rId1382" Type="http://schemas.openxmlformats.org/officeDocument/2006/relationships/hyperlink" Target="http://www.boxofficemojo.com/schedule/?view=bydate&amp;release=theatrical&amp;date=2013-11-29&amp;p=.htm" TargetMode="External"/><Relationship Id="rId1383" Type="http://schemas.openxmlformats.org/officeDocument/2006/relationships/hyperlink" Target="http://www.boxofficemojo.com/movies/?id=fireintheblood.htm" TargetMode="External"/><Relationship Id="rId1384" Type="http://schemas.openxmlformats.org/officeDocument/2006/relationships/hyperlink" Target="http://www.boxofficemojo.com/studio/chart/?studio=intlfilmcircuit.htm" TargetMode="External"/><Relationship Id="rId1385" Type="http://schemas.openxmlformats.org/officeDocument/2006/relationships/hyperlink" Target="http://www.boxofficemojo.com/schedule/?view=bydate&amp;release=theatrical&amp;date=2013-09-06&amp;p=.htm" TargetMode="External"/><Relationship Id="rId1386" Type="http://schemas.openxmlformats.org/officeDocument/2006/relationships/hyperlink" Target="http://www.boxofficemojo.com/movies/?id=struckbylightning.htm" TargetMode="External"/><Relationship Id="rId1387" Type="http://schemas.openxmlformats.org/officeDocument/2006/relationships/hyperlink" Target="http://www.boxofficemojo.com/studio/chart/?studio=tribecafilm.htm" TargetMode="External"/><Relationship Id="rId1388" Type="http://schemas.openxmlformats.org/officeDocument/2006/relationships/hyperlink" Target="http://www.boxofficemojo.com/schedule/?view=bydate&amp;release=theatrical&amp;date=2013-01-11&amp;p=.htm" TargetMode="External"/><Relationship Id="rId1389" Type="http://schemas.openxmlformats.org/officeDocument/2006/relationships/hyperlink" Target="http://www.boxofficemojo.com/movies/?id=simonkiller.htm" TargetMode="External"/><Relationship Id="rId1774" Type="http://schemas.openxmlformats.org/officeDocument/2006/relationships/hyperlink" Target="http://www.boxofficemojo.com/studio/chart/?studio=tribecafilm.htm" TargetMode="External"/><Relationship Id="rId1775" Type="http://schemas.openxmlformats.org/officeDocument/2006/relationships/hyperlink" Target="http://www.boxofficemojo.com/schedule/?view=bydate&amp;release=theatrical&amp;date=2013-11-01&amp;p=.htm" TargetMode="External"/><Relationship Id="rId1776" Type="http://schemas.openxmlformats.org/officeDocument/2006/relationships/hyperlink" Target="http://www.boxofficemojo.com/movies/?id=humanscale.htm" TargetMode="External"/><Relationship Id="rId1777" Type="http://schemas.openxmlformats.org/officeDocument/2006/relationships/hyperlink" Target="http://www.boxofficemojo.com/studio/chart/?studio=kimstim.htm" TargetMode="External"/><Relationship Id="rId1778" Type="http://schemas.openxmlformats.org/officeDocument/2006/relationships/hyperlink" Target="http://www.boxofficemojo.com/schedule/?view=bydate&amp;release=theatrical&amp;date=2013-10-18&amp;p=.htm" TargetMode="External"/><Relationship Id="rId1779" Type="http://schemas.openxmlformats.org/officeDocument/2006/relationships/hyperlink" Target="http://www.boxofficemojo.com/movies/?id=paradisehope.htm" TargetMode="External"/><Relationship Id="rId910" Type="http://schemas.openxmlformats.org/officeDocument/2006/relationships/hyperlink" Target="http://www.boxofficemojo.com/studio/chart/?studio=focus.htm" TargetMode="External"/><Relationship Id="rId911" Type="http://schemas.openxmlformats.org/officeDocument/2006/relationships/hyperlink" Target="http://www.boxofficemojo.com/schedule/?view=bydate&amp;release=theatrical&amp;date=2013-05-24&amp;p=.htm" TargetMode="External"/><Relationship Id="rId912" Type="http://schemas.openxmlformats.org/officeDocument/2006/relationships/hyperlink" Target="http://www.boxofficemojo.com/movies/?id=onthejob.htm" TargetMode="External"/><Relationship Id="rId913" Type="http://schemas.openxmlformats.org/officeDocument/2006/relationships/hyperlink" Target="http://www.boxofficemojo.com/studio/chart/?studio=wellgo.htm" TargetMode="External"/><Relationship Id="rId914" Type="http://schemas.openxmlformats.org/officeDocument/2006/relationships/hyperlink" Target="http://www.boxofficemojo.com/schedule/?view=bydate&amp;release=theatrical&amp;date=2013-09-27&amp;p=.htm" TargetMode="External"/><Relationship Id="rId915" Type="http://schemas.openxmlformats.org/officeDocument/2006/relationships/hyperlink" Target="http://www.boxofficemojo.com/movies/?id=motherofgeorge.htm" TargetMode="External"/><Relationship Id="rId916" Type="http://schemas.openxmlformats.org/officeDocument/2006/relationships/hyperlink" Target="http://www.boxofficemojo.com/studio/chart/?studio=oscilloscopepictures.htm" TargetMode="External"/><Relationship Id="rId917" Type="http://schemas.openxmlformats.org/officeDocument/2006/relationships/hyperlink" Target="http://www.boxofficemojo.com/schedule/?view=bydate&amp;release=theatrical&amp;date=2013-09-13&amp;p=.htm" TargetMode="External"/><Relationship Id="rId130" Type="http://schemas.openxmlformats.org/officeDocument/2006/relationships/hyperlink" Target="http://www.boxofficemojo.com/studio/chart/?studio=filmdistrict.htm" TargetMode="External"/><Relationship Id="rId131" Type="http://schemas.openxmlformats.org/officeDocument/2006/relationships/hyperlink" Target="http://www.boxofficemojo.com/schedule/?view=bydate&amp;release=theatrical&amp;date=2013-09-13&amp;p=.htm" TargetMode="External"/><Relationship Id="rId132" Type="http://schemas.openxmlformats.org/officeDocument/2006/relationships/hyperlink" Target="http://www.boxofficemojo.com/movies/?id=savingmrbanks.htm" TargetMode="External"/><Relationship Id="rId133" Type="http://schemas.openxmlformats.org/officeDocument/2006/relationships/hyperlink" Target="http://www.boxofficemojo.com/studio/chart/?studio=buenavista.htm" TargetMode="External"/><Relationship Id="rId134" Type="http://schemas.openxmlformats.org/officeDocument/2006/relationships/hyperlink" Target="http://www.boxofficemojo.com/schedule/?view=bydate&amp;release=theatrical&amp;date=2013-12-13&amp;p=.htm" TargetMode="External"/><Relationship Id="rId135" Type="http://schemas.openxmlformats.org/officeDocument/2006/relationships/hyperlink" Target="http://www.boxofficemojo.com/movies/?id=turbo.htm" TargetMode="External"/><Relationship Id="rId136" Type="http://schemas.openxmlformats.org/officeDocument/2006/relationships/hyperlink" Target="http://www.boxofficemojo.com/studio/chart/?studio=fox.htm" TargetMode="External"/><Relationship Id="rId137" Type="http://schemas.openxmlformats.org/officeDocument/2006/relationships/hyperlink" Target="http://www.boxofficemojo.com/schedule/?view=bydate&amp;release=theatrical&amp;date=2013-07-17&amp;p=.htm" TargetMode="External"/><Relationship Id="rId138" Type="http://schemas.openxmlformats.org/officeDocument/2006/relationships/hyperlink" Target="http://www.boxofficemojo.com/movies/?id=2guns.htm" TargetMode="External"/><Relationship Id="rId139" Type="http://schemas.openxmlformats.org/officeDocument/2006/relationships/hyperlink" Target="http://www.boxofficemojo.com/studio/chart/?studio=universal.htm" TargetMode="External"/><Relationship Id="rId918" Type="http://schemas.openxmlformats.org/officeDocument/2006/relationships/hyperlink" Target="http://www.boxofficemojo.com/movies/?id=freethemind.htm" TargetMode="External"/><Relationship Id="rId919" Type="http://schemas.openxmlformats.org/officeDocument/2006/relationships/hyperlink" Target="http://www.boxofficemojo.com/studio/chart/?studio=intlfilmcircuit.htm" TargetMode="External"/><Relationship Id="rId520" Type="http://schemas.openxmlformats.org/officeDocument/2006/relationships/hyperlink" Target="http://www.boxofficemojo.com/studio/chart/?studio=hightop.htm" TargetMode="External"/><Relationship Id="rId521" Type="http://schemas.openxmlformats.org/officeDocument/2006/relationships/hyperlink" Target="http://www.boxofficemojo.com/schedule/?view=bydate&amp;release=theatrical&amp;date=2013-10-18&amp;p=.htm" TargetMode="External"/><Relationship Id="rId522" Type="http://schemas.openxmlformats.org/officeDocument/2006/relationships/hyperlink" Target="http://www.boxofficemojo.com/movies/?id=no2013.htm" TargetMode="External"/><Relationship Id="rId523" Type="http://schemas.openxmlformats.org/officeDocument/2006/relationships/hyperlink" Target="http://www.boxofficemojo.com/studio/chart/?studio=sonyclassics.htm" TargetMode="External"/><Relationship Id="rId524" Type="http://schemas.openxmlformats.org/officeDocument/2006/relationships/hyperlink" Target="http://www.boxofficemojo.com/schedule/?view=bydate&amp;release=theatrical&amp;date=2013-02-15&amp;p=.htm" TargetMode="External"/><Relationship Id="rId525" Type="http://schemas.openxmlformats.org/officeDocument/2006/relationships/hyperlink" Target="http://www.boxofficemojo.com/movies/?id=trance.htm" TargetMode="External"/><Relationship Id="rId526" Type="http://schemas.openxmlformats.org/officeDocument/2006/relationships/hyperlink" Target="http://www.boxofficemojo.com/studio/chart/?studio=foxsearchlight.htm" TargetMode="External"/><Relationship Id="rId527" Type="http://schemas.openxmlformats.org/officeDocument/2006/relationships/hyperlink" Target="http://www.boxofficemojo.com/schedule/?view=bydate&amp;release=theatrical&amp;date=2013-04-05&amp;p=.htm" TargetMode="External"/><Relationship Id="rId528" Type="http://schemas.openxmlformats.org/officeDocument/2006/relationships/hyperlink" Target="http://www.boxofficemojo.com/movies/?id=east.htm" TargetMode="External"/><Relationship Id="rId529" Type="http://schemas.openxmlformats.org/officeDocument/2006/relationships/hyperlink" Target="http://www.boxofficemojo.com/studio/chart/?studio=foxsearchlight.htm" TargetMode="External"/><Relationship Id="rId1780" Type="http://schemas.openxmlformats.org/officeDocument/2006/relationships/hyperlink" Target="http://www.boxofficemojo.com/studio/chart/?studio=strand.htm" TargetMode="External"/><Relationship Id="rId1781" Type="http://schemas.openxmlformats.org/officeDocument/2006/relationships/hyperlink" Target="http://www.boxofficemojo.com/schedule/?view=bydate&amp;release=theatrical&amp;date=2013-12-06&amp;p=.htm" TargetMode="External"/><Relationship Id="rId1782" Type="http://schemas.openxmlformats.org/officeDocument/2006/relationships/hyperlink" Target="http://www.boxofficemojo.com/movies/?id=breakfastwithcurtis.htm" TargetMode="External"/><Relationship Id="rId1783" Type="http://schemas.openxmlformats.org/officeDocument/2006/relationships/hyperlink" Target="http://www.boxofficemojo.com/studio/chart/?studio=abramorama.htm" TargetMode="External"/><Relationship Id="rId1390" Type="http://schemas.openxmlformats.org/officeDocument/2006/relationships/hyperlink" Target="http://www.boxofficemojo.com/studio/chart/?studio=ifc.htm" TargetMode="External"/><Relationship Id="rId1391" Type="http://schemas.openxmlformats.org/officeDocument/2006/relationships/hyperlink" Target="http://www.boxofficemojo.com/schedule/?view=bydate&amp;release=theatrical&amp;date=2013-04-05&amp;p=.htm" TargetMode="External"/><Relationship Id="rId1392" Type="http://schemas.openxmlformats.org/officeDocument/2006/relationships/hyperlink" Target="http://www.boxofficemojo.com/movies/?id=broadwayidiot.htm" TargetMode="External"/><Relationship Id="rId1393" Type="http://schemas.openxmlformats.org/officeDocument/2006/relationships/hyperlink" Target="http://www.boxofficemojo.com/studio/chart/?studio=filmbuff.htm" TargetMode="External"/><Relationship Id="rId1394" Type="http://schemas.openxmlformats.org/officeDocument/2006/relationships/hyperlink" Target="http://www.boxofficemojo.com/schedule/?view=bydate&amp;release=theatrical&amp;date=2013-10-11&amp;p=.htm" TargetMode="External"/><Relationship Id="rId1395" Type="http://schemas.openxmlformats.org/officeDocument/2006/relationships/hyperlink" Target="http://www.boxofficemojo.com/movies/?id=tigereyes.htm" TargetMode="External"/><Relationship Id="rId1396" Type="http://schemas.openxmlformats.org/officeDocument/2006/relationships/hyperlink" Target="http://www.boxofficemojo.com/studio/chart/?studio=fs.htm" TargetMode="External"/><Relationship Id="rId1397" Type="http://schemas.openxmlformats.org/officeDocument/2006/relationships/hyperlink" Target="http://www.boxofficemojo.com/schedule/?view=bydate&amp;release=theatrical&amp;date=2013-06-07&amp;p=.htm" TargetMode="External"/><Relationship Id="rId1398" Type="http://schemas.openxmlformats.org/officeDocument/2006/relationships/hyperlink" Target="http://www.boxofficemojo.com/movies/?id=outinthedark.htm" TargetMode="External"/><Relationship Id="rId1399" Type="http://schemas.openxmlformats.org/officeDocument/2006/relationships/hyperlink" Target="http://www.boxofficemojo.com/studio/chart/?studio=breakingglass.htm" TargetMode="External"/><Relationship Id="rId1784" Type="http://schemas.openxmlformats.org/officeDocument/2006/relationships/hyperlink" Target="http://www.boxofficemojo.com/schedule/?view=bydate&amp;release=theatrical&amp;date=2013-12-04&amp;p=.htm" TargetMode="External"/><Relationship Id="rId1785" Type="http://schemas.openxmlformats.org/officeDocument/2006/relationships/hyperlink" Target="http://www.boxofficemojo.com/movies/?id=briefreunion.htm" TargetMode="External"/><Relationship Id="rId1786" Type="http://schemas.openxmlformats.org/officeDocument/2006/relationships/hyperlink" Target="http://www.boxofficemojo.com/studio/chart/?studio=striped.htm" TargetMode="External"/><Relationship Id="rId1787" Type="http://schemas.openxmlformats.org/officeDocument/2006/relationships/hyperlink" Target="http://www.boxofficemojo.com/schedule/?view=bydate&amp;release=theatrical&amp;date=2013-01-18&amp;p=.htm" TargetMode="External"/><Relationship Id="rId1788" Type="http://schemas.openxmlformats.org/officeDocument/2006/relationships/hyperlink" Target="http://www.boxofficemojo.com/movies/?id=downtheshore.htm" TargetMode="External"/><Relationship Id="rId1789" Type="http://schemas.openxmlformats.org/officeDocument/2006/relationships/hyperlink" Target="http://www.boxofficemojo.com/studio/chart/?studio=anchorbayentertainment.htm" TargetMode="External"/><Relationship Id="rId1" Type="http://schemas.openxmlformats.org/officeDocument/2006/relationships/hyperlink" Target="http://www.boxofficemojo.com/yearly/chart/?view=releasedate&amp;view2=domestic&amp;yr=2013&amp;sort=gross&amp;order=ASC&amp;p=.htm" TargetMode="External"/><Relationship Id="rId2" Type="http://schemas.openxmlformats.org/officeDocument/2006/relationships/hyperlink" Target="http://www.boxofficemojo.com/yearly/chart/?view=releasedate&amp;view2=domestic&amp;yr=2013&amp;sort=title&amp;order=ASC&amp;p=.htm" TargetMode="External"/><Relationship Id="rId3" Type="http://schemas.openxmlformats.org/officeDocument/2006/relationships/hyperlink" Target="http://www.boxofficemojo.com/yearly/chart/?view=releasedate&amp;view2=domestic&amp;yr=2013&amp;sort=studio&amp;order=ASC&amp;p=.htm" TargetMode="External"/><Relationship Id="rId920" Type="http://schemas.openxmlformats.org/officeDocument/2006/relationships/hyperlink" Target="http://www.boxofficemojo.com/schedule/?view=bydate&amp;release=theatrical&amp;date=2013-05-03&amp;p=.htm" TargetMode="External"/><Relationship Id="rId921" Type="http://schemas.openxmlformats.org/officeDocument/2006/relationships/hyperlink" Target="http://www.boxofficemojo.com/movies/?id=luv.htm" TargetMode="External"/><Relationship Id="rId922" Type="http://schemas.openxmlformats.org/officeDocument/2006/relationships/hyperlink" Target="http://www.boxofficemojo.com/studio/chart/?studio=indomina.htm" TargetMode="External"/><Relationship Id="rId923" Type="http://schemas.openxmlformats.org/officeDocument/2006/relationships/hyperlink" Target="http://www.boxofficemojo.com/schedule/?view=bydate&amp;release=theatrical&amp;date=2013-01-18&amp;p=.htm" TargetMode="External"/><Relationship Id="rId924" Type="http://schemas.openxmlformats.org/officeDocument/2006/relationships/hyperlink" Target="http://www.boxofficemojo.com/movies/?id=atouchofsin.htm" TargetMode="External"/><Relationship Id="rId925" Type="http://schemas.openxmlformats.org/officeDocument/2006/relationships/hyperlink" Target="http://www.boxofficemojo.com/studio/chart/?studio=kinolorber.htm" TargetMode="External"/><Relationship Id="rId926" Type="http://schemas.openxmlformats.org/officeDocument/2006/relationships/hyperlink" Target="http://www.boxofficemojo.com/schedule/?view=bydate&amp;release=theatrical&amp;date=2013-10-04&amp;p=.htm" TargetMode="External"/><Relationship Id="rId927" Type="http://schemas.openxmlformats.org/officeDocument/2006/relationships/hyperlink" Target="http://www.boxofficemojo.com/movies/?id=rickyjay.htm" TargetMode="External"/><Relationship Id="rId140" Type="http://schemas.openxmlformats.org/officeDocument/2006/relationships/hyperlink" Target="http://www.boxofficemojo.com/schedule/?view=bydate&amp;release=theatrical&amp;date=2013-08-02&amp;p=.htm" TargetMode="External"/><Relationship Id="rId141" Type="http://schemas.openxmlformats.org/officeDocument/2006/relationships/hyperlink" Target="http://www.boxofficemojo.com/movies/?id=whitehousedown.htm" TargetMode="External"/><Relationship Id="rId142" Type="http://schemas.openxmlformats.org/officeDocument/2006/relationships/hyperlink" Target="http://www.boxofficemojo.com/studio/chart/?studio=sony.htm" TargetMode="External"/><Relationship Id="rId143" Type="http://schemas.openxmlformats.org/officeDocument/2006/relationships/hyperlink" Target="http://www.boxofficemojo.com/schedule/?view=bydate&amp;release=theatrical&amp;date=2013-06-28&amp;p=.htm" TargetMode="External"/><Relationship Id="rId144" Type="http://schemas.openxmlformats.org/officeDocument/2006/relationships/hyperlink" Target="http://www.boxofficemojo.com/movies/?id=mama.htm" TargetMode="External"/><Relationship Id="rId145" Type="http://schemas.openxmlformats.org/officeDocument/2006/relationships/hyperlink" Target="http://www.boxofficemojo.com/studio/chart/?studio=universal.htm" TargetMode="External"/><Relationship Id="rId146" Type="http://schemas.openxmlformats.org/officeDocument/2006/relationships/hyperlink" Target="http://www.boxofficemojo.com/schedule/?view=bydate&amp;release=theatrical&amp;date=2013-01-18&amp;p=.htm" TargetMode="External"/><Relationship Id="rId147" Type="http://schemas.openxmlformats.org/officeDocument/2006/relationships/hyperlink" Target="http://www.boxofficemojo.com/movies/?id=safehaven.htm" TargetMode="External"/><Relationship Id="rId148" Type="http://schemas.openxmlformats.org/officeDocument/2006/relationships/hyperlink" Target="http://www.boxofficemojo.com/studio/chart/?studio=relativity.htm" TargetMode="External"/><Relationship Id="rId149" Type="http://schemas.openxmlformats.org/officeDocument/2006/relationships/hyperlink" Target="http://www.boxofficemojo.com/schedule/?view=bydate&amp;release=theatrical&amp;date=2013-02-14&amp;p=.htm" TargetMode="External"/><Relationship Id="rId928" Type="http://schemas.openxmlformats.org/officeDocument/2006/relationships/hyperlink" Target="http://www.boxofficemojo.com/studio/chart/?studio=kinolorber.htm" TargetMode="External"/><Relationship Id="rId929" Type="http://schemas.openxmlformats.org/officeDocument/2006/relationships/hyperlink" Target="http://www.boxofficemojo.com/schedule/?view=bydate&amp;release=theatrical&amp;date=2013-04-17&amp;p=.htm" TargetMode="External"/><Relationship Id="rId530" Type="http://schemas.openxmlformats.org/officeDocument/2006/relationships/hyperlink" Target="http://www.boxofficemojo.com/schedule/?view=bydate&amp;release=theatrical&amp;date=2013-05-31&amp;p=.htm" TargetMode="External"/><Relationship Id="rId531" Type="http://schemas.openxmlformats.org/officeDocument/2006/relationships/hyperlink" Target="http://www.boxofficemojo.com/movies/?id=renoir.htm" TargetMode="External"/><Relationship Id="rId532" Type="http://schemas.openxmlformats.org/officeDocument/2006/relationships/hyperlink" Target="http://www.boxofficemojo.com/studio/chart/?studio=samuelgoldwyn.htm" TargetMode="External"/><Relationship Id="rId533" Type="http://schemas.openxmlformats.org/officeDocument/2006/relationships/hyperlink" Target="http://www.boxofficemojo.com/schedule/?view=bydate&amp;release=theatrical&amp;date=2013-03-29&amp;p=.htm" TargetMode="External"/><Relationship Id="rId534" Type="http://schemas.openxmlformats.org/officeDocument/2006/relationships/hyperlink" Target="http://www.boxofficemojo.com/movies/?id=christmascandle.htm" TargetMode="External"/><Relationship Id="rId535" Type="http://schemas.openxmlformats.org/officeDocument/2006/relationships/hyperlink" Target="http://www.boxofficemojo.com/studio/chart/?studio=echolight.htm" TargetMode="External"/><Relationship Id="rId536" Type="http://schemas.openxmlformats.org/officeDocument/2006/relationships/hyperlink" Target="http://www.boxofficemojo.com/schedule/?view=bydate&amp;release=theatrical&amp;date=2013-11-15&amp;p=.htm" TargetMode="External"/><Relationship Id="rId537" Type="http://schemas.openxmlformats.org/officeDocument/2006/relationships/hyperlink" Target="http://www.boxofficemojo.com/movies/?id=bluewarm.htm" TargetMode="External"/><Relationship Id="rId538" Type="http://schemas.openxmlformats.org/officeDocument/2006/relationships/hyperlink" Target="http://www.boxofficemojo.com/studio/chart/?studio=ifc.htm" TargetMode="External"/><Relationship Id="rId539" Type="http://schemas.openxmlformats.org/officeDocument/2006/relationships/hyperlink" Target="http://www.boxofficemojo.com/schedule/?view=bydate&amp;release=theatrical&amp;date=2013-10-25&amp;p=.htm" TargetMode="External"/><Relationship Id="rId4" Type="http://schemas.openxmlformats.org/officeDocument/2006/relationships/hyperlink" Target="http://www.boxofficemojo.com/yearly/chart/?view=releasedate&amp;view2=domestic&amp;yr=2013&amp;sort=open&amp;order=DESC&amp;p=.htm" TargetMode="External"/><Relationship Id="rId5" Type="http://schemas.openxmlformats.org/officeDocument/2006/relationships/hyperlink" Target="http://www.boxofficemojo.com/yearly/chart/?view=releasedate&amp;view2=domestic&amp;yr=2013&amp;sort=close&amp;order=DESC&amp;p=.htm" TargetMode="External"/><Relationship Id="rId6" Type="http://schemas.openxmlformats.org/officeDocument/2006/relationships/hyperlink" Target="http://www.boxofficemojo.com/movies/?id=catchingfire.htm" TargetMode="External"/><Relationship Id="rId7" Type="http://schemas.openxmlformats.org/officeDocument/2006/relationships/hyperlink" Target="http://www.boxofficemojo.com/studio/chart/?studio=lionsgate.htm" TargetMode="External"/><Relationship Id="rId8" Type="http://schemas.openxmlformats.org/officeDocument/2006/relationships/hyperlink" Target="http://www.boxofficemojo.com/schedule/?view=bydate&amp;release=theatrical&amp;date=2013-11-22&amp;p=.htm" TargetMode="External"/><Relationship Id="rId9" Type="http://schemas.openxmlformats.org/officeDocument/2006/relationships/hyperlink" Target="http://www.boxofficemojo.com/movies/?id=ironman3.htm" TargetMode="External"/><Relationship Id="rId1790" Type="http://schemas.openxmlformats.org/officeDocument/2006/relationships/hyperlink" Target="http://www.boxofficemojo.com/schedule/?view=bydate&amp;release=theatrical&amp;date=2013-04-05&amp;p=.htm" TargetMode="External"/><Relationship Id="rId1791" Type="http://schemas.openxmlformats.org/officeDocument/2006/relationships/hyperlink" Target="http://www.boxofficemojo.com/movies/?id=paradisefaith.htm" TargetMode="External"/><Relationship Id="rId1792" Type="http://schemas.openxmlformats.org/officeDocument/2006/relationships/hyperlink" Target="http://www.boxofficemojo.com/studio/chart/?studio=strand.htm" TargetMode="External"/><Relationship Id="rId1793" Type="http://schemas.openxmlformats.org/officeDocument/2006/relationships/hyperlink" Target="http://www.boxofficemojo.com/schedule/?view=bydate&amp;release=theatrical&amp;date=2013-08-23&amp;p=.htm" TargetMode="External"/><Relationship Id="rId1794" Type="http://schemas.openxmlformats.org/officeDocument/2006/relationships/hyperlink" Target="http://www.boxofficemojo.com/movies/?id=somevelvetmorning.htm" TargetMode="External"/><Relationship Id="rId1795" Type="http://schemas.openxmlformats.org/officeDocument/2006/relationships/hyperlink" Target="http://www.boxofficemojo.com/studio/chart/?studio=tribecafilm.htm" TargetMode="External"/><Relationship Id="rId1796" Type="http://schemas.openxmlformats.org/officeDocument/2006/relationships/hyperlink" Target="http://www.boxofficemojo.com/schedule/?view=bydate&amp;release=theatrical&amp;date=2013-12-13&amp;p=.htm" TargetMode="External"/><Relationship Id="rId1797" Type="http://schemas.openxmlformats.org/officeDocument/2006/relationships/hyperlink" Target="http://www.boxofficemojo.com/movies/?id=100bloodyacres.htm" TargetMode="External"/><Relationship Id="rId1798" Type="http://schemas.openxmlformats.org/officeDocument/2006/relationships/hyperlink" Target="http://www.boxofficemojo.com/studio/chart/?studio=doppelganger.htm" TargetMode="External"/><Relationship Id="rId1799" Type="http://schemas.openxmlformats.org/officeDocument/2006/relationships/hyperlink" Target="http://www.boxofficemojo.com/schedule/?view=bydate&amp;release=theatrical&amp;date=2013-06-28&amp;p=.htm" TargetMode="External"/><Relationship Id="rId1000" Type="http://schemas.openxmlformats.org/officeDocument/2006/relationships/hyperlink" Target="http://www.boxofficemojo.com/studio/chart/?studio=eros.htm" TargetMode="External"/><Relationship Id="rId1001" Type="http://schemas.openxmlformats.org/officeDocument/2006/relationships/hyperlink" Target="http://www.boxofficemojo.com/schedule/?view=bydate&amp;release=theatrical&amp;date=2013-04-19&amp;p=.htm" TargetMode="External"/><Relationship Id="rId1002" Type="http://schemas.openxmlformats.org/officeDocument/2006/relationships/hyperlink" Target="http://www.boxofficemojo.com/movies/?id=bettiepagerevealsall.htm" TargetMode="External"/><Relationship Id="rId1003" Type="http://schemas.openxmlformats.org/officeDocument/2006/relationships/hyperlink" Target="http://www.boxofficemojo.com/studio/chart/?studio=musicboxfilms.htm" TargetMode="External"/><Relationship Id="rId930" Type="http://schemas.openxmlformats.org/officeDocument/2006/relationships/hyperlink" Target="http://www.boxofficemojo.com/movies/?id=snakeandmongoose.htm" TargetMode="External"/><Relationship Id="rId931" Type="http://schemas.openxmlformats.org/officeDocument/2006/relationships/hyperlink" Target="http://www.boxofficemojo.com/studio/chart/?studio=rockymountainpictures.htm" TargetMode="External"/><Relationship Id="rId932" Type="http://schemas.openxmlformats.org/officeDocument/2006/relationships/hyperlink" Target="http://www.boxofficemojo.com/schedule/?view=bydate&amp;release=theatrical&amp;date=2013-08-09&amp;p=.htm" TargetMode="External"/><Relationship Id="rId933" Type="http://schemas.openxmlformats.org/officeDocument/2006/relationships/hyperlink" Target="http://www.boxofficemojo.com/movies/?id=patiencestone.htm" TargetMode="External"/><Relationship Id="rId934" Type="http://schemas.openxmlformats.org/officeDocument/2006/relationships/hyperlink" Target="http://www.boxofficemojo.com/studio/chart/?studio=sonyclassics.htm" TargetMode="External"/><Relationship Id="rId935" Type="http://schemas.openxmlformats.org/officeDocument/2006/relationships/hyperlink" Target="http://www.boxofficemojo.com/schedule/?view=bydate&amp;release=theatrical&amp;date=2013-08-14&amp;p=.htm" TargetMode="External"/><Relationship Id="rId936" Type="http://schemas.openxmlformats.org/officeDocument/2006/relationships/hyperlink" Target="http://www.boxofficemojo.com/movies/?id=rangeelay.htm" TargetMode="External"/><Relationship Id="rId937" Type="http://schemas.openxmlformats.org/officeDocument/2006/relationships/hyperlink" Target="http://www.boxofficemojo.com/studio/chart/?studio=eros.htm" TargetMode="External"/><Relationship Id="rId150" Type="http://schemas.openxmlformats.org/officeDocument/2006/relationships/hyperlink" Target="http://www.boxofficemojo.com/movies/?id=smurfs2.htm" TargetMode="External"/><Relationship Id="rId151" Type="http://schemas.openxmlformats.org/officeDocument/2006/relationships/hyperlink" Target="http://www.boxofficemojo.com/studio/chart/?studio=sony.htm" TargetMode="External"/><Relationship Id="rId152" Type="http://schemas.openxmlformats.org/officeDocument/2006/relationships/hyperlink" Target="http://www.boxofficemojo.com/schedule/?view=bydate&amp;release=theatrical&amp;date=2013-07-31&amp;p=.htm" TargetMode="External"/><Relationship Id="rId153" Type="http://schemas.openxmlformats.org/officeDocument/2006/relationships/hyperlink" Target="http://www.boxofficemojo.com/movies/?id=bestman2.htm" TargetMode="External"/><Relationship Id="rId154" Type="http://schemas.openxmlformats.org/officeDocument/2006/relationships/hyperlink" Target="http://www.boxofficemojo.com/studio/chart/?studio=universal.htm" TargetMode="External"/><Relationship Id="rId155" Type="http://schemas.openxmlformats.org/officeDocument/2006/relationships/hyperlink" Target="http://www.boxofficemojo.com/schedule/?view=bydate&amp;release=theatrical&amp;date=2013-11-15&amp;p=.htm" TargetMode="External"/><Relationship Id="rId156" Type="http://schemas.openxmlformats.org/officeDocument/2006/relationships/hyperlink" Target="http://www.boxofficemojo.com/movies/?id=percyjackson2.htm" TargetMode="External"/><Relationship Id="rId157" Type="http://schemas.openxmlformats.org/officeDocument/2006/relationships/hyperlink" Target="http://www.boxofficemojo.com/studio/chart/?studio=fox.htm" TargetMode="External"/><Relationship Id="rId158" Type="http://schemas.openxmlformats.org/officeDocument/2006/relationships/hyperlink" Target="http://www.boxofficemojo.com/schedule/?view=bydate&amp;release=theatrical&amp;date=2013-08-07&amp;p=.htm" TargetMode="External"/><Relationship Id="rId159" Type="http://schemas.openxmlformats.org/officeDocument/2006/relationships/hyperlink" Target="http://www.boxofficemojo.com/movies/?id=diehard5.htm" TargetMode="External"/><Relationship Id="rId938" Type="http://schemas.openxmlformats.org/officeDocument/2006/relationships/hyperlink" Target="http://www.boxofficemojo.com/schedule/?view=bydate&amp;release=theatrical&amp;date=2013-05-17&amp;p=.htm" TargetMode="External"/><Relationship Id="rId939" Type="http://schemas.openxmlformats.org/officeDocument/2006/relationships/hyperlink" Target="http://www.boxofficemojo.com/movies/?id=americanpromise.htm" TargetMode="External"/><Relationship Id="rId1004" Type="http://schemas.openxmlformats.org/officeDocument/2006/relationships/hyperlink" Target="http://www.boxofficemojo.com/schedule/?view=bydate&amp;release=theatrical&amp;date=2013-11-22&amp;p=.htm" TargetMode="External"/><Relationship Id="rId1005" Type="http://schemas.openxmlformats.org/officeDocument/2006/relationships/hyperlink" Target="http://www.boxofficemojo.com/movies/?id=augustine.htm" TargetMode="External"/><Relationship Id="rId1006" Type="http://schemas.openxmlformats.org/officeDocument/2006/relationships/hyperlink" Target="http://www.boxofficemojo.com/studio/chart/?studio=musicboxfilms.htm" TargetMode="External"/><Relationship Id="rId1007" Type="http://schemas.openxmlformats.org/officeDocument/2006/relationships/hyperlink" Target="http://www.boxofficemojo.com/schedule/?view=bydate&amp;release=theatrical&amp;date=2013-05-17&amp;p=.htm" TargetMode="External"/><Relationship Id="rId1008" Type="http://schemas.openxmlformats.org/officeDocument/2006/relationships/hyperlink" Target="http://www.boxofficemojo.com/movies/?id=bigstar.htm" TargetMode="External"/><Relationship Id="rId1009" Type="http://schemas.openxmlformats.org/officeDocument/2006/relationships/hyperlink" Target="http://www.boxofficemojo.com/studio/chart/?studio=magnolia.htm" TargetMode="External"/><Relationship Id="rId540" Type="http://schemas.openxmlformats.org/officeDocument/2006/relationships/hyperlink" Target="http://www.boxofficemojo.com/movies/?id=oldboy2013.htm" TargetMode="External"/><Relationship Id="rId541" Type="http://schemas.openxmlformats.org/officeDocument/2006/relationships/hyperlink" Target="http://www.boxofficemojo.com/studio/chart/?studio=filmdistrict.htm" TargetMode="External"/><Relationship Id="rId542" Type="http://schemas.openxmlformats.org/officeDocument/2006/relationships/hyperlink" Target="http://www.boxofficemojo.com/schedule/?view=bydate&amp;release=theatrical&amp;date=2013-11-27&amp;p=.htm" TargetMode="External"/><Relationship Id="rId543" Type="http://schemas.openxmlformats.org/officeDocument/2006/relationships/hyperlink" Target="http://www.boxofficemojo.com/movies/?id=krrish3.htm" TargetMode="External"/><Relationship Id="rId544" Type="http://schemas.openxmlformats.org/officeDocument/2006/relationships/hyperlink" Target="http://www.boxofficemojo.com/studio/chart/?studio=eros.htm" TargetMode="External"/><Relationship Id="rId545" Type="http://schemas.openxmlformats.org/officeDocument/2006/relationships/hyperlink" Target="http://www.boxofficemojo.com/schedule/?view=bydate&amp;release=theatrical&amp;date=2013-11-01&amp;p=.htm" TargetMode="External"/><Relationship Id="rId546" Type="http://schemas.openxmlformats.org/officeDocument/2006/relationships/hyperlink" Target="http://www.boxofficemojo.com/movies/?id=austenland.htm" TargetMode="External"/><Relationship Id="rId547" Type="http://schemas.openxmlformats.org/officeDocument/2006/relationships/hyperlink" Target="http://www.boxofficemojo.com/studio/chart/?studio=sonyclassics.htm" TargetMode="External"/><Relationship Id="rId548" Type="http://schemas.openxmlformats.org/officeDocument/2006/relationships/hyperlink" Target="http://www.boxofficemojo.com/schedule/?view=bydate&amp;release=theatrical&amp;date=2013-08-16&amp;p=.htm" TargetMode="External"/><Relationship Id="rId549" Type="http://schemas.openxmlformats.org/officeDocument/2006/relationships/hyperlink" Target="http://www.boxofficemojo.com/movies/?id=saratovapproach.htm" TargetMode="External"/><Relationship Id="rId1400" Type="http://schemas.openxmlformats.org/officeDocument/2006/relationships/hyperlink" Target="http://www.boxofficemojo.com/schedule/?view=bydate&amp;release=theatrical&amp;date=2013-09-27&amp;p=.htm" TargetMode="External"/><Relationship Id="rId1401" Type="http://schemas.openxmlformats.org/officeDocument/2006/relationships/hyperlink" Target="http://www.boxofficemojo.com/movies/?id=thesweeney.htm" TargetMode="External"/><Relationship Id="rId1402" Type="http://schemas.openxmlformats.org/officeDocument/2006/relationships/hyperlink" Target="http://www.boxofficemojo.com/studio/chart/?studio=entertainmentone.htm" TargetMode="External"/><Relationship Id="rId1403" Type="http://schemas.openxmlformats.org/officeDocument/2006/relationships/hyperlink" Target="http://www.boxofficemojo.com/schedule/?view=bydate&amp;release=theatrical&amp;date=2013-03-01&amp;p=.htm" TargetMode="External"/><Relationship Id="rId1404" Type="http://schemas.openxmlformats.org/officeDocument/2006/relationships/hyperlink" Target="http://www.boxofficemojo.com/movies/?id=poweroffew.htm" TargetMode="External"/><Relationship Id="rId1405" Type="http://schemas.openxmlformats.org/officeDocument/2006/relationships/hyperlink" Target="http://www.boxofficemojo.com/studio/chart/?studio=steelyardpictures.htm" TargetMode="External"/><Relationship Id="rId1406" Type="http://schemas.openxmlformats.org/officeDocument/2006/relationships/hyperlink" Target="http://www.boxofficemojo.com/schedule/?view=bydate&amp;release=theatrical&amp;date=2013-02-15&amp;p=.htm" TargetMode="External"/><Relationship Id="rId1407" Type="http://schemas.openxmlformats.org/officeDocument/2006/relationships/hyperlink" Target="http://www.boxofficemojo.com/movies/?id=graceland.htm" TargetMode="External"/><Relationship Id="rId1408" Type="http://schemas.openxmlformats.org/officeDocument/2006/relationships/hyperlink" Target="http://www.boxofficemojo.com/studio/chart/?studio=drafthousefilms.htm" TargetMode="External"/><Relationship Id="rId1409" Type="http://schemas.openxmlformats.org/officeDocument/2006/relationships/hyperlink" Target="http://www.boxofficemojo.com/schedule/?view=bydate&amp;release=theatrical&amp;date=2013-04-26&amp;p=.htm" TargetMode="External"/><Relationship Id="rId940" Type="http://schemas.openxmlformats.org/officeDocument/2006/relationships/hyperlink" Target="http://www.boxofficemojo.com/studio/chart/?studio=radafilmgroup.htm" TargetMode="External"/><Relationship Id="rId941" Type="http://schemas.openxmlformats.org/officeDocument/2006/relationships/hyperlink" Target="http://www.boxofficemojo.com/schedule/?view=bydate&amp;release=theatrical&amp;date=2013-10-18&amp;p=.htm" TargetMode="External"/><Relationship Id="rId942" Type="http://schemas.openxmlformats.org/officeDocument/2006/relationships/hyperlink" Target="http://www.boxofficemojo.com/movies/?id=narcocultura.htm" TargetMode="External"/><Relationship Id="rId943" Type="http://schemas.openxmlformats.org/officeDocument/2006/relationships/hyperlink" Target="http://www.boxofficemojo.com/studio/chart/?studio=cinedigmentertainment.htm" TargetMode="External"/><Relationship Id="rId944" Type="http://schemas.openxmlformats.org/officeDocument/2006/relationships/hyperlink" Target="http://www.boxofficemojo.com/schedule/?view=bydate&amp;release=theatrical&amp;date=2013-11-22&amp;p=.htm" TargetMode="External"/><Relationship Id="rId945" Type="http://schemas.openxmlformats.org/officeDocument/2006/relationships/hyperlink" Target="http://www.boxofficemojo.com/movies/?id=johndiesattheend.htm" TargetMode="External"/><Relationship Id="rId160" Type="http://schemas.openxmlformats.org/officeDocument/2006/relationships/hyperlink" Target="http://www.boxofficemojo.com/studio/chart/?studio=fox.htm" TargetMode="External"/><Relationship Id="rId161" Type="http://schemas.openxmlformats.org/officeDocument/2006/relationships/hyperlink" Target="http://www.boxofficemojo.com/schedule/?view=bydate&amp;release=theatrical&amp;date=2013-02-14&amp;p=.htm" TargetMode="External"/><Relationship Id="rId162" Type="http://schemas.openxmlformats.org/officeDocument/2006/relationships/hyperlink" Target="http://www.boxofficemojo.com/movies/?id=warmbodies.htm" TargetMode="External"/><Relationship Id="rId163" Type="http://schemas.openxmlformats.org/officeDocument/2006/relationships/hyperlink" Target="http://www.boxofficemojo.com/studio/chart/?studio=lionsgatesummit.htm" TargetMode="External"/><Relationship Id="rId164" Type="http://schemas.openxmlformats.org/officeDocument/2006/relationships/hyperlink" Target="http://www.boxofficemojo.com/schedule/?view=bydate&amp;release=theatrical&amp;date=2013-02-01&amp;p=.htm" TargetMode="External"/><Relationship Id="rId165" Type="http://schemas.openxmlformats.org/officeDocument/2006/relationships/hyperlink" Target="http://www.boxofficemojo.com/movies/?id=jackthegiantkiller.htm" TargetMode="External"/><Relationship Id="rId166" Type="http://schemas.openxmlformats.org/officeDocument/2006/relationships/hyperlink" Target="http://www.boxofficemojo.com/studio/chart/?studio=wb-newline.htm" TargetMode="External"/><Relationship Id="rId167" Type="http://schemas.openxmlformats.org/officeDocument/2006/relationships/hyperlink" Target="http://www.boxofficemojo.com/schedule/?view=bydate&amp;release=theatrical&amp;date=2013-03-01&amp;p=.htm" TargetMode="External"/><Relationship Id="rId168" Type="http://schemas.openxmlformats.org/officeDocument/2006/relationships/hyperlink" Target="http://www.boxofficemojo.com/movies/?id=purge.htm" TargetMode="External"/><Relationship Id="rId169" Type="http://schemas.openxmlformats.org/officeDocument/2006/relationships/hyperlink" Target="http://www.boxofficemojo.com/studio/chart/?studio=universal.htm" TargetMode="External"/><Relationship Id="rId946" Type="http://schemas.openxmlformats.org/officeDocument/2006/relationships/hyperlink" Target="http://www.boxofficemojo.com/studio/chart/?studio=magnolia.htm" TargetMode="External"/><Relationship Id="rId947" Type="http://schemas.openxmlformats.org/officeDocument/2006/relationships/hyperlink" Target="http://www.boxofficemojo.com/schedule/?view=bydate&amp;release=theatrical&amp;date=2013-01-25&amp;p=.htm" TargetMode="External"/><Relationship Id="rId948" Type="http://schemas.openxmlformats.org/officeDocument/2006/relationships/hyperlink" Target="http://www.boxofficemojo.com/movies/?id=goodolfreda.htm" TargetMode="External"/><Relationship Id="rId949" Type="http://schemas.openxmlformats.org/officeDocument/2006/relationships/hyperlink" Target="http://www.boxofficemojo.com/studio/chart/?studio=magnolia.htm" TargetMode="External"/><Relationship Id="rId1010" Type="http://schemas.openxmlformats.org/officeDocument/2006/relationships/hyperlink" Target="http://www.boxofficemojo.com/schedule/?view=bydate&amp;release=theatrical&amp;date=2013-07-03&amp;p=.htm" TargetMode="External"/><Relationship Id="rId1011" Type="http://schemas.openxmlformats.org/officeDocument/2006/relationships/hyperlink" Target="http://www.boxofficemojo.com/movies/?id=upsidedown.htm" TargetMode="External"/><Relationship Id="rId1012" Type="http://schemas.openxmlformats.org/officeDocument/2006/relationships/hyperlink" Target="http://www.boxofficemojo.com/studio/chart/?studio=millenniumentertainment.htm" TargetMode="External"/><Relationship Id="rId1013" Type="http://schemas.openxmlformats.org/officeDocument/2006/relationships/hyperlink" Target="http://www.boxofficemojo.com/schedule/?view=bydate&amp;release=theatrical&amp;date=2013-03-15&amp;p=.htm" TargetMode="External"/><Relationship Id="rId1014" Type="http://schemas.openxmlformats.org/officeDocument/2006/relationships/hyperlink" Target="http://www.boxofficemojo.com/movies/?id=englishteacher.htm" TargetMode="External"/><Relationship Id="rId1015" Type="http://schemas.openxmlformats.org/officeDocument/2006/relationships/hyperlink" Target="http://www.boxofficemojo.com/studio/chart/?studio=cinedigmentertainment.htm" TargetMode="External"/><Relationship Id="rId1016" Type="http://schemas.openxmlformats.org/officeDocument/2006/relationships/hyperlink" Target="http://www.boxofficemojo.com/schedule/?view=bydate&amp;release=theatrical&amp;date=2013-05-17&amp;p=.htm" TargetMode="External"/><Relationship Id="rId1017" Type="http://schemas.openxmlformats.org/officeDocument/2006/relationships/hyperlink" Target="http://www.boxofficemojo.com/movies/?id=gimmetheloot.htm" TargetMode="External"/><Relationship Id="rId1018" Type="http://schemas.openxmlformats.org/officeDocument/2006/relationships/hyperlink" Target="http://www.boxofficemojo.com/studio/chart/?studio=ifc.htm" TargetMode="External"/><Relationship Id="rId1019" Type="http://schemas.openxmlformats.org/officeDocument/2006/relationships/hyperlink" Target="http://www.boxofficemojo.com/schedule/?view=bydate&amp;release=theatrical&amp;date=2013-03-22&amp;p=.htm" TargetMode="External"/><Relationship Id="rId550" Type="http://schemas.openxmlformats.org/officeDocument/2006/relationships/hyperlink" Target="http://www.boxofficemojo.com/studio/chart/?studio=purdie.htm" TargetMode="External"/><Relationship Id="rId551" Type="http://schemas.openxmlformats.org/officeDocument/2006/relationships/hyperlink" Target="http://www.boxofficemojo.com/schedule/?view=bydate&amp;release=theatrical&amp;date=2013-10-09&amp;p=.htm" TargetMode="External"/><Relationship Id="rId552" Type="http://schemas.openxmlformats.org/officeDocument/2006/relationships/hyperlink" Target="http://www.boxofficemojo.com/movies/?id=2013oscar.htm" TargetMode="External"/><Relationship Id="rId553" Type="http://schemas.openxmlformats.org/officeDocument/2006/relationships/hyperlink" Target="http://www.boxofficemojo.com/studio/chart/?studio=shortsinternational.htm" TargetMode="External"/><Relationship Id="rId554" Type="http://schemas.openxmlformats.org/officeDocument/2006/relationships/hyperlink" Target="http://www.boxofficemojo.com/schedule/?view=bydate&amp;release=theatrical&amp;date=2013-02-01&amp;p=.htm" TargetMode="External"/><Relationship Id="rId555" Type="http://schemas.openxmlformats.org/officeDocument/2006/relationships/hyperlink" Target="http://www.boxofficemojo.com/movies/?id=blackfish.htm" TargetMode="External"/><Relationship Id="rId556" Type="http://schemas.openxmlformats.org/officeDocument/2006/relationships/hyperlink" Target="http://www.boxofficemojo.com/studio/chart/?studio=magnolia.htm" TargetMode="External"/><Relationship Id="rId557" Type="http://schemas.openxmlformats.org/officeDocument/2006/relationships/hyperlink" Target="http://www.boxofficemojo.com/schedule/?view=bydate&amp;release=theatrical&amp;date=2013-07-19&amp;p=.htm" TargetMode="External"/><Relationship Id="rId558" Type="http://schemas.openxmlformats.org/officeDocument/2006/relationships/hyperlink" Target="http://www.boxofficemojo.com/movies/?id=iceman2013.htm" TargetMode="External"/><Relationship Id="rId559" Type="http://schemas.openxmlformats.org/officeDocument/2006/relationships/hyperlink" Target="http://www.boxofficemojo.com/studio/chart/?studio=millenniumentertainment.htm" TargetMode="External"/><Relationship Id="rId1800" Type="http://schemas.openxmlformats.org/officeDocument/2006/relationships/hyperlink" Target="http://www.boxofficemojo.com/movies/?id=inescapable.htm" TargetMode="External"/><Relationship Id="rId1801" Type="http://schemas.openxmlformats.org/officeDocument/2006/relationships/hyperlink" Target="http://www.boxofficemojo.com/studio/chart/?studio=ifc.htm" TargetMode="External"/><Relationship Id="rId1802" Type="http://schemas.openxmlformats.org/officeDocument/2006/relationships/hyperlink" Target="http://www.boxofficemojo.com/schedule/?view=bydate&amp;release=theatrical&amp;date=2013-02-22&amp;p=.htm" TargetMode="External"/><Relationship Id="rId1803" Type="http://schemas.openxmlformats.org/officeDocument/2006/relationships/hyperlink" Target="http://www.boxofficemojo.com/movies/?id=sweetwater.htm" TargetMode="External"/><Relationship Id="rId1410" Type="http://schemas.openxmlformats.org/officeDocument/2006/relationships/hyperlink" Target="http://www.boxofficemojo.com/movies/?id=bastards.htm" TargetMode="External"/><Relationship Id="rId1411" Type="http://schemas.openxmlformats.org/officeDocument/2006/relationships/hyperlink" Target="http://www.boxofficemojo.com/studio/chart/?studio=ifc.htm" TargetMode="External"/><Relationship Id="rId1412" Type="http://schemas.openxmlformats.org/officeDocument/2006/relationships/hyperlink" Target="http://www.boxofficemojo.com/schedule/?view=bydate&amp;release=theatrical&amp;date=2013-10-23&amp;p=.htm" TargetMode="External"/><Relationship Id="rId1413" Type="http://schemas.openxmlformats.org/officeDocument/2006/relationships/hyperlink" Target="http://www.boxofficemojo.com/movies/?id=lepetitsoldad.htm" TargetMode="External"/><Relationship Id="rId1414" Type="http://schemas.openxmlformats.org/officeDocument/2006/relationships/hyperlink" Target="http://www.boxofficemojo.com/studio/chart/?studio=rialto.htm" TargetMode="External"/><Relationship Id="rId1415" Type="http://schemas.openxmlformats.org/officeDocument/2006/relationships/hyperlink" Target="http://www.boxofficemojo.com/schedule/?view=bydate&amp;release=theatrical&amp;date=2013-03-08&amp;p=.htm" TargetMode="External"/><Relationship Id="rId1416" Type="http://schemas.openxmlformats.org/officeDocument/2006/relationships/hyperlink" Target="http://www.boxofficemojo.com/movies/?id=citizen.htm" TargetMode="External"/><Relationship Id="rId1417" Type="http://schemas.openxmlformats.org/officeDocument/2006/relationships/hyperlink" Target="http://www.boxofficemojo.com/studio/chart/?studio=montereymediainc.htm" TargetMode="External"/><Relationship Id="rId1418" Type="http://schemas.openxmlformats.org/officeDocument/2006/relationships/hyperlink" Target="http://www.boxofficemojo.com/schedule/?view=bydate&amp;release=theatrical&amp;date=2013-09-06&amp;p=.htm" TargetMode="External"/><Relationship Id="rId1419" Type="http://schemas.openxmlformats.org/officeDocument/2006/relationships/hyperlink" Target="http://www.boxofficemojo.com/movies/?id=paradiselove.htm" TargetMode="External"/><Relationship Id="rId950" Type="http://schemas.openxmlformats.org/officeDocument/2006/relationships/hyperlink" Target="http://www.boxofficemojo.com/schedule/?view=bydate&amp;release=theatrical&amp;date=2013-09-06&amp;p=.htm" TargetMode="External"/><Relationship Id="rId951" Type="http://schemas.openxmlformats.org/officeDocument/2006/relationships/hyperlink" Target="http://www.boxofficemojo.com/movies/?id=mantall.htm" TargetMode="External"/><Relationship Id="rId952" Type="http://schemas.openxmlformats.org/officeDocument/2006/relationships/hyperlink" Target="http://www.boxofficemojo.com/studio/chart/?studio=ifc.htm" TargetMode="External"/><Relationship Id="rId953" Type="http://schemas.openxmlformats.org/officeDocument/2006/relationships/hyperlink" Target="http://www.boxofficemojo.com/schedule/?view=bydate&amp;release=theatrical&amp;date=2013-11-22&amp;p=.htm" TargetMode="External"/><Relationship Id="rId954" Type="http://schemas.openxmlformats.org/officeDocument/2006/relationships/hyperlink" Target="http://www.boxofficemojo.com/movies/?id=fistsoflegend.htm" TargetMode="External"/><Relationship Id="rId955" Type="http://schemas.openxmlformats.org/officeDocument/2006/relationships/hyperlink" Target="http://www.boxofficemojo.com/studio/chart/?studio=cjentertainment.htm" TargetMode="External"/><Relationship Id="rId170" Type="http://schemas.openxmlformats.org/officeDocument/2006/relationships/hyperlink" Target="http://www.boxofficemojo.com/schedule/?view=bydate&amp;release=theatrical&amp;date=2013-06-07&amp;p=.htm" TargetMode="External"/><Relationship Id="rId171" Type="http://schemas.openxmlformats.org/officeDocument/2006/relationships/hyperlink" Target="http://www.boxofficemojo.com/movies/?id=lastvegas.htm" TargetMode="External"/><Relationship Id="rId172" Type="http://schemas.openxmlformats.org/officeDocument/2006/relationships/hyperlink" Target="http://www.boxofficemojo.com/studio/chart/?studio=cbsfilms.htm" TargetMode="External"/><Relationship Id="rId173" Type="http://schemas.openxmlformats.org/officeDocument/2006/relationships/hyperlink" Target="http://www.boxofficemojo.com/schedule/?view=bydate&amp;release=theatrical&amp;date=2013-11-01&amp;p=.htm" TargetMode="External"/><Relationship Id="rId174" Type="http://schemas.openxmlformats.org/officeDocument/2006/relationships/hyperlink" Target="http://www.boxofficemojo.com/movies/?id=endersgame.htm" TargetMode="External"/><Relationship Id="rId175" Type="http://schemas.openxmlformats.org/officeDocument/2006/relationships/hyperlink" Target="http://www.boxofficemojo.com/studio/chart/?studio=lionsgatesummit.htm" TargetMode="External"/><Relationship Id="rId176" Type="http://schemas.openxmlformats.org/officeDocument/2006/relationships/hyperlink" Target="http://www.boxofficemojo.com/schedule/?view=bydate&amp;release=theatrical&amp;date=2013-11-01&amp;p=.htm" TargetMode="External"/><Relationship Id="rId177" Type="http://schemas.openxmlformats.org/officeDocument/2006/relationships/hyperlink" Target="http://www.boxofficemojo.com/movies/?id=prisoners.htm" TargetMode="External"/><Relationship Id="rId178" Type="http://schemas.openxmlformats.org/officeDocument/2006/relationships/hyperlink" Target="http://www.boxofficemojo.com/studio/chart/?studio=warnerbros.htm" TargetMode="External"/><Relationship Id="rId179" Type="http://schemas.openxmlformats.org/officeDocument/2006/relationships/hyperlink" Target="http://www.boxofficemojo.com/schedule/?view=bydate&amp;release=theatrical&amp;date=2013-09-20&amp;p=.htm" TargetMode="External"/><Relationship Id="rId956" Type="http://schemas.openxmlformats.org/officeDocument/2006/relationships/hyperlink" Target="http://www.boxofficemojo.com/schedule/?view=bydate&amp;release=theatrical&amp;date=2013-04-12&amp;p=.htm" TargetMode="External"/><Relationship Id="rId957" Type="http://schemas.openxmlformats.org/officeDocument/2006/relationships/hyperlink" Target="http://www.boxofficemojo.com/movies/?id=drugwar.htm" TargetMode="External"/><Relationship Id="rId958" Type="http://schemas.openxmlformats.org/officeDocument/2006/relationships/hyperlink" Target="http://www.boxofficemojo.com/studio/chart/?studio=variancefilms.htm" TargetMode="External"/><Relationship Id="rId959" Type="http://schemas.openxmlformats.org/officeDocument/2006/relationships/hyperlink" Target="http://www.boxofficemojo.com/schedule/?view=bydate&amp;release=theatrical&amp;date=2013-07-26&amp;p=.htm" TargetMode="External"/><Relationship Id="rId1020" Type="http://schemas.openxmlformats.org/officeDocument/2006/relationships/hyperlink" Target="http://www.boxofficemojo.com/movies/?id=investigator.htm" TargetMode="External"/><Relationship Id="rId1021" Type="http://schemas.openxmlformats.org/officeDocument/2006/relationships/hyperlink" Target="http://www.boxofficemojo.com/studio/chart/?studio=gabrielsmessenger.htm" TargetMode="External"/><Relationship Id="rId1022" Type="http://schemas.openxmlformats.org/officeDocument/2006/relationships/hyperlink" Target="http://www.boxofficemojo.com/schedule/?view=bydate&amp;release=theatrical&amp;date=2013-09-13&amp;p=.htm" TargetMode="External"/><Relationship Id="rId1023" Type="http://schemas.openxmlformats.org/officeDocument/2006/relationships/hyperlink" Target="http://www.boxofficemojo.com/movies/?id=stevienicks.htm" TargetMode="External"/><Relationship Id="rId1024" Type="http://schemas.openxmlformats.org/officeDocument/2006/relationships/hyperlink" Target="http://www.boxofficemojo.com/studio/chart/?studio=abramorama.htm" TargetMode="External"/><Relationship Id="rId1025" Type="http://schemas.openxmlformats.org/officeDocument/2006/relationships/hyperlink" Target="http://www.boxofficemojo.com/schedule/?view=bydate&amp;release=theatrical&amp;date=2013-03-31&amp;p=.htm" TargetMode="External"/><Relationship Id="rId1026" Type="http://schemas.openxmlformats.org/officeDocument/2006/relationships/hyperlink" Target="http://www.boxofficemojo.com/movies/?id=computerchess.htm" TargetMode="External"/><Relationship Id="rId1027" Type="http://schemas.openxmlformats.org/officeDocument/2006/relationships/hyperlink" Target="http://www.boxofficemojo.com/studio/chart/?studio=kinolorber.htm" TargetMode="External"/><Relationship Id="rId1028" Type="http://schemas.openxmlformats.org/officeDocument/2006/relationships/hyperlink" Target="http://www.boxofficemojo.com/schedule/?view=bydate&amp;release=theatrical&amp;date=2013-07-17&amp;p=.htm" TargetMode="External"/><Relationship Id="rId1029" Type="http://schemas.openxmlformats.org/officeDocument/2006/relationships/hyperlink" Target="http://www.boxofficemojo.com/movies/?id=therese2013.htm" TargetMode="External"/><Relationship Id="rId560" Type="http://schemas.openxmlformats.org/officeDocument/2006/relationships/hyperlink" Target="http://www.boxofficemojo.com/schedule/?view=bydate&amp;release=theatrical&amp;date=2013-05-03&amp;p=.htm" TargetMode="External"/><Relationship Id="rId561" Type="http://schemas.openxmlformats.org/officeDocument/2006/relationships/hyperlink" Target="http://www.boxofficemojo.com/movies/?id=fillthevoid.htm" TargetMode="External"/><Relationship Id="rId562" Type="http://schemas.openxmlformats.org/officeDocument/2006/relationships/hyperlink" Target="http://www.boxofficemojo.com/studio/chart/?studio=sonyclassics.htm" TargetMode="External"/><Relationship Id="rId563" Type="http://schemas.openxmlformats.org/officeDocument/2006/relationships/hyperlink" Target="http://www.boxofficemojo.com/schedule/?view=bydate&amp;release=theatrical&amp;date=2013-05-24&amp;p=.htm" TargetMode="External"/><Relationship Id="rId564" Type="http://schemas.openxmlformats.org/officeDocument/2006/relationships/hyperlink" Target="http://www.boxofficemojo.com/movies/?id=girlrising.htm" TargetMode="External"/><Relationship Id="rId565" Type="http://schemas.openxmlformats.org/officeDocument/2006/relationships/hyperlink" Target="http://www.boxofficemojo.com/studio/chart/?studio=gathrfilms.htm" TargetMode="External"/><Relationship Id="rId566" Type="http://schemas.openxmlformats.org/officeDocument/2006/relationships/hyperlink" Target="http://www.boxofficemojo.com/schedule/?view=bydate&amp;release=theatrical&amp;date=2013-03-07&amp;p=.htm" TargetMode="External"/><Relationship Id="rId567" Type="http://schemas.openxmlformats.org/officeDocument/2006/relationships/hyperlink" Target="http://www.boxofficemojo.com/movies/?id=attack.htm" TargetMode="External"/><Relationship Id="rId568" Type="http://schemas.openxmlformats.org/officeDocument/2006/relationships/hyperlink" Target="http://www.boxofficemojo.com/studio/chart/?studio=cohenmedia.htm" TargetMode="External"/><Relationship Id="rId569" Type="http://schemas.openxmlformats.org/officeDocument/2006/relationships/hyperlink" Target="http://www.boxofficemojo.com/schedule/?view=bydate&amp;release=theatrical&amp;date=2013-06-21&amp;p=.htm" TargetMode="External"/><Relationship Id="rId1804" Type="http://schemas.openxmlformats.org/officeDocument/2006/relationships/hyperlink" Target="http://www.boxofficemojo.com/studio/chart/?studio=unknown.htm" TargetMode="External"/><Relationship Id="rId1805" Type="http://schemas.openxmlformats.org/officeDocument/2006/relationships/hyperlink" Target="http://www.boxofficemojo.com/schedule/?view=bydate&amp;release=theatrical&amp;date=2013-10-11&amp;p=.htm" TargetMode="External"/><Relationship Id="rId1806" Type="http://schemas.openxmlformats.org/officeDocument/2006/relationships/hyperlink" Target="http://www.boxofficemojo.com/movies/?id=guitarinnovators.htm" TargetMode="External"/><Relationship Id="rId1807" Type="http://schemas.openxmlformats.org/officeDocument/2006/relationships/hyperlink" Target="http://www.boxofficemojo.com/studio/chart/?studio=firstrun.htm" TargetMode="External"/><Relationship Id="rId1808" Type="http://schemas.openxmlformats.org/officeDocument/2006/relationships/hyperlink" Target="http://www.boxofficemojo.com/schedule/?view=bydate&amp;release=theatrical&amp;date=2013-08-16&amp;p=.htm" TargetMode="External"/><Relationship Id="rId1809" Type="http://schemas.openxmlformats.org/officeDocument/2006/relationships/hyperlink" Target="http://www.boxofficemojo.com/movies/?id=welcometopinehill.htm" TargetMode="External"/><Relationship Id="rId1810" Type="http://schemas.openxmlformats.org/officeDocument/2006/relationships/hyperlink" Target="http://www.boxofficemojo.com/studio/chart/?studio=oscilloscopepictures.htm" TargetMode="External"/><Relationship Id="rId1811" Type="http://schemas.openxmlformats.org/officeDocument/2006/relationships/hyperlink" Target="http://www.boxofficemojo.com/schedule/?view=bydate&amp;release=theatrical&amp;date=2013-03-01&amp;p=.htm" TargetMode="External"/><Relationship Id="rId1812" Type="http://schemas.openxmlformats.org/officeDocument/2006/relationships/hyperlink" Target="http://www.boxofficemojo.com/movies/?id=rangrezz.htm" TargetMode="External"/><Relationship Id="rId1813" Type="http://schemas.openxmlformats.org/officeDocument/2006/relationships/hyperlink" Target="http://www.boxofficemojo.com/studio/chart/?studio=utv.htm" TargetMode="External"/><Relationship Id="rId1420" Type="http://schemas.openxmlformats.org/officeDocument/2006/relationships/hyperlink" Target="http://www.boxofficemojo.com/studio/chart/?studio=strand.htm" TargetMode="External"/><Relationship Id="rId1421" Type="http://schemas.openxmlformats.org/officeDocument/2006/relationships/hyperlink" Target="http://www.boxofficemojo.com/schedule/?view=bydate&amp;release=theatrical&amp;date=2013-04-26&amp;p=.htm" TargetMode="External"/><Relationship Id="rId1422" Type="http://schemas.openxmlformats.org/officeDocument/2006/relationships/hyperlink" Target="http://www.boxofficemojo.com/movies/?id=lastdaysonmars.htm" TargetMode="External"/><Relationship Id="rId1423" Type="http://schemas.openxmlformats.org/officeDocument/2006/relationships/hyperlink" Target="http://www.boxofficemojo.com/studio/chart/?studio=magnolia.htm" TargetMode="External"/><Relationship Id="rId1424" Type="http://schemas.openxmlformats.org/officeDocument/2006/relationships/hyperlink" Target="http://www.boxofficemojo.com/schedule/?view=bydate&amp;release=theatrical&amp;date=2013-12-06&amp;p=.htm" TargetMode="External"/><Relationship Id="rId1425" Type="http://schemas.openxmlformats.org/officeDocument/2006/relationships/hyperlink" Target="http://www.boxofficemojo.com/movies/?id=harrydeanstanton.htm" TargetMode="External"/><Relationship Id="rId1426" Type="http://schemas.openxmlformats.org/officeDocument/2006/relationships/hyperlink" Target="http://www.boxofficemojo.com/studio/chart/?studio=adoptfilms.htm" TargetMode="External"/><Relationship Id="rId1427" Type="http://schemas.openxmlformats.org/officeDocument/2006/relationships/hyperlink" Target="http://www.boxofficemojo.com/schedule/?view=bydate&amp;release=theatrical&amp;date=2013-09-13&amp;p=.htm" TargetMode="External"/><Relationship Id="rId1428" Type="http://schemas.openxmlformats.org/officeDocument/2006/relationships/hyperlink" Target="http://www.boxofficemojo.com/movies/?id=drmrwatterson.htm" TargetMode="External"/><Relationship Id="rId1429" Type="http://schemas.openxmlformats.org/officeDocument/2006/relationships/hyperlink" Target="http://www.boxofficemojo.com/studio/chart/?studio=submarinedeluxe.htm" TargetMode="External"/><Relationship Id="rId960" Type="http://schemas.openxmlformats.org/officeDocument/2006/relationships/hyperlink" Target="http://www.boxofficemojo.com/movies/?id=artistandthemodel.htm" TargetMode="External"/><Relationship Id="rId961" Type="http://schemas.openxmlformats.org/officeDocument/2006/relationships/hyperlink" Target="http://www.boxofficemojo.com/studio/chart/?studio=cohenmedia.htm" TargetMode="External"/><Relationship Id="rId962" Type="http://schemas.openxmlformats.org/officeDocument/2006/relationships/hyperlink" Target="http://www.boxofficemojo.com/schedule/?view=bydate&amp;release=theatrical&amp;date=2013-08-02&amp;p=.htm" TargetMode="External"/><Relationship Id="rId963" Type="http://schemas.openxmlformats.org/officeDocument/2006/relationships/hyperlink" Target="http://www.boxofficemojo.com/movies/?id=abandcalleddeath.htm" TargetMode="External"/><Relationship Id="rId964" Type="http://schemas.openxmlformats.org/officeDocument/2006/relationships/hyperlink" Target="http://www.boxofficemojo.com/studio/chart/?studio=drafthousefilms.htm" TargetMode="External"/><Relationship Id="rId965" Type="http://schemas.openxmlformats.org/officeDocument/2006/relationships/hyperlink" Target="http://www.boxofficemojo.com/schedule/?view=bydate&amp;release=theatrical&amp;date=2013-06-28&amp;p=.htm" TargetMode="External"/><Relationship Id="rId180" Type="http://schemas.openxmlformats.org/officeDocument/2006/relationships/hyperlink" Target="http://www.boxofficemojo.com/movies/?id=1000ae.htm" TargetMode="External"/><Relationship Id="rId181" Type="http://schemas.openxmlformats.org/officeDocument/2006/relationships/hyperlink" Target="http://www.boxofficemojo.com/studio/chart/?studio=sony.htm" TargetMode="External"/><Relationship Id="rId182" Type="http://schemas.openxmlformats.org/officeDocument/2006/relationships/hyperlink" Target="http://www.boxofficemojo.com/schedule/?view=bydate&amp;release=theatrical&amp;date=2013-05-31&amp;p=.htm" TargetMode="External"/><Relationship Id="rId183" Type="http://schemas.openxmlformats.org/officeDocument/2006/relationships/hyperlink" Target="http://www.boxofficemojo.com/movies/?id=waltermitty.htm" TargetMode="External"/><Relationship Id="rId184" Type="http://schemas.openxmlformats.org/officeDocument/2006/relationships/hyperlink" Target="http://www.boxofficemojo.com/studio/chart/?studio=fox.htm" TargetMode="External"/><Relationship Id="rId185" Type="http://schemas.openxmlformats.org/officeDocument/2006/relationships/hyperlink" Target="http://www.boxofficemojo.com/schedule/?view=bydate&amp;release=theatrical&amp;date=2013-12-25&amp;p=.htm" TargetMode="External"/><Relationship Id="rId186" Type="http://schemas.openxmlformats.org/officeDocument/2006/relationships/hyperlink" Target="http://www.boxofficemojo.com/movies/?id=escapefromplanetearth.htm" TargetMode="External"/><Relationship Id="rId187" Type="http://schemas.openxmlformats.org/officeDocument/2006/relationships/hyperlink" Target="http://www.boxofficemojo.com/studio/chart/?studio=weinsteincompany.htm" TargetMode="External"/><Relationship Id="rId188" Type="http://schemas.openxmlformats.org/officeDocument/2006/relationships/hyperlink" Target="http://www.boxofficemojo.com/schedule/?view=bydate&amp;release=theatrical&amp;date=2013-02-15&amp;p=.htm" TargetMode="External"/><Relationship Id="rId189" Type="http://schemas.openxmlformats.org/officeDocument/2006/relationships/hyperlink" Target="http://www.boxofficemojo.com/movies/?id=twelveyearsaslave.htm" TargetMode="External"/><Relationship Id="rId966" Type="http://schemas.openxmlformats.org/officeDocument/2006/relationships/hyperlink" Target="http://www.boxofficemojo.com/movies/?id=europareport.htm" TargetMode="External"/><Relationship Id="rId967" Type="http://schemas.openxmlformats.org/officeDocument/2006/relationships/hyperlink" Target="http://www.boxofficemojo.com/studio/chart/?studio=magnolia.htm" TargetMode="External"/><Relationship Id="rId968" Type="http://schemas.openxmlformats.org/officeDocument/2006/relationships/hyperlink" Target="http://www.boxofficemojo.com/schedule/?view=bydate&amp;release=theatrical&amp;date=2013-08-02&amp;p=.htm" TargetMode="External"/><Relationship Id="rId969" Type="http://schemas.openxmlformats.org/officeDocument/2006/relationships/hyperlink" Target="http://www.boxofficemojo.com/movies/?id=fukrey.htm" TargetMode="External"/><Relationship Id="rId1030" Type="http://schemas.openxmlformats.org/officeDocument/2006/relationships/hyperlink" Target="http://www.boxofficemojo.com/studio/chart/?studio=mpimediagroup.htm" TargetMode="External"/><Relationship Id="rId1031" Type="http://schemas.openxmlformats.org/officeDocument/2006/relationships/hyperlink" Target="http://www.boxofficemojo.com/schedule/?view=bydate&amp;release=theatrical&amp;date=2013-08-23&amp;p=.htm" TargetMode="External"/><Relationship Id="rId1032" Type="http://schemas.openxmlformats.org/officeDocument/2006/relationships/hyperlink" Target="http://www.boxofficemojo.com/movies/?id=capital.htm" TargetMode="External"/><Relationship Id="rId1033" Type="http://schemas.openxmlformats.org/officeDocument/2006/relationships/hyperlink" Target="http://www.boxofficemojo.com/studio/chart/?studio=cohenmedia.htm" TargetMode="External"/><Relationship Id="rId1034" Type="http://schemas.openxmlformats.org/officeDocument/2006/relationships/hyperlink" Target="http://www.boxofficemojo.com/schedule/?view=bydate&amp;release=theatrical&amp;date=2013-10-25&amp;p=.htm" TargetMode="External"/><Relationship Id="rId1035" Type="http://schemas.openxmlformats.org/officeDocument/2006/relationships/hyperlink" Target="http://www.boxofficemojo.com/movies/?id=unanoche.htm" TargetMode="External"/><Relationship Id="rId1036" Type="http://schemas.openxmlformats.org/officeDocument/2006/relationships/hyperlink" Target="http://www.boxofficemojo.com/studio/chart/?studio=ifc.htm" TargetMode="External"/><Relationship Id="rId1037" Type="http://schemas.openxmlformats.org/officeDocument/2006/relationships/hyperlink" Target="http://www.boxofficemojo.com/schedule/?view=bydate&amp;release=theatrical&amp;date=2013-08-23&amp;p=.htm" TargetMode="External"/><Relationship Id="rId1038" Type="http://schemas.openxmlformats.org/officeDocument/2006/relationships/hyperlink" Target="http://www.boxofficemojo.com/movies/?id=shadowdancer.htm" TargetMode="External"/><Relationship Id="rId1039" Type="http://schemas.openxmlformats.org/officeDocument/2006/relationships/hyperlink" Target="http://www.boxofficemojo.com/studio/chart/?studio=magnolia.htm" TargetMode="External"/><Relationship Id="rId570" Type="http://schemas.openxmlformats.org/officeDocument/2006/relationships/hyperlink" Target="http://www.boxofficemojo.com/movies/?id=stoker.htm" TargetMode="External"/><Relationship Id="rId571" Type="http://schemas.openxmlformats.org/officeDocument/2006/relationships/hyperlink" Target="http://www.boxofficemojo.com/studio/chart/?studio=foxsearchlight.htm" TargetMode="External"/><Relationship Id="rId572" Type="http://schemas.openxmlformats.org/officeDocument/2006/relationships/hyperlink" Target="http://www.boxofficemojo.com/schedule/?view=bydate&amp;release=theatrical&amp;date=2013-03-01&amp;p=.htm" TargetMode="External"/><Relationship Id="rId573" Type="http://schemas.openxmlformats.org/officeDocument/2006/relationships/hyperlink" Target="http://www.boxofficemojo.com/movies/?id=unfinishedsong.htm" TargetMode="External"/><Relationship Id="rId574" Type="http://schemas.openxmlformats.org/officeDocument/2006/relationships/hyperlink" Target="http://www.boxofficemojo.com/studio/chart/?studio=weinsteincompany.htm" TargetMode="External"/><Relationship Id="rId575" Type="http://schemas.openxmlformats.org/officeDocument/2006/relationships/hyperlink" Target="http://www.boxofficemojo.com/schedule/?view=bydate&amp;release=theatrical&amp;date=2013-06-21&amp;p=.htm" TargetMode="External"/><Relationship Id="rId576" Type="http://schemas.openxmlformats.org/officeDocument/2006/relationships/hyperlink" Target="http://www.boxofficemojo.com/movies/?id=bhaagmilkhabhaag.htm" TargetMode="External"/><Relationship Id="rId577" Type="http://schemas.openxmlformats.org/officeDocument/2006/relationships/hyperlink" Target="http://www.boxofficemojo.com/studio/chart/?studio=reliancebigpictures.htm" TargetMode="External"/><Relationship Id="rId578" Type="http://schemas.openxmlformats.org/officeDocument/2006/relationships/hyperlink" Target="http://www.boxofficemojo.com/schedule/?view=bydate&amp;release=theatrical&amp;date=2013-07-12&amp;p=.htm" TargetMode="External"/><Relationship Id="rId579" Type="http://schemas.openxmlformats.org/officeDocument/2006/relationships/hyperlink" Target="http://www.boxofficemojo.com/movies/?id=loveisallyouneed.htm" TargetMode="External"/><Relationship Id="rId1814" Type="http://schemas.openxmlformats.org/officeDocument/2006/relationships/hyperlink" Target="http://www.boxofficemojo.com/schedule/?view=bydate&amp;release=theatrical&amp;date=2013-03-22&amp;p=.htm" TargetMode="External"/><Relationship Id="rId1815" Type="http://schemas.openxmlformats.org/officeDocument/2006/relationships/hyperlink" Target="http://www.boxofficemojo.com/movies/?id=lasttimeisawmacao.htm" TargetMode="External"/><Relationship Id="rId1816" Type="http://schemas.openxmlformats.org/officeDocument/2006/relationships/hyperlink" Target="http://www.boxofficemojo.com/studio/chart/?studio=cinemaguild.htm" TargetMode="External"/><Relationship Id="rId1817" Type="http://schemas.openxmlformats.org/officeDocument/2006/relationships/hyperlink" Target="http://www.boxofficemojo.com/schedule/?view=bydate&amp;release=theatrical&amp;date=2013-09-13&amp;p=.htm" TargetMode="External"/><Relationship Id="rId1818" Type="http://schemas.openxmlformats.org/officeDocument/2006/relationships/hyperlink" Target="http://www.boxofficemojo.com/movies/?id=playroom.htm" TargetMode="External"/><Relationship Id="rId1819" Type="http://schemas.openxmlformats.org/officeDocument/2006/relationships/hyperlink" Target="http://www.boxofficemojo.com/studio/chart/?studio=fs.htm" TargetMode="External"/><Relationship Id="rId1820" Type="http://schemas.openxmlformats.org/officeDocument/2006/relationships/hyperlink" Target="http://www.boxofficemojo.com/schedule/?view=bydate&amp;release=theatrical&amp;date=2013-04-05&amp;p=.htm" TargetMode="External"/><Relationship Id="rId1821" Type="http://schemas.openxmlformats.org/officeDocument/2006/relationships/hyperlink" Target="http://www.boxofficemojo.com/movies/?id=abottleinthegazasea.htm" TargetMode="External"/><Relationship Id="rId1822" Type="http://schemas.openxmlformats.org/officeDocument/2006/relationships/hyperlink" Target="http://www.boxofficemojo.com/studio/chart/?studio=filmmovement.htm" TargetMode="External"/><Relationship Id="rId1823" Type="http://schemas.openxmlformats.org/officeDocument/2006/relationships/hyperlink" Target="http://www.boxofficemojo.com/schedule/?view=bydate&amp;release=theatrical&amp;date=2013-01-04&amp;p=.htm" TargetMode="External"/><Relationship Id="rId1430" Type="http://schemas.openxmlformats.org/officeDocument/2006/relationships/hyperlink" Target="http://www.boxofficemojo.com/schedule/?view=bydate&amp;release=theatrical&amp;date=2013-11-15&amp;p=.htm" TargetMode="External"/><Relationship Id="rId1431" Type="http://schemas.openxmlformats.org/officeDocument/2006/relationships/hyperlink" Target="http://www.boxofficemojo.com/movies/?id=greenwichvillage.htm" TargetMode="External"/><Relationship Id="rId1432" Type="http://schemas.openxmlformats.org/officeDocument/2006/relationships/hyperlink" Target="http://www.boxofficemojo.com/studio/chart/?studio=kinolorber.htm" TargetMode="External"/><Relationship Id="rId1433" Type="http://schemas.openxmlformats.org/officeDocument/2006/relationships/hyperlink" Target="http://www.boxofficemojo.com/schedule/?view=bydate&amp;release=theatrical&amp;date=2013-01-18&amp;p=.htm" TargetMode="External"/><Relationship Id="rId1434" Type="http://schemas.openxmlformats.org/officeDocument/2006/relationships/hyperlink" Target="http://www.boxofficemojo.com/movies/?id=tinytimes.htm" TargetMode="External"/><Relationship Id="rId1435" Type="http://schemas.openxmlformats.org/officeDocument/2006/relationships/hyperlink" Target="http://www.boxofficemojo.com/studio/chart/?studio=chinalion.htm" TargetMode="External"/><Relationship Id="rId1436" Type="http://schemas.openxmlformats.org/officeDocument/2006/relationships/hyperlink" Target="http://www.boxofficemojo.com/schedule/?view=bydate&amp;release=theatrical&amp;date=2013-07-26&amp;p=.htm" TargetMode="External"/><Relationship Id="rId1437" Type="http://schemas.openxmlformats.org/officeDocument/2006/relationships/hyperlink" Target="http://www.boxofficemojo.com/movies/?id=ourchildren.htm" TargetMode="External"/><Relationship Id="rId1438" Type="http://schemas.openxmlformats.org/officeDocument/2006/relationships/hyperlink" Target="http://www.boxofficemojo.com/studio/chart/?studio=distribfilms.htm" TargetMode="External"/><Relationship Id="rId1439" Type="http://schemas.openxmlformats.org/officeDocument/2006/relationships/hyperlink" Target="http://www.boxofficemojo.com/schedule/?view=bydate&amp;release=theatrical&amp;date=2013-08-02&amp;p=.htm" TargetMode="External"/><Relationship Id="rId970" Type="http://schemas.openxmlformats.org/officeDocument/2006/relationships/hyperlink" Target="http://www.boxofficemojo.com/studio/chart/?studio=excel.htm" TargetMode="External"/><Relationship Id="rId971" Type="http://schemas.openxmlformats.org/officeDocument/2006/relationships/hyperlink" Target="http://www.boxofficemojo.com/schedule/?view=bydate&amp;release=theatrical&amp;date=2013-06-14&amp;p=.htm" TargetMode="External"/><Relationship Id="rId972" Type="http://schemas.openxmlformats.org/officeDocument/2006/relationships/hyperlink" Target="http://www.boxofficemojo.com/movies/?id=beyondthehills.htm" TargetMode="External"/><Relationship Id="rId973" Type="http://schemas.openxmlformats.org/officeDocument/2006/relationships/hyperlink" Target="http://www.boxofficemojo.com/studio/chart/?studio=ifc.htm" TargetMode="External"/><Relationship Id="rId974" Type="http://schemas.openxmlformats.org/officeDocument/2006/relationships/hyperlink" Target="http://www.boxofficemojo.com/schedule/?view=bydate&amp;release=theatrical&amp;date=2013-03-08&amp;p=.htm" TargetMode="External"/><Relationship Id="rId975" Type="http://schemas.openxmlformats.org/officeDocument/2006/relationships/hyperlink" Target="http://www.boxofficemojo.com/movies/?id=finaltherapture.htm" TargetMode="External"/><Relationship Id="rId190" Type="http://schemas.openxmlformats.org/officeDocument/2006/relationships/hyperlink" Target="http://www.boxofficemojo.com/studio/chart/?studio=foxsearchlight.htm" TargetMode="External"/><Relationship Id="rId191" Type="http://schemas.openxmlformats.org/officeDocument/2006/relationships/hyperlink" Target="http://www.boxofficemojo.com/schedule/?view=bydate&amp;release=theatrical&amp;date=2013-10-18&amp;p=.htm" TargetMode="External"/><Relationship Id="rId192" Type="http://schemas.openxmlformats.org/officeDocument/2006/relationships/hyperlink" Target="http://www.boxofficemojo.com/movies/?id=turkeys.htm" TargetMode="External"/><Relationship Id="rId193" Type="http://schemas.openxmlformats.org/officeDocument/2006/relationships/hyperlink" Target="http://www.boxofficemojo.com/studio/chart/?studio=relativity.htm" TargetMode="External"/><Relationship Id="rId194" Type="http://schemas.openxmlformats.org/officeDocument/2006/relationships/hyperlink" Target="http://www.boxofficemojo.com/schedule/?view=bydate&amp;release=theatrical&amp;date=2013-11-01&amp;p=.htm" TargetMode="External"/><Relationship Id="rId195" Type="http://schemas.openxmlformats.org/officeDocument/2006/relationships/hyperlink" Target="http://www.boxofficemojo.com/movies/?id=hanselandgretelwitchhunters.htm" TargetMode="External"/><Relationship Id="rId196" Type="http://schemas.openxmlformats.org/officeDocument/2006/relationships/hyperlink" Target="http://www.boxofficemojo.com/studio/chart/?studio=paramount.htm" TargetMode="External"/><Relationship Id="rId197" Type="http://schemas.openxmlformats.org/officeDocument/2006/relationships/hyperlink" Target="http://www.boxofficemojo.com/schedule/?view=bydate&amp;release=theatrical&amp;date=2013-01-25&amp;p=.htm" TargetMode="External"/><Relationship Id="rId198" Type="http://schemas.openxmlformats.org/officeDocument/2006/relationships/hyperlink" Target="http://www.boxofficemojo.com/movies/?id=evildead2013.htm" TargetMode="External"/><Relationship Id="rId199" Type="http://schemas.openxmlformats.org/officeDocument/2006/relationships/hyperlink" Target="http://www.boxofficemojo.com/studio/chart/?studio=tristar.htm" TargetMode="External"/><Relationship Id="rId976" Type="http://schemas.openxmlformats.org/officeDocument/2006/relationships/hyperlink" Target="http://www.boxofficemojo.com/studio/chart/?studio=riverrain.htm" TargetMode="External"/><Relationship Id="rId977" Type="http://schemas.openxmlformats.org/officeDocument/2006/relationships/hyperlink" Target="http://www.boxofficemojo.com/schedule/?view=bydate&amp;release=theatrical&amp;date=2013-09-13&amp;p=.htm" TargetMode="External"/><Relationship Id="rId978" Type="http://schemas.openxmlformats.org/officeDocument/2006/relationships/hyperlink" Target="http://www.boxofficemojo.com/movies/?id=square2013.htm" TargetMode="External"/><Relationship Id="rId979" Type="http://schemas.openxmlformats.org/officeDocument/2006/relationships/hyperlink" Target="http://www.boxofficemojo.com/studio/chart/?studio=noujaim.htm" TargetMode="External"/><Relationship Id="rId1040" Type="http://schemas.openxmlformats.org/officeDocument/2006/relationships/hyperlink" Target="http://www.boxofficemojo.com/schedule/?view=bydate&amp;release=theatrical&amp;date=2013-05-31&amp;p=.htm" TargetMode="External"/><Relationship Id="rId1041" Type="http://schemas.openxmlformats.org/officeDocument/2006/relationships/hyperlink" Target="http://www.boxofficemojo.com/movies/?id=usautism.htm" TargetMode="External"/><Relationship Id="rId1042" Type="http://schemas.openxmlformats.org/officeDocument/2006/relationships/hyperlink" Target="http://www.boxofficemojo.com/studio/chart/?studio=jansonmedia.htm" TargetMode="External"/><Relationship Id="rId1043" Type="http://schemas.openxmlformats.org/officeDocument/2006/relationships/hyperlink" Target="http://www.boxofficemojo.com/schedule/?view=bydate&amp;release=theatrical&amp;date=2013-04-05&amp;p=.htm" TargetMode="External"/><Relationship Id="rId1044" Type="http://schemas.openxmlformats.org/officeDocument/2006/relationships/hyperlink" Target="http://www.boxofficemojo.com/movies/?id=onetrackheart.htm" TargetMode="External"/><Relationship Id="rId1045" Type="http://schemas.openxmlformats.org/officeDocument/2006/relationships/hyperlink" Target="http://www.boxofficemojo.com/studio/chart/?studio=zeitgeist.htm" TargetMode="External"/><Relationship Id="rId1046" Type="http://schemas.openxmlformats.org/officeDocument/2006/relationships/hyperlink" Target="http://www.boxofficemojo.com/schedule/?view=bydate&amp;release=theatrical&amp;date=2013-05-08&amp;p=.htm" TargetMode="External"/><Relationship Id="rId1047" Type="http://schemas.openxmlformats.org/officeDocument/2006/relationships/hyperlink" Target="http://www.boxofficemojo.com/movies/?id=silence2013.htm" TargetMode="External"/><Relationship Id="rId1048" Type="http://schemas.openxmlformats.org/officeDocument/2006/relationships/hyperlink" Target="http://www.boxofficemojo.com/studio/chart/?studio=musicboxfilms.htm" TargetMode="External"/><Relationship Id="rId1049" Type="http://schemas.openxmlformats.org/officeDocument/2006/relationships/hyperlink" Target="http://www.boxofficemojo.com/schedule/?view=bydate&amp;release=theatrical&amp;date=2013-03-08&amp;p=.htm" TargetMode="External"/><Relationship Id="rId580" Type="http://schemas.openxmlformats.org/officeDocument/2006/relationships/hyperlink" Target="http://www.boxofficemojo.com/studio/chart/?studio=sonyclassics.htm" TargetMode="External"/><Relationship Id="rId581" Type="http://schemas.openxmlformats.org/officeDocument/2006/relationships/hyperlink" Target="http://www.boxofficemojo.com/schedule/?view=bydate&amp;release=theatrical&amp;date=2013-05-03&amp;p=.htm" TargetMode="External"/><Relationship Id="rId582" Type="http://schemas.openxmlformats.org/officeDocument/2006/relationships/hyperlink" Target="http://www.boxofficemojo.com/movies/?id=storieswetell.htm" TargetMode="External"/><Relationship Id="rId583" Type="http://schemas.openxmlformats.org/officeDocument/2006/relationships/hyperlink" Target="http://www.boxofficemojo.com/studio/chart/?studio=roadsideattractions.htm" TargetMode="External"/><Relationship Id="rId584" Type="http://schemas.openxmlformats.org/officeDocument/2006/relationships/hyperlink" Target="http://www.boxofficemojo.com/schedule/?view=bydate&amp;release=theatrical&amp;date=2013-05-10&amp;p=.htm" TargetMode="External"/><Relationship Id="rId585" Type="http://schemas.openxmlformats.org/officeDocument/2006/relationships/hyperlink" Target="http://www.boxofficemojo.com/movies/?id=race2.htm" TargetMode="External"/><Relationship Id="rId586" Type="http://schemas.openxmlformats.org/officeDocument/2006/relationships/hyperlink" Target="http://www.boxofficemojo.com/studio/chart/?studio=utv.htm" TargetMode="External"/><Relationship Id="rId587" Type="http://schemas.openxmlformats.org/officeDocument/2006/relationships/hyperlink" Target="http://www.boxofficemojo.com/schedule/?view=bydate&amp;release=theatrical&amp;date=2013-01-25&amp;p=.htm" TargetMode="External"/><Relationship Id="rId588" Type="http://schemas.openxmlformats.org/officeDocument/2006/relationships/hyperlink" Target="http://www.boxofficemojo.com/movies/?id=blessmeultima.htm" TargetMode="External"/><Relationship Id="rId589" Type="http://schemas.openxmlformats.org/officeDocument/2006/relationships/hyperlink" Target="http://www.boxofficemojo.com/studio/chart/?studio=areans.htm" TargetMode="External"/><Relationship Id="rId1824" Type="http://schemas.openxmlformats.org/officeDocument/2006/relationships/hyperlink" Target="http://www.boxofficemojo.com/movies/?id=fivedances.htm" TargetMode="External"/><Relationship Id="rId1825" Type="http://schemas.openxmlformats.org/officeDocument/2006/relationships/hyperlink" Target="http://www.boxofficemojo.com/studio/chart/?studio=paladin.htm" TargetMode="External"/><Relationship Id="rId1826" Type="http://schemas.openxmlformats.org/officeDocument/2006/relationships/hyperlink" Target="http://www.boxofficemojo.com/schedule/?view=bydate&amp;release=theatrical&amp;date=2013-10-04&amp;p=.htm" TargetMode="External"/><Relationship Id="rId1827" Type="http://schemas.openxmlformats.org/officeDocument/2006/relationships/hyperlink" Target="http://www.boxofficemojo.com/movies/?id=adarktruth.htm" TargetMode="External"/><Relationship Id="rId1828" Type="http://schemas.openxmlformats.org/officeDocument/2006/relationships/hyperlink" Target="http://www.boxofficemojo.com/studio/chart/?studio=magnolia.htm" TargetMode="External"/><Relationship Id="rId1829" Type="http://schemas.openxmlformats.org/officeDocument/2006/relationships/hyperlink" Target="http://www.boxofficemojo.com/schedule/?view=bydate&amp;release=theatrical&amp;date=2013-01-04&amp;p=.htm" TargetMode="External"/><Relationship Id="rId1830" Type="http://schemas.openxmlformats.org/officeDocument/2006/relationships/hyperlink" Target="http://www.boxofficemojo.com/movies/?id=peopleofafeather.htm" TargetMode="External"/><Relationship Id="rId1831" Type="http://schemas.openxmlformats.org/officeDocument/2006/relationships/hyperlink" Target="http://www.boxofficemojo.com/studio/chart/?studio=firstrun.htm" TargetMode="External"/><Relationship Id="rId1832" Type="http://schemas.openxmlformats.org/officeDocument/2006/relationships/hyperlink" Target="http://www.boxofficemojo.com/schedule/?view=bydate&amp;release=theatrical&amp;date=2013-11-08&amp;p=.htm" TargetMode="External"/><Relationship Id="rId1833" Type="http://schemas.openxmlformats.org/officeDocument/2006/relationships/hyperlink" Target="http://www.boxofficemojo.com/movies/?id=knifefight.htm" TargetMode="External"/><Relationship Id="rId1440" Type="http://schemas.openxmlformats.org/officeDocument/2006/relationships/hyperlink" Target="http://www.boxofficemojo.com/movies/?id=iranjob.htm" TargetMode="External"/><Relationship Id="rId1441" Type="http://schemas.openxmlformats.org/officeDocument/2006/relationships/hyperlink" Target="http://www.boxofficemojo.com/studio/chart/?studio=filmmovement.htm" TargetMode="External"/><Relationship Id="rId1442" Type="http://schemas.openxmlformats.org/officeDocument/2006/relationships/hyperlink" Target="http://www.boxofficemojo.com/schedule/?view=bydate&amp;release=theatrical&amp;date=2013-06-07&amp;p=.htm" TargetMode="External"/><Relationship Id="rId1443" Type="http://schemas.openxmlformats.org/officeDocument/2006/relationships/hyperlink" Target="http://www.boxofficemojo.com/movies/?id=iusedtobedarker.htm" TargetMode="External"/><Relationship Id="rId1444" Type="http://schemas.openxmlformats.org/officeDocument/2006/relationships/hyperlink" Target="http://www.boxofficemojo.com/studio/chart/?studio=strand.htm" TargetMode="External"/><Relationship Id="rId1445" Type="http://schemas.openxmlformats.org/officeDocument/2006/relationships/hyperlink" Target="http://www.boxofficemojo.com/schedule/?view=bydate&amp;release=theatrical&amp;date=2013-09-27&amp;p=.htm" TargetMode="External"/><Relationship Id="rId1446" Type="http://schemas.openxmlformats.org/officeDocument/2006/relationships/hyperlink" Target="http://www.boxofficemojo.com/movies/?id=murder11.htm" TargetMode="External"/><Relationship Id="rId1447" Type="http://schemas.openxmlformats.org/officeDocument/2006/relationships/hyperlink" Target="http://www.boxofficemojo.com/studio/chart/?studio=indican.htm" TargetMode="External"/><Relationship Id="rId1448" Type="http://schemas.openxmlformats.org/officeDocument/2006/relationships/hyperlink" Target="http://www.boxofficemojo.com/schedule/?view=bydate&amp;release=theatrical&amp;date=2013-10-02&amp;p=.htm" TargetMode="External"/><Relationship Id="rId1449" Type="http://schemas.openxmlformats.org/officeDocument/2006/relationships/hyperlink" Target="http://www.boxofficemojo.com/movies/?id=pieta.htm" TargetMode="External"/><Relationship Id="rId980" Type="http://schemas.openxmlformats.org/officeDocument/2006/relationships/hyperlink" Target="http://www.boxofficemojo.com/schedule/?view=bydate&amp;release=theatrical&amp;date=2013-10-25&amp;p=.htm" TargetMode="External"/><Relationship Id="rId981" Type="http://schemas.openxmlformats.org/officeDocument/2006/relationships/hyperlink" Target="http://www.boxofficemojo.com/movies/?id=punksinger.htm" TargetMode="External"/><Relationship Id="rId982" Type="http://schemas.openxmlformats.org/officeDocument/2006/relationships/hyperlink" Target="http://www.boxofficemojo.com/studio/chart/?studio=ifc.htm" TargetMode="External"/><Relationship Id="rId983" Type="http://schemas.openxmlformats.org/officeDocument/2006/relationships/hyperlink" Target="http://www.boxofficemojo.com/schedule/?view=bydate&amp;release=theatrical&amp;date=2013-11-29&amp;p=.htm" TargetMode="External"/><Relationship Id="rId984" Type="http://schemas.openxmlformats.org/officeDocument/2006/relationships/hyperlink" Target="http://www.boxofficemojo.com/movies/?id=lostandfoundinarmenia.htm" TargetMode="External"/><Relationship Id="rId985" Type="http://schemas.openxmlformats.org/officeDocument/2006/relationships/hyperlink" Target="http://www.boxofficemojo.com/studio/chart/?studio=hightop.htm" TargetMode="External"/><Relationship Id="rId986" Type="http://schemas.openxmlformats.org/officeDocument/2006/relationships/hyperlink" Target="http://www.boxofficemojo.com/schedule/?view=bydate&amp;release=theatrical&amp;date=2013-06-07&amp;p=.htm" TargetMode="External"/><Relationship Id="rId987" Type="http://schemas.openxmlformats.org/officeDocument/2006/relationships/hyperlink" Target="http://www.boxofficemojo.com/movies/?id=spark2013.htm" TargetMode="External"/><Relationship Id="rId988" Type="http://schemas.openxmlformats.org/officeDocument/2006/relationships/hyperlink" Target="http://www.boxofficemojo.com/studio/chart/?studio=paladinfilmbuff.htm" TargetMode="External"/><Relationship Id="rId989" Type="http://schemas.openxmlformats.org/officeDocument/2006/relationships/hyperlink" Target="http://www.boxofficemojo.com/schedule/?view=bydate&amp;release=theatrical&amp;date=2013-08-16&amp;p=.htm" TargetMode="External"/><Relationship Id="rId1050" Type="http://schemas.openxmlformats.org/officeDocument/2006/relationships/hyperlink" Target="http://www.boxofficemojo.com/movies/?id=manoftaichi.htm" TargetMode="External"/><Relationship Id="rId1051" Type="http://schemas.openxmlformats.org/officeDocument/2006/relationships/hyperlink" Target="http://www.boxofficemojo.com/studio/chart/?studio=radiustwc.htm" TargetMode="External"/><Relationship Id="rId1052" Type="http://schemas.openxmlformats.org/officeDocument/2006/relationships/hyperlink" Target="http://www.boxofficemojo.com/schedule/?view=bydate&amp;release=theatrical&amp;date=2013-11-01&amp;p=.htm" TargetMode="External"/><Relationship Id="rId1053" Type="http://schemas.openxmlformats.org/officeDocument/2006/relationships/hyperlink" Target="http://www.boxofficemojo.com/movies/?id=bluecaprice.htm" TargetMode="External"/><Relationship Id="rId1054" Type="http://schemas.openxmlformats.org/officeDocument/2006/relationships/hyperlink" Target="http://www.boxofficemojo.com/studio/chart/?studio=ifc.htm" TargetMode="External"/><Relationship Id="rId1055" Type="http://schemas.openxmlformats.org/officeDocument/2006/relationships/hyperlink" Target="http://www.boxofficemojo.com/schedule/?view=bydate&amp;release=theatrical&amp;date=2013-09-13&amp;p=.htm" TargetMode="External"/><Relationship Id="rId1056" Type="http://schemas.openxmlformats.org/officeDocument/2006/relationships/hyperlink" Target="http://www.boxofficemojo.com/movies/?id=passion.htm" TargetMode="External"/><Relationship Id="rId1057" Type="http://schemas.openxmlformats.org/officeDocument/2006/relationships/hyperlink" Target="http://www.boxofficemojo.com/studio/chart/?studio=entertainmentone.htm" TargetMode="External"/><Relationship Id="rId1058" Type="http://schemas.openxmlformats.org/officeDocument/2006/relationships/hyperlink" Target="http://www.boxofficemojo.com/schedule/?view=bydate&amp;release=theatrical&amp;date=2013-08-30&amp;p=.htm" TargetMode="External"/><Relationship Id="rId1059" Type="http://schemas.openxmlformats.org/officeDocument/2006/relationships/hyperlink" Target="http://www.boxofficemojo.com/movies/?id=kingsfaith.htm" TargetMode="External"/><Relationship Id="rId590" Type="http://schemas.openxmlformats.org/officeDocument/2006/relationships/hyperlink" Target="http://www.boxofficemojo.com/schedule/?view=bydate&amp;release=theatrical&amp;date=2013-02-22&amp;p=.htm" TargetMode="External"/><Relationship Id="rId591" Type="http://schemas.openxmlformats.org/officeDocument/2006/relationships/hyperlink" Target="http://www.boxofficemojo.com/movies/?id=kontiki.htm" TargetMode="External"/><Relationship Id="rId592" Type="http://schemas.openxmlformats.org/officeDocument/2006/relationships/hyperlink" Target="http://www.boxofficemojo.com/studio/chart/?studio=weinsteincompany.htm" TargetMode="External"/><Relationship Id="rId593" Type="http://schemas.openxmlformats.org/officeDocument/2006/relationships/hyperlink" Target="http://www.boxofficemojo.com/schedule/?view=bydate&amp;release=theatrical&amp;date=2013-04-26&amp;p=.htm" TargetMode="External"/><Relationship Id="rId594" Type="http://schemas.openxmlformats.org/officeDocument/2006/relationships/hyperlink" Target="http://www.boxofficemojo.com/movies/?id=disconnect.htm" TargetMode="External"/><Relationship Id="rId595" Type="http://schemas.openxmlformats.org/officeDocument/2006/relationships/hyperlink" Target="http://www.boxofficemojo.com/studio/chart/?studio=lddistribution.htm" TargetMode="External"/><Relationship Id="rId596" Type="http://schemas.openxmlformats.org/officeDocument/2006/relationships/hyperlink" Target="http://www.boxofficemojo.com/schedule/?view=bydate&amp;release=theatrical&amp;date=2013-04-12&amp;p=.htm" TargetMode="External"/><Relationship Id="rId597" Type="http://schemas.openxmlformats.org/officeDocument/2006/relationships/hyperlink" Target="http://www.boxofficemojo.com/movies/?id=girlmostlikely.htm" TargetMode="External"/><Relationship Id="rId598" Type="http://schemas.openxmlformats.org/officeDocument/2006/relationships/hyperlink" Target="http://www.boxofficemojo.com/studio/chart/?studio=roadsideattractions.htm" TargetMode="External"/><Relationship Id="rId599" Type="http://schemas.openxmlformats.org/officeDocument/2006/relationships/hyperlink" Target="http://www.boxofficemojo.com/schedule/?view=bydate&amp;release=theatrical&amp;date=2013-07-19&amp;p=.htm" TargetMode="External"/><Relationship Id="rId1834" Type="http://schemas.openxmlformats.org/officeDocument/2006/relationships/hyperlink" Target="http://www.boxofficemojo.com/studio/chart/?studio=ifc.htm" TargetMode="External"/><Relationship Id="rId1835" Type="http://schemas.openxmlformats.org/officeDocument/2006/relationships/hyperlink" Target="http://www.boxofficemojo.com/schedule/?view=bydate&amp;release=theatrical&amp;date=2013-01-25&amp;p=.htm" TargetMode="External"/><Relationship Id="rId1836" Type="http://schemas.openxmlformats.org/officeDocument/2006/relationships/hyperlink" Target="http://www.boxofficemojo.com/movies/?id=guillotines.htm" TargetMode="External"/><Relationship Id="rId1837" Type="http://schemas.openxmlformats.org/officeDocument/2006/relationships/hyperlink" Target="http://www.boxofficemojo.com/studio/chart/?studio=wellgo.htm" TargetMode="External"/><Relationship Id="rId1838" Type="http://schemas.openxmlformats.org/officeDocument/2006/relationships/hyperlink" Target="http://www.boxofficemojo.com/schedule/?view=bydate&amp;release=theatrical&amp;date=2013-06-14&amp;p=.htm" TargetMode="External"/><Relationship Id="rId1839" Type="http://schemas.openxmlformats.org/officeDocument/2006/relationships/hyperlink" Target="http://www.boxofficemojo.com/movies/?id=timebeing.htm" TargetMode="External"/><Relationship Id="rId1840" Type="http://schemas.openxmlformats.org/officeDocument/2006/relationships/hyperlink" Target="http://www.boxofficemojo.com/studio/chart/?studio=tribecafilm.htm" TargetMode="External"/><Relationship Id="rId1841" Type="http://schemas.openxmlformats.org/officeDocument/2006/relationships/hyperlink" Target="http://www.boxofficemojo.com/schedule/?view=bydate&amp;release=theatrical&amp;date=2013-07-26&amp;p=.htm" TargetMode="External"/><Relationship Id="rId1842" Type="http://schemas.openxmlformats.org/officeDocument/2006/relationships/hyperlink" Target="http://www.boxofficemojo.com/movies/?id=bidder70.htm" TargetMode="External"/><Relationship Id="rId1843" Type="http://schemas.openxmlformats.org/officeDocument/2006/relationships/hyperlink" Target="http://www.boxofficemojo.com/studio/chart/?studio=firstrun.htm" TargetMode="External"/><Relationship Id="rId1450" Type="http://schemas.openxmlformats.org/officeDocument/2006/relationships/hyperlink" Target="http://www.boxofficemojo.com/studio/chart/?studio=drafthousefilms.htm" TargetMode="External"/><Relationship Id="rId1451" Type="http://schemas.openxmlformats.org/officeDocument/2006/relationships/hyperlink" Target="http://www.boxofficemojo.com/schedule/?view=bydate&amp;release=theatrical&amp;date=2013-05-17&amp;p=.htm" TargetMode="External"/><Relationship Id="rId1452" Type="http://schemas.openxmlformats.org/officeDocument/2006/relationships/hyperlink" Target="http://www.boxofficemojo.com/movies/?id=vhs2.htm" TargetMode="External"/><Relationship Id="rId1453" Type="http://schemas.openxmlformats.org/officeDocument/2006/relationships/hyperlink" Target="http://www.boxofficemojo.com/studio/chart/?studio=magnolia.htm" TargetMode="External"/><Relationship Id="rId1454" Type="http://schemas.openxmlformats.org/officeDocument/2006/relationships/hyperlink" Target="http://www.boxofficemojo.com/schedule/?view=bydate&amp;release=theatrical&amp;date=2013-07-12&amp;p=.htm" TargetMode="External"/><Relationship Id="rId1455" Type="http://schemas.openxmlformats.org/officeDocument/2006/relationships/hyperlink" Target="http://www.boxofficemojo.com/movies/?id=abcsofdeath.htm" TargetMode="External"/><Relationship Id="rId1456" Type="http://schemas.openxmlformats.org/officeDocument/2006/relationships/hyperlink" Target="http://www.boxofficemojo.com/studio/chart/?studio=magnolia.htm" TargetMode="External"/><Relationship Id="rId1457" Type="http://schemas.openxmlformats.org/officeDocument/2006/relationships/hyperlink" Target="http://www.boxofficemojo.com/schedule/?view=bydate&amp;release=theatrical&amp;date=2013-03-08&amp;p=.htm" TargetMode="External"/><Relationship Id="rId1458" Type="http://schemas.openxmlformats.org/officeDocument/2006/relationships/hyperlink" Target="http://www.boxofficemojo.com/movies/?id=viola.htm" TargetMode="External"/><Relationship Id="rId1459" Type="http://schemas.openxmlformats.org/officeDocument/2006/relationships/hyperlink" Target="http://www.boxofficemojo.com/studio/chart/?studio=cinemaguild.htm" TargetMode="External"/><Relationship Id="rId990" Type="http://schemas.openxmlformats.org/officeDocument/2006/relationships/hyperlink" Target="http://www.boxofficemojo.com/movies/?id=stormsurfers.htm" TargetMode="External"/><Relationship Id="rId991" Type="http://schemas.openxmlformats.org/officeDocument/2006/relationships/hyperlink" Target="http://www.boxofficemojo.com/studio/chart/?studio=xlratormedia.htm" TargetMode="External"/><Relationship Id="rId992" Type="http://schemas.openxmlformats.org/officeDocument/2006/relationships/hyperlink" Target="http://www.boxofficemojo.com/schedule/?view=bydate&amp;release=theatrical&amp;date=2013-04-26&amp;p=.htm" TargetMode="External"/><Relationship Id="rId993" Type="http://schemas.openxmlformats.org/officeDocument/2006/relationships/hyperlink" Target="http://www.boxofficemojo.com/movies/?id=yossi.htm" TargetMode="External"/><Relationship Id="rId994" Type="http://schemas.openxmlformats.org/officeDocument/2006/relationships/hyperlink" Target="http://www.boxofficemojo.com/studio/chart/?studio=strand.htm" TargetMode="External"/><Relationship Id="rId995" Type="http://schemas.openxmlformats.org/officeDocument/2006/relationships/hyperlink" Target="http://www.boxofficemojo.com/schedule/?view=bydate&amp;release=theatrical&amp;date=2013-01-25&amp;p=.htm" TargetMode="External"/><Relationship Id="rId996" Type="http://schemas.openxmlformats.org/officeDocument/2006/relationships/hyperlink" Target="http://www.boxofficemojo.com/movies/?id=spinningplates.htm" TargetMode="External"/><Relationship Id="rId997" Type="http://schemas.openxmlformats.org/officeDocument/2006/relationships/hyperlink" Target="http://www.boxofficemojo.com/studio/chart/?studio=filmarcade.htm" TargetMode="External"/><Relationship Id="rId998" Type="http://schemas.openxmlformats.org/officeDocument/2006/relationships/hyperlink" Target="http://www.boxofficemojo.com/schedule/?view=bydate&amp;release=theatrical&amp;date=2013-10-25&amp;p=.htm" TargetMode="External"/><Relationship Id="rId999" Type="http://schemas.openxmlformats.org/officeDocument/2006/relationships/hyperlink" Target="http://www.boxofficemojo.com/movies/?id=ekthidaayan.htm" TargetMode="External"/><Relationship Id="rId1060" Type="http://schemas.openxmlformats.org/officeDocument/2006/relationships/hyperlink" Target="http://www.boxofficemojo.com/studio/chart/?studio=wakinggiants.htm" TargetMode="External"/><Relationship Id="rId1061" Type="http://schemas.openxmlformats.org/officeDocument/2006/relationships/hyperlink" Target="http://www.boxofficemojo.com/schedule/?view=bydate&amp;release=theatrical&amp;date=2013-04-26&amp;p=.htm" TargetMode="External"/><Relationship Id="rId1062" Type="http://schemas.openxmlformats.org/officeDocument/2006/relationships/hyperlink" Target="http://www.boxofficemojo.com/movies/?id=somebodyupthere13.htm" TargetMode="External"/><Relationship Id="rId1063" Type="http://schemas.openxmlformats.org/officeDocument/2006/relationships/hyperlink" Target="http://www.boxofficemojo.com/studio/chart/?studio=tribecafilm.htm" TargetMode="External"/><Relationship Id="rId1064" Type="http://schemas.openxmlformats.org/officeDocument/2006/relationships/hyperlink" Target="http://www.boxofficemojo.com/schedule/?view=bydate&amp;release=theatrical&amp;date=2013-03-08&amp;p=.htm" TargetMode="External"/><Relationship Id="rId1065" Type="http://schemas.openxmlformats.org/officeDocument/2006/relationships/hyperlink" Target="http://www.boxofficemojo.com/movies/?id=byzantium.htm" TargetMode="External"/><Relationship Id="rId1066" Type="http://schemas.openxmlformats.org/officeDocument/2006/relationships/hyperlink" Target="http://www.boxofficemojo.com/studio/chart/?studio=ifc.htm" TargetMode="External"/><Relationship Id="rId1067" Type="http://schemas.openxmlformats.org/officeDocument/2006/relationships/hyperlink" Target="http://www.boxofficemojo.com/schedule/?view=bydate&amp;release=theatrical&amp;date=2013-06-28&amp;p=.htm" TargetMode="External"/><Relationship Id="rId1068" Type="http://schemas.openxmlformats.org/officeDocument/2006/relationships/hyperlink" Target="http://www.boxofficemojo.com/movies/?id=moneyfornothing13.htm" TargetMode="External"/><Relationship Id="rId1069" Type="http://schemas.openxmlformats.org/officeDocument/2006/relationships/hyperlink" Target="http://www.boxofficemojo.com/studio/chart/?studio=libertystreet.htm" TargetMode="External"/><Relationship Id="rId1844" Type="http://schemas.openxmlformats.org/officeDocument/2006/relationships/hyperlink" Target="http://www.boxofficemojo.com/schedule/?view=bydate&amp;release=theatrical&amp;date=2013-05-17&amp;p=.htm" TargetMode="External"/><Relationship Id="rId1845" Type="http://schemas.openxmlformats.org/officeDocument/2006/relationships/hyperlink" Target="http://www.boxofficemojo.com/movies/?id=nuclearnation.htm" TargetMode="External"/><Relationship Id="rId1846" Type="http://schemas.openxmlformats.org/officeDocument/2006/relationships/hyperlink" Target="http://www.boxofficemojo.com/studio/chart/?studio=firstrun.htm" TargetMode="External"/><Relationship Id="rId1847" Type="http://schemas.openxmlformats.org/officeDocument/2006/relationships/hyperlink" Target="http://www.boxofficemojo.com/schedule/?view=bydate&amp;release=theatrical&amp;date=2013-12-11&amp;p=.htm" TargetMode="External"/><Relationship Id="rId1848" Type="http://schemas.openxmlformats.org/officeDocument/2006/relationships/hyperlink" Target="http://www.boxofficemojo.com/movies/?id=hermanshouse.htm" TargetMode="External"/><Relationship Id="rId1849" Type="http://schemas.openxmlformats.org/officeDocument/2006/relationships/hyperlink" Target="http://www.boxofficemojo.com/studio/chart/?studio=firstrun.htm" TargetMode="External"/><Relationship Id="rId200" Type="http://schemas.openxmlformats.org/officeDocument/2006/relationships/hyperlink" Target="http://www.boxofficemojo.com/schedule/?view=bydate&amp;release=theatrical&amp;date=2013-04-05&amp;p=.htm" TargetMode="External"/><Relationship Id="rId201" Type="http://schemas.openxmlformats.org/officeDocument/2006/relationships/hyperlink" Target="http://www.boxofficemojo.com/movies/?id=red2.htm" TargetMode="External"/><Relationship Id="rId202" Type="http://schemas.openxmlformats.org/officeDocument/2006/relationships/hyperlink" Target="http://www.boxofficemojo.com/studio/chart/?studio=lionsgatesummit.htm" TargetMode="External"/><Relationship Id="rId203" Type="http://schemas.openxmlformats.org/officeDocument/2006/relationships/hyperlink" Target="http://www.boxofficemojo.com/schedule/?view=bydate&amp;release=theatrical&amp;date=2013-07-19&amp;p=.htm" TargetMode="External"/><Relationship Id="rId204" Type="http://schemas.openxmlformats.org/officeDocument/2006/relationships/hyperlink" Target="http://www.boxofficemojo.com/movies/?id=madeachristmas.htm" TargetMode="External"/><Relationship Id="rId205" Type="http://schemas.openxmlformats.org/officeDocument/2006/relationships/hyperlink" Target="http://www.boxofficemojo.com/studio/chart/?studio=lionsgate.htm" TargetMode="External"/><Relationship Id="rId206" Type="http://schemas.openxmlformats.org/officeDocument/2006/relationships/hyperlink" Target="http://www.boxofficemojo.com/schedule/?view=bydate&amp;release=theatrical&amp;date=2013-12-13&amp;p=.htm" TargetMode="External"/><Relationship Id="rId207" Type="http://schemas.openxmlformats.org/officeDocument/2006/relationships/hyperlink" Target="http://www.boxofficemojo.com/movies/?id=marriagecounselor.htm" TargetMode="External"/><Relationship Id="rId208" Type="http://schemas.openxmlformats.org/officeDocument/2006/relationships/hyperlink" Target="http://www.boxofficemojo.com/studio/chart/?studio=lionsgate.htm" TargetMode="External"/><Relationship Id="rId209" Type="http://schemas.openxmlformats.org/officeDocument/2006/relationships/hyperlink" Target="http://www.boxofficemojo.com/schedule/?view=bydate&amp;release=theatrical&amp;date=2013-03-29&amp;p=.htm" TargetMode="External"/><Relationship Id="rId1850" Type="http://schemas.openxmlformats.org/officeDocument/2006/relationships/hyperlink" Target="http://www.boxofficemojo.com/schedule/?view=bydate&amp;release=theatrical&amp;date=2013-04-19&amp;p=.htm" TargetMode="External"/><Relationship Id="rId1851" Type="http://schemas.openxmlformats.org/officeDocument/2006/relationships/hyperlink" Target="http://www.boxofficemojo.com/movies/?id=supportingcharacters.htm" TargetMode="External"/><Relationship Id="rId1852" Type="http://schemas.openxmlformats.org/officeDocument/2006/relationships/hyperlink" Target="http://www.boxofficemojo.com/studio/chart/?studio=tribecafilm.htm" TargetMode="External"/><Relationship Id="rId1853" Type="http://schemas.openxmlformats.org/officeDocument/2006/relationships/hyperlink" Target="http://www.boxofficemojo.com/schedule/?view=bydate&amp;release=theatrical&amp;date=2013-01-25&amp;p=.htm" TargetMode="External"/><Relationship Id="rId1460" Type="http://schemas.openxmlformats.org/officeDocument/2006/relationships/hyperlink" Target="http://www.boxofficemojo.com/schedule/?view=bydate&amp;release=theatrical&amp;date=2013-07-12&amp;p=.htm" TargetMode="External"/><Relationship Id="rId1461" Type="http://schemas.openxmlformats.org/officeDocument/2006/relationships/hyperlink" Target="http://www.boxofficemojo.com/movies/?id=blueexorcist.htm" TargetMode="External"/><Relationship Id="rId1462" Type="http://schemas.openxmlformats.org/officeDocument/2006/relationships/hyperlink" Target="http://www.boxofficemojo.com/studio/chart/?studio=elevenarts.htm" TargetMode="External"/><Relationship Id="rId1463" Type="http://schemas.openxmlformats.org/officeDocument/2006/relationships/hyperlink" Target="http://www.boxofficemojo.com/schedule/?view=bydate&amp;release=theatrical&amp;date=2013-08-17&amp;p=.htm" TargetMode="External"/><Relationship Id="rId1464" Type="http://schemas.openxmlformats.org/officeDocument/2006/relationships/hyperlink" Target="http://www.boxofficemojo.com/movies/?id=violetawenttoheaven.htm" TargetMode="External"/><Relationship Id="rId1465" Type="http://schemas.openxmlformats.org/officeDocument/2006/relationships/hyperlink" Target="http://www.boxofficemojo.com/studio/chart/?studio=kinolorber.htm" TargetMode="External"/><Relationship Id="rId1466" Type="http://schemas.openxmlformats.org/officeDocument/2006/relationships/hyperlink" Target="http://www.boxofficemojo.com/schedule/?view=bydate&amp;release=theatrical&amp;date=2013-03-29&amp;p=.htm" TargetMode="External"/><Relationship Id="rId1467" Type="http://schemas.openxmlformats.org/officeDocument/2006/relationships/hyperlink" Target="http://www.boxofficemojo.com/movies/?id=tiopapi.htm" TargetMode="External"/><Relationship Id="rId1468" Type="http://schemas.openxmlformats.org/officeDocument/2006/relationships/hyperlink" Target="http://www.boxofficemojo.com/studio/chart/?studio=activefox.htm" TargetMode="External"/><Relationship Id="rId1469" Type="http://schemas.openxmlformats.org/officeDocument/2006/relationships/hyperlink" Target="http://www.boxofficemojo.com/schedule/?view=bydate&amp;release=theatrical&amp;date=2013-09-06&amp;p=.htm" TargetMode="External"/><Relationship Id="rId1070" Type="http://schemas.openxmlformats.org/officeDocument/2006/relationships/hyperlink" Target="http://www.boxofficemojo.com/schedule/?view=bydate&amp;release=theatrical&amp;date=2013-09-06&amp;p=.htm" TargetMode="External"/><Relationship Id="rId1071" Type="http://schemas.openxmlformats.org/officeDocument/2006/relationships/hyperlink" Target="http://www.boxofficemojo.com/movies/?id=settai.htm" TargetMode="External"/><Relationship Id="rId1072" Type="http://schemas.openxmlformats.org/officeDocument/2006/relationships/hyperlink" Target="http://www.boxofficemojo.com/studio/chart/?studio=utv.htm" TargetMode="External"/><Relationship Id="rId1073" Type="http://schemas.openxmlformats.org/officeDocument/2006/relationships/hyperlink" Target="http://www.boxofficemojo.com/schedule/?view=bydate&amp;release=theatrical&amp;date=2013-04-05&amp;p=.htm" TargetMode="External"/><Relationship Id="rId1074" Type="http://schemas.openxmlformats.org/officeDocument/2006/relationships/hyperlink" Target="http://www.boxofficemojo.com/movies/?id=youngdetectivedee.htm" TargetMode="External"/><Relationship Id="rId1075" Type="http://schemas.openxmlformats.org/officeDocument/2006/relationships/hyperlink" Target="http://www.boxofficemojo.com/studio/chart/?studio=amctheaters.htm" TargetMode="External"/><Relationship Id="rId1076" Type="http://schemas.openxmlformats.org/officeDocument/2006/relationships/hyperlink" Target="http://www.boxofficemojo.com/schedule/?view=bydate&amp;release=theatrical&amp;date=2013-09-27&amp;p=.htm" TargetMode="External"/><Relationship Id="rId1077" Type="http://schemas.openxmlformats.org/officeDocument/2006/relationships/hyperlink" Target="http://www.boxofficemojo.com/movies/?id=rooftop.htm" TargetMode="External"/><Relationship Id="rId1078" Type="http://schemas.openxmlformats.org/officeDocument/2006/relationships/hyperlink" Target="http://www.boxofficemojo.com/studio/chart/?studio=wellgo.htm" TargetMode="External"/><Relationship Id="rId1079" Type="http://schemas.openxmlformats.org/officeDocument/2006/relationships/hyperlink" Target="http://www.boxofficemojo.com/schedule/?view=bydate&amp;release=theatrical&amp;date=2013-07-19&amp;p=.htm" TargetMode="External"/><Relationship Id="rId1854" Type="http://schemas.openxmlformats.org/officeDocument/2006/relationships/hyperlink" Target="http://www.boxofficemojo.com/movies/?id=revelationroad2.htm" TargetMode="External"/><Relationship Id="rId1855" Type="http://schemas.openxmlformats.org/officeDocument/2006/relationships/hyperlink" Target="http://www.boxofficemojo.com/studio/chart/?studio=fs.htm" TargetMode="External"/><Relationship Id="rId1856" Type="http://schemas.openxmlformats.org/officeDocument/2006/relationships/hyperlink" Target="http://www.boxofficemojo.com/schedule/?view=bydate&amp;release=theatrical&amp;date=2013-07-12&amp;p=.htm" TargetMode="External"/><Relationship Id="rId1857" Type="http://schemas.openxmlformats.org/officeDocument/2006/relationships/hyperlink" Target="http://www.boxofficemojo.com/movies/?id=ferlinghetti.htm" TargetMode="External"/><Relationship Id="rId1858" Type="http://schemas.openxmlformats.org/officeDocument/2006/relationships/hyperlink" Target="http://www.boxofficemojo.com/studio/chart/?studio=firstrun.htm" TargetMode="External"/><Relationship Id="rId1859" Type="http://schemas.openxmlformats.org/officeDocument/2006/relationships/hyperlink" Target="http://www.boxofficemojo.com/schedule/?view=bydate&amp;release=theatrical&amp;date=2013-02-08&amp;p=.htm" TargetMode="External"/><Relationship Id="rId600" Type="http://schemas.openxmlformats.org/officeDocument/2006/relationships/hyperlink" Target="http://www.boxofficemojo.com/movies/?id=imsoexcited.htm" TargetMode="External"/><Relationship Id="rId601" Type="http://schemas.openxmlformats.org/officeDocument/2006/relationships/hyperlink" Target="http://www.boxofficemojo.com/studio/chart/?studio=sonyclassics.htm" TargetMode="External"/><Relationship Id="rId602" Type="http://schemas.openxmlformats.org/officeDocument/2006/relationships/hyperlink" Target="http://www.boxofficemojo.com/schedule/?view=bydate&amp;release=theatrical&amp;date=2013-06-28&amp;p=.htm" TargetMode="External"/><Relationship Id="rId603" Type="http://schemas.openxmlformats.org/officeDocument/2006/relationships/hyperlink" Target="http://www.boxofficemojo.com/movies/?id=wadjda.htm" TargetMode="External"/><Relationship Id="rId604" Type="http://schemas.openxmlformats.org/officeDocument/2006/relationships/hyperlink" Target="http://www.boxofficemojo.com/studio/chart/?studio=sonyclassics.htm" TargetMode="External"/><Relationship Id="rId605" Type="http://schemas.openxmlformats.org/officeDocument/2006/relationships/hyperlink" Target="http://www.boxofficemojo.com/schedule/?view=bydate&amp;release=theatrical&amp;date=2013-09-13&amp;p=.htm" TargetMode="External"/><Relationship Id="rId606" Type="http://schemas.openxmlformats.org/officeDocument/2006/relationships/hyperlink" Target="http://www.boxofficemojo.com/movies/?id=past.htm" TargetMode="External"/><Relationship Id="rId607" Type="http://schemas.openxmlformats.org/officeDocument/2006/relationships/hyperlink" Target="http://www.boxofficemojo.com/studio/chart/?studio=sonyclassics.htm" TargetMode="External"/><Relationship Id="rId608" Type="http://schemas.openxmlformats.org/officeDocument/2006/relationships/hyperlink" Target="http://www.boxofficemojo.com/schedule/?view=bydate&amp;release=theatrical&amp;date=2013-12-20&amp;p=.htm" TargetMode="External"/><Relationship Id="rId609" Type="http://schemas.openxmlformats.org/officeDocument/2006/relationships/hyperlink" Target="http://www.boxofficemojo.com/movies/?id=ultimatelife.htm" TargetMode="External"/><Relationship Id="rId210" Type="http://schemas.openxmlformats.org/officeDocument/2006/relationships/hyperlink" Target="http://www.boxofficemojo.com/movies/?id=call2013.htm" TargetMode="External"/><Relationship Id="rId211" Type="http://schemas.openxmlformats.org/officeDocument/2006/relationships/hyperlink" Target="http://www.boxofficemojo.com/studio/chart/?studio=tristar.htm" TargetMode="External"/><Relationship Id="rId212" Type="http://schemas.openxmlformats.org/officeDocument/2006/relationships/hyperlink" Target="http://www.boxofficemojo.com/schedule/?view=bydate&amp;release=theatrical&amp;date=2013-03-15&amp;p=.htm" TargetMode="External"/><Relationship Id="rId213" Type="http://schemas.openxmlformats.org/officeDocument/2006/relationships/hyperlink" Target="http://www.boxofficemojo.com/movies/?id=painandgain.htm" TargetMode="External"/><Relationship Id="rId214" Type="http://schemas.openxmlformats.org/officeDocument/2006/relationships/hyperlink" Target="http://www.boxofficemojo.com/studio/chart/?studio=paramount.htm" TargetMode="External"/><Relationship Id="rId215" Type="http://schemas.openxmlformats.org/officeDocument/2006/relationships/hyperlink" Target="http://www.boxofficemojo.com/schedule/?view=bydate&amp;release=theatrical&amp;date=2013-04-26&amp;p=.htm" TargetMode="External"/><Relationship Id="rId216" Type="http://schemas.openxmlformats.org/officeDocument/2006/relationships/hyperlink" Target="http://www.boxofficemojo.com/movies/?id=gangstersquad.htm" TargetMode="External"/><Relationship Id="rId217" Type="http://schemas.openxmlformats.org/officeDocument/2006/relationships/hyperlink" Target="http://www.boxofficemojo.com/studio/chart/?studio=warnerbros.htm" TargetMode="External"/><Relationship Id="rId218" Type="http://schemas.openxmlformats.org/officeDocument/2006/relationships/hyperlink" Target="http://www.boxofficemojo.com/schedule/?view=bydate&amp;release=theatrical&amp;date=2013-01-11&amp;p=.htm" TargetMode="External"/><Relationship Id="rId219" Type="http://schemas.openxmlformats.org/officeDocument/2006/relationships/hyperlink" Target="http://www.boxofficemojo.com/movies/?id=jurassicpark3d.htm" TargetMode="External"/><Relationship Id="rId1860" Type="http://schemas.openxmlformats.org/officeDocument/2006/relationships/hyperlink" Target="http://www.boxofficemojo.com/movies/?id=hotelnormandy.htm" TargetMode="External"/><Relationship Id="rId1861" Type="http://schemas.openxmlformats.org/officeDocument/2006/relationships/hyperlink" Target="http://www.boxofficemojo.com/studio/chart/?studio=rialto.htm" TargetMode="External"/><Relationship Id="rId1862" Type="http://schemas.openxmlformats.org/officeDocument/2006/relationships/hyperlink" Target="http://www.boxofficemojo.com/schedule/?view=bydate&amp;release=theatrical&amp;date=2013-09-27&amp;p=.htm" TargetMode="External"/><Relationship Id="rId1863" Type="http://schemas.openxmlformats.org/officeDocument/2006/relationships/hyperlink" Target="http://www.boxofficemojo.com/movies/?id=allisbright.htm" TargetMode="External"/><Relationship Id="rId1470" Type="http://schemas.openxmlformats.org/officeDocument/2006/relationships/hyperlink" Target="http://www.boxofficemojo.com/movies/?id=lookoflove.htm" TargetMode="External"/><Relationship Id="rId1471" Type="http://schemas.openxmlformats.org/officeDocument/2006/relationships/hyperlink" Target="http://www.boxofficemojo.com/studio/chart/?studio=ifc.htm" TargetMode="External"/><Relationship Id="rId1472" Type="http://schemas.openxmlformats.org/officeDocument/2006/relationships/hyperlink" Target="http://www.boxofficemojo.com/schedule/?view=bydate&amp;release=theatrical&amp;date=2013-07-05&amp;p=.htm" TargetMode="External"/><Relationship Id="rId1473" Type="http://schemas.openxmlformats.org/officeDocument/2006/relationships/hyperlink" Target="http://www.boxofficemojo.com/movies/?id=painting2013.htm" TargetMode="External"/><Relationship Id="rId1474" Type="http://schemas.openxmlformats.org/officeDocument/2006/relationships/hyperlink" Target="http://www.boxofficemojo.com/studio/chart/?studio=gkids.htm" TargetMode="External"/><Relationship Id="rId1475" Type="http://schemas.openxmlformats.org/officeDocument/2006/relationships/hyperlink" Target="http://www.boxofficemojo.com/schedule/?view=bydate&amp;release=theatrical&amp;date=2013-05-10&amp;p=.htm" TargetMode="External"/><Relationship Id="rId1476" Type="http://schemas.openxmlformats.org/officeDocument/2006/relationships/hyperlink" Target="http://www.boxofficemojo.com/movies/?id=ghostsinourmachine.htm" TargetMode="External"/><Relationship Id="rId1477" Type="http://schemas.openxmlformats.org/officeDocument/2006/relationships/hyperlink" Target="http://www.boxofficemojo.com/studio/chart/?studio=ghostsmedia.htm" TargetMode="External"/><Relationship Id="rId1478" Type="http://schemas.openxmlformats.org/officeDocument/2006/relationships/hyperlink" Target="http://www.boxofficemojo.com/schedule/?view=bydate&amp;release=theatrical&amp;date=2013-11-08&amp;p=.htm" TargetMode="External"/><Relationship Id="rId1479" Type="http://schemas.openxmlformats.org/officeDocument/2006/relationships/hyperlink" Target="http://www.boxofficemojo.com/movies/?id=ournixon.htm" TargetMode="External"/><Relationship Id="rId1080" Type="http://schemas.openxmlformats.org/officeDocument/2006/relationships/hyperlink" Target="http://www.boxofficemojo.com/movies/?id=somethingintheair.htm" TargetMode="External"/><Relationship Id="rId1081" Type="http://schemas.openxmlformats.org/officeDocument/2006/relationships/hyperlink" Target="http://www.boxofficemojo.com/studio/chart/?studio=ifc.htm" TargetMode="External"/><Relationship Id="rId1082" Type="http://schemas.openxmlformats.org/officeDocument/2006/relationships/hyperlink" Target="http://www.boxofficemojo.com/schedule/?view=bydate&amp;release=theatrical&amp;date=2013-05-03&amp;p=.htm" TargetMode="External"/><Relationship Id="rId1083" Type="http://schemas.openxmlformats.org/officeDocument/2006/relationships/hyperlink" Target="http://www.boxofficemojo.com/movies/?id=iamdivine.htm" TargetMode="External"/><Relationship Id="rId1084" Type="http://schemas.openxmlformats.org/officeDocument/2006/relationships/hyperlink" Target="http://www.boxofficemojo.com/studio/chart/?studio=filmcollaborative.htm" TargetMode="External"/><Relationship Id="rId1085" Type="http://schemas.openxmlformats.org/officeDocument/2006/relationships/hyperlink" Target="http://www.boxofficemojo.com/schedule/?view=bydate&amp;release=theatrical&amp;date=2013-10-11&amp;p=.htm" TargetMode="External"/><Relationship Id="rId1086" Type="http://schemas.openxmlformats.org/officeDocument/2006/relationships/hyperlink" Target="http://www.boxofficemojo.com/movies/?id=wearewhatweare.htm" TargetMode="External"/><Relationship Id="rId1087" Type="http://schemas.openxmlformats.org/officeDocument/2006/relationships/hyperlink" Target="http://www.boxofficemojo.com/studio/chart/?studio=entertainmentone.htm" TargetMode="External"/><Relationship Id="rId1088" Type="http://schemas.openxmlformats.org/officeDocument/2006/relationships/hyperlink" Target="http://www.boxofficemojo.com/schedule/?view=bydate&amp;release=theatrical&amp;date=2013-09-27&amp;p=.htm" TargetMode="External"/><Relationship Id="rId1089" Type="http://schemas.openxmlformats.org/officeDocument/2006/relationships/hyperlink" Target="http://www.boxofficemojo.com/movies/?id=stuckinlove.htm" TargetMode="External"/><Relationship Id="rId1864" Type="http://schemas.openxmlformats.org/officeDocument/2006/relationships/hyperlink" Target="http://www.boxofficemojo.com/studio/chart/?studio=anchorbayentertainment.htm" TargetMode="External"/><Relationship Id="rId1865" Type="http://schemas.openxmlformats.org/officeDocument/2006/relationships/hyperlink" Target="http://www.boxofficemojo.com/schedule/?view=bydate&amp;release=theatrical&amp;date=2013-10-04&amp;p=.htm" TargetMode="External"/><Relationship Id="rId1866" Type="http://schemas.openxmlformats.org/officeDocument/2006/relationships/hyperlink" Target="http://www.boxofficemojo.com/movies/?id=herecomesthedevil.htm" TargetMode="External"/><Relationship Id="rId1867" Type="http://schemas.openxmlformats.org/officeDocument/2006/relationships/hyperlink" Target="http://www.boxofficemojo.com/studio/chart/?studio=magnolia.htm" TargetMode="External"/><Relationship Id="rId1868" Type="http://schemas.openxmlformats.org/officeDocument/2006/relationships/hyperlink" Target="http://www.boxofficemojo.com/schedule/?view=bydate&amp;release=theatrical&amp;date=2013-12-13&amp;p=.htm" TargetMode="External"/><Relationship Id="rId1869" Type="http://schemas.openxmlformats.org/officeDocument/2006/relationships/hyperlink" Target="http://www.boxofficemojo.com/movies/?id=betweenus.htm" TargetMode="External"/><Relationship Id="rId610" Type="http://schemas.openxmlformats.org/officeDocument/2006/relationships/hyperlink" Target="http://www.boxofficemojo.com/studio/chart/?studio=hightop.htm" TargetMode="External"/><Relationship Id="rId611" Type="http://schemas.openxmlformats.org/officeDocument/2006/relationships/hyperlink" Target="http://www.boxofficemojo.com/schedule/?view=bydate&amp;release=theatrical&amp;date=2013-09-06&amp;p=.htm" TargetMode="External"/><Relationship Id="rId612" Type="http://schemas.openxmlformats.org/officeDocument/2006/relationships/hyperlink" Target="http://www.boxofficemojo.com/movies/?id=kingsofsummer.htm" TargetMode="External"/><Relationship Id="rId613" Type="http://schemas.openxmlformats.org/officeDocument/2006/relationships/hyperlink" Target="http://www.boxofficemojo.com/studio/chart/?studio=cbsfilms.htm" TargetMode="External"/><Relationship Id="rId614" Type="http://schemas.openxmlformats.org/officeDocument/2006/relationships/hyperlink" Target="http://www.boxofficemojo.com/schedule/?view=bydate&amp;release=theatrical&amp;date=2013-05-31&amp;p=.htm" TargetMode="External"/><Relationship Id="rId615" Type="http://schemas.openxmlformats.org/officeDocument/2006/relationships/hyperlink" Target="http://www.boxofficemojo.com/movies/?id=invisiblewoman.htm" TargetMode="External"/><Relationship Id="rId616" Type="http://schemas.openxmlformats.org/officeDocument/2006/relationships/hyperlink" Target="http://www.boxofficemojo.com/studio/chart/?studio=sonyclassics.htm" TargetMode="External"/><Relationship Id="rId617" Type="http://schemas.openxmlformats.org/officeDocument/2006/relationships/hyperlink" Target="http://www.boxofficemojo.com/schedule/?view=bydate&amp;release=theatrical&amp;date=2013-12-25&amp;p=.htm" TargetMode="External"/><Relationship Id="rId618" Type="http://schemas.openxmlformats.org/officeDocument/2006/relationships/hyperlink" Target="http://www.boxofficemojo.com/movies/?id=inequalityforall.htm" TargetMode="External"/><Relationship Id="rId619" Type="http://schemas.openxmlformats.org/officeDocument/2006/relationships/hyperlink" Target="http://www.boxofficemojo.com/studio/chart/?studio=radiustwc.htm" TargetMode="External"/><Relationship Id="rId220" Type="http://schemas.openxmlformats.org/officeDocument/2006/relationships/hyperlink" Target="http://www.boxofficemojo.com/studio/chart/?studio=universal.htm" TargetMode="External"/><Relationship Id="rId221" Type="http://schemas.openxmlformats.org/officeDocument/2006/relationships/hyperlink" Target="http://www.boxofficemojo.com/schedule/?view=bydate&amp;release=theatrical&amp;date=2013-04-05&amp;p=.htm" TargetMode="External"/><Relationship Id="rId222" Type="http://schemas.openxmlformats.org/officeDocument/2006/relationships/hyperlink" Target="http://www.boxofficemojo.com/movies/?id=internship.htm" TargetMode="External"/><Relationship Id="rId223" Type="http://schemas.openxmlformats.org/officeDocument/2006/relationships/hyperlink" Target="http://www.boxofficemojo.com/studio/chart/?studio=fox.htm" TargetMode="External"/><Relationship Id="rId224" Type="http://schemas.openxmlformats.org/officeDocument/2006/relationships/hyperlink" Target="http://www.boxofficemojo.com/schedule/?view=bydate&amp;release=theatrical&amp;date=2013-06-07&amp;p=.htm" TargetMode="External"/><Relationship Id="rId225" Type="http://schemas.openxmlformats.org/officeDocument/2006/relationships/hyperlink" Target="http://www.boxofficemojo.com/movies/?id=instructionsnotincluded.htm" TargetMode="External"/><Relationship Id="rId226" Type="http://schemas.openxmlformats.org/officeDocument/2006/relationships/hyperlink" Target="http://www.boxofficemojo.com/studio/chart/?studio=lionsgate.htm" TargetMode="External"/><Relationship Id="rId227" Type="http://schemas.openxmlformats.org/officeDocument/2006/relationships/hyperlink" Target="http://www.boxofficemojo.com/schedule/?view=bydate&amp;release=theatrical&amp;date=2013-08-30&amp;p=.htm" TargetMode="External"/><Relationship Id="rId228" Type="http://schemas.openxmlformats.org/officeDocument/2006/relationships/hyperlink" Target="http://www.boxofficemojo.com/movies/?id=snitch.htm" TargetMode="External"/><Relationship Id="rId229" Type="http://schemas.openxmlformats.org/officeDocument/2006/relationships/hyperlink" Target="http://www.boxofficemojo.com/studio/chart/?studio=lionsgatesummit.htm" TargetMode="External"/><Relationship Id="rId1870" Type="http://schemas.openxmlformats.org/officeDocument/2006/relationships/hyperlink" Target="http://www.boxofficemojo.com/studio/chart/?studio=montereymediainc.htm" TargetMode="External"/><Relationship Id="rId1871" Type="http://schemas.openxmlformats.org/officeDocument/2006/relationships/hyperlink" Target="http://www.boxofficemojo.com/schedule/?view=bydate&amp;release=theatrical&amp;date=2013-06-14&amp;p=.htm" TargetMode="External"/><Relationship Id="rId1872" Type="http://schemas.openxmlformats.org/officeDocument/2006/relationships/hyperlink" Target="http://www.boxofficemojo.com/movies/?id=endoftime.htm" TargetMode="External"/><Relationship Id="rId1873" Type="http://schemas.openxmlformats.org/officeDocument/2006/relationships/hyperlink" Target="http://www.boxofficemojo.com/studio/chart/?studio=firstrun.htm" TargetMode="External"/><Relationship Id="rId1480" Type="http://schemas.openxmlformats.org/officeDocument/2006/relationships/hyperlink" Target="http://www.boxofficemojo.com/studio/chart/?studio=cinedigmentertainment.htm" TargetMode="External"/><Relationship Id="rId1481" Type="http://schemas.openxmlformats.org/officeDocument/2006/relationships/hyperlink" Target="http://www.boxofficemojo.com/schedule/?view=bydate&amp;release=theatrical&amp;date=2013-08-30&amp;p=.htm" TargetMode="External"/><Relationship Id="rId1482" Type="http://schemas.openxmlformats.org/officeDocument/2006/relationships/hyperlink" Target="http://www.boxofficemojo.com/movies/?id=hunkydory.htm" TargetMode="External"/><Relationship Id="rId1483" Type="http://schemas.openxmlformats.org/officeDocument/2006/relationships/hyperlink" Target="http://www.boxofficemojo.com/studio/chart/?studio=variancefilms.htm" TargetMode="External"/><Relationship Id="rId1484" Type="http://schemas.openxmlformats.org/officeDocument/2006/relationships/hyperlink" Target="http://www.boxofficemojo.com/schedule/?view=bydate&amp;release=theatrical&amp;date=2013-03-22&amp;p=.htm" TargetMode="External"/><Relationship Id="rId1485" Type="http://schemas.openxmlformats.org/officeDocument/2006/relationships/hyperlink" Target="http://www.boxofficemojo.com/movies/?id=terraferma.htm" TargetMode="External"/><Relationship Id="rId1486" Type="http://schemas.openxmlformats.org/officeDocument/2006/relationships/hyperlink" Target="http://www.boxofficemojo.com/studio/chart/?studio=cohenmedia.htm" TargetMode="External"/><Relationship Id="rId1487" Type="http://schemas.openxmlformats.org/officeDocument/2006/relationships/hyperlink" Target="http://www.boxofficemojo.com/schedule/?view=bydate&amp;release=theatrical&amp;date=2013-07-24&amp;p=.htm" TargetMode="External"/><Relationship Id="rId1488" Type="http://schemas.openxmlformats.org/officeDocument/2006/relationships/hyperlink" Target="http://www.boxofficemojo.com/movies/?id=weddingpalace.htm" TargetMode="External"/><Relationship Id="rId1489" Type="http://schemas.openxmlformats.org/officeDocument/2006/relationships/hyperlink" Target="http://www.boxofficemojo.com/studio/chart/?studio=gogogo.htm" TargetMode="External"/><Relationship Id="rId1090" Type="http://schemas.openxmlformats.org/officeDocument/2006/relationships/hyperlink" Target="http://www.boxofficemojo.com/studio/chart/?studio=millenniumentertainment.htm" TargetMode="External"/><Relationship Id="rId1091" Type="http://schemas.openxmlformats.org/officeDocument/2006/relationships/hyperlink" Target="http://www.boxofficemojo.com/schedule/?view=bydate&amp;release=theatrical&amp;date=2013-07-05&amp;p=.htm" TargetMode="External"/><Relationship Id="rId1092" Type="http://schemas.openxmlformats.org/officeDocument/2006/relationships/hyperlink" Target="http://www.boxofficemojo.com/movies/?id=winniemandela.htm" TargetMode="External"/><Relationship Id="rId1093" Type="http://schemas.openxmlformats.org/officeDocument/2006/relationships/hyperlink" Target="http://www.boxofficemojo.com/studio/chart/?studio=imageentertainment.htm" TargetMode="External"/><Relationship Id="rId1094" Type="http://schemas.openxmlformats.org/officeDocument/2006/relationships/hyperlink" Target="http://www.boxofficemojo.com/schedule/?view=bydate&amp;release=theatrical&amp;date=2013-09-06&amp;p=.htm" TargetMode="External"/><Relationship Id="rId1095" Type="http://schemas.openxmlformats.org/officeDocument/2006/relationships/hyperlink" Target="http://www.boxofficemojo.com/movies/?id=ramaiyavastavaiya.htm" TargetMode="External"/><Relationship Id="rId1096" Type="http://schemas.openxmlformats.org/officeDocument/2006/relationships/hyperlink" Target="http://www.boxofficemojo.com/studio/chart/?studio=pradhubheva.htm" TargetMode="External"/><Relationship Id="rId1097" Type="http://schemas.openxmlformats.org/officeDocument/2006/relationships/hyperlink" Target="http://www.boxofficemojo.com/schedule/?view=bydate&amp;release=theatrical&amp;date=2013-07-19&amp;p=.htm" TargetMode="External"/><Relationship Id="rId1098" Type="http://schemas.openxmlformats.org/officeDocument/2006/relationships/hyperlink" Target="http://www.boxofficemojo.com/movies/?id=morethanhoney.htm" TargetMode="External"/><Relationship Id="rId1099" Type="http://schemas.openxmlformats.org/officeDocument/2006/relationships/hyperlink" Target="http://www.boxofficemojo.com/studio/chart/?studio=kinolorber.htm" TargetMode="External"/><Relationship Id="rId1874" Type="http://schemas.openxmlformats.org/officeDocument/2006/relationships/hyperlink" Target="http://www.boxofficemojo.com/schedule/?view=bydate&amp;release=theatrical&amp;date=2013-11-29&amp;p=.htm" TargetMode="External"/><Relationship Id="rId1875" Type="http://schemas.openxmlformats.org/officeDocument/2006/relationships/hyperlink" Target="http://www.boxofficemojo.com/movies/?id=acaseofyou.htm" TargetMode="External"/><Relationship Id="rId1876" Type="http://schemas.openxmlformats.org/officeDocument/2006/relationships/hyperlink" Target="http://www.boxofficemojo.com/studio/chart/?studio=ifc.htm" TargetMode="External"/><Relationship Id="rId1877" Type="http://schemas.openxmlformats.org/officeDocument/2006/relationships/hyperlink" Target="http://www.boxofficemojo.com/schedule/?view=bydate&amp;release=theatrical&amp;date=2013-11-06&amp;p=.htm" TargetMode="External"/><Relationship Id="rId1878" Type="http://schemas.openxmlformats.org/officeDocument/2006/relationships/hyperlink" Target="http://www.boxofficemojo.com/movies/?id=3geezers.htm" TargetMode="External"/><Relationship Id="rId1879" Type="http://schemas.openxmlformats.org/officeDocument/2006/relationships/hyperlink" Target="http://www.boxofficemojo.com/studio/chart/?studio=unknown.htm" TargetMode="External"/><Relationship Id="rId620" Type="http://schemas.openxmlformats.org/officeDocument/2006/relationships/hyperlink" Target="http://www.boxofficemojo.com/schedule/?view=bydate&amp;release=theatrical&amp;date=2013-09-27&amp;p=.htm" TargetMode="External"/><Relationship Id="rId621" Type="http://schemas.openxmlformats.org/officeDocument/2006/relationships/hyperlink" Target="http://www.boxofficemojo.com/movies/?id=lordsofsalem.htm" TargetMode="External"/><Relationship Id="rId622" Type="http://schemas.openxmlformats.org/officeDocument/2006/relationships/hyperlink" Target="http://www.boxofficemojo.com/studio/chart/?studio=anchorbayentertainment.htm" TargetMode="External"/><Relationship Id="rId623" Type="http://schemas.openxmlformats.org/officeDocument/2006/relationships/hyperlink" Target="http://www.boxofficemojo.com/schedule/?view=bydate&amp;release=theatrical&amp;date=2013-04-19&amp;p=.htm" TargetMode="External"/><Relationship Id="rId624" Type="http://schemas.openxmlformats.org/officeDocument/2006/relationships/hyperlink" Target="http://www.boxofficemojo.com/movies/?id=romeoandjuliet2013.htm" TargetMode="External"/><Relationship Id="rId625" Type="http://schemas.openxmlformats.org/officeDocument/2006/relationships/hyperlink" Target="http://www.boxofficemojo.com/studio/chart/?studio=relativity.htm" TargetMode="External"/><Relationship Id="rId626" Type="http://schemas.openxmlformats.org/officeDocument/2006/relationships/hyperlink" Target="http://www.boxofficemojo.com/schedule/?view=bydate&amp;release=theatrical&amp;date=2013-10-11&amp;p=.htm" TargetMode="External"/><Relationship Id="rId627" Type="http://schemas.openxmlformats.org/officeDocument/2006/relationships/hyperlink" Target="http://www.boxofficemojo.com/movies/?id=stillmine.htm" TargetMode="External"/><Relationship Id="rId628" Type="http://schemas.openxmlformats.org/officeDocument/2006/relationships/hyperlink" Target="http://www.boxofficemojo.com/studio/chart/?studio=samuelgoldwyn.htm" TargetMode="External"/><Relationship Id="rId629" Type="http://schemas.openxmlformats.org/officeDocument/2006/relationships/hyperlink" Target="http://www.boxofficemojo.com/schedule/?view=bydate&amp;release=theatrical&amp;date=2013-05-03&amp;p=.htm" TargetMode="External"/><Relationship Id="rId230" Type="http://schemas.openxmlformats.org/officeDocument/2006/relationships/hyperlink" Target="http://www.boxofficemojo.com/schedule/?view=bydate&amp;release=theatrical&amp;date=2013-02-22&amp;p=.htm" TargetMode="External"/><Relationship Id="rId231" Type="http://schemas.openxmlformats.org/officeDocument/2006/relationships/hyperlink" Target="http://www.boxofficemojo.com/movies/?id=riddick.htm" TargetMode="External"/><Relationship Id="rId232" Type="http://schemas.openxmlformats.org/officeDocument/2006/relationships/hyperlink" Target="http://www.boxofficemojo.com/studio/chart/?studio=universal.htm" TargetMode="External"/><Relationship Id="rId233" Type="http://schemas.openxmlformats.org/officeDocument/2006/relationships/hyperlink" Target="http://www.boxofficemojo.com/schedule/?view=bydate&amp;release=theatrical&amp;date=2013-09-06&amp;p=.htm" TargetMode="External"/><Relationship Id="rId234" Type="http://schemas.openxmlformats.org/officeDocument/2006/relationships/hyperlink" Target="http://www.boxofficemojo.com/movies/?id=hauntedhouse.htm" TargetMode="External"/><Relationship Id="rId235" Type="http://schemas.openxmlformats.org/officeDocument/2006/relationships/hyperlink" Target="http://www.boxofficemojo.com/studio/chart/?studio=openroads.htm" TargetMode="External"/><Relationship Id="rId236" Type="http://schemas.openxmlformats.org/officeDocument/2006/relationships/hyperlink" Target="http://www.boxofficemojo.com/schedule/?view=bydate&amp;release=theatrical&amp;date=2013-01-11&amp;p=.htm" TargetMode="External"/><Relationship Id="rId237" Type="http://schemas.openxmlformats.org/officeDocument/2006/relationships/hyperlink" Target="http://www.boxofficemojo.com/movies/?id=47ronin.htm" TargetMode="External"/><Relationship Id="rId238" Type="http://schemas.openxmlformats.org/officeDocument/2006/relationships/hyperlink" Target="http://www.boxofficemojo.com/studio/chart/?studio=universal.htm" TargetMode="External"/><Relationship Id="rId239" Type="http://schemas.openxmlformats.org/officeDocument/2006/relationships/hyperlink" Target="http://www.boxofficemojo.com/schedule/?view=bydate&amp;release=theatrical&amp;date=2013-12-25&amp;p=.htm" TargetMode="External"/><Relationship Id="rId1880" Type="http://schemas.openxmlformats.org/officeDocument/2006/relationships/hyperlink" Target="http://www.boxofficemojo.com/schedule/?view=bydate&amp;release=theatrical&amp;date=2013-05-22&amp;p=.htm" TargetMode="External"/><Relationship Id="rId1881" Type="http://schemas.openxmlformats.org/officeDocument/2006/relationships/hyperlink" Target="http://www.boxofficemojo.com/movies/?id=pawn.htm" TargetMode="External"/><Relationship Id="rId1882" Type="http://schemas.openxmlformats.org/officeDocument/2006/relationships/hyperlink" Target="http://www.boxofficemojo.com/studio/chart/?studio=anchorbayentertainment.htm" TargetMode="External"/><Relationship Id="rId1883" Type="http://schemas.openxmlformats.org/officeDocument/2006/relationships/hyperlink" Target="http://www.boxofficemojo.com/schedule/?view=bydate&amp;release=theatrical&amp;date=2013-04-19&amp;p=.htm" TargetMode="External"/><Relationship Id="rId1490" Type="http://schemas.openxmlformats.org/officeDocument/2006/relationships/hyperlink" Target="http://www.boxofficemojo.com/schedule/?view=bydate&amp;release=theatrical&amp;date=2013-09-27&amp;p=.htm" TargetMode="External"/><Relationship Id="rId1491" Type="http://schemas.openxmlformats.org/officeDocument/2006/relationships/hyperlink" Target="http://www.boxofficemojo.com/movies/?id=loveandhonor13.htm" TargetMode="External"/><Relationship Id="rId1492" Type="http://schemas.openxmlformats.org/officeDocument/2006/relationships/hyperlink" Target="http://www.boxofficemojo.com/studio/chart/?studio=ifc.htm" TargetMode="External"/><Relationship Id="rId1493" Type="http://schemas.openxmlformats.org/officeDocument/2006/relationships/hyperlink" Target="http://www.boxofficemojo.com/schedule/?view=bydate&amp;release=theatrical&amp;date=2013-03-22&amp;p=.htm" TargetMode="External"/><Relationship Id="rId1494" Type="http://schemas.openxmlformats.org/officeDocument/2006/relationships/hyperlink" Target="http://www.boxofficemojo.com/movies/?id=badmilo.htm" TargetMode="External"/><Relationship Id="rId1495" Type="http://schemas.openxmlformats.org/officeDocument/2006/relationships/hyperlink" Target="http://www.boxofficemojo.com/studio/chart/?studio=magnolia.htm" TargetMode="External"/><Relationship Id="rId1496" Type="http://schemas.openxmlformats.org/officeDocument/2006/relationships/hyperlink" Target="http://www.boxofficemojo.com/schedule/?view=bydate&amp;release=theatrical&amp;date=2013-10-04&amp;p=.htm" TargetMode="External"/><Relationship Id="rId1497" Type="http://schemas.openxmlformats.org/officeDocument/2006/relationships/hyperlink" Target="http://www.boxofficemojo.com/movies/?id=whensday.htm" TargetMode="External"/><Relationship Id="rId1498" Type="http://schemas.openxmlformats.org/officeDocument/2006/relationships/hyperlink" Target="http://www.boxofficemojo.com/studio/chart/?studio=nocoast.htm" TargetMode="External"/><Relationship Id="rId1499" Type="http://schemas.openxmlformats.org/officeDocument/2006/relationships/hyperlink" Target="http://www.boxofficemojo.com/schedule/?view=bydate&amp;release=theatrical&amp;date=2013-08-09&amp;p=.htm" TargetMode="External"/><Relationship Id="rId1884" Type="http://schemas.openxmlformats.org/officeDocument/2006/relationships/hyperlink" Target="http://www.boxofficemojo.com/movies/?id=contracted.htm" TargetMode="External"/><Relationship Id="rId1885" Type="http://schemas.openxmlformats.org/officeDocument/2006/relationships/hyperlink" Target="http://www.boxofficemojo.com/studio/chart/?studio=ifc.htm" TargetMode="External"/><Relationship Id="rId1886" Type="http://schemas.openxmlformats.org/officeDocument/2006/relationships/hyperlink" Target="http://www.boxofficemojo.com/schedule/?view=bydate&amp;release=theatrical&amp;date=2013-11-22&amp;p=.htm" TargetMode="External"/><Relationship Id="rId1887" Type="http://schemas.openxmlformats.org/officeDocument/2006/relationships/hyperlink" Target="http://www.boxofficemojo.com/movies/?id=weekendofachampion.htm" TargetMode="External"/><Relationship Id="rId1888" Type="http://schemas.openxmlformats.org/officeDocument/2006/relationships/hyperlink" Target="http://www.boxofficemojo.com/studio/chart/?studio=submarinedeluxe.htm" TargetMode="External"/><Relationship Id="rId1889" Type="http://schemas.openxmlformats.org/officeDocument/2006/relationships/hyperlink" Target="http://www.boxofficemojo.com/schedule/?view=bydate&amp;release=theatrical&amp;date=2013-11-22&amp;p=.htm" TargetMode="External"/><Relationship Id="rId10" Type="http://schemas.openxmlformats.org/officeDocument/2006/relationships/hyperlink" Target="http://www.boxofficemojo.com/studio/chart/?studio=buenavista.htm" TargetMode="External"/><Relationship Id="rId11" Type="http://schemas.openxmlformats.org/officeDocument/2006/relationships/hyperlink" Target="http://www.boxofficemojo.com/schedule/?view=bydate&amp;release=theatrical&amp;date=2013-05-03&amp;p=.htm" TargetMode="External"/><Relationship Id="rId12" Type="http://schemas.openxmlformats.org/officeDocument/2006/relationships/hyperlink" Target="http://www.boxofficemojo.com/movies/?id=frozen2013.htm" TargetMode="External"/><Relationship Id="rId13" Type="http://schemas.openxmlformats.org/officeDocument/2006/relationships/hyperlink" Target="http://www.boxofficemojo.com/studio/chart/?studio=buenavista.htm" TargetMode="External"/><Relationship Id="rId14" Type="http://schemas.openxmlformats.org/officeDocument/2006/relationships/hyperlink" Target="http://www.boxofficemojo.com/schedule/?view=bydate&amp;release=theatrical&amp;date=2013-11-22&amp;p=.htm" TargetMode="External"/><Relationship Id="rId15" Type="http://schemas.openxmlformats.org/officeDocument/2006/relationships/hyperlink" Target="http://www.boxofficemojo.com/movies/?id=despicableme2.htm" TargetMode="External"/><Relationship Id="rId16" Type="http://schemas.openxmlformats.org/officeDocument/2006/relationships/hyperlink" Target="http://www.boxofficemojo.com/studio/chart/?studio=universal.htm" TargetMode="External"/><Relationship Id="rId17" Type="http://schemas.openxmlformats.org/officeDocument/2006/relationships/hyperlink" Target="http://www.boxofficemojo.com/schedule/?view=bydate&amp;release=theatrical&amp;date=2013-07-03&amp;p=.htm" TargetMode="External"/><Relationship Id="rId18" Type="http://schemas.openxmlformats.org/officeDocument/2006/relationships/hyperlink" Target="http://www.boxofficemojo.com/movies/?id=superman2012.htm" TargetMode="External"/><Relationship Id="rId19" Type="http://schemas.openxmlformats.org/officeDocument/2006/relationships/hyperlink" Target="http://www.boxofficemojo.com/studio/chart/?studio=warnerbros.htm" TargetMode="External"/><Relationship Id="rId630" Type="http://schemas.openxmlformats.org/officeDocument/2006/relationships/hyperlink" Target="http://www.boxofficemojo.com/movies/?id=kaipoche.htm" TargetMode="External"/><Relationship Id="rId631" Type="http://schemas.openxmlformats.org/officeDocument/2006/relationships/hyperlink" Target="http://www.boxofficemojo.com/studio/chart/?studio=utv.htm" TargetMode="External"/><Relationship Id="rId632" Type="http://schemas.openxmlformats.org/officeDocument/2006/relationships/hyperlink" Target="http://www.boxofficemojo.com/schedule/?view=bydate&amp;release=theatrical&amp;date=2013-02-22&amp;p=.htm" TargetMode="External"/><Relationship Id="rId633" Type="http://schemas.openxmlformats.org/officeDocument/2006/relationships/hyperlink" Target="http://www.boxofficemojo.com/movies/?id=whatmaisieknew.htm" TargetMode="External"/><Relationship Id="rId634" Type="http://schemas.openxmlformats.org/officeDocument/2006/relationships/hyperlink" Target="http://www.boxofficemojo.com/studio/chart/?studio=millenniumentertainment.htm" TargetMode="External"/><Relationship Id="rId635" Type="http://schemas.openxmlformats.org/officeDocument/2006/relationships/hyperlink" Target="http://www.boxofficemojo.com/schedule/?view=bydate&amp;release=theatrical&amp;date=2013-05-03&amp;p=.htm" TargetMode="External"/><Relationship Id="rId636" Type="http://schemas.openxmlformats.org/officeDocument/2006/relationships/hyperlink" Target="http://www.boxofficemojo.com/movies/?id=thanksforsharing.htm" TargetMode="External"/><Relationship Id="rId637" Type="http://schemas.openxmlformats.org/officeDocument/2006/relationships/hyperlink" Target="http://www.boxofficemojo.com/studio/chart/?studio=roadsideattractions.htm" TargetMode="External"/><Relationship Id="rId638" Type="http://schemas.openxmlformats.org/officeDocument/2006/relationships/hyperlink" Target="http://www.boxofficemojo.com/schedule/?view=bydate&amp;release=theatrical&amp;date=2013-09-20&amp;p=.htm" TargetMode="External"/><Relationship Id="rId639" Type="http://schemas.openxmlformats.org/officeDocument/2006/relationships/hyperlink" Target="http://www.boxofficemojo.com/movies/?id=phantom2013.htm" TargetMode="External"/><Relationship Id="rId240" Type="http://schemas.openxmlformats.org/officeDocument/2006/relationships/hyperlink" Target="http://www.boxofficemojo.com/movies/?id=augustosagecounty.htm" TargetMode="External"/><Relationship Id="rId241" Type="http://schemas.openxmlformats.org/officeDocument/2006/relationships/hyperlink" Target="http://www.boxofficemojo.com/studio/chart/?studio=weinsteincompany.htm" TargetMode="External"/><Relationship Id="rId242" Type="http://schemas.openxmlformats.org/officeDocument/2006/relationships/hyperlink" Target="http://www.boxofficemojo.com/schedule/?view=bydate&amp;release=theatrical&amp;date=2013-12-27&amp;p=.htm" TargetMode="External"/><Relationship Id="rId243" Type="http://schemas.openxmlformats.org/officeDocument/2006/relationships/hyperlink" Target="http://www.boxofficemojo.com/movies/?id=philomena.htm" TargetMode="External"/><Relationship Id="rId244" Type="http://schemas.openxmlformats.org/officeDocument/2006/relationships/hyperlink" Target="http://www.boxofficemojo.com/studio/chart/?studio=weinsteincompany.htm" TargetMode="External"/><Relationship Id="rId245" Type="http://schemas.openxmlformats.org/officeDocument/2006/relationships/hyperlink" Target="http://www.boxofficemojo.com/schedule/?view=bydate&amp;release=theatrical&amp;date=2013-11-22&amp;p=.htm" TargetMode="External"/><Relationship Id="rId246" Type="http://schemas.openxmlformats.org/officeDocument/2006/relationships/hyperlink" Target="http://www.boxofficemojo.com/movies/?id=malavita.htm" TargetMode="External"/><Relationship Id="rId247" Type="http://schemas.openxmlformats.org/officeDocument/2006/relationships/hyperlink" Target="http://www.boxofficemojo.com/studio/chart/?studio=relativity.htm" TargetMode="External"/><Relationship Id="rId248" Type="http://schemas.openxmlformats.org/officeDocument/2006/relationships/hyperlink" Target="http://www.boxofficemojo.com/schedule/?view=bydate&amp;release=theatrical&amp;date=2013-09-13&amp;p=.htm" TargetMode="External"/><Relationship Id="rId249" Type="http://schemas.openxmlformats.org/officeDocument/2006/relationships/hyperlink" Target="http://www.boxofficemojo.com/movies/?id=walkingwithdinosaurs.htm" TargetMode="External"/><Relationship Id="rId1890" Type="http://schemas.openxmlformats.org/officeDocument/2006/relationships/hyperlink" Target="http://www.boxofficemojo.com/movies/?id=silvercircle.htm" TargetMode="External"/><Relationship Id="rId1891" Type="http://schemas.openxmlformats.org/officeDocument/2006/relationships/hyperlink" Target="http://www.boxofficemojo.com/studio/chart/?studio=area23a.htm" TargetMode="External"/><Relationship Id="rId1892" Type="http://schemas.openxmlformats.org/officeDocument/2006/relationships/hyperlink" Target="http://www.boxofficemojo.com/schedule/?view=bydate&amp;release=theatrical&amp;date=2013-03-22&amp;p=.htm" TargetMode="External"/><Relationship Id="rId1893" Type="http://schemas.openxmlformats.org/officeDocument/2006/relationships/hyperlink" Target="http://www.boxofficemojo.com/movies/?id=kitchen.htm" TargetMode="External"/><Relationship Id="rId1894" Type="http://schemas.openxmlformats.org/officeDocument/2006/relationships/hyperlink" Target="http://www.boxofficemojo.com/studio/chart/?studio=montereymediainc.htm" TargetMode="External"/><Relationship Id="rId1895" Type="http://schemas.openxmlformats.org/officeDocument/2006/relationships/hyperlink" Target="http://www.boxofficemojo.com/schedule/?view=bydate&amp;release=theatrical&amp;date=2013-03-08&amp;p=.htm" TargetMode="External"/><Relationship Id="rId1896" Type="http://schemas.openxmlformats.org/officeDocument/2006/relationships/hyperlink" Target="http://www.boxofficemojo.com/movies/?id=morning.htm" TargetMode="External"/><Relationship Id="rId1897" Type="http://schemas.openxmlformats.org/officeDocument/2006/relationships/hyperlink" Target="http://www.boxofficemojo.com/studio/chart/?studio=anchorbayentertainment.htm" TargetMode="External"/><Relationship Id="rId1898" Type="http://schemas.openxmlformats.org/officeDocument/2006/relationships/hyperlink" Target="http://www.boxofficemojo.com/schedule/?view=bydate&amp;release=theatrical&amp;date=2013-09-27&amp;p=.htm" TargetMode="External"/><Relationship Id="rId1899" Type="http://schemas.openxmlformats.org/officeDocument/2006/relationships/hyperlink" Target="http://www.boxofficemojo.com/movies/?id=approvedforadoption.htm" TargetMode="External"/><Relationship Id="rId20" Type="http://schemas.openxmlformats.org/officeDocument/2006/relationships/hyperlink" Target="http://www.boxofficemojo.com/schedule/?view=bydate&amp;release=theatrical&amp;date=2013-06-14&amp;p=.htm" TargetMode="External"/><Relationship Id="rId21" Type="http://schemas.openxmlformats.org/officeDocument/2006/relationships/hyperlink" Target="http://www.boxofficemojo.com/movies/?id=gravity.htm" TargetMode="External"/><Relationship Id="rId22" Type="http://schemas.openxmlformats.org/officeDocument/2006/relationships/hyperlink" Target="http://www.boxofficemojo.com/studio/chart/?studio=warnerbros.htm" TargetMode="External"/><Relationship Id="rId23" Type="http://schemas.openxmlformats.org/officeDocument/2006/relationships/hyperlink" Target="http://www.boxofficemojo.com/schedule/?view=bydate&amp;release=theatrical&amp;date=2013-10-04&amp;p=.htm" TargetMode="External"/><Relationship Id="rId24" Type="http://schemas.openxmlformats.org/officeDocument/2006/relationships/hyperlink" Target="http://www.boxofficemojo.com/movies/?id=monstersinc2.htm" TargetMode="External"/><Relationship Id="rId25" Type="http://schemas.openxmlformats.org/officeDocument/2006/relationships/hyperlink" Target="http://www.boxofficemojo.com/studio/chart/?studio=buenavista.htm" TargetMode="External"/><Relationship Id="rId26" Type="http://schemas.openxmlformats.org/officeDocument/2006/relationships/hyperlink" Target="http://www.boxofficemojo.com/schedule/?view=bydate&amp;release=theatrical&amp;date=2013-06-21&amp;p=.htm" TargetMode="External"/><Relationship Id="rId27" Type="http://schemas.openxmlformats.org/officeDocument/2006/relationships/hyperlink" Target="http://www.boxofficemojo.com/movies/?id=hobbit2.htm" TargetMode="External"/><Relationship Id="rId28" Type="http://schemas.openxmlformats.org/officeDocument/2006/relationships/hyperlink" Target="http://www.boxofficemojo.com/studio/chart/?studio=wb-newline.htm" TargetMode="External"/><Relationship Id="rId29" Type="http://schemas.openxmlformats.org/officeDocument/2006/relationships/hyperlink" Target="http://www.boxofficemojo.com/schedule/?view=bydate&amp;release=theatrical&amp;date=2013-12-13&amp;p=.htm" TargetMode="External"/><Relationship Id="rId1100" Type="http://schemas.openxmlformats.org/officeDocument/2006/relationships/hyperlink" Target="http://www.boxofficemojo.com/schedule/?view=bydate&amp;release=theatrical&amp;date=2013-06-12&amp;p=.htm" TargetMode="External"/><Relationship Id="rId1101" Type="http://schemas.openxmlformats.org/officeDocument/2006/relationships/hyperlink" Target="http://www.boxofficemojo.com/movies/?id=caesarmustdie.htm" TargetMode="External"/><Relationship Id="rId1102" Type="http://schemas.openxmlformats.org/officeDocument/2006/relationships/hyperlink" Target="http://www.boxofficemojo.com/studio/chart/?studio=adoptfilms.htm" TargetMode="External"/><Relationship Id="rId1103" Type="http://schemas.openxmlformats.org/officeDocument/2006/relationships/hyperlink" Target="http://www.boxofficemojo.com/schedule/?view=bydate&amp;release=theatrical&amp;date=2013-02-01&amp;p=.htm" TargetMode="External"/><Relationship Id="rId1104" Type="http://schemas.openxmlformats.org/officeDocument/2006/relationships/hyperlink" Target="http://www.boxofficemojo.com/movies/?id=commitment.htm" TargetMode="External"/><Relationship Id="rId1105" Type="http://schemas.openxmlformats.org/officeDocument/2006/relationships/hyperlink" Target="http://www.boxofficemojo.com/studio/chart/?studio=wellgo.htm" TargetMode="External"/><Relationship Id="rId1106" Type="http://schemas.openxmlformats.org/officeDocument/2006/relationships/hyperlink" Target="http://www.boxofficemojo.com/schedule/?view=bydate&amp;release=theatrical&amp;date=2013-12-06&amp;p=.htm" TargetMode="External"/><Relationship Id="rId1107" Type="http://schemas.openxmlformats.org/officeDocument/2006/relationships/hyperlink" Target="http://www.boxofficemojo.com/movies/?id=leviathan2013.htm" TargetMode="External"/><Relationship Id="rId1108" Type="http://schemas.openxmlformats.org/officeDocument/2006/relationships/hyperlink" Target="http://www.boxofficemojo.com/studio/chart/?studio=cinemaguild.htm" TargetMode="External"/><Relationship Id="rId1109" Type="http://schemas.openxmlformats.org/officeDocument/2006/relationships/hyperlink" Target="http://www.boxofficemojo.com/schedule/?view=bydate&amp;release=theatrical&amp;date=2013-03-01&amp;p=.htm" TargetMode="External"/><Relationship Id="rId640" Type="http://schemas.openxmlformats.org/officeDocument/2006/relationships/hyperlink" Target="http://www.boxofficemojo.com/studio/chart/?studio=rcr.htm" TargetMode="External"/><Relationship Id="rId641" Type="http://schemas.openxmlformats.org/officeDocument/2006/relationships/hyperlink" Target="http://www.boxofficemojo.com/schedule/?view=bydate&amp;release=theatrical&amp;date=2013-03-01&amp;p=.htm" TargetMode="External"/><Relationship Id="rId642" Type="http://schemas.openxmlformats.org/officeDocument/2006/relationships/hyperlink" Target="http://www.boxofficemojo.com/movies/?id=killyourdarlings.htm" TargetMode="External"/><Relationship Id="rId643" Type="http://schemas.openxmlformats.org/officeDocument/2006/relationships/hyperlink" Target="http://www.boxofficemojo.com/studio/chart/?studio=sonyclassics.htm" TargetMode="External"/><Relationship Id="rId644" Type="http://schemas.openxmlformats.org/officeDocument/2006/relationships/hyperlink" Target="http://www.boxofficemojo.com/schedule/?view=bydate&amp;release=theatrical&amp;date=2013-10-16&amp;p=.htm" TargetMode="External"/><Relationship Id="rId645" Type="http://schemas.openxmlformats.org/officeDocument/2006/relationships/hyperlink" Target="http://www.boxofficemojo.com/movies/?id=shortterm12.htm" TargetMode="External"/><Relationship Id="rId646" Type="http://schemas.openxmlformats.org/officeDocument/2006/relationships/hyperlink" Target="http://www.boxofficemojo.com/studio/chart/?studio=cinedigmentertainment.htm" TargetMode="External"/><Relationship Id="rId647" Type="http://schemas.openxmlformats.org/officeDocument/2006/relationships/hyperlink" Target="http://www.boxofficemojo.com/schedule/?view=bydate&amp;release=theatrical&amp;date=2013-08-23&amp;p=.htm" TargetMode="External"/><Relationship Id="rId648" Type="http://schemas.openxmlformats.org/officeDocument/2006/relationships/hyperlink" Target="http://www.boxofficemojo.com/movies/?id=gingerandrosa.htm" TargetMode="External"/><Relationship Id="rId649" Type="http://schemas.openxmlformats.org/officeDocument/2006/relationships/hyperlink" Target="http://www.boxofficemojo.com/studio/chart/?studio=a24.htm" TargetMode="External"/><Relationship Id="rId250" Type="http://schemas.openxmlformats.org/officeDocument/2006/relationships/hyperlink" Target="http://www.boxofficemojo.com/studio/chart/?studio=fox.htm" TargetMode="External"/><Relationship Id="rId251" Type="http://schemas.openxmlformats.org/officeDocument/2006/relationships/hyperlink" Target="http://www.boxofficemojo.com/schedule/?view=bydate&amp;release=theatrical&amp;date=2013-12-20&amp;p=.htm" TargetMode="External"/><Relationship Id="rId252" Type="http://schemas.openxmlformats.org/officeDocument/2006/relationships/hyperlink" Target="http://www.boxofficemojo.com/movies/?id=carrie2013.htm" TargetMode="External"/><Relationship Id="rId253" Type="http://schemas.openxmlformats.org/officeDocument/2006/relationships/hyperlink" Target="http://www.boxofficemojo.com/studio/chart/?studio=screengems.htm" TargetMode="External"/><Relationship Id="rId254" Type="http://schemas.openxmlformats.org/officeDocument/2006/relationships/hyperlink" Target="http://www.boxofficemojo.com/schedule/?view=bydate&amp;release=theatrical&amp;date=2013-10-18&amp;p=.htm" TargetMode="External"/><Relationship Id="rId255" Type="http://schemas.openxmlformats.org/officeDocument/2006/relationships/hyperlink" Target="http://www.boxofficemojo.com/movies/?id=texaschainsaw3d.htm" TargetMode="External"/><Relationship Id="rId256" Type="http://schemas.openxmlformats.org/officeDocument/2006/relationships/hyperlink" Target="http://www.boxofficemojo.com/studio/chart/?studio=lionsgate.htm" TargetMode="External"/><Relationship Id="rId257" Type="http://schemas.openxmlformats.org/officeDocument/2006/relationships/hyperlink" Target="http://www.boxofficemojo.com/schedule/?view=bydate&amp;release=theatrical&amp;date=2013-01-04&amp;p=.htm" TargetMode="External"/><Relationship Id="rId258" Type="http://schemas.openxmlformats.org/officeDocument/2006/relationships/hyperlink" Target="http://www.boxofficemojo.com/movies/?id=ripd.htm" TargetMode="External"/><Relationship Id="rId259" Type="http://schemas.openxmlformats.org/officeDocument/2006/relationships/hyperlink" Target="http://www.boxofficemojo.com/studio/chart/?studio=universal.htm" TargetMode="External"/><Relationship Id="rId30" Type="http://schemas.openxmlformats.org/officeDocument/2006/relationships/hyperlink" Target="http://www.boxofficemojo.com/movies/?id=fast6.htm" TargetMode="External"/><Relationship Id="rId31" Type="http://schemas.openxmlformats.org/officeDocument/2006/relationships/hyperlink" Target="http://www.boxofficemojo.com/studio/chart/?studio=universal.htm" TargetMode="External"/><Relationship Id="rId32" Type="http://schemas.openxmlformats.org/officeDocument/2006/relationships/hyperlink" Target="http://www.boxofficemojo.com/schedule/?view=bydate&amp;release=theatrical&amp;date=2013-05-24&amp;p=.htm" TargetMode="External"/><Relationship Id="rId33" Type="http://schemas.openxmlformats.org/officeDocument/2006/relationships/hyperlink" Target="http://www.boxofficemojo.com/movies/?id=oz.htm" TargetMode="External"/><Relationship Id="rId34" Type="http://schemas.openxmlformats.org/officeDocument/2006/relationships/hyperlink" Target="http://www.boxofficemojo.com/studio/chart/?studio=buenavista.htm" TargetMode="External"/><Relationship Id="rId35" Type="http://schemas.openxmlformats.org/officeDocument/2006/relationships/hyperlink" Target="http://www.boxofficemojo.com/schedule/?view=bydate&amp;release=theatrical&amp;date=2013-03-08&amp;p=.htm" TargetMode="External"/><Relationship Id="rId36" Type="http://schemas.openxmlformats.org/officeDocument/2006/relationships/hyperlink" Target="http://www.boxofficemojo.com/movies/?id=startrek12.htm" TargetMode="External"/><Relationship Id="rId37" Type="http://schemas.openxmlformats.org/officeDocument/2006/relationships/hyperlink" Target="http://www.boxofficemojo.com/studio/chart/?studio=paramount.htm" TargetMode="External"/><Relationship Id="rId38" Type="http://schemas.openxmlformats.org/officeDocument/2006/relationships/hyperlink" Target="http://www.boxofficemojo.com/schedule/?view=bydate&amp;release=theatrical&amp;date=2013-05-16&amp;p=.htm" TargetMode="External"/><Relationship Id="rId39" Type="http://schemas.openxmlformats.org/officeDocument/2006/relationships/hyperlink" Target="http://www.boxofficemojo.com/movies/?id=thor2.htm" TargetMode="External"/><Relationship Id="rId1500" Type="http://schemas.openxmlformats.org/officeDocument/2006/relationships/hyperlink" Target="http://www.boxofficemojo.com/movies/?id=smashandgrab.htm" TargetMode="External"/><Relationship Id="rId1501" Type="http://schemas.openxmlformats.org/officeDocument/2006/relationships/hyperlink" Target="http://www.boxofficemojo.com/studio/chart/?studio=doppelganger.htm" TargetMode="External"/><Relationship Id="rId1502" Type="http://schemas.openxmlformats.org/officeDocument/2006/relationships/hyperlink" Target="http://www.boxofficemojo.com/schedule/?view=bydate&amp;release=theatrical&amp;date=2013-07-31&amp;p=.htm" TargetMode="External"/><Relationship Id="rId1503" Type="http://schemas.openxmlformats.org/officeDocument/2006/relationships/hyperlink" Target="http://www.boxofficemojo.com/movies/?id=youaintseennothinyet.htm" TargetMode="External"/><Relationship Id="rId1110" Type="http://schemas.openxmlformats.org/officeDocument/2006/relationships/hyperlink" Target="http://www.boxofficemojo.com/movies/?id=noonelives.htm" TargetMode="External"/><Relationship Id="rId1111" Type="http://schemas.openxmlformats.org/officeDocument/2006/relationships/hyperlink" Target="http://www.boxofficemojo.com/studio/chart/?studio=anchorbayentertainment.htm" TargetMode="External"/><Relationship Id="rId1112" Type="http://schemas.openxmlformats.org/officeDocument/2006/relationships/hyperlink" Target="http://www.boxofficemojo.com/schedule/?view=bydate&amp;release=theatrical&amp;date=2013-05-10&amp;p=.htm" TargetMode="External"/><Relationship Id="rId1113" Type="http://schemas.openxmlformats.org/officeDocument/2006/relationships/hyperlink" Target="http://www.boxofficemojo.com/movies/?id=reality2013.htm" TargetMode="External"/><Relationship Id="rId1114" Type="http://schemas.openxmlformats.org/officeDocument/2006/relationships/hyperlink" Target="http://www.boxofficemojo.com/studio/chart/?studio=oscilloscopepictures.htm" TargetMode="External"/><Relationship Id="rId1115" Type="http://schemas.openxmlformats.org/officeDocument/2006/relationships/hyperlink" Target="http://www.boxofficemojo.com/schedule/?view=bydate&amp;release=theatrical&amp;date=2013-03-15&amp;p=.htm" TargetMode="External"/><Relationship Id="rId1116" Type="http://schemas.openxmlformats.org/officeDocument/2006/relationships/hyperlink" Target="http://www.boxofficemojo.com/movies/?id=aftertiller.htm" TargetMode="External"/><Relationship Id="rId1117" Type="http://schemas.openxmlformats.org/officeDocument/2006/relationships/hyperlink" Target="http://www.boxofficemojo.com/studio/chart/?studio=oscilloscopepictures.htm" TargetMode="External"/><Relationship Id="rId1118" Type="http://schemas.openxmlformats.org/officeDocument/2006/relationships/hyperlink" Target="http://www.boxofficemojo.com/schedule/?view=bydate&amp;release=theatrical&amp;date=2013-09-20&amp;p=.htm" TargetMode="External"/><Relationship Id="rId1119" Type="http://schemas.openxmlformats.org/officeDocument/2006/relationships/hyperlink" Target="http://www.boxofficemojo.com/movies/?id=oversimplification.htm" TargetMode="External"/><Relationship Id="rId650" Type="http://schemas.openxmlformats.org/officeDocument/2006/relationships/hyperlink" Target="http://www.boxofficemojo.com/schedule/?view=bydate&amp;release=theatrical&amp;date=2013-03-15&amp;p=.htm" TargetMode="External"/><Relationship Id="rId651" Type="http://schemas.openxmlformats.org/officeDocument/2006/relationships/hyperlink" Target="http://www.boxofficemojo.com/movies/?id=fromuponpoppyhill.htm" TargetMode="External"/><Relationship Id="rId652" Type="http://schemas.openxmlformats.org/officeDocument/2006/relationships/hyperlink" Target="http://www.boxofficemojo.com/studio/chart/?studio=gkids.htm" TargetMode="External"/><Relationship Id="rId653" Type="http://schemas.openxmlformats.org/officeDocument/2006/relationships/hyperlink" Target="http://www.boxofficemojo.com/schedule/?view=bydate&amp;release=theatrical&amp;date=2013-03-15&amp;p=.htm" TargetMode="External"/><Relationship Id="rId654" Type="http://schemas.openxmlformats.org/officeDocument/2006/relationships/hyperlink" Target="http://www.boxofficemojo.com/movies/?id=lore.htm" TargetMode="External"/><Relationship Id="rId655" Type="http://schemas.openxmlformats.org/officeDocument/2006/relationships/hyperlink" Target="http://www.boxofficemojo.com/studio/chart/?studio=musicboxfilms.htm" TargetMode="External"/><Relationship Id="rId656" Type="http://schemas.openxmlformats.org/officeDocument/2006/relationships/hyperlink" Target="http://www.boxofficemojo.com/schedule/?view=bydate&amp;release=theatrical&amp;date=2013-02-08&amp;p=.htm" TargetMode="External"/><Relationship Id="rId657" Type="http://schemas.openxmlformats.org/officeDocument/2006/relationships/hyperlink" Target="http://www.boxofficemojo.com/movies/?id=raanjhana.htm" TargetMode="External"/><Relationship Id="rId658" Type="http://schemas.openxmlformats.org/officeDocument/2006/relationships/hyperlink" Target="http://www.boxofficemojo.com/studio/chart/?studio=eros.htm" TargetMode="External"/><Relationship Id="rId659" Type="http://schemas.openxmlformats.org/officeDocument/2006/relationships/hyperlink" Target="http://www.boxofficemojo.com/schedule/?view=bydate&amp;release=theatrical&amp;date=2013-06-21&amp;p=.htm" TargetMode="External"/><Relationship Id="rId1504" Type="http://schemas.openxmlformats.org/officeDocument/2006/relationships/hyperlink" Target="http://www.boxofficemojo.com/studio/chart/?studio=kinolorber.htm" TargetMode="External"/><Relationship Id="rId1505" Type="http://schemas.openxmlformats.org/officeDocument/2006/relationships/hyperlink" Target="http://www.boxofficemojo.com/schedule/?view=bydate&amp;release=theatrical&amp;date=2013-06-07&amp;p=.htm" TargetMode="External"/><Relationship Id="rId1506" Type="http://schemas.openxmlformats.org/officeDocument/2006/relationships/hyperlink" Target="http://www.boxofficemojo.com/movies/?id=nostalghia.htm" TargetMode="External"/><Relationship Id="rId1507" Type="http://schemas.openxmlformats.org/officeDocument/2006/relationships/hyperlink" Target="http://www.boxofficemojo.com/studio/chart/?studio=kinolorber.htm" TargetMode="External"/><Relationship Id="rId1508" Type="http://schemas.openxmlformats.org/officeDocument/2006/relationships/hyperlink" Target="http://www.boxofficemojo.com/schedule/?view=bydate&amp;release=theatrical&amp;date=2013-05-31&amp;p=.htm" TargetMode="External"/><Relationship Id="rId1509" Type="http://schemas.openxmlformats.org/officeDocument/2006/relationships/hyperlink" Target="http://www.boxofficemojo.com/movies/?id=sorcererandthewhitesnake.htm" TargetMode="External"/><Relationship Id="rId260" Type="http://schemas.openxmlformats.org/officeDocument/2006/relationships/hyperlink" Target="http://www.boxofficemojo.com/schedule/?view=bydate&amp;release=theatrical&amp;date=2013-07-19&amp;p=.htm" TargetMode="External"/><Relationship Id="rId261" Type="http://schemas.openxmlformats.org/officeDocument/2006/relationships/hyperlink" Target="http://www.boxofficemojo.com/movies/?id=bluejasmine.htm" TargetMode="External"/><Relationship Id="rId262" Type="http://schemas.openxmlformats.org/officeDocument/2006/relationships/hyperlink" Target="http://www.boxofficemojo.com/studio/chart/?studio=sonyclassics.htm" TargetMode="External"/><Relationship Id="rId263" Type="http://schemas.openxmlformats.org/officeDocument/2006/relationships/hyperlink" Target="http://www.boxofficemojo.com/schedule/?view=bydate&amp;release=theatrical&amp;date=2013-07-26&amp;p=.htm" TargetMode="External"/><Relationship Id="rId264" Type="http://schemas.openxmlformats.org/officeDocument/2006/relationships/hyperlink" Target="http://www.boxofficemojo.com/movies/?id=kevinhart2013.htm" TargetMode="External"/><Relationship Id="rId265" Type="http://schemas.openxmlformats.org/officeDocument/2006/relationships/hyperlink" Target="http://www.boxofficemojo.com/studio/chart/?studio=lionsgatesummit.htm" TargetMode="External"/><Relationship Id="rId266" Type="http://schemas.openxmlformats.org/officeDocument/2006/relationships/hyperlink" Target="http://www.boxofficemojo.com/schedule/?view=bydate&amp;release=theatrical&amp;date=2013-07-03&amp;p=.htm" TargetMode="External"/><Relationship Id="rId267" Type="http://schemas.openxmlformats.org/officeDocument/2006/relationships/hyperlink" Target="http://www.boxofficemojo.com/movies/?id=bitterpill.htm" TargetMode="External"/><Relationship Id="rId268" Type="http://schemas.openxmlformats.org/officeDocument/2006/relationships/hyperlink" Target="http://www.boxofficemojo.com/studio/chart/?studio=openroads.htm" TargetMode="External"/><Relationship Id="rId269" Type="http://schemas.openxmlformats.org/officeDocument/2006/relationships/hyperlink" Target="http://www.boxofficemojo.com/schedule/?view=bydate&amp;release=theatrical&amp;date=2013-02-08&amp;p=.htm" TargetMode="External"/><Relationship Id="rId40" Type="http://schemas.openxmlformats.org/officeDocument/2006/relationships/hyperlink" Target="http://www.boxofficemojo.com/studio/chart/?studio=buenavista.htm" TargetMode="External"/><Relationship Id="rId41" Type="http://schemas.openxmlformats.org/officeDocument/2006/relationships/hyperlink" Target="http://www.boxofficemojo.com/schedule/?view=bydate&amp;release=theatrical&amp;date=2013-11-08&amp;p=.htm" TargetMode="External"/><Relationship Id="rId42" Type="http://schemas.openxmlformats.org/officeDocument/2006/relationships/hyperlink" Target="http://www.boxofficemojo.com/movies/?id=worldwarz.htm" TargetMode="External"/><Relationship Id="rId43" Type="http://schemas.openxmlformats.org/officeDocument/2006/relationships/hyperlink" Target="http://www.boxofficemojo.com/studio/chart/?studio=paramount.htm" TargetMode="External"/><Relationship Id="rId44" Type="http://schemas.openxmlformats.org/officeDocument/2006/relationships/hyperlink" Target="http://www.boxofficemojo.com/schedule/?view=bydate&amp;release=theatrical&amp;date=2013-06-21&amp;p=.htm" TargetMode="External"/><Relationship Id="rId45" Type="http://schemas.openxmlformats.org/officeDocument/2006/relationships/hyperlink" Target="http://www.boxofficemojo.com/movies/?id=croods.htm" TargetMode="External"/><Relationship Id="rId46" Type="http://schemas.openxmlformats.org/officeDocument/2006/relationships/hyperlink" Target="http://www.boxofficemojo.com/studio/chart/?studio=fox.htm" TargetMode="External"/><Relationship Id="rId47" Type="http://schemas.openxmlformats.org/officeDocument/2006/relationships/hyperlink" Target="http://www.boxofficemojo.com/schedule/?view=bydate&amp;release=theatrical&amp;date=2013-03-22&amp;p=.htm" TargetMode="External"/><Relationship Id="rId48" Type="http://schemas.openxmlformats.org/officeDocument/2006/relationships/hyperlink" Target="http://www.boxofficemojo.com/movies/?id=bullockmccarthy.htm" TargetMode="External"/><Relationship Id="rId49" Type="http://schemas.openxmlformats.org/officeDocument/2006/relationships/hyperlink" Target="http://www.boxofficemojo.com/studio/chart/?studio=fox.htm" TargetMode="External"/><Relationship Id="rId1900" Type="http://schemas.openxmlformats.org/officeDocument/2006/relationships/hyperlink" Target="http://www.boxofficemojo.com/studio/chart/?studio=gkids.htm" TargetMode="External"/><Relationship Id="rId1901" Type="http://schemas.openxmlformats.org/officeDocument/2006/relationships/hyperlink" Target="http://www.boxofficemojo.com/schedule/?view=bydate&amp;release=theatrical&amp;date=2013-11-08&amp;p=.htm" TargetMode="External"/><Relationship Id="rId1902" Type="http://schemas.openxmlformats.org/officeDocument/2006/relationships/hyperlink" Target="http://www.boxofficemojo.com/movies/?id=threeworlds.htm" TargetMode="External"/><Relationship Id="rId1903" Type="http://schemas.openxmlformats.org/officeDocument/2006/relationships/hyperlink" Target="http://www.boxofficemojo.com/studio/chart/?studio=filmmovement.htm" TargetMode="External"/><Relationship Id="rId1510" Type="http://schemas.openxmlformats.org/officeDocument/2006/relationships/hyperlink" Target="http://www.boxofficemojo.com/studio/chart/?studio=magnolia.htm" TargetMode="External"/><Relationship Id="rId1511" Type="http://schemas.openxmlformats.org/officeDocument/2006/relationships/hyperlink" Target="http://www.boxofficemojo.com/schedule/?view=bydate&amp;release=theatrical&amp;date=2013-02-08&amp;p=.htm" TargetMode="External"/><Relationship Id="rId1512" Type="http://schemas.openxmlformats.org/officeDocument/2006/relationships/hyperlink" Target="http://www.boxofficemojo.com/movies/?id=asingleshot.htm" TargetMode="External"/><Relationship Id="rId1513" Type="http://schemas.openxmlformats.org/officeDocument/2006/relationships/hyperlink" Target="http://www.boxofficemojo.com/studio/chart/?studio=tribecafilm.htm" TargetMode="External"/><Relationship Id="rId1120" Type="http://schemas.openxmlformats.org/officeDocument/2006/relationships/hyperlink" Target="http://www.boxofficemojo.com/studio/chart/?studio=variancefilms.htm" TargetMode="External"/><Relationship Id="rId1121" Type="http://schemas.openxmlformats.org/officeDocument/2006/relationships/hyperlink" Target="http://www.boxofficemojo.com/schedule/?view=bydate&amp;release=theatrical&amp;date=2013-04-26&amp;p=.htm" TargetMode="External"/><Relationship Id="rId1122" Type="http://schemas.openxmlformats.org/officeDocument/2006/relationships/hyperlink" Target="http://www.boxofficemojo.com/movies/?id=seasonsofgray.htm" TargetMode="External"/><Relationship Id="rId1123" Type="http://schemas.openxmlformats.org/officeDocument/2006/relationships/hyperlink" Target="http://www.boxofficemojo.com/studio/chart/?studio=echolight.htm" TargetMode="External"/><Relationship Id="rId1124" Type="http://schemas.openxmlformats.org/officeDocument/2006/relationships/hyperlink" Target="http://www.boxofficemojo.com/schedule/?view=bydate&amp;release=theatrical&amp;date=2013-10-18&amp;p=.htm" TargetMode="External"/><Relationship Id="rId1125" Type="http://schemas.openxmlformats.org/officeDocument/2006/relationships/hyperlink" Target="http://www.boxofficemojo.com/movies/?id=warwitch.htm" TargetMode="External"/><Relationship Id="rId1126" Type="http://schemas.openxmlformats.org/officeDocument/2006/relationships/hyperlink" Target="http://www.boxofficemojo.com/studio/chart/?studio=tribecafilm.htm" TargetMode="External"/><Relationship Id="rId1127" Type="http://schemas.openxmlformats.org/officeDocument/2006/relationships/hyperlink" Target="http://www.boxofficemojo.com/schedule/?view=bydate&amp;release=theatrical&amp;date=2013-03-01&amp;p=.htm" TargetMode="External"/><Relationship Id="rId1128" Type="http://schemas.openxmlformats.org/officeDocument/2006/relationships/hyperlink" Target="http://www.boxofficemojo.com/movies/?id=goforsisters.htm" TargetMode="External"/><Relationship Id="rId1129" Type="http://schemas.openxmlformats.org/officeDocument/2006/relationships/hyperlink" Target="http://www.boxofficemojo.com/studio/chart/?studio=variancefilms.htm" TargetMode="External"/><Relationship Id="rId660" Type="http://schemas.openxmlformats.org/officeDocument/2006/relationships/hyperlink" Target="http://www.boxofficemojo.com/movies/?id=aloneyetnotalone.htm" TargetMode="External"/><Relationship Id="rId661" Type="http://schemas.openxmlformats.org/officeDocument/2006/relationships/hyperlink" Target="http://www.boxofficemojo.com/studio/chart/?studio=seatzyima.htm" TargetMode="External"/><Relationship Id="rId662" Type="http://schemas.openxmlformats.org/officeDocument/2006/relationships/hyperlink" Target="http://www.boxofficemojo.com/schedule/?view=bydate&amp;release=theatrical&amp;date=2013-09-27&amp;p=.htm" TargetMode="External"/><Relationship Id="rId663" Type="http://schemas.openxmlformats.org/officeDocument/2006/relationships/hyperlink" Target="http://www.boxofficemojo.com/movies/?id=generationiron.htm" TargetMode="External"/><Relationship Id="rId664" Type="http://schemas.openxmlformats.org/officeDocument/2006/relationships/hyperlink" Target="http://www.boxofficemojo.com/studio/chart/?studio=vladarcompany.htm" TargetMode="External"/><Relationship Id="rId665" Type="http://schemas.openxmlformats.org/officeDocument/2006/relationships/hyperlink" Target="http://www.boxofficemojo.com/schedule/?view=bydate&amp;release=theatrical&amp;date=2013-09-20&amp;p=.htm" TargetMode="External"/><Relationship Id="rId666" Type="http://schemas.openxmlformats.org/officeDocument/2006/relationships/hyperlink" Target="http://www.boxofficemojo.com/movies/?id=onlygodforgives.htm" TargetMode="External"/><Relationship Id="rId667" Type="http://schemas.openxmlformats.org/officeDocument/2006/relationships/hyperlink" Target="http://www.boxofficemojo.com/studio/chart/?studio=radiustwc.htm" TargetMode="External"/><Relationship Id="rId668" Type="http://schemas.openxmlformats.org/officeDocument/2006/relationships/hyperlink" Target="http://www.boxofficemojo.com/schedule/?view=bydate&amp;release=theatrical&amp;date=2013-07-19&amp;p=.htm" TargetMode="External"/><Relationship Id="rId669" Type="http://schemas.openxmlformats.org/officeDocument/2006/relationships/hyperlink" Target="http://www.boxofficemojo.com/movies/?id=satyagraha.htm" TargetMode="External"/><Relationship Id="rId1514" Type="http://schemas.openxmlformats.org/officeDocument/2006/relationships/hyperlink" Target="http://www.boxofficemojo.com/schedule/?view=bydate&amp;release=theatrical&amp;date=2013-09-20&amp;p=.htm" TargetMode="External"/><Relationship Id="rId1515" Type="http://schemas.openxmlformats.org/officeDocument/2006/relationships/hyperlink" Target="http://www.boxofficemojo.com/movies/?id=lacamioneta.htm" TargetMode="External"/><Relationship Id="rId1516" Type="http://schemas.openxmlformats.org/officeDocument/2006/relationships/hyperlink" Target="http://www.boxofficemojo.com/studio/chart/?studio=followyournose.htm" TargetMode="External"/><Relationship Id="rId1517" Type="http://schemas.openxmlformats.org/officeDocument/2006/relationships/hyperlink" Target="http://www.boxofficemojo.com/schedule/?view=bydate&amp;release=theatrical&amp;date=2013-05-31&amp;p=.htm" TargetMode="External"/><Relationship Id="rId1518" Type="http://schemas.openxmlformats.org/officeDocument/2006/relationships/hyperlink" Target="http://www.boxofficemojo.com/movies/?id=letmypeoplego.htm" TargetMode="External"/><Relationship Id="rId1519" Type="http://schemas.openxmlformats.org/officeDocument/2006/relationships/hyperlink" Target="http://www.boxofficemojo.com/studio/chart/?studio=zeitgeist.htm" TargetMode="External"/><Relationship Id="rId270" Type="http://schemas.openxmlformats.org/officeDocument/2006/relationships/hyperlink" Target="http://www.boxofficemojo.com/movies/?id=scarymovie5.htm" TargetMode="External"/><Relationship Id="rId271" Type="http://schemas.openxmlformats.org/officeDocument/2006/relationships/hyperlink" Target="http://www.boxofficemojo.com/studio/chart/?studio=wdimension.htm" TargetMode="External"/><Relationship Id="rId272" Type="http://schemas.openxmlformats.org/officeDocument/2006/relationships/hyperlink" Target="http://www.boxofficemojo.com/schedule/?view=bydate&amp;release=theatrical&amp;date=2013-04-12&amp;p=.htm" TargetMode="External"/><Relationship Id="rId273" Type="http://schemas.openxmlformats.org/officeDocument/2006/relationships/hyperlink" Target="http://www.boxofficemojo.com/movies/?id=mortalinstruments.htm" TargetMode="External"/><Relationship Id="rId274" Type="http://schemas.openxmlformats.org/officeDocument/2006/relationships/hyperlink" Target="http://www.boxofficemojo.com/studio/chart/?studio=screengems.htm" TargetMode="External"/><Relationship Id="rId275" Type="http://schemas.openxmlformats.org/officeDocument/2006/relationships/hyperlink" Target="http://www.boxofficemojo.com/schedule/?view=bydate&amp;release=theatrical&amp;date=2013-08-21&amp;p=.htm" TargetMode="External"/><Relationship Id="rId276" Type="http://schemas.openxmlformats.org/officeDocument/2006/relationships/hyperlink" Target="http://www.boxofficemojo.com/movies/?id=deliveryman.htm" TargetMode="External"/><Relationship Id="rId277" Type="http://schemas.openxmlformats.org/officeDocument/2006/relationships/hyperlink" Target="http://www.boxofficemojo.com/studio/chart/?studio=buenavista.htm" TargetMode="External"/><Relationship Id="rId278" Type="http://schemas.openxmlformats.org/officeDocument/2006/relationships/hyperlink" Target="http://www.boxofficemojo.com/schedule/?view=bydate&amp;release=theatrical&amp;date=2013-11-22&amp;p=.htm" TargetMode="External"/><Relationship Id="rId279" Type="http://schemas.openxmlformats.org/officeDocument/2006/relationships/hyperlink" Target="http://www.boxofficemojo.com/movies/?id=grudgematch.htm" TargetMode="External"/><Relationship Id="rId1904" Type="http://schemas.openxmlformats.org/officeDocument/2006/relationships/hyperlink" Target="http://www.boxofficemojo.com/schedule/?view=bydate&amp;release=theatrical&amp;date=2013-06-21&amp;p=.htm" TargetMode="External"/><Relationship Id="rId1905" Type="http://schemas.openxmlformats.org/officeDocument/2006/relationships/hyperlink" Target="http://www.boxofficemojo.com/movies/?id=hightechlowlife.htm" TargetMode="External"/><Relationship Id="rId1906" Type="http://schemas.openxmlformats.org/officeDocument/2006/relationships/hyperlink" Target="http://www.boxofficemojo.com/studio/chart/?studio=argotpictures.htm" TargetMode="External"/><Relationship Id="rId1907" Type="http://schemas.openxmlformats.org/officeDocument/2006/relationships/hyperlink" Target="http://www.boxofficemojo.com/schedule/?view=bydate&amp;release=theatrical&amp;date=2013-01-09&amp;p=.htm" TargetMode="External"/><Relationship Id="rId1908" Type="http://schemas.openxmlformats.org/officeDocument/2006/relationships/hyperlink" Target="http://www.boxofficemojo.com/movies/?id=condemned2013.htm" TargetMode="External"/><Relationship Id="rId1909" Type="http://schemas.openxmlformats.org/officeDocument/2006/relationships/hyperlink" Target="http://www.boxofficemojo.com/studio/chart/?studio=strand.htm" TargetMode="External"/><Relationship Id="rId50" Type="http://schemas.openxmlformats.org/officeDocument/2006/relationships/hyperlink" Target="http://www.boxofficemojo.com/schedule/?view=bydate&amp;release=theatrical&amp;date=2013-06-28&amp;p=.htm" TargetMode="External"/><Relationship Id="rId51" Type="http://schemas.openxmlformats.org/officeDocument/2006/relationships/hyperlink" Target="http://www.boxofficemojo.com/movies/?id=werethemillers.htm" TargetMode="External"/><Relationship Id="rId52" Type="http://schemas.openxmlformats.org/officeDocument/2006/relationships/hyperlink" Target="http://www.boxofficemojo.com/studio/chart/?studio=wb-newline.htm" TargetMode="External"/><Relationship Id="rId53" Type="http://schemas.openxmlformats.org/officeDocument/2006/relationships/hyperlink" Target="http://www.boxofficemojo.com/schedule/?view=bydate&amp;release=theatrical&amp;date=2013-08-07&amp;p=.htm" TargetMode="External"/><Relationship Id="rId54" Type="http://schemas.openxmlformats.org/officeDocument/2006/relationships/hyperlink" Target="http://www.boxofficemojo.com/movies/?id=davido2013.htm" TargetMode="External"/><Relationship Id="rId55" Type="http://schemas.openxmlformats.org/officeDocument/2006/relationships/hyperlink" Target="http://www.boxofficemojo.com/studio/chart/?studio=sony.htm" TargetMode="External"/><Relationship Id="rId56" Type="http://schemas.openxmlformats.org/officeDocument/2006/relationships/hyperlink" Target="http://www.boxofficemojo.com/schedule/?view=bydate&amp;release=theatrical&amp;date=2013-12-13&amp;p=.htm" TargetMode="External"/><Relationship Id="rId57" Type="http://schemas.openxmlformats.org/officeDocument/2006/relationships/hyperlink" Target="http://www.boxofficemojo.com/movies/?id=greatgatsby2012.htm" TargetMode="External"/><Relationship Id="rId58" Type="http://schemas.openxmlformats.org/officeDocument/2006/relationships/hyperlink" Target="http://www.boxofficemojo.com/studio/chart/?studio=warnerbros.htm" TargetMode="External"/><Relationship Id="rId59" Type="http://schemas.openxmlformats.org/officeDocument/2006/relationships/hyperlink" Target="http://www.boxofficemojo.com/schedule/?view=bydate&amp;release=theatrical&amp;date=2013-05-10&amp;p=.htm" TargetMode="External"/><Relationship Id="rId1910" Type="http://schemas.openxmlformats.org/officeDocument/2006/relationships/hyperlink" Target="http://www.boxofficemojo.com/schedule/?view=bydate&amp;release=theatrical&amp;date=2013-03-01&amp;p=.htm" TargetMode="External"/><Relationship Id="rId1911" Type="http://schemas.openxmlformats.org/officeDocument/2006/relationships/hyperlink" Target="http://www.boxofficemojo.com/movies/?id=mrnobody.htm" TargetMode="External"/><Relationship Id="rId1912" Type="http://schemas.openxmlformats.org/officeDocument/2006/relationships/hyperlink" Target="http://www.boxofficemojo.com/studio/chart/?studio=magnolia.htm" TargetMode="External"/><Relationship Id="rId1913" Type="http://schemas.openxmlformats.org/officeDocument/2006/relationships/hyperlink" Target="http://www.boxofficemojo.com/schedule/?view=bydate&amp;release=theatrical&amp;date=2013-11-01&amp;p=.htm" TargetMode="External"/><Relationship Id="rId1520" Type="http://schemas.openxmlformats.org/officeDocument/2006/relationships/hyperlink" Target="http://www.boxofficemojo.com/schedule/?view=bydate&amp;release=theatrical&amp;date=2013-01-11&amp;p=.htm" TargetMode="External"/><Relationship Id="rId1521" Type="http://schemas.openxmlformats.org/officeDocument/2006/relationships/hyperlink" Target="http://www.boxofficemojo.com/movies/?id=apigacrossparis.htm" TargetMode="External"/><Relationship Id="rId1522" Type="http://schemas.openxmlformats.org/officeDocument/2006/relationships/hyperlink" Target="http://www.boxofficemojo.com/studio/chart/?studio=rialto.htm" TargetMode="External"/><Relationship Id="rId1523" Type="http://schemas.openxmlformats.org/officeDocument/2006/relationships/hyperlink" Target="http://www.boxofficemojo.com/schedule/?view=bydate&amp;release=theatrical&amp;date=2013-05-24&amp;p=.htm" TargetMode="External"/><Relationship Id="rId1130" Type="http://schemas.openxmlformats.org/officeDocument/2006/relationships/hyperlink" Target="http://www.boxofficemojo.com/schedule/?view=bydate&amp;release=theatrical&amp;date=2013-11-08&amp;p=.htm" TargetMode="External"/><Relationship Id="rId1131" Type="http://schemas.openxmlformats.org/officeDocument/2006/relationships/hyperlink" Target="http://www.boxofficemojo.com/movies/?id=maidentrip.htm" TargetMode="External"/><Relationship Id="rId1132" Type="http://schemas.openxmlformats.org/officeDocument/2006/relationships/hyperlink" Target="http://www.boxofficemojo.com/studio/chart/?studio=firstrun.htm" TargetMode="External"/><Relationship Id="rId1133" Type="http://schemas.openxmlformats.org/officeDocument/2006/relationships/hyperlink" Target="http://www.boxofficemojo.com/schedule/?view=bydate&amp;release=theatrical&amp;date=2013-12-20&amp;p=.htm" TargetMode="External"/><Relationship Id="rId1134" Type="http://schemas.openxmlformats.org/officeDocument/2006/relationships/hyperlink" Target="http://www.boxofficemojo.com/movies/?id=pervertsguidetoideology.htm" TargetMode="External"/><Relationship Id="rId1135" Type="http://schemas.openxmlformats.org/officeDocument/2006/relationships/hyperlink" Target="http://www.boxofficemojo.com/studio/chart/?studio=zeitgeist.htm" TargetMode="External"/><Relationship Id="rId1136" Type="http://schemas.openxmlformats.org/officeDocument/2006/relationships/hyperlink" Target="http://www.boxofficemojo.com/schedule/?view=bydate&amp;release=theatrical&amp;date=2013-11-01&amp;p=.htm" TargetMode="External"/><Relationship Id="rId1137" Type="http://schemas.openxmlformats.org/officeDocument/2006/relationships/hyperlink" Target="http://www.boxofficemojo.com/movies/?id=pandoraspromise.htm" TargetMode="External"/><Relationship Id="rId1138" Type="http://schemas.openxmlformats.org/officeDocument/2006/relationships/hyperlink" Target="http://www.boxofficemojo.com/studio/chart/?studio=abramorama.htm" TargetMode="External"/><Relationship Id="rId1139" Type="http://schemas.openxmlformats.org/officeDocument/2006/relationships/hyperlink" Target="http://www.boxofficemojo.com/schedule/?view=bydate&amp;release=theatrical&amp;date=2013-06-12&amp;p=.htm" TargetMode="External"/><Relationship Id="rId670" Type="http://schemas.openxmlformats.org/officeDocument/2006/relationships/hyperlink" Target="http://www.boxofficemojo.com/studio/chart/?studio=utv.htm" TargetMode="External"/><Relationship Id="rId671" Type="http://schemas.openxmlformats.org/officeDocument/2006/relationships/hyperlink" Target="http://www.boxofficemojo.com/schedule/?view=bydate&amp;release=theatrical&amp;date=2013-08-30&amp;p=.htm" TargetMode="External"/><Relationship Id="rId280" Type="http://schemas.openxmlformats.org/officeDocument/2006/relationships/hyperlink" Target="http://www.boxofficemojo.com/studio/chart/?studio=warnerbros.htm" TargetMode="External"/><Relationship Id="rId281" Type="http://schemas.openxmlformats.org/officeDocument/2006/relationships/hyperlink" Target="http://www.boxofficemojo.com/schedule/?view=bydate&amp;release=theatrical&amp;date=2013-12-25&amp;p=.htm" TargetMode="External"/><Relationship Id="rId282" Type="http://schemas.openxmlformats.org/officeDocument/2006/relationships/hyperlink" Target="http://www.boxofficemojo.com/movies/?id=onedirection.htm" TargetMode="External"/><Relationship Id="rId283" Type="http://schemas.openxmlformats.org/officeDocument/2006/relationships/hyperlink" Target="http://www.boxofficemojo.com/studio/chart/?studio=tristar.htm" TargetMode="External"/><Relationship Id="rId284" Type="http://schemas.openxmlformats.org/officeDocument/2006/relationships/hyperlink" Target="http://www.boxofficemojo.com/schedule/?view=bydate&amp;release=theatrical&amp;date=2013-08-30&amp;p=.htm" TargetMode="External"/><Relationship Id="rId285" Type="http://schemas.openxmlformats.org/officeDocument/2006/relationships/hyperlink" Target="http://www.boxofficemojo.com/movies/?id=kickass2.htm" TargetMode="External"/><Relationship Id="rId286" Type="http://schemas.openxmlformats.org/officeDocument/2006/relationships/hyperlink" Target="http://www.boxofficemojo.com/studio/chart/?studio=universal.htm" TargetMode="External"/><Relationship Id="rId287" Type="http://schemas.openxmlformats.org/officeDocument/2006/relationships/hyperlink" Target="http://www.boxofficemojo.com/schedule/?view=bydate&amp;release=theatrical&amp;date=2013-08-16&amp;p=.htm" TargetMode="External"/><Relationship Id="rId288" Type="http://schemas.openxmlformats.org/officeDocument/2006/relationships/hyperlink" Target="http://www.boxofficemojo.com/movies/?id=dallasbuyersclub.htm" TargetMode="External"/><Relationship Id="rId289" Type="http://schemas.openxmlformats.org/officeDocument/2006/relationships/hyperlink" Target="http://www.boxofficemojo.com/studio/chart/?studio=focus.htm" TargetMode="External"/><Relationship Id="rId672" Type="http://schemas.openxmlformats.org/officeDocument/2006/relationships/hyperlink" Target="http://www.boxofficemojo.com/movies/?id=hannaharendt.htm" TargetMode="External"/><Relationship Id="rId673" Type="http://schemas.openxmlformats.org/officeDocument/2006/relationships/hyperlink" Target="http://www.boxofficemojo.com/studio/chart/?studio=zeitgeist.htm" TargetMode="External"/><Relationship Id="rId674" Type="http://schemas.openxmlformats.org/officeDocument/2006/relationships/hyperlink" Target="http://www.boxofficemojo.com/schedule/?view=bydate&amp;release=theatrical&amp;date=2013-05-29&amp;p=.htm" TargetMode="External"/><Relationship Id="rId675" Type="http://schemas.openxmlformats.org/officeDocument/2006/relationships/hyperlink" Target="http://www.boxofficemojo.com/movies/?id=56up.htm" TargetMode="External"/><Relationship Id="rId676" Type="http://schemas.openxmlformats.org/officeDocument/2006/relationships/hyperlink" Target="http://www.boxofficemojo.com/studio/chart/?studio=firstrun.htm" TargetMode="External"/><Relationship Id="rId677" Type="http://schemas.openxmlformats.org/officeDocument/2006/relationships/hyperlink" Target="http://www.boxofficemojo.com/schedule/?view=bydate&amp;release=theatrical&amp;date=2013-01-04&amp;p=.htm" TargetMode="External"/><Relationship Id="rId678" Type="http://schemas.openxmlformats.org/officeDocument/2006/relationships/hyperlink" Target="http://www.boxofficemojo.com/movies/?id=muscleshoals.htm" TargetMode="External"/><Relationship Id="rId679" Type="http://schemas.openxmlformats.org/officeDocument/2006/relationships/hyperlink" Target="http://www.boxofficemojo.com/studio/chart/?studio=magnolia.htm" TargetMode="External"/><Relationship Id="rId1524" Type="http://schemas.openxmlformats.org/officeDocument/2006/relationships/hyperlink" Target="http://www.boxofficemojo.com/movies/?id=twiceborn.htm" TargetMode="External"/><Relationship Id="rId1525" Type="http://schemas.openxmlformats.org/officeDocument/2006/relationships/hyperlink" Target="http://www.boxofficemojo.com/studio/chart/?studio=entertainmentone.htm" TargetMode="External"/><Relationship Id="rId1526" Type="http://schemas.openxmlformats.org/officeDocument/2006/relationships/hyperlink" Target="http://www.boxofficemojo.com/schedule/?view=bydate&amp;release=theatrical&amp;date=2013-12-06&amp;p=.htm" TargetMode="External"/><Relationship Id="rId1527" Type="http://schemas.openxmlformats.org/officeDocument/2006/relationships/hyperlink" Target="http://www.boxofficemojo.com/movies/?id=torn.htm" TargetMode="External"/><Relationship Id="rId1528" Type="http://schemas.openxmlformats.org/officeDocument/2006/relationships/hyperlink" Target="http://www.boxofficemojo.com/studio/chart/?studio=filmcollective.htm" TargetMode="External"/><Relationship Id="rId1529" Type="http://schemas.openxmlformats.org/officeDocument/2006/relationships/hyperlink" Target="http://www.boxofficemojo.com/schedule/?view=bydate&amp;release=theatrical&amp;date=2013-10-18&amp;p=.htm" TargetMode="External"/><Relationship Id="rId1914" Type="http://schemas.openxmlformats.org/officeDocument/2006/relationships/hyperlink" Target="http://www.boxofficemojo.com/movies/?id=tricked.htm" TargetMode="External"/><Relationship Id="rId1915" Type="http://schemas.openxmlformats.org/officeDocument/2006/relationships/hyperlink" Target="http://www.boxofficemojo.com/studio/chart/?studio=kinolorber.htm" TargetMode="External"/><Relationship Id="rId1916" Type="http://schemas.openxmlformats.org/officeDocument/2006/relationships/hyperlink" Target="http://www.boxofficemojo.com/schedule/?view=bydate&amp;release=theatrical&amp;date=2013-12-13&amp;p=.htm" TargetMode="External"/><Relationship Id="rId1917" Type="http://schemas.openxmlformats.org/officeDocument/2006/relationships/hyperlink" Target="http://www.boxofficemojo.com/movies/?id=strollerstrategy.htm" TargetMode="External"/><Relationship Id="rId1918" Type="http://schemas.openxmlformats.org/officeDocument/2006/relationships/hyperlink" Target="http://www.boxofficemojo.com/studio/chart/?studio=rialto.htm" TargetMode="External"/><Relationship Id="rId1919" Type="http://schemas.openxmlformats.org/officeDocument/2006/relationships/hyperlink" Target="http://www.boxofficemojo.com/schedule/?view=bydate&amp;release=theatrical&amp;date=2013-06-14&amp;p=.htm" TargetMode="External"/><Relationship Id="rId60" Type="http://schemas.openxmlformats.org/officeDocument/2006/relationships/hyperlink" Target="http://www.boxofficemojo.com/movies/?id=conjuring.htm" TargetMode="External"/><Relationship Id="rId61" Type="http://schemas.openxmlformats.org/officeDocument/2006/relationships/hyperlink" Target="http://www.boxofficemojo.com/studio/chart/?studio=wb-newline.htm" TargetMode="External"/><Relationship Id="rId62" Type="http://schemas.openxmlformats.org/officeDocument/2006/relationships/hyperlink" Target="http://www.boxofficemojo.com/schedule/?view=bydate&amp;release=theatrical&amp;date=2013-07-19&amp;p=.htm" TargetMode="External"/><Relationship Id="rId63" Type="http://schemas.openxmlformats.org/officeDocument/2006/relationships/hyperlink" Target="http://www.boxofficemojo.com/movies/?id=identitythief.htm" TargetMode="External"/><Relationship Id="rId64" Type="http://schemas.openxmlformats.org/officeDocument/2006/relationships/hyperlink" Target="http://www.boxofficemojo.com/studio/chart/?studio=universal.htm" TargetMode="External"/><Relationship Id="rId65" Type="http://schemas.openxmlformats.org/officeDocument/2006/relationships/hyperlink" Target="http://www.boxofficemojo.com/schedule/?view=bydate&amp;release=theatrical&amp;date=2013-02-08&amp;p=.htm" TargetMode="External"/><Relationship Id="rId66" Type="http://schemas.openxmlformats.org/officeDocument/2006/relationships/hyperlink" Target="http://www.boxofficemojo.com/movies/?id=grownups2.htm" TargetMode="External"/><Relationship Id="rId67" Type="http://schemas.openxmlformats.org/officeDocument/2006/relationships/hyperlink" Target="http://www.boxofficemojo.com/studio/chart/?studio=sony.htm" TargetMode="External"/><Relationship Id="rId68" Type="http://schemas.openxmlformats.org/officeDocument/2006/relationships/hyperlink" Target="http://www.boxofficemojo.com/schedule/?view=bydate&amp;release=theatrical&amp;date=2013-07-12&amp;p=.htm" TargetMode="External"/><Relationship Id="rId69" Type="http://schemas.openxmlformats.org/officeDocument/2006/relationships/hyperlink" Target="http://www.boxofficemojo.com/movies/?id=wolverine2.htm" TargetMode="External"/><Relationship Id="rId1920" Type="http://schemas.openxmlformats.org/officeDocument/2006/relationships/hyperlink" Target="http://www.boxofficemojo.com/movies/?id=scenicroute.htm" TargetMode="External"/><Relationship Id="rId1921" Type="http://schemas.openxmlformats.org/officeDocument/2006/relationships/hyperlink" Target="http://www.boxofficemojo.com/studio/chart/?studio=vertical.htm" TargetMode="External"/><Relationship Id="rId1922" Type="http://schemas.openxmlformats.org/officeDocument/2006/relationships/hyperlink" Target="http://www.boxofficemojo.com/schedule/?view=bydate&amp;release=theatrical&amp;date=2013-08-23&amp;p=.htm" TargetMode="External"/><Relationship Id="rId1923" Type="http://schemas.openxmlformats.org/officeDocument/2006/relationships/hyperlink" Target="http://www.boxofficemojo.com/movies/?id=happypoet.htm" TargetMode="External"/><Relationship Id="rId1530" Type="http://schemas.openxmlformats.org/officeDocument/2006/relationships/hyperlink" Target="http://www.boxofficemojo.com/movies/?id=castingby.htm" TargetMode="External"/><Relationship Id="rId1531" Type="http://schemas.openxmlformats.org/officeDocument/2006/relationships/hyperlink" Target="http://www.boxofficemojo.com/studio/chart/?studio=submarinedeluxe.htm" TargetMode="External"/><Relationship Id="rId1532" Type="http://schemas.openxmlformats.org/officeDocument/2006/relationships/hyperlink" Target="http://www.boxofficemojo.com/schedule/?view=bydate&amp;release=theatrical&amp;date=2013-11-01&amp;p=.htm" TargetMode="External"/><Relationship Id="rId1533" Type="http://schemas.openxmlformats.org/officeDocument/2006/relationships/hyperlink" Target="http://www.boxofficemojo.com/movies/?id=jamelshabazz.htm" TargetMode="External"/><Relationship Id="rId1140" Type="http://schemas.openxmlformats.org/officeDocument/2006/relationships/hyperlink" Target="http://www.boxofficemojo.com/movies/?id=letthefireburn.htm" TargetMode="External"/><Relationship Id="rId1141" Type="http://schemas.openxmlformats.org/officeDocument/2006/relationships/hyperlink" Target="http://www.boxofficemojo.com/studio/chart/?studio=zeitgeist.htm" TargetMode="External"/><Relationship Id="rId1142" Type="http://schemas.openxmlformats.org/officeDocument/2006/relationships/hyperlink" Target="http://www.boxofficemojo.com/schedule/?view=bydate&amp;release=theatrical&amp;date=2013-10-02&amp;p=.htm" TargetMode="External"/><Relationship Id="rId1143" Type="http://schemas.openxmlformats.org/officeDocument/2006/relationships/hyperlink" Target="http://www.boxofficemojo.com/movies/?id=myluckystar.htm" TargetMode="External"/><Relationship Id="rId1144" Type="http://schemas.openxmlformats.org/officeDocument/2006/relationships/hyperlink" Target="http://www.boxofficemojo.com/studio/chart/?studio=chinalion.htm" TargetMode="External"/><Relationship Id="rId1145" Type="http://schemas.openxmlformats.org/officeDocument/2006/relationships/hyperlink" Target="http://www.boxofficemojo.com/schedule/?view=bydate&amp;release=theatrical&amp;date=2013-09-20&amp;p=.htm" TargetMode="External"/><Relationship Id="rId1146" Type="http://schemas.openxmlformats.org/officeDocument/2006/relationships/hyperlink" Target="http://www.boxofficemojo.com/movies/?id=becomingtraviata.htm" TargetMode="External"/><Relationship Id="rId1147" Type="http://schemas.openxmlformats.org/officeDocument/2006/relationships/hyperlink" Target="http://www.boxofficemojo.com/studio/chart/?studio=distribfilms.htm" TargetMode="External"/><Relationship Id="rId1148" Type="http://schemas.openxmlformats.org/officeDocument/2006/relationships/hyperlink" Target="http://www.boxofficemojo.com/schedule/?view=bydate&amp;release=theatrical&amp;date=2013-05-15&amp;p=.htm" TargetMode="External"/><Relationship Id="rId1149" Type="http://schemas.openxmlformats.org/officeDocument/2006/relationships/hyperlink" Target="http://www.boxofficemojo.com/movies/?id=sightseers.htm" TargetMode="External"/><Relationship Id="rId680" Type="http://schemas.openxmlformats.org/officeDocument/2006/relationships/hyperlink" Target="http://www.boxofficemojo.com/schedule/?view=bydate&amp;release=theatrical&amp;date=2013-09-27&amp;p=.htm" TargetMode="External"/><Relationship Id="rId681" Type="http://schemas.openxmlformats.org/officeDocument/2006/relationships/hyperlink" Target="http://www.boxofficemojo.com/movies/?id=besharam.htm" TargetMode="External"/><Relationship Id="rId290" Type="http://schemas.openxmlformats.org/officeDocument/2006/relationships/hyperlink" Target="http://www.boxofficemojo.com/schedule/?view=bydate&amp;release=theatrical&amp;date=2013-11-01&amp;p=.htm" TargetMode="External"/><Relationship Id="rId291" Type="http://schemas.openxmlformats.org/officeDocument/2006/relationships/hyperlink" Target="http://www.boxofficemojo.com/movies/?id=rush2013.htm" TargetMode="External"/><Relationship Id="rId292" Type="http://schemas.openxmlformats.org/officeDocument/2006/relationships/hyperlink" Target="http://www.boxofficemojo.com/studio/chart/?studio=universal.htm" TargetMode="External"/><Relationship Id="rId293" Type="http://schemas.openxmlformats.org/officeDocument/2006/relationships/hyperlink" Target="http://www.boxofficemojo.com/schedule/?view=bydate&amp;release=theatrical&amp;date=2013-09-20&amp;p=.htm" TargetMode="External"/><Relationship Id="rId294" Type="http://schemas.openxmlformats.org/officeDocument/2006/relationships/hyperlink" Target="http://www.boxofficemojo.com/movies/?id=host2013.htm" TargetMode="External"/><Relationship Id="rId295" Type="http://schemas.openxmlformats.org/officeDocument/2006/relationships/hyperlink" Target="http://www.boxofficemojo.com/studio/chart/?studio=openroads.htm" TargetMode="External"/><Relationship Id="rId296" Type="http://schemas.openxmlformats.org/officeDocument/2006/relationships/hyperlink" Target="http://www.boxofficemojo.com/schedule/?view=bydate&amp;release=theatrical&amp;date=2013-03-29&amp;p=.htm" TargetMode="External"/><Relationship Id="rId297" Type="http://schemas.openxmlformats.org/officeDocument/2006/relationships/hyperlink" Target="http://www.boxofficemojo.com/movies/?id=worldsend.htm" TargetMode="External"/><Relationship Id="rId298" Type="http://schemas.openxmlformats.org/officeDocument/2006/relationships/hyperlink" Target="http://www.boxofficemojo.com/studio/chart/?studio=focus.htm" TargetMode="External"/><Relationship Id="rId299" Type="http://schemas.openxmlformats.org/officeDocument/2006/relationships/hyperlink" Target="http://www.boxofficemojo.com/schedule/?view=bydate&amp;release=theatrical&amp;date=2013-08-23&amp;p=.htm" TargetMode="External"/><Relationship Id="rId682" Type="http://schemas.openxmlformats.org/officeDocument/2006/relationships/hyperlink" Target="http://www.boxofficemojo.com/studio/chart/?studio=reliancebigpictures.htm" TargetMode="External"/><Relationship Id="rId683" Type="http://schemas.openxmlformats.org/officeDocument/2006/relationships/hyperlink" Target="http://www.boxofficemojo.com/schedule/?view=bydate&amp;release=theatrical&amp;date=2013-10-02&amp;p=.htm" TargetMode="External"/><Relationship Id="rId684" Type="http://schemas.openxmlformats.org/officeDocument/2006/relationships/hyperlink" Target="http://www.boxofficemojo.com/movies/?id=berlinfile.htm" TargetMode="External"/><Relationship Id="rId685" Type="http://schemas.openxmlformats.org/officeDocument/2006/relationships/hyperlink" Target="http://www.boxofficemojo.com/studio/chart/?studio=cjentertainment.htm" TargetMode="External"/><Relationship Id="rId686" Type="http://schemas.openxmlformats.org/officeDocument/2006/relationships/hyperlink" Target="http://www.boxofficemojo.com/schedule/?view=bydate&amp;release=theatrical&amp;date=2013-02-15&amp;p=.htm" TargetMode="External"/><Relationship Id="rId687" Type="http://schemas.openxmlformats.org/officeDocument/2006/relationships/hyperlink" Target="http://www.boxofficemojo.com/movies/?id=parkland.htm" TargetMode="External"/><Relationship Id="rId688" Type="http://schemas.openxmlformats.org/officeDocument/2006/relationships/hyperlink" Target="http://www.boxofficemojo.com/studio/chart/?studio=exclusivemedia.htm" TargetMode="External"/><Relationship Id="rId689" Type="http://schemas.openxmlformats.org/officeDocument/2006/relationships/hyperlink" Target="http://www.boxofficemojo.com/schedule/?view=bydate&amp;release=theatrical&amp;date=2013-10-04&amp;p=.htm" TargetMode="External"/><Relationship Id="rId1534" Type="http://schemas.openxmlformats.org/officeDocument/2006/relationships/hyperlink" Target="http://www.boxofficemojo.com/studio/chart/?studio=apdcinema.htm" TargetMode="External"/><Relationship Id="rId1535" Type="http://schemas.openxmlformats.org/officeDocument/2006/relationships/hyperlink" Target="http://www.boxofficemojo.com/schedule/?view=bydate&amp;release=theatrical&amp;date=2013-08-02&amp;p=.htm" TargetMode="External"/><Relationship Id="rId1536" Type="http://schemas.openxmlformats.org/officeDocument/2006/relationships/hyperlink" Target="http://www.boxofficemojo.com/movies/?id=dealingwithidiots.htm" TargetMode="External"/><Relationship Id="rId1537" Type="http://schemas.openxmlformats.org/officeDocument/2006/relationships/hyperlink" Target="http://www.boxofficemojo.com/studio/chart/?studio=ifc.htm" TargetMode="External"/><Relationship Id="rId1538" Type="http://schemas.openxmlformats.org/officeDocument/2006/relationships/hyperlink" Target="http://www.boxofficemojo.com/schedule/?view=bydate&amp;release=theatrical&amp;date=2013-07-12&amp;p=.htm" TargetMode="External"/><Relationship Id="rId1539" Type="http://schemas.openxmlformats.org/officeDocument/2006/relationships/hyperlink" Target="http://www.boxofficemojo.com/movies/?id=mental.htm" TargetMode="External"/><Relationship Id="rId1924" Type="http://schemas.openxmlformats.org/officeDocument/2006/relationships/hyperlink" Target="http://www.boxofficemojo.com/studio/chart/?studio=cls.htm" TargetMode="External"/><Relationship Id="rId1925" Type="http://schemas.openxmlformats.org/officeDocument/2006/relationships/hyperlink" Target="http://www.boxofficemojo.com/schedule/?view=bydate&amp;release=theatrical&amp;date=2013-03-22&amp;p=.htm" TargetMode="External"/><Relationship Id="rId1926" Type="http://schemas.openxmlformats.org/officeDocument/2006/relationships/hyperlink" Target="http://www.boxofficemojo.com/movies/?id=swerve.htm" TargetMode="External"/><Relationship Id="rId1927" Type="http://schemas.openxmlformats.org/officeDocument/2006/relationships/hyperlink" Target="http://www.boxofficemojo.com/studio/chart/?studio=cohenmedia.htm" TargetMode="External"/><Relationship Id="rId1928" Type="http://schemas.openxmlformats.org/officeDocument/2006/relationships/hyperlink" Target="http://www.boxofficemojo.com/schedule/?view=bydate&amp;release=theatrical&amp;date=2013-12-06&amp;p=.htm" TargetMode="External"/><Relationship Id="rId1929" Type="http://schemas.openxmlformats.org/officeDocument/2006/relationships/hyperlink" Target="http://www.boxofficemojo.com/movies/?id=axegiant.htm" TargetMode="External"/><Relationship Id="rId70" Type="http://schemas.openxmlformats.org/officeDocument/2006/relationships/hyperlink" Target="http://www.boxofficemojo.com/studio/chart/?studio=fox.htm" TargetMode="External"/><Relationship Id="rId71" Type="http://schemas.openxmlformats.org/officeDocument/2006/relationships/hyperlink" Target="http://www.boxofficemojo.com/schedule/?view=bydate&amp;release=theatrical&amp;date=2013-07-26&amp;p=.htm" TargetMode="External"/><Relationship Id="rId72" Type="http://schemas.openxmlformats.org/officeDocument/2006/relationships/hyperlink" Target="http://www.boxofficemojo.com/movies/?id=anchorman2.htm" TargetMode="External"/><Relationship Id="rId73" Type="http://schemas.openxmlformats.org/officeDocument/2006/relationships/hyperlink" Target="http://www.boxofficemojo.com/studio/chart/?studio=paramount.htm" TargetMode="External"/><Relationship Id="rId74" Type="http://schemas.openxmlformats.org/officeDocument/2006/relationships/hyperlink" Target="http://www.boxofficemojo.com/schedule/?view=bydate&amp;release=theatrical&amp;date=2013-12-18&amp;p=.htm" TargetMode="External"/><Relationship Id="rId75" Type="http://schemas.openxmlformats.org/officeDocument/2006/relationships/hyperlink" Target="http://www.boxofficemojo.com/movies/?id=lonesurvivor.htm" TargetMode="External"/><Relationship Id="rId76" Type="http://schemas.openxmlformats.org/officeDocument/2006/relationships/hyperlink" Target="http://www.boxofficemojo.com/studio/chart/?studio=universal.htm" TargetMode="External"/><Relationship Id="rId77" Type="http://schemas.openxmlformats.org/officeDocument/2006/relationships/hyperlink" Target="http://www.boxofficemojo.com/schedule/?view=bydate&amp;release=theatrical&amp;date=2013-12-25&amp;p=.htm" TargetMode="External"/><Relationship Id="rId78" Type="http://schemas.openxmlformats.org/officeDocument/2006/relationships/hyperlink" Target="http://www.boxofficemojo.com/movies/?id=gijoe2.htm" TargetMode="External"/><Relationship Id="rId79" Type="http://schemas.openxmlformats.org/officeDocument/2006/relationships/hyperlink" Target="http://www.boxofficemojo.com/studio/chart/?studio=paramount.htm" TargetMode="External"/><Relationship Id="rId1930" Type="http://schemas.openxmlformats.org/officeDocument/2006/relationships/hyperlink" Target="http://www.boxofficemojo.com/studio/chart/?studio=cinemapurgatorio.htm" TargetMode="External"/><Relationship Id="rId1931" Type="http://schemas.openxmlformats.org/officeDocument/2006/relationships/hyperlink" Target="http://www.boxofficemojo.com/schedule/?view=bydate&amp;release=theatrical&amp;date=2013-05-31&amp;p=.htm" TargetMode="External"/><Relationship Id="rId1932" Type="http://schemas.openxmlformats.org/officeDocument/2006/relationships/hyperlink" Target="http://www.boxofficemojo.com/movies/?id=ascoolasiam.htm" TargetMode="External"/><Relationship Id="rId1933" Type="http://schemas.openxmlformats.org/officeDocument/2006/relationships/hyperlink" Target="http://www.boxofficemojo.com/studio/chart/?studio=ifc.htm" TargetMode="External"/><Relationship Id="rId1540" Type="http://schemas.openxmlformats.org/officeDocument/2006/relationships/hyperlink" Target="http://www.boxofficemojo.com/studio/chart/?studio=dada.htm" TargetMode="External"/><Relationship Id="rId1541" Type="http://schemas.openxmlformats.org/officeDocument/2006/relationships/hyperlink" Target="http://www.boxofficemojo.com/schedule/?view=bydate&amp;release=theatrical&amp;date=2013-03-29&amp;p=.htm" TargetMode="External"/><Relationship Id="rId1542" Type="http://schemas.openxmlformats.org/officeDocument/2006/relationships/hyperlink" Target="http://www.boxofficemojo.com/movies/?id=historyoffuturefolk.htm" TargetMode="External"/><Relationship Id="rId1543" Type="http://schemas.openxmlformats.org/officeDocument/2006/relationships/hyperlink" Target="http://www.boxofficemojo.com/studio/chart/?studio=variancefilms.htm" TargetMode="External"/><Relationship Id="rId1150" Type="http://schemas.openxmlformats.org/officeDocument/2006/relationships/hyperlink" Target="http://www.boxofficemojo.com/studio/chart/?studio=ifc.htm" TargetMode="External"/><Relationship Id="rId1151" Type="http://schemas.openxmlformats.org/officeDocument/2006/relationships/hyperlink" Target="http://www.boxofficemojo.com/schedule/?view=bydate&amp;release=theatrical&amp;date=2013-05-10&amp;p=.htm" TargetMode="External"/><Relationship Id="rId1152" Type="http://schemas.openxmlformats.org/officeDocument/2006/relationships/hyperlink" Target="http://www.boxofficemojo.com/movies/?id=dontstopbelievin.htm" TargetMode="External"/><Relationship Id="rId1153" Type="http://schemas.openxmlformats.org/officeDocument/2006/relationships/hyperlink" Target="http://www.boxofficemojo.com/studio/chart/?studio=cinedigmentertainment.htm" TargetMode="External"/><Relationship Id="rId1154" Type="http://schemas.openxmlformats.org/officeDocument/2006/relationships/hyperlink" Target="http://www.boxofficemojo.com/schedule/?view=bydate&amp;release=theatrical&amp;date=2013-03-08&amp;p=.htm" TargetMode="External"/><Relationship Id="rId1155" Type="http://schemas.openxmlformats.org/officeDocument/2006/relationships/hyperlink" Target="http://www.boxofficemojo.com/movies/?id=wickermanfinal.htm" TargetMode="External"/><Relationship Id="rId1156" Type="http://schemas.openxmlformats.org/officeDocument/2006/relationships/hyperlink" Target="http://www.boxofficemojo.com/studio/chart/?studio=rialto.htm" TargetMode="External"/><Relationship Id="rId1157" Type="http://schemas.openxmlformats.org/officeDocument/2006/relationships/hyperlink" Target="http://www.boxofficemojo.com/schedule/?view=bydate&amp;release=theatrical&amp;date=2013-09-27&amp;p=.htm" TargetMode="External"/><Relationship Id="rId1158" Type="http://schemas.openxmlformats.org/officeDocument/2006/relationships/hyperlink" Target="http://www.boxofficemojo.com/movies/?id=itsadisaster.htm" TargetMode="External"/><Relationship Id="rId1159" Type="http://schemas.openxmlformats.org/officeDocument/2006/relationships/hyperlink" Target="http://www.boxofficemojo.com/studio/chart/?studio=oscilloscopepictures.htm" TargetMode="External"/><Relationship Id="rId690" Type="http://schemas.openxmlformats.org/officeDocument/2006/relationships/hyperlink" Target="http://www.boxofficemojo.com/movies/?id=hunt2013.htm" TargetMode="External"/><Relationship Id="rId691" Type="http://schemas.openxmlformats.org/officeDocument/2006/relationships/hyperlink" Target="http://www.boxofficemojo.com/studio/chart/?studio=magnolia.htm" TargetMode="External"/><Relationship Id="rId692" Type="http://schemas.openxmlformats.org/officeDocument/2006/relationships/hyperlink" Target="http://www.boxofficemojo.com/schedule/?view=bydate&amp;release=theatrical&amp;date=2013-07-12&amp;p=.htm" TargetMode="External"/><Relationship Id="rId693" Type="http://schemas.openxmlformats.org/officeDocument/2006/relationships/hyperlink" Target="http://www.boxofficemojo.com/movies/?id=walkingthecamino.htm" TargetMode="External"/><Relationship Id="rId694" Type="http://schemas.openxmlformats.org/officeDocument/2006/relationships/hyperlink" Target="http://www.boxofficemojo.com/studio/chart/?studio=futureeducational.htm" TargetMode="External"/><Relationship Id="rId695" Type="http://schemas.openxmlformats.org/officeDocument/2006/relationships/hyperlink" Target="http://www.boxofficemojo.com/schedule/?view=bydate&amp;release=theatrical&amp;date=2013-09-06&amp;p=.htm" TargetMode="External"/><Relationship Id="rId696" Type="http://schemas.openxmlformats.org/officeDocument/2006/relationships/hyperlink" Target="http://www.boxofficemojo.com/movies/?id=tothewonder.htm" TargetMode="External"/><Relationship Id="rId697" Type="http://schemas.openxmlformats.org/officeDocument/2006/relationships/hyperlink" Target="http://www.boxofficemojo.com/studio/chart/?studio=magnolia.htm" TargetMode="External"/><Relationship Id="rId698" Type="http://schemas.openxmlformats.org/officeDocument/2006/relationships/hyperlink" Target="http://www.boxofficemojo.com/schedule/?view=bydate&amp;release=theatrical&amp;date=2013-04-12&amp;p=.htm" TargetMode="External"/><Relationship Id="rId699" Type="http://schemas.openxmlformats.org/officeDocument/2006/relationships/hyperlink" Target="http://www.boxofficemojo.com/movies/?id=salinger.htm" TargetMode="External"/><Relationship Id="rId1544" Type="http://schemas.openxmlformats.org/officeDocument/2006/relationships/hyperlink" Target="http://www.boxofficemojo.com/schedule/?view=bydate&amp;release=theatrical&amp;date=2013-05-31&amp;p=.htm" TargetMode="External"/><Relationship Id="rId1545" Type="http://schemas.openxmlformats.org/officeDocument/2006/relationships/hyperlink" Target="http://www.boxofficemojo.com/movies/?id=violetdaisy.htm" TargetMode="External"/><Relationship Id="rId1546" Type="http://schemas.openxmlformats.org/officeDocument/2006/relationships/hyperlink" Target="http://www.boxofficemojo.com/studio/chart/?studio=cinedigmentertainment.htm" TargetMode="External"/><Relationship Id="rId1547" Type="http://schemas.openxmlformats.org/officeDocument/2006/relationships/hyperlink" Target="http://www.boxofficemojo.com/schedule/?view=bydate&amp;release=theatrical&amp;date=2013-06-07&amp;p=.htm" TargetMode="External"/><Relationship Id="rId1548" Type="http://schemas.openxmlformats.org/officeDocument/2006/relationships/hyperlink" Target="http://www.boxofficemojo.com/movies/?id=lepontdunord.htm" TargetMode="External"/><Relationship Id="rId1549" Type="http://schemas.openxmlformats.org/officeDocument/2006/relationships/hyperlink" Target="http://www.boxofficemojo.com/studio/chart/?studio=thefilmdesk.htm" TargetMode="External"/><Relationship Id="rId1934" Type="http://schemas.openxmlformats.org/officeDocument/2006/relationships/hyperlink" Target="http://www.boxofficemojo.com/schedule/?view=bydate&amp;release=theatrical&amp;date=2013-06-07&amp;p=.htm" TargetMode="External"/><Relationship Id="rId1935" Type="http://schemas.openxmlformats.org/officeDocument/2006/relationships/hyperlink" Target="http://www.boxofficemojo.com/movies/?id=plush.htm" TargetMode="External"/><Relationship Id="rId1936" Type="http://schemas.openxmlformats.org/officeDocument/2006/relationships/hyperlink" Target="http://www.boxofficemojo.com/studio/chart/?studio=imglobalblum.htm" TargetMode="External"/><Relationship Id="rId1937" Type="http://schemas.openxmlformats.org/officeDocument/2006/relationships/hyperlink" Target="http://www.boxofficemojo.com/schedule/?view=bydate&amp;release=theatrical&amp;date=2013-09-13&amp;p=.htm" TargetMode="External"/><Relationship Id="rId1938" Type="http://schemas.openxmlformats.org/officeDocument/2006/relationships/hyperlink" Target="http://www.boxofficemojo.com/movies/?id=drew2013.htm" TargetMode="External"/><Relationship Id="rId1939" Type="http://schemas.openxmlformats.org/officeDocument/2006/relationships/hyperlink" Target="http://www.boxofficemojo.com/studio/chart/?studio=kinolorber.htm" TargetMode="External"/><Relationship Id="rId80" Type="http://schemas.openxmlformats.org/officeDocument/2006/relationships/hyperlink" Target="http://www.boxofficemojo.com/schedule/?view=bydate&amp;release=theatrical&amp;date=2013-03-28&amp;p=.htm" TargetMode="External"/><Relationship Id="rId81" Type="http://schemas.openxmlformats.org/officeDocument/2006/relationships/hyperlink" Target="http://www.boxofficemojo.com/movies/?id=cloudy2.htm" TargetMode="External"/><Relationship Id="rId82" Type="http://schemas.openxmlformats.org/officeDocument/2006/relationships/hyperlink" Target="http://www.boxofficemojo.com/studio/chart/?studio=sony.htm" TargetMode="External"/><Relationship Id="rId83" Type="http://schemas.openxmlformats.org/officeDocument/2006/relationships/hyperlink" Target="http://www.boxofficemojo.com/schedule/?view=bydate&amp;release=theatrical&amp;date=2013-09-27&amp;p=.htm" TargetMode="External"/><Relationship Id="rId84" Type="http://schemas.openxmlformats.org/officeDocument/2006/relationships/hyperlink" Target="http://www.boxofficemojo.com/movies/?id=nowyouseeme.htm" TargetMode="External"/><Relationship Id="rId85" Type="http://schemas.openxmlformats.org/officeDocument/2006/relationships/hyperlink" Target="http://www.boxofficemojo.com/studio/chart/?studio=lionsgatesummit.htm" TargetMode="External"/><Relationship Id="rId86" Type="http://schemas.openxmlformats.org/officeDocument/2006/relationships/hyperlink" Target="http://www.boxofficemojo.com/schedule/?view=bydate&amp;release=theatrical&amp;date=2013-05-31&amp;p=.htm" TargetMode="External"/><Relationship Id="rId87" Type="http://schemas.openxmlformats.org/officeDocument/2006/relationships/hyperlink" Target="http://www.boxofficemojo.com/movies/?id=wolfofwallstreet.htm" TargetMode="External"/><Relationship Id="rId88" Type="http://schemas.openxmlformats.org/officeDocument/2006/relationships/hyperlink" Target="http://www.boxofficemojo.com/studio/chart/?studio=paramount.htm" TargetMode="External"/><Relationship Id="rId89" Type="http://schemas.openxmlformats.org/officeDocument/2006/relationships/hyperlink" Target="http://www.boxofficemojo.com/schedule/?view=bydate&amp;release=theatrical&amp;date=2013-12-25&amp;p=.htm" TargetMode="External"/><Relationship Id="rId1940" Type="http://schemas.openxmlformats.org/officeDocument/2006/relationships/hyperlink" Target="http://www.boxofficemojo.com/schedule/?view=bydate&amp;release=theatrical&amp;date=2013-08-14&amp;p=.htm" TargetMode="External"/><Relationship Id="rId1941" Type="http://schemas.openxmlformats.org/officeDocument/2006/relationships/hyperlink" Target="http://www.boxofficemojo.com/movies/?id=girlgun.htm" TargetMode="External"/><Relationship Id="rId1942" Type="http://schemas.openxmlformats.org/officeDocument/2006/relationships/hyperlink" Target="http://www.boxofficemojo.com/studio/chart/?studio=firstrun.htm" TargetMode="External"/><Relationship Id="rId1943" Type="http://schemas.openxmlformats.org/officeDocument/2006/relationships/hyperlink" Target="http://www.boxofficemojo.com/schedule/?view=bydate&amp;release=theatrical&amp;date=2013-07-03&amp;p=.htm" TargetMode="External"/><Relationship Id="rId1550" Type="http://schemas.openxmlformats.org/officeDocument/2006/relationships/hyperlink" Target="http://www.boxofficemojo.com/schedule/?view=bydate&amp;release=theatrical&amp;date=2013-03-22&amp;p=.htm" TargetMode="External"/><Relationship Id="rId1551" Type="http://schemas.openxmlformats.org/officeDocument/2006/relationships/hyperlink" Target="http://www.boxofficemojo.com/movies/?id=nightacrossthestreet.htm" TargetMode="External"/><Relationship Id="rId1552" Type="http://schemas.openxmlformats.org/officeDocument/2006/relationships/hyperlink" Target="http://www.boxofficemojo.com/studio/chart/?studio=cinemaguild.htm" TargetMode="External"/><Relationship Id="rId1553" Type="http://schemas.openxmlformats.org/officeDocument/2006/relationships/hyperlink" Target="http://www.boxofficemojo.com/schedule/?view=bydate&amp;release=theatrical&amp;date=2013-02-08&amp;p=.htm" TargetMode="External"/><Relationship Id="rId1160" Type="http://schemas.openxmlformats.org/officeDocument/2006/relationships/hyperlink" Target="http://www.boxofficemojo.com/schedule/?view=bydate&amp;release=theatrical&amp;date=2013-04-12&amp;p=.htm" TargetMode="External"/><Relationship Id="rId1161" Type="http://schemas.openxmlformats.org/officeDocument/2006/relationships/hyperlink" Target="http://www.boxofficemojo.com/movies/?id=howilivenow.htm" TargetMode="External"/><Relationship Id="rId1162" Type="http://schemas.openxmlformats.org/officeDocument/2006/relationships/hyperlink" Target="http://www.boxofficemojo.com/studio/chart/?studio=magnolia.htm" TargetMode="External"/><Relationship Id="rId1163" Type="http://schemas.openxmlformats.org/officeDocument/2006/relationships/hyperlink" Target="http://www.boxofficemojo.com/schedule/?view=bydate&amp;release=theatrical&amp;date=2013-11-08&amp;p=.htm" TargetMode="External"/><Relationship Id="rId1164" Type="http://schemas.openxmlformats.org/officeDocument/2006/relationships/hyperlink" Target="http://www.boxofficemojo.com/movies/?id=sweetdreams2013.htm" TargetMode="External"/><Relationship Id="rId1165" Type="http://schemas.openxmlformats.org/officeDocument/2006/relationships/hyperlink" Target="http://www.boxofficemojo.com/studio/chart/?studio=intlfilmcircuit.htm" TargetMode="External"/><Relationship Id="rId1166" Type="http://schemas.openxmlformats.org/officeDocument/2006/relationships/hyperlink" Target="http://www.boxofficemojo.com/schedule/?view=bydate&amp;release=theatrical&amp;date=2013-11-01&amp;p=.htm" TargetMode="External"/><Relationship Id="rId1167" Type="http://schemas.openxmlformats.org/officeDocument/2006/relationships/hyperlink" Target="http://www.boxofficemojo.com/movies/?id=trialsofmuhammadali.htm" TargetMode="External"/><Relationship Id="rId1168" Type="http://schemas.openxmlformats.org/officeDocument/2006/relationships/hyperlink" Target="http://www.boxofficemojo.com/studio/chart/?studio=kinolorber.htm" TargetMode="External"/><Relationship Id="rId1169" Type="http://schemas.openxmlformats.org/officeDocument/2006/relationships/hyperlink" Target="http://www.boxofficemojo.com/schedule/?view=bydate&amp;release=theatrical&amp;date=2013-08-23&amp;p=.htm" TargetMode="External"/><Relationship Id="rId1554" Type="http://schemas.openxmlformats.org/officeDocument/2006/relationships/hyperlink" Target="http://www.boxofficemojo.com/movies/?id=asilaydying.htm" TargetMode="External"/><Relationship Id="rId1555" Type="http://schemas.openxmlformats.org/officeDocument/2006/relationships/hyperlink" Target="http://www.boxofficemojo.com/studio/chart/?studio=millenniumentertainment.htm" TargetMode="External"/><Relationship Id="rId1556" Type="http://schemas.openxmlformats.org/officeDocument/2006/relationships/hyperlink" Target="http://www.boxofficemojo.com/schedule/?view=bydate&amp;release=theatrical&amp;date=2013-10-11&amp;p=.htm" TargetMode="External"/><Relationship Id="rId1557" Type="http://schemas.openxmlformats.org/officeDocument/2006/relationships/hyperlink" Target="http://www.boxofficemojo.com/movies/?id=designisone.htm" TargetMode="External"/><Relationship Id="rId1558" Type="http://schemas.openxmlformats.org/officeDocument/2006/relationships/hyperlink" Target="http://www.boxofficemojo.com/studio/chart/?studio=firstrun.htm" TargetMode="External"/><Relationship Id="rId1559" Type="http://schemas.openxmlformats.org/officeDocument/2006/relationships/hyperlink" Target="http://www.boxofficemojo.com/schedule/?view=bydate&amp;release=theatrical&amp;date=2013-10-11&amp;p=.htm" TargetMode="External"/><Relationship Id="rId1944" Type="http://schemas.openxmlformats.org/officeDocument/2006/relationships/hyperlink" Target="http://www.boxofficemojo.com/movies/?id=approachingmidnight.htm" TargetMode="External"/><Relationship Id="rId1945" Type="http://schemas.openxmlformats.org/officeDocument/2006/relationships/hyperlink" Target="http://www.boxofficemojo.com/studio/chart/?studio=montereymediainc.htm" TargetMode="External"/><Relationship Id="rId1946" Type="http://schemas.openxmlformats.org/officeDocument/2006/relationships/hyperlink" Target="http://www.boxofficemojo.com/schedule/?view=bydate&amp;release=theatrical&amp;date=2013-08-30&amp;p=.htm" TargetMode="External"/><Relationship Id="rId1947" Type="http://schemas.openxmlformats.org/officeDocument/2006/relationships/hyperlink" Target="http://www.boxofficemojo.com/movies/?id=whatricharddid.htm" TargetMode="External"/><Relationship Id="rId1948" Type="http://schemas.openxmlformats.org/officeDocument/2006/relationships/hyperlink" Target="http://www.boxofficemojo.com/studio/chart/?studio=tribecafilm.htm" TargetMode="External"/><Relationship Id="rId1949" Type="http://schemas.openxmlformats.org/officeDocument/2006/relationships/hyperlink" Target="http://www.boxofficemojo.com/schedule/?view=bydate&amp;release=theatrical&amp;date=2013-05-10&amp;p=.htm" TargetMode="External"/><Relationship Id="rId300" Type="http://schemas.openxmlformats.org/officeDocument/2006/relationships/hyperlink" Target="http://www.boxofficemojo.com/movies/?id=21andover.htm" TargetMode="External"/><Relationship Id="rId301" Type="http://schemas.openxmlformats.org/officeDocument/2006/relationships/hyperlink" Target="http://www.boxofficemojo.com/studio/chart/?studio=relativity.htm" TargetMode="External"/><Relationship Id="rId302" Type="http://schemas.openxmlformats.org/officeDocument/2006/relationships/hyperlink" Target="http://www.boxofficemojo.com/schedule/?view=bydate&amp;release=theatrical&amp;date=2013-03-01&amp;p=.htm" TargetMode="External"/><Relationship Id="rId303" Type="http://schemas.openxmlformats.org/officeDocument/2006/relationships/hyperlink" Target="http://www.boxofficemojo.com/movies/?id=her2013.htm" TargetMode="External"/><Relationship Id="rId304" Type="http://schemas.openxmlformats.org/officeDocument/2006/relationships/hyperlink" Target="http://www.boxofficemojo.com/studio/chart/?studio=warnerbros.htm" TargetMode="External"/><Relationship Id="rId305" Type="http://schemas.openxmlformats.org/officeDocument/2006/relationships/hyperlink" Target="http://www.boxofficemojo.com/schedule/?view=bydate&amp;release=theatrical&amp;date=2013-12-18&amp;p=.htm" TargetMode="External"/><Relationship Id="rId306" Type="http://schemas.openxmlformats.org/officeDocument/2006/relationships/hyperlink" Target="http://www.boxofficemojo.com/movies/?id=tomb.htm" TargetMode="External"/><Relationship Id="rId307" Type="http://schemas.openxmlformats.org/officeDocument/2006/relationships/hyperlink" Target="http://www.boxofficemojo.com/studio/chart/?studio=lionsgatesummit.htm" TargetMode="External"/><Relationship Id="rId308" Type="http://schemas.openxmlformats.org/officeDocument/2006/relationships/hyperlink" Target="http://www.boxofficemojo.com/schedule/?view=bydate&amp;release=theatrical&amp;date=2013-10-18&amp;p=.htm" TargetMode="External"/><Relationship Id="rId309" Type="http://schemas.openxmlformats.org/officeDocument/2006/relationships/hyperlink" Target="http://www.boxofficemojo.com/movies/?id=donjon.htm" TargetMode="External"/><Relationship Id="rId90" Type="http://schemas.openxmlformats.org/officeDocument/2006/relationships/hyperlink" Target="http://www.boxofficemojo.com/movies/?id=butler.htm" TargetMode="External"/><Relationship Id="rId91" Type="http://schemas.openxmlformats.org/officeDocument/2006/relationships/hyperlink" Target="http://www.boxofficemojo.com/studio/chart/?studio=weinsteincompany.htm" TargetMode="External"/><Relationship Id="rId92" Type="http://schemas.openxmlformats.org/officeDocument/2006/relationships/hyperlink" Target="http://www.boxofficemojo.com/schedule/?view=bydate&amp;release=theatrical&amp;date=2013-08-16&amp;p=.htm" TargetMode="External"/><Relationship Id="rId93" Type="http://schemas.openxmlformats.org/officeDocument/2006/relationships/hyperlink" Target="http://www.boxofficemojo.com/movies/?id=hangover3.htm" TargetMode="External"/><Relationship Id="rId94" Type="http://schemas.openxmlformats.org/officeDocument/2006/relationships/hyperlink" Target="http://www.boxofficemojo.com/studio/chart/?studio=warnerbros.htm" TargetMode="External"/><Relationship Id="rId95" Type="http://schemas.openxmlformats.org/officeDocument/2006/relationships/hyperlink" Target="http://www.boxofficemojo.com/schedule/?view=bydate&amp;release=theatrical&amp;date=2013-05-23&amp;p=.htm" TargetMode="External"/><Relationship Id="rId96" Type="http://schemas.openxmlformats.org/officeDocument/2006/relationships/hyperlink" Target="http://www.boxofficemojo.com/movies/?id=leafmen.htm" TargetMode="External"/><Relationship Id="rId97" Type="http://schemas.openxmlformats.org/officeDocument/2006/relationships/hyperlink" Target="http://www.boxofficemojo.com/studio/chart/?studio=fox.htm" TargetMode="External"/><Relationship Id="rId98" Type="http://schemas.openxmlformats.org/officeDocument/2006/relationships/hyperlink" Target="http://www.boxofficemojo.com/schedule/?view=bydate&amp;release=theatrical&amp;date=2013-05-24&amp;p=.htm" TargetMode="External"/><Relationship Id="rId99" Type="http://schemas.openxmlformats.org/officeDocument/2006/relationships/hyperlink" Target="http://www.boxofficemojo.com/movies/?id=captainphillips.htm" TargetMode="External"/><Relationship Id="rId1950" Type="http://schemas.openxmlformats.org/officeDocument/2006/relationships/hyperlink" Target="http://www.boxofficemojo.com/movies/?id=lesserblessed.htm" TargetMode="External"/><Relationship Id="rId1951" Type="http://schemas.openxmlformats.org/officeDocument/2006/relationships/hyperlink" Target="http://www.boxofficemojo.com/studio/chart/?studio=montereymediainc.htm" TargetMode="External"/><Relationship Id="rId1952" Type="http://schemas.openxmlformats.org/officeDocument/2006/relationships/hyperlink" Target="http://www.boxofficemojo.com/schedule/?view=bydate&amp;release=theatrical&amp;date=2013-05-24&amp;p=.htm" TargetMode="External"/><Relationship Id="rId1953" Type="http://schemas.openxmlformats.org/officeDocument/2006/relationships/hyperlink" Target="http://www.boxofficemojo.com/movies/?id=comeoutandplay.htm" TargetMode="External"/><Relationship Id="rId1560" Type="http://schemas.openxmlformats.org/officeDocument/2006/relationships/hyperlink" Target="http://www.boxofficemojo.com/movies/?id=outoftheclearbluesky.htm" TargetMode="External"/><Relationship Id="rId1561" Type="http://schemas.openxmlformats.org/officeDocument/2006/relationships/hyperlink" Target="http://www.boxofficemojo.com/studio/chart/?studio=area23a.htm" TargetMode="External"/><Relationship Id="rId1562" Type="http://schemas.openxmlformats.org/officeDocument/2006/relationships/hyperlink" Target="http://www.boxofficemojo.com/schedule/?view=bydate&amp;release=theatrical&amp;date=2013-09-06&amp;p=.htm" TargetMode="External"/><Relationship Id="rId1563" Type="http://schemas.openxmlformats.org/officeDocument/2006/relationships/hyperlink" Target="http://www.boxofficemojo.com/movies/?id=ideclarewar.htm" TargetMode="External"/><Relationship Id="rId1170" Type="http://schemas.openxmlformats.org/officeDocument/2006/relationships/hyperlink" Target="http://www.boxofficemojo.com/movies/?id=aftershock13.htm" TargetMode="External"/><Relationship Id="rId1171" Type="http://schemas.openxmlformats.org/officeDocument/2006/relationships/hyperlink" Target="http://www.boxofficemojo.com/studio/chart/?studio=radiustwc.htm" TargetMode="External"/><Relationship Id="rId1172" Type="http://schemas.openxmlformats.org/officeDocument/2006/relationships/hyperlink" Target="http://www.boxofficemojo.com/schedule/?view=bydate&amp;release=theatrical&amp;date=2013-05-10&amp;p=.htm" TargetMode="External"/><Relationship Id="rId1173" Type="http://schemas.openxmlformats.org/officeDocument/2006/relationships/hyperlink" Target="http://www.boxofficemojo.com/movies/?id=faust.htm" TargetMode="External"/><Relationship Id="rId1174" Type="http://schemas.openxmlformats.org/officeDocument/2006/relationships/hyperlink" Target="http://www.boxofficemojo.com/studio/chart/?studio=leisuretime.htm" TargetMode="External"/><Relationship Id="rId1175" Type="http://schemas.openxmlformats.org/officeDocument/2006/relationships/hyperlink" Target="http://www.boxofficemojo.com/schedule/?view=bydate&amp;release=theatrical&amp;date=2013-11-15&amp;p=.htm" TargetMode="External"/><Relationship Id="rId1176" Type="http://schemas.openxmlformats.org/officeDocument/2006/relationships/hyperlink" Target="http://www.boxofficemojo.com/movies/?id=lostinthailand.htm" TargetMode="External"/><Relationship Id="rId1177" Type="http://schemas.openxmlformats.org/officeDocument/2006/relationships/hyperlink" Target="http://www.boxofficemojo.com/studio/chart/?studio=amctheaters.htm" TargetMode="External"/><Relationship Id="rId1178" Type="http://schemas.openxmlformats.org/officeDocument/2006/relationships/hyperlink" Target="http://www.boxofficemojo.com/schedule/?view=bydate&amp;release=theatrical&amp;date=2013-02-08&amp;p=.htm" TargetMode="External"/><Relationship Id="rId1179" Type="http://schemas.openxmlformats.org/officeDocument/2006/relationships/hyperlink" Target="http://www.boxofficemojo.com/movies/?id=canyons.htm" TargetMode="External"/><Relationship Id="rId1564" Type="http://schemas.openxmlformats.org/officeDocument/2006/relationships/hyperlink" Target="http://www.boxofficemojo.com/studio/chart/?studio=drafthousefilms.htm" TargetMode="External"/><Relationship Id="rId1565" Type="http://schemas.openxmlformats.org/officeDocument/2006/relationships/hyperlink" Target="http://www.boxofficemojo.com/schedule/?view=bydate&amp;release=theatrical&amp;date=2013-08-30&amp;p=.htm" TargetMode="External"/><Relationship Id="rId1566" Type="http://schemas.openxmlformats.org/officeDocument/2006/relationships/hyperlink" Target="http://www.boxofficemojo.com/movies/?id=jaynemansfieldscar.htm" TargetMode="External"/><Relationship Id="rId1567" Type="http://schemas.openxmlformats.org/officeDocument/2006/relationships/hyperlink" Target="http://www.boxofficemojo.com/studio/chart/?studio=anchorbayentertainment.htm" TargetMode="External"/><Relationship Id="rId1568" Type="http://schemas.openxmlformats.org/officeDocument/2006/relationships/hyperlink" Target="http://www.boxofficemojo.com/schedule/?view=bydate&amp;release=theatrical&amp;date=2013-09-13&amp;p=.htm" TargetMode="External"/><Relationship Id="rId1569" Type="http://schemas.openxmlformats.org/officeDocument/2006/relationships/hyperlink" Target="http://www.boxofficemojo.com/movies/?id=kissofthedamned.htm" TargetMode="External"/><Relationship Id="rId1954" Type="http://schemas.openxmlformats.org/officeDocument/2006/relationships/hyperlink" Target="http://www.boxofficemojo.com/studio/chart/?studio=cinedigmentertainment.htm" TargetMode="External"/><Relationship Id="rId1955" Type="http://schemas.openxmlformats.org/officeDocument/2006/relationships/hyperlink" Target="http://www.boxofficemojo.com/schedule/?view=bydate&amp;release=theatrical&amp;date=2013-03-22&amp;p=.htm" TargetMode="External"/><Relationship Id="rId1956" Type="http://schemas.openxmlformats.org/officeDocument/2006/relationships/hyperlink" Target="http://www.boxofficemojo.com/movies/?id=sparrowsdance.htm" TargetMode="External"/><Relationship Id="rId1957" Type="http://schemas.openxmlformats.org/officeDocument/2006/relationships/hyperlink" Target="http://www.boxofficemojo.com/studio/chart/?studio=tribecafilm.htm" TargetMode="External"/><Relationship Id="rId1958" Type="http://schemas.openxmlformats.org/officeDocument/2006/relationships/hyperlink" Target="http://www.boxofficemojo.com/schedule/?view=bydate&amp;release=theatrical&amp;date=2013-08-23&amp;p=.htm" TargetMode="External"/><Relationship Id="rId1959" Type="http://schemas.openxmlformats.org/officeDocument/2006/relationships/hyperlink" Target="http://www.boxofficemojo.com/movies/?id=lastflightofthechampion.htm" TargetMode="External"/><Relationship Id="rId700" Type="http://schemas.openxmlformats.org/officeDocument/2006/relationships/hyperlink" Target="http://www.boxofficemojo.com/studio/chart/?studio=weinsteincompany.htm" TargetMode="External"/><Relationship Id="rId701" Type="http://schemas.openxmlformats.org/officeDocument/2006/relationships/hyperlink" Target="http://www.boxofficemojo.com/schedule/?view=bydate&amp;release=theatrical&amp;date=2013-09-06&amp;p=.htm" TargetMode="External"/><Relationship Id="rId702" Type="http://schemas.openxmlformats.org/officeDocument/2006/relationships/hyperlink" Target="http://www.boxofficemojo.com/movies/?id=lootera.htm" TargetMode="External"/><Relationship Id="rId703" Type="http://schemas.openxmlformats.org/officeDocument/2006/relationships/hyperlink" Target="http://www.boxofficemojo.com/studio/chart/?studio=eros.htm" TargetMode="External"/><Relationship Id="rId310" Type="http://schemas.openxmlformats.org/officeDocument/2006/relationships/hyperlink" Target="http://www.boxofficemojo.com/studio/chart/?studio=relativity.htm" TargetMode="External"/><Relationship Id="rId311" Type="http://schemas.openxmlformats.org/officeDocument/2006/relationships/hyperlink" Target="http://www.boxofficemojo.com/schedule/?view=bydate&amp;release=theatrical&amp;date=2013-09-27&amp;p=.htm" TargetMode="External"/><Relationship Id="rId312" Type="http://schemas.openxmlformats.org/officeDocument/2006/relationships/hyperlink" Target="http://www.boxofficemojo.com/movies/?id=burtwonderstone.htm" TargetMode="External"/><Relationship Id="rId313" Type="http://schemas.openxmlformats.org/officeDocument/2006/relationships/hyperlink" Target="http://www.boxofficemojo.com/studio/chart/?studio=wb-newline.htm" TargetMode="External"/><Relationship Id="rId314" Type="http://schemas.openxmlformats.org/officeDocument/2006/relationships/hyperlink" Target="http://www.boxofficemojo.com/schedule/?view=bydate&amp;release=theatrical&amp;date=2013-03-15&amp;p=.htm" TargetMode="External"/><Relationship Id="rId315" Type="http://schemas.openxmlformats.org/officeDocument/2006/relationships/hyperlink" Target="http://www.boxofficemojo.com/movies/?id=bigwedding.htm" TargetMode="External"/><Relationship Id="rId316" Type="http://schemas.openxmlformats.org/officeDocument/2006/relationships/hyperlink" Target="http://www.boxofficemojo.com/studio/chart/?studio=lionsgate.htm" TargetMode="External"/><Relationship Id="rId317" Type="http://schemas.openxmlformats.org/officeDocument/2006/relationships/hyperlink" Target="http://www.boxofficemojo.com/schedule/?view=bydate&amp;release=theatrical&amp;date=2013-04-26&amp;p=.htm" TargetMode="External"/><Relationship Id="rId318" Type="http://schemas.openxmlformats.org/officeDocument/2006/relationships/hyperlink" Target="http://www.boxofficemojo.com/movies/?id=mud.htm" TargetMode="External"/><Relationship Id="rId319" Type="http://schemas.openxmlformats.org/officeDocument/2006/relationships/hyperlink" Target="http://www.boxofficemojo.com/studio/chart/?studio=roadsideattractions.htm" TargetMode="External"/><Relationship Id="rId704" Type="http://schemas.openxmlformats.org/officeDocument/2006/relationships/hyperlink" Target="http://www.boxofficemojo.com/schedule/?view=bydate&amp;release=theatrical&amp;date=2013-07-03&amp;p=.htm" TargetMode="External"/><Relationship Id="rId705" Type="http://schemas.openxmlformats.org/officeDocument/2006/relationships/hyperlink" Target="http://www.boxofficemojo.com/movies/?id=museumhours.htm" TargetMode="External"/><Relationship Id="rId706" Type="http://schemas.openxmlformats.org/officeDocument/2006/relationships/hyperlink" Target="http://www.boxofficemojo.com/studio/chart/?studio=cinemaguild.htm" TargetMode="External"/><Relationship Id="rId707" Type="http://schemas.openxmlformats.org/officeDocument/2006/relationships/hyperlink" Target="http://www.boxofficemojo.com/schedule/?view=bydate&amp;release=theatrical&amp;date=2013-06-28&amp;p=.htm" TargetMode="External"/><Relationship Id="rId708" Type="http://schemas.openxmlformats.org/officeDocument/2006/relationships/hyperlink" Target="http://www.boxofficemojo.com/movies/?id=reluctantfundamentalist.htm" TargetMode="External"/><Relationship Id="rId709" Type="http://schemas.openxmlformats.org/officeDocument/2006/relationships/hyperlink" Target="http://www.boxofficemojo.com/studio/chart/?studio=ifc.htm" TargetMode="External"/><Relationship Id="rId1960" Type="http://schemas.openxmlformats.org/officeDocument/2006/relationships/hyperlink" Target="http://www.boxofficemojo.com/studio/chart/?studio=hightop.htm" TargetMode="External"/><Relationship Id="rId1961" Type="http://schemas.openxmlformats.org/officeDocument/2006/relationships/hyperlink" Target="http://www.boxofficemojo.com/schedule/?view=bydate&amp;release=theatrical&amp;date=2013-08-30&amp;p=.htm" TargetMode="External"/><Relationship Id="rId1962" Type="http://schemas.openxmlformats.org/officeDocument/2006/relationships/hyperlink" Target="http://www.boxofficemojo.com/movies/?id=cassadega.htm" TargetMode="External"/><Relationship Id="rId1963" Type="http://schemas.openxmlformats.org/officeDocument/2006/relationships/hyperlink" Target="http://www.boxofficemojo.com/studio/chart/?studio=archstone.htm" TargetMode="External"/><Relationship Id="rId1570" Type="http://schemas.openxmlformats.org/officeDocument/2006/relationships/hyperlink" Target="http://www.boxofficemojo.com/studio/chart/?studio=magnolia.htm" TargetMode="External"/><Relationship Id="rId1571" Type="http://schemas.openxmlformats.org/officeDocument/2006/relationships/hyperlink" Target="http://www.boxofficemojo.com/schedule/?view=bydate&amp;release=theatrical&amp;date=2013-05-03&amp;p=.htm" TargetMode="External"/><Relationship Id="rId1572" Type="http://schemas.openxmlformats.org/officeDocument/2006/relationships/hyperlink" Target="http://www.boxofficemojo.com/movies/?id=unbelievers.htm" TargetMode="External"/><Relationship Id="rId1573" Type="http://schemas.openxmlformats.org/officeDocument/2006/relationships/hyperlink" Target="http://www.boxofficemojo.com/studio/chart/?studio=contentmedia.htm" TargetMode="External"/><Relationship Id="rId1180" Type="http://schemas.openxmlformats.org/officeDocument/2006/relationships/hyperlink" Target="http://www.boxofficemojo.com/studio/chart/?studio=ifc.htm" TargetMode="External"/><Relationship Id="rId1181" Type="http://schemas.openxmlformats.org/officeDocument/2006/relationships/hyperlink" Target="http://www.boxofficemojo.com/schedule/?view=bydate&amp;release=theatrical&amp;date=2013-08-02&amp;p=.htm" TargetMode="External"/><Relationship Id="rId1182" Type="http://schemas.openxmlformats.org/officeDocument/2006/relationships/hyperlink" Target="http://www.boxofficemojo.com/movies/?id=termsandconditions.htm" TargetMode="External"/><Relationship Id="rId1183" Type="http://schemas.openxmlformats.org/officeDocument/2006/relationships/hyperlink" Target="http://www.boxofficemojo.com/studio/chart/?studio=variancefilms.htm" TargetMode="External"/><Relationship Id="rId1184" Type="http://schemas.openxmlformats.org/officeDocument/2006/relationships/hyperlink" Target="http://www.boxofficemojo.com/schedule/?view=bydate&amp;release=theatrical&amp;date=2013-07-12&amp;p=.htm" TargetMode="External"/><Relationship Id="rId1185" Type="http://schemas.openxmlformats.org/officeDocument/2006/relationships/hyperlink" Target="http://www.boxofficemojo.com/movies/?id=bajateyraho.htm" TargetMode="External"/><Relationship Id="rId1186" Type="http://schemas.openxmlformats.org/officeDocument/2006/relationships/hyperlink" Target="http://www.boxofficemojo.com/studio/chart/?studio=eros.htm" TargetMode="External"/><Relationship Id="rId1187" Type="http://schemas.openxmlformats.org/officeDocument/2006/relationships/hyperlink" Target="http://www.boxofficemojo.com/schedule/?view=bydate&amp;release=theatrical&amp;date=2013-07-26&amp;p=.htm" TargetMode="External"/><Relationship Id="rId1188" Type="http://schemas.openxmlformats.org/officeDocument/2006/relationships/hyperlink" Target="http://www.boxofficemojo.com/movies/?id=cog.htm" TargetMode="External"/><Relationship Id="rId1189" Type="http://schemas.openxmlformats.org/officeDocument/2006/relationships/hyperlink" Target="http://www.boxofficemojo.com/studio/chart/?studio=screenmedia.htm" TargetMode="External"/><Relationship Id="rId1574" Type="http://schemas.openxmlformats.org/officeDocument/2006/relationships/hyperlink" Target="http://www.boxofficemojo.com/schedule/?view=bydate&amp;release=theatrical&amp;date=2013-11-29&amp;p=.htm" TargetMode="External"/><Relationship Id="rId1575" Type="http://schemas.openxmlformats.org/officeDocument/2006/relationships/hyperlink" Target="http://www.boxofficemojo.com/movies/?id=justiceismind.htm" TargetMode="External"/><Relationship Id="rId1576" Type="http://schemas.openxmlformats.org/officeDocument/2006/relationships/hyperlink" Target="http://www.boxofficemojo.com/studio/chart/?studio=ashtontimes.htm" TargetMode="External"/><Relationship Id="rId1577" Type="http://schemas.openxmlformats.org/officeDocument/2006/relationships/hyperlink" Target="http://www.boxofficemojo.com/schedule/?view=bydate&amp;release=theatrical&amp;date=2013-08-18&amp;p=.htm" TargetMode="External"/><Relationship Id="rId1578" Type="http://schemas.openxmlformats.org/officeDocument/2006/relationships/hyperlink" Target="http://www.boxofficemojo.com/movies/?id=aweddinginvitation.htm" TargetMode="External"/><Relationship Id="rId1579" Type="http://schemas.openxmlformats.org/officeDocument/2006/relationships/hyperlink" Target="http://www.boxofficemojo.com/studio/chart/?studio=cjentertainment.htm" TargetMode="External"/><Relationship Id="rId1964" Type="http://schemas.openxmlformats.org/officeDocument/2006/relationships/hyperlink" Target="http://www.boxofficemojo.com/schedule/?view=bydate&amp;release=theatrical&amp;date=2013-10-11&amp;p=.htm" TargetMode="External"/><Relationship Id="rId1965" Type="http://schemas.openxmlformats.org/officeDocument/2006/relationships/hyperlink" Target="http://www.boxofficemojo.com/movies/?id=almostinlove.htm" TargetMode="External"/><Relationship Id="rId1966" Type="http://schemas.openxmlformats.org/officeDocument/2006/relationships/hyperlink" Target="http://www.boxofficemojo.com/studio/chart/?studio=argotpictures.htm" TargetMode="External"/><Relationship Id="rId1967" Type="http://schemas.openxmlformats.org/officeDocument/2006/relationships/hyperlink" Target="http://www.boxofficemojo.com/schedule/?view=bydate&amp;release=theatrical&amp;date=2013-02-15&amp;p=.htm" TargetMode="External"/><Relationship Id="rId1968" Type="http://schemas.openxmlformats.org/officeDocument/2006/relationships/hyperlink" Target="http://www.boxofficemojo.com/movies/?id=lastdayofaugust.htm" TargetMode="External"/><Relationship Id="rId1969" Type="http://schemas.openxmlformats.org/officeDocument/2006/relationships/hyperlink" Target="http://www.boxofficemojo.com/studio/chart/?studio=striped.htm" TargetMode="External"/><Relationship Id="rId710" Type="http://schemas.openxmlformats.org/officeDocument/2006/relationships/hyperlink" Target="http://www.boxofficemojo.com/schedule/?view=bydate&amp;release=theatrical&amp;date=2013-04-26&amp;p=.htm" TargetMode="External"/><Relationship Id="rId711" Type="http://schemas.openxmlformats.org/officeDocument/2006/relationships/hyperlink" Target="http://www.boxofficemojo.com/movies/?id=lostmedallion.htm" TargetMode="External"/><Relationship Id="rId712" Type="http://schemas.openxmlformats.org/officeDocument/2006/relationships/hyperlink" Target="http://www.boxofficemojo.com/studio/chart/?studio=methinx.htm" TargetMode="External"/><Relationship Id="rId713" Type="http://schemas.openxmlformats.org/officeDocument/2006/relationships/hyperlink" Target="http://www.boxofficemojo.com/schedule/?view=bydate&amp;release=theatrical&amp;date=2013-03-01&amp;p=.htm" TargetMode="External"/><Relationship Id="rId320" Type="http://schemas.openxmlformats.org/officeDocument/2006/relationships/hyperlink" Target="http://www.boxofficemojo.com/schedule/?view=bydate&amp;release=theatrical&amp;date=2013-04-26&amp;p=.htm" TargetMode="External"/><Relationship Id="rId321" Type="http://schemas.openxmlformats.org/officeDocument/2006/relationships/hyperlink" Target="http://www.boxofficemojo.com/movies/?id=baggageclaim.htm" TargetMode="External"/><Relationship Id="rId322" Type="http://schemas.openxmlformats.org/officeDocument/2006/relationships/hyperlink" Target="http://www.boxofficemojo.com/studio/chart/?studio=foxsearchlight.htm" TargetMode="External"/><Relationship Id="rId323" Type="http://schemas.openxmlformats.org/officeDocument/2006/relationships/hyperlink" Target="http://www.boxofficemojo.com/schedule/?view=bydate&amp;release=theatrical&amp;date=2013-09-27&amp;p=.htm" TargetMode="External"/><Relationship Id="rId324" Type="http://schemas.openxmlformats.org/officeDocument/2006/relationships/hyperlink" Target="http://www.boxofficemojo.com/movies/?id=waywayback.htm" TargetMode="External"/><Relationship Id="rId325" Type="http://schemas.openxmlformats.org/officeDocument/2006/relationships/hyperlink" Target="http://www.boxofficemojo.com/studio/chart/?studio=foxsearchlight.htm" TargetMode="External"/><Relationship Id="rId326" Type="http://schemas.openxmlformats.org/officeDocument/2006/relationships/hyperlink" Target="http://www.boxofficemojo.com/schedule/?view=bydate&amp;release=theatrical&amp;date=2013-07-05&amp;p=.htm" TargetMode="External"/><Relationship Id="rId327" Type="http://schemas.openxmlformats.org/officeDocument/2006/relationships/hyperlink" Target="http://www.boxofficemojo.com/movies/?id=bookthief.htm" TargetMode="External"/><Relationship Id="rId328" Type="http://schemas.openxmlformats.org/officeDocument/2006/relationships/hyperlink" Target="http://www.boxofficemojo.com/studio/chart/?studio=fox.htm" TargetMode="External"/><Relationship Id="rId329" Type="http://schemas.openxmlformats.org/officeDocument/2006/relationships/hyperlink" Target="http://www.boxofficemojo.com/schedule/?view=bydate&amp;release=theatrical&amp;date=2013-11-08&amp;p=.htm" TargetMode="External"/><Relationship Id="rId714" Type="http://schemas.openxmlformats.org/officeDocument/2006/relationships/hyperlink" Target="http://www.boxofficemojo.com/movies/?id=scattermyashes.htm" TargetMode="External"/><Relationship Id="rId715" Type="http://schemas.openxmlformats.org/officeDocument/2006/relationships/hyperlink" Target="http://www.boxofficemojo.com/studio/chart/?studio=entertainmentone.htm" TargetMode="External"/><Relationship Id="rId716" Type="http://schemas.openxmlformats.org/officeDocument/2006/relationships/hyperlink" Target="http://www.boxofficemojo.com/schedule/?view=bydate&amp;release=theatrical&amp;date=2013-05-03&amp;p=.htm" TargetMode="External"/><Relationship Id="rId717" Type="http://schemas.openxmlformats.org/officeDocument/2006/relationships/hyperlink" Target="http://www.boxofficemojo.com/movies/?id=facereader.htm" TargetMode="External"/><Relationship Id="rId718" Type="http://schemas.openxmlformats.org/officeDocument/2006/relationships/hyperlink" Target="http://www.boxofficemojo.com/studio/chart/?studio=panmedia.htm" TargetMode="External"/><Relationship Id="rId719" Type="http://schemas.openxmlformats.org/officeDocument/2006/relationships/hyperlink" Target="http://www.boxofficemojo.com/schedule/?view=bydate&amp;release=theatrical&amp;date=2013-10-04&amp;p=.htm" TargetMode="External"/><Relationship Id="rId1970" Type="http://schemas.openxmlformats.org/officeDocument/2006/relationships/hyperlink" Target="http://www.boxofficemojo.com/schedule/?view=bydate&amp;release=theatrical&amp;date=2013-10-04&amp;p=.htm" TargetMode="External"/><Relationship Id="rId1971" Type="http://schemas.openxmlformats.org/officeDocument/2006/relationships/hyperlink" Target="http://www.boxofficemojo.com/movies/?id=menatlunch.htm" TargetMode="External"/><Relationship Id="rId1972" Type="http://schemas.openxmlformats.org/officeDocument/2006/relationships/hyperlink" Target="http://www.boxofficemojo.com/studio/chart/?studio=firstrun.htm" TargetMode="External"/><Relationship Id="rId1973" Type="http://schemas.openxmlformats.org/officeDocument/2006/relationships/hyperlink" Target="http://www.boxofficemojo.com/schedule/?view=bydate&amp;release=theatrical&amp;date=2013-09-20&amp;p=.htm" TargetMode="External"/><Relationship Id="rId1580" Type="http://schemas.openxmlformats.org/officeDocument/2006/relationships/hyperlink" Target="http://www.boxofficemojo.com/schedule/?view=bydate&amp;release=theatrical&amp;date=2013-05-24&amp;p=.htm" TargetMode="External"/><Relationship Id="rId1581" Type="http://schemas.openxmlformats.org/officeDocument/2006/relationships/hyperlink" Target="http://www.boxofficemojo.com/movies/?id=ilfuturo.htm" TargetMode="External"/><Relationship Id="rId1582" Type="http://schemas.openxmlformats.org/officeDocument/2006/relationships/hyperlink" Target="http://www.boxofficemojo.com/studio/chart/?studio=strand.htm" TargetMode="External"/><Relationship Id="rId1583" Type="http://schemas.openxmlformats.org/officeDocument/2006/relationships/hyperlink" Target="http://www.boxofficemojo.com/schedule/?view=bydate&amp;release=theatrical&amp;date=2013-09-06&amp;p=.htm" TargetMode="External"/><Relationship Id="rId1190" Type="http://schemas.openxmlformats.org/officeDocument/2006/relationships/hyperlink" Target="http://www.boxofficemojo.com/schedule/?view=bydate&amp;release=theatrical&amp;date=2013-09-20&amp;p=.htm" TargetMode="External"/><Relationship Id="rId1191" Type="http://schemas.openxmlformats.org/officeDocument/2006/relationships/hyperlink" Target="http://www.boxofficemojo.com/movies/?id=missionpark.htm" TargetMode="External"/><Relationship Id="rId1192" Type="http://schemas.openxmlformats.org/officeDocument/2006/relationships/hyperlink" Target="http://www.boxofficemojo.com/studio/chart/?studio=armandomontelongo.htm" TargetMode="External"/><Relationship Id="rId1193" Type="http://schemas.openxmlformats.org/officeDocument/2006/relationships/hyperlink" Target="http://www.boxofficemojo.com/schedule/?view=bydate&amp;release=theatrical&amp;date=2013-09-06&amp;p=.htm" TargetMode="External"/><Relationship Id="rId1194" Type="http://schemas.openxmlformats.org/officeDocument/2006/relationships/hyperlink" Target="http://www.boxofficemojo.com/movies/?id=lejolimai.htm" TargetMode="External"/><Relationship Id="rId1195" Type="http://schemas.openxmlformats.org/officeDocument/2006/relationships/hyperlink" Target="http://www.boxofficemojo.com/studio/chart/?studio=icarus.htm" TargetMode="External"/><Relationship Id="rId1196" Type="http://schemas.openxmlformats.org/officeDocument/2006/relationships/hyperlink" Target="http://www.boxofficemojo.com/schedule/?view=bydate&amp;release=theatrical&amp;date=2013-09-13&amp;p=.htm" TargetMode="External"/><Relationship Id="rId1197" Type="http://schemas.openxmlformats.org/officeDocument/2006/relationships/hyperlink" Target="http://www.boxofficemojo.com/movies/?id=leonie.htm" TargetMode="External"/><Relationship Id="rId1198" Type="http://schemas.openxmlformats.org/officeDocument/2006/relationships/hyperlink" Target="http://www.boxofficemojo.com/studio/chart/?studio=montereymediainc.htm" TargetMode="External"/><Relationship Id="rId1199" Type="http://schemas.openxmlformats.org/officeDocument/2006/relationships/hyperlink" Target="http://www.boxofficemojo.com/schedule/?view=bydate&amp;release=theatrical&amp;date=2013-03-15&amp;p=.htm" TargetMode="External"/><Relationship Id="rId1584" Type="http://schemas.openxmlformats.org/officeDocument/2006/relationships/hyperlink" Target="http://www.boxofficemojo.com/movies/?id=prey.htm" TargetMode="External"/><Relationship Id="rId1585" Type="http://schemas.openxmlformats.org/officeDocument/2006/relationships/hyperlink" Target="http://www.boxofficemojo.com/studio/chart/?studio=cohenmedia.htm" TargetMode="External"/><Relationship Id="rId1586" Type="http://schemas.openxmlformats.org/officeDocument/2006/relationships/hyperlink" Target="http://www.boxofficemojo.com/schedule/?view=bydate&amp;release=theatrical&amp;date=2013-06-06&amp;p=.htm" TargetMode="External"/><Relationship Id="rId1587" Type="http://schemas.openxmlformats.org/officeDocument/2006/relationships/hyperlink" Target="http://www.boxofficemojo.com/movies/?id=thisismartinbonner.htm" TargetMode="External"/><Relationship Id="rId1588" Type="http://schemas.openxmlformats.org/officeDocument/2006/relationships/hyperlink" Target="http://www.boxofficemojo.com/studio/chart/?studio=montereymediainc.htm" TargetMode="External"/><Relationship Id="rId1589" Type="http://schemas.openxmlformats.org/officeDocument/2006/relationships/hyperlink" Target="http://www.boxofficemojo.com/schedule/?view=bydate&amp;release=theatrical&amp;date=2013-06-21&amp;p=.htm" TargetMode="External"/><Relationship Id="rId1974" Type="http://schemas.openxmlformats.org/officeDocument/2006/relationships/hyperlink" Target="http://www.boxofficemojo.com/movies/?id=lotuseaters.htm" TargetMode="External"/><Relationship Id="rId1975" Type="http://schemas.openxmlformats.org/officeDocument/2006/relationships/hyperlink" Target="http://www.boxofficemojo.com/studio/chart/?studio=unknown.htm" TargetMode="External"/><Relationship Id="rId1976" Type="http://schemas.openxmlformats.org/officeDocument/2006/relationships/hyperlink" Target="http://www.boxofficemojo.com/schedule/?view=bydate&amp;release=theatrical&amp;date=2013-04-05&amp;p=.htm" TargetMode="External"/><Relationship Id="rId1977" Type="http://schemas.openxmlformats.org/officeDocument/2006/relationships/hyperlink" Target="http://www.boxofficemojo.com/movies/?id=happyhouse.htm" TargetMode="External"/><Relationship Id="rId1978" Type="http://schemas.openxmlformats.org/officeDocument/2006/relationships/hyperlink" Target="http://www.boxofficemojo.com/studio/chart/?studio=firstrun.htm" TargetMode="External"/><Relationship Id="rId1979" Type="http://schemas.openxmlformats.org/officeDocument/2006/relationships/hyperlink" Target="http://www.boxofficemojo.com/schedule/?view=bydate&amp;release=theatrical&amp;date=2013-05-03&amp;p=.htm" TargetMode="External"/><Relationship Id="rId720" Type="http://schemas.openxmlformats.org/officeDocument/2006/relationships/hyperlink" Target="http://www.boxofficemojo.com/movies/?id=misterandpete.htm" TargetMode="External"/><Relationship Id="rId721" Type="http://schemas.openxmlformats.org/officeDocument/2006/relationships/hyperlink" Target="http://www.boxofficemojo.com/studio/chart/?studio=lionsgate.htm" TargetMode="External"/><Relationship Id="rId722" Type="http://schemas.openxmlformats.org/officeDocument/2006/relationships/hyperlink" Target="http://www.boxofficemojo.com/schedule/?view=bydate&amp;release=theatrical&amp;date=2013-10-11&amp;p=.htm" TargetMode="External"/><Relationship Id="rId723" Type="http://schemas.openxmlformats.org/officeDocument/2006/relationships/hyperlink" Target="http://www.boxofficemojo.com/movies/?id=actofkilling.htm" TargetMode="External"/><Relationship Id="rId330" Type="http://schemas.openxmlformats.org/officeDocument/2006/relationships/hyperlink" Target="http://www.boxofficemojo.com/movies/?id=placebeyondthepines.htm" TargetMode="External"/><Relationship Id="rId331" Type="http://schemas.openxmlformats.org/officeDocument/2006/relationships/hyperlink" Target="http://www.boxofficemojo.com/studio/chart/?studio=focus.htm" TargetMode="External"/><Relationship Id="rId332" Type="http://schemas.openxmlformats.org/officeDocument/2006/relationships/hyperlink" Target="http://www.boxofficemojo.com/schedule/?view=bydate&amp;release=theatrical&amp;date=2013-03-29&amp;p=.htm" TargetMode="External"/><Relationship Id="rId333" Type="http://schemas.openxmlformats.org/officeDocument/2006/relationships/hyperlink" Target="http://www.boxofficemojo.com/movies/?id=homefront.htm" TargetMode="External"/><Relationship Id="rId334" Type="http://schemas.openxmlformats.org/officeDocument/2006/relationships/hyperlink" Target="http://www.boxofficemojo.com/studio/chart/?studio=openroads.htm" TargetMode="External"/><Relationship Id="rId335" Type="http://schemas.openxmlformats.org/officeDocument/2006/relationships/hyperlink" Target="http://www.boxofficemojo.com/schedule/?view=bydate&amp;release=theatrical&amp;date=2013-11-27&amp;p=.htm" TargetMode="External"/><Relationship Id="rId336" Type="http://schemas.openxmlformats.org/officeDocument/2006/relationships/hyperlink" Target="http://www.boxofficemojo.com/movies/?id=brokencity.htm" TargetMode="External"/><Relationship Id="rId337" Type="http://schemas.openxmlformats.org/officeDocument/2006/relationships/hyperlink" Target="http://www.boxofficemojo.com/studio/chart/?studio=fox.htm" TargetMode="External"/><Relationship Id="rId338" Type="http://schemas.openxmlformats.org/officeDocument/2006/relationships/hyperlink" Target="http://www.boxofficemojo.com/schedule/?view=bydate&amp;release=theatrical&amp;date=2013-01-18&amp;p=.htm" TargetMode="External"/><Relationship Id="rId339" Type="http://schemas.openxmlformats.org/officeDocument/2006/relationships/hyperlink" Target="http://www.boxofficemojo.com/movies/?id=beautifulcreatures13.htm" TargetMode="External"/><Relationship Id="rId724" Type="http://schemas.openxmlformats.org/officeDocument/2006/relationships/hyperlink" Target="http://www.boxofficemojo.com/studio/chart/?studio=drafthousefilms.htm" TargetMode="External"/><Relationship Id="rId725" Type="http://schemas.openxmlformats.org/officeDocument/2006/relationships/hyperlink" Target="http://www.boxofficemojo.com/schedule/?view=bydate&amp;release=theatrical&amp;date=2013-07-19&amp;p=.htm" TargetMode="External"/><Relationship Id="rId726" Type="http://schemas.openxmlformats.org/officeDocument/2006/relationships/hyperlink" Target="http://www.boxofficemojo.com/movies/?id=newworld2013.htm" TargetMode="External"/><Relationship Id="rId727" Type="http://schemas.openxmlformats.org/officeDocument/2006/relationships/hyperlink" Target="http://www.boxofficemojo.com/studio/chart/?studio=wellgo.htm" TargetMode="External"/><Relationship Id="rId728" Type="http://schemas.openxmlformats.org/officeDocument/2006/relationships/hyperlink" Target="http://www.boxofficemojo.com/schedule/?view=bydate&amp;release=theatrical&amp;date=2013-03-22&amp;p=.htm" TargetMode="External"/><Relationship Id="rId729" Type="http://schemas.openxmlformats.org/officeDocument/2006/relationships/hyperlink" Target="http://www.boxofficemojo.com/movies/?id=upstreamcolor.htm" TargetMode="External"/><Relationship Id="rId1980" Type="http://schemas.openxmlformats.org/officeDocument/2006/relationships/hyperlink" Target="http://www.boxofficemojo.com/movies/?id=inspectres.htm" TargetMode="External"/><Relationship Id="rId1981" Type="http://schemas.openxmlformats.org/officeDocument/2006/relationships/hyperlink" Target="http://www.boxofficemojo.com/studio/chart/?studio=reactor88.htm" TargetMode="External"/><Relationship Id="rId1982" Type="http://schemas.openxmlformats.org/officeDocument/2006/relationships/hyperlink" Target="http://www.boxofficemojo.com/schedule/?view=bydate&amp;release=theatrical&amp;date=2013-09-05&amp;p=.htm" TargetMode="External"/><Relationship Id="rId1983" Type="http://schemas.openxmlformats.org/officeDocument/2006/relationships/hyperlink" Target="http://www.boxofficemojo.com/movies/?id=rubberneck.htm" TargetMode="External"/><Relationship Id="rId1590" Type="http://schemas.openxmlformats.org/officeDocument/2006/relationships/hyperlink" Target="http://www.boxofficemojo.com/movies/?id=dorfmaninlove.htm" TargetMode="External"/><Relationship Id="rId1591" Type="http://schemas.openxmlformats.org/officeDocument/2006/relationships/hyperlink" Target="http://www.boxofficemojo.com/studio/chart/?studio=brainstormmedia.htm" TargetMode="External"/><Relationship Id="rId1592" Type="http://schemas.openxmlformats.org/officeDocument/2006/relationships/hyperlink" Target="http://www.boxofficemojo.com/schedule/?view=bydate&amp;release=theatrical&amp;date=2013-03-22&amp;p=.htm" TargetMode="External"/><Relationship Id="rId1593" Type="http://schemas.openxmlformats.org/officeDocument/2006/relationships/hyperlink" Target="http://www.boxofficemojo.com/movies/?id=monk2013.htm" TargetMode="External"/><Relationship Id="rId1594" Type="http://schemas.openxmlformats.org/officeDocument/2006/relationships/hyperlink" Target="http://www.boxofficemojo.com/studio/chart/?studio=atopictures.htm" TargetMode="External"/><Relationship Id="rId1595" Type="http://schemas.openxmlformats.org/officeDocument/2006/relationships/hyperlink" Target="http://www.boxofficemojo.com/schedule/?view=bydate&amp;release=theatrical&amp;date=2013-03-08&amp;p=.htm" TargetMode="External"/><Relationship Id="rId1596" Type="http://schemas.openxmlformats.org/officeDocument/2006/relationships/hyperlink" Target="http://www.boxofficemojo.com/movies/?id=redobsession.htm" TargetMode="External"/><Relationship Id="rId1597" Type="http://schemas.openxmlformats.org/officeDocument/2006/relationships/hyperlink" Target="http://www.boxofficemojo.com/studio/chart/?studio=area23a.htm" TargetMode="External"/><Relationship Id="rId1598" Type="http://schemas.openxmlformats.org/officeDocument/2006/relationships/hyperlink" Target="http://www.boxofficemojo.com/schedule/?view=bydate&amp;release=theatrical&amp;date=2013-09-06&amp;p=.htm" TargetMode="External"/><Relationship Id="rId1599" Type="http://schemas.openxmlformats.org/officeDocument/2006/relationships/hyperlink" Target="http://www.boxofficemojo.com/movies/?id=greenstory.htm" TargetMode="External"/><Relationship Id="rId1984" Type="http://schemas.openxmlformats.org/officeDocument/2006/relationships/hyperlink" Target="http://www.boxofficemojo.com/studio/chart/?studio=tribecafilm.htm" TargetMode="External"/><Relationship Id="rId1985" Type="http://schemas.openxmlformats.org/officeDocument/2006/relationships/hyperlink" Target="http://www.boxofficemojo.com/schedule/?view=bydate&amp;release=theatrical&amp;date=2013-02-22&amp;p=.htm" TargetMode="External"/><Relationship Id="rId1986" Type="http://schemas.openxmlformats.org/officeDocument/2006/relationships/hyperlink" Target="http://www.boxofficemojo.com/movies/?id=redflag.htm" TargetMode="External"/><Relationship Id="rId1987" Type="http://schemas.openxmlformats.org/officeDocument/2006/relationships/hyperlink" Target="http://www.boxofficemojo.com/studio/chart/?studio=tribecafilm.htm" TargetMode="External"/><Relationship Id="rId1988" Type="http://schemas.openxmlformats.org/officeDocument/2006/relationships/hyperlink" Target="http://www.boxofficemojo.com/schedule/?view=bydate&amp;release=theatrical&amp;date=2013-02-22&amp;p=.htm" TargetMode="External"/><Relationship Id="rId1989" Type="http://schemas.openxmlformats.org/officeDocument/2006/relationships/hyperlink" Target="http://www.boxofficemojo.com/movies/?id=bestmandown.htm" TargetMode="External"/><Relationship Id="rId730" Type="http://schemas.openxmlformats.org/officeDocument/2006/relationships/hyperlink" Target="http://www.boxofficemojo.com/studio/chart/?studio=erbpfilm.htm" TargetMode="External"/><Relationship Id="rId731" Type="http://schemas.openxmlformats.org/officeDocument/2006/relationships/hyperlink" Target="http://www.boxofficemojo.com/schedule/?view=bydate&amp;release=theatrical&amp;date=2013-04-05&amp;p=.htm" TargetMode="External"/><Relationship Id="rId732" Type="http://schemas.openxmlformats.org/officeDocument/2006/relationships/hyperlink" Target="http://www.boxofficemojo.com/movies/?id=soundcity.htm" TargetMode="External"/><Relationship Id="rId733" Type="http://schemas.openxmlformats.org/officeDocument/2006/relationships/hyperlink" Target="http://www.boxofficemojo.com/studio/chart/?studio=variancefilms.htm" TargetMode="External"/><Relationship Id="rId734" Type="http://schemas.openxmlformats.org/officeDocument/2006/relationships/hyperlink" Target="http://www.boxofficemojo.com/schedule/?view=bydate&amp;release=theatrical&amp;date=2013-02-01&amp;p=.htm" TargetMode="External"/><Relationship Id="rId735" Type="http://schemas.openxmlformats.org/officeDocument/2006/relationships/hyperlink" Target="http://www.boxofficemojo.com/movies/?id=ahijacking.htm" TargetMode="External"/><Relationship Id="rId736" Type="http://schemas.openxmlformats.org/officeDocument/2006/relationships/hyperlink" Target="http://www.boxofficemojo.com/studio/chart/?studio=magnolia.htm" TargetMode="External"/><Relationship Id="rId737" Type="http://schemas.openxmlformats.org/officeDocument/2006/relationships/hyperlink" Target="http://www.boxofficemojo.com/schedule/?view=bydate&amp;release=theatrical&amp;date=2013-06-21&amp;p=.htm" TargetMode="External"/><Relationship Id="rId738" Type="http://schemas.openxmlformats.org/officeDocument/2006/relationships/hyperlink" Target="http://www.boxofficemojo.com/movies/?id=grandmasti.htm" TargetMode="External"/><Relationship Id="rId739" Type="http://schemas.openxmlformats.org/officeDocument/2006/relationships/hyperlink" Target="http://www.boxofficemojo.com/studio/chart/?studio=eros.htm" TargetMode="External"/><Relationship Id="rId340" Type="http://schemas.openxmlformats.org/officeDocument/2006/relationships/hyperlink" Target="http://www.boxofficemojo.com/studio/chart/?studio=warnerbros.htm" TargetMode="External"/><Relationship Id="rId341" Type="http://schemas.openxmlformats.org/officeDocument/2006/relationships/hyperlink" Target="http://www.boxofficemojo.com/schedule/?view=bydate&amp;release=theatrical&amp;date=2013-02-14&amp;p=.htm" TargetMode="External"/><Relationship Id="rId342" Type="http://schemas.openxmlformats.org/officeDocument/2006/relationships/hyperlink" Target="http://www.boxofficemojo.com/movies/?id=runnerrunner.htm" TargetMode="External"/><Relationship Id="rId343" Type="http://schemas.openxmlformats.org/officeDocument/2006/relationships/hyperlink" Target="http://www.boxofficemojo.com/studio/chart/?studio=fox.htm" TargetMode="External"/><Relationship Id="rId344" Type="http://schemas.openxmlformats.org/officeDocument/2006/relationships/hyperlink" Target="http://www.boxofficemojo.com/schedule/?view=bydate&amp;release=theatrical&amp;date=2013-10-04&amp;p=.htm" TargetMode="External"/><Relationship Id="rId345" Type="http://schemas.openxmlformats.org/officeDocument/2006/relationships/hyperlink" Target="http://www.boxofficemojo.com/movies/?id=yourenext.htm" TargetMode="External"/><Relationship Id="rId346" Type="http://schemas.openxmlformats.org/officeDocument/2006/relationships/hyperlink" Target="http://www.boxofficemojo.com/studio/chart/?studio=lionsgate.htm" TargetMode="External"/><Relationship Id="rId347" Type="http://schemas.openxmlformats.org/officeDocument/2006/relationships/hyperlink" Target="http://www.boxofficemojo.com/schedule/?view=bydate&amp;release=theatrical&amp;date=2013-08-23&amp;p=.htm" TargetMode="External"/><Relationship Id="rId348" Type="http://schemas.openxmlformats.org/officeDocument/2006/relationships/hyperlink" Target="http://www.boxofficemojo.com/movies/?id=quartet.htm" TargetMode="External"/><Relationship Id="rId349" Type="http://schemas.openxmlformats.org/officeDocument/2006/relationships/hyperlink" Target="http://www.boxofficemojo.com/studio/chart/?studio=weinsteincompany.htm" TargetMode="External"/><Relationship Id="rId1990" Type="http://schemas.openxmlformats.org/officeDocument/2006/relationships/hyperlink" Target="http://www.boxofficemojo.com/studio/chart/?studio=magnolia.htm" TargetMode="External"/><Relationship Id="rId1991" Type="http://schemas.openxmlformats.org/officeDocument/2006/relationships/hyperlink" Target="http://www.boxofficemojo.com/schedule/?view=bydate&amp;release=theatrical&amp;date=2013-11-08&amp;p=.htm" TargetMode="External"/><Relationship Id="rId1992" Type="http://schemas.openxmlformats.org/officeDocument/2006/relationships/hyperlink" Target="http://www.boxofficemojo.com/movies/?id=detentionofthedead.htm" TargetMode="External"/><Relationship Id="rId1993" Type="http://schemas.openxmlformats.org/officeDocument/2006/relationships/hyperlink" Target="http://www.boxofficemojo.com/studio/chart/?studio=anchorbayentertainment.htm" TargetMode="External"/><Relationship Id="rId1994" Type="http://schemas.openxmlformats.org/officeDocument/2006/relationships/hyperlink" Target="http://www.boxofficemojo.com/schedule/?view=bydate&amp;release=theatrical&amp;date=2013-06-28&amp;p=.htm" TargetMode="External"/><Relationship Id="rId1995" Type="http://schemas.openxmlformats.org/officeDocument/2006/relationships/hyperlink" Target="http://www.boxofficemojo.com/movies/?id=dontneedfeet.htm" TargetMode="External"/><Relationship Id="rId1996" Type="http://schemas.openxmlformats.org/officeDocument/2006/relationships/hyperlink" Target="http://www.boxofficemojo.com/studio/chart/?studio=firstrun.htm" TargetMode="External"/><Relationship Id="rId1997" Type="http://schemas.openxmlformats.org/officeDocument/2006/relationships/hyperlink" Target="http://www.boxofficemojo.com/schedule/?view=bydate&amp;release=theatrical&amp;date=2013-03-22&amp;p=.htm" TargetMode="External"/><Relationship Id="rId1998" Type="http://schemas.openxmlformats.org/officeDocument/2006/relationships/hyperlink" Target="http://www.boxofficemojo.com/movies/?id=eddiecannibal.htm" TargetMode="External"/><Relationship Id="rId1999" Type="http://schemas.openxmlformats.org/officeDocument/2006/relationships/hyperlink" Target="http://www.boxofficemojo.com/studio/chart/?studio=doppelganger.htm" TargetMode="External"/><Relationship Id="rId1200" Type="http://schemas.openxmlformats.org/officeDocument/2006/relationships/hyperlink" Target="http://www.boxofficemojo.com/movies/?id=goingattractions.htm" TargetMode="External"/><Relationship Id="rId1201" Type="http://schemas.openxmlformats.org/officeDocument/2006/relationships/hyperlink" Target="http://www.boxofficemojo.com/studio/chart/?studio=drivein.htm" TargetMode="External"/><Relationship Id="rId1202" Type="http://schemas.openxmlformats.org/officeDocument/2006/relationships/hyperlink" Target="http://www.boxofficemojo.com/schedule/?view=bydate&amp;release=theatrical&amp;date=2013-06-07&amp;p=.htm" TargetMode="External"/><Relationship Id="rId1203" Type="http://schemas.openxmlformats.org/officeDocument/2006/relationships/hyperlink" Target="http://www.boxofficemojo.com/movies/?id=venusandserena.htm" TargetMode="External"/><Relationship Id="rId1204" Type="http://schemas.openxmlformats.org/officeDocument/2006/relationships/hyperlink" Target="http://www.boxofficemojo.com/studio/chart/?studio=magnolia.htm" TargetMode="External"/><Relationship Id="rId1205" Type="http://schemas.openxmlformats.org/officeDocument/2006/relationships/hyperlink" Target="http://www.boxofficemojo.com/schedule/?view=bydate&amp;release=theatrical&amp;date=2013-05-10&amp;p=.htm" TargetMode="External"/><Relationship Id="rId1206" Type="http://schemas.openxmlformats.org/officeDocument/2006/relationships/hyperlink" Target="http://www.boxofficemojo.com/movies/?id=godlovesuganda.htm" TargetMode="External"/><Relationship Id="rId1207" Type="http://schemas.openxmlformats.org/officeDocument/2006/relationships/hyperlink" Target="http://www.boxofficemojo.com/studio/chart/?studio=variancefilms.htm" TargetMode="External"/><Relationship Id="rId740" Type="http://schemas.openxmlformats.org/officeDocument/2006/relationships/hyperlink" Target="http://www.boxofficemojo.com/schedule/?view=bydate&amp;release=theatrical&amp;date=2013-09-13&amp;p=.htm" TargetMode="External"/><Relationship Id="rId741" Type="http://schemas.openxmlformats.org/officeDocument/2006/relationships/hyperlink" Target="http://www.boxofficemojo.com/movies/?id=phataposter.htm" TargetMode="External"/><Relationship Id="rId742" Type="http://schemas.openxmlformats.org/officeDocument/2006/relationships/hyperlink" Target="http://www.boxofficemojo.com/studio/chart/?studio=eros.htm" TargetMode="External"/><Relationship Id="rId743" Type="http://schemas.openxmlformats.org/officeDocument/2006/relationships/hyperlink" Target="http://www.boxofficemojo.com/schedule/?view=bydate&amp;release=theatrical&amp;date=2013-09-20&amp;p=.htm" TargetMode="External"/><Relationship Id="rId744" Type="http://schemas.openxmlformats.org/officeDocument/2006/relationships/hyperlink" Target="http://www.boxofficemojo.com/movies/?id=aintthembodiessaints.htm" TargetMode="External"/><Relationship Id="rId745" Type="http://schemas.openxmlformats.org/officeDocument/2006/relationships/hyperlink" Target="http://www.boxofficemojo.com/studio/chart/?studio=ifc.htm" TargetMode="External"/><Relationship Id="rId746" Type="http://schemas.openxmlformats.org/officeDocument/2006/relationships/hyperlink" Target="http://www.boxofficemojo.com/schedule/?view=bydate&amp;release=theatrical&amp;date=2013-08-16&amp;p=.htm" TargetMode="External"/><Relationship Id="rId747" Type="http://schemas.openxmlformats.org/officeDocument/2006/relationships/hyperlink" Target="http://www.boxofficemojo.com/movies/?id=inthehouse.htm" TargetMode="External"/><Relationship Id="rId748" Type="http://schemas.openxmlformats.org/officeDocument/2006/relationships/hyperlink" Target="http://www.boxofficemojo.com/studio/chart/?studio=cohenmedia.htm" TargetMode="External"/><Relationship Id="rId749" Type="http://schemas.openxmlformats.org/officeDocument/2006/relationships/hyperlink" Target="http://www.boxofficemojo.com/schedule/?view=bydate&amp;release=theatrical&amp;date=2013-04-19&amp;p=.htm" TargetMode="External"/><Relationship Id="rId350" Type="http://schemas.openxmlformats.org/officeDocument/2006/relationships/hyperlink" Target="http://www.boxofficemojo.com/schedule/?view=bydate&amp;release=theatrical&amp;date=2013-01-11&amp;p=.htm" TargetMode="External"/><Relationship Id="rId351" Type="http://schemas.openxmlformats.org/officeDocument/2006/relationships/hyperlink" Target="http://www.boxofficemojo.com/movies/?id=admission.htm" TargetMode="External"/><Relationship Id="rId352" Type="http://schemas.openxmlformats.org/officeDocument/2006/relationships/hyperlink" Target="http://www.boxofficemojo.com/studio/chart/?studio=focus.htm" TargetMode="External"/><Relationship Id="rId353" Type="http://schemas.openxmlformats.org/officeDocument/2006/relationships/hyperlink" Target="http://www.boxofficemojo.com/schedule/?view=bydate&amp;release=theatrical&amp;date=2013-03-22&amp;p=.htm" TargetMode="External"/><Relationship Id="rId354" Type="http://schemas.openxmlformats.org/officeDocument/2006/relationships/hyperlink" Target="http://www.boxofficemojo.com/movies/?id=nebraska.htm" TargetMode="External"/><Relationship Id="rId355" Type="http://schemas.openxmlformats.org/officeDocument/2006/relationships/hyperlink" Target="http://www.boxofficemojo.com/studio/chart/?studio=paramount.htm" TargetMode="External"/><Relationship Id="rId356" Type="http://schemas.openxmlformats.org/officeDocument/2006/relationships/hyperlink" Target="http://www.boxofficemojo.com/schedule/?view=bydate&amp;release=theatrical&amp;date=2013-11-15&amp;p=.htm" TargetMode="External"/><Relationship Id="rId357" Type="http://schemas.openxmlformats.org/officeDocument/2006/relationships/hyperlink" Target="http://www.boxofficemojo.com/movies/?id=parker.htm" TargetMode="External"/><Relationship Id="rId358" Type="http://schemas.openxmlformats.org/officeDocument/2006/relationships/hyperlink" Target="http://www.boxofficemojo.com/studio/chart/?studio=filmdistrict.htm" TargetMode="External"/><Relationship Id="rId359" Type="http://schemas.openxmlformats.org/officeDocument/2006/relationships/hyperlink" Target="http://www.boxofficemojo.com/schedule/?view=bydate&amp;release=theatrical&amp;date=2013-01-25&amp;p=.htm" TargetMode="External"/><Relationship Id="rId1208" Type="http://schemas.openxmlformats.org/officeDocument/2006/relationships/hyperlink" Target="http://www.boxofficemojo.com/schedule/?view=bydate&amp;release=theatrical&amp;date=2013-10-11&amp;p=.htm" TargetMode="External"/><Relationship Id="rId1209" Type="http://schemas.openxmlformats.org/officeDocument/2006/relationships/hyperlink" Target="http://www.boxofficemojo.com/movies/?id=mademoisellec.htm" TargetMode="External"/><Relationship Id="rId1600" Type="http://schemas.openxmlformats.org/officeDocument/2006/relationships/hyperlink" Target="http://www.boxofficemojo.com/studio/chart/?studio=indican.htm" TargetMode="External"/><Relationship Id="rId1601" Type="http://schemas.openxmlformats.org/officeDocument/2006/relationships/hyperlink" Target="http://www.boxofficemojo.com/schedule/?view=bydate&amp;release=theatrical&amp;date=2013-05-24&amp;p=.htm" TargetMode="External"/><Relationship Id="rId1602" Type="http://schemas.openxmlformats.org/officeDocument/2006/relationships/hyperlink" Target="http://www.boxofficemojo.com/movies/?id=boyband13.htm" TargetMode="External"/><Relationship Id="rId1603" Type="http://schemas.openxmlformats.org/officeDocument/2006/relationships/hyperlink" Target="http://www.boxofficemojo.com/studio/chart/?studio=indican.htm" TargetMode="External"/><Relationship Id="rId1604" Type="http://schemas.openxmlformats.org/officeDocument/2006/relationships/hyperlink" Target="http://www.boxofficemojo.com/schedule/?view=bydate&amp;release=theatrical&amp;date=2013-10-18&amp;p=.htm" TargetMode="External"/><Relationship Id="rId1605" Type="http://schemas.openxmlformats.org/officeDocument/2006/relationships/hyperlink" Target="http://www.boxofficemojo.com/movies/?id=selfishgiant.htm" TargetMode="External"/><Relationship Id="rId1606" Type="http://schemas.openxmlformats.org/officeDocument/2006/relationships/hyperlink" Target="http://www.boxofficemojo.com/studio/chart/?studio=ifc.htm" TargetMode="External"/><Relationship Id="rId1607" Type="http://schemas.openxmlformats.org/officeDocument/2006/relationships/hyperlink" Target="http://www.boxofficemojo.com/schedule/?view=bydate&amp;release=theatrical&amp;date=2013-12-20&amp;p=.htm" TargetMode="External"/><Relationship Id="rId1608" Type="http://schemas.openxmlformats.org/officeDocument/2006/relationships/hyperlink" Target="http://www.boxofficemojo.com/movies/?id=shahid.htm" TargetMode="External"/><Relationship Id="rId1609" Type="http://schemas.openxmlformats.org/officeDocument/2006/relationships/hyperlink" Target="http://www.boxofficemojo.com/studio/chart/?studio=utv.htm" TargetMode="External"/><Relationship Id="rId1210" Type="http://schemas.openxmlformats.org/officeDocument/2006/relationships/hyperlink" Target="http://www.boxofficemojo.com/studio/chart/?studio=cohenmedia.htm" TargetMode="External"/><Relationship Id="rId1211" Type="http://schemas.openxmlformats.org/officeDocument/2006/relationships/hyperlink" Target="http://www.boxofficemojo.com/schedule/?view=bydate&amp;release=theatrical&amp;date=2013-09-11&amp;p=.htm" TargetMode="External"/><Relationship Id="rId750" Type="http://schemas.openxmlformats.org/officeDocument/2006/relationships/hyperlink" Target="http://www.boxofficemojo.com/movies/?id=dirtywars.htm" TargetMode="External"/><Relationship Id="rId751" Type="http://schemas.openxmlformats.org/officeDocument/2006/relationships/hyperlink" Target="http://www.boxofficemojo.com/studio/chart/?studio=ifc.htm" TargetMode="External"/><Relationship Id="rId752" Type="http://schemas.openxmlformats.org/officeDocument/2006/relationships/hyperlink" Target="http://www.boxofficemojo.com/schedule/?view=bydate&amp;release=theatrical&amp;date=2013-06-07&amp;p=.htm" TargetMode="External"/><Relationship Id="rId753" Type="http://schemas.openxmlformats.org/officeDocument/2006/relationships/hyperlink" Target="http://www.boxofficemojo.com/movies/?id=armstronglie.htm" TargetMode="External"/><Relationship Id="rId754" Type="http://schemas.openxmlformats.org/officeDocument/2006/relationships/hyperlink" Target="http://www.boxofficemojo.com/studio/chart/?studio=sonyclassics.htm" TargetMode="External"/><Relationship Id="rId755" Type="http://schemas.openxmlformats.org/officeDocument/2006/relationships/hyperlink" Target="http://www.boxofficemojo.com/schedule/?view=bydate&amp;release=theatrical&amp;date=2013-11-08&amp;p=.htm" TargetMode="External"/><Relationship Id="rId756" Type="http://schemas.openxmlformats.org/officeDocument/2006/relationships/hyperlink" Target="http://www.boxofficemojo.com/movies/?id=atanyprice.htm" TargetMode="External"/><Relationship Id="rId757" Type="http://schemas.openxmlformats.org/officeDocument/2006/relationships/hyperlink" Target="http://www.boxofficemojo.com/studio/chart/?studio=sonyclassics.htm" TargetMode="External"/><Relationship Id="rId758" Type="http://schemas.openxmlformats.org/officeDocument/2006/relationships/hyperlink" Target="http://www.boxofficemojo.com/schedule/?view=bydate&amp;release=theatrical&amp;date=2013-04-24&amp;p=.htm" TargetMode="External"/><Relationship Id="rId759" Type="http://schemas.openxmlformats.org/officeDocument/2006/relationships/hyperlink" Target="http://www.boxofficemojo.com/movies/?id=personaltailor.htm" TargetMode="External"/><Relationship Id="rId360" Type="http://schemas.openxmlformats.org/officeDocument/2006/relationships/hyperlink" Target="http://www.boxofficemojo.com/movies/?id=enoughsaid.htm" TargetMode="External"/><Relationship Id="rId361" Type="http://schemas.openxmlformats.org/officeDocument/2006/relationships/hyperlink" Target="http://www.boxofficemojo.com/studio/chart/?studio=foxsearchlight.htm" TargetMode="External"/><Relationship Id="rId362" Type="http://schemas.openxmlformats.org/officeDocument/2006/relationships/hyperlink" Target="http://www.boxofficemojo.com/schedule/?view=bydate&amp;release=theatrical&amp;date=2013-09-18&amp;p=.htm" TargetMode="External"/><Relationship Id="rId363" Type="http://schemas.openxmlformats.org/officeDocument/2006/relationships/hyperlink" Target="http://www.boxofficemojo.com/movies/?id=darkskies.htm" TargetMode="External"/><Relationship Id="rId364" Type="http://schemas.openxmlformats.org/officeDocument/2006/relationships/hyperlink" Target="http://www.boxofficemojo.com/studio/chart/?studio=wdimension.htm" TargetMode="External"/><Relationship Id="rId365" Type="http://schemas.openxmlformats.org/officeDocument/2006/relationships/hyperlink" Target="http://www.boxofficemojo.com/schedule/?view=bydate&amp;release=theatrical&amp;date=2013-02-22&amp;p=.htm" TargetMode="External"/><Relationship Id="rId366" Type="http://schemas.openxmlformats.org/officeDocument/2006/relationships/hyperlink" Target="http://www.boxofficemojo.com/movies/?id=counselor.htm" TargetMode="External"/><Relationship Id="rId367" Type="http://schemas.openxmlformats.org/officeDocument/2006/relationships/hyperlink" Target="http://www.boxofficemojo.com/studio/chart/?studio=fox.htm" TargetMode="External"/><Relationship Id="rId368" Type="http://schemas.openxmlformats.org/officeDocument/2006/relationships/hyperlink" Target="http://www.boxofficemojo.com/schedule/?view=bydate&amp;release=theatrical&amp;date=2013-10-25&amp;p=.htm" TargetMode="External"/><Relationship Id="rId369" Type="http://schemas.openxmlformats.org/officeDocument/2006/relationships/hyperlink" Target="http://www.boxofficemojo.com/movies/?id=jobs.htm" TargetMode="External"/><Relationship Id="rId1212" Type="http://schemas.openxmlformats.org/officeDocument/2006/relationships/hyperlink" Target="http://www.boxofficemojo.com/movies/?id=unflic.htm" TargetMode="External"/><Relationship Id="rId1213" Type="http://schemas.openxmlformats.org/officeDocument/2006/relationships/hyperlink" Target="http://www.boxofficemojo.com/studio/chart/?studio=rialto.htm" TargetMode="External"/><Relationship Id="rId1214" Type="http://schemas.openxmlformats.org/officeDocument/2006/relationships/hyperlink" Target="http://www.boxofficemojo.com/schedule/?view=bydate&amp;release=theatrical&amp;date=2013-04-19&amp;p=.htm" TargetMode="External"/><Relationship Id="rId1215" Type="http://schemas.openxmlformats.org/officeDocument/2006/relationships/hyperlink" Target="http://www.boxofficemojo.com/movies/?id=gmoomg.htm" TargetMode="External"/><Relationship Id="rId1216" Type="http://schemas.openxmlformats.org/officeDocument/2006/relationships/hyperlink" Target="http://www.boxofficemojo.com/studio/chart/?studio=submarinedeluxe.htm" TargetMode="External"/><Relationship Id="rId1217" Type="http://schemas.openxmlformats.org/officeDocument/2006/relationships/hyperlink" Target="http://www.boxofficemojo.com/schedule/?view=bydate&amp;release=theatrical&amp;date=2013-09-13&amp;p=.htm" TargetMode="External"/><Relationship Id="rId1218" Type="http://schemas.openxmlformats.org/officeDocument/2006/relationships/hyperlink" Target="http://www.boxofficemojo.com/movies/?id=tableno21.htm" TargetMode="External"/><Relationship Id="rId1219" Type="http://schemas.openxmlformats.org/officeDocument/2006/relationships/hyperlink" Target="http://www.boxofficemojo.com/studio/chart/?studio=eros.htm" TargetMode="External"/><Relationship Id="rId1610" Type="http://schemas.openxmlformats.org/officeDocument/2006/relationships/hyperlink" Target="http://www.boxofficemojo.com/schedule/?view=bydate&amp;release=theatrical&amp;date=2013-10-18&amp;p=.htm" TargetMode="External"/><Relationship Id="rId1611" Type="http://schemas.openxmlformats.org/officeDocument/2006/relationships/hyperlink" Target="http://www.boxofficemojo.com/movies/?id=inthefog.htm" TargetMode="External"/><Relationship Id="rId1612" Type="http://schemas.openxmlformats.org/officeDocument/2006/relationships/hyperlink" Target="http://www.boxofficemojo.com/studio/chart/?studio=strand.htm" TargetMode="External"/><Relationship Id="rId1613" Type="http://schemas.openxmlformats.org/officeDocument/2006/relationships/hyperlink" Target="http://www.boxofficemojo.com/schedule/?view=bydate&amp;release=theatrical&amp;date=2013-06-14&amp;p=.htm" TargetMode="External"/><Relationship Id="rId1614" Type="http://schemas.openxmlformats.org/officeDocument/2006/relationships/hyperlink" Target="http://www.boxofficemojo.com/movies/?id=charliecountryman.htm" TargetMode="External"/><Relationship Id="rId1615" Type="http://schemas.openxmlformats.org/officeDocument/2006/relationships/hyperlink" Target="http://www.boxofficemojo.com/studio/chart/?studio=millenniumentertainment.htm" TargetMode="External"/><Relationship Id="rId1616" Type="http://schemas.openxmlformats.org/officeDocument/2006/relationships/hyperlink" Target="http://www.boxofficemojo.com/schedule/?view=bydate&amp;release=theatrical&amp;date=2013-11-15&amp;p=.htm" TargetMode="External"/><Relationship Id="rId1617" Type="http://schemas.openxmlformats.org/officeDocument/2006/relationships/hyperlink" Target="http://www.boxofficemojo.com/movies/?id=36saints.htm" TargetMode="External"/><Relationship Id="rId1618" Type="http://schemas.openxmlformats.org/officeDocument/2006/relationships/hyperlink" Target="http://www.boxofficemojo.com/studio/chart/?studio=activefox.htm" TargetMode="External"/><Relationship Id="rId1619" Type="http://schemas.openxmlformats.org/officeDocument/2006/relationships/hyperlink" Target="http://www.boxofficemojo.com/schedule/?view=bydate&amp;release=theatrical&amp;date=2013-09-06&amp;p=.htm" TargetMode="External"/><Relationship Id="rId1220" Type="http://schemas.openxmlformats.org/officeDocument/2006/relationships/hyperlink" Target="http://www.boxofficemojo.com/schedule/?view=bydate&amp;release=theatrical&amp;date=2013-01-04&amp;p=.htm" TargetMode="External"/><Relationship Id="rId1221" Type="http://schemas.openxmlformats.org/officeDocument/2006/relationships/hyperlink" Target="http://www.boxofficemojo.com/movies/?id=jewtopia.htm" TargetMode="External"/><Relationship Id="rId760" Type="http://schemas.openxmlformats.org/officeDocument/2006/relationships/hyperlink" Target="http://www.boxofficemojo.com/studio/chart/?studio=chinalion.htm" TargetMode="External"/><Relationship Id="rId761" Type="http://schemas.openxmlformats.org/officeDocument/2006/relationships/hyperlink" Target="http://www.boxofficemojo.com/schedule/?view=bydate&amp;release=theatrical&amp;date=2013-12-20&amp;p=.htm" TargetMode="External"/><Relationship Id="rId762" Type="http://schemas.openxmlformats.org/officeDocument/2006/relationships/hyperlink" Target="http://www.boxofficemojo.com/movies/?id=puellamagi13.htm" TargetMode="External"/><Relationship Id="rId763" Type="http://schemas.openxmlformats.org/officeDocument/2006/relationships/hyperlink" Target="http://www.boxofficemojo.com/studio/chart/?studio=elevenarts.htm" TargetMode="External"/><Relationship Id="rId764" Type="http://schemas.openxmlformats.org/officeDocument/2006/relationships/hyperlink" Target="http://www.boxofficemojo.com/schedule/?view=bydate&amp;release=theatrical&amp;date=2013-12-03&amp;p=.htm" TargetMode="External"/><Relationship Id="rId765" Type="http://schemas.openxmlformats.org/officeDocument/2006/relationships/hyperlink" Target="http://www.boxofficemojo.com/movies/?id=havanagila.htm" TargetMode="External"/><Relationship Id="rId766" Type="http://schemas.openxmlformats.org/officeDocument/2006/relationships/hyperlink" Target="http://www.boxofficemojo.com/studio/chart/?studio=intlfilmcircuit.htm" TargetMode="External"/><Relationship Id="rId767" Type="http://schemas.openxmlformats.org/officeDocument/2006/relationships/hyperlink" Target="http://www.boxofficemojo.com/schedule/?view=bydate&amp;release=theatrical&amp;date=2013-03-01&amp;p=.htm" TargetMode="External"/><Relationship Id="rId768" Type="http://schemas.openxmlformats.org/officeDocument/2006/relationships/hyperlink" Target="http://www.boxofficemojo.com/movies/?id=shootoutatwadala.htm" TargetMode="External"/><Relationship Id="rId769" Type="http://schemas.openxmlformats.org/officeDocument/2006/relationships/hyperlink" Target="http://www.boxofficemojo.com/studio/chart/?studio=eros.htm" TargetMode="External"/><Relationship Id="rId370" Type="http://schemas.openxmlformats.org/officeDocument/2006/relationships/hyperlink" Target="http://www.boxofficemojo.com/studio/chart/?studio=openroads.htm" TargetMode="External"/><Relationship Id="rId371" Type="http://schemas.openxmlformats.org/officeDocument/2006/relationships/hyperlink" Target="http://www.boxofficemojo.com/schedule/?view=bydate&amp;release=theatrical&amp;date=2013-08-16&amp;p=.htm" TargetMode="External"/><Relationship Id="rId372" Type="http://schemas.openxmlformats.org/officeDocument/2006/relationships/hyperlink" Target="http://www.boxofficemojo.com/movies/?id=fruitvale.htm" TargetMode="External"/><Relationship Id="rId373" Type="http://schemas.openxmlformats.org/officeDocument/2006/relationships/hyperlink" Target="http://www.boxofficemojo.com/studio/chart/?studio=weinsteincompany.htm" TargetMode="External"/><Relationship Id="rId374" Type="http://schemas.openxmlformats.org/officeDocument/2006/relationships/hyperlink" Target="http://www.boxofficemojo.com/schedule/?view=bydate&amp;release=theatrical&amp;date=2013-07-12&amp;p=.htm" TargetMode="External"/><Relationship Id="rId375" Type="http://schemas.openxmlformats.org/officeDocument/2006/relationships/hyperlink" Target="http://www.boxofficemojo.com/movies/?id=abouttime.htm" TargetMode="External"/><Relationship Id="rId376" Type="http://schemas.openxmlformats.org/officeDocument/2006/relationships/hyperlink" Target="http://www.boxofficemojo.com/studio/chart/?studio=universal.htm" TargetMode="External"/><Relationship Id="rId377" Type="http://schemas.openxmlformats.org/officeDocument/2006/relationships/hyperlink" Target="http://www.boxofficemojo.com/schedule/?view=bydate&amp;release=theatrical&amp;date=2013-11-01&amp;p=.htm" TargetMode="External"/><Relationship Id="rId378" Type="http://schemas.openxmlformats.org/officeDocument/2006/relationships/hyperlink" Target="http://www.boxofficemojo.com/movies/?id=lastexorcism2.htm" TargetMode="External"/><Relationship Id="rId379" Type="http://schemas.openxmlformats.org/officeDocument/2006/relationships/hyperlink" Target="http://www.boxofficemojo.com/studio/chart/?studio=cbsfilms.htm" TargetMode="External"/><Relationship Id="rId1222" Type="http://schemas.openxmlformats.org/officeDocument/2006/relationships/hyperlink" Target="http://www.boxofficemojo.com/studio/chart/?studio=lepetitcanyon.htm" TargetMode="External"/><Relationship Id="rId1223" Type="http://schemas.openxmlformats.org/officeDocument/2006/relationships/hyperlink" Target="http://www.boxofficemojo.com/schedule/?view=bydate&amp;release=theatrical&amp;date=2013-09-20&amp;p=.htm" TargetMode="External"/><Relationship Id="rId1224" Type="http://schemas.openxmlformats.org/officeDocument/2006/relationships/hyperlink" Target="http://www.boxofficemojo.com/movies/?id=wishyouwerehere2013.htm" TargetMode="External"/><Relationship Id="rId1225" Type="http://schemas.openxmlformats.org/officeDocument/2006/relationships/hyperlink" Target="http://www.boxofficemojo.com/studio/chart/?studio=entertainmentone.htm" TargetMode="External"/><Relationship Id="rId1226" Type="http://schemas.openxmlformats.org/officeDocument/2006/relationships/hyperlink" Target="http://www.boxofficemojo.com/schedule/?view=bydate&amp;release=theatrical&amp;date=2013-06-07&amp;p=.htm" TargetMode="External"/><Relationship Id="rId1227" Type="http://schemas.openxmlformats.org/officeDocument/2006/relationships/hyperlink" Target="http://www.boxofficemojo.com/movies/?id=wrong2013.htm" TargetMode="External"/><Relationship Id="rId1228" Type="http://schemas.openxmlformats.org/officeDocument/2006/relationships/hyperlink" Target="http://www.boxofficemojo.com/studio/chart/?studio=drafthousefilms.htm" TargetMode="External"/><Relationship Id="rId1229" Type="http://schemas.openxmlformats.org/officeDocument/2006/relationships/hyperlink" Target="http://www.boxofficemojo.com/schedule/?view=bydate&amp;release=theatrical&amp;date=2013-03-29&amp;p=.htm" TargetMode="External"/><Relationship Id="rId1620" Type="http://schemas.openxmlformats.org/officeDocument/2006/relationships/hyperlink" Target="http://www.boxofficemojo.com/movies/?id=justlikeawoman.htm" TargetMode="External"/><Relationship Id="rId1621" Type="http://schemas.openxmlformats.org/officeDocument/2006/relationships/hyperlink" Target="http://www.boxofficemojo.com/studio/chart/?studio=cohenmedia.htm" TargetMode="External"/><Relationship Id="rId1622" Type="http://schemas.openxmlformats.org/officeDocument/2006/relationships/hyperlink" Target="http://www.boxofficemojo.com/schedule/?view=bydate&amp;release=theatrical&amp;date=2013-07-05&amp;p=.htm" TargetMode="External"/><Relationship Id="rId1623" Type="http://schemas.openxmlformats.org/officeDocument/2006/relationships/hyperlink" Target="http://www.boxofficemojo.com/movies/?id=soyoung.htm" TargetMode="External"/><Relationship Id="rId1624" Type="http://schemas.openxmlformats.org/officeDocument/2006/relationships/hyperlink" Target="http://www.boxofficemojo.com/studio/chart/?studio=chinalion.htm" TargetMode="External"/><Relationship Id="rId1625" Type="http://schemas.openxmlformats.org/officeDocument/2006/relationships/hyperlink" Target="http://www.boxofficemojo.com/schedule/?view=bydate&amp;release=theatrical&amp;date=2013-06-14&amp;p=.htm" TargetMode="External"/><Relationship Id="rId1626" Type="http://schemas.openxmlformats.org/officeDocument/2006/relationships/hyperlink" Target="http://www.boxofficemojo.com/movies/?id=greetingsfromtimbuckley.htm" TargetMode="External"/><Relationship Id="rId1627" Type="http://schemas.openxmlformats.org/officeDocument/2006/relationships/hyperlink" Target="http://www.boxofficemojo.com/studio/chart/?studio=tribecafilm.htm" TargetMode="External"/><Relationship Id="rId1628" Type="http://schemas.openxmlformats.org/officeDocument/2006/relationships/hyperlink" Target="http://www.boxofficemojo.com/schedule/?view=bydate&amp;release=theatrical&amp;date=2013-05-03&amp;p=.htm" TargetMode="External"/><Relationship Id="rId1629" Type="http://schemas.openxmlformats.org/officeDocument/2006/relationships/hyperlink" Target="http://www.boxofficemojo.com/movies/?id=aresurrection.htm" TargetMode="External"/><Relationship Id="rId1230" Type="http://schemas.openxmlformats.org/officeDocument/2006/relationships/hyperlink" Target="http://www.boxofficemojo.com/movies/?id=reachingforthemoon.htm" TargetMode="External"/><Relationship Id="rId1231" Type="http://schemas.openxmlformats.org/officeDocument/2006/relationships/hyperlink" Target="http://www.boxofficemojo.com/studio/chart/?studio=wolfereleasing.htm" TargetMode="External"/><Relationship Id="rId770" Type="http://schemas.openxmlformats.org/officeDocument/2006/relationships/hyperlink" Target="http://www.boxofficemojo.com/schedule/?view=bydate&amp;release=theatrical&amp;date=2013-05-03&amp;p=.htm" TargetMode="External"/><Relationship Id="rId771" Type="http://schemas.openxmlformats.org/officeDocument/2006/relationships/hyperlink" Target="http://www.boxofficemojo.com/movies/?id=whencomedywenttoschool.htm" TargetMode="External"/><Relationship Id="rId772" Type="http://schemas.openxmlformats.org/officeDocument/2006/relationships/hyperlink" Target="http://www.boxofficemojo.com/studio/chart/?studio=intlfilmcircuit.htm" TargetMode="External"/><Relationship Id="rId773" Type="http://schemas.openxmlformats.org/officeDocument/2006/relationships/hyperlink" Target="http://www.boxofficemojo.com/schedule/?view=bydate&amp;release=theatrical&amp;date=2013-07-31&amp;p=.htm" TargetMode="External"/><Relationship Id="rId774" Type="http://schemas.openxmlformats.org/officeDocument/2006/relationships/hyperlink" Target="http://www.boxofficemojo.com/movies/?id=lovelace.htm" TargetMode="External"/><Relationship Id="rId775" Type="http://schemas.openxmlformats.org/officeDocument/2006/relationships/hyperlink" Target="http://www.boxofficemojo.com/studio/chart/?studio=radiustwc.htm" TargetMode="External"/><Relationship Id="rId776" Type="http://schemas.openxmlformats.org/officeDocument/2006/relationships/hyperlink" Target="http://www.boxofficemojo.com/schedule/?view=bydate&amp;release=theatrical&amp;date=2013-08-09&amp;p=.htm" TargetMode="External"/><Relationship Id="rId777" Type="http://schemas.openxmlformats.org/officeDocument/2006/relationships/hyperlink" Target="http://www.boxofficemojo.com/movies/?id=angelsshare.htm" TargetMode="External"/><Relationship Id="rId778" Type="http://schemas.openxmlformats.org/officeDocument/2006/relationships/hyperlink" Target="http://www.boxofficemojo.com/studio/chart/?studio=ifc.htm" TargetMode="External"/><Relationship Id="rId779" Type="http://schemas.openxmlformats.org/officeDocument/2006/relationships/hyperlink" Target="http://www.boxofficemojo.com/schedule/?view=bydate&amp;release=theatrical&amp;date=2013-04-12&amp;p=.htm" TargetMode="External"/><Relationship Id="rId380" Type="http://schemas.openxmlformats.org/officeDocument/2006/relationships/hyperlink" Target="http://www.boxofficemojo.com/schedule/?view=bydate&amp;release=theatrical&amp;date=2013-03-01&amp;p=.htm" TargetMode="External"/><Relationship Id="rId381" Type="http://schemas.openxmlformats.org/officeDocument/2006/relationships/hyperlink" Target="http://www.boxofficemojo.com/movies/?id=springbreakers.htm" TargetMode="External"/><Relationship Id="rId382" Type="http://schemas.openxmlformats.org/officeDocument/2006/relationships/hyperlink" Target="http://www.boxofficemojo.com/studio/chart/?studio=a24.htm" TargetMode="External"/><Relationship Id="rId383" Type="http://schemas.openxmlformats.org/officeDocument/2006/relationships/hyperlink" Target="http://www.boxofficemojo.com/schedule/?view=bydate&amp;release=theatrical&amp;date=2013-03-15&amp;p=.htm" TargetMode="External"/><Relationship Id="rId384" Type="http://schemas.openxmlformats.org/officeDocument/2006/relationships/hyperlink" Target="http://www.boxofficemojo.com/movies/?id=insidellewyndavis.htm" TargetMode="External"/><Relationship Id="rId385" Type="http://schemas.openxmlformats.org/officeDocument/2006/relationships/hyperlink" Target="http://www.boxofficemojo.com/studio/chart/?studio=cbsfilms.htm" TargetMode="External"/><Relationship Id="rId386" Type="http://schemas.openxmlformats.org/officeDocument/2006/relationships/hyperlink" Target="http://www.boxofficemojo.com/schedule/?view=bydate&amp;release=theatrical&amp;date=2013-12-06&amp;p=.htm" TargetMode="External"/><Relationship Id="rId387" Type="http://schemas.openxmlformats.org/officeDocument/2006/relationships/hyperlink" Target="http://www.boxofficemojo.com/movies/?id=laststand.htm" TargetMode="External"/><Relationship Id="rId388" Type="http://schemas.openxmlformats.org/officeDocument/2006/relationships/hyperlink" Target="http://www.boxofficemojo.com/studio/chart/?studio=lionsgate.htm" TargetMode="External"/><Relationship Id="rId389" Type="http://schemas.openxmlformats.org/officeDocument/2006/relationships/hyperlink" Target="http://www.boxofficemojo.com/schedule/?view=bydate&amp;release=theatrical&amp;date=2013-01-18&amp;p=.htm" TargetMode="External"/><Relationship Id="rId1232" Type="http://schemas.openxmlformats.org/officeDocument/2006/relationships/hyperlink" Target="http://www.boxofficemojo.com/schedule/?view=bydate&amp;release=theatrical&amp;date=2013-11-08&amp;p=.htm" TargetMode="External"/><Relationship Id="rId1233" Type="http://schemas.openxmlformats.org/officeDocument/2006/relationships/hyperlink" Target="http://www.boxofficemojo.com/movies/?id=charlesswan3.htm" TargetMode="External"/><Relationship Id="rId1234" Type="http://schemas.openxmlformats.org/officeDocument/2006/relationships/hyperlink" Target="http://www.boxofficemojo.com/studio/chart/?studio=a24.htm" TargetMode="External"/><Relationship Id="rId1235" Type="http://schemas.openxmlformats.org/officeDocument/2006/relationships/hyperlink" Target="http://www.boxofficemojo.com/schedule/?view=bydate&amp;release=theatrical&amp;date=2013-02-08&amp;p=.htm" TargetMode="External"/><Relationship Id="rId1236" Type="http://schemas.openxmlformats.org/officeDocument/2006/relationships/hyperlink" Target="http://www.boxofficemojo.com/movies/?id=americanmademovie.htm" TargetMode="External"/><Relationship Id="rId1237" Type="http://schemas.openxmlformats.org/officeDocument/2006/relationships/hyperlink" Target="http://www.boxofficemojo.com/studio/chart/?studio=variancefilms.htm" TargetMode="External"/><Relationship Id="rId1238" Type="http://schemas.openxmlformats.org/officeDocument/2006/relationships/hyperlink" Target="http://www.boxofficemojo.com/schedule/?view=bydate&amp;release=theatrical&amp;date=2013-08-30&amp;p=.htm" TargetMode="External"/><Relationship Id="rId1239" Type="http://schemas.openxmlformats.org/officeDocument/2006/relationships/hyperlink" Target="http://www.boxofficemojo.com/movies/?id=greedylyingbastards.htm" TargetMode="External"/><Relationship Id="rId1630" Type="http://schemas.openxmlformats.org/officeDocument/2006/relationships/hyperlink" Target="http://www.boxofficemojo.com/studio/chart/?studio=archstone.htm" TargetMode="External"/><Relationship Id="rId1631" Type="http://schemas.openxmlformats.org/officeDocument/2006/relationships/hyperlink" Target="http://www.boxofficemojo.com/schedule/?view=bydate&amp;release=theatrical&amp;date=2013-03-22&amp;p=.htm" TargetMode="External"/><Relationship Id="rId1632" Type="http://schemas.openxmlformats.org/officeDocument/2006/relationships/hyperlink" Target="http://www.boxofficemojo.com/movies/?id=madeincleveland.htm" TargetMode="External"/><Relationship Id="rId1633" Type="http://schemas.openxmlformats.org/officeDocument/2006/relationships/hyperlink" Target="http://www.boxofficemojo.com/studio/chart/?studio=striped.htm" TargetMode="External"/><Relationship Id="rId1634" Type="http://schemas.openxmlformats.org/officeDocument/2006/relationships/hyperlink" Target="http://www.boxofficemojo.com/schedule/?view=bydate&amp;release=theatrical&amp;date=2013-06-21&amp;p=.htm" TargetMode="External"/><Relationship Id="rId1635" Type="http://schemas.openxmlformats.org/officeDocument/2006/relationships/hyperlink" Target="http://www.boxofficemojo.com/movies/?id=americanmeat.htm" TargetMode="External"/><Relationship Id="rId1636" Type="http://schemas.openxmlformats.org/officeDocument/2006/relationships/hyperlink" Target="http://www.boxofficemojo.com/studio/chart/?studio=leavebetter.htm" TargetMode="External"/><Relationship Id="rId1637" Type="http://schemas.openxmlformats.org/officeDocument/2006/relationships/hyperlink" Target="http://www.boxofficemojo.com/schedule/?view=bydate&amp;release=theatrical&amp;date=2013-04-12&amp;p=.htm" TargetMode="External"/><Relationship Id="rId1638" Type="http://schemas.openxmlformats.org/officeDocument/2006/relationships/hyperlink" Target="http://www.boxofficemojo.com/movies/?id=caucus.htm" TargetMode="External"/><Relationship Id="rId1639" Type="http://schemas.openxmlformats.org/officeDocument/2006/relationships/hyperlink" Target="http://www.boxofficemojo.com/studio/chart/?studio=bonfire.htm" TargetMode="External"/><Relationship Id="rId1240" Type="http://schemas.openxmlformats.org/officeDocument/2006/relationships/hyperlink" Target="http://www.boxofficemojo.com/studio/chart/?studio=lambertreleasing.htm" TargetMode="External"/><Relationship Id="rId1241" Type="http://schemas.openxmlformats.org/officeDocument/2006/relationships/hyperlink" Target="http://www.boxofficemojo.com/schedule/?view=bydate&amp;release=theatrical&amp;date=2013-03-08&amp;p=.htm" TargetMode="External"/><Relationship Id="rId780" Type="http://schemas.openxmlformats.org/officeDocument/2006/relationships/hyperlink" Target="http://www.boxofficemojo.com/movies/?id=drinkingbuddies.htm" TargetMode="External"/><Relationship Id="rId781" Type="http://schemas.openxmlformats.org/officeDocument/2006/relationships/hyperlink" Target="http://www.boxofficemojo.com/studio/chart/?studio=magnolia.htm" TargetMode="External"/><Relationship Id="rId782" Type="http://schemas.openxmlformats.org/officeDocument/2006/relationships/hyperlink" Target="http://www.boxofficemojo.com/schedule/?view=bydate&amp;release=theatrical&amp;date=2013-08-23&amp;p=.htm" TargetMode="External"/><Relationship Id="rId783" Type="http://schemas.openxmlformats.org/officeDocument/2006/relationships/hyperlink" Target="http://www.boxofficemojo.com/movies/?id=koch.htm" TargetMode="External"/><Relationship Id="rId784" Type="http://schemas.openxmlformats.org/officeDocument/2006/relationships/hyperlink" Target="http://www.boxofficemojo.com/studio/chart/?studio=zeitgeist.htm" TargetMode="External"/><Relationship Id="rId785" Type="http://schemas.openxmlformats.org/officeDocument/2006/relationships/hyperlink" Target="http://www.boxofficemojo.com/schedule/?view=bydate&amp;release=theatrical&amp;date=2013-02-01&amp;p=.htm" TargetMode="External"/><Relationship Id="rId786" Type="http://schemas.openxmlformats.org/officeDocument/2006/relationships/hyperlink" Target="http://www.boxofficemojo.com/movies/?id=shining2013.htm" TargetMode="External"/><Relationship Id="rId787" Type="http://schemas.openxmlformats.org/officeDocument/2006/relationships/hyperlink" Target="http://www.boxofficemojo.com/studio/chart/?studio=warnerbros.htm" TargetMode="External"/><Relationship Id="rId788" Type="http://schemas.openxmlformats.org/officeDocument/2006/relationships/hyperlink" Target="http://www.boxofficemojo.com/schedule/?view=bydate&amp;release=theatrical&amp;date=2013-10-07&amp;p=.htm" TargetMode="External"/><Relationship Id="rId789" Type="http://schemas.openxmlformats.org/officeDocument/2006/relationships/hyperlink" Target="http://www.boxofficemojo.com/movies/?id=goriterepyaarmein.htm" TargetMode="External"/><Relationship Id="rId390" Type="http://schemas.openxmlformats.org/officeDocument/2006/relationships/hyperlink" Target="http://www.boxofficemojo.com/movies/?id=outofthefurnace.htm" TargetMode="External"/><Relationship Id="rId391" Type="http://schemas.openxmlformats.org/officeDocument/2006/relationships/hyperlink" Target="http://www.boxofficemojo.com/studio/chart/?studio=relativity.htm" TargetMode="External"/><Relationship Id="rId392" Type="http://schemas.openxmlformats.org/officeDocument/2006/relationships/hyperlink" Target="http://www.boxofficemojo.com/schedule/?view=bydate&amp;release=theatrical&amp;date=2013-12-04&amp;p=.htm" TargetMode="External"/><Relationship Id="rId393" Type="http://schemas.openxmlformats.org/officeDocument/2006/relationships/hyperlink" Target="http://www.boxofficemojo.com/movies/?id=deadmandown.htm" TargetMode="External"/><Relationship Id="rId394" Type="http://schemas.openxmlformats.org/officeDocument/2006/relationships/hyperlink" Target="http://www.boxofficemojo.com/studio/chart/?studio=filmdistrict.htm" TargetMode="External"/><Relationship Id="rId395" Type="http://schemas.openxmlformats.org/officeDocument/2006/relationships/hyperlink" Target="http://www.boxofficemojo.com/schedule/?view=bydate&amp;release=theatrical&amp;date=2013-03-08&amp;p=.htm" TargetMode="External"/><Relationship Id="rId396" Type="http://schemas.openxmlformats.org/officeDocument/2006/relationships/hyperlink" Target="http://www.boxofficemojo.com/movies/?id=getaway2013.htm" TargetMode="External"/><Relationship Id="rId397" Type="http://schemas.openxmlformats.org/officeDocument/2006/relationships/hyperlink" Target="http://www.boxofficemojo.com/studio/chart/?studio=warnerbros.htm" TargetMode="External"/><Relationship Id="rId398" Type="http://schemas.openxmlformats.org/officeDocument/2006/relationships/hyperlink" Target="http://www.boxofficemojo.com/schedule/?view=bydate&amp;release=theatrical&amp;date=2013-08-30&amp;p=.htm" TargetMode="External"/><Relationship Id="rId399" Type="http://schemas.openxmlformats.org/officeDocument/2006/relationships/hyperlink" Target="http://www.boxofficemojo.com/movies/?id=bullettothehead.htm" TargetMode="External"/><Relationship Id="rId1242" Type="http://schemas.openxmlformats.org/officeDocument/2006/relationships/hyperlink" Target="http://www.boxofficemojo.com/movies/?id=mybrotherthedevil.htm" TargetMode="External"/><Relationship Id="rId1243" Type="http://schemas.openxmlformats.org/officeDocument/2006/relationships/hyperlink" Target="http://www.boxofficemojo.com/studio/chart/?studio=paladin108.htm" TargetMode="External"/><Relationship Id="rId1244" Type="http://schemas.openxmlformats.org/officeDocument/2006/relationships/hyperlink" Target="http://www.boxofficemojo.com/schedule/?view=bydate&amp;release=theatrical&amp;date=2013-03-22&amp;p=.htm" TargetMode="External"/><Relationship Id="rId1245" Type="http://schemas.openxmlformats.org/officeDocument/2006/relationships/hyperlink" Target="http://www.boxofficemojo.com/movies/?id=tinytimes2.htm" TargetMode="External"/><Relationship Id="rId1246" Type="http://schemas.openxmlformats.org/officeDocument/2006/relationships/hyperlink" Target="http://www.boxofficemojo.com/studio/chart/?studio=chinalion.htm" TargetMode="External"/><Relationship Id="rId1247" Type="http://schemas.openxmlformats.org/officeDocument/2006/relationships/hyperlink" Target="http://www.boxofficemojo.com/schedule/?view=bydate&amp;release=theatrical&amp;date=2013-08-16&amp;p=.htm" TargetMode="External"/><Relationship Id="rId1248" Type="http://schemas.openxmlformats.org/officeDocument/2006/relationships/hyperlink" Target="http://www.boxofficemojo.com/movies/?id=contempt2013.htm" TargetMode="External"/><Relationship Id="rId1249" Type="http://schemas.openxmlformats.org/officeDocument/2006/relationships/hyperlink" Target="http://www.boxofficemojo.com/studio/chart/?studio=rialto.htm" TargetMode="External"/><Relationship Id="rId1640" Type="http://schemas.openxmlformats.org/officeDocument/2006/relationships/hyperlink" Target="http://www.boxofficemojo.com/schedule/?view=bydate&amp;release=theatrical&amp;date=2013-10-25&amp;p=.htm" TargetMode="External"/><Relationship Id="rId1641" Type="http://schemas.openxmlformats.org/officeDocument/2006/relationships/hyperlink" Target="http://www.boxofficemojo.com/movies/?id=midgetzombietakeover.htm" TargetMode="External"/><Relationship Id="rId1642" Type="http://schemas.openxmlformats.org/officeDocument/2006/relationships/hyperlink" Target="http://www.boxofficemojo.com/studio/chart/?studio=drivingwithoureyesshut.htm" TargetMode="External"/><Relationship Id="rId1643" Type="http://schemas.openxmlformats.org/officeDocument/2006/relationships/hyperlink" Target="http://www.boxofficemojo.com/schedule/?view=bydate&amp;release=theatrical&amp;date=2013-02-08&amp;p=.htm" TargetMode="External"/><Relationship Id="rId1644" Type="http://schemas.openxmlformats.org/officeDocument/2006/relationships/hyperlink" Target="http://www.boxofficemojo.com/movies/?id=evilintent.htm" TargetMode="External"/><Relationship Id="rId1645" Type="http://schemas.openxmlformats.org/officeDocument/2006/relationships/hyperlink" Target="http://www.boxofficemojo.com/studio/chart/?studio=drivingwithoureyesshut.htm" TargetMode="External"/><Relationship Id="rId1646" Type="http://schemas.openxmlformats.org/officeDocument/2006/relationships/hyperlink" Target="http://www.boxofficemojo.com/schedule/?view=bydate&amp;release=theatrical&amp;date=2013-06-29&amp;p=.htm" TargetMode="External"/><Relationship Id="rId1647" Type="http://schemas.openxmlformats.org/officeDocument/2006/relationships/hyperlink" Target="http://www.boxofficemojo.com/movies/?id=shanghaicalling.htm" TargetMode="External"/><Relationship Id="rId1648" Type="http://schemas.openxmlformats.org/officeDocument/2006/relationships/hyperlink" Target="http://www.boxofficemojo.com/studio/chart/?studio=starzmedia.htm" TargetMode="External"/><Relationship Id="rId1649" Type="http://schemas.openxmlformats.org/officeDocument/2006/relationships/hyperlink" Target="http://www.boxofficemojo.com/schedule/?view=bydate&amp;release=theatrical&amp;date=2013-02-15&amp;p=.htm" TargetMode="External"/><Relationship Id="rId1250" Type="http://schemas.openxmlformats.org/officeDocument/2006/relationships/hyperlink" Target="http://www.boxofficemojo.com/schedule/?view=bydate&amp;release=theatrical&amp;date=2013-09-06&amp;p=.htm" TargetMode="External"/><Relationship Id="rId1251" Type="http://schemas.openxmlformats.org/officeDocument/2006/relationships/hyperlink" Target="http://www.boxofficemojo.com/movies/?id=andregregory.htm" TargetMode="External"/><Relationship Id="rId790" Type="http://schemas.openxmlformats.org/officeDocument/2006/relationships/hyperlink" Target="http://www.boxofficemojo.com/studio/chart/?studio=reliancebigpictures.htm" TargetMode="External"/><Relationship Id="rId791" Type="http://schemas.openxmlformats.org/officeDocument/2006/relationships/hyperlink" Target="http://www.boxofficemojo.com/schedule/?view=bydate&amp;release=theatrical&amp;date=2013-11-22&amp;p=.htm" TargetMode="External"/><Relationship Id="rId792" Type="http://schemas.openxmlformats.org/officeDocument/2006/relationships/hyperlink" Target="http://www.boxofficemojo.com/movies/?id=starbuck.htm" TargetMode="External"/><Relationship Id="rId793" Type="http://schemas.openxmlformats.org/officeDocument/2006/relationships/hyperlink" Target="http://www.boxofficemojo.com/studio/chart/?studio=e1entertainment.htm" TargetMode="External"/><Relationship Id="rId794" Type="http://schemas.openxmlformats.org/officeDocument/2006/relationships/hyperlink" Target="http://www.boxofficemojo.com/schedule/?view=bydate&amp;release=theatrical&amp;date=2013-03-22&amp;p=.htm" TargetMode="External"/><Relationship Id="rId795" Type="http://schemas.openxmlformats.org/officeDocument/2006/relationships/hyperlink" Target="http://www.boxofficemojo.com/movies/?id=happypeople.htm" TargetMode="External"/><Relationship Id="rId796" Type="http://schemas.openxmlformats.org/officeDocument/2006/relationships/hyperlink" Target="http://www.boxofficemojo.com/studio/chart/?studio=musicboxfilms.htm" TargetMode="External"/><Relationship Id="rId797" Type="http://schemas.openxmlformats.org/officeDocument/2006/relationships/hyperlink" Target="http://www.boxofficemojo.com/schedule/?view=bydate&amp;release=theatrical&amp;date=2013-01-25&amp;p=.htm" TargetMode="External"/><Relationship Id="rId798" Type="http://schemas.openxmlformats.org/officeDocument/2006/relationships/hyperlink" Target="http://www.boxofficemojo.com/movies/?id=diana.htm" TargetMode="External"/><Relationship Id="rId799" Type="http://schemas.openxmlformats.org/officeDocument/2006/relationships/hyperlink" Target="http://www.boxofficemojo.com/studio/chart/?studio=entertainmentone.htm" TargetMode="External"/><Relationship Id="rId1252" Type="http://schemas.openxmlformats.org/officeDocument/2006/relationships/hyperlink" Target="http://www.boxofficemojo.com/studio/chart/?studio=cinemaguild.htm" TargetMode="External"/><Relationship Id="rId1253" Type="http://schemas.openxmlformats.org/officeDocument/2006/relationships/hyperlink" Target="http://www.boxofficemojo.com/schedule/?view=bydate&amp;release=theatrical&amp;date=2013-04-03&amp;p=.htm" TargetMode="External"/><Relationship Id="rId1254" Type="http://schemas.openxmlformats.org/officeDocument/2006/relationships/hyperlink" Target="http://www.boxofficemojo.com/movies/?id=concussion.htm" TargetMode="External"/><Relationship Id="rId1255" Type="http://schemas.openxmlformats.org/officeDocument/2006/relationships/hyperlink" Target="http://www.boxofficemojo.com/studio/chart/?studio=radiustwc.htm" TargetMode="External"/><Relationship Id="rId1256" Type="http://schemas.openxmlformats.org/officeDocument/2006/relationships/hyperlink" Target="http://www.boxofficemojo.com/schedule/?view=bydate&amp;release=theatrical&amp;date=2013-10-04&amp;p=.htm" TargetMode="External"/><Relationship Id="rId1257" Type="http://schemas.openxmlformats.org/officeDocument/2006/relationships/hyperlink" Target="http://www.boxofficemojo.com/movies/?id=zaytoun.htm" TargetMode="External"/><Relationship Id="rId1258" Type="http://schemas.openxmlformats.org/officeDocument/2006/relationships/hyperlink" Target="http://www.boxofficemojo.com/studio/chart/?studio=strand.htm" TargetMode="External"/><Relationship Id="rId1259" Type="http://schemas.openxmlformats.org/officeDocument/2006/relationships/hyperlink" Target="http://www.boxofficemojo.com/schedule/?view=bydate&amp;release=theatrical&amp;date=2013-09-20&amp;p=.htm" TargetMode="External"/><Relationship Id="rId1650" Type="http://schemas.openxmlformats.org/officeDocument/2006/relationships/hyperlink" Target="http://www.boxofficemojo.com/movies/?id=elemental.htm" TargetMode="External"/><Relationship Id="rId1651" Type="http://schemas.openxmlformats.org/officeDocument/2006/relationships/hyperlink" Target="http://www.boxofficemojo.com/studio/chart/?studio=filmcollaborative.htm" TargetMode="External"/><Relationship Id="rId1652" Type="http://schemas.openxmlformats.org/officeDocument/2006/relationships/hyperlink" Target="http://www.boxofficemojo.com/schedule/?view=bydate&amp;release=theatrical&amp;date=2013-05-17&amp;p=.htm" TargetMode="External"/><Relationship Id="rId1653" Type="http://schemas.openxmlformats.org/officeDocument/2006/relationships/hyperlink" Target="http://www.boxofficemojo.com/movies/?id=livingmar.htm" TargetMode="External"/><Relationship Id="rId1654" Type="http://schemas.openxmlformats.org/officeDocument/2006/relationships/hyperlink" Target="http://www.boxofficemojo.com/studio/chart/?studio=janusfilms.htm" TargetMode="External"/><Relationship Id="rId1655" Type="http://schemas.openxmlformats.org/officeDocument/2006/relationships/hyperlink" Target="http://www.boxofficemojo.com/schedule/?view=bydate&amp;release=theatrical&amp;date=2013-12-13&amp;p=.htm" TargetMode="External"/><Relationship Id="rId1656" Type="http://schemas.openxmlformats.org/officeDocument/2006/relationships/hyperlink" Target="http://www.boxofficemojo.com/movies/?id=shepardanddark.htm" TargetMode="External"/><Relationship Id="rId1657" Type="http://schemas.openxmlformats.org/officeDocument/2006/relationships/hyperlink" Target="http://www.boxofficemojo.com/studio/chart/?studio=musicboxfilms.htm" TargetMode="External"/><Relationship Id="rId1658" Type="http://schemas.openxmlformats.org/officeDocument/2006/relationships/hyperlink" Target="http://www.boxofficemojo.com/schedule/?view=bydate&amp;release=theatrical&amp;date=2013-09-25&amp;p=.htm" TargetMode="External"/><Relationship Id="rId1659" Type="http://schemas.openxmlformats.org/officeDocument/2006/relationships/hyperlink" Target="http://www.boxofficemojo.com/movies/?id=informant2013.htm" TargetMode="External"/><Relationship Id="rId1260" Type="http://schemas.openxmlformats.org/officeDocument/2006/relationships/hyperlink" Target="http://www.boxofficemojo.com/movies/?id=weandthei.htm" TargetMode="External"/><Relationship Id="rId1261" Type="http://schemas.openxmlformats.org/officeDocument/2006/relationships/hyperlink" Target="http://www.boxofficemojo.com/studio/chart/?studio=paladin108.htm" TargetMode="External"/><Relationship Id="rId1262" Type="http://schemas.openxmlformats.org/officeDocument/2006/relationships/hyperlink" Target="http://www.boxofficemojo.com/schedule/?view=bydate&amp;release=theatrical&amp;date=2013-03-08&amp;p=.htm" TargetMode="External"/><Relationship Id="rId1263" Type="http://schemas.openxmlformats.org/officeDocument/2006/relationships/hyperlink" Target="http://www.boxofficemojo.com/movies/?id=hollaii.htm" TargetMode="External"/><Relationship Id="rId1264" Type="http://schemas.openxmlformats.org/officeDocument/2006/relationships/hyperlink" Target="http://www.boxofficemojo.com/studio/chart/?studio=rockstone.htm" TargetMode="External"/><Relationship Id="rId1265" Type="http://schemas.openxmlformats.org/officeDocument/2006/relationships/hyperlink" Target="http://www.boxofficemojo.com/schedule/?view=bydate&amp;release=theatrical&amp;date=2013-04-19&amp;p=.htm" TargetMode="External"/><Relationship Id="rId1266" Type="http://schemas.openxmlformats.org/officeDocument/2006/relationships/hyperlink" Target="http://www.boxofficemojo.com/movies/?id=languagebroken.htm" TargetMode="External"/><Relationship Id="rId1267" Type="http://schemas.openxmlformats.org/officeDocument/2006/relationships/hyperlink" Target="http://www.boxofficemojo.com/studio/chart/?studio=houselightsmedia.htm" TargetMode="External"/><Relationship Id="rId1268" Type="http://schemas.openxmlformats.org/officeDocument/2006/relationships/hyperlink" Target="http://www.boxofficemojo.com/schedule/?view=bydate&amp;release=theatrical&amp;date=2013-03-08&amp;p=.htm" TargetMode="External"/><Relationship Id="rId1269" Type="http://schemas.openxmlformats.org/officeDocument/2006/relationships/hyperlink" Target="http://www.boxofficemojo.com/movies/?id=cbgb.htm" TargetMode="External"/><Relationship Id="rId400" Type="http://schemas.openxmlformats.org/officeDocument/2006/relationships/hyperlink" Target="http://www.boxofficemojo.com/studio/chart/?studio=warnerbros.htm" TargetMode="External"/><Relationship Id="rId401" Type="http://schemas.openxmlformats.org/officeDocument/2006/relationships/hyperlink" Target="http://www.boxofficemojo.com/schedule/?view=bydate&amp;release=theatrical&amp;date=2013-02-01&amp;p=.htm" TargetMode="External"/><Relationship Id="rId402" Type="http://schemas.openxmlformats.org/officeDocument/2006/relationships/hyperlink" Target="http://www.boxofficemojo.com/movies/?id=wethepeeples.htm" TargetMode="External"/><Relationship Id="rId403" Type="http://schemas.openxmlformats.org/officeDocument/2006/relationships/hyperlink" Target="http://www.boxofficemojo.com/studio/chart/?studio=lionsgate.htm" TargetMode="External"/><Relationship Id="rId404" Type="http://schemas.openxmlformats.org/officeDocument/2006/relationships/hyperlink" Target="http://www.boxofficemojo.com/schedule/?view=bydate&amp;release=theatrical&amp;date=2013-05-10&amp;p=.htm" TargetMode="External"/><Relationship Id="rId405" Type="http://schemas.openxmlformats.org/officeDocument/2006/relationships/hyperlink" Target="http://www.boxofficemojo.com/movies/?id=planetbboy3d.htm" TargetMode="External"/><Relationship Id="rId406" Type="http://schemas.openxmlformats.org/officeDocument/2006/relationships/hyperlink" Target="http://www.boxofficemojo.com/studio/chart/?studio=screengems.htm" TargetMode="External"/><Relationship Id="rId407" Type="http://schemas.openxmlformats.org/officeDocument/2006/relationships/hyperlink" Target="http://www.boxofficemojo.com/schedule/?view=bydate&amp;release=theatrical&amp;date=2013-09-20&amp;p=.htm" TargetMode="External"/><Relationship Id="rId408" Type="http://schemas.openxmlformats.org/officeDocument/2006/relationships/hyperlink" Target="http://www.boxofficemojo.com/movies/?id=movie43.htm" TargetMode="External"/><Relationship Id="rId409" Type="http://schemas.openxmlformats.org/officeDocument/2006/relationships/hyperlink" Target="http://www.boxofficemojo.com/studio/chart/?studio=relativity.htm" TargetMode="External"/><Relationship Id="rId1660" Type="http://schemas.openxmlformats.org/officeDocument/2006/relationships/hyperlink" Target="http://www.boxofficemojo.com/studio/chart/?studio=musicboxfilms.htm" TargetMode="External"/><Relationship Id="rId1661" Type="http://schemas.openxmlformats.org/officeDocument/2006/relationships/hyperlink" Target="http://www.boxofficemojo.com/schedule/?view=bydate&amp;release=theatrical&amp;date=2013-09-13&amp;p=.htm" TargetMode="External"/><Relationship Id="rId1662" Type="http://schemas.openxmlformats.org/officeDocument/2006/relationships/hyperlink" Target="http://www.boxofficemojo.com/movies/?id=inthenameof.htm" TargetMode="External"/><Relationship Id="rId1663" Type="http://schemas.openxmlformats.org/officeDocument/2006/relationships/hyperlink" Target="http://www.boxofficemojo.com/studio/chart/?studio=filmmovement.htm" TargetMode="External"/><Relationship Id="rId1664" Type="http://schemas.openxmlformats.org/officeDocument/2006/relationships/hyperlink" Target="http://www.boxofficemojo.com/schedule/?view=bydate&amp;release=theatrical&amp;date=2013-10-30&amp;p=.htm" TargetMode="External"/><Relationship Id="rId1665" Type="http://schemas.openxmlformats.org/officeDocument/2006/relationships/hyperlink" Target="http://www.boxofficemojo.com/movies/?id=inchallah.htm" TargetMode="External"/><Relationship Id="rId1666" Type="http://schemas.openxmlformats.org/officeDocument/2006/relationships/hyperlink" Target="http://www.boxofficemojo.com/studio/chart/?studio=entertainmentone.htm" TargetMode="External"/><Relationship Id="rId1667" Type="http://schemas.openxmlformats.org/officeDocument/2006/relationships/hyperlink" Target="http://www.boxofficemojo.com/schedule/?view=bydate&amp;release=theatrical&amp;date=2013-08-16&amp;p=.htm" TargetMode="External"/><Relationship Id="rId1668" Type="http://schemas.openxmlformats.org/officeDocument/2006/relationships/hyperlink" Target="http://www.boxofficemojo.com/movies/?id=birthofthelivingdead.htm" TargetMode="External"/><Relationship Id="rId1669" Type="http://schemas.openxmlformats.org/officeDocument/2006/relationships/hyperlink" Target="http://www.boxofficemojo.com/studio/chart/?studio=firstrun.htm" TargetMode="External"/><Relationship Id="rId1270" Type="http://schemas.openxmlformats.org/officeDocument/2006/relationships/hyperlink" Target="http://www.boxofficemojo.com/studio/chart/?studio=xlratormedia.htm" TargetMode="External"/><Relationship Id="rId1271" Type="http://schemas.openxmlformats.org/officeDocument/2006/relationships/hyperlink" Target="http://www.boxofficemojo.com/schedule/?view=bydate&amp;release=theatrical&amp;date=2013-10-04&amp;p=.htm" TargetMode="External"/><Relationship Id="rId1272" Type="http://schemas.openxmlformats.org/officeDocument/2006/relationships/hyperlink" Target="http://www.boxofficemojo.com/movies/?id=killingseason.htm" TargetMode="External"/><Relationship Id="rId1273" Type="http://schemas.openxmlformats.org/officeDocument/2006/relationships/hyperlink" Target="http://www.boxofficemojo.com/studio/chart/?studio=millenniumentertainment.htm" TargetMode="External"/><Relationship Id="rId1274" Type="http://schemas.openxmlformats.org/officeDocument/2006/relationships/hyperlink" Target="http://www.boxofficemojo.com/schedule/?view=bydate&amp;release=theatrical&amp;date=2013-07-12&amp;p=.htm" TargetMode="External"/><Relationship Id="rId1275" Type="http://schemas.openxmlformats.org/officeDocument/2006/relationships/hyperlink" Target="http://www.boxofficemojo.com/movies/?id=shortgame.htm" TargetMode="External"/><Relationship Id="rId1276" Type="http://schemas.openxmlformats.org/officeDocument/2006/relationships/hyperlink" Target="http://www.boxofficemojo.com/studio/chart/?studio=samuelgoldwyn.htm" TargetMode="External"/><Relationship Id="rId1277" Type="http://schemas.openxmlformats.org/officeDocument/2006/relationships/hyperlink" Target="http://www.boxofficemojo.com/schedule/?view=bydate&amp;release=theatrical&amp;date=2013-09-20&amp;p=.htm" TargetMode="External"/><Relationship Id="rId1278" Type="http://schemas.openxmlformats.org/officeDocument/2006/relationships/hyperlink" Target="http://www.boxofficemojo.com/movies/?id=howtomake.htm" TargetMode="External"/><Relationship Id="rId1279" Type="http://schemas.openxmlformats.org/officeDocument/2006/relationships/hyperlink" Target="http://www.boxofficemojo.com/studio/chart/?studio=tribecafilm.htm" TargetMode="External"/><Relationship Id="rId800" Type="http://schemas.openxmlformats.org/officeDocument/2006/relationships/hyperlink" Target="http://www.boxofficemojo.com/schedule/?view=bydate&amp;release=theatrical&amp;date=2013-11-01&amp;p=.htm" TargetMode="External"/><Relationship Id="rId801" Type="http://schemas.openxmlformats.org/officeDocument/2006/relationships/hyperlink" Target="http://www.boxofficemojo.com/movies/?id=camp2013.htm" TargetMode="External"/><Relationship Id="rId802" Type="http://schemas.openxmlformats.org/officeDocument/2006/relationships/hyperlink" Target="http://www.boxofficemojo.com/studio/chart/?studio=fs.htm" TargetMode="External"/><Relationship Id="rId803" Type="http://schemas.openxmlformats.org/officeDocument/2006/relationships/hyperlink" Target="http://www.boxofficemojo.com/schedule/?view=bydate&amp;release=theatrical&amp;date=2013-02-22&amp;p=.htm" TargetMode="External"/><Relationship Id="rId410" Type="http://schemas.openxmlformats.org/officeDocument/2006/relationships/hyperlink" Target="http://www.boxofficemojo.com/schedule/?view=bydate&amp;release=theatrical&amp;date=2013-01-25&amp;p=.htm" TargetMode="External"/><Relationship Id="rId411" Type="http://schemas.openxmlformats.org/officeDocument/2006/relationships/hyperlink" Target="http://www.boxofficemojo.com/movies/?id=mandela2013.htm" TargetMode="External"/><Relationship Id="rId412" Type="http://schemas.openxmlformats.org/officeDocument/2006/relationships/hyperlink" Target="http://www.boxofficemojo.com/studio/chart/?studio=weinsteincompany.htm" TargetMode="External"/><Relationship Id="rId413" Type="http://schemas.openxmlformats.org/officeDocument/2006/relationships/hyperlink" Target="http://www.boxofficemojo.com/schedule/?view=bydate&amp;release=theatrical&amp;date=2013-11-29&amp;p=.htm" TargetMode="External"/><Relationship Id="rId414" Type="http://schemas.openxmlformats.org/officeDocument/2006/relationships/hyperlink" Target="http://www.boxofficemojo.com/movies/?id=beforemidnight.htm" TargetMode="External"/><Relationship Id="rId415" Type="http://schemas.openxmlformats.org/officeDocument/2006/relationships/hyperlink" Target="http://www.boxofficemojo.com/studio/chart/?studio=sonyclassics.htm" TargetMode="External"/><Relationship Id="rId416" Type="http://schemas.openxmlformats.org/officeDocument/2006/relationships/hyperlink" Target="http://www.boxofficemojo.com/schedule/?view=bydate&amp;release=theatrical&amp;date=2013-05-24&amp;p=.htm" TargetMode="External"/><Relationship Id="rId417" Type="http://schemas.openxmlformats.org/officeDocument/2006/relationships/hyperlink" Target="http://www.boxofficemojo.com/movies/?id=dhoom3.htm" TargetMode="External"/><Relationship Id="rId418" Type="http://schemas.openxmlformats.org/officeDocument/2006/relationships/hyperlink" Target="http://www.boxofficemojo.com/studio/chart/?studio=yashraj.htm" TargetMode="External"/><Relationship Id="rId419" Type="http://schemas.openxmlformats.org/officeDocument/2006/relationships/hyperlink" Target="http://www.boxofficemojo.com/schedule/?view=bydate&amp;release=theatrical&amp;date=2013-12-20&amp;p=.htm" TargetMode="External"/><Relationship Id="rId804" Type="http://schemas.openxmlformats.org/officeDocument/2006/relationships/hyperlink" Target="http://www.boxofficemojo.com/movies/?id=adore.htm" TargetMode="External"/><Relationship Id="rId805" Type="http://schemas.openxmlformats.org/officeDocument/2006/relationships/hyperlink" Target="http://www.boxofficemojo.com/studio/chart/?studio=exclusivemedia.htm" TargetMode="External"/><Relationship Id="rId806" Type="http://schemas.openxmlformats.org/officeDocument/2006/relationships/hyperlink" Target="http://www.boxofficemojo.com/schedule/?view=bydate&amp;release=theatrical&amp;date=2013-09-06&amp;p=.htm" TargetMode="External"/><Relationship Id="rId807" Type="http://schemas.openxmlformats.org/officeDocument/2006/relationships/hyperlink" Target="http://www.boxofficemojo.com/movies/?id=nottoday.htm" TargetMode="External"/><Relationship Id="rId808" Type="http://schemas.openxmlformats.org/officeDocument/2006/relationships/hyperlink" Target="http://www.boxofficemojo.com/studio/chart/?studio=fs.htm" TargetMode="External"/><Relationship Id="rId809" Type="http://schemas.openxmlformats.org/officeDocument/2006/relationships/hyperlink" Target="http://www.boxofficemojo.com/schedule/?view=bydate&amp;release=theatrical&amp;date=2013-04-12&amp;p=.htm" TargetMode="External"/><Relationship Id="rId1670" Type="http://schemas.openxmlformats.org/officeDocument/2006/relationships/hyperlink" Target="http://www.boxofficemojo.com/schedule/?view=bydate&amp;release=theatrical&amp;date=2013-10-18&amp;p=.htm" TargetMode="External"/><Relationship Id="rId1671" Type="http://schemas.openxmlformats.org/officeDocument/2006/relationships/hyperlink" Target="http://www.boxofficemojo.com/movies/?id=welcometothepunch.htm" TargetMode="External"/><Relationship Id="rId1672" Type="http://schemas.openxmlformats.org/officeDocument/2006/relationships/hyperlink" Target="http://www.boxofficemojo.com/studio/chart/?studio=ifc.htm" TargetMode="External"/><Relationship Id="rId1673" Type="http://schemas.openxmlformats.org/officeDocument/2006/relationships/hyperlink" Target="http://www.boxofficemojo.com/schedule/?view=bydate&amp;release=theatrical&amp;date=2013-03-27&amp;p=.htm" TargetMode="External"/><Relationship Id="rId1280" Type="http://schemas.openxmlformats.org/officeDocument/2006/relationships/hyperlink" Target="http://www.boxofficemojo.com/schedule/?view=bydate&amp;release=theatrical&amp;date=2013-06-26&amp;p=.htm" TargetMode="External"/><Relationship Id="rId1281" Type="http://schemas.openxmlformats.org/officeDocument/2006/relationships/hyperlink" Target="http://www.boxofficemojo.com/movies/?id=posttenebraslux.htm" TargetMode="External"/><Relationship Id="rId1282" Type="http://schemas.openxmlformats.org/officeDocument/2006/relationships/hyperlink" Target="http://www.boxofficemojo.com/studio/chart/?studio=strand.htm" TargetMode="External"/><Relationship Id="rId1283" Type="http://schemas.openxmlformats.org/officeDocument/2006/relationships/hyperlink" Target="http://www.boxofficemojo.com/schedule/?view=bydate&amp;release=theatrical&amp;date=2013-05-01&amp;p=.htm" TargetMode="External"/><Relationship Id="rId1284" Type="http://schemas.openxmlformats.org/officeDocument/2006/relationships/hyperlink" Target="http://www.boxofficemojo.com/movies/?id=herbdorothy.htm" TargetMode="External"/><Relationship Id="rId1285" Type="http://schemas.openxmlformats.org/officeDocument/2006/relationships/hyperlink" Target="http://www.boxofficemojo.com/studio/chart/?studio=finelinemedia.htm" TargetMode="External"/><Relationship Id="rId1286" Type="http://schemas.openxmlformats.org/officeDocument/2006/relationships/hyperlink" Target="http://www.boxofficemojo.com/schedule/?view=bydate&amp;release=theatrical&amp;date=2013-09-13&amp;p=.htm" TargetMode="External"/><Relationship Id="rId1287" Type="http://schemas.openxmlformats.org/officeDocument/2006/relationships/hyperlink" Target="http://www.boxofficemojo.com/movies/?id=wall2013.htm" TargetMode="External"/><Relationship Id="rId1288" Type="http://schemas.openxmlformats.org/officeDocument/2006/relationships/hyperlink" Target="http://www.boxofficemojo.com/studio/chart/?studio=musicboxfilms.htm" TargetMode="External"/><Relationship Id="rId1289" Type="http://schemas.openxmlformats.org/officeDocument/2006/relationships/hyperlink" Target="http://www.boxofficemojo.com/schedule/?view=bydate&amp;release=theatrical&amp;date=2013-05-31&amp;p=.htm" TargetMode="External"/><Relationship Id="rId1674" Type="http://schemas.openxmlformats.org/officeDocument/2006/relationships/hyperlink" Target="http://www.boxofficemojo.com/movies/?id=antoine.htm" TargetMode="External"/><Relationship Id="rId1675" Type="http://schemas.openxmlformats.org/officeDocument/2006/relationships/hyperlink" Target="http://www.boxofficemojo.com/studio/chart/?studio=rialto.htm" TargetMode="External"/><Relationship Id="rId1676" Type="http://schemas.openxmlformats.org/officeDocument/2006/relationships/hyperlink" Target="http://www.boxofficemojo.com/schedule/?view=bydate&amp;release=theatrical&amp;date=2013-09-25&amp;p=.htm" TargetMode="External"/><Relationship Id="rId1677" Type="http://schemas.openxmlformats.org/officeDocument/2006/relationships/hyperlink" Target="http://www.boxofficemojo.com/movies/?id=northernlights.htm" TargetMode="External"/><Relationship Id="rId1678" Type="http://schemas.openxmlformats.org/officeDocument/2006/relationships/hyperlink" Target="http://www.boxofficemojo.com/studio/chart/?studio=apdcinema.htm" TargetMode="External"/><Relationship Id="rId1679" Type="http://schemas.openxmlformats.org/officeDocument/2006/relationships/hyperlink" Target="http://www.boxofficemojo.com/schedule/?view=bydate&amp;release=theatrical&amp;date=2013-09-20&amp;p=.htm" TargetMode="External"/><Relationship Id="rId810" Type="http://schemas.openxmlformats.org/officeDocument/2006/relationships/hyperlink" Target="http://www.boxofficemojo.com/movies/?id=linsanity.htm" TargetMode="External"/><Relationship Id="rId811" Type="http://schemas.openxmlformats.org/officeDocument/2006/relationships/hyperlink" Target="http://www.boxofficemojo.com/studio/chart/?studio=ketchup.htm" TargetMode="External"/><Relationship Id="rId812" Type="http://schemas.openxmlformats.org/officeDocument/2006/relationships/hyperlink" Target="http://www.boxofficemojo.com/schedule/?view=bydate&amp;release=theatrical&amp;date=2013-10-04&amp;p=.htm" TargetMode="External"/><Relationship Id="rId813" Type="http://schemas.openxmlformats.org/officeDocument/2006/relationships/hyperlink" Target="http://www.boxofficemojo.com/movies/?id=gogoagone.htm" TargetMode="External"/><Relationship Id="rId420" Type="http://schemas.openxmlformats.org/officeDocument/2006/relationships/hyperlink" Target="http://www.boxofficemojo.com/movies/?id=jerusalem.htm" TargetMode="External"/><Relationship Id="rId421" Type="http://schemas.openxmlformats.org/officeDocument/2006/relationships/hyperlink" Target="http://www.boxofficemojo.com/studio/chart/?studio=nationalgeographiccinema.htm" TargetMode="External"/><Relationship Id="rId422" Type="http://schemas.openxmlformats.org/officeDocument/2006/relationships/hyperlink" Target="http://www.boxofficemojo.com/schedule/?view=bydate&amp;release=theatrical&amp;date=2013-09-13&amp;p=.htm" TargetMode="External"/><Relationship Id="rId423" Type="http://schemas.openxmlformats.org/officeDocument/2006/relationships/hyperlink" Target="http://www.boxofficemojo.com/movies/?id=machete2.htm" TargetMode="External"/><Relationship Id="rId424" Type="http://schemas.openxmlformats.org/officeDocument/2006/relationships/hyperlink" Target="http://www.boxofficemojo.com/studio/chart/?studio=openroads.htm" TargetMode="External"/><Relationship Id="rId425" Type="http://schemas.openxmlformats.org/officeDocument/2006/relationships/hyperlink" Target="http://www.boxofficemojo.com/schedule/?view=bydate&amp;release=theatrical&amp;date=2013-10-11&amp;p=.htm" TargetMode="External"/><Relationship Id="rId426" Type="http://schemas.openxmlformats.org/officeDocument/2006/relationships/hyperlink" Target="http://www.boxofficemojo.com/movies/?id=journeytothesouthpacific.htm" TargetMode="External"/><Relationship Id="rId427" Type="http://schemas.openxmlformats.org/officeDocument/2006/relationships/hyperlink" Target="http://www.boxofficemojo.com/studio/chart/?studio=imax.htm" TargetMode="External"/><Relationship Id="rId428" Type="http://schemas.openxmlformats.org/officeDocument/2006/relationships/hyperlink" Target="http://www.boxofficemojo.com/schedule/?view=bydate&amp;release=theatrical&amp;date=2013-11-27&amp;p=.htm" TargetMode="External"/><Relationship Id="rId429" Type="http://schemas.openxmlformats.org/officeDocument/2006/relationships/hyperlink" Target="http://www.boxofficemojo.com/movies/?id=paranoia.htm" TargetMode="External"/><Relationship Id="rId814" Type="http://schemas.openxmlformats.org/officeDocument/2006/relationships/hyperlink" Target="http://www.boxofficemojo.com/studio/chart/?studio=eros.htm" TargetMode="External"/><Relationship Id="rId815" Type="http://schemas.openxmlformats.org/officeDocument/2006/relationships/hyperlink" Target="http://www.boxofficemojo.com/schedule/?view=bydate&amp;release=theatrical&amp;date=2013-05-10&amp;p=.htm" TargetMode="External"/><Relationship Id="rId816" Type="http://schemas.openxmlformats.org/officeDocument/2006/relationships/hyperlink" Target="http://www.boxofficemojo.com/movies/?id=room237.htm" TargetMode="External"/><Relationship Id="rId817" Type="http://schemas.openxmlformats.org/officeDocument/2006/relationships/hyperlink" Target="http://www.boxofficemojo.com/studio/chart/?studio=ifc.htm" TargetMode="External"/><Relationship Id="rId818" Type="http://schemas.openxmlformats.org/officeDocument/2006/relationships/hyperlink" Target="http://www.boxofficemojo.com/schedule/?view=bydate&amp;release=theatrical&amp;date=2013-03-29&amp;p=.htm" TargetMode="External"/><Relationship Id="rId819" Type="http://schemas.openxmlformats.org/officeDocument/2006/relationships/hyperlink" Target="http://www.boxofficemojo.com/movies/?id=youwillbemyson.htm" TargetMode="External"/><Relationship Id="rId1680" Type="http://schemas.openxmlformats.org/officeDocument/2006/relationships/hyperlink" Target="http://www.boxofficemojo.com/movies/?id=ifiwereyou.htm" TargetMode="External"/><Relationship Id="rId1681" Type="http://schemas.openxmlformats.org/officeDocument/2006/relationships/hyperlink" Target="http://www.boxofficemojo.com/studio/chart/?studio=kinolorber.htm" TargetMode="External"/><Relationship Id="rId1682" Type="http://schemas.openxmlformats.org/officeDocument/2006/relationships/hyperlink" Target="http://www.boxofficemojo.com/schedule/?view=bydate&amp;release=theatrical&amp;date=2013-03-15&amp;p=.htm" TargetMode="External"/><Relationship Id="rId1683" Type="http://schemas.openxmlformats.org/officeDocument/2006/relationships/hyperlink" Target="http://www.boxofficemojo.com/movies/?id=zerocharisma.htm" TargetMode="External"/><Relationship Id="rId1290" Type="http://schemas.openxmlformats.org/officeDocument/2006/relationships/hyperlink" Target="http://www.boxofficemojo.com/movies/?id=risingfromashes.htm" TargetMode="External"/><Relationship Id="rId1291" Type="http://schemas.openxmlformats.org/officeDocument/2006/relationships/hyperlink" Target="http://www.boxofficemojo.com/studio/chart/?studio=firstrun.htm" TargetMode="External"/><Relationship Id="rId1292" Type="http://schemas.openxmlformats.org/officeDocument/2006/relationships/hyperlink" Target="http://www.boxofficemojo.com/schedule/?view=bydate&amp;release=theatrical&amp;date=2013-08-02&amp;p=.htm" TargetMode="External"/><Relationship Id="rId1293" Type="http://schemas.openxmlformats.org/officeDocument/2006/relationships/hyperlink" Target="http://www.boxofficemojo.com/movies/?id=berberiansoundstudio.htm" TargetMode="External"/><Relationship Id="rId1294" Type="http://schemas.openxmlformats.org/officeDocument/2006/relationships/hyperlink" Target="http://www.boxofficemojo.com/studio/chart/?studio=ifc.htm" TargetMode="External"/><Relationship Id="rId1295" Type="http://schemas.openxmlformats.org/officeDocument/2006/relationships/hyperlink" Target="http://www.boxofficemojo.com/schedule/?view=bydate&amp;release=theatrical&amp;date=2013-06-14&amp;p=.htm" TargetMode="External"/><Relationship Id="rId1296" Type="http://schemas.openxmlformats.org/officeDocument/2006/relationships/hyperlink" Target="http://www.boxofficemojo.com/movies/?id=russianark13.htm" TargetMode="External"/><Relationship Id="rId1297" Type="http://schemas.openxmlformats.org/officeDocument/2006/relationships/hyperlink" Target="http://www.boxofficemojo.com/studio/chart/?studio=kinolorber.htm" TargetMode="External"/><Relationship Id="rId1298" Type="http://schemas.openxmlformats.org/officeDocument/2006/relationships/hyperlink" Target="http://www.boxofficemojo.com/schedule/?view=bydate&amp;release=theatrical&amp;date=2013-09-06&amp;p=.htm" TargetMode="External"/><Relationship Id="rId1299" Type="http://schemas.openxmlformats.org/officeDocument/2006/relationships/hyperlink" Target="http://www.boxofficemojo.com/movies/?id=ipman2013.htm" TargetMode="External"/><Relationship Id="rId1684" Type="http://schemas.openxmlformats.org/officeDocument/2006/relationships/hyperlink" Target="http://www.boxofficemojo.com/studio/chart/?studio=tribecafilm.htm" TargetMode="External"/><Relationship Id="rId1685" Type="http://schemas.openxmlformats.org/officeDocument/2006/relationships/hyperlink" Target="http://www.boxofficemojo.com/schedule/?view=bydate&amp;release=theatrical&amp;date=2013-10-11&amp;p=.htm" TargetMode="External"/><Relationship Id="rId1686" Type="http://schemas.openxmlformats.org/officeDocument/2006/relationships/hyperlink" Target="http://www.boxofficemojo.com/movies/?id=endoflove.htm" TargetMode="External"/><Relationship Id="rId1687" Type="http://schemas.openxmlformats.org/officeDocument/2006/relationships/hyperlink" Target="http://www.boxofficemojo.com/studio/chart/?studio=variancefilms.htm" TargetMode="External"/><Relationship Id="rId1688" Type="http://schemas.openxmlformats.org/officeDocument/2006/relationships/hyperlink" Target="http://www.boxofficemojo.com/schedule/?view=bydate&amp;release=theatrical&amp;date=2013-03-01&amp;p=.htm" TargetMode="External"/><Relationship Id="rId1689" Type="http://schemas.openxmlformats.org/officeDocument/2006/relationships/hyperlink" Target="http://www.boxofficemojo.com/movies/?id=200cartas.htm" TargetMode="External"/><Relationship Id="rId820" Type="http://schemas.openxmlformats.org/officeDocument/2006/relationships/hyperlink" Target="http://www.boxofficemojo.com/studio/chart/?studio=cohenmedia.htm" TargetMode="External"/><Relationship Id="rId821" Type="http://schemas.openxmlformats.org/officeDocument/2006/relationships/hyperlink" Target="http://www.boxofficemojo.com/schedule/?view=bydate&amp;release=theatrical&amp;date=2013-08-16&amp;p=.htm" TargetMode="External"/><Relationship Id="rId822" Type="http://schemas.openxmlformats.org/officeDocument/2006/relationships/hyperlink" Target="http://www.boxofficemojo.com/movies/?id=anonymouspeople.htm" TargetMode="External"/><Relationship Id="rId823" Type="http://schemas.openxmlformats.org/officeDocument/2006/relationships/hyperlink" Target="http://www.boxofficemojo.com/studio/chart/?studio=alivemind.htm" TargetMode="External"/><Relationship Id="rId430" Type="http://schemas.openxmlformats.org/officeDocument/2006/relationships/hyperlink" Target="http://www.boxofficemojo.com/studio/chart/?studio=relativity.htm" TargetMode="External"/><Relationship Id="rId431" Type="http://schemas.openxmlformats.org/officeDocument/2006/relationships/hyperlink" Target="http://www.boxofficemojo.com/schedule/?view=bydate&amp;release=theatrical&amp;date=2013-08-16&amp;p=.htm" TargetMode="External"/><Relationship Id="rId432" Type="http://schemas.openxmlformats.org/officeDocument/2006/relationships/hyperlink" Target="http://www.boxofficemojo.com/movies/?id=blacknativity.htm" TargetMode="External"/><Relationship Id="rId433" Type="http://schemas.openxmlformats.org/officeDocument/2006/relationships/hyperlink" Target="http://www.boxofficemojo.com/studio/chart/?studio=foxsearchlight.htm" TargetMode="External"/><Relationship Id="rId434" Type="http://schemas.openxmlformats.org/officeDocument/2006/relationships/hyperlink" Target="http://www.boxofficemojo.com/schedule/?view=bydate&amp;release=theatrical&amp;date=2013-11-27&amp;p=.htm" TargetMode="External"/><Relationship Id="rId435" Type="http://schemas.openxmlformats.org/officeDocument/2006/relationships/hyperlink" Target="http://www.boxofficemojo.com/movies/?id=spectacularnow.htm" TargetMode="External"/><Relationship Id="rId436" Type="http://schemas.openxmlformats.org/officeDocument/2006/relationships/hyperlink" Target="http://www.boxofficemojo.com/studio/chart/?studio=a24.htm" TargetMode="External"/><Relationship Id="rId437" Type="http://schemas.openxmlformats.org/officeDocument/2006/relationships/hyperlink" Target="http://www.boxofficemojo.com/schedule/?view=bydate&amp;release=theatrical&amp;date=2013-08-02&amp;p=.htm" TargetMode="External"/><Relationship Id="rId438" Type="http://schemas.openxmlformats.org/officeDocument/2006/relationships/hyperlink" Target="http://www.boxofficemojo.com/movies/?id=grandmasters.htm" TargetMode="External"/><Relationship Id="rId439" Type="http://schemas.openxmlformats.org/officeDocument/2006/relationships/hyperlink" Target="http://www.boxofficemojo.com/studio/chart/?studio=weinsteincompany.htm" TargetMode="External"/><Relationship Id="rId824" Type="http://schemas.openxmlformats.org/officeDocument/2006/relationships/hyperlink" Target="http://www.boxofficemojo.com/schedule/?view=bydate&amp;release=theatrical&amp;date=2013-08-16&amp;p=.htm" TargetMode="External"/><Relationship Id="rId825" Type="http://schemas.openxmlformats.org/officeDocument/2006/relationships/hyperlink" Target="http://www.boxofficemojo.com/movies/?id=blancanieves.htm" TargetMode="External"/><Relationship Id="rId826" Type="http://schemas.openxmlformats.org/officeDocument/2006/relationships/hyperlink" Target="http://www.boxofficemojo.com/studio/chart/?studio=cohenmedia.htm" TargetMode="External"/><Relationship Id="rId827" Type="http://schemas.openxmlformats.org/officeDocument/2006/relationships/hyperlink" Target="http://www.boxofficemojo.com/schedule/?view=bydate&amp;release=theatrical&amp;date=2013-03-29&amp;p=.htm" TargetMode="External"/><Relationship Id="rId828" Type="http://schemas.openxmlformats.org/officeDocument/2006/relationships/hyperlink" Target="http://www.boxofficemojo.com/movies/?id=himmatwala.htm" TargetMode="External"/><Relationship Id="rId829" Type="http://schemas.openxmlformats.org/officeDocument/2006/relationships/hyperlink" Target="http://www.boxofficemojo.com/studio/chart/?studio=utv.htm" TargetMode="External"/><Relationship Id="rId1690" Type="http://schemas.openxmlformats.org/officeDocument/2006/relationships/hyperlink" Target="http://www.boxofficemojo.com/studio/chart/?studio=vanguardia.htm" TargetMode="External"/><Relationship Id="rId1691" Type="http://schemas.openxmlformats.org/officeDocument/2006/relationships/hyperlink" Target="http://www.boxofficemojo.com/schedule/?view=bydate&amp;release=theatrical&amp;date=2013-06-14&amp;p=.htm" TargetMode="External"/><Relationship Id="rId1692" Type="http://schemas.openxmlformats.org/officeDocument/2006/relationships/hyperlink" Target="http://www.boxofficemojo.com/movies/?id=bettermuscome.htm" TargetMode="External"/><Relationship Id="rId1693" Type="http://schemas.openxmlformats.org/officeDocument/2006/relationships/hyperlink" Target="http://www.boxofficemojo.com/studio/chart/?studio=affrm.htm" TargetMode="External"/><Relationship Id="rId1694" Type="http://schemas.openxmlformats.org/officeDocument/2006/relationships/hyperlink" Target="http://www.boxofficemojo.com/schedule/?view=bydate&amp;release=theatrical&amp;date=2013-03-15&amp;p=.htm" TargetMode="External"/><Relationship Id="rId1695" Type="http://schemas.openxmlformats.org/officeDocument/2006/relationships/hyperlink" Target="http://www.boxofficemojo.com/movies/?id=11flowers.htm" TargetMode="External"/><Relationship Id="rId1696" Type="http://schemas.openxmlformats.org/officeDocument/2006/relationships/hyperlink" Target="http://www.boxofficemojo.com/studio/chart/?studio=firstrun.htm" TargetMode="External"/><Relationship Id="rId1697" Type="http://schemas.openxmlformats.org/officeDocument/2006/relationships/hyperlink" Target="http://www.boxofficemojo.com/schedule/?view=bydate&amp;release=theatrical&amp;date=2013-02-22&amp;p=.htm" TargetMode="External"/><Relationship Id="rId1698" Type="http://schemas.openxmlformats.org/officeDocument/2006/relationships/hyperlink" Target="http://www.boxofficemojo.com/movies/?id=ghostteamone.htm" TargetMode="External"/><Relationship Id="rId1699" Type="http://schemas.openxmlformats.org/officeDocument/2006/relationships/hyperlink" Target="http://www.boxofficemojo.com/studio/chart/?studio=filmarcade.htm" TargetMode="External"/><Relationship Id="rId830" Type="http://schemas.openxmlformats.org/officeDocument/2006/relationships/hyperlink" Target="http://www.boxofficemojo.com/schedule/?view=bydate&amp;release=theatrical&amp;date=2013-03-29&amp;p=.htm" TargetMode="External"/><Relationship Id="rId831" Type="http://schemas.openxmlformats.org/officeDocument/2006/relationships/hyperlink" Target="http://www.boxofficemojo.com/movies/?id=greatexpectations2013.htm" TargetMode="External"/><Relationship Id="rId832" Type="http://schemas.openxmlformats.org/officeDocument/2006/relationships/hyperlink" Target="http://www.boxofficemojo.com/studio/chart/?studio=mainstreetfilms.htm" TargetMode="External"/><Relationship Id="rId833" Type="http://schemas.openxmlformats.org/officeDocument/2006/relationships/hyperlink" Target="http://www.boxofficemojo.com/schedule/?view=bydate&amp;release=theatrical&amp;date=2013-11-08&amp;p=.htm" TargetMode="External"/><Relationship Id="rId440" Type="http://schemas.openxmlformats.org/officeDocument/2006/relationships/hyperlink" Target="http://www.boxofficemojo.com/schedule/?view=bydate&amp;release=theatrical&amp;date=2013-08-23&amp;p=.htm" TargetMode="External"/><Relationship Id="rId441" Type="http://schemas.openxmlformats.org/officeDocument/2006/relationships/hyperlink" Target="http://www.boxofficemojo.com/movies/?id=allislost.htm" TargetMode="External"/><Relationship Id="rId442" Type="http://schemas.openxmlformats.org/officeDocument/2006/relationships/hyperlink" Target="http://www.boxofficemojo.com/studio/chart/?studio=roadsideattractions.htm" TargetMode="External"/><Relationship Id="rId443" Type="http://schemas.openxmlformats.org/officeDocument/2006/relationships/hyperlink" Target="http://www.boxofficemojo.com/schedule/?view=bydate&amp;release=theatrical&amp;date=2013-10-18&amp;p=.htm" TargetMode="External"/><Relationship Id="rId444" Type="http://schemas.openxmlformats.org/officeDocument/2006/relationships/hyperlink" Target="http://www.boxofficemojo.com/movies/?id=believe.htm" TargetMode="External"/><Relationship Id="rId445" Type="http://schemas.openxmlformats.org/officeDocument/2006/relationships/hyperlink" Target="http://www.boxofficemojo.com/studio/chart/?studio=openroads.htm" TargetMode="External"/><Relationship Id="rId446" Type="http://schemas.openxmlformats.org/officeDocument/2006/relationships/hyperlink" Target="http://www.boxofficemojo.com/schedule/?view=bydate&amp;release=theatrical&amp;date=2013-12-25&amp;p=.htm" TargetMode="External"/><Relationship Id="rId447" Type="http://schemas.openxmlformats.org/officeDocument/2006/relationships/hyperlink" Target="http://www.boxofficemojo.com/movies/?id=blingring.htm" TargetMode="External"/><Relationship Id="rId448" Type="http://schemas.openxmlformats.org/officeDocument/2006/relationships/hyperlink" Target="http://www.boxofficemojo.com/studio/chart/?studio=a24.htm" TargetMode="External"/><Relationship Id="rId449" Type="http://schemas.openxmlformats.org/officeDocument/2006/relationships/hyperlink" Target="http://www.boxofficemojo.com/schedule/?view=bydate&amp;release=theatrical&amp;date=2013-06-14&amp;p=.htm" TargetMode="External"/><Relationship Id="rId834" Type="http://schemas.openxmlformats.org/officeDocument/2006/relationships/hyperlink" Target="http://www.boxofficemojo.com/movies/?id=attacksof2611.htm" TargetMode="External"/><Relationship Id="rId835" Type="http://schemas.openxmlformats.org/officeDocument/2006/relationships/hyperlink" Target="http://www.boxofficemojo.com/studio/chart/?studio=eros.htm" TargetMode="External"/><Relationship Id="rId836" Type="http://schemas.openxmlformats.org/officeDocument/2006/relationships/hyperlink" Target="http://www.boxofficemojo.com/schedule/?view=bydate&amp;release=theatrical&amp;date=2013-03-01&amp;p=.htm" TargetMode="External"/><Relationship Id="rId837" Type="http://schemas.openxmlformats.org/officeDocument/2006/relationships/hyperlink" Target="http://www.boxofficemojo.com/movies/?id=summit.htm" TargetMode="External"/><Relationship Id="rId838" Type="http://schemas.openxmlformats.org/officeDocument/2006/relationships/hyperlink" Target="http://www.boxofficemojo.com/studio/chart/?studio=ifc.htm" TargetMode="External"/><Relationship Id="rId839" Type="http://schemas.openxmlformats.org/officeDocument/2006/relationships/hyperlink" Target="http://www.boxofficemojo.com/schedule/?view=bydate&amp;release=theatrical&amp;date=2013-10-04&amp;p=.htm" TargetMode="External"/><Relationship Id="rId1300" Type="http://schemas.openxmlformats.org/officeDocument/2006/relationships/hyperlink" Target="http://www.boxofficemojo.com/studio/chart/?studio=wellgo.htm" TargetMode="External"/><Relationship Id="rId1301" Type="http://schemas.openxmlformats.org/officeDocument/2006/relationships/hyperlink" Target="http://www.boxofficemojo.com/schedule/?view=bydate&amp;release=theatrical&amp;date=2013-09-20&amp;p=.htm" TargetMode="External"/><Relationship Id="rId1302" Type="http://schemas.openxmlformats.org/officeDocument/2006/relationships/hyperlink" Target="http://www.boxofficemojo.com/movies/?id=mumia.htm" TargetMode="External"/><Relationship Id="rId1303" Type="http://schemas.openxmlformats.org/officeDocument/2006/relationships/hyperlink" Target="http://www.boxofficemojo.com/studio/chart/?studio=firstrun.htm" TargetMode="External"/><Relationship Id="rId1304" Type="http://schemas.openxmlformats.org/officeDocument/2006/relationships/hyperlink" Target="http://www.boxofficemojo.com/schedule/?view=bydate&amp;release=theatrical&amp;date=2013-02-01&amp;p=.htm" TargetMode="External"/><Relationship Id="rId1305" Type="http://schemas.openxmlformats.org/officeDocument/2006/relationships/hyperlink" Target="http://www.boxofficemojo.com/movies/?id=bigsur.htm" TargetMode="External"/><Relationship Id="rId1306" Type="http://schemas.openxmlformats.org/officeDocument/2006/relationships/hyperlink" Target="http://www.boxofficemojo.com/studio/chart/?studio=ketchup.htm" TargetMode="External"/><Relationship Id="rId1307" Type="http://schemas.openxmlformats.org/officeDocument/2006/relationships/hyperlink" Target="http://www.boxofficemojo.com/schedule/?view=bydate&amp;release=theatrical&amp;date=2013-11-01&amp;p=.htm" TargetMode="External"/><Relationship Id="rId1308" Type="http://schemas.openxmlformats.org/officeDocument/2006/relationships/hyperlink" Target="http://www.boxofficemojo.com/movies/?id=savannah.htm" TargetMode="External"/><Relationship Id="rId1309" Type="http://schemas.openxmlformats.org/officeDocument/2006/relationships/hyperlink" Target="http://www.boxofficemojo.com/studio/chart/?studio=ketchup.htm" TargetMode="External"/><Relationship Id="rId840" Type="http://schemas.openxmlformats.org/officeDocument/2006/relationships/hyperlink" Target="http://www.boxofficemojo.com/movies/?id=likesomeoneinlove.htm" TargetMode="External"/><Relationship Id="rId841" Type="http://schemas.openxmlformats.org/officeDocument/2006/relationships/hyperlink" Target="http://www.boxofficemojo.com/studio/chart/?studio=ifc.htm" TargetMode="External"/><Relationship Id="rId450" Type="http://schemas.openxmlformats.org/officeDocument/2006/relationships/hyperlink" Target="http://www.boxofficemojo.com/movies/?id=pullingstrings.htm" TargetMode="External"/><Relationship Id="rId451" Type="http://schemas.openxmlformats.org/officeDocument/2006/relationships/hyperlink" Target="http://www.boxofficemojo.com/studio/chart/?studio=lionsgate.htm" TargetMode="External"/><Relationship Id="rId452" Type="http://schemas.openxmlformats.org/officeDocument/2006/relationships/hyperlink" Target="http://www.boxofficemojo.com/schedule/?view=bydate&amp;release=theatrical&amp;date=2013-10-04&amp;p=.htm" TargetMode="External"/><Relationship Id="rId453" Type="http://schemas.openxmlformats.org/officeDocument/2006/relationships/hyperlink" Target="http://www.boxofficemojo.com/movies/?id=closedcircuit.htm" TargetMode="External"/><Relationship Id="rId454" Type="http://schemas.openxmlformats.org/officeDocument/2006/relationships/hyperlink" Target="http://www.boxofficemojo.com/studio/chart/?studio=focus.htm" TargetMode="External"/><Relationship Id="rId455" Type="http://schemas.openxmlformats.org/officeDocument/2006/relationships/hyperlink" Target="http://www.boxofficemojo.com/schedule/?view=bydate&amp;release=theatrical&amp;date=2013-08-28&amp;p=.htm" TargetMode="External"/><Relationship Id="rId456" Type="http://schemas.openxmlformats.org/officeDocument/2006/relationships/hyperlink" Target="http://www.boxofficemojo.com/movies/?id=wizardofozimax.htm" TargetMode="External"/><Relationship Id="rId457" Type="http://schemas.openxmlformats.org/officeDocument/2006/relationships/hyperlink" Target="http://www.boxofficemojo.com/studio/chart/?studio=warnerbros.htm" TargetMode="External"/><Relationship Id="rId458" Type="http://schemas.openxmlformats.org/officeDocument/2006/relationships/hyperlink" Target="http://www.boxofficemojo.com/schedule/?view=bydate&amp;release=theatrical&amp;date=2013-09-20&amp;p=.htm" TargetMode="External"/><Relationship Id="rId459" Type="http://schemas.openxmlformats.org/officeDocument/2006/relationships/hyperlink" Target="http://www.boxofficemojo.com/movies/?id=chennaiexpress.htm" TargetMode="External"/><Relationship Id="rId842" Type="http://schemas.openxmlformats.org/officeDocument/2006/relationships/hyperlink" Target="http://www.boxofficemojo.com/schedule/?view=bydate&amp;release=theatrical&amp;date=2013-02-15&amp;p=.htm" TargetMode="External"/><Relationship Id="rId843" Type="http://schemas.openxmlformats.org/officeDocument/2006/relationships/hyperlink" Target="http://www.boxofficemojo.com/movies/?id=aplaceatthetable.htm" TargetMode="External"/><Relationship Id="rId844" Type="http://schemas.openxmlformats.org/officeDocument/2006/relationships/hyperlink" Target="http://www.boxofficemojo.com/studio/chart/?studio=magnolia.htm" TargetMode="External"/><Relationship Id="rId845" Type="http://schemas.openxmlformats.org/officeDocument/2006/relationships/hyperlink" Target="http://www.boxofficemojo.com/schedule/?view=bydate&amp;release=theatrical&amp;date=2013-03-01&amp;p=.htm" TargetMode="External"/><Relationship Id="rId846" Type="http://schemas.openxmlformats.org/officeDocument/2006/relationships/hyperlink" Target="http://www.boxofficemojo.com/movies/?id=inappropriatecomedy.htm" TargetMode="External"/><Relationship Id="rId847" Type="http://schemas.openxmlformats.org/officeDocument/2006/relationships/hyperlink" Target="http://www.boxofficemojo.com/studio/chart/?studio=fs.htm" TargetMode="External"/><Relationship Id="rId848" Type="http://schemas.openxmlformats.org/officeDocument/2006/relationships/hyperlink" Target="http://www.boxofficemojo.com/schedule/?view=bydate&amp;release=theatrical&amp;date=2013-03-22&amp;p=.htm" TargetMode="External"/><Relationship Id="rId849" Type="http://schemas.openxmlformats.org/officeDocument/2006/relationships/hyperlink" Target="http://www.boxofficemojo.com/movies/?id=singhsaabthegreat.htm" TargetMode="External"/><Relationship Id="rId1700" Type="http://schemas.openxmlformats.org/officeDocument/2006/relationships/hyperlink" Target="http://www.boxofficemojo.com/schedule/?view=bydate&amp;release=theatrical&amp;date=2013-10-11&amp;p=.htm" TargetMode="External"/><Relationship Id="rId1701" Type="http://schemas.openxmlformats.org/officeDocument/2006/relationships/hyperlink" Target="http://www.boxofficemojo.com/movies/?id=troubleeveryday.htm" TargetMode="External"/><Relationship Id="rId1702" Type="http://schemas.openxmlformats.org/officeDocument/2006/relationships/hyperlink" Target="http://www.boxofficemojo.com/studio/chart/?studio=thefilmdesk.htm" TargetMode="External"/><Relationship Id="rId1703" Type="http://schemas.openxmlformats.org/officeDocument/2006/relationships/hyperlink" Target="http://www.boxofficemojo.com/schedule/?view=bydate&amp;release=theatrical&amp;date=2013-10-11&amp;p=.htm" TargetMode="External"/><Relationship Id="rId1310" Type="http://schemas.openxmlformats.org/officeDocument/2006/relationships/hyperlink" Target="http://www.boxofficemojo.com/schedule/?view=bydate&amp;release=theatrical&amp;date=2013-08-23&amp;p=.htm" TargetMode="External"/><Relationship Id="rId1311" Type="http://schemas.openxmlformats.org/officeDocument/2006/relationships/hyperlink" Target="http://www.boxofficemojo.com/movies/?id=redemption2013.htm" TargetMode="External"/><Relationship Id="rId1312" Type="http://schemas.openxmlformats.org/officeDocument/2006/relationships/hyperlink" Target="http://www.boxofficemojo.com/studio/chart/?studio=roadsideattractions.htm" TargetMode="External"/><Relationship Id="rId1313" Type="http://schemas.openxmlformats.org/officeDocument/2006/relationships/hyperlink" Target="http://www.boxofficemojo.com/schedule/?view=bydate&amp;release=theatrical&amp;date=2013-06-28&amp;p=.htm" TargetMode="External"/><Relationship Id="rId1314" Type="http://schemas.openxmlformats.org/officeDocument/2006/relationships/hyperlink" Target="http://www.boxofficemojo.com/movies/?id=servant2013.htm" TargetMode="External"/><Relationship Id="rId1315" Type="http://schemas.openxmlformats.org/officeDocument/2006/relationships/hyperlink" Target="http://www.boxofficemojo.com/studio/chart/?studio=rialto.htm" TargetMode="External"/><Relationship Id="rId1316" Type="http://schemas.openxmlformats.org/officeDocument/2006/relationships/hyperlink" Target="http://www.boxofficemojo.com/schedule/?view=bydate&amp;release=theatrical&amp;date=2013-07-26&amp;p=.htm" TargetMode="External"/><Relationship Id="rId1317" Type="http://schemas.openxmlformats.org/officeDocument/2006/relationships/hyperlink" Target="http://www.boxofficemojo.com/movies/?id=touchyfeely.htm" TargetMode="External"/><Relationship Id="rId1318" Type="http://schemas.openxmlformats.org/officeDocument/2006/relationships/hyperlink" Target="http://www.boxofficemojo.com/studio/chart/?studio=magnolia.htm" TargetMode="External"/><Relationship Id="rId1319" Type="http://schemas.openxmlformats.org/officeDocument/2006/relationships/hyperlink" Target="http://www.boxofficemojo.com/schedule/?view=bydate&amp;release=theatrical&amp;date=2013-09-06&amp;p=.htm" TargetMode="External"/><Relationship Id="rId850" Type="http://schemas.openxmlformats.org/officeDocument/2006/relationships/hyperlink" Target="http://www.boxofficemojo.com/studio/chart/?studio=eros.htm" TargetMode="External"/><Relationship Id="rId851" Type="http://schemas.openxmlformats.org/officeDocument/2006/relationships/hyperlink" Target="http://www.boxofficemojo.com/schedule/?view=bydate&amp;release=theatrical&amp;date=2013-11-22&amp;p=.htm" TargetMode="External"/><Relationship Id="rId460" Type="http://schemas.openxmlformats.org/officeDocument/2006/relationships/hyperlink" Target="http://www.boxofficemojo.com/studio/chart/?studio=utv.htm" TargetMode="External"/><Relationship Id="rId461" Type="http://schemas.openxmlformats.org/officeDocument/2006/relationships/hyperlink" Target="http://www.boxofficemojo.com/schedule/?view=bydate&amp;release=theatrical&amp;date=2013-08-08&amp;p=.htm" TargetMode="External"/><Relationship Id="rId462" Type="http://schemas.openxmlformats.org/officeDocument/2006/relationships/hyperlink" Target="http://www.boxofficemojo.com/movies/?id=companyyoukeep.htm" TargetMode="External"/><Relationship Id="rId463" Type="http://schemas.openxmlformats.org/officeDocument/2006/relationships/hyperlink" Target="http://www.boxofficemojo.com/studio/chart/?studio=sonyclassics.htm" TargetMode="External"/><Relationship Id="rId464" Type="http://schemas.openxmlformats.org/officeDocument/2006/relationships/hyperlink" Target="http://www.boxofficemojo.com/schedule/?view=bydate&amp;release=theatrical&amp;date=2013-04-05&amp;p=.htm" TargetMode="External"/><Relationship Id="rId465" Type="http://schemas.openxmlformats.org/officeDocument/2006/relationships/hyperlink" Target="http://www.boxofficemojo.com/movies/?id=20feetfromstardom.htm" TargetMode="External"/><Relationship Id="rId466" Type="http://schemas.openxmlformats.org/officeDocument/2006/relationships/hyperlink" Target="http://www.boxofficemojo.com/studio/chart/?studio=radiustwc.htm" TargetMode="External"/><Relationship Id="rId467" Type="http://schemas.openxmlformats.org/officeDocument/2006/relationships/hyperlink" Target="http://www.boxofficemojo.com/schedule/?view=bydate&amp;release=theatrical&amp;date=2013-06-14&amp;p=.htm" TargetMode="External"/><Relationship Id="rId468" Type="http://schemas.openxmlformats.org/officeDocument/2006/relationships/hyperlink" Target="http://www.boxofficemojo.com/movies/?id=muchado13.htm" TargetMode="External"/><Relationship Id="rId469" Type="http://schemas.openxmlformats.org/officeDocument/2006/relationships/hyperlink" Target="http://www.boxofficemojo.com/studio/chart/?studio=roadsideattractions.htm" TargetMode="External"/><Relationship Id="rId852" Type="http://schemas.openxmlformats.org/officeDocument/2006/relationships/hyperlink" Target="http://www.boxofficemojo.com/movies/?id=abcd2013.htm" TargetMode="External"/><Relationship Id="rId853" Type="http://schemas.openxmlformats.org/officeDocument/2006/relationships/hyperlink" Target="http://www.boxofficemojo.com/studio/chart/?studio=utv.htm" TargetMode="External"/><Relationship Id="rId854" Type="http://schemas.openxmlformats.org/officeDocument/2006/relationships/hyperlink" Target="http://www.boxofficemojo.com/schedule/?view=bydate&amp;release=theatrical&amp;date=2013-02-08&amp;p=.htm" TargetMode="External"/><Relationship Id="rId855" Type="http://schemas.openxmlformats.org/officeDocument/2006/relationships/hyperlink" Target="http://www.boxofficemojo.com/movies/?id=hautecuisine.htm" TargetMode="External"/><Relationship Id="rId856" Type="http://schemas.openxmlformats.org/officeDocument/2006/relationships/hyperlink" Target="http://www.boxofficemojo.com/studio/chart/?studio=weinsteincompany.htm" TargetMode="External"/><Relationship Id="rId857" Type="http://schemas.openxmlformats.org/officeDocument/2006/relationships/hyperlink" Target="http://www.boxofficemojo.com/schedule/?view=bydate&amp;release=theatrical&amp;date=2013-09-20&amp;p=.htm" TargetMode="External"/><Relationship Id="rId858" Type="http://schemas.openxmlformats.org/officeDocument/2006/relationships/hyperlink" Target="http://www.boxofficemojo.com/movies/?id=arthurnewman.htm" TargetMode="External"/><Relationship Id="rId859" Type="http://schemas.openxmlformats.org/officeDocument/2006/relationships/hyperlink" Target="http://www.boxofficemojo.com/studio/chart/?studio=cinedigmentertainment.htm" TargetMode="External"/><Relationship Id="rId1704" Type="http://schemas.openxmlformats.org/officeDocument/2006/relationships/hyperlink" Target="http://www.boxofficemojo.com/movies/?id=callmekuchu.htm" TargetMode="External"/><Relationship Id="rId1705" Type="http://schemas.openxmlformats.org/officeDocument/2006/relationships/hyperlink" Target="http://www.boxofficemojo.com/studio/chart/?studio=cinedigmentertainment.htm" TargetMode="External"/><Relationship Id="rId1706" Type="http://schemas.openxmlformats.org/officeDocument/2006/relationships/hyperlink" Target="http://www.boxofficemojo.com/schedule/?view=bydate&amp;release=theatrical&amp;date=2013-06-14&amp;p=.htm" TargetMode="External"/><Relationship Id="rId1707" Type="http://schemas.openxmlformats.org/officeDocument/2006/relationships/hyperlink" Target="http://www.boxofficemojo.com/movies/?id=clandestinechildhood.htm" TargetMode="External"/><Relationship Id="rId1708" Type="http://schemas.openxmlformats.org/officeDocument/2006/relationships/hyperlink" Target="http://www.boxofficemojo.com/studio/chart/?studio=ifc.htm" TargetMode="External"/><Relationship Id="rId1709" Type="http://schemas.openxmlformats.org/officeDocument/2006/relationships/hyperlink" Target="http://www.boxofficemojo.com/schedule/?view=bydate&amp;release=theatrical&amp;date=2013-01-18&amp;p=.htm" TargetMode="External"/><Relationship Id="rId2000" Type="http://schemas.openxmlformats.org/officeDocument/2006/relationships/hyperlink" Target="http://www.boxofficemojo.com/schedule/?view=bydate&amp;release=theatrical&amp;date=2013-04-05&amp;p=.htm" TargetMode="External"/><Relationship Id="rId2001" Type="http://schemas.openxmlformats.org/officeDocument/2006/relationships/hyperlink" Target="http://www.boxofficemojo.com/movies/?id=package2013.htm" TargetMode="External"/><Relationship Id="rId2002" Type="http://schemas.openxmlformats.org/officeDocument/2006/relationships/hyperlink" Target="http://www.boxofficemojo.com/studio/chart/?studio=anchorbayentertainment.htm" TargetMode="External"/><Relationship Id="rId2003" Type="http://schemas.openxmlformats.org/officeDocument/2006/relationships/hyperlink" Target="http://www.boxofficemojo.com/schedule/?view=bydate&amp;release=theatrical&amp;date=2013-02-15&amp;p=.htm" TargetMode="External"/><Relationship Id="rId2004" Type="http://schemas.openxmlformats.org/officeDocument/2006/relationships/hyperlink" Target="http://www.boxofficemojo.com/movies/?id=officerdown.htm" TargetMode="External"/><Relationship Id="rId2005" Type="http://schemas.openxmlformats.org/officeDocument/2006/relationships/hyperlink" Target="http://www.boxofficemojo.com/studio/chart/?studio=anchorbayentertainment.htm" TargetMode="External"/><Relationship Id="rId2006" Type="http://schemas.openxmlformats.org/officeDocument/2006/relationships/hyperlink" Target="http://www.boxofficemojo.com/schedule/?view=bydate&amp;release=theatrical&amp;date=2013-01-18&amp;p=.htm" TargetMode="External"/><Relationship Id="rId2007" Type="http://schemas.openxmlformats.org/officeDocument/2006/relationships/hyperlink" Target="http://www.boxofficemojo.com/movies/?id=azombieinvasion.htm" TargetMode="External"/><Relationship Id="rId2008" Type="http://schemas.openxmlformats.org/officeDocument/2006/relationships/hyperlink" Target="http://www.boxofficemojo.com/studio/chart/?studio=afterlifepictures.htm" TargetMode="External"/><Relationship Id="rId2009" Type="http://schemas.openxmlformats.org/officeDocument/2006/relationships/hyperlink" Target="http://www.boxofficemojo.com/schedule/?view=bydate&amp;release=theatrical&amp;date=2013-12-12&amp;p=.htm" TargetMode="External"/><Relationship Id="rId1710" Type="http://schemas.openxmlformats.org/officeDocument/2006/relationships/hyperlink" Target="http://www.boxofficemojo.com/movies/?id=bigwords.htm" TargetMode="External"/><Relationship Id="rId1711" Type="http://schemas.openxmlformats.org/officeDocument/2006/relationships/hyperlink" Target="http://www.boxofficemojo.com/studio/chart/?studio=affrm.htm" TargetMode="External"/><Relationship Id="rId1712" Type="http://schemas.openxmlformats.org/officeDocument/2006/relationships/hyperlink" Target="http://www.boxofficemojo.com/schedule/?view=bydate&amp;release=theatrical&amp;date=2013-07-19&amp;p=.htm" TargetMode="External"/><Relationship Id="rId1713" Type="http://schemas.openxmlformats.org/officeDocument/2006/relationships/hyperlink" Target="http://www.boxofficemojo.com/movies/?id=whiteelephant.htm" TargetMode="External"/><Relationship Id="rId1320" Type="http://schemas.openxmlformats.org/officeDocument/2006/relationships/hyperlink" Target="http://www.boxofficemojo.com/movies/?id=faroutisntfarenough.htm" TargetMode="External"/><Relationship Id="rId1321" Type="http://schemas.openxmlformats.org/officeDocument/2006/relationships/hyperlink" Target="http://www.boxofficemojo.com/studio/chart/?studio=firstrun.htm" TargetMode="External"/><Relationship Id="rId1322" Type="http://schemas.openxmlformats.org/officeDocument/2006/relationships/hyperlink" Target="http://www.boxofficemojo.com/schedule/?view=bydate&amp;release=theatrical&amp;date=2013-06-14&amp;p=.htm" TargetMode="External"/><Relationship Id="rId1323" Type="http://schemas.openxmlformats.org/officeDocument/2006/relationships/hyperlink" Target="http://www.boxofficemojo.com/movies/?id=m2013.htm" TargetMode="External"/><Relationship Id="rId1324" Type="http://schemas.openxmlformats.org/officeDocument/2006/relationships/hyperlink" Target="http://www.boxofficemojo.com/studio/chart/?studio=kinolorber.htm" TargetMode="External"/><Relationship Id="rId1325" Type="http://schemas.openxmlformats.org/officeDocument/2006/relationships/hyperlink" Target="http://www.boxofficemojo.com/schedule/?view=bydate&amp;release=theatrical&amp;date=2013-03-15&amp;p=.htm" TargetMode="External"/><Relationship Id="rId1326" Type="http://schemas.openxmlformats.org/officeDocument/2006/relationships/hyperlink" Target="http://www.boxofficemojo.com/movies/?id=camilleclaudel1915.htm" TargetMode="External"/><Relationship Id="rId1327" Type="http://schemas.openxmlformats.org/officeDocument/2006/relationships/hyperlink" Target="http://www.boxofficemojo.com/studio/chart/?studio=kinolorber.htm" TargetMode="External"/><Relationship Id="rId1328" Type="http://schemas.openxmlformats.org/officeDocument/2006/relationships/hyperlink" Target="http://www.boxofficemojo.com/schedule/?view=bydate&amp;release=theatrical&amp;date=2013-10-16&amp;p=.htm" TargetMode="External"/><Relationship Id="rId1329" Type="http://schemas.openxmlformats.org/officeDocument/2006/relationships/hyperlink" Target="http://www.boxofficemojo.com/movies/?id=underdogs.htm" TargetMode="External"/><Relationship Id="rId860" Type="http://schemas.openxmlformats.org/officeDocument/2006/relationships/hyperlink" Target="http://www.boxofficemojo.com/schedule/?view=bydate&amp;release=theatrical&amp;date=2013-04-26&amp;p=.htm" TargetMode="External"/><Relationship Id="rId861" Type="http://schemas.openxmlformats.org/officeDocument/2006/relationships/hyperlink" Target="http://www.boxofficemojo.com/movies/?id=princeavalanche.htm" TargetMode="External"/><Relationship Id="rId470" Type="http://schemas.openxmlformats.org/officeDocument/2006/relationships/hyperlink" Target="http://www.boxofficemojo.com/schedule/?view=bydate&amp;release=theatrical&amp;date=2013-06-07&amp;p=.htm" TargetMode="External"/><Relationship Id="rId471" Type="http://schemas.openxmlformats.org/officeDocument/2006/relationships/hyperlink" Target="http://www.boxofficemojo.com/movies/?id=francisha.htm" TargetMode="External"/><Relationship Id="rId472" Type="http://schemas.openxmlformats.org/officeDocument/2006/relationships/hyperlink" Target="http://www.boxofficemojo.com/studio/chart/?studio=ifc.htm" TargetMode="External"/><Relationship Id="rId473" Type="http://schemas.openxmlformats.org/officeDocument/2006/relationships/hyperlink" Target="http://www.boxofficemojo.com/schedule/?view=bydate&amp;release=theatrical&amp;date=2013-05-17&amp;p=.htm" TargetMode="External"/><Relationship Id="rId474" Type="http://schemas.openxmlformats.org/officeDocument/2006/relationships/hyperlink" Target="http://www.boxofficemojo.com/movies/?id=yeijawaanihaideewani.htm" TargetMode="External"/><Relationship Id="rId475" Type="http://schemas.openxmlformats.org/officeDocument/2006/relationships/hyperlink" Target="http://www.boxofficemojo.com/studio/chart/?studio=eros.htm" TargetMode="External"/><Relationship Id="rId476" Type="http://schemas.openxmlformats.org/officeDocument/2006/relationships/hyperlink" Target="http://www.boxofficemojo.com/schedule/?view=bydate&amp;release=theatrical&amp;date=2013-05-31&amp;p=.htm" TargetMode="External"/><Relationship Id="rId477" Type="http://schemas.openxmlformats.org/officeDocument/2006/relationships/hyperlink" Target="http://www.boxofficemojo.com/movies/?id=todolist.htm" TargetMode="External"/><Relationship Id="rId478" Type="http://schemas.openxmlformats.org/officeDocument/2006/relationships/hyperlink" Target="http://www.boxofficemojo.com/studio/chart/?studio=cbsfilms.htm" TargetMode="External"/><Relationship Id="rId479" Type="http://schemas.openxmlformats.org/officeDocument/2006/relationships/hyperlink" Target="http://www.boxofficemojo.com/schedule/?view=bydate&amp;release=theatrical&amp;date=2013-07-26&amp;p=.htm" TargetMode="External"/><Relationship Id="rId862" Type="http://schemas.openxmlformats.org/officeDocument/2006/relationships/hyperlink" Target="http://www.boxofficemojo.com/studio/chart/?studio=magnolia.htm" TargetMode="External"/><Relationship Id="rId863" Type="http://schemas.openxmlformats.org/officeDocument/2006/relationships/hyperlink" Target="http://www.boxofficemojo.com/schedule/?view=bydate&amp;release=theatrical&amp;date=2013-08-09&amp;p=.htm" TargetMode="External"/><Relationship Id="rId864" Type="http://schemas.openxmlformats.org/officeDocument/2006/relationships/hyperlink" Target="http://www.boxofficemojo.com/movies/?id=ghanchakkar.htm" TargetMode="External"/><Relationship Id="rId865" Type="http://schemas.openxmlformats.org/officeDocument/2006/relationships/hyperlink" Target="http://www.boxofficemojo.com/studio/chart/?studio=utv.htm" TargetMode="External"/><Relationship Id="rId866" Type="http://schemas.openxmlformats.org/officeDocument/2006/relationships/hyperlink" Target="http://www.boxofficemojo.com/schedule/?view=bydate&amp;release=theatrical&amp;date=2013-06-28&amp;p=.htm" TargetMode="External"/><Relationship Id="rId867" Type="http://schemas.openxmlformats.org/officeDocument/2006/relationships/hyperlink" Target="http://www.boxofficemojo.com/movies/?id=crystalfairy.htm" TargetMode="External"/><Relationship Id="rId868" Type="http://schemas.openxmlformats.org/officeDocument/2006/relationships/hyperlink" Target="http://www.boxofficemojo.com/studio/chart/?studio=ifc.htm" TargetMode="External"/><Relationship Id="rId869" Type="http://schemas.openxmlformats.org/officeDocument/2006/relationships/hyperlink" Target="http://www.boxofficemojo.com/schedule/?view=bydate&amp;release=theatrical&amp;date=2013-07-12&amp;p=.htm" TargetMode="External"/><Relationship Id="rId1714" Type="http://schemas.openxmlformats.org/officeDocument/2006/relationships/hyperlink" Target="http://www.boxofficemojo.com/studio/chart/?studio=strand.htm" TargetMode="External"/><Relationship Id="rId1715" Type="http://schemas.openxmlformats.org/officeDocument/2006/relationships/hyperlink" Target="http://www.boxofficemojo.com/schedule/?view=bydate&amp;release=theatrical&amp;date=2013-03-29&amp;p=.htm" TargetMode="External"/><Relationship Id="rId1716" Type="http://schemas.openxmlformats.org/officeDocument/2006/relationships/hyperlink" Target="http://www.boxofficemojo.com/movies/?id=hellbaby.htm" TargetMode="External"/><Relationship Id="rId1717" Type="http://schemas.openxmlformats.org/officeDocument/2006/relationships/hyperlink" Target="http://www.boxofficemojo.com/studio/chart/?studio=millenniumentertainment.htm" TargetMode="External"/><Relationship Id="rId1718" Type="http://schemas.openxmlformats.org/officeDocument/2006/relationships/hyperlink" Target="http://www.boxofficemojo.com/schedule/?view=bydate&amp;release=theatrical&amp;date=2013-09-06&amp;p=.htm" TargetMode="External"/><Relationship Id="rId1719" Type="http://schemas.openxmlformats.org/officeDocument/2006/relationships/hyperlink" Target="http://www.boxofficemojo.com/movies/?id=institute.htm" TargetMode="External"/><Relationship Id="rId2010" Type="http://schemas.openxmlformats.org/officeDocument/2006/relationships/hyperlink" Target="http://www.boxofficemojo.com/movies/?id=veer2013.htm" TargetMode="External"/><Relationship Id="rId2011" Type="http://schemas.openxmlformats.org/officeDocument/2006/relationships/hyperlink" Target="http://www.boxofficemojo.com/studio/chart/?studio=bluellama.htm" TargetMode="External"/><Relationship Id="rId2012" Type="http://schemas.openxmlformats.org/officeDocument/2006/relationships/hyperlink" Target="http://www.boxofficemojo.com/schedule/?view=bydate&amp;release=theatrical&amp;date=2013-03-01&amp;p=.htm" TargetMode="External"/><Relationship Id="rId2013" Type="http://schemas.openxmlformats.org/officeDocument/2006/relationships/hyperlink" Target="http://www.boxofficemojo.com/movies/?id=caughtintheweb.htm" TargetMode="External"/><Relationship Id="rId2014" Type="http://schemas.openxmlformats.org/officeDocument/2006/relationships/hyperlink" Target="http://www.boxofficemojo.com/studio/chart/?studio=vitagraph.htm" TargetMode="External"/><Relationship Id="rId2015" Type="http://schemas.openxmlformats.org/officeDocument/2006/relationships/hyperlink" Target="http://www.boxofficemojo.com/schedule/?view=bydate&amp;release=theatrical&amp;date=2013-11-27&amp;p=.htm" TargetMode="External"/><Relationship Id="rId2016" Type="http://schemas.openxmlformats.org/officeDocument/2006/relationships/hyperlink" Target="http://www.boxofficemojo.com/movies/?id=javaheat.htm" TargetMode="External"/><Relationship Id="rId2017" Type="http://schemas.openxmlformats.org/officeDocument/2006/relationships/hyperlink" Target="http://www.boxofficemojo.com/studio/chart/?studio=ifc.htm" TargetMode="External"/><Relationship Id="rId2018" Type="http://schemas.openxmlformats.org/officeDocument/2006/relationships/hyperlink" Target="http://www.boxofficemojo.com/schedule/?view=bydate&amp;release=theatrical&amp;date=2013-05-10&amp;p=.htm" TargetMode="External"/><Relationship Id="rId2019" Type="http://schemas.openxmlformats.org/officeDocument/2006/relationships/hyperlink" Target="http://www.boxofficemojo.com/movies/?id=pariscountdown.htm" TargetMode="External"/><Relationship Id="rId1720" Type="http://schemas.openxmlformats.org/officeDocument/2006/relationships/hyperlink" Target="http://www.boxofficemojo.com/studio/chart/?studio=argotpictures.htm" TargetMode="External"/><Relationship Id="rId1721" Type="http://schemas.openxmlformats.org/officeDocument/2006/relationships/hyperlink" Target="http://www.boxofficemojo.com/schedule/?view=bydate&amp;release=theatrical&amp;date=2013-10-04&amp;p=.htm" TargetMode="External"/><Relationship Id="rId1722" Type="http://schemas.openxmlformats.org/officeDocument/2006/relationships/hyperlink" Target="http://www.boxofficemojo.com/movies/?id=helloherman.htm" TargetMode="External"/><Relationship Id="rId1723" Type="http://schemas.openxmlformats.org/officeDocument/2006/relationships/hyperlink" Target="http://www.boxofficemojo.com/studio/chart/?studio=fs.htm" TargetMode="External"/><Relationship Id="rId1330" Type="http://schemas.openxmlformats.org/officeDocument/2006/relationships/hyperlink" Target="http://www.boxofficemojo.com/studio/chart/?studio=fs.htm" TargetMode="External"/><Relationship Id="rId1331" Type="http://schemas.openxmlformats.org/officeDocument/2006/relationships/hyperlink" Target="http://www.boxofficemojo.com/schedule/?view=bydate&amp;release=theatrical&amp;date=2013-08-16&amp;p=.htm" TargetMode="External"/><Relationship Id="rId1332" Type="http://schemas.openxmlformats.org/officeDocument/2006/relationships/hyperlink" Target="http://www.boxofficemojo.com/movies/?id=mauvaissang.htm" TargetMode="External"/><Relationship Id="rId1333" Type="http://schemas.openxmlformats.org/officeDocument/2006/relationships/hyperlink" Target="http://www.boxofficemojo.com/studio/chart/?studio=carlotta.htm" TargetMode="External"/><Relationship Id="rId1334" Type="http://schemas.openxmlformats.org/officeDocument/2006/relationships/hyperlink" Target="http://www.boxofficemojo.com/schedule/?view=bydate&amp;release=theatrical&amp;date=2013-11-29&amp;p=.htm" TargetMode="External"/><Relationship Id="rId1335" Type="http://schemas.openxmlformats.org/officeDocument/2006/relationships/hyperlink" Target="http://www.boxofficemojo.com/movies/?id=taichihero.htm" TargetMode="External"/><Relationship Id="rId1336" Type="http://schemas.openxmlformats.org/officeDocument/2006/relationships/hyperlink" Target="http://www.boxofficemojo.com/studio/chart/?studio=wellgo.htm" TargetMode="External"/><Relationship Id="rId1337" Type="http://schemas.openxmlformats.org/officeDocument/2006/relationships/hyperlink" Target="http://www.boxofficemojo.com/schedule/?view=bydate&amp;release=theatrical&amp;date=2013-04-26&amp;p=.htm" TargetMode="External"/><Relationship Id="rId1338" Type="http://schemas.openxmlformats.org/officeDocument/2006/relationships/hyperlink" Target="http://www.boxofficemojo.com/movies/?id=girl2013.htm" TargetMode="External"/><Relationship Id="rId1339" Type="http://schemas.openxmlformats.org/officeDocument/2006/relationships/hyperlink" Target="http://www.boxofficemojo.com/studio/chart/?studio=brainstormmedia.htm" TargetMode="External"/><Relationship Id="rId870" Type="http://schemas.openxmlformats.org/officeDocument/2006/relationships/hyperlink" Target="http://www.boxofficemojo.com/movies/?id=noplaceonearth.htm" TargetMode="External"/><Relationship Id="rId871" Type="http://schemas.openxmlformats.org/officeDocument/2006/relationships/hyperlink" Target="http://www.boxofficemojo.com/studio/chart/?studio=magnolia.htm" TargetMode="External"/><Relationship Id="rId480" Type="http://schemas.openxmlformats.org/officeDocument/2006/relationships/hyperlink" Target="http://www.boxofficemojo.com/movies/?id=metallica2013.htm" TargetMode="External"/><Relationship Id="rId481" Type="http://schemas.openxmlformats.org/officeDocument/2006/relationships/hyperlink" Target="http://www.boxofficemojo.com/studio/chart/?studio=picturehouse2.htm" TargetMode="External"/><Relationship Id="rId482" Type="http://schemas.openxmlformats.org/officeDocument/2006/relationships/hyperlink" Target="http://www.boxofficemojo.com/schedule/?view=bydate&amp;release=theatrical&amp;date=2013-09-27&amp;p=.htm" TargetMode="External"/><Relationship Id="rId483" Type="http://schemas.openxmlformats.org/officeDocument/2006/relationships/hyperlink" Target="http://www.boxofficemojo.com/movies/?id=emperor.htm" TargetMode="External"/><Relationship Id="rId484" Type="http://schemas.openxmlformats.org/officeDocument/2006/relationships/hyperlink" Target="http://www.boxofficemojo.com/studio/chart/?studio=roadsideattractions.htm" TargetMode="External"/><Relationship Id="rId485" Type="http://schemas.openxmlformats.org/officeDocument/2006/relationships/hyperlink" Target="http://www.boxofficemojo.com/schedule/?view=bydate&amp;release=theatrical&amp;date=2013-03-08&amp;p=.htm" TargetMode="External"/><Relationship Id="rId486" Type="http://schemas.openxmlformats.org/officeDocument/2006/relationships/hyperlink" Target="http://www.boxofficemojo.com/movies/?id=standupguys.htm" TargetMode="External"/><Relationship Id="rId487" Type="http://schemas.openxmlformats.org/officeDocument/2006/relationships/hyperlink" Target="http://www.boxofficemojo.com/studio/chart/?studio=lionsgate.htm" TargetMode="External"/><Relationship Id="rId488" Type="http://schemas.openxmlformats.org/officeDocument/2006/relationships/hyperlink" Target="http://www.boxofficemojo.com/schedule/?view=bydate&amp;release=theatrical&amp;date=2013-02-01&amp;p=.htm" TargetMode="External"/><Relationship Id="rId489" Type="http://schemas.openxmlformats.org/officeDocument/2006/relationships/hyperlink" Target="http://www.boxofficemojo.com/movies/?id=fifthestate.htm" TargetMode="External"/><Relationship Id="rId872" Type="http://schemas.openxmlformats.org/officeDocument/2006/relationships/hyperlink" Target="http://www.boxofficemojo.com/schedule/?view=bydate&amp;release=theatrical&amp;date=2013-04-05&amp;p=.htm" TargetMode="External"/><Relationship Id="rId873" Type="http://schemas.openxmlformats.org/officeDocument/2006/relationships/hyperlink" Target="http://www.boxofficemojo.com/movies/?id=cutieandtheboxer.htm" TargetMode="External"/><Relationship Id="rId874" Type="http://schemas.openxmlformats.org/officeDocument/2006/relationships/hyperlink" Target="http://www.boxofficemojo.com/studio/chart/?studio=radiustwc.htm" TargetMode="External"/><Relationship Id="rId875" Type="http://schemas.openxmlformats.org/officeDocument/2006/relationships/hyperlink" Target="http://www.boxofficemojo.com/schedule/?view=bydate&amp;release=theatrical&amp;date=2013-08-16&amp;p=.htm" TargetMode="External"/><Relationship Id="rId876" Type="http://schemas.openxmlformats.org/officeDocument/2006/relationships/hyperlink" Target="http://www.boxofficemojo.com/movies/?id=freeangela.htm" TargetMode="External"/><Relationship Id="rId877" Type="http://schemas.openxmlformats.org/officeDocument/2006/relationships/hyperlink" Target="http://www.boxofficemojo.com/studio/chart/?studio=codeblackentertainment.htm" TargetMode="External"/><Relationship Id="rId878" Type="http://schemas.openxmlformats.org/officeDocument/2006/relationships/hyperlink" Target="http://www.boxofficemojo.com/schedule/?view=bydate&amp;release=theatrical&amp;date=2013-04-05&amp;p=.htm" TargetMode="External"/><Relationship Id="rId879" Type="http://schemas.openxmlformats.org/officeDocument/2006/relationships/hyperlink" Target="http://www.boxofficemojo.com/movies/?id=midnightschildren.htm" TargetMode="External"/><Relationship Id="rId1724" Type="http://schemas.openxmlformats.org/officeDocument/2006/relationships/hyperlink" Target="http://www.boxofficemojo.com/schedule/?view=bydate&amp;release=theatrical&amp;date=2013-06-07&amp;p=.htm" TargetMode="External"/><Relationship Id="rId1725" Type="http://schemas.openxmlformats.org/officeDocument/2006/relationships/hyperlink" Target="http://www.boxofficemojo.com/movies/?id=happysad.htm" TargetMode="External"/><Relationship Id="rId1726" Type="http://schemas.openxmlformats.org/officeDocument/2006/relationships/hyperlink" Target="http://www.boxofficemojo.com/studio/chart/?studio=happysadllc.htm" TargetMode="External"/><Relationship Id="rId1727" Type="http://schemas.openxmlformats.org/officeDocument/2006/relationships/hyperlink" Target="http://www.boxofficemojo.com/schedule/?view=bydate&amp;release=theatrical&amp;date=2013-08-16&amp;p=.htm" TargetMode="External"/><Relationship Id="rId1728" Type="http://schemas.openxmlformats.org/officeDocument/2006/relationships/hyperlink" Target="http://www.boxofficemojo.com/movies/?id=downloaded.htm" TargetMode="External"/><Relationship Id="rId1729" Type="http://schemas.openxmlformats.org/officeDocument/2006/relationships/hyperlink" Target="http://www.boxofficemojo.com/studio/chart/?studio=abramorama.htm" TargetMode="External"/><Relationship Id="rId2020" Type="http://schemas.openxmlformats.org/officeDocument/2006/relationships/hyperlink" Target="http://www.boxofficemojo.com/studio/chart/?studio=screenmedia.htm" TargetMode="External"/><Relationship Id="rId2021" Type="http://schemas.openxmlformats.org/officeDocument/2006/relationships/hyperlink" Target="http://www.boxofficemojo.com/schedule/?view=bydate&amp;release=theatrical&amp;date=2013-11-08&amp;p=.htm" TargetMode="External"/><Relationship Id="rId2022" Type="http://schemas.openxmlformats.org/officeDocument/2006/relationships/hyperlink" Target="http://www.boxofficemojo.com/movies/?id=absence.htm" TargetMode="External"/><Relationship Id="rId2023" Type="http://schemas.openxmlformats.org/officeDocument/2006/relationships/hyperlink" Target="http://www.boxofficemojo.com/studio/chart/?studio=cinedigmentertainment.htm" TargetMode="External"/><Relationship Id="rId2024" Type="http://schemas.openxmlformats.org/officeDocument/2006/relationships/hyperlink" Target="http://www.boxofficemojo.com/schedule/?view=bydate&amp;release=theatrical&amp;date=2013-07-05&amp;p=.htm" TargetMode="External"/><Relationship Id="rId2025" Type="http://schemas.openxmlformats.org/officeDocument/2006/relationships/hyperlink" Target="http://www.boxofficemojo.com/movies/?id=khumba.htm" TargetMode="External"/><Relationship Id="rId2026" Type="http://schemas.openxmlformats.org/officeDocument/2006/relationships/hyperlink" Target="http://www.boxofficemojo.com/studio/chart/?studio=millenniumentertainment.htm" TargetMode="External"/><Relationship Id="rId2027" Type="http://schemas.openxmlformats.org/officeDocument/2006/relationships/hyperlink" Target="http://www.boxofficemojo.com/schedule/?view=bydate&amp;release=theatrical&amp;date=2013-12-06&amp;p=.htm" TargetMode="External"/><Relationship Id="rId2028" Type="http://schemas.openxmlformats.org/officeDocument/2006/relationships/hyperlink" Target="http://www.boxofficemojo.com/movies/?id=remnants.htm" TargetMode="External"/><Relationship Id="rId2029" Type="http://schemas.openxmlformats.org/officeDocument/2006/relationships/hyperlink" Target="http://www.boxofficemojo.com/studio/chart/?studio=afterlifepictures.htm" TargetMode="External"/><Relationship Id="rId1730" Type="http://schemas.openxmlformats.org/officeDocument/2006/relationships/hyperlink" Target="http://www.boxofficemojo.com/schedule/?view=bydate&amp;release=theatrical&amp;date=2013-06-21&amp;p=.htm" TargetMode="External"/><Relationship Id="rId1731" Type="http://schemas.openxmlformats.org/officeDocument/2006/relationships/hyperlink" Target="http://www.boxofficemojo.com/movies/?id=ateacher.htm" TargetMode="External"/><Relationship Id="rId1732" Type="http://schemas.openxmlformats.org/officeDocument/2006/relationships/hyperlink" Target="http://www.boxofficemojo.com/studio/chart/?studio=oscilloscopepictures.htm" TargetMode="External"/><Relationship Id="rId1733" Type="http://schemas.openxmlformats.org/officeDocument/2006/relationships/hyperlink" Target="http://www.boxofficemojo.com/schedule/?view=bydate&amp;release=theatrical&amp;date=2013-09-06&amp;p=.htm" TargetMode="External"/><Relationship Id="rId1340" Type="http://schemas.openxmlformats.org/officeDocument/2006/relationships/hyperlink" Target="http://www.boxofficemojo.com/schedule/?view=bydate&amp;release=theatrical&amp;date=2013-03-08&amp;p=.htm" TargetMode="External"/><Relationship Id="rId1341" Type="http://schemas.openxmlformats.org/officeDocument/2006/relationships/hyperlink" Target="http://www.boxofficemojo.com/movies/?id=igiveitayear.htm" TargetMode="External"/><Relationship Id="rId1342" Type="http://schemas.openxmlformats.org/officeDocument/2006/relationships/hyperlink" Target="http://www.boxofficemojo.com/studio/chart/?studio=magnolia.htm" TargetMode="External"/><Relationship Id="rId1343" Type="http://schemas.openxmlformats.org/officeDocument/2006/relationships/hyperlink" Target="http://www.boxofficemojo.com/schedule/?view=bydate&amp;release=theatrical&amp;date=2013-08-09&amp;p=.htm" TargetMode="External"/><Relationship Id="rId1344" Type="http://schemas.openxmlformats.org/officeDocument/2006/relationships/hyperlink" Target="http://www.boxofficemojo.com/movies/?id=bertstern.htm" TargetMode="External"/><Relationship Id="rId1345" Type="http://schemas.openxmlformats.org/officeDocument/2006/relationships/hyperlink" Target="http://www.boxofficemojo.com/studio/chart/?studio=firstrun.htm" TargetMode="External"/><Relationship Id="rId1346" Type="http://schemas.openxmlformats.org/officeDocument/2006/relationships/hyperlink" Target="http://www.boxofficemojo.com/schedule/?view=bydate&amp;release=theatrical&amp;date=2013-04-05&amp;p=.htm" TargetMode="External"/><Relationship Id="rId1347" Type="http://schemas.openxmlformats.org/officeDocument/2006/relationships/hyperlink" Target="http://www.boxofficemojo.com/movies/?id=runningfromcrazy.htm" TargetMode="External"/><Relationship Id="rId1348" Type="http://schemas.openxmlformats.org/officeDocument/2006/relationships/hyperlink" Target="http://www.boxofficemojo.com/studio/chart/?studio=vitagraph.htm" TargetMode="External"/><Relationship Id="rId1349" Type="http://schemas.openxmlformats.org/officeDocument/2006/relationships/hyperlink" Target="http://www.boxofficemojo.com/schedule/?view=bydate&amp;release=theatrical&amp;date=2013-11-01&amp;p=.htm" TargetMode="External"/><Relationship Id="rId880" Type="http://schemas.openxmlformats.org/officeDocument/2006/relationships/hyperlink" Target="http://www.boxofficemojo.com/studio/chart/?studio=paladin108.htm" TargetMode="External"/><Relationship Id="rId881" Type="http://schemas.openxmlformats.org/officeDocument/2006/relationships/hyperlink" Target="http://www.boxofficemojo.com/schedule/?view=bydate&amp;release=theatrical&amp;date=2013-04-26&amp;p=.htm" TargetMode="External"/><Relationship Id="rId490" Type="http://schemas.openxmlformats.org/officeDocument/2006/relationships/hyperlink" Target="http://www.boxofficemojo.com/studio/chart/?studio=buenavista.htm" TargetMode="External"/><Relationship Id="rId491" Type="http://schemas.openxmlformats.org/officeDocument/2006/relationships/hyperlink" Target="http://www.boxofficemojo.com/schedule/?view=bydate&amp;release=theatrical&amp;date=2013-10-18&amp;p=.htm" TargetMode="External"/><Relationship Id="rId492" Type="http://schemas.openxmlformats.org/officeDocument/2006/relationships/hyperlink" Target="http://www.boxofficemojo.com/movies/?id=topgun3d.htm" TargetMode="External"/><Relationship Id="rId493" Type="http://schemas.openxmlformats.org/officeDocument/2006/relationships/hyperlink" Target="http://www.boxofficemojo.com/studio/chart/?studio=paramount.htm" TargetMode="External"/><Relationship Id="rId494" Type="http://schemas.openxmlformats.org/officeDocument/2006/relationships/hyperlink" Target="http://www.boxofficemojo.com/schedule/?view=bydate&amp;release=theatrical&amp;date=2013-02-08&amp;p=.htm" TargetMode="External"/><Relationship Id="rId495" Type="http://schemas.openxmlformats.org/officeDocument/2006/relationships/hyperlink" Target="http://www.boxofficemojo.com/movies/?id=inaworld.htm" TargetMode="External"/><Relationship Id="rId496" Type="http://schemas.openxmlformats.org/officeDocument/2006/relationships/hyperlink" Target="http://www.boxofficemojo.com/studio/chart/?studio=roadsideattractions.htm" TargetMode="External"/><Relationship Id="rId497" Type="http://schemas.openxmlformats.org/officeDocument/2006/relationships/hyperlink" Target="http://www.boxofficemojo.com/schedule/?view=bydate&amp;release=theatrical&amp;date=2013-08-09&amp;p=.htm" TargetMode="External"/><Relationship Id="rId498" Type="http://schemas.openxmlformats.org/officeDocument/2006/relationships/hyperlink" Target="http://www.boxofficemojo.com/movies/?id=homerun.htm" TargetMode="External"/><Relationship Id="rId499" Type="http://schemas.openxmlformats.org/officeDocument/2006/relationships/hyperlink" Target="http://www.boxofficemojo.com/studio/chart/?studio=samuelgoldwyn.htm" TargetMode="External"/><Relationship Id="rId882" Type="http://schemas.openxmlformats.org/officeDocument/2006/relationships/hyperlink" Target="http://www.boxofficemojo.com/movies/?id=populaire.htm" TargetMode="External"/><Relationship Id="rId883" Type="http://schemas.openxmlformats.org/officeDocument/2006/relationships/hyperlink" Target="http://www.boxofficemojo.com/studio/chart/?studio=weinsteincompany.htm" TargetMode="External"/><Relationship Id="rId884" Type="http://schemas.openxmlformats.org/officeDocument/2006/relationships/hyperlink" Target="http://www.boxofficemojo.com/schedule/?view=bydate&amp;release=theatrical&amp;date=2013-09-06&amp;p=.htm" TargetMode="External"/><Relationship Id="rId885" Type="http://schemas.openxmlformats.org/officeDocument/2006/relationships/hyperlink" Target="http://www.boxofficemojo.com/movies/?id=acod.htm" TargetMode="External"/><Relationship Id="rId886" Type="http://schemas.openxmlformats.org/officeDocument/2006/relationships/hyperlink" Target="http://www.boxofficemojo.com/studio/chart/?studio=filmarcade.htm" TargetMode="External"/><Relationship Id="rId887" Type="http://schemas.openxmlformats.org/officeDocument/2006/relationships/hyperlink" Target="http://www.boxofficemojo.com/schedule/?view=bydate&amp;release=theatrical&amp;date=2013-10-04&amp;p=.htm" TargetMode="External"/><Relationship Id="rId888" Type="http://schemas.openxmlformats.org/officeDocument/2006/relationships/hyperlink" Target="http://www.boxofficemojo.com/movies/?id=brokencirclebreakdown.htm" TargetMode="External"/><Relationship Id="rId889" Type="http://schemas.openxmlformats.org/officeDocument/2006/relationships/hyperlink" Target="http://www.boxofficemojo.com/studio/chart/?studio=tribecafilm.htm" TargetMode="External"/><Relationship Id="rId1734" Type="http://schemas.openxmlformats.org/officeDocument/2006/relationships/hyperlink" Target="http://www.boxofficemojo.com/movies/?id=aliyah.htm" TargetMode="External"/><Relationship Id="rId1735" Type="http://schemas.openxmlformats.org/officeDocument/2006/relationships/hyperlink" Target="http://www.boxofficemojo.com/studio/chart/?studio=filmmovement.htm" TargetMode="External"/><Relationship Id="rId1736" Type="http://schemas.openxmlformats.org/officeDocument/2006/relationships/hyperlink" Target="http://www.boxofficemojo.com/schedule/?view=bydate&amp;release=theatrical&amp;date=2013-06-14&amp;p=.htm" TargetMode="External"/><Relationship Id="rId1737" Type="http://schemas.openxmlformats.org/officeDocument/2006/relationships/hyperlink" Target="http://www.boxofficemojo.com/movies/?id=dracula3d.htm" TargetMode="External"/><Relationship Id="rId1738" Type="http://schemas.openxmlformats.org/officeDocument/2006/relationships/hyperlink" Target="http://www.boxofficemojo.com/studio/chart/?studio=ifc.htm" TargetMode="External"/><Relationship Id="rId1739" Type="http://schemas.openxmlformats.org/officeDocument/2006/relationships/hyperlink" Target="http://www.boxofficemojo.com/schedule/?view=bydate&amp;release=theatrical&amp;date=2013-10-04&amp;p=.htm" TargetMode="External"/><Relationship Id="rId2030" Type="http://schemas.openxmlformats.org/officeDocument/2006/relationships/hyperlink" Target="http://www.boxofficemojo.com/schedule/?view=bydate&amp;release=theatrical&amp;date=2013-11-14&amp;p=.htm" TargetMode="External"/><Relationship Id="rId2031" Type="http://schemas.openxmlformats.org/officeDocument/2006/relationships/hyperlink" Target="http://www.boxofficemojo.com/movies/?id=billyandbuddy.htm" TargetMode="External"/><Relationship Id="rId2032" Type="http://schemas.openxmlformats.org/officeDocument/2006/relationships/hyperlink" Target="http://www.boxofficemojo.com/studio/chart/?studio=distribfilms.htm" TargetMode="External"/><Relationship Id="rId2033" Type="http://schemas.openxmlformats.org/officeDocument/2006/relationships/hyperlink" Target="http://www.boxofficemojo.com/schedule/?view=bydate&amp;release=theatrical&amp;date=2013-11-08&amp;p=.htm" TargetMode="External"/><Relationship Id="rId2034" Type="http://schemas.openxmlformats.org/officeDocument/2006/relationships/hyperlink" Target="http://www.boxofficemojo.com/movies/?id=ispitonyourgrave2.htm" TargetMode="External"/><Relationship Id="rId2035" Type="http://schemas.openxmlformats.org/officeDocument/2006/relationships/hyperlink" Target="http://www.boxofficemojo.com/studio/chart/?studio=anchorbayentertainment.htm" TargetMode="External"/><Relationship Id="rId2036" Type="http://schemas.openxmlformats.org/officeDocument/2006/relationships/hyperlink" Target="http://www.boxofficemojo.com/schedule/?view=bydate&amp;release=theatrical&amp;date=2013-09-20&amp;p=.htm" TargetMode="External"/><Relationship Id="rId2037" Type="http://schemas.openxmlformats.org/officeDocument/2006/relationships/hyperlink" Target="http://www.boxofficemojo.com/movies/?id=intothewhite.htm" TargetMode="External"/><Relationship Id="rId2038" Type="http://schemas.openxmlformats.org/officeDocument/2006/relationships/hyperlink" Target="http://www.boxofficemojo.com/studio/chart/?studio=magnolia.htm" TargetMode="External"/><Relationship Id="rId2039" Type="http://schemas.openxmlformats.org/officeDocument/2006/relationships/hyperlink" Target="http://www.boxofficemojo.com/schedule/?view=bydate&amp;release=theatrical&amp;date=2013-04-12&amp;p=.htm" TargetMode="External"/><Relationship Id="rId1740" Type="http://schemas.openxmlformats.org/officeDocument/2006/relationships/hyperlink" Target="http://www.boxofficemojo.com/movies/?id=whatsinaname.htm" TargetMode="External"/><Relationship Id="rId1741" Type="http://schemas.openxmlformats.org/officeDocument/2006/relationships/hyperlink" Target="http://www.boxofficemojo.com/studio/chart/?studio=milkyway.htm" TargetMode="External"/><Relationship Id="rId1742" Type="http://schemas.openxmlformats.org/officeDocument/2006/relationships/hyperlink" Target="http://www.boxofficemojo.com/schedule/?view=bydate&amp;release=theatrical&amp;date=2013-12-13&amp;p=.htm" TargetMode="External"/><Relationship Id="rId1743" Type="http://schemas.openxmlformats.org/officeDocument/2006/relationships/hyperlink" Target="http://www.boxofficemojo.com/movies/?id=lamaisondelaradio.htm" TargetMode="External"/><Relationship Id="rId1350" Type="http://schemas.openxmlformats.org/officeDocument/2006/relationships/hyperlink" Target="http://www.boxofficemojo.com/movies/?id=dislecksia.htm" TargetMode="External"/><Relationship Id="rId1351" Type="http://schemas.openxmlformats.org/officeDocument/2006/relationships/hyperlink" Target="http://www.boxofficemojo.com/studio/chart/?studio=area23a.htm" TargetMode="External"/><Relationship Id="rId1352" Type="http://schemas.openxmlformats.org/officeDocument/2006/relationships/hyperlink" Target="http://www.boxofficemojo.com/schedule/?view=bydate&amp;release=theatrical&amp;date=2013-10-04&amp;p=.htm" TargetMode="External"/><Relationship Id="rId1353" Type="http://schemas.openxmlformats.org/officeDocument/2006/relationships/hyperlink" Target="http://www.boxofficemojo.com/movies/?id=atberkeley.htm" TargetMode="External"/><Relationship Id="rId1354" Type="http://schemas.openxmlformats.org/officeDocument/2006/relationships/hyperlink" Target="http://www.boxofficemojo.com/studio/chart/?studio=zipporahfilms.htm" TargetMode="External"/><Relationship Id="rId1355" Type="http://schemas.openxmlformats.org/officeDocument/2006/relationships/hyperlink" Target="http://www.boxofficemojo.com/schedule/?view=bydate&amp;release=theatrical&amp;date=2013-11-08&amp;p=.htm" TargetMode="External"/><Relationship Id="rId1356" Type="http://schemas.openxmlformats.org/officeDocument/2006/relationships/hyperlink" Target="http://www.boxofficemojo.com/movies/?id=beyondthefartheststar.htm" TargetMode="External"/><Relationship Id="rId1357" Type="http://schemas.openxmlformats.org/officeDocument/2006/relationships/hyperlink" Target="http://www.boxofficemojo.com/studio/chart/?studio=gathrfilms.htm" TargetMode="External"/><Relationship Id="rId1358" Type="http://schemas.openxmlformats.org/officeDocument/2006/relationships/hyperlink" Target="http://www.boxofficemojo.com/schedule/?view=bydate&amp;release=theatrical&amp;date=2013-10-18&amp;p=.htm" TargetMode="External"/><Relationship Id="rId1359" Type="http://schemas.openxmlformats.org/officeDocument/2006/relationships/hyperlink" Target="http://www.boxofficemojo.com/movies/?id=evocateur.htm" TargetMode="External"/><Relationship Id="rId890" Type="http://schemas.openxmlformats.org/officeDocument/2006/relationships/hyperlink" Target="http://www.boxofficemojo.com/schedule/?view=bydate&amp;release=theatrical&amp;date=2013-11-01&amp;p=.htm" TargetMode="External"/><Relationship Id="rId891" Type="http://schemas.openxmlformats.org/officeDocument/2006/relationships/hyperlink" Target="http://www.boxofficemojo.com/movies/?id=afternoondelight.htm" TargetMode="External"/><Relationship Id="rId892" Type="http://schemas.openxmlformats.org/officeDocument/2006/relationships/hyperlink" Target="http://www.boxofficemojo.com/studio/chart/?studio=filmarcade.htm" TargetMode="External"/><Relationship Id="rId893" Type="http://schemas.openxmlformats.org/officeDocument/2006/relationships/hyperlink" Target="http://www.boxofficemojo.com/schedule/?view=bydate&amp;release=theatrical&amp;date=2013-08-30&amp;p=.htm" TargetMode="External"/><Relationship Id="rId894" Type="http://schemas.openxmlformats.org/officeDocument/2006/relationships/hyperlink" Target="http://www.boxofficemojo.com/movies/?id=somm.htm" TargetMode="External"/><Relationship Id="rId895" Type="http://schemas.openxmlformats.org/officeDocument/2006/relationships/hyperlink" Target="http://www.boxofficemojo.com/studio/chart/?studio=samuelgoldwyn.htm" TargetMode="External"/><Relationship Id="rId896" Type="http://schemas.openxmlformats.org/officeDocument/2006/relationships/hyperlink" Target="http://www.boxofficemojo.com/schedule/?view=bydate&amp;release=theatrical&amp;date=2013-06-21&amp;p=.htm" TargetMode="External"/><Relationship Id="rId897" Type="http://schemas.openxmlformats.org/officeDocument/2006/relationships/hyperlink" Target="http://www.boxofficemojo.com/movies/?id=cincodemayo.htm" TargetMode="External"/><Relationship Id="rId898" Type="http://schemas.openxmlformats.org/officeDocument/2006/relationships/hyperlink" Target="http://www.boxofficemojo.com/studio/chart/?studio=lionsgate.htm" TargetMode="External"/><Relationship Id="rId899" Type="http://schemas.openxmlformats.org/officeDocument/2006/relationships/hyperlink" Target="http://www.boxofficemojo.com/schedule/?view=bydate&amp;release=theatrical&amp;date=2013-05-03&amp;p=.htm" TargetMode="External"/><Relationship Id="rId1744" Type="http://schemas.openxmlformats.org/officeDocument/2006/relationships/hyperlink" Target="http://www.boxofficemojo.com/studio/chart/?studio=kinolorber.htm" TargetMode="External"/><Relationship Id="rId1745" Type="http://schemas.openxmlformats.org/officeDocument/2006/relationships/hyperlink" Target="http://www.boxofficemojo.com/schedule/?view=bydate&amp;release=theatrical&amp;date=2013-09-04&amp;p=.htm" TargetMode="External"/><Relationship Id="rId1746" Type="http://schemas.openxmlformats.org/officeDocument/2006/relationships/hyperlink" Target="http://www.boxofficemojo.com/movies/?id=pawnshopchronicles.htm" TargetMode="External"/><Relationship Id="rId1747" Type="http://schemas.openxmlformats.org/officeDocument/2006/relationships/hyperlink" Target="http://www.boxofficemojo.com/studio/chart/?studio=anchorbayentertainment.htm" TargetMode="External"/><Relationship Id="rId1748" Type="http://schemas.openxmlformats.org/officeDocument/2006/relationships/hyperlink" Target="http://www.boxofficemojo.com/schedule/?view=bydate&amp;release=theatrical&amp;date=2013-07-12&amp;p=.htm" TargetMode="External"/><Relationship Id="rId1749" Type="http://schemas.openxmlformats.org/officeDocument/2006/relationships/hyperlink" Target="http://www.boxofficemojo.com/movies/?id=nothingtofear.htm" TargetMode="External"/><Relationship Id="rId2040" Type="http://schemas.openxmlformats.org/officeDocument/2006/relationships/hyperlink" Target="http://www.boxofficemojo.com/movies/?id=syrup.htm" TargetMode="External"/><Relationship Id="rId2041" Type="http://schemas.openxmlformats.org/officeDocument/2006/relationships/hyperlink" Target="http://www.boxofficemojo.com/studio/chart/?studio=magnolia.htm" TargetMode="External"/><Relationship Id="rId2042" Type="http://schemas.openxmlformats.org/officeDocument/2006/relationships/hyperlink" Target="http://www.boxofficemojo.com/schedule/?view=bydate&amp;release=theatrical&amp;date=2013-06-07&amp;p=.htm" TargetMode="External"/><Relationship Id="rId2043" Type="http://schemas.openxmlformats.org/officeDocument/2006/relationships/hyperlink" Target="http://www.boxofficemojo.com/movies/?id=hammerofthegods.htm" TargetMode="External"/><Relationship Id="rId2044" Type="http://schemas.openxmlformats.org/officeDocument/2006/relationships/hyperlink" Target="http://www.boxofficemojo.com/studio/chart/?studio=magnolia.htm" TargetMode="External"/><Relationship Id="rId2045" Type="http://schemas.openxmlformats.org/officeDocument/2006/relationships/hyperlink" Target="http://www.boxofficemojo.com/schedule/?view=bydate&amp;release=theatrical&amp;date=2013-07-05&amp;p=.htm" TargetMode="External"/><Relationship Id="rId2046" Type="http://schemas.openxmlformats.org/officeDocument/2006/relationships/hyperlink" Target="http://www.boxofficemojo.com/movies/?id=triumphofthewall.htm" TargetMode="External"/><Relationship Id="rId2047" Type="http://schemas.openxmlformats.org/officeDocument/2006/relationships/hyperlink" Target="http://www.boxofficemojo.com/studio/chart/?studio=firstrun.htm" TargetMode="External"/><Relationship Id="rId2048" Type="http://schemas.openxmlformats.org/officeDocument/2006/relationships/hyperlink" Target="http://www.boxofficemojo.com/schedule/?view=bydate&amp;release=theatrical&amp;date=2013-05-31&amp;p=.htm" TargetMode="External"/><Relationship Id="rId2049" Type="http://schemas.openxmlformats.org/officeDocument/2006/relationships/hyperlink" Target="http://www.boxofficemojo.com/movies/?id=storage24.htm" TargetMode="External"/><Relationship Id="rId100" Type="http://schemas.openxmlformats.org/officeDocument/2006/relationships/hyperlink" Target="http://www.boxofficemojo.com/studio/chart/?studio=sony.htm" TargetMode="External"/><Relationship Id="rId101" Type="http://schemas.openxmlformats.org/officeDocument/2006/relationships/hyperlink" Target="http://www.boxofficemojo.com/schedule/?view=bydate&amp;release=theatrical&amp;date=2013-10-11&amp;p=.htm" TargetMode="External"/><Relationship Id="rId102" Type="http://schemas.openxmlformats.org/officeDocument/2006/relationships/hyperlink" Target="http://www.boxofficemojo.com/movies/?id=badgrandpa.htm" TargetMode="External"/><Relationship Id="rId103" Type="http://schemas.openxmlformats.org/officeDocument/2006/relationships/hyperlink" Target="http://www.boxofficemojo.com/studio/chart/?studio=paramount.htm" TargetMode="External"/><Relationship Id="rId104" Type="http://schemas.openxmlformats.org/officeDocument/2006/relationships/hyperlink" Target="http://www.boxofficemojo.com/schedule/?view=bydate&amp;release=theatrical&amp;date=2013-10-25&amp;p=.htm" TargetMode="External"/><Relationship Id="rId105" Type="http://schemas.openxmlformats.org/officeDocument/2006/relationships/hyperlink" Target="http://www.boxofficemojo.com/movies/?id=pacificrim.htm" TargetMode="External"/><Relationship Id="rId106" Type="http://schemas.openxmlformats.org/officeDocument/2006/relationships/hyperlink" Target="http://www.boxofficemojo.com/studio/chart/?studio=warnerbros.htm" TargetMode="External"/><Relationship Id="rId107" Type="http://schemas.openxmlformats.org/officeDocument/2006/relationships/hyperlink" Target="http://www.boxofficemojo.com/schedule/?view=bydate&amp;release=theatrical&amp;date=2013-07-12&amp;p=.htm" TargetMode="External"/><Relationship Id="rId108" Type="http://schemas.openxmlformats.org/officeDocument/2006/relationships/hyperlink" Target="http://www.boxofficemojo.com/movies/?id=rogenhilluntitled.htm" TargetMode="External"/><Relationship Id="rId109" Type="http://schemas.openxmlformats.org/officeDocument/2006/relationships/hyperlink" Target="http://www.boxofficemojo.com/studio/chart/?studio=sony.htm" TargetMode="External"/><Relationship Id="rId1750" Type="http://schemas.openxmlformats.org/officeDocument/2006/relationships/hyperlink" Target="http://www.boxofficemojo.com/studio/chart/?studio=anchorbayentertainment.htm" TargetMode="External"/><Relationship Id="rId1751" Type="http://schemas.openxmlformats.org/officeDocument/2006/relationships/hyperlink" Target="http://www.boxofficemojo.com/schedule/?view=bydate&amp;release=theatrical&amp;date=2013-10-04&amp;p=.htm" TargetMode="External"/><Relationship Id="rId1752" Type="http://schemas.openxmlformats.org/officeDocument/2006/relationships/hyperlink" Target="http://www.boxofficemojo.com/movies/?id=andwhilewewerehere.htm" TargetMode="External"/><Relationship Id="rId1753" Type="http://schemas.openxmlformats.org/officeDocument/2006/relationships/hyperlink" Target="http://www.boxofficemojo.com/studio/chart/?studio=wellgo.htm" TargetMode="External"/><Relationship Id="rId1360" Type="http://schemas.openxmlformats.org/officeDocument/2006/relationships/hyperlink" Target="http://www.boxofficemojo.com/studio/chart/?studio=magnolia.htm" TargetMode="External"/><Relationship Id="rId1361" Type="http://schemas.openxmlformats.org/officeDocument/2006/relationships/hyperlink" Target="http://www.boxofficemojo.com/schedule/?view=bydate&amp;release=theatrical&amp;date=2013-06-07&amp;p=.htm" TargetMode="External"/><Relationship Id="rId1362" Type="http://schemas.openxmlformats.org/officeDocument/2006/relationships/hyperlink" Target="http://www.boxofficemojo.com/movies/?id=maniac2013.htm" TargetMode="External"/><Relationship Id="rId1363" Type="http://schemas.openxmlformats.org/officeDocument/2006/relationships/hyperlink" Target="http://www.boxofficemojo.com/studio/chart/?studio=ifc.htm" TargetMode="External"/><Relationship Id="rId1364" Type="http://schemas.openxmlformats.org/officeDocument/2006/relationships/hyperlink" Target="http://www.boxofficemojo.com/schedule/?view=bydate&amp;release=theatrical&amp;date=2013-06-21&amp;p=.htm" TargetMode="External"/><Relationship Id="rId1365" Type="http://schemas.openxmlformats.org/officeDocument/2006/relationships/hyperlink" Target="http://www.boxofficemojo.com/movies/?id=thesebirdswalk.htm" TargetMode="External"/><Relationship Id="rId1366" Type="http://schemas.openxmlformats.org/officeDocument/2006/relationships/hyperlink" Target="http://www.boxofficemojo.com/studio/chart/?studio=oscilloscopepictures.htm" TargetMode="External"/><Relationship Id="rId1367" Type="http://schemas.openxmlformats.org/officeDocument/2006/relationships/hyperlink" Target="http://www.boxofficemojo.com/schedule/?view=bydate&amp;release=theatrical&amp;date=2013-11-01&amp;p=.htm" TargetMode="External"/><Relationship Id="rId1368" Type="http://schemas.openxmlformats.org/officeDocument/2006/relationships/hyperlink" Target="http://www.boxofficemojo.com/movies/?id=longshot2013.htm" TargetMode="External"/><Relationship Id="rId1369" Type="http://schemas.openxmlformats.org/officeDocument/2006/relationships/hyperlink" Target="http://www.boxofficemojo.com/studio/chart/?studio=cinipix.htm" TargetMode="External"/><Relationship Id="rId1754" Type="http://schemas.openxmlformats.org/officeDocument/2006/relationships/hyperlink" Target="http://www.boxofficemojo.com/schedule/?view=bydate&amp;release=theatrical&amp;date=2013-09-13&amp;p=.htm" TargetMode="External"/><Relationship Id="rId1755" Type="http://schemas.openxmlformats.org/officeDocument/2006/relationships/hyperlink" Target="http://www.boxofficemojo.com/movies/?id=girlsagainstboys.htm" TargetMode="External"/><Relationship Id="rId1756" Type="http://schemas.openxmlformats.org/officeDocument/2006/relationships/hyperlink" Target="http://www.boxofficemojo.com/studio/chart/?studio=anchorbayentertainment.htm" TargetMode="External"/><Relationship Id="rId1757" Type="http://schemas.openxmlformats.org/officeDocument/2006/relationships/hyperlink" Target="http://www.boxofficemojo.com/schedule/?view=bydate&amp;release=theatrical&amp;date=2013-02-01&amp;p=.htm" TargetMode="External"/><Relationship Id="rId1758" Type="http://schemas.openxmlformats.org/officeDocument/2006/relationships/hyperlink" Target="http://www.boxofficemojo.com/movies/?id=desperateactsofmagic.htm" TargetMode="External"/><Relationship Id="rId1759" Type="http://schemas.openxmlformats.org/officeDocument/2006/relationships/hyperlink" Target="http://www.boxofficemojo.com/studio/chart/?studio=goldcapfilms.htm" TargetMode="External"/><Relationship Id="rId2050" Type="http://schemas.openxmlformats.org/officeDocument/2006/relationships/hyperlink" Target="http://www.boxofficemojo.com/studio/chart/?studio=magnolia.htm" TargetMode="External"/><Relationship Id="rId2051" Type="http://schemas.openxmlformats.org/officeDocument/2006/relationships/hyperlink" Target="http://www.boxofficemojo.com/schedule/?view=bydate&amp;release=theatrical&amp;date=2013-01-18&amp;p=.htm" TargetMode="External"/></Relationships>
</file>

<file path=xl/worksheets/_rels/sheet3.xml.rels><?xml version="1.0" encoding="UTF-8" standalone="yes"?>
<Relationships xmlns="http://schemas.openxmlformats.org/package/2006/relationships"><Relationship Id="rId500" Type="http://schemas.openxmlformats.org/officeDocument/2006/relationships/hyperlink" Target="http://www.boxofficemojo.com/schedule/?view=bydate&amp;release=theatrical&amp;date=2014-08-15&amp;p=.htm" TargetMode="External"/><Relationship Id="rId501" Type="http://schemas.openxmlformats.org/officeDocument/2006/relationships/hyperlink" Target="http://www.boxofficemojo.com/movies/?id=identical.htm" TargetMode="External"/><Relationship Id="rId502" Type="http://schemas.openxmlformats.org/officeDocument/2006/relationships/hyperlink" Target="http://www.boxofficemojo.com/studio/chart/?studio=fs.htm" TargetMode="External"/><Relationship Id="rId503" Type="http://schemas.openxmlformats.org/officeDocument/2006/relationships/hyperlink" Target="http://www.boxofficemojo.com/schedule/?view=bydate&amp;release=theatrical&amp;date=2014-09-05&amp;p=.htm" TargetMode="External"/><Relationship Id="rId110" Type="http://schemas.openxmlformats.org/officeDocument/2006/relationships/hyperlink" Target="http://www.boxofficemojo.com/schedule/?view=bydate&amp;release=theatrical&amp;date=2014-04-16&amp;p=.htm" TargetMode="External"/><Relationship Id="rId111" Type="http://schemas.openxmlformats.org/officeDocument/2006/relationships/hyperlink" Target="http://www.boxofficemojo.com/movies/?id=imitationgame.htm" TargetMode="External"/><Relationship Id="rId112" Type="http://schemas.openxmlformats.org/officeDocument/2006/relationships/hyperlink" Target="http://www.boxofficemojo.com/studio/chart/?studio=weinsteincompany.htm" TargetMode="External"/><Relationship Id="rId113" Type="http://schemas.openxmlformats.org/officeDocument/2006/relationships/hyperlink" Target="http://www.boxofficemojo.com/schedule/?view=bydate&amp;release=theatrical&amp;date=2014-11-28&amp;p=.htm" TargetMode="External"/><Relationship Id="rId114" Type="http://schemas.openxmlformats.org/officeDocument/2006/relationships/hyperlink" Target="http://www.boxofficemojo.com/movies/?id=dumberto.htm" TargetMode="External"/><Relationship Id="rId115" Type="http://schemas.openxmlformats.org/officeDocument/2006/relationships/hyperlink" Target="http://www.boxofficemojo.com/studio/chart/?studio=universal.htm" TargetMode="External"/><Relationship Id="rId116" Type="http://schemas.openxmlformats.org/officeDocument/2006/relationships/hyperlink" Target="http://www.boxofficemojo.com/schedule/?view=bydate&amp;release=theatrical&amp;date=2014-11-14&amp;p=.htm" TargetMode="External"/><Relationship Id="rId117" Type="http://schemas.openxmlformats.org/officeDocument/2006/relationships/hyperlink" Target="http://www.boxofficemojo.com/movies/?id=annie2014.htm" TargetMode="External"/><Relationship Id="rId118" Type="http://schemas.openxmlformats.org/officeDocument/2006/relationships/hyperlink" Target="http://www.boxofficemojo.com/studio/chart/?studio=sony.htm" TargetMode="External"/><Relationship Id="rId119" Type="http://schemas.openxmlformats.org/officeDocument/2006/relationships/hyperlink" Target="http://www.boxofficemojo.com/schedule/?view=bydate&amp;release=theatrical&amp;date=2014-12-19&amp;p=.htm" TargetMode="External"/><Relationship Id="rId504" Type="http://schemas.openxmlformats.org/officeDocument/2006/relationships/hyperlink" Target="http://www.boxofficemojo.com/movies/?id=fluffymovie.htm" TargetMode="External"/><Relationship Id="rId505" Type="http://schemas.openxmlformats.org/officeDocument/2006/relationships/hyperlink" Target="http://www.boxofficemojo.com/studio/chart/?studio=openroads.htm" TargetMode="External"/><Relationship Id="rId506" Type="http://schemas.openxmlformats.org/officeDocument/2006/relationships/hyperlink" Target="http://www.boxofficemojo.com/schedule/?view=bydate&amp;release=theatrical&amp;date=2014-07-25&amp;p=.htm" TargetMode="External"/><Relationship Id="rId507" Type="http://schemas.openxmlformats.org/officeDocument/2006/relationships/hyperlink" Target="http://www.boxofficemojo.com/movies/?id=citizenfour.htm" TargetMode="External"/><Relationship Id="rId508" Type="http://schemas.openxmlformats.org/officeDocument/2006/relationships/hyperlink" Target="http://www.boxofficemojo.com/studio/chart/?studio=radiustwc.htm" TargetMode="External"/><Relationship Id="rId509" Type="http://schemas.openxmlformats.org/officeDocument/2006/relationships/hyperlink" Target="http://www.boxofficemojo.com/schedule/?view=bydate&amp;release=theatrical&amp;date=2014-10-24&amp;p=.htm" TargetMode="External"/><Relationship Id="rId1760" Type="http://schemas.openxmlformats.org/officeDocument/2006/relationships/hyperlink" Target="http://www.boxofficemojo.com/schedule/?view=bydate&amp;release=theatrical&amp;date=2014-07-04&amp;p=.htm" TargetMode="External"/><Relationship Id="rId1761" Type="http://schemas.openxmlformats.org/officeDocument/2006/relationships/hyperlink" Target="http://www.boxofficemojo.com/movies/?id=ifyoudontiwill.htm" TargetMode="External"/><Relationship Id="rId1762" Type="http://schemas.openxmlformats.org/officeDocument/2006/relationships/hyperlink" Target="http://www.boxofficemojo.com/studio/chart/?studio=filmmovement.htm" TargetMode="External"/><Relationship Id="rId1763" Type="http://schemas.openxmlformats.org/officeDocument/2006/relationships/hyperlink" Target="http://www.boxofficemojo.com/schedule/?view=bydate&amp;release=theatrical&amp;date=2014-12-17&amp;p=.htm" TargetMode="External"/><Relationship Id="rId1370" Type="http://schemas.openxmlformats.org/officeDocument/2006/relationships/hyperlink" Target="http://www.boxofficemojo.com/schedule/?view=bydate&amp;release=theatrical&amp;date=2014-03-14&amp;p=.htm" TargetMode="External"/><Relationship Id="rId1371" Type="http://schemas.openxmlformats.org/officeDocument/2006/relationships/hyperlink" Target="http://www.boxofficemojo.com/movies/?id=childofgod.htm" TargetMode="External"/><Relationship Id="rId1372" Type="http://schemas.openxmlformats.org/officeDocument/2006/relationships/hyperlink" Target="http://www.boxofficemojo.com/studio/chart/?studio=wellgo.htm" TargetMode="External"/><Relationship Id="rId1373" Type="http://schemas.openxmlformats.org/officeDocument/2006/relationships/hyperlink" Target="http://www.boxofficemojo.com/schedule/?view=bydate&amp;release=theatrical&amp;date=2014-08-01&amp;p=.htm" TargetMode="External"/><Relationship Id="rId1374" Type="http://schemas.openxmlformats.org/officeDocument/2006/relationships/hyperlink" Target="http://www.boxofficemojo.com/movies/?id=expeditionworld.htm" TargetMode="External"/><Relationship Id="rId1375" Type="http://schemas.openxmlformats.org/officeDocument/2006/relationships/hyperlink" Target="http://www.boxofficemojo.com/studio/chart/?studio=argotpictures.htm" TargetMode="External"/><Relationship Id="rId1376" Type="http://schemas.openxmlformats.org/officeDocument/2006/relationships/hyperlink" Target="http://www.boxofficemojo.com/schedule/?view=bydate&amp;release=theatrical&amp;date=2014-08-20&amp;p=.htm" TargetMode="External"/><Relationship Id="rId1377" Type="http://schemas.openxmlformats.org/officeDocument/2006/relationships/hyperlink" Target="http://www.boxofficemojo.com/movies/?id=7boxes.htm" TargetMode="External"/><Relationship Id="rId1378" Type="http://schemas.openxmlformats.org/officeDocument/2006/relationships/hyperlink" Target="http://www.boxofficemojo.com/studio/chart/?studio=breakingglass.htm" TargetMode="External"/><Relationship Id="rId1379" Type="http://schemas.openxmlformats.org/officeDocument/2006/relationships/hyperlink" Target="http://www.boxofficemojo.com/schedule/?view=bydate&amp;release=theatrical&amp;date=2014-02-07&amp;p=.htm" TargetMode="External"/><Relationship Id="rId1764" Type="http://schemas.openxmlformats.org/officeDocument/2006/relationships/hyperlink" Target="http://www.boxofficemojo.com/movies/?id=othersideofthetracks.htm" TargetMode="External"/><Relationship Id="rId1765" Type="http://schemas.openxmlformats.org/officeDocument/2006/relationships/hyperlink" Target="http://www.boxofficemojo.com/studio/chart/?studio=weinsteincompany.htm" TargetMode="External"/><Relationship Id="rId1766" Type="http://schemas.openxmlformats.org/officeDocument/2006/relationships/hyperlink" Target="http://www.boxofficemojo.com/schedule/?view=bydate&amp;release=theatrical&amp;date=2014-04-04&amp;p=.htm" TargetMode="External"/><Relationship Id="rId1767" Type="http://schemas.openxmlformats.org/officeDocument/2006/relationships/hyperlink" Target="http://www.boxofficemojo.com/movies/?id=inthehouseoftheflies.htm" TargetMode="External"/><Relationship Id="rId1768" Type="http://schemas.openxmlformats.org/officeDocument/2006/relationships/hyperlink" Target="http://www.boxofficemojo.com/studio/chart/?studio=paradedeck.htm" TargetMode="External"/><Relationship Id="rId1769" Type="http://schemas.openxmlformats.org/officeDocument/2006/relationships/hyperlink" Target="http://www.boxofficemojo.com/schedule/?view=bydate&amp;release=theatrical&amp;date=2014-05-09&amp;p=.htm" TargetMode="External"/><Relationship Id="rId2060" Type="http://schemas.openxmlformats.org/officeDocument/2006/relationships/hyperlink" Target="http://www.boxofficemojo.com/schedule/?view=bydate&amp;release=theatrical&amp;date=2014-03-14&amp;p=.htm" TargetMode="External"/><Relationship Id="rId2061" Type="http://schemas.openxmlformats.org/officeDocument/2006/relationships/hyperlink" Target="http://www.boxofficemojo.com/movies/?id=algorithms.htm" TargetMode="External"/><Relationship Id="rId2062" Type="http://schemas.openxmlformats.org/officeDocument/2006/relationships/hyperlink" Target="http://www.boxofficemojo.com/studio/chart/?studio=firstrun.htm" TargetMode="External"/><Relationship Id="rId2063" Type="http://schemas.openxmlformats.org/officeDocument/2006/relationships/hyperlink" Target="http://www.boxofficemojo.com/schedule/?view=bydate&amp;release=theatrical&amp;date=2014-10-17&amp;p=.htm" TargetMode="External"/><Relationship Id="rId2064" Type="http://schemas.openxmlformats.org/officeDocument/2006/relationships/hyperlink" Target="http://www.boxofficemojo.com/movies/?id=openwindows.htm" TargetMode="External"/><Relationship Id="rId2065" Type="http://schemas.openxmlformats.org/officeDocument/2006/relationships/hyperlink" Target="http://www.boxofficemojo.com/studio/chart/?studio=cinedigmentertainment.htm" TargetMode="External"/><Relationship Id="rId2066" Type="http://schemas.openxmlformats.org/officeDocument/2006/relationships/hyperlink" Target="http://www.boxofficemojo.com/schedule/?view=bydate&amp;release=theatrical&amp;date=2014-11-07&amp;p=.htm" TargetMode="External"/><Relationship Id="rId2067" Type="http://schemas.openxmlformats.org/officeDocument/2006/relationships/hyperlink" Target="http://www.boxofficemojo.com/movies/?id=mrpip.htm" TargetMode="External"/><Relationship Id="rId2068" Type="http://schemas.openxmlformats.org/officeDocument/2006/relationships/hyperlink" Target="http://www.boxofficemojo.com/studio/chart/?studio=fs.htm" TargetMode="External"/><Relationship Id="rId2069" Type="http://schemas.openxmlformats.org/officeDocument/2006/relationships/hyperlink" Target="http://www.boxofficemojo.com/schedule/?view=bydate&amp;release=theatrical&amp;date=2014-11-07&amp;p=.htm" TargetMode="External"/><Relationship Id="rId900" Type="http://schemas.openxmlformats.org/officeDocument/2006/relationships/hyperlink" Target="http://www.boxofficemojo.com/movies/?id=lovepunch.htm" TargetMode="External"/><Relationship Id="rId901" Type="http://schemas.openxmlformats.org/officeDocument/2006/relationships/hyperlink" Target="http://www.boxofficemojo.com/studio/chart/?studio=ketchup.htm" TargetMode="External"/><Relationship Id="rId902" Type="http://schemas.openxmlformats.org/officeDocument/2006/relationships/hyperlink" Target="http://www.boxofficemojo.com/schedule/?view=bydate&amp;release=theatrical&amp;date=2014-05-23&amp;p=.htm" TargetMode="External"/><Relationship Id="rId903" Type="http://schemas.openxmlformats.org/officeDocument/2006/relationships/hyperlink" Target="http://www.boxofficemojo.com/movies/?id=lifeofcrime.htm" TargetMode="External"/><Relationship Id="rId904" Type="http://schemas.openxmlformats.org/officeDocument/2006/relationships/hyperlink" Target="http://www.boxofficemojo.com/studio/chart/?studio=roadsideattractions.htm" TargetMode="External"/><Relationship Id="rId905" Type="http://schemas.openxmlformats.org/officeDocument/2006/relationships/hyperlink" Target="http://www.boxofficemojo.com/schedule/?view=bydate&amp;release=theatrical&amp;date=2014-08-29&amp;p=.htm" TargetMode="External"/><Relationship Id="rId906" Type="http://schemas.openxmlformats.org/officeDocument/2006/relationships/hyperlink" Target="http://www.boxofficemojo.com/movies/?id=ernestandcelestine.htm" TargetMode="External"/><Relationship Id="rId907" Type="http://schemas.openxmlformats.org/officeDocument/2006/relationships/hyperlink" Target="http://www.boxofficemojo.com/studio/chart/?studio=gkids.htm" TargetMode="External"/><Relationship Id="rId120" Type="http://schemas.openxmlformats.org/officeDocument/2006/relationships/hyperlink" Target="http://www.boxofficemojo.com/movies/?id=fury2014.htm" TargetMode="External"/><Relationship Id="rId121" Type="http://schemas.openxmlformats.org/officeDocument/2006/relationships/hyperlink" Target="http://www.boxofficemojo.com/studio/chart/?studio=sony.htm" TargetMode="External"/><Relationship Id="rId122" Type="http://schemas.openxmlformats.org/officeDocument/2006/relationships/hyperlink" Target="http://www.boxofficemojo.com/schedule/?view=bydate&amp;release=theatrical&amp;date=2014-10-17&amp;p=.htm" TargetMode="External"/><Relationship Id="rId123" Type="http://schemas.openxmlformats.org/officeDocument/2006/relationships/hyperlink" Target="http://www.boxofficemojo.com/movies/?id=tammy.htm" TargetMode="External"/><Relationship Id="rId124" Type="http://schemas.openxmlformats.org/officeDocument/2006/relationships/hyperlink" Target="http://www.boxofficemojo.com/studio/chart/?studio=wb-newline.htm" TargetMode="External"/><Relationship Id="rId125" Type="http://schemas.openxmlformats.org/officeDocument/2006/relationships/hyperlink" Target="http://www.boxofficemojo.com/schedule/?view=bydate&amp;release=theatrical&amp;date=2014-07-02&amp;p=.htm" TargetMode="External"/><Relationship Id="rId126" Type="http://schemas.openxmlformats.org/officeDocument/2006/relationships/hyperlink" Target="http://www.boxofficemojo.com/movies/?id=newlinehorror.htm" TargetMode="External"/><Relationship Id="rId127" Type="http://schemas.openxmlformats.org/officeDocument/2006/relationships/hyperlink" Target="http://www.boxofficemojo.com/studio/chart/?studio=wb-newline.htm" TargetMode="External"/><Relationship Id="rId128" Type="http://schemas.openxmlformats.org/officeDocument/2006/relationships/hyperlink" Target="http://www.boxofficemojo.com/schedule/?view=bydate&amp;release=theatrical&amp;date=2014-10-03&amp;p=.htm" TargetMode="External"/><Relationship Id="rId129" Type="http://schemas.openxmlformats.org/officeDocument/2006/relationships/hyperlink" Target="http://www.boxofficemojo.com/movies/?id=otherwoman14.htm" TargetMode="External"/><Relationship Id="rId908" Type="http://schemas.openxmlformats.org/officeDocument/2006/relationships/hyperlink" Target="http://www.boxofficemojo.com/schedule/?view=bydate&amp;release=theatrical&amp;date=2014-02-28&amp;p=.htm" TargetMode="External"/><Relationship Id="rId909" Type="http://schemas.openxmlformats.org/officeDocument/2006/relationships/hyperlink" Target="http://www.boxofficemojo.com/movies/?id=blueruin.htm" TargetMode="External"/><Relationship Id="rId510" Type="http://schemas.openxmlformats.org/officeDocument/2006/relationships/hyperlink" Target="http://www.boxofficemojo.com/movies/?id=savingchristmas.htm" TargetMode="External"/><Relationship Id="rId511" Type="http://schemas.openxmlformats.org/officeDocument/2006/relationships/hyperlink" Target="http://www.boxofficemojo.com/studio/chart/?studio=samuelgoldwyn.htm" TargetMode="External"/><Relationship Id="rId512" Type="http://schemas.openxmlformats.org/officeDocument/2006/relationships/hyperlink" Target="http://www.boxofficemojo.com/schedule/?view=bydate&amp;release=theatrical&amp;date=2014-11-14&amp;p=.htm" TargetMode="External"/><Relationship Id="rId513" Type="http://schemas.openxmlformats.org/officeDocument/2006/relationships/hyperlink" Target="http://www.boxofficemojo.com/movies/?id=pyramid.htm" TargetMode="External"/><Relationship Id="rId514" Type="http://schemas.openxmlformats.org/officeDocument/2006/relationships/hyperlink" Target="http://www.boxofficemojo.com/studio/chart/?studio=fox.htm" TargetMode="External"/><Relationship Id="rId515" Type="http://schemas.openxmlformats.org/officeDocument/2006/relationships/hyperlink" Target="http://www.boxofficemojo.com/schedule/?view=bydate&amp;release=theatrical&amp;date=2014-12-05&amp;p=.htm" TargetMode="External"/><Relationship Id="rId516" Type="http://schemas.openxmlformats.org/officeDocument/2006/relationships/hyperlink" Target="http://www.boxofficemojo.com/movies/?id=goodlie.htm" TargetMode="External"/><Relationship Id="rId517" Type="http://schemas.openxmlformats.org/officeDocument/2006/relationships/hyperlink" Target="http://www.boxofficemojo.com/studio/chart/?studio=warnerbros.htm" TargetMode="External"/><Relationship Id="rId518" Type="http://schemas.openxmlformats.org/officeDocument/2006/relationships/hyperlink" Target="http://www.boxofficemojo.com/schedule/?view=bydate&amp;release=theatrical&amp;date=2014-10-03&amp;p=.htm" TargetMode="External"/><Relationship Id="rId519" Type="http://schemas.openxmlformats.org/officeDocument/2006/relationships/hyperlink" Target="http://www.boxofficemojo.com/movies/?id=raid2.htm" TargetMode="External"/><Relationship Id="rId1770" Type="http://schemas.openxmlformats.org/officeDocument/2006/relationships/hyperlink" Target="http://www.boxofficemojo.com/movies/?id=radiofreealbemuth.htm" TargetMode="External"/><Relationship Id="rId1771" Type="http://schemas.openxmlformats.org/officeDocument/2006/relationships/hyperlink" Target="http://www.boxofficemojo.com/studio/chart/?studio=fs.htm" TargetMode="External"/><Relationship Id="rId1772" Type="http://schemas.openxmlformats.org/officeDocument/2006/relationships/hyperlink" Target="http://www.boxofficemojo.com/schedule/?view=bydate&amp;release=theatrical&amp;date=2014-06-27&amp;p=.htm" TargetMode="External"/><Relationship Id="rId1773" Type="http://schemas.openxmlformats.org/officeDocument/2006/relationships/hyperlink" Target="http://www.boxofficemojo.com/movies/?id=immortalists.htm" TargetMode="External"/><Relationship Id="rId1380" Type="http://schemas.openxmlformats.org/officeDocument/2006/relationships/hyperlink" Target="http://www.boxofficemojo.com/movies/?id=deadsnow2.htm" TargetMode="External"/><Relationship Id="rId1381" Type="http://schemas.openxmlformats.org/officeDocument/2006/relationships/hyperlink" Target="http://www.boxofficemojo.com/studio/chart/?studio=wellgo.htm" TargetMode="External"/><Relationship Id="rId1382" Type="http://schemas.openxmlformats.org/officeDocument/2006/relationships/hyperlink" Target="http://www.boxofficemojo.com/schedule/?view=bydate&amp;release=theatrical&amp;date=2014-10-10&amp;p=.htm" TargetMode="External"/><Relationship Id="rId1383" Type="http://schemas.openxmlformats.org/officeDocument/2006/relationships/hyperlink" Target="http://www.boxofficemojo.com/movies/?id=notcool.htm" TargetMode="External"/><Relationship Id="rId1384" Type="http://schemas.openxmlformats.org/officeDocument/2006/relationships/hyperlink" Target="http://www.boxofficemojo.com/studio/chart/?studio=starzmedia.htm" TargetMode="External"/><Relationship Id="rId1385" Type="http://schemas.openxmlformats.org/officeDocument/2006/relationships/hyperlink" Target="http://www.boxofficemojo.com/schedule/?view=bydate&amp;release=theatrical&amp;date=2014-09-19&amp;p=.htm" TargetMode="External"/><Relationship Id="rId1386" Type="http://schemas.openxmlformats.org/officeDocument/2006/relationships/hyperlink" Target="http://www.boxofficemojo.com/movies/?id=lejourseleve.htm" TargetMode="External"/><Relationship Id="rId1387" Type="http://schemas.openxmlformats.org/officeDocument/2006/relationships/hyperlink" Target="http://www.boxofficemojo.com/studio/chart/?studio=rialto.htm" TargetMode="External"/><Relationship Id="rId1388" Type="http://schemas.openxmlformats.org/officeDocument/2006/relationships/hyperlink" Target="http://www.boxofficemojo.com/schedule/?view=bydate&amp;release=theatrical&amp;date=2014-11-14&amp;p=.htm" TargetMode="External"/><Relationship Id="rId1389" Type="http://schemas.openxmlformats.org/officeDocument/2006/relationships/hyperlink" Target="http://www.boxofficemojo.com/movies/?id=manfromrio.htm" TargetMode="External"/><Relationship Id="rId1774" Type="http://schemas.openxmlformats.org/officeDocument/2006/relationships/hyperlink" Target="http://www.boxofficemojo.com/studio/chart/?studio=gathrfilms.htm" TargetMode="External"/><Relationship Id="rId1775" Type="http://schemas.openxmlformats.org/officeDocument/2006/relationships/hyperlink" Target="http://www.boxofficemojo.com/schedule/?view=bydate&amp;release=theatrical&amp;date=2014-11-26&amp;p=.htm" TargetMode="External"/><Relationship Id="rId1776" Type="http://schemas.openxmlformats.org/officeDocument/2006/relationships/hyperlink" Target="http://www.boxofficemojo.com/movies/?id=honeymoon.htm" TargetMode="External"/><Relationship Id="rId1777" Type="http://schemas.openxmlformats.org/officeDocument/2006/relationships/hyperlink" Target="http://www.boxofficemojo.com/studio/chart/?studio=magnolia.htm" TargetMode="External"/><Relationship Id="rId1778" Type="http://schemas.openxmlformats.org/officeDocument/2006/relationships/hyperlink" Target="http://www.boxofficemojo.com/schedule/?view=bydate&amp;release=theatrical&amp;date=2014-09-12&amp;p=.htm" TargetMode="External"/><Relationship Id="rId1779" Type="http://schemas.openxmlformats.org/officeDocument/2006/relationships/hyperlink" Target="http://www.boxofficemojo.com/movies/?id=sacrament.htm" TargetMode="External"/><Relationship Id="rId2070" Type="http://schemas.openxmlformats.org/officeDocument/2006/relationships/hyperlink" Target="http://www.boxofficemojo.com/movies/?id=morethantherainbow.htm" TargetMode="External"/><Relationship Id="rId2071" Type="http://schemas.openxmlformats.org/officeDocument/2006/relationships/hyperlink" Target="http://www.boxofficemojo.com/studio/chart/?studio=firstrun.htm" TargetMode="External"/><Relationship Id="rId2072" Type="http://schemas.openxmlformats.org/officeDocument/2006/relationships/hyperlink" Target="http://www.boxofficemojo.com/schedule/?view=bydate&amp;release=theatrical&amp;date=2014-05-02&amp;p=.htm" TargetMode="External"/><Relationship Id="rId2073" Type="http://schemas.openxmlformats.org/officeDocument/2006/relationships/hyperlink" Target="http://www.boxofficemojo.com/movies/?id=summerinfebruary.htm" TargetMode="External"/><Relationship Id="rId2074" Type="http://schemas.openxmlformats.org/officeDocument/2006/relationships/hyperlink" Target="http://www.boxofficemojo.com/studio/chart/?studio=tribecafilm.htm" TargetMode="External"/><Relationship Id="rId2075" Type="http://schemas.openxmlformats.org/officeDocument/2006/relationships/hyperlink" Target="http://www.boxofficemojo.com/schedule/?view=bydate&amp;release=theatrical&amp;date=2014-01-17&amp;p=.htm" TargetMode="External"/><Relationship Id="rId2076" Type="http://schemas.openxmlformats.org/officeDocument/2006/relationships/hyperlink" Target="http://www.boxofficemojo.com/movies/?id=rhymesyoungghouls.htm" TargetMode="External"/><Relationship Id="rId2077" Type="http://schemas.openxmlformats.org/officeDocument/2006/relationships/hyperlink" Target="http://www.boxofficemojo.com/studio/chart/?studio=montereymediainc.htm" TargetMode="External"/><Relationship Id="rId2078" Type="http://schemas.openxmlformats.org/officeDocument/2006/relationships/hyperlink" Target="http://www.boxofficemojo.com/schedule/?view=bydate&amp;release=theatrical&amp;date=2014-10-24&amp;p=.htm" TargetMode="External"/><Relationship Id="rId2079" Type="http://schemas.openxmlformats.org/officeDocument/2006/relationships/hyperlink" Target="http://www.boxofficemojo.com/movies/?id=postmanpat.htm" TargetMode="External"/><Relationship Id="rId910" Type="http://schemas.openxmlformats.org/officeDocument/2006/relationships/hyperlink" Target="http://www.boxofficemojo.com/studio/chart/?studio=radiustwc.htm" TargetMode="External"/><Relationship Id="rId911" Type="http://schemas.openxmlformats.org/officeDocument/2006/relationships/hyperlink" Target="http://www.boxofficemojo.com/schedule/?view=bydate&amp;release=theatrical&amp;date=2014-04-25&amp;p=.htm" TargetMode="External"/><Relationship Id="rId912" Type="http://schemas.openxmlformats.org/officeDocument/2006/relationships/hyperlink" Target="http://www.boxofficemojo.com/movies/?id=greenprince.htm" TargetMode="External"/><Relationship Id="rId913" Type="http://schemas.openxmlformats.org/officeDocument/2006/relationships/hyperlink" Target="http://www.boxofficemojo.com/studio/chart/?studio=musicboxfilms.htm" TargetMode="External"/><Relationship Id="rId914" Type="http://schemas.openxmlformats.org/officeDocument/2006/relationships/hyperlink" Target="http://www.boxofficemojo.com/schedule/?view=bydate&amp;release=theatrical&amp;date=2014-09-12&amp;p=.htm" TargetMode="External"/><Relationship Id="rId915" Type="http://schemas.openxmlformats.org/officeDocument/2006/relationships/hyperlink" Target="http://www.boxofficemojo.com/movies/?id=zerotheorem.htm" TargetMode="External"/><Relationship Id="rId916" Type="http://schemas.openxmlformats.org/officeDocument/2006/relationships/hyperlink" Target="http://www.boxofficemojo.com/studio/chart/?studio=amplify.htm" TargetMode="External"/><Relationship Id="rId917" Type="http://schemas.openxmlformats.org/officeDocument/2006/relationships/hyperlink" Target="http://www.boxofficemojo.com/schedule/?view=bydate&amp;release=theatrical&amp;date=2014-09-19&amp;p=.htm" TargetMode="External"/><Relationship Id="rId130" Type="http://schemas.openxmlformats.org/officeDocument/2006/relationships/hyperlink" Target="http://www.boxofficemojo.com/studio/chart/?studio=fox.htm" TargetMode="External"/><Relationship Id="rId131" Type="http://schemas.openxmlformats.org/officeDocument/2006/relationships/hyperlink" Target="http://www.boxofficemojo.com/schedule/?view=bydate&amp;release=theatrical&amp;date=2014-04-25&amp;p=.htm" TargetMode="External"/><Relationship Id="rId132" Type="http://schemas.openxmlformats.org/officeDocument/2006/relationships/hyperlink" Target="http://www.boxofficemojo.com/movies/?id=penguinsofmadagascar.htm" TargetMode="External"/><Relationship Id="rId133" Type="http://schemas.openxmlformats.org/officeDocument/2006/relationships/hyperlink" Target="http://www.boxofficemojo.com/studio/chart/?studio=fox.htm" TargetMode="External"/><Relationship Id="rId134" Type="http://schemas.openxmlformats.org/officeDocument/2006/relationships/hyperlink" Target="http://www.boxofficemojo.com/schedule/?view=bydate&amp;release=theatrical&amp;date=2014-11-26&amp;p=.htm" TargetMode="External"/><Relationship Id="rId135" Type="http://schemas.openxmlformats.org/officeDocument/2006/relationships/hyperlink" Target="http://www.boxofficemojo.com/movies/?id=letsbecops.htm" TargetMode="External"/><Relationship Id="rId136" Type="http://schemas.openxmlformats.org/officeDocument/2006/relationships/hyperlink" Target="http://www.boxofficemojo.com/studio/chart/?studio=fox.htm" TargetMode="External"/><Relationship Id="rId137" Type="http://schemas.openxmlformats.org/officeDocument/2006/relationships/hyperlink" Target="http://www.boxofficemojo.com/schedule/?view=bydate&amp;release=theatrical&amp;date=2014-08-13&amp;p=.htm" TargetMode="External"/><Relationship Id="rId138" Type="http://schemas.openxmlformats.org/officeDocument/2006/relationships/hyperlink" Target="http://www.boxofficemojo.com/movies/?id=monumentsmen.htm" TargetMode="External"/><Relationship Id="rId139" Type="http://schemas.openxmlformats.org/officeDocument/2006/relationships/hyperlink" Target="http://www.boxofficemojo.com/studio/chart/?studio=sony.htm" TargetMode="External"/><Relationship Id="rId918" Type="http://schemas.openxmlformats.org/officeDocument/2006/relationships/hyperlink" Target="http://www.boxofficemojo.com/movies/?id=actionjackson2014.htm" TargetMode="External"/><Relationship Id="rId919" Type="http://schemas.openxmlformats.org/officeDocument/2006/relationships/hyperlink" Target="http://www.boxofficemojo.com/studio/chart/?studio=eros.htm" TargetMode="External"/><Relationship Id="rId520" Type="http://schemas.openxmlformats.org/officeDocument/2006/relationships/hyperlink" Target="http://www.boxofficemojo.com/studio/chart/?studio=sonyclassics.htm" TargetMode="External"/><Relationship Id="rId521" Type="http://schemas.openxmlformats.org/officeDocument/2006/relationships/hyperlink" Target="http://www.boxofficemojo.com/schedule/?view=bydate&amp;release=theatrical&amp;date=2014-03-28&amp;p=.htm" TargetMode="External"/><Relationship Id="rId522" Type="http://schemas.openxmlformats.org/officeDocument/2006/relationships/hyperlink" Target="http://www.boxofficemojo.com/movies/?id=undertheskin2014.htm" TargetMode="External"/><Relationship Id="rId523" Type="http://schemas.openxmlformats.org/officeDocument/2006/relationships/hyperlink" Target="http://www.boxofficemojo.com/studio/chart/?studio=a24.htm" TargetMode="External"/><Relationship Id="rId524" Type="http://schemas.openxmlformats.org/officeDocument/2006/relationships/hyperlink" Target="http://www.boxofficemojo.com/schedule/?view=bydate&amp;release=theatrical&amp;date=2014-04-04&amp;p=.htm" TargetMode="External"/><Relationship Id="rId525" Type="http://schemas.openxmlformats.org/officeDocument/2006/relationships/hyperlink" Target="http://www.boxofficemojo.com/movies/?id=admiral.htm" TargetMode="External"/><Relationship Id="rId526" Type="http://schemas.openxmlformats.org/officeDocument/2006/relationships/hyperlink" Target="http://www.boxofficemojo.com/studio/chart/?studio=cjentertainment.htm" TargetMode="External"/><Relationship Id="rId527" Type="http://schemas.openxmlformats.org/officeDocument/2006/relationships/hyperlink" Target="http://www.boxofficemojo.com/schedule/?view=bydate&amp;release=theatrical&amp;date=2014-08-08&amp;p=.htm" TargetMode="External"/><Relationship Id="rId528" Type="http://schemas.openxmlformats.org/officeDocument/2006/relationships/hyperlink" Target="http://www.boxofficemojo.com/movies/?id=dragonballz2014.htm" TargetMode="External"/><Relationship Id="rId529" Type="http://schemas.openxmlformats.org/officeDocument/2006/relationships/hyperlink" Target="http://www.boxofficemojo.com/studio/chart/?studio=screenvision.htm" TargetMode="External"/><Relationship Id="rId1780" Type="http://schemas.openxmlformats.org/officeDocument/2006/relationships/hyperlink" Target="http://www.boxofficemojo.com/studio/chart/?studio=magnolia.htm" TargetMode="External"/><Relationship Id="rId1781" Type="http://schemas.openxmlformats.org/officeDocument/2006/relationships/hyperlink" Target="http://www.boxofficemojo.com/schedule/?view=bydate&amp;release=theatrical&amp;date=2014-06-06&amp;p=.htm" TargetMode="External"/><Relationship Id="rId1782" Type="http://schemas.openxmlformats.org/officeDocument/2006/relationships/hyperlink" Target="http://www.boxofficemojo.com/movies/?id=faithconnections.htm" TargetMode="External"/><Relationship Id="rId1783" Type="http://schemas.openxmlformats.org/officeDocument/2006/relationships/hyperlink" Target="http://www.boxofficemojo.com/studio/chart/?studio=kinolorber.htm" TargetMode="External"/><Relationship Id="rId1390" Type="http://schemas.openxmlformats.org/officeDocument/2006/relationships/hyperlink" Target="http://www.boxofficemojo.com/studio/chart/?studio=cohenmedia.htm" TargetMode="External"/><Relationship Id="rId1391" Type="http://schemas.openxmlformats.org/officeDocument/2006/relationships/hyperlink" Target="http://www.boxofficemojo.com/schedule/?view=bydate&amp;release=theatrical&amp;date=2014-08-22&amp;p=.htm" TargetMode="External"/><Relationship Id="rId1392" Type="http://schemas.openxmlformats.org/officeDocument/2006/relationships/hyperlink" Target="http://www.boxofficemojo.com/movies/?id=beneaththeharvestsky.htm" TargetMode="External"/><Relationship Id="rId1393" Type="http://schemas.openxmlformats.org/officeDocument/2006/relationships/hyperlink" Target="http://www.boxofficemojo.com/studio/chart/?studio=tribecafilm.htm" TargetMode="External"/><Relationship Id="rId1394" Type="http://schemas.openxmlformats.org/officeDocument/2006/relationships/hyperlink" Target="http://www.boxofficemojo.com/schedule/?view=bydate&amp;release=theatrical&amp;date=2014-04-25&amp;p=.htm" TargetMode="External"/><Relationship Id="rId1395" Type="http://schemas.openxmlformats.org/officeDocument/2006/relationships/hyperlink" Target="http://www.boxofficemojo.com/movies/?id=mousemusic.htm" TargetMode="External"/><Relationship Id="rId1396" Type="http://schemas.openxmlformats.org/officeDocument/2006/relationships/hyperlink" Target="http://www.boxofficemojo.com/studio/chart/?studio=argotpictures.htm" TargetMode="External"/><Relationship Id="rId1397" Type="http://schemas.openxmlformats.org/officeDocument/2006/relationships/hyperlink" Target="http://www.boxofficemojo.com/schedule/?view=bydate&amp;release=theatrical&amp;date=2014-09-19&amp;p=.htm" TargetMode="External"/><Relationship Id="rId1398" Type="http://schemas.openxmlformats.org/officeDocument/2006/relationships/hyperlink" Target="http://www.boxofficemojo.com/movies/?id=expelledfromparadise.htm" TargetMode="External"/><Relationship Id="rId1399" Type="http://schemas.openxmlformats.org/officeDocument/2006/relationships/hyperlink" Target="http://www.boxofficemojo.com/studio/chart/?studio=elevenarts.htm" TargetMode="External"/><Relationship Id="rId1784" Type="http://schemas.openxmlformats.org/officeDocument/2006/relationships/hyperlink" Target="http://www.boxofficemojo.com/schedule/?view=bydate&amp;release=theatrical&amp;date=2014-09-12&amp;p=.htm" TargetMode="External"/><Relationship Id="rId1785" Type="http://schemas.openxmlformats.org/officeDocument/2006/relationships/hyperlink" Target="http://www.boxofficemojo.com/movies/?id=caligari2014.htm" TargetMode="External"/><Relationship Id="rId1786" Type="http://schemas.openxmlformats.org/officeDocument/2006/relationships/hyperlink" Target="http://www.boxofficemojo.com/studio/chart/?studio=kinolorber.htm" TargetMode="External"/><Relationship Id="rId1787" Type="http://schemas.openxmlformats.org/officeDocument/2006/relationships/hyperlink" Target="http://www.boxofficemojo.com/schedule/?view=bydate&amp;release=theatrical&amp;date=2014-10-31&amp;p=.htm" TargetMode="External"/><Relationship Id="rId1788" Type="http://schemas.openxmlformats.org/officeDocument/2006/relationships/hyperlink" Target="http://www.boxofficemojo.com/movies/?id=fanny.htm" TargetMode="External"/><Relationship Id="rId1789" Type="http://schemas.openxmlformats.org/officeDocument/2006/relationships/hyperlink" Target="http://www.boxofficemojo.com/studio/chart/?studio=kinolorber.htm" TargetMode="External"/><Relationship Id="rId2080" Type="http://schemas.openxmlformats.org/officeDocument/2006/relationships/hyperlink" Target="http://www.boxofficemojo.com/studio/chart/?studio=shoutfactory.htm" TargetMode="External"/><Relationship Id="rId2081" Type="http://schemas.openxmlformats.org/officeDocument/2006/relationships/hyperlink" Target="http://www.boxofficemojo.com/schedule/?view=bydate&amp;release=theatrical&amp;date=2014-06-27&amp;p=.htm" TargetMode="External"/><Relationship Id="rId2082" Type="http://schemas.openxmlformats.org/officeDocument/2006/relationships/hyperlink" Target="http://www.boxofficemojo.com/movies/?id=souldier.htm" TargetMode="External"/><Relationship Id="rId2083" Type="http://schemas.openxmlformats.org/officeDocument/2006/relationships/hyperlink" Target="http://www.boxofficemojo.com/studio/chart/?studio=paradedeck.htm" TargetMode="External"/><Relationship Id="rId2084" Type="http://schemas.openxmlformats.org/officeDocument/2006/relationships/hyperlink" Target="http://www.boxofficemojo.com/schedule/?view=bydate&amp;release=theatrical&amp;date=2014-02-21&amp;p=.htm" TargetMode="External"/><Relationship Id="rId2085" Type="http://schemas.openxmlformats.org/officeDocument/2006/relationships/hyperlink" Target="http://www.boxofficemojo.com/movies/?id=ragnorok.htm" TargetMode="External"/><Relationship Id="rId2086" Type="http://schemas.openxmlformats.org/officeDocument/2006/relationships/hyperlink" Target="http://www.boxofficemojo.com/studio/chart/?studio=magnolia.htm" TargetMode="External"/><Relationship Id="rId2087" Type="http://schemas.openxmlformats.org/officeDocument/2006/relationships/hyperlink" Target="http://www.boxofficemojo.com/schedule/?view=bydate&amp;release=theatrical&amp;date=2014-08-22&amp;p=.htm" TargetMode="External"/><Relationship Id="rId2088" Type="http://schemas.openxmlformats.org/officeDocument/2006/relationships/hyperlink" Target="http://www.boxofficemojo.com/movies/?id=tower2014.htm" TargetMode="External"/><Relationship Id="rId2089" Type="http://schemas.openxmlformats.org/officeDocument/2006/relationships/hyperlink" Target="http://www.boxofficemojo.com/studio/chart/?studio=musicboxfilms.htm" TargetMode="External"/><Relationship Id="rId1" Type="http://schemas.openxmlformats.org/officeDocument/2006/relationships/hyperlink" Target="http://www.boxofficemojo.com/yearly/chart/?view=releasedate&amp;view2=domestic&amp;yr=2014&amp;sort=gross&amp;order=ASC&amp;p=.htm" TargetMode="External"/><Relationship Id="rId2" Type="http://schemas.openxmlformats.org/officeDocument/2006/relationships/hyperlink" Target="http://www.boxofficemojo.com/yearly/chart/?view=releasedate&amp;view2=domestic&amp;yr=2014&amp;sort=title&amp;order=ASC&amp;p=.htm" TargetMode="External"/><Relationship Id="rId3" Type="http://schemas.openxmlformats.org/officeDocument/2006/relationships/hyperlink" Target="http://www.boxofficemojo.com/yearly/chart/?view=releasedate&amp;view2=domestic&amp;yr=2014&amp;sort=studio&amp;order=ASC&amp;p=.htm" TargetMode="External"/><Relationship Id="rId920" Type="http://schemas.openxmlformats.org/officeDocument/2006/relationships/hyperlink" Target="http://www.boxofficemojo.com/schedule/?view=bydate&amp;release=theatrical&amp;date=2014-12-05&amp;p=.htm" TargetMode="External"/><Relationship Id="rId921" Type="http://schemas.openxmlformats.org/officeDocument/2006/relationships/hyperlink" Target="http://www.boxofficemojo.com/movies/?id=aliveinside.htm" TargetMode="External"/><Relationship Id="rId922" Type="http://schemas.openxmlformats.org/officeDocument/2006/relationships/hyperlink" Target="http://www.boxofficemojo.com/studio/chart/?studio=bond360.htm" TargetMode="External"/><Relationship Id="rId923" Type="http://schemas.openxmlformats.org/officeDocument/2006/relationships/hyperlink" Target="http://www.boxofficemojo.com/schedule/?view=bydate&amp;release=theatrical&amp;date=2014-07-18&amp;p=.htm" TargetMode="External"/><Relationship Id="rId924" Type="http://schemas.openxmlformats.org/officeDocument/2006/relationships/hyperlink" Target="http://www.boxofficemojo.com/movies/?id=blueroom.htm" TargetMode="External"/><Relationship Id="rId925" Type="http://schemas.openxmlformats.org/officeDocument/2006/relationships/hyperlink" Target="http://www.boxofficemojo.com/studio/chart/?studio=ifc.htm" TargetMode="External"/><Relationship Id="rId926" Type="http://schemas.openxmlformats.org/officeDocument/2006/relationships/hyperlink" Target="http://www.boxofficemojo.com/schedule/?view=bydate&amp;release=theatrical&amp;date=2014-10-03&amp;p=.htm" TargetMode="External"/><Relationship Id="rId927" Type="http://schemas.openxmlformats.org/officeDocument/2006/relationships/hyperlink" Target="http://www.boxofficemojo.com/movies/?id=nationalgallery.htm" TargetMode="External"/><Relationship Id="rId140" Type="http://schemas.openxmlformats.org/officeDocument/2006/relationships/hyperlink" Target="http://www.boxofficemojo.com/schedule/?view=bydate&amp;release=theatrical&amp;date=2014-02-07&amp;p=.htm" TargetMode="External"/><Relationship Id="rId141" Type="http://schemas.openxmlformats.org/officeDocument/2006/relationships/hyperlink" Target="http://www.boxofficemojo.com/movies/?id=hercules2014.htm" TargetMode="External"/><Relationship Id="rId142" Type="http://schemas.openxmlformats.org/officeDocument/2006/relationships/hyperlink" Target="http://www.boxofficemojo.com/studio/chart/?studio=paramount.htm" TargetMode="External"/><Relationship Id="rId143" Type="http://schemas.openxmlformats.org/officeDocument/2006/relationships/hyperlink" Target="http://www.boxofficemojo.com/schedule/?view=bydate&amp;release=theatrical&amp;date=2014-07-25&amp;p=.htm" TargetMode="External"/><Relationship Id="rId144" Type="http://schemas.openxmlformats.org/officeDocument/2006/relationships/hyperlink" Target="http://www.boxofficemojo.com/movies/?id=purge2.htm" TargetMode="External"/><Relationship Id="rId145" Type="http://schemas.openxmlformats.org/officeDocument/2006/relationships/hyperlink" Target="http://www.boxofficemojo.com/studio/chart/?studio=universal.htm" TargetMode="External"/><Relationship Id="rId146" Type="http://schemas.openxmlformats.org/officeDocument/2006/relationships/hyperlink" Target="http://www.boxofficemojo.com/schedule/?view=bydate&amp;release=theatrical&amp;date=2014-07-18&amp;p=.htm" TargetMode="External"/><Relationship Id="rId147" Type="http://schemas.openxmlformats.org/officeDocument/2006/relationships/hyperlink" Target="http://www.boxofficemojo.com/movies/?id=alexanderbadday.htm" TargetMode="External"/><Relationship Id="rId148" Type="http://schemas.openxmlformats.org/officeDocument/2006/relationships/hyperlink" Target="http://www.boxofficemojo.com/studio/chart/?studio=buenavista.htm" TargetMode="External"/><Relationship Id="rId149" Type="http://schemas.openxmlformats.org/officeDocument/2006/relationships/hyperlink" Target="http://www.boxofficemojo.com/schedule/?view=bydate&amp;release=theatrical&amp;date=2014-10-10&amp;p=.htm" TargetMode="External"/><Relationship Id="rId928" Type="http://schemas.openxmlformats.org/officeDocument/2006/relationships/hyperlink" Target="http://www.boxofficemojo.com/studio/chart/?studio=zipporahfilms.htm" TargetMode="External"/><Relationship Id="rId929" Type="http://schemas.openxmlformats.org/officeDocument/2006/relationships/hyperlink" Target="http://www.boxofficemojo.com/schedule/?view=bydate&amp;release=theatrical&amp;date=2014-11-05&amp;p=.htm" TargetMode="External"/><Relationship Id="rId530" Type="http://schemas.openxmlformats.org/officeDocument/2006/relationships/hyperlink" Target="http://www.boxofficemojo.com/schedule/?view=bydate&amp;release=theatrical&amp;date=2014-08-05&amp;p=.htm" TargetMode="External"/><Relationship Id="rId531" Type="http://schemas.openxmlformats.org/officeDocument/2006/relationships/hyperlink" Target="http://www.boxofficemojo.com/movies/?id=bangbang.htm" TargetMode="External"/><Relationship Id="rId532" Type="http://schemas.openxmlformats.org/officeDocument/2006/relationships/hyperlink" Target="http://www.boxofficemojo.com/studio/chart/?studio=fip.htm" TargetMode="External"/><Relationship Id="rId533" Type="http://schemas.openxmlformats.org/officeDocument/2006/relationships/hyperlink" Target="http://www.boxofficemojo.com/schedule/?view=bydate&amp;release=theatrical&amp;date=2014-10-02&amp;p=.htm" TargetMode="External"/><Relationship Id="rId534" Type="http://schemas.openxmlformats.org/officeDocument/2006/relationships/hyperlink" Target="http://www.boxofficemojo.com/movies/?id=kick.htm" TargetMode="External"/><Relationship Id="rId535" Type="http://schemas.openxmlformats.org/officeDocument/2006/relationships/hyperlink" Target="http://www.boxofficemojo.com/studio/chart/?studio=utv.htm" TargetMode="External"/><Relationship Id="rId536" Type="http://schemas.openxmlformats.org/officeDocument/2006/relationships/hyperlink" Target="http://www.boxofficemojo.com/schedule/?view=bydate&amp;release=theatrical&amp;date=2014-07-25&amp;p=.htm" TargetMode="External"/><Relationship Id="rId537" Type="http://schemas.openxmlformats.org/officeDocument/2006/relationships/hyperlink" Target="http://www.boxofficemojo.com/movies/?id=killthemessenger.htm" TargetMode="External"/><Relationship Id="rId538" Type="http://schemas.openxmlformats.org/officeDocument/2006/relationships/hyperlink" Target="http://www.boxofficemojo.com/studio/chart/?studio=focus.htm" TargetMode="External"/><Relationship Id="rId539" Type="http://schemas.openxmlformats.org/officeDocument/2006/relationships/hyperlink" Target="http://www.boxofficemojo.com/schedule/?view=bydate&amp;release=theatrical&amp;date=2014-10-10&amp;p=.htm" TargetMode="External"/><Relationship Id="rId4" Type="http://schemas.openxmlformats.org/officeDocument/2006/relationships/hyperlink" Target="http://www.boxofficemojo.com/yearly/chart/?view=releasedate&amp;view2=domestic&amp;yr=2014&amp;sort=open&amp;order=DESC&amp;p=.htm" TargetMode="External"/><Relationship Id="rId5" Type="http://schemas.openxmlformats.org/officeDocument/2006/relationships/hyperlink" Target="http://www.boxofficemojo.com/yearly/chart/?view=releasedate&amp;view2=domestic&amp;yr=2014&amp;sort=close&amp;order=DESC&amp;p=.htm" TargetMode="External"/><Relationship Id="rId6" Type="http://schemas.openxmlformats.org/officeDocument/2006/relationships/hyperlink" Target="http://www.boxofficemojo.com/movies/?id=americansniper.htm" TargetMode="External"/><Relationship Id="rId7" Type="http://schemas.openxmlformats.org/officeDocument/2006/relationships/hyperlink" Target="http://www.boxofficemojo.com/studio/chart/?studio=warnerbros.htm" TargetMode="External"/><Relationship Id="rId8" Type="http://schemas.openxmlformats.org/officeDocument/2006/relationships/hyperlink" Target="http://www.boxofficemojo.com/schedule/?view=bydate&amp;release=theatrical&amp;date=2014-12-25&amp;p=.htm" TargetMode="External"/><Relationship Id="rId9" Type="http://schemas.openxmlformats.org/officeDocument/2006/relationships/hyperlink" Target="http://www.boxofficemojo.com/movies/?id=hungergames3.htm" TargetMode="External"/><Relationship Id="rId1790" Type="http://schemas.openxmlformats.org/officeDocument/2006/relationships/hyperlink" Target="http://www.boxofficemojo.com/schedule/?view=bydate&amp;release=theatrical&amp;date=2014-07-25&amp;p=.htm" TargetMode="External"/><Relationship Id="rId1791" Type="http://schemas.openxmlformats.org/officeDocument/2006/relationships/hyperlink" Target="http://www.boxofficemojo.com/movies/?id=comet.htm" TargetMode="External"/><Relationship Id="rId1792" Type="http://schemas.openxmlformats.org/officeDocument/2006/relationships/hyperlink" Target="http://www.boxofficemojo.com/studio/chart/?studio=ifc.htm" TargetMode="External"/><Relationship Id="rId1793" Type="http://schemas.openxmlformats.org/officeDocument/2006/relationships/hyperlink" Target="http://www.boxofficemojo.com/schedule/?view=bydate&amp;release=theatrical&amp;date=2014-12-05&amp;p=.htm" TargetMode="External"/><Relationship Id="rId1794" Type="http://schemas.openxmlformats.org/officeDocument/2006/relationships/hyperlink" Target="http://www.boxofficemojo.com/movies/?id=mysteryofhappiness.htm" TargetMode="External"/><Relationship Id="rId1795" Type="http://schemas.openxmlformats.org/officeDocument/2006/relationships/hyperlink" Target="http://www.boxofficemojo.com/studio/chart/?studio=strand.htm" TargetMode="External"/><Relationship Id="rId1796" Type="http://schemas.openxmlformats.org/officeDocument/2006/relationships/hyperlink" Target="http://www.boxofficemojo.com/schedule/?view=bydate&amp;release=theatrical&amp;date=2014-09-12&amp;p=.htm" TargetMode="External"/><Relationship Id="rId1797" Type="http://schemas.openxmlformats.org/officeDocument/2006/relationships/hyperlink" Target="http://www.boxofficemojo.com/movies/?id=quitter.htm" TargetMode="External"/><Relationship Id="rId1798" Type="http://schemas.openxmlformats.org/officeDocument/2006/relationships/hyperlink" Target="http://www.boxofficemojo.com/studio/chart/?studio=oldglove.htm" TargetMode="External"/><Relationship Id="rId1799" Type="http://schemas.openxmlformats.org/officeDocument/2006/relationships/hyperlink" Target="http://www.boxofficemojo.com/schedule/?view=bydate&amp;release=theatrical&amp;date=2014-09-12&amp;p=.htm" TargetMode="External"/><Relationship Id="rId2090" Type="http://schemas.openxmlformats.org/officeDocument/2006/relationships/hyperlink" Target="http://www.boxofficemojo.com/schedule/?view=bydate&amp;release=theatrical&amp;date=2014-11-07&amp;p=.htm" TargetMode="External"/><Relationship Id="rId2091" Type="http://schemas.openxmlformats.org/officeDocument/2006/relationships/hyperlink" Target="http://www.boxofficemojo.com/movies/?id=anythingforalice.htm" TargetMode="External"/><Relationship Id="rId2092" Type="http://schemas.openxmlformats.org/officeDocument/2006/relationships/hyperlink" Target="http://www.boxofficemojo.com/studio/chart/?studio=rialto.htm" TargetMode="External"/><Relationship Id="rId2093" Type="http://schemas.openxmlformats.org/officeDocument/2006/relationships/hyperlink" Target="http://www.boxofficemojo.com/schedule/?view=bydate&amp;release=theatrical&amp;date=2014-12-17&amp;p=.htm" TargetMode="External"/><Relationship Id="rId2094" Type="http://schemas.openxmlformats.org/officeDocument/2006/relationships/hyperlink" Target="http://www.boxofficemojo.com/movies/?id=wearethegiant.htm" TargetMode="External"/><Relationship Id="rId2095" Type="http://schemas.openxmlformats.org/officeDocument/2006/relationships/hyperlink" Target="http://www.boxofficemojo.com/studio/chart/?studio=musicboxfilms.htm" TargetMode="External"/><Relationship Id="rId2096" Type="http://schemas.openxmlformats.org/officeDocument/2006/relationships/hyperlink" Target="http://www.boxofficemojo.com/schedule/?view=bydate&amp;release=theatrical&amp;date=2014-12-12&amp;p=.htm" TargetMode="External"/><Relationship Id="rId2097" Type="http://schemas.openxmlformats.org/officeDocument/2006/relationships/hyperlink" Target="http://www.boxofficemojo.com/movies/?id=butterflyroom.htm" TargetMode="External"/><Relationship Id="rId2098" Type="http://schemas.openxmlformats.org/officeDocument/2006/relationships/hyperlink" Target="http://www.boxofficemojo.com/studio/chart/?studio=archstone.htm" TargetMode="External"/><Relationship Id="rId2099" Type="http://schemas.openxmlformats.org/officeDocument/2006/relationships/hyperlink" Target="http://www.boxofficemojo.com/schedule/?view=bydate&amp;release=theatrical&amp;date=2014-04-11&amp;p=.htm" TargetMode="External"/><Relationship Id="rId1000" Type="http://schemas.openxmlformats.org/officeDocument/2006/relationships/hyperlink" Target="http://www.boxofficemojo.com/studio/chart/?studio=ifc.htm" TargetMode="External"/><Relationship Id="rId1001" Type="http://schemas.openxmlformats.org/officeDocument/2006/relationships/hyperlink" Target="http://www.boxofficemojo.com/schedule/?view=bydate&amp;release=theatrical&amp;date=2014-05-09&amp;p=.htm" TargetMode="External"/><Relationship Id="rId1002" Type="http://schemas.openxmlformats.org/officeDocument/2006/relationships/hyperlink" Target="http://www.boxofficemojo.com/movies/?id=nas2014.htm" TargetMode="External"/><Relationship Id="rId1003" Type="http://schemas.openxmlformats.org/officeDocument/2006/relationships/hyperlink" Target="http://www.boxofficemojo.com/studio/chart/?studio=tribecafilm.htm" TargetMode="External"/><Relationship Id="rId930" Type="http://schemas.openxmlformats.org/officeDocument/2006/relationships/hyperlink" Target="http://www.boxofficemojo.com/movies/?id=tazza.htm" TargetMode="External"/><Relationship Id="rId931" Type="http://schemas.openxmlformats.org/officeDocument/2006/relationships/hyperlink" Target="http://www.boxofficemojo.com/studio/chart/?studio=cjentertainment.htm" TargetMode="External"/><Relationship Id="rId932" Type="http://schemas.openxmlformats.org/officeDocument/2006/relationships/hyperlink" Target="http://www.boxofficemojo.com/schedule/?view=bydate&amp;release=theatrical&amp;date=2014-09-19&amp;p=.htm" TargetMode="External"/><Relationship Id="rId933" Type="http://schemas.openxmlformats.org/officeDocument/2006/relationships/hyperlink" Target="http://www.boxofficemojo.com/movies/?id=galapagosaffair.htm" TargetMode="External"/><Relationship Id="rId934" Type="http://schemas.openxmlformats.org/officeDocument/2006/relationships/hyperlink" Target="http://www.boxofficemojo.com/studio/chart/?studio=zeitgeist.htm" TargetMode="External"/><Relationship Id="rId935" Type="http://schemas.openxmlformats.org/officeDocument/2006/relationships/hyperlink" Target="http://www.boxofficemojo.com/schedule/?view=bydate&amp;release=theatrical&amp;date=2014-04-04&amp;p=.htm" TargetMode="External"/><Relationship Id="rId936" Type="http://schemas.openxmlformats.org/officeDocument/2006/relationships/hyperlink" Target="http://www.boxofficemojo.com/movies/?id=deepsea2014.htm" TargetMode="External"/><Relationship Id="rId937" Type="http://schemas.openxmlformats.org/officeDocument/2006/relationships/hyperlink" Target="http://www.boxofficemojo.com/studio/chart/?studio=disruptivela.htm" TargetMode="External"/><Relationship Id="rId150" Type="http://schemas.openxmlformats.org/officeDocument/2006/relationships/hyperlink" Target="http://www.boxofficemojo.com/movies/?id=thinklikeaman2.htm" TargetMode="External"/><Relationship Id="rId151" Type="http://schemas.openxmlformats.org/officeDocument/2006/relationships/hyperlink" Target="http://www.boxofficemojo.com/studio/chart/?studio=screengems.htm" TargetMode="External"/><Relationship Id="rId152" Type="http://schemas.openxmlformats.org/officeDocument/2006/relationships/hyperlink" Target="http://www.boxofficemojo.com/schedule/?view=bydate&amp;release=theatrical&amp;date=2014-06-20&amp;p=.htm" TargetMode="External"/><Relationship Id="rId153" Type="http://schemas.openxmlformats.org/officeDocument/2006/relationships/hyperlink" Target="http://www.boxofficemojo.com/movies/?id=exodus.htm" TargetMode="External"/><Relationship Id="rId154" Type="http://schemas.openxmlformats.org/officeDocument/2006/relationships/hyperlink" Target="http://www.boxofficemojo.com/studio/chart/?studio=fox.htm" TargetMode="External"/><Relationship Id="rId155" Type="http://schemas.openxmlformats.org/officeDocument/2006/relationships/hyperlink" Target="http://www.boxofficemojo.com/schedule/?view=bydate&amp;release=theatrical&amp;date=2014-12-12&amp;p=.htm" TargetMode="External"/><Relationship Id="rId156" Type="http://schemas.openxmlformats.org/officeDocument/2006/relationships/hyperlink" Target="http://www.boxofficemojo.com/movies/?id=nutjob.htm" TargetMode="External"/><Relationship Id="rId157" Type="http://schemas.openxmlformats.org/officeDocument/2006/relationships/hyperlink" Target="http://www.boxofficemojo.com/studio/chart/?studio=openroads.htm" TargetMode="External"/><Relationship Id="rId158" Type="http://schemas.openxmlformats.org/officeDocument/2006/relationships/hyperlink" Target="http://www.boxofficemojo.com/schedule/?view=bydate&amp;release=theatrical&amp;date=2014-01-17&amp;p=.htm" TargetMode="External"/><Relationship Id="rId159" Type="http://schemas.openxmlformats.org/officeDocument/2006/relationships/hyperlink" Target="http://www.boxofficemojo.com/movies/?id=godsnotdead.htm" TargetMode="External"/><Relationship Id="rId938" Type="http://schemas.openxmlformats.org/officeDocument/2006/relationships/hyperlink" Target="http://www.boxofficemojo.com/schedule/?view=bydate&amp;release=theatrical&amp;date=2014-08-08&amp;p=.htm" TargetMode="External"/><Relationship Id="rId939" Type="http://schemas.openxmlformats.org/officeDocument/2006/relationships/hyperlink" Target="http://www.boxofficemojo.com/movies/?id=artandcraft.htm" TargetMode="External"/><Relationship Id="rId1004" Type="http://schemas.openxmlformats.org/officeDocument/2006/relationships/hyperlink" Target="http://www.boxofficemojo.com/schedule/?view=bydate&amp;release=theatrical&amp;date=2014-10-01&amp;p=.htm" TargetMode="External"/><Relationship Id="rId1005" Type="http://schemas.openxmlformats.org/officeDocument/2006/relationships/hyperlink" Target="http://www.boxofficemojo.com/movies/?id=keepon.htm" TargetMode="External"/><Relationship Id="rId1006" Type="http://schemas.openxmlformats.org/officeDocument/2006/relationships/hyperlink" Target="http://www.boxofficemojo.com/studio/chart/?studio=radiustwc.htm" TargetMode="External"/><Relationship Id="rId1007" Type="http://schemas.openxmlformats.org/officeDocument/2006/relationships/hyperlink" Target="http://www.boxofficemojo.com/schedule/?view=bydate&amp;release=theatrical&amp;date=2014-09-19&amp;p=.htm" TargetMode="External"/><Relationship Id="rId1008" Type="http://schemas.openxmlformats.org/officeDocument/2006/relationships/hyperlink" Target="http://www.boxofficemojo.com/movies/?id=sinbad2014.htm" TargetMode="External"/><Relationship Id="rId1009" Type="http://schemas.openxmlformats.org/officeDocument/2006/relationships/hyperlink" Target="http://www.boxofficemojo.com/studio/chart/?studio=giantflick.htm" TargetMode="External"/><Relationship Id="rId540" Type="http://schemas.openxmlformats.org/officeDocument/2006/relationships/hyperlink" Target="http://www.boxofficemojo.com/movies/?id=homesman.htm" TargetMode="External"/><Relationship Id="rId541" Type="http://schemas.openxmlformats.org/officeDocument/2006/relationships/hyperlink" Target="http://www.boxofficemojo.com/studio/chart/?studio=sabanfilms.htm" TargetMode="External"/><Relationship Id="rId542" Type="http://schemas.openxmlformats.org/officeDocument/2006/relationships/hyperlink" Target="http://www.boxofficemojo.com/schedule/?view=bydate&amp;release=theatrical&amp;date=2014-11-14&amp;p=.htm" TargetMode="External"/><Relationship Id="rId543" Type="http://schemas.openxmlformats.org/officeDocument/2006/relationships/hyperlink" Target="http://www.boxofficemojo.com/movies/?id=odetomyfather.htm" TargetMode="External"/><Relationship Id="rId544" Type="http://schemas.openxmlformats.org/officeDocument/2006/relationships/hyperlink" Target="http://www.boxofficemojo.com/studio/chart/?studio=cjentertainment.htm" TargetMode="External"/><Relationship Id="rId545" Type="http://schemas.openxmlformats.org/officeDocument/2006/relationships/hyperlink" Target="http://www.boxofficemojo.com/schedule/?view=bydate&amp;release=theatrical&amp;date=2014-12-25&amp;p=.htm" TargetMode="External"/><Relationship Id="rId546" Type="http://schemas.openxmlformats.org/officeDocument/2006/relationships/hyperlink" Target="http://www.boxofficemojo.com/movies/?id=loveisstrange.htm" TargetMode="External"/><Relationship Id="rId547" Type="http://schemas.openxmlformats.org/officeDocument/2006/relationships/hyperlink" Target="http://www.boxofficemojo.com/studio/chart/?studio=sonyclassics.htm" TargetMode="External"/><Relationship Id="rId548" Type="http://schemas.openxmlformats.org/officeDocument/2006/relationships/hyperlink" Target="http://www.boxofficemojo.com/schedule/?view=bydate&amp;release=theatrical&amp;date=2014-08-22&amp;p=.htm" TargetMode="External"/><Relationship Id="rId549" Type="http://schemas.openxmlformats.org/officeDocument/2006/relationships/hyperlink" Target="http://www.boxofficemojo.com/movies/?id=2states.htm" TargetMode="External"/><Relationship Id="rId1400" Type="http://schemas.openxmlformats.org/officeDocument/2006/relationships/hyperlink" Target="http://www.boxofficemojo.com/schedule/?view=bydate&amp;release=theatrical&amp;date=2014-12-13&amp;p=.htm" TargetMode="External"/><Relationship Id="rId1401" Type="http://schemas.openxmlformats.org/officeDocument/2006/relationships/hyperlink" Target="http://www.boxofficemojo.com/movies/?id=tigerandbunny.htm" TargetMode="External"/><Relationship Id="rId1402" Type="http://schemas.openxmlformats.org/officeDocument/2006/relationships/hyperlink" Target="http://www.boxofficemojo.com/studio/chart/?studio=elevenarts.htm" TargetMode="External"/><Relationship Id="rId1403" Type="http://schemas.openxmlformats.org/officeDocument/2006/relationships/hyperlink" Target="http://www.boxofficemojo.com/schedule/?view=bydate&amp;release=theatrical&amp;date=2014-03-14&amp;p=.htm" TargetMode="External"/><Relationship Id="rId1404" Type="http://schemas.openxmlformats.org/officeDocument/2006/relationships/hyperlink" Target="http://www.boxofficemojo.com/movies/?id=filth.htm" TargetMode="External"/><Relationship Id="rId1405" Type="http://schemas.openxmlformats.org/officeDocument/2006/relationships/hyperlink" Target="http://www.boxofficemojo.com/studio/chart/?studio=magnolia.htm" TargetMode="External"/><Relationship Id="rId1406" Type="http://schemas.openxmlformats.org/officeDocument/2006/relationships/hyperlink" Target="http://www.boxofficemojo.com/schedule/?view=bydate&amp;release=theatrical&amp;date=2014-05-30&amp;p=.htm" TargetMode="External"/><Relationship Id="rId1407" Type="http://schemas.openxmlformats.org/officeDocument/2006/relationships/hyperlink" Target="http://www.boxofficemojo.com/movies/?id=rocksinmypockets.htm" TargetMode="External"/><Relationship Id="rId1408" Type="http://schemas.openxmlformats.org/officeDocument/2006/relationships/hyperlink" Target="http://www.boxofficemojo.com/studio/chart/?studio=zeitgeist.htm" TargetMode="External"/><Relationship Id="rId1409" Type="http://schemas.openxmlformats.org/officeDocument/2006/relationships/hyperlink" Target="http://www.boxofficemojo.com/schedule/?view=bydate&amp;release=theatrical&amp;date=2014-09-03&amp;p=.htm" TargetMode="External"/><Relationship Id="rId940" Type="http://schemas.openxmlformats.org/officeDocument/2006/relationships/hyperlink" Target="http://www.boxofficemojo.com/studio/chart/?studio=oscilloscopepictures.htm" TargetMode="External"/><Relationship Id="rId941" Type="http://schemas.openxmlformats.org/officeDocument/2006/relationships/hyperlink" Target="http://www.boxofficemojo.com/schedule/?view=bydate&amp;release=theatrical&amp;date=2014-09-19&amp;p=.htm" TargetMode="External"/><Relationship Id="rId942" Type="http://schemas.openxmlformats.org/officeDocument/2006/relationships/hyperlink" Target="http://www.boxofficemojo.com/movies/?id=diplomacy.htm" TargetMode="External"/><Relationship Id="rId943" Type="http://schemas.openxmlformats.org/officeDocument/2006/relationships/hyperlink" Target="http://www.boxofficemojo.com/studio/chart/?studio=zeitgeist.htm" TargetMode="External"/><Relationship Id="rId944" Type="http://schemas.openxmlformats.org/officeDocument/2006/relationships/hyperlink" Target="http://www.boxofficemojo.com/schedule/?view=bydate&amp;release=theatrical&amp;date=2014-10-15&amp;p=.htm" TargetMode="External"/><Relationship Id="rId945" Type="http://schemas.openxmlformats.org/officeDocument/2006/relationships/hyperlink" Target="http://www.boxofficemojo.com/movies/?id=drcabbie.htm" TargetMode="External"/><Relationship Id="rId160" Type="http://schemas.openxmlformats.org/officeDocument/2006/relationships/hyperlink" Target="http://www.boxofficemojo.com/studio/chart/?studio=fs.htm" TargetMode="External"/><Relationship Id="rId161" Type="http://schemas.openxmlformats.org/officeDocument/2006/relationships/hyperlink" Target="http://www.boxofficemojo.com/schedule/?view=bydate&amp;release=theatrical&amp;date=2014-03-21&amp;p=.htm" TargetMode="External"/><Relationship Id="rId162" Type="http://schemas.openxmlformats.org/officeDocument/2006/relationships/hyperlink" Target="http://www.boxofficemojo.com/movies/?id=sonofgod.htm" TargetMode="External"/><Relationship Id="rId163" Type="http://schemas.openxmlformats.org/officeDocument/2006/relationships/hyperlink" Target="http://www.boxofficemojo.com/studio/chart/?studio=fox.htm" TargetMode="External"/><Relationship Id="rId164" Type="http://schemas.openxmlformats.org/officeDocument/2006/relationships/hyperlink" Target="http://www.boxofficemojo.com/schedule/?view=bydate&amp;release=theatrical&amp;date=2014-02-28&amp;p=.htm" TargetMode="External"/><Relationship Id="rId165" Type="http://schemas.openxmlformats.org/officeDocument/2006/relationships/hyperlink" Target="http://www.boxofficemojo.com/movies/?id=grandbudapesthotel.htm" TargetMode="External"/><Relationship Id="rId166" Type="http://schemas.openxmlformats.org/officeDocument/2006/relationships/hyperlink" Target="http://www.boxofficemojo.com/studio/chart/?studio=foxsearchlight.htm" TargetMode="External"/><Relationship Id="rId167" Type="http://schemas.openxmlformats.org/officeDocument/2006/relationships/hyperlink" Target="http://www.boxofficemojo.com/schedule/?view=bydate&amp;release=theatrical&amp;date=2014-03-07&amp;p=.htm" TargetMode="External"/><Relationship Id="rId168" Type="http://schemas.openxmlformats.org/officeDocument/2006/relationships/hyperlink" Target="http://www.boxofficemojo.com/movies/?id=planes2.htm" TargetMode="External"/><Relationship Id="rId169" Type="http://schemas.openxmlformats.org/officeDocument/2006/relationships/hyperlink" Target="http://www.boxofficemojo.com/studio/chart/?studio=buenavista.htm" TargetMode="External"/><Relationship Id="rId946" Type="http://schemas.openxmlformats.org/officeDocument/2006/relationships/hyperlink" Target="http://www.boxofficemojo.com/studio/chart/?studio=eros.htm" TargetMode="External"/><Relationship Id="rId947" Type="http://schemas.openxmlformats.org/officeDocument/2006/relationships/hyperlink" Target="http://www.boxofficemojo.com/schedule/?view=bydate&amp;release=theatrical&amp;date=2014-11-26&amp;p=.htm" TargetMode="External"/><Relationship Id="rId948" Type="http://schemas.openxmlformats.org/officeDocument/2006/relationships/hyperlink" Target="http://www.boxofficemojo.com/movies/?id=suspect14.htm" TargetMode="External"/><Relationship Id="rId949" Type="http://schemas.openxmlformats.org/officeDocument/2006/relationships/hyperlink" Target="http://www.boxofficemojo.com/studio/chart/?studio=wellgo.htm" TargetMode="External"/><Relationship Id="rId1010" Type="http://schemas.openxmlformats.org/officeDocument/2006/relationships/hyperlink" Target="http://www.boxofficemojo.com/schedule/?view=bydate&amp;release=theatrical&amp;date=2014-02-07&amp;p=.htm" TargetMode="External"/><Relationship Id="rId1011" Type="http://schemas.openxmlformats.org/officeDocument/2006/relationships/hyperlink" Target="http://www.boxofficemojo.com/movies/?id=citizenkoch.htm" TargetMode="External"/><Relationship Id="rId1012" Type="http://schemas.openxmlformats.org/officeDocument/2006/relationships/hyperlink" Target="http://www.boxofficemojo.com/studio/chart/?studio=variancefilms.htm" TargetMode="External"/><Relationship Id="rId1013" Type="http://schemas.openxmlformats.org/officeDocument/2006/relationships/hyperlink" Target="http://www.boxofficemojo.com/schedule/?view=bydate&amp;release=theatrical&amp;date=2014-06-06&amp;p=.htm" TargetMode="External"/><Relationship Id="rId1014" Type="http://schemas.openxmlformats.org/officeDocument/2006/relationships/hyperlink" Target="http://www.boxofficemojo.com/movies/?id=alanpartridge.htm" TargetMode="External"/><Relationship Id="rId1015" Type="http://schemas.openxmlformats.org/officeDocument/2006/relationships/hyperlink" Target="http://www.boxofficemojo.com/studio/chart/?studio=magnolia.htm" TargetMode="External"/><Relationship Id="rId1016" Type="http://schemas.openxmlformats.org/officeDocument/2006/relationships/hyperlink" Target="http://www.boxofficemojo.com/schedule/?view=bydate&amp;release=theatrical&amp;date=2014-04-04&amp;p=.htm" TargetMode="External"/><Relationship Id="rId1017" Type="http://schemas.openxmlformats.org/officeDocument/2006/relationships/hyperlink" Target="http://www.boxofficemojo.com/movies/?id=dancinginjaffa.htm" TargetMode="External"/><Relationship Id="rId1018" Type="http://schemas.openxmlformats.org/officeDocument/2006/relationships/hyperlink" Target="http://www.boxofficemojo.com/studio/chart/?studio=ifc.htm" TargetMode="External"/><Relationship Id="rId1019" Type="http://schemas.openxmlformats.org/officeDocument/2006/relationships/hyperlink" Target="http://www.boxofficemojo.com/schedule/?view=bydate&amp;release=theatrical&amp;date=2014-04-11&amp;p=.htm" TargetMode="External"/><Relationship Id="rId550" Type="http://schemas.openxmlformats.org/officeDocument/2006/relationships/hyperlink" Target="http://www.boxofficemojo.com/studio/chart/?studio=utv.htm" TargetMode="External"/><Relationship Id="rId551" Type="http://schemas.openxmlformats.org/officeDocument/2006/relationships/hyperlink" Target="http://www.boxofficemojo.com/schedule/?view=bydate&amp;release=theatrical&amp;date=2014-04-18&amp;p=.htm" TargetMode="External"/><Relationship Id="rId552" Type="http://schemas.openxmlformats.org/officeDocument/2006/relationships/hyperlink" Target="http://www.boxofficemojo.com/movies/?id=leweekend.htm" TargetMode="External"/><Relationship Id="rId553" Type="http://schemas.openxmlformats.org/officeDocument/2006/relationships/hyperlink" Target="http://www.boxofficemojo.com/studio/chart/?studio=musicboxfilms.htm" TargetMode="External"/><Relationship Id="rId554" Type="http://schemas.openxmlformats.org/officeDocument/2006/relationships/hyperlink" Target="http://www.boxofficemojo.com/schedule/?view=bydate&amp;release=theatrical&amp;date=2014-03-14&amp;p=.htm" TargetMode="External"/><Relationship Id="rId555" Type="http://schemas.openxmlformats.org/officeDocument/2006/relationships/hyperlink" Target="http://www.boxofficemojo.com/movies/?id=anchorman2r.htm" TargetMode="External"/><Relationship Id="rId556" Type="http://schemas.openxmlformats.org/officeDocument/2006/relationships/hyperlink" Target="http://www.boxofficemojo.com/studio/chart/?studio=paramount.htm" TargetMode="External"/><Relationship Id="rId557" Type="http://schemas.openxmlformats.org/officeDocument/2006/relationships/hyperlink" Target="http://www.boxofficemojo.com/schedule/?view=bydate&amp;release=theatrical&amp;date=2014-02-28&amp;p=.htm" TargetMode="External"/><Relationship Id="rId558" Type="http://schemas.openxmlformats.org/officeDocument/2006/relationships/hyperlink" Target="http://www.boxofficemojo.com/movies/?id=2014oscar.htm" TargetMode="External"/><Relationship Id="rId559" Type="http://schemas.openxmlformats.org/officeDocument/2006/relationships/hyperlink" Target="http://www.boxofficemojo.com/studio/chart/?studio=shortsinternational.htm" TargetMode="External"/><Relationship Id="rId1800" Type="http://schemas.openxmlformats.org/officeDocument/2006/relationships/hyperlink" Target="http://www.boxofficemojo.com/movies/?id=canopy.htm" TargetMode="External"/><Relationship Id="rId1801" Type="http://schemas.openxmlformats.org/officeDocument/2006/relationships/hyperlink" Target="http://www.boxofficemojo.com/studio/chart/?studio=montereymediainc.htm" TargetMode="External"/><Relationship Id="rId1802" Type="http://schemas.openxmlformats.org/officeDocument/2006/relationships/hyperlink" Target="http://www.boxofficemojo.com/schedule/?view=bydate&amp;release=theatrical&amp;date=2014-08-29&amp;p=.htm" TargetMode="External"/><Relationship Id="rId1803" Type="http://schemas.openxmlformats.org/officeDocument/2006/relationships/hyperlink" Target="http://www.boxofficemojo.com/movies/?id=almosthuman.htm" TargetMode="External"/><Relationship Id="rId1410" Type="http://schemas.openxmlformats.org/officeDocument/2006/relationships/hyperlink" Target="http://www.boxofficemojo.com/movies/?id=whitebirdinablizzard.htm" TargetMode="External"/><Relationship Id="rId1411" Type="http://schemas.openxmlformats.org/officeDocument/2006/relationships/hyperlink" Target="http://www.boxofficemojo.com/studio/chart/?studio=magnolia.htm" TargetMode="External"/><Relationship Id="rId1412" Type="http://schemas.openxmlformats.org/officeDocument/2006/relationships/hyperlink" Target="http://www.boxofficemojo.com/schedule/?view=bydate&amp;release=theatrical&amp;date=2014-10-24&amp;p=.htm" TargetMode="External"/><Relationship Id="rId1413" Type="http://schemas.openxmlformats.org/officeDocument/2006/relationships/hyperlink" Target="http://www.boxofficemojo.com/movies/?id=itfeltlikelove.htm" TargetMode="External"/><Relationship Id="rId1414" Type="http://schemas.openxmlformats.org/officeDocument/2006/relationships/hyperlink" Target="http://www.boxofficemojo.com/studio/chart/?studio=variancefilms.htm" TargetMode="External"/><Relationship Id="rId1415" Type="http://schemas.openxmlformats.org/officeDocument/2006/relationships/hyperlink" Target="http://www.boxofficemojo.com/schedule/?view=bydate&amp;release=theatrical&amp;date=2014-03-21&amp;p=.htm" TargetMode="External"/><Relationship Id="rId1416" Type="http://schemas.openxmlformats.org/officeDocument/2006/relationships/hyperlink" Target="http://www.boxofficemojo.com/movies/?id=kmissingkings.htm" TargetMode="External"/><Relationship Id="rId1417" Type="http://schemas.openxmlformats.org/officeDocument/2006/relationships/hyperlink" Target="http://www.boxofficemojo.com/studio/chart/?studio=elevenarts.htm" TargetMode="External"/><Relationship Id="rId1418" Type="http://schemas.openxmlformats.org/officeDocument/2006/relationships/hyperlink" Target="http://www.boxofficemojo.com/schedule/?view=bydate&amp;release=theatrical&amp;date=2014-07-18&amp;p=.htm" TargetMode="External"/><Relationship Id="rId1419" Type="http://schemas.openxmlformats.org/officeDocument/2006/relationships/hyperlink" Target="http://www.boxofficemojo.com/movies/?id=bigbadwolves.htm" TargetMode="External"/><Relationship Id="rId950" Type="http://schemas.openxmlformats.org/officeDocument/2006/relationships/hyperlink" Target="http://www.boxofficemojo.com/schedule/?view=bydate&amp;release=theatrical&amp;date=2014-01-10&amp;p=.htm" TargetMode="External"/><Relationship Id="rId951" Type="http://schemas.openxmlformats.org/officeDocument/2006/relationships/hyperlink" Target="http://www.boxofficemojo.com/movies/?id=supermensch.htm" TargetMode="External"/><Relationship Id="rId952" Type="http://schemas.openxmlformats.org/officeDocument/2006/relationships/hyperlink" Target="http://www.boxofficemojo.com/studio/chart/?studio=radiustwc.htm" TargetMode="External"/><Relationship Id="rId953" Type="http://schemas.openxmlformats.org/officeDocument/2006/relationships/hyperlink" Target="http://www.boxofficemojo.com/schedule/?view=bydate&amp;release=theatrical&amp;date=2014-06-06&amp;p=.htm" TargetMode="External"/><Relationship Id="rId954" Type="http://schemas.openxmlformats.org/officeDocument/2006/relationships/hyperlink" Target="http://www.boxofficemojo.com/movies/?id=breakupguru.htm" TargetMode="External"/><Relationship Id="rId955" Type="http://schemas.openxmlformats.org/officeDocument/2006/relationships/hyperlink" Target="http://www.boxofficemojo.com/studio/chart/?studio=chinalion.htm" TargetMode="External"/><Relationship Id="rId170" Type="http://schemas.openxmlformats.org/officeDocument/2006/relationships/hyperlink" Target="http://www.boxofficemojo.com/schedule/?view=bydate&amp;release=theatrical&amp;date=2014-07-18&amp;p=.htm" TargetMode="External"/><Relationship Id="rId171" Type="http://schemas.openxmlformats.org/officeDocument/2006/relationships/hyperlink" Target="http://www.boxofficemojo.com/movies/?id=robocop2013.htm" TargetMode="External"/><Relationship Id="rId172" Type="http://schemas.openxmlformats.org/officeDocument/2006/relationships/hyperlink" Target="http://www.boxofficemojo.com/studio/chart/?studio=sony.htm" TargetMode="External"/><Relationship Id="rId173" Type="http://schemas.openxmlformats.org/officeDocument/2006/relationships/hyperlink" Target="http://www.boxofficemojo.com/schedule/?view=bydate&amp;release=theatrical&amp;date=2014-02-12&amp;p=.htm" TargetMode="External"/><Relationship Id="rId174" Type="http://schemas.openxmlformats.org/officeDocument/2006/relationships/hyperlink" Target="http://www.boxofficemojo.com/movies/?id=dracula.htm" TargetMode="External"/><Relationship Id="rId175" Type="http://schemas.openxmlformats.org/officeDocument/2006/relationships/hyperlink" Target="http://www.boxofficemojo.com/studio/chart/?studio=universal.htm" TargetMode="External"/><Relationship Id="rId176" Type="http://schemas.openxmlformats.org/officeDocument/2006/relationships/hyperlink" Target="http://www.boxofficemojo.com/schedule/?view=bydate&amp;release=theatrical&amp;date=2014-10-10&amp;p=.htm" TargetMode="External"/><Relationship Id="rId177" Type="http://schemas.openxmlformats.org/officeDocument/2006/relationships/hyperlink" Target="http://www.boxofficemojo.com/movies/?id=horriblebosses2.htm" TargetMode="External"/><Relationship Id="rId178" Type="http://schemas.openxmlformats.org/officeDocument/2006/relationships/hyperlink" Target="http://www.boxofficemojo.com/studio/chart/?studio=warnerbros.htm" TargetMode="External"/><Relationship Id="rId179" Type="http://schemas.openxmlformats.org/officeDocument/2006/relationships/hyperlink" Target="http://www.boxofficemojo.com/schedule/?view=bydate&amp;release=theatrical&amp;date=2014-11-26&amp;p=.htm" TargetMode="External"/><Relationship Id="rId956" Type="http://schemas.openxmlformats.org/officeDocument/2006/relationships/hyperlink" Target="http://www.boxofficemojo.com/schedule/?view=bydate&amp;release=theatrical&amp;date=2014-06-27&amp;p=.htm" TargetMode="External"/><Relationship Id="rId957" Type="http://schemas.openxmlformats.org/officeDocument/2006/relationships/hyperlink" Target="http://www.boxofficemojo.com/movies/?id=robthemob.htm" TargetMode="External"/><Relationship Id="rId958" Type="http://schemas.openxmlformats.org/officeDocument/2006/relationships/hyperlink" Target="http://www.boxofficemojo.com/studio/chart/?studio=millenniumentertainment.htm" TargetMode="External"/><Relationship Id="rId959" Type="http://schemas.openxmlformats.org/officeDocument/2006/relationships/hyperlink" Target="http://www.boxofficemojo.com/schedule/?view=bydate&amp;release=theatrical&amp;date=2014-03-21&amp;p=.htm" TargetMode="External"/><Relationship Id="rId1020" Type="http://schemas.openxmlformats.org/officeDocument/2006/relationships/hyperlink" Target="http://www.boxofficemojo.com/movies/?id=acoffeeinberlin.htm" TargetMode="External"/><Relationship Id="rId1021" Type="http://schemas.openxmlformats.org/officeDocument/2006/relationships/hyperlink" Target="http://www.boxofficemojo.com/studio/chart/?studio=musicboxfilms.htm" TargetMode="External"/><Relationship Id="rId1022" Type="http://schemas.openxmlformats.org/officeDocument/2006/relationships/hyperlink" Target="http://www.boxofficemojo.com/schedule/?view=bydate&amp;release=theatrical&amp;date=2014-06-13&amp;p=.htm" TargetMode="External"/><Relationship Id="rId1023" Type="http://schemas.openxmlformats.org/officeDocument/2006/relationships/hyperlink" Target="http://www.boxofficemojo.com/movies/?id=godzillaoriginal.htm" TargetMode="External"/><Relationship Id="rId1024" Type="http://schemas.openxmlformats.org/officeDocument/2006/relationships/hyperlink" Target="http://www.boxofficemojo.com/studio/chart/?studio=rialto.htm" TargetMode="External"/><Relationship Id="rId1025" Type="http://schemas.openxmlformats.org/officeDocument/2006/relationships/hyperlink" Target="http://www.boxofficemojo.com/schedule/?view=bydate&amp;release=theatrical&amp;date=2014-04-18&amp;p=.htm" TargetMode="External"/><Relationship Id="rId1026" Type="http://schemas.openxmlformats.org/officeDocument/2006/relationships/hyperlink" Target="http://www.boxofficemojo.com/movies/?id=kidsforcash.htm" TargetMode="External"/><Relationship Id="rId1027" Type="http://schemas.openxmlformats.org/officeDocument/2006/relationships/hyperlink" Target="http://www.boxofficemojo.com/studio/chart/?studio=paladin.htm" TargetMode="External"/><Relationship Id="rId1028" Type="http://schemas.openxmlformats.org/officeDocument/2006/relationships/hyperlink" Target="http://www.boxofficemojo.com/schedule/?view=bydate&amp;release=theatrical&amp;date=2014-02-07&amp;p=.htm" TargetMode="External"/><Relationship Id="rId1029" Type="http://schemas.openxmlformats.org/officeDocument/2006/relationships/hyperlink" Target="http://www.boxofficemojo.com/movies/?id=gorevidal.htm" TargetMode="External"/><Relationship Id="rId560" Type="http://schemas.openxmlformats.org/officeDocument/2006/relationships/hyperlink" Target="http://www.boxofficemojo.com/schedule/?view=bydate&amp;release=theatrical&amp;date=2014-01-31&amp;p=.htm" TargetMode="External"/><Relationship Id="rId561" Type="http://schemas.openxmlformats.org/officeDocument/2006/relationships/hyperlink" Target="http://www.boxofficemojo.com/movies/?id=wordsandpictures.htm" TargetMode="External"/><Relationship Id="rId562" Type="http://schemas.openxmlformats.org/officeDocument/2006/relationships/hyperlink" Target="http://www.boxofficemojo.com/studio/chart/?studio=roadsideattractions.htm" TargetMode="External"/><Relationship Id="rId563" Type="http://schemas.openxmlformats.org/officeDocument/2006/relationships/hyperlink" Target="http://www.boxofficemojo.com/schedule/?view=bydate&amp;release=theatrical&amp;date=2014-05-23&amp;p=.htm" TargetMode="External"/><Relationship Id="rId564" Type="http://schemas.openxmlformats.org/officeDocument/2006/relationships/hyperlink" Target="http://www.boxofficemojo.com/movies/?id=gloria14.htm" TargetMode="External"/><Relationship Id="rId565" Type="http://schemas.openxmlformats.org/officeDocument/2006/relationships/hyperlink" Target="http://www.boxofficemojo.com/studio/chart/?studio=roadsideattractions.htm" TargetMode="External"/><Relationship Id="rId566" Type="http://schemas.openxmlformats.org/officeDocument/2006/relationships/hyperlink" Target="http://www.boxofficemojo.com/schedule/?view=bydate&amp;release=theatrical&amp;date=2014-01-24&amp;p=.htm" TargetMode="External"/><Relationship Id="rId567" Type="http://schemas.openxmlformats.org/officeDocument/2006/relationships/hyperlink" Target="http://www.boxofficemojo.com/movies/?id=theimmigrant.htm" TargetMode="External"/><Relationship Id="rId568" Type="http://schemas.openxmlformats.org/officeDocument/2006/relationships/hyperlink" Target="http://www.boxofficemojo.com/studio/chart/?studio=weinsteincompany.htm" TargetMode="External"/><Relationship Id="rId569" Type="http://schemas.openxmlformats.org/officeDocument/2006/relationships/hyperlink" Target="http://www.boxofficemojo.com/schedule/?view=bydate&amp;release=theatrical&amp;date=2014-05-16&amp;p=.htm" TargetMode="External"/><Relationship Id="rId1804" Type="http://schemas.openxmlformats.org/officeDocument/2006/relationships/hyperlink" Target="http://www.boxofficemojo.com/studio/chart/?studio=ifc.htm" TargetMode="External"/><Relationship Id="rId1805" Type="http://schemas.openxmlformats.org/officeDocument/2006/relationships/hyperlink" Target="http://www.boxofficemojo.com/schedule/?view=bydate&amp;release=theatrical&amp;date=2014-02-21&amp;p=.htm" TargetMode="External"/><Relationship Id="rId1806" Type="http://schemas.openxmlformats.org/officeDocument/2006/relationships/hyperlink" Target="http://www.boxofficemojo.com/movies/?id=redhollywood.htm" TargetMode="External"/><Relationship Id="rId1807" Type="http://schemas.openxmlformats.org/officeDocument/2006/relationships/hyperlink" Target="http://www.boxofficemojo.com/studio/chart/?studio=cinemaguild.htm" TargetMode="External"/><Relationship Id="rId1808" Type="http://schemas.openxmlformats.org/officeDocument/2006/relationships/hyperlink" Target="http://www.boxofficemojo.com/schedule/?view=bydate&amp;release=theatrical&amp;date=2014-08-15&amp;p=.htm" TargetMode="External"/><Relationship Id="rId1809" Type="http://schemas.openxmlformats.org/officeDocument/2006/relationships/hyperlink" Target="http://www.boxofficemojo.com/movies/?id=loveisintheair.htm" TargetMode="External"/><Relationship Id="rId2100" Type="http://schemas.openxmlformats.org/officeDocument/2006/relationships/hyperlink" Target="http://www.boxofficemojo.com/movies/?id=demisoeur.htm" TargetMode="External"/><Relationship Id="rId2101" Type="http://schemas.openxmlformats.org/officeDocument/2006/relationships/hyperlink" Target="http://www.boxofficemojo.com/studio/chart/?studio=rialto.htm" TargetMode="External"/><Relationship Id="rId2102" Type="http://schemas.openxmlformats.org/officeDocument/2006/relationships/hyperlink" Target="http://www.boxofficemojo.com/schedule/?view=bydate&amp;release=theatrical&amp;date=2014-02-07&amp;p=.htm" TargetMode="External"/><Relationship Id="rId2103" Type="http://schemas.openxmlformats.org/officeDocument/2006/relationships/hyperlink" Target="http://www.boxofficemojo.com/movies/?id=apeopleuncounted.htm" TargetMode="External"/><Relationship Id="rId2104" Type="http://schemas.openxmlformats.org/officeDocument/2006/relationships/hyperlink" Target="http://www.boxofficemojo.com/studio/chart/?studio=firstrun.htm" TargetMode="External"/><Relationship Id="rId2105" Type="http://schemas.openxmlformats.org/officeDocument/2006/relationships/hyperlink" Target="http://www.boxofficemojo.com/schedule/?view=bydate&amp;release=theatrical&amp;date=2014-05-16&amp;p=.htm" TargetMode="External"/><Relationship Id="rId2106" Type="http://schemas.openxmlformats.org/officeDocument/2006/relationships/hyperlink" Target="http://www.boxofficemojo.com/movies/?id=jackpot.htm" TargetMode="External"/><Relationship Id="rId2107" Type="http://schemas.openxmlformats.org/officeDocument/2006/relationships/hyperlink" Target="http://www.boxofficemojo.com/studio/chart/?studio=doppelganger.htm" TargetMode="External"/><Relationship Id="rId2108" Type="http://schemas.openxmlformats.org/officeDocument/2006/relationships/hyperlink" Target="http://www.boxofficemojo.com/schedule/?view=bydate&amp;release=theatrical&amp;date=2014-06-27&amp;p=.htm" TargetMode="External"/><Relationship Id="rId2109" Type="http://schemas.openxmlformats.org/officeDocument/2006/relationships/hyperlink" Target="http://www.boxofficemojo.com/movies/?id=granddepart.htm" TargetMode="External"/><Relationship Id="rId1810" Type="http://schemas.openxmlformats.org/officeDocument/2006/relationships/hyperlink" Target="http://www.boxofficemojo.com/studio/chart/?studio=focus.htm" TargetMode="External"/><Relationship Id="rId1811" Type="http://schemas.openxmlformats.org/officeDocument/2006/relationships/hyperlink" Target="http://www.boxofficemojo.com/schedule/?view=bydate&amp;release=theatrical&amp;date=2014-01-31&amp;p=.htm" TargetMode="External"/><Relationship Id="rId1812" Type="http://schemas.openxmlformats.org/officeDocument/2006/relationships/hyperlink" Target="http://www.boxofficemojo.com/movies/?id=eternitythemovie.htm" TargetMode="External"/><Relationship Id="rId1813" Type="http://schemas.openxmlformats.org/officeDocument/2006/relationships/hyperlink" Target="http://www.boxofficemojo.com/studio/chart/?studio=indican.htm" TargetMode="External"/><Relationship Id="rId1420" Type="http://schemas.openxmlformats.org/officeDocument/2006/relationships/hyperlink" Target="http://www.boxofficemojo.com/studio/chart/?studio=magnolia.htm" TargetMode="External"/><Relationship Id="rId1421" Type="http://schemas.openxmlformats.org/officeDocument/2006/relationships/hyperlink" Target="http://www.boxofficemojo.com/schedule/?view=bydate&amp;release=theatrical&amp;date=2014-01-17&amp;p=.htm" TargetMode="External"/><Relationship Id="rId1422" Type="http://schemas.openxmlformats.org/officeDocument/2006/relationships/hyperlink" Target="http://www.boxofficemojo.com/movies/?id=fieldinengland.htm" TargetMode="External"/><Relationship Id="rId1423" Type="http://schemas.openxmlformats.org/officeDocument/2006/relationships/hyperlink" Target="http://www.boxofficemojo.com/studio/chart/?studio=drafthousefilms.htm" TargetMode="External"/><Relationship Id="rId1424" Type="http://schemas.openxmlformats.org/officeDocument/2006/relationships/hyperlink" Target="http://www.boxofficemojo.com/schedule/?view=bydate&amp;release=theatrical&amp;date=2014-02-07&amp;p=.htm" TargetMode="External"/><Relationship Id="rId1425" Type="http://schemas.openxmlformats.org/officeDocument/2006/relationships/hyperlink" Target="http://www.boxofficemojo.com/movies/?id=forawoman.htm" TargetMode="External"/><Relationship Id="rId1426" Type="http://schemas.openxmlformats.org/officeDocument/2006/relationships/hyperlink" Target="http://www.boxofficemojo.com/studio/chart/?studio=filmmovement.htm" TargetMode="External"/><Relationship Id="rId1427" Type="http://schemas.openxmlformats.org/officeDocument/2006/relationships/hyperlink" Target="http://www.boxofficemojo.com/schedule/?view=bydate&amp;release=theatrical&amp;date=2014-05-02&amp;p=.htm" TargetMode="External"/><Relationship Id="rId1428" Type="http://schemas.openxmlformats.org/officeDocument/2006/relationships/hyperlink" Target="http://www.boxofficemojo.com/movies/?id=heroofcolorcity.htm" TargetMode="External"/><Relationship Id="rId1429" Type="http://schemas.openxmlformats.org/officeDocument/2006/relationships/hyperlink" Target="http://www.boxofficemojo.com/studio/chart/?studio=magnolia.htm" TargetMode="External"/><Relationship Id="rId960" Type="http://schemas.openxmlformats.org/officeDocument/2006/relationships/hyperlink" Target="http://www.boxofficemojo.com/movies/?id=undertheelectricsky.htm" TargetMode="External"/><Relationship Id="rId961" Type="http://schemas.openxmlformats.org/officeDocument/2006/relationships/hyperlink" Target="http://www.boxofficemojo.com/studio/chart/?studio=focus.htm" TargetMode="External"/><Relationship Id="rId962" Type="http://schemas.openxmlformats.org/officeDocument/2006/relationships/hyperlink" Target="http://www.boxofficemojo.com/schedule/?view=bydate&amp;release=theatrical&amp;date=2014-05-29&amp;p=.htm" TargetMode="External"/><Relationship Id="rId963" Type="http://schemas.openxmlformats.org/officeDocument/2006/relationships/hyperlink" Target="http://www.boxofficemojo.com/movies/?id=jinn.htm" TargetMode="External"/><Relationship Id="rId964" Type="http://schemas.openxmlformats.org/officeDocument/2006/relationships/hyperlink" Target="http://www.boxofficemojo.com/studio/chart/?studio=fs.htm" TargetMode="External"/><Relationship Id="rId965" Type="http://schemas.openxmlformats.org/officeDocument/2006/relationships/hyperlink" Target="http://www.boxofficemojo.com/schedule/?view=bydate&amp;release=theatrical&amp;date=2014-04-04&amp;p=.htm" TargetMode="External"/><Relationship Id="rId180" Type="http://schemas.openxmlformats.org/officeDocument/2006/relationships/hyperlink" Target="http://www.boxofficemojo.com/movies/?id=100foot.htm" TargetMode="External"/><Relationship Id="rId181" Type="http://schemas.openxmlformats.org/officeDocument/2006/relationships/hyperlink" Target="http://www.boxofficemojo.com/studio/chart/?studio=buenavista.htm" TargetMode="External"/><Relationship Id="rId182" Type="http://schemas.openxmlformats.org/officeDocument/2006/relationships/hyperlink" Target="http://www.boxofficemojo.com/schedule/?view=bydate&amp;release=theatrical&amp;date=2014-08-08&amp;p=.htm" TargetMode="External"/><Relationship Id="rId183" Type="http://schemas.openxmlformats.org/officeDocument/2006/relationships/hyperlink" Target="http://www.boxofficemojo.com/movies/?id=nogooddeed13.htm" TargetMode="External"/><Relationship Id="rId184" Type="http://schemas.openxmlformats.org/officeDocument/2006/relationships/hyperlink" Target="http://www.boxofficemojo.com/studio/chart/?studio=screengems.htm" TargetMode="External"/><Relationship Id="rId185" Type="http://schemas.openxmlformats.org/officeDocument/2006/relationships/hyperlink" Target="http://www.boxofficemojo.com/schedule/?view=bydate&amp;release=theatrical&amp;date=2014-09-12&amp;p=.htm" TargetMode="External"/><Relationship Id="rId186" Type="http://schemas.openxmlformats.org/officeDocument/2006/relationships/hyperlink" Target="http://www.boxofficemojo.com/movies/?id=selma.htm" TargetMode="External"/><Relationship Id="rId187" Type="http://schemas.openxmlformats.org/officeDocument/2006/relationships/hyperlink" Target="http://www.boxofficemojo.com/studio/chart/?studio=paramount.htm" TargetMode="External"/><Relationship Id="rId188" Type="http://schemas.openxmlformats.org/officeDocument/2006/relationships/hyperlink" Target="http://www.boxofficemojo.com/schedule/?view=bydate&amp;release=theatrical&amp;date=2014-12-25&amp;p=.htm" TargetMode="External"/><Relationship Id="rId189" Type="http://schemas.openxmlformats.org/officeDocument/2006/relationships/hyperlink" Target="http://www.boxofficemojo.com/movies/?id=muppets2.htm" TargetMode="External"/><Relationship Id="rId966" Type="http://schemas.openxmlformats.org/officeDocument/2006/relationships/hyperlink" Target="http://www.boxofficemojo.com/movies/?id=bethlehem.htm" TargetMode="External"/><Relationship Id="rId967" Type="http://schemas.openxmlformats.org/officeDocument/2006/relationships/hyperlink" Target="http://www.boxofficemojo.com/studio/chart/?studio=adoptfilms.htm" TargetMode="External"/><Relationship Id="rId968" Type="http://schemas.openxmlformats.org/officeDocument/2006/relationships/hyperlink" Target="http://www.boxofficemojo.com/schedule/?view=bydate&amp;release=theatrical&amp;date=2014-03-07&amp;p=.htm" TargetMode="External"/><Relationship Id="rId969" Type="http://schemas.openxmlformats.org/officeDocument/2006/relationships/hyperlink" Target="http://www.boxofficemojo.com/movies/?id=double2014.htm" TargetMode="External"/><Relationship Id="rId1030" Type="http://schemas.openxmlformats.org/officeDocument/2006/relationships/hyperlink" Target="http://www.boxofficemojo.com/studio/chart/?studio=ifc.htm" TargetMode="External"/><Relationship Id="rId1031" Type="http://schemas.openxmlformats.org/officeDocument/2006/relationships/hyperlink" Target="http://www.boxofficemojo.com/schedule/?view=bydate&amp;release=theatrical&amp;date=2014-05-23&amp;p=.htm" TargetMode="External"/><Relationship Id="rId1032" Type="http://schemas.openxmlformats.org/officeDocument/2006/relationships/hyperlink" Target="http://www.boxofficemojo.com/movies/?id=mistakenforstrangers.htm" TargetMode="External"/><Relationship Id="rId1033" Type="http://schemas.openxmlformats.org/officeDocument/2006/relationships/hyperlink" Target="http://www.boxofficemojo.com/studio/chart/?studio=abramorama.htm" TargetMode="External"/><Relationship Id="rId1034" Type="http://schemas.openxmlformats.org/officeDocument/2006/relationships/hyperlink" Target="http://www.boxofficemojo.com/schedule/?view=bydate&amp;release=theatrical&amp;date=2014-03-28&amp;p=.htm" TargetMode="External"/><Relationship Id="rId1035" Type="http://schemas.openxmlformats.org/officeDocument/2006/relationships/hyperlink" Target="http://www.boxofficemojo.com/movies/?id=congress.htm" TargetMode="External"/><Relationship Id="rId1036" Type="http://schemas.openxmlformats.org/officeDocument/2006/relationships/hyperlink" Target="http://www.boxofficemojo.com/studio/chart/?studio=drafthousefilms.htm" TargetMode="External"/><Relationship Id="rId1037" Type="http://schemas.openxmlformats.org/officeDocument/2006/relationships/hyperlink" Target="http://www.boxofficemojo.com/schedule/?view=bydate&amp;release=theatrical&amp;date=2014-08-29&amp;p=.htm" TargetMode="External"/><Relationship Id="rId1038" Type="http://schemas.openxmlformats.org/officeDocument/2006/relationships/hyperlink" Target="http://www.boxofficemojo.com/movies/?id=divinemove.htm" TargetMode="External"/><Relationship Id="rId1039" Type="http://schemas.openxmlformats.org/officeDocument/2006/relationships/hyperlink" Target="http://www.boxofficemojo.com/studio/chart/?studio=cjentertainment.htm" TargetMode="External"/><Relationship Id="rId570" Type="http://schemas.openxmlformats.org/officeDocument/2006/relationships/hyperlink" Target="http://www.boxofficemojo.com/movies/?id=onlyloversleftalive.htm" TargetMode="External"/><Relationship Id="rId571" Type="http://schemas.openxmlformats.org/officeDocument/2006/relationships/hyperlink" Target="http://www.boxofficemojo.com/studio/chart/?studio=sonyclassics.htm" TargetMode="External"/><Relationship Id="rId572" Type="http://schemas.openxmlformats.org/officeDocument/2006/relationships/hyperlink" Target="http://www.boxofficemojo.com/schedule/?view=bydate&amp;release=theatrical&amp;date=2014-04-11&amp;p=.htm" TargetMode="External"/><Relationship Id="rId573" Type="http://schemas.openxmlformats.org/officeDocument/2006/relationships/hyperlink" Target="http://www.boxofficemojo.com/movies/?id=tusk.htm" TargetMode="External"/><Relationship Id="rId574" Type="http://schemas.openxmlformats.org/officeDocument/2006/relationships/hyperlink" Target="http://www.boxofficemojo.com/studio/chart/?studio=a24.htm" TargetMode="External"/><Relationship Id="rId575" Type="http://schemas.openxmlformats.org/officeDocument/2006/relationships/hyperlink" Target="http://www.boxofficemojo.com/schedule/?view=bydate&amp;release=theatrical&amp;date=2014-09-19&amp;p=.htm" TargetMode="External"/><Relationship Id="rId576" Type="http://schemas.openxmlformats.org/officeDocument/2006/relationships/hyperlink" Target="http://www.boxofficemojo.com/movies/?id=timsvermeer.htm" TargetMode="External"/><Relationship Id="rId577" Type="http://schemas.openxmlformats.org/officeDocument/2006/relationships/hyperlink" Target="http://www.boxofficemojo.com/studio/chart/?studio=sonyclassics.htm" TargetMode="External"/><Relationship Id="rId578" Type="http://schemas.openxmlformats.org/officeDocument/2006/relationships/hyperlink" Target="http://www.boxofficemojo.com/schedule/?view=bydate&amp;release=theatrical&amp;date=2014-01-31&amp;p=.htm" TargetMode="External"/><Relationship Id="rId579" Type="http://schemas.openxmlformats.org/officeDocument/2006/relationships/hyperlink" Target="http://www.boxofficemojo.com/movies/?id=persecuted.htm" TargetMode="External"/><Relationship Id="rId1814" Type="http://schemas.openxmlformats.org/officeDocument/2006/relationships/hyperlink" Target="http://www.boxofficemojo.com/schedule/?view=bydate&amp;release=theatrical&amp;date=2014-10-17&amp;p=.htm" TargetMode="External"/><Relationship Id="rId1815" Type="http://schemas.openxmlformats.org/officeDocument/2006/relationships/hyperlink" Target="http://www.boxofficemojo.com/movies/?id=gringotrails.htm" TargetMode="External"/><Relationship Id="rId1816" Type="http://schemas.openxmlformats.org/officeDocument/2006/relationships/hyperlink" Target="http://www.boxofficemojo.com/studio/chart/?studio=icarus.htm" TargetMode="External"/><Relationship Id="rId1817" Type="http://schemas.openxmlformats.org/officeDocument/2006/relationships/hyperlink" Target="http://www.boxofficemojo.com/schedule/?view=bydate&amp;release=theatrical&amp;date=2014-04-19&amp;p=.htm" TargetMode="External"/><Relationship Id="rId1818" Type="http://schemas.openxmlformats.org/officeDocument/2006/relationships/hyperlink" Target="http://www.boxofficemojo.com/movies/?id=lifepartners2014.htm" TargetMode="External"/><Relationship Id="rId1819" Type="http://schemas.openxmlformats.org/officeDocument/2006/relationships/hyperlink" Target="http://www.boxofficemojo.com/studio/chart/?studio=magnolia.htm" TargetMode="External"/><Relationship Id="rId2110" Type="http://schemas.openxmlformats.org/officeDocument/2006/relationships/hyperlink" Target="http://www.boxofficemojo.com/studio/chart/?studio=rialto.htm" TargetMode="External"/><Relationship Id="rId2111" Type="http://schemas.openxmlformats.org/officeDocument/2006/relationships/hyperlink" Target="http://www.boxofficemojo.com/schedule/?view=bydate&amp;release=theatrical&amp;date=2014-05-23&amp;p=.htm" TargetMode="External"/><Relationship Id="rId2112" Type="http://schemas.openxmlformats.org/officeDocument/2006/relationships/hyperlink" Target="http://www.boxofficemojo.com/movies/?id=skinless.htm" TargetMode="External"/><Relationship Id="rId2113" Type="http://schemas.openxmlformats.org/officeDocument/2006/relationships/hyperlink" Target="http://www.boxofficemojo.com/studio/chart/?studio=phantompain.htm" TargetMode="External"/><Relationship Id="rId2114" Type="http://schemas.openxmlformats.org/officeDocument/2006/relationships/hyperlink" Target="http://www.boxofficemojo.com/schedule/?view=bydate&amp;release=theatrical&amp;date=2014-03-08&amp;p=.htm" TargetMode="External"/><Relationship Id="rId2115" Type="http://schemas.openxmlformats.org/officeDocument/2006/relationships/hyperlink" Target="http://www.boxofficemojo.com/movies/?id=cinemanovels.htm" TargetMode="External"/><Relationship Id="rId2116" Type="http://schemas.openxmlformats.org/officeDocument/2006/relationships/hyperlink" Target="http://www.boxofficemojo.com/studio/chart/?studio=montereymediainc.htm" TargetMode="External"/><Relationship Id="rId2117" Type="http://schemas.openxmlformats.org/officeDocument/2006/relationships/hyperlink" Target="http://www.boxofficemojo.com/schedule/?view=bydate&amp;release=theatrical&amp;date=2014-07-03&amp;p=.htm" TargetMode="External"/><Relationship Id="rId2118" Type="http://schemas.openxmlformats.org/officeDocument/2006/relationships/hyperlink" Target="http://www.boxofficemojo.com/movies/?id=mummyimazombie.htm" TargetMode="External"/><Relationship Id="rId2119" Type="http://schemas.openxmlformats.org/officeDocument/2006/relationships/hyperlink" Target="http://www.boxofficemojo.com/studio/chart/?studio=phase4.htm" TargetMode="External"/><Relationship Id="rId1820" Type="http://schemas.openxmlformats.org/officeDocument/2006/relationships/hyperlink" Target="http://www.boxofficemojo.com/schedule/?view=bydate&amp;release=theatrical&amp;date=2014-12-05&amp;p=.htm" TargetMode="External"/><Relationship Id="rId1821" Type="http://schemas.openxmlformats.org/officeDocument/2006/relationships/hyperlink" Target="http://www.boxofficemojo.com/movies/?id=emptyhours.htm" TargetMode="External"/><Relationship Id="rId1822" Type="http://schemas.openxmlformats.org/officeDocument/2006/relationships/hyperlink" Target="http://www.boxofficemojo.com/studio/chart/?studio=strand.htm" TargetMode="External"/><Relationship Id="rId1823" Type="http://schemas.openxmlformats.org/officeDocument/2006/relationships/hyperlink" Target="http://www.boxofficemojo.com/schedule/?view=bydate&amp;release=theatrical&amp;date=2014-07-11&amp;p=.htm" TargetMode="External"/><Relationship Id="rId1430" Type="http://schemas.openxmlformats.org/officeDocument/2006/relationships/hyperlink" Target="http://www.boxofficemojo.com/schedule/?view=bydate&amp;release=theatrical&amp;date=2014-10-03&amp;p=.htm" TargetMode="External"/><Relationship Id="rId1431" Type="http://schemas.openxmlformats.org/officeDocument/2006/relationships/hyperlink" Target="http://www.boxofficemojo.com/movies/?id=birdpeople.htm" TargetMode="External"/><Relationship Id="rId1432" Type="http://schemas.openxmlformats.org/officeDocument/2006/relationships/hyperlink" Target="http://www.boxofficemojo.com/studio/chart/?studio=ifc.htm" TargetMode="External"/><Relationship Id="rId1433" Type="http://schemas.openxmlformats.org/officeDocument/2006/relationships/hyperlink" Target="http://www.boxofficemojo.com/schedule/?view=bydate&amp;release=theatrical&amp;date=2014-09-12&amp;p=.htm" TargetMode="External"/><Relationship Id="rId1434" Type="http://schemas.openxmlformats.org/officeDocument/2006/relationships/hyperlink" Target="http://www.boxofficemojo.com/movies/?id=abuseofweakness.htm" TargetMode="External"/><Relationship Id="rId1435" Type="http://schemas.openxmlformats.org/officeDocument/2006/relationships/hyperlink" Target="http://www.boxofficemojo.com/studio/chart/?studio=strand.htm" TargetMode="External"/><Relationship Id="rId1436" Type="http://schemas.openxmlformats.org/officeDocument/2006/relationships/hyperlink" Target="http://www.boxofficemojo.com/schedule/?view=bydate&amp;release=theatrical&amp;date=2014-08-15&amp;p=.htm" TargetMode="External"/><Relationship Id="rId1437" Type="http://schemas.openxmlformats.org/officeDocument/2006/relationships/hyperlink" Target="http://www.boxofficemojo.com/movies/?id=passionatethief.htm" TargetMode="External"/><Relationship Id="rId1438" Type="http://schemas.openxmlformats.org/officeDocument/2006/relationships/hyperlink" Target="http://www.boxofficemojo.com/studio/chart/?studio=rialto.htm" TargetMode="External"/><Relationship Id="rId1439" Type="http://schemas.openxmlformats.org/officeDocument/2006/relationships/hyperlink" Target="http://www.boxofficemojo.com/schedule/?view=bydate&amp;release=theatrical&amp;date=2014-12-05&amp;p=.htm" TargetMode="External"/><Relationship Id="rId970" Type="http://schemas.openxmlformats.org/officeDocument/2006/relationships/hyperlink" Target="http://www.boxofficemojo.com/studio/chart/?studio=magnolia.htm" TargetMode="External"/><Relationship Id="rId971" Type="http://schemas.openxmlformats.org/officeDocument/2006/relationships/hyperlink" Target="http://www.boxofficemojo.com/schedule/?view=bydate&amp;release=theatrical&amp;date=2014-05-09&amp;p=.htm" TargetMode="External"/><Relationship Id="rId972" Type="http://schemas.openxmlformats.org/officeDocument/2006/relationships/hyperlink" Target="http://www.boxofficemojo.com/movies/?id=listenupphilip.htm" TargetMode="External"/><Relationship Id="rId973" Type="http://schemas.openxmlformats.org/officeDocument/2006/relationships/hyperlink" Target="http://www.boxofficemojo.com/studio/chart/?studio=tribecafilm.htm" TargetMode="External"/><Relationship Id="rId974" Type="http://schemas.openxmlformats.org/officeDocument/2006/relationships/hyperlink" Target="http://www.boxofficemojo.com/schedule/?view=bydate&amp;release=theatrical&amp;date=2014-10-17&amp;p=.htm" TargetMode="External"/><Relationship Id="rId975" Type="http://schemas.openxmlformats.org/officeDocument/2006/relationships/hyperlink" Target="http://www.boxofficemojo.com/movies/?id=asummerstale.htm" TargetMode="External"/><Relationship Id="rId190" Type="http://schemas.openxmlformats.org/officeDocument/2006/relationships/hyperlink" Target="http://www.boxofficemojo.com/studio/chart/?studio=buenavista.htm" TargetMode="External"/><Relationship Id="rId191" Type="http://schemas.openxmlformats.org/officeDocument/2006/relationships/hyperlink" Target="http://www.boxofficemojo.com/schedule/?view=bydate&amp;release=theatrical&amp;date=2014-03-21&amp;p=.htm" TargetMode="External"/><Relationship Id="rId192" Type="http://schemas.openxmlformats.org/officeDocument/2006/relationships/hyperlink" Target="http://www.boxofficemojo.com/movies/?id=ouija.htm" TargetMode="External"/><Relationship Id="rId193" Type="http://schemas.openxmlformats.org/officeDocument/2006/relationships/hyperlink" Target="http://www.boxofficemojo.com/studio/chart/?studio=universal.htm" TargetMode="External"/><Relationship Id="rId194" Type="http://schemas.openxmlformats.org/officeDocument/2006/relationships/hyperlink" Target="http://www.boxofficemojo.com/schedule/?view=bydate&amp;release=theatrical&amp;date=2014-10-24&amp;p=.htm" TargetMode="External"/><Relationship Id="rId195" Type="http://schemas.openxmlformats.org/officeDocument/2006/relationships/hyperlink" Target="http://www.boxofficemojo.com/movies/?id=laika2014.htm" TargetMode="External"/><Relationship Id="rId196" Type="http://schemas.openxmlformats.org/officeDocument/2006/relationships/hyperlink" Target="http://www.boxofficemojo.com/studio/chart/?studio=focus.htm" TargetMode="External"/><Relationship Id="rId197" Type="http://schemas.openxmlformats.org/officeDocument/2006/relationships/hyperlink" Target="http://www.boxofficemojo.com/schedule/?view=bydate&amp;release=theatrical&amp;date=2014-09-26&amp;p=.htm" TargetMode="External"/><Relationship Id="rId198" Type="http://schemas.openxmlformats.org/officeDocument/2006/relationships/hyperlink" Target="http://www.boxofficemojo.com/movies/?id=jackryan.htm" TargetMode="External"/><Relationship Id="rId199" Type="http://schemas.openxmlformats.org/officeDocument/2006/relationships/hyperlink" Target="http://www.boxofficemojo.com/studio/chart/?studio=paramount.htm" TargetMode="External"/><Relationship Id="rId976" Type="http://schemas.openxmlformats.org/officeDocument/2006/relationships/hyperlink" Target="http://www.boxofficemojo.com/studio/chart/?studio=bigworld.htm" TargetMode="External"/><Relationship Id="rId977" Type="http://schemas.openxmlformats.org/officeDocument/2006/relationships/hyperlink" Target="http://www.boxofficemojo.com/schedule/?view=bydate&amp;release=theatrical&amp;date=2014-06-20&amp;p=.htm" TargetMode="External"/><Relationship Id="rId978" Type="http://schemas.openxmlformats.org/officeDocument/2006/relationships/hyperlink" Target="http://www.boxofficemojo.com/movies/?id=codeblack.htm" TargetMode="External"/><Relationship Id="rId979" Type="http://schemas.openxmlformats.org/officeDocument/2006/relationships/hyperlink" Target="http://www.boxofficemojo.com/studio/chart/?studio=longshotfactory.htm" TargetMode="External"/><Relationship Id="rId1040" Type="http://schemas.openxmlformats.org/officeDocument/2006/relationships/hyperlink" Target="http://www.boxofficemojo.com/schedule/?view=bydate&amp;release=theatrical&amp;date=2014-07-25&amp;p=.htm" TargetMode="External"/><Relationship Id="rId1041" Type="http://schemas.openxmlformats.org/officeDocument/2006/relationships/hyperlink" Target="http://www.boxofficemojo.com/movies/?id=redwoodhighway.htm" TargetMode="External"/><Relationship Id="rId1042" Type="http://schemas.openxmlformats.org/officeDocument/2006/relationships/hyperlink" Target="http://www.boxofficemojo.com/studio/chart/?studio=montereymediainc.htm" TargetMode="External"/><Relationship Id="rId1043" Type="http://schemas.openxmlformats.org/officeDocument/2006/relationships/hyperlink" Target="http://www.boxofficemojo.com/schedule/?view=bydate&amp;release=theatrical&amp;date=2014-04-11&amp;p=.htm" TargetMode="External"/><Relationship Id="rId1044" Type="http://schemas.openxmlformats.org/officeDocument/2006/relationships/hyperlink" Target="http://www.boxofficemojo.com/movies/?id=jewishcardinal.htm" TargetMode="External"/><Relationship Id="rId1045" Type="http://schemas.openxmlformats.org/officeDocument/2006/relationships/hyperlink" Target="http://www.boxofficemojo.com/studio/chart/?studio=filmmovement.htm" TargetMode="External"/><Relationship Id="rId1046" Type="http://schemas.openxmlformats.org/officeDocument/2006/relationships/hyperlink" Target="http://www.boxofficemojo.com/schedule/?view=bydate&amp;release=theatrical&amp;date=2014-01-10&amp;p=.htm" TargetMode="External"/><Relationship Id="rId1047" Type="http://schemas.openxmlformats.org/officeDocument/2006/relationships/hyperlink" Target="http://www.boxofficemojo.com/movies/?id=rajanatwarlal.htm" TargetMode="External"/><Relationship Id="rId1048" Type="http://schemas.openxmlformats.org/officeDocument/2006/relationships/hyperlink" Target="http://www.boxofficemojo.com/studio/chart/?studio=utv.htm" TargetMode="External"/><Relationship Id="rId1049" Type="http://schemas.openxmlformats.org/officeDocument/2006/relationships/hyperlink" Target="http://www.boxofficemojo.com/schedule/?view=bydate&amp;release=theatrical&amp;date=2014-08-29&amp;p=.htm" TargetMode="External"/><Relationship Id="rId580" Type="http://schemas.openxmlformats.org/officeDocument/2006/relationships/hyperlink" Target="http://www.boxofficemojo.com/studio/chart/?studio=millenniumentertainment.htm" TargetMode="External"/><Relationship Id="rId581" Type="http://schemas.openxmlformats.org/officeDocument/2006/relationships/hyperlink" Target="http://www.boxofficemojo.com/schedule/?view=bydate&amp;release=theatrical&amp;date=2014-07-18&amp;p=.htm" TargetMode="External"/><Relationship Id="rId582" Type="http://schemas.openxmlformats.org/officeDocument/2006/relationships/hyperlink" Target="http://www.boxofficemojo.com/movies/?id=awakeyogananda.htm" TargetMode="External"/><Relationship Id="rId583" Type="http://schemas.openxmlformats.org/officeDocument/2006/relationships/hyperlink" Target="http://www.boxofficemojo.com/studio/chart/?studio=counterpoint.htm" TargetMode="External"/><Relationship Id="rId584" Type="http://schemas.openxmlformats.org/officeDocument/2006/relationships/hyperlink" Target="http://www.boxofficemojo.com/schedule/?view=bydate&amp;release=theatrical&amp;date=2014-10-10&amp;p=.htm" TargetMode="External"/><Relationship Id="rId585" Type="http://schemas.openxmlformats.org/officeDocument/2006/relationships/hyperlink" Target="http://www.boxofficemojo.com/movies/?id=fedup.htm" TargetMode="External"/><Relationship Id="rId586" Type="http://schemas.openxmlformats.org/officeDocument/2006/relationships/hyperlink" Target="http://www.boxofficemojo.com/studio/chart/?studio=radiustwc.htm" TargetMode="External"/><Relationship Id="rId587" Type="http://schemas.openxmlformats.org/officeDocument/2006/relationships/hyperlink" Target="http://www.boxofficemojo.com/schedule/?view=bydate&amp;release=theatrical&amp;date=2014-05-09&amp;p=.htm" TargetMode="External"/><Relationship Id="rId588" Type="http://schemas.openxmlformats.org/officeDocument/2006/relationships/hyperlink" Target="http://www.boxofficemojo.com/movies/?id=findingvivianmaier.htm" TargetMode="External"/><Relationship Id="rId589" Type="http://schemas.openxmlformats.org/officeDocument/2006/relationships/hyperlink" Target="http://www.boxofficemojo.com/studio/chart/?studio=ifc.htm" TargetMode="External"/><Relationship Id="rId1824" Type="http://schemas.openxmlformats.org/officeDocument/2006/relationships/hyperlink" Target="http://www.boxofficemojo.com/movies/?id=gladiatorsofrome.htm" TargetMode="External"/><Relationship Id="rId1825" Type="http://schemas.openxmlformats.org/officeDocument/2006/relationships/hyperlink" Target="http://www.boxofficemojo.com/studio/chart/?studio=vivapictures.htm" TargetMode="External"/><Relationship Id="rId1826" Type="http://schemas.openxmlformats.org/officeDocument/2006/relationships/hyperlink" Target="http://www.boxofficemojo.com/schedule/?view=bydate&amp;release=theatrical&amp;date=2014-11-11&amp;p=.htm" TargetMode="External"/><Relationship Id="rId1827" Type="http://schemas.openxmlformats.org/officeDocument/2006/relationships/hyperlink" Target="http://www.boxofficemojo.com/movies/?id=nextyearjerusalem.htm" TargetMode="External"/><Relationship Id="rId1828" Type="http://schemas.openxmlformats.org/officeDocument/2006/relationships/hyperlink" Target="http://www.boxofficemojo.com/studio/chart/?studio=firstrun.htm" TargetMode="External"/><Relationship Id="rId1829" Type="http://schemas.openxmlformats.org/officeDocument/2006/relationships/hyperlink" Target="http://www.boxofficemojo.com/schedule/?view=bydate&amp;release=theatrical&amp;date=2014-05-16&amp;p=.htm" TargetMode="External"/><Relationship Id="rId2120" Type="http://schemas.openxmlformats.org/officeDocument/2006/relationships/hyperlink" Target="http://www.boxofficemojo.com/schedule/?view=bydate&amp;release=theatrical&amp;date=2014-09-20&amp;p=.htm" TargetMode="External"/><Relationship Id="rId1830" Type="http://schemas.openxmlformats.org/officeDocument/2006/relationships/hyperlink" Target="http://www.boxofficemojo.com/movies/?id=rigormortis.htm" TargetMode="External"/><Relationship Id="rId1831" Type="http://schemas.openxmlformats.org/officeDocument/2006/relationships/hyperlink" Target="http://www.boxofficemojo.com/studio/chart/?studio=wellgo.htm" TargetMode="External"/><Relationship Id="rId1832" Type="http://schemas.openxmlformats.org/officeDocument/2006/relationships/hyperlink" Target="http://www.boxofficemojo.com/schedule/?view=bydate&amp;release=theatrical&amp;date=2014-06-06&amp;p=.htm" TargetMode="External"/><Relationship Id="rId1833" Type="http://schemas.openxmlformats.org/officeDocument/2006/relationships/hyperlink" Target="http://www.boxofficemojo.com/movies/?id=archipelago.htm" TargetMode="External"/><Relationship Id="rId1440" Type="http://schemas.openxmlformats.org/officeDocument/2006/relationships/hyperlink" Target="http://www.boxofficemojo.com/movies/?id=documented.htm" TargetMode="External"/><Relationship Id="rId1441" Type="http://schemas.openxmlformats.org/officeDocument/2006/relationships/hyperlink" Target="http://www.boxofficemojo.com/studio/chart/?studio=defineamerican.htm" TargetMode="External"/><Relationship Id="rId1442" Type="http://schemas.openxmlformats.org/officeDocument/2006/relationships/hyperlink" Target="http://www.boxofficemojo.com/schedule/?view=bydate&amp;release=theatrical&amp;date=2014-05-02&amp;p=.htm" TargetMode="External"/><Relationship Id="rId1443" Type="http://schemas.openxmlformats.org/officeDocument/2006/relationships/hyperlink" Target="http://www.boxofficemojo.com/movies/?id=happychristmas.htm" TargetMode="External"/><Relationship Id="rId1444" Type="http://schemas.openxmlformats.org/officeDocument/2006/relationships/hyperlink" Target="http://www.boxofficemojo.com/studio/chart/?studio=magnolia.htm" TargetMode="External"/><Relationship Id="rId1445" Type="http://schemas.openxmlformats.org/officeDocument/2006/relationships/hyperlink" Target="http://www.boxofficemojo.com/schedule/?view=bydate&amp;release=theatrical&amp;date=2014-07-25&amp;p=.htm" TargetMode="External"/><Relationship Id="rId1446" Type="http://schemas.openxmlformats.org/officeDocument/2006/relationships/hyperlink" Target="http://www.boxofficemojo.com/movies/?id=jimmyp.htm" TargetMode="External"/><Relationship Id="rId1447" Type="http://schemas.openxmlformats.org/officeDocument/2006/relationships/hyperlink" Target="http://www.boxofficemojo.com/studio/chart/?studio=ifc.htm" TargetMode="External"/><Relationship Id="rId1448" Type="http://schemas.openxmlformats.org/officeDocument/2006/relationships/hyperlink" Target="http://www.boxofficemojo.com/schedule/?view=bydate&amp;release=theatrical&amp;date=2014-02-14&amp;p=.htm" TargetMode="External"/><Relationship Id="rId1449" Type="http://schemas.openxmlformats.org/officeDocument/2006/relationships/hyperlink" Target="http://www.boxofficemojo.com/movies/?id=southernbaptistsissies.htm" TargetMode="External"/><Relationship Id="rId980" Type="http://schemas.openxmlformats.org/officeDocument/2006/relationships/hyperlink" Target="http://www.boxofficemojo.com/schedule/?view=bydate&amp;release=theatrical&amp;date=2014-06-20&amp;p=.htm" TargetMode="External"/><Relationship Id="rId981" Type="http://schemas.openxmlformats.org/officeDocument/2006/relationships/hyperlink" Target="http://www.boxofficemojo.com/movies/?id=wearethebest.htm" TargetMode="External"/><Relationship Id="rId982" Type="http://schemas.openxmlformats.org/officeDocument/2006/relationships/hyperlink" Target="http://www.boxofficemojo.com/studio/chart/?studio=magnolia.htm" TargetMode="External"/><Relationship Id="rId983" Type="http://schemas.openxmlformats.org/officeDocument/2006/relationships/hyperlink" Target="http://www.boxofficemojo.com/schedule/?view=bydate&amp;release=theatrical&amp;date=2014-05-30&amp;p=.htm" TargetMode="External"/><Relationship Id="rId984" Type="http://schemas.openxmlformats.org/officeDocument/2006/relationships/hyperlink" Target="http://www.boxofficemojo.com/movies/?id=anita.htm" TargetMode="External"/><Relationship Id="rId985" Type="http://schemas.openxmlformats.org/officeDocument/2006/relationships/hyperlink" Target="http://www.boxofficemojo.com/studio/chart/?studio=samuelgoldwyn.htm" TargetMode="External"/><Relationship Id="rId986" Type="http://schemas.openxmlformats.org/officeDocument/2006/relationships/hyperlink" Target="http://www.boxofficemojo.com/schedule/?view=bydate&amp;release=theatrical&amp;date=2014-03-21&amp;p=.htm" TargetMode="External"/><Relationship Id="rId987" Type="http://schemas.openxmlformats.org/officeDocument/2006/relationships/hyperlink" Target="http://www.boxofficemojo.com/movies/?id=evangelion3.htm" TargetMode="External"/><Relationship Id="rId988" Type="http://schemas.openxmlformats.org/officeDocument/2006/relationships/hyperlink" Target="http://www.boxofficemojo.com/studio/chart/?studio=elevenarts.htm" TargetMode="External"/><Relationship Id="rId989" Type="http://schemas.openxmlformats.org/officeDocument/2006/relationships/hyperlink" Target="http://www.boxofficemojo.com/schedule/?view=bydate&amp;release=theatrical&amp;date=2014-01-10&amp;p=.htm" TargetMode="External"/><Relationship Id="rId1050" Type="http://schemas.openxmlformats.org/officeDocument/2006/relationships/hyperlink" Target="http://www.boxofficemojo.com/movies/?id=bjork-biophilialive.htm" TargetMode="External"/><Relationship Id="rId1051" Type="http://schemas.openxmlformats.org/officeDocument/2006/relationships/hyperlink" Target="http://www.boxofficemojo.com/studio/chart/?studio=cinemapurgatorio.htm" TargetMode="External"/><Relationship Id="rId1052" Type="http://schemas.openxmlformats.org/officeDocument/2006/relationships/hyperlink" Target="http://www.boxofficemojo.com/schedule/?view=bydate&amp;release=theatrical&amp;date=2014-09-26&amp;p=.htm" TargetMode="External"/><Relationship Id="rId1053" Type="http://schemas.openxmlformats.org/officeDocument/2006/relationships/hyperlink" Target="http://www.boxofficemojo.com/movies/?id=makeyourmove.htm" TargetMode="External"/><Relationship Id="rId1054" Type="http://schemas.openxmlformats.org/officeDocument/2006/relationships/hyperlink" Target="http://www.boxofficemojo.com/studio/chart/?studio=hightop.htm" TargetMode="External"/><Relationship Id="rId1055" Type="http://schemas.openxmlformats.org/officeDocument/2006/relationships/hyperlink" Target="http://www.boxofficemojo.com/schedule/?view=bydate&amp;release=theatrical&amp;date=2014-04-18&amp;p=.htm" TargetMode="External"/><Relationship Id="rId1056" Type="http://schemas.openxmlformats.org/officeDocument/2006/relationships/hyperlink" Target="http://www.boxofficemojo.com/movies/?id=knightsofbadassdom.htm" TargetMode="External"/><Relationship Id="rId1057" Type="http://schemas.openxmlformats.org/officeDocument/2006/relationships/hyperlink" Target="http://www.boxofficemojo.com/studio/chart/?studio=entertainmentone.htm" TargetMode="External"/><Relationship Id="rId1058" Type="http://schemas.openxmlformats.org/officeDocument/2006/relationships/hyperlink" Target="http://www.boxofficemojo.com/schedule/?view=bydate&amp;release=theatrical&amp;date=2014-01-21&amp;p=.htm" TargetMode="External"/><Relationship Id="rId1059" Type="http://schemas.openxmlformats.org/officeDocument/2006/relationships/hyperlink" Target="http://www.boxofficemojo.com/movies/?id=afflicted2014.htm" TargetMode="External"/><Relationship Id="rId590" Type="http://schemas.openxmlformats.org/officeDocument/2006/relationships/hyperlink" Target="http://www.boxofficemojo.com/schedule/?view=bydate&amp;release=theatrical&amp;date=2014-03-28&amp;p=.htm" TargetMode="External"/><Relationship Id="rId591" Type="http://schemas.openxmlformats.org/officeDocument/2006/relationships/hyperlink" Target="http://www.boxofficemojo.com/movies/?id=pride2014.htm" TargetMode="External"/><Relationship Id="rId592" Type="http://schemas.openxmlformats.org/officeDocument/2006/relationships/hyperlink" Target="http://www.boxofficemojo.com/studio/chart/?studio=cbsfilms.htm" TargetMode="External"/><Relationship Id="rId593" Type="http://schemas.openxmlformats.org/officeDocument/2006/relationships/hyperlink" Target="http://www.boxofficemojo.com/schedule/?view=bydate&amp;release=theatrical&amp;date=2014-09-26&amp;p=.htm" TargetMode="External"/><Relationship Id="rId594" Type="http://schemas.openxmlformats.org/officeDocument/2006/relationships/hyperlink" Target="http://www.boxofficemojo.com/movies/?id=twodaysonenight.htm" TargetMode="External"/><Relationship Id="rId595" Type="http://schemas.openxmlformats.org/officeDocument/2006/relationships/hyperlink" Target="http://www.boxofficemojo.com/studio/chart/?studio=ifc.htm" TargetMode="External"/><Relationship Id="rId596" Type="http://schemas.openxmlformats.org/officeDocument/2006/relationships/hyperlink" Target="http://www.boxofficemojo.com/schedule/?view=bydate&amp;release=theatrical&amp;date=2014-12-24&amp;p=.htm" TargetMode="External"/><Relationship Id="rId597" Type="http://schemas.openxmlformats.org/officeDocument/2006/relationships/hyperlink" Target="http://www.boxofficemojo.com/movies/?id=locke.htm" TargetMode="External"/><Relationship Id="rId598" Type="http://schemas.openxmlformats.org/officeDocument/2006/relationships/hyperlink" Target="http://www.boxofficemojo.com/studio/chart/?studio=a24.htm" TargetMode="External"/><Relationship Id="rId599" Type="http://schemas.openxmlformats.org/officeDocument/2006/relationships/hyperlink" Target="http://www.boxofficemojo.com/schedule/?view=bydate&amp;release=theatrical&amp;date=2014-04-25&amp;p=.htm" TargetMode="External"/><Relationship Id="rId1834" Type="http://schemas.openxmlformats.org/officeDocument/2006/relationships/hyperlink" Target="http://www.boxofficemojo.com/studio/chart/?studio=kinolorber.htm" TargetMode="External"/><Relationship Id="rId1835" Type="http://schemas.openxmlformats.org/officeDocument/2006/relationships/hyperlink" Target="http://www.boxofficemojo.com/schedule/?view=bydate&amp;release=theatrical&amp;date=2014-06-27&amp;p=.htm" TargetMode="External"/><Relationship Id="rId1836" Type="http://schemas.openxmlformats.org/officeDocument/2006/relationships/hyperlink" Target="http://www.boxofficemojo.com/movies/?id=comebacktome.htm" TargetMode="External"/><Relationship Id="rId1837" Type="http://schemas.openxmlformats.org/officeDocument/2006/relationships/hyperlink" Target="http://www.boxofficemojo.com/studio/chart/?studio=fs.htm" TargetMode="External"/><Relationship Id="rId1838" Type="http://schemas.openxmlformats.org/officeDocument/2006/relationships/hyperlink" Target="http://www.boxofficemojo.com/schedule/?view=bydate&amp;release=theatrical&amp;date=2014-07-25&amp;p=.htm" TargetMode="External"/><Relationship Id="rId1839" Type="http://schemas.openxmlformats.org/officeDocument/2006/relationships/hyperlink" Target="http://www.boxofficemojo.com/movies/?id=iceman2014.htm" TargetMode="External"/><Relationship Id="rId1840" Type="http://schemas.openxmlformats.org/officeDocument/2006/relationships/hyperlink" Target="http://www.boxofficemojo.com/studio/chart/?studio=wellgo.htm" TargetMode="External"/><Relationship Id="rId1841" Type="http://schemas.openxmlformats.org/officeDocument/2006/relationships/hyperlink" Target="http://www.boxofficemojo.com/schedule/?view=bydate&amp;release=theatrical&amp;date=2014-09-19&amp;p=.htm" TargetMode="External"/><Relationship Id="rId1842" Type="http://schemas.openxmlformats.org/officeDocument/2006/relationships/hyperlink" Target="http://www.boxofficemojo.com/movies/?id=littlebedroom.htm" TargetMode="External"/><Relationship Id="rId1843" Type="http://schemas.openxmlformats.org/officeDocument/2006/relationships/hyperlink" Target="http://www.boxofficemojo.com/studio/chart/?studio=cls.htm" TargetMode="External"/><Relationship Id="rId1450" Type="http://schemas.openxmlformats.org/officeDocument/2006/relationships/hyperlink" Target="http://www.boxofficemojo.com/studio/chart/?studio=filmcollaborative.htm" TargetMode="External"/><Relationship Id="rId1451" Type="http://schemas.openxmlformats.org/officeDocument/2006/relationships/hyperlink" Target="http://www.boxofficemojo.com/schedule/?view=bydate&amp;release=theatrical&amp;date=2014-02-21&amp;p=.htm" TargetMode="External"/><Relationship Id="rId1452" Type="http://schemas.openxmlformats.org/officeDocument/2006/relationships/hyperlink" Target="http://www.boxofficemojo.com/movies/?id=alongwayoff.htm" TargetMode="External"/><Relationship Id="rId1453" Type="http://schemas.openxmlformats.org/officeDocument/2006/relationships/hyperlink" Target="http://www.boxofficemojo.com/studio/chart/?studio=movingvisions.htm" TargetMode="External"/><Relationship Id="rId1454" Type="http://schemas.openxmlformats.org/officeDocument/2006/relationships/hyperlink" Target="http://www.boxofficemojo.com/schedule/?view=bydate&amp;release=theatrical&amp;date=2014-05-16&amp;p=.htm" TargetMode="External"/><Relationship Id="rId1455" Type="http://schemas.openxmlformats.org/officeDocument/2006/relationships/hyperlink" Target="http://www.boxofficemojo.com/movies/?id=manakamana.htm" TargetMode="External"/><Relationship Id="rId1456" Type="http://schemas.openxmlformats.org/officeDocument/2006/relationships/hyperlink" Target="http://www.boxofficemojo.com/studio/chart/?studio=cinemaguild.htm" TargetMode="External"/><Relationship Id="rId1457" Type="http://schemas.openxmlformats.org/officeDocument/2006/relationships/hyperlink" Target="http://www.boxofficemojo.com/schedule/?view=bydate&amp;release=theatrical&amp;date=2014-04-18&amp;p=.htm" TargetMode="External"/><Relationship Id="rId1458" Type="http://schemas.openxmlformats.org/officeDocument/2006/relationships/hyperlink" Target="http://www.boxofficemojo.com/movies/?id=yellowday.htm" TargetMode="External"/><Relationship Id="rId1459" Type="http://schemas.openxmlformats.org/officeDocument/2006/relationships/hyperlink" Target="http://www.boxofficemojo.com/studio/chart/?studio=providencefilm.htm" TargetMode="External"/><Relationship Id="rId990" Type="http://schemas.openxmlformats.org/officeDocument/2006/relationships/hyperlink" Target="http://www.boxofficemojo.com/movies/?id=horns.htm" TargetMode="External"/><Relationship Id="rId991" Type="http://schemas.openxmlformats.org/officeDocument/2006/relationships/hyperlink" Target="http://www.boxofficemojo.com/studio/chart/?studio=radiustwc.htm" TargetMode="External"/><Relationship Id="rId992" Type="http://schemas.openxmlformats.org/officeDocument/2006/relationships/hyperlink" Target="http://www.boxofficemojo.com/schedule/?view=bydate&amp;release=theatrical&amp;date=2014-10-31&amp;p=.htm" TargetMode="External"/><Relationship Id="rId993" Type="http://schemas.openxmlformats.org/officeDocument/2006/relationships/hyperlink" Target="http://www.boxofficemojo.com/movies/?id=afternoonofafaun.htm" TargetMode="External"/><Relationship Id="rId994" Type="http://schemas.openxmlformats.org/officeDocument/2006/relationships/hyperlink" Target="http://www.boxofficemojo.com/studio/chart/?studio=kinolorber.htm" TargetMode="External"/><Relationship Id="rId995" Type="http://schemas.openxmlformats.org/officeDocument/2006/relationships/hyperlink" Target="http://www.boxofficemojo.com/schedule/?view=bydate&amp;release=theatrical&amp;date=2014-02-05&amp;p=.htm" TargetMode="External"/><Relationship Id="rId996" Type="http://schemas.openxmlformats.org/officeDocument/2006/relationships/hyperlink" Target="http://www.boxofficemojo.com/movies/?id=thatdemonwithin.htm" TargetMode="External"/><Relationship Id="rId997" Type="http://schemas.openxmlformats.org/officeDocument/2006/relationships/hyperlink" Target="http://www.boxofficemojo.com/studio/chart/?studio=chinalion.htm" TargetMode="External"/><Relationship Id="rId998" Type="http://schemas.openxmlformats.org/officeDocument/2006/relationships/hyperlink" Target="http://www.boxofficemojo.com/schedule/?view=bydate&amp;release=theatrical&amp;date=2014-04-18&amp;p=.htm" TargetMode="External"/><Relationship Id="rId999" Type="http://schemas.openxmlformats.org/officeDocument/2006/relationships/hyperlink" Target="http://www.boxofficemojo.com/movies/?id=godspocket.htm" TargetMode="External"/><Relationship Id="rId1060" Type="http://schemas.openxmlformats.org/officeDocument/2006/relationships/hyperlink" Target="http://www.boxofficemojo.com/studio/chart/?studio=cbsfilms.htm" TargetMode="External"/><Relationship Id="rId1061" Type="http://schemas.openxmlformats.org/officeDocument/2006/relationships/hyperlink" Target="http://www.boxofficemojo.com/schedule/?view=bydate&amp;release=theatrical&amp;date=2014-04-04&amp;p=.htm" TargetMode="External"/><Relationship Id="rId1062" Type="http://schemas.openxmlformats.org/officeDocument/2006/relationships/hyperlink" Target="http://www.boxofficemojo.com/movies/?id=findingfela.htm" TargetMode="External"/><Relationship Id="rId1063" Type="http://schemas.openxmlformats.org/officeDocument/2006/relationships/hyperlink" Target="http://www.boxofficemojo.com/studio/chart/?studio=kinolorber.htm" TargetMode="External"/><Relationship Id="rId1064" Type="http://schemas.openxmlformats.org/officeDocument/2006/relationships/hyperlink" Target="http://www.boxofficemojo.com/schedule/?view=bydate&amp;release=theatrical&amp;date=2014-08-01&amp;p=.htm" TargetMode="External"/><Relationship Id="rId1065" Type="http://schemas.openxmlformats.org/officeDocument/2006/relationships/hyperlink" Target="http://www.boxofficemojo.com/movies/?id=zeromotivation.htm" TargetMode="External"/><Relationship Id="rId1066" Type="http://schemas.openxmlformats.org/officeDocument/2006/relationships/hyperlink" Target="http://www.boxofficemojo.com/studio/chart/?studio=zeitgeist.htm" TargetMode="External"/><Relationship Id="rId1067" Type="http://schemas.openxmlformats.org/officeDocument/2006/relationships/hyperlink" Target="http://www.boxofficemojo.com/schedule/?view=bydate&amp;release=theatrical&amp;date=2014-12-03&amp;p=.htm" TargetMode="External"/><Relationship Id="rId1068" Type="http://schemas.openxmlformats.org/officeDocument/2006/relationships/hyperlink" Target="http://www.boxofficemojo.com/movies/?id=godthefather.htm" TargetMode="External"/><Relationship Id="rId1069" Type="http://schemas.openxmlformats.org/officeDocument/2006/relationships/hyperlink" Target="http://www.boxofficemojo.com/studio/chart/?studio=rockymountainpictures.htm" TargetMode="External"/><Relationship Id="rId1844" Type="http://schemas.openxmlformats.org/officeDocument/2006/relationships/hyperlink" Target="http://www.boxofficemojo.com/schedule/?view=bydate&amp;release=theatrical&amp;date=2014-09-26&amp;p=.htm" TargetMode="External"/><Relationship Id="rId1845" Type="http://schemas.openxmlformats.org/officeDocument/2006/relationships/hyperlink" Target="http://www.boxofficemojo.com/movies/?id=raze.htm" TargetMode="External"/><Relationship Id="rId1846" Type="http://schemas.openxmlformats.org/officeDocument/2006/relationships/hyperlink" Target="http://www.boxofficemojo.com/studio/chart/?studio=ifc.htm" TargetMode="External"/><Relationship Id="rId1847" Type="http://schemas.openxmlformats.org/officeDocument/2006/relationships/hyperlink" Target="http://www.boxofficemojo.com/schedule/?view=bydate&amp;release=theatrical&amp;date=2014-01-10&amp;p=.htm" TargetMode="External"/><Relationship Id="rId1848" Type="http://schemas.openxmlformats.org/officeDocument/2006/relationships/hyperlink" Target="http://www.boxofficemojo.com/movies/?id=iamali.htm" TargetMode="External"/><Relationship Id="rId1849" Type="http://schemas.openxmlformats.org/officeDocument/2006/relationships/hyperlink" Target="http://www.boxofficemojo.com/studio/chart/?studio=focus.htm" TargetMode="External"/><Relationship Id="rId200" Type="http://schemas.openxmlformats.org/officeDocument/2006/relationships/hyperlink" Target="http://www.boxofficemojo.com/schedule/?view=bydate&amp;release=theatrical&amp;date=2014-01-17&amp;p=.htm" TargetMode="External"/><Relationship Id="rId201" Type="http://schemas.openxmlformats.org/officeDocument/2006/relationships/hyperlink" Target="http://www.boxofficemojo.com/movies/?id=ifistay.htm" TargetMode="External"/><Relationship Id="rId202" Type="http://schemas.openxmlformats.org/officeDocument/2006/relationships/hyperlink" Target="http://www.boxofficemojo.com/studio/chart/?studio=wb-newline.htm" TargetMode="External"/><Relationship Id="rId203" Type="http://schemas.openxmlformats.org/officeDocument/2006/relationships/hyperlink" Target="http://www.boxofficemojo.com/schedule/?view=bydate&amp;release=theatrical&amp;date=2014-08-22&amp;p=.htm" TargetMode="External"/><Relationship Id="rId204" Type="http://schemas.openxmlformats.org/officeDocument/2006/relationships/hyperlink" Target="http://www.boxofficemojo.com/movies/?id=bookoflife14.htm" TargetMode="External"/><Relationship Id="rId205" Type="http://schemas.openxmlformats.org/officeDocument/2006/relationships/hyperlink" Target="http://www.boxofficemojo.com/studio/chart/?studio=fox.htm" TargetMode="External"/><Relationship Id="rId206" Type="http://schemas.openxmlformats.org/officeDocument/2006/relationships/hyperlink" Target="http://www.boxofficemojo.com/schedule/?view=bydate&amp;release=theatrical&amp;date=2014-10-17&amp;p=.htm" TargetMode="External"/><Relationship Id="rId207" Type="http://schemas.openxmlformats.org/officeDocument/2006/relationships/hyperlink" Target="http://www.boxofficemojo.com/movies/?id=aboutlastnight14.htm" TargetMode="External"/><Relationship Id="rId208" Type="http://schemas.openxmlformats.org/officeDocument/2006/relationships/hyperlink" Target="http://www.boxofficemojo.com/studio/chart/?studio=screengems.htm" TargetMode="External"/><Relationship Id="rId209" Type="http://schemas.openxmlformats.org/officeDocument/2006/relationships/hyperlink" Target="http://www.boxofficemojo.com/schedule/?view=bydate&amp;release=theatrical&amp;date=2014-02-14&amp;p=.htm" TargetMode="External"/><Relationship Id="rId1850" Type="http://schemas.openxmlformats.org/officeDocument/2006/relationships/hyperlink" Target="http://www.boxofficemojo.com/schedule/?view=bydate&amp;release=theatrical&amp;date=2014-10-10&amp;p=.htm" TargetMode="External"/><Relationship Id="rId1851" Type="http://schemas.openxmlformats.org/officeDocument/2006/relationships/hyperlink" Target="http://www.boxofficemojo.com/movies/?id=bodystears.htm" TargetMode="External"/><Relationship Id="rId1852" Type="http://schemas.openxmlformats.org/officeDocument/2006/relationships/hyperlink" Target="http://www.boxofficemojo.com/studio/chart/?studio=strand.htm" TargetMode="External"/><Relationship Id="rId1853" Type="http://schemas.openxmlformats.org/officeDocument/2006/relationships/hyperlink" Target="http://www.boxofficemojo.com/schedule/?view=bydate&amp;release=theatrical&amp;date=2014-08-29&amp;p=.htm" TargetMode="External"/><Relationship Id="rId1460" Type="http://schemas.openxmlformats.org/officeDocument/2006/relationships/hyperlink" Target="http://www.boxofficemojo.com/schedule/?view=bydate&amp;release=theatrical&amp;date=2014-09-19&amp;p=.htm" TargetMode="External"/><Relationship Id="rId1461" Type="http://schemas.openxmlformats.org/officeDocument/2006/relationships/hyperlink" Target="http://www.boxofficemojo.com/movies/?id=othello2014.htm" TargetMode="External"/><Relationship Id="rId1462" Type="http://schemas.openxmlformats.org/officeDocument/2006/relationships/hyperlink" Target="http://www.boxofficemojo.com/studio/chart/?studio=carlotta.htm" TargetMode="External"/><Relationship Id="rId1463" Type="http://schemas.openxmlformats.org/officeDocument/2006/relationships/hyperlink" Target="http://www.boxofficemojo.com/schedule/?view=bydate&amp;release=theatrical&amp;date=2014-04-25&amp;p=.htm" TargetMode="External"/><Relationship Id="rId1464" Type="http://schemas.openxmlformats.org/officeDocument/2006/relationships/hyperlink" Target="http://www.boxofficemojo.com/movies/?id=whydontyouplayinhell.htm" TargetMode="External"/><Relationship Id="rId1465" Type="http://schemas.openxmlformats.org/officeDocument/2006/relationships/hyperlink" Target="http://www.boxofficemojo.com/studio/chart/?studio=drafthousefilms.htm" TargetMode="External"/><Relationship Id="rId1466" Type="http://schemas.openxmlformats.org/officeDocument/2006/relationships/hyperlink" Target="http://www.boxofficemojo.com/schedule/?view=bydate&amp;release=theatrical&amp;date=2014-11-07&amp;p=.htm" TargetMode="External"/><Relationship Id="rId1467" Type="http://schemas.openxmlformats.org/officeDocument/2006/relationships/hyperlink" Target="http://www.boxofficemojo.com/movies/?id=stationsoftheelevated.htm" TargetMode="External"/><Relationship Id="rId1468" Type="http://schemas.openxmlformats.org/officeDocument/2006/relationships/hyperlink" Target="http://www.boxofficemojo.com/studio/chart/?studio=apdcinema.htm" TargetMode="External"/><Relationship Id="rId1469" Type="http://schemas.openxmlformats.org/officeDocument/2006/relationships/hyperlink" Target="http://www.boxofficemojo.com/schedule/?view=bydate&amp;release=theatrical&amp;date=2014-10-17&amp;p=.htm" TargetMode="External"/><Relationship Id="rId1070" Type="http://schemas.openxmlformats.org/officeDocument/2006/relationships/hyperlink" Target="http://www.boxofficemojo.com/schedule/?view=bydate&amp;release=theatrical&amp;date=2014-10-17&amp;p=.htm" TargetMode="External"/><Relationship Id="rId1071" Type="http://schemas.openxmlformats.org/officeDocument/2006/relationships/hyperlink" Target="http://www.boxofficemojo.com/movies/?id=liberator.htm" TargetMode="External"/><Relationship Id="rId1072" Type="http://schemas.openxmlformats.org/officeDocument/2006/relationships/hyperlink" Target="http://www.boxofficemojo.com/studio/chart/?studio=cohenmedia.htm" TargetMode="External"/><Relationship Id="rId1073" Type="http://schemas.openxmlformats.org/officeDocument/2006/relationships/hyperlink" Target="http://www.boxofficemojo.com/schedule/?view=bydate&amp;release=theatrical&amp;date=2014-10-03&amp;p=.htm" TargetMode="External"/><Relationship Id="rId1074" Type="http://schemas.openxmlformats.org/officeDocument/2006/relationships/hyperlink" Target="http://www.boxofficemojo.com/movies/?id=penton.htm" TargetMode="External"/><Relationship Id="rId1075" Type="http://schemas.openxmlformats.org/officeDocument/2006/relationships/hyperlink" Target="http://www.boxofficemojo.com/studio/chart/?studio=gathrfilms.htm" TargetMode="External"/><Relationship Id="rId1076" Type="http://schemas.openxmlformats.org/officeDocument/2006/relationships/hyperlink" Target="http://www.boxofficemojo.com/schedule/?view=bydate&amp;release=theatrical&amp;date=2014-06-23&amp;p=.htm" TargetMode="External"/><Relationship Id="rId1077" Type="http://schemas.openxmlformats.org/officeDocument/2006/relationships/hyperlink" Target="http://www.boxofficemojo.com/movies/?id=richhill.htm" TargetMode="External"/><Relationship Id="rId1078" Type="http://schemas.openxmlformats.org/officeDocument/2006/relationships/hyperlink" Target="http://www.boxofficemojo.com/studio/chart/?studio=orchard.htm" TargetMode="External"/><Relationship Id="rId1079" Type="http://schemas.openxmlformats.org/officeDocument/2006/relationships/hyperlink" Target="http://www.boxofficemojo.com/schedule/?view=bydate&amp;release=theatrical&amp;date=2014-08-01&amp;p=.htm" TargetMode="External"/><Relationship Id="rId1854" Type="http://schemas.openxmlformats.org/officeDocument/2006/relationships/hyperlink" Target="http://www.boxofficemojo.com/movies/?id=abcsofdeath2.htm" TargetMode="External"/><Relationship Id="rId1855" Type="http://schemas.openxmlformats.org/officeDocument/2006/relationships/hyperlink" Target="http://www.boxofficemojo.com/studio/chart/?studio=magnolia.htm" TargetMode="External"/><Relationship Id="rId1856" Type="http://schemas.openxmlformats.org/officeDocument/2006/relationships/hyperlink" Target="http://www.boxofficemojo.com/schedule/?view=bydate&amp;release=theatrical&amp;date=2014-10-31&amp;p=.htm" TargetMode="External"/><Relationship Id="rId1857" Type="http://schemas.openxmlformats.org/officeDocument/2006/relationships/hyperlink" Target="http://www.boxofficemojo.com/movies/?id=stagefright2014.htm" TargetMode="External"/><Relationship Id="rId1858" Type="http://schemas.openxmlformats.org/officeDocument/2006/relationships/hyperlink" Target="http://www.boxofficemojo.com/studio/chart/?studio=magnolia.htm" TargetMode="External"/><Relationship Id="rId1859" Type="http://schemas.openxmlformats.org/officeDocument/2006/relationships/hyperlink" Target="http://www.boxofficemojo.com/schedule/?view=bydate&amp;release=theatrical&amp;date=2014-05-09&amp;p=.htm" TargetMode="External"/><Relationship Id="rId600" Type="http://schemas.openxmlformats.org/officeDocument/2006/relationships/hyperlink" Target="http://www.boxofficemojo.com/movies/?id=gimmeshelter.htm" TargetMode="External"/><Relationship Id="rId601" Type="http://schemas.openxmlformats.org/officeDocument/2006/relationships/hyperlink" Target="http://www.boxofficemojo.com/studio/chart/?studio=roadsideattractions.htm" TargetMode="External"/><Relationship Id="rId602" Type="http://schemas.openxmlformats.org/officeDocument/2006/relationships/hyperlink" Target="http://www.boxofficemojo.com/schedule/?view=bydate&amp;release=theatrical&amp;date=2014-01-24&amp;p=.htm" TargetMode="External"/><Relationship Id="rId603" Type="http://schemas.openxmlformats.org/officeDocument/2006/relationships/hyperlink" Target="http://www.boxofficemojo.com/movies/?id=forcemajeure.htm" TargetMode="External"/><Relationship Id="rId604" Type="http://schemas.openxmlformats.org/officeDocument/2006/relationships/hyperlink" Target="http://www.boxofficemojo.com/studio/chart/?studio=magnolia.htm" TargetMode="External"/><Relationship Id="rId605" Type="http://schemas.openxmlformats.org/officeDocument/2006/relationships/hyperlink" Target="http://www.boxofficemojo.com/schedule/?view=bydate&amp;release=theatrical&amp;date=2014-10-24&amp;p=.htm" TargetMode="External"/><Relationship Id="rId606" Type="http://schemas.openxmlformats.org/officeDocument/2006/relationships/hyperlink" Target="http://www.boxofficemojo.com/movies/?id=jaiho.htm" TargetMode="External"/><Relationship Id="rId607" Type="http://schemas.openxmlformats.org/officeDocument/2006/relationships/hyperlink" Target="http://www.boxofficemojo.com/studio/chart/?studio=eros.htm" TargetMode="External"/><Relationship Id="rId608" Type="http://schemas.openxmlformats.org/officeDocument/2006/relationships/hyperlink" Target="http://www.boxofficemojo.com/schedule/?view=bydate&amp;release=theatrical&amp;date=2014-01-24&amp;p=.htm" TargetMode="External"/><Relationship Id="rId609" Type="http://schemas.openxmlformats.org/officeDocument/2006/relationships/hyperlink" Target="http://www.boxofficemojo.com/movies/?id=singhamreturns.htm" TargetMode="External"/><Relationship Id="rId210" Type="http://schemas.openxmlformats.org/officeDocument/2006/relationships/hyperlink" Target="http://www.boxofficemojo.com/movies/?id=intothestorm.htm" TargetMode="External"/><Relationship Id="rId211" Type="http://schemas.openxmlformats.org/officeDocument/2006/relationships/hyperlink" Target="http://www.boxofficemojo.com/studio/chart/?studio=wb-newline.htm" TargetMode="External"/><Relationship Id="rId212" Type="http://schemas.openxmlformats.org/officeDocument/2006/relationships/hyperlink" Target="http://www.boxofficemojo.com/schedule/?view=bydate&amp;release=theatrical&amp;date=2014-08-08&amp;p=.htm" TargetMode="External"/><Relationship Id="rId213" Type="http://schemas.openxmlformats.org/officeDocument/2006/relationships/hyperlink" Target="http://www.boxofficemojo.com/movies/?id=judge.htm" TargetMode="External"/><Relationship Id="rId214" Type="http://schemas.openxmlformats.org/officeDocument/2006/relationships/hyperlink" Target="http://www.boxofficemojo.com/studio/chart/?studio=warnerbros.htm" TargetMode="External"/><Relationship Id="rId215" Type="http://schemas.openxmlformats.org/officeDocument/2006/relationships/hyperlink" Target="http://www.boxofficemojo.com/schedule/?view=bydate&amp;release=theatrical&amp;date=2014-10-10&amp;p=.htm" TargetMode="External"/><Relationship Id="rId216" Type="http://schemas.openxmlformats.org/officeDocument/2006/relationships/hyperlink" Target="http://www.boxofficemojo.com/movies/?id=jerseyboys.htm" TargetMode="External"/><Relationship Id="rId217" Type="http://schemas.openxmlformats.org/officeDocument/2006/relationships/hyperlink" Target="http://www.boxofficemojo.com/studio/chart/?studio=warnerbros.htm" TargetMode="External"/><Relationship Id="rId218" Type="http://schemas.openxmlformats.org/officeDocument/2006/relationships/hyperlink" Target="http://www.boxofficemojo.com/schedule/?view=bydate&amp;release=theatrical&amp;date=2014-06-20&amp;p=.htm" TargetMode="External"/><Relationship Id="rId219" Type="http://schemas.openxmlformats.org/officeDocument/2006/relationships/hyperlink" Target="http://www.boxofficemojo.com/movies/?id=blended.htm" TargetMode="External"/><Relationship Id="rId1860" Type="http://schemas.openxmlformats.org/officeDocument/2006/relationships/hyperlink" Target="http://www.boxofficemojo.com/movies/?id=plotforpeace.htm" TargetMode="External"/><Relationship Id="rId1861" Type="http://schemas.openxmlformats.org/officeDocument/2006/relationships/hyperlink" Target="http://www.boxofficemojo.com/studio/chart/?studio=unknown.htm" TargetMode="External"/><Relationship Id="rId1862" Type="http://schemas.openxmlformats.org/officeDocument/2006/relationships/hyperlink" Target="http://www.boxofficemojo.com/schedule/?view=bydate&amp;release=theatrical&amp;date=2014-10-31&amp;p=.htm" TargetMode="External"/><Relationship Id="rId1863" Type="http://schemas.openxmlformats.org/officeDocument/2006/relationships/hyperlink" Target="http://www.boxofficemojo.com/movies/?id=verygoodgirls.htm" TargetMode="External"/><Relationship Id="rId1470" Type="http://schemas.openxmlformats.org/officeDocument/2006/relationships/hyperlink" Target="http://www.boxofficemojo.com/movies/?id=closedcurtain.htm" TargetMode="External"/><Relationship Id="rId1471" Type="http://schemas.openxmlformats.org/officeDocument/2006/relationships/hyperlink" Target="http://www.boxofficemojo.com/studio/chart/?studio=variancefilms.htm" TargetMode="External"/><Relationship Id="rId1472" Type="http://schemas.openxmlformats.org/officeDocument/2006/relationships/hyperlink" Target="http://www.boxofficemojo.com/schedule/?view=bydate&amp;release=theatrical&amp;date=2014-07-09&amp;p=.htm" TargetMode="External"/><Relationship Id="rId1473" Type="http://schemas.openxmlformats.org/officeDocument/2006/relationships/hyperlink" Target="http://www.boxofficemojo.com/movies/?id=kingandthemockingbird.htm" TargetMode="External"/><Relationship Id="rId1474" Type="http://schemas.openxmlformats.org/officeDocument/2006/relationships/hyperlink" Target="http://www.boxofficemojo.com/studio/chart/?studio=rialto.htm" TargetMode="External"/><Relationship Id="rId1475" Type="http://schemas.openxmlformats.org/officeDocument/2006/relationships/hyperlink" Target="http://www.boxofficemojo.com/schedule/?view=bydate&amp;release=theatrical&amp;date=2014-11-21&amp;p=.htm" TargetMode="External"/><Relationship Id="rId1476" Type="http://schemas.openxmlformats.org/officeDocument/2006/relationships/hyperlink" Target="http://www.boxofficemojo.com/movies/?id=lilting.htm" TargetMode="External"/><Relationship Id="rId1477" Type="http://schemas.openxmlformats.org/officeDocument/2006/relationships/hyperlink" Target="http://www.boxofficemojo.com/studio/chart/?studio=strand.htm" TargetMode="External"/><Relationship Id="rId1478" Type="http://schemas.openxmlformats.org/officeDocument/2006/relationships/hyperlink" Target="http://www.boxofficemojo.com/schedule/?view=bydate&amp;release=theatrical&amp;date=2014-09-26&amp;p=.htm" TargetMode="External"/><Relationship Id="rId1479" Type="http://schemas.openxmlformats.org/officeDocument/2006/relationships/hyperlink" Target="http://www.boxofficemojo.com/movies/?id=lastweekend.htm" TargetMode="External"/><Relationship Id="rId1080" Type="http://schemas.openxmlformats.org/officeDocument/2006/relationships/hyperlink" Target="http://www.boxofficemojo.com/movies/?id=overnighters.htm" TargetMode="External"/><Relationship Id="rId1081" Type="http://schemas.openxmlformats.org/officeDocument/2006/relationships/hyperlink" Target="http://www.boxofficemojo.com/studio/chart/?studio=drafthousefilms.htm" TargetMode="External"/><Relationship Id="rId1082" Type="http://schemas.openxmlformats.org/officeDocument/2006/relationships/hyperlink" Target="http://www.boxofficemojo.com/schedule/?view=bydate&amp;release=theatrical&amp;date=2014-10-10&amp;p=.htm" TargetMode="External"/><Relationship Id="rId1083" Type="http://schemas.openxmlformats.org/officeDocument/2006/relationships/hyperlink" Target="http://www.boxofficemojo.com/movies/?id=duranduranunstaged.htm" TargetMode="External"/><Relationship Id="rId1084" Type="http://schemas.openxmlformats.org/officeDocument/2006/relationships/hyperlink" Target="http://www.boxofficemojo.com/studio/chart/?studio=phase4.htm" TargetMode="External"/><Relationship Id="rId1085" Type="http://schemas.openxmlformats.org/officeDocument/2006/relationships/hyperlink" Target="http://www.boxofficemojo.com/schedule/?view=bydate&amp;release=theatrical&amp;date=2014-09-10&amp;p=.htm" TargetMode="External"/><Relationship Id="rId1086" Type="http://schemas.openxmlformats.org/officeDocument/2006/relationships/hyperlink" Target="http://www.boxofficemojo.com/movies/?id=anohana.htm" TargetMode="External"/><Relationship Id="rId1087" Type="http://schemas.openxmlformats.org/officeDocument/2006/relationships/hyperlink" Target="http://www.boxofficemojo.com/studio/chart/?studio=elevenarts.htm" TargetMode="External"/><Relationship Id="rId1088" Type="http://schemas.openxmlformats.org/officeDocument/2006/relationships/hyperlink" Target="http://www.boxofficemojo.com/schedule/?view=bydate&amp;release=theatrical&amp;date=2014-01-18&amp;p=.htm" TargetMode="External"/><Relationship Id="rId1089" Type="http://schemas.openxmlformats.org/officeDocument/2006/relationships/hyperlink" Target="http://www.boxofficemojo.com/movies/?id=ivorytower.htm" TargetMode="External"/><Relationship Id="rId1864" Type="http://schemas.openxmlformats.org/officeDocument/2006/relationships/hyperlink" Target="http://www.boxofficemojo.com/studio/chart/?studio=wellgo.htm" TargetMode="External"/><Relationship Id="rId1865" Type="http://schemas.openxmlformats.org/officeDocument/2006/relationships/hyperlink" Target="http://www.boxofficemojo.com/schedule/?view=bydate&amp;release=theatrical&amp;date=2014-07-25&amp;p=.htm" TargetMode="External"/><Relationship Id="rId1866" Type="http://schemas.openxmlformats.org/officeDocument/2006/relationships/hyperlink" Target="http://www.boxofficemojo.com/movies/?id=pioneer.htm" TargetMode="External"/><Relationship Id="rId1867" Type="http://schemas.openxmlformats.org/officeDocument/2006/relationships/hyperlink" Target="http://www.boxofficemojo.com/studio/chart/?studio=magnolia.htm" TargetMode="External"/><Relationship Id="rId1868" Type="http://schemas.openxmlformats.org/officeDocument/2006/relationships/hyperlink" Target="http://www.boxofficemojo.com/schedule/?view=bydate&amp;release=theatrical&amp;date=2014-12-05&amp;p=.htm" TargetMode="External"/><Relationship Id="rId1869" Type="http://schemas.openxmlformats.org/officeDocument/2006/relationships/hyperlink" Target="http://www.boxofficemojo.com/movies/?id=nogodnomaster.htm" TargetMode="External"/><Relationship Id="rId610" Type="http://schemas.openxmlformats.org/officeDocument/2006/relationships/hyperlink" Target="http://www.boxofficemojo.com/studio/chart/?studio=eros.htm" TargetMode="External"/><Relationship Id="rId611" Type="http://schemas.openxmlformats.org/officeDocument/2006/relationships/hyperlink" Target="http://www.boxofficemojo.com/schedule/?view=bydate&amp;release=theatrical&amp;date=2014-08-15&amp;p=.htm" TargetMode="External"/><Relationship Id="rId612" Type="http://schemas.openxmlformats.org/officeDocument/2006/relationships/hyperlink" Target="http://www.boxofficemojo.com/movies/?id=repentance.htm" TargetMode="External"/><Relationship Id="rId613" Type="http://schemas.openxmlformats.org/officeDocument/2006/relationships/hyperlink" Target="http://www.boxofficemojo.com/studio/chart/?studio=lionsgate.htm" TargetMode="External"/><Relationship Id="rId614" Type="http://schemas.openxmlformats.org/officeDocument/2006/relationships/hyperlink" Target="http://www.boxofficemojo.com/schedule/?view=bydate&amp;release=theatrical&amp;date=2014-02-28&amp;p=.htm" TargetMode="External"/><Relationship Id="rId615" Type="http://schemas.openxmlformats.org/officeDocument/2006/relationships/hyperlink" Target="http://www.boxofficemojo.com/movies/?id=remaining.htm" TargetMode="External"/><Relationship Id="rId616" Type="http://schemas.openxmlformats.org/officeDocument/2006/relationships/hyperlink" Target="http://www.boxofficemojo.com/studio/chart/?studio=triumph.htm" TargetMode="External"/><Relationship Id="rId617" Type="http://schemas.openxmlformats.org/officeDocument/2006/relationships/hyperlink" Target="http://www.boxofficemojo.com/schedule/?view=bydate&amp;release=theatrical&amp;date=2014-09-05&amp;p=.htm" TargetMode="External"/><Relationship Id="rId618" Type="http://schemas.openxmlformats.org/officeDocument/2006/relationships/hyperlink" Target="http://www.boxofficemojo.com/movies/?id=hector.htm" TargetMode="External"/><Relationship Id="rId619" Type="http://schemas.openxmlformats.org/officeDocument/2006/relationships/hyperlink" Target="http://www.boxofficemojo.com/studio/chart/?studio=relativity.htm" TargetMode="External"/><Relationship Id="rId220" Type="http://schemas.openxmlformats.org/officeDocument/2006/relationships/hyperlink" Target="http://www.boxofficemojo.com/studio/chart/?studio=warnerbros.htm" TargetMode="External"/><Relationship Id="rId221" Type="http://schemas.openxmlformats.org/officeDocument/2006/relationships/hyperlink" Target="http://www.boxofficemojo.com/schedule/?view=bydate&amp;release=theatrical&amp;date=2014-05-23&amp;p=.htm" TargetMode="External"/><Relationship Id="rId222" Type="http://schemas.openxmlformats.org/officeDocument/2006/relationships/hyperlink" Target="http://www.boxofficemojo.com/movies/?id=giver.htm" TargetMode="External"/><Relationship Id="rId223" Type="http://schemas.openxmlformats.org/officeDocument/2006/relationships/hyperlink" Target="http://www.boxofficemojo.com/studio/chart/?studio=weinsteincompany.htm" TargetMode="External"/><Relationship Id="rId224" Type="http://schemas.openxmlformats.org/officeDocument/2006/relationships/hyperlink" Target="http://www.boxofficemojo.com/schedule/?view=bydate&amp;release=theatrical&amp;date=2014-08-15&amp;p=.htm" TargetMode="External"/><Relationship Id="rId225" Type="http://schemas.openxmlformats.org/officeDocument/2006/relationships/hyperlink" Target="http://www.boxofficemojo.com/movies/?id=stvincent.htm" TargetMode="External"/><Relationship Id="rId226" Type="http://schemas.openxmlformats.org/officeDocument/2006/relationships/hyperlink" Target="http://www.boxofficemojo.com/studio/chart/?studio=weinsteincompany.htm" TargetMode="External"/><Relationship Id="rId227" Type="http://schemas.openxmlformats.org/officeDocument/2006/relationships/hyperlink" Target="http://www.boxofficemojo.com/schedule/?view=bydate&amp;release=theatrical&amp;date=2014-10-10&amp;p=.htm" TargetMode="External"/><Relationship Id="rId228" Type="http://schemas.openxmlformats.org/officeDocument/2006/relationships/hyperlink" Target="http://www.boxofficemojo.com/movies/?id=needforspeed.htm" TargetMode="External"/><Relationship Id="rId229" Type="http://schemas.openxmlformats.org/officeDocument/2006/relationships/hyperlink" Target="http://www.boxofficemojo.com/studio/chart/?studio=buenavista.htm" TargetMode="External"/><Relationship Id="rId1870" Type="http://schemas.openxmlformats.org/officeDocument/2006/relationships/hyperlink" Target="http://www.boxofficemojo.com/studio/chart/?studio=montereymediainc.htm" TargetMode="External"/><Relationship Id="rId1871" Type="http://schemas.openxmlformats.org/officeDocument/2006/relationships/hyperlink" Target="http://www.boxofficemojo.com/schedule/?view=bydate&amp;release=theatrical&amp;date=2014-03-28&amp;p=.htm" TargetMode="External"/><Relationship Id="rId1872" Type="http://schemas.openxmlformats.org/officeDocument/2006/relationships/hyperlink" Target="http://www.boxofficemojo.com/movies/?id=beforeyouknow.htm" TargetMode="External"/><Relationship Id="rId1873" Type="http://schemas.openxmlformats.org/officeDocument/2006/relationships/hyperlink" Target="http://www.boxofficemojo.com/studio/chart/?studio=filmcollaborative.htm" TargetMode="External"/><Relationship Id="rId1480" Type="http://schemas.openxmlformats.org/officeDocument/2006/relationships/hyperlink" Target="http://www.boxofficemojo.com/studio/chart/?studio=ifc.htm" TargetMode="External"/><Relationship Id="rId1481" Type="http://schemas.openxmlformats.org/officeDocument/2006/relationships/hyperlink" Target="http://www.boxofficemojo.com/schedule/?view=bydate&amp;release=theatrical&amp;date=2014-08-29&amp;p=.htm" TargetMode="External"/><Relationship Id="rId1482" Type="http://schemas.openxmlformats.org/officeDocument/2006/relationships/hyperlink" Target="http://www.boxofficemojo.com/movies/?id=levelfive.htm" TargetMode="External"/><Relationship Id="rId1483" Type="http://schemas.openxmlformats.org/officeDocument/2006/relationships/hyperlink" Target="http://www.boxofficemojo.com/studio/chart/?studio=icarus.htm" TargetMode="External"/><Relationship Id="rId1484" Type="http://schemas.openxmlformats.org/officeDocument/2006/relationships/hyperlink" Target="http://www.boxofficemojo.com/schedule/?view=bydate&amp;release=theatrical&amp;date=2014-08-15&amp;p=.htm" TargetMode="External"/><Relationship Id="rId1485" Type="http://schemas.openxmlformats.org/officeDocument/2006/relationships/hyperlink" Target="http://www.boxofficemojo.com/movies/?id=elena2014.htm" TargetMode="External"/><Relationship Id="rId1486" Type="http://schemas.openxmlformats.org/officeDocument/2006/relationships/hyperlink" Target="http://www.boxofficemojo.com/studio/chart/?studio=variancefilms.htm" TargetMode="External"/><Relationship Id="rId1487" Type="http://schemas.openxmlformats.org/officeDocument/2006/relationships/hyperlink" Target="http://www.boxofficemojo.com/schedule/?view=bydate&amp;release=theatrical&amp;date=2014-05-30&amp;p=.htm" TargetMode="External"/><Relationship Id="rId1488" Type="http://schemas.openxmlformats.org/officeDocument/2006/relationships/hyperlink" Target="http://www.boxofficemojo.com/movies/?id=christianmingle.htm" TargetMode="External"/><Relationship Id="rId1489" Type="http://schemas.openxmlformats.org/officeDocument/2006/relationships/hyperlink" Target="http://www.boxofficemojo.com/studio/chart/?studio=rockymountainpictures.htm" TargetMode="External"/><Relationship Id="rId1090" Type="http://schemas.openxmlformats.org/officeDocument/2006/relationships/hyperlink" Target="http://www.boxofficemojo.com/studio/chart/?studio=samuelgoldwyn.htm" TargetMode="External"/><Relationship Id="rId1091" Type="http://schemas.openxmlformats.org/officeDocument/2006/relationships/hyperlink" Target="http://www.boxofficemojo.com/schedule/?view=bydate&amp;release=theatrical&amp;date=2014-06-13&amp;p=.htm" TargetMode="External"/><Relationship Id="rId1092" Type="http://schemas.openxmlformats.org/officeDocument/2006/relationships/hyperlink" Target="http://www.boxofficemojo.com/movies/?id=sixdancelessons.htm" TargetMode="External"/><Relationship Id="rId1093" Type="http://schemas.openxmlformats.org/officeDocument/2006/relationships/hyperlink" Target="http://www.boxofficemojo.com/studio/chart/?studio=dada.htm" TargetMode="External"/><Relationship Id="rId1094" Type="http://schemas.openxmlformats.org/officeDocument/2006/relationships/hyperlink" Target="http://www.boxofficemojo.com/schedule/?view=bydate&amp;release=theatrical&amp;date=2014-12-12&amp;p=.htm" TargetMode="External"/><Relationship Id="rId1095" Type="http://schemas.openxmlformats.org/officeDocument/2006/relationships/hyperlink" Target="http://www.boxofficemojo.com/movies/?id=goldenera.htm" TargetMode="External"/><Relationship Id="rId1096" Type="http://schemas.openxmlformats.org/officeDocument/2006/relationships/hyperlink" Target="http://www.boxofficemojo.com/studio/chart/?studio=chinalion.htm" TargetMode="External"/><Relationship Id="rId1097" Type="http://schemas.openxmlformats.org/officeDocument/2006/relationships/hyperlink" Target="http://www.boxofficemojo.com/schedule/?view=bydate&amp;release=theatrical&amp;date=2014-10-17&amp;p=.htm" TargetMode="External"/><Relationship Id="rId1098" Type="http://schemas.openxmlformats.org/officeDocument/2006/relationships/hyperlink" Target="http://www.boxofficemojo.com/movies/?id=godhelpthegirl.htm" TargetMode="External"/><Relationship Id="rId1099" Type="http://schemas.openxmlformats.org/officeDocument/2006/relationships/hyperlink" Target="http://www.boxofficemojo.com/studio/chart/?studio=amplify.htm" TargetMode="External"/><Relationship Id="rId1874" Type="http://schemas.openxmlformats.org/officeDocument/2006/relationships/hyperlink" Target="http://www.boxofficemojo.com/schedule/?view=bydate&amp;release=theatrical&amp;date=2014-05-30&amp;p=.htm" TargetMode="External"/><Relationship Id="rId1875" Type="http://schemas.openxmlformats.org/officeDocument/2006/relationships/hyperlink" Target="http://www.boxofficemojo.com/movies/?id=willyoustilllovemetomorrow.htm" TargetMode="External"/><Relationship Id="rId1876" Type="http://schemas.openxmlformats.org/officeDocument/2006/relationships/hyperlink" Target="http://www.boxofficemojo.com/studio/chart/?studio=filmmovement.htm" TargetMode="External"/><Relationship Id="rId1877" Type="http://schemas.openxmlformats.org/officeDocument/2006/relationships/hyperlink" Target="http://www.boxofficemojo.com/schedule/?view=bydate&amp;release=theatrical&amp;date=2014-01-17&amp;p=.htm" TargetMode="External"/><Relationship Id="rId1878" Type="http://schemas.openxmlformats.org/officeDocument/2006/relationships/hyperlink" Target="http://www.boxofficemojo.com/movies/?id=aatsinki.htm" TargetMode="External"/><Relationship Id="rId1879" Type="http://schemas.openxmlformats.org/officeDocument/2006/relationships/hyperlink" Target="http://www.boxofficemojo.com/studio/chart/?studio=argotpictures.htm" TargetMode="External"/><Relationship Id="rId620" Type="http://schemas.openxmlformats.org/officeDocument/2006/relationships/hyperlink" Target="http://www.boxofficemojo.com/schedule/?view=bydate&amp;release=theatrical&amp;date=2014-09-19&amp;p=.htm" TargetMode="External"/><Relationship Id="rId621" Type="http://schemas.openxmlformats.org/officeDocument/2006/relationships/hyperlink" Target="http://www.boxofficemojo.com/movies/?id=rover.htm" TargetMode="External"/><Relationship Id="rId622" Type="http://schemas.openxmlformats.org/officeDocument/2006/relationships/hyperlink" Target="http://www.boxofficemojo.com/studio/chart/?studio=a24.htm" TargetMode="External"/><Relationship Id="rId623" Type="http://schemas.openxmlformats.org/officeDocument/2006/relationships/hyperlink" Target="http://www.boxofficemojo.com/schedule/?view=bydate&amp;release=theatrical&amp;date=2014-06-13&amp;p=.htm" TargetMode="External"/><Relationship Id="rId624" Type="http://schemas.openxmlformats.org/officeDocument/2006/relationships/hyperlink" Target="http://www.boxofficemojo.com/movies/?id=waklingwiththeenemy.htm" TargetMode="External"/><Relationship Id="rId625" Type="http://schemas.openxmlformats.org/officeDocument/2006/relationships/hyperlink" Target="http://www.boxofficemojo.com/studio/chart/?studio=libertystudios.htm" TargetMode="External"/><Relationship Id="rId626" Type="http://schemas.openxmlformats.org/officeDocument/2006/relationships/hyperlink" Target="http://www.boxofficemojo.com/schedule/?view=bydate&amp;release=theatrical&amp;date=2014-04-25&amp;p=.htm" TargetMode="External"/><Relationship Id="rId627" Type="http://schemas.openxmlformats.org/officeDocument/2006/relationships/hyperlink" Target="http://www.boxofficemojo.com/movies/?id=leviathan2014.htm" TargetMode="External"/><Relationship Id="rId628" Type="http://schemas.openxmlformats.org/officeDocument/2006/relationships/hyperlink" Target="http://www.boxofficemojo.com/studio/chart/?studio=sonyclassics.htm" TargetMode="External"/><Relationship Id="rId629" Type="http://schemas.openxmlformats.org/officeDocument/2006/relationships/hyperlink" Target="http://www.boxofficemojo.com/schedule/?view=bydate&amp;release=theatrical&amp;date=2014-12-25&amp;p=.htm" TargetMode="External"/><Relationship Id="rId230" Type="http://schemas.openxmlformats.org/officeDocument/2006/relationships/hyperlink" Target="http://www.boxofficemojo.com/schedule/?view=bydate&amp;release=theatrical&amp;date=2014-03-14&amp;p=.htm" TargetMode="External"/><Relationship Id="rId231" Type="http://schemas.openxmlformats.org/officeDocument/2006/relationships/hyperlink" Target="http://www.boxofficemojo.com/movies/?id=millionwaystodie.htm" TargetMode="External"/><Relationship Id="rId232" Type="http://schemas.openxmlformats.org/officeDocument/2006/relationships/hyperlink" Target="http://www.boxofficemojo.com/studio/chart/?studio=universal.htm" TargetMode="External"/><Relationship Id="rId233" Type="http://schemas.openxmlformats.org/officeDocument/2006/relationships/hyperlink" Target="http://www.boxofficemojo.com/schedule/?view=bydate&amp;release=theatrical&amp;date=2014-05-30&amp;p=.htm" TargetMode="External"/><Relationship Id="rId234" Type="http://schemas.openxmlformats.org/officeDocument/2006/relationships/hyperlink" Target="http://www.boxofficemojo.com/movies/?id=johnwick.htm" TargetMode="External"/><Relationship Id="rId235" Type="http://schemas.openxmlformats.org/officeDocument/2006/relationships/hyperlink" Target="http://www.boxofficemojo.com/studio/chart/?studio=lionsgatesummit.htm" TargetMode="External"/><Relationship Id="rId236" Type="http://schemas.openxmlformats.org/officeDocument/2006/relationships/hyperlink" Target="http://www.boxofficemojo.com/schedule/?view=bydate&amp;release=theatrical&amp;date=2014-10-24&amp;p=.htm" TargetMode="External"/><Relationship Id="rId237" Type="http://schemas.openxmlformats.org/officeDocument/2006/relationships/hyperlink" Target="http://www.boxofficemojo.com/movies/?id=birdman.htm" TargetMode="External"/><Relationship Id="rId238" Type="http://schemas.openxmlformats.org/officeDocument/2006/relationships/hyperlink" Target="http://www.boxofficemojo.com/studio/chart/?studio=foxsearchlight.htm" TargetMode="External"/><Relationship Id="rId239" Type="http://schemas.openxmlformats.org/officeDocument/2006/relationships/hyperlink" Target="http://www.boxofficemojo.com/schedule/?view=bydate&amp;release=theatrical&amp;date=2014-10-17&amp;p=.htm" TargetMode="External"/><Relationship Id="rId1880" Type="http://schemas.openxmlformats.org/officeDocument/2006/relationships/hyperlink" Target="http://www.boxofficemojo.com/schedule/?view=bydate&amp;release=theatrical&amp;date=2014-01-24&amp;p=.htm" TargetMode="External"/><Relationship Id="rId1881" Type="http://schemas.openxmlformats.org/officeDocument/2006/relationships/hyperlink" Target="http://www.boxofficemojo.com/movies/?id=lifeofaking.htm" TargetMode="External"/><Relationship Id="rId1882" Type="http://schemas.openxmlformats.org/officeDocument/2006/relationships/hyperlink" Target="http://www.boxofficemojo.com/studio/chart/?studio=millenniumentertainment.htm" TargetMode="External"/><Relationship Id="rId1883" Type="http://schemas.openxmlformats.org/officeDocument/2006/relationships/hyperlink" Target="http://www.boxofficemojo.com/schedule/?view=bydate&amp;release=theatrical&amp;date=2014-01-17&amp;p=.htm" TargetMode="External"/><Relationship Id="rId1490" Type="http://schemas.openxmlformats.org/officeDocument/2006/relationships/hyperlink" Target="http://www.boxofficemojo.com/schedule/?view=bydate&amp;release=theatrical&amp;date=2014-10-10&amp;p=.htm" TargetMode="External"/><Relationship Id="rId1491" Type="http://schemas.openxmlformats.org/officeDocument/2006/relationships/hyperlink" Target="http://www.boxofficemojo.com/movies/?id=adultworld.htm" TargetMode="External"/><Relationship Id="rId1492" Type="http://schemas.openxmlformats.org/officeDocument/2006/relationships/hyperlink" Target="http://www.boxofficemojo.com/studio/chart/?studio=ifc.htm" TargetMode="External"/><Relationship Id="rId1493" Type="http://schemas.openxmlformats.org/officeDocument/2006/relationships/hyperlink" Target="http://www.boxofficemojo.com/schedule/?view=bydate&amp;release=theatrical&amp;date=2014-02-14&amp;p=.htm" TargetMode="External"/><Relationship Id="rId1494" Type="http://schemas.openxmlformats.org/officeDocument/2006/relationships/hyperlink" Target="http://www.boxofficemojo.com/movies/?id=borntofly.htm" TargetMode="External"/><Relationship Id="rId1495" Type="http://schemas.openxmlformats.org/officeDocument/2006/relationships/hyperlink" Target="http://www.boxofficemojo.com/studio/chart/?studio=filmcollaborative.htm" TargetMode="External"/><Relationship Id="rId1496" Type="http://schemas.openxmlformats.org/officeDocument/2006/relationships/hyperlink" Target="http://www.boxofficemojo.com/schedule/?view=bydate&amp;release=theatrical&amp;date=2014-09-10&amp;p=.htm" TargetMode="External"/><Relationship Id="rId1497" Type="http://schemas.openxmlformats.org/officeDocument/2006/relationships/hyperlink" Target="http://www.boxofficemojo.com/movies/?id=happyvalley2014.htm" TargetMode="External"/><Relationship Id="rId1498" Type="http://schemas.openxmlformats.org/officeDocument/2006/relationships/hyperlink" Target="http://www.boxofficemojo.com/studio/chart/?studio=musicboxfilms.htm" TargetMode="External"/><Relationship Id="rId1499" Type="http://schemas.openxmlformats.org/officeDocument/2006/relationships/hyperlink" Target="http://www.boxofficemojo.com/schedule/?view=bydate&amp;release=theatrical&amp;date=2014-11-21&amp;p=.htm" TargetMode="External"/><Relationship Id="rId1884" Type="http://schemas.openxmlformats.org/officeDocument/2006/relationships/hyperlink" Target="http://www.boxofficemojo.com/movies/?id=jewsofegypt.htm" TargetMode="External"/><Relationship Id="rId1885" Type="http://schemas.openxmlformats.org/officeDocument/2006/relationships/hyperlink" Target="http://www.boxofficemojo.com/studio/chart/?studio=artmattan.htm" TargetMode="External"/><Relationship Id="rId1886" Type="http://schemas.openxmlformats.org/officeDocument/2006/relationships/hyperlink" Target="http://www.boxofficemojo.com/schedule/?view=bydate&amp;release=theatrical&amp;date=2014-03-28&amp;p=.htm" TargetMode="External"/><Relationship Id="rId1887" Type="http://schemas.openxmlformats.org/officeDocument/2006/relationships/hyperlink" Target="http://www.boxofficemojo.com/movies/?id=midasbox.htm" TargetMode="External"/><Relationship Id="rId1888" Type="http://schemas.openxmlformats.org/officeDocument/2006/relationships/hyperlink" Target="http://www.boxofficemojo.com/studio/chart/?studio=filmarcade.htm" TargetMode="External"/><Relationship Id="rId1889" Type="http://schemas.openxmlformats.org/officeDocument/2006/relationships/hyperlink" Target="http://www.boxofficemojo.com/schedule/?view=bydate&amp;release=theatrical&amp;date=2014-01-10&amp;p=.htm" TargetMode="External"/><Relationship Id="rId10" Type="http://schemas.openxmlformats.org/officeDocument/2006/relationships/hyperlink" Target="http://www.boxofficemojo.com/studio/chart/?studio=lionsgate.htm" TargetMode="External"/><Relationship Id="rId11" Type="http://schemas.openxmlformats.org/officeDocument/2006/relationships/hyperlink" Target="http://www.boxofficemojo.com/schedule/?view=bydate&amp;release=theatrical&amp;date=2014-11-21&amp;p=.htm" TargetMode="External"/><Relationship Id="rId12" Type="http://schemas.openxmlformats.org/officeDocument/2006/relationships/hyperlink" Target="http://www.boxofficemojo.com/movies/?id=marvel2014a.htm" TargetMode="External"/><Relationship Id="rId13" Type="http://schemas.openxmlformats.org/officeDocument/2006/relationships/hyperlink" Target="http://www.boxofficemojo.com/studio/chart/?studio=buenavista.htm" TargetMode="External"/><Relationship Id="rId14" Type="http://schemas.openxmlformats.org/officeDocument/2006/relationships/hyperlink" Target="http://www.boxofficemojo.com/schedule/?view=bydate&amp;release=theatrical&amp;date=2014-08-01&amp;p=.htm" TargetMode="External"/><Relationship Id="rId15" Type="http://schemas.openxmlformats.org/officeDocument/2006/relationships/hyperlink" Target="http://www.boxofficemojo.com/movies/?id=marvel14b.htm" TargetMode="External"/><Relationship Id="rId16" Type="http://schemas.openxmlformats.org/officeDocument/2006/relationships/hyperlink" Target="http://www.boxofficemojo.com/studio/chart/?studio=buenavista.htm" TargetMode="External"/><Relationship Id="rId17" Type="http://schemas.openxmlformats.org/officeDocument/2006/relationships/hyperlink" Target="http://www.boxofficemojo.com/schedule/?view=bydate&amp;release=theatrical&amp;date=2014-04-04&amp;p=.htm" TargetMode="External"/><Relationship Id="rId18" Type="http://schemas.openxmlformats.org/officeDocument/2006/relationships/hyperlink" Target="http://www.boxofficemojo.com/movies/?id=lego.htm" TargetMode="External"/><Relationship Id="rId19" Type="http://schemas.openxmlformats.org/officeDocument/2006/relationships/hyperlink" Target="http://www.boxofficemojo.com/studio/chart/?studio=warnerbros.htm" TargetMode="External"/><Relationship Id="rId630" Type="http://schemas.openxmlformats.org/officeDocument/2006/relationships/hyperlink" Target="http://www.boxofficemojo.com/movies/?id=captive.htm" TargetMode="External"/><Relationship Id="rId631" Type="http://schemas.openxmlformats.org/officeDocument/2006/relationships/hyperlink" Target="http://www.boxofficemojo.com/studio/chart/?studio=a24.htm" TargetMode="External"/><Relationship Id="rId632" Type="http://schemas.openxmlformats.org/officeDocument/2006/relationships/hyperlink" Target="http://www.boxofficemojo.com/schedule/?view=bydate&amp;release=theatrical&amp;date=2014-09-05&amp;p=.htm" TargetMode="External"/><Relationship Id="rId633" Type="http://schemas.openxmlformats.org/officeDocument/2006/relationships/hyperlink" Target="http://www.boxofficemojo.com/movies/?id=laggies.htm" TargetMode="External"/><Relationship Id="rId634" Type="http://schemas.openxmlformats.org/officeDocument/2006/relationships/hyperlink" Target="http://www.boxofficemojo.com/studio/chart/?studio=a24.htm" TargetMode="External"/><Relationship Id="rId635" Type="http://schemas.openxmlformats.org/officeDocument/2006/relationships/hyperlink" Target="http://www.boxofficemojo.com/schedule/?view=bydate&amp;release=theatrical&amp;date=2014-10-24&amp;p=.htm" TargetMode="External"/><Relationship Id="rId636" Type="http://schemas.openxmlformats.org/officeDocument/2006/relationships/hyperlink" Target="http://www.boxofficemojo.com/movies/?id=50to1.htm" TargetMode="External"/><Relationship Id="rId637" Type="http://schemas.openxmlformats.org/officeDocument/2006/relationships/hyperlink" Target="http://www.boxofficemojo.com/studio/chart/?studio=tenfurlongs.htm" TargetMode="External"/><Relationship Id="rId638" Type="http://schemas.openxmlformats.org/officeDocument/2006/relationships/hyperlink" Target="http://www.boxofficemojo.com/schedule/?view=bydate&amp;release=theatrical&amp;date=2014-03-21&amp;p=.htm" TargetMode="External"/><Relationship Id="rId639" Type="http://schemas.openxmlformats.org/officeDocument/2006/relationships/hyperlink" Target="http://www.boxofficemojo.com/movies/?id=haider.htm" TargetMode="External"/><Relationship Id="rId240" Type="http://schemas.openxmlformats.org/officeDocument/2006/relationships/hyperlink" Target="http://www.boxofficemojo.com/movies/?id=dolphintale2.htm" TargetMode="External"/><Relationship Id="rId241" Type="http://schemas.openxmlformats.org/officeDocument/2006/relationships/hyperlink" Target="http://www.boxofficemojo.com/studio/chart/?studio=warnerbros.htm" TargetMode="External"/><Relationship Id="rId242" Type="http://schemas.openxmlformats.org/officeDocument/2006/relationships/hyperlink" Target="http://www.boxofficemojo.com/schedule/?view=bydate&amp;release=theatrical&amp;date=2014-09-12&amp;p=.htm" TargetMode="External"/><Relationship Id="rId243" Type="http://schemas.openxmlformats.org/officeDocument/2006/relationships/hyperlink" Target="http://www.boxofficemojo.com/movies/?id=expendables3.htm" TargetMode="External"/><Relationship Id="rId244" Type="http://schemas.openxmlformats.org/officeDocument/2006/relationships/hyperlink" Target="http://www.boxofficemojo.com/studio/chart/?studio=lionsgate.htm" TargetMode="External"/><Relationship Id="rId245" Type="http://schemas.openxmlformats.org/officeDocument/2006/relationships/hyperlink" Target="http://www.boxofficemojo.com/schedule/?view=bydate&amp;release=theatrical&amp;date=2014-08-15&amp;p=.htm" TargetMode="External"/><Relationship Id="rId246" Type="http://schemas.openxmlformats.org/officeDocument/2006/relationships/hyperlink" Target="http://www.boxofficemojo.com/movies/?id=echo.htm" TargetMode="External"/><Relationship Id="rId247" Type="http://schemas.openxmlformats.org/officeDocument/2006/relationships/hyperlink" Target="http://www.boxofficemojo.com/studio/chart/?studio=relativity.htm" TargetMode="External"/><Relationship Id="rId248" Type="http://schemas.openxmlformats.org/officeDocument/2006/relationships/hyperlink" Target="http://www.boxofficemojo.com/schedule/?view=bydate&amp;release=theatrical&amp;date=2014-07-02&amp;p=.htm" TargetMode="External"/><Relationship Id="rId249" Type="http://schemas.openxmlformats.org/officeDocument/2006/relationships/hyperlink" Target="http://www.boxofficemojo.com/movies/?id=sextape.htm" TargetMode="External"/><Relationship Id="rId1890" Type="http://schemas.openxmlformats.org/officeDocument/2006/relationships/hyperlink" Target="http://www.boxofficemojo.com/movies/?id=manuscriptsdontburn.htm" TargetMode="External"/><Relationship Id="rId1891" Type="http://schemas.openxmlformats.org/officeDocument/2006/relationships/hyperlink" Target="http://www.boxofficemojo.com/studio/chart/?studio=kinolorber.htm" TargetMode="External"/><Relationship Id="rId1892" Type="http://schemas.openxmlformats.org/officeDocument/2006/relationships/hyperlink" Target="http://www.boxofficemojo.com/schedule/?view=bydate&amp;release=theatrical&amp;date=2014-07-25&amp;p=.htm" TargetMode="External"/><Relationship Id="rId1893" Type="http://schemas.openxmlformats.org/officeDocument/2006/relationships/hyperlink" Target="http://www.boxofficemojo.com/movies/?id=tiptop.htm" TargetMode="External"/><Relationship Id="rId1894" Type="http://schemas.openxmlformats.org/officeDocument/2006/relationships/hyperlink" Target="http://www.boxofficemojo.com/studio/chart/?studio=kinolorber.htm" TargetMode="External"/><Relationship Id="rId1895" Type="http://schemas.openxmlformats.org/officeDocument/2006/relationships/hyperlink" Target="http://www.boxofficemojo.com/schedule/?view=bydate&amp;release=theatrical&amp;date=2014-12-12&amp;p=.htm" TargetMode="External"/><Relationship Id="rId1896" Type="http://schemas.openxmlformats.org/officeDocument/2006/relationships/hyperlink" Target="http://www.boxofficemojo.com/movies/?id=loveandairsex.htm" TargetMode="External"/><Relationship Id="rId1897" Type="http://schemas.openxmlformats.org/officeDocument/2006/relationships/hyperlink" Target="http://www.boxofficemojo.com/studio/chart/?studio=tribecafilm.htm" TargetMode="External"/><Relationship Id="rId1898" Type="http://schemas.openxmlformats.org/officeDocument/2006/relationships/hyperlink" Target="http://www.boxofficemojo.com/schedule/?view=bydate&amp;release=theatrical&amp;date=2014-02-07&amp;p=.htm" TargetMode="External"/><Relationship Id="rId1899" Type="http://schemas.openxmlformats.org/officeDocument/2006/relationships/hyperlink" Target="http://www.boxofficemojo.com/movies/?id=cavemen.htm" TargetMode="External"/><Relationship Id="rId20" Type="http://schemas.openxmlformats.org/officeDocument/2006/relationships/hyperlink" Target="http://www.boxofficemojo.com/schedule/?view=bydate&amp;release=theatrical&amp;date=2014-02-07&amp;p=.htm" TargetMode="External"/><Relationship Id="rId21" Type="http://schemas.openxmlformats.org/officeDocument/2006/relationships/hyperlink" Target="http://www.boxofficemojo.com/movies/?id=hobbit3.htm" TargetMode="External"/><Relationship Id="rId22" Type="http://schemas.openxmlformats.org/officeDocument/2006/relationships/hyperlink" Target="http://www.boxofficemojo.com/studio/chart/?studio=wb-newline.htm" TargetMode="External"/><Relationship Id="rId23" Type="http://schemas.openxmlformats.org/officeDocument/2006/relationships/hyperlink" Target="http://www.boxofficemojo.com/schedule/?view=bydate&amp;release=theatrical&amp;date=2014-12-17&amp;p=.htm" TargetMode="External"/><Relationship Id="rId24" Type="http://schemas.openxmlformats.org/officeDocument/2006/relationships/hyperlink" Target="http://www.boxofficemojo.com/movies/?id=transformers4.htm" TargetMode="External"/><Relationship Id="rId25" Type="http://schemas.openxmlformats.org/officeDocument/2006/relationships/hyperlink" Target="http://www.boxofficemojo.com/studio/chart/?studio=paramount.htm" TargetMode="External"/><Relationship Id="rId26" Type="http://schemas.openxmlformats.org/officeDocument/2006/relationships/hyperlink" Target="http://www.boxofficemojo.com/schedule/?view=bydate&amp;release=theatrical&amp;date=2014-06-27&amp;p=.htm" TargetMode="External"/><Relationship Id="rId27" Type="http://schemas.openxmlformats.org/officeDocument/2006/relationships/hyperlink" Target="http://www.boxofficemojo.com/movies/?id=maleficient.htm" TargetMode="External"/><Relationship Id="rId28" Type="http://schemas.openxmlformats.org/officeDocument/2006/relationships/hyperlink" Target="http://www.boxofficemojo.com/studio/chart/?studio=buenavista.htm" TargetMode="External"/><Relationship Id="rId29" Type="http://schemas.openxmlformats.org/officeDocument/2006/relationships/hyperlink" Target="http://www.boxofficemojo.com/schedule/?view=bydate&amp;release=theatrical&amp;date=2014-05-30&amp;p=.htm" TargetMode="External"/><Relationship Id="rId1100" Type="http://schemas.openxmlformats.org/officeDocument/2006/relationships/hyperlink" Target="http://www.boxofficemojo.com/schedule/?view=bydate&amp;release=theatrical&amp;date=2014-09-05&amp;p=.htm" TargetMode="External"/><Relationship Id="rId1101" Type="http://schemas.openxmlformats.org/officeDocument/2006/relationships/hyperlink" Target="http://www.boxofficemojo.com/movies/?id=coherence.htm" TargetMode="External"/><Relationship Id="rId1102" Type="http://schemas.openxmlformats.org/officeDocument/2006/relationships/hyperlink" Target="http://www.boxofficemojo.com/studio/chart/?studio=oscilloscopepictures.htm" TargetMode="External"/><Relationship Id="rId1103" Type="http://schemas.openxmlformats.org/officeDocument/2006/relationships/hyperlink" Target="http://www.boxofficemojo.com/schedule/?view=bydate&amp;release=theatrical&amp;date=2014-06-20&amp;p=.htm" TargetMode="External"/><Relationship Id="rId1104" Type="http://schemas.openxmlformats.org/officeDocument/2006/relationships/hyperlink" Target="http://www.boxofficemojo.com/movies/?id=wayhelooks.htm" TargetMode="External"/><Relationship Id="rId1105" Type="http://schemas.openxmlformats.org/officeDocument/2006/relationships/hyperlink" Target="http://www.boxofficemojo.com/studio/chart/?studio=strand.htm" TargetMode="External"/><Relationship Id="rId1106" Type="http://schemas.openxmlformats.org/officeDocument/2006/relationships/hyperlink" Target="http://www.boxofficemojo.com/schedule/?view=bydate&amp;release=theatrical&amp;date=2014-11-07&amp;p=.htm" TargetMode="External"/><Relationship Id="rId1107" Type="http://schemas.openxmlformats.org/officeDocument/2006/relationships/hyperlink" Target="http://www.boxofficemojo.com/movies/?id=korengal.htm" TargetMode="External"/><Relationship Id="rId1108" Type="http://schemas.openxmlformats.org/officeDocument/2006/relationships/hyperlink" Target="http://www.boxofficemojo.com/studio/chart/?studio=saboteur.htm" TargetMode="External"/><Relationship Id="rId1109" Type="http://schemas.openxmlformats.org/officeDocument/2006/relationships/hyperlink" Target="http://www.boxofficemojo.com/schedule/?view=bydate&amp;release=theatrical&amp;date=2014-05-30&amp;p=.htm" TargetMode="External"/><Relationship Id="rId640" Type="http://schemas.openxmlformats.org/officeDocument/2006/relationships/hyperlink" Target="http://www.boxofficemojo.com/studio/chart/?studio=utv.htm" TargetMode="External"/><Relationship Id="rId641" Type="http://schemas.openxmlformats.org/officeDocument/2006/relationships/hyperlink" Target="http://www.boxofficemojo.com/schedule/?view=bydate&amp;release=theatrical&amp;date=2014-10-02&amp;p=.htm" TargetMode="External"/><Relationship Id="rId642" Type="http://schemas.openxmlformats.org/officeDocument/2006/relationships/hyperlink" Target="http://www.boxofficemojo.com/movies/?id=thirdperson.htm" TargetMode="External"/><Relationship Id="rId643" Type="http://schemas.openxmlformats.org/officeDocument/2006/relationships/hyperlink" Target="http://www.boxofficemojo.com/studio/chart/?studio=sonyclassics.htm" TargetMode="External"/><Relationship Id="rId644" Type="http://schemas.openxmlformats.org/officeDocument/2006/relationships/hyperlink" Target="http://www.boxofficemojo.com/schedule/?view=bydate&amp;release=theatrical&amp;date=2014-06-20&amp;p=.htm" TargetMode="External"/><Relationship Id="rId645" Type="http://schemas.openxmlformats.org/officeDocument/2006/relationships/hyperlink" Target="http://www.boxofficemojo.com/movies/?id=stalingrad2014.htm" TargetMode="External"/><Relationship Id="rId646" Type="http://schemas.openxmlformats.org/officeDocument/2006/relationships/hyperlink" Target="http://www.boxofficemojo.com/studio/chart/?studio=sony.htm" TargetMode="External"/><Relationship Id="rId647" Type="http://schemas.openxmlformats.org/officeDocument/2006/relationships/hyperlink" Target="http://www.boxofficemojo.com/schedule/?view=bydate&amp;release=theatrical&amp;date=2014-02-28&amp;p=.htm" TargetMode="External"/><Relationship Id="rId648" Type="http://schemas.openxmlformats.org/officeDocument/2006/relationships/hyperlink" Target="http://www.boxofficemojo.com/movies/?id=song2014.htm" TargetMode="External"/><Relationship Id="rId649" Type="http://schemas.openxmlformats.org/officeDocument/2006/relationships/hyperlink" Target="http://www.boxofficemojo.com/studio/chart/?studio=samuelgoldwyn.htm" TargetMode="External"/><Relationship Id="rId250" Type="http://schemas.openxmlformats.org/officeDocument/2006/relationships/hyperlink" Target="http://www.boxofficemojo.com/studio/chart/?studio=sony.htm" TargetMode="External"/><Relationship Id="rId251" Type="http://schemas.openxmlformats.org/officeDocument/2006/relationships/hyperlink" Target="http://www.boxofficemojo.com/schedule/?view=bydate&amp;release=theatrical&amp;date=2014-07-18&amp;p=.htm" TargetMode="External"/><Relationship Id="rId252" Type="http://schemas.openxmlformats.org/officeDocument/2006/relationships/hyperlink" Target="http://www.boxofficemojo.com/movies/?id=wild2014.htm" TargetMode="External"/><Relationship Id="rId253" Type="http://schemas.openxmlformats.org/officeDocument/2006/relationships/hyperlink" Target="http://www.boxofficemojo.com/studio/chart/?studio=foxsearchlight.htm" TargetMode="External"/><Relationship Id="rId254" Type="http://schemas.openxmlformats.org/officeDocument/2006/relationships/hyperlink" Target="http://www.boxofficemojo.com/schedule/?view=bydate&amp;release=theatrical&amp;date=2014-12-03&amp;p=.htm" TargetMode="External"/><Relationship Id="rId255" Type="http://schemas.openxmlformats.org/officeDocument/2006/relationships/hyperlink" Target="http://www.boxofficemojo.com/movies/?id=milliondollararm.htm" TargetMode="External"/><Relationship Id="rId256" Type="http://schemas.openxmlformats.org/officeDocument/2006/relationships/hyperlink" Target="http://www.boxofficemojo.com/studio/chart/?studio=buenavista.htm" TargetMode="External"/><Relationship Id="rId257" Type="http://schemas.openxmlformats.org/officeDocument/2006/relationships/hyperlink" Target="http://www.boxofficemojo.com/schedule/?view=bydate&amp;release=theatrical&amp;date=2014-05-16&amp;p=.htm" TargetMode="External"/><Relationship Id="rId258" Type="http://schemas.openxmlformats.org/officeDocument/2006/relationships/hyperlink" Target="http://www.boxofficemojo.com/movies/?id=theoryofeverything.htm" TargetMode="External"/><Relationship Id="rId259" Type="http://schemas.openxmlformats.org/officeDocument/2006/relationships/hyperlink" Target="http://www.boxofficemojo.com/studio/chart/?studio=focus.htm" TargetMode="External"/><Relationship Id="rId30" Type="http://schemas.openxmlformats.org/officeDocument/2006/relationships/hyperlink" Target="http://www.boxofficemojo.com/movies/?id=xmen2014.htm" TargetMode="External"/><Relationship Id="rId31" Type="http://schemas.openxmlformats.org/officeDocument/2006/relationships/hyperlink" Target="http://www.boxofficemojo.com/studio/chart/?studio=fox.htm" TargetMode="External"/><Relationship Id="rId32" Type="http://schemas.openxmlformats.org/officeDocument/2006/relationships/hyperlink" Target="http://www.boxofficemojo.com/schedule/?view=bydate&amp;release=theatrical&amp;date=2014-05-23&amp;p=.htm" TargetMode="External"/><Relationship Id="rId33" Type="http://schemas.openxmlformats.org/officeDocument/2006/relationships/hyperlink" Target="http://www.boxofficemojo.com/movies/?id=disney2014.htm" TargetMode="External"/><Relationship Id="rId34" Type="http://schemas.openxmlformats.org/officeDocument/2006/relationships/hyperlink" Target="http://www.boxofficemojo.com/studio/chart/?studio=buenavista.htm" TargetMode="External"/><Relationship Id="rId35" Type="http://schemas.openxmlformats.org/officeDocument/2006/relationships/hyperlink" Target="http://www.boxofficemojo.com/schedule/?view=bydate&amp;release=theatrical&amp;date=2014-11-07&amp;p=.htm" TargetMode="External"/><Relationship Id="rId36" Type="http://schemas.openxmlformats.org/officeDocument/2006/relationships/hyperlink" Target="http://www.boxofficemojo.com/movies/?id=dawnoftheapes.htm" TargetMode="External"/><Relationship Id="rId37" Type="http://schemas.openxmlformats.org/officeDocument/2006/relationships/hyperlink" Target="http://www.boxofficemojo.com/studio/chart/?studio=fox.htm" TargetMode="External"/><Relationship Id="rId38" Type="http://schemas.openxmlformats.org/officeDocument/2006/relationships/hyperlink" Target="http://www.boxofficemojo.com/schedule/?view=bydate&amp;release=theatrical&amp;date=2014-07-11&amp;p=.htm" TargetMode="External"/><Relationship Id="rId39" Type="http://schemas.openxmlformats.org/officeDocument/2006/relationships/hyperlink" Target="http://www.boxofficemojo.com/movies/?id=amazingspiderman2.htm" TargetMode="External"/><Relationship Id="rId1500" Type="http://schemas.openxmlformats.org/officeDocument/2006/relationships/hyperlink" Target="http://www.boxofficemojo.com/movies/?id=believeme.htm" TargetMode="External"/><Relationship Id="rId1501" Type="http://schemas.openxmlformats.org/officeDocument/2006/relationships/hyperlink" Target="http://www.boxofficemojo.com/studio/chart/?studio=riotstudios.htm" TargetMode="External"/><Relationship Id="rId1502" Type="http://schemas.openxmlformats.org/officeDocument/2006/relationships/hyperlink" Target="http://www.boxofficemojo.com/schedule/?view=bydate&amp;release=theatrical&amp;date=2014-09-26&amp;p=.htm" TargetMode="External"/><Relationship Id="rId1503" Type="http://schemas.openxmlformats.org/officeDocument/2006/relationships/hyperlink" Target="http://www.boxofficemojo.com/movies/?id=taleofwinter.htm" TargetMode="External"/><Relationship Id="rId1110" Type="http://schemas.openxmlformats.org/officeDocument/2006/relationships/hyperlink" Target="http://www.boxofficemojo.com/movies/?id=onechance.htm" TargetMode="External"/><Relationship Id="rId1111" Type="http://schemas.openxmlformats.org/officeDocument/2006/relationships/hyperlink" Target="http://www.boxofficemojo.com/studio/chart/?studio=weinsteincompany.htm" TargetMode="External"/><Relationship Id="rId1112" Type="http://schemas.openxmlformats.org/officeDocument/2006/relationships/hyperlink" Target="http://www.boxofficemojo.com/schedule/?view=bydate&amp;release=theatrical&amp;date=2014-10-10&amp;p=.htm" TargetMode="External"/><Relationship Id="rId1113" Type="http://schemas.openxmlformats.org/officeDocument/2006/relationships/hyperlink" Target="http://www.boxofficemojo.com/movies/?id=beyondsight.htm" TargetMode="External"/><Relationship Id="rId1114" Type="http://schemas.openxmlformats.org/officeDocument/2006/relationships/hyperlink" Target="http://www.boxofficemojo.com/studio/chart/?studio=walkingonwater.htm" TargetMode="External"/><Relationship Id="rId1115" Type="http://schemas.openxmlformats.org/officeDocument/2006/relationships/hyperlink" Target="http://www.boxofficemojo.com/schedule/?view=bydate&amp;release=theatrical&amp;date=2014-03-07&amp;p=.htm" TargetMode="External"/><Relationship Id="rId1116" Type="http://schemas.openxmlformats.org/officeDocument/2006/relationships/hyperlink" Target="http://www.boxofficemojo.com/movies/?id=bestoffer.htm" TargetMode="External"/><Relationship Id="rId1117" Type="http://schemas.openxmlformats.org/officeDocument/2006/relationships/hyperlink" Target="http://www.boxofficemojo.com/studio/chart/?studio=ifc.htm" TargetMode="External"/><Relationship Id="rId1118" Type="http://schemas.openxmlformats.org/officeDocument/2006/relationships/hyperlink" Target="http://www.boxofficemojo.com/schedule/?view=bydate&amp;release=theatrical&amp;date=2014-01-03&amp;p=.htm" TargetMode="External"/><Relationship Id="rId1119" Type="http://schemas.openxmlformats.org/officeDocument/2006/relationships/hyperlink" Target="http://www.boxofficemojo.com/movies/?id=childspose.htm" TargetMode="External"/><Relationship Id="rId650" Type="http://schemas.openxmlformats.org/officeDocument/2006/relationships/hyperlink" Target="http://www.boxofficemojo.com/schedule/?view=bydate&amp;release=theatrical&amp;date=2014-09-26&amp;p=.htm" TargetMode="External"/><Relationship Id="rId651" Type="http://schemas.openxmlformats.org/officeDocument/2006/relationships/hyperlink" Target="http://www.boxofficemojo.com/movies/?id=enemy.htm" TargetMode="External"/><Relationship Id="rId652" Type="http://schemas.openxmlformats.org/officeDocument/2006/relationships/hyperlink" Target="http://www.boxofficemojo.com/studio/chart/?studio=a24.htm" TargetMode="External"/><Relationship Id="rId653" Type="http://schemas.openxmlformats.org/officeDocument/2006/relationships/hyperlink" Target="http://www.boxofficemojo.com/schedule/?view=bydate&amp;release=theatrical&amp;date=2014-03-14&amp;p=.htm" TargetMode="External"/><Relationship Id="rId654" Type="http://schemas.openxmlformats.org/officeDocument/2006/relationships/hyperlink" Target="http://www.boxofficemojo.com/movies/?id=babadook.htm" TargetMode="External"/><Relationship Id="rId655" Type="http://schemas.openxmlformats.org/officeDocument/2006/relationships/hyperlink" Target="http://www.boxofficemojo.com/studio/chart/?studio=ifc.htm" TargetMode="External"/><Relationship Id="rId656" Type="http://schemas.openxmlformats.org/officeDocument/2006/relationships/hyperlink" Target="http://www.boxofficemojo.com/schedule/?view=bydate&amp;release=theatrical&amp;date=2014-11-28&amp;p=.htm" TargetMode="External"/><Relationship Id="rId657" Type="http://schemas.openxmlformats.org/officeDocument/2006/relationships/hyperlink" Target="http://www.boxofficemojo.com/movies/?id=shaadikesideeffects.htm" TargetMode="External"/><Relationship Id="rId658" Type="http://schemas.openxmlformats.org/officeDocument/2006/relationships/hyperlink" Target="http://www.boxofficemojo.com/studio/chart/?studio=eros.htm" TargetMode="External"/><Relationship Id="rId659" Type="http://schemas.openxmlformats.org/officeDocument/2006/relationships/hyperlink" Target="http://www.boxofficemojo.com/schedule/?view=bydate&amp;release=theatrical&amp;date=2014-02-28&amp;p=.htm" TargetMode="External"/><Relationship Id="rId1504" Type="http://schemas.openxmlformats.org/officeDocument/2006/relationships/hyperlink" Target="http://www.boxofficemojo.com/studio/chart/?studio=bigworld.htm" TargetMode="External"/><Relationship Id="rId1505" Type="http://schemas.openxmlformats.org/officeDocument/2006/relationships/hyperlink" Target="http://www.boxofficemojo.com/schedule/?view=bydate&amp;release=theatrical&amp;date=2014-12-19&amp;p=.htm" TargetMode="External"/><Relationship Id="rId1506" Type="http://schemas.openxmlformats.org/officeDocument/2006/relationships/hyperlink" Target="http://www.boxofficemojo.com/movies/?id=historyofjazz.htm" TargetMode="External"/><Relationship Id="rId1507" Type="http://schemas.openxmlformats.org/officeDocument/2006/relationships/hyperlink" Target="http://www.boxofficemojo.com/studio/chart/?studio=indican.htm" TargetMode="External"/><Relationship Id="rId1508" Type="http://schemas.openxmlformats.org/officeDocument/2006/relationships/hyperlink" Target="http://www.boxofficemojo.com/schedule/?view=bydate&amp;release=theatrical&amp;date=2014-10-24&amp;p=.htm" TargetMode="External"/><Relationship Id="rId1509" Type="http://schemas.openxmlformats.org/officeDocument/2006/relationships/hyperlink" Target="http://www.boxofficemojo.com/movies/?id=videogames.htm" TargetMode="External"/><Relationship Id="rId260" Type="http://schemas.openxmlformats.org/officeDocument/2006/relationships/hyperlink" Target="http://www.boxofficemojo.com/schedule/?view=bydate&amp;release=theatrical&amp;date=2014-11-07&amp;p=.htm" TargetMode="External"/><Relationship Id="rId261" Type="http://schemas.openxmlformats.org/officeDocument/2006/relationships/hyperlink" Target="http://www.boxofficemojo.com/movies/?id=thisiswhereileaveyou.htm" TargetMode="External"/><Relationship Id="rId262" Type="http://schemas.openxmlformats.org/officeDocument/2006/relationships/hyperlink" Target="http://www.boxofficemojo.com/studio/chart/?studio=warnerbros.htm" TargetMode="External"/><Relationship Id="rId263" Type="http://schemas.openxmlformats.org/officeDocument/2006/relationships/hyperlink" Target="http://www.boxofficemojo.com/schedule/?view=bydate&amp;release=theatrical&amp;date=2014-09-19&amp;p=.htm" TargetMode="External"/><Relationship Id="rId264" Type="http://schemas.openxmlformats.org/officeDocument/2006/relationships/hyperlink" Target="http://www.boxofficemojo.com/movies/?id=gambler.htm" TargetMode="External"/><Relationship Id="rId265" Type="http://schemas.openxmlformats.org/officeDocument/2006/relationships/hyperlink" Target="http://www.boxofficemojo.com/studio/chart/?studio=paramount.htm" TargetMode="External"/><Relationship Id="rId266" Type="http://schemas.openxmlformats.org/officeDocument/2006/relationships/hyperlink" Target="http://www.boxofficemojo.com/schedule/?view=bydate&amp;release=theatrical&amp;date=2014-12-25&amp;p=.htm" TargetMode="External"/><Relationship Id="rId267" Type="http://schemas.openxmlformats.org/officeDocument/2006/relationships/hyperlink" Target="http://www.boxofficemojo.com/movies/?id=paranormalactivity5.htm" TargetMode="External"/><Relationship Id="rId268" Type="http://schemas.openxmlformats.org/officeDocument/2006/relationships/hyperlink" Target="http://www.boxofficemojo.com/studio/chart/?studio=paramount.htm" TargetMode="External"/><Relationship Id="rId269" Type="http://schemas.openxmlformats.org/officeDocument/2006/relationships/hyperlink" Target="http://www.boxofficemojo.com/schedule/?view=bydate&amp;release=theatrical&amp;date=2014-01-03&amp;p=.htm" TargetMode="External"/><Relationship Id="rId40" Type="http://schemas.openxmlformats.org/officeDocument/2006/relationships/hyperlink" Target="http://www.boxofficemojo.com/studio/chart/?studio=sony.htm" TargetMode="External"/><Relationship Id="rId41" Type="http://schemas.openxmlformats.org/officeDocument/2006/relationships/hyperlink" Target="http://www.boxofficemojo.com/schedule/?view=bydate&amp;release=theatrical&amp;date=2014-05-02&amp;p=.htm" TargetMode="External"/><Relationship Id="rId42" Type="http://schemas.openxmlformats.org/officeDocument/2006/relationships/hyperlink" Target="http://www.boxofficemojo.com/movies/?id=godzilla2012.htm" TargetMode="External"/><Relationship Id="rId43" Type="http://schemas.openxmlformats.org/officeDocument/2006/relationships/hyperlink" Target="http://www.boxofficemojo.com/studio/chart/?studio=warnerbros.htm" TargetMode="External"/><Relationship Id="rId44" Type="http://schemas.openxmlformats.org/officeDocument/2006/relationships/hyperlink" Target="http://www.boxofficemojo.com/schedule/?view=bydate&amp;release=theatrical&amp;date=2014-05-16&amp;p=.htm" TargetMode="External"/><Relationship Id="rId45" Type="http://schemas.openxmlformats.org/officeDocument/2006/relationships/hyperlink" Target="http://www.boxofficemojo.com/movies/?id=21jumpstreet2.htm" TargetMode="External"/><Relationship Id="rId46" Type="http://schemas.openxmlformats.org/officeDocument/2006/relationships/hyperlink" Target="http://www.boxofficemojo.com/studio/chart/?studio=sony.htm" TargetMode="External"/><Relationship Id="rId47" Type="http://schemas.openxmlformats.org/officeDocument/2006/relationships/hyperlink" Target="http://www.boxofficemojo.com/schedule/?view=bydate&amp;release=theatrical&amp;date=2014-06-13&amp;p=.htm" TargetMode="External"/><Relationship Id="rId48" Type="http://schemas.openxmlformats.org/officeDocument/2006/relationships/hyperlink" Target="http://www.boxofficemojo.com/movies/?id=tmnt2013.htm" TargetMode="External"/><Relationship Id="rId49" Type="http://schemas.openxmlformats.org/officeDocument/2006/relationships/hyperlink" Target="http://www.boxofficemojo.com/studio/chart/?studio=paramount.htm" TargetMode="External"/><Relationship Id="rId1900" Type="http://schemas.openxmlformats.org/officeDocument/2006/relationships/hyperlink" Target="http://www.boxofficemojo.com/studio/chart/?studio=wellgo.htm" TargetMode="External"/><Relationship Id="rId1901" Type="http://schemas.openxmlformats.org/officeDocument/2006/relationships/hyperlink" Target="http://www.boxofficemojo.com/schedule/?view=bydate&amp;release=theatrical&amp;date=2014-02-07&amp;p=.htm" TargetMode="External"/><Relationship Id="rId1902" Type="http://schemas.openxmlformats.org/officeDocument/2006/relationships/hyperlink" Target="http://www.boxofficemojo.com/movies/?id=gangofghosts.htm" TargetMode="External"/><Relationship Id="rId1903" Type="http://schemas.openxmlformats.org/officeDocument/2006/relationships/hyperlink" Target="http://www.boxofficemojo.com/studio/chart/?studio=eros.htm" TargetMode="External"/><Relationship Id="rId1510" Type="http://schemas.openxmlformats.org/officeDocument/2006/relationships/hyperlink" Target="http://www.boxofficemojo.com/studio/chart/?studio=variancefilms.htm" TargetMode="External"/><Relationship Id="rId1511" Type="http://schemas.openxmlformats.org/officeDocument/2006/relationships/hyperlink" Target="http://www.boxofficemojo.com/schedule/?view=bydate&amp;release=theatrical&amp;date=2014-07-18&amp;p=.htm" TargetMode="External"/><Relationship Id="rId1512" Type="http://schemas.openxmlformats.org/officeDocument/2006/relationships/hyperlink" Target="http://www.boxofficemojo.com/movies/?id=shortpeace.htm" TargetMode="External"/><Relationship Id="rId1513" Type="http://schemas.openxmlformats.org/officeDocument/2006/relationships/hyperlink" Target="http://www.boxofficemojo.com/studio/chart/?studio=elevenarts.htm" TargetMode="External"/><Relationship Id="rId1120" Type="http://schemas.openxmlformats.org/officeDocument/2006/relationships/hyperlink" Target="http://www.boxofficemojo.com/studio/chart/?studio=zeitgeist.htm" TargetMode="External"/><Relationship Id="rId1121" Type="http://schemas.openxmlformats.org/officeDocument/2006/relationships/hyperlink" Target="http://www.boxofficemojo.com/schedule/?view=bydate&amp;release=theatrical&amp;date=2014-02-19&amp;p=.htm" TargetMode="External"/><Relationship Id="rId1122" Type="http://schemas.openxmlformats.org/officeDocument/2006/relationships/hyperlink" Target="http://www.boxofficemojo.com/movies/?id=hiroshimamonamour.htm" TargetMode="External"/><Relationship Id="rId1123" Type="http://schemas.openxmlformats.org/officeDocument/2006/relationships/hyperlink" Target="http://www.boxofficemojo.com/studio/chart/?studio=rialto.htm" TargetMode="External"/><Relationship Id="rId1124" Type="http://schemas.openxmlformats.org/officeDocument/2006/relationships/hyperlink" Target="http://www.boxofficemojo.com/schedule/?view=bydate&amp;release=theatrical&amp;date=2014-10-17&amp;p=.htm" TargetMode="External"/><Relationship Id="rId1125" Type="http://schemas.openxmlformats.org/officeDocument/2006/relationships/hyperlink" Target="http://www.boxofficemojo.com/movies/?id=cubanfury.htm" TargetMode="External"/><Relationship Id="rId1126" Type="http://schemas.openxmlformats.org/officeDocument/2006/relationships/hyperlink" Target="http://www.boxofficemojo.com/studio/chart/?studio=entertainmentone.htm" TargetMode="External"/><Relationship Id="rId1127" Type="http://schemas.openxmlformats.org/officeDocument/2006/relationships/hyperlink" Target="http://www.boxofficemojo.com/schedule/?view=bydate&amp;release=theatrical&amp;date=2014-04-11&amp;p=.htm" TargetMode="External"/><Relationship Id="rId1128" Type="http://schemas.openxmlformats.org/officeDocument/2006/relationships/hyperlink" Target="http://www.boxofficemojo.com/movies/?id=generationwar.htm" TargetMode="External"/><Relationship Id="rId1129" Type="http://schemas.openxmlformats.org/officeDocument/2006/relationships/hyperlink" Target="http://www.boxofficemojo.com/studio/chart/?studio=musicboxfilms.htm" TargetMode="External"/><Relationship Id="rId660" Type="http://schemas.openxmlformats.org/officeDocument/2006/relationships/hyperlink" Target="http://www.boxofficemojo.com/movies/?id=masnegroquelanoche.htm" TargetMode="External"/><Relationship Id="rId661" Type="http://schemas.openxmlformats.org/officeDocument/2006/relationships/hyperlink" Target="http://www.boxofficemojo.com/studio/chart/?studio=lionsgate.htm" TargetMode="External"/><Relationship Id="rId662" Type="http://schemas.openxmlformats.org/officeDocument/2006/relationships/hyperlink" Target="http://www.boxofficemojo.com/schedule/?view=bydate&amp;release=theatrical&amp;date=2014-09-26&amp;p=.htm" TargetMode="External"/><Relationship Id="rId663" Type="http://schemas.openxmlformats.org/officeDocument/2006/relationships/hyperlink" Target="http://www.boxofficemojo.com/movies/?id=particlefever.htm" TargetMode="External"/><Relationship Id="rId664" Type="http://schemas.openxmlformats.org/officeDocument/2006/relationships/hyperlink" Target="http://www.boxofficemojo.com/studio/chart/?studio=abramorama.htm" TargetMode="External"/><Relationship Id="rId665" Type="http://schemas.openxmlformats.org/officeDocument/2006/relationships/hyperlink" Target="http://www.boxofficemojo.com/schedule/?view=bydate&amp;release=theatrical&amp;date=2014-03-05&amp;p=.htm" TargetMode="External"/><Relationship Id="rId666" Type="http://schemas.openxmlformats.org/officeDocument/2006/relationships/hyperlink" Target="http://www.boxofficemojo.com/movies/?id=songofthesea.htm" TargetMode="External"/><Relationship Id="rId667" Type="http://schemas.openxmlformats.org/officeDocument/2006/relationships/hyperlink" Target="http://www.boxofficemojo.com/studio/chart/?studio=gkids.htm" TargetMode="External"/><Relationship Id="rId668" Type="http://schemas.openxmlformats.org/officeDocument/2006/relationships/hyperlink" Target="http://www.boxofficemojo.com/schedule/?view=bydate&amp;release=theatrical&amp;date=2014-12-19&amp;p=.htm" TargetMode="External"/><Relationship Id="rId669" Type="http://schemas.openxmlformats.org/officeDocument/2006/relationships/hyperlink" Target="http://www.boxofficemojo.com/movies/?id=atlasshrugged3.htm" TargetMode="External"/><Relationship Id="rId1514" Type="http://schemas.openxmlformats.org/officeDocument/2006/relationships/hyperlink" Target="http://www.boxofficemojo.com/schedule/?view=bydate&amp;release=theatrical&amp;date=2014-03-03&amp;p=.htm" TargetMode="External"/><Relationship Id="rId1515" Type="http://schemas.openxmlformats.org/officeDocument/2006/relationships/hyperlink" Target="http://www.boxofficemojo.com/movies/?id=twolives.htm" TargetMode="External"/><Relationship Id="rId1516" Type="http://schemas.openxmlformats.org/officeDocument/2006/relationships/hyperlink" Target="http://www.boxofficemojo.com/studio/chart/?studio=ifc.htm" TargetMode="External"/><Relationship Id="rId1517" Type="http://schemas.openxmlformats.org/officeDocument/2006/relationships/hyperlink" Target="http://www.boxofficemojo.com/schedule/?view=bydate&amp;release=theatrical&amp;date=2014-02-28&amp;p=.htm" TargetMode="External"/><Relationship Id="rId1518" Type="http://schemas.openxmlformats.org/officeDocument/2006/relationships/hyperlink" Target="http://www.boxofficemojo.com/movies/?id=grandpiano.htm" TargetMode="External"/><Relationship Id="rId1519" Type="http://schemas.openxmlformats.org/officeDocument/2006/relationships/hyperlink" Target="http://www.boxofficemojo.com/studio/chart/?studio=magnolia.htm" TargetMode="External"/><Relationship Id="rId270" Type="http://schemas.openxmlformats.org/officeDocument/2006/relationships/hyperlink" Target="http://www.boxofficemojo.com/movies/?id=nightcrawlers.htm" TargetMode="External"/><Relationship Id="rId271" Type="http://schemas.openxmlformats.org/officeDocument/2006/relationships/hyperlink" Target="http://www.boxofficemojo.com/studio/chart/?studio=openroads.htm" TargetMode="External"/><Relationship Id="rId272" Type="http://schemas.openxmlformats.org/officeDocument/2006/relationships/hyperlink" Target="http://www.boxofficemojo.com/schedule/?view=bydate&amp;release=theatrical&amp;date=2014-10-31&amp;p=.htm" TargetMode="External"/><Relationship Id="rId273" Type="http://schemas.openxmlformats.org/officeDocument/2006/relationships/hyperlink" Target="http://www.boxofficemojo.com/movies/?id=chef.htm" TargetMode="External"/><Relationship Id="rId274" Type="http://schemas.openxmlformats.org/officeDocument/2006/relationships/hyperlink" Target="http://www.boxofficemojo.com/studio/chart/?studio=openroads.htm" TargetMode="External"/><Relationship Id="rId275" Type="http://schemas.openxmlformats.org/officeDocument/2006/relationships/hyperlink" Target="http://www.boxofficemojo.com/schedule/?view=bydate&amp;release=theatrical&amp;date=2014-05-09&amp;p=.htm" TargetMode="External"/><Relationship Id="rId276" Type="http://schemas.openxmlformats.org/officeDocument/2006/relationships/hyperlink" Target="http://www.boxofficemojo.com/movies/?id=getonup.htm" TargetMode="External"/><Relationship Id="rId277" Type="http://schemas.openxmlformats.org/officeDocument/2006/relationships/hyperlink" Target="http://www.boxofficemojo.com/studio/chart/?studio=universal.htm" TargetMode="External"/><Relationship Id="rId278" Type="http://schemas.openxmlformats.org/officeDocument/2006/relationships/hyperlink" Target="http://www.boxofficemojo.com/schedule/?view=bydate&amp;release=theatrical&amp;date=2014-08-01&amp;p=.htm" TargetMode="External"/><Relationship Id="rId279" Type="http://schemas.openxmlformats.org/officeDocument/2006/relationships/hyperlink" Target="http://www.boxofficemojo.com/movies/?id=threedaystokill.htm" TargetMode="External"/><Relationship Id="rId1904" Type="http://schemas.openxmlformats.org/officeDocument/2006/relationships/hyperlink" Target="http://www.boxofficemojo.com/schedule/?view=bydate&amp;release=theatrical&amp;date=2014-03-21&amp;p=.htm" TargetMode="External"/><Relationship Id="rId1905" Type="http://schemas.openxmlformats.org/officeDocument/2006/relationships/hyperlink" Target="http://www.boxofficemojo.com/movies/?id=strangelittlecat.htm" TargetMode="External"/><Relationship Id="rId1906" Type="http://schemas.openxmlformats.org/officeDocument/2006/relationships/hyperlink" Target="http://www.boxofficemojo.com/studio/chart/?studio=kimstim.htm" TargetMode="External"/><Relationship Id="rId1907" Type="http://schemas.openxmlformats.org/officeDocument/2006/relationships/hyperlink" Target="http://www.boxofficemojo.com/schedule/?view=bydate&amp;release=theatrical&amp;date=2014-08-01&amp;p=.htm" TargetMode="External"/><Relationship Id="rId1908" Type="http://schemas.openxmlformats.org/officeDocument/2006/relationships/hyperlink" Target="http://www.boxofficemojo.com/movies/?id=2autumns.htm" TargetMode="External"/><Relationship Id="rId1909" Type="http://schemas.openxmlformats.org/officeDocument/2006/relationships/hyperlink" Target="http://www.boxofficemojo.com/studio/chart/?studio=filmmovement.htm" TargetMode="External"/><Relationship Id="rId50" Type="http://schemas.openxmlformats.org/officeDocument/2006/relationships/hyperlink" Target="http://www.boxofficemojo.com/schedule/?view=bydate&amp;release=theatrical&amp;date=2014-08-08&amp;p=.htm" TargetMode="External"/><Relationship Id="rId51" Type="http://schemas.openxmlformats.org/officeDocument/2006/relationships/hyperlink" Target="http://www.boxofficemojo.com/movies/?id=interstellar.htm" TargetMode="External"/><Relationship Id="rId52" Type="http://schemas.openxmlformats.org/officeDocument/2006/relationships/hyperlink" Target="http://www.boxofficemojo.com/studio/chart/?studio=paramount.htm" TargetMode="External"/><Relationship Id="rId53" Type="http://schemas.openxmlformats.org/officeDocument/2006/relationships/hyperlink" Target="http://www.boxofficemojo.com/schedule/?view=bydate&amp;release=theatrical&amp;date=2014-11-05&amp;p=.htm" TargetMode="External"/><Relationship Id="rId54" Type="http://schemas.openxmlformats.org/officeDocument/2006/relationships/hyperlink" Target="http://www.boxofficemojo.com/movies/?id=howtotrainyourdragon2.htm" TargetMode="External"/><Relationship Id="rId55" Type="http://schemas.openxmlformats.org/officeDocument/2006/relationships/hyperlink" Target="http://www.boxofficemojo.com/studio/chart/?studio=fox.htm" TargetMode="External"/><Relationship Id="rId56" Type="http://schemas.openxmlformats.org/officeDocument/2006/relationships/hyperlink" Target="http://www.boxofficemojo.com/schedule/?view=bydate&amp;release=theatrical&amp;date=2014-06-13&amp;p=.htm" TargetMode="External"/><Relationship Id="rId57" Type="http://schemas.openxmlformats.org/officeDocument/2006/relationships/hyperlink" Target="http://www.boxofficemojo.com/movies/?id=gonegirl.htm" TargetMode="External"/><Relationship Id="rId58" Type="http://schemas.openxmlformats.org/officeDocument/2006/relationships/hyperlink" Target="http://www.boxofficemojo.com/studio/chart/?studio=fox.htm" TargetMode="External"/><Relationship Id="rId59" Type="http://schemas.openxmlformats.org/officeDocument/2006/relationships/hyperlink" Target="http://www.boxofficemojo.com/schedule/?view=bydate&amp;release=theatrical&amp;date=2014-10-03&amp;p=.htm" TargetMode="External"/><Relationship Id="rId1910" Type="http://schemas.openxmlformats.org/officeDocument/2006/relationships/hyperlink" Target="http://www.boxofficemojo.com/schedule/?view=bydate&amp;release=theatrical&amp;date=2014-06-06&amp;p=.htm" TargetMode="External"/><Relationship Id="rId1911" Type="http://schemas.openxmlformats.org/officeDocument/2006/relationships/hyperlink" Target="http://www.boxofficemojo.com/movies/?id=devilshand.htm" TargetMode="External"/><Relationship Id="rId1912" Type="http://schemas.openxmlformats.org/officeDocument/2006/relationships/hyperlink" Target="http://www.boxofficemojo.com/studio/chart/?studio=roadsideattractions.htm" TargetMode="External"/><Relationship Id="rId1913" Type="http://schemas.openxmlformats.org/officeDocument/2006/relationships/hyperlink" Target="http://www.boxofficemojo.com/schedule/?view=bydate&amp;release=theatrical&amp;date=2014-10-10&amp;p=.htm" TargetMode="External"/><Relationship Id="rId1520" Type="http://schemas.openxmlformats.org/officeDocument/2006/relationships/hyperlink" Target="http://www.boxofficemojo.com/schedule/?view=bydate&amp;release=theatrical&amp;date=2014-03-07&amp;p=.htm" TargetMode="External"/><Relationship Id="rId1521" Type="http://schemas.openxmlformats.org/officeDocument/2006/relationships/hyperlink" Target="http://www.boxofficemojo.com/movies/?id=mayinthesummer.htm" TargetMode="External"/><Relationship Id="rId1522" Type="http://schemas.openxmlformats.org/officeDocument/2006/relationships/hyperlink" Target="http://www.boxofficemojo.com/studio/chart/?studio=cohenmedia.htm" TargetMode="External"/><Relationship Id="rId1523" Type="http://schemas.openxmlformats.org/officeDocument/2006/relationships/hyperlink" Target="http://www.boxofficemojo.com/schedule/?view=bydate&amp;release=theatrical&amp;date=2014-08-22&amp;p=.htm" TargetMode="External"/><Relationship Id="rId1130" Type="http://schemas.openxmlformats.org/officeDocument/2006/relationships/hyperlink" Target="http://www.boxofficemojo.com/schedule/?view=bydate&amp;release=theatrical&amp;date=2014-01-15&amp;p=.htm" TargetMode="External"/><Relationship Id="rId1131" Type="http://schemas.openxmlformats.org/officeDocument/2006/relationships/hyperlink" Target="http://www.boxofficemojo.com/movies/?id=girlonabicycle.htm" TargetMode="External"/><Relationship Id="rId1132" Type="http://schemas.openxmlformats.org/officeDocument/2006/relationships/hyperlink" Target="http://www.boxofficemojo.com/studio/chart/?studio=montereymediainc.htm" TargetMode="External"/><Relationship Id="rId1133" Type="http://schemas.openxmlformats.org/officeDocument/2006/relationships/hyperlink" Target="http://www.boxofficemojo.com/schedule/?view=bydate&amp;release=theatrical&amp;date=2014-02-14&amp;p=.htm" TargetMode="External"/><Relationship Id="rId1134" Type="http://schemas.openxmlformats.org/officeDocument/2006/relationships/hyperlink" Target="http://www.boxofficemojo.com/movies/?id=pump.htm" TargetMode="External"/><Relationship Id="rId1135" Type="http://schemas.openxmlformats.org/officeDocument/2006/relationships/hyperlink" Target="http://www.boxofficemojo.com/studio/chart/?studio=submarinedeluxe.htm" TargetMode="External"/><Relationship Id="rId1136" Type="http://schemas.openxmlformats.org/officeDocument/2006/relationships/hyperlink" Target="http://www.boxofficemojo.com/schedule/?view=bydate&amp;release=theatrical&amp;date=2014-09-19&amp;p=.htm" TargetMode="External"/><Relationship Id="rId1137" Type="http://schemas.openxmlformats.org/officeDocument/2006/relationships/hyperlink" Target="http://www.boxofficemojo.com/movies/?id=breathein.htm" TargetMode="External"/><Relationship Id="rId1138" Type="http://schemas.openxmlformats.org/officeDocument/2006/relationships/hyperlink" Target="http://www.boxofficemojo.com/studio/chart/?studio=cohenmedia.htm" TargetMode="External"/><Relationship Id="rId1139" Type="http://schemas.openxmlformats.org/officeDocument/2006/relationships/hyperlink" Target="http://www.boxofficemojo.com/schedule/?view=bydate&amp;release=theatrical&amp;date=2014-03-28&amp;p=.htm" TargetMode="External"/><Relationship Id="rId670" Type="http://schemas.openxmlformats.org/officeDocument/2006/relationships/hyperlink" Target="http://www.boxofficemojo.com/studio/chart/?studio=atlas.htm" TargetMode="External"/><Relationship Id="rId671" Type="http://schemas.openxmlformats.org/officeDocument/2006/relationships/hyperlink" Target="http://www.boxofficemojo.com/schedule/?view=bydate&amp;release=theatrical&amp;date=2014-09-12&amp;p=.htm" TargetMode="External"/><Relationship Id="rId280" Type="http://schemas.openxmlformats.org/officeDocument/2006/relationships/hyperlink" Target="http://www.boxofficemojo.com/studio/chart/?studio=relativity.htm" TargetMode="External"/><Relationship Id="rId281" Type="http://schemas.openxmlformats.org/officeDocument/2006/relationships/hyperlink" Target="http://www.boxofficemojo.com/schedule/?view=bydate&amp;release=theatrical&amp;date=2014-02-21&amp;p=.htm" TargetMode="External"/><Relationship Id="rId282" Type="http://schemas.openxmlformats.org/officeDocument/2006/relationships/hyperlink" Target="http://www.boxofficemojo.com/movies/?id=bewarethenight.htm" TargetMode="External"/><Relationship Id="rId283" Type="http://schemas.openxmlformats.org/officeDocument/2006/relationships/hyperlink" Target="http://www.boxofficemojo.com/studio/chart/?studio=screengems.htm" TargetMode="External"/><Relationship Id="rId284" Type="http://schemas.openxmlformats.org/officeDocument/2006/relationships/hyperlink" Target="http://www.boxofficemojo.com/schedule/?view=bydate&amp;release=theatrical&amp;date=2014-07-02&amp;p=.htm" TargetMode="External"/><Relationship Id="rId285" Type="http://schemas.openxmlformats.org/officeDocument/2006/relationships/hyperlink" Target="http://www.boxofficemojo.com/movies/?id=whenthegamestandstall.htm" TargetMode="External"/><Relationship Id="rId286" Type="http://schemas.openxmlformats.org/officeDocument/2006/relationships/hyperlink" Target="http://www.boxofficemojo.com/studio/chart/?studio=tristar.htm" TargetMode="External"/><Relationship Id="rId287" Type="http://schemas.openxmlformats.org/officeDocument/2006/relationships/hyperlink" Target="http://www.boxofficemojo.com/schedule/?view=bydate&amp;release=theatrical&amp;date=2014-08-22&amp;p=.htm" TargetMode="External"/><Relationship Id="rId288" Type="http://schemas.openxmlformats.org/officeDocument/2006/relationships/hyperlink" Target="http://www.boxofficemojo.com/movies/?id=draftday.htm" TargetMode="External"/><Relationship Id="rId289" Type="http://schemas.openxmlformats.org/officeDocument/2006/relationships/hyperlink" Target="http://www.boxofficemojo.com/studio/chart/?studio=lionsgatesummit.htm" TargetMode="External"/><Relationship Id="rId672" Type="http://schemas.openxmlformats.org/officeDocument/2006/relationships/hyperlink" Target="http://www.boxofficemojo.com/movies/?id=kochadaiiyaan.htm" TargetMode="External"/><Relationship Id="rId673" Type="http://schemas.openxmlformats.org/officeDocument/2006/relationships/hyperlink" Target="http://www.boxofficemojo.com/studio/chart/?studio=eros.htm" TargetMode="External"/><Relationship Id="rId674" Type="http://schemas.openxmlformats.org/officeDocument/2006/relationships/hyperlink" Target="http://www.boxofficemojo.com/schedule/?view=bydate&amp;release=theatrical&amp;date=2014-05-23&amp;p=.htm" TargetMode="External"/><Relationship Id="rId675" Type="http://schemas.openxmlformats.org/officeDocument/2006/relationships/hyperlink" Target="http://www.boxofficemojo.com/movies/?id=saw10th.htm" TargetMode="External"/><Relationship Id="rId676" Type="http://schemas.openxmlformats.org/officeDocument/2006/relationships/hyperlink" Target="http://www.boxofficemojo.com/studio/chart/?studio=lionsgate.htm" TargetMode="External"/><Relationship Id="rId677" Type="http://schemas.openxmlformats.org/officeDocument/2006/relationships/hyperlink" Target="http://www.boxofficemojo.com/schedule/?view=bydate&amp;release=theatrical&amp;date=2014-10-31&amp;p=.htm" TargetMode="External"/><Relationship Id="rId678" Type="http://schemas.openxmlformats.org/officeDocument/2006/relationships/hyperlink" Target="http://www.boxofficemojo.com/movies/?id=lifeitself.htm" TargetMode="External"/><Relationship Id="rId679" Type="http://schemas.openxmlformats.org/officeDocument/2006/relationships/hyperlink" Target="http://www.boxofficemojo.com/studio/chart/?studio=magnolia.htm" TargetMode="External"/><Relationship Id="rId1524" Type="http://schemas.openxmlformats.org/officeDocument/2006/relationships/hyperlink" Target="http://www.boxofficemojo.com/movies/?id=brightdaysahead.htm" TargetMode="External"/><Relationship Id="rId1525" Type="http://schemas.openxmlformats.org/officeDocument/2006/relationships/hyperlink" Target="http://www.boxofficemojo.com/studio/chart/?studio=tribecafilm.htm" TargetMode="External"/><Relationship Id="rId1526" Type="http://schemas.openxmlformats.org/officeDocument/2006/relationships/hyperlink" Target="http://www.boxofficemojo.com/schedule/?view=bydate&amp;release=theatrical&amp;date=2014-04-25&amp;p=.htm" TargetMode="External"/><Relationship Id="rId1527" Type="http://schemas.openxmlformats.org/officeDocument/2006/relationships/hyperlink" Target="http://www.boxofficemojo.com/movies/?id=decentone.htm" TargetMode="External"/><Relationship Id="rId1528" Type="http://schemas.openxmlformats.org/officeDocument/2006/relationships/hyperlink" Target="http://www.boxofficemojo.com/studio/chart/?studio=kinolorber.htm" TargetMode="External"/><Relationship Id="rId1529" Type="http://schemas.openxmlformats.org/officeDocument/2006/relationships/hyperlink" Target="http://www.boxofficemojo.com/schedule/?view=bydate&amp;release=theatrical&amp;date=2014-10-01&amp;p=.htm" TargetMode="External"/><Relationship Id="rId1914" Type="http://schemas.openxmlformats.org/officeDocument/2006/relationships/hyperlink" Target="http://www.boxofficemojo.com/movies/?id=papirosen.htm" TargetMode="External"/><Relationship Id="rId1915" Type="http://schemas.openxmlformats.org/officeDocument/2006/relationships/hyperlink" Target="http://www.boxofficemojo.com/studio/chart/?studio=filmmovement.htm" TargetMode="External"/><Relationship Id="rId1916" Type="http://schemas.openxmlformats.org/officeDocument/2006/relationships/hyperlink" Target="http://www.boxofficemojo.com/schedule/?view=bydate&amp;release=theatrical&amp;date=2014-01-24&amp;p=.htm" TargetMode="External"/><Relationship Id="rId1917" Type="http://schemas.openxmlformats.org/officeDocument/2006/relationships/hyperlink" Target="http://www.boxofficemojo.com/movies/?id=kidcannabis.htm" TargetMode="External"/><Relationship Id="rId1918" Type="http://schemas.openxmlformats.org/officeDocument/2006/relationships/hyperlink" Target="http://www.boxofficemojo.com/studio/chart/?studio=wellgo.htm" TargetMode="External"/><Relationship Id="rId1919" Type="http://schemas.openxmlformats.org/officeDocument/2006/relationships/hyperlink" Target="http://www.boxofficemojo.com/schedule/?view=bydate&amp;release=theatrical&amp;date=2014-04-18&amp;p=.htm" TargetMode="External"/><Relationship Id="rId60" Type="http://schemas.openxmlformats.org/officeDocument/2006/relationships/hyperlink" Target="http://www.boxofficemojo.com/movies/?id=divergent.htm" TargetMode="External"/><Relationship Id="rId61" Type="http://schemas.openxmlformats.org/officeDocument/2006/relationships/hyperlink" Target="http://www.boxofficemojo.com/studio/chart/?studio=lionsgatesummit.htm" TargetMode="External"/><Relationship Id="rId62" Type="http://schemas.openxmlformats.org/officeDocument/2006/relationships/hyperlink" Target="http://www.boxofficemojo.com/schedule/?view=bydate&amp;release=theatrical&amp;date=2014-03-21&amp;p=.htm" TargetMode="External"/><Relationship Id="rId63" Type="http://schemas.openxmlformats.org/officeDocument/2006/relationships/hyperlink" Target="http://www.boxofficemojo.com/movies/?id=townies.htm" TargetMode="External"/><Relationship Id="rId64" Type="http://schemas.openxmlformats.org/officeDocument/2006/relationships/hyperlink" Target="http://www.boxofficemojo.com/studio/chart/?studio=universal.htm" TargetMode="External"/><Relationship Id="rId65" Type="http://schemas.openxmlformats.org/officeDocument/2006/relationships/hyperlink" Target="http://www.boxofficemojo.com/schedule/?view=bydate&amp;release=theatrical&amp;date=2014-05-09&amp;p=.htm" TargetMode="External"/><Relationship Id="rId66" Type="http://schemas.openxmlformats.org/officeDocument/2006/relationships/hyperlink" Target="http://www.boxofficemojo.com/movies/?id=ridealong.htm" TargetMode="External"/><Relationship Id="rId67" Type="http://schemas.openxmlformats.org/officeDocument/2006/relationships/hyperlink" Target="http://www.boxofficemojo.com/studio/chart/?studio=universal.htm" TargetMode="External"/><Relationship Id="rId68" Type="http://schemas.openxmlformats.org/officeDocument/2006/relationships/hyperlink" Target="http://www.boxofficemojo.com/schedule/?view=bydate&amp;release=theatrical&amp;date=2014-01-17&amp;p=.htm" TargetMode="External"/><Relationship Id="rId69" Type="http://schemas.openxmlformats.org/officeDocument/2006/relationships/hyperlink" Target="http://www.boxofficemojo.com/movies/?id=rio2.htm" TargetMode="External"/><Relationship Id="rId1920" Type="http://schemas.openxmlformats.org/officeDocument/2006/relationships/hyperlink" Target="http://www.boxofficemojo.com/movies/?id=gabrielle2014.htm" TargetMode="External"/><Relationship Id="rId1921" Type="http://schemas.openxmlformats.org/officeDocument/2006/relationships/hyperlink" Target="http://www.boxofficemojo.com/studio/chart/?studio=entertainmentone.htm" TargetMode="External"/><Relationship Id="rId1922" Type="http://schemas.openxmlformats.org/officeDocument/2006/relationships/hyperlink" Target="http://www.boxofficemojo.com/schedule/?view=bydate&amp;release=theatrical&amp;date=2014-04-18&amp;p=.htm" TargetMode="External"/><Relationship Id="rId1923" Type="http://schemas.openxmlformats.org/officeDocument/2006/relationships/hyperlink" Target="http://www.boxofficemojo.com/movies/?id=flexiskings.htm" TargetMode="External"/><Relationship Id="rId1530" Type="http://schemas.openxmlformats.org/officeDocument/2006/relationships/hyperlink" Target="http://www.boxofficemojo.com/movies/?id=memphis.htm" TargetMode="External"/><Relationship Id="rId1531" Type="http://schemas.openxmlformats.org/officeDocument/2006/relationships/hyperlink" Target="http://www.boxofficemojo.com/studio/chart/?studio=kinolorber.htm" TargetMode="External"/><Relationship Id="rId1532" Type="http://schemas.openxmlformats.org/officeDocument/2006/relationships/hyperlink" Target="http://www.boxofficemojo.com/schedule/?view=bydate&amp;release=theatrical&amp;date=2014-09-05&amp;p=.htm" TargetMode="External"/><Relationship Id="rId1533" Type="http://schemas.openxmlformats.org/officeDocument/2006/relationships/hyperlink" Target="http://www.boxofficemojo.com/movies/?id=nightlights.htm" TargetMode="External"/><Relationship Id="rId1140" Type="http://schemas.openxmlformats.org/officeDocument/2006/relationships/hyperlink" Target="http://www.boxofficemojo.com/movies/?id=principle.htm" TargetMode="External"/><Relationship Id="rId1141" Type="http://schemas.openxmlformats.org/officeDocument/2006/relationships/hyperlink" Target="http://www.boxofficemojo.com/studio/chart/?studio=rockymountainpictures.htm" TargetMode="External"/><Relationship Id="rId1142" Type="http://schemas.openxmlformats.org/officeDocument/2006/relationships/hyperlink" Target="http://www.boxofficemojo.com/schedule/?view=bydate&amp;release=theatrical&amp;date=2014-10-24&amp;p=.htm" TargetMode="External"/><Relationship Id="rId1143" Type="http://schemas.openxmlformats.org/officeDocument/2006/relationships/hyperlink" Target="http://www.boxofficemojo.com/movies/?id=lifeafterbeth.htm" TargetMode="External"/><Relationship Id="rId1144" Type="http://schemas.openxmlformats.org/officeDocument/2006/relationships/hyperlink" Target="http://www.boxofficemojo.com/studio/chart/?studio=a24.htm" TargetMode="External"/><Relationship Id="rId1145" Type="http://schemas.openxmlformats.org/officeDocument/2006/relationships/hyperlink" Target="http://www.boxofficemojo.com/schedule/?view=bydate&amp;release=theatrical&amp;date=2014-08-15&amp;p=.htm" TargetMode="External"/><Relationship Id="rId1146" Type="http://schemas.openxmlformats.org/officeDocument/2006/relationships/hyperlink" Target="http://www.boxofficemojo.com/movies/?id=advancedsty.htm" TargetMode="External"/><Relationship Id="rId1147" Type="http://schemas.openxmlformats.org/officeDocument/2006/relationships/hyperlink" Target="http://www.boxofficemojo.com/studio/chart/?studio=bond360.htm" TargetMode="External"/><Relationship Id="rId1148" Type="http://schemas.openxmlformats.org/officeDocument/2006/relationships/hyperlink" Target="http://www.boxofficemojo.com/schedule/?view=bydate&amp;release=theatrical&amp;date=2014-09-26&amp;p=.htm" TargetMode="External"/><Relationship Id="rId1149" Type="http://schemas.openxmlformats.org/officeDocument/2006/relationships/hyperlink" Target="http://www.boxofficemojo.com/movies/?id=visitors2014.htm" TargetMode="External"/><Relationship Id="rId680" Type="http://schemas.openxmlformats.org/officeDocument/2006/relationships/hyperlink" Target="http://www.boxofficemojo.com/schedule/?view=bydate&amp;release=theatrical&amp;date=2014-07-04&amp;p=.htm" TargetMode="External"/><Relationship Id="rId681" Type="http://schemas.openxmlformats.org/officeDocument/2006/relationships/hyperlink" Target="http://www.boxofficemojo.com/movies/?id=nymphomaniac.htm" TargetMode="External"/><Relationship Id="rId290" Type="http://schemas.openxmlformats.org/officeDocument/2006/relationships/hyperlink" Target="http://www.boxofficemojo.com/schedule/?view=bydate&amp;release=theatrical&amp;date=2014-04-11&amp;p=.htm" TargetMode="External"/><Relationship Id="rId291" Type="http://schemas.openxmlformats.org/officeDocument/2006/relationships/hyperlink" Target="http://www.boxofficemojo.com/movies/?id=oculus.htm" TargetMode="External"/><Relationship Id="rId292" Type="http://schemas.openxmlformats.org/officeDocument/2006/relationships/hyperlink" Target="http://www.boxofficemojo.com/studio/chart/?studio=relativity.htm" TargetMode="External"/><Relationship Id="rId293" Type="http://schemas.openxmlformats.org/officeDocument/2006/relationships/hyperlink" Target="http://www.boxofficemojo.com/schedule/?view=bydate&amp;release=theatrical&amp;date=2014-04-11&amp;p=.htm" TargetMode="External"/><Relationship Id="rId294" Type="http://schemas.openxmlformats.org/officeDocument/2006/relationships/hyperlink" Target="http://www.boxofficemojo.com/movies/?id=bestofme.htm" TargetMode="External"/><Relationship Id="rId295" Type="http://schemas.openxmlformats.org/officeDocument/2006/relationships/hyperlink" Target="http://www.boxofficemojo.com/studio/chart/?studio=relativity.htm" TargetMode="External"/><Relationship Id="rId296" Type="http://schemas.openxmlformats.org/officeDocument/2006/relationships/hyperlink" Target="http://www.boxofficemojo.com/schedule/?view=bydate&amp;release=theatrical&amp;date=2014-10-17&amp;p=.htm" TargetMode="External"/><Relationship Id="rId297" Type="http://schemas.openxmlformats.org/officeDocument/2006/relationships/hyperlink" Target="http://www.boxofficemojo.com/movies/?id=walktombstones.htm" TargetMode="External"/><Relationship Id="rId298" Type="http://schemas.openxmlformats.org/officeDocument/2006/relationships/hyperlink" Target="http://www.boxofficemojo.com/studio/chart/?studio=universal.htm" TargetMode="External"/><Relationship Id="rId299" Type="http://schemas.openxmlformats.org/officeDocument/2006/relationships/hyperlink" Target="http://www.boxofficemojo.com/schedule/?view=bydate&amp;release=theatrical&amp;date=2014-09-19&amp;p=.htm" TargetMode="External"/><Relationship Id="rId682" Type="http://schemas.openxmlformats.org/officeDocument/2006/relationships/hyperlink" Target="http://www.boxofficemojo.com/studio/chart/?studio=magnolia.htm" TargetMode="External"/><Relationship Id="rId683" Type="http://schemas.openxmlformats.org/officeDocument/2006/relationships/hyperlink" Target="http://www.boxofficemojo.com/schedule/?view=bydate&amp;release=theatrical&amp;date=2014-03-21&amp;p=.htm" TargetMode="External"/><Relationship Id="rId684" Type="http://schemas.openxmlformats.org/officeDocument/2006/relationships/hyperlink" Target="http://www.boxofficemojo.com/movies/?id=breakupbuddies.htm" TargetMode="External"/><Relationship Id="rId685" Type="http://schemas.openxmlformats.org/officeDocument/2006/relationships/hyperlink" Target="http://www.boxofficemojo.com/studio/chart/?studio=chinalion.htm" TargetMode="External"/><Relationship Id="rId686" Type="http://schemas.openxmlformats.org/officeDocument/2006/relationships/hyperlink" Target="http://www.boxofficemojo.com/schedule/?view=bydate&amp;release=theatrical&amp;date=2014-10-03&amp;p=.htm" TargetMode="External"/><Relationship Id="rId687" Type="http://schemas.openxmlformats.org/officeDocument/2006/relationships/hyperlink" Target="http://www.boxofficemojo.com/movies/?id=paloalto.htm" TargetMode="External"/><Relationship Id="rId688" Type="http://schemas.openxmlformats.org/officeDocument/2006/relationships/hyperlink" Target="http://www.boxofficemojo.com/studio/chart/?studio=tribecafilm.htm" TargetMode="External"/><Relationship Id="rId689" Type="http://schemas.openxmlformats.org/officeDocument/2006/relationships/hyperlink" Target="http://www.boxofficemojo.com/schedule/?view=bydate&amp;release=theatrical&amp;date=2014-05-09&amp;p=.htm" TargetMode="External"/><Relationship Id="rId1534" Type="http://schemas.openxmlformats.org/officeDocument/2006/relationships/hyperlink" Target="http://www.boxofficemojo.com/studio/chart/?studio=indican.htm" TargetMode="External"/><Relationship Id="rId1535" Type="http://schemas.openxmlformats.org/officeDocument/2006/relationships/hyperlink" Target="http://www.boxofficemojo.com/schedule/?view=bydate&amp;release=theatrical&amp;date=2014-08-29&amp;p=.htm" TargetMode="External"/><Relationship Id="rId1536" Type="http://schemas.openxmlformats.org/officeDocument/2006/relationships/hyperlink" Target="http://www.boxofficemojo.com/movies/?id=sacrifice2014.htm" TargetMode="External"/><Relationship Id="rId1537" Type="http://schemas.openxmlformats.org/officeDocument/2006/relationships/hyperlink" Target="http://www.boxofficemojo.com/studio/chart/?studio=kinolorber.htm" TargetMode="External"/><Relationship Id="rId1538" Type="http://schemas.openxmlformats.org/officeDocument/2006/relationships/hyperlink" Target="http://www.boxofficemojo.com/schedule/?view=bydate&amp;release=theatrical&amp;date=2014-11-12&amp;p=.htm" TargetMode="External"/><Relationship Id="rId1539" Type="http://schemas.openxmlformats.org/officeDocument/2006/relationships/hyperlink" Target="http://www.boxofficemojo.com/movies/?id=lekarhumdeewanadil.htm" TargetMode="External"/><Relationship Id="rId1924" Type="http://schemas.openxmlformats.org/officeDocument/2006/relationships/hyperlink" Target="http://www.boxofficemojo.com/studio/chart/?studio=baxterbros.htm" TargetMode="External"/><Relationship Id="rId1925" Type="http://schemas.openxmlformats.org/officeDocument/2006/relationships/hyperlink" Target="http://www.boxofficemojo.com/schedule/?view=bydate&amp;release=theatrical&amp;date=2014-04-04&amp;p=.htm" TargetMode="External"/><Relationship Id="rId1926" Type="http://schemas.openxmlformats.org/officeDocument/2006/relationships/hyperlink" Target="http://www.boxofficemojo.com/movies/?id=onlyrealgame.htm" TargetMode="External"/><Relationship Id="rId1927" Type="http://schemas.openxmlformats.org/officeDocument/2006/relationships/hyperlink" Target="http://www.boxofficemojo.com/studio/chart/?studio=torg.htm" TargetMode="External"/><Relationship Id="rId1928" Type="http://schemas.openxmlformats.org/officeDocument/2006/relationships/hyperlink" Target="http://www.boxofficemojo.com/schedule/?view=bydate&amp;release=theatrical&amp;date=2014-03-07&amp;p=.htm" TargetMode="External"/><Relationship Id="rId1929" Type="http://schemas.openxmlformats.org/officeDocument/2006/relationships/hyperlink" Target="http://www.boxofficemojo.com/movies/?id=nukeem1.htm" TargetMode="External"/><Relationship Id="rId70" Type="http://schemas.openxmlformats.org/officeDocument/2006/relationships/hyperlink" Target="http://www.boxofficemojo.com/studio/chart/?studio=fox.htm" TargetMode="External"/><Relationship Id="rId71" Type="http://schemas.openxmlformats.org/officeDocument/2006/relationships/hyperlink" Target="http://www.boxofficemojo.com/schedule/?view=bydate&amp;release=theatrical&amp;date=2014-04-11&amp;p=.htm" TargetMode="External"/><Relationship Id="rId72" Type="http://schemas.openxmlformats.org/officeDocument/2006/relationships/hyperlink" Target="http://www.boxofficemojo.com/movies/?id=intothewoods.htm" TargetMode="External"/><Relationship Id="rId73" Type="http://schemas.openxmlformats.org/officeDocument/2006/relationships/hyperlink" Target="http://www.boxofficemojo.com/studio/chart/?studio=buenavista.htm" TargetMode="External"/><Relationship Id="rId74" Type="http://schemas.openxmlformats.org/officeDocument/2006/relationships/hyperlink" Target="http://www.boxofficemojo.com/schedule/?view=bydate&amp;release=theatrical&amp;date=2014-12-25&amp;p=.htm" TargetMode="External"/><Relationship Id="rId75" Type="http://schemas.openxmlformats.org/officeDocument/2006/relationships/hyperlink" Target="http://www.boxofficemojo.com/movies/?id=lucy.htm" TargetMode="External"/><Relationship Id="rId76" Type="http://schemas.openxmlformats.org/officeDocument/2006/relationships/hyperlink" Target="http://www.boxofficemojo.com/studio/chart/?studio=universal.htm" TargetMode="External"/><Relationship Id="rId77" Type="http://schemas.openxmlformats.org/officeDocument/2006/relationships/hyperlink" Target="http://www.boxofficemojo.com/schedule/?view=bydate&amp;release=theatrical&amp;date=2014-07-25&amp;p=.htm" TargetMode="External"/><Relationship Id="rId78" Type="http://schemas.openxmlformats.org/officeDocument/2006/relationships/hyperlink" Target="http://www.boxofficemojo.com/movies/?id=faultinourstars.htm" TargetMode="External"/><Relationship Id="rId79" Type="http://schemas.openxmlformats.org/officeDocument/2006/relationships/hyperlink" Target="http://www.boxofficemojo.com/studio/chart/?studio=fox.htm" TargetMode="External"/><Relationship Id="rId1930" Type="http://schemas.openxmlformats.org/officeDocument/2006/relationships/hyperlink" Target="http://www.boxofficemojo.com/studio/chart/?studio=anchorbayentertainment.htm" TargetMode="External"/><Relationship Id="rId1931" Type="http://schemas.openxmlformats.org/officeDocument/2006/relationships/hyperlink" Target="http://www.boxofficemojo.com/schedule/?view=bydate&amp;release=theatrical&amp;date=2014-01-10&amp;p=.htm" TargetMode="External"/><Relationship Id="rId1932" Type="http://schemas.openxmlformats.org/officeDocument/2006/relationships/hyperlink" Target="http://www.boxofficemojo.com/movies/?id=sleepwalker2014.htm" TargetMode="External"/><Relationship Id="rId1933" Type="http://schemas.openxmlformats.org/officeDocument/2006/relationships/hyperlink" Target="http://www.boxofficemojo.com/studio/chart/?studio=ifc.htm" TargetMode="External"/><Relationship Id="rId1540" Type="http://schemas.openxmlformats.org/officeDocument/2006/relationships/hyperlink" Target="http://www.boxofficemojo.com/studio/chart/?studio=eros.htm" TargetMode="External"/><Relationship Id="rId1541" Type="http://schemas.openxmlformats.org/officeDocument/2006/relationships/hyperlink" Target="http://www.boxofficemojo.com/schedule/?view=bydate&amp;release=theatrical&amp;date=2014-07-04&amp;p=.htm" TargetMode="External"/><Relationship Id="rId1542" Type="http://schemas.openxmlformats.org/officeDocument/2006/relationships/hyperlink" Target="http://www.boxofficemojo.com/movies/?id=greatflood.htm" TargetMode="External"/><Relationship Id="rId1543" Type="http://schemas.openxmlformats.org/officeDocument/2006/relationships/hyperlink" Target="http://www.boxofficemojo.com/studio/chart/?studio=icarus.htm" TargetMode="External"/><Relationship Id="rId1150" Type="http://schemas.openxmlformats.org/officeDocument/2006/relationships/hyperlink" Target="http://www.boxofficemojo.com/studio/chart/?studio=cinedigmentertainment.htm" TargetMode="External"/><Relationship Id="rId1151" Type="http://schemas.openxmlformats.org/officeDocument/2006/relationships/hyperlink" Target="http://www.boxofficemojo.com/schedule/?view=bydate&amp;release=theatrical&amp;date=2014-01-24&amp;p=.htm" TargetMode="External"/><Relationship Id="rId1152" Type="http://schemas.openxmlformats.org/officeDocument/2006/relationships/hyperlink" Target="http://www.boxofficemojo.com/movies/?id=watermark.htm" TargetMode="External"/><Relationship Id="rId1153" Type="http://schemas.openxmlformats.org/officeDocument/2006/relationships/hyperlink" Target="http://www.boxofficemojo.com/studio/chart/?studio=entertainmentone.htm" TargetMode="External"/><Relationship Id="rId1154" Type="http://schemas.openxmlformats.org/officeDocument/2006/relationships/hyperlink" Target="http://www.boxofficemojo.com/schedule/?view=bydate&amp;release=theatrical&amp;date=2014-04-04&amp;p=.htm" TargetMode="External"/><Relationship Id="rId1155" Type="http://schemas.openxmlformats.org/officeDocument/2006/relationships/hyperlink" Target="http://www.boxofficemojo.com/movies/?id=12oclockboys.htm" TargetMode="External"/><Relationship Id="rId1156" Type="http://schemas.openxmlformats.org/officeDocument/2006/relationships/hyperlink" Target="http://www.boxofficemojo.com/studio/chart/?studio=oscilloscopepictures.htm" TargetMode="External"/><Relationship Id="rId1157" Type="http://schemas.openxmlformats.org/officeDocument/2006/relationships/hyperlink" Target="http://www.boxofficemojo.com/schedule/?view=bydate&amp;release=theatrical&amp;date=2014-01-31&amp;p=.htm" TargetMode="External"/><Relationship Id="rId1158" Type="http://schemas.openxmlformats.org/officeDocument/2006/relationships/hyperlink" Target="http://www.boxofficemojo.com/movies/?id=waterandpower.htm" TargetMode="External"/><Relationship Id="rId1159" Type="http://schemas.openxmlformats.org/officeDocument/2006/relationships/hyperlink" Target="http://www.boxofficemojo.com/studio/chart/?studio=northsouth.htm" TargetMode="External"/><Relationship Id="rId690" Type="http://schemas.openxmlformats.org/officeDocument/2006/relationships/hyperlink" Target="http://www.boxofficemojo.com/movies/?id=ekvillain.htm" TargetMode="External"/><Relationship Id="rId691" Type="http://schemas.openxmlformats.org/officeDocument/2006/relationships/hyperlink" Target="http://www.boxofficemojo.com/studio/chart/?studio=eros.htm" TargetMode="External"/><Relationship Id="rId692" Type="http://schemas.openxmlformats.org/officeDocument/2006/relationships/hyperlink" Target="http://www.boxofficemojo.com/schedule/?view=bydate&amp;release=theatrical&amp;date=2014-06-27&amp;p=.htm" TargetMode="External"/><Relationship Id="rId693" Type="http://schemas.openxmlformats.org/officeDocument/2006/relationships/hyperlink" Target="http://www.boxofficemojo.com/movies/?id=landho.htm" TargetMode="External"/><Relationship Id="rId694" Type="http://schemas.openxmlformats.org/officeDocument/2006/relationships/hyperlink" Target="http://www.boxofficemojo.com/studio/chart/?studio=sonyclassics.htm" TargetMode="External"/><Relationship Id="rId695" Type="http://schemas.openxmlformats.org/officeDocument/2006/relationships/hyperlink" Target="http://www.boxofficemojo.com/schedule/?view=bydate&amp;release=theatrical&amp;date=2014-07-11&amp;p=.htm" TargetMode="External"/><Relationship Id="rId696" Type="http://schemas.openxmlformats.org/officeDocument/2006/relationships/hyperlink" Target="http://www.boxofficemojo.com/movies/?id=yvessaintlaurent.htm" TargetMode="External"/><Relationship Id="rId697" Type="http://schemas.openxmlformats.org/officeDocument/2006/relationships/hyperlink" Target="http://www.boxofficemojo.com/studio/chart/?studio=weinsteincompany.htm" TargetMode="External"/><Relationship Id="rId698" Type="http://schemas.openxmlformats.org/officeDocument/2006/relationships/hyperlink" Target="http://www.boxofficemojo.com/schedule/?view=bydate&amp;release=theatrical&amp;date=2014-06-25&amp;p=.htm" TargetMode="External"/><Relationship Id="rId699" Type="http://schemas.openxmlformats.org/officeDocument/2006/relationships/hyperlink" Target="http://www.boxofficemojo.com/movies/?id=khoobsurat.htm" TargetMode="External"/><Relationship Id="rId1544" Type="http://schemas.openxmlformats.org/officeDocument/2006/relationships/hyperlink" Target="http://www.boxofficemojo.com/schedule/?view=bydate&amp;release=theatrical&amp;date=2014-01-08&amp;p=.htm" TargetMode="External"/><Relationship Id="rId1545" Type="http://schemas.openxmlformats.org/officeDocument/2006/relationships/hyperlink" Target="http://www.boxofficemojo.com/movies/?id=cominguproses2014.htm" TargetMode="External"/><Relationship Id="rId1546" Type="http://schemas.openxmlformats.org/officeDocument/2006/relationships/hyperlink" Target="http://www.boxofficemojo.com/studio/chart/?studio=indican.htm" TargetMode="External"/><Relationship Id="rId1547" Type="http://schemas.openxmlformats.org/officeDocument/2006/relationships/hyperlink" Target="http://www.boxofficemojo.com/schedule/?view=bydate&amp;release=theatrical&amp;date=2014-02-14&amp;p=.htm" TargetMode="External"/><Relationship Id="rId1548" Type="http://schemas.openxmlformats.org/officeDocument/2006/relationships/hyperlink" Target="http://www.boxofficemojo.com/movies/?id=runandjump.htm" TargetMode="External"/><Relationship Id="rId1549" Type="http://schemas.openxmlformats.org/officeDocument/2006/relationships/hyperlink" Target="http://www.boxofficemojo.com/studio/chart/?studio=ifc.htm" TargetMode="External"/><Relationship Id="rId1934" Type="http://schemas.openxmlformats.org/officeDocument/2006/relationships/hyperlink" Target="http://www.boxofficemojo.com/schedule/?view=bydate&amp;release=theatrical&amp;date=2014-11-21&amp;p=.htm" TargetMode="External"/><Relationship Id="rId1935" Type="http://schemas.openxmlformats.org/officeDocument/2006/relationships/hyperlink" Target="http://www.boxofficemojo.com/movies/?id=nothingbadcanhappen.htm" TargetMode="External"/><Relationship Id="rId1936" Type="http://schemas.openxmlformats.org/officeDocument/2006/relationships/hyperlink" Target="http://www.boxofficemojo.com/studio/chart/?studio=drafthousefilms.htm" TargetMode="External"/><Relationship Id="rId1937" Type="http://schemas.openxmlformats.org/officeDocument/2006/relationships/hyperlink" Target="http://www.boxofficemojo.com/schedule/?view=bydate&amp;release=theatrical&amp;date=2014-06-27&amp;p=.htm" TargetMode="External"/><Relationship Id="rId1938" Type="http://schemas.openxmlformats.org/officeDocument/2006/relationships/hyperlink" Target="http://www.boxofficemojo.com/movies/?id=halftheroad.htm" TargetMode="External"/><Relationship Id="rId1939" Type="http://schemas.openxmlformats.org/officeDocument/2006/relationships/hyperlink" Target="http://www.boxofficemojo.com/studio/chart/?studio=firstrun.htm" TargetMode="External"/><Relationship Id="rId80" Type="http://schemas.openxmlformats.org/officeDocument/2006/relationships/hyperlink" Target="http://www.boxofficemojo.com/schedule/?view=bydate&amp;release=theatrical&amp;date=2014-06-06&amp;p=.htm" TargetMode="External"/><Relationship Id="rId81" Type="http://schemas.openxmlformats.org/officeDocument/2006/relationships/hyperlink" Target="http://www.boxofficemojo.com/movies/?id=unbroken.htm" TargetMode="External"/><Relationship Id="rId82" Type="http://schemas.openxmlformats.org/officeDocument/2006/relationships/hyperlink" Target="http://www.boxofficemojo.com/studio/chart/?studio=universal.htm" TargetMode="External"/><Relationship Id="rId83" Type="http://schemas.openxmlformats.org/officeDocument/2006/relationships/hyperlink" Target="http://www.boxofficemojo.com/schedule/?view=bydate&amp;release=theatrical&amp;date=2014-12-25&amp;p=.htm" TargetMode="External"/><Relationship Id="rId84" Type="http://schemas.openxmlformats.org/officeDocument/2006/relationships/hyperlink" Target="http://www.boxofficemojo.com/movies/?id=nightatthemuseum3.htm" TargetMode="External"/><Relationship Id="rId85" Type="http://schemas.openxmlformats.org/officeDocument/2006/relationships/hyperlink" Target="http://www.boxofficemojo.com/studio/chart/?studio=fox.htm" TargetMode="External"/><Relationship Id="rId86" Type="http://schemas.openxmlformats.org/officeDocument/2006/relationships/hyperlink" Target="http://www.boxofficemojo.com/schedule/?view=bydate&amp;release=theatrical&amp;date=2014-12-19&amp;p=.htm" TargetMode="External"/><Relationship Id="rId87" Type="http://schemas.openxmlformats.org/officeDocument/2006/relationships/hyperlink" Target="http://www.boxofficemojo.com/movies/?id=mrpeabodyandsherman.htm" TargetMode="External"/><Relationship Id="rId88" Type="http://schemas.openxmlformats.org/officeDocument/2006/relationships/hyperlink" Target="http://www.boxofficemojo.com/studio/chart/?studio=fox.htm" TargetMode="External"/><Relationship Id="rId89" Type="http://schemas.openxmlformats.org/officeDocument/2006/relationships/hyperlink" Target="http://www.boxofficemojo.com/schedule/?view=bydate&amp;release=theatrical&amp;date=2014-03-07&amp;p=.htm" TargetMode="External"/><Relationship Id="rId1940" Type="http://schemas.openxmlformats.org/officeDocument/2006/relationships/hyperlink" Target="http://www.boxofficemojo.com/schedule/?view=bydate&amp;release=theatrical&amp;date=2014-04-18&amp;p=.htm" TargetMode="External"/><Relationship Id="rId1941" Type="http://schemas.openxmlformats.org/officeDocument/2006/relationships/hyperlink" Target="http://www.boxofficemojo.com/movies/?id=deathmetalangola.htm" TargetMode="External"/><Relationship Id="rId1942" Type="http://schemas.openxmlformats.org/officeDocument/2006/relationships/hyperlink" Target="http://www.boxofficemojo.com/studio/chart/?studio=vladarcompany.htm" TargetMode="External"/><Relationship Id="rId1943" Type="http://schemas.openxmlformats.org/officeDocument/2006/relationships/hyperlink" Target="http://www.boxofficemojo.com/schedule/?view=bydate&amp;release=theatrical&amp;date=2014-11-07&amp;p=.htm" TargetMode="External"/><Relationship Id="rId1550" Type="http://schemas.openxmlformats.org/officeDocument/2006/relationships/hyperlink" Target="http://www.boxofficemojo.com/schedule/?view=bydate&amp;release=theatrical&amp;date=2014-01-24&amp;p=.htm" TargetMode="External"/><Relationship Id="rId1551" Type="http://schemas.openxmlformats.org/officeDocument/2006/relationships/hyperlink" Target="http://www.boxofficemojo.com/movies/?id=pastisagrotesqueanimal.htm" TargetMode="External"/><Relationship Id="rId1552" Type="http://schemas.openxmlformats.org/officeDocument/2006/relationships/hyperlink" Target="http://www.boxofficemojo.com/studio/chart/?studio=oscilloscopepictures.htm" TargetMode="External"/><Relationship Id="rId1553" Type="http://schemas.openxmlformats.org/officeDocument/2006/relationships/hyperlink" Target="http://www.boxofficemojo.com/schedule/?view=bydate&amp;release=theatrical&amp;date=2014-06-16&amp;p=.htm" TargetMode="External"/><Relationship Id="rId1160" Type="http://schemas.openxmlformats.org/officeDocument/2006/relationships/hyperlink" Target="http://www.boxofficemojo.com/schedule/?view=bydate&amp;release=theatrical&amp;date=2014-05-02&amp;p=.htm" TargetMode="External"/><Relationship Id="rId1161" Type="http://schemas.openxmlformats.org/officeDocument/2006/relationships/hyperlink" Target="http://www.boxofficemojo.com/movies/?id=fortmccoy.htm" TargetMode="External"/><Relationship Id="rId1162" Type="http://schemas.openxmlformats.org/officeDocument/2006/relationships/hyperlink" Target="http://www.boxofficemojo.com/studio/chart/?studio=montereymediainc.htm" TargetMode="External"/><Relationship Id="rId1163" Type="http://schemas.openxmlformats.org/officeDocument/2006/relationships/hyperlink" Target="http://www.boxofficemojo.com/schedule/?view=bydate&amp;release=theatrical&amp;date=2014-08-15&amp;p=.htm" TargetMode="External"/><Relationship Id="rId1164" Type="http://schemas.openxmlformats.org/officeDocument/2006/relationships/hyperlink" Target="http://www.boxofficemojo.com/movies/?id=whitey.htm" TargetMode="External"/><Relationship Id="rId1165" Type="http://schemas.openxmlformats.org/officeDocument/2006/relationships/hyperlink" Target="http://www.boxofficemojo.com/studio/chart/?studio=magnolia.htm" TargetMode="External"/><Relationship Id="rId1166" Type="http://schemas.openxmlformats.org/officeDocument/2006/relationships/hyperlink" Target="http://www.boxofficemojo.com/schedule/?view=bydate&amp;release=theatrical&amp;date=2014-06-27&amp;p=.htm" TargetMode="External"/><Relationship Id="rId1167" Type="http://schemas.openxmlformats.org/officeDocument/2006/relationships/hyperlink" Target="http://www.boxofficemojo.com/movies/?id=justasigh.htm" TargetMode="External"/><Relationship Id="rId1168" Type="http://schemas.openxmlformats.org/officeDocument/2006/relationships/hyperlink" Target="http://www.boxofficemojo.com/studio/chart/?studio=distribfilms.htm" TargetMode="External"/><Relationship Id="rId1169" Type="http://schemas.openxmlformats.org/officeDocument/2006/relationships/hyperlink" Target="http://www.boxofficemojo.com/schedule/?view=bydate&amp;release=theatrical&amp;date=2014-03-21&amp;p=.htm" TargetMode="External"/><Relationship Id="rId1554" Type="http://schemas.openxmlformats.org/officeDocument/2006/relationships/hyperlink" Target="http://www.boxofficemojo.com/movies/?id=uzumasalimelight.htm" TargetMode="External"/><Relationship Id="rId1555" Type="http://schemas.openxmlformats.org/officeDocument/2006/relationships/hyperlink" Target="http://www.boxofficemojo.com/studio/chart/?studio=elevenarts.htm" TargetMode="External"/><Relationship Id="rId1556" Type="http://schemas.openxmlformats.org/officeDocument/2006/relationships/hyperlink" Target="http://www.boxofficemojo.com/schedule/?view=bydate&amp;release=theatrical&amp;date=2014-12-05&amp;p=.htm" TargetMode="External"/><Relationship Id="rId1557" Type="http://schemas.openxmlformats.org/officeDocument/2006/relationships/hyperlink" Target="http://www.boxofficemojo.com/movies/?id=pictureofyou.htm" TargetMode="External"/><Relationship Id="rId1558" Type="http://schemas.openxmlformats.org/officeDocument/2006/relationships/hyperlink" Target="http://www.boxofficemojo.com/studio/chart/?studio=firstpond.htm" TargetMode="External"/><Relationship Id="rId1559" Type="http://schemas.openxmlformats.org/officeDocument/2006/relationships/hyperlink" Target="http://www.boxofficemojo.com/schedule/?view=bydate&amp;release=theatrical&amp;date=2014-06-20&amp;p=.htm" TargetMode="External"/><Relationship Id="rId1944" Type="http://schemas.openxmlformats.org/officeDocument/2006/relationships/hyperlink" Target="http://www.boxofficemojo.com/movies/?id=smilingapocalypse.htm" TargetMode="External"/><Relationship Id="rId1945" Type="http://schemas.openxmlformats.org/officeDocument/2006/relationships/hyperlink" Target="http://www.boxofficemojo.com/studio/chart/?studio=firstrun.htm" TargetMode="External"/><Relationship Id="rId1946" Type="http://schemas.openxmlformats.org/officeDocument/2006/relationships/hyperlink" Target="http://www.boxofficemojo.com/schedule/?view=bydate&amp;release=theatrical&amp;date=2014-09-12&amp;p=.htm" TargetMode="External"/><Relationship Id="rId1947" Type="http://schemas.openxmlformats.org/officeDocument/2006/relationships/hyperlink" Target="http://www.boxofficemojo.com/movies/?id=unrelated.htm" TargetMode="External"/><Relationship Id="rId1948" Type="http://schemas.openxmlformats.org/officeDocument/2006/relationships/hyperlink" Target="http://www.boxofficemojo.com/studio/chart/?studio=kinolorber.htm" TargetMode="External"/><Relationship Id="rId1949" Type="http://schemas.openxmlformats.org/officeDocument/2006/relationships/hyperlink" Target="http://www.boxofficemojo.com/schedule/?view=bydate&amp;release=theatrical&amp;date=2014-06-27&amp;p=.htm" TargetMode="External"/><Relationship Id="rId300" Type="http://schemas.openxmlformats.org/officeDocument/2006/relationships/hyperlink" Target="http://www.boxofficemojo.com/movies/?id=areweofficiallydating.htm" TargetMode="External"/><Relationship Id="rId301" Type="http://schemas.openxmlformats.org/officeDocument/2006/relationships/hyperlink" Target="http://www.boxofficemojo.com/studio/chart/?studio=focus.htm" TargetMode="External"/><Relationship Id="rId302" Type="http://schemas.openxmlformats.org/officeDocument/2006/relationships/hyperlink" Target="http://www.boxofficemojo.com/schedule/?view=bydate&amp;release=theatrical&amp;date=2014-01-31&amp;p=.htm" TargetMode="External"/><Relationship Id="rId303" Type="http://schemas.openxmlformats.org/officeDocument/2006/relationships/hyperlink" Target="http://www.boxofficemojo.com/movies/?id=boyhood.htm" TargetMode="External"/><Relationship Id="rId304" Type="http://schemas.openxmlformats.org/officeDocument/2006/relationships/hyperlink" Target="http://www.boxofficemojo.com/studio/chart/?studio=ifc.htm" TargetMode="External"/><Relationship Id="rId305" Type="http://schemas.openxmlformats.org/officeDocument/2006/relationships/hyperlink" Target="http://www.boxofficemojo.com/schedule/?view=bydate&amp;release=theatrical&amp;date=2014-07-11&amp;p=.htm" TargetMode="External"/><Relationship Id="rId306" Type="http://schemas.openxmlformats.org/officeDocument/2006/relationships/hyperlink" Target="http://www.boxofficemojo.com/movies/?id=topfive.htm" TargetMode="External"/><Relationship Id="rId307" Type="http://schemas.openxmlformats.org/officeDocument/2006/relationships/hyperlink" Target="http://www.boxofficemojo.com/studio/chart/?studio=paramount.htm" TargetMode="External"/><Relationship Id="rId308" Type="http://schemas.openxmlformats.org/officeDocument/2006/relationships/hyperlink" Target="http://www.boxofficemojo.com/schedule/?view=bydate&amp;release=theatrical&amp;date=2014-12-12&amp;p=.htm" TargetMode="External"/><Relationship Id="rId309" Type="http://schemas.openxmlformats.org/officeDocument/2006/relationships/hyperlink" Target="http://www.boxofficemojo.com/movies/?id=novemberman.htm" TargetMode="External"/><Relationship Id="rId90" Type="http://schemas.openxmlformats.org/officeDocument/2006/relationships/hyperlink" Target="http://www.boxofficemojo.com/movies/?id=300sequel.htm" TargetMode="External"/><Relationship Id="rId91" Type="http://schemas.openxmlformats.org/officeDocument/2006/relationships/hyperlink" Target="http://www.boxofficemojo.com/studio/chart/?studio=warnerbros.htm" TargetMode="External"/><Relationship Id="rId92" Type="http://schemas.openxmlformats.org/officeDocument/2006/relationships/hyperlink" Target="http://www.boxofficemojo.com/schedule/?view=bydate&amp;release=theatrical&amp;date=2014-03-07&amp;p=.htm" TargetMode="External"/><Relationship Id="rId93" Type="http://schemas.openxmlformats.org/officeDocument/2006/relationships/hyperlink" Target="http://www.boxofficemojo.com/movies/?id=mazerunner.htm" TargetMode="External"/><Relationship Id="rId94" Type="http://schemas.openxmlformats.org/officeDocument/2006/relationships/hyperlink" Target="http://www.boxofficemojo.com/studio/chart/?studio=fox.htm" TargetMode="External"/><Relationship Id="rId95" Type="http://schemas.openxmlformats.org/officeDocument/2006/relationships/hyperlink" Target="http://www.boxofficemojo.com/schedule/?view=bydate&amp;release=theatrical&amp;date=2014-09-19&amp;p=.htm" TargetMode="External"/><Relationship Id="rId96" Type="http://schemas.openxmlformats.org/officeDocument/2006/relationships/hyperlink" Target="http://www.boxofficemojo.com/movies/?id=equalizer.htm" TargetMode="External"/><Relationship Id="rId97" Type="http://schemas.openxmlformats.org/officeDocument/2006/relationships/hyperlink" Target="http://www.boxofficemojo.com/studio/chart/?studio=sony.htm" TargetMode="External"/><Relationship Id="rId98" Type="http://schemas.openxmlformats.org/officeDocument/2006/relationships/hyperlink" Target="http://www.boxofficemojo.com/schedule/?view=bydate&amp;release=theatrical&amp;date=2014-09-26&amp;p=.htm" TargetMode="External"/><Relationship Id="rId99" Type="http://schemas.openxmlformats.org/officeDocument/2006/relationships/hyperlink" Target="http://www.boxofficemojo.com/movies/?id=noah.htm" TargetMode="External"/><Relationship Id="rId1950" Type="http://schemas.openxmlformats.org/officeDocument/2006/relationships/hyperlink" Target="http://www.boxofficemojo.com/movies/?id=truthaboutemanuel.htm" TargetMode="External"/><Relationship Id="rId1951" Type="http://schemas.openxmlformats.org/officeDocument/2006/relationships/hyperlink" Target="http://www.boxofficemojo.com/studio/chart/?studio=tribecafilm.htm" TargetMode="External"/><Relationship Id="rId1952" Type="http://schemas.openxmlformats.org/officeDocument/2006/relationships/hyperlink" Target="http://www.boxofficemojo.com/schedule/?view=bydate&amp;release=theatrical&amp;date=2014-01-10&amp;p=.htm" TargetMode="External"/><Relationship Id="rId1953" Type="http://schemas.openxmlformats.org/officeDocument/2006/relationships/hyperlink" Target="http://www.boxofficemojo.com/movies/?id=anna.htm" TargetMode="External"/><Relationship Id="rId1560" Type="http://schemas.openxmlformats.org/officeDocument/2006/relationships/hyperlink" Target="http://www.boxofficemojo.com/movies/?id=guardianangel.htm" TargetMode="External"/><Relationship Id="rId1561" Type="http://schemas.openxmlformats.org/officeDocument/2006/relationships/hyperlink" Target="http://www.boxofficemojo.com/studio/chart/?studio=richmondmedia.htm" TargetMode="External"/><Relationship Id="rId1562" Type="http://schemas.openxmlformats.org/officeDocument/2006/relationships/hyperlink" Target="http://www.boxofficemojo.com/schedule/?view=bydate&amp;release=theatrical&amp;date=2014-10-17&amp;p=.htm" TargetMode="External"/><Relationship Id="rId1563" Type="http://schemas.openxmlformats.org/officeDocument/2006/relationships/hyperlink" Target="http://www.boxofficemojo.com/movies/?id=peterbrook.htm" TargetMode="External"/><Relationship Id="rId1170" Type="http://schemas.openxmlformats.org/officeDocument/2006/relationships/hyperlink" Target="http://www.boxofficemojo.com/movies/?id=betterlivingthroughchemistry.htm" TargetMode="External"/><Relationship Id="rId1171" Type="http://schemas.openxmlformats.org/officeDocument/2006/relationships/hyperlink" Target="http://www.boxofficemojo.com/studio/chart/?studio=samuelgoldwyn.htm" TargetMode="External"/><Relationship Id="rId1172" Type="http://schemas.openxmlformats.org/officeDocument/2006/relationships/hyperlink" Target="http://www.boxofficemojo.com/schedule/?view=bydate&amp;release=theatrical&amp;date=2014-03-14&amp;p=.htm" TargetMode="External"/><Relationship Id="rId1173" Type="http://schemas.openxmlformats.org/officeDocument/2006/relationships/hyperlink" Target="http://www.boxofficemojo.com/movies/?id=veiloftears.htm" TargetMode="External"/><Relationship Id="rId1174" Type="http://schemas.openxmlformats.org/officeDocument/2006/relationships/hyperlink" Target="http://www.boxofficemojo.com/studio/chart/?studio=wordfilms.htm" TargetMode="External"/><Relationship Id="rId1175" Type="http://schemas.openxmlformats.org/officeDocument/2006/relationships/hyperlink" Target="http://www.boxofficemojo.com/schedule/?view=bydate&amp;release=theatrical&amp;date=2014-03-28&amp;p=.htm" TargetMode="External"/><Relationship Id="rId1176" Type="http://schemas.openxmlformats.org/officeDocument/2006/relationships/hyperlink" Target="http://www.boxofficemojo.com/movies/?id=flamencoflamenco.htm" TargetMode="External"/><Relationship Id="rId1177" Type="http://schemas.openxmlformats.org/officeDocument/2006/relationships/hyperlink" Target="http://www.boxofficemojo.com/studio/chart/?studio=dada.htm" TargetMode="External"/><Relationship Id="rId1178" Type="http://schemas.openxmlformats.org/officeDocument/2006/relationships/hyperlink" Target="http://www.boxofficemojo.com/schedule/?view=bydate&amp;release=theatrical&amp;date=2014-07-18&amp;p=.htm" TargetMode="External"/><Relationship Id="rId1179" Type="http://schemas.openxmlformats.org/officeDocument/2006/relationships/hyperlink" Target="http://www.boxofficemojo.com/movies/?id=jetaime.htm" TargetMode="External"/><Relationship Id="rId1564" Type="http://schemas.openxmlformats.org/officeDocument/2006/relationships/hyperlink" Target="http://www.boxofficemojo.com/studio/chart/?studio=firstrun.htm" TargetMode="External"/><Relationship Id="rId1565" Type="http://schemas.openxmlformats.org/officeDocument/2006/relationships/hyperlink" Target="http://www.boxofficemojo.com/schedule/?view=bydate&amp;release=theatrical&amp;date=2014-01-31&amp;p=.htm" TargetMode="External"/><Relationship Id="rId1566" Type="http://schemas.openxmlformats.org/officeDocument/2006/relationships/hyperlink" Target="http://www.boxofficemojo.com/movies/?id=actress2014.htm" TargetMode="External"/><Relationship Id="rId1567" Type="http://schemas.openxmlformats.org/officeDocument/2006/relationships/hyperlink" Target="http://www.boxofficemojo.com/studio/chart/?studio=cinemaguild.htm" TargetMode="External"/><Relationship Id="rId1568" Type="http://schemas.openxmlformats.org/officeDocument/2006/relationships/hyperlink" Target="http://www.boxofficemojo.com/schedule/?view=bydate&amp;release=theatrical&amp;date=2014-11-07&amp;p=.htm" TargetMode="External"/><Relationship Id="rId1569" Type="http://schemas.openxmlformats.org/officeDocument/2006/relationships/hyperlink" Target="http://www.boxofficemojo.com/movies/?id=watchersofthesky.htm" TargetMode="External"/><Relationship Id="rId1954" Type="http://schemas.openxmlformats.org/officeDocument/2006/relationships/hyperlink" Target="http://www.boxofficemojo.com/studio/chart/?studio=vertical.htm" TargetMode="External"/><Relationship Id="rId1955" Type="http://schemas.openxmlformats.org/officeDocument/2006/relationships/hyperlink" Target="http://www.boxofficemojo.com/schedule/?view=bydate&amp;release=theatrical&amp;date=2014-06-06&amp;p=.htm" TargetMode="External"/><Relationship Id="rId1956" Type="http://schemas.openxmlformats.org/officeDocument/2006/relationships/hyperlink" Target="http://www.boxofficemojo.com/movies/?id=freethenipple.htm" TargetMode="External"/><Relationship Id="rId1957" Type="http://schemas.openxmlformats.org/officeDocument/2006/relationships/hyperlink" Target="http://www.boxofficemojo.com/studio/chart/?studio=ifc.htm" TargetMode="External"/><Relationship Id="rId1958" Type="http://schemas.openxmlformats.org/officeDocument/2006/relationships/hyperlink" Target="http://www.boxofficemojo.com/schedule/?view=bydate&amp;release=theatrical&amp;date=2014-12-12&amp;p=.htm" TargetMode="External"/><Relationship Id="rId1959" Type="http://schemas.openxmlformats.org/officeDocument/2006/relationships/hyperlink" Target="http://www.boxofficemojo.com/movies/?id=houseofmagic.htm" TargetMode="External"/><Relationship Id="rId700" Type="http://schemas.openxmlformats.org/officeDocument/2006/relationships/hyperlink" Target="http://www.boxofficemojo.com/studio/chart/?studio=utv.htm" TargetMode="External"/><Relationship Id="rId701" Type="http://schemas.openxmlformats.org/officeDocument/2006/relationships/hyperlink" Target="http://www.boxofficemojo.com/schedule/?view=bydate&amp;release=theatrical&amp;date=2014-09-19&amp;p=.htm" TargetMode="External"/><Relationship Id="rId702" Type="http://schemas.openxmlformats.org/officeDocument/2006/relationships/hyperlink" Target="http://www.boxofficemojo.com/movies/?id=holiday2014.htm" TargetMode="External"/><Relationship Id="rId703" Type="http://schemas.openxmlformats.org/officeDocument/2006/relationships/hyperlink" Target="http://www.boxofficemojo.com/studio/chart/?studio=reliancebigpictures.htm" TargetMode="External"/><Relationship Id="rId310" Type="http://schemas.openxmlformats.org/officeDocument/2006/relationships/hyperlink" Target="http://www.boxofficemojo.com/studio/chart/?studio=relativity.htm" TargetMode="External"/><Relationship Id="rId311" Type="http://schemas.openxmlformats.org/officeDocument/2006/relationships/hyperlink" Target="http://www.boxofficemojo.com/schedule/?view=bydate&amp;release=theatrical&amp;date=2014-08-27&amp;p=.htm" TargetMode="External"/><Relationship Id="rId312" Type="http://schemas.openxmlformats.org/officeDocument/2006/relationships/hyperlink" Target="http://www.boxofficemojo.com/movies/?id=endlesslove14.htm" TargetMode="External"/><Relationship Id="rId313" Type="http://schemas.openxmlformats.org/officeDocument/2006/relationships/hyperlink" Target="http://www.boxofficemojo.com/studio/chart/?studio=universal.htm" TargetMode="External"/><Relationship Id="rId314" Type="http://schemas.openxmlformats.org/officeDocument/2006/relationships/hyperlink" Target="http://www.boxofficemojo.com/schedule/?view=bydate&amp;release=theatrical&amp;date=2014-02-14&amp;p=.htm" TargetMode="External"/><Relationship Id="rId315" Type="http://schemas.openxmlformats.org/officeDocument/2006/relationships/hyperlink" Target="http://www.boxofficemojo.com/movies/?id=pompeii.htm" TargetMode="External"/><Relationship Id="rId316" Type="http://schemas.openxmlformats.org/officeDocument/2006/relationships/hyperlink" Target="http://www.boxofficemojo.com/studio/chart/?studio=tristar.htm" TargetMode="External"/><Relationship Id="rId317" Type="http://schemas.openxmlformats.org/officeDocument/2006/relationships/hyperlink" Target="http://www.boxofficemojo.com/schedule/?view=bydate&amp;release=theatrical&amp;date=2014-02-21&amp;p=.htm" TargetMode="External"/><Relationship Id="rId318" Type="http://schemas.openxmlformats.org/officeDocument/2006/relationships/hyperlink" Target="http://www.boxofficemojo.com/movies/?id=transcendence.htm" TargetMode="External"/><Relationship Id="rId319" Type="http://schemas.openxmlformats.org/officeDocument/2006/relationships/hyperlink" Target="http://www.boxofficemojo.com/studio/chart/?studio=warnerbros.htm" TargetMode="External"/><Relationship Id="rId704" Type="http://schemas.openxmlformats.org/officeDocument/2006/relationships/hyperlink" Target="http://www.boxofficemojo.com/schedule/?view=bydate&amp;release=theatrical&amp;date=2014-06-06&amp;p=.htm" TargetMode="External"/><Relationship Id="rId705" Type="http://schemas.openxmlformats.org/officeDocument/2006/relationships/hyperlink" Target="http://www.boxofficemojo.com/movies/?id=menwomenandchildren.htm" TargetMode="External"/><Relationship Id="rId706" Type="http://schemas.openxmlformats.org/officeDocument/2006/relationships/hyperlink" Target="http://www.boxofficemojo.com/studio/chart/?studio=paramount.htm" TargetMode="External"/><Relationship Id="rId707" Type="http://schemas.openxmlformats.org/officeDocument/2006/relationships/hyperlink" Target="http://www.boxofficemojo.com/schedule/?view=bydate&amp;release=theatrical&amp;date=2014-10-01&amp;p=.htm" TargetMode="External"/><Relationship Id="rId708" Type="http://schemas.openxmlformats.org/officeDocument/2006/relationships/hyperlink" Target="http://www.boxofficemojo.com/movies/?id=princesskaguya.htm" TargetMode="External"/><Relationship Id="rId709" Type="http://schemas.openxmlformats.org/officeDocument/2006/relationships/hyperlink" Target="http://www.boxofficemojo.com/studio/chart/?studio=gkids.htm" TargetMode="External"/><Relationship Id="rId1960" Type="http://schemas.openxmlformats.org/officeDocument/2006/relationships/hyperlink" Target="http://www.boxofficemojo.com/studio/chart/?studio=shoutfactory.htm" TargetMode="External"/><Relationship Id="rId1961" Type="http://schemas.openxmlformats.org/officeDocument/2006/relationships/hyperlink" Target="http://www.boxofficemojo.com/schedule/?view=bydate&amp;release=theatrical&amp;date=2014-09-05&amp;p=.htm" TargetMode="External"/><Relationship Id="rId1962" Type="http://schemas.openxmlformats.org/officeDocument/2006/relationships/hyperlink" Target="http://www.boxofficemojo.com/movies/?id=maidan.htm" TargetMode="External"/><Relationship Id="rId1963" Type="http://schemas.openxmlformats.org/officeDocument/2006/relationships/hyperlink" Target="http://www.boxofficemojo.com/studio/chart/?studio=cinemaguild.htm" TargetMode="External"/><Relationship Id="rId1570" Type="http://schemas.openxmlformats.org/officeDocument/2006/relationships/hyperlink" Target="http://www.boxofficemojo.com/studio/chart/?studio=musicboxfilms.htm" TargetMode="External"/><Relationship Id="rId1571" Type="http://schemas.openxmlformats.org/officeDocument/2006/relationships/hyperlink" Target="http://www.boxofficemojo.com/schedule/?view=bydate&amp;release=theatrical&amp;date=2014-10-17&amp;p=.htm" TargetMode="External"/><Relationship Id="rId1572" Type="http://schemas.openxmlformats.org/officeDocument/2006/relationships/hyperlink" Target="http://www.boxofficemojo.com/movies/?id=killteam.htm" TargetMode="External"/><Relationship Id="rId1573" Type="http://schemas.openxmlformats.org/officeDocument/2006/relationships/hyperlink" Target="http://www.boxofficemojo.com/studio/chart/?studio=oscilloscopepictures.htm" TargetMode="External"/><Relationship Id="rId1180" Type="http://schemas.openxmlformats.org/officeDocument/2006/relationships/hyperlink" Target="http://www.boxofficemojo.com/studio/chart/?studio=thefilmdesk.htm" TargetMode="External"/><Relationship Id="rId1181" Type="http://schemas.openxmlformats.org/officeDocument/2006/relationships/hyperlink" Target="http://www.boxofficemojo.com/schedule/?view=bydate&amp;release=theatrical&amp;date=2014-02-14&amp;p=.htm" TargetMode="External"/><Relationship Id="rId1182" Type="http://schemas.openxmlformats.org/officeDocument/2006/relationships/hyperlink" Target="http://www.boxofficemojo.com/movies/?id=lettertomomo.htm" TargetMode="External"/><Relationship Id="rId1183" Type="http://schemas.openxmlformats.org/officeDocument/2006/relationships/hyperlink" Target="http://www.boxofficemojo.com/studio/chart/?studio=gkids.htm" TargetMode="External"/><Relationship Id="rId1184" Type="http://schemas.openxmlformats.org/officeDocument/2006/relationships/hyperlink" Target="http://www.boxofficemojo.com/schedule/?view=bydate&amp;release=theatrical&amp;date=2014-07-23&amp;p=.htm" TargetMode="External"/><Relationship Id="rId1185" Type="http://schemas.openxmlformats.org/officeDocument/2006/relationships/hyperlink" Target="http://www.boxofficemojo.com/movies/?id=betterangels.htm" TargetMode="External"/><Relationship Id="rId1186" Type="http://schemas.openxmlformats.org/officeDocument/2006/relationships/hyperlink" Target="http://www.boxofficemojo.com/studio/chart/?studio=amplify.htm" TargetMode="External"/><Relationship Id="rId1187" Type="http://schemas.openxmlformats.org/officeDocument/2006/relationships/hyperlink" Target="http://www.boxofficemojo.com/schedule/?view=bydate&amp;release=theatrical&amp;date=2014-11-07&amp;p=.htm" TargetMode="External"/><Relationship Id="rId1188" Type="http://schemas.openxmlformats.org/officeDocument/2006/relationships/hyperlink" Target="http://www.boxofficemojo.com/movies/?id=takemetotheriver.htm" TargetMode="External"/><Relationship Id="rId1189" Type="http://schemas.openxmlformats.org/officeDocument/2006/relationships/hyperlink" Target="http://www.boxofficemojo.com/studio/chart/?studio=abramorama.htm" TargetMode="External"/><Relationship Id="rId1574" Type="http://schemas.openxmlformats.org/officeDocument/2006/relationships/hyperlink" Target="http://www.boxofficemojo.com/schedule/?view=bydate&amp;release=theatrical&amp;date=2014-07-25&amp;p=.htm" TargetMode="External"/><Relationship Id="rId1575" Type="http://schemas.openxmlformats.org/officeDocument/2006/relationships/hyperlink" Target="http://www.boxofficemojo.com/movies/?id=test.htm" TargetMode="External"/><Relationship Id="rId1576" Type="http://schemas.openxmlformats.org/officeDocument/2006/relationships/hyperlink" Target="http://www.boxofficemojo.com/studio/chart/?studio=variancefilms.htm" TargetMode="External"/><Relationship Id="rId1577" Type="http://schemas.openxmlformats.org/officeDocument/2006/relationships/hyperlink" Target="http://www.boxofficemojo.com/schedule/?view=bydate&amp;release=theatrical&amp;date=2014-06-06&amp;p=.htm" TargetMode="External"/><Relationship Id="rId1578" Type="http://schemas.openxmlformats.org/officeDocument/2006/relationships/hyperlink" Target="http://www.boxofficemojo.com/movies/?id=tastingmenu.htm" TargetMode="External"/><Relationship Id="rId1579" Type="http://schemas.openxmlformats.org/officeDocument/2006/relationships/hyperlink" Target="http://www.boxofficemojo.com/studio/chart/?studio=magnolia.htm" TargetMode="External"/><Relationship Id="rId1964" Type="http://schemas.openxmlformats.org/officeDocument/2006/relationships/hyperlink" Target="http://www.boxofficemojo.com/schedule/?view=bydate&amp;release=theatrical&amp;date=2014-12-12&amp;p=.htm" TargetMode="External"/><Relationship Id="rId1965" Type="http://schemas.openxmlformats.org/officeDocument/2006/relationships/hyperlink" Target="http://www.boxofficemojo.com/movies/?id=beyondoutrage.htm" TargetMode="External"/><Relationship Id="rId1966" Type="http://schemas.openxmlformats.org/officeDocument/2006/relationships/hyperlink" Target="http://www.boxofficemojo.com/studio/chart/?studio=magnolia.htm" TargetMode="External"/><Relationship Id="rId1967" Type="http://schemas.openxmlformats.org/officeDocument/2006/relationships/hyperlink" Target="http://www.boxofficemojo.com/schedule/?view=bydate&amp;release=theatrical&amp;date=2014-01-03&amp;p=.htm" TargetMode="External"/><Relationship Id="rId1968" Type="http://schemas.openxmlformats.org/officeDocument/2006/relationships/hyperlink" Target="http://www.boxofficemojo.com/movies/?id=swimlittlefishswim.htm" TargetMode="External"/><Relationship Id="rId1969" Type="http://schemas.openxmlformats.org/officeDocument/2006/relationships/hyperlink" Target="http://www.boxofficemojo.com/studio/chart/?studio=milkyway.htm" TargetMode="External"/><Relationship Id="rId710" Type="http://schemas.openxmlformats.org/officeDocument/2006/relationships/hyperlink" Target="http://www.boxofficemojo.com/schedule/?view=bydate&amp;release=theatrical&amp;date=2014-10-17&amp;p=.htm" TargetMode="External"/><Relationship Id="rId711" Type="http://schemas.openxmlformats.org/officeDocument/2006/relationships/hyperlink" Target="http://www.boxofficemojo.com/movies/?id=frankiealice2014.htm" TargetMode="External"/><Relationship Id="rId712" Type="http://schemas.openxmlformats.org/officeDocument/2006/relationships/hyperlink" Target="http://www.boxofficemojo.com/studio/chart/?studio=lionsgate.htm" TargetMode="External"/><Relationship Id="rId713" Type="http://schemas.openxmlformats.org/officeDocument/2006/relationships/hyperlink" Target="http://www.boxofficemojo.com/schedule/?view=bydate&amp;release=theatrical&amp;date=2014-04-04&amp;p=.htm" TargetMode="External"/><Relationship Id="rId320" Type="http://schemas.openxmlformats.org/officeDocument/2006/relationships/hyperlink" Target="http://www.boxofficemojo.com/schedule/?view=bydate&amp;release=theatrical&amp;date=2014-04-18&amp;p=.htm" TargetMode="External"/><Relationship Id="rId321" Type="http://schemas.openxmlformats.org/officeDocument/2006/relationships/hyperlink" Target="http://www.boxofficemojo.com/movies/?id=asabovesobelow.htm" TargetMode="External"/><Relationship Id="rId322" Type="http://schemas.openxmlformats.org/officeDocument/2006/relationships/hyperlink" Target="http://www.boxofficemojo.com/studio/chart/?studio=universal.htm" TargetMode="External"/><Relationship Id="rId323" Type="http://schemas.openxmlformats.org/officeDocument/2006/relationships/hyperlink" Target="http://www.boxofficemojo.com/schedule/?view=bydate&amp;release=theatrical&amp;date=2014-08-29&amp;p=.htm" TargetMode="External"/><Relationship Id="rId324" Type="http://schemas.openxmlformats.org/officeDocument/2006/relationships/hyperlink" Target="http://www.boxofficemojo.com/movies/?id=brickmansions.htm" TargetMode="External"/><Relationship Id="rId325" Type="http://schemas.openxmlformats.org/officeDocument/2006/relationships/hyperlink" Target="http://www.boxofficemojo.com/studio/chart/?studio=relativity.htm" TargetMode="External"/><Relationship Id="rId326" Type="http://schemas.openxmlformats.org/officeDocument/2006/relationships/hyperlink" Target="http://www.boxofficemojo.com/schedule/?view=bydate&amp;release=theatrical&amp;date=2014-04-25&amp;p=.htm" TargetMode="External"/><Relationship Id="rId327" Type="http://schemas.openxmlformats.org/officeDocument/2006/relationships/hyperlink" Target="http://www.boxofficemojo.com/movies/?id=ifrankenstein.htm" TargetMode="External"/><Relationship Id="rId328" Type="http://schemas.openxmlformats.org/officeDocument/2006/relationships/hyperlink" Target="http://www.boxofficemojo.com/studio/chart/?studio=lionsgate.htm" TargetMode="External"/><Relationship Id="rId329" Type="http://schemas.openxmlformats.org/officeDocument/2006/relationships/hyperlink" Target="http://www.boxofficemojo.com/schedule/?view=bydate&amp;release=theatrical&amp;date=2014-01-24&amp;p=.htm" TargetMode="External"/><Relationship Id="rId714" Type="http://schemas.openxmlformats.org/officeDocument/2006/relationships/hyperlink" Target="http://www.boxofficemojo.com/movies/?id=matteroffaith.htm" TargetMode="External"/><Relationship Id="rId715" Type="http://schemas.openxmlformats.org/officeDocument/2006/relationships/hyperlink" Target="http://www.boxofficemojo.com/studio/chart/?studio=fiveandtwo.htm" TargetMode="External"/><Relationship Id="rId716" Type="http://schemas.openxmlformats.org/officeDocument/2006/relationships/hyperlink" Target="http://www.boxofficemojo.com/schedule/?view=bydate&amp;release=theatrical&amp;date=2014-10-17&amp;p=.htm" TargetMode="External"/><Relationship Id="rId717" Type="http://schemas.openxmlformats.org/officeDocument/2006/relationships/hyperlink" Target="http://www.boxofficemojo.com/movies/?id=jordorowskysdune.htm" TargetMode="External"/><Relationship Id="rId718" Type="http://schemas.openxmlformats.org/officeDocument/2006/relationships/hyperlink" Target="http://www.boxofficemojo.com/studio/chart/?studio=sonyclassics.htm" TargetMode="External"/><Relationship Id="rId719" Type="http://schemas.openxmlformats.org/officeDocument/2006/relationships/hyperlink" Target="http://www.boxofficemojo.com/schedule/?view=bydate&amp;release=theatrical&amp;date=2014-03-21&amp;p=.htm" TargetMode="External"/><Relationship Id="rId1970" Type="http://schemas.openxmlformats.org/officeDocument/2006/relationships/hyperlink" Target="http://www.boxofficemojo.com/schedule/?view=bydate&amp;release=theatrical&amp;date=2014-09-19&amp;p=.htm" TargetMode="External"/><Relationship Id="rId1971" Type="http://schemas.openxmlformats.org/officeDocument/2006/relationships/hyperlink" Target="http://www.boxofficemojo.com/movies/?id=hollidaysburg.htm" TargetMode="External"/><Relationship Id="rId1972" Type="http://schemas.openxmlformats.org/officeDocument/2006/relationships/hyperlink" Target="http://www.boxofficemojo.com/studio/chart/?studio=starzmedia.htm" TargetMode="External"/><Relationship Id="rId1973" Type="http://schemas.openxmlformats.org/officeDocument/2006/relationships/hyperlink" Target="http://www.boxofficemojo.com/schedule/?view=bydate&amp;release=theatrical&amp;date=2014-09-19&amp;p=.htm" TargetMode="External"/><Relationship Id="rId1580" Type="http://schemas.openxmlformats.org/officeDocument/2006/relationships/hyperlink" Target="http://www.boxofficemojo.com/schedule/?view=bydate&amp;release=theatrical&amp;date=2014-04-18&amp;p=.htm" TargetMode="External"/><Relationship Id="rId1581" Type="http://schemas.openxmlformats.org/officeDocument/2006/relationships/hyperlink" Target="http://www.boxofficemojo.com/movies/?id=twonightstand.htm" TargetMode="External"/><Relationship Id="rId1582" Type="http://schemas.openxmlformats.org/officeDocument/2006/relationships/hyperlink" Target="http://www.boxofficemojo.com/studio/chart/?studio=entertainmentone.htm" TargetMode="External"/><Relationship Id="rId1583" Type="http://schemas.openxmlformats.org/officeDocument/2006/relationships/hyperlink" Target="http://www.boxofficemojo.com/schedule/?view=bydate&amp;release=theatrical&amp;date=2014-09-26&amp;p=.htm" TargetMode="External"/><Relationship Id="rId1190" Type="http://schemas.openxmlformats.org/officeDocument/2006/relationships/hyperlink" Target="http://www.boxofficemojo.com/schedule/?view=bydate&amp;release=theatrical&amp;date=2014-09-12&amp;p=.htm" TargetMode="External"/><Relationship Id="rId1191" Type="http://schemas.openxmlformats.org/officeDocument/2006/relationships/hyperlink" Target="http://www.boxofficemojo.com/movies/?id=fornogoodreason.htm" TargetMode="External"/><Relationship Id="rId1192" Type="http://schemas.openxmlformats.org/officeDocument/2006/relationships/hyperlink" Target="http://www.boxofficemojo.com/studio/chart/?studio=sonyclassics.htm" TargetMode="External"/><Relationship Id="rId1193" Type="http://schemas.openxmlformats.org/officeDocument/2006/relationships/hyperlink" Target="http://www.boxofficemojo.com/schedule/?view=bydate&amp;release=theatrical&amp;date=2014-04-25&amp;p=.htm" TargetMode="External"/><Relationship Id="rId1194" Type="http://schemas.openxmlformats.org/officeDocument/2006/relationships/hyperlink" Target="http://www.boxofficemojo.com/movies/?id=notebook2014.htm" TargetMode="External"/><Relationship Id="rId1195" Type="http://schemas.openxmlformats.org/officeDocument/2006/relationships/hyperlink" Target="http://www.boxofficemojo.com/studio/chart/?studio=sonyclassics.htm" TargetMode="External"/><Relationship Id="rId1196" Type="http://schemas.openxmlformats.org/officeDocument/2006/relationships/hyperlink" Target="http://www.boxofficemojo.com/schedule/?view=bydate&amp;release=theatrical&amp;date=2014-08-29&amp;p=.htm" TargetMode="External"/><Relationship Id="rId1197" Type="http://schemas.openxmlformats.org/officeDocument/2006/relationships/hyperlink" Target="http://www.boxofficemojo.com/movies/?id=throughalensdarkly.htm" TargetMode="External"/><Relationship Id="rId1198" Type="http://schemas.openxmlformats.org/officeDocument/2006/relationships/hyperlink" Target="http://www.boxofficemojo.com/studio/chart/?studio=firstrun.htm" TargetMode="External"/><Relationship Id="rId1199" Type="http://schemas.openxmlformats.org/officeDocument/2006/relationships/hyperlink" Target="http://www.boxofficemojo.com/schedule/?view=bydate&amp;release=theatrical&amp;date=2014-08-27&amp;p=.htm" TargetMode="External"/><Relationship Id="rId1584" Type="http://schemas.openxmlformats.org/officeDocument/2006/relationships/hyperlink" Target="http://www.boxofficemojo.com/movies/?id=whoisdayanicristal.htm" TargetMode="External"/><Relationship Id="rId1585" Type="http://schemas.openxmlformats.org/officeDocument/2006/relationships/hyperlink" Target="http://www.boxofficemojo.com/studio/chart/?studio=kinolorber.htm" TargetMode="External"/><Relationship Id="rId1586" Type="http://schemas.openxmlformats.org/officeDocument/2006/relationships/hyperlink" Target="http://www.boxofficemojo.com/schedule/?view=bydate&amp;release=theatrical&amp;date=2014-04-25&amp;p=.htm" TargetMode="External"/><Relationship Id="rId1587" Type="http://schemas.openxmlformats.org/officeDocument/2006/relationships/hyperlink" Target="http://www.boxofficemojo.com/movies/?id=toscaskiss.htm" TargetMode="External"/><Relationship Id="rId1588" Type="http://schemas.openxmlformats.org/officeDocument/2006/relationships/hyperlink" Target="http://www.boxofficemojo.com/studio/chart/?studio=icarus.htm" TargetMode="External"/><Relationship Id="rId1589" Type="http://schemas.openxmlformats.org/officeDocument/2006/relationships/hyperlink" Target="http://www.boxofficemojo.com/schedule/?view=bydate&amp;release=theatrical&amp;date=2014-06-06&amp;p=.htm" TargetMode="External"/><Relationship Id="rId1974" Type="http://schemas.openxmlformats.org/officeDocument/2006/relationships/hyperlink" Target="http://www.boxofficemojo.com/movies/?id=word14.htm" TargetMode="External"/><Relationship Id="rId1975" Type="http://schemas.openxmlformats.org/officeDocument/2006/relationships/hyperlink" Target="http://www.boxofficemojo.com/studio/chart/?studio=scarletsky.htm" TargetMode="External"/><Relationship Id="rId1976" Type="http://schemas.openxmlformats.org/officeDocument/2006/relationships/hyperlink" Target="http://www.boxofficemojo.com/schedule/?view=bydate&amp;release=theatrical&amp;date=2014-03-14&amp;p=.htm" TargetMode="External"/><Relationship Id="rId1977" Type="http://schemas.openxmlformats.org/officeDocument/2006/relationships/hyperlink" Target="http://www.boxofficemojo.com/movies/?id=stopthepoundingheart.htm" TargetMode="External"/><Relationship Id="rId1978" Type="http://schemas.openxmlformats.org/officeDocument/2006/relationships/hyperlink" Target="http://www.boxofficemojo.com/studio/chart/?studio=bigworld.htm" TargetMode="External"/><Relationship Id="rId1979" Type="http://schemas.openxmlformats.org/officeDocument/2006/relationships/hyperlink" Target="http://www.boxofficemojo.com/schedule/?view=bydate&amp;release=theatrical&amp;date=2014-09-19&amp;p=.htm" TargetMode="External"/><Relationship Id="rId720" Type="http://schemas.openxmlformats.org/officeDocument/2006/relationships/hyperlink" Target="http://www.boxofficemojo.com/movies/?id=haseetohphasee.htm" TargetMode="External"/><Relationship Id="rId721" Type="http://schemas.openxmlformats.org/officeDocument/2006/relationships/hyperlink" Target="http://www.boxofficemojo.com/studio/chart/?studio=reliancebigpictures.htm" TargetMode="External"/><Relationship Id="rId722" Type="http://schemas.openxmlformats.org/officeDocument/2006/relationships/hyperlink" Target="http://www.boxofficemojo.com/schedule/?view=bydate&amp;release=theatrical&amp;date=2014-02-07&amp;p=.htm" TargetMode="External"/><Relationship Id="rId723" Type="http://schemas.openxmlformats.org/officeDocument/2006/relationships/hyperlink" Target="http://www.boxofficemojo.com/movies/?id=frank.htm" TargetMode="External"/><Relationship Id="rId330" Type="http://schemas.openxmlformats.org/officeDocument/2006/relationships/hyperlink" Target="http://www.boxofficemojo.com/movies/?id=herculesbegins.htm" TargetMode="External"/><Relationship Id="rId331" Type="http://schemas.openxmlformats.org/officeDocument/2006/relationships/hyperlink" Target="http://www.boxofficemojo.com/studio/chart/?studio=lionsgatesummit.htm" TargetMode="External"/><Relationship Id="rId332" Type="http://schemas.openxmlformats.org/officeDocument/2006/relationships/hyperlink" Target="http://www.boxofficemojo.com/schedule/?view=bydate&amp;release=theatrical&amp;date=2014-01-10&amp;p=.htm" TargetMode="External"/><Relationship Id="rId333" Type="http://schemas.openxmlformats.org/officeDocument/2006/relationships/hyperlink" Target="http://www.boxofficemojo.com/movies/?id=bears.htm" TargetMode="External"/><Relationship Id="rId334" Type="http://schemas.openxmlformats.org/officeDocument/2006/relationships/hyperlink" Target="http://www.boxofficemojo.com/studio/chart/?studio=buenavista.htm" TargetMode="External"/><Relationship Id="rId335" Type="http://schemas.openxmlformats.org/officeDocument/2006/relationships/hyperlink" Target="http://www.boxofficemojo.com/schedule/?view=bydate&amp;release=theatrical&amp;date=2014-04-18&amp;p=.htm" TargetMode="External"/><Relationship Id="rId336" Type="http://schemas.openxmlformats.org/officeDocument/2006/relationships/hyperlink" Target="http://www.boxofficemojo.com/movies/?id=addicted.htm" TargetMode="External"/><Relationship Id="rId337" Type="http://schemas.openxmlformats.org/officeDocument/2006/relationships/hyperlink" Target="http://www.boxofficemojo.com/studio/chart/?studio=lionsgate.htm" TargetMode="External"/><Relationship Id="rId338" Type="http://schemas.openxmlformats.org/officeDocument/2006/relationships/hyperlink" Target="http://www.boxofficemojo.com/schedule/?view=bydate&amp;release=theatrical&amp;date=2014-10-10&amp;p=.htm" TargetMode="External"/><Relationship Id="rId339" Type="http://schemas.openxmlformats.org/officeDocument/2006/relationships/hyperlink" Target="http://www.boxofficemojo.com/movies/?id=hauntedhouse2.htm" TargetMode="External"/><Relationship Id="rId724" Type="http://schemas.openxmlformats.org/officeDocument/2006/relationships/hyperlink" Target="http://www.boxofficemojo.com/studio/chart/?studio=magnolia.htm" TargetMode="External"/><Relationship Id="rId725" Type="http://schemas.openxmlformats.org/officeDocument/2006/relationships/hyperlink" Target="http://www.boxofficemojo.com/schedule/?view=bydate&amp;release=theatrical&amp;date=2014-08-15&amp;p=.htm" TargetMode="External"/><Relationship Id="rId726" Type="http://schemas.openxmlformats.org/officeDocument/2006/relationships/hyperlink" Target="http://www.boxofficemojo.com/movies/?id=marykom.htm" TargetMode="External"/><Relationship Id="rId727" Type="http://schemas.openxmlformats.org/officeDocument/2006/relationships/hyperlink" Target="http://www.boxofficemojo.com/studio/chart/?studio=eros.htm" TargetMode="External"/><Relationship Id="rId728" Type="http://schemas.openxmlformats.org/officeDocument/2006/relationships/hyperlink" Target="http://www.boxofficemojo.com/schedule/?view=bydate&amp;release=theatrical&amp;date=2014-09-05&amp;p=.htm" TargetMode="External"/><Relationship Id="rId729" Type="http://schemas.openxmlformats.org/officeDocument/2006/relationships/hyperlink" Target="http://www.boxofficemojo.com/movies/?id=findingfanny.htm" TargetMode="External"/><Relationship Id="rId1980" Type="http://schemas.openxmlformats.org/officeDocument/2006/relationships/hyperlink" Target="http://www.boxofficemojo.com/movies/?id=hideyoursmilingfaces.htm" TargetMode="External"/><Relationship Id="rId1981" Type="http://schemas.openxmlformats.org/officeDocument/2006/relationships/hyperlink" Target="http://www.boxofficemojo.com/studio/chart/?studio=tribecafilm.htm" TargetMode="External"/><Relationship Id="rId1982" Type="http://schemas.openxmlformats.org/officeDocument/2006/relationships/hyperlink" Target="http://www.boxofficemojo.com/schedule/?view=bydate&amp;release=theatrical&amp;date=2014-03-28&amp;p=.htm" TargetMode="External"/><Relationship Id="rId1983" Type="http://schemas.openxmlformats.org/officeDocument/2006/relationships/hyperlink" Target="http://www.boxofficemojo.com/movies/?id=evolutionofacriminal.htm" TargetMode="External"/><Relationship Id="rId1590" Type="http://schemas.openxmlformats.org/officeDocument/2006/relationships/hyperlink" Target="http://www.boxofficemojo.com/movies/?id=journeytothewest.htm" TargetMode="External"/><Relationship Id="rId1591" Type="http://schemas.openxmlformats.org/officeDocument/2006/relationships/hyperlink" Target="http://www.boxofficemojo.com/studio/chart/?studio=magnolia.htm" TargetMode="External"/><Relationship Id="rId1592" Type="http://schemas.openxmlformats.org/officeDocument/2006/relationships/hyperlink" Target="http://www.boxofficemojo.com/schedule/?view=bydate&amp;release=theatrical&amp;date=2014-03-07&amp;p=.htm" TargetMode="External"/><Relationship Id="rId1593" Type="http://schemas.openxmlformats.org/officeDocument/2006/relationships/hyperlink" Target="http://www.boxofficemojo.com/movies/?id=onedaypinaasked.htm" TargetMode="External"/><Relationship Id="rId1594" Type="http://schemas.openxmlformats.org/officeDocument/2006/relationships/hyperlink" Target="http://www.boxofficemojo.com/studio/chart/?studio=icarus.htm" TargetMode="External"/><Relationship Id="rId1595" Type="http://schemas.openxmlformats.org/officeDocument/2006/relationships/hyperlink" Target="http://www.boxofficemojo.com/schedule/?view=bydate&amp;release=theatrical&amp;date=2014-04-04&amp;p=.htm" TargetMode="External"/><Relationship Id="rId1596" Type="http://schemas.openxmlformats.org/officeDocument/2006/relationships/hyperlink" Target="http://www.boxofficemojo.com/movies/?id=kellyandcal.htm" TargetMode="External"/><Relationship Id="rId1597" Type="http://schemas.openxmlformats.org/officeDocument/2006/relationships/hyperlink" Target="http://www.boxofficemojo.com/studio/chart/?studio=ifc.htm" TargetMode="External"/><Relationship Id="rId1598" Type="http://schemas.openxmlformats.org/officeDocument/2006/relationships/hyperlink" Target="http://www.boxofficemojo.com/schedule/?view=bydate&amp;release=theatrical&amp;date=2014-09-05&amp;p=.htm" TargetMode="External"/><Relationship Id="rId1599" Type="http://schemas.openxmlformats.org/officeDocument/2006/relationships/hyperlink" Target="http://www.boxofficemojo.com/movies/?id=homestretch.htm" TargetMode="External"/><Relationship Id="rId1984" Type="http://schemas.openxmlformats.org/officeDocument/2006/relationships/hyperlink" Target="http://www.boxofficemojo.com/studio/chart/?studio=filmcollaborative.htm" TargetMode="External"/><Relationship Id="rId1985" Type="http://schemas.openxmlformats.org/officeDocument/2006/relationships/hyperlink" Target="http://www.boxofficemojo.com/schedule/?view=bydate&amp;release=theatrical&amp;date=2014-10-10&amp;p=.htm" TargetMode="External"/><Relationship Id="rId1986" Type="http://schemas.openxmlformats.org/officeDocument/2006/relationships/hyperlink" Target="http://www.boxofficemojo.com/movies/?id=locker13.htm" TargetMode="External"/><Relationship Id="rId1987" Type="http://schemas.openxmlformats.org/officeDocument/2006/relationships/hyperlink" Target="http://www.boxofficemojo.com/studio/chart/?studio=brothersink.htm" TargetMode="External"/><Relationship Id="rId1988" Type="http://schemas.openxmlformats.org/officeDocument/2006/relationships/hyperlink" Target="http://www.boxofficemojo.com/schedule/?view=bydate&amp;release=theatrical&amp;date=2014-03-28&amp;p=.htm" TargetMode="External"/><Relationship Id="rId1989" Type="http://schemas.openxmlformats.org/officeDocument/2006/relationships/hyperlink" Target="http://www.boxofficemojo.com/movies/?id=hackerwars.htm" TargetMode="External"/><Relationship Id="rId730" Type="http://schemas.openxmlformats.org/officeDocument/2006/relationships/hyperlink" Target="http://www.boxofficemojo.com/studio/chart/?studio=fip.htm" TargetMode="External"/><Relationship Id="rId731" Type="http://schemas.openxmlformats.org/officeDocument/2006/relationships/hyperlink" Target="http://www.boxofficemojo.com/schedule/?view=bydate&amp;release=theatrical&amp;date=2014-09-12&amp;p=.htm" TargetMode="External"/><Relationship Id="rId732" Type="http://schemas.openxmlformats.org/officeDocument/2006/relationships/hyperlink" Target="http://www.boxofficemojo.com/movies/?id=signal2014.htm" TargetMode="External"/><Relationship Id="rId733" Type="http://schemas.openxmlformats.org/officeDocument/2006/relationships/hyperlink" Target="http://www.boxofficemojo.com/studio/chart/?studio=focus.htm" TargetMode="External"/><Relationship Id="rId734" Type="http://schemas.openxmlformats.org/officeDocument/2006/relationships/hyperlink" Target="http://www.boxofficemojo.com/schedule/?view=bydate&amp;release=theatrical&amp;date=2014-06-13&amp;p=.htm" TargetMode="External"/><Relationship Id="rId735" Type="http://schemas.openxmlformats.org/officeDocument/2006/relationships/hyperlink" Target="http://www.boxofficemojo.com/movies/?id=eleanorrigby.htm" TargetMode="External"/><Relationship Id="rId736" Type="http://schemas.openxmlformats.org/officeDocument/2006/relationships/hyperlink" Target="http://www.boxofficemojo.com/studio/chart/?studio=weinsteincompany.htm" TargetMode="External"/><Relationship Id="rId737" Type="http://schemas.openxmlformats.org/officeDocument/2006/relationships/hyperlink" Target="http://www.boxofficemojo.com/schedule/?view=bydate&amp;release=theatrical&amp;date=2014-09-12&amp;p=.htm" TargetMode="External"/><Relationship Id="rId738" Type="http://schemas.openxmlformats.org/officeDocument/2006/relationships/hyperlink" Target="http://www.boxofficemojo.com/movies/?id=backintime2014.htm" TargetMode="External"/><Relationship Id="rId739" Type="http://schemas.openxmlformats.org/officeDocument/2006/relationships/hyperlink" Target="http://www.boxofficemojo.com/studio/chart/?studio=chinalion.htm" TargetMode="External"/><Relationship Id="rId340" Type="http://schemas.openxmlformats.org/officeDocument/2006/relationships/hyperlink" Target="http://www.boxofficemojo.com/studio/chart/?studio=openroads.htm" TargetMode="External"/><Relationship Id="rId341" Type="http://schemas.openxmlformats.org/officeDocument/2006/relationships/hyperlink" Target="http://www.boxofficemojo.com/schedule/?view=bydate&amp;release=theatrical&amp;date=2014-04-18&amp;p=.htm" TargetMode="External"/><Relationship Id="rId342" Type="http://schemas.openxmlformats.org/officeDocument/2006/relationships/hyperlink" Target="http://www.boxofficemojo.com/movies/?id=amostwantedman.htm" TargetMode="External"/><Relationship Id="rId343" Type="http://schemas.openxmlformats.org/officeDocument/2006/relationships/hyperlink" Target="http://www.boxofficemojo.com/studio/chart/?studio=roadsideattractions.htm" TargetMode="External"/><Relationship Id="rId344" Type="http://schemas.openxmlformats.org/officeDocument/2006/relationships/hyperlink" Target="http://www.boxofficemojo.com/schedule/?view=bydate&amp;release=theatrical&amp;date=2014-07-25&amp;p=.htm" TargetMode="External"/><Relationship Id="rId345" Type="http://schemas.openxmlformats.org/officeDocument/2006/relationships/hyperlink" Target="http://www.boxofficemojo.com/movies/?id=canasong.htm" TargetMode="External"/><Relationship Id="rId346" Type="http://schemas.openxmlformats.org/officeDocument/2006/relationships/hyperlink" Target="http://www.boxofficemojo.com/studio/chart/?studio=weinsteincompany.htm" TargetMode="External"/><Relationship Id="rId347" Type="http://schemas.openxmlformats.org/officeDocument/2006/relationships/hyperlink" Target="http://www.boxofficemojo.com/schedule/?view=bydate&amp;release=theatrical&amp;date=2014-06-27&amp;p=.htm" TargetMode="External"/><Relationship Id="rId348" Type="http://schemas.openxmlformats.org/officeDocument/2006/relationships/hyperlink" Target="http://www.boxofficemojo.com/movies/?id=singlemomsclub.htm" TargetMode="External"/><Relationship Id="rId349" Type="http://schemas.openxmlformats.org/officeDocument/2006/relationships/hyperlink" Target="http://www.boxofficemojo.com/studio/chart/?studio=lionsgate.htm" TargetMode="External"/><Relationship Id="rId1990" Type="http://schemas.openxmlformats.org/officeDocument/2006/relationships/hyperlink" Target="http://www.boxofficemojo.com/studio/chart/?studio=vitagraph.htm" TargetMode="External"/><Relationship Id="rId1991" Type="http://schemas.openxmlformats.org/officeDocument/2006/relationships/hyperlink" Target="http://www.boxofficemojo.com/schedule/?view=bydate&amp;release=theatrical&amp;date=2014-10-17&amp;p=.htm" TargetMode="External"/><Relationship Id="rId1992" Type="http://schemas.openxmlformats.org/officeDocument/2006/relationships/hyperlink" Target="http://www.boxofficemojo.com/movies/?id=aftermath2014.htm" TargetMode="External"/><Relationship Id="rId1993" Type="http://schemas.openxmlformats.org/officeDocument/2006/relationships/hyperlink" Target="http://www.boxofficemojo.com/studio/chart/?studio=fs.htm" TargetMode="External"/><Relationship Id="rId1994" Type="http://schemas.openxmlformats.org/officeDocument/2006/relationships/hyperlink" Target="http://www.boxofficemojo.com/schedule/?view=bydate&amp;release=theatrical&amp;date=2014-11-28&amp;p=.htm" TargetMode="External"/><Relationship Id="rId1995" Type="http://schemas.openxmlformats.org/officeDocument/2006/relationships/hyperlink" Target="http://www.boxofficemojo.com/movies/?id=lifesabreeze.htm" TargetMode="External"/><Relationship Id="rId1996" Type="http://schemas.openxmlformats.org/officeDocument/2006/relationships/hyperlink" Target="http://www.boxofficemojo.com/studio/chart/?studio=magnolia.htm" TargetMode="External"/><Relationship Id="rId1997" Type="http://schemas.openxmlformats.org/officeDocument/2006/relationships/hyperlink" Target="http://www.boxofficemojo.com/schedule/?view=bydate&amp;release=theatrical&amp;date=2014-09-19&amp;p=.htm" TargetMode="External"/><Relationship Id="rId1998" Type="http://schemas.openxmlformats.org/officeDocument/2006/relationships/hyperlink" Target="http://www.boxofficemojo.com/movies/?id=ageofuprising.htm" TargetMode="External"/><Relationship Id="rId1999" Type="http://schemas.openxmlformats.org/officeDocument/2006/relationships/hyperlink" Target="http://www.boxofficemojo.com/studio/chart/?studio=musicboxfilms.htm" TargetMode="External"/><Relationship Id="rId1200" Type="http://schemas.openxmlformats.org/officeDocument/2006/relationships/hyperlink" Target="http://www.boxofficemojo.com/movies/?id=artofthesteal14.htm" TargetMode="External"/><Relationship Id="rId1201" Type="http://schemas.openxmlformats.org/officeDocument/2006/relationships/hyperlink" Target="http://www.boxofficemojo.com/studio/chart/?studio=radiustwc.htm" TargetMode="External"/><Relationship Id="rId1202" Type="http://schemas.openxmlformats.org/officeDocument/2006/relationships/hyperlink" Target="http://www.boxofficemojo.com/schedule/?view=bydate&amp;release=theatrical&amp;date=2014-03-14&amp;p=.htm" TargetMode="External"/><Relationship Id="rId1203" Type="http://schemas.openxmlformats.org/officeDocument/2006/relationships/hyperlink" Target="http://www.boxofficemojo.com/movies/?id=jealousy.htm" TargetMode="External"/><Relationship Id="rId1204" Type="http://schemas.openxmlformats.org/officeDocument/2006/relationships/hyperlink" Target="http://www.boxofficemojo.com/studio/chart/?studio=distribfilms.htm" TargetMode="External"/><Relationship Id="rId1205" Type="http://schemas.openxmlformats.org/officeDocument/2006/relationships/hyperlink" Target="http://www.boxofficemojo.com/schedule/?view=bydate&amp;release=theatrical&amp;date=2014-08-15&amp;p=.htm" TargetMode="External"/><Relationship Id="rId1206" Type="http://schemas.openxmlformats.org/officeDocument/2006/relationships/hyperlink" Target="http://www.boxofficemojo.com/movies/?id=heropanti.htm" TargetMode="External"/><Relationship Id="rId1207" Type="http://schemas.openxmlformats.org/officeDocument/2006/relationships/hyperlink" Target="http://www.boxofficemojo.com/studio/chart/?studio=utv.htm" TargetMode="External"/><Relationship Id="rId740" Type="http://schemas.openxmlformats.org/officeDocument/2006/relationships/hyperlink" Target="http://www.boxofficemojo.com/schedule/?view=bydate&amp;release=theatrical&amp;date=2014-12-12&amp;p=.htm" TargetMode="External"/><Relationship Id="rId741" Type="http://schemas.openxmlformats.org/officeDocument/2006/relationships/hyperlink" Target="http://www.boxofficemojo.com/movies/?id=forrestgumpimax.htm" TargetMode="External"/><Relationship Id="rId742" Type="http://schemas.openxmlformats.org/officeDocument/2006/relationships/hyperlink" Target="http://www.boxofficemojo.com/studio/chart/?studio=paramount.htm" TargetMode="External"/><Relationship Id="rId743" Type="http://schemas.openxmlformats.org/officeDocument/2006/relationships/hyperlink" Target="http://www.boxofficemojo.com/schedule/?view=bydate&amp;release=theatrical&amp;date=2014-09-05&amp;p=.htm" TargetMode="External"/><Relationship Id="rId744" Type="http://schemas.openxmlformats.org/officeDocument/2006/relationships/hyperlink" Target="http://www.boxofficemojo.com/movies/?id=attorney.htm" TargetMode="External"/><Relationship Id="rId745" Type="http://schemas.openxmlformats.org/officeDocument/2006/relationships/hyperlink" Target="http://www.boxofficemojo.com/studio/chart/?studio=wellgo.htm" TargetMode="External"/><Relationship Id="rId746" Type="http://schemas.openxmlformats.org/officeDocument/2006/relationships/hyperlink" Target="http://www.boxofficemojo.com/schedule/?view=bydate&amp;release=theatrical&amp;date=2014-02-07&amp;p=.htm" TargetMode="External"/><Relationship Id="rId747" Type="http://schemas.openxmlformats.org/officeDocument/2006/relationships/hyperlink" Target="http://www.boxofficemojo.com/movies/?id=23blast.htm" TargetMode="External"/><Relationship Id="rId748" Type="http://schemas.openxmlformats.org/officeDocument/2006/relationships/hyperlink" Target="http://www.boxofficemojo.com/studio/chart/?studio=oceanavenue.htm" TargetMode="External"/><Relationship Id="rId749" Type="http://schemas.openxmlformats.org/officeDocument/2006/relationships/hyperlink" Target="http://www.boxofficemojo.com/schedule/?view=bydate&amp;release=theatrical&amp;date=2014-10-24&amp;p=.htm" TargetMode="External"/><Relationship Id="rId350" Type="http://schemas.openxmlformats.org/officeDocument/2006/relationships/hyperlink" Target="http://www.boxofficemojo.com/schedule/?view=bydate&amp;release=theatrical&amp;date=2014-03-14&amp;p=.htm" TargetMode="External"/><Relationship Id="rId351" Type="http://schemas.openxmlformats.org/officeDocument/2006/relationships/hyperlink" Target="http://www.boxofficemojo.com/movies/?id=devilsdue.htm" TargetMode="External"/><Relationship Id="rId352" Type="http://schemas.openxmlformats.org/officeDocument/2006/relationships/hyperlink" Target="http://www.boxofficemojo.com/studio/chart/?studio=fox.htm" TargetMode="External"/><Relationship Id="rId353" Type="http://schemas.openxmlformats.org/officeDocument/2006/relationships/hyperlink" Target="http://www.boxofficemojo.com/schedule/?view=bydate&amp;release=theatrical&amp;date=2014-01-17&amp;p=.htm" TargetMode="External"/><Relationship Id="rId354" Type="http://schemas.openxmlformats.org/officeDocument/2006/relationships/hyperlink" Target="http://www.boxofficemojo.com/movies/?id=andsoitgoes.htm" TargetMode="External"/><Relationship Id="rId355" Type="http://schemas.openxmlformats.org/officeDocument/2006/relationships/hyperlink" Target="http://www.boxofficemojo.com/studio/chart/?studio=clarius.htm" TargetMode="External"/><Relationship Id="rId356" Type="http://schemas.openxmlformats.org/officeDocument/2006/relationships/hyperlink" Target="http://www.boxofficemojo.com/schedule/?view=bydate&amp;release=theatrical&amp;date=2014-07-25&amp;p=.htm" TargetMode="External"/><Relationship Id="rId357" Type="http://schemas.openxmlformats.org/officeDocument/2006/relationships/hyperlink" Target="http://www.boxofficemojo.com/movies/?id=stepup5.htm" TargetMode="External"/><Relationship Id="rId358" Type="http://schemas.openxmlformats.org/officeDocument/2006/relationships/hyperlink" Target="http://www.boxofficemojo.com/studio/chart/?studio=lionsgatesummit.htm" TargetMode="External"/><Relationship Id="rId359" Type="http://schemas.openxmlformats.org/officeDocument/2006/relationships/hyperlink" Target="http://www.boxofficemojo.com/schedule/?view=bydate&amp;release=theatrical&amp;date=2014-08-08&amp;p=.htm" TargetMode="External"/><Relationship Id="rId1208" Type="http://schemas.openxmlformats.org/officeDocument/2006/relationships/hyperlink" Target="http://www.boxofficemojo.com/schedule/?view=bydate&amp;release=theatrical&amp;date=2014-05-23&amp;p=.htm" TargetMode="External"/><Relationship Id="rId1209" Type="http://schemas.openxmlformats.org/officeDocument/2006/relationships/hyperlink" Target="http://www.boxofficemojo.com/movies/?id=notearsforthedead.htm" TargetMode="External"/><Relationship Id="rId1600" Type="http://schemas.openxmlformats.org/officeDocument/2006/relationships/hyperlink" Target="http://www.boxofficemojo.com/studio/chart/?studio=kartemquinfilms.htm" TargetMode="External"/><Relationship Id="rId1601" Type="http://schemas.openxmlformats.org/officeDocument/2006/relationships/hyperlink" Target="http://www.boxofficemojo.com/schedule/?view=bydate&amp;release=theatrical&amp;date=2014-09-12&amp;p=.htm" TargetMode="External"/><Relationship Id="rId1602" Type="http://schemas.openxmlformats.org/officeDocument/2006/relationships/hyperlink" Target="http://www.boxofficemojo.com/movies/?id=standclear.htm" TargetMode="External"/><Relationship Id="rId1603" Type="http://schemas.openxmlformats.org/officeDocument/2006/relationships/hyperlink" Target="http://www.boxofficemojo.com/studio/chart/?studio=oscilloscopepictures.htm" TargetMode="External"/><Relationship Id="rId1604" Type="http://schemas.openxmlformats.org/officeDocument/2006/relationships/hyperlink" Target="http://www.boxofficemojo.com/schedule/?view=bydate&amp;release=theatrical&amp;date=2014-05-23&amp;p=.htm" TargetMode="External"/><Relationship Id="rId1605" Type="http://schemas.openxmlformats.org/officeDocument/2006/relationships/hyperlink" Target="http://www.boxofficemojo.com/movies/?id=accident.htm" TargetMode="External"/><Relationship Id="rId1606" Type="http://schemas.openxmlformats.org/officeDocument/2006/relationships/hyperlink" Target="http://www.boxofficemojo.com/studio/chart/?studio=rialto.htm" TargetMode="External"/><Relationship Id="rId1607" Type="http://schemas.openxmlformats.org/officeDocument/2006/relationships/hyperlink" Target="http://www.boxofficemojo.com/schedule/?view=bydate&amp;release=theatrical&amp;date=2014-05-23&amp;p=.htm" TargetMode="External"/><Relationship Id="rId1608" Type="http://schemas.openxmlformats.org/officeDocument/2006/relationships/hyperlink" Target="http://www.boxofficemojo.com/movies/?id=goodbyetoallthat.htm" TargetMode="External"/><Relationship Id="rId1609" Type="http://schemas.openxmlformats.org/officeDocument/2006/relationships/hyperlink" Target="http://www.boxofficemojo.com/studio/chart/?studio=ifc.htm" TargetMode="External"/><Relationship Id="rId1210" Type="http://schemas.openxmlformats.org/officeDocument/2006/relationships/hyperlink" Target="http://www.boxofficemojo.com/studio/chart/?studio=cjentertainment.htm" TargetMode="External"/><Relationship Id="rId1211" Type="http://schemas.openxmlformats.org/officeDocument/2006/relationships/hyperlink" Target="http://www.boxofficemojo.com/schedule/?view=bydate&amp;release=theatrical&amp;date=2014-06-13&amp;p=.htm" TargetMode="External"/><Relationship Id="rId750" Type="http://schemas.openxmlformats.org/officeDocument/2006/relationships/hyperlink" Target="http://www.boxofficemojo.com/movies/?id=onanysundayter.htm" TargetMode="External"/><Relationship Id="rId751" Type="http://schemas.openxmlformats.org/officeDocument/2006/relationships/hyperlink" Target="http://www.boxofficemojo.com/studio/chart/?studio=hannoverhouse.htm" TargetMode="External"/><Relationship Id="rId752" Type="http://schemas.openxmlformats.org/officeDocument/2006/relationships/hyperlink" Target="http://www.boxofficemojo.com/schedule/?view=bydate&amp;release=theatrical&amp;date=2014-11-07&amp;p=.htm" TargetMode="External"/><Relationship Id="rId753" Type="http://schemas.openxmlformats.org/officeDocument/2006/relationships/hyperlink" Target="http://www.boxofficemojo.com/movies/?id=highway2014.htm" TargetMode="External"/><Relationship Id="rId754" Type="http://schemas.openxmlformats.org/officeDocument/2006/relationships/hyperlink" Target="http://www.boxofficemojo.com/studio/chart/?studio=utv.htm" TargetMode="External"/><Relationship Id="rId755" Type="http://schemas.openxmlformats.org/officeDocument/2006/relationships/hyperlink" Target="http://www.boxofficemojo.com/schedule/?view=bydate&amp;release=theatrical&amp;date=2014-02-21&amp;p=.htm" TargetMode="External"/><Relationship Id="rId756" Type="http://schemas.openxmlformats.org/officeDocument/2006/relationships/hyperlink" Target="http://www.boxofficemojo.com/movies/?id=domhemingway.htm" TargetMode="External"/><Relationship Id="rId757" Type="http://schemas.openxmlformats.org/officeDocument/2006/relationships/hyperlink" Target="http://www.boxofficemojo.com/studio/chart/?studio=foxsearchlight.htm" TargetMode="External"/><Relationship Id="rId758" Type="http://schemas.openxmlformats.org/officeDocument/2006/relationships/hyperlink" Target="http://www.boxofficemojo.com/schedule/?view=bydate&amp;release=theatrical&amp;date=2014-04-02&amp;p=.htm" TargetMode="External"/><Relationship Id="rId759" Type="http://schemas.openxmlformats.org/officeDocument/2006/relationships/hyperlink" Target="http://www.boxofficemojo.com/movies/?id=harddaysnight14.htm" TargetMode="External"/><Relationship Id="rId360" Type="http://schemas.openxmlformats.org/officeDocument/2006/relationships/hyperlink" Target="http://www.boxofficemojo.com/movies/?id=blackbird.htm" TargetMode="External"/><Relationship Id="rId361" Type="http://schemas.openxmlformats.org/officeDocument/2006/relationships/hyperlink" Target="http://www.boxofficemojo.com/studio/chart/?studio=relativity.htm" TargetMode="External"/><Relationship Id="rId362" Type="http://schemas.openxmlformats.org/officeDocument/2006/relationships/hyperlink" Target="http://www.boxofficemojo.com/schedule/?view=bydate&amp;release=theatrical&amp;date=2014-11-14&amp;p=.htm" TargetMode="External"/><Relationship Id="rId363" Type="http://schemas.openxmlformats.org/officeDocument/2006/relationships/hyperlink" Target="http://www.boxofficemojo.com/movies/?id=bigeyes.htm" TargetMode="External"/><Relationship Id="rId364" Type="http://schemas.openxmlformats.org/officeDocument/2006/relationships/hyperlink" Target="http://www.boxofficemojo.com/studio/chart/?studio=weinsteincompany.htm" TargetMode="External"/><Relationship Id="rId365" Type="http://schemas.openxmlformats.org/officeDocument/2006/relationships/hyperlink" Target="http://www.boxofficemojo.com/schedule/?view=bydate&amp;release=theatrical&amp;date=2014-12-25&amp;p=.htm" TargetMode="External"/><Relationship Id="rId366" Type="http://schemas.openxmlformats.org/officeDocument/2006/relationships/hyperlink" Target="http://www.boxofficemojo.com/movies/?id=america2014.htm" TargetMode="External"/><Relationship Id="rId367" Type="http://schemas.openxmlformats.org/officeDocument/2006/relationships/hyperlink" Target="http://www.boxofficemojo.com/studio/chart/?studio=lionsgate.htm" TargetMode="External"/><Relationship Id="rId368" Type="http://schemas.openxmlformats.org/officeDocument/2006/relationships/hyperlink" Target="http://www.boxofficemojo.com/schedule/?view=bydate&amp;release=theatrical&amp;date=2014-06-27&amp;p=.htm" TargetMode="External"/><Relationship Id="rId369" Type="http://schemas.openxmlformats.org/officeDocument/2006/relationships/hyperlink" Target="http://www.boxofficemojo.com/movies/?id=leftbehind2014.htm" TargetMode="External"/><Relationship Id="rId1212" Type="http://schemas.openxmlformats.org/officeDocument/2006/relationships/hyperlink" Target="http://www.boxofficemojo.com/movies/?id=lastsentence.htm" TargetMode="External"/><Relationship Id="rId1213" Type="http://schemas.openxmlformats.org/officeDocument/2006/relationships/hyperlink" Target="http://www.boxofficemojo.com/studio/chart/?studio=musicboxfilms.htm" TargetMode="External"/><Relationship Id="rId1214" Type="http://schemas.openxmlformats.org/officeDocument/2006/relationships/hyperlink" Target="http://www.boxofficemojo.com/schedule/?view=bydate&amp;release=theatrical&amp;date=2014-06-20&amp;p=.htm" TargetMode="External"/><Relationship Id="rId1215" Type="http://schemas.openxmlformats.org/officeDocument/2006/relationships/hyperlink" Target="http://www.boxofficemojo.com/movies/?id=youngandbeautiful.htm" TargetMode="External"/><Relationship Id="rId1216" Type="http://schemas.openxmlformats.org/officeDocument/2006/relationships/hyperlink" Target="http://www.boxofficemojo.com/studio/chart/?studio=ifc.htm" TargetMode="External"/><Relationship Id="rId1217" Type="http://schemas.openxmlformats.org/officeDocument/2006/relationships/hyperlink" Target="http://www.boxofficemojo.com/schedule/?view=bydate&amp;release=theatrical&amp;date=2014-04-25&amp;p=.htm" TargetMode="External"/><Relationship Id="rId1218" Type="http://schemas.openxmlformats.org/officeDocument/2006/relationships/hyperlink" Target="http://www.boxofficemojo.com/movies/?id=siddharth.htm" TargetMode="External"/><Relationship Id="rId1219" Type="http://schemas.openxmlformats.org/officeDocument/2006/relationships/hyperlink" Target="http://www.boxofficemojo.com/studio/chart/?studio=zeitgeist.htm" TargetMode="External"/><Relationship Id="rId1610" Type="http://schemas.openxmlformats.org/officeDocument/2006/relationships/hyperlink" Target="http://www.boxofficemojo.com/schedule/?view=bydate&amp;release=theatrical&amp;date=2014-12-17&amp;p=.htm" TargetMode="External"/><Relationship Id="rId1611" Type="http://schemas.openxmlformats.org/officeDocument/2006/relationships/hyperlink" Target="http://www.boxofficemojo.com/movies/?id=coldcomesthenight.htm" TargetMode="External"/><Relationship Id="rId1612" Type="http://schemas.openxmlformats.org/officeDocument/2006/relationships/hyperlink" Target="http://www.boxofficemojo.com/studio/chart/?studio=samuelgoldwyn.htm" TargetMode="External"/><Relationship Id="rId1613" Type="http://schemas.openxmlformats.org/officeDocument/2006/relationships/hyperlink" Target="http://www.boxofficemojo.com/schedule/?view=bydate&amp;release=theatrical&amp;date=2014-01-10&amp;p=.htm" TargetMode="External"/><Relationship Id="rId1614" Type="http://schemas.openxmlformats.org/officeDocument/2006/relationships/hyperlink" Target="http://www.boxofficemojo.com/movies/?id=hankandasha.htm" TargetMode="External"/><Relationship Id="rId1615" Type="http://schemas.openxmlformats.org/officeDocument/2006/relationships/hyperlink" Target="http://www.boxofficemojo.com/studio/chart/?studio=filmrise.htm" TargetMode="External"/><Relationship Id="rId1616" Type="http://schemas.openxmlformats.org/officeDocument/2006/relationships/hyperlink" Target="http://www.boxofficemojo.com/schedule/?view=bydate&amp;release=theatrical&amp;date=2014-04-11&amp;p=.htm" TargetMode="External"/><Relationship Id="rId1617" Type="http://schemas.openxmlformats.org/officeDocument/2006/relationships/hyperlink" Target="http://www.boxofficemojo.com/movies/?id=burningbush.htm" TargetMode="External"/><Relationship Id="rId1618" Type="http://schemas.openxmlformats.org/officeDocument/2006/relationships/hyperlink" Target="http://www.boxofficemojo.com/studio/chart/?studio=kinolorber.htm" TargetMode="External"/><Relationship Id="rId1619" Type="http://schemas.openxmlformats.org/officeDocument/2006/relationships/hyperlink" Target="http://www.boxofficemojo.com/schedule/?view=bydate&amp;release=theatrical&amp;date=2014-06-11&amp;p=.htm" TargetMode="External"/><Relationship Id="rId1220" Type="http://schemas.openxmlformats.org/officeDocument/2006/relationships/hyperlink" Target="http://www.boxofficemojo.com/schedule/?view=bydate&amp;release=theatrical&amp;date=2014-06-27&amp;p=.htm" TargetMode="External"/><Relationship Id="rId1221" Type="http://schemas.openxmlformats.org/officeDocument/2006/relationships/hyperlink" Target="http://www.boxofficemojo.com/movies/?id=bicyclingwithmoliere.htm" TargetMode="External"/><Relationship Id="rId760" Type="http://schemas.openxmlformats.org/officeDocument/2006/relationships/hyperlink" Target="http://www.boxofficemojo.com/studio/chart/?studio=janusfilms.htm" TargetMode="External"/><Relationship Id="rId761" Type="http://schemas.openxmlformats.org/officeDocument/2006/relationships/hyperlink" Target="http://www.boxofficemojo.com/schedule/?view=bydate&amp;release=theatrical&amp;date=2014-07-04&amp;p=.htm" TargetMode="External"/><Relationship Id="rId762" Type="http://schemas.openxmlformats.org/officeDocument/2006/relationships/hyperlink" Target="http://www.boxofficemojo.com/movies/?id=oneilove.htm" TargetMode="External"/><Relationship Id="rId763" Type="http://schemas.openxmlformats.org/officeDocument/2006/relationships/hyperlink" Target="http://www.boxofficemojo.com/studio/chart/?studio=radiustwc.htm" TargetMode="External"/><Relationship Id="rId764" Type="http://schemas.openxmlformats.org/officeDocument/2006/relationships/hyperlink" Target="http://www.boxofficemojo.com/schedule/?view=bydate&amp;release=theatrical&amp;date=2014-08-22&amp;p=.htm" TargetMode="External"/><Relationship Id="rId765" Type="http://schemas.openxmlformats.org/officeDocument/2006/relationships/hyperlink" Target="http://www.boxofficemojo.com/movies/?id=tracks2014.htm" TargetMode="External"/><Relationship Id="rId766" Type="http://schemas.openxmlformats.org/officeDocument/2006/relationships/hyperlink" Target="http://www.boxofficemojo.com/studio/chart/?studio=weinsteincompany.htm" TargetMode="External"/><Relationship Id="rId767" Type="http://schemas.openxmlformats.org/officeDocument/2006/relationships/hyperlink" Target="http://www.boxofficemojo.com/schedule/?view=bydate&amp;release=theatrical&amp;date=2014-09-19&amp;p=.htm" TargetMode="External"/><Relationship Id="rId768" Type="http://schemas.openxmlformats.org/officeDocument/2006/relationships/hyperlink" Target="http://www.boxofficemojo.com/movies/?id=twofacesofjanuary.htm" TargetMode="External"/><Relationship Id="rId769" Type="http://schemas.openxmlformats.org/officeDocument/2006/relationships/hyperlink" Target="http://www.boxofficemojo.com/studio/chart/?studio=magnolia.htm" TargetMode="External"/><Relationship Id="rId370" Type="http://schemas.openxmlformats.org/officeDocument/2006/relationships/hyperlink" Target="http://www.boxofficemojo.com/studio/chart/?studio=fs.htm" TargetMode="External"/><Relationship Id="rId371" Type="http://schemas.openxmlformats.org/officeDocument/2006/relationships/hyperlink" Target="http://www.boxofficemojo.com/schedule/?view=bydate&amp;release=theatrical&amp;date=2014-10-03&amp;p=.htm" TargetMode="External"/><Relationship Id="rId372" Type="http://schemas.openxmlformats.org/officeDocument/2006/relationships/hyperlink" Target="http://www.boxofficemojo.com/movies/?id=sincity2.htm" TargetMode="External"/><Relationship Id="rId373" Type="http://schemas.openxmlformats.org/officeDocument/2006/relationships/hyperlink" Target="http://www.boxofficemojo.com/studio/chart/?studio=wdimension.htm" TargetMode="External"/><Relationship Id="rId374" Type="http://schemas.openxmlformats.org/officeDocument/2006/relationships/hyperlink" Target="http://www.boxofficemojo.com/schedule/?view=bydate&amp;release=theatrical&amp;date=2014-08-22&amp;p=.htm" TargetMode="External"/><Relationship Id="rId375" Type="http://schemas.openxmlformats.org/officeDocument/2006/relationships/hyperlink" Target="http://www.boxofficemojo.com/movies/?id=laborday.htm" TargetMode="External"/><Relationship Id="rId376" Type="http://schemas.openxmlformats.org/officeDocument/2006/relationships/hyperlink" Target="http://www.boxofficemojo.com/studio/chart/?studio=paramount.htm" TargetMode="External"/><Relationship Id="rId377" Type="http://schemas.openxmlformats.org/officeDocument/2006/relationships/hyperlink" Target="http://www.boxofficemojo.com/schedule/?view=bydate&amp;release=theatrical&amp;date=2014-01-31&amp;p=.htm" TargetMode="External"/><Relationship Id="rId378" Type="http://schemas.openxmlformats.org/officeDocument/2006/relationships/hyperlink" Target="http://www.boxofficemojo.com/movies/?id=whiplash.htm" TargetMode="External"/><Relationship Id="rId379" Type="http://schemas.openxmlformats.org/officeDocument/2006/relationships/hyperlink" Target="http://www.boxofficemojo.com/studio/chart/?studio=sonyclassics.htm" TargetMode="External"/><Relationship Id="rId1222" Type="http://schemas.openxmlformats.org/officeDocument/2006/relationships/hyperlink" Target="http://www.boxofficemojo.com/studio/chart/?studio=strand.htm" TargetMode="External"/><Relationship Id="rId1223" Type="http://schemas.openxmlformats.org/officeDocument/2006/relationships/hyperlink" Target="http://www.boxofficemojo.com/schedule/?view=bydate&amp;release=theatrical&amp;date=2014-04-23&amp;p=.htm" TargetMode="External"/><Relationship Id="rId1224" Type="http://schemas.openxmlformats.org/officeDocument/2006/relationships/hyperlink" Target="http://www.boxofficemojo.com/movies/?id=frontera.htm" TargetMode="External"/><Relationship Id="rId1225" Type="http://schemas.openxmlformats.org/officeDocument/2006/relationships/hyperlink" Target="http://www.boxofficemojo.com/studio/chart/?studio=magnolia.htm" TargetMode="External"/><Relationship Id="rId1226" Type="http://schemas.openxmlformats.org/officeDocument/2006/relationships/hyperlink" Target="http://www.boxofficemojo.com/schedule/?view=bydate&amp;release=theatrical&amp;date=2014-09-05&amp;p=.htm" TargetMode="External"/><Relationship Id="rId1227" Type="http://schemas.openxmlformats.org/officeDocument/2006/relationships/hyperlink" Target="http://www.boxofficemojo.com/movies/?id=wetlands.htm" TargetMode="External"/><Relationship Id="rId1228" Type="http://schemas.openxmlformats.org/officeDocument/2006/relationships/hyperlink" Target="http://www.boxofficemojo.com/studio/chart/?studio=strand.htm" TargetMode="External"/><Relationship Id="rId1229" Type="http://schemas.openxmlformats.org/officeDocument/2006/relationships/hyperlink" Target="http://www.boxofficemojo.com/schedule/?view=bydate&amp;release=theatrical&amp;date=2014-09-05&amp;p=.htm" TargetMode="External"/><Relationship Id="rId1620" Type="http://schemas.openxmlformats.org/officeDocument/2006/relationships/hyperlink" Target="http://www.boxofficemojo.com/movies/?id=magician2014.htm" TargetMode="External"/><Relationship Id="rId1621" Type="http://schemas.openxmlformats.org/officeDocument/2006/relationships/hyperlink" Target="http://www.boxofficemojo.com/studio/chart/?studio=cohenmedia.htm" TargetMode="External"/><Relationship Id="rId1622" Type="http://schemas.openxmlformats.org/officeDocument/2006/relationships/hyperlink" Target="http://www.boxofficemojo.com/schedule/?view=bydate&amp;release=theatrical&amp;date=2014-12-10&amp;p=.htm" TargetMode="External"/><Relationship Id="rId1623" Type="http://schemas.openxmlformats.org/officeDocument/2006/relationships/hyperlink" Target="http://www.boxofficemojo.com/movies/?id=levitatedmass.htm" TargetMode="External"/><Relationship Id="rId1624" Type="http://schemas.openxmlformats.org/officeDocument/2006/relationships/hyperlink" Target="http://www.boxofficemojo.com/studio/chart/?studio=firstrun.htm" TargetMode="External"/><Relationship Id="rId1625" Type="http://schemas.openxmlformats.org/officeDocument/2006/relationships/hyperlink" Target="http://www.boxofficemojo.com/schedule/?view=bydate&amp;release=theatrical&amp;date=2014-09-05&amp;p=.htm" TargetMode="External"/><Relationship Id="rId1626" Type="http://schemas.openxmlformats.org/officeDocument/2006/relationships/hyperlink" Target="http://www.boxofficemojo.com/movies/?id=oliviaexperiment.htm" TargetMode="External"/><Relationship Id="rId1627" Type="http://schemas.openxmlformats.org/officeDocument/2006/relationships/hyperlink" Target="http://www.boxofficemojo.com/studio/chart/?studio=indican.htm" TargetMode="External"/><Relationship Id="rId1628" Type="http://schemas.openxmlformats.org/officeDocument/2006/relationships/hyperlink" Target="http://www.boxofficemojo.com/schedule/?view=bydate&amp;release=theatrical&amp;date=2014-08-22&amp;p=.htm" TargetMode="External"/><Relationship Id="rId1629" Type="http://schemas.openxmlformats.org/officeDocument/2006/relationships/hyperlink" Target="http://www.boxofficemojo.com/movies/?id=barefoot.htm" TargetMode="External"/><Relationship Id="rId1230" Type="http://schemas.openxmlformats.org/officeDocument/2006/relationships/hyperlink" Target="http://www.boxofficemojo.com/movies/?id=cheapthrills.htm" TargetMode="External"/><Relationship Id="rId1231" Type="http://schemas.openxmlformats.org/officeDocument/2006/relationships/hyperlink" Target="http://www.boxofficemojo.com/studio/chart/?studio=drafthousefilms.htm" TargetMode="External"/><Relationship Id="rId770" Type="http://schemas.openxmlformats.org/officeDocument/2006/relationships/hyperlink" Target="http://www.boxofficemojo.com/schedule/?view=bydate&amp;release=theatrical&amp;date=2014-09-26&amp;p=.htm" TargetMode="External"/><Relationship Id="rId771" Type="http://schemas.openxmlformats.org/officeDocument/2006/relationships/hyperlink" Target="http://www.boxofficemojo.com/movies/?id=girlwalkshomealone.htm" TargetMode="External"/><Relationship Id="rId772" Type="http://schemas.openxmlformats.org/officeDocument/2006/relationships/hyperlink" Target="http://www.boxofficemojo.com/studio/chart/?studio=kinolorber.htm" TargetMode="External"/><Relationship Id="rId773" Type="http://schemas.openxmlformats.org/officeDocument/2006/relationships/hyperlink" Target="http://www.boxofficemojo.com/schedule/?view=bydate&amp;release=theatrical&amp;date=2014-11-21&amp;p=.htm" TargetMode="External"/><Relationship Id="rId774" Type="http://schemas.openxmlformats.org/officeDocument/2006/relationships/hyperlink" Target="http://www.boxofficemojo.com/movies/?id=lastdaysinvietnam.htm" TargetMode="External"/><Relationship Id="rId775" Type="http://schemas.openxmlformats.org/officeDocument/2006/relationships/hyperlink" Target="http://www.boxofficemojo.com/studio/chart/?studio=aef.htm" TargetMode="External"/><Relationship Id="rId776" Type="http://schemas.openxmlformats.org/officeDocument/2006/relationships/hyperlink" Target="http://www.boxofficemojo.com/schedule/?view=bydate&amp;release=theatrical&amp;date=2014-09-05&amp;p=.htm" TargetMode="External"/><Relationship Id="rId777" Type="http://schemas.openxmlformats.org/officeDocument/2006/relationships/hyperlink" Target="http://www.boxofficemojo.com/movies/?id=therese13.htm" TargetMode="External"/><Relationship Id="rId778" Type="http://schemas.openxmlformats.org/officeDocument/2006/relationships/hyperlink" Target="http://www.boxofficemojo.com/studio/chart/?studio=roadsideattractions.htm" TargetMode="External"/><Relationship Id="rId779" Type="http://schemas.openxmlformats.org/officeDocument/2006/relationships/hyperlink" Target="http://www.boxofficemojo.com/schedule/?view=bydate&amp;release=theatrical&amp;date=2014-02-21&amp;p=.htm" TargetMode="External"/><Relationship Id="rId380" Type="http://schemas.openxmlformats.org/officeDocument/2006/relationships/hyperlink" Target="http://www.boxofficemojo.com/schedule/?view=bydate&amp;release=theatrical&amp;date=2014-10-10&amp;p=.htm" TargetMode="External"/><Relationship Id="rId381" Type="http://schemas.openxmlformats.org/officeDocument/2006/relationships/hyperlink" Target="http://www.boxofficemojo.com/movies/?id=winterstale.htm" TargetMode="External"/><Relationship Id="rId382" Type="http://schemas.openxmlformats.org/officeDocument/2006/relationships/hyperlink" Target="http://www.boxofficemojo.com/studio/chart/?studio=warnerbros.htm" TargetMode="External"/><Relationship Id="rId383" Type="http://schemas.openxmlformats.org/officeDocument/2006/relationships/hyperlink" Target="http://www.boxofficemojo.com/schedule/?view=bydate&amp;release=theatrical&amp;date=2014-02-14&amp;p=.htm" TargetMode="External"/><Relationship Id="rId384" Type="http://schemas.openxmlformats.org/officeDocument/2006/relationships/hyperlink" Target="http://www.boxofficemojo.com/movies/?id=foxcatcher.htm" TargetMode="External"/><Relationship Id="rId385" Type="http://schemas.openxmlformats.org/officeDocument/2006/relationships/hyperlink" Target="http://www.boxofficemojo.com/studio/chart/?studio=sonyclassics.htm" TargetMode="External"/><Relationship Id="rId386" Type="http://schemas.openxmlformats.org/officeDocument/2006/relationships/hyperlink" Target="http://www.boxofficemojo.com/schedule/?view=bydate&amp;release=theatrical&amp;date=2014-11-14&amp;p=.htm" TargetMode="External"/><Relationship Id="rId387" Type="http://schemas.openxmlformats.org/officeDocument/2006/relationships/hyperlink" Target="http://www.boxofficemojo.com/movies/?id=islandoflemurs.htm" TargetMode="External"/><Relationship Id="rId388" Type="http://schemas.openxmlformats.org/officeDocument/2006/relationships/hyperlink" Target="http://www.boxofficemojo.com/studio/chart/?studio=warnerbros.htm" TargetMode="External"/><Relationship Id="rId389" Type="http://schemas.openxmlformats.org/officeDocument/2006/relationships/hyperlink" Target="http://www.boxofficemojo.com/schedule/?view=bydate&amp;release=theatrical&amp;date=2014-04-04&amp;p=.htm" TargetMode="External"/><Relationship Id="rId1232" Type="http://schemas.openxmlformats.org/officeDocument/2006/relationships/hyperlink" Target="http://www.boxofficemojo.com/schedule/?view=bydate&amp;release=theatrical&amp;date=2014-03-21&amp;p=.htm" TargetMode="External"/><Relationship Id="rId1233" Type="http://schemas.openxmlformats.org/officeDocument/2006/relationships/hyperlink" Target="http://www.boxofficemojo.com/movies/?id=walkofshame.htm" TargetMode="External"/><Relationship Id="rId1234" Type="http://schemas.openxmlformats.org/officeDocument/2006/relationships/hyperlink" Target="http://www.boxofficemojo.com/studio/chart/?studio=focus.htm" TargetMode="External"/><Relationship Id="rId1235" Type="http://schemas.openxmlformats.org/officeDocument/2006/relationships/hyperlink" Target="http://www.boxofficemojo.com/schedule/?view=bydate&amp;release=theatrical&amp;date=2014-05-02&amp;p=.htm" TargetMode="External"/><Relationship Id="rId1236" Type="http://schemas.openxmlformats.org/officeDocument/2006/relationships/hyperlink" Target="http://www.boxofficemojo.com/movies/?id=oneiwroteforyou.htm" TargetMode="External"/><Relationship Id="rId1237" Type="http://schemas.openxmlformats.org/officeDocument/2006/relationships/hyperlink" Target="http://www.boxofficemojo.com/studio/chart/?studio=abramorama.htm" TargetMode="External"/><Relationship Id="rId1238" Type="http://schemas.openxmlformats.org/officeDocument/2006/relationships/hyperlink" Target="http://www.boxofficemojo.com/schedule/?view=bydate&amp;release=theatrical&amp;date=2014-12-05&amp;p=.htm" TargetMode="External"/><Relationship Id="rId1239" Type="http://schemas.openxmlformats.org/officeDocument/2006/relationships/hyperlink" Target="http://www.boxofficemojo.com/movies/?id=sagrada.htm" TargetMode="External"/><Relationship Id="rId1630" Type="http://schemas.openxmlformats.org/officeDocument/2006/relationships/hyperlink" Target="http://www.boxofficemojo.com/studio/chart/?studio=roadsideattractions.htm" TargetMode="External"/><Relationship Id="rId1631" Type="http://schemas.openxmlformats.org/officeDocument/2006/relationships/hyperlink" Target="http://www.boxofficemojo.com/schedule/?view=bydate&amp;release=theatrical&amp;date=2014-02-21&amp;p=.htm" TargetMode="External"/><Relationship Id="rId1632" Type="http://schemas.openxmlformats.org/officeDocument/2006/relationships/hyperlink" Target="http://www.boxofficemojo.com/movies/?id=horsesofgod.htm" TargetMode="External"/><Relationship Id="rId1633" Type="http://schemas.openxmlformats.org/officeDocument/2006/relationships/hyperlink" Target="http://www.boxofficemojo.com/studio/chart/?studio=kinolorber.htm" TargetMode="External"/><Relationship Id="rId1634" Type="http://schemas.openxmlformats.org/officeDocument/2006/relationships/hyperlink" Target="http://www.boxofficemojo.com/schedule/?view=bydate&amp;release=theatrical&amp;date=2014-05-14&amp;p=.htm" TargetMode="External"/><Relationship Id="rId1635" Type="http://schemas.openxmlformats.org/officeDocument/2006/relationships/hyperlink" Target="http://www.boxofficemojo.com/movies/?id=lastpassenger.htm" TargetMode="External"/><Relationship Id="rId1636" Type="http://schemas.openxmlformats.org/officeDocument/2006/relationships/hyperlink" Target="http://www.boxofficemojo.com/studio/chart/?studio=cohenmedia.htm" TargetMode="External"/><Relationship Id="rId1637" Type="http://schemas.openxmlformats.org/officeDocument/2006/relationships/hyperlink" Target="http://www.boxofficemojo.com/schedule/?view=bydate&amp;release=theatrical&amp;date=2014-04-25&amp;p=.htm" TargetMode="External"/><Relationship Id="rId1638" Type="http://schemas.openxmlformats.org/officeDocument/2006/relationships/hyperlink" Target="http://www.boxofficemojo.com/movies/?id=exhibition.htm" TargetMode="External"/><Relationship Id="rId1639" Type="http://schemas.openxmlformats.org/officeDocument/2006/relationships/hyperlink" Target="http://www.boxofficemojo.com/studio/chart/?studio=kinolorber.htm" TargetMode="External"/><Relationship Id="rId1240" Type="http://schemas.openxmlformats.org/officeDocument/2006/relationships/hyperlink" Target="http://www.boxofficemojo.com/studio/chart/?studio=firstrun.htm" TargetMode="External"/><Relationship Id="rId1241" Type="http://schemas.openxmlformats.org/officeDocument/2006/relationships/hyperlink" Target="http://www.boxofficemojo.com/schedule/?view=bydate&amp;release=theatrical&amp;date=2014-09-12&amp;p=.htm" TargetMode="External"/><Relationship Id="rId780" Type="http://schemas.openxmlformats.org/officeDocument/2006/relationships/hyperlink" Target="http://www.boxofficemojo.com/movies/?id=butalways.htm" TargetMode="External"/><Relationship Id="rId781" Type="http://schemas.openxmlformats.org/officeDocument/2006/relationships/hyperlink" Target="http://www.boxofficemojo.com/studio/chart/?studio=chinalion.htm" TargetMode="External"/><Relationship Id="rId782" Type="http://schemas.openxmlformats.org/officeDocument/2006/relationships/hyperlink" Target="http://www.boxofficemojo.com/schedule/?view=bydate&amp;release=theatrical&amp;date=2014-09-05&amp;p=.htm" TargetMode="External"/><Relationship Id="rId783" Type="http://schemas.openxmlformats.org/officeDocument/2006/relationships/hyperlink" Target="http://www.boxofficemojo.com/movies/?id=beijinglovestory.htm" TargetMode="External"/><Relationship Id="rId784" Type="http://schemas.openxmlformats.org/officeDocument/2006/relationships/hyperlink" Target="http://www.boxofficemojo.com/studio/chart/?studio=chinalion.htm" TargetMode="External"/><Relationship Id="rId785" Type="http://schemas.openxmlformats.org/officeDocument/2006/relationships/hyperlink" Target="http://www.boxofficemojo.com/schedule/?view=bydate&amp;release=theatrical&amp;date=2014-02-14&amp;p=.htm" TargetMode="External"/><Relationship Id="rId786" Type="http://schemas.openxmlformats.org/officeDocument/2006/relationships/hyperlink" Target="http://www.boxofficemojo.com/movies/?id=coldinjuly.htm" TargetMode="External"/><Relationship Id="rId787" Type="http://schemas.openxmlformats.org/officeDocument/2006/relationships/hyperlink" Target="http://www.boxofficemojo.com/studio/chart/?studio=ifc.htm" TargetMode="External"/><Relationship Id="rId788" Type="http://schemas.openxmlformats.org/officeDocument/2006/relationships/hyperlink" Target="http://www.boxofficemojo.com/schedule/?view=bydate&amp;release=theatrical&amp;date=2014-05-23&amp;p=.htm" TargetMode="External"/><Relationship Id="rId789" Type="http://schemas.openxmlformats.org/officeDocument/2006/relationships/hyperlink" Target="http://www.boxofficemojo.com/movies/?id=beautifulwhenangry.htm" TargetMode="External"/><Relationship Id="rId390" Type="http://schemas.openxmlformats.org/officeDocument/2006/relationships/hyperlink" Target="http://www.boxofficemojo.com/movies/?id=belle.htm" TargetMode="External"/><Relationship Id="rId391" Type="http://schemas.openxmlformats.org/officeDocument/2006/relationships/hyperlink" Target="http://www.boxofficemojo.com/studio/chart/?studio=foxsearchlight.htm" TargetMode="External"/><Relationship Id="rId392" Type="http://schemas.openxmlformats.org/officeDocument/2006/relationships/hyperlink" Target="http://www.boxofficemojo.com/schedule/?view=bydate&amp;release=theatrical&amp;date=2014-05-02&amp;p=.htm" TargetMode="External"/><Relationship Id="rId393" Type="http://schemas.openxmlformats.org/officeDocument/2006/relationships/hyperlink" Target="http://www.boxofficemojo.com/movies/?id=drop.htm" TargetMode="External"/><Relationship Id="rId394" Type="http://schemas.openxmlformats.org/officeDocument/2006/relationships/hyperlink" Target="http://www.boxofficemojo.com/studio/chart/?studio=foxsearchlight.htm" TargetMode="External"/><Relationship Id="rId395" Type="http://schemas.openxmlformats.org/officeDocument/2006/relationships/hyperlink" Target="http://www.boxofficemojo.com/schedule/?view=bydate&amp;release=theatrical&amp;date=2014-09-12&amp;p=.htm" TargetMode="External"/><Relationship Id="rId396" Type="http://schemas.openxmlformats.org/officeDocument/2006/relationships/hyperlink" Target="http://www.boxofficemojo.com/movies/?id=pk.htm" TargetMode="External"/><Relationship Id="rId397" Type="http://schemas.openxmlformats.org/officeDocument/2006/relationships/hyperlink" Target="http://www.boxofficemojo.com/studio/chart/?studio=utv.htm" TargetMode="External"/><Relationship Id="rId398" Type="http://schemas.openxmlformats.org/officeDocument/2006/relationships/hyperlink" Target="http://www.boxofficemojo.com/schedule/?view=bydate&amp;release=theatrical&amp;date=2014-12-19&amp;p=.htm" TargetMode="External"/><Relationship Id="rId399" Type="http://schemas.openxmlformats.org/officeDocument/2006/relationships/hyperlink" Target="http://www.boxofficemojo.com/movies/?id=magicinthemoonlight.htm" TargetMode="External"/><Relationship Id="rId1242" Type="http://schemas.openxmlformats.org/officeDocument/2006/relationships/hyperlink" Target="http://www.boxofficemojo.com/movies/?id=conformist2014.htm" TargetMode="External"/><Relationship Id="rId1243" Type="http://schemas.openxmlformats.org/officeDocument/2006/relationships/hyperlink" Target="http://www.boxofficemojo.com/studio/chart/?studio=kinolorber.htm" TargetMode="External"/><Relationship Id="rId1244" Type="http://schemas.openxmlformats.org/officeDocument/2006/relationships/hyperlink" Target="http://www.boxofficemojo.com/schedule/?view=bydate&amp;release=theatrical&amp;date=2014-08-29&amp;p=.htm" TargetMode="External"/><Relationship Id="rId1245" Type="http://schemas.openxmlformats.org/officeDocument/2006/relationships/hyperlink" Target="http://www.boxofficemojo.com/movies/?id=rudderless.htm" TargetMode="External"/><Relationship Id="rId1246" Type="http://schemas.openxmlformats.org/officeDocument/2006/relationships/hyperlink" Target="http://www.boxofficemojo.com/studio/chart/?studio=samuelgoldwyn.htm" TargetMode="External"/><Relationship Id="rId1247" Type="http://schemas.openxmlformats.org/officeDocument/2006/relationships/hyperlink" Target="http://www.boxofficemojo.com/schedule/?view=bydate&amp;release=theatrical&amp;date=2014-10-17&amp;p=.htm" TargetMode="External"/><Relationship Id="rId1248" Type="http://schemas.openxmlformats.org/officeDocument/2006/relationships/hyperlink" Target="http://www.boxofficemojo.com/movies/?id=borgman.htm" TargetMode="External"/><Relationship Id="rId1249" Type="http://schemas.openxmlformats.org/officeDocument/2006/relationships/hyperlink" Target="http://www.boxofficemojo.com/studio/chart/?studio=drafthousefilms.htm" TargetMode="External"/><Relationship Id="rId1640" Type="http://schemas.openxmlformats.org/officeDocument/2006/relationships/hyperlink" Target="http://www.boxofficemojo.com/schedule/?view=bydate&amp;release=theatrical&amp;date=2014-06-20&amp;p=.htm" TargetMode="External"/><Relationship Id="rId1641" Type="http://schemas.openxmlformats.org/officeDocument/2006/relationships/hyperlink" Target="http://www.boxofficemojo.com/movies/?id=13sins.htm" TargetMode="External"/><Relationship Id="rId1642" Type="http://schemas.openxmlformats.org/officeDocument/2006/relationships/hyperlink" Target="http://www.boxofficemojo.com/studio/chart/?studio=radiustwc.htm" TargetMode="External"/><Relationship Id="rId1643" Type="http://schemas.openxmlformats.org/officeDocument/2006/relationships/hyperlink" Target="http://www.boxofficemojo.com/schedule/?view=bydate&amp;release=theatrical&amp;date=2014-04-18&amp;p=.htm" TargetMode="External"/><Relationship Id="rId1644" Type="http://schemas.openxmlformats.org/officeDocument/2006/relationships/hyperlink" Target="http://www.boxofficemojo.com/movies/?id=prettyone.htm" TargetMode="External"/><Relationship Id="rId1645" Type="http://schemas.openxmlformats.org/officeDocument/2006/relationships/hyperlink" Target="http://www.boxofficemojo.com/studio/chart/?studio=dada.htm" TargetMode="External"/><Relationship Id="rId1646" Type="http://schemas.openxmlformats.org/officeDocument/2006/relationships/hyperlink" Target="http://www.boxofficemojo.com/schedule/?view=bydate&amp;release=theatrical&amp;date=2014-02-07&amp;p=.htm" TargetMode="External"/><Relationship Id="rId1647" Type="http://schemas.openxmlformats.org/officeDocument/2006/relationships/hyperlink" Target="http://www.boxofficemojo.com/movies/?id=fifihowls.htm" TargetMode="External"/><Relationship Id="rId1648" Type="http://schemas.openxmlformats.org/officeDocument/2006/relationships/hyperlink" Target="http://www.boxofficemojo.com/studio/chart/?studio=musicboxfilms.htm" TargetMode="External"/><Relationship Id="rId1649" Type="http://schemas.openxmlformats.org/officeDocument/2006/relationships/hyperlink" Target="http://www.boxofficemojo.com/schedule/?view=bydate&amp;release=theatrical&amp;date=2014-08-08&amp;p=.htm" TargetMode="External"/><Relationship Id="rId1250" Type="http://schemas.openxmlformats.org/officeDocument/2006/relationships/hyperlink" Target="http://www.boxofficemojo.com/schedule/?view=bydate&amp;release=theatrical&amp;date=2014-06-06&amp;p=.htm" TargetMode="External"/><Relationship Id="rId1251" Type="http://schemas.openxmlformats.org/officeDocument/2006/relationships/hyperlink" Target="http://www.boxofficemojo.com/movies/?id=rocket2014.htm" TargetMode="External"/><Relationship Id="rId790" Type="http://schemas.openxmlformats.org/officeDocument/2006/relationships/hyperlink" Target="http://www.boxofficemojo.com/studio/chart/?studio=intlfilmcircuit.htm" TargetMode="External"/><Relationship Id="rId791" Type="http://schemas.openxmlformats.org/officeDocument/2006/relationships/hyperlink" Target="http://www.boxofficemojo.com/schedule/?view=bydate&amp;release=theatrical&amp;date=2014-12-05&amp;p=.htm" TargetMode="External"/><Relationship Id="rId792" Type="http://schemas.openxmlformats.org/officeDocument/2006/relationships/hyperlink" Target="http://www.boxofficemojo.com/movies/?id=germandoctor.htm" TargetMode="External"/><Relationship Id="rId793" Type="http://schemas.openxmlformats.org/officeDocument/2006/relationships/hyperlink" Target="http://www.boxofficemojo.com/studio/chart/?studio=samuelgoldwyn.htm" TargetMode="External"/><Relationship Id="rId794" Type="http://schemas.openxmlformats.org/officeDocument/2006/relationships/hyperlink" Target="http://www.boxofficemojo.com/schedule/?view=bydate&amp;release=theatrical&amp;date=2014-04-25&amp;p=.htm" TargetMode="External"/><Relationship Id="rId795" Type="http://schemas.openxmlformats.org/officeDocument/2006/relationships/hyperlink" Target="http://www.boxofficemojo.com/movies/?id=pirates2014.htm" TargetMode="External"/><Relationship Id="rId796" Type="http://schemas.openxmlformats.org/officeDocument/2006/relationships/hyperlink" Target="http://www.boxofficemojo.com/studio/chart/?studio=wellgo.htm" TargetMode="External"/><Relationship Id="rId797" Type="http://schemas.openxmlformats.org/officeDocument/2006/relationships/hyperlink" Target="http://www.boxofficemojo.com/schedule/?view=bydate&amp;release=theatrical&amp;date=2014-09-05&amp;p=.htm" TargetMode="External"/><Relationship Id="rId798" Type="http://schemas.openxmlformats.org/officeDocument/2006/relationships/hyperlink" Target="http://www.boxofficemojo.com/movies/?id=goodbyetolanguage.htm" TargetMode="External"/><Relationship Id="rId799" Type="http://schemas.openxmlformats.org/officeDocument/2006/relationships/hyperlink" Target="http://www.boxofficemojo.com/studio/chart/?studio=kinolorber.htm" TargetMode="External"/><Relationship Id="rId1252" Type="http://schemas.openxmlformats.org/officeDocument/2006/relationships/hyperlink" Target="http://www.boxofficemojo.com/studio/chart/?studio=kinolorber.htm" TargetMode="External"/><Relationship Id="rId1253" Type="http://schemas.openxmlformats.org/officeDocument/2006/relationships/hyperlink" Target="http://www.boxofficemojo.com/schedule/?view=bydate&amp;release=theatrical&amp;date=2014-01-10&amp;p=.htm" TargetMode="External"/><Relationship Id="rId1254" Type="http://schemas.openxmlformats.org/officeDocument/2006/relationships/hyperlink" Target="http://www.boxofficemojo.com/movies/?id=iloilo.htm" TargetMode="External"/><Relationship Id="rId1255" Type="http://schemas.openxmlformats.org/officeDocument/2006/relationships/hyperlink" Target="http://www.boxofficemojo.com/studio/chart/?studio=filmmovement.htm" TargetMode="External"/><Relationship Id="rId1256" Type="http://schemas.openxmlformats.org/officeDocument/2006/relationships/hyperlink" Target="http://www.boxofficemojo.com/schedule/?view=bydate&amp;release=theatrical&amp;date=2014-04-04&amp;p=.htm" TargetMode="External"/><Relationship Id="rId1257" Type="http://schemas.openxmlformats.org/officeDocument/2006/relationships/hyperlink" Target="http://www.boxofficemojo.com/movies/?id=bagman.htm" TargetMode="External"/><Relationship Id="rId1258" Type="http://schemas.openxmlformats.org/officeDocument/2006/relationships/hyperlink" Target="http://www.boxofficemojo.com/studio/chart/?studio=cinedigmentertainment.htm" TargetMode="External"/><Relationship Id="rId1259" Type="http://schemas.openxmlformats.org/officeDocument/2006/relationships/hyperlink" Target="http://www.boxofficemojo.com/schedule/?view=bydate&amp;release=theatrical&amp;date=2014-02-28&amp;p=.htm" TargetMode="External"/><Relationship Id="rId1650" Type="http://schemas.openxmlformats.org/officeDocument/2006/relationships/hyperlink" Target="http://www.boxofficemojo.com/movies/?id=goliath.htm" TargetMode="External"/><Relationship Id="rId1651" Type="http://schemas.openxmlformats.org/officeDocument/2006/relationships/hyperlink" Target="http://www.boxofficemojo.com/studio/chart/?studio=barkingcow.htm" TargetMode="External"/><Relationship Id="rId1652" Type="http://schemas.openxmlformats.org/officeDocument/2006/relationships/hyperlink" Target="http://www.boxofficemojo.com/schedule/?view=bydate&amp;release=theatrical&amp;date=2014-03-07&amp;p=.htm" TargetMode="External"/><Relationship Id="rId1653" Type="http://schemas.openxmlformats.org/officeDocument/2006/relationships/hyperlink" Target="http://www.boxofficemojo.com/movies/?id=alongwaydown.htm" TargetMode="External"/><Relationship Id="rId1654" Type="http://schemas.openxmlformats.org/officeDocument/2006/relationships/hyperlink" Target="http://www.boxofficemojo.com/studio/chart/?studio=magnolia.htm" TargetMode="External"/><Relationship Id="rId1655" Type="http://schemas.openxmlformats.org/officeDocument/2006/relationships/hyperlink" Target="http://www.boxofficemojo.com/schedule/?view=bydate&amp;release=theatrical&amp;date=2014-07-11&amp;p=.htm" TargetMode="External"/><Relationship Id="rId1656" Type="http://schemas.openxmlformats.org/officeDocument/2006/relationships/hyperlink" Target="http://www.boxofficemojo.com/movies/?id=campxray.htm" TargetMode="External"/><Relationship Id="rId1657" Type="http://schemas.openxmlformats.org/officeDocument/2006/relationships/hyperlink" Target="http://www.boxofficemojo.com/studio/chart/?studio=ifc.htm" TargetMode="External"/><Relationship Id="rId1658" Type="http://schemas.openxmlformats.org/officeDocument/2006/relationships/hyperlink" Target="http://www.boxofficemojo.com/schedule/?view=bydate&amp;release=theatrical&amp;date=2014-10-17&amp;p=.htm" TargetMode="External"/><Relationship Id="rId1659" Type="http://schemas.openxmlformats.org/officeDocument/2006/relationships/hyperlink" Target="http://www.boxofficemojo.com/movies/?id=daysandnights.htm" TargetMode="External"/><Relationship Id="rId1260" Type="http://schemas.openxmlformats.org/officeDocument/2006/relationships/hyperlink" Target="http://www.boxofficemojo.com/movies/?id=bigmen.htm" TargetMode="External"/><Relationship Id="rId1261" Type="http://schemas.openxmlformats.org/officeDocument/2006/relationships/hyperlink" Target="http://www.boxofficemojo.com/studio/chart/?studio=abramorama.htm" TargetMode="External"/><Relationship Id="rId1262" Type="http://schemas.openxmlformats.org/officeDocument/2006/relationships/hyperlink" Target="http://www.boxofficemojo.com/schedule/?view=bydate&amp;release=theatrical&amp;date=2014-03-14&amp;p=.htm" TargetMode="External"/><Relationship Id="rId1263" Type="http://schemas.openxmlformats.org/officeDocument/2006/relationships/hyperlink" Target="http://www.boxofficemojo.com/movies/?id=inbloom.htm" TargetMode="External"/><Relationship Id="rId1264" Type="http://schemas.openxmlformats.org/officeDocument/2006/relationships/hyperlink" Target="http://www.boxofficemojo.com/studio/chart/?studio=bigworld.htm" TargetMode="External"/><Relationship Id="rId1265" Type="http://schemas.openxmlformats.org/officeDocument/2006/relationships/hyperlink" Target="http://www.boxofficemojo.com/schedule/?view=bydate&amp;release=theatrical&amp;date=2014-01-10&amp;p=.htm" TargetMode="External"/><Relationship Id="rId1266" Type="http://schemas.openxmlformats.org/officeDocument/2006/relationships/hyperlink" Target="http://www.boxofficemojo.com/movies/?id=hellion.htm" TargetMode="External"/><Relationship Id="rId1267" Type="http://schemas.openxmlformats.org/officeDocument/2006/relationships/hyperlink" Target="http://www.boxofficemojo.com/studio/chart/?studio=ifc.htm" TargetMode="External"/><Relationship Id="rId1268" Type="http://schemas.openxmlformats.org/officeDocument/2006/relationships/hyperlink" Target="http://www.boxofficemojo.com/schedule/?view=bydate&amp;release=theatrical&amp;date=2014-06-13&amp;p=.htm" TargetMode="External"/><Relationship Id="rId1269" Type="http://schemas.openxmlformats.org/officeDocument/2006/relationships/hyperlink" Target="http://www.boxofficemojo.com/movies/?id=starredup.htm" TargetMode="External"/><Relationship Id="rId400" Type="http://schemas.openxmlformats.org/officeDocument/2006/relationships/hyperlink" Target="http://www.boxofficemojo.com/studio/chart/?studio=sonyclassics.htm" TargetMode="External"/><Relationship Id="rId401" Type="http://schemas.openxmlformats.org/officeDocument/2006/relationships/hyperlink" Target="http://www.boxofficemojo.com/schedule/?view=bydate&amp;release=theatrical&amp;date=2014-07-25&amp;p=.htm" TargetMode="External"/><Relationship Id="rId402" Type="http://schemas.openxmlformats.org/officeDocument/2006/relationships/hyperlink" Target="http://www.boxofficemojo.com/movies/?id=ten2014.htm" TargetMode="External"/><Relationship Id="rId403" Type="http://schemas.openxmlformats.org/officeDocument/2006/relationships/hyperlink" Target="http://www.boxofficemojo.com/studio/chart/?studio=openroads.htm" TargetMode="External"/><Relationship Id="rId404" Type="http://schemas.openxmlformats.org/officeDocument/2006/relationships/hyperlink" Target="http://www.boxofficemojo.com/schedule/?view=bydate&amp;release=theatrical&amp;date=2014-03-28&amp;p=.htm" TargetMode="External"/><Relationship Id="rId405" Type="http://schemas.openxmlformats.org/officeDocument/2006/relationships/hyperlink" Target="http://www.boxofficemojo.com/movies/?id=momsnightout.htm" TargetMode="External"/><Relationship Id="rId406" Type="http://schemas.openxmlformats.org/officeDocument/2006/relationships/hyperlink" Target="http://www.boxofficemojo.com/studio/chart/?studio=tristar.htm" TargetMode="External"/><Relationship Id="rId407" Type="http://schemas.openxmlformats.org/officeDocument/2006/relationships/hyperlink" Target="http://www.boxofficemojo.com/schedule/?view=bydate&amp;release=theatrical&amp;date=2014-05-09&amp;p=.htm" TargetMode="External"/><Relationship Id="rId408" Type="http://schemas.openxmlformats.org/officeDocument/2006/relationships/hyperlink" Target="http://www.boxofficemojo.com/movies/?id=quietones.htm" TargetMode="External"/><Relationship Id="rId409" Type="http://schemas.openxmlformats.org/officeDocument/2006/relationships/hyperlink" Target="http://www.boxofficemojo.com/studio/chart/?studio=lionsgate.htm" TargetMode="External"/><Relationship Id="rId1660" Type="http://schemas.openxmlformats.org/officeDocument/2006/relationships/hyperlink" Target="http://www.boxofficemojo.com/studio/chart/?studio=ifc.htm" TargetMode="External"/><Relationship Id="rId1661" Type="http://schemas.openxmlformats.org/officeDocument/2006/relationships/hyperlink" Target="http://www.boxofficemojo.com/schedule/?view=bydate&amp;release=theatrical&amp;date=2014-09-26&amp;p=.htm" TargetMode="External"/><Relationship Id="rId1662" Type="http://schemas.openxmlformats.org/officeDocument/2006/relationships/hyperlink" Target="http://www.boxofficemojo.com/movies/?id=sollewitt.htm" TargetMode="External"/><Relationship Id="rId1663" Type="http://schemas.openxmlformats.org/officeDocument/2006/relationships/hyperlink" Target="http://www.boxofficemojo.com/studio/chart/?studio=icarus.htm" TargetMode="External"/><Relationship Id="rId1664" Type="http://schemas.openxmlformats.org/officeDocument/2006/relationships/hyperlink" Target="http://www.boxofficemojo.com/schedule/?view=bydate&amp;release=theatrical&amp;date=2014-05-07&amp;p=.htm" TargetMode="External"/><Relationship Id="rId1665" Type="http://schemas.openxmlformats.org/officeDocument/2006/relationships/hyperlink" Target="http://www.boxofficemojo.com/movies/?id=pleasuresofbeingoutofstep.htm" TargetMode="External"/><Relationship Id="rId1666" Type="http://schemas.openxmlformats.org/officeDocument/2006/relationships/hyperlink" Target="http://www.boxofficemojo.com/studio/chart/?studio=firstrun.htm" TargetMode="External"/><Relationship Id="rId1667" Type="http://schemas.openxmlformats.org/officeDocument/2006/relationships/hyperlink" Target="http://www.boxofficemojo.com/schedule/?view=bydate&amp;release=theatrical&amp;date=2014-05-16&amp;p=.htm" TargetMode="External"/><Relationship Id="rId1668" Type="http://schemas.openxmlformats.org/officeDocument/2006/relationships/hyperlink" Target="http://www.boxofficemojo.com/movies/?id=k2siren.htm" TargetMode="External"/><Relationship Id="rId1669" Type="http://schemas.openxmlformats.org/officeDocument/2006/relationships/hyperlink" Target="http://www.boxofficemojo.com/studio/chart/?studio=firstrun.htm" TargetMode="External"/><Relationship Id="rId1270" Type="http://schemas.openxmlformats.org/officeDocument/2006/relationships/hyperlink" Target="http://www.boxofficemojo.com/studio/chart/?studio=tribecafilm.htm" TargetMode="External"/><Relationship Id="rId1271" Type="http://schemas.openxmlformats.org/officeDocument/2006/relationships/hyperlink" Target="http://www.boxofficemojo.com/schedule/?view=bydate&amp;release=theatrical&amp;date=2014-08-27&amp;p=.htm" TargetMode="External"/><Relationship Id="rId1272" Type="http://schemas.openxmlformats.org/officeDocument/2006/relationships/hyperlink" Target="http://www.boxofficemojo.com/movies/?id=halfofayellowsun.htm" TargetMode="External"/><Relationship Id="rId1273" Type="http://schemas.openxmlformats.org/officeDocument/2006/relationships/hyperlink" Target="http://www.boxofficemojo.com/studio/chart/?studio=montereymediainc.htm" TargetMode="External"/><Relationship Id="rId1274" Type="http://schemas.openxmlformats.org/officeDocument/2006/relationships/hyperlink" Target="http://www.boxofficemojo.com/schedule/?view=bydate&amp;release=theatrical&amp;date=2014-05-16&amp;p=.htm" TargetMode="External"/><Relationship Id="rId1275" Type="http://schemas.openxmlformats.org/officeDocument/2006/relationships/hyperlink" Target="http://www.boxofficemojo.com/movies/?id=lowdown.htm" TargetMode="External"/><Relationship Id="rId1276" Type="http://schemas.openxmlformats.org/officeDocument/2006/relationships/hyperlink" Target="http://www.boxofficemojo.com/studio/chart/?studio=oscilloscopepictures.htm" TargetMode="External"/><Relationship Id="rId1277" Type="http://schemas.openxmlformats.org/officeDocument/2006/relationships/hyperlink" Target="http://www.boxofficemojo.com/schedule/?view=bydate&amp;release=theatrical&amp;date=2014-10-24&amp;p=.htm" TargetMode="External"/><Relationship Id="rId1278" Type="http://schemas.openxmlformats.org/officeDocument/2006/relationships/hyperlink" Target="http://www.boxofficemojo.com/movies/?id=hateshiploveship.htm" TargetMode="External"/><Relationship Id="rId1279" Type="http://schemas.openxmlformats.org/officeDocument/2006/relationships/hyperlink" Target="http://www.boxofficemojo.com/studio/chart/?studio=ifc.htm" TargetMode="External"/><Relationship Id="rId800" Type="http://schemas.openxmlformats.org/officeDocument/2006/relationships/hyperlink" Target="http://www.boxofficemojo.com/schedule/?view=bydate&amp;release=theatrical&amp;date=2014-10-24&amp;p=.htm" TargetMode="External"/><Relationship Id="rId801" Type="http://schemas.openxmlformats.org/officeDocument/2006/relationships/hyperlink" Target="http://www.boxofficemojo.com/movies/?id=humptysharma.htm" TargetMode="External"/><Relationship Id="rId802" Type="http://schemas.openxmlformats.org/officeDocument/2006/relationships/hyperlink" Target="http://www.boxofficemojo.com/studio/chart/?studio=reliancebigpictures.htm" TargetMode="External"/><Relationship Id="rId803" Type="http://schemas.openxmlformats.org/officeDocument/2006/relationships/hyperlink" Target="http://www.boxofficemojo.com/schedule/?view=bydate&amp;release=theatrical&amp;date=2014-07-11&amp;p=.htm" TargetMode="External"/><Relationship Id="rId410" Type="http://schemas.openxmlformats.org/officeDocument/2006/relationships/hyperlink" Target="http://www.boxofficemojo.com/schedule/?view=bydate&amp;release=theatrical&amp;date=2014-04-25&amp;p=.htm" TargetMode="External"/><Relationship Id="rId411" Type="http://schemas.openxmlformats.org/officeDocument/2006/relationships/hyperlink" Target="http://www.boxofficemojo.com/movies/?id=legendsofoz.htm" TargetMode="External"/><Relationship Id="rId412" Type="http://schemas.openxmlformats.org/officeDocument/2006/relationships/hyperlink" Target="http://www.boxofficemojo.com/studio/chart/?studio=clarius.htm" TargetMode="External"/><Relationship Id="rId413" Type="http://schemas.openxmlformats.org/officeDocument/2006/relationships/hyperlink" Target="http://www.boxofficemojo.com/schedule/?view=bydate&amp;release=theatrical&amp;date=2014-05-09&amp;p=.htm" TargetMode="External"/><Relationship Id="rId414" Type="http://schemas.openxmlformats.org/officeDocument/2006/relationships/hyperlink" Target="http://www.boxofficemojo.com/movies/?id=inherentvice.htm" TargetMode="External"/><Relationship Id="rId415" Type="http://schemas.openxmlformats.org/officeDocument/2006/relationships/hyperlink" Target="http://www.boxofficemojo.com/studio/chart/?studio=warnerbros.htm" TargetMode="External"/><Relationship Id="rId416" Type="http://schemas.openxmlformats.org/officeDocument/2006/relationships/hyperlink" Target="http://www.boxofficemojo.com/schedule/?view=bydate&amp;release=theatrical&amp;date=2014-12-12&amp;p=.htm" TargetMode="External"/><Relationship Id="rId417" Type="http://schemas.openxmlformats.org/officeDocument/2006/relationships/hyperlink" Target="http://www.boxofficemojo.com/movies/?id=vampireacademy.htm" TargetMode="External"/><Relationship Id="rId418" Type="http://schemas.openxmlformats.org/officeDocument/2006/relationships/hyperlink" Target="http://www.boxofficemojo.com/studio/chart/?studio=weinsteincompany.htm" TargetMode="External"/><Relationship Id="rId419" Type="http://schemas.openxmlformats.org/officeDocument/2006/relationships/hyperlink" Target="http://www.boxofficemojo.com/schedule/?view=bydate&amp;release=theatrical&amp;date=2014-02-07&amp;p=.htm" TargetMode="External"/><Relationship Id="rId804" Type="http://schemas.openxmlformats.org/officeDocument/2006/relationships/hyperlink" Target="http://www.boxofficemojo.com/movies/?id=womenwhoflirt.htm" TargetMode="External"/><Relationship Id="rId805" Type="http://schemas.openxmlformats.org/officeDocument/2006/relationships/hyperlink" Target="http://www.boxofficemojo.com/studio/chart/?studio=chinalion.htm" TargetMode="External"/><Relationship Id="rId806" Type="http://schemas.openxmlformats.org/officeDocument/2006/relationships/hyperlink" Target="http://www.boxofficemojo.com/schedule/?view=bydate&amp;release=theatrical&amp;date=2014-11-26&amp;p=.htm" TargetMode="External"/><Relationship Id="rId807" Type="http://schemas.openxmlformats.org/officeDocument/2006/relationships/hyperlink" Target="http://www.boxofficemojo.com/movies/?id=venusinfur.htm" TargetMode="External"/><Relationship Id="rId808" Type="http://schemas.openxmlformats.org/officeDocument/2006/relationships/hyperlink" Target="http://www.boxofficemojo.com/studio/chart/?studio=ifc.htm" TargetMode="External"/><Relationship Id="rId809" Type="http://schemas.openxmlformats.org/officeDocument/2006/relationships/hyperlink" Target="http://www.boxofficemojo.com/schedule/?view=bydate&amp;release=theatrical&amp;date=2014-06-20&amp;p=.htm" TargetMode="External"/><Relationship Id="rId1670" Type="http://schemas.openxmlformats.org/officeDocument/2006/relationships/hyperlink" Target="http://www.boxofficemojo.com/schedule/?view=bydate&amp;release=theatrical&amp;date=2014-08-22&amp;p=.htm" TargetMode="External"/><Relationship Id="rId1671" Type="http://schemas.openxmlformats.org/officeDocument/2006/relationships/hyperlink" Target="http://www.boxofficemojo.com/movies/?id=alienabduction.htm" TargetMode="External"/><Relationship Id="rId1672" Type="http://schemas.openxmlformats.org/officeDocument/2006/relationships/hyperlink" Target="http://www.boxofficemojo.com/studio/chart/?studio=ifc.htm" TargetMode="External"/><Relationship Id="rId1673" Type="http://schemas.openxmlformats.org/officeDocument/2006/relationships/hyperlink" Target="http://www.boxofficemojo.com/schedule/?view=bydate&amp;release=theatrical&amp;date=2014-04-04&amp;p=.htm" TargetMode="External"/><Relationship Id="rId1280" Type="http://schemas.openxmlformats.org/officeDocument/2006/relationships/hyperlink" Target="http://www.boxofficemojo.com/schedule/?view=bydate&amp;release=theatrical&amp;date=2014-04-11&amp;p=.htm" TargetMode="External"/><Relationship Id="rId1281" Type="http://schemas.openxmlformats.org/officeDocument/2006/relationships/hyperlink" Target="http://www.boxofficemojo.com/movies/?id=1000times.htm" TargetMode="External"/><Relationship Id="rId1282" Type="http://schemas.openxmlformats.org/officeDocument/2006/relationships/hyperlink" Target="http://www.boxofficemojo.com/studio/chart/?studio=filmmovement.htm" TargetMode="External"/><Relationship Id="rId1283" Type="http://schemas.openxmlformats.org/officeDocument/2006/relationships/hyperlink" Target="http://www.boxofficemojo.com/schedule/?view=bydate&amp;release=theatrical&amp;date=2014-10-24&amp;p=.htm" TargetMode="External"/><Relationship Id="rId1284" Type="http://schemas.openxmlformats.org/officeDocument/2006/relationships/hyperlink" Target="http://www.boxofficemojo.com/movies/?id=atmiddleton.htm" TargetMode="External"/><Relationship Id="rId1285" Type="http://schemas.openxmlformats.org/officeDocument/2006/relationships/hyperlink" Target="http://www.boxofficemojo.com/studio/chart/?studio=anchorbayentertainment.htm" TargetMode="External"/><Relationship Id="rId1286" Type="http://schemas.openxmlformats.org/officeDocument/2006/relationships/hyperlink" Target="http://www.boxofficemojo.com/schedule/?view=bydate&amp;release=theatrical&amp;date=2014-01-31&amp;p=.htm" TargetMode="External"/><Relationship Id="rId1287" Type="http://schemas.openxmlformats.org/officeDocument/2006/relationships/hyperlink" Target="http://www.boxofficemojo.com/movies/?id=pingpongsummer.htm" TargetMode="External"/><Relationship Id="rId1288" Type="http://schemas.openxmlformats.org/officeDocument/2006/relationships/hyperlink" Target="http://www.boxofficemojo.com/studio/chart/?studio=gravitas.htm" TargetMode="External"/><Relationship Id="rId1289" Type="http://schemas.openxmlformats.org/officeDocument/2006/relationships/hyperlink" Target="http://www.boxofficemojo.com/schedule/?view=bydate&amp;release=theatrical&amp;date=2014-06-06&amp;p=.htm" TargetMode="External"/><Relationship Id="rId1674" Type="http://schemas.openxmlformats.org/officeDocument/2006/relationships/hyperlink" Target="http://www.boxofficemojo.com/movies/?id=concerningviolence.htm" TargetMode="External"/><Relationship Id="rId1675" Type="http://schemas.openxmlformats.org/officeDocument/2006/relationships/hyperlink" Target="http://www.boxofficemojo.com/studio/chart/?studio=kinolorber.htm" TargetMode="External"/><Relationship Id="rId1676" Type="http://schemas.openxmlformats.org/officeDocument/2006/relationships/hyperlink" Target="http://www.boxofficemojo.com/schedule/?view=bydate&amp;release=theatrical&amp;date=2014-12-05&amp;p=.htm" TargetMode="External"/><Relationship Id="rId1677" Type="http://schemas.openxmlformats.org/officeDocument/2006/relationships/hyperlink" Target="http://www.boxofficemojo.com/movies/?id=specialid.htm" TargetMode="External"/><Relationship Id="rId1678" Type="http://schemas.openxmlformats.org/officeDocument/2006/relationships/hyperlink" Target="http://www.boxofficemojo.com/studio/chart/?studio=wellgo.htm" TargetMode="External"/><Relationship Id="rId1679" Type="http://schemas.openxmlformats.org/officeDocument/2006/relationships/hyperlink" Target="http://www.boxofficemojo.com/schedule/?view=bydate&amp;release=theatrical&amp;date=2014-03-07&amp;p=.htm" TargetMode="External"/><Relationship Id="rId810" Type="http://schemas.openxmlformats.org/officeDocument/2006/relationships/hyperlink" Target="http://www.boxofficemojo.com/movies/?id=joe2014.htm" TargetMode="External"/><Relationship Id="rId811" Type="http://schemas.openxmlformats.org/officeDocument/2006/relationships/hyperlink" Target="http://www.boxofficemojo.com/studio/chart/?studio=roadsideattractions.htm" TargetMode="External"/><Relationship Id="rId812" Type="http://schemas.openxmlformats.org/officeDocument/2006/relationships/hyperlink" Target="http://www.boxofficemojo.com/schedule/?view=bydate&amp;release=theatrical&amp;date=2014-04-11&amp;p=.htm" TargetMode="External"/><Relationship Id="rId813" Type="http://schemas.openxmlformats.org/officeDocument/2006/relationships/hyperlink" Target="http://www.boxofficemojo.com/movies/?id=glencampbell.htm" TargetMode="External"/><Relationship Id="rId420" Type="http://schemas.openxmlformats.org/officeDocument/2006/relationships/hyperlink" Target="http://www.boxofficemojo.com/movies/?id=badwords.htm" TargetMode="External"/><Relationship Id="rId421" Type="http://schemas.openxmlformats.org/officeDocument/2006/relationships/hyperlink" Target="http://www.boxofficemojo.com/studio/chart/?studio=focus.htm" TargetMode="External"/><Relationship Id="rId422" Type="http://schemas.openxmlformats.org/officeDocument/2006/relationships/hyperlink" Target="http://www.boxofficemojo.com/schedule/?view=bydate&amp;release=theatrical&amp;date=2014-03-14&amp;p=.htm" TargetMode="External"/><Relationship Id="rId423" Type="http://schemas.openxmlformats.org/officeDocument/2006/relationships/hyperlink" Target="http://www.boxofficemojo.com/movies/?id=cantinflas.htm" TargetMode="External"/><Relationship Id="rId424" Type="http://schemas.openxmlformats.org/officeDocument/2006/relationships/hyperlink" Target="http://www.boxofficemojo.com/studio/chart/?studio=lionsgate.htm" TargetMode="External"/><Relationship Id="rId425" Type="http://schemas.openxmlformats.org/officeDocument/2006/relationships/hyperlink" Target="http://www.boxofficemojo.com/schedule/?view=bydate&amp;release=theatrical&amp;date=2014-08-29&amp;p=.htm" TargetMode="External"/><Relationship Id="rId426" Type="http://schemas.openxmlformats.org/officeDocument/2006/relationships/hyperlink" Target="http://www.boxofficemojo.com/movies/?id=interview2014.htm" TargetMode="External"/><Relationship Id="rId427" Type="http://schemas.openxmlformats.org/officeDocument/2006/relationships/hyperlink" Target="http://www.boxofficemojo.com/studio/chart/?studio=sony.htm" TargetMode="External"/><Relationship Id="rId428" Type="http://schemas.openxmlformats.org/officeDocument/2006/relationships/hyperlink" Target="http://www.boxofficemojo.com/schedule/?view=bydate&amp;release=theatrical&amp;date=2014-12-25&amp;p=.htm" TargetMode="External"/><Relationship Id="rId429" Type="http://schemas.openxmlformats.org/officeDocument/2006/relationships/hyperlink" Target="http://www.boxofficemojo.com/movies/?id=meetthemormons.htm" TargetMode="External"/><Relationship Id="rId814" Type="http://schemas.openxmlformats.org/officeDocument/2006/relationships/hyperlink" Target="http://www.boxofficemojo.com/studio/chart/?studio=area23a.htm" TargetMode="External"/><Relationship Id="rId815" Type="http://schemas.openxmlformats.org/officeDocument/2006/relationships/hyperlink" Target="http://www.boxofficemojo.com/schedule/?view=bydate&amp;release=theatrical&amp;date=2014-10-24&amp;p=.htm" TargetMode="External"/><Relationship Id="rId816" Type="http://schemas.openxmlformats.org/officeDocument/2006/relationships/hyperlink" Target="http://www.boxofficemojo.com/movies/?id=omar.htm" TargetMode="External"/><Relationship Id="rId817" Type="http://schemas.openxmlformats.org/officeDocument/2006/relationships/hyperlink" Target="http://www.boxofficemojo.com/studio/chart/?studio=adoptfilms.htm" TargetMode="External"/><Relationship Id="rId818" Type="http://schemas.openxmlformats.org/officeDocument/2006/relationships/hyperlink" Target="http://www.boxofficemojo.com/schedule/?view=bydate&amp;release=theatrical&amp;date=2014-02-21&amp;p=.htm" TargetMode="External"/><Relationship Id="rId819" Type="http://schemas.openxmlformats.org/officeDocument/2006/relationships/hyperlink" Target="http://www.boxofficemojo.com/movies/?id=faceoflove.htm" TargetMode="External"/><Relationship Id="rId1680" Type="http://schemas.openxmlformats.org/officeDocument/2006/relationships/hyperlink" Target="http://www.boxofficemojo.com/movies/?id=bhopal.htm" TargetMode="External"/><Relationship Id="rId1681" Type="http://schemas.openxmlformats.org/officeDocument/2006/relationships/hyperlink" Target="http://www.boxofficemojo.com/studio/chart/?studio=revolverentertainment.htm" TargetMode="External"/><Relationship Id="rId1682" Type="http://schemas.openxmlformats.org/officeDocument/2006/relationships/hyperlink" Target="http://www.boxofficemojo.com/schedule/?view=bydate&amp;release=theatrical&amp;date=2014-11-07&amp;p=.htm" TargetMode="External"/><Relationship Id="rId1683" Type="http://schemas.openxmlformats.org/officeDocument/2006/relationships/hyperlink" Target="http://www.boxofficemojo.com/movies/?id=boymeetsgirl.htm" TargetMode="External"/><Relationship Id="rId1290" Type="http://schemas.openxmlformats.org/officeDocument/2006/relationships/hyperlink" Target="http://www.boxofficemojo.com/movies/?id=tobetakei.htm" TargetMode="External"/><Relationship Id="rId1291" Type="http://schemas.openxmlformats.org/officeDocument/2006/relationships/hyperlink" Target="http://www.boxofficemojo.com/studio/chart/?studio=starzmedia.htm" TargetMode="External"/><Relationship Id="rId1292" Type="http://schemas.openxmlformats.org/officeDocument/2006/relationships/hyperlink" Target="http://www.boxofficemojo.com/schedule/?view=bydate&amp;release=theatrical&amp;date=2014-08-22&amp;p=.htm" TargetMode="External"/><Relationship Id="rId1293" Type="http://schemas.openxmlformats.org/officeDocument/2006/relationships/hyperlink" Target="http://www.boxofficemojo.com/movies/?id=missingpicture.htm" TargetMode="External"/><Relationship Id="rId1294" Type="http://schemas.openxmlformats.org/officeDocument/2006/relationships/hyperlink" Target="http://www.boxofficemojo.com/studio/chart/?studio=strand.htm" TargetMode="External"/><Relationship Id="rId1295" Type="http://schemas.openxmlformats.org/officeDocument/2006/relationships/hyperlink" Target="http://www.boxofficemojo.com/schedule/?view=bydate&amp;release=theatrical&amp;date=2014-03-19&amp;p=.htm" TargetMode="External"/><Relationship Id="rId1296" Type="http://schemas.openxmlformats.org/officeDocument/2006/relationships/hyperlink" Target="http://www.boxofficemojo.com/movies/?id=retrieval.htm" TargetMode="External"/><Relationship Id="rId1297" Type="http://schemas.openxmlformats.org/officeDocument/2006/relationships/hyperlink" Target="http://www.boxofficemojo.com/studio/chart/?studio=variancefilms.htm" TargetMode="External"/><Relationship Id="rId1298" Type="http://schemas.openxmlformats.org/officeDocument/2006/relationships/hyperlink" Target="http://www.boxofficemojo.com/schedule/?view=bydate&amp;release=theatrical&amp;date=2014-03-14&amp;p=.htm" TargetMode="External"/><Relationship Id="rId1299" Type="http://schemas.openxmlformats.org/officeDocument/2006/relationships/hyperlink" Target="http://www.boxofficemojo.com/movies/?id=discoverers.htm" TargetMode="External"/><Relationship Id="rId1684" Type="http://schemas.openxmlformats.org/officeDocument/2006/relationships/hyperlink" Target="http://www.boxofficemojo.com/studio/chart/?studio=carlotta.htm" TargetMode="External"/><Relationship Id="rId1685" Type="http://schemas.openxmlformats.org/officeDocument/2006/relationships/hyperlink" Target="http://www.boxofficemojo.com/schedule/?view=bydate&amp;release=theatrical&amp;date=2014-08-08&amp;p=.htm" TargetMode="External"/><Relationship Id="rId1686" Type="http://schemas.openxmlformats.org/officeDocument/2006/relationships/hyperlink" Target="http://www.boxofficemojo.com/movies/?id=touchthewall.htm" TargetMode="External"/><Relationship Id="rId1687" Type="http://schemas.openxmlformats.org/officeDocument/2006/relationships/hyperlink" Target="http://www.boxofficemojo.com/studio/chart/?studio=touchthewall.htm" TargetMode="External"/><Relationship Id="rId1688" Type="http://schemas.openxmlformats.org/officeDocument/2006/relationships/hyperlink" Target="http://www.boxofficemojo.com/schedule/?view=bydate&amp;release=theatrical&amp;date=2014-11-28&amp;p=.htm" TargetMode="External"/><Relationship Id="rId1689" Type="http://schemas.openxmlformats.org/officeDocument/2006/relationships/hyperlink" Target="http://www.boxofficemojo.com/movies/?id=wolves.htm" TargetMode="External"/><Relationship Id="rId820" Type="http://schemas.openxmlformats.org/officeDocument/2006/relationships/hyperlink" Target="http://www.boxofficemojo.com/studio/chart/?studio=ifc.htm" TargetMode="External"/><Relationship Id="rId821" Type="http://schemas.openxmlformats.org/officeDocument/2006/relationships/hyperlink" Target="http://www.boxofficemojo.com/schedule/?view=bydate&amp;release=theatrical&amp;date=2014-03-07&amp;p=.htm" TargetMode="External"/><Relationship Id="rId822" Type="http://schemas.openxmlformats.org/officeDocument/2006/relationships/hyperlink" Target="http://www.boxofficemojo.com/movies/?id=lechef.htm" TargetMode="External"/><Relationship Id="rId823" Type="http://schemas.openxmlformats.org/officeDocument/2006/relationships/hyperlink" Target="http://www.boxofficemojo.com/studio/chart/?studio=cohenmedia.htm" TargetMode="External"/><Relationship Id="rId430" Type="http://schemas.openxmlformats.org/officeDocument/2006/relationships/hyperlink" Target="http://www.boxofficemojo.com/studio/chart/?studio=purdie.htm" TargetMode="External"/><Relationship Id="rId431" Type="http://schemas.openxmlformats.org/officeDocument/2006/relationships/hyperlink" Target="http://www.boxofficemojo.com/schedule/?view=bydate&amp;release=theatrical&amp;date=2014-10-10&amp;p=.htm" TargetMode="External"/><Relationship Id="rId432" Type="http://schemas.openxmlformats.org/officeDocument/2006/relationships/hyperlink" Target="http://www.boxofficemojo.com/movies/?id=amostviolentyear.htm" TargetMode="External"/><Relationship Id="rId433" Type="http://schemas.openxmlformats.org/officeDocument/2006/relationships/hyperlink" Target="http://www.boxofficemojo.com/studio/chart/?studio=a24.htm" TargetMode="External"/><Relationship Id="rId434" Type="http://schemas.openxmlformats.org/officeDocument/2006/relationships/hyperlink" Target="http://www.boxofficemojo.com/schedule/?view=bydate&amp;release=theatrical&amp;date=2014-12-31&amp;p=.htm" TargetMode="External"/><Relationship Id="rId435" Type="http://schemas.openxmlformats.org/officeDocument/2006/relationships/hyperlink" Target="http://www.boxofficemojo.com/movies/?id=cesarchavez.htm" TargetMode="External"/><Relationship Id="rId436" Type="http://schemas.openxmlformats.org/officeDocument/2006/relationships/hyperlink" Target="http://www.boxofficemojo.com/studio/chart/?studio=lionsgate.htm" TargetMode="External"/><Relationship Id="rId437" Type="http://schemas.openxmlformats.org/officeDocument/2006/relationships/hyperlink" Target="http://www.boxofficemojo.com/schedule/?view=bydate&amp;release=theatrical&amp;date=2014-03-28&amp;p=.htm" TargetMode="External"/><Relationship Id="rId438" Type="http://schemas.openxmlformats.org/officeDocument/2006/relationships/hyperlink" Target="http://www.boxofficemojo.com/movies/?id=skeletontwins.htm" TargetMode="External"/><Relationship Id="rId439" Type="http://schemas.openxmlformats.org/officeDocument/2006/relationships/hyperlink" Target="http://www.boxofficemojo.com/studio/chart/?studio=roadsideattractions.htm" TargetMode="External"/><Relationship Id="rId824" Type="http://schemas.openxmlformats.org/officeDocument/2006/relationships/hyperlink" Target="http://www.boxofficemojo.com/schedule/?view=bydate&amp;release=theatrical&amp;date=2014-06-20&amp;p=.htm" TargetMode="External"/><Relationship Id="rId825" Type="http://schemas.openxmlformats.org/officeDocument/2006/relationships/hyperlink" Target="http://www.boxofficemojo.com/movies/?id=jimi.htm" TargetMode="External"/><Relationship Id="rId826" Type="http://schemas.openxmlformats.org/officeDocument/2006/relationships/hyperlink" Target="http://www.boxofficemojo.com/studio/chart/?studio=xlratormedia.htm" TargetMode="External"/><Relationship Id="rId827" Type="http://schemas.openxmlformats.org/officeDocument/2006/relationships/hyperlink" Target="http://www.boxofficemojo.com/schedule/?view=bydate&amp;release=theatrical&amp;date=2014-09-26&amp;p=.htm" TargetMode="External"/><Relationship Id="rId828" Type="http://schemas.openxmlformats.org/officeDocument/2006/relationships/hyperlink" Target="http://www.boxofficemojo.com/movies/?id=chinesepuzzle.htm" TargetMode="External"/><Relationship Id="rId829" Type="http://schemas.openxmlformats.org/officeDocument/2006/relationships/hyperlink" Target="http://www.boxofficemojo.com/studio/chart/?studio=cohenmedia.htm" TargetMode="External"/><Relationship Id="rId1690" Type="http://schemas.openxmlformats.org/officeDocument/2006/relationships/hyperlink" Target="http://www.boxofficemojo.com/studio/chart/?studio=ketchup.htm" TargetMode="External"/><Relationship Id="rId1691" Type="http://schemas.openxmlformats.org/officeDocument/2006/relationships/hyperlink" Target="http://www.boxofficemojo.com/schedule/?view=bydate&amp;release=theatrical&amp;date=2014-11-14&amp;p=.htm" TargetMode="External"/><Relationship Id="rId1692" Type="http://schemas.openxmlformats.org/officeDocument/2006/relationships/hyperlink" Target="http://www.boxofficemojo.com/movies/?id=innogreathurry.htm" TargetMode="External"/><Relationship Id="rId1693" Type="http://schemas.openxmlformats.org/officeDocument/2006/relationships/hyperlink" Target="http://www.boxofficemojo.com/studio/chart/?studio=mtuckman.htm" TargetMode="External"/><Relationship Id="rId1694" Type="http://schemas.openxmlformats.org/officeDocument/2006/relationships/hyperlink" Target="http://www.boxofficemojo.com/schedule/?view=bydate&amp;release=theatrical&amp;date=2014-01-03&amp;p=.htm" TargetMode="External"/><Relationship Id="rId1695" Type="http://schemas.openxmlformats.org/officeDocument/2006/relationships/hyperlink" Target="http://www.boxofficemojo.com/movies/?id=frenchminister.htm" TargetMode="External"/><Relationship Id="rId1696" Type="http://schemas.openxmlformats.org/officeDocument/2006/relationships/hyperlink" Target="http://www.boxofficemojo.com/studio/chart/?studio=ifc.htm" TargetMode="External"/><Relationship Id="rId1697" Type="http://schemas.openxmlformats.org/officeDocument/2006/relationships/hyperlink" Target="http://www.boxofficemojo.com/schedule/?view=bydate&amp;release=theatrical&amp;date=2014-03-21&amp;p=.htm" TargetMode="External"/><Relationship Id="rId1698" Type="http://schemas.openxmlformats.org/officeDocument/2006/relationships/hyperlink" Target="http://www.boxofficemojo.com/movies/?id=queenmargot2014.htm" TargetMode="External"/><Relationship Id="rId1699" Type="http://schemas.openxmlformats.org/officeDocument/2006/relationships/hyperlink" Target="http://www.boxofficemojo.com/studio/chart/?studio=cohenmedia.htm" TargetMode="External"/><Relationship Id="rId830" Type="http://schemas.openxmlformats.org/officeDocument/2006/relationships/hyperlink" Target="http://www.boxofficemojo.com/schedule/?view=bydate&amp;release=theatrical&amp;date=2014-05-16&amp;p=.htm" TargetMode="External"/><Relationship Id="rId831" Type="http://schemas.openxmlformats.org/officeDocument/2006/relationships/hyperlink" Target="http://www.boxofficemojo.com/movies/?id=iorigins.htm" TargetMode="External"/><Relationship Id="rId832" Type="http://schemas.openxmlformats.org/officeDocument/2006/relationships/hyperlink" Target="http://www.boxofficemojo.com/studio/chart/?studio=foxsearchlight.htm" TargetMode="External"/><Relationship Id="rId833" Type="http://schemas.openxmlformats.org/officeDocument/2006/relationships/hyperlink" Target="http://www.boxofficemojo.com/schedule/?view=bydate&amp;release=theatrical&amp;date=2014-07-18&amp;p=.htm" TargetMode="External"/><Relationship Id="rId440" Type="http://schemas.openxmlformats.org/officeDocument/2006/relationships/hyperlink" Target="http://www.boxofficemojo.com/schedule/?view=bydate&amp;release=theatrical&amp;date=2014-09-12&amp;p=.htm" TargetMode="External"/><Relationship Id="rId441" Type="http://schemas.openxmlformats.org/officeDocument/2006/relationships/hyperlink" Target="http://www.boxofficemojo.com/movies/?id=windrises.htm" TargetMode="External"/><Relationship Id="rId442" Type="http://schemas.openxmlformats.org/officeDocument/2006/relationships/hyperlink" Target="http://www.boxofficemojo.com/studio/chart/?studio=buenavista.htm" TargetMode="External"/><Relationship Id="rId443" Type="http://schemas.openxmlformats.org/officeDocument/2006/relationships/hyperlink" Target="http://www.boxofficemojo.com/schedule/?view=bydate&amp;release=theatrical&amp;date=2014-02-21&amp;p=.htm" TargetMode="External"/><Relationship Id="rId444" Type="http://schemas.openxmlformats.org/officeDocument/2006/relationships/hyperlink" Target="http://www.boxofficemojo.com/movies/?id=snowpiercer.htm" TargetMode="External"/><Relationship Id="rId445" Type="http://schemas.openxmlformats.org/officeDocument/2006/relationships/hyperlink" Target="http://www.boxofficemojo.com/studio/chart/?studio=radiustwc.htm" TargetMode="External"/><Relationship Id="rId446" Type="http://schemas.openxmlformats.org/officeDocument/2006/relationships/hyperlink" Target="http://www.boxofficemojo.com/schedule/?view=bydate&amp;release=theatrical&amp;date=2014-06-27&amp;p=.htm" TargetMode="External"/><Relationship Id="rId447" Type="http://schemas.openxmlformats.org/officeDocument/2006/relationships/hyperlink" Target="http://www.boxofficemojo.com/movies/?id=railwayman.htm" TargetMode="External"/><Relationship Id="rId448" Type="http://schemas.openxmlformats.org/officeDocument/2006/relationships/hyperlink" Target="http://www.boxofficemojo.com/studio/chart/?studio=weinsteincompany.htm" TargetMode="External"/><Relationship Id="rId449" Type="http://schemas.openxmlformats.org/officeDocument/2006/relationships/hyperlink" Target="http://www.boxofficemojo.com/schedule/?view=bydate&amp;release=theatrical&amp;date=2014-04-11&amp;p=.htm" TargetMode="External"/><Relationship Id="rId834" Type="http://schemas.openxmlformats.org/officeDocument/2006/relationships/hyperlink" Target="http://www.boxofficemojo.com/movies/?id=fatherson.htm" TargetMode="External"/><Relationship Id="rId835" Type="http://schemas.openxmlformats.org/officeDocument/2006/relationships/hyperlink" Target="http://www.boxofficemojo.com/studio/chart/?studio=ifc.htm" TargetMode="External"/><Relationship Id="rId836" Type="http://schemas.openxmlformats.org/officeDocument/2006/relationships/hyperlink" Target="http://www.boxofficemojo.com/schedule/?view=bydate&amp;release=theatrical&amp;date=2014-01-17&amp;p=.htm" TargetMode="External"/><Relationship Id="rId837" Type="http://schemas.openxmlformats.org/officeDocument/2006/relationships/hyperlink" Target="http://www.boxofficemojo.com/movies/?id=guest2014.htm" TargetMode="External"/><Relationship Id="rId838" Type="http://schemas.openxmlformats.org/officeDocument/2006/relationships/hyperlink" Target="http://www.boxofficemojo.com/studio/chart/?studio=picturehouse2.htm" TargetMode="External"/><Relationship Id="rId839" Type="http://schemas.openxmlformats.org/officeDocument/2006/relationships/hyperlink" Target="http://www.boxofficemojo.com/schedule/?view=bydate&amp;release=theatrical&amp;date=2014-09-17&amp;p=.htm" TargetMode="External"/><Relationship Id="rId1300" Type="http://schemas.openxmlformats.org/officeDocument/2006/relationships/hyperlink" Target="http://www.boxofficemojo.com/studio/chart/?studio=quadraticmedia.htm" TargetMode="External"/><Relationship Id="rId1301" Type="http://schemas.openxmlformats.org/officeDocument/2006/relationships/hyperlink" Target="http://www.boxofficemojo.com/schedule/?view=bydate&amp;release=theatrical&amp;date=2014-05-16&amp;p=.htm" TargetMode="External"/><Relationship Id="rId1302" Type="http://schemas.openxmlformats.org/officeDocument/2006/relationships/hyperlink" Target="http://www.boxofficemojo.com/movies/?id=nowwings.htm" TargetMode="External"/><Relationship Id="rId1303" Type="http://schemas.openxmlformats.org/officeDocument/2006/relationships/hyperlink" Target="http://www.boxofficemojo.com/studio/chart/?studio=spacey.htm" TargetMode="External"/><Relationship Id="rId1304" Type="http://schemas.openxmlformats.org/officeDocument/2006/relationships/hyperlink" Target="http://www.boxofficemojo.com/schedule/?view=bydate&amp;release=theatrical&amp;date=2014-05-02&amp;p=.htm" TargetMode="External"/><Relationship Id="rId1305" Type="http://schemas.openxmlformats.org/officeDocument/2006/relationships/hyperlink" Target="http://www.boxofficemojo.com/movies/?id=shirininlove.htm" TargetMode="External"/><Relationship Id="rId1306" Type="http://schemas.openxmlformats.org/officeDocument/2006/relationships/hyperlink" Target="http://www.boxofficemojo.com/studio/chart/?studio=sideshow.htm" TargetMode="External"/><Relationship Id="rId1307" Type="http://schemas.openxmlformats.org/officeDocument/2006/relationships/hyperlink" Target="http://www.boxofficemojo.com/schedule/?view=bydate&amp;release=theatrical&amp;date=2014-03-14&amp;p=.htm" TargetMode="External"/><Relationship Id="rId1308" Type="http://schemas.openxmlformats.org/officeDocument/2006/relationships/hyperlink" Target="http://www.boxofficemojo.com/movies/?id=internetsownboy.htm" TargetMode="External"/><Relationship Id="rId1309" Type="http://schemas.openxmlformats.org/officeDocument/2006/relationships/hyperlink" Target="http://www.boxofficemojo.com/studio/chart/?studio=filmbuffparticipant.htm" TargetMode="External"/><Relationship Id="rId840" Type="http://schemas.openxmlformats.org/officeDocument/2006/relationships/hyperlink" Target="http://www.boxofficemojo.com/movies/?id=elainestritch.htm" TargetMode="External"/><Relationship Id="rId841" Type="http://schemas.openxmlformats.org/officeDocument/2006/relationships/hyperlink" Target="http://www.boxofficemojo.com/studio/chart/?studio=ifc.htm" TargetMode="External"/><Relationship Id="rId450" Type="http://schemas.openxmlformats.org/officeDocument/2006/relationships/hyperlink" Target="http://www.boxofficemojo.com/movies/?id=dearwhitepeople.htm" TargetMode="External"/><Relationship Id="rId451" Type="http://schemas.openxmlformats.org/officeDocument/2006/relationships/hyperlink" Target="http://www.boxofficemojo.com/studio/chart/?studio=roadsideattractions.htm" TargetMode="External"/><Relationship Id="rId452" Type="http://schemas.openxmlformats.org/officeDocument/2006/relationships/hyperlink" Target="http://www.boxofficemojo.com/schedule/?view=bydate&amp;release=theatrical&amp;date=2014-10-17&amp;p=.htm" TargetMode="External"/><Relationship Id="rId453" Type="http://schemas.openxmlformats.org/officeDocument/2006/relationships/hyperlink" Target="http://www.boxofficemojo.com/movies/?id=lunchbox.htm" TargetMode="External"/><Relationship Id="rId454" Type="http://schemas.openxmlformats.org/officeDocument/2006/relationships/hyperlink" Target="http://www.boxofficemojo.com/studio/chart/?studio=sonyclassics.htm" TargetMode="External"/><Relationship Id="rId455" Type="http://schemas.openxmlformats.org/officeDocument/2006/relationships/hyperlink" Target="http://www.boxofficemojo.com/schedule/?view=bydate&amp;release=theatrical&amp;date=2014-02-28&amp;p=.htm" TargetMode="External"/><Relationship Id="rId456" Type="http://schemas.openxmlformats.org/officeDocument/2006/relationships/hyperlink" Target="http://www.boxofficemojo.com/movies/?id=myoldlady.htm" TargetMode="External"/><Relationship Id="rId457" Type="http://schemas.openxmlformats.org/officeDocument/2006/relationships/hyperlink" Target="http://www.boxofficemojo.com/studio/chart/?studio=cohenmedia.htm" TargetMode="External"/><Relationship Id="rId458" Type="http://schemas.openxmlformats.org/officeDocument/2006/relationships/hyperlink" Target="http://www.boxofficemojo.com/schedule/?view=bydate&amp;release=theatrical&amp;date=2014-09-10&amp;p=.htm" TargetMode="External"/><Relationship Id="rId459" Type="http://schemas.openxmlformats.org/officeDocument/2006/relationships/hyperlink" Target="http://www.boxofficemojo.com/movies/?id=mrturner.htm" TargetMode="External"/><Relationship Id="rId842" Type="http://schemas.openxmlformats.org/officeDocument/2006/relationships/hyperlink" Target="http://www.boxofficemojo.com/schedule/?view=bydate&amp;release=theatrical&amp;date=2014-02-21&amp;p=.htm" TargetMode="External"/><Relationship Id="rId843" Type="http://schemas.openxmlformats.org/officeDocument/2006/relationships/hyperlink" Target="http://www.boxofficemojo.com/movies/?id=nymphomaniacpart2.htm" TargetMode="External"/><Relationship Id="rId844" Type="http://schemas.openxmlformats.org/officeDocument/2006/relationships/hyperlink" Target="http://www.boxofficemojo.com/studio/chart/?studio=magnolia.htm" TargetMode="External"/><Relationship Id="rId845" Type="http://schemas.openxmlformats.org/officeDocument/2006/relationships/hyperlink" Target="http://www.boxofficemojo.com/schedule/?view=bydate&amp;release=theatrical&amp;date=2014-04-04&amp;p=.htm" TargetMode="External"/><Relationship Id="rId846" Type="http://schemas.openxmlformats.org/officeDocument/2006/relationships/hyperlink" Target="http://www.boxofficemojo.com/movies/?id=strangerbythelake.htm" TargetMode="External"/><Relationship Id="rId847" Type="http://schemas.openxmlformats.org/officeDocument/2006/relationships/hyperlink" Target="http://www.boxofficemojo.com/studio/chart/?studio=strand.htm" TargetMode="External"/><Relationship Id="rId848" Type="http://schemas.openxmlformats.org/officeDocument/2006/relationships/hyperlink" Target="http://www.boxofficemojo.com/schedule/?view=bydate&amp;release=theatrical&amp;date=2014-01-24&amp;p=.htm" TargetMode="External"/><Relationship Id="rId849" Type="http://schemas.openxmlformats.org/officeDocument/2006/relationships/hyperlink" Target="http://www.boxofficemojo.com/movies/?id=onmyway.htm" TargetMode="External"/><Relationship Id="rId1700" Type="http://schemas.openxmlformats.org/officeDocument/2006/relationships/hyperlink" Target="http://www.boxofficemojo.com/schedule/?view=bydate&amp;release=theatrical&amp;date=2014-05-09&amp;p=.htm" TargetMode="External"/><Relationship Id="rId1701" Type="http://schemas.openxmlformats.org/officeDocument/2006/relationships/hyperlink" Target="http://www.boxofficemojo.com/movies/?id=revengeofthemekons.htm" TargetMode="External"/><Relationship Id="rId1702" Type="http://schemas.openxmlformats.org/officeDocument/2006/relationships/hyperlink" Target="http://www.boxofficemojo.com/studio/chart/?studio=musicboxfilms.htm" TargetMode="External"/><Relationship Id="rId1703" Type="http://schemas.openxmlformats.org/officeDocument/2006/relationships/hyperlink" Target="http://www.boxofficemojo.com/schedule/?view=bydate&amp;release=theatrical&amp;date=2014-10-29&amp;p=.htm" TargetMode="External"/><Relationship Id="rId1310" Type="http://schemas.openxmlformats.org/officeDocument/2006/relationships/hyperlink" Target="http://www.boxofficemojo.com/schedule/?view=bydate&amp;release=theatrical&amp;date=2014-06-27&amp;p=.htm" TargetMode="External"/><Relationship Id="rId1311" Type="http://schemas.openxmlformats.org/officeDocument/2006/relationships/hyperlink" Target="http://www.boxofficemojo.com/movies/?id=birdersguide.htm" TargetMode="External"/><Relationship Id="rId1312" Type="http://schemas.openxmlformats.org/officeDocument/2006/relationships/hyperlink" Target="http://www.boxofficemojo.com/studio/chart/?studio=screenmedia.htm" TargetMode="External"/><Relationship Id="rId1313" Type="http://schemas.openxmlformats.org/officeDocument/2006/relationships/hyperlink" Target="http://www.boxofficemojo.com/schedule/?view=bydate&amp;release=theatrical&amp;date=2014-03-21&amp;p=.htm" TargetMode="External"/><Relationship Id="rId1314" Type="http://schemas.openxmlformats.org/officeDocument/2006/relationships/hyperlink" Target="http://www.boxofficemojo.com/movies/?id=americanmustang.htm" TargetMode="External"/><Relationship Id="rId1315" Type="http://schemas.openxmlformats.org/officeDocument/2006/relationships/hyperlink" Target="http://www.boxofficemojo.com/studio/chart/?studio=vitagraph.htm" TargetMode="External"/><Relationship Id="rId1316" Type="http://schemas.openxmlformats.org/officeDocument/2006/relationships/hyperlink" Target="http://www.boxofficemojo.com/schedule/?view=bydate&amp;release=theatrical&amp;date=2014-01-17&amp;p=.htm" TargetMode="External"/><Relationship Id="rId1317" Type="http://schemas.openxmlformats.org/officeDocument/2006/relationships/hyperlink" Target="http://www.boxofficemojo.com/movies/?id=vivalaliberta.htm" TargetMode="External"/><Relationship Id="rId1318" Type="http://schemas.openxmlformats.org/officeDocument/2006/relationships/hyperlink" Target="http://www.boxofficemojo.com/studio/chart/?studio=distribfilms.htm" TargetMode="External"/><Relationship Id="rId1319" Type="http://schemas.openxmlformats.org/officeDocument/2006/relationships/hyperlink" Target="http://www.boxofficemojo.com/schedule/?view=bydate&amp;release=theatrical&amp;date=2014-11-07&amp;p=.htm" TargetMode="External"/><Relationship Id="rId850" Type="http://schemas.openxmlformats.org/officeDocument/2006/relationships/hyperlink" Target="http://www.boxofficemojo.com/studio/chart/?studio=cohenmedia.htm" TargetMode="External"/><Relationship Id="rId851" Type="http://schemas.openxmlformats.org/officeDocument/2006/relationships/hyperlink" Target="http://www.boxofficemojo.com/schedule/?view=bydate&amp;release=theatrical&amp;date=2014-03-14&amp;p=.htm" TargetMode="External"/><Relationship Id="rId460" Type="http://schemas.openxmlformats.org/officeDocument/2006/relationships/hyperlink" Target="http://www.boxofficemojo.com/studio/chart/?studio=sonyclassics.htm" TargetMode="External"/><Relationship Id="rId461" Type="http://schemas.openxmlformats.org/officeDocument/2006/relationships/hyperlink" Target="http://www.boxofficemojo.com/schedule/?view=bydate&amp;release=theatrical&amp;date=2014-12-19&amp;p=.htm" TargetMode="External"/><Relationship Id="rId462" Type="http://schemas.openxmlformats.org/officeDocument/2006/relationships/hyperlink" Target="http://www.boxofficemojo.com/movies/?id=ida.htm" TargetMode="External"/><Relationship Id="rId463" Type="http://schemas.openxmlformats.org/officeDocument/2006/relationships/hyperlink" Target="http://www.boxofficemojo.com/studio/chart/?studio=musicboxfilms.htm" TargetMode="External"/><Relationship Id="rId464" Type="http://schemas.openxmlformats.org/officeDocument/2006/relationships/hyperlink" Target="http://www.boxofficemojo.com/schedule/?view=bydate&amp;release=theatrical&amp;date=2014-05-02&amp;p=.htm" TargetMode="External"/><Relationship Id="rId465" Type="http://schemas.openxmlformats.org/officeDocument/2006/relationships/hyperlink" Target="http://www.boxofficemojo.com/movies/?id=fadinggigolo.htm" TargetMode="External"/><Relationship Id="rId466" Type="http://schemas.openxmlformats.org/officeDocument/2006/relationships/hyperlink" Target="http://www.boxofficemojo.com/studio/chart/?studio=millenniumentertainment.htm" TargetMode="External"/><Relationship Id="rId467" Type="http://schemas.openxmlformats.org/officeDocument/2006/relationships/hyperlink" Target="http://www.boxofficemojo.com/schedule/?view=bydate&amp;release=theatrical&amp;date=2014-04-18&amp;p=.htm" TargetMode="External"/><Relationship Id="rId468" Type="http://schemas.openxmlformats.org/officeDocument/2006/relationships/hyperlink" Target="http://www.boxofficemojo.com/movies/?id=calvary.htm" TargetMode="External"/><Relationship Id="rId469" Type="http://schemas.openxmlformats.org/officeDocument/2006/relationships/hyperlink" Target="http://www.boxofficemojo.com/studio/chart/?studio=foxsearchlight.htm" TargetMode="External"/><Relationship Id="rId852" Type="http://schemas.openxmlformats.org/officeDocument/2006/relationships/hyperlink" Target="http://www.boxofficemojo.com/movies/?id=happyending.htm" TargetMode="External"/><Relationship Id="rId853" Type="http://schemas.openxmlformats.org/officeDocument/2006/relationships/hyperlink" Target="http://www.boxofficemojo.com/studio/chart/?studio=eros.htm" TargetMode="External"/><Relationship Id="rId854" Type="http://schemas.openxmlformats.org/officeDocument/2006/relationships/hyperlink" Target="http://www.boxofficemojo.com/schedule/?view=bydate&amp;release=theatrical&amp;date=2014-11-21&amp;p=.htm" TargetMode="External"/><Relationship Id="rId855" Type="http://schemas.openxmlformats.org/officeDocument/2006/relationships/hyperlink" Target="http://www.boxofficemojo.com/movies/?id=hornetsnest14.htm" TargetMode="External"/><Relationship Id="rId856" Type="http://schemas.openxmlformats.org/officeDocument/2006/relationships/hyperlink" Target="http://www.boxofficemojo.com/studio/chart/?studio=fs.htm" TargetMode="External"/><Relationship Id="rId857" Type="http://schemas.openxmlformats.org/officeDocument/2006/relationships/hyperlink" Target="http://www.boxofficemojo.com/schedule/?view=bydate&amp;release=theatrical&amp;date=2014-05-09&amp;p=.htm" TargetMode="External"/><Relationship Id="rId858" Type="http://schemas.openxmlformats.org/officeDocument/2006/relationships/hyperlink" Target="http://www.boxofficemojo.com/movies/?id=iameleven.htm" TargetMode="External"/><Relationship Id="rId859" Type="http://schemas.openxmlformats.org/officeDocument/2006/relationships/hyperlink" Target="http://www.boxofficemojo.com/studio/chart/?studio=proudmother.htm" TargetMode="External"/><Relationship Id="rId1704" Type="http://schemas.openxmlformats.org/officeDocument/2006/relationships/hyperlink" Target="http://www.boxofficemojo.com/movies/?id=falconrising.htm" TargetMode="External"/><Relationship Id="rId1705" Type="http://schemas.openxmlformats.org/officeDocument/2006/relationships/hyperlink" Target="http://www.boxofficemojo.com/studio/chart/?studio=fs.htm" TargetMode="External"/><Relationship Id="rId1706" Type="http://schemas.openxmlformats.org/officeDocument/2006/relationships/hyperlink" Target="http://www.boxofficemojo.com/schedule/?view=bydate&amp;release=theatrical&amp;date=2014-09-05&amp;p=.htm" TargetMode="External"/><Relationship Id="rId1707" Type="http://schemas.openxmlformats.org/officeDocument/2006/relationships/hyperlink" Target="http://www.boxofficemojo.com/movies/?id=lifeofriley.htm" TargetMode="External"/><Relationship Id="rId1708" Type="http://schemas.openxmlformats.org/officeDocument/2006/relationships/hyperlink" Target="http://www.boxofficemojo.com/studio/chart/?studio=kinolorber.htm" TargetMode="External"/><Relationship Id="rId1709" Type="http://schemas.openxmlformats.org/officeDocument/2006/relationships/hyperlink" Target="http://www.boxofficemojo.com/schedule/?view=bydate&amp;release=theatrical&amp;date=2014-10-24&amp;p=.htm" TargetMode="External"/><Relationship Id="rId2000" Type="http://schemas.openxmlformats.org/officeDocument/2006/relationships/hyperlink" Target="http://www.boxofficemojo.com/schedule/?view=bydate&amp;release=theatrical&amp;date=2014-05-30&amp;p=.htm" TargetMode="External"/><Relationship Id="rId2001" Type="http://schemas.openxmlformats.org/officeDocument/2006/relationships/hyperlink" Target="http://www.boxofficemojo.com/movies/?id=girltrain2014.htm" TargetMode="External"/><Relationship Id="rId2002" Type="http://schemas.openxmlformats.org/officeDocument/2006/relationships/hyperlink" Target="http://www.boxofficemojo.com/studio/chart/?studio=montereymediainc.htm" TargetMode="External"/><Relationship Id="rId2003" Type="http://schemas.openxmlformats.org/officeDocument/2006/relationships/hyperlink" Target="http://www.boxofficemojo.com/schedule/?view=bydate&amp;release=theatrical&amp;date=2014-07-04&amp;p=.htm" TargetMode="External"/><Relationship Id="rId2004" Type="http://schemas.openxmlformats.org/officeDocument/2006/relationships/hyperlink" Target="http://www.boxofficemojo.com/movies/?id=showrunners.htm" TargetMode="External"/><Relationship Id="rId2005" Type="http://schemas.openxmlformats.org/officeDocument/2006/relationships/hyperlink" Target="http://www.boxofficemojo.com/studio/chart/?studio=submarinedeluxe.htm" TargetMode="External"/><Relationship Id="rId2006" Type="http://schemas.openxmlformats.org/officeDocument/2006/relationships/hyperlink" Target="http://www.boxofficemojo.com/schedule/?view=bydate&amp;release=theatrical&amp;date=2014-10-31&amp;p=.htm" TargetMode="External"/><Relationship Id="rId2007" Type="http://schemas.openxmlformats.org/officeDocument/2006/relationships/hyperlink" Target="http://www.boxofficemojo.com/movies/?id=whatnowremindme.htm" TargetMode="External"/><Relationship Id="rId2008" Type="http://schemas.openxmlformats.org/officeDocument/2006/relationships/hyperlink" Target="http://www.boxofficemojo.com/studio/chart/?studio=cinemaguild.htm" TargetMode="External"/><Relationship Id="rId2009" Type="http://schemas.openxmlformats.org/officeDocument/2006/relationships/hyperlink" Target="http://www.boxofficemojo.com/schedule/?view=bydate&amp;release=theatrical&amp;date=2014-08-08&amp;p=.htm" TargetMode="External"/><Relationship Id="rId1710" Type="http://schemas.openxmlformats.org/officeDocument/2006/relationships/hyperlink" Target="http://www.boxofficemojo.com/movies/?id=livingiseasy.htm" TargetMode="External"/><Relationship Id="rId1711" Type="http://schemas.openxmlformats.org/officeDocument/2006/relationships/hyperlink" Target="http://www.boxofficemojo.com/studio/chart/?studio=outsiderpictures.htm" TargetMode="External"/><Relationship Id="rId1712" Type="http://schemas.openxmlformats.org/officeDocument/2006/relationships/hyperlink" Target="http://www.boxofficemojo.com/schedule/?view=bydate&amp;release=theatrical&amp;date=2014-06-27&amp;p=.htm" TargetMode="External"/><Relationship Id="rId1713" Type="http://schemas.openxmlformats.org/officeDocument/2006/relationships/hyperlink" Target="http://www.boxofficemojo.com/movies/?id=yourenotyou.htm" TargetMode="External"/><Relationship Id="rId1320" Type="http://schemas.openxmlformats.org/officeDocument/2006/relationships/hyperlink" Target="http://www.boxofficemojo.com/movies/?id=luckythem.htm" TargetMode="External"/><Relationship Id="rId1321" Type="http://schemas.openxmlformats.org/officeDocument/2006/relationships/hyperlink" Target="http://www.boxofficemojo.com/studio/chart/?studio=ifc.htm" TargetMode="External"/><Relationship Id="rId1322" Type="http://schemas.openxmlformats.org/officeDocument/2006/relationships/hyperlink" Target="http://www.boxofficemojo.com/schedule/?view=bydate&amp;release=theatrical&amp;date=2014-05-30&amp;p=.htm" TargetMode="External"/><Relationship Id="rId1323" Type="http://schemas.openxmlformats.org/officeDocument/2006/relationships/hyperlink" Target="http://www.boxofficemojo.com/movies/?id=decodingannieparker.htm" TargetMode="External"/><Relationship Id="rId1324" Type="http://schemas.openxmlformats.org/officeDocument/2006/relationships/hyperlink" Target="http://www.boxofficemojo.com/studio/chart/?studio=entertainmentone.htm" TargetMode="External"/><Relationship Id="rId1325" Type="http://schemas.openxmlformats.org/officeDocument/2006/relationships/hyperlink" Target="http://www.boxofficemojo.com/schedule/?view=bydate&amp;release=theatrical&amp;date=2014-05-02&amp;p=.htm" TargetMode="External"/><Relationship Id="rId1326" Type="http://schemas.openxmlformats.org/officeDocument/2006/relationships/hyperlink" Target="http://www.boxofficemojo.com/movies/?id=alphaville.htm" TargetMode="External"/><Relationship Id="rId1327" Type="http://schemas.openxmlformats.org/officeDocument/2006/relationships/hyperlink" Target="http://www.boxofficemojo.com/studio/chart/?studio=rialto.htm" TargetMode="External"/><Relationship Id="rId1328" Type="http://schemas.openxmlformats.org/officeDocument/2006/relationships/hyperlink" Target="http://www.boxofficemojo.com/schedule/?view=bydate&amp;release=theatrical&amp;date=2014-02-07&amp;p=.htm" TargetMode="External"/><Relationship Id="rId1329" Type="http://schemas.openxmlformats.org/officeDocument/2006/relationships/hyperlink" Target="http://www.boxofficemojo.com/movies/?id=amasterbuilder.htm" TargetMode="External"/><Relationship Id="rId860" Type="http://schemas.openxmlformats.org/officeDocument/2006/relationships/hyperlink" Target="http://www.boxofficemojo.com/schedule/?view=bydate&amp;release=theatrical&amp;date=2014-09-12&amp;p=.htm" TargetMode="External"/><Relationship Id="rId861" Type="http://schemas.openxmlformats.org/officeDocument/2006/relationships/hyperlink" Target="http://www.boxofficemojo.com/movies/?id=fivestarlife.htm" TargetMode="External"/><Relationship Id="rId470" Type="http://schemas.openxmlformats.org/officeDocument/2006/relationships/hyperlink" Target="http://www.boxofficemojo.com/schedule/?view=bydate&amp;release=theatrical&amp;date=2014-08-01&amp;p=.htm" TargetMode="External"/><Relationship Id="rId471" Type="http://schemas.openxmlformats.org/officeDocument/2006/relationships/hyperlink" Target="http://www.boxofficemojo.com/movies/?id=wishiwashere.htm" TargetMode="External"/><Relationship Id="rId472" Type="http://schemas.openxmlformats.org/officeDocument/2006/relationships/hyperlink" Target="http://www.boxofficemojo.com/studio/chart/?studio=focus.htm" TargetMode="External"/><Relationship Id="rId473" Type="http://schemas.openxmlformats.org/officeDocument/2006/relationships/hyperlink" Target="http://www.boxofficemojo.com/schedule/?view=bydate&amp;release=theatrical&amp;date=2014-07-18&amp;p=.htm" TargetMode="External"/><Relationship Id="rId474" Type="http://schemas.openxmlformats.org/officeDocument/2006/relationships/hyperlink" Target="http://www.boxofficemojo.com/movies/?id=ghostbusters2014.htm" TargetMode="External"/><Relationship Id="rId475" Type="http://schemas.openxmlformats.org/officeDocument/2006/relationships/hyperlink" Target="http://www.boxofficemojo.com/studio/chart/?studio=sony.htm" TargetMode="External"/><Relationship Id="rId476" Type="http://schemas.openxmlformats.org/officeDocument/2006/relationships/hyperlink" Target="http://www.boxofficemojo.com/schedule/?view=bydate&amp;release=theatrical&amp;date=2014-08-29&amp;p=.htm" TargetMode="External"/><Relationship Id="rId477" Type="http://schemas.openxmlformats.org/officeDocument/2006/relationships/hyperlink" Target="http://www.boxofficemojo.com/movies/?id=mommy.htm" TargetMode="External"/><Relationship Id="rId478" Type="http://schemas.openxmlformats.org/officeDocument/2006/relationships/hyperlink" Target="http://www.boxofficemojo.com/studio/chart/?studio=roadsideattractions.htm" TargetMode="External"/><Relationship Id="rId479" Type="http://schemas.openxmlformats.org/officeDocument/2006/relationships/hyperlink" Target="http://www.boxofficemojo.com/schedule/?view=bydate&amp;release=theatrical&amp;date=2014-09-19&amp;p=.htm" TargetMode="External"/><Relationship Id="rId862" Type="http://schemas.openxmlformats.org/officeDocument/2006/relationships/hyperlink" Target="http://www.boxofficemojo.com/studio/chart/?studio=musicboxfilms.htm" TargetMode="External"/><Relationship Id="rId863" Type="http://schemas.openxmlformats.org/officeDocument/2006/relationships/hyperlink" Target="http://www.boxofficemojo.com/schedule/?view=bydate&amp;release=theatrical&amp;date=2014-07-18&amp;p=.htm" TargetMode="External"/><Relationship Id="rId864" Type="http://schemas.openxmlformats.org/officeDocument/2006/relationships/hyperlink" Target="http://www.boxofficemojo.com/movies/?id=moodindigo.htm" TargetMode="External"/><Relationship Id="rId865" Type="http://schemas.openxmlformats.org/officeDocument/2006/relationships/hyperlink" Target="http://www.boxofficemojo.com/studio/chart/?studio=drafthousefilms.htm" TargetMode="External"/><Relationship Id="rId866" Type="http://schemas.openxmlformats.org/officeDocument/2006/relationships/hyperlink" Target="http://www.boxofficemojo.com/schedule/?view=bydate&amp;release=theatrical&amp;date=2014-07-18&amp;p=.htm" TargetMode="External"/><Relationship Id="rId867" Type="http://schemas.openxmlformats.org/officeDocument/2006/relationships/hyperlink" Target="http://www.boxofficemojo.com/movies/?id=innocence2014.htm" TargetMode="External"/><Relationship Id="rId868" Type="http://schemas.openxmlformats.org/officeDocument/2006/relationships/hyperlink" Target="http://www.boxofficemojo.com/studio/chart/?studio=jsc.htm" TargetMode="External"/><Relationship Id="rId869" Type="http://schemas.openxmlformats.org/officeDocument/2006/relationships/hyperlink" Target="http://www.boxofficemojo.com/schedule/?view=bydate&amp;release=theatrical&amp;date=2014-09-05&amp;p=.htm" TargetMode="External"/><Relationship Id="rId1714" Type="http://schemas.openxmlformats.org/officeDocument/2006/relationships/hyperlink" Target="http://www.boxofficemojo.com/studio/chart/?studio=entertainmentone.htm" TargetMode="External"/><Relationship Id="rId1715" Type="http://schemas.openxmlformats.org/officeDocument/2006/relationships/hyperlink" Target="http://www.boxofficemojo.com/schedule/?view=bydate&amp;release=theatrical&amp;date=2014-10-10&amp;p=.htm" TargetMode="External"/><Relationship Id="rId1716" Type="http://schemas.openxmlformats.org/officeDocument/2006/relationships/hyperlink" Target="http://www.boxofficemojo.com/movies/?id=greatinvisible.htm" TargetMode="External"/><Relationship Id="rId1717" Type="http://schemas.openxmlformats.org/officeDocument/2006/relationships/hyperlink" Target="http://www.boxofficemojo.com/studio/chart/?studio=radiustwc.htm" TargetMode="External"/><Relationship Id="rId1718" Type="http://schemas.openxmlformats.org/officeDocument/2006/relationships/hyperlink" Target="http://www.boxofficemojo.com/schedule/?view=bydate&amp;release=theatrical&amp;date=2014-10-29&amp;p=.htm" TargetMode="External"/><Relationship Id="rId1719" Type="http://schemas.openxmlformats.org/officeDocument/2006/relationships/hyperlink" Target="http://www.boxofficemojo.com/movies/?id=finalmember.htm" TargetMode="External"/><Relationship Id="rId2010" Type="http://schemas.openxmlformats.org/officeDocument/2006/relationships/hyperlink" Target="http://www.boxofficemojo.com/movies/?id=frenchgigolo.htm" TargetMode="External"/><Relationship Id="rId2011" Type="http://schemas.openxmlformats.org/officeDocument/2006/relationships/hyperlink" Target="http://www.boxofficemojo.com/studio/chart/?studio=ifc.htm" TargetMode="External"/><Relationship Id="rId2012" Type="http://schemas.openxmlformats.org/officeDocument/2006/relationships/hyperlink" Target="http://www.boxofficemojo.com/schedule/?view=bydate&amp;release=theatrical&amp;date=2014-03-21&amp;p=.htm" TargetMode="External"/><Relationship Id="rId2013" Type="http://schemas.openxmlformats.org/officeDocument/2006/relationships/hyperlink" Target="http://www.boxofficemojo.com/movies/?id=fatalassistance.htm" TargetMode="External"/><Relationship Id="rId2014" Type="http://schemas.openxmlformats.org/officeDocument/2006/relationships/hyperlink" Target="http://www.boxofficemojo.com/studio/chart/?studio=velvet.htm" TargetMode="External"/><Relationship Id="rId2015" Type="http://schemas.openxmlformats.org/officeDocument/2006/relationships/hyperlink" Target="http://www.boxofficemojo.com/schedule/?view=bydate&amp;release=theatrical&amp;date=2014-02-28&amp;p=.htm" TargetMode="External"/><Relationship Id="rId2016" Type="http://schemas.openxmlformats.org/officeDocument/2006/relationships/hyperlink" Target="http://www.boxofficemojo.com/movies/?id=vhsviral.htm" TargetMode="External"/><Relationship Id="rId2017" Type="http://schemas.openxmlformats.org/officeDocument/2006/relationships/hyperlink" Target="http://www.boxofficemojo.com/studio/chart/?studio=magnolia.htm" TargetMode="External"/><Relationship Id="rId2018" Type="http://schemas.openxmlformats.org/officeDocument/2006/relationships/hyperlink" Target="http://www.boxofficemojo.com/schedule/?view=bydate&amp;release=theatrical&amp;date=2014-11-21&amp;p=.htm" TargetMode="External"/><Relationship Id="rId2019" Type="http://schemas.openxmlformats.org/officeDocument/2006/relationships/hyperlink" Target="http://www.boxofficemojo.com/movies/?id=blackout.htm" TargetMode="External"/><Relationship Id="rId1720" Type="http://schemas.openxmlformats.org/officeDocument/2006/relationships/hyperlink" Target="http://www.boxofficemojo.com/studio/chart/?studio=drafthousefilms.htm" TargetMode="External"/><Relationship Id="rId1721" Type="http://schemas.openxmlformats.org/officeDocument/2006/relationships/hyperlink" Target="http://www.boxofficemojo.com/schedule/?view=bydate&amp;release=theatrical&amp;date=2014-04-18&amp;p=.htm" TargetMode="External"/><Relationship Id="rId1722" Type="http://schemas.openxmlformats.org/officeDocument/2006/relationships/hyperlink" Target="http://www.boxofficemojo.com/movies/?id=amazingcatfish.htm" TargetMode="External"/><Relationship Id="rId1723" Type="http://schemas.openxmlformats.org/officeDocument/2006/relationships/hyperlink" Target="http://www.boxofficemojo.com/studio/chart/?studio=strand.htm" TargetMode="External"/><Relationship Id="rId1330" Type="http://schemas.openxmlformats.org/officeDocument/2006/relationships/hyperlink" Target="http://www.boxofficemojo.com/studio/chart/?studio=abramorama.htm" TargetMode="External"/><Relationship Id="rId1331" Type="http://schemas.openxmlformats.org/officeDocument/2006/relationships/hyperlink" Target="http://www.boxofficemojo.com/schedule/?view=bydate&amp;release=theatrical&amp;date=2014-07-23&amp;p=.htm" TargetMode="External"/><Relationship Id="rId1332" Type="http://schemas.openxmlformats.org/officeDocument/2006/relationships/hyperlink" Target="http://www.boxofficemojo.com/movies/?id=monkwithacamera.htm" TargetMode="External"/><Relationship Id="rId1333" Type="http://schemas.openxmlformats.org/officeDocument/2006/relationships/hyperlink" Target="http://www.boxofficemojo.com/studio/chart/?studio=kinolorber.htm" TargetMode="External"/><Relationship Id="rId1334" Type="http://schemas.openxmlformats.org/officeDocument/2006/relationships/hyperlink" Target="http://www.boxofficemojo.com/schedule/?view=bydate&amp;release=theatrical&amp;date=2014-11-21&amp;p=.htm" TargetMode="External"/><Relationship Id="rId1335" Type="http://schemas.openxmlformats.org/officeDocument/2006/relationships/hyperlink" Target="http://www.boxofficemojo.com/movies/?id=filmistaan.htm" TargetMode="External"/><Relationship Id="rId1336" Type="http://schemas.openxmlformats.org/officeDocument/2006/relationships/hyperlink" Target="http://www.boxofficemojo.com/studio/chart/?studio=utv.htm" TargetMode="External"/><Relationship Id="rId1337" Type="http://schemas.openxmlformats.org/officeDocument/2006/relationships/hyperlink" Target="http://www.boxofficemojo.com/schedule/?view=bydate&amp;release=theatrical&amp;date=2014-06-06&amp;p=.htm" TargetMode="External"/><Relationship Id="rId1338" Type="http://schemas.openxmlformats.org/officeDocument/2006/relationships/hyperlink" Target="http://www.boxofficemojo.com/movies/?id=returntothehidingplace.htm" TargetMode="External"/><Relationship Id="rId1339" Type="http://schemas.openxmlformats.org/officeDocument/2006/relationships/hyperlink" Target="http://www.boxofficemojo.com/studio/chart/?studio=seatzy.htm" TargetMode="External"/><Relationship Id="rId870" Type="http://schemas.openxmlformats.org/officeDocument/2006/relationships/hyperlink" Target="http://www.boxofficemojo.com/movies/?id=danceofreality.htm" TargetMode="External"/><Relationship Id="rId871" Type="http://schemas.openxmlformats.org/officeDocument/2006/relationships/hyperlink" Target="http://www.boxofficemojo.com/studio/chart/?studio=abkcofilms.htm" TargetMode="External"/><Relationship Id="rId480" Type="http://schemas.openxmlformats.org/officeDocument/2006/relationships/hyperlink" Target="http://www.boxofficemojo.com/movies/?id=whatif2014.htm" TargetMode="External"/><Relationship Id="rId481" Type="http://schemas.openxmlformats.org/officeDocument/2006/relationships/hyperlink" Target="http://www.boxofficemojo.com/studio/chart/?studio=cbsfilms.htm" TargetMode="External"/><Relationship Id="rId482" Type="http://schemas.openxmlformats.org/officeDocument/2006/relationships/hyperlink" Target="http://www.boxofficemojo.com/schedule/?view=bydate&amp;release=theatrical&amp;date=2014-08-08&amp;p=.htm" TargetMode="External"/><Relationship Id="rId483" Type="http://schemas.openxmlformats.org/officeDocument/2006/relationships/hyperlink" Target="http://www.boxofficemojo.com/movies/?id=grandseduction.htm" TargetMode="External"/><Relationship Id="rId484" Type="http://schemas.openxmlformats.org/officeDocument/2006/relationships/hyperlink" Target="http://www.boxofficemojo.com/studio/chart/?studio=entertainmentone.htm" TargetMode="External"/><Relationship Id="rId485" Type="http://schemas.openxmlformats.org/officeDocument/2006/relationships/hyperlink" Target="http://www.boxofficemojo.com/schedule/?view=bydate&amp;release=theatrical&amp;date=2014-05-30&amp;p=.htm" TargetMode="External"/><Relationship Id="rId486" Type="http://schemas.openxmlformats.org/officeDocument/2006/relationships/hyperlink" Target="http://www.boxofficemojo.com/movies/?id=veronicamars.htm" TargetMode="External"/><Relationship Id="rId487" Type="http://schemas.openxmlformats.org/officeDocument/2006/relationships/hyperlink" Target="http://www.boxofficemojo.com/studio/chart/?studio=warnerbros.htm" TargetMode="External"/><Relationship Id="rId488" Type="http://schemas.openxmlformats.org/officeDocument/2006/relationships/hyperlink" Target="http://www.boxofficemojo.com/schedule/?view=bydate&amp;release=theatrical&amp;date=2014-03-14&amp;p=.htm" TargetMode="External"/><Relationship Id="rId489" Type="http://schemas.openxmlformats.org/officeDocument/2006/relationships/hyperlink" Target="http://www.boxofficemojo.com/movies/?id=beforeigotosleep.htm" TargetMode="External"/><Relationship Id="rId872" Type="http://schemas.openxmlformats.org/officeDocument/2006/relationships/hyperlink" Target="http://www.boxofficemojo.com/schedule/?view=bydate&amp;release=theatrical&amp;date=2014-05-23&amp;p=.htm" TargetMode="External"/><Relationship Id="rId873" Type="http://schemas.openxmlformats.org/officeDocument/2006/relationships/hyperlink" Target="http://www.boxofficemojo.com/movies/?id=antarctica2014.htm" TargetMode="External"/><Relationship Id="rId874" Type="http://schemas.openxmlformats.org/officeDocument/2006/relationships/hyperlink" Target="http://www.boxofficemojo.com/studio/chart/?studio=musicboxfilms.htm" TargetMode="External"/><Relationship Id="rId875" Type="http://schemas.openxmlformats.org/officeDocument/2006/relationships/hyperlink" Target="http://www.boxofficemojo.com/schedule/?view=bydate&amp;release=theatrical&amp;date=2014-11-28&amp;p=.htm" TargetMode="External"/><Relationship Id="rId876" Type="http://schemas.openxmlformats.org/officeDocument/2006/relationships/hyperlink" Target="http://www.boxofficemojo.com/movies/?id=lastofrobinhood.htm" TargetMode="External"/><Relationship Id="rId877" Type="http://schemas.openxmlformats.org/officeDocument/2006/relationships/hyperlink" Target="http://www.boxofficemojo.com/studio/chart/?studio=samuelgoldwyn.htm" TargetMode="External"/><Relationship Id="rId878" Type="http://schemas.openxmlformats.org/officeDocument/2006/relationships/hyperlink" Target="http://www.boxofficemojo.com/schedule/?view=bydate&amp;release=theatrical&amp;date=2014-08-29&amp;p=.htm" TargetMode="External"/><Relationship Id="rId879" Type="http://schemas.openxmlformats.org/officeDocument/2006/relationships/hyperlink" Target="http://www.boxofficemojo.com/movies/?id=elsaandfred2014.htm" TargetMode="External"/><Relationship Id="rId1724" Type="http://schemas.openxmlformats.org/officeDocument/2006/relationships/hyperlink" Target="http://www.boxofficemojo.com/schedule/?view=bydate&amp;release=theatrical&amp;date=2014-06-13&amp;p=.htm" TargetMode="External"/><Relationship Id="rId1725" Type="http://schemas.openxmlformats.org/officeDocument/2006/relationships/hyperlink" Target="http://www.boxofficemojo.com/movies/?id=dishkiyaoon.htm" TargetMode="External"/><Relationship Id="rId1726" Type="http://schemas.openxmlformats.org/officeDocument/2006/relationships/hyperlink" Target="http://www.boxofficemojo.com/studio/chart/?studio=eros.htm" TargetMode="External"/><Relationship Id="rId1727" Type="http://schemas.openxmlformats.org/officeDocument/2006/relationships/hyperlink" Target="http://www.boxofficemojo.com/schedule/?view=bydate&amp;release=theatrical&amp;date=2014-03-28&amp;p=.htm" TargetMode="External"/><Relationship Id="rId1728" Type="http://schemas.openxmlformats.org/officeDocument/2006/relationships/hyperlink" Target="http://www.boxofficemojo.com/movies/?id=policeman.htm" TargetMode="External"/><Relationship Id="rId1729" Type="http://schemas.openxmlformats.org/officeDocument/2006/relationships/hyperlink" Target="http://www.boxofficemojo.com/studio/chart/?studio=corinthfilmsinc.htm" TargetMode="External"/><Relationship Id="rId2020" Type="http://schemas.openxmlformats.org/officeDocument/2006/relationships/hyperlink" Target="http://www.boxofficemojo.com/studio/chart/?studio=doppelganger.htm" TargetMode="External"/><Relationship Id="rId2021" Type="http://schemas.openxmlformats.org/officeDocument/2006/relationships/hyperlink" Target="http://www.boxofficemojo.com/schedule/?view=bydate&amp;release=theatrical&amp;date=2014-02-21&amp;p=.htm" TargetMode="External"/><Relationship Id="rId2022" Type="http://schemas.openxmlformats.org/officeDocument/2006/relationships/hyperlink" Target="http://www.boxofficemojo.com/movies/?id=mercedessosa.htm" TargetMode="External"/><Relationship Id="rId2023" Type="http://schemas.openxmlformats.org/officeDocument/2006/relationships/hyperlink" Target="http://www.boxofficemojo.com/studio/chart/?studio=firstrun.htm" TargetMode="External"/><Relationship Id="rId2024" Type="http://schemas.openxmlformats.org/officeDocument/2006/relationships/hyperlink" Target="http://www.boxofficemojo.com/schedule/?view=bydate&amp;release=theatrical&amp;date=2014-01-24&amp;p=.htm" TargetMode="External"/><Relationship Id="rId2025" Type="http://schemas.openxmlformats.org/officeDocument/2006/relationships/hyperlink" Target="http://www.boxofficemojo.com/movies/?id=refuge.htm" TargetMode="External"/><Relationship Id="rId2026" Type="http://schemas.openxmlformats.org/officeDocument/2006/relationships/hyperlink" Target="http://www.boxofficemojo.com/studio/chart/?studio=strand.htm" TargetMode="External"/><Relationship Id="rId2027" Type="http://schemas.openxmlformats.org/officeDocument/2006/relationships/hyperlink" Target="http://www.boxofficemojo.com/schedule/?view=bydate&amp;release=theatrical&amp;date=2014-03-28&amp;p=.htm" TargetMode="External"/><Relationship Id="rId2028" Type="http://schemas.openxmlformats.org/officeDocument/2006/relationships/hyperlink" Target="http://www.boxofficemojo.com/movies/?id=indigochildren.htm" TargetMode="External"/><Relationship Id="rId2029" Type="http://schemas.openxmlformats.org/officeDocument/2006/relationships/hyperlink" Target="http://www.boxofficemojo.com/studio/chart/?studio=striped.htm" TargetMode="External"/><Relationship Id="rId1730" Type="http://schemas.openxmlformats.org/officeDocument/2006/relationships/hyperlink" Target="http://www.boxofficemojo.com/schedule/?view=bydate&amp;release=theatrical&amp;date=2014-06-13&amp;p=.htm" TargetMode="External"/><Relationship Id="rId1731" Type="http://schemas.openxmlformats.org/officeDocument/2006/relationships/hyperlink" Target="http://www.boxofficemojo.com/movies/?id=pay2play.htm" TargetMode="External"/><Relationship Id="rId1732" Type="http://schemas.openxmlformats.org/officeDocument/2006/relationships/hyperlink" Target="http://www.boxofficemojo.com/studio/chart/?studio=shootfirst.htm" TargetMode="External"/><Relationship Id="rId1733" Type="http://schemas.openxmlformats.org/officeDocument/2006/relationships/hyperlink" Target="http://www.boxofficemojo.com/schedule/?view=bydate&amp;release=theatrical&amp;date=2014-09-05&amp;p=.htm" TargetMode="External"/><Relationship Id="rId1340" Type="http://schemas.openxmlformats.org/officeDocument/2006/relationships/hyperlink" Target="http://www.boxofficemojo.com/schedule/?view=bydate&amp;release=theatrical&amp;date=2014-05-23&amp;p=.htm" TargetMode="External"/><Relationship Id="rId1341" Type="http://schemas.openxmlformats.org/officeDocument/2006/relationships/hyperlink" Target="http://www.boxofficemojo.com/movies/?id=aiweiweifake.htm" TargetMode="External"/><Relationship Id="rId1342" Type="http://schemas.openxmlformats.org/officeDocument/2006/relationships/hyperlink" Target="http://www.boxofficemojo.com/studio/chart/?studio=intlfilmcircuit.htm" TargetMode="External"/><Relationship Id="rId1343" Type="http://schemas.openxmlformats.org/officeDocument/2006/relationships/hyperlink" Target="http://www.boxofficemojo.com/schedule/?view=bydate&amp;release=theatrical&amp;date=2014-05-16&amp;p=.htm" TargetMode="External"/><Relationship Id="rId1344" Type="http://schemas.openxmlformats.org/officeDocument/2006/relationships/hyperlink" Target="http://www.boxofficemojo.com/movies/?id=utopia.htm" TargetMode="External"/><Relationship Id="rId1345" Type="http://schemas.openxmlformats.org/officeDocument/2006/relationships/hyperlink" Target="http://www.boxofficemojo.com/studio/chart/?studio=rockymountainpictures.htm" TargetMode="External"/><Relationship Id="rId1346" Type="http://schemas.openxmlformats.org/officeDocument/2006/relationships/hyperlink" Target="http://www.boxofficemojo.com/schedule/?view=bydate&amp;release=theatrical&amp;date=2014-07-18&amp;p=.htm" TargetMode="External"/><Relationship Id="rId1347" Type="http://schemas.openxmlformats.org/officeDocument/2006/relationships/hyperlink" Target="http://www.boxofficemojo.com/movies/?id=dog.htm" TargetMode="External"/><Relationship Id="rId1348" Type="http://schemas.openxmlformats.org/officeDocument/2006/relationships/hyperlink" Target="http://www.boxofficemojo.com/studio/chart/?studio=drafthousefilms.htm" TargetMode="External"/><Relationship Id="rId1349" Type="http://schemas.openxmlformats.org/officeDocument/2006/relationships/hyperlink" Target="http://www.boxofficemojo.com/schedule/?view=bydate&amp;release=theatrical&amp;date=2014-08-08&amp;p=.htm" TargetMode="External"/><Relationship Id="rId880" Type="http://schemas.openxmlformats.org/officeDocument/2006/relationships/hyperlink" Target="http://www.boxofficemojo.com/studio/chart/?studio=millenniumentertainment.htm" TargetMode="External"/><Relationship Id="rId881" Type="http://schemas.openxmlformats.org/officeDocument/2006/relationships/hyperlink" Target="http://www.boxofficemojo.com/schedule/?view=bydate&amp;release=theatrical&amp;date=2014-11-07&amp;p=.htm" TargetMode="External"/><Relationship Id="rId490" Type="http://schemas.openxmlformats.org/officeDocument/2006/relationships/hyperlink" Target="http://www.boxofficemojo.com/studio/chart/?studio=clarius.htm" TargetMode="External"/><Relationship Id="rId491" Type="http://schemas.openxmlformats.org/officeDocument/2006/relationships/hyperlink" Target="http://www.boxofficemojo.com/schedule/?view=bydate&amp;release=theatrical&amp;date=2014-10-31&amp;p=.htm" TargetMode="External"/><Relationship Id="rId492" Type="http://schemas.openxmlformats.org/officeDocument/2006/relationships/hyperlink" Target="http://www.boxofficemojo.com/movies/?id=rosewater.htm" TargetMode="External"/><Relationship Id="rId493" Type="http://schemas.openxmlformats.org/officeDocument/2006/relationships/hyperlink" Target="http://www.boxofficemojo.com/studio/chart/?studio=openroads.htm" TargetMode="External"/><Relationship Id="rId494" Type="http://schemas.openxmlformats.org/officeDocument/2006/relationships/hyperlink" Target="http://www.boxofficemojo.com/schedule/?view=bydate&amp;release=theatrical&amp;date=2014-11-14&amp;p=.htm" TargetMode="External"/><Relationship Id="rId495" Type="http://schemas.openxmlformats.org/officeDocument/2006/relationships/hyperlink" Target="http://www.boxofficemojo.com/movies/?id=obviouschild.htm" TargetMode="External"/><Relationship Id="rId496" Type="http://schemas.openxmlformats.org/officeDocument/2006/relationships/hyperlink" Target="http://www.boxofficemojo.com/studio/chart/?studio=a24.htm" TargetMode="External"/><Relationship Id="rId497" Type="http://schemas.openxmlformats.org/officeDocument/2006/relationships/hyperlink" Target="http://www.boxofficemojo.com/schedule/?view=bydate&amp;release=theatrical&amp;date=2014-06-06&amp;p=.htm" TargetMode="External"/><Relationship Id="rId498" Type="http://schemas.openxmlformats.org/officeDocument/2006/relationships/hyperlink" Target="http://www.boxofficemojo.com/movies/?id=triptoitaly.htm" TargetMode="External"/><Relationship Id="rId499" Type="http://schemas.openxmlformats.org/officeDocument/2006/relationships/hyperlink" Target="http://www.boxofficemojo.com/studio/chart/?studio=ifc.htm" TargetMode="External"/><Relationship Id="rId882" Type="http://schemas.openxmlformats.org/officeDocument/2006/relationships/hyperlink" Target="http://www.boxofficemojo.com/movies/?id=kundo.htm" TargetMode="External"/><Relationship Id="rId883" Type="http://schemas.openxmlformats.org/officeDocument/2006/relationships/hyperlink" Target="http://www.boxofficemojo.com/studio/chart/?studio=wellgo.htm" TargetMode="External"/><Relationship Id="rId884" Type="http://schemas.openxmlformats.org/officeDocument/2006/relationships/hyperlink" Target="http://www.boxofficemojo.com/schedule/?view=bydate&amp;release=theatrical&amp;date=2014-08-29&amp;p=.htm" TargetMode="External"/><Relationship Id="rId885" Type="http://schemas.openxmlformats.org/officeDocument/2006/relationships/hyperlink" Target="http://www.boxofficemojo.com/movies/?id=20000daysonearth.htm" TargetMode="External"/><Relationship Id="rId886" Type="http://schemas.openxmlformats.org/officeDocument/2006/relationships/hyperlink" Target="http://www.boxofficemojo.com/studio/chart/?studio=drafthousefilms.htm" TargetMode="External"/><Relationship Id="rId887" Type="http://schemas.openxmlformats.org/officeDocument/2006/relationships/hyperlink" Target="http://www.boxofficemojo.com/schedule/?view=bydate&amp;release=theatrical&amp;date=2014-09-17&amp;p=.htm" TargetMode="External"/><Relationship Id="rId888" Type="http://schemas.openxmlformats.org/officeDocument/2006/relationships/hyperlink" Target="http://www.boxofficemojo.com/movies/?id=unknownknown.htm" TargetMode="External"/><Relationship Id="rId889" Type="http://schemas.openxmlformats.org/officeDocument/2006/relationships/hyperlink" Target="http://www.boxofficemojo.com/studio/chart/?studio=radiustwc.htm" TargetMode="External"/><Relationship Id="rId1734" Type="http://schemas.openxmlformats.org/officeDocument/2006/relationships/hyperlink" Target="http://www.boxofficemojo.com/movies/?id=players14.htm" TargetMode="External"/><Relationship Id="rId1735" Type="http://schemas.openxmlformats.org/officeDocument/2006/relationships/hyperlink" Target="http://www.boxofficemojo.com/studio/chart/?studio=weinsteincompany.htm" TargetMode="External"/><Relationship Id="rId1736" Type="http://schemas.openxmlformats.org/officeDocument/2006/relationships/hyperlink" Target="http://www.boxofficemojo.com/schedule/?view=bydate&amp;release=theatrical&amp;date=2014-04-04&amp;p=.htm" TargetMode="External"/><Relationship Id="rId1737" Type="http://schemas.openxmlformats.org/officeDocument/2006/relationships/hyperlink" Target="http://www.boxofficemojo.com/movies/?id=asitisinheaven14.htm" TargetMode="External"/><Relationship Id="rId1738" Type="http://schemas.openxmlformats.org/officeDocument/2006/relationships/hyperlink" Target="http://www.boxofficemojo.com/studio/chart/?studio=unknown.htm" TargetMode="External"/><Relationship Id="rId1739" Type="http://schemas.openxmlformats.org/officeDocument/2006/relationships/hyperlink" Target="http://www.boxofficemojo.com/schedule/?view=bydate&amp;release=theatrical&amp;date=2014-07-18&amp;p=.htm" TargetMode="External"/><Relationship Id="rId2030" Type="http://schemas.openxmlformats.org/officeDocument/2006/relationships/hyperlink" Target="http://www.boxofficemojo.com/schedule/?view=bydate&amp;release=theatrical&amp;date=2014-01-17&amp;p=.htm" TargetMode="External"/><Relationship Id="rId2031" Type="http://schemas.openxmlformats.org/officeDocument/2006/relationships/hyperlink" Target="http://www.boxofficemojo.com/movies/?id=jakesquared.htm" TargetMode="External"/><Relationship Id="rId2032" Type="http://schemas.openxmlformats.org/officeDocument/2006/relationships/hyperlink" Target="http://www.boxofficemojo.com/studio/chart/?studio=fs.htm" TargetMode="External"/><Relationship Id="rId2033" Type="http://schemas.openxmlformats.org/officeDocument/2006/relationships/hyperlink" Target="http://www.boxofficemojo.com/schedule/?view=bydate&amp;release=theatrical&amp;date=2014-08-15&amp;p=.htm" TargetMode="External"/><Relationship Id="rId2034" Type="http://schemas.openxmlformats.org/officeDocument/2006/relationships/hyperlink" Target="http://www.boxofficemojo.com/movies/?id=mccanick.htm" TargetMode="External"/><Relationship Id="rId2035" Type="http://schemas.openxmlformats.org/officeDocument/2006/relationships/hyperlink" Target="http://www.boxofficemojo.com/studio/chart/?studio=wellgo.htm" TargetMode="External"/><Relationship Id="rId2036" Type="http://schemas.openxmlformats.org/officeDocument/2006/relationships/hyperlink" Target="http://www.boxofficemojo.com/schedule/?view=bydate&amp;release=theatrical&amp;date=2014-03-21&amp;p=.htm" TargetMode="External"/><Relationship Id="rId2037" Type="http://schemas.openxmlformats.org/officeDocument/2006/relationships/hyperlink" Target="http://www.boxofficemojo.com/movies/?id=twobitwaltz.htm" TargetMode="External"/><Relationship Id="rId2038" Type="http://schemas.openxmlformats.org/officeDocument/2006/relationships/hyperlink" Target="http://www.boxofficemojo.com/studio/chart/?studio=montereymediainc.htm" TargetMode="External"/><Relationship Id="rId2039" Type="http://schemas.openxmlformats.org/officeDocument/2006/relationships/hyperlink" Target="http://www.boxofficemojo.com/schedule/?view=bydate&amp;release=theatrical&amp;date=2014-10-24&amp;p=.htm" TargetMode="External"/><Relationship Id="rId1740" Type="http://schemas.openxmlformats.org/officeDocument/2006/relationships/hyperlink" Target="http://www.boxofficemojo.com/movies/?id=insideleo.htm" TargetMode="External"/><Relationship Id="rId1741" Type="http://schemas.openxmlformats.org/officeDocument/2006/relationships/hyperlink" Target="http://www.boxofficemojo.com/studio/chart/?studio=submarinedeluxe.htm" TargetMode="External"/><Relationship Id="rId1742" Type="http://schemas.openxmlformats.org/officeDocument/2006/relationships/hyperlink" Target="http://www.boxofficemojo.com/schedule/?view=bydate&amp;release=theatrical&amp;date=2014-12-19&amp;p=.htm" TargetMode="External"/><Relationship Id="rId1743" Type="http://schemas.openxmlformats.org/officeDocument/2006/relationships/hyperlink" Target="http://www.boxofficemojo.com/movies/?id=norte.htm" TargetMode="External"/><Relationship Id="rId1350" Type="http://schemas.openxmlformats.org/officeDocument/2006/relationships/hyperlink" Target="http://www.boxofficemojo.com/movies/?id=ifyoubuildit.htm" TargetMode="External"/><Relationship Id="rId1351" Type="http://schemas.openxmlformats.org/officeDocument/2006/relationships/hyperlink" Target="http://www.boxofficemojo.com/studio/chart/?studio=longshotfactory.htm" TargetMode="External"/><Relationship Id="rId1352" Type="http://schemas.openxmlformats.org/officeDocument/2006/relationships/hyperlink" Target="http://www.boxofficemojo.com/schedule/?view=bydate&amp;release=theatrical&amp;date=2014-01-10&amp;p=.htm" TargetMode="External"/><Relationship Id="rId1353" Type="http://schemas.openxmlformats.org/officeDocument/2006/relationships/hyperlink" Target="http://www.boxofficemojo.com/movies/?id=roadtoninja.htm" TargetMode="External"/><Relationship Id="rId1354" Type="http://schemas.openxmlformats.org/officeDocument/2006/relationships/hyperlink" Target="http://www.boxofficemojo.com/studio/chart/?studio=elevenarts.htm" TargetMode="External"/><Relationship Id="rId1355" Type="http://schemas.openxmlformats.org/officeDocument/2006/relationships/hyperlink" Target="http://www.boxofficemojo.com/schedule/?view=bydate&amp;release=theatrical&amp;date=2014-08-29&amp;p=.htm" TargetMode="External"/><Relationship Id="rId1356" Type="http://schemas.openxmlformats.org/officeDocument/2006/relationships/hyperlink" Target="http://www.boxofficemojo.com/movies/?id=nextgoalwins.htm" TargetMode="External"/><Relationship Id="rId1357" Type="http://schemas.openxmlformats.org/officeDocument/2006/relationships/hyperlink" Target="http://www.boxofficemojo.com/studio/chart/?studio=ketchup.htm" TargetMode="External"/><Relationship Id="rId1358" Type="http://schemas.openxmlformats.org/officeDocument/2006/relationships/hyperlink" Target="http://www.boxofficemojo.com/schedule/?view=bydate&amp;release=theatrical&amp;date=2014-04-25&amp;p=.htm" TargetMode="External"/><Relationship Id="rId1359" Type="http://schemas.openxmlformats.org/officeDocument/2006/relationships/hyperlink" Target="http://www.boxofficemojo.com/movies/?id=interiorleatherbar.htm" TargetMode="External"/><Relationship Id="rId890" Type="http://schemas.openxmlformats.org/officeDocument/2006/relationships/hyperlink" Target="http://www.boxofficemojo.com/schedule/?view=bydate&amp;release=theatrical&amp;date=2014-04-04&amp;p=.htm" TargetMode="External"/><Relationship Id="rId891" Type="http://schemas.openxmlformats.org/officeDocument/2006/relationships/hyperlink" Target="http://www.boxofficemojo.com/movies/?id=mainterahero.htm" TargetMode="External"/><Relationship Id="rId892" Type="http://schemas.openxmlformats.org/officeDocument/2006/relationships/hyperlink" Target="http://www.boxofficemojo.com/studio/chart/?studio=eros.htm" TargetMode="External"/><Relationship Id="rId893" Type="http://schemas.openxmlformats.org/officeDocument/2006/relationships/hyperlink" Target="http://www.boxofficemojo.com/schedule/?view=bydate&amp;release=theatrical&amp;date=2014-04-04&amp;p=.htm" TargetMode="External"/><Relationship Id="rId894" Type="http://schemas.openxmlformats.org/officeDocument/2006/relationships/hyperlink" Target="http://www.boxofficemojo.com/movies/?id=nightmoves.htm" TargetMode="External"/><Relationship Id="rId895" Type="http://schemas.openxmlformats.org/officeDocument/2006/relationships/hyperlink" Target="http://www.boxofficemojo.com/studio/chart/?studio=cinedigmentertainment.htm" TargetMode="External"/><Relationship Id="rId896" Type="http://schemas.openxmlformats.org/officeDocument/2006/relationships/hyperlink" Target="http://www.boxofficemojo.com/schedule/?view=bydate&amp;release=theatrical&amp;date=2014-05-30&amp;p=.htm" TargetMode="External"/><Relationship Id="rId897" Type="http://schemas.openxmlformats.org/officeDocument/2006/relationships/hyperlink" Target="http://www.boxofficemojo.com/movies/?id=loveonthecloud.htm" TargetMode="External"/><Relationship Id="rId898" Type="http://schemas.openxmlformats.org/officeDocument/2006/relationships/hyperlink" Target="http://www.boxofficemojo.com/studio/chart/?studio=chinalion.htm" TargetMode="External"/><Relationship Id="rId899" Type="http://schemas.openxmlformats.org/officeDocument/2006/relationships/hyperlink" Target="http://www.boxofficemojo.com/schedule/?view=bydate&amp;release=theatrical&amp;date=2014-12-24&amp;p=.htm" TargetMode="External"/><Relationship Id="rId1744" Type="http://schemas.openxmlformats.org/officeDocument/2006/relationships/hyperlink" Target="http://www.boxofficemojo.com/studio/chart/?studio=cinemaguild.htm" TargetMode="External"/><Relationship Id="rId1745" Type="http://schemas.openxmlformats.org/officeDocument/2006/relationships/hyperlink" Target="http://www.boxofficemojo.com/schedule/?view=bydate&amp;release=theatrical&amp;date=2014-06-20&amp;p=.htm" TargetMode="External"/><Relationship Id="rId1746" Type="http://schemas.openxmlformats.org/officeDocument/2006/relationships/hyperlink" Target="http://www.boxofficemojo.com/movies/?id=straydogs.htm" TargetMode="External"/><Relationship Id="rId1747" Type="http://schemas.openxmlformats.org/officeDocument/2006/relationships/hyperlink" Target="http://www.boxofficemojo.com/studio/chart/?studio=cinemaguild.htm" TargetMode="External"/><Relationship Id="rId1748" Type="http://schemas.openxmlformats.org/officeDocument/2006/relationships/hyperlink" Target="http://www.boxofficemojo.com/schedule/?view=bydate&amp;release=theatrical&amp;date=2014-09-12&amp;p=.htm" TargetMode="External"/><Relationship Id="rId1749" Type="http://schemas.openxmlformats.org/officeDocument/2006/relationships/hyperlink" Target="http://www.boxofficemojo.com/movies/?id=endlesssummer.htm" TargetMode="External"/><Relationship Id="rId2040" Type="http://schemas.openxmlformats.org/officeDocument/2006/relationships/hyperlink" Target="http://www.boxofficemojo.com/movies/?id=wait.htm" TargetMode="External"/><Relationship Id="rId2041" Type="http://schemas.openxmlformats.org/officeDocument/2006/relationships/hyperlink" Target="http://www.boxofficemojo.com/studio/chart/?studio=montereymediainc.htm" TargetMode="External"/><Relationship Id="rId2042" Type="http://schemas.openxmlformats.org/officeDocument/2006/relationships/hyperlink" Target="http://www.boxofficemojo.com/schedule/?view=bydate&amp;release=theatrical&amp;date=2014-01-10&amp;p=.htm" TargetMode="External"/><Relationship Id="rId2043" Type="http://schemas.openxmlformats.org/officeDocument/2006/relationships/hyperlink" Target="http://www.boxofficemojo.com/movies/?id=protector2.htm" TargetMode="External"/><Relationship Id="rId2044" Type="http://schemas.openxmlformats.org/officeDocument/2006/relationships/hyperlink" Target="http://www.boxofficemojo.com/studio/chart/?studio=magnolia.htm" TargetMode="External"/><Relationship Id="rId2045" Type="http://schemas.openxmlformats.org/officeDocument/2006/relationships/hyperlink" Target="http://www.boxofficemojo.com/schedule/?view=bydate&amp;release=theatrical&amp;date=2014-05-02&amp;p=.htm" TargetMode="External"/><Relationship Id="rId2046" Type="http://schemas.openxmlformats.org/officeDocument/2006/relationships/hyperlink" Target="http://www.boxofficemojo.com/movies/?id=evergreen2014.htm" TargetMode="External"/><Relationship Id="rId2047" Type="http://schemas.openxmlformats.org/officeDocument/2006/relationships/hyperlink" Target="http://www.boxofficemojo.com/studio/chart/?studio=firstrun.htm" TargetMode="External"/><Relationship Id="rId2048" Type="http://schemas.openxmlformats.org/officeDocument/2006/relationships/hyperlink" Target="http://www.boxofficemojo.com/schedule/?view=bydate&amp;release=theatrical&amp;date=2014-06-13&amp;p=.htm" TargetMode="External"/><Relationship Id="rId2049" Type="http://schemas.openxmlformats.org/officeDocument/2006/relationships/hyperlink" Target="http://www.boxofficemojo.com/movies/?id=moebius.htm" TargetMode="External"/><Relationship Id="rId100" Type="http://schemas.openxmlformats.org/officeDocument/2006/relationships/hyperlink" Target="http://www.boxofficemojo.com/studio/chart/?studio=paramount.htm" TargetMode="External"/><Relationship Id="rId101" Type="http://schemas.openxmlformats.org/officeDocument/2006/relationships/hyperlink" Target="http://www.boxofficemojo.com/schedule/?view=bydate&amp;release=theatrical&amp;date=2014-03-28&amp;p=.htm" TargetMode="External"/><Relationship Id="rId102" Type="http://schemas.openxmlformats.org/officeDocument/2006/relationships/hyperlink" Target="http://www.boxofficemojo.com/movies/?id=allyouneediskill.htm" TargetMode="External"/><Relationship Id="rId103" Type="http://schemas.openxmlformats.org/officeDocument/2006/relationships/hyperlink" Target="http://www.boxofficemojo.com/studio/chart/?studio=warnerbros.htm" TargetMode="External"/><Relationship Id="rId104" Type="http://schemas.openxmlformats.org/officeDocument/2006/relationships/hyperlink" Target="http://www.boxofficemojo.com/schedule/?view=bydate&amp;release=theatrical&amp;date=2014-06-06&amp;p=.htm" TargetMode="External"/><Relationship Id="rId105" Type="http://schemas.openxmlformats.org/officeDocument/2006/relationships/hyperlink" Target="http://www.boxofficemojo.com/movies/?id=nonstop.htm" TargetMode="External"/><Relationship Id="rId106" Type="http://schemas.openxmlformats.org/officeDocument/2006/relationships/hyperlink" Target="http://www.boxofficemojo.com/studio/chart/?studio=universal.htm" TargetMode="External"/><Relationship Id="rId107" Type="http://schemas.openxmlformats.org/officeDocument/2006/relationships/hyperlink" Target="http://www.boxofficemojo.com/schedule/?view=bydate&amp;release=theatrical&amp;date=2014-02-28&amp;p=.htm" TargetMode="External"/><Relationship Id="rId108" Type="http://schemas.openxmlformats.org/officeDocument/2006/relationships/hyperlink" Target="http://www.boxofficemojo.com/movies/?id=heavenisforreal.htm" TargetMode="External"/><Relationship Id="rId109" Type="http://schemas.openxmlformats.org/officeDocument/2006/relationships/hyperlink" Target="http://www.boxofficemojo.com/studio/chart/?studio=tristar.htm" TargetMode="External"/><Relationship Id="rId1750" Type="http://schemas.openxmlformats.org/officeDocument/2006/relationships/hyperlink" Target="http://www.boxofficemojo.com/studio/chart/?studio=montereymediainc.htm" TargetMode="External"/><Relationship Id="rId1751" Type="http://schemas.openxmlformats.org/officeDocument/2006/relationships/hyperlink" Target="http://www.boxofficemojo.com/schedule/?view=bydate&amp;release=theatrical&amp;date=2014-07-23&amp;p=.htm" TargetMode="External"/><Relationship Id="rId1752" Type="http://schemas.openxmlformats.org/officeDocument/2006/relationships/hyperlink" Target="http://www.boxofficemojo.com/movies/?id=beforeidisappear.htm" TargetMode="External"/><Relationship Id="rId1753" Type="http://schemas.openxmlformats.org/officeDocument/2006/relationships/hyperlink" Target="http://www.boxofficemojo.com/studio/chart/?studio=ifc.htm" TargetMode="External"/><Relationship Id="rId1360" Type="http://schemas.openxmlformats.org/officeDocument/2006/relationships/hyperlink" Target="http://www.boxofficemojo.com/studio/chart/?studio=strand.htm" TargetMode="External"/><Relationship Id="rId1361" Type="http://schemas.openxmlformats.org/officeDocument/2006/relationships/hyperlink" Target="http://www.boxofficemojo.com/schedule/?view=bydate&amp;release=theatrical&amp;date=2014-01-03&amp;p=.htm" TargetMode="External"/><Relationship Id="rId1362" Type="http://schemas.openxmlformats.org/officeDocument/2006/relationships/hyperlink" Target="http://www.boxofficemojo.com/movies/?id=bloodties14.htm" TargetMode="External"/><Relationship Id="rId1363" Type="http://schemas.openxmlformats.org/officeDocument/2006/relationships/hyperlink" Target="http://www.boxofficemojo.com/studio/chart/?studio=roadsideattractions.htm" TargetMode="External"/><Relationship Id="rId1364" Type="http://schemas.openxmlformats.org/officeDocument/2006/relationships/hyperlink" Target="http://www.boxofficemojo.com/schedule/?view=bydate&amp;release=theatrical&amp;date=2014-03-21&amp;p=.htm" TargetMode="External"/><Relationship Id="rId1365" Type="http://schemas.openxmlformats.org/officeDocument/2006/relationships/hyperlink" Target="http://www.boxofficemojo.com/movies/?id=lastoftheunjust.htm" TargetMode="External"/><Relationship Id="rId1366" Type="http://schemas.openxmlformats.org/officeDocument/2006/relationships/hyperlink" Target="http://www.boxofficemojo.com/studio/chart/?studio=cohenmedia.htm" TargetMode="External"/><Relationship Id="rId1367" Type="http://schemas.openxmlformats.org/officeDocument/2006/relationships/hyperlink" Target="http://www.boxofficemojo.com/schedule/?view=bydate&amp;release=theatrical&amp;date=2014-02-07&amp;p=.htm" TargetMode="External"/><Relationship Id="rId1368" Type="http://schemas.openxmlformats.org/officeDocument/2006/relationships/hyperlink" Target="http://www.boxofficemojo.com/movies/?id=teenage.htm" TargetMode="External"/><Relationship Id="rId1369" Type="http://schemas.openxmlformats.org/officeDocument/2006/relationships/hyperlink" Target="http://www.boxofficemojo.com/studio/chart/?studio=oscilloscopepictures.htm" TargetMode="External"/><Relationship Id="rId1754" Type="http://schemas.openxmlformats.org/officeDocument/2006/relationships/hyperlink" Target="http://www.boxofficemojo.com/schedule/?view=bydate&amp;release=theatrical&amp;date=2014-11-28&amp;p=.htm" TargetMode="External"/><Relationship Id="rId1755" Type="http://schemas.openxmlformats.org/officeDocument/2006/relationships/hyperlink" Target="http://www.boxofficemojo.com/movies/?id=kabbalahme.htm" TargetMode="External"/><Relationship Id="rId1756" Type="http://schemas.openxmlformats.org/officeDocument/2006/relationships/hyperlink" Target="http://www.boxofficemojo.com/studio/chart/?studio=firstrun.htm" TargetMode="External"/><Relationship Id="rId1757" Type="http://schemas.openxmlformats.org/officeDocument/2006/relationships/hyperlink" Target="http://www.boxofficemojo.com/schedule/?view=bydate&amp;release=theatrical&amp;date=2014-08-22&amp;p=.htm" TargetMode="External"/><Relationship Id="rId1758" Type="http://schemas.openxmlformats.org/officeDocument/2006/relationships/hyperlink" Target="http://www.boxofficemojo.com/movies/?id=marius.htm" TargetMode="External"/><Relationship Id="rId1759" Type="http://schemas.openxmlformats.org/officeDocument/2006/relationships/hyperlink" Target="http://www.boxofficemojo.com/studio/chart/?studio=kinolorber.htm" TargetMode="External"/><Relationship Id="rId2050" Type="http://schemas.openxmlformats.org/officeDocument/2006/relationships/hyperlink" Target="http://www.boxofficemojo.com/studio/chart/?studio=filmmovement.htm" TargetMode="External"/><Relationship Id="rId2051" Type="http://schemas.openxmlformats.org/officeDocument/2006/relationships/hyperlink" Target="http://www.boxofficemojo.com/schedule/?view=bydate&amp;release=theatrical&amp;date=2014-08-01&amp;p=.htm" TargetMode="External"/><Relationship Id="rId2052" Type="http://schemas.openxmlformats.org/officeDocument/2006/relationships/hyperlink" Target="http://www.boxofficemojo.com/movies/?id=infliction.htm" TargetMode="External"/><Relationship Id="rId2053" Type="http://schemas.openxmlformats.org/officeDocument/2006/relationships/hyperlink" Target="http://www.boxofficemojo.com/studio/chart/?studio=ftp.htm" TargetMode="External"/><Relationship Id="rId2054" Type="http://schemas.openxmlformats.org/officeDocument/2006/relationships/hyperlink" Target="http://www.boxofficemojo.com/schedule/?view=bydate&amp;release=theatrical&amp;date=2014-03-16&amp;p=.htm" TargetMode="External"/><Relationship Id="rId2055" Type="http://schemas.openxmlformats.org/officeDocument/2006/relationships/hyperlink" Target="http://www.boxofficemojo.com/movies/?id=missionary2014.htm" TargetMode="External"/><Relationship Id="rId2056" Type="http://schemas.openxmlformats.org/officeDocument/2006/relationships/hyperlink" Target="http://www.boxofficemojo.com/studio/chart/?studio=fs.htm" TargetMode="External"/><Relationship Id="rId2057" Type="http://schemas.openxmlformats.org/officeDocument/2006/relationships/hyperlink" Target="http://www.boxofficemojo.com/schedule/?view=bydate&amp;release=theatrical&amp;date=2014-10-31&amp;p=.htm" TargetMode="External"/><Relationship Id="rId2058" Type="http://schemas.openxmlformats.org/officeDocument/2006/relationships/hyperlink" Target="http://www.boxofficemojo.com/movies/?id=rightkindofwrong.htm" TargetMode="External"/><Relationship Id="rId2059" Type="http://schemas.openxmlformats.org/officeDocument/2006/relationships/hyperlink" Target="http://www.boxofficemojo.com/studio/chart/?studio=magnolia.htm" TargetMode="External"/></Relationships>
</file>

<file path=xl/worksheets/_rels/sheet4.xml.rels><?xml version="1.0" encoding="UTF-8" standalone="yes"?>
<Relationships xmlns="http://schemas.openxmlformats.org/package/2006/relationships"><Relationship Id="rId500" Type="http://schemas.openxmlformats.org/officeDocument/2006/relationships/hyperlink" Target="http://www.boxofficemojo.com/schedule/?view=bydate&amp;release=theatrical&amp;date=2015-06-05&amp;p=.htm" TargetMode="External"/><Relationship Id="rId501" Type="http://schemas.openxmlformats.org/officeDocument/2006/relationships/hyperlink" Target="http://www.boxofficemojo.com/movies/?id=ladrones.htm" TargetMode="External"/><Relationship Id="rId502" Type="http://schemas.openxmlformats.org/officeDocument/2006/relationships/hyperlink" Target="http://www.boxofficemojo.com/studio/chart/?studio=lionsgate.htm" TargetMode="External"/><Relationship Id="rId503" Type="http://schemas.openxmlformats.org/officeDocument/2006/relationships/hyperlink" Target="http://www.boxofficemojo.com/schedule/?view=bydate&amp;release=theatrical&amp;date=2015-10-09&amp;p=.htm" TargetMode="External"/><Relationship Id="rId110" Type="http://schemas.openxmlformats.org/officeDocument/2006/relationships/hyperlink" Target="http://www.boxofficemojo.com/schedule/?view=bydate&amp;release=theatrical&amp;date=2015-12-18&amp;p=.htm" TargetMode="External"/><Relationship Id="rId111" Type="http://schemas.openxmlformats.org/officeDocument/2006/relationships/hyperlink" Target="http://www.boxofficemojo.com/movies/?id=mazerunner2.htm" TargetMode="External"/><Relationship Id="rId112" Type="http://schemas.openxmlformats.org/officeDocument/2006/relationships/hyperlink" Target="http://www.boxofficemojo.com/studio/chart/?studio=fox.htm" TargetMode="External"/><Relationship Id="rId113" Type="http://schemas.openxmlformats.org/officeDocument/2006/relationships/hyperlink" Target="http://www.boxofficemojo.com/schedule/?view=bydate&amp;release=theatrical&amp;date=2015-09-18&amp;p=.htm" TargetMode="External"/><Relationship Id="rId114" Type="http://schemas.openxmlformats.org/officeDocument/2006/relationships/hyperlink" Target="http://www.boxofficemojo.com/movies/?id=ted2.htm" TargetMode="External"/><Relationship Id="rId115" Type="http://schemas.openxmlformats.org/officeDocument/2006/relationships/hyperlink" Target="http://www.boxofficemojo.com/studio/chart/?studio=universal.htm" TargetMode="External"/><Relationship Id="rId116" Type="http://schemas.openxmlformats.org/officeDocument/2006/relationships/hyperlink" Target="http://www.boxofficemojo.com/schedule/?view=bydate&amp;release=theatrical&amp;date=2015-06-26&amp;p=.htm" TargetMode="External"/><Relationship Id="rId117" Type="http://schemas.openxmlformats.org/officeDocument/2006/relationships/hyperlink" Target="http://www.boxofficemojo.com/movies/?id=goosebumps.htm" TargetMode="External"/><Relationship Id="rId118" Type="http://schemas.openxmlformats.org/officeDocument/2006/relationships/hyperlink" Target="http://www.boxofficemojo.com/studio/chart/?studio=sony.htm" TargetMode="External"/><Relationship Id="rId119" Type="http://schemas.openxmlformats.org/officeDocument/2006/relationships/hyperlink" Target="http://www.boxofficemojo.com/schedule/?view=bydate&amp;release=theatrical&amp;date=2015-10-16&amp;p=.htm" TargetMode="External"/><Relationship Id="rId504" Type="http://schemas.openxmlformats.org/officeDocument/2006/relationships/hyperlink" Target="http://www.boxofficemojo.com/movies/?id=tanuwedsmanureturns.htm" TargetMode="External"/><Relationship Id="rId505" Type="http://schemas.openxmlformats.org/officeDocument/2006/relationships/hyperlink" Target="http://www.boxofficemojo.com/studio/chart/?studio=eros.htm" TargetMode="External"/><Relationship Id="rId506" Type="http://schemas.openxmlformats.org/officeDocument/2006/relationships/hyperlink" Target="http://www.boxofficemojo.com/schedule/?view=bydate&amp;release=theatrical&amp;date=2015-05-22&amp;p=.htm" TargetMode="External"/><Relationship Id="rId507" Type="http://schemas.openxmlformats.org/officeDocument/2006/relationships/hyperlink" Target="http://www.boxofficemojo.com/movies/?id=rockthekasbah.htm" TargetMode="External"/><Relationship Id="rId508" Type="http://schemas.openxmlformats.org/officeDocument/2006/relationships/hyperlink" Target="http://www.boxofficemojo.com/studio/chart/?studio=openroads.htm" TargetMode="External"/><Relationship Id="rId509" Type="http://schemas.openxmlformats.org/officeDocument/2006/relationships/hyperlink" Target="http://www.boxofficemojo.com/schedule/?view=bydate&amp;release=theatrical&amp;date=2015-10-23&amp;p=.htm" TargetMode="External"/><Relationship Id="rId1760" Type="http://schemas.openxmlformats.org/officeDocument/2006/relationships/hyperlink" Target="http://www.boxofficemojo.com/schedule/?view=bydate&amp;release=theatrical&amp;date=2015-10-02&amp;p=.htm" TargetMode="External"/><Relationship Id="rId1761" Type="http://schemas.openxmlformats.org/officeDocument/2006/relationships/hyperlink" Target="http://www.boxofficemojo.com/movies/?id=bside.htm" TargetMode="External"/><Relationship Id="rId1762" Type="http://schemas.openxmlformats.org/officeDocument/2006/relationships/hyperlink" Target="http://www.boxofficemojo.com/studio/chart/?studio=indican.htm" TargetMode="External"/><Relationship Id="rId1763" Type="http://schemas.openxmlformats.org/officeDocument/2006/relationships/hyperlink" Target="http://www.boxofficemojo.com/schedule/?view=bydate&amp;release=theatrical&amp;date=2015-07-10&amp;p=.htm" TargetMode="External"/><Relationship Id="rId1370" Type="http://schemas.openxmlformats.org/officeDocument/2006/relationships/hyperlink" Target="http://www.boxofficemojo.com/schedule/?view=bydate&amp;release=theatrical&amp;date=2015-10-23&amp;p=.htm" TargetMode="External"/><Relationship Id="rId1371" Type="http://schemas.openxmlformats.org/officeDocument/2006/relationships/hyperlink" Target="http://www.boxofficemojo.com/movies/?id=nowitzki.htm" TargetMode="External"/><Relationship Id="rId1372" Type="http://schemas.openxmlformats.org/officeDocument/2006/relationships/hyperlink" Target="http://www.boxofficemojo.com/studio/chart/?studio=magnolia.htm" TargetMode="External"/><Relationship Id="rId1373" Type="http://schemas.openxmlformats.org/officeDocument/2006/relationships/hyperlink" Target="http://www.boxofficemojo.com/schedule/?view=bydate&amp;release=theatrical&amp;date=2015-07-10&amp;p=.htm" TargetMode="External"/><Relationship Id="rId1374" Type="http://schemas.openxmlformats.org/officeDocument/2006/relationships/hyperlink" Target="http://www.boxofficemojo.com/movies/?id=queenandcountry.htm" TargetMode="External"/><Relationship Id="rId1375" Type="http://schemas.openxmlformats.org/officeDocument/2006/relationships/hyperlink" Target="http://www.boxofficemojo.com/studio/chart/?studio=bbcworldwide.htm" TargetMode="External"/><Relationship Id="rId1376" Type="http://schemas.openxmlformats.org/officeDocument/2006/relationships/hyperlink" Target="http://www.boxofficemojo.com/schedule/?view=bydate&amp;release=theatrical&amp;date=2015-02-18&amp;p=.htm" TargetMode="External"/><Relationship Id="rId1377" Type="http://schemas.openxmlformats.org/officeDocument/2006/relationships/hyperlink" Target="http://www.boxofficemojo.com/movies/?id=censoredvoices.htm" TargetMode="External"/><Relationship Id="rId1378" Type="http://schemas.openxmlformats.org/officeDocument/2006/relationships/hyperlink" Target="http://www.boxofficemojo.com/studio/chart/?studio=musicboxfilms.htm" TargetMode="External"/><Relationship Id="rId1379" Type="http://schemas.openxmlformats.org/officeDocument/2006/relationships/hyperlink" Target="http://www.boxofficemojo.com/schedule/?view=bydate&amp;release=theatrical&amp;date=2015-11-20&amp;p=.htm" TargetMode="External"/><Relationship Id="rId1764" Type="http://schemas.openxmlformats.org/officeDocument/2006/relationships/hyperlink" Target="http://www.boxofficemojo.com/movies/?id=pardon.htm" TargetMode="External"/><Relationship Id="rId1765" Type="http://schemas.openxmlformats.org/officeDocument/2006/relationships/hyperlink" Target="http://www.boxofficemojo.com/studio/chart/?studio=montereymediainc.htm" TargetMode="External"/><Relationship Id="rId1766" Type="http://schemas.openxmlformats.org/officeDocument/2006/relationships/hyperlink" Target="http://www.boxofficemojo.com/schedule/?view=bydate&amp;release=theatrical&amp;date=2015-06-26&amp;p=.htm" TargetMode="External"/><Relationship Id="rId1767" Type="http://schemas.openxmlformats.org/officeDocument/2006/relationships/hyperlink" Target="http://www.boxofficemojo.com/movies/?id=paulcoelhosbeststory.htm" TargetMode="External"/><Relationship Id="rId1768" Type="http://schemas.openxmlformats.org/officeDocument/2006/relationships/hyperlink" Target="http://www.boxofficemojo.com/studio/chart/?studio=musicboxfilms.htm" TargetMode="External"/><Relationship Id="rId1769" Type="http://schemas.openxmlformats.org/officeDocument/2006/relationships/hyperlink" Target="http://www.boxofficemojo.com/schedule/?view=bydate&amp;release=theatrical&amp;date=2015-07-31&amp;p=.htm" TargetMode="External"/><Relationship Id="rId2060" Type="http://schemas.openxmlformats.org/officeDocument/2006/relationships/hyperlink" Target="http://www.boxofficemojo.com/schedule/?view=bydate&amp;release=theatrical&amp;date=2015-07-10&amp;p=.htm" TargetMode="External"/><Relationship Id="rId2061" Type="http://schemas.openxmlformats.org/officeDocument/2006/relationships/hyperlink" Target="http://www.boxofficemojo.com/movies/?id=makingrounds.htm" TargetMode="External"/><Relationship Id="rId2062" Type="http://schemas.openxmlformats.org/officeDocument/2006/relationships/hyperlink" Target="http://www.boxofficemojo.com/studio/chart/?studio=firstrun.htm" TargetMode="External"/><Relationship Id="rId2063" Type="http://schemas.openxmlformats.org/officeDocument/2006/relationships/hyperlink" Target="http://www.boxofficemojo.com/schedule/?view=bydate&amp;release=theatrical&amp;date=2015-10-30&amp;p=.htm" TargetMode="External"/><Relationship Id="rId2064" Type="http://schemas.openxmlformats.org/officeDocument/2006/relationships/hyperlink" Target="http://www.boxofficemojo.com/movies/?id=alongtheroadside.htm" TargetMode="External"/><Relationship Id="rId2065" Type="http://schemas.openxmlformats.org/officeDocument/2006/relationships/hyperlink" Target="http://www.boxofficemojo.com/studio/chart/?studio=indican.htm" TargetMode="External"/><Relationship Id="rId2066" Type="http://schemas.openxmlformats.org/officeDocument/2006/relationships/hyperlink" Target="http://www.boxofficemojo.com/schedule/?view=bydate&amp;release=theatrical&amp;date=2015-03-27&amp;p=.htm" TargetMode="External"/><Relationship Id="rId2067" Type="http://schemas.openxmlformats.org/officeDocument/2006/relationships/hyperlink" Target="http://www.boxofficemojo.com/movies/?id=3nightsinthedesert.htm" TargetMode="External"/><Relationship Id="rId2068" Type="http://schemas.openxmlformats.org/officeDocument/2006/relationships/hyperlink" Target="http://www.boxofficemojo.com/studio/chart/?studio=montereymediainc.htm" TargetMode="External"/><Relationship Id="rId2069" Type="http://schemas.openxmlformats.org/officeDocument/2006/relationships/hyperlink" Target="http://www.boxofficemojo.com/schedule/?view=bydate&amp;release=theatrical&amp;date=2015-02-06&amp;p=.htm" TargetMode="External"/><Relationship Id="rId900" Type="http://schemas.openxmlformats.org/officeDocument/2006/relationships/hyperlink" Target="http://www.boxofficemojo.com/movies/?id=nh10.htm" TargetMode="External"/><Relationship Id="rId901" Type="http://schemas.openxmlformats.org/officeDocument/2006/relationships/hyperlink" Target="http://www.boxofficemojo.com/studio/chart/?studio=eros.htm" TargetMode="External"/><Relationship Id="rId902" Type="http://schemas.openxmlformats.org/officeDocument/2006/relationships/hyperlink" Target="http://www.boxofficemojo.com/schedule/?view=bydate&amp;release=theatrical&amp;date=2015-03-13&amp;p=.htm" TargetMode="External"/><Relationship Id="rId903" Type="http://schemas.openxmlformats.org/officeDocument/2006/relationships/hyperlink" Target="http://www.boxofficemojo.com/movies/?id=themanin3b.htm" TargetMode="External"/><Relationship Id="rId904" Type="http://schemas.openxmlformats.org/officeDocument/2006/relationships/hyperlink" Target="http://www.boxofficemojo.com/studio/chart/?studio=fs.htm" TargetMode="External"/><Relationship Id="rId905" Type="http://schemas.openxmlformats.org/officeDocument/2006/relationships/hyperlink" Target="http://www.boxofficemojo.com/schedule/?view=bydate&amp;release=theatrical&amp;date=2015-11-06&amp;p=.htm" TargetMode="External"/><Relationship Id="rId906" Type="http://schemas.openxmlformats.org/officeDocument/2006/relationships/hyperlink" Target="http://www.boxofficemojo.com/movies/?id=aboveandbeyond.htm" TargetMode="External"/><Relationship Id="rId907" Type="http://schemas.openxmlformats.org/officeDocument/2006/relationships/hyperlink" Target="http://www.boxofficemojo.com/studio/chart/?studio=intlfilmcircuit.htm" TargetMode="External"/><Relationship Id="rId120" Type="http://schemas.openxmlformats.org/officeDocument/2006/relationships/hyperlink" Target="http://www.boxofficemojo.com/movies/?id=pixels.htm" TargetMode="External"/><Relationship Id="rId121" Type="http://schemas.openxmlformats.org/officeDocument/2006/relationships/hyperlink" Target="http://www.boxofficemojo.com/studio/chart/?studio=sony.htm" TargetMode="External"/><Relationship Id="rId122" Type="http://schemas.openxmlformats.org/officeDocument/2006/relationships/hyperlink" Target="http://www.boxofficemojo.com/schedule/?view=bydate&amp;release=theatrical&amp;date=2015-07-24&amp;p=.htm" TargetMode="External"/><Relationship Id="rId123" Type="http://schemas.openxmlformats.org/officeDocument/2006/relationships/hyperlink" Target="http://www.boxofficemojo.com/movies/?id=paddington.htm" TargetMode="External"/><Relationship Id="rId124" Type="http://schemas.openxmlformats.org/officeDocument/2006/relationships/hyperlink" Target="http://www.boxofficemojo.com/studio/chart/?studio=wdimension.htm" TargetMode="External"/><Relationship Id="rId125" Type="http://schemas.openxmlformats.org/officeDocument/2006/relationships/hyperlink" Target="http://www.boxofficemojo.com/schedule/?view=bydate&amp;release=theatrical&amp;date=2015-01-16&amp;p=.htm" TargetMode="External"/><Relationship Id="rId126" Type="http://schemas.openxmlformats.org/officeDocument/2006/relationships/hyperlink" Target="http://www.boxofficemojo.com/movies/?id=intern.htm" TargetMode="External"/><Relationship Id="rId127" Type="http://schemas.openxmlformats.org/officeDocument/2006/relationships/hyperlink" Target="http://www.boxofficemojo.com/studio/chart/?studio=warnerbros.htm" TargetMode="External"/><Relationship Id="rId128" Type="http://schemas.openxmlformats.org/officeDocument/2006/relationships/hyperlink" Target="http://www.boxofficemojo.com/schedule/?view=bydate&amp;release=theatrical&amp;date=2015-09-25&amp;p=.htm" TargetMode="External"/><Relationship Id="rId129" Type="http://schemas.openxmlformats.org/officeDocument/2006/relationships/hyperlink" Target="http://www.boxofficemojo.com/movies/?id=coldwar2015.htm" TargetMode="External"/><Relationship Id="rId908" Type="http://schemas.openxmlformats.org/officeDocument/2006/relationships/hyperlink" Target="http://www.boxofficemojo.com/schedule/?view=bydate&amp;release=theatrical&amp;date=2015-01-30&amp;p=.htm" TargetMode="External"/><Relationship Id="rId909" Type="http://schemas.openxmlformats.org/officeDocument/2006/relationships/hyperlink" Target="http://www.boxofficemojo.com/movies/?id=goawaymrtumor.htm" TargetMode="External"/><Relationship Id="rId510" Type="http://schemas.openxmlformats.org/officeDocument/2006/relationships/hyperlink" Target="http://www.boxofficemojo.com/movies/?id=endofthetour.htm" TargetMode="External"/><Relationship Id="rId511" Type="http://schemas.openxmlformats.org/officeDocument/2006/relationships/hyperlink" Target="http://www.boxofficemojo.com/studio/chart/?studio=a24.htm" TargetMode="External"/><Relationship Id="rId512" Type="http://schemas.openxmlformats.org/officeDocument/2006/relationships/hyperlink" Target="http://www.boxofficemojo.com/schedule/?view=bydate&amp;release=theatrical&amp;date=2015-07-31&amp;p=.htm" TargetMode="External"/><Relationship Id="rId513" Type="http://schemas.openxmlformats.org/officeDocument/2006/relationships/hyperlink" Target="http://www.boxofficemojo.com/movies/?id=youth.htm" TargetMode="External"/><Relationship Id="rId514" Type="http://schemas.openxmlformats.org/officeDocument/2006/relationships/hyperlink" Target="http://www.boxofficemojo.com/studio/chart/?studio=foxsearchlight.htm" TargetMode="External"/><Relationship Id="rId515" Type="http://schemas.openxmlformats.org/officeDocument/2006/relationships/hyperlink" Target="http://www.boxofficemojo.com/schedule/?view=bydate&amp;release=theatrical&amp;date=2015-12-04&amp;p=.htm" TargetMode="External"/><Relationship Id="rId516" Type="http://schemas.openxmlformats.org/officeDocument/2006/relationships/hyperlink" Target="http://www.boxofficemojo.com/movies/?id=malala.htm" TargetMode="External"/><Relationship Id="rId517" Type="http://schemas.openxmlformats.org/officeDocument/2006/relationships/hyperlink" Target="http://www.boxofficemojo.com/studio/chart/?studio=foxsearchlight.htm" TargetMode="External"/><Relationship Id="rId518" Type="http://schemas.openxmlformats.org/officeDocument/2006/relationships/hyperlink" Target="http://www.boxofficemojo.com/schedule/?view=bydate&amp;release=theatrical&amp;date=2015-10-02&amp;p=.htm" TargetMode="External"/><Relationship Id="rId519" Type="http://schemas.openxmlformats.org/officeDocument/2006/relationships/hyperlink" Target="http://www.boxofficemojo.com/movies/?id=chiraq.htm" TargetMode="External"/><Relationship Id="rId1770" Type="http://schemas.openxmlformats.org/officeDocument/2006/relationships/hyperlink" Target="http://www.boxofficemojo.com/movies/?id=dawnofthecrescentmoon.htm" TargetMode="External"/><Relationship Id="rId1771" Type="http://schemas.openxmlformats.org/officeDocument/2006/relationships/hyperlink" Target="http://www.boxofficemojo.com/studio/chart/?studio=indican.htm" TargetMode="External"/><Relationship Id="rId1772" Type="http://schemas.openxmlformats.org/officeDocument/2006/relationships/hyperlink" Target="http://www.boxofficemojo.com/schedule/?view=bydate&amp;release=theatrical&amp;date=2015-07-24&amp;p=.htm" TargetMode="External"/><Relationship Id="rId1773" Type="http://schemas.openxmlformats.org/officeDocument/2006/relationships/hyperlink" Target="http://www.boxofficemojo.com/movies/?id=meetmeinmontenegro.htm" TargetMode="External"/><Relationship Id="rId1380" Type="http://schemas.openxmlformats.org/officeDocument/2006/relationships/hyperlink" Target="http://www.boxofficemojo.com/movies/?id=lovethynature.htm" TargetMode="External"/><Relationship Id="rId1381" Type="http://schemas.openxmlformats.org/officeDocument/2006/relationships/hyperlink" Target="http://www.boxofficemojo.com/studio/chart/?studio=inlight.htm" TargetMode="External"/><Relationship Id="rId1382" Type="http://schemas.openxmlformats.org/officeDocument/2006/relationships/hyperlink" Target="http://www.boxofficemojo.com/schedule/?view=bydate&amp;release=theatrical&amp;date=2015-02-19&amp;p=.htm" TargetMode="External"/><Relationship Id="rId1383" Type="http://schemas.openxmlformats.org/officeDocument/2006/relationships/hyperlink" Target="http://www.boxofficemojo.com/movies/?id=thenewrijksmuseum.htm" TargetMode="External"/><Relationship Id="rId1384" Type="http://schemas.openxmlformats.org/officeDocument/2006/relationships/hyperlink" Target="http://www.boxofficemojo.com/studio/chart/?studio=firstrun.htm" TargetMode="External"/><Relationship Id="rId1385" Type="http://schemas.openxmlformats.org/officeDocument/2006/relationships/hyperlink" Target="http://www.boxofficemojo.com/schedule/?view=bydate&amp;release=theatrical&amp;date=2015-06-19&amp;p=.htm" TargetMode="External"/><Relationship Id="rId1386" Type="http://schemas.openxmlformats.org/officeDocument/2006/relationships/hyperlink" Target="http://www.boxofficemojo.com/movies/?id=thephone.htm" TargetMode="External"/><Relationship Id="rId1387" Type="http://schemas.openxmlformats.org/officeDocument/2006/relationships/hyperlink" Target="http://www.boxofficemojo.com/studio/chart/?studio=cjentertainment.htm" TargetMode="External"/><Relationship Id="rId1388" Type="http://schemas.openxmlformats.org/officeDocument/2006/relationships/hyperlink" Target="http://www.boxofficemojo.com/schedule/?view=bydate&amp;release=theatrical&amp;date=2015-11-06&amp;p=.htm" TargetMode="External"/><Relationship Id="rId1389" Type="http://schemas.openxmlformats.org/officeDocument/2006/relationships/hyperlink" Target="http://www.boxofficemojo.com/movies/?id=whatourfathersdid.htm" TargetMode="External"/><Relationship Id="rId1774" Type="http://schemas.openxmlformats.org/officeDocument/2006/relationships/hyperlink" Target="http://www.boxofficemojo.com/studio/chart/?studio=orchard.htm" TargetMode="External"/><Relationship Id="rId1775" Type="http://schemas.openxmlformats.org/officeDocument/2006/relationships/hyperlink" Target="http://www.boxofficemojo.com/schedule/?view=bydate&amp;release=theatrical&amp;date=2015-07-10&amp;p=.htm" TargetMode="External"/><Relationship Id="rId1776" Type="http://schemas.openxmlformats.org/officeDocument/2006/relationships/hyperlink" Target="http://www.boxofficemojo.com/movies/?id=farewelltohollywood.htm" TargetMode="External"/><Relationship Id="rId1777" Type="http://schemas.openxmlformats.org/officeDocument/2006/relationships/hyperlink" Target="http://www.boxofficemojo.com/studio/chart/?studio=intlfilmcircuit.htm" TargetMode="External"/><Relationship Id="rId1778" Type="http://schemas.openxmlformats.org/officeDocument/2006/relationships/hyperlink" Target="http://www.boxofficemojo.com/schedule/?view=bydate&amp;release=theatrical&amp;date=2015-02-25&amp;p=.htm" TargetMode="External"/><Relationship Id="rId1779" Type="http://schemas.openxmlformats.org/officeDocument/2006/relationships/hyperlink" Target="http://www.boxofficemojo.com/movies/?id=counting.htm" TargetMode="External"/><Relationship Id="rId2070" Type="http://schemas.openxmlformats.org/officeDocument/2006/relationships/hyperlink" Target="http://www.boxofficemojo.com/movies/?id=skintrade.htm" TargetMode="External"/><Relationship Id="rId2071" Type="http://schemas.openxmlformats.org/officeDocument/2006/relationships/hyperlink" Target="http://www.boxofficemojo.com/studio/chart/?studio=magnolia.htm" TargetMode="External"/><Relationship Id="rId2072" Type="http://schemas.openxmlformats.org/officeDocument/2006/relationships/hyperlink" Target="http://www.boxofficemojo.com/schedule/?view=bydate&amp;release=theatrical&amp;date=2015-05-08&amp;p=.htm" TargetMode="External"/><Relationship Id="rId2073" Type="http://schemas.openxmlformats.org/officeDocument/2006/relationships/hyperlink" Target="http://www.boxofficemojo.com/movies/?id=elnino.htm" TargetMode="External"/><Relationship Id="rId2074" Type="http://schemas.openxmlformats.org/officeDocument/2006/relationships/hyperlink" Target="http://www.boxofficemojo.com/studio/chart/?studio=distribfilms.htm" TargetMode="External"/><Relationship Id="rId2075" Type="http://schemas.openxmlformats.org/officeDocument/2006/relationships/hyperlink" Target="http://www.boxofficemojo.com/schedule/?view=bydate&amp;release=theatrical&amp;date=2015-04-17&amp;p=.htm" TargetMode="External"/><Relationship Id="rId2076" Type="http://schemas.openxmlformats.org/officeDocument/2006/relationships/hyperlink" Target="http://www.boxofficemojo.com/movies/?id=childless2015.htm" TargetMode="External"/><Relationship Id="rId2077" Type="http://schemas.openxmlformats.org/officeDocument/2006/relationships/hyperlink" Target="http://www.boxofficemojo.com/studio/chart/?studio=montereymediainc.htm" TargetMode="External"/><Relationship Id="rId2078" Type="http://schemas.openxmlformats.org/officeDocument/2006/relationships/hyperlink" Target="http://www.boxofficemojo.com/schedule/?view=bydate&amp;release=theatrical&amp;date=2015-05-15&amp;p=.htm" TargetMode="External"/><Relationship Id="rId2079" Type="http://schemas.openxmlformats.org/officeDocument/2006/relationships/hyperlink" Target="http://www.boxofficemojo.com/movies/?id=theyarewe.htm" TargetMode="External"/><Relationship Id="rId910" Type="http://schemas.openxmlformats.org/officeDocument/2006/relationships/hyperlink" Target="http://www.boxofficemojo.com/studio/chart/?studio=chinalion.htm" TargetMode="External"/><Relationship Id="rId911" Type="http://schemas.openxmlformats.org/officeDocument/2006/relationships/hyperlink" Target="http://www.boxofficemojo.com/schedule/?view=bydate&amp;release=theatrical&amp;date=2015-08-14&amp;p=.htm" TargetMode="External"/><Relationship Id="rId912" Type="http://schemas.openxmlformats.org/officeDocument/2006/relationships/hyperlink" Target="http://www.boxofficemojo.com/movies/?id=theeb.htm" TargetMode="External"/><Relationship Id="rId913" Type="http://schemas.openxmlformats.org/officeDocument/2006/relationships/hyperlink" Target="http://www.boxofficemojo.com/studio/chart/?studio=filmmovement.htm" TargetMode="External"/><Relationship Id="rId914" Type="http://schemas.openxmlformats.org/officeDocument/2006/relationships/hyperlink" Target="http://www.boxofficemojo.com/schedule/?view=bydate&amp;release=theatrical&amp;date=2015-11-06&amp;p=.htm" TargetMode="External"/><Relationship Id="rId915" Type="http://schemas.openxmlformats.org/officeDocument/2006/relationships/hyperlink" Target="http://www.boxofficemojo.com/movies/?id=whitegod.htm" TargetMode="External"/><Relationship Id="rId916" Type="http://schemas.openxmlformats.org/officeDocument/2006/relationships/hyperlink" Target="http://www.boxofficemojo.com/studio/chart/?studio=magnolia.htm" TargetMode="External"/><Relationship Id="rId917" Type="http://schemas.openxmlformats.org/officeDocument/2006/relationships/hyperlink" Target="http://www.boxofficemojo.com/schedule/?view=bydate&amp;release=theatrical&amp;date=2015-03-27&amp;p=.htm" TargetMode="External"/><Relationship Id="rId130" Type="http://schemas.openxmlformats.org/officeDocument/2006/relationships/hyperlink" Target="http://www.boxofficemojo.com/studio/chart/?studio=buenavista.htm" TargetMode="External"/><Relationship Id="rId131" Type="http://schemas.openxmlformats.org/officeDocument/2006/relationships/hyperlink" Target="http://www.boxofficemojo.com/schedule/?view=bydate&amp;release=theatrical&amp;date=2015-10-16&amp;p=.htm" TargetMode="External"/><Relationship Id="rId132" Type="http://schemas.openxmlformats.org/officeDocument/2006/relationships/hyperlink" Target="http://www.boxofficemojo.com/movies/?id=paulblart2.htm" TargetMode="External"/><Relationship Id="rId133" Type="http://schemas.openxmlformats.org/officeDocument/2006/relationships/hyperlink" Target="http://www.boxofficemojo.com/studio/chart/?studio=sony.htm" TargetMode="External"/><Relationship Id="rId134" Type="http://schemas.openxmlformats.org/officeDocument/2006/relationships/hyperlink" Target="http://www.boxofficemojo.com/schedule/?view=bydate&amp;release=theatrical&amp;date=2015-04-17&amp;p=.htm" TargetMode="External"/><Relationship Id="rId135" Type="http://schemas.openxmlformats.org/officeDocument/2006/relationships/hyperlink" Target="http://www.boxofficemojo.com/movies/?id=bigshort.htm" TargetMode="External"/><Relationship Id="rId136" Type="http://schemas.openxmlformats.org/officeDocument/2006/relationships/hyperlink" Target="http://www.boxofficemojo.com/studio/chart/?studio=paramount.htm" TargetMode="External"/><Relationship Id="rId137" Type="http://schemas.openxmlformats.org/officeDocument/2006/relationships/hyperlink" Target="http://www.boxofficemojo.com/schedule/?view=bydate&amp;release=theatrical&amp;date=2015-12-11&amp;p=.htm" TargetMode="External"/><Relationship Id="rId138" Type="http://schemas.openxmlformats.org/officeDocument/2006/relationships/hyperlink" Target="http://www.boxofficemojo.com/movies/?id=warroom2015.htm" TargetMode="External"/><Relationship Id="rId139" Type="http://schemas.openxmlformats.org/officeDocument/2006/relationships/hyperlink" Target="http://www.boxofficemojo.com/studio/chart/?studio=tristar.htm" TargetMode="External"/><Relationship Id="rId918" Type="http://schemas.openxmlformats.org/officeDocument/2006/relationships/hyperlink" Target="http://www.boxofficemojo.com/movies/?id=aborrowedidentity.htm" TargetMode="External"/><Relationship Id="rId919" Type="http://schemas.openxmlformats.org/officeDocument/2006/relationships/hyperlink" Target="http://www.boxofficemojo.com/studio/chart/?studio=strand.htm" TargetMode="External"/><Relationship Id="rId520" Type="http://schemas.openxmlformats.org/officeDocument/2006/relationships/hyperlink" Target="http://www.boxofficemojo.com/studio/chart/?studio=roadsideattractions.htm" TargetMode="External"/><Relationship Id="rId521" Type="http://schemas.openxmlformats.org/officeDocument/2006/relationships/hyperlink" Target="http://www.boxofficemojo.com/schedule/?view=bydate&amp;release=theatrical&amp;date=2015-12-04&amp;p=.htm" TargetMode="External"/><Relationship Id="rId522" Type="http://schemas.openxmlformats.org/officeDocument/2006/relationships/hyperlink" Target="http://www.boxofficemojo.com/movies/?id=captive2015.htm" TargetMode="External"/><Relationship Id="rId523" Type="http://schemas.openxmlformats.org/officeDocument/2006/relationships/hyperlink" Target="http://www.boxofficemojo.com/studio/chart/?studio=paramount.htm" TargetMode="External"/><Relationship Id="rId524" Type="http://schemas.openxmlformats.org/officeDocument/2006/relationships/hyperlink" Target="http://www.boxofficemojo.com/schedule/?view=bydate&amp;release=theatrical&amp;date=2015-09-18&amp;p=.htm" TargetMode="External"/><Relationship Id="rId525" Type="http://schemas.openxmlformats.org/officeDocument/2006/relationships/hyperlink" Target="http://www.boxofficemojo.com/movies/?id=truth.htm" TargetMode="External"/><Relationship Id="rId526" Type="http://schemas.openxmlformats.org/officeDocument/2006/relationships/hyperlink" Target="http://www.boxofficemojo.com/studio/chart/?studio=sonyclassics.htm" TargetMode="External"/><Relationship Id="rId527" Type="http://schemas.openxmlformats.org/officeDocument/2006/relationships/hyperlink" Target="http://www.boxofficemojo.com/schedule/?view=bydate&amp;release=theatrical&amp;date=2015-10-16&amp;p=.htm" TargetMode="External"/><Relationship Id="rId528" Type="http://schemas.openxmlformats.org/officeDocument/2006/relationships/hyperlink" Target="http://www.boxofficemojo.com/movies/?id=mistressamerica.htm" TargetMode="External"/><Relationship Id="rId529" Type="http://schemas.openxmlformats.org/officeDocument/2006/relationships/hyperlink" Target="http://www.boxofficemojo.com/studio/chart/?studio=foxsearchlight.htm" TargetMode="External"/><Relationship Id="rId1780" Type="http://schemas.openxmlformats.org/officeDocument/2006/relationships/hyperlink" Target="http://www.boxofficemojo.com/studio/chart/?studio=cinemaguild.htm" TargetMode="External"/><Relationship Id="rId1781" Type="http://schemas.openxmlformats.org/officeDocument/2006/relationships/hyperlink" Target="http://www.boxofficemojo.com/schedule/?view=bydate&amp;release=theatrical&amp;date=2015-07-31&amp;p=.htm" TargetMode="External"/><Relationship Id="rId1782" Type="http://schemas.openxmlformats.org/officeDocument/2006/relationships/hyperlink" Target="http://www.boxofficemojo.com/movies/?id=girlinthebook.htm" TargetMode="External"/><Relationship Id="rId1783" Type="http://schemas.openxmlformats.org/officeDocument/2006/relationships/hyperlink" Target="http://www.boxofficemojo.com/studio/chart/?studio=fs.htm" TargetMode="External"/><Relationship Id="rId1390" Type="http://schemas.openxmlformats.org/officeDocument/2006/relationships/hyperlink" Target="http://www.boxofficemojo.com/studio/chart/?studio=oscilloscopepictures.htm" TargetMode="External"/><Relationship Id="rId1391" Type="http://schemas.openxmlformats.org/officeDocument/2006/relationships/hyperlink" Target="http://www.boxofficemojo.com/schedule/?view=bydate&amp;release=theatrical&amp;date=2015-11-06&amp;p=.htm" TargetMode="External"/><Relationship Id="rId1392" Type="http://schemas.openxmlformats.org/officeDocument/2006/relationships/hyperlink" Target="http://www.boxofficemojo.com/movies/?id=lilaandeve.htm" TargetMode="External"/><Relationship Id="rId1393" Type="http://schemas.openxmlformats.org/officeDocument/2006/relationships/hyperlink" Target="http://www.boxofficemojo.com/studio/chart/?studio=samuelgoldwyn.htm" TargetMode="External"/><Relationship Id="rId1394" Type="http://schemas.openxmlformats.org/officeDocument/2006/relationships/hyperlink" Target="http://www.boxofficemojo.com/schedule/?view=bydate&amp;release=theatrical&amp;date=2015-07-17&amp;p=.htm" TargetMode="External"/><Relationship Id="rId1395" Type="http://schemas.openxmlformats.org/officeDocument/2006/relationships/hyperlink" Target="http://www.boxofficemojo.com/movies/?id=match.htm" TargetMode="External"/><Relationship Id="rId1396" Type="http://schemas.openxmlformats.org/officeDocument/2006/relationships/hyperlink" Target="http://www.boxofficemojo.com/studio/chart/?studio=ifc.htm" TargetMode="External"/><Relationship Id="rId1397" Type="http://schemas.openxmlformats.org/officeDocument/2006/relationships/hyperlink" Target="http://www.boxofficemojo.com/schedule/?view=bydate&amp;release=theatrical&amp;date=2015-01-14&amp;p=.htm" TargetMode="External"/><Relationship Id="rId1398" Type="http://schemas.openxmlformats.org/officeDocument/2006/relationships/hyperlink" Target="http://www.boxofficemojo.com/movies/?id=beforewego.htm" TargetMode="External"/><Relationship Id="rId1399" Type="http://schemas.openxmlformats.org/officeDocument/2006/relationships/hyperlink" Target="http://www.boxofficemojo.com/studio/chart/?studio=radiustwc.htm" TargetMode="External"/><Relationship Id="rId1784" Type="http://schemas.openxmlformats.org/officeDocument/2006/relationships/hyperlink" Target="http://www.boxofficemojo.com/schedule/?view=bydate&amp;release=theatrical&amp;date=2015-12-11&amp;p=.htm" TargetMode="External"/><Relationship Id="rId1785" Type="http://schemas.openxmlformats.org/officeDocument/2006/relationships/hyperlink" Target="http://www.boxofficemojo.com/movies/?id=afool.htm" TargetMode="External"/><Relationship Id="rId1786" Type="http://schemas.openxmlformats.org/officeDocument/2006/relationships/hyperlink" Target="http://www.boxofficemojo.com/studio/chart/?studio=chinalion.htm" TargetMode="External"/><Relationship Id="rId1787" Type="http://schemas.openxmlformats.org/officeDocument/2006/relationships/hyperlink" Target="http://www.boxofficemojo.com/schedule/?view=bydate&amp;release=theatrical&amp;date=2015-11-27&amp;p=.htm" TargetMode="External"/><Relationship Id="rId1788" Type="http://schemas.openxmlformats.org/officeDocument/2006/relationships/hyperlink" Target="http://www.boxofficemojo.com/movies/?id=jellyfisheyes.htm" TargetMode="External"/><Relationship Id="rId1789" Type="http://schemas.openxmlformats.org/officeDocument/2006/relationships/hyperlink" Target="http://www.boxofficemojo.com/studio/chart/?studio=janusfilms.htm" TargetMode="External"/><Relationship Id="rId2080" Type="http://schemas.openxmlformats.org/officeDocument/2006/relationships/hyperlink" Target="http://www.boxofficemojo.com/studio/chart/?studio=icarus.htm" TargetMode="External"/><Relationship Id="rId2081" Type="http://schemas.openxmlformats.org/officeDocument/2006/relationships/hyperlink" Target="http://www.boxofficemojo.com/schedule/?view=bydate&amp;release=theatrical&amp;date=2015-06-26&amp;p=.htm" TargetMode="External"/><Relationship Id="rId2082" Type="http://schemas.openxmlformats.org/officeDocument/2006/relationships/hyperlink" Target="http://www.boxofficemojo.com/movies/?id=thankstomyfriends.htm" TargetMode="External"/><Relationship Id="rId2083" Type="http://schemas.openxmlformats.org/officeDocument/2006/relationships/hyperlink" Target="http://www.boxofficemojo.com/studio/chart/?studio=distribfilms.htm" TargetMode="External"/><Relationship Id="rId2084" Type="http://schemas.openxmlformats.org/officeDocument/2006/relationships/hyperlink" Target="http://www.boxofficemojo.com/schedule/?view=bydate&amp;release=theatrical&amp;date=2015-12-11&amp;p=.htm" TargetMode="External"/><Relationship Id="rId2085" Type="http://schemas.openxmlformats.org/officeDocument/2006/relationships/hyperlink" Target="http://www.boxofficemojo.com/movies/?id=bigmuddy.htm" TargetMode="External"/><Relationship Id="rId2086" Type="http://schemas.openxmlformats.org/officeDocument/2006/relationships/hyperlink" Target="http://www.boxofficemojo.com/studio/chart/?studio=montereymediainc.htm" TargetMode="External"/><Relationship Id="rId2087" Type="http://schemas.openxmlformats.org/officeDocument/2006/relationships/hyperlink" Target="http://www.boxofficemojo.com/schedule/?view=bydate&amp;release=theatrical&amp;date=2015-01-23&amp;p=.htm" TargetMode="External"/><Relationship Id="rId2088" Type="http://schemas.openxmlformats.org/officeDocument/2006/relationships/hyperlink" Target="http://www.boxofficemojo.com/movies/?id=rec4.htm" TargetMode="External"/><Relationship Id="rId2089" Type="http://schemas.openxmlformats.org/officeDocument/2006/relationships/hyperlink" Target="http://www.boxofficemojo.com/studio/chart/?studio=magnolia.htm" TargetMode="External"/><Relationship Id="rId1" Type="http://schemas.openxmlformats.org/officeDocument/2006/relationships/hyperlink" Target="http://www.boxofficemojo.com/yearly/chart/?view=releasedate&amp;view2=domestic&amp;yr=2015&amp;sort=gross&amp;order=ASC&amp;p=.htm" TargetMode="External"/><Relationship Id="rId2" Type="http://schemas.openxmlformats.org/officeDocument/2006/relationships/hyperlink" Target="http://www.boxofficemojo.com/yearly/chart/?view=releasedate&amp;view2=domestic&amp;yr=2015&amp;sort=title&amp;order=ASC&amp;p=.htm" TargetMode="External"/><Relationship Id="rId3" Type="http://schemas.openxmlformats.org/officeDocument/2006/relationships/hyperlink" Target="http://www.boxofficemojo.com/yearly/chart/?view=releasedate&amp;view2=domestic&amp;yr=2015&amp;sort=studio&amp;order=ASC&amp;p=.htm" TargetMode="External"/><Relationship Id="rId920" Type="http://schemas.openxmlformats.org/officeDocument/2006/relationships/hyperlink" Target="http://www.boxofficemojo.com/schedule/?view=bydate&amp;release=theatrical&amp;date=2015-06-26&amp;p=.htm" TargetMode="External"/><Relationship Id="rId921" Type="http://schemas.openxmlformats.org/officeDocument/2006/relationships/hyperlink" Target="http://www.boxofficemojo.com/movies/?id=inthenameofmydaughter.htm" TargetMode="External"/><Relationship Id="rId922" Type="http://schemas.openxmlformats.org/officeDocument/2006/relationships/hyperlink" Target="http://www.boxofficemojo.com/studio/chart/?studio=cohenmedia.htm" TargetMode="External"/><Relationship Id="rId923" Type="http://schemas.openxmlformats.org/officeDocument/2006/relationships/hyperlink" Target="http://www.boxofficemojo.com/schedule/?view=bydate&amp;release=theatrical&amp;date=2015-05-15&amp;p=.htm" TargetMode="External"/><Relationship Id="rId924" Type="http://schemas.openxmlformats.org/officeDocument/2006/relationships/hyperlink" Target="http://www.boxofficemojo.com/movies/?id=hitchcocktruffaut.htm" TargetMode="External"/><Relationship Id="rId925" Type="http://schemas.openxmlformats.org/officeDocument/2006/relationships/hyperlink" Target="http://www.boxofficemojo.com/studio/chart/?studio=cohenmedia.htm" TargetMode="External"/><Relationship Id="rId926" Type="http://schemas.openxmlformats.org/officeDocument/2006/relationships/hyperlink" Target="http://www.boxofficemojo.com/schedule/?view=bydate&amp;release=theatrical&amp;date=2015-12-02&amp;p=.htm" TargetMode="External"/><Relationship Id="rId927" Type="http://schemas.openxmlformats.org/officeDocument/2006/relationships/hyperlink" Target="http://www.boxofficemojo.com/movies/?id=lovenoe.htm" TargetMode="External"/><Relationship Id="rId140" Type="http://schemas.openxmlformats.org/officeDocument/2006/relationships/hyperlink" Target="http://www.boxofficemojo.com/schedule/?view=bydate&amp;release=theatrical&amp;date=2015-08-28&amp;p=.htm" TargetMode="External"/><Relationship Id="rId141" Type="http://schemas.openxmlformats.org/officeDocument/2006/relationships/hyperlink" Target="http://www.boxofficemojo.com/movies/?id=magicmike2.htm" TargetMode="External"/><Relationship Id="rId142" Type="http://schemas.openxmlformats.org/officeDocument/2006/relationships/hyperlink" Target="http://www.boxofficemojo.com/studio/chart/?studio=warnerbros.htm" TargetMode="External"/><Relationship Id="rId143" Type="http://schemas.openxmlformats.org/officeDocument/2006/relationships/hyperlink" Target="http://www.boxofficemojo.com/schedule/?view=bydate&amp;release=theatrical&amp;date=2015-07-01&amp;p=.htm" TargetMode="External"/><Relationship Id="rId144" Type="http://schemas.openxmlformats.org/officeDocument/2006/relationships/hyperlink" Target="http://www.boxofficemojo.com/movies/?id=blumhouse2015.htm" TargetMode="External"/><Relationship Id="rId145" Type="http://schemas.openxmlformats.org/officeDocument/2006/relationships/hyperlink" Target="http://www.boxofficemojo.com/studio/chart/?studio=universal.htm" TargetMode="External"/><Relationship Id="rId146" Type="http://schemas.openxmlformats.org/officeDocument/2006/relationships/hyperlink" Target="http://www.boxofficemojo.com/schedule/?view=bydate&amp;release=theatrical&amp;date=2015-09-11&amp;p=.htm" TargetMode="External"/><Relationship Id="rId147" Type="http://schemas.openxmlformats.org/officeDocument/2006/relationships/hyperlink" Target="http://www.boxofficemojo.com/movies/?id=kevinhart15.htm" TargetMode="External"/><Relationship Id="rId148" Type="http://schemas.openxmlformats.org/officeDocument/2006/relationships/hyperlink" Target="http://www.boxofficemojo.com/studio/chart/?studio=screengems.htm" TargetMode="External"/><Relationship Id="rId149" Type="http://schemas.openxmlformats.org/officeDocument/2006/relationships/hyperlink" Target="http://www.boxofficemojo.com/schedule/?view=bydate&amp;release=theatrical&amp;date=2015-01-16&amp;p=.htm" TargetMode="External"/><Relationship Id="rId928" Type="http://schemas.openxmlformats.org/officeDocument/2006/relationships/hyperlink" Target="http://www.boxofficemojo.com/studio/chart/?studio=alchemy.htm" TargetMode="External"/><Relationship Id="rId929" Type="http://schemas.openxmlformats.org/officeDocument/2006/relationships/hyperlink" Target="http://www.boxofficemojo.com/schedule/?view=bydate&amp;release=theatrical&amp;date=2015-10-30&amp;p=.htm" TargetMode="External"/><Relationship Id="rId530" Type="http://schemas.openxmlformats.org/officeDocument/2006/relationships/hyperlink" Target="http://www.boxofficemojo.com/schedule/?view=bydate&amp;release=theatrical&amp;date=2015-08-14&amp;p=.htm" TargetMode="External"/><Relationship Id="rId531" Type="http://schemas.openxmlformats.org/officeDocument/2006/relationships/hyperlink" Target="http://www.boxofficemojo.com/movies/?id=pawnsacrifice.htm" TargetMode="External"/><Relationship Id="rId532" Type="http://schemas.openxmlformats.org/officeDocument/2006/relationships/hyperlink" Target="http://www.boxofficemojo.com/studio/chart/?studio=bleeckerstreet.htm" TargetMode="External"/><Relationship Id="rId533" Type="http://schemas.openxmlformats.org/officeDocument/2006/relationships/hyperlink" Target="http://www.boxofficemojo.com/schedule/?view=bydate&amp;release=theatrical&amp;date=2015-09-16&amp;p=.htm" TargetMode="External"/><Relationship Id="rId534" Type="http://schemas.openxmlformats.org/officeDocument/2006/relationships/hyperlink" Target="http://www.boxofficemojo.com/movies/?id=2015oscarshorts.htm" TargetMode="External"/><Relationship Id="rId535" Type="http://schemas.openxmlformats.org/officeDocument/2006/relationships/hyperlink" Target="http://www.boxofficemojo.com/studio/chart/?studio=shortsinternational.htm" TargetMode="External"/><Relationship Id="rId536" Type="http://schemas.openxmlformats.org/officeDocument/2006/relationships/hyperlink" Target="http://www.boxofficemojo.com/schedule/?view=bydate&amp;release=theatrical&amp;date=2015-01-30&amp;p=.htm" TargetMode="External"/><Relationship Id="rId537" Type="http://schemas.openxmlformats.org/officeDocument/2006/relationships/hyperlink" Target="http://www.boxofficemojo.com/movies/?id=meru.htm" TargetMode="External"/><Relationship Id="rId538" Type="http://schemas.openxmlformats.org/officeDocument/2006/relationships/hyperlink" Target="http://www.boxofficemojo.com/studio/chart/?studio=musicboxfilms.htm" TargetMode="External"/><Relationship Id="rId539" Type="http://schemas.openxmlformats.org/officeDocument/2006/relationships/hyperlink" Target="http://www.boxofficemojo.com/schedule/?view=bydate&amp;release=theatrical&amp;date=2015-08-14&amp;p=.htm" TargetMode="External"/><Relationship Id="rId4" Type="http://schemas.openxmlformats.org/officeDocument/2006/relationships/hyperlink" Target="http://www.boxofficemojo.com/yearly/chart/?view=releasedate&amp;view2=domestic&amp;yr=2015&amp;sort=open&amp;order=DESC&amp;p=.htm" TargetMode="External"/><Relationship Id="rId5" Type="http://schemas.openxmlformats.org/officeDocument/2006/relationships/hyperlink" Target="http://www.boxofficemojo.com/yearly/chart/?view=releasedate&amp;view2=domestic&amp;yr=2015&amp;sort=close&amp;order=DESC&amp;p=.htm" TargetMode="External"/><Relationship Id="rId6" Type="http://schemas.openxmlformats.org/officeDocument/2006/relationships/hyperlink" Target="http://www.boxofficemojo.com/movies/?id=starwars7.htm" TargetMode="External"/><Relationship Id="rId7" Type="http://schemas.openxmlformats.org/officeDocument/2006/relationships/hyperlink" Target="http://www.boxofficemojo.com/studio/chart/?studio=buenavista.htm" TargetMode="External"/><Relationship Id="rId8" Type="http://schemas.openxmlformats.org/officeDocument/2006/relationships/hyperlink" Target="http://www.boxofficemojo.com/schedule/?view=bydate&amp;release=theatrical&amp;date=2015-12-18&amp;p=.htm" TargetMode="External"/><Relationship Id="rId9" Type="http://schemas.openxmlformats.org/officeDocument/2006/relationships/hyperlink" Target="http://www.boxofficemojo.com/movies/?id=jurassicpark4.htm" TargetMode="External"/><Relationship Id="rId1790" Type="http://schemas.openxmlformats.org/officeDocument/2006/relationships/hyperlink" Target="http://www.boxofficemojo.com/schedule/?view=bydate&amp;release=theatrical&amp;date=2015-07-15&amp;p=.htm" TargetMode="External"/><Relationship Id="rId1791" Type="http://schemas.openxmlformats.org/officeDocument/2006/relationships/hyperlink" Target="http://www.boxofficemojo.com/movies/?id=steakrevolution.htm" TargetMode="External"/><Relationship Id="rId1792" Type="http://schemas.openxmlformats.org/officeDocument/2006/relationships/hyperlink" Target="http://www.boxofficemojo.com/studio/chart/?studio=kinolorber.htm" TargetMode="External"/><Relationship Id="rId1793" Type="http://schemas.openxmlformats.org/officeDocument/2006/relationships/hyperlink" Target="http://www.boxofficemojo.com/schedule/?view=bydate&amp;release=theatrical&amp;date=2015-07-17&amp;p=.htm" TargetMode="External"/><Relationship Id="rId1794" Type="http://schemas.openxmlformats.org/officeDocument/2006/relationships/hyperlink" Target="http://www.boxofficemojo.com/movies/?id=straightouttatompkins.htm" TargetMode="External"/><Relationship Id="rId1795" Type="http://schemas.openxmlformats.org/officeDocument/2006/relationships/hyperlink" Target="http://www.boxofficemojo.com/studio/chart/?studio=indican.htm" TargetMode="External"/><Relationship Id="rId1796" Type="http://schemas.openxmlformats.org/officeDocument/2006/relationships/hyperlink" Target="http://www.boxofficemojo.com/schedule/?view=bydate&amp;release=theatrical&amp;date=2015-03-06&amp;p=.htm" TargetMode="External"/><Relationship Id="rId1797" Type="http://schemas.openxmlformats.org/officeDocument/2006/relationships/hyperlink" Target="http://www.boxofficemojo.com/movies/?id=onesmallhitch.htm" TargetMode="External"/><Relationship Id="rId1798" Type="http://schemas.openxmlformats.org/officeDocument/2006/relationships/hyperlink" Target="http://www.boxofficemojo.com/studio/chart/?studio=fs.htm" TargetMode="External"/><Relationship Id="rId1799" Type="http://schemas.openxmlformats.org/officeDocument/2006/relationships/hyperlink" Target="http://www.boxofficemojo.com/schedule/?view=bydate&amp;release=theatrical&amp;date=2015-02-06&amp;p=.htm" TargetMode="External"/><Relationship Id="rId2090" Type="http://schemas.openxmlformats.org/officeDocument/2006/relationships/hyperlink" Target="http://www.boxofficemojo.com/schedule/?view=bydate&amp;release=theatrical&amp;date=2015-01-02&amp;p=.htm" TargetMode="External"/><Relationship Id="rId2091" Type="http://schemas.openxmlformats.org/officeDocument/2006/relationships/hyperlink" Target="http://www.boxofficemojo.com/movies/?id=itsallsoquiet.htm" TargetMode="External"/><Relationship Id="rId2092" Type="http://schemas.openxmlformats.org/officeDocument/2006/relationships/hyperlink" Target="http://www.boxofficemojo.com/studio/chart/?studio=bigworld.htm" TargetMode="External"/><Relationship Id="rId2093" Type="http://schemas.openxmlformats.org/officeDocument/2006/relationships/hyperlink" Target="http://www.boxofficemojo.com/schedule/?view=bydate&amp;release=theatrical&amp;date=2015-01-09&amp;p=.htm" TargetMode="External"/><Relationship Id="rId2094" Type="http://schemas.openxmlformats.org/officeDocument/2006/relationships/hyperlink" Target="http://www.boxofficemojo.com/movies/?id=toughbeinglovedbyjerks.htm" TargetMode="External"/><Relationship Id="rId2095" Type="http://schemas.openxmlformats.org/officeDocument/2006/relationships/hyperlink" Target="http://www.boxofficemojo.com/studio/chart/?studio=kinolorber.htm" TargetMode="External"/><Relationship Id="rId2096" Type="http://schemas.openxmlformats.org/officeDocument/2006/relationships/hyperlink" Target="http://www.boxofficemojo.com/schedule/?view=bydate&amp;release=theatrical&amp;date=2015-03-13&amp;p=.htm" TargetMode="External"/><Relationship Id="rId2097" Type="http://schemas.openxmlformats.org/officeDocument/2006/relationships/hyperlink" Target="http://www.boxofficemojo.com/movies/?id=unitedpassions.htm" TargetMode="External"/><Relationship Id="rId2098" Type="http://schemas.openxmlformats.org/officeDocument/2006/relationships/hyperlink" Target="http://www.boxofficemojo.com/studio/chart/?studio=screenmedia.htm" TargetMode="External"/><Relationship Id="rId2099" Type="http://schemas.openxmlformats.org/officeDocument/2006/relationships/hyperlink" Target="http://www.boxofficemojo.com/schedule/?view=bydate&amp;release=theatrical&amp;date=2015-06-05&amp;p=.htm" TargetMode="External"/><Relationship Id="rId1000" Type="http://schemas.openxmlformats.org/officeDocument/2006/relationships/hyperlink" Target="http://www.boxofficemojo.com/studio/chart/?studio=abramorama.htm" TargetMode="External"/><Relationship Id="rId1001" Type="http://schemas.openxmlformats.org/officeDocument/2006/relationships/hyperlink" Target="http://www.boxofficemojo.com/schedule/?view=bydate&amp;release=theatrical&amp;date=2015-03-06&amp;p=.htm" TargetMode="External"/><Relationship Id="rId1002" Type="http://schemas.openxmlformats.org/officeDocument/2006/relationships/hyperlink" Target="http://www.boxofficemojo.com/movies/?id=serena.htm" TargetMode="External"/><Relationship Id="rId1003" Type="http://schemas.openxmlformats.org/officeDocument/2006/relationships/hyperlink" Target="http://www.boxofficemojo.com/studio/chart/?studio=magnolia.htm" TargetMode="External"/><Relationship Id="rId930" Type="http://schemas.openxmlformats.org/officeDocument/2006/relationships/hyperlink" Target="http://www.boxofficemojo.com/movies/?id=carterhigh.htm" TargetMode="External"/><Relationship Id="rId931" Type="http://schemas.openxmlformats.org/officeDocument/2006/relationships/hyperlink" Target="http://www.boxofficemojo.com/studio/chart/?studio=playnow.htm" TargetMode="External"/><Relationship Id="rId932" Type="http://schemas.openxmlformats.org/officeDocument/2006/relationships/hyperlink" Target="http://www.boxofficemojo.com/schedule/?view=bydate&amp;release=theatrical&amp;date=2015-10-30&amp;p=.htm" TargetMode="External"/><Relationship Id="rId933" Type="http://schemas.openxmlformats.org/officeDocument/2006/relationships/hyperlink" Target="http://www.boxofficemojo.com/movies/?id=tevar.htm" TargetMode="External"/><Relationship Id="rId934" Type="http://schemas.openxmlformats.org/officeDocument/2006/relationships/hyperlink" Target="http://www.boxofficemojo.com/studio/chart/?studio=eros.htm" TargetMode="External"/><Relationship Id="rId935" Type="http://schemas.openxmlformats.org/officeDocument/2006/relationships/hyperlink" Target="http://www.boxofficemojo.com/schedule/?view=bydate&amp;release=theatrical&amp;date=2015-01-09&amp;p=.htm" TargetMode="External"/><Relationship Id="rId936" Type="http://schemas.openxmlformats.org/officeDocument/2006/relationships/hyperlink" Target="http://www.boxofficemojo.com/movies/?id=hamariadhurikahani.htm" TargetMode="External"/><Relationship Id="rId937" Type="http://schemas.openxmlformats.org/officeDocument/2006/relationships/hyperlink" Target="http://www.boxofficemojo.com/studio/chart/?studio=fip.htm" TargetMode="External"/><Relationship Id="rId150" Type="http://schemas.openxmlformats.org/officeDocument/2006/relationships/hyperlink" Target="http://www.boxofficemojo.com/movies/?id=whiteybulger15.htm" TargetMode="External"/><Relationship Id="rId151" Type="http://schemas.openxmlformats.org/officeDocument/2006/relationships/hyperlink" Target="http://www.boxofficemojo.com/studio/chart/?studio=warnerbros.htm" TargetMode="External"/><Relationship Id="rId152" Type="http://schemas.openxmlformats.org/officeDocument/2006/relationships/hyperlink" Target="http://www.boxofficemojo.com/schedule/?view=bydate&amp;release=theatrical&amp;date=2015-09-18&amp;p=.htm" TargetMode="External"/><Relationship Id="rId153" Type="http://schemas.openxmlformats.org/officeDocument/2006/relationships/hyperlink" Target="http://www.boxofficemojo.com/movies/?id=newline15.htm" TargetMode="External"/><Relationship Id="rId154" Type="http://schemas.openxmlformats.org/officeDocument/2006/relationships/hyperlink" Target="http://www.boxofficemojo.com/studio/chart/?studio=wb-newline.htm" TargetMode="External"/><Relationship Id="rId155" Type="http://schemas.openxmlformats.org/officeDocument/2006/relationships/hyperlink" Target="http://www.boxofficemojo.com/schedule/?view=bydate&amp;release=theatrical&amp;date=2015-07-29&amp;p=.htm" TargetMode="External"/><Relationship Id="rId156" Type="http://schemas.openxmlformats.org/officeDocument/2006/relationships/hyperlink" Target="http://www.boxofficemojo.com/movies/?id=perfectguy.htm" TargetMode="External"/><Relationship Id="rId157" Type="http://schemas.openxmlformats.org/officeDocument/2006/relationships/hyperlink" Target="http://www.boxofficemojo.com/studio/chart/?studio=screengems.htm" TargetMode="External"/><Relationship Id="rId158" Type="http://schemas.openxmlformats.org/officeDocument/2006/relationships/hyperlink" Target="http://www.boxofficemojo.com/schedule/?view=bydate&amp;release=theatrical&amp;date=2015-09-11&amp;p=.htm" TargetMode="External"/><Relationship Id="rId159" Type="http://schemas.openxmlformats.org/officeDocument/2006/relationships/hyperlink" Target="http://www.boxofficemojo.com/movies/?id=joy.htm" TargetMode="External"/><Relationship Id="rId938" Type="http://schemas.openxmlformats.org/officeDocument/2006/relationships/hyperlink" Target="http://www.boxofficemojo.com/schedule/?view=bydate&amp;release=theatrical&amp;date=2015-06-12&amp;p=.htm" TargetMode="External"/><Relationship Id="rId939" Type="http://schemas.openxmlformats.org/officeDocument/2006/relationships/hyperlink" Target="http://www.boxofficemojo.com/movies/?id=20onceagain.htm" TargetMode="External"/><Relationship Id="rId1004" Type="http://schemas.openxmlformats.org/officeDocument/2006/relationships/hyperlink" Target="http://www.boxofficemojo.com/schedule/?view=bydate&amp;release=theatrical&amp;date=2015-03-27&amp;p=.htm" TargetMode="External"/><Relationship Id="rId1005" Type="http://schemas.openxmlformats.org/officeDocument/2006/relationships/hyperlink" Target="http://www.boxofficemojo.com/movies/?id=theyoungprodigioustsspivet.htm" TargetMode="External"/><Relationship Id="rId1006" Type="http://schemas.openxmlformats.org/officeDocument/2006/relationships/hyperlink" Target="http://www.boxofficemojo.com/studio/chart/?studio=weinsteincompany.htm" TargetMode="External"/><Relationship Id="rId1007" Type="http://schemas.openxmlformats.org/officeDocument/2006/relationships/hyperlink" Target="http://www.boxofficemojo.com/schedule/?view=bydate&amp;release=theatrical&amp;date=2015-07-31&amp;p=.htm" TargetMode="External"/><Relationship Id="rId1008" Type="http://schemas.openxmlformats.org/officeDocument/2006/relationships/hyperlink" Target="http://www.boxofficemojo.com/movies/?id=farewellparty.htm" TargetMode="External"/><Relationship Id="rId1009" Type="http://schemas.openxmlformats.org/officeDocument/2006/relationships/hyperlink" Target="http://www.boxofficemojo.com/studio/chart/?studio=samuelgoldwyn.htm" TargetMode="External"/><Relationship Id="rId540" Type="http://schemas.openxmlformats.org/officeDocument/2006/relationships/hyperlink" Target="http://www.boxofficemojo.com/movies/?id=warx2.htm" TargetMode="External"/><Relationship Id="rId541" Type="http://schemas.openxmlformats.org/officeDocument/2006/relationships/hyperlink" Target="http://www.boxofficemojo.com/studio/chart/?studio=strassongroup.htm" TargetMode="External"/><Relationship Id="rId542" Type="http://schemas.openxmlformats.org/officeDocument/2006/relationships/hyperlink" Target="http://www.boxofficemojo.com/schedule/?view=bydate&amp;release=theatrical&amp;date=2015-09-18&amp;p=.htm" TargetMode="External"/><Relationship Id="rId543" Type="http://schemas.openxmlformats.org/officeDocument/2006/relationships/hyperlink" Target="http://www.boxofficemojo.com/movies/?id=myallamerican.htm" TargetMode="External"/><Relationship Id="rId544" Type="http://schemas.openxmlformats.org/officeDocument/2006/relationships/hyperlink" Target="http://www.boxofficemojo.com/studio/chart/?studio=clarius.htm" TargetMode="External"/><Relationship Id="rId545" Type="http://schemas.openxmlformats.org/officeDocument/2006/relationships/hyperlink" Target="http://www.boxofficemojo.com/schedule/?view=bydate&amp;release=theatrical&amp;date=2015-11-13&amp;p=.htm" TargetMode="External"/><Relationship Id="rId546" Type="http://schemas.openxmlformats.org/officeDocument/2006/relationships/hyperlink" Target="http://www.boxofficemojo.com/movies/?id=jemandtheholograms.htm" TargetMode="External"/><Relationship Id="rId547" Type="http://schemas.openxmlformats.org/officeDocument/2006/relationships/hyperlink" Target="http://www.boxofficemojo.com/studio/chart/?studio=universal.htm" TargetMode="External"/><Relationship Id="rId548" Type="http://schemas.openxmlformats.org/officeDocument/2006/relationships/hyperlink" Target="http://www.boxofficemojo.com/schedule/?view=bydate&amp;release=theatrical&amp;date=2015-10-23&amp;p=.htm" TargetMode="External"/><Relationship Id="rId549" Type="http://schemas.openxmlformats.org/officeDocument/2006/relationships/hyperlink" Target="http://www.boxofficemojo.com/movies/?id=tamasha.htm" TargetMode="External"/><Relationship Id="rId1400" Type="http://schemas.openxmlformats.org/officeDocument/2006/relationships/hyperlink" Target="http://www.boxofficemojo.com/schedule/?view=bydate&amp;release=theatrical&amp;date=2015-09-04&amp;p=.htm" TargetMode="External"/><Relationship Id="rId1401" Type="http://schemas.openxmlformats.org/officeDocument/2006/relationships/hyperlink" Target="http://www.boxofficemojo.com/movies/?id=mafiakills.htm" TargetMode="External"/><Relationship Id="rId1402" Type="http://schemas.openxmlformats.org/officeDocument/2006/relationships/hyperlink" Target="http://www.boxofficemojo.com/studio/chart/?studio=distribfilms.htm" TargetMode="External"/><Relationship Id="rId1403" Type="http://schemas.openxmlformats.org/officeDocument/2006/relationships/hyperlink" Target="http://www.boxofficemojo.com/schedule/?view=bydate&amp;release=theatrical&amp;date=2015-03-06&amp;p=.htm" TargetMode="External"/><Relationship Id="rId1404" Type="http://schemas.openxmlformats.org/officeDocument/2006/relationships/hyperlink" Target="http://www.boxofficemojo.com/movies/?id=greygardens2015.htm" TargetMode="External"/><Relationship Id="rId1405" Type="http://schemas.openxmlformats.org/officeDocument/2006/relationships/hyperlink" Target="http://www.boxofficemojo.com/studio/chart/?studio=janusfilms.htm" TargetMode="External"/><Relationship Id="rId1406" Type="http://schemas.openxmlformats.org/officeDocument/2006/relationships/hyperlink" Target="http://www.boxofficemojo.com/schedule/?view=bydate&amp;release=theatrical&amp;date=2015-03-06&amp;p=.htm" TargetMode="External"/><Relationship Id="rId1407" Type="http://schemas.openxmlformats.org/officeDocument/2006/relationships/hyperlink" Target="http://www.boxofficemojo.com/movies/?id=knockknock.htm" TargetMode="External"/><Relationship Id="rId1408" Type="http://schemas.openxmlformats.org/officeDocument/2006/relationships/hyperlink" Target="http://www.boxofficemojo.com/studio/chart/?studio=lionsgatepremiere.htm" TargetMode="External"/><Relationship Id="rId1409" Type="http://schemas.openxmlformats.org/officeDocument/2006/relationships/hyperlink" Target="http://www.boxofficemojo.com/schedule/?view=bydate&amp;release=theatrical&amp;date=2015-10-09&amp;p=.htm" TargetMode="External"/><Relationship Id="rId940" Type="http://schemas.openxmlformats.org/officeDocument/2006/relationships/hyperlink" Target="http://www.boxofficemojo.com/studio/chart/?studio=cjentertainment.htm" TargetMode="External"/><Relationship Id="rId941" Type="http://schemas.openxmlformats.org/officeDocument/2006/relationships/hyperlink" Target="http://www.boxofficemojo.com/schedule/?view=bydate&amp;release=theatrical&amp;date=2015-01-16&amp;p=.htm" TargetMode="External"/><Relationship Id="rId942" Type="http://schemas.openxmlformats.org/officeDocument/2006/relationships/hyperlink" Target="http://www.boxofficemojo.com/movies/?id=slowwest.htm" TargetMode="External"/><Relationship Id="rId943" Type="http://schemas.openxmlformats.org/officeDocument/2006/relationships/hyperlink" Target="http://www.boxofficemojo.com/studio/chart/?studio=a24.htm" TargetMode="External"/><Relationship Id="rId944" Type="http://schemas.openxmlformats.org/officeDocument/2006/relationships/hyperlink" Target="http://www.boxofficemojo.com/schedule/?view=bydate&amp;release=theatrical&amp;date=2015-05-20&amp;p=.htm" TargetMode="External"/><Relationship Id="rId945" Type="http://schemas.openxmlformats.org/officeDocument/2006/relationships/hyperlink" Target="http://www.boxofficemojo.com/movies/?id=takingoftigermountain.htm" TargetMode="External"/><Relationship Id="rId160" Type="http://schemas.openxmlformats.org/officeDocument/2006/relationships/hyperlink" Target="http://www.boxofficemojo.com/studio/chart/?studio=fox.htm" TargetMode="External"/><Relationship Id="rId161" Type="http://schemas.openxmlformats.org/officeDocument/2006/relationships/hyperlink" Target="http://www.boxofficemojo.com/schedule/?view=bydate&amp;release=theatrical&amp;date=2015-12-25&amp;p=.htm" TargetMode="External"/><Relationship Id="rId162" Type="http://schemas.openxmlformats.org/officeDocument/2006/relationships/hyperlink" Target="http://www.boxofficemojo.com/movies/?id=fantasticfour15.htm" TargetMode="External"/><Relationship Id="rId163" Type="http://schemas.openxmlformats.org/officeDocument/2006/relationships/hyperlink" Target="http://www.boxofficemojo.com/studio/chart/?studio=fox.htm" TargetMode="External"/><Relationship Id="rId164" Type="http://schemas.openxmlformats.org/officeDocument/2006/relationships/hyperlink" Target="http://www.boxofficemojo.com/schedule/?view=bydate&amp;release=theatrical&amp;date=2015-08-07&amp;p=.htm" TargetMode="External"/><Relationship Id="rId165" Type="http://schemas.openxmlformats.org/officeDocument/2006/relationships/hyperlink" Target="http://www.boxofficemojo.com/movies/?id=thehatefuleight.htm" TargetMode="External"/><Relationship Id="rId166" Type="http://schemas.openxmlformats.org/officeDocument/2006/relationships/hyperlink" Target="http://www.boxofficemojo.com/studio/chart/?studio=weinsteincompany.htm" TargetMode="External"/><Relationship Id="rId167" Type="http://schemas.openxmlformats.org/officeDocument/2006/relationships/hyperlink" Target="http://www.boxofficemojo.com/schedule/?view=bydate&amp;release=theatrical&amp;date=2015-12-25&amp;p=.htm" TargetMode="External"/><Relationship Id="rId168" Type="http://schemas.openxmlformats.org/officeDocument/2006/relationships/hyperlink" Target="http://www.boxofficemojo.com/movies/?id=focus2015.htm" TargetMode="External"/><Relationship Id="rId169" Type="http://schemas.openxmlformats.org/officeDocument/2006/relationships/hyperlink" Target="http://www.boxofficemojo.com/studio/chart/?studio=warnerbros.htm" TargetMode="External"/><Relationship Id="rId946" Type="http://schemas.openxmlformats.org/officeDocument/2006/relationships/hyperlink" Target="http://www.boxofficemojo.com/studio/chart/?studio=wellgo.htm" TargetMode="External"/><Relationship Id="rId947" Type="http://schemas.openxmlformats.org/officeDocument/2006/relationships/hyperlink" Target="http://www.boxofficemojo.com/schedule/?view=bydate&amp;release=theatrical&amp;date=2015-01-02&amp;p=.htm" TargetMode="External"/><Relationship Id="rId948" Type="http://schemas.openxmlformats.org/officeDocument/2006/relationships/hyperlink" Target="http://www.boxofficemojo.com/movies/?id=aroyalnightout.htm" TargetMode="External"/><Relationship Id="rId949" Type="http://schemas.openxmlformats.org/officeDocument/2006/relationships/hyperlink" Target="http://www.boxofficemojo.com/studio/chart/?studio=atlas.htm" TargetMode="External"/><Relationship Id="rId1010" Type="http://schemas.openxmlformats.org/officeDocument/2006/relationships/hyperlink" Target="http://www.boxofficemojo.com/schedule/?view=bydate&amp;release=theatrical&amp;date=2015-05-22&amp;p=.htm" TargetMode="External"/><Relationship Id="rId1011" Type="http://schemas.openxmlformats.org/officeDocument/2006/relationships/hyperlink" Target="http://www.boxofficemojo.com/movies/?id=allthingsmustpass.htm" TargetMode="External"/><Relationship Id="rId1012" Type="http://schemas.openxmlformats.org/officeDocument/2006/relationships/hyperlink" Target="http://www.boxofficemojo.com/studio/chart/?studio=gravitas.htm" TargetMode="External"/><Relationship Id="rId1013" Type="http://schemas.openxmlformats.org/officeDocument/2006/relationships/hyperlink" Target="http://www.boxofficemojo.com/schedule/?view=bydate&amp;release=theatrical&amp;date=2015-10-16&amp;p=.htm" TargetMode="External"/><Relationship Id="rId1014" Type="http://schemas.openxmlformats.org/officeDocument/2006/relationships/hyperlink" Target="http://www.boxofficemojo.com/movies/?id=abrilliantyoungmind.htm" TargetMode="External"/><Relationship Id="rId1015" Type="http://schemas.openxmlformats.org/officeDocument/2006/relationships/hyperlink" Target="http://www.boxofficemojo.com/studio/chart/?studio=samuelgoldwyn.htm" TargetMode="External"/><Relationship Id="rId1016" Type="http://schemas.openxmlformats.org/officeDocument/2006/relationships/hyperlink" Target="http://www.boxofficemojo.com/schedule/?view=bydate&amp;release=theatrical&amp;date=2015-09-11&amp;p=.htm" TargetMode="External"/><Relationship Id="rId1017" Type="http://schemas.openxmlformats.org/officeDocument/2006/relationships/hyperlink" Target="http://www.boxofficemojo.com/movies/?id=timeoutofmind.htm" TargetMode="External"/><Relationship Id="rId1018" Type="http://schemas.openxmlformats.org/officeDocument/2006/relationships/hyperlink" Target="http://www.boxofficemojo.com/studio/chart/?studio=ifc.htm" TargetMode="External"/><Relationship Id="rId1019" Type="http://schemas.openxmlformats.org/officeDocument/2006/relationships/hyperlink" Target="http://www.boxofficemojo.com/schedule/?view=bydate&amp;release=theatrical&amp;date=2015-09-09&amp;p=.htm" TargetMode="External"/><Relationship Id="rId550" Type="http://schemas.openxmlformats.org/officeDocument/2006/relationships/hyperlink" Target="http://www.boxofficemojo.com/studio/chart/?studio=utv.htm" TargetMode="External"/><Relationship Id="rId551" Type="http://schemas.openxmlformats.org/officeDocument/2006/relationships/hyperlink" Target="http://www.boxofficemojo.com/schedule/?view=bydate&amp;release=theatrical&amp;date=2015-11-25&amp;p=.htm" TargetMode="External"/><Relationship Id="rId552" Type="http://schemas.openxmlformats.org/officeDocument/2006/relationships/hyperlink" Target="http://www.boxofficemojo.com/movies/?id=cake.htm" TargetMode="External"/><Relationship Id="rId553" Type="http://schemas.openxmlformats.org/officeDocument/2006/relationships/hyperlink" Target="http://www.boxofficemojo.com/studio/chart/?studio=cinelou.htm" TargetMode="External"/><Relationship Id="rId554" Type="http://schemas.openxmlformats.org/officeDocument/2006/relationships/hyperlink" Target="http://www.boxofficemojo.com/schedule/?view=bydate&amp;release=theatrical&amp;date=2015-01-23&amp;p=.htm" TargetMode="External"/><Relationship Id="rId555" Type="http://schemas.openxmlformats.org/officeDocument/2006/relationships/hyperlink" Target="http://www.boxofficemojo.com/movies/?id=oldfashioned.htm" TargetMode="External"/><Relationship Id="rId556" Type="http://schemas.openxmlformats.org/officeDocument/2006/relationships/hyperlink" Target="http://www.boxofficemojo.com/studio/chart/?studio=fs.htm" TargetMode="External"/><Relationship Id="rId557" Type="http://schemas.openxmlformats.org/officeDocument/2006/relationships/hyperlink" Target="http://www.boxofficemojo.com/schedule/?view=bydate&amp;release=theatrical&amp;date=2015-02-06&amp;p=.htm" TargetMode="External"/><Relationship Id="rId558" Type="http://schemas.openxmlformats.org/officeDocument/2006/relationships/hyperlink" Target="http://www.boxofficemojo.com/movies/?id=assassination15.htm" TargetMode="External"/><Relationship Id="rId559" Type="http://schemas.openxmlformats.org/officeDocument/2006/relationships/hyperlink" Target="http://www.boxofficemojo.com/studio/chart/?studio=wellgo.htm" TargetMode="External"/><Relationship Id="rId1800" Type="http://schemas.openxmlformats.org/officeDocument/2006/relationships/hyperlink" Target="http://www.boxofficemojo.com/movies/?id=kilotwobravo.htm" TargetMode="External"/><Relationship Id="rId1801" Type="http://schemas.openxmlformats.org/officeDocument/2006/relationships/hyperlink" Target="http://www.boxofficemojo.com/studio/chart/?studio=honorara.htm" TargetMode="External"/><Relationship Id="rId1802" Type="http://schemas.openxmlformats.org/officeDocument/2006/relationships/hyperlink" Target="http://www.boxofficemojo.com/schedule/?view=bydate&amp;release=theatrical&amp;date=2015-11-13&amp;p=.htm" TargetMode="External"/><Relationship Id="rId1803" Type="http://schemas.openxmlformats.org/officeDocument/2006/relationships/hyperlink" Target="http://www.boxofficemojo.com/movies/?id=thegreatman.htm" TargetMode="External"/><Relationship Id="rId1410" Type="http://schemas.openxmlformats.org/officeDocument/2006/relationships/hyperlink" Target="http://www.boxofficemojo.com/movies/?id=kindergartenteacher.htm" TargetMode="External"/><Relationship Id="rId1411" Type="http://schemas.openxmlformats.org/officeDocument/2006/relationships/hyperlink" Target="http://www.boxofficemojo.com/studio/chart/?studio=kinolorber.htm" TargetMode="External"/><Relationship Id="rId1412" Type="http://schemas.openxmlformats.org/officeDocument/2006/relationships/hyperlink" Target="http://www.boxofficemojo.com/schedule/?view=bydate&amp;release=theatrical&amp;date=2015-07-31&amp;p=.htm" TargetMode="External"/><Relationship Id="rId1413" Type="http://schemas.openxmlformats.org/officeDocument/2006/relationships/hyperlink" Target="http://www.boxofficemojo.com/movies/?id=welcometoleith.htm" TargetMode="External"/><Relationship Id="rId1414" Type="http://schemas.openxmlformats.org/officeDocument/2006/relationships/hyperlink" Target="http://www.boxofficemojo.com/studio/chart/?studio=firstrun.htm" TargetMode="External"/><Relationship Id="rId1415" Type="http://schemas.openxmlformats.org/officeDocument/2006/relationships/hyperlink" Target="http://www.boxofficemojo.com/schedule/?view=bydate&amp;release=theatrical&amp;date=2015-09-09&amp;p=.htm" TargetMode="External"/><Relationship Id="rId1416" Type="http://schemas.openxmlformats.org/officeDocument/2006/relationships/hyperlink" Target="http://www.boxofficemojo.com/movies/?id=finderskeepers2015.htm" TargetMode="External"/><Relationship Id="rId1417" Type="http://schemas.openxmlformats.org/officeDocument/2006/relationships/hyperlink" Target="http://www.boxofficemojo.com/studio/chart/?studio=orchard.htm" TargetMode="External"/><Relationship Id="rId1418" Type="http://schemas.openxmlformats.org/officeDocument/2006/relationships/hyperlink" Target="http://www.boxofficemojo.com/schedule/?view=bydate&amp;release=theatrical&amp;date=2015-09-25&amp;p=.htm" TargetMode="External"/><Relationship Id="rId1419" Type="http://schemas.openxmlformats.org/officeDocument/2006/relationships/hyperlink" Target="http://www.boxofficemojo.com/movies/?id=wildcity.htm" TargetMode="External"/><Relationship Id="rId950" Type="http://schemas.openxmlformats.org/officeDocument/2006/relationships/hyperlink" Target="http://www.boxofficemojo.com/schedule/?view=bydate&amp;release=theatrical&amp;date=2015-12-04&amp;p=.htm" TargetMode="External"/><Relationship Id="rId951" Type="http://schemas.openxmlformats.org/officeDocument/2006/relationships/hyperlink" Target="http://www.boxofficemojo.com/movies/?id=pigeon.htm" TargetMode="External"/><Relationship Id="rId952" Type="http://schemas.openxmlformats.org/officeDocument/2006/relationships/hyperlink" Target="http://www.boxofficemojo.com/studio/chart/?studio=magnolia.htm" TargetMode="External"/><Relationship Id="rId953" Type="http://schemas.openxmlformats.org/officeDocument/2006/relationships/hyperlink" Target="http://www.boxofficemojo.com/schedule/?view=bydate&amp;release=theatrical&amp;date=2015-06-03&amp;p=.htm" TargetMode="External"/><Relationship Id="rId954" Type="http://schemas.openxmlformats.org/officeDocument/2006/relationships/hyperlink" Target="http://www.boxofficemojo.com/movies/?id=pyaarkapunchnama2.htm" TargetMode="External"/><Relationship Id="rId955" Type="http://schemas.openxmlformats.org/officeDocument/2006/relationships/hyperlink" Target="http://www.boxofficemojo.com/studio/chart/?studio=reliance.htm" TargetMode="External"/><Relationship Id="rId170" Type="http://schemas.openxmlformats.org/officeDocument/2006/relationships/hyperlink" Target="http://www.boxofficemojo.com/schedule/?view=bydate&amp;release=theatrical&amp;date=2015-02-27&amp;p=.htm" TargetMode="External"/><Relationship Id="rId171" Type="http://schemas.openxmlformats.org/officeDocument/2006/relationships/hyperlink" Target="http://www.boxofficemojo.com/movies/?id=southpaw2015.htm" TargetMode="External"/><Relationship Id="rId172" Type="http://schemas.openxmlformats.org/officeDocument/2006/relationships/hyperlink" Target="http://www.boxofficemojo.com/studio/chart/?studio=weinsteincompany.htm" TargetMode="External"/><Relationship Id="rId173" Type="http://schemas.openxmlformats.org/officeDocument/2006/relationships/hyperlink" Target="http://www.boxofficemojo.com/schedule/?view=bydate&amp;release=theatrical&amp;date=2015-07-24&amp;p=.htm" TargetMode="External"/><Relationship Id="rId174" Type="http://schemas.openxmlformats.org/officeDocument/2006/relationships/hyperlink" Target="http://www.boxofficemojo.com/movies/?id=insidiouschapter3.htm" TargetMode="External"/><Relationship Id="rId175" Type="http://schemas.openxmlformats.org/officeDocument/2006/relationships/hyperlink" Target="http://www.boxofficemojo.com/studio/chart/?studio=focus.htm" TargetMode="External"/><Relationship Id="rId176" Type="http://schemas.openxmlformats.org/officeDocument/2006/relationships/hyperlink" Target="http://www.boxofficemojo.com/schedule/?view=bydate&amp;release=theatrical&amp;date=2015-06-05&amp;p=.htm" TargetMode="External"/><Relationship Id="rId177" Type="http://schemas.openxmlformats.org/officeDocument/2006/relationships/hyperlink" Target="http://www.boxofficemojo.com/movies/?id=poltergeist2015.htm" TargetMode="External"/><Relationship Id="rId178" Type="http://schemas.openxmlformats.org/officeDocument/2006/relationships/hyperlink" Target="http://www.boxofficemojo.com/studio/chart/?studio=fox.htm" TargetMode="External"/><Relationship Id="rId179" Type="http://schemas.openxmlformats.org/officeDocument/2006/relationships/hyperlink" Target="http://www.boxofficemojo.com/schedule/?view=bydate&amp;release=theatrical&amp;date=2015-05-22&amp;p=.htm" TargetMode="External"/><Relationship Id="rId956" Type="http://schemas.openxmlformats.org/officeDocument/2006/relationships/hyperlink" Target="http://www.boxofficemojo.com/schedule/?view=bydate&amp;release=theatrical&amp;date=2015-10-16&amp;p=.htm" TargetMode="External"/><Relationship Id="rId957" Type="http://schemas.openxmlformats.org/officeDocument/2006/relationships/hyperlink" Target="http://www.boxofficemojo.com/movies/?id=chocolatecity.htm" TargetMode="External"/><Relationship Id="rId958" Type="http://schemas.openxmlformats.org/officeDocument/2006/relationships/hyperlink" Target="http://www.boxofficemojo.com/studio/chart/?studio=fs.htm" TargetMode="External"/><Relationship Id="rId959" Type="http://schemas.openxmlformats.org/officeDocument/2006/relationships/hyperlink" Target="http://www.boxofficemojo.com/schedule/?view=bydate&amp;release=theatrical&amp;date=2015-05-22&amp;p=.htm" TargetMode="External"/><Relationship Id="rId1020" Type="http://schemas.openxmlformats.org/officeDocument/2006/relationships/hyperlink" Target="http://www.boxofficemojo.com/movies/?id=snowgirl.htm" TargetMode="External"/><Relationship Id="rId1021" Type="http://schemas.openxmlformats.org/officeDocument/2006/relationships/hyperlink" Target="http://www.boxofficemojo.com/studio/chart/?studio=wellgo.htm" TargetMode="External"/><Relationship Id="rId1022" Type="http://schemas.openxmlformats.org/officeDocument/2006/relationships/hyperlink" Target="http://www.boxofficemojo.com/schedule/?view=bydate&amp;release=theatrical&amp;date=2015-02-27&amp;p=.htm" TargetMode="External"/><Relationship Id="rId1023" Type="http://schemas.openxmlformats.org/officeDocument/2006/relationships/hyperlink" Target="http://www.boxofficemojo.com/movies/?id=cestsibon.htm" TargetMode="External"/><Relationship Id="rId1024" Type="http://schemas.openxmlformats.org/officeDocument/2006/relationships/hyperlink" Target="http://www.boxofficemojo.com/studio/chart/?studio=cjentertainment.htm" TargetMode="External"/><Relationship Id="rId1025" Type="http://schemas.openxmlformats.org/officeDocument/2006/relationships/hyperlink" Target="http://www.boxofficemojo.com/schedule/?view=bydate&amp;release=theatrical&amp;date=2015-02-13&amp;p=.htm" TargetMode="External"/><Relationship Id="rId1026" Type="http://schemas.openxmlformats.org/officeDocument/2006/relationships/hyperlink" Target="http://www.boxofficemojo.com/movies/?id=thelastwomenstanding.htm" TargetMode="External"/><Relationship Id="rId1027" Type="http://schemas.openxmlformats.org/officeDocument/2006/relationships/hyperlink" Target="http://www.boxofficemojo.com/studio/chart/?studio=chinalion.htm" TargetMode="External"/><Relationship Id="rId1028" Type="http://schemas.openxmlformats.org/officeDocument/2006/relationships/hyperlink" Target="http://www.boxofficemojo.com/schedule/?view=bydate&amp;release=theatrical&amp;date=2015-11-11&amp;p=.htm" TargetMode="External"/><Relationship Id="rId1029" Type="http://schemas.openxmlformats.org/officeDocument/2006/relationships/hyperlink" Target="http://www.boxofficemojo.com/movies/?id=5to7.htm" TargetMode="External"/><Relationship Id="rId560" Type="http://schemas.openxmlformats.org/officeDocument/2006/relationships/hyperlink" Target="http://www.boxofficemojo.com/schedule/?view=bydate&amp;release=theatrical&amp;date=2015-08-07&amp;p=.htm" TargetMode="External"/><Relationship Id="rId561" Type="http://schemas.openxmlformats.org/officeDocument/2006/relationships/hyperlink" Target="http://www.boxofficemojo.com/movies/?id=gameofthronesimax.htm" TargetMode="External"/><Relationship Id="rId562" Type="http://schemas.openxmlformats.org/officeDocument/2006/relationships/hyperlink" Target="http://www.boxofficemojo.com/studio/chart/?studio=warnerbros.htm" TargetMode="External"/><Relationship Id="rId563" Type="http://schemas.openxmlformats.org/officeDocument/2006/relationships/hyperlink" Target="http://www.boxofficemojo.com/schedule/?view=bydate&amp;release=theatrical&amp;date=2015-01-30&amp;p=.htm" TargetMode="External"/><Relationship Id="rId564" Type="http://schemas.openxmlformats.org/officeDocument/2006/relationships/hyperlink" Target="http://www.boxofficemojo.com/movies/?id=legend16.htm" TargetMode="External"/><Relationship Id="rId565" Type="http://schemas.openxmlformats.org/officeDocument/2006/relationships/hyperlink" Target="http://www.boxofficemojo.com/studio/chart/?studio=universal.htm" TargetMode="External"/><Relationship Id="rId566" Type="http://schemas.openxmlformats.org/officeDocument/2006/relationships/hyperlink" Target="http://www.boxofficemojo.com/schedule/?view=bydate&amp;release=theatrical&amp;date=2015-11-20&amp;p=.htm" TargetMode="External"/><Relationship Id="rId567" Type="http://schemas.openxmlformats.org/officeDocument/2006/relationships/hyperlink" Target="http://www.boxofficemojo.com/movies/?id=cloudsofsilsmaria.htm" TargetMode="External"/><Relationship Id="rId568" Type="http://schemas.openxmlformats.org/officeDocument/2006/relationships/hyperlink" Target="http://www.boxofficemojo.com/studio/chart/?studio=ifc.htm" TargetMode="External"/><Relationship Id="rId569" Type="http://schemas.openxmlformats.org/officeDocument/2006/relationships/hyperlink" Target="http://www.boxofficemojo.com/schedule/?view=bydate&amp;release=theatrical&amp;date=2015-04-10&amp;p=.htm" TargetMode="External"/><Relationship Id="rId1804" Type="http://schemas.openxmlformats.org/officeDocument/2006/relationships/hyperlink" Target="http://www.boxofficemojo.com/studio/chart/?studio=distribfilms.htm" TargetMode="External"/><Relationship Id="rId1805" Type="http://schemas.openxmlformats.org/officeDocument/2006/relationships/hyperlink" Target="http://www.boxofficemojo.com/schedule/?view=bydate&amp;release=theatrical&amp;date=2015-08-14&amp;p=.htm" TargetMode="External"/><Relationship Id="rId1806" Type="http://schemas.openxmlformats.org/officeDocument/2006/relationships/hyperlink" Target="http://www.boxofficemojo.com/movies/?id=riotclub.htm" TargetMode="External"/><Relationship Id="rId1807" Type="http://schemas.openxmlformats.org/officeDocument/2006/relationships/hyperlink" Target="http://www.boxofficemojo.com/studio/chart/?studio=ifc.htm" TargetMode="External"/><Relationship Id="rId1808" Type="http://schemas.openxmlformats.org/officeDocument/2006/relationships/hyperlink" Target="http://www.boxofficemojo.com/schedule/?view=bydate&amp;release=theatrical&amp;date=2015-03-27&amp;p=.htm" TargetMode="External"/><Relationship Id="rId1809" Type="http://schemas.openxmlformats.org/officeDocument/2006/relationships/hyperlink" Target="http://www.boxofficemojo.com/movies/?id=area51.htm" TargetMode="External"/><Relationship Id="rId2100" Type="http://schemas.openxmlformats.org/officeDocument/2006/relationships/hyperlink" Target="http://www.boxofficemojo.com/movies/?id=thechambermaid.htm" TargetMode="External"/><Relationship Id="rId2101" Type="http://schemas.openxmlformats.org/officeDocument/2006/relationships/hyperlink" Target="http://www.boxofficemojo.com/studio/chart/?studio=filmmovement.htm" TargetMode="External"/><Relationship Id="rId2102" Type="http://schemas.openxmlformats.org/officeDocument/2006/relationships/hyperlink" Target="http://www.boxofficemojo.com/schedule/?view=bydate&amp;release=theatrical&amp;date=2015-05-29&amp;p=.htm" TargetMode="External"/><Relationship Id="rId2103" Type="http://schemas.openxmlformats.org/officeDocument/2006/relationships/hyperlink" Target="http://www.boxofficemojo.com/movies/?id=lou.htm" TargetMode="External"/><Relationship Id="rId2104" Type="http://schemas.openxmlformats.org/officeDocument/2006/relationships/hyperlink" Target="http://www.boxofficemojo.com/studio/chart/?studio=distribfilms.htm" TargetMode="External"/><Relationship Id="rId2105" Type="http://schemas.openxmlformats.org/officeDocument/2006/relationships/hyperlink" Target="http://www.boxofficemojo.com/schedule/?view=bydate&amp;release=theatrical&amp;date=2015-04-24&amp;p=.htm" TargetMode="External"/><Relationship Id="rId2106" Type="http://schemas.openxmlformats.org/officeDocument/2006/relationships/hyperlink" Target="http://www.boxofficemojo.com/movies/?id=paranoidgirls.htm" TargetMode="External"/><Relationship Id="rId2107" Type="http://schemas.openxmlformats.org/officeDocument/2006/relationships/hyperlink" Target="http://www.boxofficemojo.com/studio/chart/?studio=unknown.htm" TargetMode="External"/><Relationship Id="rId2108" Type="http://schemas.openxmlformats.org/officeDocument/2006/relationships/hyperlink" Target="http://www.boxofficemojo.com/schedule/?view=bydate&amp;release=theatrical&amp;date=2015-11-13&amp;p=.htm" TargetMode="External"/><Relationship Id="rId2109" Type="http://schemas.openxmlformats.org/officeDocument/2006/relationships/hyperlink" Target="http://www.boxofficemojo.com/movies/?id=confessionofachildofthecentury.htm" TargetMode="External"/><Relationship Id="rId1810" Type="http://schemas.openxmlformats.org/officeDocument/2006/relationships/hyperlink" Target="http://www.boxofficemojo.com/studio/chart/?studio=paramountinsruge.htm" TargetMode="External"/><Relationship Id="rId1811" Type="http://schemas.openxmlformats.org/officeDocument/2006/relationships/hyperlink" Target="http://www.boxofficemojo.com/schedule/?view=bydate&amp;release=theatrical&amp;date=2015-05-15&amp;p=.htm" TargetMode="External"/><Relationship Id="rId1812" Type="http://schemas.openxmlformats.org/officeDocument/2006/relationships/hyperlink" Target="http://www.boxofficemojo.com/movies/?id=onthewaytoschool.htm" TargetMode="External"/><Relationship Id="rId1813" Type="http://schemas.openxmlformats.org/officeDocument/2006/relationships/hyperlink" Target="http://www.boxofficemojo.com/studio/chart/?studio=distribfilms.htm" TargetMode="External"/><Relationship Id="rId1420" Type="http://schemas.openxmlformats.org/officeDocument/2006/relationships/hyperlink" Target="http://www.boxofficemojo.com/studio/chart/?studio=wellgo.htm" TargetMode="External"/><Relationship Id="rId1421" Type="http://schemas.openxmlformats.org/officeDocument/2006/relationships/hyperlink" Target="http://www.boxofficemojo.com/schedule/?view=bydate&amp;release=theatrical&amp;date=2015-07-31&amp;p=.htm" TargetMode="External"/><Relationship Id="rId1422" Type="http://schemas.openxmlformats.org/officeDocument/2006/relationships/hyperlink" Target="http://www.boxofficemojo.com/movies/?id=theforbiddenroom.htm" TargetMode="External"/><Relationship Id="rId1423" Type="http://schemas.openxmlformats.org/officeDocument/2006/relationships/hyperlink" Target="http://www.boxofficemojo.com/studio/chart/?studio=kinolorber.htm" TargetMode="External"/><Relationship Id="rId1424" Type="http://schemas.openxmlformats.org/officeDocument/2006/relationships/hyperlink" Target="http://www.boxofficemojo.com/schedule/?view=bydate&amp;release=theatrical&amp;date=2015-10-07&amp;p=.htm" TargetMode="External"/><Relationship Id="rId1425" Type="http://schemas.openxmlformats.org/officeDocument/2006/relationships/hyperlink" Target="http://www.boxofficemojo.com/movies/?id=pierrotlefou2015.htm" TargetMode="External"/><Relationship Id="rId1426" Type="http://schemas.openxmlformats.org/officeDocument/2006/relationships/hyperlink" Target="http://www.boxofficemojo.com/studio/chart/?studio=rialto.htm" TargetMode="External"/><Relationship Id="rId1427" Type="http://schemas.openxmlformats.org/officeDocument/2006/relationships/hyperlink" Target="http://www.boxofficemojo.com/schedule/?view=bydate&amp;release=theatrical&amp;date=2015-12-18&amp;p=.htm" TargetMode="External"/><Relationship Id="rId1428" Type="http://schemas.openxmlformats.org/officeDocument/2006/relationships/hyperlink" Target="http://www.boxofficemojo.com/movies/?id=thewindingstream.htm" TargetMode="External"/><Relationship Id="rId1429" Type="http://schemas.openxmlformats.org/officeDocument/2006/relationships/hyperlink" Target="http://www.boxofficemojo.com/studio/chart/?studio=argotpictures.htm" TargetMode="External"/><Relationship Id="rId960" Type="http://schemas.openxmlformats.org/officeDocument/2006/relationships/hyperlink" Target="http://www.boxofficemojo.com/movies/?id=fallinlovelikeastar.htm" TargetMode="External"/><Relationship Id="rId961" Type="http://schemas.openxmlformats.org/officeDocument/2006/relationships/hyperlink" Target="http://www.boxofficemojo.com/studio/chart/?studio=chinalion.htm" TargetMode="External"/><Relationship Id="rId962" Type="http://schemas.openxmlformats.org/officeDocument/2006/relationships/hyperlink" Target="http://www.boxofficemojo.com/schedule/?view=bydate&amp;release=theatrical&amp;date=2015-12-04&amp;p=.htm" TargetMode="External"/><Relationship Id="rId963" Type="http://schemas.openxmlformats.org/officeDocument/2006/relationships/hyperlink" Target="http://www.boxofficemojo.com/movies/?id=wolftotem.htm" TargetMode="External"/><Relationship Id="rId964" Type="http://schemas.openxmlformats.org/officeDocument/2006/relationships/hyperlink" Target="http://www.boxofficemojo.com/studio/chart/?studio=sony.htm" TargetMode="External"/><Relationship Id="rId965" Type="http://schemas.openxmlformats.org/officeDocument/2006/relationships/hyperlink" Target="http://www.boxofficemojo.com/schedule/?view=bydate&amp;release=theatrical&amp;date=2015-09-11&amp;p=.htm" TargetMode="External"/><Relationship Id="rId180" Type="http://schemas.openxmlformats.org/officeDocument/2006/relationships/hyperlink" Target="http://www.boxofficemojo.com/movies/?id=jupiterascending.htm" TargetMode="External"/><Relationship Id="rId181" Type="http://schemas.openxmlformats.org/officeDocument/2006/relationships/hyperlink" Target="http://www.boxofficemojo.com/studio/chart/?studio=warnerbros.htm" TargetMode="External"/><Relationship Id="rId182" Type="http://schemas.openxmlformats.org/officeDocument/2006/relationships/hyperlink" Target="http://www.boxofficemojo.com/schedule/?view=bydate&amp;release=theatrical&amp;date=2015-02-06&amp;p=.htm" TargetMode="External"/><Relationship Id="rId183" Type="http://schemas.openxmlformats.org/officeDocument/2006/relationships/hyperlink" Target="http://www.boxofficemojo.com/movies/?id=sicario.htm" TargetMode="External"/><Relationship Id="rId184" Type="http://schemas.openxmlformats.org/officeDocument/2006/relationships/hyperlink" Target="http://www.boxofficemojo.com/studio/chart/?studio=lionsgate.htm" TargetMode="External"/><Relationship Id="rId185" Type="http://schemas.openxmlformats.org/officeDocument/2006/relationships/hyperlink" Target="http://www.boxofficemojo.com/schedule/?view=bydate&amp;release=theatrical&amp;date=2015-09-18&amp;p=.htm" TargetMode="External"/><Relationship Id="rId186" Type="http://schemas.openxmlformats.org/officeDocument/2006/relationships/hyperlink" Target="http://www.boxofficemojo.com/movies/?id=uncle.htm" TargetMode="External"/><Relationship Id="rId187" Type="http://schemas.openxmlformats.org/officeDocument/2006/relationships/hyperlink" Target="http://www.boxofficemojo.com/studio/chart/?studio=warnerbros.htm" TargetMode="External"/><Relationship Id="rId188" Type="http://schemas.openxmlformats.org/officeDocument/2006/relationships/hyperlink" Target="http://www.boxofficemojo.com/schedule/?view=bydate&amp;release=theatrical&amp;date=2015-08-14&amp;p=.htm" TargetMode="External"/><Relationship Id="rId189" Type="http://schemas.openxmlformats.org/officeDocument/2006/relationships/hyperlink" Target="http://www.boxofficemojo.com/movies/?id=spotlight.htm" TargetMode="External"/><Relationship Id="rId966" Type="http://schemas.openxmlformats.org/officeDocument/2006/relationships/hyperlink" Target="http://www.boxofficemojo.com/movies/?id=darkplaces.htm" TargetMode="External"/><Relationship Id="rId967" Type="http://schemas.openxmlformats.org/officeDocument/2006/relationships/hyperlink" Target="http://www.boxofficemojo.com/studio/chart/?studio=a24.htm" TargetMode="External"/><Relationship Id="rId968" Type="http://schemas.openxmlformats.org/officeDocument/2006/relationships/hyperlink" Target="http://www.boxofficemojo.com/schedule/?view=bydate&amp;release=theatrical&amp;date=2015-08-07&amp;p=.htm" TargetMode="External"/><Relationship Id="rId969" Type="http://schemas.openxmlformats.org/officeDocument/2006/relationships/hyperlink" Target="http://www.boxofficemojo.com/movies/?id=heneralluna.htm" TargetMode="External"/><Relationship Id="rId1030" Type="http://schemas.openxmlformats.org/officeDocument/2006/relationships/hyperlink" Target="http://www.boxofficemojo.com/studio/chart/?studio=ifc.htm" TargetMode="External"/><Relationship Id="rId1031" Type="http://schemas.openxmlformats.org/officeDocument/2006/relationships/hyperlink" Target="http://www.boxofficemojo.com/schedule/?view=bydate&amp;release=theatrical&amp;date=2015-04-03&amp;p=.htm" TargetMode="External"/><Relationship Id="rId1032" Type="http://schemas.openxmlformats.org/officeDocument/2006/relationships/hyperlink" Target="http://www.boxofficemojo.com/movies/?id=aftertheball.htm" TargetMode="External"/><Relationship Id="rId1033" Type="http://schemas.openxmlformats.org/officeDocument/2006/relationships/hyperlink" Target="http://www.boxofficemojo.com/studio/chart/?studio=fs.htm" TargetMode="External"/><Relationship Id="rId1034" Type="http://schemas.openxmlformats.org/officeDocument/2006/relationships/hyperlink" Target="http://www.boxofficemojo.com/schedule/?view=bydate&amp;release=theatrical&amp;date=2015-02-27&amp;p=.htm" TargetMode="External"/><Relationship Id="rId1035" Type="http://schemas.openxmlformats.org/officeDocument/2006/relationships/hyperlink" Target="http://www.boxofficemojo.com/movies/?id=3hearts.htm" TargetMode="External"/><Relationship Id="rId1036" Type="http://schemas.openxmlformats.org/officeDocument/2006/relationships/hyperlink" Target="http://www.boxofficemojo.com/studio/chart/?studio=cohenmedia.htm" TargetMode="External"/><Relationship Id="rId1037" Type="http://schemas.openxmlformats.org/officeDocument/2006/relationships/hyperlink" Target="http://www.boxofficemojo.com/schedule/?view=bydate&amp;release=theatrical&amp;date=2015-03-13&amp;p=.htm" TargetMode="External"/><Relationship Id="rId1038" Type="http://schemas.openxmlformats.org/officeDocument/2006/relationships/hyperlink" Target="http://www.boxofficemojo.com/movies/?id=humancapital.htm" TargetMode="External"/><Relationship Id="rId1039" Type="http://schemas.openxmlformats.org/officeDocument/2006/relationships/hyperlink" Target="http://www.boxofficemojo.com/studio/chart/?studio=filmmovement.htm" TargetMode="External"/><Relationship Id="rId570" Type="http://schemas.openxmlformats.org/officeDocument/2006/relationships/hyperlink" Target="http://www.boxofficemojo.com/movies/?id=testamentofyouth.htm" TargetMode="External"/><Relationship Id="rId571" Type="http://schemas.openxmlformats.org/officeDocument/2006/relationships/hyperlink" Target="http://www.boxofficemojo.com/studio/chart/?studio=sonyclassics.htm" TargetMode="External"/><Relationship Id="rId572" Type="http://schemas.openxmlformats.org/officeDocument/2006/relationships/hyperlink" Target="http://www.boxofficemojo.com/schedule/?view=bydate&amp;release=theatrical&amp;date=2015-06-05&amp;p=.htm" TargetMode="External"/><Relationship Id="rId573" Type="http://schemas.openxmlformats.org/officeDocument/2006/relationships/hyperlink" Target="http://www.boxofficemojo.com/movies/?id=piku.htm" TargetMode="External"/><Relationship Id="rId574" Type="http://schemas.openxmlformats.org/officeDocument/2006/relationships/hyperlink" Target="http://www.boxofficemojo.com/studio/chart/?studio=yashraj.htm" TargetMode="External"/><Relationship Id="rId575" Type="http://schemas.openxmlformats.org/officeDocument/2006/relationships/hyperlink" Target="http://www.boxofficemojo.com/schedule/?view=bydate&amp;release=theatrical&amp;date=2015-05-08&amp;p=.htm" TargetMode="External"/><Relationship Id="rId576" Type="http://schemas.openxmlformats.org/officeDocument/2006/relationships/hyperlink" Target="http://www.boxofficemojo.com/movies/?id=vaticantapes.htm" TargetMode="External"/><Relationship Id="rId577" Type="http://schemas.openxmlformats.org/officeDocument/2006/relationships/hyperlink" Target="http://www.boxofficemojo.com/studio/chart/?studio=lionsgate.htm" TargetMode="External"/><Relationship Id="rId578" Type="http://schemas.openxmlformats.org/officeDocument/2006/relationships/hyperlink" Target="http://www.boxofficemojo.com/schedule/?view=bydate&amp;release=theatrical&amp;date=2015-07-24&amp;p=.htm" TargetMode="External"/><Relationship Id="rId579" Type="http://schemas.openxmlformats.org/officeDocument/2006/relationships/hyperlink" Target="http://www.boxofficemojo.com/movies/?id=sonofsaul.htm" TargetMode="External"/><Relationship Id="rId1814" Type="http://schemas.openxmlformats.org/officeDocument/2006/relationships/hyperlink" Target="http://www.boxofficemojo.com/schedule/?view=bydate&amp;release=theatrical&amp;date=2015-02-06&amp;p=.htm" TargetMode="External"/><Relationship Id="rId1815" Type="http://schemas.openxmlformats.org/officeDocument/2006/relationships/hyperlink" Target="http://www.boxofficemojo.com/movies/?id=rubblekings.htm" TargetMode="External"/><Relationship Id="rId1816" Type="http://schemas.openxmlformats.org/officeDocument/2006/relationships/hyperlink" Target="http://www.boxofficemojo.com/studio/chart/?studio=saboteur.htm" TargetMode="External"/><Relationship Id="rId1817" Type="http://schemas.openxmlformats.org/officeDocument/2006/relationships/hyperlink" Target="http://www.boxofficemojo.com/schedule/?view=bydate&amp;release=theatrical&amp;date=2015-06-19&amp;p=.htm" TargetMode="External"/><Relationship Id="rId1818" Type="http://schemas.openxmlformats.org/officeDocument/2006/relationships/hyperlink" Target="http://www.boxofficemojo.com/movies/?id=filmcritic.htm" TargetMode="External"/><Relationship Id="rId1819" Type="http://schemas.openxmlformats.org/officeDocument/2006/relationships/hyperlink" Target="http://www.boxofficemojo.com/studio/chart/?studio=musicboxfilms.htm" TargetMode="External"/><Relationship Id="rId2110" Type="http://schemas.openxmlformats.org/officeDocument/2006/relationships/hyperlink" Target="http://www.boxofficemojo.com/studio/chart/?studio=cohenmedia.htm" TargetMode="External"/><Relationship Id="rId2111" Type="http://schemas.openxmlformats.org/officeDocument/2006/relationships/hyperlink" Target="http://www.boxofficemojo.com/schedule/?view=bydate&amp;release=theatrical&amp;date=2015-09-25&amp;p=.htm" TargetMode="External"/><Relationship Id="rId1820" Type="http://schemas.openxmlformats.org/officeDocument/2006/relationships/hyperlink" Target="http://www.boxofficemojo.com/schedule/?view=bydate&amp;release=theatrical&amp;date=2015-05-15&amp;p=.htm" TargetMode="External"/><Relationship Id="rId1821" Type="http://schemas.openxmlformats.org/officeDocument/2006/relationships/hyperlink" Target="http://www.boxofficemojo.com/movies/?id=thedinner.htm" TargetMode="External"/><Relationship Id="rId1822" Type="http://schemas.openxmlformats.org/officeDocument/2006/relationships/hyperlink" Target="http://www.boxofficemojo.com/studio/chart/?studio=filmmovement.htm" TargetMode="External"/><Relationship Id="rId1823" Type="http://schemas.openxmlformats.org/officeDocument/2006/relationships/hyperlink" Target="http://www.boxofficemojo.com/schedule/?view=bydate&amp;release=theatrical&amp;date=2015-08-07&amp;p=.htm" TargetMode="External"/><Relationship Id="rId1430" Type="http://schemas.openxmlformats.org/officeDocument/2006/relationships/hyperlink" Target="http://www.boxofficemojo.com/schedule/?view=bydate&amp;release=theatrical&amp;date=2015-12-16&amp;p=.htm" TargetMode="External"/><Relationship Id="rId1431" Type="http://schemas.openxmlformats.org/officeDocument/2006/relationships/hyperlink" Target="http://www.boxofficemojo.com/movies/?id=songone.htm" TargetMode="External"/><Relationship Id="rId1432" Type="http://schemas.openxmlformats.org/officeDocument/2006/relationships/hyperlink" Target="http://www.boxofficemojo.com/studio/chart/?studio=filmarcade.htm" TargetMode="External"/><Relationship Id="rId1433" Type="http://schemas.openxmlformats.org/officeDocument/2006/relationships/hyperlink" Target="http://www.boxofficemojo.com/schedule/?view=bydate&amp;release=theatrical&amp;date=2015-01-23&amp;p=.htm" TargetMode="External"/><Relationship Id="rId1434" Type="http://schemas.openxmlformats.org/officeDocument/2006/relationships/hyperlink" Target="http://www.boxofficemojo.com/movies/?id=loveforecast.htm" TargetMode="External"/><Relationship Id="rId1435" Type="http://schemas.openxmlformats.org/officeDocument/2006/relationships/hyperlink" Target="http://www.boxofficemojo.com/studio/chart/?studio=cjentertainment.htm" TargetMode="External"/><Relationship Id="rId1436" Type="http://schemas.openxmlformats.org/officeDocument/2006/relationships/hyperlink" Target="http://www.boxofficemojo.com/schedule/?view=bydate&amp;release=theatrical&amp;date=2015-01-23&amp;p=.htm" TargetMode="External"/><Relationship Id="rId1437" Type="http://schemas.openxmlformats.org/officeDocument/2006/relationships/hyperlink" Target="http://www.boxofficemojo.com/movies/?id=amiraandsam.htm" TargetMode="External"/><Relationship Id="rId1438" Type="http://schemas.openxmlformats.org/officeDocument/2006/relationships/hyperlink" Target="http://www.boxofficemojo.com/studio/chart/?studio=drafthousefilms.htm" TargetMode="External"/><Relationship Id="rId1439" Type="http://schemas.openxmlformats.org/officeDocument/2006/relationships/hyperlink" Target="http://www.boxofficemojo.com/schedule/?view=bydate&amp;release=theatrical&amp;date=2015-01-30&amp;p=.htm" TargetMode="External"/><Relationship Id="rId970" Type="http://schemas.openxmlformats.org/officeDocument/2006/relationships/hyperlink" Target="http://www.boxofficemojo.com/studio/chart/?studio=abramorama.htm" TargetMode="External"/><Relationship Id="rId971" Type="http://schemas.openxmlformats.org/officeDocument/2006/relationships/hyperlink" Target="http://www.boxofficemojo.com/schedule/?view=bydate&amp;release=theatrical&amp;date=2015-10-30&amp;p=.htm" TargetMode="External"/><Relationship Id="rId972" Type="http://schemas.openxmlformats.org/officeDocument/2006/relationships/hyperlink" Target="http://www.boxofficemojo.com/movies/?id=paradiselost2014.htm" TargetMode="External"/><Relationship Id="rId973" Type="http://schemas.openxmlformats.org/officeDocument/2006/relationships/hyperlink" Target="http://www.boxofficemojo.com/studio/chart/?studio=radiustwc.htm" TargetMode="External"/><Relationship Id="rId974" Type="http://schemas.openxmlformats.org/officeDocument/2006/relationships/hyperlink" Target="http://www.boxofficemojo.com/schedule/?view=bydate&amp;release=theatrical&amp;date=2015-06-26&amp;p=.htm" TargetMode="External"/><Relationship Id="rId975" Type="http://schemas.openxmlformats.org/officeDocument/2006/relationships/hyperlink" Target="http://www.boxofficemojo.com/movies/?id=gemmabovary.htm" TargetMode="External"/><Relationship Id="rId190" Type="http://schemas.openxmlformats.org/officeDocument/2006/relationships/hyperlink" Target="http://www.boxofficemojo.com/studio/chart/?studio=openroads.htm" TargetMode="External"/><Relationship Id="rId191" Type="http://schemas.openxmlformats.org/officeDocument/2006/relationships/hyperlink" Target="http://www.boxofficemojo.com/schedule/?view=bydate&amp;release=theatrical&amp;date=2015-11-06&amp;p=.htm" TargetMode="External"/><Relationship Id="rId192" Type="http://schemas.openxmlformats.org/officeDocument/2006/relationships/hyperlink" Target="http://www.boxofficemojo.com/movies/?id=mcfarland.htm" TargetMode="External"/><Relationship Id="rId193" Type="http://schemas.openxmlformats.org/officeDocument/2006/relationships/hyperlink" Target="http://www.boxofficemojo.com/studio/chart/?studio=buenavista.htm" TargetMode="External"/><Relationship Id="rId194" Type="http://schemas.openxmlformats.org/officeDocument/2006/relationships/hyperlink" Target="http://www.boxofficemojo.com/schedule/?view=bydate&amp;release=theatrical&amp;date=2015-02-20&amp;p=.htm" TargetMode="External"/><Relationship Id="rId195" Type="http://schemas.openxmlformats.org/officeDocument/2006/relationships/hyperlink" Target="http://www.boxofficemojo.com/movies/?id=blumhousejuly2015.htm" TargetMode="External"/><Relationship Id="rId196" Type="http://schemas.openxmlformats.org/officeDocument/2006/relationships/hyperlink" Target="http://www.boxofficemojo.com/studio/chart/?studio=stx.htm" TargetMode="External"/><Relationship Id="rId197" Type="http://schemas.openxmlformats.org/officeDocument/2006/relationships/hyperlink" Target="http://www.boxofficemojo.com/schedule/?view=bydate&amp;release=theatrical&amp;date=2015-08-07&amp;p=.htm" TargetMode="External"/><Relationship Id="rId198" Type="http://schemas.openxmlformats.org/officeDocument/2006/relationships/hyperlink" Target="http://www.boxofficemojo.com/movies/?id=everest2015.htm" TargetMode="External"/><Relationship Id="rId199" Type="http://schemas.openxmlformats.org/officeDocument/2006/relationships/hyperlink" Target="http://www.boxofficemojo.com/studio/chart/?studio=universal.htm" TargetMode="External"/><Relationship Id="rId976" Type="http://schemas.openxmlformats.org/officeDocument/2006/relationships/hyperlink" Target="http://www.boxofficemojo.com/studio/chart/?studio=musicboxfilms.htm" TargetMode="External"/><Relationship Id="rId977" Type="http://schemas.openxmlformats.org/officeDocument/2006/relationships/hyperlink" Target="http://www.boxofficemojo.com/schedule/?view=bydate&amp;release=theatrical&amp;date=2015-05-29&amp;p=.htm" TargetMode="External"/><Relationship Id="rId978" Type="http://schemas.openxmlformats.org/officeDocument/2006/relationships/hyperlink" Target="http://www.boxofficemojo.com/movies/?id=connection2015.htm" TargetMode="External"/><Relationship Id="rId979" Type="http://schemas.openxmlformats.org/officeDocument/2006/relationships/hyperlink" Target="http://www.boxofficemojo.com/studio/chart/?studio=drafthousefilms.htm" TargetMode="External"/><Relationship Id="rId1040" Type="http://schemas.openxmlformats.org/officeDocument/2006/relationships/hyperlink" Target="http://www.boxofficemojo.com/schedule/?view=bydate&amp;release=theatrical&amp;date=2015-01-09&amp;p=.htm" TargetMode="External"/><Relationship Id="rId1041" Type="http://schemas.openxmlformats.org/officeDocument/2006/relationships/hyperlink" Target="http://www.boxofficemojo.com/movies/?id=hellandback.htm" TargetMode="External"/><Relationship Id="rId1042" Type="http://schemas.openxmlformats.org/officeDocument/2006/relationships/hyperlink" Target="http://www.boxofficemojo.com/studio/chart/?studio=fs.htm" TargetMode="External"/><Relationship Id="rId1043" Type="http://schemas.openxmlformats.org/officeDocument/2006/relationships/hyperlink" Target="http://www.boxofficemojo.com/schedule/?view=bydate&amp;release=theatrical&amp;date=2015-10-02&amp;p=.htm" TargetMode="External"/><Relationship Id="rId1044" Type="http://schemas.openxmlformats.org/officeDocument/2006/relationships/hyperlink" Target="http://www.boxofficemojo.com/movies/?id=experimenter.htm" TargetMode="External"/><Relationship Id="rId1045" Type="http://schemas.openxmlformats.org/officeDocument/2006/relationships/hyperlink" Target="http://www.boxofficemojo.com/studio/chart/?studio=magnolia.htm" TargetMode="External"/><Relationship Id="rId1046" Type="http://schemas.openxmlformats.org/officeDocument/2006/relationships/hyperlink" Target="http://www.boxofficemojo.com/schedule/?view=bydate&amp;release=theatrical&amp;date=2015-10-16&amp;p=.htm" TargetMode="External"/><Relationship Id="rId1047" Type="http://schemas.openxmlformats.org/officeDocument/2006/relationships/hyperlink" Target="http://www.boxofficemojo.com/movies/?id=desertdancer.htm" TargetMode="External"/><Relationship Id="rId1048" Type="http://schemas.openxmlformats.org/officeDocument/2006/relationships/hyperlink" Target="http://www.boxofficemojo.com/studio/chart/?studio=relativity.htm" TargetMode="External"/><Relationship Id="rId1049" Type="http://schemas.openxmlformats.org/officeDocument/2006/relationships/hyperlink" Target="http://www.boxofficemojo.com/schedule/?view=bydate&amp;release=theatrical&amp;date=2015-04-10&amp;p=.htm" TargetMode="External"/><Relationship Id="rId580" Type="http://schemas.openxmlformats.org/officeDocument/2006/relationships/hyperlink" Target="http://www.boxofficemojo.com/studio/chart/?studio=sonyclassics.htm" TargetMode="External"/><Relationship Id="rId581" Type="http://schemas.openxmlformats.org/officeDocument/2006/relationships/hyperlink" Target="http://www.boxofficemojo.com/schedule/?view=bydate&amp;release=theatrical&amp;date=2015-12-18&amp;p=.htm" TargetMode="External"/><Relationship Id="rId582" Type="http://schemas.openxmlformats.org/officeDocument/2006/relationships/hyperlink" Target="http://www.boxofficemojo.com/movies/?id=meetthepatels.htm" TargetMode="External"/><Relationship Id="rId583" Type="http://schemas.openxmlformats.org/officeDocument/2006/relationships/hyperlink" Target="http://www.boxofficemojo.com/studio/chart/?studio=alchemy.htm" TargetMode="External"/><Relationship Id="rId584" Type="http://schemas.openxmlformats.org/officeDocument/2006/relationships/hyperlink" Target="http://www.boxofficemojo.com/schedule/?view=bydate&amp;release=theatrical&amp;date=2015-09-11&amp;p=.htm" TargetMode="External"/><Relationship Id="rId585" Type="http://schemas.openxmlformats.org/officeDocument/2006/relationships/hyperlink" Target="http://www.boxofficemojo.com/movies/?id=backtothefutureday.htm" TargetMode="External"/><Relationship Id="rId586" Type="http://schemas.openxmlformats.org/officeDocument/2006/relationships/hyperlink" Target="http://www.boxofficemojo.com/studio/chart/?studio=universalhomeent.htm" TargetMode="External"/><Relationship Id="rId587" Type="http://schemas.openxmlformats.org/officeDocument/2006/relationships/hyperlink" Target="http://www.boxofficemojo.com/schedule/?view=bydate&amp;release=theatrical&amp;date=2015-10-21&amp;p=.htm" TargetMode="External"/><Relationship Id="rId588" Type="http://schemas.openxmlformats.org/officeDocument/2006/relationships/hyperlink" Target="http://www.boxofficemojo.com/movies/?id=theletters.htm" TargetMode="External"/><Relationship Id="rId589" Type="http://schemas.openxmlformats.org/officeDocument/2006/relationships/hyperlink" Target="http://www.boxofficemojo.com/studio/chart/?studio=fs.htm" TargetMode="External"/><Relationship Id="rId1824" Type="http://schemas.openxmlformats.org/officeDocument/2006/relationships/hyperlink" Target="http://www.boxofficemojo.com/movies/?id=antarcticedge.htm" TargetMode="External"/><Relationship Id="rId1825" Type="http://schemas.openxmlformats.org/officeDocument/2006/relationships/hyperlink" Target="http://www.boxofficemojo.com/studio/chart/?studio=firstrun.htm" TargetMode="External"/><Relationship Id="rId1826" Type="http://schemas.openxmlformats.org/officeDocument/2006/relationships/hyperlink" Target="http://www.boxofficemojo.com/schedule/?view=bydate&amp;release=theatrical&amp;date=2015-04-17&amp;p=.htm" TargetMode="External"/><Relationship Id="rId1827" Type="http://schemas.openxmlformats.org/officeDocument/2006/relationships/hyperlink" Target="http://www.boxofficemojo.com/movies/?id=lilquinquin.htm" TargetMode="External"/><Relationship Id="rId1828" Type="http://schemas.openxmlformats.org/officeDocument/2006/relationships/hyperlink" Target="http://www.boxofficemojo.com/studio/chart/?studio=kinolorber.htm" TargetMode="External"/><Relationship Id="rId1829" Type="http://schemas.openxmlformats.org/officeDocument/2006/relationships/hyperlink" Target="http://www.boxofficemojo.com/schedule/?view=bydate&amp;release=theatrical&amp;date=2015-01-02&amp;p=.htm" TargetMode="External"/><Relationship Id="rId1830" Type="http://schemas.openxmlformats.org/officeDocument/2006/relationships/hyperlink" Target="http://www.boxofficemojo.com/movies/?id=hungryhearts.htm" TargetMode="External"/><Relationship Id="rId1831" Type="http://schemas.openxmlformats.org/officeDocument/2006/relationships/hyperlink" Target="http://www.boxofficemojo.com/studio/chart/?studio=ifc.htm" TargetMode="External"/><Relationship Id="rId1832" Type="http://schemas.openxmlformats.org/officeDocument/2006/relationships/hyperlink" Target="http://www.boxofficemojo.com/schedule/?view=bydate&amp;release=theatrical&amp;date=2015-06-05&amp;p=.htm" TargetMode="External"/><Relationship Id="rId1833" Type="http://schemas.openxmlformats.org/officeDocument/2006/relationships/hyperlink" Target="http://www.boxofficemojo.com/movies/?id=sisterhoodofnight.htm" TargetMode="External"/><Relationship Id="rId1440" Type="http://schemas.openxmlformats.org/officeDocument/2006/relationships/hyperlink" Target="http://www.boxofficemojo.com/movies/?id=out1nolimetangere.htm" TargetMode="External"/><Relationship Id="rId1441" Type="http://schemas.openxmlformats.org/officeDocument/2006/relationships/hyperlink" Target="http://www.boxofficemojo.com/studio/chart/?studio=carlotta.htm" TargetMode="External"/><Relationship Id="rId1442" Type="http://schemas.openxmlformats.org/officeDocument/2006/relationships/hyperlink" Target="http://www.boxofficemojo.com/schedule/?view=bydate&amp;release=theatrical&amp;date=2015-11-06&amp;p=.htm" TargetMode="External"/><Relationship Id="rId1443" Type="http://schemas.openxmlformats.org/officeDocument/2006/relationships/hyperlink" Target="http://www.boxofficemojo.com/movies/?id=donverdean.htm" TargetMode="External"/><Relationship Id="rId1444" Type="http://schemas.openxmlformats.org/officeDocument/2006/relationships/hyperlink" Target="http://www.boxofficemojo.com/studio/chart/?studio=lionsgatepremiere.htm" TargetMode="External"/><Relationship Id="rId1445" Type="http://schemas.openxmlformats.org/officeDocument/2006/relationships/hyperlink" Target="http://www.boxofficemojo.com/schedule/?view=bydate&amp;release=theatrical&amp;date=2015-12-11&amp;p=.htm" TargetMode="External"/><Relationship Id="rId1446" Type="http://schemas.openxmlformats.org/officeDocument/2006/relationships/hyperlink" Target="http://www.boxofficemojo.com/movies/?id=3minutes10bullets.htm" TargetMode="External"/><Relationship Id="rId1447" Type="http://schemas.openxmlformats.org/officeDocument/2006/relationships/hyperlink" Target="http://www.boxofficemojo.com/studio/chart/?studio=participant.htm" TargetMode="External"/><Relationship Id="rId1448" Type="http://schemas.openxmlformats.org/officeDocument/2006/relationships/hyperlink" Target="http://www.boxofficemojo.com/schedule/?view=bydate&amp;release=theatrical&amp;date=2015-06-19&amp;p=.htm" TargetMode="External"/><Relationship Id="rId1449" Type="http://schemas.openxmlformats.org/officeDocument/2006/relationships/hyperlink" Target="http://www.boxofficemojo.com/movies/?id=runoff.htm" TargetMode="External"/><Relationship Id="rId980" Type="http://schemas.openxmlformats.org/officeDocument/2006/relationships/hyperlink" Target="http://www.boxofficemojo.com/schedule/?view=bydate&amp;release=theatrical&amp;date=2015-05-15&amp;p=.htm" TargetMode="External"/><Relationship Id="rId981" Type="http://schemas.openxmlformats.org/officeDocument/2006/relationships/hyperlink" Target="http://www.boxofficemojo.com/movies/?id=loveandlost.htm" TargetMode="External"/><Relationship Id="rId982" Type="http://schemas.openxmlformats.org/officeDocument/2006/relationships/hyperlink" Target="http://www.boxofficemojo.com/studio/chart/?studio=chinalion.htm" TargetMode="External"/><Relationship Id="rId983" Type="http://schemas.openxmlformats.org/officeDocument/2006/relationships/hyperlink" Target="http://www.boxofficemojo.com/schedule/?view=bydate&amp;release=theatrical&amp;date=2015-03-20&amp;p=.htm" TargetMode="External"/><Relationship Id="rId984" Type="http://schemas.openxmlformats.org/officeDocument/2006/relationships/hyperlink" Target="http://www.boxofficemojo.com/movies/?id=stonewall15.htm" TargetMode="External"/><Relationship Id="rId985" Type="http://schemas.openxmlformats.org/officeDocument/2006/relationships/hyperlink" Target="http://www.boxofficemojo.com/studio/chart/?studio=roadsideattractions.htm" TargetMode="External"/><Relationship Id="rId986" Type="http://schemas.openxmlformats.org/officeDocument/2006/relationships/hyperlink" Target="http://www.boxofficemojo.com/schedule/?view=bydate&amp;release=theatrical&amp;date=2015-09-25&amp;p=.htm" TargetMode="External"/><Relationship Id="rId987" Type="http://schemas.openxmlformats.org/officeDocument/2006/relationships/hyperlink" Target="http://www.boxofficemojo.com/movies/?id=maggie.htm" TargetMode="External"/><Relationship Id="rId988" Type="http://schemas.openxmlformats.org/officeDocument/2006/relationships/hyperlink" Target="http://www.boxofficemojo.com/studio/chart/?studio=roadsideattractions.htm" TargetMode="External"/><Relationship Id="rId989" Type="http://schemas.openxmlformats.org/officeDocument/2006/relationships/hyperlink" Target="http://www.boxofficemojo.com/schedule/?view=bydate&amp;release=theatrical&amp;date=2015-05-08&amp;p=.htm" TargetMode="External"/><Relationship Id="rId1050" Type="http://schemas.openxmlformats.org/officeDocument/2006/relationships/hyperlink" Target="http://www.boxofficemojo.com/movies/?id=buendiaramon.htm" TargetMode="External"/><Relationship Id="rId1051" Type="http://schemas.openxmlformats.org/officeDocument/2006/relationships/hyperlink" Target="http://www.boxofficemojo.com/studio/chart/?studio=fip.htm" TargetMode="External"/><Relationship Id="rId1052" Type="http://schemas.openxmlformats.org/officeDocument/2006/relationships/hyperlink" Target="http://www.boxofficemojo.com/schedule/?view=bydate&amp;release=theatrical&amp;date=2015-01-30&amp;p=.htm" TargetMode="External"/><Relationship Id="rId1053" Type="http://schemas.openxmlformats.org/officeDocument/2006/relationships/hyperlink" Target="http://www.boxofficemojo.com/movies/?id=backstreetboys2015.htm" TargetMode="External"/><Relationship Id="rId1054" Type="http://schemas.openxmlformats.org/officeDocument/2006/relationships/hyperlink" Target="http://www.boxofficemojo.com/studio/chart/?studio=gravitas.htm" TargetMode="External"/><Relationship Id="rId1055" Type="http://schemas.openxmlformats.org/officeDocument/2006/relationships/hyperlink" Target="http://www.boxofficemojo.com/schedule/?view=bydate&amp;release=theatrical&amp;date=2015-01-30&amp;p=.htm" TargetMode="External"/><Relationship Id="rId1056" Type="http://schemas.openxmlformats.org/officeDocument/2006/relationships/hyperlink" Target="http://www.boxofficemojo.com/movies/?id=samba.htm" TargetMode="External"/><Relationship Id="rId1057" Type="http://schemas.openxmlformats.org/officeDocument/2006/relationships/hyperlink" Target="http://www.boxofficemojo.com/studio/chart/?studio=broadgreen.htm" TargetMode="External"/><Relationship Id="rId1058" Type="http://schemas.openxmlformats.org/officeDocument/2006/relationships/hyperlink" Target="http://www.boxofficemojo.com/schedule/?view=bydate&amp;release=theatrical&amp;date=2015-07-24&amp;p=.htm" TargetMode="External"/><Relationship Id="rId1059" Type="http://schemas.openxmlformats.org/officeDocument/2006/relationships/hyperlink" Target="http://www.boxofficemojo.com/movies/?id=tribe2015.htm" TargetMode="External"/><Relationship Id="rId590" Type="http://schemas.openxmlformats.org/officeDocument/2006/relationships/hyperlink" Target="http://www.boxofficemojo.com/schedule/?view=bydate&amp;release=theatrical&amp;date=2015-12-04&amp;p=.htm" TargetMode="External"/><Relationship Id="rId591" Type="http://schemas.openxmlformats.org/officeDocument/2006/relationships/hyperlink" Target="http://www.boxofficemojo.com/movies/?id=diaryofateenagegirl.htm" TargetMode="External"/><Relationship Id="rId592" Type="http://schemas.openxmlformats.org/officeDocument/2006/relationships/hyperlink" Target="http://www.boxofficemojo.com/studio/chart/?studio=sonyclassics.htm" TargetMode="External"/><Relationship Id="rId593" Type="http://schemas.openxmlformats.org/officeDocument/2006/relationships/hyperlink" Target="http://www.boxofficemojo.com/schedule/?view=bydate&amp;release=theatrical&amp;date=2015-08-07&amp;p=.htm" TargetMode="External"/><Relationship Id="rId594" Type="http://schemas.openxmlformats.org/officeDocument/2006/relationships/hyperlink" Target="http://www.boxofficemojo.com/movies/?id=i2015.htm" TargetMode="External"/><Relationship Id="rId595" Type="http://schemas.openxmlformats.org/officeDocument/2006/relationships/hyperlink" Target="http://www.boxofficemojo.com/studio/chart/?studio=aascar.htm" TargetMode="External"/><Relationship Id="rId596" Type="http://schemas.openxmlformats.org/officeDocument/2006/relationships/hyperlink" Target="http://www.boxofficemojo.com/schedule/?view=bydate&amp;release=theatrical&amp;date=2015-01-13&amp;p=.htm" TargetMode="External"/><Relationship Id="rId597" Type="http://schemas.openxmlformats.org/officeDocument/2006/relationships/hyperlink" Target="http://www.boxofficemojo.com/movies/?id=infinitelypolarbear.htm" TargetMode="External"/><Relationship Id="rId598" Type="http://schemas.openxmlformats.org/officeDocument/2006/relationships/hyperlink" Target="http://www.boxofficemojo.com/studio/chart/?studio=sonyclassics.htm" TargetMode="External"/><Relationship Id="rId599" Type="http://schemas.openxmlformats.org/officeDocument/2006/relationships/hyperlink" Target="http://www.boxofficemojo.com/schedule/?view=bydate&amp;release=theatrical&amp;date=2015-06-19&amp;p=.htm" TargetMode="External"/><Relationship Id="rId1834" Type="http://schemas.openxmlformats.org/officeDocument/2006/relationships/hyperlink" Target="http://www.boxofficemojo.com/studio/chart/?studio=fs.htm" TargetMode="External"/><Relationship Id="rId1835" Type="http://schemas.openxmlformats.org/officeDocument/2006/relationships/hyperlink" Target="http://www.boxofficemojo.com/schedule/?view=bydate&amp;release=theatrical&amp;date=2015-04-10&amp;p=.htm" TargetMode="External"/><Relationship Id="rId1836" Type="http://schemas.openxmlformats.org/officeDocument/2006/relationships/hyperlink" Target="http://www.boxofficemojo.com/movies/?id=stevemcqueenmanlemans.htm" TargetMode="External"/><Relationship Id="rId1837" Type="http://schemas.openxmlformats.org/officeDocument/2006/relationships/hyperlink" Target="http://www.boxofficemojo.com/studio/chart/?studio=filmrise.htm" TargetMode="External"/><Relationship Id="rId1838" Type="http://schemas.openxmlformats.org/officeDocument/2006/relationships/hyperlink" Target="http://www.boxofficemojo.com/schedule/?view=bydate&amp;release=theatrical&amp;date=2015-11-13&amp;p=.htm" TargetMode="External"/><Relationship Id="rId1839" Type="http://schemas.openxmlformats.org/officeDocument/2006/relationships/hyperlink" Target="http://www.boxofficemojo.com/movies/?id=capturetheflag.htm" TargetMode="External"/><Relationship Id="rId1840" Type="http://schemas.openxmlformats.org/officeDocument/2006/relationships/hyperlink" Target="http://www.boxofficemojo.com/studio/chart/?studio=paramount.htm" TargetMode="External"/><Relationship Id="rId1841" Type="http://schemas.openxmlformats.org/officeDocument/2006/relationships/hyperlink" Target="http://www.boxofficemojo.com/schedule/?view=bydate&amp;release=theatrical&amp;date=2015-12-04&amp;p=.htm" TargetMode="External"/><Relationship Id="rId1842" Type="http://schemas.openxmlformats.org/officeDocument/2006/relationships/hyperlink" Target="http://www.boxofficemojo.com/movies/?id=horsemoney.htm" TargetMode="External"/><Relationship Id="rId1843" Type="http://schemas.openxmlformats.org/officeDocument/2006/relationships/hyperlink" Target="http://www.boxofficemojo.com/studio/chart/?studio=cinemaguild.htm" TargetMode="External"/><Relationship Id="rId1450" Type="http://schemas.openxmlformats.org/officeDocument/2006/relationships/hyperlink" Target="http://www.boxofficemojo.com/studio/chart/?studio=montereymediainc.htm" TargetMode="External"/><Relationship Id="rId1451" Type="http://schemas.openxmlformats.org/officeDocument/2006/relationships/hyperlink" Target="http://www.boxofficemojo.com/schedule/?view=bydate&amp;release=theatrical&amp;date=2015-06-26&amp;p=.htm" TargetMode="External"/><Relationship Id="rId1452" Type="http://schemas.openxmlformats.org/officeDocument/2006/relationships/hyperlink" Target="http://www.boxofficemojo.com/movies/?id=paultaylor.htm" TargetMode="External"/><Relationship Id="rId1453" Type="http://schemas.openxmlformats.org/officeDocument/2006/relationships/hyperlink" Target="http://www.boxofficemojo.com/studio/chart/?studio=independent.htm" TargetMode="External"/><Relationship Id="rId1454" Type="http://schemas.openxmlformats.org/officeDocument/2006/relationships/hyperlink" Target="http://www.boxofficemojo.com/schedule/?view=bydate&amp;release=theatrical&amp;date=2015-09-11&amp;p=.htm" TargetMode="External"/><Relationship Id="rId1455" Type="http://schemas.openxmlformats.org/officeDocument/2006/relationships/hyperlink" Target="http://www.boxofficemojo.com/movies/?id=paulette.htm" TargetMode="External"/><Relationship Id="rId1456" Type="http://schemas.openxmlformats.org/officeDocument/2006/relationships/hyperlink" Target="http://www.boxofficemojo.com/studio/chart/?studio=cohenmedia.htm" TargetMode="External"/><Relationship Id="rId1457" Type="http://schemas.openxmlformats.org/officeDocument/2006/relationships/hyperlink" Target="http://www.boxofficemojo.com/schedule/?view=bydate&amp;release=theatrical&amp;date=2015-08-14&amp;p=.htm" TargetMode="External"/><Relationship Id="rId1458" Type="http://schemas.openxmlformats.org/officeDocument/2006/relationships/hyperlink" Target="http://www.boxofficemojo.com/movies/?id=rebelsoftheneongod.htm" TargetMode="External"/><Relationship Id="rId1459" Type="http://schemas.openxmlformats.org/officeDocument/2006/relationships/hyperlink" Target="http://www.boxofficemojo.com/studio/chart/?studio=bigworld.htm" TargetMode="External"/><Relationship Id="rId990" Type="http://schemas.openxmlformats.org/officeDocument/2006/relationships/hyperlink" Target="http://www.boxofficemojo.com/movies/?id=detectivek.htm" TargetMode="External"/><Relationship Id="rId991" Type="http://schemas.openxmlformats.org/officeDocument/2006/relationships/hyperlink" Target="http://www.boxofficemojo.com/studio/chart/?studio=cjentertainment.htm" TargetMode="External"/><Relationship Id="rId992" Type="http://schemas.openxmlformats.org/officeDocument/2006/relationships/hyperlink" Target="http://www.boxofficemojo.com/schedule/?view=bydate&amp;release=theatrical&amp;date=2015-03-06&amp;p=.htm" TargetMode="External"/><Relationship Id="rId993" Type="http://schemas.openxmlformats.org/officeDocument/2006/relationships/hyperlink" Target="http://www.boxofficemojo.com/movies/?id=thepriests.htm" TargetMode="External"/><Relationship Id="rId994" Type="http://schemas.openxmlformats.org/officeDocument/2006/relationships/hyperlink" Target="http://www.boxofficemojo.com/studio/chart/?studio=cjentertainment.htm" TargetMode="External"/><Relationship Id="rId995" Type="http://schemas.openxmlformats.org/officeDocument/2006/relationships/hyperlink" Target="http://www.boxofficemojo.com/schedule/?view=bydate&amp;release=theatrical&amp;date=2015-11-26&amp;p=.htm" TargetMode="External"/><Relationship Id="rId996" Type="http://schemas.openxmlformats.org/officeDocument/2006/relationships/hyperlink" Target="http://www.boxofficemojo.com/movies/?id=lambertandstamp.htm" TargetMode="External"/><Relationship Id="rId997" Type="http://schemas.openxmlformats.org/officeDocument/2006/relationships/hyperlink" Target="http://www.boxofficemojo.com/studio/chart/?studio=sonyclassics.htm" TargetMode="External"/><Relationship Id="rId998" Type="http://schemas.openxmlformats.org/officeDocument/2006/relationships/hyperlink" Target="http://www.boxofficemojo.com/schedule/?view=bydate&amp;release=theatrical&amp;date=2015-04-03&amp;p=.htm" TargetMode="External"/><Relationship Id="rId999" Type="http://schemas.openxmlformats.org/officeDocument/2006/relationships/hyperlink" Target="http://www.boxofficemojo.com/movies/?id=anhonestliar.htm" TargetMode="External"/><Relationship Id="rId1060" Type="http://schemas.openxmlformats.org/officeDocument/2006/relationships/hyperlink" Target="http://www.boxofficemojo.com/studio/chart/?studio=drafthousefilms.htm" TargetMode="External"/><Relationship Id="rId1061" Type="http://schemas.openxmlformats.org/officeDocument/2006/relationships/hyperlink" Target="http://www.boxofficemojo.com/schedule/?view=bydate&amp;release=theatrical&amp;date=2015-06-17&amp;p=.htm" TargetMode="External"/><Relationship Id="rId1062" Type="http://schemas.openxmlformats.org/officeDocument/2006/relationships/hyperlink" Target="http://www.boxofficemojo.com/movies/?id=foreveryoung15.htm" TargetMode="External"/><Relationship Id="rId1063" Type="http://schemas.openxmlformats.org/officeDocument/2006/relationships/hyperlink" Target="http://www.boxofficemojo.com/studio/chart/?studio=chinalion.htm" TargetMode="External"/><Relationship Id="rId1064" Type="http://schemas.openxmlformats.org/officeDocument/2006/relationships/hyperlink" Target="http://www.boxofficemojo.com/schedule/?view=bydate&amp;release=theatrical&amp;date=2015-07-10&amp;p=.htm" TargetMode="External"/><Relationship Id="rId1065" Type="http://schemas.openxmlformats.org/officeDocument/2006/relationships/hyperlink" Target="http://www.boxofficemojo.com/movies/?id=newgirlfriend.htm" TargetMode="External"/><Relationship Id="rId1066" Type="http://schemas.openxmlformats.org/officeDocument/2006/relationships/hyperlink" Target="http://www.boxofficemojo.com/studio/chart/?studio=cohenmedia.htm" TargetMode="External"/><Relationship Id="rId1067" Type="http://schemas.openxmlformats.org/officeDocument/2006/relationships/hyperlink" Target="http://www.boxofficemojo.com/schedule/?view=bydate&amp;release=theatrical&amp;date=2015-09-18&amp;p=.htm" TargetMode="External"/><Relationship Id="rId1068" Type="http://schemas.openxmlformats.org/officeDocument/2006/relationships/hyperlink" Target="http://www.boxofficemojo.com/movies/?id=last5years.htm" TargetMode="External"/><Relationship Id="rId1069" Type="http://schemas.openxmlformats.org/officeDocument/2006/relationships/hyperlink" Target="http://www.boxofficemojo.com/studio/chart/?studio=radiustwc.htm" TargetMode="External"/><Relationship Id="rId1844" Type="http://schemas.openxmlformats.org/officeDocument/2006/relationships/hyperlink" Target="http://www.boxofficemojo.com/schedule/?view=bydate&amp;release=theatrical&amp;date=2015-07-24&amp;p=.htm" TargetMode="External"/><Relationship Id="rId1845" Type="http://schemas.openxmlformats.org/officeDocument/2006/relationships/hyperlink" Target="http://www.boxofficemojo.com/movies/?id=suicidetheory.htm" TargetMode="External"/><Relationship Id="rId1846" Type="http://schemas.openxmlformats.org/officeDocument/2006/relationships/hyperlink" Target="http://www.boxofficemojo.com/studio/chart/?studio=fs.htm" TargetMode="External"/><Relationship Id="rId1847" Type="http://schemas.openxmlformats.org/officeDocument/2006/relationships/hyperlink" Target="http://www.boxofficemojo.com/schedule/?view=bydate&amp;release=theatrical&amp;date=2015-07-10&amp;p=.htm" TargetMode="External"/><Relationship Id="rId1848" Type="http://schemas.openxmlformats.org/officeDocument/2006/relationships/hyperlink" Target="http://www.boxofficemojo.com/movies/?id=arabiannightsvolume2.htm" TargetMode="External"/><Relationship Id="rId1849" Type="http://schemas.openxmlformats.org/officeDocument/2006/relationships/hyperlink" Target="http://www.boxofficemojo.com/studio/chart/?studio=kinolorber.htm" TargetMode="External"/><Relationship Id="rId200" Type="http://schemas.openxmlformats.org/officeDocument/2006/relationships/hyperlink" Target="http://www.boxofficemojo.com/schedule/?view=bydate&amp;release=theatrical&amp;date=2015-09-18&amp;p=.htm" TargetMode="External"/><Relationship Id="rId201" Type="http://schemas.openxmlformats.org/officeDocument/2006/relationships/hyperlink" Target="http://www.boxofficemojo.com/movies/?id=xmas2015.htm" TargetMode="External"/><Relationship Id="rId202" Type="http://schemas.openxmlformats.org/officeDocument/2006/relationships/hyperlink" Target="http://www.boxofficemojo.com/studio/chart/?studio=sony.htm" TargetMode="External"/><Relationship Id="rId203" Type="http://schemas.openxmlformats.org/officeDocument/2006/relationships/hyperlink" Target="http://www.boxofficemojo.com/schedule/?view=bydate&amp;release=theatrical&amp;date=2015-11-20&amp;p=.htm" TargetMode="External"/><Relationship Id="rId204" Type="http://schemas.openxmlformats.org/officeDocument/2006/relationships/hyperlink" Target="http://www.boxofficemojo.com/movies/?id=krampus.htm" TargetMode="External"/><Relationship Id="rId205" Type="http://schemas.openxmlformats.org/officeDocument/2006/relationships/hyperlink" Target="http://www.boxofficemojo.com/studio/chart/?studio=universal.htm" TargetMode="External"/><Relationship Id="rId206" Type="http://schemas.openxmlformats.org/officeDocument/2006/relationships/hyperlink" Target="http://www.boxofficemojo.com/schedule/?view=bydate&amp;release=theatrical&amp;date=2015-12-04&amp;p=.htm" TargetMode="External"/><Relationship Id="rId207" Type="http://schemas.openxmlformats.org/officeDocument/2006/relationships/hyperlink" Target="http://www.boxofficemojo.com/movies/?id=max2015.htm" TargetMode="External"/><Relationship Id="rId208" Type="http://schemas.openxmlformats.org/officeDocument/2006/relationships/hyperlink" Target="http://www.boxofficemojo.com/studio/chart/?studio=warnerbros.htm" TargetMode="External"/><Relationship Id="rId209" Type="http://schemas.openxmlformats.org/officeDocument/2006/relationships/hyperlink" Target="http://www.boxofficemojo.com/schedule/?view=bydate&amp;release=theatrical&amp;date=2015-06-26&amp;p=.htm" TargetMode="External"/><Relationship Id="rId1850" Type="http://schemas.openxmlformats.org/officeDocument/2006/relationships/hyperlink" Target="http://www.boxofficemojo.com/schedule/?view=bydate&amp;release=theatrical&amp;date=2015-12-11&amp;p=.htm" TargetMode="External"/><Relationship Id="rId1851" Type="http://schemas.openxmlformats.org/officeDocument/2006/relationships/hyperlink" Target="http://www.boxofficemojo.com/movies/?id=alleluia.htm" TargetMode="External"/><Relationship Id="rId1852" Type="http://schemas.openxmlformats.org/officeDocument/2006/relationships/hyperlink" Target="http://www.boxofficemojo.com/studio/chart/?studio=musicboxfilms.htm" TargetMode="External"/><Relationship Id="rId1853" Type="http://schemas.openxmlformats.org/officeDocument/2006/relationships/hyperlink" Target="http://www.boxofficemojo.com/schedule/?view=bydate&amp;release=theatrical&amp;date=2015-07-17&amp;p=.htm" TargetMode="External"/><Relationship Id="rId1460" Type="http://schemas.openxmlformats.org/officeDocument/2006/relationships/hyperlink" Target="http://www.boxofficemojo.com/schedule/?view=bydate&amp;release=theatrical&amp;date=2015-04-10&amp;p=.htm" TargetMode="External"/><Relationship Id="rId1461" Type="http://schemas.openxmlformats.org/officeDocument/2006/relationships/hyperlink" Target="http://www.boxofficemojo.com/movies/?id=americons.htm" TargetMode="External"/><Relationship Id="rId1462" Type="http://schemas.openxmlformats.org/officeDocument/2006/relationships/hyperlink" Target="http://www.boxofficemojo.com/studio/chart/?studio=archstone.htm" TargetMode="External"/><Relationship Id="rId1463" Type="http://schemas.openxmlformats.org/officeDocument/2006/relationships/hyperlink" Target="http://www.boxofficemojo.com/schedule/?view=bydate&amp;release=theatrical&amp;date=2015-01-23&amp;p=.htm" TargetMode="External"/><Relationship Id="rId1464" Type="http://schemas.openxmlformats.org/officeDocument/2006/relationships/hyperlink" Target="http://www.boxofficemojo.com/movies/?id=hardtobeagod.htm" TargetMode="External"/><Relationship Id="rId1465" Type="http://schemas.openxmlformats.org/officeDocument/2006/relationships/hyperlink" Target="http://www.boxofficemojo.com/studio/chart/?studio=kinolorber.htm" TargetMode="External"/><Relationship Id="rId1466" Type="http://schemas.openxmlformats.org/officeDocument/2006/relationships/hyperlink" Target="http://www.boxofficemojo.com/schedule/?view=bydate&amp;release=theatrical&amp;date=2015-01-30&amp;p=.htm" TargetMode="External"/><Relationship Id="rId1467" Type="http://schemas.openxmlformats.org/officeDocument/2006/relationships/hyperlink" Target="http://www.boxofficemojo.com/movies/?id=thenightmare.htm" TargetMode="External"/><Relationship Id="rId1468" Type="http://schemas.openxmlformats.org/officeDocument/2006/relationships/hyperlink" Target="http://www.boxofficemojo.com/studio/chart/?studio=gravitas.htm" TargetMode="External"/><Relationship Id="rId1469" Type="http://schemas.openxmlformats.org/officeDocument/2006/relationships/hyperlink" Target="http://www.boxofficemojo.com/schedule/?view=bydate&amp;release=theatrical&amp;date=2015-06-05&amp;p=.htm" TargetMode="External"/><Relationship Id="rId1070" Type="http://schemas.openxmlformats.org/officeDocument/2006/relationships/hyperlink" Target="http://www.boxofficemojo.com/schedule/?view=bydate&amp;release=theatrical&amp;date=2015-02-13&amp;p=.htm" TargetMode="External"/><Relationship Id="rId1071" Type="http://schemas.openxmlformats.org/officeDocument/2006/relationships/hyperlink" Target="http://www.boxofficemojo.com/movies/?id=tangerines.htm" TargetMode="External"/><Relationship Id="rId1072" Type="http://schemas.openxmlformats.org/officeDocument/2006/relationships/hyperlink" Target="http://www.boxofficemojo.com/studio/chart/?studio=samuelgoldwyn.htm" TargetMode="External"/><Relationship Id="rId1073" Type="http://schemas.openxmlformats.org/officeDocument/2006/relationships/hyperlink" Target="http://www.boxofficemojo.com/schedule/?view=bydate&amp;release=theatrical&amp;date=2015-04-17&amp;p=.htm" TargetMode="External"/><Relationship Id="rId1074" Type="http://schemas.openxmlformats.org/officeDocument/2006/relationships/hyperlink" Target="http://www.boxofficemojo.com/movies/?id=yellowday2015.htm" TargetMode="External"/><Relationship Id="rId1075" Type="http://schemas.openxmlformats.org/officeDocument/2006/relationships/hyperlink" Target="http://www.boxofficemojo.com/studio/chart/?studio=providencefilm.htm" TargetMode="External"/><Relationship Id="rId1076" Type="http://schemas.openxmlformats.org/officeDocument/2006/relationships/hyperlink" Target="http://www.boxofficemojo.com/schedule/?view=bydate&amp;release=theatrical&amp;date=2015-12-11&amp;p=.htm" TargetMode="External"/><Relationship Id="rId1077" Type="http://schemas.openxmlformats.org/officeDocument/2006/relationships/hyperlink" Target="http://www.boxofficemojo.com/movies/?id=manglehorn.htm" TargetMode="External"/><Relationship Id="rId1078" Type="http://schemas.openxmlformats.org/officeDocument/2006/relationships/hyperlink" Target="http://www.boxofficemojo.com/studio/chart/?studio=ifc.htm" TargetMode="External"/><Relationship Id="rId1079" Type="http://schemas.openxmlformats.org/officeDocument/2006/relationships/hyperlink" Target="http://www.boxofficemojo.com/schedule/?view=bydate&amp;release=theatrical&amp;date=2015-06-19&amp;p=.htm" TargetMode="External"/><Relationship Id="rId1854" Type="http://schemas.openxmlformats.org/officeDocument/2006/relationships/hyperlink" Target="http://www.boxofficemojo.com/movies/?id=thenightoftheshootingstars2015.htm" TargetMode="External"/><Relationship Id="rId1855" Type="http://schemas.openxmlformats.org/officeDocument/2006/relationships/hyperlink" Target="http://www.boxofficemojo.com/studio/chart/?studio=cohenmedia.htm" TargetMode="External"/><Relationship Id="rId1856" Type="http://schemas.openxmlformats.org/officeDocument/2006/relationships/hyperlink" Target="http://www.boxofficemojo.com/schedule/?view=bydate&amp;release=theatrical&amp;date=2015-08-12&amp;p=.htm" TargetMode="External"/><Relationship Id="rId1857" Type="http://schemas.openxmlformats.org/officeDocument/2006/relationships/hyperlink" Target="http://www.boxofficemojo.com/movies/?id=barelylethal.htm" TargetMode="External"/><Relationship Id="rId1858" Type="http://schemas.openxmlformats.org/officeDocument/2006/relationships/hyperlink" Target="http://www.boxofficemojo.com/studio/chart/?studio=a24.htm" TargetMode="External"/><Relationship Id="rId1859" Type="http://schemas.openxmlformats.org/officeDocument/2006/relationships/hyperlink" Target="http://www.boxofficemojo.com/schedule/?view=bydate&amp;release=theatrical&amp;date=2015-04-30&amp;p=.htm" TargetMode="External"/><Relationship Id="rId600" Type="http://schemas.openxmlformats.org/officeDocument/2006/relationships/hyperlink" Target="http://www.boxofficemojo.com/movies/?id=mrsix.htm" TargetMode="External"/><Relationship Id="rId601" Type="http://schemas.openxmlformats.org/officeDocument/2006/relationships/hyperlink" Target="http://www.boxofficemojo.com/studio/chart/?studio=chinalion.htm" TargetMode="External"/><Relationship Id="rId602" Type="http://schemas.openxmlformats.org/officeDocument/2006/relationships/hyperlink" Target="http://www.boxofficemojo.com/schedule/?view=bydate&amp;release=theatrical&amp;date=2015-12-24&amp;p=.htm" TargetMode="External"/><Relationship Id="rId603" Type="http://schemas.openxmlformats.org/officeDocument/2006/relationships/hyperlink" Target="http://www.boxofficemojo.com/movies/?id=99homes.htm" TargetMode="External"/><Relationship Id="rId604" Type="http://schemas.openxmlformats.org/officeDocument/2006/relationships/hyperlink" Target="http://www.boxofficemojo.com/studio/chart/?studio=broadgreen.htm" TargetMode="External"/><Relationship Id="rId605" Type="http://schemas.openxmlformats.org/officeDocument/2006/relationships/hyperlink" Target="http://www.boxofficemojo.com/schedule/?view=bydate&amp;release=theatrical&amp;date=2015-09-25&amp;p=.htm" TargetMode="External"/><Relationship Id="rId606" Type="http://schemas.openxmlformats.org/officeDocument/2006/relationships/hyperlink" Target="http://www.boxofficemojo.com/movies/?id=welcomeback.htm" TargetMode="External"/><Relationship Id="rId607" Type="http://schemas.openxmlformats.org/officeDocument/2006/relationships/hyperlink" Target="http://www.boxofficemojo.com/studio/chart/?studio=eros.htm" TargetMode="External"/><Relationship Id="rId608" Type="http://schemas.openxmlformats.org/officeDocument/2006/relationships/hyperlink" Target="http://www.boxofficemojo.com/schedule/?view=bydate&amp;release=theatrical&amp;date=2015-09-04&amp;p=.htm" TargetMode="External"/><Relationship Id="rId609" Type="http://schemas.openxmlformats.org/officeDocument/2006/relationships/hyperlink" Target="http://www.boxofficemojo.com/movies/?id=cokevillemiracle.htm" TargetMode="External"/><Relationship Id="rId210" Type="http://schemas.openxmlformats.org/officeDocument/2006/relationships/hyperlink" Target="http://www.boxofficemojo.com/movies/?id=ageofadaline.htm" TargetMode="External"/><Relationship Id="rId211" Type="http://schemas.openxmlformats.org/officeDocument/2006/relationships/hyperlink" Target="http://www.boxofficemojo.com/studio/chart/?studio=lionsgate.htm" TargetMode="External"/><Relationship Id="rId212" Type="http://schemas.openxmlformats.org/officeDocument/2006/relationships/hyperlink" Target="http://www.boxofficemojo.com/schedule/?view=bydate&amp;release=theatrical&amp;date=2015-04-24&amp;p=.htm" TargetMode="External"/><Relationship Id="rId213" Type="http://schemas.openxmlformats.org/officeDocument/2006/relationships/hyperlink" Target="http://www.boxofficemojo.com/movies/?id=brooklyn.htm" TargetMode="External"/><Relationship Id="rId214" Type="http://schemas.openxmlformats.org/officeDocument/2006/relationships/hyperlink" Target="http://www.boxofficemojo.com/studio/chart/?studio=foxsearchlight.htm" TargetMode="External"/><Relationship Id="rId215" Type="http://schemas.openxmlformats.org/officeDocument/2006/relationships/hyperlink" Target="http://www.boxofficemojo.com/schedule/?view=bydate&amp;release=theatrical&amp;date=2015-11-04&amp;p=.htm" TargetMode="External"/><Relationship Id="rId216" Type="http://schemas.openxmlformats.org/officeDocument/2006/relationships/hyperlink" Target="http://www.boxofficemojo.com/movies/?id=thelongestride.htm" TargetMode="External"/><Relationship Id="rId217" Type="http://schemas.openxmlformats.org/officeDocument/2006/relationships/hyperlink" Target="http://www.boxofficemojo.com/studio/chart/?studio=fox.htm" TargetMode="External"/><Relationship Id="rId218" Type="http://schemas.openxmlformats.org/officeDocument/2006/relationships/hyperlink" Target="http://www.boxofficemojo.com/schedule/?view=bydate&amp;release=theatrical&amp;date=2015-04-10&amp;p=.htm" TargetMode="External"/><Relationship Id="rId219" Type="http://schemas.openxmlformats.org/officeDocument/2006/relationships/hyperlink" Target="http://www.boxofficemojo.com/movies/?id=boynextdoor.htm" TargetMode="External"/><Relationship Id="rId1860" Type="http://schemas.openxmlformats.org/officeDocument/2006/relationships/hyperlink" Target="http://www.boxofficemojo.com/movies/?id=marquiseofo.htm" TargetMode="External"/><Relationship Id="rId1861" Type="http://schemas.openxmlformats.org/officeDocument/2006/relationships/hyperlink" Target="http://www.boxofficemojo.com/studio/chart/?studio=filmmovement.htm" TargetMode="External"/><Relationship Id="rId1862" Type="http://schemas.openxmlformats.org/officeDocument/2006/relationships/hyperlink" Target="http://www.boxofficemojo.com/schedule/?view=bydate&amp;release=theatrical&amp;date=2015-03-27&amp;p=.htm" TargetMode="External"/><Relationship Id="rId1863" Type="http://schemas.openxmlformats.org/officeDocument/2006/relationships/hyperlink" Target="http://www.boxofficemojo.com/movies/?id=sexdeathandbowling.htm" TargetMode="External"/><Relationship Id="rId1470" Type="http://schemas.openxmlformats.org/officeDocument/2006/relationships/hyperlink" Target="http://www.boxofficemojo.com/movies/?id=likesundaylikerain.htm" TargetMode="External"/><Relationship Id="rId1471" Type="http://schemas.openxmlformats.org/officeDocument/2006/relationships/hyperlink" Target="http://www.boxofficemojo.com/studio/chart/?studio=montereymediainc.htm" TargetMode="External"/><Relationship Id="rId1472" Type="http://schemas.openxmlformats.org/officeDocument/2006/relationships/hyperlink" Target="http://www.boxofficemojo.com/schedule/?view=bydate&amp;release=theatrical&amp;date=2015-03-06&amp;p=.htm" TargetMode="External"/><Relationship Id="rId1473" Type="http://schemas.openxmlformats.org/officeDocument/2006/relationships/hyperlink" Target="http://www.boxofficemojo.com/movies/?id=7chinesebrothers.htm" TargetMode="External"/><Relationship Id="rId1474" Type="http://schemas.openxmlformats.org/officeDocument/2006/relationships/hyperlink" Target="http://www.boxofficemojo.com/studio/chart/?studio=screenmedia.htm" TargetMode="External"/><Relationship Id="rId1475" Type="http://schemas.openxmlformats.org/officeDocument/2006/relationships/hyperlink" Target="http://www.boxofficemojo.com/schedule/?view=bydate&amp;release=theatrical&amp;date=2015-08-28&amp;p=.htm" TargetMode="External"/><Relationship Id="rId1476" Type="http://schemas.openxmlformats.org/officeDocument/2006/relationships/hyperlink" Target="http://www.boxofficemojo.com/movies/?id=bikesvscars.htm" TargetMode="External"/><Relationship Id="rId1477" Type="http://schemas.openxmlformats.org/officeDocument/2006/relationships/hyperlink" Target="http://www.boxofficemojo.com/studio/chart/?studio=kinolorber.htm" TargetMode="External"/><Relationship Id="rId1478" Type="http://schemas.openxmlformats.org/officeDocument/2006/relationships/hyperlink" Target="http://www.boxofficemojo.com/schedule/?view=bydate&amp;release=theatrical&amp;date=2015-12-04&amp;p=.htm" TargetMode="External"/><Relationship Id="rId1479" Type="http://schemas.openxmlformats.org/officeDocument/2006/relationships/hyperlink" Target="http://www.boxofficemojo.com/movies/?id=thecut.htm" TargetMode="External"/><Relationship Id="rId1080" Type="http://schemas.openxmlformats.org/officeDocument/2006/relationships/hyperlink" Target="http://www.boxofficemojo.com/movies/?id=ingridbergman.htm" TargetMode="External"/><Relationship Id="rId1081" Type="http://schemas.openxmlformats.org/officeDocument/2006/relationships/hyperlink" Target="http://www.boxofficemojo.com/studio/chart/?studio=rialto.htm" TargetMode="External"/><Relationship Id="rId1082" Type="http://schemas.openxmlformats.org/officeDocument/2006/relationships/hyperlink" Target="http://www.boxofficemojo.com/schedule/?view=bydate&amp;release=theatrical&amp;date=2015-11-13&amp;p=.htm" TargetMode="External"/><Relationship Id="rId1083" Type="http://schemas.openxmlformats.org/officeDocument/2006/relationships/hyperlink" Target="http://www.boxofficemojo.com/movies/?id=twenty2015.htm" TargetMode="External"/><Relationship Id="rId1084" Type="http://schemas.openxmlformats.org/officeDocument/2006/relationships/hyperlink" Target="http://www.boxofficemojo.com/studio/chart/?studio=cjentertainment.htm" TargetMode="External"/><Relationship Id="rId1085" Type="http://schemas.openxmlformats.org/officeDocument/2006/relationships/hyperlink" Target="http://www.boxofficemojo.com/schedule/?view=bydate&amp;release=theatrical&amp;date=2015-04-17&amp;p=.htm" TargetMode="External"/><Relationship Id="rId1086" Type="http://schemas.openxmlformats.org/officeDocument/2006/relationships/hyperlink" Target="http://www.boxofficemojo.com/movies/?id=lasapienza.htm" TargetMode="External"/><Relationship Id="rId1087" Type="http://schemas.openxmlformats.org/officeDocument/2006/relationships/hyperlink" Target="http://www.boxofficemojo.com/studio/chart/?studio=kinolorber.htm" TargetMode="External"/><Relationship Id="rId1088" Type="http://schemas.openxmlformats.org/officeDocument/2006/relationships/hyperlink" Target="http://www.boxofficemojo.com/schedule/?view=bydate&amp;release=theatrical&amp;date=2015-03-20&amp;p=.htm" TargetMode="External"/><Relationship Id="rId1089" Type="http://schemas.openxmlformats.org/officeDocument/2006/relationships/hyperlink" Target="http://www.boxofficemojo.com/movies/?id=copcar.htm" TargetMode="External"/><Relationship Id="rId1864" Type="http://schemas.openxmlformats.org/officeDocument/2006/relationships/hyperlink" Target="http://www.boxofficemojo.com/studio/chart/?studio=montereymediainc.htm" TargetMode="External"/><Relationship Id="rId1865" Type="http://schemas.openxmlformats.org/officeDocument/2006/relationships/hyperlink" Target="http://www.boxofficemojo.com/schedule/?view=bydate&amp;release=theatrical&amp;date=2015-10-30&amp;p=.htm" TargetMode="External"/><Relationship Id="rId1866" Type="http://schemas.openxmlformats.org/officeDocument/2006/relationships/hyperlink" Target="http://www.boxofficemojo.com/movies/?id=gabriel.htm" TargetMode="External"/><Relationship Id="rId1867" Type="http://schemas.openxmlformats.org/officeDocument/2006/relationships/hyperlink" Target="http://www.boxofficemojo.com/studio/chart/?studio=oscilloscopepictures.htm" TargetMode="External"/><Relationship Id="rId1868" Type="http://schemas.openxmlformats.org/officeDocument/2006/relationships/hyperlink" Target="http://www.boxofficemojo.com/schedule/?view=bydate&amp;release=theatrical&amp;date=2015-06-19&amp;p=.htm" TargetMode="External"/><Relationship Id="rId1869" Type="http://schemas.openxmlformats.org/officeDocument/2006/relationships/hyperlink" Target="http://www.boxofficemojo.com/movies/?id=medeas.htm" TargetMode="External"/><Relationship Id="rId610" Type="http://schemas.openxmlformats.org/officeDocument/2006/relationships/hyperlink" Target="http://www.boxofficemojo.com/studio/chart/?studio=excel.htm" TargetMode="External"/><Relationship Id="rId611" Type="http://schemas.openxmlformats.org/officeDocument/2006/relationships/hyperlink" Target="http://www.boxofficemojo.com/schedule/?view=bydate&amp;release=theatrical&amp;date=2015-06-05&amp;p=.htm" TargetMode="External"/><Relationship Id="rId612" Type="http://schemas.openxmlformats.org/officeDocument/2006/relationships/hyperlink" Target="http://www.boxofficemojo.com/movies/?id=saltoftheearth.htm" TargetMode="External"/><Relationship Id="rId613" Type="http://schemas.openxmlformats.org/officeDocument/2006/relationships/hyperlink" Target="http://www.boxofficemojo.com/studio/chart/?studio=sonyclassics.htm" TargetMode="External"/><Relationship Id="rId614" Type="http://schemas.openxmlformats.org/officeDocument/2006/relationships/hyperlink" Target="http://www.boxofficemojo.com/schedule/?view=bydate&amp;release=theatrical&amp;date=2015-03-27&amp;p=.htm" TargetMode="External"/><Relationship Id="rId615" Type="http://schemas.openxmlformats.org/officeDocument/2006/relationships/hyperlink" Target="http://www.boxofficemojo.com/movies/?id=iris2015.htm" TargetMode="External"/><Relationship Id="rId616" Type="http://schemas.openxmlformats.org/officeDocument/2006/relationships/hyperlink" Target="http://www.boxofficemojo.com/studio/chart/?studio=magnolia.htm" TargetMode="External"/><Relationship Id="rId617" Type="http://schemas.openxmlformats.org/officeDocument/2006/relationships/hyperlink" Target="http://www.boxofficemojo.com/schedule/?view=bydate&amp;release=theatrical&amp;date=2015-04-29&amp;p=.htm" TargetMode="External"/><Relationship Id="rId618" Type="http://schemas.openxmlformats.org/officeDocument/2006/relationships/hyperlink" Target="http://www.boxofficemojo.com/movies/?id=lostinhongkong.htm" TargetMode="External"/><Relationship Id="rId619" Type="http://schemas.openxmlformats.org/officeDocument/2006/relationships/hyperlink" Target="http://www.boxofficemojo.com/studio/chart/?studio=wellgo.htm" TargetMode="External"/><Relationship Id="rId220" Type="http://schemas.openxmlformats.org/officeDocument/2006/relationships/hyperlink" Target="http://www.boxofficemojo.com/studio/chart/?studio=universal.htm" TargetMode="External"/><Relationship Id="rId221" Type="http://schemas.openxmlformats.org/officeDocument/2006/relationships/hyperlink" Target="http://www.boxofficemojo.com/schedule/?view=bydate&amp;release=theatrical&amp;date=2015-01-23&amp;p=.htm" TargetMode="External"/><Relationship Id="rId222" Type="http://schemas.openxmlformats.org/officeDocument/2006/relationships/hyperlink" Target="http://www.boxofficemojo.com/movies/?id=pan.htm" TargetMode="External"/><Relationship Id="rId223" Type="http://schemas.openxmlformats.org/officeDocument/2006/relationships/hyperlink" Target="http://www.boxofficemojo.com/studio/chart/?studio=warnerbros.htm" TargetMode="External"/><Relationship Id="rId224" Type="http://schemas.openxmlformats.org/officeDocument/2006/relationships/hyperlink" Target="http://www.boxofficemojo.com/schedule/?view=bydate&amp;release=theatrical&amp;date=2015-10-09&amp;p=.htm" TargetMode="External"/><Relationship Id="rId225" Type="http://schemas.openxmlformats.org/officeDocument/2006/relationships/hyperlink" Target="http://www.boxofficemojo.com/movies/?id=witherspoonvergara.htm" TargetMode="External"/><Relationship Id="rId226" Type="http://schemas.openxmlformats.org/officeDocument/2006/relationships/hyperlink" Target="http://www.boxofficemojo.com/studio/chart/?studio=wb-newline.htm" TargetMode="External"/><Relationship Id="rId227" Type="http://schemas.openxmlformats.org/officeDocument/2006/relationships/hyperlink" Target="http://www.boxofficemojo.com/schedule/?view=bydate&amp;release=theatrical&amp;date=2015-05-08&amp;p=.htm" TargetMode="External"/><Relationship Id="rId228" Type="http://schemas.openxmlformats.org/officeDocument/2006/relationships/hyperlink" Target="http://www.boxofficemojo.com/movies/?id=concussion2015.htm" TargetMode="External"/><Relationship Id="rId229" Type="http://schemas.openxmlformats.org/officeDocument/2006/relationships/hyperlink" Target="http://www.boxofficemojo.com/studio/chart/?studio=sony.htm" TargetMode="External"/><Relationship Id="rId1870" Type="http://schemas.openxmlformats.org/officeDocument/2006/relationships/hyperlink" Target="http://www.boxofficemojo.com/studio/chart/?studio=vladarcompany.htm" TargetMode="External"/><Relationship Id="rId1871" Type="http://schemas.openxmlformats.org/officeDocument/2006/relationships/hyperlink" Target="http://www.boxofficemojo.com/schedule/?view=bydate&amp;release=theatrical&amp;date=2015-01-16&amp;p=.htm" TargetMode="External"/><Relationship Id="rId1872" Type="http://schemas.openxmlformats.org/officeDocument/2006/relationships/hyperlink" Target="http://www.boxofficemojo.com/movies/?id=topspin.htm" TargetMode="External"/><Relationship Id="rId1873" Type="http://schemas.openxmlformats.org/officeDocument/2006/relationships/hyperlink" Target="http://www.boxofficemojo.com/studio/chart/?studio=firstrun.htm" TargetMode="External"/><Relationship Id="rId1480" Type="http://schemas.openxmlformats.org/officeDocument/2006/relationships/hyperlink" Target="http://www.boxofficemojo.com/studio/chart/?studio=strand.htm" TargetMode="External"/><Relationship Id="rId1481" Type="http://schemas.openxmlformats.org/officeDocument/2006/relationships/hyperlink" Target="http://www.boxofficemojo.com/schedule/?view=bydate&amp;release=theatrical&amp;date=2015-09-18&amp;p=.htm" TargetMode="External"/><Relationship Id="rId1482" Type="http://schemas.openxmlformats.org/officeDocument/2006/relationships/hyperlink" Target="http://www.boxofficemojo.com/movies/?id=sembene.htm" TargetMode="External"/><Relationship Id="rId1483" Type="http://schemas.openxmlformats.org/officeDocument/2006/relationships/hyperlink" Target="http://www.boxofficemojo.com/studio/chart/?studio=kinolorber.htm" TargetMode="External"/><Relationship Id="rId1484" Type="http://schemas.openxmlformats.org/officeDocument/2006/relationships/hyperlink" Target="http://www.boxofficemojo.com/schedule/?view=bydate&amp;release=theatrical&amp;date=2015-11-13&amp;p=.htm" TargetMode="External"/><Relationship Id="rId1485" Type="http://schemas.openxmlformats.org/officeDocument/2006/relationships/hyperlink" Target="http://www.boxofficemojo.com/movies/?id=keepingroom.htm" TargetMode="External"/><Relationship Id="rId1486" Type="http://schemas.openxmlformats.org/officeDocument/2006/relationships/hyperlink" Target="http://www.boxofficemojo.com/studio/chart/?studio=drafthousefilms.htm" TargetMode="External"/><Relationship Id="rId1487" Type="http://schemas.openxmlformats.org/officeDocument/2006/relationships/hyperlink" Target="http://www.boxofficemojo.com/schedule/?view=bydate&amp;release=theatrical&amp;date=2015-09-25&amp;p=.htm" TargetMode="External"/><Relationship Id="rId1488" Type="http://schemas.openxmlformats.org/officeDocument/2006/relationships/hyperlink" Target="http://www.boxofficemojo.com/movies/?id=tapworld.htm" TargetMode="External"/><Relationship Id="rId1489" Type="http://schemas.openxmlformats.org/officeDocument/2006/relationships/hyperlink" Target="http://www.boxofficemojo.com/studio/chart/?studio=vitagraph.htm" TargetMode="External"/><Relationship Id="rId1090" Type="http://schemas.openxmlformats.org/officeDocument/2006/relationships/hyperlink" Target="http://www.boxofficemojo.com/studio/chart/?studio=focus.htm" TargetMode="External"/><Relationship Id="rId1091" Type="http://schemas.openxmlformats.org/officeDocument/2006/relationships/hyperlink" Target="http://www.boxofficemojo.com/schedule/?view=bydate&amp;release=theatrical&amp;date=2015-08-07&amp;p=.htm" TargetMode="External"/><Relationship Id="rId1092" Type="http://schemas.openxmlformats.org/officeDocument/2006/relationships/hyperlink" Target="http://www.boxofficemojo.com/movies/?id=dontthinkiveforgotten.htm" TargetMode="External"/><Relationship Id="rId1093" Type="http://schemas.openxmlformats.org/officeDocument/2006/relationships/hyperlink" Target="http://www.boxofficemojo.com/studio/chart/?studio=argotpictures.htm" TargetMode="External"/><Relationship Id="rId1094" Type="http://schemas.openxmlformats.org/officeDocument/2006/relationships/hyperlink" Target="http://www.boxofficemojo.com/schedule/?view=bydate&amp;release=theatrical&amp;date=2015-04-22&amp;p=.htm" TargetMode="External"/><Relationship Id="rId1095" Type="http://schemas.openxmlformats.org/officeDocument/2006/relationships/hyperlink" Target="http://www.boxofficemojo.com/movies/?id=aballerinastale.htm" TargetMode="External"/><Relationship Id="rId1096" Type="http://schemas.openxmlformats.org/officeDocument/2006/relationships/hyperlink" Target="http://www.boxofficemojo.com/studio/chart/?studio=ifc.htm" TargetMode="External"/><Relationship Id="rId1097" Type="http://schemas.openxmlformats.org/officeDocument/2006/relationships/hyperlink" Target="http://www.boxofficemojo.com/schedule/?view=bydate&amp;release=theatrical&amp;date=2015-10-14&amp;p=.htm" TargetMode="External"/><Relationship Id="rId1098" Type="http://schemas.openxmlformats.org/officeDocument/2006/relationships/hyperlink" Target="http://www.boxofficemojo.com/movies/?id=devilandangel.htm" TargetMode="External"/><Relationship Id="rId1099" Type="http://schemas.openxmlformats.org/officeDocument/2006/relationships/hyperlink" Target="http://www.boxofficemojo.com/studio/chart/?studio=chinalion.htm" TargetMode="External"/><Relationship Id="rId1874" Type="http://schemas.openxmlformats.org/officeDocument/2006/relationships/hyperlink" Target="http://www.boxofficemojo.com/schedule/?view=bydate&amp;release=theatrical&amp;date=2015-08-21&amp;p=.htm" TargetMode="External"/><Relationship Id="rId1875" Type="http://schemas.openxmlformats.org/officeDocument/2006/relationships/hyperlink" Target="http://www.boxofficemojo.com/movies/?id=shoutgladigladi.htm" TargetMode="External"/><Relationship Id="rId1876" Type="http://schemas.openxmlformats.org/officeDocument/2006/relationships/hyperlink" Target="http://www.boxofficemojo.com/studio/chart/?studio=intlfilmcircuit.htm" TargetMode="External"/><Relationship Id="rId1877" Type="http://schemas.openxmlformats.org/officeDocument/2006/relationships/hyperlink" Target="http://www.boxofficemojo.com/schedule/?view=bydate&amp;release=theatrical&amp;date=2015-10-02&amp;p=.htm" TargetMode="External"/><Relationship Id="rId1878" Type="http://schemas.openxmlformats.org/officeDocument/2006/relationships/hyperlink" Target="http://www.boxofficemojo.com/movies/?id=blacknovember.htm" TargetMode="External"/><Relationship Id="rId1879" Type="http://schemas.openxmlformats.org/officeDocument/2006/relationships/hyperlink" Target="http://www.boxofficemojo.com/studio/chart/?studio=phase4.htm" TargetMode="External"/><Relationship Id="rId620" Type="http://schemas.openxmlformats.org/officeDocument/2006/relationships/hyperlink" Target="http://www.boxofficemojo.com/schedule/?view=bydate&amp;release=theatrical&amp;date=2015-09-25&amp;p=.htm" TargetMode="External"/><Relationship Id="rId621" Type="http://schemas.openxmlformats.org/officeDocument/2006/relationships/hyperlink" Target="http://www.boxofficemojo.com/movies/?id=wolfpack.htm" TargetMode="External"/><Relationship Id="rId622" Type="http://schemas.openxmlformats.org/officeDocument/2006/relationships/hyperlink" Target="http://www.boxofficemojo.com/studio/chart/?studio=magnolia.htm" TargetMode="External"/><Relationship Id="rId623" Type="http://schemas.openxmlformats.org/officeDocument/2006/relationships/hyperlink" Target="http://www.boxofficemojo.com/schedule/?view=bydate&amp;release=theatrical&amp;date=2015-06-12&amp;p=.htm" TargetMode="External"/><Relationship Id="rId624" Type="http://schemas.openxmlformats.org/officeDocument/2006/relationships/hyperlink" Target="http://www.boxofficemojo.com/movies/?id=goodbyemr.loser.htm" TargetMode="External"/><Relationship Id="rId625" Type="http://schemas.openxmlformats.org/officeDocument/2006/relationships/hyperlink" Target="http://www.boxofficemojo.com/studio/chart/?studio=chinalion.htm" TargetMode="External"/><Relationship Id="rId626" Type="http://schemas.openxmlformats.org/officeDocument/2006/relationships/hyperlink" Target="http://www.boxofficemojo.com/schedule/?view=bydate&amp;release=theatrical&amp;date=2015-10-09&amp;p=.htm" TargetMode="External"/><Relationship Id="rId627" Type="http://schemas.openxmlformats.org/officeDocument/2006/relationships/hyperlink" Target="http://www.boxofficemojo.com/movies/?id=71.htm" TargetMode="External"/><Relationship Id="rId628" Type="http://schemas.openxmlformats.org/officeDocument/2006/relationships/hyperlink" Target="http://www.boxofficemojo.com/studio/chart/?studio=roadsideattractions.htm" TargetMode="External"/><Relationship Id="rId629" Type="http://schemas.openxmlformats.org/officeDocument/2006/relationships/hyperlink" Target="http://www.boxofficemojo.com/schedule/?view=bydate&amp;release=theatrical&amp;date=2015-02-27&amp;p=.htm" TargetMode="External"/><Relationship Id="rId230" Type="http://schemas.openxmlformats.org/officeDocument/2006/relationships/hyperlink" Target="http://www.boxofficemojo.com/schedule/?view=bydate&amp;release=theatrical&amp;date=2015-12-25&amp;p=.htm" TargetMode="External"/><Relationship Id="rId231" Type="http://schemas.openxmlformats.org/officeDocument/2006/relationships/hyperlink" Target="http://www.boxofficemojo.com/movies/?id=duff.htm" TargetMode="External"/><Relationship Id="rId232" Type="http://schemas.openxmlformats.org/officeDocument/2006/relationships/hyperlink" Target="http://www.boxofficemojo.com/studio/chart/?studio=lionsgate.htm" TargetMode="External"/><Relationship Id="rId233" Type="http://schemas.openxmlformats.org/officeDocument/2006/relationships/hyperlink" Target="http://www.boxofficemojo.com/schedule/?view=bydate&amp;release=theatrical&amp;date=2015-02-20&amp;p=.htm" TargetMode="External"/><Relationship Id="rId234" Type="http://schemas.openxmlformats.org/officeDocument/2006/relationships/hyperlink" Target="http://www.boxofficemojo.com/movies/?id=womaningold.htm" TargetMode="External"/><Relationship Id="rId235" Type="http://schemas.openxmlformats.org/officeDocument/2006/relationships/hyperlink" Target="http://www.boxofficemojo.com/studio/chart/?studio=weinsteincompany.htm" TargetMode="External"/><Relationship Id="rId236" Type="http://schemas.openxmlformats.org/officeDocument/2006/relationships/hyperlink" Target="http://www.boxofficemojo.com/schedule/?view=bydate&amp;release=theatrical&amp;date=2015-04-01&amp;p=.htm" TargetMode="External"/><Relationship Id="rId237" Type="http://schemas.openxmlformats.org/officeDocument/2006/relationships/hyperlink" Target="http://www.boxofficemojo.com/movies/?id=bestexotic2.htm" TargetMode="External"/><Relationship Id="rId238" Type="http://schemas.openxmlformats.org/officeDocument/2006/relationships/hyperlink" Target="http://www.boxofficemojo.com/studio/chart/?studio=foxsearchlight.htm" TargetMode="External"/><Relationship Id="rId239" Type="http://schemas.openxmlformats.org/officeDocument/2006/relationships/hyperlink" Target="http://www.boxofficemojo.com/schedule/?view=bydate&amp;release=theatrical&amp;date=2015-03-06&amp;p=.htm" TargetMode="External"/><Relationship Id="rId1880" Type="http://schemas.openxmlformats.org/officeDocument/2006/relationships/hyperlink" Target="http://www.boxofficemojo.com/schedule/?view=bydate&amp;release=theatrical&amp;date=2015-01-09&amp;p=.htm" TargetMode="External"/><Relationship Id="rId1881" Type="http://schemas.openxmlformats.org/officeDocument/2006/relationships/hyperlink" Target="http://www.boxofficemojo.com/movies/?id=thewanted18.htm" TargetMode="External"/><Relationship Id="rId1882" Type="http://schemas.openxmlformats.org/officeDocument/2006/relationships/hyperlink" Target="http://www.boxofficemojo.com/studio/chart/?studio=kinolorber.htm" TargetMode="External"/><Relationship Id="rId1883" Type="http://schemas.openxmlformats.org/officeDocument/2006/relationships/hyperlink" Target="http://www.boxofficemojo.com/schedule/?view=bydate&amp;release=theatrical&amp;date=2015-06-19&amp;p=.htm" TargetMode="External"/><Relationship Id="rId1490" Type="http://schemas.openxmlformats.org/officeDocument/2006/relationships/hyperlink" Target="http://www.boxofficemojo.com/schedule/?view=bydate&amp;release=theatrical&amp;date=2015-07-10&amp;p=.htm" TargetMode="External"/><Relationship Id="rId1491" Type="http://schemas.openxmlformats.org/officeDocument/2006/relationships/hyperlink" Target="http://www.boxofficemojo.com/movies/?id=peaceofficer.htm" TargetMode="External"/><Relationship Id="rId1492" Type="http://schemas.openxmlformats.org/officeDocument/2006/relationships/hyperlink" Target="http://www.boxofficemojo.com/studio/chart/?studio=submarinedeluxe.htm" TargetMode="External"/><Relationship Id="rId1493" Type="http://schemas.openxmlformats.org/officeDocument/2006/relationships/hyperlink" Target="http://www.boxofficemojo.com/schedule/?view=bydate&amp;release=theatrical&amp;date=2015-09-16&amp;p=.htm" TargetMode="External"/><Relationship Id="rId1494" Type="http://schemas.openxmlformats.org/officeDocument/2006/relationships/hyperlink" Target="http://www.boxofficemojo.com/movies/?id=armyofshadows2015.htm" TargetMode="External"/><Relationship Id="rId1495" Type="http://schemas.openxmlformats.org/officeDocument/2006/relationships/hyperlink" Target="http://www.boxofficemojo.com/studio/chart/?studio=rialto.htm" TargetMode="External"/><Relationship Id="rId1496" Type="http://schemas.openxmlformats.org/officeDocument/2006/relationships/hyperlink" Target="http://www.boxofficemojo.com/schedule/?view=bydate&amp;release=theatrical&amp;date=2015-08-26&amp;p=.htm" TargetMode="External"/><Relationship Id="rId1497" Type="http://schemas.openxmlformats.org/officeDocument/2006/relationships/hyperlink" Target="http://www.boxofficemojo.com/movies/?id=rediscoversautet.htm" TargetMode="External"/><Relationship Id="rId1498" Type="http://schemas.openxmlformats.org/officeDocument/2006/relationships/hyperlink" Target="http://www.boxofficemojo.com/studio/chart/?studio=rialto.htm" TargetMode="External"/><Relationship Id="rId1499" Type="http://schemas.openxmlformats.org/officeDocument/2006/relationships/hyperlink" Target="http://www.boxofficemojo.com/schedule/?view=bydate&amp;release=theatrical&amp;date=2015-06-12&amp;p=.htm" TargetMode="External"/><Relationship Id="rId1884" Type="http://schemas.openxmlformats.org/officeDocument/2006/relationships/hyperlink" Target="http://www.boxofficemojo.com/movies/?id=tudorsnicole.htm" TargetMode="External"/><Relationship Id="rId1885" Type="http://schemas.openxmlformats.org/officeDocument/2006/relationships/hyperlink" Target="http://www.boxofficemojo.com/studio/chart/?studio=kino.htm" TargetMode="External"/><Relationship Id="rId1886" Type="http://schemas.openxmlformats.org/officeDocument/2006/relationships/hyperlink" Target="http://www.boxofficemojo.com/schedule/?view=bydate&amp;release=theatrical&amp;date=2015-05-29&amp;p=.htm" TargetMode="External"/><Relationship Id="rId1887" Type="http://schemas.openxmlformats.org/officeDocument/2006/relationships/hyperlink" Target="http://www.boxofficemojo.com/movies/?id=thisisntfunny.htm" TargetMode="External"/><Relationship Id="rId1888" Type="http://schemas.openxmlformats.org/officeDocument/2006/relationships/hyperlink" Target="http://www.boxofficemojo.com/studio/chart/?studio=candyfactory.htm" TargetMode="External"/><Relationship Id="rId1889" Type="http://schemas.openxmlformats.org/officeDocument/2006/relationships/hyperlink" Target="http://www.boxofficemojo.com/schedule/?view=bydate&amp;release=theatrical&amp;date=2015-11-06&amp;p=.htm" TargetMode="External"/><Relationship Id="rId10" Type="http://schemas.openxmlformats.org/officeDocument/2006/relationships/hyperlink" Target="http://www.boxofficemojo.com/studio/chart/?studio=universal.htm" TargetMode="External"/><Relationship Id="rId11" Type="http://schemas.openxmlformats.org/officeDocument/2006/relationships/hyperlink" Target="http://www.boxofficemojo.com/schedule/?view=bydate&amp;release=theatrical&amp;date=2015-06-12&amp;p=.htm" TargetMode="External"/><Relationship Id="rId12" Type="http://schemas.openxmlformats.org/officeDocument/2006/relationships/hyperlink" Target="http://www.boxofficemojo.com/movies/?id=avengers2.htm" TargetMode="External"/><Relationship Id="rId13" Type="http://schemas.openxmlformats.org/officeDocument/2006/relationships/hyperlink" Target="http://www.boxofficemojo.com/studio/chart/?studio=buenavista.htm" TargetMode="External"/><Relationship Id="rId14" Type="http://schemas.openxmlformats.org/officeDocument/2006/relationships/hyperlink" Target="http://www.boxofficemojo.com/schedule/?view=bydate&amp;release=theatrical&amp;date=2015-05-01&amp;p=.htm" TargetMode="External"/><Relationship Id="rId15" Type="http://schemas.openxmlformats.org/officeDocument/2006/relationships/hyperlink" Target="http://www.boxofficemojo.com/movies/?id=pixar2014.htm" TargetMode="External"/><Relationship Id="rId16" Type="http://schemas.openxmlformats.org/officeDocument/2006/relationships/hyperlink" Target="http://www.boxofficemojo.com/studio/chart/?studio=buenavista.htm" TargetMode="External"/><Relationship Id="rId17" Type="http://schemas.openxmlformats.org/officeDocument/2006/relationships/hyperlink" Target="http://www.boxofficemojo.com/schedule/?view=bydate&amp;release=theatrical&amp;date=2015-06-19&amp;p=.htm" TargetMode="External"/><Relationship Id="rId18" Type="http://schemas.openxmlformats.org/officeDocument/2006/relationships/hyperlink" Target="http://www.boxofficemojo.com/movies/?id=fast7.htm" TargetMode="External"/><Relationship Id="rId19" Type="http://schemas.openxmlformats.org/officeDocument/2006/relationships/hyperlink" Target="http://www.boxofficemojo.com/studio/chart/?studio=universal.htm" TargetMode="External"/><Relationship Id="rId630" Type="http://schemas.openxmlformats.org/officeDocument/2006/relationships/hyperlink" Target="http://www.boxofficemojo.com/movies/?id=mojinthelostlegend.htm" TargetMode="External"/><Relationship Id="rId631" Type="http://schemas.openxmlformats.org/officeDocument/2006/relationships/hyperlink" Target="http://www.boxofficemojo.com/studio/chart/?studio=wellgo.htm" TargetMode="External"/><Relationship Id="rId632" Type="http://schemas.openxmlformats.org/officeDocument/2006/relationships/hyperlink" Target="http://www.boxofficemojo.com/schedule/?view=bydate&amp;release=theatrical&amp;date=2015-12-18&amp;p=.htm" TargetMode="External"/><Relationship Id="rId633" Type="http://schemas.openxmlformats.org/officeDocument/2006/relationships/hyperlink" Target="http://www.boxofficemojo.com/movies/?id=beyondthemask.htm" TargetMode="External"/><Relationship Id="rId634" Type="http://schemas.openxmlformats.org/officeDocument/2006/relationships/hyperlink" Target="http://www.boxofficemojo.com/studio/chart/?studio=gathrfilms.htm" TargetMode="External"/><Relationship Id="rId635" Type="http://schemas.openxmlformats.org/officeDocument/2006/relationships/hyperlink" Target="http://www.boxofficemojo.com/schedule/?view=bydate&amp;release=theatrical&amp;date=2015-04-06&amp;p=.htm" TargetMode="External"/><Relationship Id="rId636" Type="http://schemas.openxmlformats.org/officeDocument/2006/relationships/hyperlink" Target="http://www.boxofficemojo.com/movies/?id=child44.htm" TargetMode="External"/><Relationship Id="rId637" Type="http://schemas.openxmlformats.org/officeDocument/2006/relationships/hyperlink" Target="http://www.boxofficemojo.com/studio/chart/?studio=lionsgatesummit.htm" TargetMode="External"/><Relationship Id="rId638" Type="http://schemas.openxmlformats.org/officeDocument/2006/relationships/hyperlink" Target="http://www.boxofficemojo.com/schedule/?view=bydate&amp;release=theatrical&amp;date=2015-04-17&amp;p=.htm" TargetMode="External"/><Relationship Id="rId639" Type="http://schemas.openxmlformats.org/officeDocument/2006/relationships/hyperlink" Target="http://www.boxofficemojo.com/movies/?id=veteran2015.htm" TargetMode="External"/><Relationship Id="rId240" Type="http://schemas.openxmlformats.org/officeDocument/2006/relationships/hyperlink" Target="http://www.boxofficemojo.com/movies/?id=cybernatural.htm" TargetMode="External"/><Relationship Id="rId241" Type="http://schemas.openxmlformats.org/officeDocument/2006/relationships/hyperlink" Target="http://www.boxofficemojo.com/studio/chart/?studio=universal.htm" TargetMode="External"/><Relationship Id="rId242" Type="http://schemas.openxmlformats.org/officeDocument/2006/relationships/hyperlink" Target="http://www.boxofficemojo.com/schedule/?view=bydate&amp;release=theatrical&amp;date=2015-04-17&amp;p=.htm" TargetMode="External"/><Relationship Id="rId243" Type="http://schemas.openxmlformats.org/officeDocument/2006/relationships/hyperlink" Target="http://www.boxofficemojo.com/movies/?id=entourage.htm" TargetMode="External"/><Relationship Id="rId244" Type="http://schemas.openxmlformats.org/officeDocument/2006/relationships/hyperlink" Target="http://www.boxofficemojo.com/studio/chart/?studio=warnerbros.htm" TargetMode="External"/><Relationship Id="rId245" Type="http://schemas.openxmlformats.org/officeDocument/2006/relationships/hyperlink" Target="http://www.boxofficemojo.com/schedule/?view=bydate&amp;release=theatrical&amp;date=2015-06-03&amp;p=.htm" TargetMode="External"/><Relationship Id="rId246" Type="http://schemas.openxmlformats.org/officeDocument/2006/relationships/hyperlink" Target="http://www.boxofficemojo.com/movies/?id=papertowns.htm" TargetMode="External"/><Relationship Id="rId247" Type="http://schemas.openxmlformats.org/officeDocument/2006/relationships/hyperlink" Target="http://www.boxofficemojo.com/studio/chart/?studio=fox.htm" TargetMode="External"/><Relationship Id="rId248" Type="http://schemas.openxmlformats.org/officeDocument/2006/relationships/hyperlink" Target="http://www.boxofficemojo.com/schedule/?view=bydate&amp;release=theatrical&amp;date=2015-07-24&amp;p=.htm" TargetMode="External"/><Relationship Id="rId249" Type="http://schemas.openxmlformats.org/officeDocument/2006/relationships/hyperlink" Target="http://www.boxofficemojo.com/movies/?id=chappie.htm" TargetMode="External"/><Relationship Id="rId1890" Type="http://schemas.openxmlformats.org/officeDocument/2006/relationships/hyperlink" Target="http://www.boxofficemojo.com/movies/?id=chic.htm" TargetMode="External"/><Relationship Id="rId1891" Type="http://schemas.openxmlformats.org/officeDocument/2006/relationships/hyperlink" Target="http://www.boxofficemojo.com/studio/chart/?studio=distribfilms.htm" TargetMode="External"/><Relationship Id="rId1892" Type="http://schemas.openxmlformats.org/officeDocument/2006/relationships/hyperlink" Target="http://www.boxofficemojo.com/schedule/?view=bydate&amp;release=theatrical&amp;date=2015-05-01&amp;p=.htm" TargetMode="External"/><Relationship Id="rId1893" Type="http://schemas.openxmlformats.org/officeDocument/2006/relationships/hyperlink" Target="http://www.boxofficemojo.com/movies/?id=onemanintehran.htm" TargetMode="External"/><Relationship Id="rId1894" Type="http://schemas.openxmlformats.org/officeDocument/2006/relationships/hyperlink" Target="http://www.boxofficemojo.com/studio/chart/?studio=firstrun.htm" TargetMode="External"/><Relationship Id="rId1895" Type="http://schemas.openxmlformats.org/officeDocument/2006/relationships/hyperlink" Target="http://www.boxofficemojo.com/schedule/?view=bydate&amp;release=theatrical&amp;date=2015-05-15&amp;p=.htm" TargetMode="External"/><Relationship Id="rId1896" Type="http://schemas.openxmlformats.org/officeDocument/2006/relationships/hyperlink" Target="http://www.boxofficemojo.com/movies/?id=living2015.htm" TargetMode="External"/><Relationship Id="rId1897" Type="http://schemas.openxmlformats.org/officeDocument/2006/relationships/hyperlink" Target="http://www.boxofficemojo.com/studio/chart/?studio=montereymediainc.htm" TargetMode="External"/><Relationship Id="rId1898" Type="http://schemas.openxmlformats.org/officeDocument/2006/relationships/hyperlink" Target="http://www.boxofficemojo.com/schedule/?view=bydate&amp;release=theatrical&amp;date=2015-04-03&amp;p=.htm" TargetMode="External"/><Relationship Id="rId1899" Type="http://schemas.openxmlformats.org/officeDocument/2006/relationships/hyperlink" Target="http://www.boxofficemojo.com/movies/?id=farfrommen.htm" TargetMode="External"/><Relationship Id="rId20" Type="http://schemas.openxmlformats.org/officeDocument/2006/relationships/hyperlink" Target="http://www.boxofficemojo.com/schedule/?view=bydate&amp;release=theatrical&amp;date=2015-04-03&amp;p=.htm" TargetMode="External"/><Relationship Id="rId21" Type="http://schemas.openxmlformats.org/officeDocument/2006/relationships/hyperlink" Target="http://www.boxofficemojo.com/movies/?id=minions.htm" TargetMode="External"/><Relationship Id="rId22" Type="http://schemas.openxmlformats.org/officeDocument/2006/relationships/hyperlink" Target="http://www.boxofficemojo.com/studio/chart/?studio=universal.htm" TargetMode="External"/><Relationship Id="rId23" Type="http://schemas.openxmlformats.org/officeDocument/2006/relationships/hyperlink" Target="http://www.boxofficemojo.com/schedule/?view=bydate&amp;release=theatrical&amp;date=2015-07-10&amp;p=.htm" TargetMode="External"/><Relationship Id="rId24" Type="http://schemas.openxmlformats.org/officeDocument/2006/relationships/hyperlink" Target="http://www.boxofficemojo.com/movies/?id=hungergames4.htm" TargetMode="External"/><Relationship Id="rId25" Type="http://schemas.openxmlformats.org/officeDocument/2006/relationships/hyperlink" Target="http://www.boxofficemojo.com/studio/chart/?studio=lionsgate.htm" TargetMode="External"/><Relationship Id="rId26" Type="http://schemas.openxmlformats.org/officeDocument/2006/relationships/hyperlink" Target="http://www.boxofficemojo.com/schedule/?view=bydate&amp;release=theatrical&amp;date=2015-11-20&amp;p=.htm" TargetMode="External"/><Relationship Id="rId27" Type="http://schemas.openxmlformats.org/officeDocument/2006/relationships/hyperlink" Target="http://www.boxofficemojo.com/movies/?id=scott2016.htm" TargetMode="External"/><Relationship Id="rId28" Type="http://schemas.openxmlformats.org/officeDocument/2006/relationships/hyperlink" Target="http://www.boxofficemojo.com/studio/chart/?studio=fox.htm" TargetMode="External"/><Relationship Id="rId29" Type="http://schemas.openxmlformats.org/officeDocument/2006/relationships/hyperlink" Target="http://www.boxofficemojo.com/schedule/?view=bydate&amp;release=theatrical&amp;date=2015-10-02&amp;p=.htm" TargetMode="External"/><Relationship Id="rId1100" Type="http://schemas.openxmlformats.org/officeDocument/2006/relationships/hyperlink" Target="http://www.boxofficemojo.com/schedule/?view=bydate&amp;release=theatrical&amp;date=2015-12-31&amp;p=.htm" TargetMode="External"/><Relationship Id="rId1101" Type="http://schemas.openxmlformats.org/officeDocument/2006/relationships/hyperlink" Target="http://www.boxofficemojo.com/movies/?id=mississippigrind.htm" TargetMode="External"/><Relationship Id="rId1102" Type="http://schemas.openxmlformats.org/officeDocument/2006/relationships/hyperlink" Target="http://www.boxofficemojo.com/studio/chart/?studio=a24.htm" TargetMode="External"/><Relationship Id="rId1103" Type="http://schemas.openxmlformats.org/officeDocument/2006/relationships/hyperlink" Target="http://www.boxofficemojo.com/schedule/?view=bydate&amp;release=theatrical&amp;date=2015-09-25&amp;p=.htm" TargetMode="External"/><Relationship Id="rId1104" Type="http://schemas.openxmlformats.org/officeDocument/2006/relationships/hyperlink" Target="http://www.boxofficemojo.com/movies/?id=kungfukiller.htm" TargetMode="External"/><Relationship Id="rId1105" Type="http://schemas.openxmlformats.org/officeDocument/2006/relationships/hyperlink" Target="http://www.boxofficemojo.com/studio/chart/?studio=wellgo.htm" TargetMode="External"/><Relationship Id="rId1106" Type="http://schemas.openxmlformats.org/officeDocument/2006/relationships/hyperlink" Target="http://www.boxofficemojo.com/schedule/?view=bydate&amp;release=theatrical&amp;date=2015-04-24&amp;p=.htm" TargetMode="External"/><Relationship Id="rId1107" Type="http://schemas.openxmlformats.org/officeDocument/2006/relationships/hyperlink" Target="http://www.boxofficemojo.com/movies/?id=boyandtheworld.htm" TargetMode="External"/><Relationship Id="rId1108" Type="http://schemas.openxmlformats.org/officeDocument/2006/relationships/hyperlink" Target="http://www.boxofficemojo.com/studio/chart/?studio=gkids.htm" TargetMode="External"/><Relationship Id="rId1109" Type="http://schemas.openxmlformats.org/officeDocument/2006/relationships/hyperlink" Target="http://www.boxofficemojo.com/schedule/?view=bydate&amp;release=theatrical&amp;date=2015-12-11&amp;p=.htm" TargetMode="External"/><Relationship Id="rId640" Type="http://schemas.openxmlformats.org/officeDocument/2006/relationships/hyperlink" Target="http://www.boxofficemojo.com/studio/chart/?studio=cjentertainment.htm" TargetMode="External"/><Relationship Id="rId641" Type="http://schemas.openxmlformats.org/officeDocument/2006/relationships/hyperlink" Target="http://www.boxofficemojo.com/schedule/?view=bydate&amp;release=theatrical&amp;date=2015-09-18&amp;p=.htm" TargetMode="External"/><Relationship Id="rId642" Type="http://schemas.openxmlformats.org/officeDocument/2006/relationships/hyperlink" Target="http://www.boxofficemojo.com/movies/?id=goodnightmommy.htm" TargetMode="External"/><Relationship Id="rId643" Type="http://schemas.openxmlformats.org/officeDocument/2006/relationships/hyperlink" Target="http://www.boxofficemojo.com/studio/chart/?studio=radiustwc.htm" TargetMode="External"/><Relationship Id="rId644" Type="http://schemas.openxmlformats.org/officeDocument/2006/relationships/hyperlink" Target="http://www.boxofficemojo.com/schedule/?view=bydate&amp;release=theatrical&amp;date=2015-09-11&amp;p=.htm" TargetMode="External"/><Relationship Id="rId645" Type="http://schemas.openxmlformats.org/officeDocument/2006/relationships/hyperlink" Target="http://www.boxofficemojo.com/movies/?id=blacksea.htm" TargetMode="External"/><Relationship Id="rId646" Type="http://schemas.openxmlformats.org/officeDocument/2006/relationships/hyperlink" Target="http://www.boxofficemojo.com/studio/chart/?studio=focus.htm" TargetMode="External"/><Relationship Id="rId647" Type="http://schemas.openxmlformats.org/officeDocument/2006/relationships/hyperlink" Target="http://www.boxofficemojo.com/schedule/?view=bydate&amp;release=theatrical&amp;date=2015-01-23&amp;p=.htm" TargetMode="External"/><Relationship Id="rId648" Type="http://schemas.openxmlformats.org/officeDocument/2006/relationships/hyperlink" Target="http://www.boxofficemojo.com/movies/?id=missyoualready.htm" TargetMode="External"/><Relationship Id="rId649" Type="http://schemas.openxmlformats.org/officeDocument/2006/relationships/hyperlink" Target="http://www.boxofficemojo.com/studio/chart/?studio=roadsideattractions.htm" TargetMode="External"/><Relationship Id="rId250" Type="http://schemas.openxmlformats.org/officeDocument/2006/relationships/hyperlink" Target="http://www.boxofficemojo.com/studio/chart/?studio=sony.htm" TargetMode="External"/><Relationship Id="rId251" Type="http://schemas.openxmlformats.org/officeDocument/2006/relationships/hyperlink" Target="http://www.boxofficemojo.com/schedule/?view=bydate&amp;release=theatrical&amp;date=2015-03-06&amp;p=.htm" TargetMode="External"/><Relationship Id="rId252" Type="http://schemas.openxmlformats.org/officeDocument/2006/relationships/hyperlink" Target="http://www.boxofficemojo.com/movies/?id=crimsonpeak.htm" TargetMode="External"/><Relationship Id="rId253" Type="http://schemas.openxmlformats.org/officeDocument/2006/relationships/hyperlink" Target="http://www.boxofficemojo.com/studio/chart/?studio=universal.htm" TargetMode="External"/><Relationship Id="rId254" Type="http://schemas.openxmlformats.org/officeDocument/2006/relationships/hyperlink" Target="http://www.boxofficemojo.com/schedule/?view=bydate&amp;release=theatrical&amp;date=2015-10-16&amp;p=.htm" TargetMode="External"/><Relationship Id="rId255" Type="http://schemas.openxmlformats.org/officeDocument/2006/relationships/hyperlink" Target="http://www.boxofficemojo.com/movies/?id=walkinthewoods.htm" TargetMode="External"/><Relationship Id="rId256" Type="http://schemas.openxmlformats.org/officeDocument/2006/relationships/hyperlink" Target="http://www.boxofficemojo.com/studio/chart/?studio=broadgreen.htm" TargetMode="External"/><Relationship Id="rId257" Type="http://schemas.openxmlformats.org/officeDocument/2006/relationships/hyperlink" Target="http://www.boxofficemojo.com/schedule/?view=bydate&amp;release=theatrical&amp;date=2015-09-02&amp;p=.htm" TargetMode="External"/><Relationship Id="rId258" Type="http://schemas.openxmlformats.org/officeDocument/2006/relationships/hyperlink" Target="http://www.boxofficemojo.com/movies/?id=pointbreak2015.htm" TargetMode="External"/><Relationship Id="rId259" Type="http://schemas.openxmlformats.org/officeDocument/2006/relationships/hyperlink" Target="http://www.boxofficemojo.com/studio/chart/?studio=warnerbros.htm" TargetMode="External"/><Relationship Id="rId30" Type="http://schemas.openxmlformats.org/officeDocument/2006/relationships/hyperlink" Target="http://www.boxofficemojo.com/movies/?id=cinderella2015.htm" TargetMode="External"/><Relationship Id="rId31" Type="http://schemas.openxmlformats.org/officeDocument/2006/relationships/hyperlink" Target="http://www.boxofficemojo.com/studio/chart/?studio=buenavista.htm" TargetMode="External"/><Relationship Id="rId32" Type="http://schemas.openxmlformats.org/officeDocument/2006/relationships/hyperlink" Target="http://www.boxofficemojo.com/schedule/?view=bydate&amp;release=theatrical&amp;date=2015-03-13&amp;p=.htm" TargetMode="External"/><Relationship Id="rId33" Type="http://schemas.openxmlformats.org/officeDocument/2006/relationships/hyperlink" Target="http://www.boxofficemojo.com/movies/?id=bond24.htm" TargetMode="External"/><Relationship Id="rId34" Type="http://schemas.openxmlformats.org/officeDocument/2006/relationships/hyperlink" Target="http://www.boxofficemojo.com/studio/chart/?studio=sony.htm" TargetMode="External"/><Relationship Id="rId35" Type="http://schemas.openxmlformats.org/officeDocument/2006/relationships/hyperlink" Target="http://www.boxofficemojo.com/schedule/?view=bydate&amp;release=theatrical&amp;date=2015-11-06&amp;p=.htm" TargetMode="External"/><Relationship Id="rId36" Type="http://schemas.openxmlformats.org/officeDocument/2006/relationships/hyperlink" Target="http://www.boxofficemojo.com/movies/?id=mi5.htm" TargetMode="External"/><Relationship Id="rId37" Type="http://schemas.openxmlformats.org/officeDocument/2006/relationships/hyperlink" Target="http://www.boxofficemojo.com/studio/chart/?studio=paramount.htm" TargetMode="External"/><Relationship Id="rId38" Type="http://schemas.openxmlformats.org/officeDocument/2006/relationships/hyperlink" Target="http://www.boxofficemojo.com/schedule/?view=bydate&amp;release=theatrical&amp;date=2015-07-31&amp;p=.htm" TargetMode="External"/><Relationship Id="rId39" Type="http://schemas.openxmlformats.org/officeDocument/2006/relationships/hyperlink" Target="http://www.boxofficemojo.com/movies/?id=pitchperfect2.htm" TargetMode="External"/><Relationship Id="rId1500" Type="http://schemas.openxmlformats.org/officeDocument/2006/relationships/hyperlink" Target="http://www.boxofficemojo.com/movies/?id=loveatfirstsight.htm" TargetMode="External"/><Relationship Id="rId1501" Type="http://schemas.openxmlformats.org/officeDocument/2006/relationships/hyperlink" Target="http://www.boxofficemojo.com/studio/chart/?studio=strand.htm" TargetMode="External"/><Relationship Id="rId1502" Type="http://schemas.openxmlformats.org/officeDocument/2006/relationships/hyperlink" Target="http://www.boxofficemojo.com/schedule/?view=bydate&amp;release=theatrical&amp;date=2015-05-22&amp;p=.htm" TargetMode="External"/><Relationship Id="rId1503" Type="http://schemas.openxmlformats.org/officeDocument/2006/relationships/hyperlink" Target="http://www.boxofficemojo.com/movies/?id=r100.htm" TargetMode="External"/><Relationship Id="rId1110" Type="http://schemas.openxmlformats.org/officeDocument/2006/relationships/hyperlink" Target="http://www.boxofficemojo.com/movies/?id=ajourneythroughtimewithanthony.htm" TargetMode="External"/><Relationship Id="rId1111" Type="http://schemas.openxmlformats.org/officeDocument/2006/relationships/hyperlink" Target="http://www.boxofficemojo.com/studio/chart/?studio=chinalion.htm" TargetMode="External"/><Relationship Id="rId1112" Type="http://schemas.openxmlformats.org/officeDocument/2006/relationships/hyperlink" Target="http://www.boxofficemojo.com/schedule/?view=bydate&amp;release=theatrical&amp;date=2015-11-18&amp;p=.htm" TargetMode="External"/><Relationship Id="rId1113" Type="http://schemas.openxmlformats.org/officeDocument/2006/relationships/hyperlink" Target="http://www.boxofficemojo.com/movies/?id=boulevard.htm" TargetMode="External"/><Relationship Id="rId1114" Type="http://schemas.openxmlformats.org/officeDocument/2006/relationships/hyperlink" Target="http://www.boxofficemojo.com/studio/chart/?studio=starzmedia.htm" TargetMode="External"/><Relationship Id="rId1115" Type="http://schemas.openxmlformats.org/officeDocument/2006/relationships/hyperlink" Target="http://www.boxofficemojo.com/schedule/?view=bydate&amp;release=theatrical&amp;date=2015-07-10&amp;p=.htm" TargetMode="External"/><Relationship Id="rId1116" Type="http://schemas.openxmlformats.org/officeDocument/2006/relationships/hyperlink" Target="http://www.boxofficemojo.com/movies/?id=zforzachariah.htm" TargetMode="External"/><Relationship Id="rId1117" Type="http://schemas.openxmlformats.org/officeDocument/2006/relationships/hyperlink" Target="http://www.boxofficemojo.com/studio/chart/?studio=roadsideattractions.htm" TargetMode="External"/><Relationship Id="rId1118" Type="http://schemas.openxmlformats.org/officeDocument/2006/relationships/hyperlink" Target="http://www.boxofficemojo.com/schedule/?view=bydate&amp;release=theatrical&amp;date=2015-08-28&amp;p=.htm" TargetMode="External"/><Relationship Id="rId1119" Type="http://schemas.openxmlformats.org/officeDocument/2006/relationships/hyperlink" Target="http://www.boxofficemojo.com/movies/?id=injacksonheights.htm" TargetMode="External"/><Relationship Id="rId650" Type="http://schemas.openxmlformats.org/officeDocument/2006/relationships/hyperlink" Target="http://www.boxofficemojo.com/schedule/?view=bydate&amp;release=theatrical&amp;date=2015-11-06&amp;p=.htm" TargetMode="External"/><Relationship Id="rId651" Type="http://schemas.openxmlformats.org/officeDocument/2006/relationships/hyperlink" Target="http://www.boxofficemojo.com/movies/?id=wherehopegrows.htm" TargetMode="External"/><Relationship Id="rId652" Type="http://schemas.openxmlformats.org/officeDocument/2006/relationships/hyperlink" Target="http://www.boxofficemojo.com/studio/chart/?studio=roadsideattractions.htm" TargetMode="External"/><Relationship Id="rId653" Type="http://schemas.openxmlformats.org/officeDocument/2006/relationships/hyperlink" Target="http://www.boxofficemojo.com/schedule/?view=bydate&amp;release=theatrical&amp;date=2015-05-15&amp;p=.htm" TargetMode="External"/><Relationship Id="rId654" Type="http://schemas.openxmlformats.org/officeDocument/2006/relationships/hyperlink" Target="http://www.boxofficemojo.com/movies/?id=macbeth15.htm" TargetMode="External"/><Relationship Id="rId655" Type="http://schemas.openxmlformats.org/officeDocument/2006/relationships/hyperlink" Target="http://www.boxofficemojo.com/studio/chart/?studio=weinsteincompany.htm" TargetMode="External"/><Relationship Id="rId656" Type="http://schemas.openxmlformats.org/officeDocument/2006/relationships/hyperlink" Target="http://www.boxofficemojo.com/schedule/?view=bydate&amp;release=theatrical&amp;date=2015-12-04&amp;p=.htm" TargetMode="External"/><Relationship Id="rId657" Type="http://schemas.openxmlformats.org/officeDocument/2006/relationships/hyperlink" Target="http://www.boxofficemojo.com/movies/?id=overnight2015.htm" TargetMode="External"/><Relationship Id="rId658" Type="http://schemas.openxmlformats.org/officeDocument/2006/relationships/hyperlink" Target="http://www.boxofficemojo.com/studio/chart/?studio=orchard.htm" TargetMode="External"/><Relationship Id="rId659" Type="http://schemas.openxmlformats.org/officeDocument/2006/relationships/hyperlink" Target="http://www.boxofficemojo.com/schedule/?view=bydate&amp;release=theatrical&amp;date=2015-06-19&amp;p=.htm" TargetMode="External"/><Relationship Id="rId1504" Type="http://schemas.openxmlformats.org/officeDocument/2006/relationships/hyperlink" Target="http://www.boxofficemojo.com/studio/chart/?studio=drafthousefilms.htm" TargetMode="External"/><Relationship Id="rId1505" Type="http://schemas.openxmlformats.org/officeDocument/2006/relationships/hyperlink" Target="http://www.boxofficemojo.com/schedule/?view=bydate&amp;release=theatrical&amp;date=2015-01-23&amp;p=.htm" TargetMode="External"/><Relationship Id="rId1506" Type="http://schemas.openxmlformats.org/officeDocument/2006/relationships/hyperlink" Target="http://www.boxofficemojo.com/movies/?id=olivados.htm" TargetMode="External"/><Relationship Id="rId1507" Type="http://schemas.openxmlformats.org/officeDocument/2006/relationships/hyperlink" Target="http://www.boxofficemojo.com/studio/chart/?studio=cls.htm" TargetMode="External"/><Relationship Id="rId1508" Type="http://schemas.openxmlformats.org/officeDocument/2006/relationships/hyperlink" Target="http://www.boxofficemojo.com/schedule/?view=bydate&amp;release=theatrical&amp;date=2015-09-18&amp;p=.htm" TargetMode="External"/><Relationship Id="rId1509" Type="http://schemas.openxmlformats.org/officeDocument/2006/relationships/hyperlink" Target="http://www.boxofficemojo.com/movies/?id=biggame.htm" TargetMode="External"/><Relationship Id="rId260" Type="http://schemas.openxmlformats.org/officeDocument/2006/relationships/hyperlink" Target="http://www.boxofficemojo.com/schedule/?view=bydate&amp;release=theatrical&amp;date=2015-12-25&amp;p=.htm" TargetMode="External"/><Relationship Id="rId261" Type="http://schemas.openxmlformats.org/officeDocument/2006/relationships/hyperlink" Target="http://www.boxofficemojo.com/movies/?id=sinister2.htm" TargetMode="External"/><Relationship Id="rId262" Type="http://schemas.openxmlformats.org/officeDocument/2006/relationships/hyperlink" Target="http://www.boxofficemojo.com/studio/chart/?studio=focus.htm" TargetMode="External"/><Relationship Id="rId263" Type="http://schemas.openxmlformats.org/officeDocument/2006/relationships/hyperlink" Target="http://www.boxofficemojo.com/schedule/?view=bydate&amp;release=theatrical&amp;date=2015-08-21&amp;p=.htm" TargetMode="External"/><Relationship Id="rId264" Type="http://schemas.openxmlformats.org/officeDocument/2006/relationships/hyperlink" Target="http://www.boxofficemojo.com/movies/?id=lastwitchhunter.htm" TargetMode="External"/><Relationship Id="rId265" Type="http://schemas.openxmlformats.org/officeDocument/2006/relationships/hyperlink" Target="http://www.boxofficemojo.com/studio/chart/?studio=lionsgatesummit.htm" TargetMode="External"/><Relationship Id="rId266" Type="http://schemas.openxmlformats.org/officeDocument/2006/relationships/hyperlink" Target="http://www.boxofficemojo.com/schedule/?view=bydate&amp;release=theatrical&amp;date=2015-10-23&amp;p=.htm" TargetMode="External"/><Relationship Id="rId267" Type="http://schemas.openxmlformats.org/officeDocument/2006/relationships/hyperlink" Target="http://www.boxofficemojo.com/movies/?id=coup.htm" TargetMode="External"/><Relationship Id="rId268" Type="http://schemas.openxmlformats.org/officeDocument/2006/relationships/hyperlink" Target="http://www.boxofficemojo.com/studio/chart/?studio=weinsteincompany.htm" TargetMode="External"/><Relationship Id="rId269" Type="http://schemas.openxmlformats.org/officeDocument/2006/relationships/hyperlink" Target="http://www.boxofficemojo.com/schedule/?view=bydate&amp;release=theatrical&amp;date=2015-08-26&amp;p=.htm" TargetMode="External"/><Relationship Id="rId40" Type="http://schemas.openxmlformats.org/officeDocument/2006/relationships/hyperlink" Target="http://www.boxofficemojo.com/studio/chart/?studio=universal.htm" TargetMode="External"/><Relationship Id="rId41" Type="http://schemas.openxmlformats.org/officeDocument/2006/relationships/hyperlink" Target="http://www.boxofficemojo.com/schedule/?view=bydate&amp;release=theatrical&amp;date=2015-05-15&amp;p=.htm" TargetMode="External"/><Relationship Id="rId42" Type="http://schemas.openxmlformats.org/officeDocument/2006/relationships/hyperlink" Target="http://www.boxofficemojo.com/movies/?id=revenant.htm" TargetMode="External"/><Relationship Id="rId43" Type="http://schemas.openxmlformats.org/officeDocument/2006/relationships/hyperlink" Target="http://www.boxofficemojo.com/studio/chart/?studio=fox.htm" TargetMode="External"/><Relationship Id="rId44" Type="http://schemas.openxmlformats.org/officeDocument/2006/relationships/hyperlink" Target="http://www.boxofficemojo.com/schedule/?view=bydate&amp;release=theatrical&amp;date=2015-12-25&amp;p=.htm" TargetMode="External"/><Relationship Id="rId45" Type="http://schemas.openxmlformats.org/officeDocument/2006/relationships/hyperlink" Target="http://www.boxofficemojo.com/movies/?id=antman.htm" TargetMode="External"/><Relationship Id="rId46" Type="http://schemas.openxmlformats.org/officeDocument/2006/relationships/hyperlink" Target="http://www.boxofficemojo.com/studio/chart/?studio=buenavista.htm" TargetMode="External"/><Relationship Id="rId47" Type="http://schemas.openxmlformats.org/officeDocument/2006/relationships/hyperlink" Target="http://www.boxofficemojo.com/schedule/?view=bydate&amp;release=theatrical&amp;date=2015-07-17&amp;p=.htm" TargetMode="External"/><Relationship Id="rId48" Type="http://schemas.openxmlformats.org/officeDocument/2006/relationships/hyperlink" Target="http://www.boxofficemojo.com/movies/?id=happysmekday.htm" TargetMode="External"/><Relationship Id="rId49" Type="http://schemas.openxmlformats.org/officeDocument/2006/relationships/hyperlink" Target="http://www.boxofficemojo.com/studio/chart/?studio=fox.htm" TargetMode="External"/><Relationship Id="rId1900" Type="http://schemas.openxmlformats.org/officeDocument/2006/relationships/hyperlink" Target="http://www.boxofficemojo.com/studio/chart/?studio=tribecafilm.htm" TargetMode="External"/><Relationship Id="rId1901" Type="http://schemas.openxmlformats.org/officeDocument/2006/relationships/hyperlink" Target="http://www.boxofficemojo.com/schedule/?view=bydate&amp;release=theatrical&amp;date=2015-05-01&amp;p=.htm" TargetMode="External"/><Relationship Id="rId1902" Type="http://schemas.openxmlformats.org/officeDocument/2006/relationships/hyperlink" Target="http://www.boxofficemojo.com/movies/?id=sheslostcontrol.htm" TargetMode="External"/><Relationship Id="rId1903" Type="http://schemas.openxmlformats.org/officeDocument/2006/relationships/hyperlink" Target="http://www.boxofficemojo.com/studio/chart/?studio=monument.htm" TargetMode="External"/><Relationship Id="rId1510" Type="http://schemas.openxmlformats.org/officeDocument/2006/relationships/hyperlink" Target="http://www.boxofficemojo.com/studio/chart/?studio=europacorp.htm" TargetMode="External"/><Relationship Id="rId1511" Type="http://schemas.openxmlformats.org/officeDocument/2006/relationships/hyperlink" Target="http://www.boxofficemojo.com/schedule/?view=bydate&amp;release=theatrical&amp;date=2015-06-26&amp;p=.htm" TargetMode="External"/><Relationship Id="rId1512" Type="http://schemas.openxmlformats.org/officeDocument/2006/relationships/hyperlink" Target="http://www.boxofficemojo.com/movies/?id=killmethreetimes.htm" TargetMode="External"/><Relationship Id="rId1513" Type="http://schemas.openxmlformats.org/officeDocument/2006/relationships/hyperlink" Target="http://www.boxofficemojo.com/studio/chart/?studio=magnolia.htm" TargetMode="External"/><Relationship Id="rId1120" Type="http://schemas.openxmlformats.org/officeDocument/2006/relationships/hyperlink" Target="http://www.boxofficemojo.com/studio/chart/?studio=zipporahfilms.htm" TargetMode="External"/><Relationship Id="rId1121" Type="http://schemas.openxmlformats.org/officeDocument/2006/relationships/hyperlink" Target="http://www.boxofficemojo.com/schedule/?view=bydate&amp;release=theatrical&amp;date=2015-11-04&amp;p=.htm" TargetMode="External"/><Relationship Id="rId1122" Type="http://schemas.openxmlformats.org/officeDocument/2006/relationships/hyperlink" Target="http://www.boxofficemojo.com/movies/?id=doisoundgay.htm" TargetMode="External"/><Relationship Id="rId1123" Type="http://schemas.openxmlformats.org/officeDocument/2006/relationships/hyperlink" Target="http://www.boxofficemojo.com/studio/chart/?studio=ifc.htm" TargetMode="External"/><Relationship Id="rId1124" Type="http://schemas.openxmlformats.org/officeDocument/2006/relationships/hyperlink" Target="http://www.boxofficemojo.com/schedule/?view=bydate&amp;release=theatrical&amp;date=2015-07-10&amp;p=.htm" TargetMode="External"/><Relationship Id="rId1125" Type="http://schemas.openxmlformats.org/officeDocument/2006/relationships/hyperlink" Target="http://www.boxofficemojo.com/movies/?id=diggingforfire.htm" TargetMode="External"/><Relationship Id="rId1126" Type="http://schemas.openxmlformats.org/officeDocument/2006/relationships/hyperlink" Target="http://www.boxofficemojo.com/studio/chart/?studio=orchard.htm" TargetMode="External"/><Relationship Id="rId1127" Type="http://schemas.openxmlformats.org/officeDocument/2006/relationships/hyperlink" Target="http://www.boxofficemojo.com/schedule/?view=bydate&amp;release=theatrical&amp;date=2015-08-21&amp;p=.htm" TargetMode="External"/><Relationship Id="rId1128" Type="http://schemas.openxmlformats.org/officeDocument/2006/relationships/hyperlink" Target="http://www.boxofficemojo.com/movies/?id=loveliveschoolidolmovie.htm" TargetMode="External"/><Relationship Id="rId1129" Type="http://schemas.openxmlformats.org/officeDocument/2006/relationships/hyperlink" Target="http://www.boxofficemojo.com/studio/chart/?studio=azoland.htm" TargetMode="External"/><Relationship Id="rId660" Type="http://schemas.openxmlformats.org/officeDocument/2006/relationships/hyperlink" Target="http://www.boxofficemojo.com/movies/?id=timbuktu.htm" TargetMode="External"/><Relationship Id="rId661" Type="http://schemas.openxmlformats.org/officeDocument/2006/relationships/hyperlink" Target="http://www.boxofficemojo.com/studio/chart/?studio=cohenmedia.htm" TargetMode="External"/><Relationship Id="rId662" Type="http://schemas.openxmlformats.org/officeDocument/2006/relationships/hyperlink" Target="http://www.boxofficemojo.com/schedule/?view=bydate&amp;release=theatrical&amp;date=2015-01-28&amp;p=.htm" TargetMode="External"/><Relationship Id="rId663" Type="http://schemas.openxmlformats.org/officeDocument/2006/relationships/hyperlink" Target="http://www.boxofficemojo.com/movies/?id=diorandi.htm" TargetMode="External"/><Relationship Id="rId664" Type="http://schemas.openxmlformats.org/officeDocument/2006/relationships/hyperlink" Target="http://www.boxofficemojo.com/studio/chart/?studio=orchard.htm" TargetMode="External"/><Relationship Id="rId665" Type="http://schemas.openxmlformats.org/officeDocument/2006/relationships/hyperlink" Target="http://www.boxofficemojo.com/schedule/?view=bydate&amp;release=theatrical&amp;date=2015-04-10&amp;p=.htm" TargetMode="External"/><Relationship Id="rId666" Type="http://schemas.openxmlformats.org/officeDocument/2006/relationships/hyperlink" Target="http://www.boxofficemojo.com/movies/?id=5flightsup.htm" TargetMode="External"/><Relationship Id="rId667" Type="http://schemas.openxmlformats.org/officeDocument/2006/relationships/hyperlink" Target="http://www.boxofficemojo.com/studio/chart/?studio=focus.htm" TargetMode="External"/><Relationship Id="rId668" Type="http://schemas.openxmlformats.org/officeDocument/2006/relationships/hyperlink" Target="http://www.boxofficemojo.com/schedule/?view=bydate&amp;release=theatrical&amp;date=2015-05-08&amp;p=.htm" TargetMode="External"/><Relationship Id="rId669" Type="http://schemas.openxmlformats.org/officeDocument/2006/relationships/hyperlink" Target="http://www.boxofficemojo.com/movies/?id=bigstonegap.htm" TargetMode="External"/><Relationship Id="rId1514" Type="http://schemas.openxmlformats.org/officeDocument/2006/relationships/hyperlink" Target="http://www.boxofficemojo.com/schedule/?view=bydate&amp;release=theatrical&amp;date=2015-04-10&amp;p=.htm" TargetMode="External"/><Relationship Id="rId1515" Type="http://schemas.openxmlformats.org/officeDocument/2006/relationships/hyperlink" Target="http://www.boxofficemojo.com/movies/?id=unexpected.htm" TargetMode="External"/><Relationship Id="rId1516" Type="http://schemas.openxmlformats.org/officeDocument/2006/relationships/hyperlink" Target="http://www.boxofficemojo.com/studio/chart/?studio=filmarcade.htm" TargetMode="External"/><Relationship Id="rId1517" Type="http://schemas.openxmlformats.org/officeDocument/2006/relationships/hyperlink" Target="http://www.boxofficemojo.com/schedule/?view=bydate&amp;release=theatrical&amp;date=2015-07-24&amp;p=.htm" TargetMode="External"/><Relationship Id="rId1518" Type="http://schemas.openxmlformats.org/officeDocument/2006/relationships/hyperlink" Target="http://www.boxofficemojo.com/movies/?id=cantstandlosingyou.htm" TargetMode="External"/><Relationship Id="rId1519" Type="http://schemas.openxmlformats.org/officeDocument/2006/relationships/hyperlink" Target="http://www.boxofficemojo.com/studio/chart/?studio=cls.htm" TargetMode="External"/><Relationship Id="rId270" Type="http://schemas.openxmlformats.org/officeDocument/2006/relationships/hyperlink" Target="http://www.boxofficemojo.com/movies/?id=rickiandtheflash.htm" TargetMode="External"/><Relationship Id="rId271" Type="http://schemas.openxmlformats.org/officeDocument/2006/relationships/hyperlink" Target="http://www.boxofficemojo.com/studio/chart/?studio=tristar.htm" TargetMode="External"/><Relationship Id="rId272" Type="http://schemas.openxmlformats.org/officeDocument/2006/relationships/hyperlink" Target="http://www.boxofficemojo.com/schedule/?view=bydate&amp;release=theatrical&amp;date=2015-08-07&amp;p=.htm" TargetMode="External"/><Relationship Id="rId273" Type="http://schemas.openxmlformats.org/officeDocument/2006/relationships/hyperlink" Target="http://www.boxofficemojo.com/movies/?id=womaninblack2.htm" TargetMode="External"/><Relationship Id="rId274" Type="http://schemas.openxmlformats.org/officeDocument/2006/relationships/hyperlink" Target="http://www.boxofficemojo.com/studio/chart/?studio=relativity.htm" TargetMode="External"/><Relationship Id="rId275" Type="http://schemas.openxmlformats.org/officeDocument/2006/relationships/hyperlink" Target="http://www.boxofficemojo.com/schedule/?view=bydate&amp;release=theatrical&amp;date=2015-01-02&amp;p=.htm" TargetMode="External"/><Relationship Id="rId276" Type="http://schemas.openxmlformats.org/officeDocument/2006/relationships/hyperlink" Target="http://www.boxofficemojo.com/movies/?id=runallnight.htm" TargetMode="External"/><Relationship Id="rId277" Type="http://schemas.openxmlformats.org/officeDocument/2006/relationships/hyperlink" Target="http://www.boxofficemojo.com/studio/chart/?studio=warnerbros.htm" TargetMode="External"/><Relationship Id="rId278" Type="http://schemas.openxmlformats.org/officeDocument/2006/relationships/hyperlink" Target="http://www.boxofficemojo.com/schedule/?view=bydate&amp;release=theatrical&amp;date=2015-03-13&amp;p=.htm" TargetMode="External"/><Relationship Id="rId279" Type="http://schemas.openxmlformats.org/officeDocument/2006/relationships/hyperlink" Target="http://www.boxofficemojo.com/movies/?id=lovethecoopers.htm" TargetMode="External"/><Relationship Id="rId1904" Type="http://schemas.openxmlformats.org/officeDocument/2006/relationships/hyperlink" Target="http://www.boxofficemojo.com/schedule/?view=bydate&amp;release=theatrical&amp;date=2015-03-20&amp;p=.htm" TargetMode="External"/><Relationship Id="rId1905" Type="http://schemas.openxmlformats.org/officeDocument/2006/relationships/hyperlink" Target="http://www.boxofficemojo.com/movies/?id=frommayerlingtosarajevo.htm" TargetMode="External"/><Relationship Id="rId1906" Type="http://schemas.openxmlformats.org/officeDocument/2006/relationships/hyperlink" Target="http://www.boxofficemojo.com/studio/chart/?studio=thefilmdesk.htm" TargetMode="External"/><Relationship Id="rId1907" Type="http://schemas.openxmlformats.org/officeDocument/2006/relationships/hyperlink" Target="http://www.boxofficemojo.com/schedule/?view=bydate&amp;release=theatrical&amp;date=2015-03-27&amp;p=.htm" TargetMode="External"/><Relationship Id="rId1908" Type="http://schemas.openxmlformats.org/officeDocument/2006/relationships/hyperlink" Target="http://www.boxofficemojo.com/movies/?id=deadlands.htm" TargetMode="External"/><Relationship Id="rId1909" Type="http://schemas.openxmlformats.org/officeDocument/2006/relationships/hyperlink" Target="http://www.boxofficemojo.com/studio/chart/?studio=magnolia.htm" TargetMode="External"/><Relationship Id="rId50" Type="http://schemas.openxmlformats.org/officeDocument/2006/relationships/hyperlink" Target="http://www.boxofficemojo.com/schedule/?view=bydate&amp;release=theatrical&amp;date=2015-03-27&amp;p=.htm" TargetMode="External"/><Relationship Id="rId51" Type="http://schemas.openxmlformats.org/officeDocument/2006/relationships/hyperlink" Target="http://www.boxofficemojo.com/movies/?id=hoteltransylvania2.htm" TargetMode="External"/><Relationship Id="rId52" Type="http://schemas.openxmlformats.org/officeDocument/2006/relationships/hyperlink" Target="http://www.boxofficemojo.com/studio/chart/?studio=sony.htm" TargetMode="External"/><Relationship Id="rId53" Type="http://schemas.openxmlformats.org/officeDocument/2006/relationships/hyperlink" Target="http://www.boxofficemojo.com/schedule/?view=bydate&amp;release=theatrical&amp;date=2015-09-25&amp;p=.htm" TargetMode="External"/><Relationship Id="rId54" Type="http://schemas.openxmlformats.org/officeDocument/2006/relationships/hyperlink" Target="http://www.boxofficemojo.com/movies/?id=fiftyshadesofgrey.htm" TargetMode="External"/><Relationship Id="rId55" Type="http://schemas.openxmlformats.org/officeDocument/2006/relationships/hyperlink" Target="http://www.boxofficemojo.com/studio/chart/?studio=universal.htm" TargetMode="External"/><Relationship Id="rId56" Type="http://schemas.openxmlformats.org/officeDocument/2006/relationships/hyperlink" Target="http://www.boxofficemojo.com/schedule/?view=bydate&amp;release=theatrical&amp;date=2015-02-13&amp;p=.htm" TargetMode="External"/><Relationship Id="rId57" Type="http://schemas.openxmlformats.org/officeDocument/2006/relationships/hyperlink" Target="http://www.boxofficemojo.com/movies/?id=spongebob2.htm" TargetMode="External"/><Relationship Id="rId58" Type="http://schemas.openxmlformats.org/officeDocument/2006/relationships/hyperlink" Target="http://www.boxofficemojo.com/studio/chart/?studio=paramount.htm" TargetMode="External"/><Relationship Id="rId59" Type="http://schemas.openxmlformats.org/officeDocument/2006/relationships/hyperlink" Target="http://www.boxofficemojo.com/schedule/?view=bydate&amp;release=theatrical&amp;date=2015-02-06&amp;p=.htm" TargetMode="External"/><Relationship Id="rId1910" Type="http://schemas.openxmlformats.org/officeDocument/2006/relationships/hyperlink" Target="http://www.boxofficemojo.com/schedule/?view=bydate&amp;release=theatrical&amp;date=2015-04-17&amp;p=.htm" TargetMode="External"/><Relationship Id="rId1911" Type="http://schemas.openxmlformats.org/officeDocument/2006/relationships/hyperlink" Target="http://www.boxofficemojo.com/movies/?id=theprincessoffrance.htm" TargetMode="External"/><Relationship Id="rId1912" Type="http://schemas.openxmlformats.org/officeDocument/2006/relationships/hyperlink" Target="http://www.boxofficemojo.com/studio/chart/?studio=cinemaguild.htm" TargetMode="External"/><Relationship Id="rId1913" Type="http://schemas.openxmlformats.org/officeDocument/2006/relationships/hyperlink" Target="http://www.boxofficemojo.com/schedule/?view=bydate&amp;release=theatrical&amp;date=2015-06-26&amp;p=.htm" TargetMode="External"/><Relationship Id="rId1520" Type="http://schemas.openxmlformats.org/officeDocument/2006/relationships/hyperlink" Target="http://www.boxofficemojo.com/schedule/?view=bydate&amp;release=theatrical&amp;date=2015-03-20&amp;p=.htm" TargetMode="External"/><Relationship Id="rId1521" Type="http://schemas.openxmlformats.org/officeDocument/2006/relationships/hyperlink" Target="http://www.boxofficemojo.com/movies/?id=hippocratesdiaryofafrenchdoctor.htm" TargetMode="External"/><Relationship Id="rId1522" Type="http://schemas.openxmlformats.org/officeDocument/2006/relationships/hyperlink" Target="http://www.boxofficemojo.com/studio/chart/?studio=distribfilms.htm" TargetMode="External"/><Relationship Id="rId1523" Type="http://schemas.openxmlformats.org/officeDocument/2006/relationships/hyperlink" Target="http://www.boxofficemojo.com/schedule/?view=bydate&amp;release=theatrical&amp;date=2015-06-19&amp;p=.htm" TargetMode="External"/><Relationship Id="rId1130" Type="http://schemas.openxmlformats.org/officeDocument/2006/relationships/hyperlink" Target="http://www.boxofficemojo.com/schedule/?view=bydate&amp;release=theatrical&amp;date=2015-09-11&amp;p=.htm" TargetMode="External"/><Relationship Id="rId1131" Type="http://schemas.openxmlformats.org/officeDocument/2006/relationships/hyperlink" Target="http://www.boxofficemojo.com/movies/?id=roadhard.htm" TargetMode="External"/><Relationship Id="rId1132" Type="http://schemas.openxmlformats.org/officeDocument/2006/relationships/hyperlink" Target="http://www.boxofficemojo.com/studio/chart/?studio=filmbuff.htm" TargetMode="External"/><Relationship Id="rId1133" Type="http://schemas.openxmlformats.org/officeDocument/2006/relationships/hyperlink" Target="http://www.boxofficemojo.com/schedule/?view=bydate&amp;release=theatrical&amp;date=2015-03-06&amp;p=.htm" TargetMode="External"/><Relationship Id="rId1134" Type="http://schemas.openxmlformats.org/officeDocument/2006/relationships/hyperlink" Target="http://www.boxofficemojo.com/movies/?id=shesfunnythatway.htm" TargetMode="External"/><Relationship Id="rId1135" Type="http://schemas.openxmlformats.org/officeDocument/2006/relationships/hyperlink" Target="http://www.boxofficemojo.com/studio/chart/?studio=lionsgatepremiere.htm" TargetMode="External"/><Relationship Id="rId1136" Type="http://schemas.openxmlformats.org/officeDocument/2006/relationships/hyperlink" Target="http://www.boxofficemojo.com/schedule/?view=bydate&amp;release=theatrical&amp;date=2015-08-21&amp;p=.htm" TargetMode="External"/><Relationship Id="rId1137" Type="http://schemas.openxmlformats.org/officeDocument/2006/relationships/hyperlink" Target="http://www.boxofficemojo.com/movies/?id=1915.htm" TargetMode="External"/><Relationship Id="rId1138" Type="http://schemas.openxmlformats.org/officeDocument/2006/relationships/hyperlink" Target="http://www.boxofficemojo.com/studio/chart/?studio=bloodvine.htm" TargetMode="External"/><Relationship Id="rId1139" Type="http://schemas.openxmlformats.org/officeDocument/2006/relationships/hyperlink" Target="http://www.boxofficemojo.com/schedule/?view=bydate&amp;release=theatrical&amp;date=2015-04-17&amp;p=.htm" TargetMode="External"/><Relationship Id="rId670" Type="http://schemas.openxmlformats.org/officeDocument/2006/relationships/hyperlink" Target="http://www.boxofficemojo.com/studio/chart/?studio=picturehouse2.htm" TargetMode="External"/><Relationship Id="rId671" Type="http://schemas.openxmlformats.org/officeDocument/2006/relationships/hyperlink" Target="http://www.boxofficemojo.com/schedule/?view=bydate&amp;release=theatrical&amp;date=2015-10-09&amp;p=.htm" TargetMode="External"/><Relationship Id="rId280" Type="http://schemas.openxmlformats.org/officeDocument/2006/relationships/hyperlink" Target="http://www.boxofficemojo.com/studio/chart/?studio=lionsgate.htm" TargetMode="External"/><Relationship Id="rId281" Type="http://schemas.openxmlformats.org/officeDocument/2006/relationships/hyperlink" Target="http://www.boxofficemojo.com/schedule/?view=bydate&amp;release=theatrical&amp;date=2015-11-13&amp;p=.htm" TargetMode="External"/><Relationship Id="rId282" Type="http://schemas.openxmlformats.org/officeDocument/2006/relationships/hyperlink" Target="http://www.boxofficemojo.com/movies/?id=lazarus.htm" TargetMode="External"/><Relationship Id="rId283" Type="http://schemas.openxmlformats.org/officeDocument/2006/relationships/hyperlink" Target="http://www.boxofficemojo.com/studio/chart/?studio=relativity.htm" TargetMode="External"/><Relationship Id="rId284" Type="http://schemas.openxmlformats.org/officeDocument/2006/relationships/hyperlink" Target="http://www.boxofficemojo.com/schedule/?view=bydate&amp;release=theatrical&amp;date=2015-02-27&amp;p=.htm" TargetMode="External"/><Relationship Id="rId285" Type="http://schemas.openxmlformats.org/officeDocument/2006/relationships/hyperlink" Target="http://www.boxofficemojo.com/movies/?id=exmachina.htm" TargetMode="External"/><Relationship Id="rId286" Type="http://schemas.openxmlformats.org/officeDocument/2006/relationships/hyperlink" Target="http://www.boxofficemojo.com/studio/chart/?studio=a24.htm" TargetMode="External"/><Relationship Id="rId287" Type="http://schemas.openxmlformats.org/officeDocument/2006/relationships/hyperlink" Target="http://www.boxofficemojo.com/schedule/?view=bydate&amp;release=theatrical&amp;date=2015-04-10&amp;p=.htm" TargetMode="External"/><Relationship Id="rId288" Type="http://schemas.openxmlformats.org/officeDocument/2006/relationships/hyperlink" Target="http://www.boxofficemojo.com/movies/?id=heartofthesea.htm" TargetMode="External"/><Relationship Id="rId289" Type="http://schemas.openxmlformats.org/officeDocument/2006/relationships/hyperlink" Target="http://www.boxofficemojo.com/studio/chart/?studio=warnerbros.htm" TargetMode="External"/><Relationship Id="rId672" Type="http://schemas.openxmlformats.org/officeDocument/2006/relationships/hyperlink" Target="http://www.boxofficemojo.com/movies/?id=faithofourfathers.htm" TargetMode="External"/><Relationship Id="rId673" Type="http://schemas.openxmlformats.org/officeDocument/2006/relationships/hyperlink" Target="http://www.boxofficemojo.com/studio/chart/?studio=pureflix.htm" TargetMode="External"/><Relationship Id="rId674" Type="http://schemas.openxmlformats.org/officeDocument/2006/relationships/hyperlink" Target="http://www.boxofficemojo.com/schedule/?view=bydate&amp;release=theatrical&amp;date=2015-07-01&amp;p=.htm" TargetMode="External"/><Relationship Id="rId675" Type="http://schemas.openxmlformats.org/officeDocument/2006/relationships/hyperlink" Target="http://www.boxofficemojo.com/movies/?id=gett.htm" TargetMode="External"/><Relationship Id="rId676" Type="http://schemas.openxmlformats.org/officeDocument/2006/relationships/hyperlink" Target="http://www.boxofficemojo.com/studio/chart/?studio=musicboxfilms.htm" TargetMode="External"/><Relationship Id="rId677" Type="http://schemas.openxmlformats.org/officeDocument/2006/relationships/hyperlink" Target="http://www.boxofficemojo.com/schedule/?view=bydate&amp;release=theatrical&amp;date=2015-02-13&amp;p=.htm" TargetMode="External"/><Relationship Id="rId678" Type="http://schemas.openxmlformats.org/officeDocument/2006/relationships/hyperlink" Target="http://www.boxofficemojo.com/movies/?id=100yearoldman.htm" TargetMode="External"/><Relationship Id="rId679" Type="http://schemas.openxmlformats.org/officeDocument/2006/relationships/hyperlink" Target="http://www.boxofficemojo.com/studio/chart/?studio=musicboxfilms.htm" TargetMode="External"/><Relationship Id="rId1524" Type="http://schemas.openxmlformats.org/officeDocument/2006/relationships/hyperlink" Target="http://www.boxofficemojo.com/movies/?id=court%0b.htm" TargetMode="External"/><Relationship Id="rId1525" Type="http://schemas.openxmlformats.org/officeDocument/2006/relationships/hyperlink" Target="http://www.boxofficemojo.com/studio/chart/?studio=zeitgeist.htm" TargetMode="External"/><Relationship Id="rId1526" Type="http://schemas.openxmlformats.org/officeDocument/2006/relationships/hyperlink" Target="http://www.boxofficemojo.com/schedule/?view=bydate&amp;release=theatrical&amp;date=2015-07-15&amp;p=.htm" TargetMode="External"/><Relationship Id="rId1527" Type="http://schemas.openxmlformats.org/officeDocument/2006/relationships/hyperlink" Target="http://www.boxofficemojo.com/movies/?id=salutdamour.htm" TargetMode="External"/><Relationship Id="rId1528" Type="http://schemas.openxmlformats.org/officeDocument/2006/relationships/hyperlink" Target="http://www.boxofficemojo.com/studio/chart/?studio=cjentertainment.htm" TargetMode="External"/><Relationship Id="rId1529" Type="http://schemas.openxmlformats.org/officeDocument/2006/relationships/hyperlink" Target="http://www.boxofficemojo.com/schedule/?view=bydate&amp;release=theatrical&amp;date=2015-04-10&amp;p=.htm" TargetMode="External"/><Relationship Id="rId1914" Type="http://schemas.openxmlformats.org/officeDocument/2006/relationships/hyperlink" Target="http://www.boxofficemojo.com/movies/?id=deathvalley.htm" TargetMode="External"/><Relationship Id="rId1915" Type="http://schemas.openxmlformats.org/officeDocument/2006/relationships/hyperlink" Target="http://www.boxofficemojo.com/studio/chart/?studio=indican.htm" TargetMode="External"/><Relationship Id="rId1916" Type="http://schemas.openxmlformats.org/officeDocument/2006/relationships/hyperlink" Target="http://www.boxofficemojo.com/schedule/?view=bydate&amp;release=theatrical&amp;date=2015-10-16&amp;p=.htm" TargetMode="External"/><Relationship Id="rId1917" Type="http://schemas.openxmlformats.org/officeDocument/2006/relationships/hyperlink" Target="http://www.boxofficemojo.com/movies/?id=onwar.htm" TargetMode="External"/><Relationship Id="rId1918" Type="http://schemas.openxmlformats.org/officeDocument/2006/relationships/hyperlink" Target="http://www.boxofficemojo.com/studio/chart/?studio=indican.htm" TargetMode="External"/><Relationship Id="rId1919" Type="http://schemas.openxmlformats.org/officeDocument/2006/relationships/hyperlink" Target="http://www.boxofficemojo.com/schedule/?view=bydate&amp;release=theatrical&amp;date=2015-11-20&amp;p=.htm" TargetMode="External"/><Relationship Id="rId60" Type="http://schemas.openxmlformats.org/officeDocument/2006/relationships/hyperlink" Target="http://www.boxofficemojo.com/movies/?id=straightouttacompton.htm" TargetMode="External"/><Relationship Id="rId61" Type="http://schemas.openxmlformats.org/officeDocument/2006/relationships/hyperlink" Target="http://www.boxofficemojo.com/studio/chart/?studio=universal.htm" TargetMode="External"/><Relationship Id="rId62" Type="http://schemas.openxmlformats.org/officeDocument/2006/relationships/hyperlink" Target="http://www.boxofficemojo.com/schedule/?view=bydate&amp;release=theatrical&amp;date=2015-08-14&amp;p=.htm" TargetMode="External"/><Relationship Id="rId63" Type="http://schemas.openxmlformats.org/officeDocument/2006/relationships/hyperlink" Target="http://www.boxofficemojo.com/movies/?id=sanandreas.htm" TargetMode="External"/><Relationship Id="rId64" Type="http://schemas.openxmlformats.org/officeDocument/2006/relationships/hyperlink" Target="http://www.boxofficemojo.com/studio/chart/?studio=wb-newline.htm" TargetMode="External"/><Relationship Id="rId65" Type="http://schemas.openxmlformats.org/officeDocument/2006/relationships/hyperlink" Target="http://www.boxofficemojo.com/schedule/?view=bydate&amp;release=theatrical&amp;date=2015-05-29&amp;p=.htm" TargetMode="External"/><Relationship Id="rId66" Type="http://schemas.openxmlformats.org/officeDocument/2006/relationships/hyperlink" Target="http://www.boxofficemojo.com/movies/?id=furyroad.htm" TargetMode="External"/><Relationship Id="rId67" Type="http://schemas.openxmlformats.org/officeDocument/2006/relationships/hyperlink" Target="http://www.boxofficemojo.com/studio/chart/?studio=warnerbros.htm" TargetMode="External"/><Relationship Id="rId68" Type="http://schemas.openxmlformats.org/officeDocument/2006/relationships/hyperlink" Target="http://www.boxofficemojo.com/schedule/?view=bydate&amp;release=theatrical&amp;date=2015-05-15&amp;p=.htm" TargetMode="External"/><Relationship Id="rId69" Type="http://schemas.openxmlformats.org/officeDocument/2006/relationships/hyperlink" Target="http://www.boxofficemojo.com/movies/?id=daddyshome.htm" TargetMode="External"/><Relationship Id="rId1920" Type="http://schemas.openxmlformats.org/officeDocument/2006/relationships/hyperlink" Target="http://www.boxofficemojo.com/movies/?id=sbkthemovie.htm" TargetMode="External"/><Relationship Id="rId1921" Type="http://schemas.openxmlformats.org/officeDocument/2006/relationships/hyperlink" Target="http://www.boxofficemojo.com/studio/chart/?studio=hanover.htm" TargetMode="External"/><Relationship Id="rId1922" Type="http://schemas.openxmlformats.org/officeDocument/2006/relationships/hyperlink" Target="http://www.boxofficemojo.com/schedule/?view=bydate&amp;release=theatrical&amp;date=2015-04-03&amp;p=.htm" TargetMode="External"/><Relationship Id="rId1923" Type="http://schemas.openxmlformats.org/officeDocument/2006/relationships/hyperlink" Target="http://www.boxofficemojo.com/movies/?id=gerontophilia.htm" TargetMode="External"/><Relationship Id="rId1530" Type="http://schemas.openxmlformats.org/officeDocument/2006/relationships/hyperlink" Target="http://www.boxofficemojo.com/movies/?id=metropolitan15.htm" TargetMode="External"/><Relationship Id="rId1531" Type="http://schemas.openxmlformats.org/officeDocument/2006/relationships/hyperlink" Target="http://www.boxofficemojo.com/studio/chart/?studio=rialto.htm" TargetMode="External"/><Relationship Id="rId1532" Type="http://schemas.openxmlformats.org/officeDocument/2006/relationships/hyperlink" Target="http://www.boxofficemojo.com/schedule/?view=bydate&amp;release=theatrical&amp;date=2015-08-07&amp;p=.htm" TargetMode="External"/><Relationship Id="rId1533" Type="http://schemas.openxmlformats.org/officeDocument/2006/relationships/hyperlink" Target="http://www.boxofficemojo.com/movies/?id=slowlearners.htm" TargetMode="External"/><Relationship Id="rId1140" Type="http://schemas.openxmlformats.org/officeDocument/2006/relationships/hyperlink" Target="http://www.boxofficemojo.com/movies/?id=memoriesofthesword.htm" TargetMode="External"/><Relationship Id="rId1141" Type="http://schemas.openxmlformats.org/officeDocument/2006/relationships/hyperlink" Target="http://www.boxofficemojo.com/studio/chart/?studio=wellgo.htm" TargetMode="External"/><Relationship Id="rId1142" Type="http://schemas.openxmlformats.org/officeDocument/2006/relationships/hyperlink" Target="http://www.boxofficemojo.com/schedule/?view=bydate&amp;release=theatrical&amp;date=2015-08-28&amp;p=.htm" TargetMode="External"/><Relationship Id="rId1143" Type="http://schemas.openxmlformats.org/officeDocument/2006/relationships/hyperlink" Target="http://www.boxofficemojo.com/movies/?id=roar.htm" TargetMode="External"/><Relationship Id="rId1144" Type="http://schemas.openxmlformats.org/officeDocument/2006/relationships/hyperlink" Target="http://www.boxofficemojo.com/studio/chart/?studio=drafthousefilms.htm" TargetMode="External"/><Relationship Id="rId1145" Type="http://schemas.openxmlformats.org/officeDocument/2006/relationships/hyperlink" Target="http://www.boxofficemojo.com/schedule/?view=bydate&amp;release=theatrical&amp;date=2015-04-15&amp;p=.htm" TargetMode="External"/><Relationship Id="rId1146" Type="http://schemas.openxmlformats.org/officeDocument/2006/relationships/hyperlink" Target="http://www.boxofficemojo.com/movies/?id=lookofsilence.htm" TargetMode="External"/><Relationship Id="rId1147" Type="http://schemas.openxmlformats.org/officeDocument/2006/relationships/hyperlink" Target="http://www.boxofficemojo.com/studio/chart/?studio=drafthousefilms.htm" TargetMode="External"/><Relationship Id="rId1148" Type="http://schemas.openxmlformats.org/officeDocument/2006/relationships/hyperlink" Target="http://www.boxofficemojo.com/schedule/?view=bydate&amp;release=theatrical&amp;date=2015-07-17&amp;p=.htm" TargetMode="External"/><Relationship Id="rId1149" Type="http://schemas.openxmlformats.org/officeDocument/2006/relationships/hyperlink" Target="http://www.boxofficemojo.com/movies/?id=adultbeginners.htm" TargetMode="External"/><Relationship Id="rId680" Type="http://schemas.openxmlformats.org/officeDocument/2006/relationships/hyperlink" Target="http://www.boxofficemojo.com/schedule/?view=bydate&amp;release=theatrical&amp;date=2015-05-01&amp;p=.htm" TargetMode="External"/><Relationship Id="rId681" Type="http://schemas.openxmlformats.org/officeDocument/2006/relationships/hyperlink" Target="http://www.boxofficemojo.com/movies/?id=patternsofevidence.htm" TargetMode="External"/><Relationship Id="rId290" Type="http://schemas.openxmlformats.org/officeDocument/2006/relationships/hyperlink" Target="http://www.boxofficemojo.com/schedule/?view=bydate&amp;release=theatrical&amp;date=2015-12-11&amp;p=.htm" TargetMode="External"/><Relationship Id="rId291" Type="http://schemas.openxmlformats.org/officeDocument/2006/relationships/hyperlink" Target="http://www.boxofficemojo.com/movies/?id=newlinehorror2015.htm" TargetMode="External"/><Relationship Id="rId292" Type="http://schemas.openxmlformats.org/officeDocument/2006/relationships/hyperlink" Target="http://www.boxofficemojo.com/studio/chart/?studio=wb-newline.htm" TargetMode="External"/><Relationship Id="rId293" Type="http://schemas.openxmlformats.org/officeDocument/2006/relationships/hyperlink" Target="http://www.boxofficemojo.com/schedule/?view=bydate&amp;release=theatrical&amp;date=2015-07-10&amp;p=.htm" TargetMode="External"/><Relationship Id="rId294" Type="http://schemas.openxmlformats.org/officeDocument/2006/relationships/hyperlink" Target="http://www.boxofficemojo.com/movies/?id=hitman47.htm" TargetMode="External"/><Relationship Id="rId295" Type="http://schemas.openxmlformats.org/officeDocument/2006/relationships/hyperlink" Target="http://www.boxofficemojo.com/studio/chart/?studio=fox.htm" TargetMode="External"/><Relationship Id="rId296" Type="http://schemas.openxmlformats.org/officeDocument/2006/relationships/hyperlink" Target="http://www.boxofficemojo.com/schedule/?view=bydate&amp;release=theatrical&amp;date=2015-08-21&amp;p=.htm" TargetMode="External"/><Relationship Id="rId297" Type="http://schemas.openxmlformats.org/officeDocument/2006/relationships/hyperlink" Target="http://www.boxofficemojo.com/movies/?id=almanac.htm" TargetMode="External"/><Relationship Id="rId298" Type="http://schemas.openxmlformats.org/officeDocument/2006/relationships/hyperlink" Target="http://www.boxofficemojo.com/studio/chart/?studio=paramount.htm" TargetMode="External"/><Relationship Id="rId299" Type="http://schemas.openxmlformats.org/officeDocument/2006/relationships/hyperlink" Target="http://www.boxofficemojo.com/schedule/?view=bydate&amp;release=theatrical&amp;date=2015-01-30&amp;p=.htm" TargetMode="External"/><Relationship Id="rId682" Type="http://schemas.openxmlformats.org/officeDocument/2006/relationships/hyperlink" Target="http://www.boxofficemojo.com/studio/chart/?studio=thinkingman.htm" TargetMode="External"/><Relationship Id="rId683" Type="http://schemas.openxmlformats.org/officeDocument/2006/relationships/hyperlink" Target="http://www.boxofficemojo.com/schedule/?view=bydate&amp;release=theatrical&amp;date=2015-01-19&amp;p=.htm" TargetMode="External"/><Relationship Id="rId684" Type="http://schemas.openxmlformats.org/officeDocument/2006/relationships/hyperlink" Target="http://www.boxofficemojo.com/movies/?id=borutonarutothemovie.htm" TargetMode="External"/><Relationship Id="rId685" Type="http://schemas.openxmlformats.org/officeDocument/2006/relationships/hyperlink" Target="http://www.boxofficemojo.com/studio/chart/?studio=elevenarts.htm" TargetMode="External"/><Relationship Id="rId686" Type="http://schemas.openxmlformats.org/officeDocument/2006/relationships/hyperlink" Target="http://www.boxofficemojo.com/schedule/?view=bydate&amp;release=theatrical&amp;date=2015-10-10&amp;p=.htm" TargetMode="External"/><Relationship Id="rId687" Type="http://schemas.openxmlformats.org/officeDocument/2006/relationships/hyperlink" Target="http://www.boxofficemojo.com/movies/?id=singhisbliing.htm" TargetMode="External"/><Relationship Id="rId688" Type="http://schemas.openxmlformats.org/officeDocument/2006/relationships/hyperlink" Target="http://www.boxofficemojo.com/studio/chart/?studio=eros.htm" TargetMode="External"/><Relationship Id="rId689" Type="http://schemas.openxmlformats.org/officeDocument/2006/relationships/hyperlink" Target="http://www.boxofficemojo.com/schedule/?view=bydate&amp;release=theatrical&amp;date=2015-10-02&amp;p=.htm" TargetMode="External"/><Relationship Id="rId1534" Type="http://schemas.openxmlformats.org/officeDocument/2006/relationships/hyperlink" Target="http://www.boxofficemojo.com/studio/chart/?studio=ifc.htm" TargetMode="External"/><Relationship Id="rId1535" Type="http://schemas.openxmlformats.org/officeDocument/2006/relationships/hyperlink" Target="http://www.boxofficemojo.com/schedule/?view=bydate&amp;release=theatrical&amp;date=2015-08-19&amp;p=.htm" TargetMode="External"/><Relationship Id="rId1536" Type="http://schemas.openxmlformats.org/officeDocument/2006/relationships/hyperlink" Target="http://www.boxofficemojo.com/movies/?id=princesscut.htm" TargetMode="External"/><Relationship Id="rId1537" Type="http://schemas.openxmlformats.org/officeDocument/2006/relationships/hyperlink" Target="http://www.boxofficemojo.com/studio/chart/?studio=watchman.htm" TargetMode="External"/><Relationship Id="rId1538" Type="http://schemas.openxmlformats.org/officeDocument/2006/relationships/hyperlink" Target="http://www.boxofficemojo.com/schedule/?view=bydate&amp;release=theatrical&amp;date=2015-07-28&amp;p=.htm" TargetMode="External"/><Relationship Id="rId1539" Type="http://schemas.openxmlformats.org/officeDocument/2006/relationships/hyperlink" Target="http://www.boxofficemojo.com/movies/?id=mediterranea.htm" TargetMode="External"/><Relationship Id="rId1924" Type="http://schemas.openxmlformats.org/officeDocument/2006/relationships/hyperlink" Target="http://www.boxofficemojo.com/studio/chart/?studio=strand.htm" TargetMode="External"/><Relationship Id="rId1925" Type="http://schemas.openxmlformats.org/officeDocument/2006/relationships/hyperlink" Target="http://www.boxofficemojo.com/schedule/?view=bydate&amp;release=theatrical&amp;date=2015-05-01&amp;p=.htm" TargetMode="External"/><Relationship Id="rId1926" Type="http://schemas.openxmlformats.org/officeDocument/2006/relationships/hyperlink" Target="http://www.boxofficemojo.com/movies/?id=guidance.htm" TargetMode="External"/><Relationship Id="rId1927" Type="http://schemas.openxmlformats.org/officeDocument/2006/relationships/hyperlink" Target="http://www.boxofficemojo.com/studio/chart/?studio=strand.htm" TargetMode="External"/><Relationship Id="rId1928" Type="http://schemas.openxmlformats.org/officeDocument/2006/relationships/hyperlink" Target="http://www.boxofficemojo.com/schedule/?view=bydate&amp;release=theatrical&amp;date=2015-08-21&amp;p=.htm" TargetMode="External"/><Relationship Id="rId1929" Type="http://schemas.openxmlformats.org/officeDocument/2006/relationships/hyperlink" Target="http://www.boxofficemojo.com/movies/?id=misshill.htm" TargetMode="External"/><Relationship Id="rId70" Type="http://schemas.openxmlformats.org/officeDocument/2006/relationships/hyperlink" Target="http://www.boxofficemojo.com/studio/chart/?studio=paramount.htm" TargetMode="External"/><Relationship Id="rId71" Type="http://schemas.openxmlformats.org/officeDocument/2006/relationships/hyperlink" Target="http://www.boxofficemojo.com/schedule/?view=bydate&amp;release=theatrical&amp;date=2015-12-25&amp;p=.htm" TargetMode="External"/><Relationship Id="rId72" Type="http://schemas.openxmlformats.org/officeDocument/2006/relationships/hyperlink" Target="http://www.boxofficemojo.com/movies/?id=insurgent.htm" TargetMode="External"/><Relationship Id="rId73" Type="http://schemas.openxmlformats.org/officeDocument/2006/relationships/hyperlink" Target="http://www.boxofficemojo.com/studio/chart/?studio=lionsgatesummit.htm" TargetMode="External"/><Relationship Id="rId74" Type="http://schemas.openxmlformats.org/officeDocument/2006/relationships/hyperlink" Target="http://www.boxofficemojo.com/schedule/?view=bydate&amp;release=theatrical&amp;date=2015-03-20&amp;p=.htm" TargetMode="External"/><Relationship Id="rId75" Type="http://schemas.openxmlformats.org/officeDocument/2006/relationships/hyperlink" Target="http://www.boxofficemojo.com/movies/?id=peanuts2015.htm" TargetMode="External"/><Relationship Id="rId76" Type="http://schemas.openxmlformats.org/officeDocument/2006/relationships/hyperlink" Target="http://www.boxofficemojo.com/studio/chart/?studio=fox.htm" TargetMode="External"/><Relationship Id="rId77" Type="http://schemas.openxmlformats.org/officeDocument/2006/relationships/hyperlink" Target="http://www.boxofficemojo.com/schedule/?view=bydate&amp;release=theatrical&amp;date=2015-11-06&amp;p=.htm" TargetMode="External"/><Relationship Id="rId78" Type="http://schemas.openxmlformats.org/officeDocument/2006/relationships/hyperlink" Target="http://www.boxofficemojo.com/movies/?id=secretservice.htm" TargetMode="External"/><Relationship Id="rId79" Type="http://schemas.openxmlformats.org/officeDocument/2006/relationships/hyperlink" Target="http://www.boxofficemojo.com/studio/chart/?studio=fox.htm" TargetMode="External"/><Relationship Id="rId1930" Type="http://schemas.openxmlformats.org/officeDocument/2006/relationships/hyperlink" Target="http://www.boxofficemojo.com/studio/chart/?studio=firstrun.htm" TargetMode="External"/><Relationship Id="rId1931" Type="http://schemas.openxmlformats.org/officeDocument/2006/relationships/hyperlink" Target="http://www.boxofficemojo.com/schedule/?view=bydate&amp;release=theatrical&amp;date=2015-01-23&amp;p=.htm" TargetMode="External"/><Relationship Id="rId1932" Type="http://schemas.openxmlformats.org/officeDocument/2006/relationships/hyperlink" Target="http://www.boxofficemojo.com/movies/?id=jennyswedding.htm" TargetMode="External"/><Relationship Id="rId1933" Type="http://schemas.openxmlformats.org/officeDocument/2006/relationships/hyperlink" Target="http://www.boxofficemojo.com/studio/chart/?studio=ifc.htm" TargetMode="External"/><Relationship Id="rId1540" Type="http://schemas.openxmlformats.org/officeDocument/2006/relationships/hyperlink" Target="http://www.boxofficemojo.com/studio/chart/?studio=ifc.htm" TargetMode="External"/><Relationship Id="rId1541" Type="http://schemas.openxmlformats.org/officeDocument/2006/relationships/hyperlink" Target="http://www.boxofficemojo.com/schedule/?view=bydate&amp;release=theatrical&amp;date=2015-11-20&amp;p=.htm" TargetMode="External"/><Relationship Id="rId1542" Type="http://schemas.openxmlformats.org/officeDocument/2006/relationships/hyperlink" Target="http://www.boxofficemojo.com/movies/?id=animals2015.htm" TargetMode="External"/><Relationship Id="rId1543" Type="http://schemas.openxmlformats.org/officeDocument/2006/relationships/hyperlink" Target="http://www.boxofficemojo.com/studio/chart/?studio=oscilloscopepictures.htm" TargetMode="External"/><Relationship Id="rId1150" Type="http://schemas.openxmlformats.org/officeDocument/2006/relationships/hyperlink" Target="http://www.boxofficemojo.com/studio/chart/?studio=radiustwc.htm" TargetMode="External"/><Relationship Id="rId1151" Type="http://schemas.openxmlformats.org/officeDocument/2006/relationships/hyperlink" Target="http://www.boxofficemojo.com/schedule/?view=bydate&amp;release=theatrical&amp;date=2015-04-24&amp;p=.htm" TargetMode="External"/><Relationship Id="rId1152" Type="http://schemas.openxmlformats.org/officeDocument/2006/relationships/hyperlink" Target="http://www.boxofficemojo.com/movies/?id=thebeautyinside.htm" TargetMode="External"/><Relationship Id="rId1153" Type="http://schemas.openxmlformats.org/officeDocument/2006/relationships/hyperlink" Target="http://www.boxofficemojo.com/studio/chart/?studio=wellgo.htm" TargetMode="External"/><Relationship Id="rId1154" Type="http://schemas.openxmlformats.org/officeDocument/2006/relationships/hyperlink" Target="http://www.boxofficemojo.com/schedule/?view=bydate&amp;release=theatrical&amp;date=2015-09-11&amp;p=.htm" TargetMode="External"/><Relationship Id="rId1155" Type="http://schemas.openxmlformats.org/officeDocument/2006/relationships/hyperlink" Target="http://www.boxofficemojo.com/movies/?id=thechroniclesofevil.htm" TargetMode="External"/><Relationship Id="rId1156" Type="http://schemas.openxmlformats.org/officeDocument/2006/relationships/hyperlink" Target="http://www.boxofficemojo.com/studio/chart/?studio=cjentertainment.htm" TargetMode="External"/><Relationship Id="rId1157" Type="http://schemas.openxmlformats.org/officeDocument/2006/relationships/hyperlink" Target="http://www.boxofficemojo.com/schedule/?view=bydate&amp;release=theatrical&amp;date=2015-05-15&amp;p=.htm" TargetMode="External"/><Relationship Id="rId1158" Type="http://schemas.openxmlformats.org/officeDocument/2006/relationships/hyperlink" Target="http://www.boxofficemojo.com/movies/?id=results.htm" TargetMode="External"/><Relationship Id="rId1159" Type="http://schemas.openxmlformats.org/officeDocument/2006/relationships/hyperlink" Target="http://www.boxofficemojo.com/studio/chart/?studio=magnolia.htm" TargetMode="External"/><Relationship Id="rId690" Type="http://schemas.openxmlformats.org/officeDocument/2006/relationships/hyperlink" Target="http://www.boxofficemojo.com/movies/?id=bestofenemies.htm" TargetMode="External"/><Relationship Id="rId691" Type="http://schemas.openxmlformats.org/officeDocument/2006/relationships/hyperlink" Target="http://www.boxofficemojo.com/studio/chart/?studio=magnolia.htm" TargetMode="External"/><Relationship Id="rId692" Type="http://schemas.openxmlformats.org/officeDocument/2006/relationships/hyperlink" Target="http://www.boxofficemojo.com/schedule/?view=bydate&amp;release=theatrical&amp;date=2015-07-31&amp;p=.htm" TargetMode="External"/><Relationship Id="rId693" Type="http://schemas.openxmlformats.org/officeDocument/2006/relationships/hyperlink" Target="http://www.boxofficemojo.com/movies/?id=abcd2.htm" TargetMode="External"/><Relationship Id="rId694" Type="http://schemas.openxmlformats.org/officeDocument/2006/relationships/hyperlink" Target="http://www.boxofficemojo.com/studio/chart/?studio=utv.htm" TargetMode="External"/><Relationship Id="rId695" Type="http://schemas.openxmlformats.org/officeDocument/2006/relationships/hyperlink" Target="http://www.boxofficemojo.com/schedule/?view=bydate&amp;release=theatrical&amp;date=2015-06-19&amp;p=.htm" TargetMode="External"/><Relationship Id="rId696" Type="http://schemas.openxmlformats.org/officeDocument/2006/relationships/hyperlink" Target="http://www.boxofficemojo.com/movies/?id=mustang.htm" TargetMode="External"/><Relationship Id="rId697" Type="http://schemas.openxmlformats.org/officeDocument/2006/relationships/hyperlink" Target="http://www.boxofficemojo.com/studio/chart/?studio=cohenmedia.htm" TargetMode="External"/><Relationship Id="rId698" Type="http://schemas.openxmlformats.org/officeDocument/2006/relationships/hyperlink" Target="http://www.boxofficemojo.com/schedule/?view=bydate&amp;release=theatrical&amp;date=2015-11-20&amp;p=.htm" TargetMode="External"/><Relationship Id="rId699" Type="http://schemas.openxmlformats.org/officeDocument/2006/relationships/hyperlink" Target="http://www.boxofficemojo.com/movies/?id=sleepingwithotherpeople.htm" TargetMode="External"/><Relationship Id="rId1544" Type="http://schemas.openxmlformats.org/officeDocument/2006/relationships/hyperlink" Target="http://www.boxofficemojo.com/schedule/?view=bydate&amp;release=theatrical&amp;date=2015-05-15&amp;p=.htm" TargetMode="External"/><Relationship Id="rId1545" Type="http://schemas.openxmlformats.org/officeDocument/2006/relationships/hyperlink" Target="http://www.boxofficemojo.com/movies/?id=nomamyperfectstorm.htm" TargetMode="External"/><Relationship Id="rId1546" Type="http://schemas.openxmlformats.org/officeDocument/2006/relationships/hyperlink" Target="http://www.boxofficemojo.com/studio/chart/?studio=magnolia.htm" TargetMode="External"/><Relationship Id="rId1547" Type="http://schemas.openxmlformats.org/officeDocument/2006/relationships/hyperlink" Target="http://www.boxofficemojo.com/schedule/?view=bydate&amp;release=theatrical&amp;date=2015-12-18&amp;p=.htm" TargetMode="External"/><Relationship Id="rId1548" Type="http://schemas.openxmlformats.org/officeDocument/2006/relationships/hyperlink" Target="http://www.boxofficemojo.com/movies/?id=consumed.htm" TargetMode="External"/><Relationship Id="rId1549" Type="http://schemas.openxmlformats.org/officeDocument/2006/relationships/hyperlink" Target="http://www.boxofficemojo.com/studio/chart/?studio=gathrfilms.htm" TargetMode="External"/><Relationship Id="rId1934" Type="http://schemas.openxmlformats.org/officeDocument/2006/relationships/hyperlink" Target="http://www.boxofficemojo.com/schedule/?view=bydate&amp;release=theatrical&amp;date=2015-07-31&amp;p=.htm" TargetMode="External"/><Relationship Id="rId1935" Type="http://schemas.openxmlformats.org/officeDocument/2006/relationships/hyperlink" Target="http://www.boxofficemojo.com/movies/?id=againstthesun.htm" TargetMode="External"/><Relationship Id="rId1936" Type="http://schemas.openxmlformats.org/officeDocument/2006/relationships/hyperlink" Target="http://www.boxofficemojo.com/studio/chart/?studio=theamericanfilmcompany.htm" TargetMode="External"/><Relationship Id="rId1937" Type="http://schemas.openxmlformats.org/officeDocument/2006/relationships/hyperlink" Target="http://www.boxofficemojo.com/schedule/?view=bydate&amp;release=theatrical&amp;date=2015-01-23&amp;p=.htm" TargetMode="External"/><Relationship Id="rId1938" Type="http://schemas.openxmlformats.org/officeDocument/2006/relationships/hyperlink" Target="http://www.boxofficemojo.com/movies/?id=ashby.htm" TargetMode="External"/><Relationship Id="rId1939" Type="http://schemas.openxmlformats.org/officeDocument/2006/relationships/hyperlink" Target="http://www.boxofficemojo.com/studio/chart/?studio=filmarcade.htm" TargetMode="External"/><Relationship Id="rId80" Type="http://schemas.openxmlformats.org/officeDocument/2006/relationships/hyperlink" Target="http://www.boxofficemojo.com/schedule/?view=bydate&amp;release=theatrical&amp;date=2015-02-13&amp;p=.htm" TargetMode="External"/><Relationship Id="rId81" Type="http://schemas.openxmlformats.org/officeDocument/2006/relationships/hyperlink" Target="http://www.boxofficemojo.com/movies/?id=pixar2013.htm" TargetMode="External"/><Relationship Id="rId82" Type="http://schemas.openxmlformats.org/officeDocument/2006/relationships/hyperlink" Target="http://www.boxofficemojo.com/studio/chart/?studio=buenavista.htm" TargetMode="External"/><Relationship Id="rId83" Type="http://schemas.openxmlformats.org/officeDocument/2006/relationships/hyperlink" Target="http://www.boxofficemojo.com/schedule/?view=bydate&amp;release=theatrical&amp;date=2015-11-25&amp;p=.htm" TargetMode="External"/><Relationship Id="rId84" Type="http://schemas.openxmlformats.org/officeDocument/2006/relationships/hyperlink" Target="http://www.boxofficemojo.com/movies/?id=susancooper.htm" TargetMode="External"/><Relationship Id="rId85" Type="http://schemas.openxmlformats.org/officeDocument/2006/relationships/hyperlink" Target="http://www.boxofficemojo.com/studio/chart/?studio=fox.htm" TargetMode="External"/><Relationship Id="rId86" Type="http://schemas.openxmlformats.org/officeDocument/2006/relationships/hyperlink" Target="http://www.boxofficemojo.com/schedule/?view=bydate&amp;release=theatrical&amp;date=2015-06-05&amp;p=.htm" TargetMode="External"/><Relationship Id="rId87" Type="http://schemas.openxmlformats.org/officeDocument/2006/relationships/hyperlink" Target="http://www.boxofficemojo.com/movies/?id=trainwreck15.htm" TargetMode="External"/><Relationship Id="rId88" Type="http://schemas.openxmlformats.org/officeDocument/2006/relationships/hyperlink" Target="http://www.boxofficemojo.com/studio/chart/?studio=universal.htm" TargetMode="External"/><Relationship Id="rId89" Type="http://schemas.openxmlformats.org/officeDocument/2006/relationships/hyperlink" Target="http://www.boxofficemojo.com/schedule/?view=bydate&amp;release=theatrical&amp;date=2015-07-17&amp;p=.htm" TargetMode="External"/><Relationship Id="rId1940" Type="http://schemas.openxmlformats.org/officeDocument/2006/relationships/hyperlink" Target="http://www.boxofficemojo.com/schedule/?view=bydate&amp;release=theatrical&amp;date=2015-09-25&amp;p=.htm" TargetMode="External"/><Relationship Id="rId1941" Type="http://schemas.openxmlformats.org/officeDocument/2006/relationships/hyperlink" Target="http://www.boxofficemojo.com/movies/?id=seedsoftime.htm" TargetMode="External"/><Relationship Id="rId1942" Type="http://schemas.openxmlformats.org/officeDocument/2006/relationships/hyperlink" Target="http://www.boxofficemojo.com/studio/chart/?studio=kinolorber.htm" TargetMode="External"/><Relationship Id="rId1943" Type="http://schemas.openxmlformats.org/officeDocument/2006/relationships/hyperlink" Target="http://www.boxofficemojo.com/schedule/?view=bydate&amp;release=theatrical&amp;date=2015-05-22&amp;p=.htm" TargetMode="External"/><Relationship Id="rId1550" Type="http://schemas.openxmlformats.org/officeDocument/2006/relationships/hyperlink" Target="http://www.boxofficemojo.com/schedule/?view=bydate&amp;release=theatrical&amp;date=2015-11-10&amp;p=.htm" TargetMode="External"/><Relationship Id="rId1551" Type="http://schemas.openxmlformats.org/officeDocument/2006/relationships/hyperlink" Target="http://www.boxofficemojo.com/movies/?id=boymeetsgirl2015.htm" TargetMode="External"/><Relationship Id="rId1552" Type="http://schemas.openxmlformats.org/officeDocument/2006/relationships/hyperlink" Target="http://www.boxofficemojo.com/studio/chart/?studio=bramacharia.htm" TargetMode="External"/><Relationship Id="rId1553" Type="http://schemas.openxmlformats.org/officeDocument/2006/relationships/hyperlink" Target="http://www.boxofficemojo.com/schedule/?view=bydate&amp;release=theatrical&amp;date=2015-02-06&amp;p=.htm" TargetMode="External"/><Relationship Id="rId1160" Type="http://schemas.openxmlformats.org/officeDocument/2006/relationships/hyperlink" Target="http://www.boxofficemojo.com/schedule/?view=bydate&amp;release=theatrical&amp;date=2015-05-29&amp;p=.htm" TargetMode="External"/><Relationship Id="rId1161" Type="http://schemas.openxmlformats.org/officeDocument/2006/relationships/hyperlink" Target="http://www.boxofficemojo.com/movies/?id=everysecretthing.htm" TargetMode="External"/><Relationship Id="rId1162" Type="http://schemas.openxmlformats.org/officeDocument/2006/relationships/hyperlink" Target="http://www.boxofficemojo.com/studio/chart/?studio=starzmedia.htm" TargetMode="External"/><Relationship Id="rId1163" Type="http://schemas.openxmlformats.org/officeDocument/2006/relationships/hyperlink" Target="http://www.boxofficemojo.com/schedule/?view=bydate&amp;release=theatrical&amp;date=2015-05-15&amp;p=.htm" TargetMode="External"/><Relationship Id="rId1164" Type="http://schemas.openxmlformats.org/officeDocument/2006/relationships/hyperlink" Target="http://www.boxofficemojo.com/movies/?id=beyondthebrick.htm" TargetMode="External"/><Relationship Id="rId1165" Type="http://schemas.openxmlformats.org/officeDocument/2006/relationships/hyperlink" Target="http://www.boxofficemojo.com/studio/chart/?studio=radiustwc.htm" TargetMode="External"/><Relationship Id="rId1166" Type="http://schemas.openxmlformats.org/officeDocument/2006/relationships/hyperlink" Target="http://www.boxofficemojo.com/schedule/?view=bydate&amp;release=theatrical&amp;date=2015-07-31&amp;p=.htm" TargetMode="External"/><Relationship Id="rId1167" Type="http://schemas.openxmlformats.org/officeDocument/2006/relationships/hyperlink" Target="http://www.boxofficemojo.com/movies/?id=manfromreno.htm" TargetMode="External"/><Relationship Id="rId1168" Type="http://schemas.openxmlformats.org/officeDocument/2006/relationships/hyperlink" Target="http://www.boxofficemojo.com/studio/chart/?studio=firstpond.htm" TargetMode="External"/><Relationship Id="rId1169" Type="http://schemas.openxmlformats.org/officeDocument/2006/relationships/hyperlink" Target="http://www.boxofficemojo.com/schedule/?view=bydate&amp;release=theatrical&amp;date=2015-03-27&amp;p=.htm" TargetMode="External"/><Relationship Id="rId1554" Type="http://schemas.openxmlformats.org/officeDocument/2006/relationships/hyperlink" Target="http://www.boxofficemojo.com/movies/?id=loverosie.htm" TargetMode="External"/><Relationship Id="rId1555" Type="http://schemas.openxmlformats.org/officeDocument/2006/relationships/hyperlink" Target="http://www.boxofficemojo.com/studio/chart/?studio=filmarcade.htm" TargetMode="External"/><Relationship Id="rId1556" Type="http://schemas.openxmlformats.org/officeDocument/2006/relationships/hyperlink" Target="http://www.boxofficemojo.com/schedule/?view=bydate&amp;release=theatrical&amp;date=2015-02-06&amp;p=.htm" TargetMode="External"/><Relationship Id="rId1557" Type="http://schemas.openxmlformats.org/officeDocument/2006/relationships/hyperlink" Target="http://www.boxofficemojo.com/movies/?id=futurobeach.htm" TargetMode="External"/><Relationship Id="rId1558" Type="http://schemas.openxmlformats.org/officeDocument/2006/relationships/hyperlink" Target="http://www.boxofficemojo.com/studio/chart/?studio=strand.htm" TargetMode="External"/><Relationship Id="rId1559" Type="http://schemas.openxmlformats.org/officeDocument/2006/relationships/hyperlink" Target="http://www.boxofficemojo.com/schedule/?view=bydate&amp;release=theatrical&amp;date=2015-02-27&amp;p=.htm" TargetMode="External"/><Relationship Id="rId1944" Type="http://schemas.openxmlformats.org/officeDocument/2006/relationships/hyperlink" Target="http://www.boxofficemojo.com/movies/?id=arabiannightsvol3.htm" TargetMode="External"/><Relationship Id="rId1945" Type="http://schemas.openxmlformats.org/officeDocument/2006/relationships/hyperlink" Target="http://www.boxofficemojo.com/studio/chart/?studio=kinolorber.htm" TargetMode="External"/><Relationship Id="rId1946" Type="http://schemas.openxmlformats.org/officeDocument/2006/relationships/hyperlink" Target="http://www.boxofficemojo.com/schedule/?view=bydate&amp;release=theatrical&amp;date=2015-12-18&amp;p=.htm" TargetMode="External"/><Relationship Id="rId1947" Type="http://schemas.openxmlformats.org/officeDocument/2006/relationships/hyperlink" Target="http://www.boxofficemojo.com/movies/?id=thesummerofsangaile.htm" TargetMode="External"/><Relationship Id="rId1948" Type="http://schemas.openxmlformats.org/officeDocument/2006/relationships/hyperlink" Target="http://www.boxofficemojo.com/studio/chart/?studio=strand.htm" TargetMode="External"/><Relationship Id="rId1949" Type="http://schemas.openxmlformats.org/officeDocument/2006/relationships/hyperlink" Target="http://www.boxofficemojo.com/schedule/?view=bydate&amp;release=theatrical&amp;date=2015-11-20&amp;p=.htm" TargetMode="External"/><Relationship Id="rId300" Type="http://schemas.openxmlformats.org/officeDocument/2006/relationships/hyperlink" Target="http://www.boxofficemojo.com/movies/?id=blackorwhite.htm" TargetMode="External"/><Relationship Id="rId301" Type="http://schemas.openxmlformats.org/officeDocument/2006/relationships/hyperlink" Target="http://www.boxofficemojo.com/studio/chart/?studio=relativity.htm" TargetMode="External"/><Relationship Id="rId302" Type="http://schemas.openxmlformats.org/officeDocument/2006/relationships/hyperlink" Target="http://www.boxofficemojo.com/schedule/?view=bydate&amp;release=theatrical&amp;date=2015-01-30&amp;p=.htm" TargetMode="External"/><Relationship Id="rId303" Type="http://schemas.openxmlformats.org/officeDocument/2006/relationships/hyperlink" Target="http://www.boxofficemojo.com/movies/?id=crowe2014.htm" TargetMode="External"/><Relationship Id="rId304" Type="http://schemas.openxmlformats.org/officeDocument/2006/relationships/hyperlink" Target="http://www.boxofficemojo.com/studio/chart/?studio=sony.htm" TargetMode="External"/><Relationship Id="rId305" Type="http://schemas.openxmlformats.org/officeDocument/2006/relationships/hyperlink" Target="http://www.boxofficemojo.com/schedule/?view=bydate&amp;release=theatrical&amp;date=2015-05-29&amp;p=.htm" TargetMode="External"/><Relationship Id="rId306" Type="http://schemas.openxmlformats.org/officeDocument/2006/relationships/hyperlink" Target="http://www.boxofficemojo.com/movies/?id=secretintheireyes2015.htm" TargetMode="External"/><Relationship Id="rId307" Type="http://schemas.openxmlformats.org/officeDocument/2006/relationships/hyperlink" Target="http://www.boxofficemojo.com/studio/chart/?studio=stx.htm" TargetMode="External"/><Relationship Id="rId308" Type="http://schemas.openxmlformats.org/officeDocument/2006/relationships/hyperlink" Target="http://www.boxofficemojo.com/schedule/?view=bydate&amp;release=theatrical&amp;date=2015-11-20&amp;p=.htm" TargetMode="External"/><Relationship Id="rId309" Type="http://schemas.openxmlformats.org/officeDocument/2006/relationships/hyperlink" Target="http://www.boxofficemojo.com/movies/?id=shaunthesheep.htm" TargetMode="External"/><Relationship Id="rId90" Type="http://schemas.openxmlformats.org/officeDocument/2006/relationships/hyperlink" Target="http://www.boxofficemojo.com/movies/?id=creed.htm" TargetMode="External"/><Relationship Id="rId91" Type="http://schemas.openxmlformats.org/officeDocument/2006/relationships/hyperlink" Target="http://www.boxofficemojo.com/studio/chart/?studio=wb-newline.htm" TargetMode="External"/><Relationship Id="rId92" Type="http://schemas.openxmlformats.org/officeDocument/2006/relationships/hyperlink" Target="http://www.boxofficemojo.com/schedule/?view=bydate&amp;release=theatrical&amp;date=2015-11-25&amp;p=.htm" TargetMode="External"/><Relationship Id="rId93" Type="http://schemas.openxmlformats.org/officeDocument/2006/relationships/hyperlink" Target="http://www.boxofficemojo.com/movies/?id=1952.htm" TargetMode="External"/><Relationship Id="rId94" Type="http://schemas.openxmlformats.org/officeDocument/2006/relationships/hyperlink" Target="http://www.boxofficemojo.com/studio/chart/?studio=buenavista.htm" TargetMode="External"/><Relationship Id="rId95" Type="http://schemas.openxmlformats.org/officeDocument/2006/relationships/hyperlink" Target="http://www.boxofficemojo.com/schedule/?view=bydate&amp;release=theatrical&amp;date=2015-05-22&amp;p=.htm" TargetMode="External"/><Relationship Id="rId96" Type="http://schemas.openxmlformats.org/officeDocument/2006/relationships/hyperlink" Target="http://www.boxofficemojo.com/movies/?id=gethard.htm" TargetMode="External"/><Relationship Id="rId97" Type="http://schemas.openxmlformats.org/officeDocument/2006/relationships/hyperlink" Target="http://www.boxofficemojo.com/studio/chart/?studio=warnerbros.htm" TargetMode="External"/><Relationship Id="rId98" Type="http://schemas.openxmlformats.org/officeDocument/2006/relationships/hyperlink" Target="http://www.boxofficemojo.com/schedule/?view=bydate&amp;release=theatrical&amp;date=2015-03-27&amp;p=.htm" TargetMode="External"/><Relationship Id="rId99" Type="http://schemas.openxmlformats.org/officeDocument/2006/relationships/hyperlink" Target="http://www.boxofficemojo.com/movies/?id=terminator2015.htm" TargetMode="External"/><Relationship Id="rId1950" Type="http://schemas.openxmlformats.org/officeDocument/2006/relationships/hyperlink" Target="http://www.boxofficemojo.com/movies/?id=farewellherrschwarz.htm" TargetMode="External"/><Relationship Id="rId1951" Type="http://schemas.openxmlformats.org/officeDocument/2006/relationships/hyperlink" Target="http://www.boxofficemojo.com/studio/chart/?studio=kinolorber.htm" TargetMode="External"/><Relationship Id="rId1952" Type="http://schemas.openxmlformats.org/officeDocument/2006/relationships/hyperlink" Target="http://www.boxofficemojo.com/schedule/?view=bydate&amp;release=theatrical&amp;date=2015-01-09&amp;p=.htm" TargetMode="External"/><Relationship Id="rId1953" Type="http://schemas.openxmlformats.org/officeDocument/2006/relationships/hyperlink" Target="http://www.boxofficemojo.com/movies/?id=clublife.htm" TargetMode="External"/><Relationship Id="rId1560" Type="http://schemas.openxmlformats.org/officeDocument/2006/relationships/hyperlink" Target="http://www.boxofficemojo.com/movies/?id=friendsandromans.htm" TargetMode="External"/><Relationship Id="rId1561" Type="http://schemas.openxmlformats.org/officeDocument/2006/relationships/hyperlink" Target="http://www.boxofficemojo.com/studio/chart/?studio=paladin.htm" TargetMode="External"/><Relationship Id="rId1562" Type="http://schemas.openxmlformats.org/officeDocument/2006/relationships/hyperlink" Target="http://www.boxofficemojo.com/schedule/?view=bydate&amp;release=theatrical&amp;date=2015-10-23&amp;p=.htm" TargetMode="External"/><Relationship Id="rId1563" Type="http://schemas.openxmlformats.org/officeDocument/2006/relationships/hyperlink" Target="http://www.boxofficemojo.com/movies/?id=forbiddengames1952.htm" TargetMode="External"/><Relationship Id="rId1170" Type="http://schemas.openxmlformats.org/officeDocument/2006/relationships/hyperlink" Target="http://www.boxofficemojo.com/movies/?id=jameswhite.htm" TargetMode="External"/><Relationship Id="rId1171" Type="http://schemas.openxmlformats.org/officeDocument/2006/relationships/hyperlink" Target="http://www.boxofficemojo.com/studio/chart/?studio=filmarcade.htm" TargetMode="External"/><Relationship Id="rId1172" Type="http://schemas.openxmlformats.org/officeDocument/2006/relationships/hyperlink" Target="http://www.boxofficemojo.com/schedule/?view=bydate&amp;release=theatrical&amp;date=2015-11-13&amp;p=.htm" TargetMode="External"/><Relationship Id="rId1173" Type="http://schemas.openxmlformats.org/officeDocument/2006/relationships/hyperlink" Target="http://www.boxofficemojo.com/movies/?id=ghostintheshell2015.htm" TargetMode="External"/><Relationship Id="rId1174" Type="http://schemas.openxmlformats.org/officeDocument/2006/relationships/hyperlink" Target="http://www.boxofficemojo.com/studio/chart/?studio=funimation.htm" TargetMode="External"/><Relationship Id="rId1175" Type="http://schemas.openxmlformats.org/officeDocument/2006/relationships/hyperlink" Target="http://www.boxofficemojo.com/schedule/?view=bydate&amp;release=theatrical&amp;date=2015-11-10&amp;p=.htm" TargetMode="External"/><Relationship Id="rId1176" Type="http://schemas.openxmlformats.org/officeDocument/2006/relationships/hyperlink" Target="http://www.boxofficemojo.com/movies/?id=blacksouls(animenere).htm" TargetMode="External"/><Relationship Id="rId1177" Type="http://schemas.openxmlformats.org/officeDocument/2006/relationships/hyperlink" Target="http://www.boxofficemojo.com/studio/chart/?studio=alchemy.htm" TargetMode="External"/><Relationship Id="rId1178" Type="http://schemas.openxmlformats.org/officeDocument/2006/relationships/hyperlink" Target="http://www.boxofficemojo.com/schedule/?view=bydate&amp;release=theatrical&amp;date=2015-04-10&amp;p=.htm" TargetMode="External"/><Relationship Id="rId1179" Type="http://schemas.openxmlformats.org/officeDocument/2006/relationships/hyperlink" Target="http://www.boxofficemojo.com/movies/?id=apoemisanakedperson.htm" TargetMode="External"/><Relationship Id="rId1564" Type="http://schemas.openxmlformats.org/officeDocument/2006/relationships/hyperlink" Target="http://www.boxofficemojo.com/studio/chart/?studio=rialto.htm" TargetMode="External"/><Relationship Id="rId1565" Type="http://schemas.openxmlformats.org/officeDocument/2006/relationships/hyperlink" Target="http://www.boxofficemojo.com/schedule/?view=bydate&amp;release=theatrical&amp;date=2015-04-24&amp;p=.htm" TargetMode="External"/><Relationship Id="rId1566" Type="http://schemas.openxmlformats.org/officeDocument/2006/relationships/hyperlink" Target="http://www.boxofficemojo.com/movies/?id=wildcanaries.htm" TargetMode="External"/><Relationship Id="rId1567" Type="http://schemas.openxmlformats.org/officeDocument/2006/relationships/hyperlink" Target="http://www.boxofficemojo.com/studio/chart/?studio=ifc.htm" TargetMode="External"/><Relationship Id="rId1568" Type="http://schemas.openxmlformats.org/officeDocument/2006/relationships/hyperlink" Target="http://www.boxofficemojo.com/schedule/?view=bydate&amp;release=theatrical&amp;date=2015-02-25&amp;p=.htm" TargetMode="External"/><Relationship Id="rId1569" Type="http://schemas.openxmlformats.org/officeDocument/2006/relationships/hyperlink" Target="http://www.boxofficemojo.com/movies/?id=miserylovescomedy.htm" TargetMode="External"/><Relationship Id="rId1954" Type="http://schemas.openxmlformats.org/officeDocument/2006/relationships/hyperlink" Target="http://www.boxofficemojo.com/studio/chart/?studio=orchard.htm" TargetMode="External"/><Relationship Id="rId1955" Type="http://schemas.openxmlformats.org/officeDocument/2006/relationships/hyperlink" Target="http://www.boxofficemojo.com/schedule/?view=bydate&amp;release=theatrical&amp;date=2015-05-29&amp;p=.htm" TargetMode="External"/><Relationship Id="rId1956" Type="http://schemas.openxmlformats.org/officeDocument/2006/relationships/hyperlink" Target="http://www.boxofficemojo.com/movies/?id=backtothejurassic.htm" TargetMode="External"/><Relationship Id="rId1957" Type="http://schemas.openxmlformats.org/officeDocument/2006/relationships/hyperlink" Target="http://www.boxofficemojo.com/studio/chart/?studio=cjentertainment.htm" TargetMode="External"/><Relationship Id="rId1958" Type="http://schemas.openxmlformats.org/officeDocument/2006/relationships/hyperlink" Target="http://www.boxofficemojo.com/schedule/?view=bydate&amp;release=theatrical&amp;date=2015-06-09&amp;p=.htm" TargetMode="External"/><Relationship Id="rId1959" Type="http://schemas.openxmlformats.org/officeDocument/2006/relationships/hyperlink" Target="http://www.boxofficemojo.com/movies/?id=daysofgrace.htm" TargetMode="External"/><Relationship Id="rId700" Type="http://schemas.openxmlformats.org/officeDocument/2006/relationships/hyperlink" Target="http://www.boxofficemojo.com/studio/chart/?studio=ifc.htm" TargetMode="External"/><Relationship Id="rId701" Type="http://schemas.openxmlformats.org/officeDocument/2006/relationships/hyperlink" Target="http://www.boxofficemojo.com/schedule/?view=bydate&amp;release=theatrical&amp;date=2015-09-11&amp;p=.htm" TargetMode="External"/><Relationship Id="rId702" Type="http://schemas.openxmlformats.org/officeDocument/2006/relationships/hyperlink" Target="http://www.boxofficemojo.com/movies/?id=wreckingcrew.htm" TargetMode="External"/><Relationship Id="rId703" Type="http://schemas.openxmlformats.org/officeDocument/2006/relationships/hyperlink" Target="http://www.boxofficemojo.com/studio/chart/?studio=magnolia.htm" TargetMode="External"/><Relationship Id="rId310" Type="http://schemas.openxmlformats.org/officeDocument/2006/relationships/hyperlink" Target="http://www.boxofficemojo.com/studio/chart/?studio=lionsgate.htm" TargetMode="External"/><Relationship Id="rId311" Type="http://schemas.openxmlformats.org/officeDocument/2006/relationships/hyperlink" Target="http://www.boxofficemojo.com/schedule/?view=bydate&amp;release=theatrical&amp;date=2015-08-05&amp;p=.htm" TargetMode="External"/><Relationship Id="rId312" Type="http://schemas.openxmlformats.org/officeDocument/2006/relationships/hyperlink" Target="http://www.boxofficemojo.com/movies/?id=stillalice.htm" TargetMode="External"/><Relationship Id="rId313" Type="http://schemas.openxmlformats.org/officeDocument/2006/relationships/hyperlink" Target="http://www.boxofficemojo.com/studio/chart/?studio=sonyclassics.htm" TargetMode="External"/><Relationship Id="rId314" Type="http://schemas.openxmlformats.org/officeDocument/2006/relationships/hyperlink" Target="http://www.boxofficemojo.com/schedule/?view=bydate&amp;release=theatrical&amp;date=2015-01-16&amp;p=.htm" TargetMode="External"/><Relationship Id="rId315" Type="http://schemas.openxmlformats.org/officeDocument/2006/relationships/hyperlink" Target="http://www.boxofficemojo.com/movies/?id=paranormalactivity2014.htm" TargetMode="External"/><Relationship Id="rId316" Type="http://schemas.openxmlformats.org/officeDocument/2006/relationships/hyperlink" Target="http://www.boxofficemojo.com/studio/chart/?studio=paramount.htm" TargetMode="External"/><Relationship Id="rId317" Type="http://schemas.openxmlformats.org/officeDocument/2006/relationships/hyperlink" Target="http://www.boxofficemojo.com/schedule/?view=bydate&amp;release=theatrical&amp;date=2015-10-23&amp;p=.htm" TargetMode="External"/><Relationship Id="rId318" Type="http://schemas.openxmlformats.org/officeDocument/2006/relationships/hyperlink" Target="http://www.boxofficemojo.com/movies/?id=jobs2015.htm" TargetMode="External"/><Relationship Id="rId319" Type="http://schemas.openxmlformats.org/officeDocument/2006/relationships/hyperlink" Target="http://www.boxofficemojo.com/studio/chart/?studio=universal.htm" TargetMode="External"/><Relationship Id="rId704" Type="http://schemas.openxmlformats.org/officeDocument/2006/relationships/hyperlink" Target="http://www.boxofficemojo.com/schedule/?view=bydate&amp;release=theatrical&amp;date=2015-03-13&amp;p=.htm" TargetMode="External"/><Relationship Id="rId705" Type="http://schemas.openxmlformats.org/officeDocument/2006/relationships/hyperlink" Target="http://www.boxofficemojo.com/movies/?id=labyrinthoflies.htm" TargetMode="External"/><Relationship Id="rId706" Type="http://schemas.openxmlformats.org/officeDocument/2006/relationships/hyperlink" Target="http://www.boxofficemojo.com/studio/chart/?studio=sonyclassics.htm" TargetMode="External"/><Relationship Id="rId707" Type="http://schemas.openxmlformats.org/officeDocument/2006/relationships/hyperlink" Target="http://www.boxofficemojo.com/schedule/?view=bydate&amp;release=theatrical&amp;date=2015-09-30&amp;p=.htm" TargetMode="External"/><Relationship Id="rId708" Type="http://schemas.openxmlformats.org/officeDocument/2006/relationships/hyperlink" Target="http://www.boxofficemojo.com/movies/?id=seymour.htm" TargetMode="External"/><Relationship Id="rId709" Type="http://schemas.openxmlformats.org/officeDocument/2006/relationships/hyperlink" Target="http://www.boxofficemojo.com/studio/chart/?studio=ifc.htm" TargetMode="External"/><Relationship Id="rId1960" Type="http://schemas.openxmlformats.org/officeDocument/2006/relationships/hyperlink" Target="http://www.boxofficemojo.com/studio/chart/?studio=cinemapurgatorio.htm" TargetMode="External"/><Relationship Id="rId1961" Type="http://schemas.openxmlformats.org/officeDocument/2006/relationships/hyperlink" Target="http://www.boxofficemojo.com/schedule/?view=bydate&amp;release=theatrical&amp;date=2015-05-01&amp;p=.htm" TargetMode="External"/><Relationship Id="rId1962" Type="http://schemas.openxmlformats.org/officeDocument/2006/relationships/hyperlink" Target="http://www.boxofficemojo.com/movies/?id=setfiretothestars.htm" TargetMode="External"/><Relationship Id="rId1963" Type="http://schemas.openxmlformats.org/officeDocument/2006/relationships/hyperlink" Target="http://www.boxofficemojo.com/studio/chart/?studio=strand.htm" TargetMode="External"/><Relationship Id="rId1570" Type="http://schemas.openxmlformats.org/officeDocument/2006/relationships/hyperlink" Target="http://www.boxofficemojo.com/studio/chart/?studio=tribecafilm.htm" TargetMode="External"/><Relationship Id="rId1571" Type="http://schemas.openxmlformats.org/officeDocument/2006/relationships/hyperlink" Target="http://www.boxofficemojo.com/schedule/?view=bydate&amp;release=theatrical&amp;date=2015-04-24&amp;p=.htm" TargetMode="External"/><Relationship Id="rId1572" Type="http://schemas.openxmlformats.org/officeDocument/2006/relationships/hyperlink" Target="http://www.boxofficemojo.com/movies/?id=goingaway.htm" TargetMode="External"/><Relationship Id="rId1573" Type="http://schemas.openxmlformats.org/officeDocument/2006/relationships/hyperlink" Target="http://www.boxofficemojo.com/studio/chart/?studio=cohenmedia.htm" TargetMode="External"/><Relationship Id="rId1180" Type="http://schemas.openxmlformats.org/officeDocument/2006/relationships/hyperlink" Target="http://www.boxofficemojo.com/studio/chart/?studio=janusfilms.htm" TargetMode="External"/><Relationship Id="rId1181" Type="http://schemas.openxmlformats.org/officeDocument/2006/relationships/hyperlink" Target="http://www.boxofficemojo.com/schedule/?view=bydate&amp;release=theatrical&amp;date=2015-07-01&amp;p=.htm" TargetMode="External"/><Relationship Id="rId1182" Type="http://schemas.openxmlformats.org/officeDocument/2006/relationships/hyperlink" Target="http://www.boxofficemojo.com/movies/?id=savingmrwu.htm" TargetMode="External"/><Relationship Id="rId1183" Type="http://schemas.openxmlformats.org/officeDocument/2006/relationships/hyperlink" Target="http://www.boxofficemojo.com/studio/chart/?studio=unitedentertainment.htm" TargetMode="External"/><Relationship Id="rId1184" Type="http://schemas.openxmlformats.org/officeDocument/2006/relationships/hyperlink" Target="http://www.boxofficemojo.com/schedule/?view=bydate&amp;release=theatrical&amp;date=2015-10-02&amp;p=.htm" TargetMode="External"/><Relationship Id="rId1185" Type="http://schemas.openxmlformats.org/officeDocument/2006/relationships/hyperlink" Target="http://www.boxofficemojo.com/movies/?id=talesofhoffman.htm" TargetMode="External"/><Relationship Id="rId1186" Type="http://schemas.openxmlformats.org/officeDocument/2006/relationships/hyperlink" Target="http://www.boxofficemojo.com/studio/chart/?studio=rialto.htm" TargetMode="External"/><Relationship Id="rId1187" Type="http://schemas.openxmlformats.org/officeDocument/2006/relationships/hyperlink" Target="http://www.boxofficemojo.com/schedule/?view=bydate&amp;release=theatrical&amp;date=2015-03-13&amp;p=.htm" TargetMode="External"/><Relationship Id="rId1188" Type="http://schemas.openxmlformats.org/officeDocument/2006/relationships/hyperlink" Target="http://www.boxofficemojo.com/movies/?id=legendsfromthesky.htm" TargetMode="External"/><Relationship Id="rId1189" Type="http://schemas.openxmlformats.org/officeDocument/2006/relationships/hyperlink" Target="http://www.boxofficemojo.com/studio/chart/?studio=holthamilton.htm" TargetMode="External"/><Relationship Id="rId1574" Type="http://schemas.openxmlformats.org/officeDocument/2006/relationships/hyperlink" Target="http://www.boxofficemojo.com/schedule/?view=bydate&amp;release=theatrical&amp;date=2015-10-02&amp;p=.htm" TargetMode="External"/><Relationship Id="rId1575" Type="http://schemas.openxmlformats.org/officeDocument/2006/relationships/hyperlink" Target="http://www.boxofficemojo.com/movies/?id=gabo.htm" TargetMode="External"/><Relationship Id="rId1576" Type="http://schemas.openxmlformats.org/officeDocument/2006/relationships/hyperlink" Target="http://www.boxofficemojo.com/studio/chart/?studio=icarus.htm" TargetMode="External"/><Relationship Id="rId1577" Type="http://schemas.openxmlformats.org/officeDocument/2006/relationships/hyperlink" Target="http://www.boxofficemojo.com/schedule/?view=bydate&amp;release=theatrical&amp;date=2015-10-01&amp;p=.htm" TargetMode="External"/><Relationship Id="rId1578" Type="http://schemas.openxmlformats.org/officeDocument/2006/relationships/hyperlink" Target="http://www.boxofficemojo.com/movies/?id=ahardday.htm" TargetMode="External"/><Relationship Id="rId1579" Type="http://schemas.openxmlformats.org/officeDocument/2006/relationships/hyperlink" Target="http://www.boxofficemojo.com/studio/chart/?studio=kinolorber.htm" TargetMode="External"/><Relationship Id="rId1964" Type="http://schemas.openxmlformats.org/officeDocument/2006/relationships/hyperlink" Target="http://www.boxofficemojo.com/schedule/?view=bydate&amp;release=theatrical&amp;date=2015-06-12&amp;p=.htm" TargetMode="External"/><Relationship Id="rId1965" Type="http://schemas.openxmlformats.org/officeDocument/2006/relationships/hyperlink" Target="http://www.boxofficemojo.com/movies/?id=lanavajadedonjuan.htm" TargetMode="External"/><Relationship Id="rId1966" Type="http://schemas.openxmlformats.org/officeDocument/2006/relationships/hyperlink" Target="http://www.boxofficemojo.com/studio/chart/?studio=indican.htm" TargetMode="External"/><Relationship Id="rId1967" Type="http://schemas.openxmlformats.org/officeDocument/2006/relationships/hyperlink" Target="http://www.boxofficemojo.com/schedule/?view=bydate&amp;release=theatrical&amp;date=2015-10-09&amp;p=.htm" TargetMode="External"/><Relationship Id="rId1968" Type="http://schemas.openxmlformats.org/officeDocument/2006/relationships/hyperlink" Target="http://www.boxofficemojo.com/movies/?id=threenightstand.htm" TargetMode="External"/><Relationship Id="rId1969" Type="http://schemas.openxmlformats.org/officeDocument/2006/relationships/hyperlink" Target="http://www.boxofficemojo.com/studio/chart/?studio=fs.htm" TargetMode="External"/><Relationship Id="rId710" Type="http://schemas.openxmlformats.org/officeDocument/2006/relationships/hyperlink" Target="http://www.boxofficemojo.com/schedule/?view=bydate&amp;release=theatrical&amp;date=2015-03-13&amp;p=.htm" TargetMode="External"/><Relationship Id="rId711" Type="http://schemas.openxmlformats.org/officeDocument/2006/relationships/hyperlink" Target="http://www.boxofficemojo.com/movies/?id=onceiwasabeehive.htm" TargetMode="External"/><Relationship Id="rId712" Type="http://schemas.openxmlformats.org/officeDocument/2006/relationships/hyperlink" Target="http://www.boxofficemojo.com/studio/chart/?studio=purdie.htm" TargetMode="External"/><Relationship Id="rId713" Type="http://schemas.openxmlformats.org/officeDocument/2006/relationships/hyperlink" Target="http://www.boxofficemojo.com/schedule/?view=bydate&amp;release=theatrical&amp;date=2015-08-14&amp;p=.htm" TargetMode="External"/><Relationship Id="rId320" Type="http://schemas.openxmlformats.org/officeDocument/2006/relationships/hyperlink" Target="http://www.boxofficemojo.com/schedule/?view=bydate&amp;release=theatrical&amp;date=2015-10-09&amp;p=.htm" TargetMode="External"/><Relationship Id="rId321" Type="http://schemas.openxmlformats.org/officeDocument/2006/relationships/hyperlink" Target="http://www.boxofficemojo.com/movies/?id=mr.holmes.htm" TargetMode="External"/><Relationship Id="rId322" Type="http://schemas.openxmlformats.org/officeDocument/2006/relationships/hyperlink" Target="http://www.boxofficemojo.com/studio/chart/?studio=roadsideattractions.htm" TargetMode="External"/><Relationship Id="rId323" Type="http://schemas.openxmlformats.org/officeDocument/2006/relationships/hyperlink" Target="http://www.boxofficemojo.com/schedule/?view=bydate&amp;release=theatrical&amp;date=2015-07-17&amp;p=.htm" TargetMode="External"/><Relationship Id="rId324" Type="http://schemas.openxmlformats.org/officeDocument/2006/relationships/hyperlink" Target="http://www.boxofficemojo.com/movies/?id=dope.htm" TargetMode="External"/><Relationship Id="rId325" Type="http://schemas.openxmlformats.org/officeDocument/2006/relationships/hyperlink" Target="http://www.boxofficemojo.com/studio/chart/?studio=openroads.htm" TargetMode="External"/><Relationship Id="rId326" Type="http://schemas.openxmlformats.org/officeDocument/2006/relationships/hyperlink" Target="http://www.boxofficemojo.com/schedule/?view=bydate&amp;release=theatrical&amp;date=2015-06-19&amp;p=.htm" TargetMode="External"/><Relationship Id="rId327" Type="http://schemas.openxmlformats.org/officeDocument/2006/relationships/hyperlink" Target="http://www.boxofficemojo.com/movies/?id=seventhson.htm" TargetMode="External"/><Relationship Id="rId328" Type="http://schemas.openxmlformats.org/officeDocument/2006/relationships/hyperlink" Target="http://www.boxofficemojo.com/studio/chart/?studio=universal.htm" TargetMode="External"/><Relationship Id="rId329" Type="http://schemas.openxmlformats.org/officeDocument/2006/relationships/hyperlink" Target="http://www.boxofficemojo.com/schedule/?view=bydate&amp;release=theatrical&amp;date=2015-02-06&amp;p=.htm" TargetMode="External"/><Relationship Id="rId714" Type="http://schemas.openxmlformats.org/officeDocument/2006/relationships/hyperlink" Target="http://www.boxofficemojo.com/movies/?id=cartelland.htm" TargetMode="External"/><Relationship Id="rId715" Type="http://schemas.openxmlformats.org/officeDocument/2006/relationships/hyperlink" Target="http://www.boxofficemojo.com/studio/chart/?studio=orchard.htm" TargetMode="External"/><Relationship Id="rId716" Type="http://schemas.openxmlformats.org/officeDocument/2006/relationships/hyperlink" Target="http://www.boxofficemojo.com/schedule/?view=bydate&amp;release=theatrical&amp;date=2015-07-03&amp;p=.htm" TargetMode="External"/><Relationship Id="rId717" Type="http://schemas.openxmlformats.org/officeDocument/2006/relationships/hyperlink" Target="http://www.boxofficemojo.com/movies/?id=tangerine.htm" TargetMode="External"/><Relationship Id="rId718" Type="http://schemas.openxmlformats.org/officeDocument/2006/relationships/hyperlink" Target="http://www.boxofficemojo.com/studio/chart/?studio=magnolia.htm" TargetMode="External"/><Relationship Id="rId719" Type="http://schemas.openxmlformats.org/officeDocument/2006/relationships/hyperlink" Target="http://www.boxofficemojo.com/schedule/?view=bydate&amp;release=theatrical&amp;date=2015-07-10&amp;p=.htm" TargetMode="External"/><Relationship Id="rId1970" Type="http://schemas.openxmlformats.org/officeDocument/2006/relationships/hyperlink" Target="http://www.boxofficemojo.com/schedule/?view=bydate&amp;release=theatrical&amp;date=2015-01-16&amp;p=.htm" TargetMode="External"/><Relationship Id="rId1971" Type="http://schemas.openxmlformats.org/officeDocument/2006/relationships/hyperlink" Target="http://www.boxofficemojo.com/movies/?id=salvationarmy.htm" TargetMode="External"/><Relationship Id="rId1972" Type="http://schemas.openxmlformats.org/officeDocument/2006/relationships/hyperlink" Target="http://www.boxofficemojo.com/studio/chart/?studio=strand.htm" TargetMode="External"/><Relationship Id="rId1973" Type="http://schemas.openxmlformats.org/officeDocument/2006/relationships/hyperlink" Target="http://www.boxofficemojo.com/schedule/?view=bydate&amp;release=theatrical&amp;date=2015-01-23&amp;p=.htm" TargetMode="External"/><Relationship Id="rId1580" Type="http://schemas.openxmlformats.org/officeDocument/2006/relationships/hyperlink" Target="http://www.boxofficemojo.com/schedule/?view=bydate&amp;release=theatrical&amp;date=2015-07-17&amp;p=.htm" TargetMode="External"/><Relationship Id="rId1581" Type="http://schemas.openxmlformats.org/officeDocument/2006/relationships/hyperlink" Target="http://www.boxofficemojo.com/movies/?id=thechallenger.htm" TargetMode="External"/><Relationship Id="rId1582" Type="http://schemas.openxmlformats.org/officeDocument/2006/relationships/hyperlink" Target="http://www.boxofficemojo.com/studio/chart/?studio=wingatedistribution.htm" TargetMode="External"/><Relationship Id="rId1583" Type="http://schemas.openxmlformats.org/officeDocument/2006/relationships/hyperlink" Target="http://www.boxofficemojo.com/schedule/?view=bydate&amp;release=theatrical&amp;date=2015-09-11&amp;p=.htm" TargetMode="External"/><Relationship Id="rId1190" Type="http://schemas.openxmlformats.org/officeDocument/2006/relationships/hyperlink" Target="http://www.boxofficemojo.com/schedule/?view=bydate&amp;release=theatrical&amp;date=2015-01-30&amp;p=.htm" TargetMode="External"/><Relationship Id="rId1191" Type="http://schemas.openxmlformats.org/officeDocument/2006/relationships/hyperlink" Target="http://www.boxofficemojo.com/movies/?id=christmaseve.htm" TargetMode="External"/><Relationship Id="rId1192" Type="http://schemas.openxmlformats.org/officeDocument/2006/relationships/hyperlink" Target="http://www.boxofficemojo.com/studio/chart/?studio=amplify.htm" TargetMode="External"/><Relationship Id="rId1193" Type="http://schemas.openxmlformats.org/officeDocument/2006/relationships/hyperlink" Target="http://www.boxofficemojo.com/schedule/?view=bydate&amp;release=theatrical&amp;date=2015-12-04&amp;p=.htm" TargetMode="External"/><Relationship Id="rId1194" Type="http://schemas.openxmlformats.org/officeDocument/2006/relationships/hyperlink" Target="http://www.boxofficemojo.com/movies/?id=queenofearth.htm" TargetMode="External"/><Relationship Id="rId1195" Type="http://schemas.openxmlformats.org/officeDocument/2006/relationships/hyperlink" Target="http://www.boxofficemojo.com/studio/chart/?studio=ifc.htm" TargetMode="External"/><Relationship Id="rId1196" Type="http://schemas.openxmlformats.org/officeDocument/2006/relationships/hyperlink" Target="http://www.boxofficemojo.com/schedule/?view=bydate&amp;release=theatrical&amp;date=2015-08-26&amp;p=.htm" TargetMode="External"/><Relationship Id="rId1197" Type="http://schemas.openxmlformats.org/officeDocument/2006/relationships/hyperlink" Target="http://www.boxofficemojo.com/movies/?id=beastsofnonation.htm" TargetMode="External"/><Relationship Id="rId1198" Type="http://schemas.openxmlformats.org/officeDocument/2006/relationships/hyperlink" Target="http://www.boxofficemojo.com/studio/chart/?studio=bleeckerstreet.htm" TargetMode="External"/><Relationship Id="rId1199" Type="http://schemas.openxmlformats.org/officeDocument/2006/relationships/hyperlink" Target="http://www.boxofficemojo.com/schedule/?view=bydate&amp;release=theatrical&amp;date=2015-10-16&amp;p=.htm" TargetMode="External"/><Relationship Id="rId1584" Type="http://schemas.openxmlformats.org/officeDocument/2006/relationships/hyperlink" Target="http://www.boxofficemojo.com/movies/?id=ardor.htm" TargetMode="External"/><Relationship Id="rId1585" Type="http://schemas.openxmlformats.org/officeDocument/2006/relationships/hyperlink" Target="http://www.boxofficemojo.com/studio/chart/?studio=participant.htm" TargetMode="External"/><Relationship Id="rId1586" Type="http://schemas.openxmlformats.org/officeDocument/2006/relationships/hyperlink" Target="http://www.boxofficemojo.com/schedule/?view=bydate&amp;release=theatrical&amp;date=2015-07-17&amp;p=.htm" TargetMode="External"/><Relationship Id="rId1587" Type="http://schemas.openxmlformats.org/officeDocument/2006/relationships/hyperlink" Target="http://www.boxofficemojo.com/movies/?id=littledeath.htm" TargetMode="External"/><Relationship Id="rId1588" Type="http://schemas.openxmlformats.org/officeDocument/2006/relationships/hyperlink" Target="http://www.boxofficemojo.com/studio/chart/?studio=magnolia.htm" TargetMode="External"/><Relationship Id="rId1589" Type="http://schemas.openxmlformats.org/officeDocument/2006/relationships/hyperlink" Target="http://www.boxofficemojo.com/schedule/?view=bydate&amp;release=theatrical&amp;date=2015-06-26&amp;p=.htm" TargetMode="External"/><Relationship Id="rId1974" Type="http://schemas.openxmlformats.org/officeDocument/2006/relationships/hyperlink" Target="http://www.boxofficemojo.com/movies/?id=unfreedom.htm" TargetMode="External"/><Relationship Id="rId1975" Type="http://schemas.openxmlformats.org/officeDocument/2006/relationships/hyperlink" Target="http://www.boxofficemojo.com/studio/chart/?studio=darkframes.htm" TargetMode="External"/><Relationship Id="rId1976" Type="http://schemas.openxmlformats.org/officeDocument/2006/relationships/hyperlink" Target="http://www.boxofficemojo.com/schedule/?view=bydate&amp;release=theatrical&amp;date=2015-05-29&amp;p=.htm" TargetMode="External"/><Relationship Id="rId1977" Type="http://schemas.openxmlformats.org/officeDocument/2006/relationships/hyperlink" Target="http://www.boxofficemojo.com/movies/?id=thefreespeechapocalypse.htm" TargetMode="External"/><Relationship Id="rId1978" Type="http://schemas.openxmlformats.org/officeDocument/2006/relationships/hyperlink" Target="http://www.boxofficemojo.com/studio/chart/?studio=postmill.htm" TargetMode="External"/><Relationship Id="rId1979" Type="http://schemas.openxmlformats.org/officeDocument/2006/relationships/hyperlink" Target="http://www.boxofficemojo.com/schedule/?view=bydate&amp;release=theatrical&amp;date=2015-11-05&amp;p=.htm" TargetMode="External"/><Relationship Id="rId720" Type="http://schemas.openxmlformats.org/officeDocument/2006/relationships/hyperlink" Target="http://www.boxofficemojo.com/movies/?id=thehimalayas.htm" TargetMode="External"/><Relationship Id="rId721" Type="http://schemas.openxmlformats.org/officeDocument/2006/relationships/hyperlink" Target="http://www.boxofficemojo.com/studio/chart/?studio=cjentertainment.htm" TargetMode="External"/><Relationship Id="rId722" Type="http://schemas.openxmlformats.org/officeDocument/2006/relationships/hyperlink" Target="http://www.boxofficemojo.com/schedule/?view=bydate&amp;release=theatrical&amp;date=2015-12-18&amp;p=.htm" TargetMode="External"/><Relationship Id="rId723" Type="http://schemas.openxmlformats.org/officeDocument/2006/relationships/hyperlink" Target="http://www.boxofficemojo.com/movies/?id=redarmy.htm" TargetMode="External"/><Relationship Id="rId330" Type="http://schemas.openxmlformats.org/officeDocument/2006/relationships/hyperlink" Target="http://www.boxofficemojo.com/movies/?id=monkeykingdom.htm" TargetMode="External"/><Relationship Id="rId331" Type="http://schemas.openxmlformats.org/officeDocument/2006/relationships/hyperlink" Target="http://www.boxofficemojo.com/studio/chart/?studio=buenavista.htm" TargetMode="External"/><Relationship Id="rId332" Type="http://schemas.openxmlformats.org/officeDocument/2006/relationships/hyperlink" Target="http://www.boxofficemojo.com/schedule/?view=bydate&amp;release=theatrical&amp;date=2015-04-17&amp;p=.htm" TargetMode="External"/><Relationship Id="rId333" Type="http://schemas.openxmlformats.org/officeDocument/2006/relationships/hyperlink" Target="http://www.boxofficemojo.com/movies/?id=transporter4.htm" TargetMode="External"/><Relationship Id="rId334" Type="http://schemas.openxmlformats.org/officeDocument/2006/relationships/hyperlink" Target="http://www.boxofficemojo.com/studio/chart/?studio=europacorp.htm" TargetMode="External"/><Relationship Id="rId335" Type="http://schemas.openxmlformats.org/officeDocument/2006/relationships/hyperlink" Target="http://www.boxofficemojo.com/schedule/?view=bydate&amp;release=theatrical&amp;date=2015-09-04&amp;p=.htm" TargetMode="External"/><Relationship Id="rId336" Type="http://schemas.openxmlformats.org/officeDocument/2006/relationships/hyperlink" Target="http://www.boxofficemojo.com/movies/?id=room2015.htm" TargetMode="External"/><Relationship Id="rId337" Type="http://schemas.openxmlformats.org/officeDocument/2006/relationships/hyperlink" Target="http://www.boxofficemojo.com/studio/chart/?studio=a24.htm" TargetMode="External"/><Relationship Id="rId338" Type="http://schemas.openxmlformats.org/officeDocument/2006/relationships/hyperlink" Target="http://www.boxofficemojo.com/schedule/?view=bydate&amp;release=theatrical&amp;date=2015-10-16&amp;p=.htm" TargetMode="External"/><Relationship Id="rId339" Type="http://schemas.openxmlformats.org/officeDocument/2006/relationships/hyperlink" Target="http://www.boxofficemojo.com/movies/?id=itfollows.htm" TargetMode="External"/><Relationship Id="rId724" Type="http://schemas.openxmlformats.org/officeDocument/2006/relationships/hyperlink" Target="http://www.boxofficemojo.com/studio/chart/?studio=sonyclassics.htm" TargetMode="External"/><Relationship Id="rId725" Type="http://schemas.openxmlformats.org/officeDocument/2006/relationships/hyperlink" Target="http://www.boxofficemojo.com/schedule/?view=bydate&amp;release=theatrical&amp;date=2015-01-23&amp;p=.htm" TargetMode="External"/><Relationship Id="rId726" Type="http://schemas.openxmlformats.org/officeDocument/2006/relationships/hyperlink" Target="http://www.boxofficemojo.com/movies/?id=dtrain.htm" TargetMode="External"/><Relationship Id="rId727" Type="http://schemas.openxmlformats.org/officeDocument/2006/relationships/hyperlink" Target="http://www.boxofficemojo.com/studio/chart/?studio=ifc.htm" TargetMode="External"/><Relationship Id="rId728" Type="http://schemas.openxmlformats.org/officeDocument/2006/relationships/hyperlink" Target="http://www.boxofficemojo.com/schedule/?view=bydate&amp;release=theatrical&amp;date=2015-05-08&amp;p=.htm" TargetMode="External"/><Relationship Id="rId729" Type="http://schemas.openxmlformats.org/officeDocument/2006/relationships/hyperlink" Target="http://www.boxofficemojo.com/movies/?id=stanfordprison.htm" TargetMode="External"/><Relationship Id="rId1980" Type="http://schemas.openxmlformats.org/officeDocument/2006/relationships/hyperlink" Target="http://www.boxofficemojo.com/movies/?id=inthebasement.htm" TargetMode="External"/><Relationship Id="rId1981" Type="http://schemas.openxmlformats.org/officeDocument/2006/relationships/hyperlink" Target="http://www.boxofficemojo.com/studio/chart/?studio=strand.htm" TargetMode="External"/><Relationship Id="rId1982" Type="http://schemas.openxmlformats.org/officeDocument/2006/relationships/hyperlink" Target="http://www.boxofficemojo.com/schedule/?view=bydate&amp;release=theatrical&amp;date=2015-11-06&amp;p=.htm" TargetMode="External"/><Relationship Id="rId1983" Type="http://schemas.openxmlformats.org/officeDocument/2006/relationships/hyperlink" Target="http://www.boxofficemojo.com/movies/?id=thatsugarfilm.htm" TargetMode="External"/><Relationship Id="rId1590" Type="http://schemas.openxmlformats.org/officeDocument/2006/relationships/hyperlink" Target="http://www.boxofficemojo.com/movies/?id=gangnam1970.htm" TargetMode="External"/><Relationship Id="rId1591" Type="http://schemas.openxmlformats.org/officeDocument/2006/relationships/hyperlink" Target="http://www.boxofficemojo.com/studio/chart/?studio=cjentertainment.htm" TargetMode="External"/><Relationship Id="rId1592" Type="http://schemas.openxmlformats.org/officeDocument/2006/relationships/hyperlink" Target="http://www.boxofficemojo.com/schedule/?view=bydate&amp;release=theatrical&amp;date=2015-02-06&amp;p=.htm" TargetMode="External"/><Relationship Id="rId1593" Type="http://schemas.openxmlformats.org/officeDocument/2006/relationships/hyperlink" Target="http://www.boxofficemojo.com/movies/?id=theotherone.htm" TargetMode="External"/><Relationship Id="rId1594" Type="http://schemas.openxmlformats.org/officeDocument/2006/relationships/hyperlink" Target="http://www.boxofficemojo.com/studio/chart/?studio=indican.htm" TargetMode="External"/><Relationship Id="rId1595" Type="http://schemas.openxmlformats.org/officeDocument/2006/relationships/hyperlink" Target="http://www.boxofficemojo.com/schedule/?view=bydate&amp;release=theatrical&amp;date=2015-06-26&amp;p=.htm" TargetMode="External"/><Relationship Id="rId1596" Type="http://schemas.openxmlformats.org/officeDocument/2006/relationships/hyperlink" Target="http://www.boxofficemojo.com/movies/?id=butterflygirl.htm" TargetMode="External"/><Relationship Id="rId1597" Type="http://schemas.openxmlformats.org/officeDocument/2006/relationships/hyperlink" Target="http://www.boxofficemojo.com/studio/chart/?studio=indican.htm" TargetMode="External"/><Relationship Id="rId1598" Type="http://schemas.openxmlformats.org/officeDocument/2006/relationships/hyperlink" Target="http://www.boxofficemojo.com/schedule/?view=bydate&amp;release=theatrical&amp;date=2015-04-03&amp;p=.htm" TargetMode="External"/><Relationship Id="rId1599" Type="http://schemas.openxmlformats.org/officeDocument/2006/relationships/hyperlink" Target="http://www.boxofficemojo.com/movies/?id=trash.htm" TargetMode="External"/><Relationship Id="rId1984" Type="http://schemas.openxmlformats.org/officeDocument/2006/relationships/hyperlink" Target="http://www.boxofficemojo.com/studio/chart/?studio=samuelgoldwyn.htm" TargetMode="External"/><Relationship Id="rId1985" Type="http://schemas.openxmlformats.org/officeDocument/2006/relationships/hyperlink" Target="http://www.boxofficemojo.com/schedule/?view=bydate&amp;release=theatrical&amp;date=2015-07-31&amp;p=.htm" TargetMode="External"/><Relationship Id="rId1986" Type="http://schemas.openxmlformats.org/officeDocument/2006/relationships/hyperlink" Target="http://www.boxofficemojo.com/movies/?id=hyena.htm" TargetMode="External"/><Relationship Id="rId1987" Type="http://schemas.openxmlformats.org/officeDocument/2006/relationships/hyperlink" Target="http://www.boxofficemojo.com/studio/chart/?studio=tribecafilm.htm" TargetMode="External"/><Relationship Id="rId1988" Type="http://schemas.openxmlformats.org/officeDocument/2006/relationships/hyperlink" Target="http://www.boxofficemojo.com/schedule/?view=bydate&amp;release=theatrical&amp;date=2015-05-01&amp;p=.htm" TargetMode="External"/><Relationship Id="rId1989" Type="http://schemas.openxmlformats.org/officeDocument/2006/relationships/hyperlink" Target="http://www.boxofficemojo.com/movies/?id=miamerica.htm" TargetMode="External"/><Relationship Id="rId730" Type="http://schemas.openxmlformats.org/officeDocument/2006/relationships/hyperlink" Target="http://www.boxofficemojo.com/studio/chart/?studio=ifc.htm" TargetMode="External"/><Relationship Id="rId731" Type="http://schemas.openxmlformats.org/officeDocument/2006/relationships/hyperlink" Target="http://www.boxofficemojo.com/schedule/?view=bydate&amp;release=theatrical&amp;date=2015-07-17&amp;p=.htm" TargetMode="External"/><Relationship Id="rId732" Type="http://schemas.openxmlformats.org/officeDocument/2006/relationships/hyperlink" Target="http://www.boxofficemojo.com/movies/?id=theassassin.htm" TargetMode="External"/><Relationship Id="rId733" Type="http://schemas.openxmlformats.org/officeDocument/2006/relationships/hyperlink" Target="http://www.boxofficemojo.com/studio/chart/?studio=wellgo.htm" TargetMode="External"/><Relationship Id="rId734" Type="http://schemas.openxmlformats.org/officeDocument/2006/relationships/hyperlink" Target="http://www.boxofficemojo.com/schedule/?view=bydate&amp;release=theatrical&amp;date=2015-10-16&amp;p=.htm" TargetMode="External"/><Relationship Id="rId735" Type="http://schemas.openxmlformats.org/officeDocument/2006/relationships/hyperlink" Target="http://www.boxofficemojo.com/movies/?id=kumiko.htm" TargetMode="External"/><Relationship Id="rId736" Type="http://schemas.openxmlformats.org/officeDocument/2006/relationships/hyperlink" Target="http://www.boxofficemojo.com/studio/chart/?studio=amplify.htm" TargetMode="External"/><Relationship Id="rId737" Type="http://schemas.openxmlformats.org/officeDocument/2006/relationships/hyperlink" Target="http://www.boxofficemojo.com/schedule/?view=bydate&amp;release=theatrical&amp;date=2015-03-18&amp;p=.htm" TargetMode="External"/><Relationship Id="rId738" Type="http://schemas.openxmlformats.org/officeDocument/2006/relationships/hyperlink" Target="http://www.boxofficemojo.com/movies/?id=brothersbloodagainstblood.htm" TargetMode="External"/><Relationship Id="rId739" Type="http://schemas.openxmlformats.org/officeDocument/2006/relationships/hyperlink" Target="http://www.boxofficemojo.com/studio/chart/?studio=fip.htm" TargetMode="External"/><Relationship Id="rId340" Type="http://schemas.openxmlformats.org/officeDocument/2006/relationships/hyperlink" Target="http://www.boxofficemojo.com/studio/chart/?studio=radiustwc.htm" TargetMode="External"/><Relationship Id="rId341" Type="http://schemas.openxmlformats.org/officeDocument/2006/relationships/hyperlink" Target="http://www.boxofficemojo.com/schedule/?view=bydate&amp;release=theatrical&amp;date=2015-03-13&amp;p=.htm" TargetMode="External"/><Relationship Id="rId342" Type="http://schemas.openxmlformats.org/officeDocument/2006/relationships/hyperlink" Target="http://www.boxofficemojo.com/movies/?id=americanultra.htm" TargetMode="External"/><Relationship Id="rId343" Type="http://schemas.openxmlformats.org/officeDocument/2006/relationships/hyperlink" Target="http://www.boxofficemojo.com/studio/chart/?studio=lionsgate.htm" TargetMode="External"/><Relationship Id="rId344" Type="http://schemas.openxmlformats.org/officeDocument/2006/relationships/hyperlink" Target="http://www.boxofficemojo.com/schedule/?view=bydate&amp;release=theatrical&amp;date=2015-08-21&amp;p=.htm" TargetMode="External"/><Relationship Id="rId345" Type="http://schemas.openxmlformats.org/officeDocument/2006/relationships/hyperlink" Target="http://www.boxofficemojo.com/movies/?id=woodlawn.htm" TargetMode="External"/><Relationship Id="rId346" Type="http://schemas.openxmlformats.org/officeDocument/2006/relationships/hyperlink" Target="http://www.boxofficemojo.com/studio/chart/?studio=pureflix.htm" TargetMode="External"/><Relationship Id="rId347" Type="http://schemas.openxmlformats.org/officeDocument/2006/relationships/hyperlink" Target="http://www.boxofficemojo.com/schedule/?view=bydate&amp;release=theatrical&amp;date=2015-10-16&amp;p=.htm" TargetMode="External"/><Relationship Id="rId348" Type="http://schemas.openxmlformats.org/officeDocument/2006/relationships/hyperlink" Target="http://www.boxofficemojo.com/movies/?id=adamjones.htm" TargetMode="External"/><Relationship Id="rId349" Type="http://schemas.openxmlformats.org/officeDocument/2006/relationships/hyperlink" Target="http://www.boxofficemojo.com/studio/chart/?studio=weinsteincompany.htm" TargetMode="External"/><Relationship Id="rId1990" Type="http://schemas.openxmlformats.org/officeDocument/2006/relationships/hyperlink" Target="http://www.boxofficemojo.com/studio/chart/?studio=industrialhouse.htm" TargetMode="External"/><Relationship Id="rId1991" Type="http://schemas.openxmlformats.org/officeDocument/2006/relationships/hyperlink" Target="http://www.boxofficemojo.com/schedule/?view=bydate&amp;release=theatrical&amp;date=2015-10-16&amp;p=.htm" TargetMode="External"/><Relationship Id="rId1992" Type="http://schemas.openxmlformats.org/officeDocument/2006/relationships/hyperlink" Target="http://www.boxofficemojo.com/movies/?id=knowhow.htm" TargetMode="External"/><Relationship Id="rId1993" Type="http://schemas.openxmlformats.org/officeDocument/2006/relationships/hyperlink" Target="http://www.boxofficemojo.com/studio/chart/?studio=firstrun.htm" TargetMode="External"/><Relationship Id="rId1994" Type="http://schemas.openxmlformats.org/officeDocument/2006/relationships/hyperlink" Target="http://www.boxofficemojo.com/schedule/?view=bydate&amp;release=theatrical&amp;date=2015-05-15&amp;p=.htm" TargetMode="External"/><Relationship Id="rId1995" Type="http://schemas.openxmlformats.org/officeDocument/2006/relationships/hyperlink" Target="http://www.boxofficemojo.com/movies/?id=drunkwedding.htm" TargetMode="External"/><Relationship Id="rId1996" Type="http://schemas.openxmlformats.org/officeDocument/2006/relationships/hyperlink" Target="http://www.boxofficemojo.com/studio/chart/?studio=paramountinsruge.htm" TargetMode="External"/><Relationship Id="rId1997" Type="http://schemas.openxmlformats.org/officeDocument/2006/relationships/hyperlink" Target="http://www.boxofficemojo.com/schedule/?view=bydate&amp;release=theatrical&amp;date=2015-05-22&amp;p=.htm" TargetMode="External"/><Relationship Id="rId1998" Type="http://schemas.openxmlformats.org/officeDocument/2006/relationships/hyperlink" Target="http://www.boxofficemojo.com/movies/?id=windsordrive.htm" TargetMode="External"/><Relationship Id="rId1999" Type="http://schemas.openxmlformats.org/officeDocument/2006/relationships/hyperlink" Target="http://www.boxofficemojo.com/studio/chart/?studio=indican.htm" TargetMode="External"/><Relationship Id="rId1200" Type="http://schemas.openxmlformats.org/officeDocument/2006/relationships/hyperlink" Target="http://www.boxofficemojo.com/movies/?id=darkhorseca.htm" TargetMode="External"/><Relationship Id="rId1201" Type="http://schemas.openxmlformats.org/officeDocument/2006/relationships/hyperlink" Target="http://www.boxofficemojo.com/studio/chart/?studio=mongrel.htm" TargetMode="External"/><Relationship Id="rId1202" Type="http://schemas.openxmlformats.org/officeDocument/2006/relationships/hyperlink" Target="http://www.boxofficemojo.com/schedule/?view=bydate&amp;release=theatrical&amp;date=2015-09-20&amp;p=.htm" TargetMode="External"/><Relationship Id="rId1203" Type="http://schemas.openxmlformats.org/officeDocument/2006/relationships/hyperlink" Target="http://www.boxofficemojo.com/movies/?id=hero2015.htm" TargetMode="External"/><Relationship Id="rId1204" Type="http://schemas.openxmlformats.org/officeDocument/2006/relationships/hyperlink" Target="http://www.boxofficemojo.com/studio/chart/?studio=eros.htm" TargetMode="External"/><Relationship Id="rId1205" Type="http://schemas.openxmlformats.org/officeDocument/2006/relationships/hyperlink" Target="http://www.boxofficemojo.com/schedule/?view=bydate&amp;release=theatrical&amp;date=2015-09-11&amp;p=.htm" TargetMode="External"/><Relationship Id="rId1206" Type="http://schemas.openxmlformats.org/officeDocument/2006/relationships/hyperlink" Target="http://www.boxofficemojo.com/movies/?id=sunshinesuperman.htm" TargetMode="External"/><Relationship Id="rId1207" Type="http://schemas.openxmlformats.org/officeDocument/2006/relationships/hyperlink" Target="http://www.boxofficemojo.com/studio/chart/?studio=magnolia.htm" TargetMode="External"/><Relationship Id="rId740" Type="http://schemas.openxmlformats.org/officeDocument/2006/relationships/hyperlink" Target="http://www.boxofficemojo.com/schedule/?view=bydate&amp;release=theatrical&amp;date=2015-08-14&amp;p=.htm" TargetMode="External"/><Relationship Id="rId741" Type="http://schemas.openxmlformats.org/officeDocument/2006/relationships/hyperlink" Target="http://www.boxofficemojo.com/movies/?id=welcometome.htm" TargetMode="External"/><Relationship Id="rId742" Type="http://schemas.openxmlformats.org/officeDocument/2006/relationships/hyperlink" Target="http://www.boxofficemojo.com/studio/chart/?studio=alchemy.htm" TargetMode="External"/><Relationship Id="rId743" Type="http://schemas.openxmlformats.org/officeDocument/2006/relationships/hyperlink" Target="http://www.boxofficemojo.com/schedule/?view=bydate&amp;release=theatrical&amp;date=2015-05-01&amp;p=.htm" TargetMode="External"/><Relationship Id="rId744" Type="http://schemas.openxmlformats.org/officeDocument/2006/relationships/hyperlink" Target="http://www.boxofficemojo.com/movies/?id=detectivebyomkeshbakshy.htm" TargetMode="External"/><Relationship Id="rId745" Type="http://schemas.openxmlformats.org/officeDocument/2006/relationships/hyperlink" Target="http://www.boxofficemojo.com/studio/chart/?studio=yashraj.htm" TargetMode="External"/><Relationship Id="rId746" Type="http://schemas.openxmlformats.org/officeDocument/2006/relationships/hyperlink" Target="http://www.boxofficemojo.com/schedule/?view=bydate&amp;release=theatrical&amp;date=2015-04-03&amp;p=.htm" TargetMode="External"/><Relationship Id="rId747" Type="http://schemas.openxmlformats.org/officeDocument/2006/relationships/hyperlink" Target="http://www.boxofficemojo.com/movies/?id=freeheld.htm" TargetMode="External"/><Relationship Id="rId748" Type="http://schemas.openxmlformats.org/officeDocument/2006/relationships/hyperlink" Target="http://www.boxofficemojo.com/studio/chart/?studio=lionsgate.htm" TargetMode="External"/><Relationship Id="rId749" Type="http://schemas.openxmlformats.org/officeDocument/2006/relationships/hyperlink" Target="http://www.boxofficemojo.com/schedule/?view=bydate&amp;release=theatrical&amp;date=2015-10-02&amp;p=.htm" TargetMode="External"/><Relationship Id="rId350" Type="http://schemas.openxmlformats.org/officeDocument/2006/relationships/hyperlink" Target="http://www.boxofficemojo.com/schedule/?view=bydate&amp;release=theatrical&amp;date=2015-10-30&amp;p=.htm" TargetMode="External"/><Relationship Id="rId351" Type="http://schemas.openxmlformats.org/officeDocument/2006/relationships/hyperlink" Target="http://www.boxofficemojo.com/movies/?id=doyoubelieve.htm" TargetMode="External"/><Relationship Id="rId352" Type="http://schemas.openxmlformats.org/officeDocument/2006/relationships/hyperlink" Target="http://www.boxofficemojo.com/studio/chart/?studio=pureflix.htm" TargetMode="External"/><Relationship Id="rId353" Type="http://schemas.openxmlformats.org/officeDocument/2006/relationships/hyperlink" Target="http://www.boxofficemojo.com/schedule/?view=bydate&amp;release=theatrical&amp;date=2015-03-20&amp;p=.htm" TargetMode="External"/><Relationship Id="rId354" Type="http://schemas.openxmlformats.org/officeDocument/2006/relationships/hyperlink" Target="http://www.boxofficemojo.com/movies/?id=carol.htm" TargetMode="External"/><Relationship Id="rId355" Type="http://schemas.openxmlformats.org/officeDocument/2006/relationships/hyperlink" Target="http://www.boxofficemojo.com/studio/chart/?studio=weinsteincompany.htm" TargetMode="External"/><Relationship Id="rId356" Type="http://schemas.openxmlformats.org/officeDocument/2006/relationships/hyperlink" Target="http://www.boxofficemojo.com/schedule/?view=bydate&amp;release=theatrical&amp;date=2015-11-20&amp;p=.htm" TargetMode="External"/><Relationship Id="rId357" Type="http://schemas.openxmlformats.org/officeDocument/2006/relationships/hyperlink" Target="http://www.boxofficemojo.com/movies/?id=loveandmercy.htm" TargetMode="External"/><Relationship Id="rId358" Type="http://schemas.openxmlformats.org/officeDocument/2006/relationships/hyperlink" Target="http://www.boxofficemojo.com/studio/chart/?studio=roadsideattractions.htm" TargetMode="External"/><Relationship Id="rId359" Type="http://schemas.openxmlformats.org/officeDocument/2006/relationships/hyperlink" Target="http://www.boxofficemojo.com/schedule/?view=bydate&amp;release=theatrical&amp;date=2015-06-05&amp;p=.htm" TargetMode="External"/><Relationship Id="rId1208" Type="http://schemas.openxmlformats.org/officeDocument/2006/relationships/hyperlink" Target="http://www.boxofficemojo.com/schedule/?view=bydate&amp;release=theatrical&amp;date=2015-05-22&amp;p=.htm" TargetMode="External"/><Relationship Id="rId1209" Type="http://schemas.openxmlformats.org/officeDocument/2006/relationships/hyperlink" Target="http://www.boxofficemojo.com/movies/?id=tabhunterconfidential.htm" TargetMode="External"/><Relationship Id="rId1600" Type="http://schemas.openxmlformats.org/officeDocument/2006/relationships/hyperlink" Target="http://www.boxofficemojo.com/studio/chart/?studio=focusworld.htm" TargetMode="External"/><Relationship Id="rId1601" Type="http://schemas.openxmlformats.org/officeDocument/2006/relationships/hyperlink" Target="http://www.boxofficemojo.com/schedule/?view=bydate&amp;release=theatrical&amp;date=2015-10-09&amp;p=.htm" TargetMode="External"/><Relationship Id="rId1602" Type="http://schemas.openxmlformats.org/officeDocument/2006/relationships/hyperlink" Target="http://www.boxofficemojo.com/movies/?id=strangerland.htm" TargetMode="External"/><Relationship Id="rId1603" Type="http://schemas.openxmlformats.org/officeDocument/2006/relationships/hyperlink" Target="http://www.boxofficemojo.com/studio/chart/?studio=alchemy.htm" TargetMode="External"/><Relationship Id="rId1604" Type="http://schemas.openxmlformats.org/officeDocument/2006/relationships/hyperlink" Target="http://www.boxofficemojo.com/schedule/?view=bydate&amp;release=theatrical&amp;date=2015-07-10&amp;p=.htm" TargetMode="External"/><Relationship Id="rId1605" Type="http://schemas.openxmlformats.org/officeDocument/2006/relationships/hyperlink" Target="http://www.boxofficemojo.com/movies/?id=greatmuseum.htm" TargetMode="External"/><Relationship Id="rId1606" Type="http://schemas.openxmlformats.org/officeDocument/2006/relationships/hyperlink" Target="http://www.boxofficemojo.com/studio/chart/?studio=kinolorber.htm" TargetMode="External"/><Relationship Id="rId1607" Type="http://schemas.openxmlformats.org/officeDocument/2006/relationships/hyperlink" Target="http://www.boxofficemojo.com/schedule/?view=bydate&amp;release=theatrical&amp;date=2015-07-03&amp;p=.htm" TargetMode="External"/><Relationship Id="rId1608" Type="http://schemas.openxmlformats.org/officeDocument/2006/relationships/hyperlink" Target="http://www.boxofficemojo.com/movies/?id=easternboys.htm" TargetMode="External"/><Relationship Id="rId1609" Type="http://schemas.openxmlformats.org/officeDocument/2006/relationships/hyperlink" Target="http://www.boxofficemojo.com/studio/chart/?studio=firstrun.htm" TargetMode="External"/><Relationship Id="rId1210" Type="http://schemas.openxmlformats.org/officeDocument/2006/relationships/hyperlink" Target="http://www.boxofficemojo.com/studio/chart/?studio=filmcollaborative.htm" TargetMode="External"/><Relationship Id="rId1211" Type="http://schemas.openxmlformats.org/officeDocument/2006/relationships/hyperlink" Target="http://www.boxofficemojo.com/schedule/?view=bydate&amp;release=theatrical&amp;date=2015-10-16&amp;p=.htm" TargetMode="External"/><Relationship Id="rId750" Type="http://schemas.openxmlformats.org/officeDocument/2006/relationships/hyperlink" Target="http://www.boxofficemojo.com/movies/?id=whenmarniewasthere.htm" TargetMode="External"/><Relationship Id="rId751" Type="http://schemas.openxmlformats.org/officeDocument/2006/relationships/hyperlink" Target="http://www.boxofficemojo.com/studio/chart/?studio=gkids.htm" TargetMode="External"/><Relationship Id="rId752" Type="http://schemas.openxmlformats.org/officeDocument/2006/relationships/hyperlink" Target="http://www.boxofficemojo.com/schedule/?view=bydate&amp;release=theatrical&amp;date=2015-05-22&amp;p=.htm" TargetMode="External"/><Relationship Id="rId753" Type="http://schemas.openxmlformats.org/officeDocument/2006/relationships/hyperlink" Target="http://www.boxofficemojo.com/movies/?id=jimmyshall.htm" TargetMode="External"/><Relationship Id="rId754" Type="http://schemas.openxmlformats.org/officeDocument/2006/relationships/hyperlink" Target="http://www.boxofficemojo.com/studio/chart/?studio=sonyclassics.htm" TargetMode="External"/><Relationship Id="rId755" Type="http://schemas.openxmlformats.org/officeDocument/2006/relationships/hyperlink" Target="http://www.boxofficemojo.com/schedule/?view=bydate&amp;release=theatrical&amp;date=2015-07-03&amp;p=.htm" TargetMode="External"/><Relationship Id="rId756" Type="http://schemas.openxmlformats.org/officeDocument/2006/relationships/hyperlink" Target="http://www.boxofficemojo.com/movies/?id=alittlechaos.htm" TargetMode="External"/><Relationship Id="rId757" Type="http://schemas.openxmlformats.org/officeDocument/2006/relationships/hyperlink" Target="http://www.boxofficemojo.com/studio/chart/?studio=focus.htm" TargetMode="External"/><Relationship Id="rId758" Type="http://schemas.openxmlformats.org/officeDocument/2006/relationships/hyperlink" Target="http://www.boxofficemojo.com/schedule/?view=bydate&amp;release=theatrical&amp;date=2015-06-26&amp;p=.htm" TargetMode="External"/><Relationship Id="rId759" Type="http://schemas.openxmlformats.org/officeDocument/2006/relationships/hyperlink" Target="http://www.boxofficemojo.com/movies/?id=remembercanada.htm" TargetMode="External"/><Relationship Id="rId360" Type="http://schemas.openxmlformats.org/officeDocument/2006/relationships/hyperlink" Target="http://www.boxofficemojo.com/movies/?id=strangemagic.htm" TargetMode="External"/><Relationship Id="rId361" Type="http://schemas.openxmlformats.org/officeDocument/2006/relationships/hyperlink" Target="http://www.boxofficemojo.com/studio/chart/?studio=buenavista.htm" TargetMode="External"/><Relationship Id="rId362" Type="http://schemas.openxmlformats.org/officeDocument/2006/relationships/hyperlink" Target="http://www.boxofficemojo.com/schedule/?view=bydate&amp;release=theatrical&amp;date=2015-01-23&amp;p=.htm" TargetMode="External"/><Relationship Id="rId363" Type="http://schemas.openxmlformats.org/officeDocument/2006/relationships/hyperlink" Target="http://www.boxofficemojo.com/movies/?id=hottub2.htm" TargetMode="External"/><Relationship Id="rId364" Type="http://schemas.openxmlformats.org/officeDocument/2006/relationships/hyperlink" Target="http://www.boxofficemojo.com/studio/chart/?studio=paramount.htm" TargetMode="External"/><Relationship Id="rId365" Type="http://schemas.openxmlformats.org/officeDocument/2006/relationships/hyperlink" Target="http://www.boxofficemojo.com/schedule/?view=bydate&amp;release=theatrical&amp;date=2015-02-20&amp;p=.htm" TargetMode="External"/><Relationship Id="rId366" Type="http://schemas.openxmlformats.org/officeDocument/2006/relationships/hyperlink" Target="http://www.boxofficemojo.com/movies/?id=selfless.htm" TargetMode="External"/><Relationship Id="rId367" Type="http://schemas.openxmlformats.org/officeDocument/2006/relationships/hyperlink" Target="http://www.boxofficemojo.com/studio/chart/?studio=focus.htm" TargetMode="External"/><Relationship Id="rId368" Type="http://schemas.openxmlformats.org/officeDocument/2006/relationships/hyperlink" Target="http://www.boxofficemojo.com/schedule/?view=bydate&amp;release=theatrical&amp;date=2015-07-10&amp;p=.htm" TargetMode="External"/><Relationship Id="rId369" Type="http://schemas.openxmlformats.org/officeDocument/2006/relationships/hyperlink" Target="http://www.boxofficemojo.com/movies/?id=maddingcrowd.htm" TargetMode="External"/><Relationship Id="rId1212" Type="http://schemas.openxmlformats.org/officeDocument/2006/relationships/hyperlink" Target="http://www.boxofficemojo.com/movies/?id=traceamounts.htm" TargetMode="External"/><Relationship Id="rId1213" Type="http://schemas.openxmlformats.org/officeDocument/2006/relationships/hyperlink" Target="http://www.boxofficemojo.com/studio/chart/?studio=gathrfilms.htm" TargetMode="External"/><Relationship Id="rId1214" Type="http://schemas.openxmlformats.org/officeDocument/2006/relationships/hyperlink" Target="http://www.boxofficemojo.com/schedule/?view=bydate&amp;release=theatrical&amp;date=2015-01-02&amp;p=.htm" TargetMode="External"/><Relationship Id="rId1215" Type="http://schemas.openxmlformats.org/officeDocument/2006/relationships/hyperlink" Target="http://www.boxofficemojo.com/movies/?id=heavenknowswhat.htm" TargetMode="External"/><Relationship Id="rId1216" Type="http://schemas.openxmlformats.org/officeDocument/2006/relationships/hyperlink" Target="http://www.boxofficemojo.com/studio/chart/?studio=radiustwc.htm" TargetMode="External"/><Relationship Id="rId1217" Type="http://schemas.openxmlformats.org/officeDocument/2006/relationships/hyperlink" Target="http://www.boxofficemojo.com/schedule/?view=bydate&amp;release=theatrical&amp;date=2015-05-29&amp;p=.htm" TargetMode="External"/><Relationship Id="rId1218" Type="http://schemas.openxmlformats.org/officeDocument/2006/relationships/hyperlink" Target="http://www.boxofficemojo.com/movies/?id=nastybaby.htm" TargetMode="External"/><Relationship Id="rId1219" Type="http://schemas.openxmlformats.org/officeDocument/2006/relationships/hyperlink" Target="http://www.boxofficemojo.com/studio/chart/?studio=orchard.htm" TargetMode="External"/><Relationship Id="rId1610" Type="http://schemas.openxmlformats.org/officeDocument/2006/relationships/hyperlink" Target="http://www.boxofficemojo.com/schedule/?view=bydate&amp;release=theatrical&amp;date=2015-02-27&amp;p=.htm" TargetMode="External"/><Relationship Id="rId1611" Type="http://schemas.openxmlformats.org/officeDocument/2006/relationships/hyperlink" Target="http://www.boxofficemojo.com/movies/?id=extraction.htm" TargetMode="External"/><Relationship Id="rId1612" Type="http://schemas.openxmlformats.org/officeDocument/2006/relationships/hyperlink" Target="http://www.boxofficemojo.com/studio/chart/?studio=lionsgatepremiere.htm" TargetMode="External"/><Relationship Id="rId1613" Type="http://schemas.openxmlformats.org/officeDocument/2006/relationships/hyperlink" Target="http://www.boxofficemojo.com/schedule/?view=bydate&amp;release=theatrical&amp;date=2015-12-18&amp;p=.htm" TargetMode="External"/><Relationship Id="rId1614" Type="http://schemas.openxmlformats.org/officeDocument/2006/relationships/hyperlink" Target="http://www.boxofficemojo.com/movies/?id=eva.htm" TargetMode="External"/><Relationship Id="rId1615" Type="http://schemas.openxmlformats.org/officeDocument/2006/relationships/hyperlink" Target="http://www.boxofficemojo.com/studio/chart/?studio=weinsteincompany.htm" TargetMode="External"/><Relationship Id="rId1616" Type="http://schemas.openxmlformats.org/officeDocument/2006/relationships/hyperlink" Target="http://www.boxofficemojo.com/schedule/?view=bydate&amp;release=theatrical&amp;date=2015-03-13&amp;p=.htm" TargetMode="External"/><Relationship Id="rId1617" Type="http://schemas.openxmlformats.org/officeDocument/2006/relationships/hyperlink" Target="http://www.boxofficemojo.com/movies/?id=thischangeseverything.htm" TargetMode="External"/><Relationship Id="rId1618" Type="http://schemas.openxmlformats.org/officeDocument/2006/relationships/hyperlink" Target="http://www.boxofficemojo.com/studio/chart/?studio=abramorama.htm" TargetMode="External"/><Relationship Id="rId1619" Type="http://schemas.openxmlformats.org/officeDocument/2006/relationships/hyperlink" Target="http://www.boxofficemojo.com/schedule/?view=bydate&amp;release=theatrical&amp;date=2015-10-03&amp;p=.htm" TargetMode="External"/><Relationship Id="rId1220" Type="http://schemas.openxmlformats.org/officeDocument/2006/relationships/hyperlink" Target="http://www.boxofficemojo.com/schedule/?view=bydate&amp;release=theatrical&amp;date=2015-10-23&amp;p=.htm" TargetMode="External"/><Relationship Id="rId1221" Type="http://schemas.openxmlformats.org/officeDocument/2006/relationships/hyperlink" Target="http://www.boxofficemojo.com/movies/?id=blackbird2015.htm" TargetMode="External"/><Relationship Id="rId760" Type="http://schemas.openxmlformats.org/officeDocument/2006/relationships/hyperlink" Target="http://www.boxofficemojo.com/studio/chart/?studio=entertainmentone.htm" TargetMode="External"/><Relationship Id="rId761" Type="http://schemas.openxmlformats.org/officeDocument/2006/relationships/hyperlink" Target="http://www.boxofficemojo.com/schedule/?view=bydate&amp;release=theatrical&amp;date=2015-10-16&amp;p=.htm" TargetMode="External"/><Relationship Id="rId762" Type="http://schemas.openxmlformats.org/officeDocument/2006/relationships/hyperlink" Target="http://www.boxofficemojo.com/movies/?id=bythesea.htm" TargetMode="External"/><Relationship Id="rId763" Type="http://schemas.openxmlformats.org/officeDocument/2006/relationships/hyperlink" Target="http://www.boxofficemojo.com/studio/chart/?studio=universal.htm" TargetMode="External"/><Relationship Id="rId764" Type="http://schemas.openxmlformats.org/officeDocument/2006/relationships/hyperlink" Target="http://www.boxofficemojo.com/schedule/?view=bydate&amp;release=theatrical&amp;date=2015-11-13&amp;p=.htm" TargetMode="External"/><Relationship Id="rId765" Type="http://schemas.openxmlformats.org/officeDocument/2006/relationships/hyperlink" Target="http://www.boxofficemojo.com/movies/?id=gabbarisback.htm" TargetMode="External"/><Relationship Id="rId766" Type="http://schemas.openxmlformats.org/officeDocument/2006/relationships/hyperlink" Target="http://www.boxofficemojo.com/studio/chart/?studio=eros.htm" TargetMode="External"/><Relationship Id="rId767" Type="http://schemas.openxmlformats.org/officeDocument/2006/relationships/hyperlink" Target="http://www.boxofficemojo.com/schedule/?view=bydate&amp;release=theatrical&amp;date=2015-05-01&amp;p=.htm" TargetMode="External"/><Relationship Id="rId768" Type="http://schemas.openxmlformats.org/officeDocument/2006/relationships/hyperlink" Target="http://www.boxofficemojo.com/movies/?id=lastnaruto.htm" TargetMode="External"/><Relationship Id="rId769" Type="http://schemas.openxmlformats.org/officeDocument/2006/relationships/hyperlink" Target="http://www.boxofficemojo.com/studio/chart/?studio=elevenarts.htm" TargetMode="External"/><Relationship Id="rId370" Type="http://schemas.openxmlformats.org/officeDocument/2006/relationships/hyperlink" Target="http://www.boxofficemojo.com/studio/chart/?studio=foxsearchlight.htm" TargetMode="External"/><Relationship Id="rId371" Type="http://schemas.openxmlformats.org/officeDocument/2006/relationships/hyperlink" Target="http://www.boxofficemojo.com/schedule/?view=bydate&amp;release=theatrical&amp;date=2015-05-01&amp;p=.htm" TargetMode="External"/><Relationship Id="rId372" Type="http://schemas.openxmlformats.org/officeDocument/2006/relationships/hyperlink" Target="http://www.boxofficemojo.com/movies/?id=33.htm" TargetMode="External"/><Relationship Id="rId373" Type="http://schemas.openxmlformats.org/officeDocument/2006/relationships/hyperlink" Target="http://www.boxofficemojo.com/studio/chart/?studio=warnerbros.htm" TargetMode="External"/><Relationship Id="rId374" Type="http://schemas.openxmlformats.org/officeDocument/2006/relationships/hyperlink" Target="http://www.boxofficemojo.com/schedule/?view=bydate&amp;release=theatrical&amp;date=2015-11-13&amp;p=.htm" TargetMode="External"/><Relationship Id="rId375" Type="http://schemas.openxmlformats.org/officeDocument/2006/relationships/hyperlink" Target="http://www.boxofficemojo.com/movies/?id=danishgirl.htm" TargetMode="External"/><Relationship Id="rId376" Type="http://schemas.openxmlformats.org/officeDocument/2006/relationships/hyperlink" Target="http://www.boxofficemojo.com/studio/chart/?studio=focus.htm" TargetMode="External"/><Relationship Id="rId377" Type="http://schemas.openxmlformats.org/officeDocument/2006/relationships/hyperlink" Target="http://www.boxofficemojo.com/schedule/?view=bydate&amp;release=theatrical&amp;date=2015-11-27&amp;p=.htm" TargetMode="External"/><Relationship Id="rId378" Type="http://schemas.openxmlformats.org/officeDocument/2006/relationships/hyperlink" Target="http://www.boxofficemojo.com/movies/?id=gunman2015.htm" TargetMode="External"/><Relationship Id="rId379" Type="http://schemas.openxmlformats.org/officeDocument/2006/relationships/hyperlink" Target="http://www.boxofficemojo.com/studio/chart/?studio=openroads.htm" TargetMode="External"/><Relationship Id="rId1222" Type="http://schemas.openxmlformats.org/officeDocument/2006/relationships/hyperlink" Target="http://www.boxofficemojo.com/studio/chart/?studio=imageentertainment.htm" TargetMode="External"/><Relationship Id="rId1223" Type="http://schemas.openxmlformats.org/officeDocument/2006/relationships/hyperlink" Target="http://www.boxofficemojo.com/schedule/?view=bydate&amp;release=theatrical&amp;date=2015-04-24&amp;p=.htm" TargetMode="External"/><Relationship Id="rId1224" Type="http://schemas.openxmlformats.org/officeDocument/2006/relationships/hyperlink" Target="http://www.boxofficemojo.com/movies/?id=batkidbegins.htm" TargetMode="External"/><Relationship Id="rId1225" Type="http://schemas.openxmlformats.org/officeDocument/2006/relationships/hyperlink" Target="http://www.boxofficemojo.com/studio/chart/?studio=wb-newline.htm" TargetMode="External"/><Relationship Id="rId1226" Type="http://schemas.openxmlformats.org/officeDocument/2006/relationships/hyperlink" Target="http://www.boxofficemojo.com/schedule/?view=bydate&amp;release=theatrical&amp;date=2015-06-26&amp;p=.htm" TargetMode="External"/><Relationship Id="rId1227" Type="http://schemas.openxmlformats.org/officeDocument/2006/relationships/hyperlink" Target="http://www.boxofficemojo.com/movies/?id=dragonblade.htm" TargetMode="External"/><Relationship Id="rId1228" Type="http://schemas.openxmlformats.org/officeDocument/2006/relationships/hyperlink" Target="http://www.boxofficemojo.com/studio/chart/?studio=lionsgatepremiere.htm" TargetMode="External"/><Relationship Id="rId1229" Type="http://schemas.openxmlformats.org/officeDocument/2006/relationships/hyperlink" Target="http://www.boxofficemojo.com/schedule/?view=bydate&amp;release=theatrical&amp;date=2015-09-04&amp;p=.htm" TargetMode="External"/><Relationship Id="rId1620" Type="http://schemas.openxmlformats.org/officeDocument/2006/relationships/hyperlink" Target="http://www.boxofficemojo.com/movies/?id=worldofkanako.htm" TargetMode="External"/><Relationship Id="rId1621" Type="http://schemas.openxmlformats.org/officeDocument/2006/relationships/hyperlink" Target="http://www.boxofficemojo.com/studio/chart/?studio=drafthousefilms.htm" TargetMode="External"/><Relationship Id="rId1622" Type="http://schemas.openxmlformats.org/officeDocument/2006/relationships/hyperlink" Target="http://www.boxofficemojo.com/schedule/?view=bydate&amp;release=theatrical&amp;date=2015-12-04&amp;p=.htm" TargetMode="External"/><Relationship Id="rId1623" Type="http://schemas.openxmlformats.org/officeDocument/2006/relationships/hyperlink" Target="http://www.boxofficemojo.com/movies/?id=whotookjohnny.htm" TargetMode="External"/><Relationship Id="rId1624" Type="http://schemas.openxmlformats.org/officeDocument/2006/relationships/hyperlink" Target="http://www.boxofficemojo.com/studio/chart/?studio=rumurreleasing.htm" TargetMode="External"/><Relationship Id="rId1625" Type="http://schemas.openxmlformats.org/officeDocument/2006/relationships/hyperlink" Target="http://www.boxofficemojo.com/schedule/?view=bydate&amp;release=theatrical&amp;date=2015-04-24&amp;p=.htm" TargetMode="External"/><Relationship Id="rId1626" Type="http://schemas.openxmlformats.org/officeDocument/2006/relationships/hyperlink" Target="http://www.boxofficemojo.com/movies/?id=lifeinawalk.htm" TargetMode="External"/><Relationship Id="rId1627" Type="http://schemas.openxmlformats.org/officeDocument/2006/relationships/hyperlink" Target="http://www.boxofficemojo.com/studio/chart/?studio=gathrfilms.htm" TargetMode="External"/><Relationship Id="rId1628" Type="http://schemas.openxmlformats.org/officeDocument/2006/relationships/hyperlink" Target="http://www.boxofficemojo.com/schedule/?view=bydate&amp;release=theatrical&amp;date=2015-09-02&amp;p=.htm" TargetMode="External"/><Relationship Id="rId1629" Type="http://schemas.openxmlformats.org/officeDocument/2006/relationships/hyperlink" Target="http://www.boxofficemojo.com/movies/?id=thehumancentipede3.htm" TargetMode="External"/><Relationship Id="rId1230" Type="http://schemas.openxmlformats.org/officeDocument/2006/relationships/hyperlink" Target="http://www.boxofficemojo.com/movies/?id=thewonders.htm" TargetMode="External"/><Relationship Id="rId1231" Type="http://schemas.openxmlformats.org/officeDocument/2006/relationships/hyperlink" Target="http://www.boxofficemojo.com/studio/chart/?studio=oscilloscopepictures.htm" TargetMode="External"/><Relationship Id="rId770" Type="http://schemas.openxmlformats.org/officeDocument/2006/relationships/hyperlink" Target="http://www.boxofficemojo.com/schedule/?view=bydate&amp;release=theatrical&amp;date=2015-02-20&amp;p=.htm" TargetMode="External"/><Relationship Id="rId771" Type="http://schemas.openxmlformats.org/officeDocument/2006/relationships/hyperlink" Target="http://www.boxofficemojo.com/movies/?id=shaandaar.htm" TargetMode="External"/><Relationship Id="rId772" Type="http://schemas.openxmlformats.org/officeDocument/2006/relationships/hyperlink" Target="http://www.boxofficemojo.com/studio/chart/?studio=fip.htm" TargetMode="External"/><Relationship Id="rId773" Type="http://schemas.openxmlformats.org/officeDocument/2006/relationships/hyperlink" Target="http://www.boxofficemojo.com/schedule/?view=bydate&amp;release=theatrical&amp;date=2015-10-22&amp;p=.htm" TargetMode="External"/><Relationship Id="rId774" Type="http://schemas.openxmlformats.org/officeDocument/2006/relationships/hyperlink" Target="http://www.boxofficemojo.com/movies/?id=blackpanthersvanguard.htm" TargetMode="External"/><Relationship Id="rId775" Type="http://schemas.openxmlformats.org/officeDocument/2006/relationships/hyperlink" Target="http://www.boxofficemojo.com/studio/chart/?studio=pbs.htm" TargetMode="External"/><Relationship Id="rId776" Type="http://schemas.openxmlformats.org/officeDocument/2006/relationships/hyperlink" Target="http://www.boxofficemojo.com/schedule/?view=bydate&amp;release=theatrical&amp;date=2015-09-02&amp;p=.htm" TargetMode="External"/><Relationship Id="rId777" Type="http://schemas.openxmlformats.org/officeDocument/2006/relationships/hyperlink" Target="http://www.boxofficemojo.com/movies/?id=deliman.htm" TargetMode="External"/><Relationship Id="rId778" Type="http://schemas.openxmlformats.org/officeDocument/2006/relationships/hyperlink" Target="http://www.boxofficemojo.com/studio/chart/?studio=cohenmedia.htm" TargetMode="External"/><Relationship Id="rId779" Type="http://schemas.openxmlformats.org/officeDocument/2006/relationships/hyperlink" Target="http://www.boxofficemojo.com/schedule/?view=bydate&amp;release=theatrical&amp;date=2015-02-27&amp;p=.htm" TargetMode="External"/><Relationship Id="rId380" Type="http://schemas.openxmlformats.org/officeDocument/2006/relationships/hyperlink" Target="http://www.boxofficemojo.com/schedule/?view=bydate&amp;release=theatrical&amp;date=2015-03-20&amp;p=.htm" TargetMode="External"/><Relationship Id="rId381" Type="http://schemas.openxmlformats.org/officeDocument/2006/relationships/hyperlink" Target="http://www.boxofficemojo.com/movies/?id=vaughn14.htm" TargetMode="External"/><Relationship Id="rId382" Type="http://schemas.openxmlformats.org/officeDocument/2006/relationships/hyperlink" Target="http://www.boxofficemojo.com/studio/chart/?studio=fox.htm" TargetMode="External"/><Relationship Id="rId383" Type="http://schemas.openxmlformats.org/officeDocument/2006/relationships/hyperlink" Target="http://www.boxofficemojo.com/schedule/?view=bydate&amp;release=theatrical&amp;date=2015-03-06&amp;p=.htm" TargetMode="External"/><Relationship Id="rId384" Type="http://schemas.openxmlformats.org/officeDocument/2006/relationships/hyperlink" Target="http://www.boxofficemojo.com/movies/?id=clouds2015.htm" TargetMode="External"/><Relationship Id="rId385" Type="http://schemas.openxmlformats.org/officeDocument/2006/relationships/hyperlink" Target="http://www.boxofficemojo.com/studio/chart/?studio=tristar.htm" TargetMode="External"/><Relationship Id="rId386" Type="http://schemas.openxmlformats.org/officeDocument/2006/relationships/hyperlink" Target="http://www.boxofficemojo.com/schedule/?view=bydate&amp;release=theatrical&amp;date=2015-09-30&amp;p=.htm" TargetMode="External"/><Relationship Id="rId387" Type="http://schemas.openxmlformats.org/officeDocument/2006/relationships/hyperlink" Target="http://www.boxofficemojo.com/movies/?id=ladyinthevan.htm" TargetMode="External"/><Relationship Id="rId388" Type="http://schemas.openxmlformats.org/officeDocument/2006/relationships/hyperlink" Target="http://www.boxofficemojo.com/studio/chart/?studio=sonyclassics.htm" TargetMode="External"/><Relationship Id="rId389" Type="http://schemas.openxmlformats.org/officeDocument/2006/relationships/hyperlink" Target="http://www.boxofficemojo.com/schedule/?view=bydate&amp;release=theatrical&amp;date=2015-12-04&amp;p=.htm" TargetMode="External"/><Relationship Id="rId1232" Type="http://schemas.openxmlformats.org/officeDocument/2006/relationships/hyperlink" Target="http://www.boxofficemojo.com/schedule/?view=bydate&amp;release=theatrical&amp;date=2015-10-30&amp;p=.htm" TargetMode="External"/><Relationship Id="rId1233" Type="http://schemas.openxmlformats.org/officeDocument/2006/relationships/hyperlink" Target="http://www.boxofficemojo.com/movies/?id=kitchensink.htm" TargetMode="External"/><Relationship Id="rId1234" Type="http://schemas.openxmlformats.org/officeDocument/2006/relationships/hyperlink" Target="http://www.boxofficemojo.com/studio/chart/?studio=sony.htm" TargetMode="External"/><Relationship Id="rId1235" Type="http://schemas.openxmlformats.org/officeDocument/2006/relationships/hyperlink" Target="http://www.boxofficemojo.com/schedule/?view=bydate&amp;release=theatrical&amp;date=2015-10-30&amp;p=.htm" TargetMode="External"/><Relationship Id="rId1236" Type="http://schemas.openxmlformats.org/officeDocument/2006/relationships/hyperlink" Target="http://www.boxofficemojo.com/movies/?id=predestination.htm" TargetMode="External"/><Relationship Id="rId1237" Type="http://schemas.openxmlformats.org/officeDocument/2006/relationships/hyperlink" Target="http://www.boxofficemojo.com/studio/chart/?studio=vertical.htm" TargetMode="External"/><Relationship Id="rId1238" Type="http://schemas.openxmlformats.org/officeDocument/2006/relationships/hyperlink" Target="http://www.boxofficemojo.com/schedule/?view=bydate&amp;release=theatrical&amp;date=2015-01-09&amp;p=.htm" TargetMode="External"/><Relationship Id="rId1239" Type="http://schemas.openxmlformats.org/officeDocument/2006/relationships/hyperlink" Target="http://www.boxofficemojo.com/movies/?id=iambigbird.htm" TargetMode="External"/><Relationship Id="rId1630" Type="http://schemas.openxmlformats.org/officeDocument/2006/relationships/hyperlink" Target="http://www.boxofficemojo.com/studio/chart/?studio=ifc.htm" TargetMode="External"/><Relationship Id="rId1631" Type="http://schemas.openxmlformats.org/officeDocument/2006/relationships/hyperlink" Target="http://www.boxofficemojo.com/schedule/?view=bydate&amp;release=theatrical&amp;date=2015-05-22&amp;p=.htm" TargetMode="External"/><Relationship Id="rId1632" Type="http://schemas.openxmlformats.org/officeDocument/2006/relationships/hyperlink" Target="http://www.boxofficemojo.com/movies/?id=canyoudigthis.htm" TargetMode="External"/><Relationship Id="rId1633" Type="http://schemas.openxmlformats.org/officeDocument/2006/relationships/hyperlink" Target="http://www.boxofficemojo.com/studio/chart/?studio=gathrfilms.htm" TargetMode="External"/><Relationship Id="rId1634" Type="http://schemas.openxmlformats.org/officeDocument/2006/relationships/hyperlink" Target="http://www.boxofficemojo.com/schedule/?view=bydate&amp;release=theatrical&amp;date=2015-11-27&amp;p=.htm" TargetMode="External"/><Relationship Id="rId1635" Type="http://schemas.openxmlformats.org/officeDocument/2006/relationships/hyperlink" Target="http://www.boxofficemojo.com/movies/?id=areason.htm" TargetMode="External"/><Relationship Id="rId1636" Type="http://schemas.openxmlformats.org/officeDocument/2006/relationships/hyperlink" Target="http://www.boxofficemojo.com/studio/chart/?studio=indican.htm" TargetMode="External"/><Relationship Id="rId1637" Type="http://schemas.openxmlformats.org/officeDocument/2006/relationships/hyperlink" Target="http://www.boxofficemojo.com/schedule/?view=bydate&amp;release=theatrical&amp;date=2015-08-28&amp;p=.htm" TargetMode="External"/><Relationship Id="rId1638" Type="http://schemas.openxmlformats.org/officeDocument/2006/relationships/hyperlink" Target="http://www.boxofficemojo.com/movies/?id=fullmooninparis.htm" TargetMode="External"/><Relationship Id="rId1639" Type="http://schemas.openxmlformats.org/officeDocument/2006/relationships/hyperlink" Target="http://www.boxofficemojo.com/studio/chart/?studio=filmmovement.htm" TargetMode="External"/><Relationship Id="rId1240" Type="http://schemas.openxmlformats.org/officeDocument/2006/relationships/hyperlink" Target="http://www.boxofficemojo.com/studio/chart/?studio=tribecafilm.htm" TargetMode="External"/><Relationship Id="rId1241" Type="http://schemas.openxmlformats.org/officeDocument/2006/relationships/hyperlink" Target="http://www.boxofficemojo.com/schedule/?view=bydate&amp;release=theatrical&amp;date=2015-05-06&amp;p=.htm" TargetMode="External"/><Relationship Id="rId780" Type="http://schemas.openxmlformats.org/officeDocument/2006/relationships/hyperlink" Target="http://www.boxofficemojo.com/movies/?id=peggyguggenheimartaddict.htm" TargetMode="External"/><Relationship Id="rId781" Type="http://schemas.openxmlformats.org/officeDocument/2006/relationships/hyperlink" Target="http://www.boxofficemojo.com/studio/chart/?studio=submarinedeluxe.htm" TargetMode="External"/><Relationship Id="rId782" Type="http://schemas.openxmlformats.org/officeDocument/2006/relationships/hyperlink" Target="http://www.boxofficemojo.com/schedule/?view=bydate&amp;release=theatrical&amp;date=2015-11-06&amp;p=.htm" TargetMode="External"/><Relationship Id="rId783" Type="http://schemas.openxmlformats.org/officeDocument/2006/relationships/hyperlink" Target="http://www.boxofficemojo.com/movies/?id=stevejobsmaninthemachine.htm" TargetMode="External"/><Relationship Id="rId784" Type="http://schemas.openxmlformats.org/officeDocument/2006/relationships/hyperlink" Target="http://www.boxofficemojo.com/studio/chart/?studio=magnolia.htm" TargetMode="External"/><Relationship Id="rId785" Type="http://schemas.openxmlformats.org/officeDocument/2006/relationships/hyperlink" Target="http://www.boxofficemojo.com/schedule/?view=bydate&amp;release=theatrical&amp;date=2015-09-04&amp;p=.htm" TargetMode="External"/><Relationship Id="rId786" Type="http://schemas.openxmlformats.org/officeDocument/2006/relationships/hyperlink" Target="http://www.boxofficemojo.com/movies/?id=phantom15.htm" TargetMode="External"/><Relationship Id="rId787" Type="http://schemas.openxmlformats.org/officeDocument/2006/relationships/hyperlink" Target="http://www.boxofficemojo.com/studio/chart/?studio=utv.htm" TargetMode="External"/><Relationship Id="rId788" Type="http://schemas.openxmlformats.org/officeDocument/2006/relationships/hyperlink" Target="http://www.boxofficemojo.com/schedule/?view=bydate&amp;release=theatrical&amp;date=2015-08-28&amp;p=.htm" TargetMode="External"/><Relationship Id="rId789" Type="http://schemas.openxmlformats.org/officeDocument/2006/relationships/hyperlink" Target="http://www.boxofficemojo.com/movies/?id=somewhereonlyweknow.htm" TargetMode="External"/><Relationship Id="rId390" Type="http://schemas.openxmlformats.org/officeDocument/2006/relationships/hyperlink" Target="http://www.boxofficemojo.com/movies/?id=ungalloconmuchoshuevos.htm" TargetMode="External"/><Relationship Id="rId391" Type="http://schemas.openxmlformats.org/officeDocument/2006/relationships/hyperlink" Target="http://www.boxofficemojo.com/studio/chart/?studio=lionsgate.htm" TargetMode="External"/><Relationship Id="rId392" Type="http://schemas.openxmlformats.org/officeDocument/2006/relationships/hyperlink" Target="http://www.boxofficemojo.com/schedule/?view=bydate&amp;release=theatrical&amp;date=2015-09-04&amp;p=.htm" TargetMode="External"/><Relationship Id="rId393" Type="http://schemas.openxmlformats.org/officeDocument/2006/relationships/hyperlink" Target="http://www.boxofficemojo.com/movies/?id=amy.htm" TargetMode="External"/><Relationship Id="rId394" Type="http://schemas.openxmlformats.org/officeDocument/2006/relationships/hyperlink" Target="http://www.boxofficemojo.com/studio/chart/?studio=a24.htm" TargetMode="External"/><Relationship Id="rId395" Type="http://schemas.openxmlformats.org/officeDocument/2006/relationships/hyperlink" Target="http://www.boxofficemojo.com/schedule/?view=bydate&amp;release=theatrical&amp;date=2015-07-03&amp;p=.htm" TargetMode="External"/><Relationship Id="rId396" Type="http://schemas.openxmlformats.org/officeDocument/2006/relationships/hyperlink" Target="http://www.boxofficemojo.com/movies/?id=bajrangibhaijaan.htm" TargetMode="External"/><Relationship Id="rId397" Type="http://schemas.openxmlformats.org/officeDocument/2006/relationships/hyperlink" Target="http://www.boxofficemojo.com/studio/chart/?studio=eros.htm" TargetMode="External"/><Relationship Id="rId398" Type="http://schemas.openxmlformats.org/officeDocument/2006/relationships/hyperlink" Target="http://www.boxofficemojo.com/schedule/?view=bydate&amp;release=theatrical&amp;date=2015-07-17&amp;p=.htm" TargetMode="External"/><Relationship Id="rId399" Type="http://schemas.openxmlformats.org/officeDocument/2006/relationships/hyperlink" Target="http://www.boxofficemojo.com/movies/?id=dragonballzresurrectionoff.htm" TargetMode="External"/><Relationship Id="rId1242" Type="http://schemas.openxmlformats.org/officeDocument/2006/relationships/hyperlink" Target="http://www.boxofficemojo.com/movies/?id=themessenger2015.htm" TargetMode="External"/><Relationship Id="rId1243" Type="http://schemas.openxmlformats.org/officeDocument/2006/relationships/hyperlink" Target="http://www.boxofficemojo.com/studio/chart/?studio=kinolorber.htm" TargetMode="External"/><Relationship Id="rId1244" Type="http://schemas.openxmlformats.org/officeDocument/2006/relationships/hyperlink" Target="http://www.boxofficemojo.com/schedule/?view=bydate&amp;release=theatrical&amp;date=2015-12-04&amp;p=.htm" TargetMode="External"/><Relationship Id="rId1245" Type="http://schemas.openxmlformats.org/officeDocument/2006/relationships/hyperlink" Target="http://www.boxofficemojo.com/movies/?id=turbokid.htm" TargetMode="External"/><Relationship Id="rId1246" Type="http://schemas.openxmlformats.org/officeDocument/2006/relationships/hyperlink" Target="http://www.boxofficemojo.com/studio/chart/?studio=epicpics.htm" TargetMode="External"/><Relationship Id="rId1247" Type="http://schemas.openxmlformats.org/officeDocument/2006/relationships/hyperlink" Target="http://www.boxofficemojo.com/schedule/?view=bydate&amp;release=theatrical&amp;date=2015-08-28&amp;p=.htm" TargetMode="External"/><Relationship Id="rId1248" Type="http://schemas.openxmlformats.org/officeDocument/2006/relationships/hyperlink" Target="http://www.boxofficemojo.com/movies/?id=peopleplacesthings.htm" TargetMode="External"/><Relationship Id="rId1249" Type="http://schemas.openxmlformats.org/officeDocument/2006/relationships/hyperlink" Target="http://www.boxofficemojo.com/studio/chart/?studio=filmarcade.htm" TargetMode="External"/><Relationship Id="rId1640" Type="http://schemas.openxmlformats.org/officeDocument/2006/relationships/hyperlink" Target="http://www.boxofficemojo.com/schedule/?view=bydate&amp;release=theatrical&amp;date=2015-04-17&amp;p=.htm" TargetMode="External"/><Relationship Id="rId1641" Type="http://schemas.openxmlformats.org/officeDocument/2006/relationships/hyperlink" Target="http://www.boxofficemojo.com/movies/?id=numberonefan.htm" TargetMode="External"/><Relationship Id="rId1642" Type="http://schemas.openxmlformats.org/officeDocument/2006/relationships/hyperlink" Target="http://www.boxofficemojo.com/studio/chart/?studio=distribfilms.htm" TargetMode="External"/><Relationship Id="rId1643" Type="http://schemas.openxmlformats.org/officeDocument/2006/relationships/hyperlink" Target="http://www.boxofficemojo.com/schedule/?view=bydate&amp;release=theatrical&amp;date=2015-09-04&amp;p=.htm" TargetMode="External"/><Relationship Id="rId1644" Type="http://schemas.openxmlformats.org/officeDocument/2006/relationships/hyperlink" Target="http://www.boxofficemojo.com/movies/?id=cheatin.htm" TargetMode="External"/><Relationship Id="rId1645" Type="http://schemas.openxmlformats.org/officeDocument/2006/relationships/hyperlink" Target="http://www.boxofficemojo.com/studio/chart/?studio=plymptoons.htm" TargetMode="External"/><Relationship Id="rId1646" Type="http://schemas.openxmlformats.org/officeDocument/2006/relationships/hyperlink" Target="http://www.boxofficemojo.com/schedule/?view=bydate&amp;release=theatrical&amp;date=2015-04-03&amp;p=.htm" TargetMode="External"/><Relationship Id="rId1647" Type="http://schemas.openxmlformats.org/officeDocument/2006/relationships/hyperlink" Target="http://www.boxofficemojo.com/movies/?id=zombeavers.htm" TargetMode="External"/><Relationship Id="rId1648" Type="http://schemas.openxmlformats.org/officeDocument/2006/relationships/hyperlink" Target="http://www.boxofficemojo.com/studio/chart/?studio=fs.htm" TargetMode="External"/><Relationship Id="rId1649" Type="http://schemas.openxmlformats.org/officeDocument/2006/relationships/hyperlink" Target="http://www.boxofficemojo.com/schedule/?view=bydate&amp;release=theatrical&amp;date=2015-03-20&amp;p=.htm" TargetMode="External"/><Relationship Id="rId1250" Type="http://schemas.openxmlformats.org/officeDocument/2006/relationships/hyperlink" Target="http://www.boxofficemojo.com/schedule/?view=bydate&amp;release=theatrical&amp;date=2015-08-14&amp;p=.htm" TargetMode="External"/><Relationship Id="rId1251" Type="http://schemas.openxmlformats.org/officeDocument/2006/relationships/hyperlink" Target="http://www.boxofficemojo.com/movies/?id=eden.htm" TargetMode="External"/><Relationship Id="rId790" Type="http://schemas.openxmlformats.org/officeDocument/2006/relationships/hyperlink" Target="http://www.boxofficemojo.com/studio/chart/?studio=chinalion.htm" TargetMode="External"/><Relationship Id="rId791" Type="http://schemas.openxmlformats.org/officeDocument/2006/relationships/hyperlink" Target="http://www.boxofficemojo.com/schedule/?view=bydate&amp;release=theatrical&amp;date=2015-02-13&amp;p=.htm" TargetMode="External"/><Relationship Id="rId792" Type="http://schemas.openxmlformats.org/officeDocument/2006/relationships/hyperlink" Target="http://www.boxofficemojo.com/movies/?id=brotherlylove.htm" TargetMode="External"/><Relationship Id="rId793" Type="http://schemas.openxmlformats.org/officeDocument/2006/relationships/hyperlink" Target="http://www.boxofficemojo.com/studio/chart/?studio=fs.htm" TargetMode="External"/><Relationship Id="rId794" Type="http://schemas.openxmlformats.org/officeDocument/2006/relationships/hyperlink" Target="http://www.boxofficemojo.com/schedule/?view=bydate&amp;release=theatrical&amp;date=2015-04-24&amp;p=.htm" TargetMode="External"/><Relationship Id="rId795" Type="http://schemas.openxmlformats.org/officeDocument/2006/relationships/hyperlink" Target="http://www.boxofficemojo.com/movies/?id=aboutelly.htm" TargetMode="External"/><Relationship Id="rId796" Type="http://schemas.openxmlformats.org/officeDocument/2006/relationships/hyperlink" Target="http://www.boxofficemojo.com/studio/chart/?studio=cinemaguild.htm" TargetMode="External"/><Relationship Id="rId797" Type="http://schemas.openxmlformats.org/officeDocument/2006/relationships/hyperlink" Target="http://www.boxofficemojo.com/schedule/?view=bydate&amp;release=theatrical&amp;date=2015-04-08&amp;p=.htm" TargetMode="External"/><Relationship Id="rId798" Type="http://schemas.openxmlformats.org/officeDocument/2006/relationships/hyperlink" Target="http://www.boxofficemojo.com/movies/?id=letsgetmarried.htm" TargetMode="External"/><Relationship Id="rId799" Type="http://schemas.openxmlformats.org/officeDocument/2006/relationships/hyperlink" Target="http://www.boxofficemojo.com/studio/chart/?studio=chinalion.htm" TargetMode="External"/><Relationship Id="rId1252" Type="http://schemas.openxmlformats.org/officeDocument/2006/relationships/hyperlink" Target="http://www.boxofficemojo.com/studio/chart/?studio=broadgreen.htm" TargetMode="External"/><Relationship Id="rId1253" Type="http://schemas.openxmlformats.org/officeDocument/2006/relationships/hyperlink" Target="http://www.boxofficemojo.com/schedule/?view=bydate&amp;release=theatrical&amp;date=2015-06-19&amp;p=.htm" TargetMode="External"/><Relationship Id="rId1254" Type="http://schemas.openxmlformats.org/officeDocument/2006/relationships/hyperlink" Target="http://www.boxofficemojo.com/movies/?id=dukeofburgundy.htm" TargetMode="External"/><Relationship Id="rId1255" Type="http://schemas.openxmlformats.org/officeDocument/2006/relationships/hyperlink" Target="http://www.boxofficemojo.com/studio/chart/?studio=ifc.htm" TargetMode="External"/><Relationship Id="rId1256" Type="http://schemas.openxmlformats.org/officeDocument/2006/relationships/hyperlink" Target="http://www.boxofficemojo.com/schedule/?view=bydate&amp;release=theatrical&amp;date=2015-01-23&amp;p=.htm" TargetMode="External"/><Relationship Id="rId1257" Type="http://schemas.openxmlformats.org/officeDocument/2006/relationships/hyperlink" Target="http://www.boxofficemojo.com/movies/?id=ourlittlesisterca.htm" TargetMode="External"/><Relationship Id="rId1258" Type="http://schemas.openxmlformats.org/officeDocument/2006/relationships/hyperlink" Target="http://www.boxofficemojo.com/studio/chart/?studio=mongrel.htm" TargetMode="External"/><Relationship Id="rId1259" Type="http://schemas.openxmlformats.org/officeDocument/2006/relationships/hyperlink" Target="http://www.boxofficemojo.com/schedule/?view=bydate&amp;release=theatrical&amp;date=2015-09-23&amp;p=.htm" TargetMode="External"/><Relationship Id="rId1650" Type="http://schemas.openxmlformats.org/officeDocument/2006/relationships/hyperlink" Target="http://www.boxofficemojo.com/movies/?id=gloria2015.htm" TargetMode="External"/><Relationship Id="rId1651" Type="http://schemas.openxmlformats.org/officeDocument/2006/relationships/hyperlink" Target="http://www.boxofficemojo.com/studio/chart/?studio=picturehouse2.htm" TargetMode="External"/><Relationship Id="rId1652" Type="http://schemas.openxmlformats.org/officeDocument/2006/relationships/hyperlink" Target="http://www.boxofficemojo.com/schedule/?view=bydate&amp;release=theatrical&amp;date=2015-07-17&amp;p=.htm" TargetMode="External"/><Relationship Id="rId1653" Type="http://schemas.openxmlformats.org/officeDocument/2006/relationships/hyperlink" Target="http://www.boxofficemojo.com/movies/?id=10daysinamadhouse.htm" TargetMode="External"/><Relationship Id="rId1654" Type="http://schemas.openxmlformats.org/officeDocument/2006/relationships/hyperlink" Target="http://www.boxofficemojo.com/studio/chart/?studio=cafe.htm" TargetMode="External"/><Relationship Id="rId1655" Type="http://schemas.openxmlformats.org/officeDocument/2006/relationships/hyperlink" Target="http://www.boxofficemojo.com/schedule/?view=bydate&amp;release=theatrical&amp;date=2015-11-11&amp;p=.htm" TargetMode="External"/><Relationship Id="rId1656" Type="http://schemas.openxmlformats.org/officeDocument/2006/relationships/hyperlink" Target="http://www.boxofficemojo.com/movies/?id=buzzard.htm" TargetMode="External"/><Relationship Id="rId1657" Type="http://schemas.openxmlformats.org/officeDocument/2006/relationships/hyperlink" Target="http://www.boxofficemojo.com/studio/chart/?studio=oscilloscopepictures.htm" TargetMode="External"/><Relationship Id="rId1658" Type="http://schemas.openxmlformats.org/officeDocument/2006/relationships/hyperlink" Target="http://www.boxofficemojo.com/schedule/?view=bydate&amp;release=theatrical&amp;date=2015-03-06&amp;p=.htm" TargetMode="External"/><Relationship Id="rId1659" Type="http://schemas.openxmlformats.org/officeDocument/2006/relationships/hyperlink" Target="http://www.boxofficemojo.com/movies/?id=gonedoggygone.htm" TargetMode="External"/><Relationship Id="rId1260" Type="http://schemas.openxmlformats.org/officeDocument/2006/relationships/hyperlink" Target="http://www.boxofficemojo.com/movies/?id=office2015.htm" TargetMode="External"/><Relationship Id="rId1261" Type="http://schemas.openxmlformats.org/officeDocument/2006/relationships/hyperlink" Target="http://www.boxofficemojo.com/studio/chart/?studio=chinalion.htm" TargetMode="External"/><Relationship Id="rId1262" Type="http://schemas.openxmlformats.org/officeDocument/2006/relationships/hyperlink" Target="http://www.boxofficemojo.com/schedule/?view=bydate&amp;release=theatrical&amp;date=2015-09-18&amp;p=.htm" TargetMode="External"/><Relationship Id="rId1263" Type="http://schemas.openxmlformats.org/officeDocument/2006/relationships/hyperlink" Target="http://www.boxofficemojo.com/movies/?id=drunkstonedbrilliantdead.htm" TargetMode="External"/><Relationship Id="rId1264" Type="http://schemas.openxmlformats.org/officeDocument/2006/relationships/hyperlink" Target="http://www.boxofficemojo.com/studio/chart/?studio=magnolia.htm" TargetMode="External"/><Relationship Id="rId1265" Type="http://schemas.openxmlformats.org/officeDocument/2006/relationships/hyperlink" Target="http://www.boxofficemojo.com/schedule/?view=bydate&amp;release=theatrical&amp;date=2015-09-25&amp;p=.htm" TargetMode="External"/><Relationship Id="rId1266" Type="http://schemas.openxmlformats.org/officeDocument/2006/relationships/hyperlink" Target="http://www.boxofficemojo.com/movies/?id=flowers15.htm" TargetMode="External"/><Relationship Id="rId1267" Type="http://schemas.openxmlformats.org/officeDocument/2006/relationships/hyperlink" Target="http://www.boxofficemojo.com/studio/chart/?studio=musicboxfilms.htm" TargetMode="External"/><Relationship Id="rId1268" Type="http://schemas.openxmlformats.org/officeDocument/2006/relationships/hyperlink" Target="http://www.boxofficemojo.com/schedule/?view=bydate&amp;release=theatrical&amp;date=2015-10-30&amp;p=.htm" TargetMode="External"/><Relationship Id="rId1269" Type="http://schemas.openxmlformats.org/officeDocument/2006/relationships/hyperlink" Target="http://www.boxofficemojo.com/movies/?id=onlyyou15.htm" TargetMode="External"/><Relationship Id="rId400" Type="http://schemas.openxmlformats.org/officeDocument/2006/relationships/hyperlink" Target="http://www.boxofficemojo.com/studio/chart/?studio=funimation.htm" TargetMode="External"/><Relationship Id="rId401" Type="http://schemas.openxmlformats.org/officeDocument/2006/relationships/hyperlink" Target="http://www.boxofficemojo.com/schedule/?view=bydate&amp;release=theatrical&amp;date=2015-08-04&amp;p=.htm" TargetMode="External"/><Relationship Id="rId402" Type="http://schemas.openxmlformats.org/officeDocument/2006/relationships/hyperlink" Target="http://www.boxofficemojo.com/movies/?id=mann2015.htm" TargetMode="External"/><Relationship Id="rId403" Type="http://schemas.openxmlformats.org/officeDocument/2006/relationships/hyperlink" Target="http://www.boxofficemojo.com/studio/chart/?studio=universal.htm" TargetMode="External"/><Relationship Id="rId404" Type="http://schemas.openxmlformats.org/officeDocument/2006/relationships/hyperlink" Target="http://www.boxofficemojo.com/schedule/?view=bydate&amp;release=theatrical&amp;date=2015-01-16&amp;p=.htm" TargetMode="External"/><Relationship Id="rId405" Type="http://schemas.openxmlformats.org/officeDocument/2006/relationships/hyperlink" Target="http://www.boxofficemojo.com/movies/?id=trumbo2015.htm" TargetMode="External"/><Relationship Id="rId406" Type="http://schemas.openxmlformats.org/officeDocument/2006/relationships/hyperlink" Target="http://www.boxofficemojo.com/studio/chart/?studio=bleeckerstreet.htm" TargetMode="External"/><Relationship Id="rId407" Type="http://schemas.openxmlformats.org/officeDocument/2006/relationships/hyperlink" Target="http://www.boxofficemojo.com/schedule/?view=bydate&amp;release=theatrical&amp;date=2015-11-06&amp;p=.htm" TargetMode="External"/><Relationship Id="rId408" Type="http://schemas.openxmlformats.org/officeDocument/2006/relationships/hyperlink" Target="http://www.boxofficemojo.com/movies/?id=mortdecai.htm" TargetMode="External"/><Relationship Id="rId409" Type="http://schemas.openxmlformats.org/officeDocument/2006/relationships/hyperlink" Target="http://www.boxofficemojo.com/studio/chart/?studio=lionsgate.htm" TargetMode="External"/><Relationship Id="rId1660" Type="http://schemas.openxmlformats.org/officeDocument/2006/relationships/hyperlink" Target="http://www.boxofficemojo.com/studio/chart/?studio=indican.htm" TargetMode="External"/><Relationship Id="rId1661" Type="http://schemas.openxmlformats.org/officeDocument/2006/relationships/hyperlink" Target="http://www.boxofficemojo.com/schedule/?view=bydate&amp;release=theatrical&amp;date=2015-06-26&amp;p=.htm" TargetMode="External"/><Relationship Id="rId1662" Type="http://schemas.openxmlformats.org/officeDocument/2006/relationships/hyperlink" Target="http://www.boxofficemojo.com/movies/?id=thehallow.htm" TargetMode="External"/><Relationship Id="rId1663" Type="http://schemas.openxmlformats.org/officeDocument/2006/relationships/hyperlink" Target="http://www.boxofficemojo.com/studio/chart/?studio=ifc.htm" TargetMode="External"/><Relationship Id="rId1664" Type="http://schemas.openxmlformats.org/officeDocument/2006/relationships/hyperlink" Target="http://www.boxofficemojo.com/schedule/?view=bydate&amp;release=theatrical&amp;date=2015-11-06&amp;p=.htm" TargetMode="External"/><Relationship Id="rId1665" Type="http://schemas.openxmlformats.org/officeDocument/2006/relationships/hyperlink" Target="http://www.boxofficemojo.com/movies/?id=backcountry.htm" TargetMode="External"/><Relationship Id="rId1666" Type="http://schemas.openxmlformats.org/officeDocument/2006/relationships/hyperlink" Target="http://www.boxofficemojo.com/studio/chart/?studio=ifc.htm" TargetMode="External"/><Relationship Id="rId1667" Type="http://schemas.openxmlformats.org/officeDocument/2006/relationships/hyperlink" Target="http://www.boxofficemojo.com/schedule/?view=bydate&amp;release=theatrical&amp;date=2015-03-20&amp;p=.htm" TargetMode="External"/><Relationship Id="rId1668" Type="http://schemas.openxmlformats.org/officeDocument/2006/relationships/hyperlink" Target="http://www.boxofficemojo.com/movies/?id=amourfou.htm" TargetMode="External"/><Relationship Id="rId1669" Type="http://schemas.openxmlformats.org/officeDocument/2006/relationships/hyperlink" Target="http://www.boxofficemojo.com/studio/chart/?studio=filmmovement.htm" TargetMode="External"/><Relationship Id="rId1270" Type="http://schemas.openxmlformats.org/officeDocument/2006/relationships/hyperlink" Target="http://www.boxofficemojo.com/studio/chart/?studio=chinalion.htm" TargetMode="External"/><Relationship Id="rId1271" Type="http://schemas.openxmlformats.org/officeDocument/2006/relationships/hyperlink" Target="http://www.boxofficemojo.com/schedule/?view=bydate&amp;release=theatrical&amp;date=2015-07-24&amp;p=.htm" TargetMode="External"/><Relationship Id="rId1272" Type="http://schemas.openxmlformats.org/officeDocument/2006/relationships/hyperlink" Target="http://www.boxofficemojo.com/movies/?id=darkstar.htm" TargetMode="External"/><Relationship Id="rId1273" Type="http://schemas.openxmlformats.org/officeDocument/2006/relationships/hyperlink" Target="http://www.boxofficemojo.com/studio/chart/?studio=icarus.htm" TargetMode="External"/><Relationship Id="rId1274" Type="http://schemas.openxmlformats.org/officeDocument/2006/relationships/hyperlink" Target="http://www.boxofficemojo.com/schedule/?view=bydate&amp;release=theatrical&amp;date=2015-05-15&amp;p=.htm" TargetMode="External"/><Relationship Id="rId1275" Type="http://schemas.openxmlformats.org/officeDocument/2006/relationships/hyperlink" Target="http://www.boxofficemojo.com/movies/?id=girlhood2015.htm" TargetMode="External"/><Relationship Id="rId1276" Type="http://schemas.openxmlformats.org/officeDocument/2006/relationships/hyperlink" Target="http://www.boxofficemojo.com/studio/chart/?studio=strand.htm" TargetMode="External"/><Relationship Id="rId1277" Type="http://schemas.openxmlformats.org/officeDocument/2006/relationships/hyperlink" Target="http://www.boxofficemojo.com/schedule/?view=bydate&amp;release=theatrical&amp;date=2015-01-30&amp;p=.htm" TargetMode="External"/><Relationship Id="rId1278" Type="http://schemas.openxmlformats.org/officeDocument/2006/relationships/hyperlink" Target="http://www.boxofficemojo.com/movies/?id=jauja.htm" TargetMode="External"/><Relationship Id="rId1279" Type="http://schemas.openxmlformats.org/officeDocument/2006/relationships/hyperlink" Target="http://www.boxofficemojo.com/studio/chart/?studio=cinemaguild.htm" TargetMode="External"/><Relationship Id="rId800" Type="http://schemas.openxmlformats.org/officeDocument/2006/relationships/hyperlink" Target="http://www.boxofficemojo.com/schedule/?view=bydate&amp;release=theatrical&amp;date=2015-04-03&amp;p=.htm" TargetMode="External"/><Relationship Id="rId801" Type="http://schemas.openxmlformats.org/officeDocument/2006/relationships/hyperlink" Target="http://www.boxofficemojo.com/movies/?id=bombayvelvet.htm" TargetMode="External"/><Relationship Id="rId802" Type="http://schemas.openxmlformats.org/officeDocument/2006/relationships/hyperlink" Target="http://www.boxofficemojo.com/studio/chart/?studio=fip.htm" TargetMode="External"/><Relationship Id="rId803" Type="http://schemas.openxmlformats.org/officeDocument/2006/relationships/hyperlink" Target="http://www.boxofficemojo.com/schedule/?view=bydate&amp;release=theatrical&amp;date=2015-05-15&amp;p=.htm" TargetMode="External"/><Relationship Id="rId410" Type="http://schemas.openxmlformats.org/officeDocument/2006/relationships/hyperlink" Target="http://www.boxofficemojo.com/schedule/?view=bydate&amp;release=theatrical&amp;date=2015-01-23&amp;p=.htm" TargetMode="External"/><Relationship Id="rId411" Type="http://schemas.openxmlformats.org/officeDocument/2006/relationships/hyperlink" Target="http://www.boxofficemojo.com/movies/?id=whilewereyoung.htm" TargetMode="External"/><Relationship Id="rId412" Type="http://schemas.openxmlformats.org/officeDocument/2006/relationships/hyperlink" Target="http://www.boxofficemojo.com/studio/chart/?studio=a24.htm" TargetMode="External"/><Relationship Id="rId413" Type="http://schemas.openxmlformats.org/officeDocument/2006/relationships/hyperlink" Target="http://www.boxofficemojo.com/schedule/?view=bydate&amp;release=theatrical&amp;date=2015-03-27&amp;p=.htm" TargetMode="External"/><Relationship Id="rId414" Type="http://schemas.openxmlformats.org/officeDocument/2006/relationships/hyperlink" Target="http://www.boxofficemojo.com/movies/?id=dreams15.htm" TargetMode="External"/><Relationship Id="rId415" Type="http://schemas.openxmlformats.org/officeDocument/2006/relationships/hyperlink" Target="http://www.boxofficemojo.com/studio/chart/?studio=bleeckerstreet.htm" TargetMode="External"/><Relationship Id="rId416" Type="http://schemas.openxmlformats.org/officeDocument/2006/relationships/hyperlink" Target="http://www.boxofficemojo.com/schedule/?view=bydate&amp;release=theatrical&amp;date=2015-05-15&amp;p=.htm" TargetMode="External"/><Relationship Id="rId417" Type="http://schemas.openxmlformats.org/officeDocument/2006/relationships/hyperlink" Target="http://www.boxofficemojo.com/movies/?id=greeninferno.htm" TargetMode="External"/><Relationship Id="rId418" Type="http://schemas.openxmlformats.org/officeDocument/2006/relationships/hyperlink" Target="http://www.boxofficemojo.com/studio/chart/?studio=bhtilt.htm" TargetMode="External"/><Relationship Id="rId419" Type="http://schemas.openxmlformats.org/officeDocument/2006/relationships/hyperlink" Target="http://www.boxofficemojo.com/schedule/?view=bydate&amp;release=theatrical&amp;date=2015-09-25&amp;p=.htm" TargetMode="External"/><Relationship Id="rId804" Type="http://schemas.openxmlformats.org/officeDocument/2006/relationships/hyperlink" Target="http://www.boxofficemojo.com/movies/?id=attackontitanpart1.htm" TargetMode="External"/><Relationship Id="rId805" Type="http://schemas.openxmlformats.org/officeDocument/2006/relationships/hyperlink" Target="http://www.boxofficemojo.com/studio/chart/?studio=funimation.htm" TargetMode="External"/><Relationship Id="rId806" Type="http://schemas.openxmlformats.org/officeDocument/2006/relationships/hyperlink" Target="http://www.boxofficemojo.com/schedule/?view=bydate&amp;release=theatrical&amp;date=2015-09-30&amp;p=.htm" TargetMode="External"/><Relationship Id="rId807" Type="http://schemas.openxmlformats.org/officeDocument/2006/relationships/hyperlink" Target="http://www.boxofficemojo.com/movies/?id=thethirdman15.htm" TargetMode="External"/><Relationship Id="rId808" Type="http://schemas.openxmlformats.org/officeDocument/2006/relationships/hyperlink" Target="http://www.boxofficemojo.com/studio/chart/?studio=rialto.htm" TargetMode="External"/><Relationship Id="rId809" Type="http://schemas.openxmlformats.org/officeDocument/2006/relationships/hyperlink" Target="http://www.boxofficemojo.com/schedule/?view=bydate&amp;release=theatrical&amp;date=2015-06-26&amp;p=.htm" TargetMode="External"/><Relationship Id="rId1670" Type="http://schemas.openxmlformats.org/officeDocument/2006/relationships/hyperlink" Target="http://www.boxofficemojo.com/schedule/?view=bydate&amp;release=theatrical&amp;date=2015-03-18&amp;p=.htm" TargetMode="External"/><Relationship Id="rId1671" Type="http://schemas.openxmlformats.org/officeDocument/2006/relationships/hyperlink" Target="http://www.boxofficemojo.com/movies/?id=eli.htm" TargetMode="External"/><Relationship Id="rId1672" Type="http://schemas.openxmlformats.org/officeDocument/2006/relationships/hyperlink" Target="http://www.boxofficemojo.com/studio/chart/?studio=eros.htm" TargetMode="External"/><Relationship Id="rId1673" Type="http://schemas.openxmlformats.org/officeDocument/2006/relationships/hyperlink" Target="http://www.boxofficemojo.com/schedule/?view=bydate&amp;release=theatrical&amp;date=2015-06-19&amp;p=.htm" TargetMode="External"/><Relationship Id="rId1280" Type="http://schemas.openxmlformats.org/officeDocument/2006/relationships/hyperlink" Target="http://www.boxofficemojo.com/schedule/?view=bydate&amp;release=theatrical&amp;date=2015-03-20&amp;p=.htm" TargetMode="External"/><Relationship Id="rId1281" Type="http://schemas.openxmlformats.org/officeDocument/2006/relationships/hyperlink" Target="http://www.boxofficemojo.com/movies/?id=gueros.htm" TargetMode="External"/><Relationship Id="rId1282" Type="http://schemas.openxmlformats.org/officeDocument/2006/relationships/hyperlink" Target="http://www.boxofficemojo.com/studio/chart/?studio=kinolorber.htm" TargetMode="External"/><Relationship Id="rId1283" Type="http://schemas.openxmlformats.org/officeDocument/2006/relationships/hyperlink" Target="http://www.boxofficemojo.com/schedule/?view=bydate&amp;release=theatrical&amp;date=2015-05-20&amp;p=.htm" TargetMode="External"/><Relationship Id="rId1284" Type="http://schemas.openxmlformats.org/officeDocument/2006/relationships/hyperlink" Target="http://www.boxofficemojo.com/movies/?id=cooties.htm" TargetMode="External"/><Relationship Id="rId1285" Type="http://schemas.openxmlformats.org/officeDocument/2006/relationships/hyperlink" Target="http://www.boxofficemojo.com/studio/chart/?studio=lionsgatepremiere.htm" TargetMode="External"/><Relationship Id="rId1286" Type="http://schemas.openxmlformats.org/officeDocument/2006/relationships/hyperlink" Target="http://www.boxofficemojo.com/schedule/?view=bydate&amp;release=theatrical&amp;date=2015-09-18&amp;p=.htm" TargetMode="External"/><Relationship Id="rId1287" Type="http://schemas.openxmlformats.org/officeDocument/2006/relationships/hyperlink" Target="http://www.boxofficemojo.com/movies/?id=ismileback.htm" TargetMode="External"/><Relationship Id="rId1288" Type="http://schemas.openxmlformats.org/officeDocument/2006/relationships/hyperlink" Target="http://www.boxofficemojo.com/studio/chart/?studio=broadgreen.htm" TargetMode="External"/><Relationship Id="rId1289" Type="http://schemas.openxmlformats.org/officeDocument/2006/relationships/hyperlink" Target="http://www.boxofficemojo.com/schedule/?view=bydate&amp;release=theatrical&amp;date=2015-10-23&amp;p=.htm" TargetMode="External"/><Relationship Id="rId1674" Type="http://schemas.openxmlformats.org/officeDocument/2006/relationships/hyperlink" Target="http://www.boxofficemojo.com/movies/?id=yakuzaapocalypse.htm" TargetMode="External"/><Relationship Id="rId1675" Type="http://schemas.openxmlformats.org/officeDocument/2006/relationships/hyperlink" Target="http://www.boxofficemojo.com/studio/chart/?studio=samuelgoldwyn.htm" TargetMode="External"/><Relationship Id="rId1676" Type="http://schemas.openxmlformats.org/officeDocument/2006/relationships/hyperlink" Target="http://www.boxofficemojo.com/schedule/?view=bydate&amp;release=theatrical&amp;date=2015-10-09&amp;p=.htm" TargetMode="External"/><Relationship Id="rId1677" Type="http://schemas.openxmlformats.org/officeDocument/2006/relationships/hyperlink" Target="http://www.boxofficemojo.com/movies/?id=10000km.htm" TargetMode="External"/><Relationship Id="rId1678" Type="http://schemas.openxmlformats.org/officeDocument/2006/relationships/hyperlink" Target="http://www.boxofficemojo.com/studio/chart/?studio=broadgreen.htm" TargetMode="External"/><Relationship Id="rId1679" Type="http://schemas.openxmlformats.org/officeDocument/2006/relationships/hyperlink" Target="http://www.boxofficemojo.com/schedule/?view=bydate&amp;release=theatrical&amp;date=2015-07-10&amp;p=.htm" TargetMode="External"/><Relationship Id="rId810" Type="http://schemas.openxmlformats.org/officeDocument/2006/relationships/hyperlink" Target="http://www.boxofficemojo.com/movies/?id=felixandmeira.htm" TargetMode="External"/><Relationship Id="rId811" Type="http://schemas.openxmlformats.org/officeDocument/2006/relationships/hyperlink" Target="http://www.boxofficemojo.com/studio/chart/?studio=oscilloscopepictures.htm" TargetMode="External"/><Relationship Id="rId812" Type="http://schemas.openxmlformats.org/officeDocument/2006/relationships/hyperlink" Target="http://www.boxofficemojo.com/schedule/?view=bydate&amp;release=theatrical&amp;date=2015-04-17&amp;p=.htm" TargetMode="External"/><Relationship Id="rId813" Type="http://schemas.openxmlformats.org/officeDocument/2006/relationships/hyperlink" Target="http://www.boxofficemojo.com/movies/?id=rosenwald.htm" TargetMode="External"/><Relationship Id="rId420" Type="http://schemas.openxmlformats.org/officeDocument/2006/relationships/hyperlink" Target="http://www.boxofficemojo.com/movies/?id=ourbrandiscrisis20115.htm" TargetMode="External"/><Relationship Id="rId421" Type="http://schemas.openxmlformats.org/officeDocument/2006/relationships/hyperlink" Target="http://www.boxofficemojo.com/studio/chart/?studio=warnerbros.htm" TargetMode="External"/><Relationship Id="rId422" Type="http://schemas.openxmlformats.org/officeDocument/2006/relationships/hyperlink" Target="http://www.boxofficemojo.com/schedule/?view=bydate&amp;release=theatrical&amp;date=2015-10-30&amp;p=.htm" TargetMode="External"/><Relationship Id="rId423" Type="http://schemas.openxmlformats.org/officeDocument/2006/relationships/hyperlink" Target="http://www.boxofficemojo.com/movies/?id=grandma2015.htm" TargetMode="External"/><Relationship Id="rId424" Type="http://schemas.openxmlformats.org/officeDocument/2006/relationships/hyperlink" Target="http://www.boxofficemojo.com/studio/chart/?studio=sonyclassics.htm" TargetMode="External"/><Relationship Id="rId425" Type="http://schemas.openxmlformats.org/officeDocument/2006/relationships/hyperlink" Target="http://www.boxofficemojo.com/schedule/?view=bydate&amp;release=theatrical&amp;date=2015-08-21&amp;p=.htm" TargetMode="External"/><Relationship Id="rId426" Type="http://schemas.openxmlformats.org/officeDocument/2006/relationships/hyperlink" Target="http://www.boxofficemojo.com/movies/?id=meandearl.htm" TargetMode="External"/><Relationship Id="rId427" Type="http://schemas.openxmlformats.org/officeDocument/2006/relationships/hyperlink" Target="http://www.boxofficemojo.com/studio/chart/?studio=foxsearchlight.htm" TargetMode="External"/><Relationship Id="rId428" Type="http://schemas.openxmlformats.org/officeDocument/2006/relationships/hyperlink" Target="http://www.boxofficemojo.com/schedule/?view=bydate&amp;release=theatrical&amp;date=2015-06-12&amp;p=.htm" TargetMode="External"/><Relationship Id="rId429" Type="http://schemas.openxmlformats.org/officeDocument/2006/relationships/hyperlink" Target="http://www.boxofficemojo.com/movies/?id=baahubali:thebeginning.htm" TargetMode="External"/><Relationship Id="rId814" Type="http://schemas.openxmlformats.org/officeDocument/2006/relationships/hyperlink" Target="http://www.boxofficemojo.com/studio/chart/?studio=ciesla.htm" TargetMode="External"/><Relationship Id="rId815" Type="http://schemas.openxmlformats.org/officeDocument/2006/relationships/hyperlink" Target="http://www.boxofficemojo.com/schedule/?view=bydate&amp;release=theatrical&amp;date=2015-08-14&amp;p=.htm" TargetMode="External"/><Relationship Id="rId816" Type="http://schemas.openxmlformats.org/officeDocument/2006/relationships/hyperlink" Target="http://www.boxofficemojo.com/movies/?id=saintlaurent.htm" TargetMode="External"/><Relationship Id="rId817" Type="http://schemas.openxmlformats.org/officeDocument/2006/relationships/hyperlink" Target="http://www.boxofficemojo.com/studio/chart/?studio=sonyclassics.htm" TargetMode="External"/><Relationship Id="rId818" Type="http://schemas.openxmlformats.org/officeDocument/2006/relationships/hyperlink" Target="http://www.boxofficemojo.com/schedule/?view=bydate&amp;release=theatrical&amp;date=2015-05-08&amp;p=.htm" TargetMode="External"/><Relationship Id="rId819" Type="http://schemas.openxmlformats.org/officeDocument/2006/relationships/hyperlink" Target="http://www.boxofficemojo.com/movies/?id=listentomemarlon.htm" TargetMode="External"/><Relationship Id="rId1680" Type="http://schemas.openxmlformats.org/officeDocument/2006/relationships/hyperlink" Target="http://www.boxofficemojo.com/movies/?id=thearmoroflight.htm" TargetMode="External"/><Relationship Id="rId1681" Type="http://schemas.openxmlformats.org/officeDocument/2006/relationships/hyperlink" Target="http://www.boxofficemojo.com/studio/chart/?studio=forkfilms.htm" TargetMode="External"/><Relationship Id="rId1682" Type="http://schemas.openxmlformats.org/officeDocument/2006/relationships/hyperlink" Target="http://www.boxofficemojo.com/schedule/?view=bydate&amp;release=theatrical&amp;date=2015-10-30&amp;p=.htm" TargetMode="External"/><Relationship Id="rId1683" Type="http://schemas.openxmlformats.org/officeDocument/2006/relationships/hyperlink" Target="http://www.boxofficemojo.com/movies/?id=arabiannightsvol1.htm" TargetMode="External"/><Relationship Id="rId1290" Type="http://schemas.openxmlformats.org/officeDocument/2006/relationships/hyperlink" Target="http://www.boxofficemojo.com/movies/?id=rififi15.htm" TargetMode="External"/><Relationship Id="rId1291" Type="http://schemas.openxmlformats.org/officeDocument/2006/relationships/hyperlink" Target="http://www.boxofficemojo.com/studio/chart/?studio=rialto.htm" TargetMode="External"/><Relationship Id="rId1292" Type="http://schemas.openxmlformats.org/officeDocument/2006/relationships/hyperlink" Target="http://www.boxofficemojo.com/schedule/?view=bydate&amp;release=theatrical&amp;date=2015-09-02&amp;p=.htm" TargetMode="External"/><Relationship Id="rId1293" Type="http://schemas.openxmlformats.org/officeDocument/2006/relationships/hyperlink" Target="http://www.boxofficemojo.com/movies/?id=entertainment.htm" TargetMode="External"/><Relationship Id="rId1294" Type="http://schemas.openxmlformats.org/officeDocument/2006/relationships/hyperlink" Target="http://www.boxofficemojo.com/studio/chart/?studio=magnolia.htm" TargetMode="External"/><Relationship Id="rId1295" Type="http://schemas.openxmlformats.org/officeDocument/2006/relationships/hyperlink" Target="http://www.boxofficemojo.com/schedule/?view=bydate&amp;release=theatrical&amp;date=2015-11-13&amp;p=.htm" TargetMode="External"/><Relationship Id="rId1296" Type="http://schemas.openxmlformats.org/officeDocument/2006/relationships/hyperlink" Target="http://www.boxofficemojo.com/movies/?id=searchforgeneraltso.htm" TargetMode="External"/><Relationship Id="rId1297" Type="http://schemas.openxmlformats.org/officeDocument/2006/relationships/hyperlink" Target="http://www.boxofficemojo.com/studio/chart/?studio=ifc.htm" TargetMode="External"/><Relationship Id="rId1298" Type="http://schemas.openxmlformats.org/officeDocument/2006/relationships/hyperlink" Target="http://www.boxofficemojo.com/schedule/?view=bydate&amp;release=theatrical&amp;date=2015-01-02&amp;p=.htm" TargetMode="External"/><Relationship Id="rId1299" Type="http://schemas.openxmlformats.org/officeDocument/2006/relationships/hyperlink" Target="http://www.boxofficemojo.com/movies/?id=thearkofmr.chow.htm" TargetMode="External"/><Relationship Id="rId1684" Type="http://schemas.openxmlformats.org/officeDocument/2006/relationships/hyperlink" Target="http://www.boxofficemojo.com/studio/chart/?studio=kinolorber.htm" TargetMode="External"/><Relationship Id="rId1685" Type="http://schemas.openxmlformats.org/officeDocument/2006/relationships/hyperlink" Target="http://www.boxofficemojo.com/schedule/?view=bydate&amp;release=theatrical&amp;date=2015-12-04&amp;p=.htm" TargetMode="External"/><Relationship Id="rId1686" Type="http://schemas.openxmlformats.org/officeDocument/2006/relationships/hyperlink" Target="http://www.boxofficemojo.com/movies/?id=washoku.htm" TargetMode="External"/><Relationship Id="rId1687" Type="http://schemas.openxmlformats.org/officeDocument/2006/relationships/hyperlink" Target="http://www.boxofficemojo.com/studio/chart/?studio=milkyway.htm" TargetMode="External"/><Relationship Id="rId1688" Type="http://schemas.openxmlformats.org/officeDocument/2006/relationships/hyperlink" Target="http://www.boxofficemojo.com/schedule/?view=bydate&amp;release=theatrical&amp;date=2015-04-10&amp;p=.htm" TargetMode="External"/><Relationship Id="rId1689" Type="http://schemas.openxmlformats.org/officeDocument/2006/relationships/hyperlink" Target="http://www.boxofficemojo.com/movies/?id=murderinthepark.htm" TargetMode="External"/><Relationship Id="rId820" Type="http://schemas.openxmlformats.org/officeDocument/2006/relationships/hyperlink" Target="http://www.boxofficemojo.com/studio/chart/?studio=showtime.htm" TargetMode="External"/><Relationship Id="rId821" Type="http://schemas.openxmlformats.org/officeDocument/2006/relationships/hyperlink" Target="http://www.boxofficemojo.com/schedule/?view=bydate&amp;release=theatrical&amp;date=2015-07-29&amp;p=.htm" TargetMode="External"/><Relationship Id="rId822" Type="http://schemas.openxmlformats.org/officeDocument/2006/relationships/hyperlink" Target="http://www.boxofficemojo.com/movies/?id=heartofadog.htm" TargetMode="External"/><Relationship Id="rId823" Type="http://schemas.openxmlformats.org/officeDocument/2006/relationships/hyperlink" Target="http://www.boxofficemojo.com/studio/chart/?studio=abramorama.htm" TargetMode="External"/><Relationship Id="rId430" Type="http://schemas.openxmlformats.org/officeDocument/2006/relationships/hyperlink" Target="http://www.boxofficemojo.com/studio/chart/?studio=bluesky.htm" TargetMode="External"/><Relationship Id="rId431" Type="http://schemas.openxmlformats.org/officeDocument/2006/relationships/hyperlink" Target="http://www.boxofficemojo.com/schedule/?view=bydate&amp;release=theatrical&amp;date=2015-07-09&amp;p=.htm" TargetMode="External"/><Relationship Id="rId432" Type="http://schemas.openxmlformats.org/officeDocument/2006/relationships/hyperlink" Target="http://www.boxofficemojo.com/movies/?id=bajiraomastani.htm" TargetMode="External"/><Relationship Id="rId433" Type="http://schemas.openxmlformats.org/officeDocument/2006/relationships/hyperlink" Target="http://www.boxofficemojo.com/studio/chart/?studio=eros.htm" TargetMode="External"/><Relationship Id="rId434" Type="http://schemas.openxmlformats.org/officeDocument/2006/relationships/hyperlink" Target="http://www.boxofficemojo.com/schedule/?view=bydate&amp;release=theatrical&amp;date=2015-12-18&amp;p=.htm" TargetMode="External"/><Relationship Id="rId435" Type="http://schemas.openxmlformats.org/officeDocument/2006/relationships/hyperlink" Target="http://www.boxofficemojo.com/movies/?id=littleboy.htm" TargetMode="External"/><Relationship Id="rId436" Type="http://schemas.openxmlformats.org/officeDocument/2006/relationships/hyperlink" Target="http://www.boxofficemojo.com/studio/chart/?studio=openroads.htm" TargetMode="External"/><Relationship Id="rId437" Type="http://schemas.openxmlformats.org/officeDocument/2006/relationships/hyperlink" Target="http://www.boxofficemojo.com/schedule/?view=bydate&amp;release=theatrical&amp;date=2015-04-24&amp;p=.htm" TargetMode="External"/><Relationship Id="rId438" Type="http://schemas.openxmlformats.org/officeDocument/2006/relationships/hyperlink" Target="http://www.boxofficemojo.com/movies/?id=loft.htm" TargetMode="External"/><Relationship Id="rId439" Type="http://schemas.openxmlformats.org/officeDocument/2006/relationships/hyperlink" Target="http://www.boxofficemojo.com/studio/chart/?studio=openroads.htm" TargetMode="External"/><Relationship Id="rId824" Type="http://schemas.openxmlformats.org/officeDocument/2006/relationships/hyperlink" Target="http://www.boxofficemojo.com/schedule/?view=bydate&amp;release=theatrical&amp;date=2015-10-21&amp;p=.htm" TargetMode="External"/><Relationship Id="rId825" Type="http://schemas.openxmlformats.org/officeDocument/2006/relationships/hyperlink" Target="http://www.boxofficemojo.com/movies/?id=woshizhengren.htm" TargetMode="External"/><Relationship Id="rId826" Type="http://schemas.openxmlformats.org/officeDocument/2006/relationships/hyperlink" Target="http://www.boxofficemojo.com/studio/chart/?studio=chinalion.htm" TargetMode="External"/><Relationship Id="rId827" Type="http://schemas.openxmlformats.org/officeDocument/2006/relationships/hyperlink" Target="http://www.boxofficemojo.com/schedule/?view=bydate&amp;release=theatrical&amp;date=2015-10-30&amp;p=.htm" TargetMode="External"/><Relationship Id="rId828" Type="http://schemas.openxmlformats.org/officeDocument/2006/relationships/hyperlink" Target="http://www.boxofficemojo.com/movies/?id=janislittlegirlblue.htm" TargetMode="External"/><Relationship Id="rId829" Type="http://schemas.openxmlformats.org/officeDocument/2006/relationships/hyperlink" Target="http://www.boxofficemojo.com/studio/chart/?studio=filmrise.htm" TargetMode="External"/><Relationship Id="rId1690" Type="http://schemas.openxmlformats.org/officeDocument/2006/relationships/hyperlink" Target="http://www.boxofficemojo.com/studio/chart/?studio=ifc.htm" TargetMode="External"/><Relationship Id="rId1691" Type="http://schemas.openxmlformats.org/officeDocument/2006/relationships/hyperlink" Target="http://www.boxofficemojo.com/schedule/?view=bydate&amp;release=theatrical&amp;date=2015-06-26&amp;p=.htm" TargetMode="External"/><Relationship Id="rId1692" Type="http://schemas.openxmlformats.org/officeDocument/2006/relationships/hyperlink" Target="http://www.boxofficemojo.com/movies/?id=littleengland.htm" TargetMode="External"/><Relationship Id="rId1693" Type="http://schemas.openxmlformats.org/officeDocument/2006/relationships/hyperlink" Target="http://www.boxofficemojo.com/studio/chart/?studio=corinthfilmsinc.htm" TargetMode="External"/><Relationship Id="rId1694" Type="http://schemas.openxmlformats.org/officeDocument/2006/relationships/hyperlink" Target="http://www.boxofficemojo.com/schedule/?view=bydate&amp;release=theatrical&amp;date=2015-05-17&amp;p=.htm" TargetMode="External"/><Relationship Id="rId1695" Type="http://schemas.openxmlformats.org/officeDocument/2006/relationships/hyperlink" Target="http://www.boxofficemojo.com/movies/?id=ofhorsesandmen.htm" TargetMode="External"/><Relationship Id="rId1696" Type="http://schemas.openxmlformats.org/officeDocument/2006/relationships/hyperlink" Target="http://www.boxofficemojo.com/studio/chart/?studio=musicboxfilms.htm" TargetMode="External"/><Relationship Id="rId1697" Type="http://schemas.openxmlformats.org/officeDocument/2006/relationships/hyperlink" Target="http://www.boxofficemojo.com/schedule/?view=bydate&amp;release=theatrical&amp;date=2015-03-06&amp;p=.htm" TargetMode="External"/><Relationship Id="rId1698" Type="http://schemas.openxmlformats.org/officeDocument/2006/relationships/hyperlink" Target="http://www.boxofficemojo.com/movies/?id=dreamsrewired.htm" TargetMode="External"/><Relationship Id="rId1699" Type="http://schemas.openxmlformats.org/officeDocument/2006/relationships/hyperlink" Target="http://www.boxofficemojo.com/studio/chart/?studio=icarus.htm" TargetMode="External"/><Relationship Id="rId830" Type="http://schemas.openxmlformats.org/officeDocument/2006/relationships/hyperlink" Target="http://www.boxofficemojo.com/schedule/?view=bydate&amp;release=theatrical&amp;date=2015-11-27&amp;p=.htm" TargetMode="External"/><Relationship Id="rId831" Type="http://schemas.openxmlformats.org/officeDocument/2006/relationships/hyperlink" Target="http://www.boxofficemojo.com/movies/?id=unbranded.htm" TargetMode="External"/><Relationship Id="rId832" Type="http://schemas.openxmlformats.org/officeDocument/2006/relationships/hyperlink" Target="http://www.boxofficemojo.com/studio/chart/?studio=gravitas.htm" TargetMode="External"/><Relationship Id="rId833" Type="http://schemas.openxmlformats.org/officeDocument/2006/relationships/hyperlink" Target="http://www.boxofficemojo.com/schedule/?view=bydate&amp;release=theatrical&amp;date=2015-09-25&amp;p=.htm" TargetMode="External"/><Relationship Id="rId440" Type="http://schemas.openxmlformats.org/officeDocument/2006/relationships/hyperlink" Target="http://www.boxofficemojo.com/schedule/?view=bydate&amp;release=theatrical&amp;date=2015-01-30&amp;p=.htm" TargetMode="External"/><Relationship Id="rId441" Type="http://schemas.openxmlformats.org/officeDocument/2006/relationships/hyperlink" Target="http://www.boxofficemojo.com/movies/?id=frankenstein2014.htm" TargetMode="External"/><Relationship Id="rId442" Type="http://schemas.openxmlformats.org/officeDocument/2006/relationships/hyperlink" Target="http://www.boxofficemojo.com/studio/chart/?studio=fox.htm" TargetMode="External"/><Relationship Id="rId443" Type="http://schemas.openxmlformats.org/officeDocument/2006/relationships/hyperlink" Target="http://www.boxofficemojo.com/schedule/?view=bydate&amp;release=theatrical&amp;date=2015-11-25&amp;p=.htm" TargetMode="External"/><Relationship Id="rId444" Type="http://schemas.openxmlformats.org/officeDocument/2006/relationships/hyperlink" Target="http://www.boxofficemojo.com/movies/?id=dannycollins.htm" TargetMode="External"/><Relationship Id="rId445" Type="http://schemas.openxmlformats.org/officeDocument/2006/relationships/hyperlink" Target="http://www.boxofficemojo.com/studio/chart/?studio=bleeckerstreet.htm" TargetMode="External"/><Relationship Id="rId446" Type="http://schemas.openxmlformats.org/officeDocument/2006/relationships/hyperlink" Target="http://www.boxofficemojo.com/schedule/?view=bydate&amp;release=theatrical&amp;date=2015-03-20&amp;p=.htm" TargetMode="External"/><Relationship Id="rId447" Type="http://schemas.openxmlformats.org/officeDocument/2006/relationships/hyperlink" Target="http://www.boxofficemojo.com/movies/?id=diwale.htm" TargetMode="External"/><Relationship Id="rId448" Type="http://schemas.openxmlformats.org/officeDocument/2006/relationships/hyperlink" Target="http://www.boxofficemojo.com/studio/chart/?studio=utv.htm" TargetMode="External"/><Relationship Id="rId449" Type="http://schemas.openxmlformats.org/officeDocument/2006/relationships/hyperlink" Target="http://www.boxofficemojo.com/schedule/?view=bydate&amp;release=theatrical&amp;date=2015-12-17&amp;p=.htm" TargetMode="External"/><Relationship Id="rId834" Type="http://schemas.openxmlformats.org/officeDocument/2006/relationships/hyperlink" Target="http://www.boxofficemojo.com/movies/?id=badlapur.htm" TargetMode="External"/><Relationship Id="rId835" Type="http://schemas.openxmlformats.org/officeDocument/2006/relationships/hyperlink" Target="http://www.boxofficemojo.com/studio/chart/?studio=eros.htm" TargetMode="External"/><Relationship Id="rId836" Type="http://schemas.openxmlformats.org/officeDocument/2006/relationships/hyperlink" Target="http://www.boxofficemojo.com/schedule/?view=bydate&amp;release=theatrical&amp;date=2015-02-20&amp;p=.htm" TargetMode="External"/><Relationship Id="rId837" Type="http://schemas.openxmlformats.org/officeDocument/2006/relationships/hyperlink" Target="http://www.boxofficemojo.com/movies/?id=huntingground.htm" TargetMode="External"/><Relationship Id="rId838" Type="http://schemas.openxmlformats.org/officeDocument/2006/relationships/hyperlink" Target="http://www.boxofficemojo.com/studio/chart/?studio=radiustwc.htm" TargetMode="External"/><Relationship Id="rId839" Type="http://schemas.openxmlformats.org/officeDocument/2006/relationships/hyperlink" Target="http://www.boxofficemojo.com/schedule/?view=bydate&amp;release=theatrical&amp;date=2015-02-27&amp;p=.htm" TargetMode="External"/><Relationship Id="rId1300" Type="http://schemas.openxmlformats.org/officeDocument/2006/relationships/hyperlink" Target="http://www.boxofficemojo.com/studio/chart/?studio=chinalion.htm" TargetMode="External"/><Relationship Id="rId1301" Type="http://schemas.openxmlformats.org/officeDocument/2006/relationships/hyperlink" Target="http://www.boxofficemojo.com/schedule/?view=bydate&amp;release=theatrical&amp;date=2015-06-19&amp;p=.htm" TargetMode="External"/><Relationship Id="rId1302" Type="http://schemas.openxmlformats.org/officeDocument/2006/relationships/hyperlink" Target="http://www.boxofficemojo.com/movies/?id=belovedsisters.htm" TargetMode="External"/><Relationship Id="rId1303" Type="http://schemas.openxmlformats.org/officeDocument/2006/relationships/hyperlink" Target="http://www.boxofficemojo.com/studio/chart/?studio=musicboxfilms.htm" TargetMode="External"/><Relationship Id="rId1304" Type="http://schemas.openxmlformats.org/officeDocument/2006/relationships/hyperlink" Target="http://www.boxofficemojo.com/schedule/?view=bydate&amp;release=theatrical&amp;date=2015-01-09&amp;p=.htm" TargetMode="External"/><Relationship Id="rId1305" Type="http://schemas.openxmlformats.org/officeDocument/2006/relationships/hyperlink" Target="http://www.boxofficemojo.com/movies/?id=aloft.htm" TargetMode="External"/><Relationship Id="rId1306" Type="http://schemas.openxmlformats.org/officeDocument/2006/relationships/hyperlink" Target="http://www.boxofficemojo.com/studio/chart/?studio=sonyclassics.htm" TargetMode="External"/><Relationship Id="rId1307" Type="http://schemas.openxmlformats.org/officeDocument/2006/relationships/hyperlink" Target="http://www.boxofficemojo.com/schedule/?view=bydate&amp;release=theatrical&amp;date=2015-05-22&amp;p=.htm" TargetMode="External"/><Relationship Id="rId1308" Type="http://schemas.openxmlformats.org/officeDocument/2006/relationships/hyperlink" Target="http://www.boxofficemojo.com/movies/?id=thequaybrothersin35mm.htm" TargetMode="External"/><Relationship Id="rId1309" Type="http://schemas.openxmlformats.org/officeDocument/2006/relationships/hyperlink" Target="http://www.boxofficemojo.com/studio/chart/?studio=zeitgeist.htm" TargetMode="External"/><Relationship Id="rId840" Type="http://schemas.openxmlformats.org/officeDocument/2006/relationships/hyperlink" Target="http://www.boxofficemojo.com/movies/?id=theaputrilogy.htm" TargetMode="External"/><Relationship Id="rId841" Type="http://schemas.openxmlformats.org/officeDocument/2006/relationships/hyperlink" Target="http://www.boxofficemojo.com/studio/chart/?studio=janusfilms.htm" TargetMode="External"/><Relationship Id="rId450" Type="http://schemas.openxmlformats.org/officeDocument/2006/relationships/hyperlink" Target="http://www.boxofficemojo.com/movies/?id=90minutesinheaven.htm" TargetMode="External"/><Relationship Id="rId451" Type="http://schemas.openxmlformats.org/officeDocument/2006/relationships/hyperlink" Target="http://www.boxofficemojo.com/studio/chart/?studio=samuelgoldwyn.htm" TargetMode="External"/><Relationship Id="rId452" Type="http://schemas.openxmlformats.org/officeDocument/2006/relationships/hyperlink" Target="http://www.boxofficemojo.com/schedule/?view=bydate&amp;release=theatrical&amp;date=2015-09-11&amp;p=.htm" TargetMode="External"/><Relationship Id="rId453" Type="http://schemas.openxmlformats.org/officeDocument/2006/relationships/hyperlink" Target="http://www.boxofficemojo.com/movies/?id=truestory.htm" TargetMode="External"/><Relationship Id="rId454" Type="http://schemas.openxmlformats.org/officeDocument/2006/relationships/hyperlink" Target="http://www.boxofficemojo.com/studio/chart/?studio=foxsearchlight.htm" TargetMode="External"/><Relationship Id="rId455" Type="http://schemas.openxmlformats.org/officeDocument/2006/relationships/hyperlink" Target="http://www.boxofficemojo.com/schedule/?view=bydate&amp;release=theatrical&amp;date=2015-04-17&amp;p=.htm" TargetMode="External"/><Relationship Id="rId456" Type="http://schemas.openxmlformats.org/officeDocument/2006/relationships/hyperlink" Target="http://www.boxofficemojo.com/movies/?id=suffragette.htm" TargetMode="External"/><Relationship Id="rId457" Type="http://schemas.openxmlformats.org/officeDocument/2006/relationships/hyperlink" Target="http://www.boxofficemojo.com/studio/chart/?studio=focus.htm" TargetMode="External"/><Relationship Id="rId458" Type="http://schemas.openxmlformats.org/officeDocument/2006/relationships/hyperlink" Target="http://www.boxofficemojo.com/schedule/?view=bydate&amp;release=theatrical&amp;date=2015-10-23&amp;p=.htm" TargetMode="External"/><Relationship Id="rId459" Type="http://schemas.openxmlformats.org/officeDocument/2006/relationships/hyperlink" Target="http://www.boxofficemojo.com/movies/?id=premratandhanpayo.htm" TargetMode="External"/><Relationship Id="rId842" Type="http://schemas.openxmlformats.org/officeDocument/2006/relationships/hyperlink" Target="http://www.boxofficemojo.com/schedule/?view=bydate&amp;release=theatrical&amp;date=2015-05-08&amp;p=.htm" TargetMode="External"/><Relationship Id="rId843" Type="http://schemas.openxmlformats.org/officeDocument/2006/relationships/hyperlink" Target="http://www.boxofficemojo.com/movies/?id=freetown.htm" TargetMode="External"/><Relationship Id="rId844" Type="http://schemas.openxmlformats.org/officeDocument/2006/relationships/hyperlink" Target="http://www.boxofficemojo.com/studio/chart/?studio=purdie.htm" TargetMode="External"/><Relationship Id="rId845" Type="http://schemas.openxmlformats.org/officeDocument/2006/relationships/hyperlink" Target="http://www.boxofficemojo.com/schedule/?view=bydate&amp;release=theatrical&amp;date=2015-04-08&amp;p=.htm" TargetMode="External"/><Relationship Id="rId846" Type="http://schemas.openxmlformats.org/officeDocument/2006/relationships/hyperlink" Target="http://www.boxofficemojo.com/movies/?id=cominghome2014.htm" TargetMode="External"/><Relationship Id="rId847" Type="http://schemas.openxmlformats.org/officeDocument/2006/relationships/hyperlink" Target="http://www.boxofficemojo.com/studio/chart/?studio=sonyclassics.htm" TargetMode="External"/><Relationship Id="rId848" Type="http://schemas.openxmlformats.org/officeDocument/2006/relationships/hyperlink" Target="http://www.boxofficemojo.com/schedule/?view=bydate&amp;release=theatrical&amp;date=2015-09-09&amp;p=.htm" TargetMode="External"/><Relationship Id="rId849" Type="http://schemas.openxmlformats.org/officeDocument/2006/relationships/hyperlink" Target="http://www.boxofficemojo.com/movies/?id=thesecondmother.htm" TargetMode="External"/><Relationship Id="rId1700" Type="http://schemas.openxmlformats.org/officeDocument/2006/relationships/hyperlink" Target="http://www.boxofficemojo.com/schedule/?view=bydate&amp;release=theatrical&amp;date=2015-11-12&amp;p=.htm" TargetMode="External"/><Relationship Id="rId1701" Type="http://schemas.openxmlformats.org/officeDocument/2006/relationships/hyperlink" Target="http://www.boxofficemojo.com/movies/?id=emptyingtheskies.htm" TargetMode="External"/><Relationship Id="rId1702" Type="http://schemas.openxmlformats.org/officeDocument/2006/relationships/hyperlink" Target="http://www.boxofficemojo.com/studio/chart/?studio=musicboxfilms.htm" TargetMode="External"/><Relationship Id="rId1703" Type="http://schemas.openxmlformats.org/officeDocument/2006/relationships/hyperlink" Target="http://www.boxofficemojo.com/schedule/?view=bydate&amp;release=theatrical&amp;date=2015-04-22&amp;p=.htm" TargetMode="External"/><Relationship Id="rId1310" Type="http://schemas.openxmlformats.org/officeDocument/2006/relationships/hyperlink" Target="http://www.boxofficemojo.com/schedule/?view=bydate&amp;release=theatrical&amp;date=2015-08-19&amp;p=.htm" TargetMode="External"/><Relationship Id="rId1311" Type="http://schemas.openxmlformats.org/officeDocument/2006/relationships/hyperlink" Target="http://www.boxofficemojo.com/movies/?id=wecomeasfriends.htm" TargetMode="External"/><Relationship Id="rId1312" Type="http://schemas.openxmlformats.org/officeDocument/2006/relationships/hyperlink" Target="http://www.boxofficemojo.com/studio/chart/?studio=bbcworldwide.htm" TargetMode="External"/><Relationship Id="rId1313" Type="http://schemas.openxmlformats.org/officeDocument/2006/relationships/hyperlink" Target="http://www.boxofficemojo.com/schedule/?view=bydate&amp;release=theatrical&amp;date=2015-08-14&amp;p=.htm" TargetMode="External"/><Relationship Id="rId1314" Type="http://schemas.openxmlformats.org/officeDocument/2006/relationships/hyperlink" Target="http://www.boxofficemojo.com/movies/?id=theyesmenarerevolting.htm" TargetMode="External"/><Relationship Id="rId1315" Type="http://schemas.openxmlformats.org/officeDocument/2006/relationships/hyperlink" Target="http://www.boxofficemojo.com/studio/chart/?studio=orchard.htm" TargetMode="External"/><Relationship Id="rId1316" Type="http://schemas.openxmlformats.org/officeDocument/2006/relationships/hyperlink" Target="http://www.boxofficemojo.com/schedule/?view=bydate&amp;release=theatrical&amp;date=2015-06-12&amp;p=.htm" TargetMode="External"/><Relationship Id="rId1317" Type="http://schemas.openxmlformats.org/officeDocument/2006/relationships/hyperlink" Target="http://www.boxofficemojo.com/movies/?id=advocateamissingbody.htm" TargetMode="External"/><Relationship Id="rId1318" Type="http://schemas.openxmlformats.org/officeDocument/2006/relationships/hyperlink" Target="http://www.boxofficemojo.com/studio/chart/?studio=cjentertainment.htm" TargetMode="External"/><Relationship Id="rId1319" Type="http://schemas.openxmlformats.org/officeDocument/2006/relationships/hyperlink" Target="http://www.boxofficemojo.com/schedule/?view=bydate&amp;release=theatrical&amp;date=2015-10-23&amp;p=.htm" TargetMode="External"/><Relationship Id="rId850" Type="http://schemas.openxmlformats.org/officeDocument/2006/relationships/hyperlink" Target="http://www.boxofficemojo.com/studio/chart/?studio=oscilloscopepictures.htm" TargetMode="External"/><Relationship Id="rId851" Type="http://schemas.openxmlformats.org/officeDocument/2006/relationships/hyperlink" Target="http://www.boxofficemojo.com/schedule/?view=bydate&amp;release=theatrical&amp;date=2015-08-28&amp;p=.htm" TargetMode="External"/><Relationship Id="rId460" Type="http://schemas.openxmlformats.org/officeDocument/2006/relationships/hyperlink" Target="http://www.boxofficemojo.com/studio/chart/?studio=fip.htm" TargetMode="External"/><Relationship Id="rId461" Type="http://schemas.openxmlformats.org/officeDocument/2006/relationships/hyperlink" Target="http://www.boxofficemojo.com/schedule/?view=bydate&amp;release=theatrical&amp;date=2015-11-12&amp;p=.htm" TargetMode="External"/><Relationship Id="rId462" Type="http://schemas.openxmlformats.org/officeDocument/2006/relationships/hyperlink" Target="http://www.boxofficemojo.com/movies/?id=45years.htm" TargetMode="External"/><Relationship Id="rId463" Type="http://schemas.openxmlformats.org/officeDocument/2006/relationships/hyperlink" Target="http://www.boxofficemojo.com/studio/chart/?studio=ifc.htm" TargetMode="External"/><Relationship Id="rId464" Type="http://schemas.openxmlformats.org/officeDocument/2006/relationships/hyperlink" Target="http://www.boxofficemojo.com/schedule/?view=bydate&amp;release=theatrical&amp;date=2015-12-23&amp;p=.htm" TargetMode="External"/><Relationship Id="rId465" Type="http://schemas.openxmlformats.org/officeDocument/2006/relationships/hyperlink" Target="http://www.boxofficemojo.com/movies/?id=waterdiviner.htm" TargetMode="External"/><Relationship Id="rId466" Type="http://schemas.openxmlformats.org/officeDocument/2006/relationships/hyperlink" Target="http://www.boxofficemojo.com/studio/chart/?studio=warnerbros.htm" TargetMode="External"/><Relationship Id="rId467" Type="http://schemas.openxmlformats.org/officeDocument/2006/relationships/hyperlink" Target="http://www.boxofficemojo.com/schedule/?view=bydate&amp;release=theatrical&amp;date=2015-04-24&amp;p=.htm" TargetMode="External"/><Relationship Id="rId468" Type="http://schemas.openxmlformats.org/officeDocument/2006/relationships/hyperlink" Target="http://www.boxofficemojo.com/movies/?id=irrationalman.htm" TargetMode="External"/><Relationship Id="rId469" Type="http://schemas.openxmlformats.org/officeDocument/2006/relationships/hyperlink" Target="http://www.boxofficemojo.com/studio/chart/?studio=sonyclassics.htm" TargetMode="External"/><Relationship Id="rId852" Type="http://schemas.openxmlformats.org/officeDocument/2006/relationships/hyperlink" Target="http://www.boxofficemojo.com/movies/?id=heprophetgathr.htm" TargetMode="External"/><Relationship Id="rId853" Type="http://schemas.openxmlformats.org/officeDocument/2006/relationships/hyperlink" Target="http://www.boxofficemojo.com/studio/chart/?studio=gathrfilms.htm" TargetMode="External"/><Relationship Id="rId854" Type="http://schemas.openxmlformats.org/officeDocument/2006/relationships/hyperlink" Target="http://www.boxofficemojo.com/schedule/?view=bydate&amp;release=theatrical&amp;date=2015-10-01&amp;p=.htm" TargetMode="External"/><Relationship Id="rId855" Type="http://schemas.openxmlformats.org/officeDocument/2006/relationships/hyperlink" Target="http://www.boxofficemojo.com/movies/?id=kattibatti.htm" TargetMode="External"/><Relationship Id="rId856" Type="http://schemas.openxmlformats.org/officeDocument/2006/relationships/hyperlink" Target="http://www.boxofficemojo.com/studio/chart/?studio=utv.htm" TargetMode="External"/><Relationship Id="rId857" Type="http://schemas.openxmlformats.org/officeDocument/2006/relationships/hyperlink" Target="http://www.boxofficemojo.com/schedule/?view=bydate&amp;release=theatrical&amp;date=2015-09-18&amp;p=.htm" TargetMode="External"/><Relationship Id="rId858" Type="http://schemas.openxmlformats.org/officeDocument/2006/relationships/hyperlink" Target="http://www.boxofficemojo.com/movies/?id=theprophet.htm" TargetMode="External"/><Relationship Id="rId859" Type="http://schemas.openxmlformats.org/officeDocument/2006/relationships/hyperlink" Target="http://www.boxofficemojo.com/studio/chart/?studio=gkids.htm" TargetMode="External"/><Relationship Id="rId1704" Type="http://schemas.openxmlformats.org/officeDocument/2006/relationships/hyperlink" Target="http://www.boxofficemojo.com/movies/?id=mariesstory.htm" TargetMode="External"/><Relationship Id="rId1705" Type="http://schemas.openxmlformats.org/officeDocument/2006/relationships/hyperlink" Target="http://www.boxofficemojo.com/studio/chart/?studio=filmmovement.htm" TargetMode="External"/><Relationship Id="rId1706" Type="http://schemas.openxmlformats.org/officeDocument/2006/relationships/hyperlink" Target="http://www.boxofficemojo.com/schedule/?view=bydate&amp;release=theatrical&amp;date=2015-05-01&amp;p=.htm" TargetMode="External"/><Relationship Id="rId1707" Type="http://schemas.openxmlformats.org/officeDocument/2006/relationships/hyperlink" Target="http://www.boxofficemojo.com/movies/?id=kidnappingofmichelhouellebecq.htm" TargetMode="External"/><Relationship Id="rId1708" Type="http://schemas.openxmlformats.org/officeDocument/2006/relationships/hyperlink" Target="http://www.boxofficemojo.com/studio/chart/?studio=kinolorber.htm" TargetMode="External"/><Relationship Id="rId1709" Type="http://schemas.openxmlformats.org/officeDocument/2006/relationships/hyperlink" Target="http://www.boxofficemojo.com/schedule/?view=bydate&amp;release=theatrical&amp;date=2015-03-25&amp;p=.htm" TargetMode="External"/><Relationship Id="rId2000" Type="http://schemas.openxmlformats.org/officeDocument/2006/relationships/hyperlink" Target="http://www.boxofficemojo.com/schedule/?view=bydate&amp;release=theatrical&amp;date=2015-08-28&amp;p=.htm" TargetMode="External"/><Relationship Id="rId2001" Type="http://schemas.openxmlformats.org/officeDocument/2006/relationships/hyperlink" Target="http://www.boxofficemojo.com/movies/?id=blackhats2015.htm" TargetMode="External"/><Relationship Id="rId2002" Type="http://schemas.openxmlformats.org/officeDocument/2006/relationships/hyperlink" Target="http://www.boxofficemojo.com/studio/chart/?studio=reeloneent.htm" TargetMode="External"/><Relationship Id="rId2003" Type="http://schemas.openxmlformats.org/officeDocument/2006/relationships/hyperlink" Target="http://www.boxofficemojo.com/schedule/?view=bydate&amp;release=theatrical&amp;date=2015-10-23&amp;p=.htm" TargetMode="External"/><Relationship Id="rId2004" Type="http://schemas.openxmlformats.org/officeDocument/2006/relationships/hyperlink" Target="http://www.boxofficemojo.com/movies/?id=xenia.htm" TargetMode="External"/><Relationship Id="rId2005" Type="http://schemas.openxmlformats.org/officeDocument/2006/relationships/hyperlink" Target="http://www.boxofficemojo.com/studio/chart/?studio=strand.htm" TargetMode="External"/><Relationship Id="rId2006" Type="http://schemas.openxmlformats.org/officeDocument/2006/relationships/hyperlink" Target="http://www.boxofficemojo.com/schedule/?view=bydate&amp;release=theatrical&amp;date=2015-10-09&amp;p=.htm" TargetMode="External"/><Relationship Id="rId2007" Type="http://schemas.openxmlformats.org/officeDocument/2006/relationships/hyperlink" Target="http://www.boxofficemojo.com/movies/?id=theironministry.htm" TargetMode="External"/><Relationship Id="rId2008" Type="http://schemas.openxmlformats.org/officeDocument/2006/relationships/hyperlink" Target="http://www.boxofficemojo.com/studio/chart/?studio=icarus.htm" TargetMode="External"/><Relationship Id="rId2009" Type="http://schemas.openxmlformats.org/officeDocument/2006/relationships/hyperlink" Target="http://www.boxofficemojo.com/schedule/?view=bydate&amp;release=theatrical&amp;date=2015-08-21&amp;p=.htm" TargetMode="External"/><Relationship Id="rId1710" Type="http://schemas.openxmlformats.org/officeDocument/2006/relationships/hyperlink" Target="http://www.boxofficemojo.com/movies/?id=devilsviolinist.htm" TargetMode="External"/><Relationship Id="rId1711" Type="http://schemas.openxmlformats.org/officeDocument/2006/relationships/hyperlink" Target="http://www.boxofficemojo.com/studio/chart/?studio=fs.htm" TargetMode="External"/><Relationship Id="rId1712" Type="http://schemas.openxmlformats.org/officeDocument/2006/relationships/hyperlink" Target="http://www.boxofficemojo.com/schedule/?view=bydate&amp;release=theatrical&amp;date=2015-01-30&amp;p=.htm" TargetMode="External"/><Relationship Id="rId1713" Type="http://schemas.openxmlformats.org/officeDocument/2006/relationships/hyperlink" Target="http://www.boxofficemojo.com/movies/?id=1001grams.htm" TargetMode="External"/><Relationship Id="rId1320" Type="http://schemas.openxmlformats.org/officeDocument/2006/relationships/hyperlink" Target="http://www.boxofficemojo.com/movies/?id=heist2015.htm" TargetMode="External"/><Relationship Id="rId1321" Type="http://schemas.openxmlformats.org/officeDocument/2006/relationships/hyperlink" Target="http://www.boxofficemojo.com/studio/chart/?studio=lionsgatepremiere.htm" TargetMode="External"/><Relationship Id="rId1322" Type="http://schemas.openxmlformats.org/officeDocument/2006/relationships/hyperlink" Target="http://www.boxofficemojo.com/schedule/?view=bydate&amp;release=theatrical&amp;date=2015-11-13&amp;p=.htm" TargetMode="External"/><Relationship Id="rId1323" Type="http://schemas.openxmlformats.org/officeDocument/2006/relationships/hyperlink" Target="http://www.boxofficemojo.com/movies/?id=spring2015.htm" TargetMode="External"/><Relationship Id="rId1324" Type="http://schemas.openxmlformats.org/officeDocument/2006/relationships/hyperlink" Target="http://www.boxofficemojo.com/studio/chart/?studio=drafthousefilms.htm" TargetMode="External"/><Relationship Id="rId1325" Type="http://schemas.openxmlformats.org/officeDocument/2006/relationships/hyperlink" Target="http://www.boxofficemojo.com/schedule/?view=bydate&amp;release=theatrical&amp;date=2015-03-20&amp;p=.htm" TargetMode="External"/><Relationship Id="rId1326" Type="http://schemas.openxmlformats.org/officeDocument/2006/relationships/hyperlink" Target="http://www.boxofficemojo.com/movies/?id=difret.htm" TargetMode="External"/><Relationship Id="rId1327" Type="http://schemas.openxmlformats.org/officeDocument/2006/relationships/hyperlink" Target="http://www.boxofficemojo.com/studio/chart/?studio=truthaid.htm" TargetMode="External"/><Relationship Id="rId1328" Type="http://schemas.openxmlformats.org/officeDocument/2006/relationships/hyperlink" Target="http://www.boxofficemojo.com/schedule/?view=bydate&amp;release=theatrical&amp;date=2015-10-23&amp;p=.htm" TargetMode="External"/><Relationship Id="rId1329" Type="http://schemas.openxmlformats.org/officeDocument/2006/relationships/hyperlink" Target="http://www.boxofficemojo.com/movies/?id=redherring.htm" TargetMode="External"/><Relationship Id="rId860" Type="http://schemas.openxmlformats.org/officeDocument/2006/relationships/hyperlink" Target="http://www.boxofficemojo.com/schedule/?view=bydate&amp;release=theatrical&amp;date=2015-08-07&amp;p=.htm" TargetMode="External"/><Relationship Id="rId861" Type="http://schemas.openxmlformats.org/officeDocument/2006/relationships/hyperlink" Target="http://www.boxofficemojo.com/movies/?id=effiegray.htm" TargetMode="External"/><Relationship Id="rId470" Type="http://schemas.openxmlformats.org/officeDocument/2006/relationships/hyperlink" Target="http://www.boxofficemojo.com/schedule/?view=bydate&amp;release=theatrical&amp;date=2015-07-17&amp;p=.htm" TargetMode="External"/><Relationship Id="rId471" Type="http://schemas.openxmlformats.org/officeDocument/2006/relationships/hyperlink" Target="http://www.boxofficemojo.com/movies/?id=anomalisa.htm" TargetMode="External"/><Relationship Id="rId472" Type="http://schemas.openxmlformats.org/officeDocument/2006/relationships/hyperlink" Target="http://www.boxofficemojo.com/studio/chart/?studio=paramount.htm" TargetMode="External"/><Relationship Id="rId473" Type="http://schemas.openxmlformats.org/officeDocument/2006/relationships/hyperlink" Target="http://www.boxofficemojo.com/schedule/?view=bydate&amp;release=theatrical&amp;date=2015-12-30&amp;p=.htm" TargetMode="External"/><Relationship Id="rId474" Type="http://schemas.openxmlformats.org/officeDocument/2006/relationships/hyperlink" Target="http://www.boxofficemojo.com/movies/?id=scoutsvszombies.htm" TargetMode="External"/><Relationship Id="rId475" Type="http://schemas.openxmlformats.org/officeDocument/2006/relationships/hyperlink" Target="http://www.boxofficemojo.com/studio/chart/?studio=paramount.htm" TargetMode="External"/><Relationship Id="rId476" Type="http://schemas.openxmlformats.org/officeDocument/2006/relationships/hyperlink" Target="http://www.boxofficemojo.com/schedule/?view=bydate&amp;release=theatrical&amp;date=2015-10-30&amp;p=.htm" TargetMode="External"/><Relationship Id="rId477" Type="http://schemas.openxmlformats.org/officeDocument/2006/relationships/hyperlink" Target="http://www.boxofficemojo.com/movies/?id=alamala.htm" TargetMode="External"/><Relationship Id="rId478" Type="http://schemas.openxmlformats.org/officeDocument/2006/relationships/hyperlink" Target="http://www.boxofficemojo.com/studio/chart/?studio=lionsgate.htm" TargetMode="External"/><Relationship Id="rId479" Type="http://schemas.openxmlformats.org/officeDocument/2006/relationships/hyperlink" Target="http://www.boxofficemojo.com/schedule/?view=bydate&amp;release=theatrical&amp;date=2015-02-27&amp;p=.htm" TargetMode="External"/><Relationship Id="rId862" Type="http://schemas.openxmlformats.org/officeDocument/2006/relationships/hyperlink" Target="http://www.boxofficemojo.com/studio/chart/?studio=adoptfilms.htm" TargetMode="External"/><Relationship Id="rId863" Type="http://schemas.openxmlformats.org/officeDocument/2006/relationships/hyperlink" Target="http://www.boxofficemojo.com/schedule/?view=bydate&amp;release=theatrical&amp;date=2015-04-03&amp;p=.htm" TargetMode="External"/><Relationship Id="rId864" Type="http://schemas.openxmlformats.org/officeDocument/2006/relationships/hyperlink" Target="http://www.boxofficemojo.com/movies/?id=mapstothestars.htm" TargetMode="External"/><Relationship Id="rId865" Type="http://schemas.openxmlformats.org/officeDocument/2006/relationships/hyperlink" Target="http://www.boxofficemojo.com/studio/chart/?studio=focus.htm" TargetMode="External"/><Relationship Id="rId866" Type="http://schemas.openxmlformats.org/officeDocument/2006/relationships/hyperlink" Target="http://www.boxofficemojo.com/schedule/?view=bydate&amp;release=theatrical&amp;date=2015-02-27&amp;p=.htm" TargetMode="External"/><Relationship Id="rId867" Type="http://schemas.openxmlformats.org/officeDocument/2006/relationships/hyperlink" Target="http://www.boxofficemojo.com/movies/?id=noble.htm" TargetMode="External"/><Relationship Id="rId868" Type="http://schemas.openxmlformats.org/officeDocument/2006/relationships/hyperlink" Target="http://www.boxofficemojo.com/studio/chart/?studio=aspiration.htm" TargetMode="External"/><Relationship Id="rId869" Type="http://schemas.openxmlformats.org/officeDocument/2006/relationships/hyperlink" Target="http://www.boxofficemojo.com/schedule/?view=bydate&amp;release=theatrical&amp;date=2015-05-08&amp;p=.htm" TargetMode="External"/><Relationship Id="rId1714" Type="http://schemas.openxmlformats.org/officeDocument/2006/relationships/hyperlink" Target="http://www.boxofficemojo.com/studio/chart/?studio=kinolorber.htm" TargetMode="External"/><Relationship Id="rId1715" Type="http://schemas.openxmlformats.org/officeDocument/2006/relationships/hyperlink" Target="http://www.boxofficemojo.com/schedule/?view=bydate&amp;release=theatrical&amp;date=2015-05-08&amp;p=.htm" TargetMode="External"/><Relationship Id="rId1716" Type="http://schemas.openxmlformats.org/officeDocument/2006/relationships/hyperlink" Target="http://www.boxofficemojo.com/movies/?id=justbeforeigo.htm" TargetMode="External"/><Relationship Id="rId1717" Type="http://schemas.openxmlformats.org/officeDocument/2006/relationships/hyperlink" Target="http://www.boxofficemojo.com/studio/chart/?studio=anchorbayentertainment.htm" TargetMode="External"/><Relationship Id="rId1718" Type="http://schemas.openxmlformats.org/officeDocument/2006/relationships/hyperlink" Target="http://www.boxofficemojo.com/schedule/?view=bydate&amp;release=theatrical&amp;date=2015-04-24&amp;p=.htm" TargetMode="External"/><Relationship Id="rId1719" Type="http://schemas.openxmlformats.org/officeDocument/2006/relationships/hyperlink" Target="http://www.boxofficemojo.com/movies/?id=diggingupthemarrow.htm" TargetMode="External"/><Relationship Id="rId2010" Type="http://schemas.openxmlformats.org/officeDocument/2006/relationships/hyperlink" Target="http://www.boxofficemojo.com/movies/?id=moanawithsound2015.htm" TargetMode="External"/><Relationship Id="rId2011" Type="http://schemas.openxmlformats.org/officeDocument/2006/relationships/hyperlink" Target="http://www.boxofficemojo.com/studio/chart/?studio=kinolorber.htm" TargetMode="External"/><Relationship Id="rId2012" Type="http://schemas.openxmlformats.org/officeDocument/2006/relationships/hyperlink" Target="http://www.boxofficemojo.com/schedule/?view=bydate&amp;release=theatrical&amp;date=2015-11-13&amp;p=.htm" TargetMode="External"/><Relationship Id="rId2013" Type="http://schemas.openxmlformats.org/officeDocument/2006/relationships/hyperlink" Target="http://www.boxofficemojo.com/movies/?id=julia2015.htm" TargetMode="External"/><Relationship Id="rId2014" Type="http://schemas.openxmlformats.org/officeDocument/2006/relationships/hyperlink" Target="http://www.boxofficemojo.com/studio/chart/?studio=tombstonedist.htm" TargetMode="External"/><Relationship Id="rId2015" Type="http://schemas.openxmlformats.org/officeDocument/2006/relationships/hyperlink" Target="http://www.boxofficemojo.com/schedule/?view=bydate&amp;release=theatrical&amp;date=2015-10-23&amp;p=.htm" TargetMode="External"/><Relationship Id="rId2016" Type="http://schemas.openxmlformats.org/officeDocument/2006/relationships/hyperlink" Target="http://www.boxofficemojo.com/movies/?id=chocolat2015.htm" TargetMode="External"/><Relationship Id="rId2017" Type="http://schemas.openxmlformats.org/officeDocument/2006/relationships/hyperlink" Target="http://www.boxofficemojo.com/studio/chart/?studio=filmdesk.htm" TargetMode="External"/><Relationship Id="rId2018" Type="http://schemas.openxmlformats.org/officeDocument/2006/relationships/hyperlink" Target="http://www.boxofficemojo.com/schedule/?view=bydate&amp;release=theatrical&amp;date=2015-09-18&amp;p=.htm" TargetMode="External"/><Relationship Id="rId2019" Type="http://schemas.openxmlformats.org/officeDocument/2006/relationships/hyperlink" Target="http://www.boxofficemojo.com/movies/?id=body2015.htm" TargetMode="External"/><Relationship Id="rId1720" Type="http://schemas.openxmlformats.org/officeDocument/2006/relationships/hyperlink" Target="http://www.boxofficemojo.com/studio/chart/?studio=hacienda.htm" TargetMode="External"/><Relationship Id="rId1721" Type="http://schemas.openxmlformats.org/officeDocument/2006/relationships/hyperlink" Target="http://www.boxofficemojo.com/schedule/?view=bydate&amp;release=theatrical&amp;date=2015-02-12&amp;p=.htm" TargetMode="External"/><Relationship Id="rId1722" Type="http://schemas.openxmlformats.org/officeDocument/2006/relationships/hyperlink" Target="http://www.boxofficemojo.com/movies/?id=malamala.htm" TargetMode="External"/><Relationship Id="rId1723" Type="http://schemas.openxmlformats.org/officeDocument/2006/relationships/hyperlink" Target="http://www.boxofficemojo.com/studio/chart/?studio=strand.htm" TargetMode="External"/><Relationship Id="rId1330" Type="http://schemas.openxmlformats.org/officeDocument/2006/relationships/hyperlink" Target="http://www.boxofficemojo.com/studio/chart/?studio=indican.htm" TargetMode="External"/><Relationship Id="rId1331" Type="http://schemas.openxmlformats.org/officeDocument/2006/relationships/hyperlink" Target="http://www.boxofficemojo.com/schedule/?view=bydate&amp;release=theatrical&amp;date=2015-10-30&amp;p=.htm" TargetMode="External"/><Relationship Id="rId1332" Type="http://schemas.openxmlformats.org/officeDocument/2006/relationships/hyperlink" Target="http://www.boxofficemojo.com/movies/?id=thesevenfive.htm" TargetMode="External"/><Relationship Id="rId1333" Type="http://schemas.openxmlformats.org/officeDocument/2006/relationships/hyperlink" Target="http://www.boxofficemojo.com/studio/chart/?studio=ifc.htm" TargetMode="External"/><Relationship Id="rId1334" Type="http://schemas.openxmlformats.org/officeDocument/2006/relationships/hyperlink" Target="http://www.boxofficemojo.com/schedule/?view=bydate&amp;release=theatrical&amp;date=2015-05-08&amp;p=.htm" TargetMode="External"/><Relationship Id="rId1335" Type="http://schemas.openxmlformats.org/officeDocument/2006/relationships/hyperlink" Target="http://www.boxofficemojo.com/movies/?id=bangistan.htm" TargetMode="External"/><Relationship Id="rId1336" Type="http://schemas.openxmlformats.org/officeDocument/2006/relationships/hyperlink" Target="http://www.boxofficemojo.com/studio/chart/?studio=eros.htm" TargetMode="External"/><Relationship Id="rId1337" Type="http://schemas.openxmlformats.org/officeDocument/2006/relationships/hyperlink" Target="http://www.boxofficemojo.com/schedule/?view=bydate&amp;release=theatrical&amp;date=2015-08-07&amp;p=.htm" TargetMode="External"/><Relationship Id="rId1338" Type="http://schemas.openxmlformats.org/officeDocument/2006/relationships/hyperlink" Target="http://www.boxofficemojo.com/movies/?id=appropriatebehavior.htm" TargetMode="External"/><Relationship Id="rId1339" Type="http://schemas.openxmlformats.org/officeDocument/2006/relationships/hyperlink" Target="http://www.boxofficemojo.com/studio/chart/?studio=gravitas.htm" TargetMode="External"/><Relationship Id="rId870" Type="http://schemas.openxmlformats.org/officeDocument/2006/relationships/hyperlink" Target="http://www.boxofficemojo.com/movies/?id=talvar.htm" TargetMode="External"/><Relationship Id="rId871" Type="http://schemas.openxmlformats.org/officeDocument/2006/relationships/hyperlink" Target="http://www.boxofficemojo.com/studio/chart/?studio=reliance.htm" TargetMode="External"/><Relationship Id="rId480" Type="http://schemas.openxmlformats.org/officeDocument/2006/relationships/hyperlink" Target="http://www.boxofficemojo.com/movies/?id=spareparts.htm" TargetMode="External"/><Relationship Id="rId481" Type="http://schemas.openxmlformats.org/officeDocument/2006/relationships/hyperlink" Target="http://www.boxofficemojo.com/studio/chart/?studio=lionsgate.htm" TargetMode="External"/><Relationship Id="rId482" Type="http://schemas.openxmlformats.org/officeDocument/2006/relationships/hyperlink" Target="http://www.boxofficemojo.com/schedule/?view=bydate&amp;release=theatrical&amp;date=2015-01-16&amp;p=.htm" TargetMode="External"/><Relationship Id="rId483" Type="http://schemas.openxmlformats.org/officeDocument/2006/relationships/hyperlink" Target="http://www.boxofficemojo.com/movies/?id=weareyourfriends.htm" TargetMode="External"/><Relationship Id="rId484" Type="http://schemas.openxmlformats.org/officeDocument/2006/relationships/hyperlink" Target="http://www.boxofficemojo.com/studio/chart/?studio=warnerbros.htm" TargetMode="External"/><Relationship Id="rId485" Type="http://schemas.openxmlformats.org/officeDocument/2006/relationships/hyperlink" Target="http://www.boxofficemojo.com/schedule/?view=bydate&amp;release=theatrical&amp;date=2015-08-28&amp;p=.htm" TargetMode="External"/><Relationship Id="rId486" Type="http://schemas.openxmlformats.org/officeDocument/2006/relationships/hyperlink" Target="http://www.boxofficemojo.com/movies/?id=whatwedointheshadows.htm" TargetMode="External"/><Relationship Id="rId487" Type="http://schemas.openxmlformats.org/officeDocument/2006/relationships/hyperlink" Target="http://www.boxofficemojo.com/studio/chart/?studio=unisonpaladin.htm" TargetMode="External"/><Relationship Id="rId488" Type="http://schemas.openxmlformats.org/officeDocument/2006/relationships/hyperlink" Target="http://www.boxofficemojo.com/schedule/?view=bydate&amp;release=theatrical&amp;date=2015-02-13&amp;p=.htm" TargetMode="External"/><Relationship Id="rId489" Type="http://schemas.openxmlformats.org/officeDocument/2006/relationships/hyperlink" Target="http://www.boxofficemojo.com/movies/?id=learningtodrive.htm" TargetMode="External"/><Relationship Id="rId872" Type="http://schemas.openxmlformats.org/officeDocument/2006/relationships/hyperlink" Target="http://www.boxofficemojo.com/schedule/?view=bydate&amp;release=theatrical&amp;date=2015-10-02&amp;p=.htm" TargetMode="External"/><Relationship Id="rId873" Type="http://schemas.openxmlformats.org/officeDocument/2006/relationships/hyperlink" Target="http://www.boxofficemojo.com/movies/?id=northernlimitline.htm" TargetMode="External"/><Relationship Id="rId874" Type="http://schemas.openxmlformats.org/officeDocument/2006/relationships/hyperlink" Target="http://www.boxofficemojo.com/studio/chart/?studio=wellgo.htm" TargetMode="External"/><Relationship Id="rId875" Type="http://schemas.openxmlformats.org/officeDocument/2006/relationships/hyperlink" Target="http://www.boxofficemojo.com/schedule/?view=bydate&amp;release=theatrical&amp;date=2015-07-17&amp;p=.htm" TargetMode="External"/><Relationship Id="rId876" Type="http://schemas.openxmlformats.org/officeDocument/2006/relationships/hyperlink" Target="http://www.boxofficemojo.com/movies/?id=ballet422.htm" TargetMode="External"/><Relationship Id="rId877" Type="http://schemas.openxmlformats.org/officeDocument/2006/relationships/hyperlink" Target="http://www.boxofficemojo.com/studio/chart/?studio=magnolia.htm" TargetMode="External"/><Relationship Id="rId878" Type="http://schemas.openxmlformats.org/officeDocument/2006/relationships/hyperlink" Target="http://www.boxofficemojo.com/schedule/?view=bydate&amp;release=theatrical&amp;date=2015-02-06&amp;p=.htm" TargetMode="External"/><Relationship Id="rId879" Type="http://schemas.openxmlformats.org/officeDocument/2006/relationships/hyperlink" Target="http://www.boxofficemojo.com/movies/?id=shamitabh.htm" TargetMode="External"/><Relationship Id="rId1724" Type="http://schemas.openxmlformats.org/officeDocument/2006/relationships/hyperlink" Target="http://www.boxofficemojo.com/schedule/?view=bydate&amp;release=theatrical&amp;date=2015-07-01&amp;p=.htm" TargetMode="External"/><Relationship Id="rId1725" Type="http://schemas.openxmlformats.org/officeDocument/2006/relationships/hyperlink" Target="http://www.boxofficemojo.com/movies/?id=empireoflust.htm" TargetMode="External"/><Relationship Id="rId1726" Type="http://schemas.openxmlformats.org/officeDocument/2006/relationships/hyperlink" Target="http://www.boxofficemojo.com/studio/chart/?studio=cjentertainment.htm" TargetMode="External"/><Relationship Id="rId1727" Type="http://schemas.openxmlformats.org/officeDocument/2006/relationships/hyperlink" Target="http://www.boxofficemojo.com/schedule/?view=bydate&amp;release=theatrical&amp;date=2015-03-06&amp;p=.htm" TargetMode="External"/><Relationship Id="rId1728" Type="http://schemas.openxmlformats.org/officeDocument/2006/relationships/hyperlink" Target="http://www.boxofficemojo.com/movies/?id=theforecaster.htm" TargetMode="External"/><Relationship Id="rId1729" Type="http://schemas.openxmlformats.org/officeDocument/2006/relationships/hyperlink" Target="http://www.boxofficemojo.com/studio/chart/?studio=autlookfilms.htm" TargetMode="External"/><Relationship Id="rId2020" Type="http://schemas.openxmlformats.org/officeDocument/2006/relationships/hyperlink" Target="http://www.boxofficemojo.com/studio/chart/?studio=oscilloscopepictures.htm" TargetMode="External"/><Relationship Id="rId2021" Type="http://schemas.openxmlformats.org/officeDocument/2006/relationships/hyperlink" Target="http://www.boxofficemojo.com/schedule/?view=bydate&amp;release=theatrical&amp;date=2015-12-11&amp;p=.htm" TargetMode="External"/><Relationship Id="rId2022" Type="http://schemas.openxmlformats.org/officeDocument/2006/relationships/hyperlink" Target="http://www.boxofficemojo.com/movies/?id=hayride2.htm" TargetMode="External"/><Relationship Id="rId2023" Type="http://schemas.openxmlformats.org/officeDocument/2006/relationships/hyperlink" Target="http://www.boxofficemojo.com/studio/chart/?studio=fs.htm" TargetMode="External"/><Relationship Id="rId2024" Type="http://schemas.openxmlformats.org/officeDocument/2006/relationships/hyperlink" Target="http://www.boxofficemojo.com/schedule/?view=bydate&amp;release=theatrical&amp;date=2015-03-06&amp;p=.htm" TargetMode="External"/><Relationship Id="rId2025" Type="http://schemas.openxmlformats.org/officeDocument/2006/relationships/hyperlink" Target="http://www.boxofficemojo.com/movies/?id=laslasher.htm" TargetMode="External"/><Relationship Id="rId2026" Type="http://schemas.openxmlformats.org/officeDocument/2006/relationships/hyperlink" Target="http://www.boxofficemojo.com/studio/chart/?studio=archstone.htm" TargetMode="External"/><Relationship Id="rId2027" Type="http://schemas.openxmlformats.org/officeDocument/2006/relationships/hyperlink" Target="http://www.boxofficemojo.com/schedule/?view=bydate&amp;release=theatrical&amp;date=2015-06-26&amp;p=.htm" TargetMode="External"/><Relationship Id="rId2028" Type="http://schemas.openxmlformats.org/officeDocument/2006/relationships/hyperlink" Target="http://www.boxofficemojo.com/movies/?id=anitaho.htm" TargetMode="External"/><Relationship Id="rId2029" Type="http://schemas.openxmlformats.org/officeDocument/2006/relationships/hyperlink" Target="http://www.boxofficemojo.com/studio/chart/?studio=indican.htm" TargetMode="External"/><Relationship Id="rId1730" Type="http://schemas.openxmlformats.org/officeDocument/2006/relationships/hyperlink" Target="http://www.boxofficemojo.com/schedule/?view=bydate&amp;release=theatrical&amp;date=2015-03-27&amp;p=.htm" TargetMode="External"/><Relationship Id="rId1731" Type="http://schemas.openxmlformats.org/officeDocument/2006/relationships/hyperlink" Target="http://www.boxofficemojo.com/movies/?id=littleaccidents.htm" TargetMode="External"/><Relationship Id="rId1732" Type="http://schemas.openxmlformats.org/officeDocument/2006/relationships/hyperlink" Target="http://www.boxofficemojo.com/studio/chart/?studio=amplify.htm" TargetMode="External"/><Relationship Id="rId1733" Type="http://schemas.openxmlformats.org/officeDocument/2006/relationships/hyperlink" Target="http://www.boxofficemojo.com/schedule/?view=bydate&amp;release=theatrical&amp;date=2015-01-16&amp;p=.htm" TargetMode="External"/><Relationship Id="rId1340" Type="http://schemas.openxmlformats.org/officeDocument/2006/relationships/hyperlink" Target="http://www.boxofficemojo.com/schedule/?view=bydate&amp;release=theatrical&amp;date=2015-01-16&amp;p=.htm" TargetMode="External"/><Relationship Id="rId1341" Type="http://schemas.openxmlformats.org/officeDocument/2006/relationships/hyperlink" Target="http://www.boxofficemojo.com/movies/?id=shanghai.htm" TargetMode="External"/><Relationship Id="rId1342" Type="http://schemas.openxmlformats.org/officeDocument/2006/relationships/hyperlink" Target="http://www.boxofficemojo.com/studio/chart/?studio=weinsteincompany.htm" TargetMode="External"/><Relationship Id="rId1343" Type="http://schemas.openxmlformats.org/officeDocument/2006/relationships/hyperlink" Target="http://www.boxofficemojo.com/schedule/?view=bydate&amp;release=theatrical&amp;date=2015-10-02&amp;p=.htm" TargetMode="External"/><Relationship Id="rId1344" Type="http://schemas.openxmlformats.org/officeDocument/2006/relationships/hyperlink" Target="http://www.boxofficemojo.com/movies/?id=beyondthereach.htm" TargetMode="External"/><Relationship Id="rId1345" Type="http://schemas.openxmlformats.org/officeDocument/2006/relationships/hyperlink" Target="http://www.boxofficemojo.com/studio/chart/?studio=roadsideattractions.htm" TargetMode="External"/><Relationship Id="rId1346" Type="http://schemas.openxmlformats.org/officeDocument/2006/relationships/hyperlink" Target="http://www.boxofficemojo.com/schedule/?view=bydate&amp;release=theatrical&amp;date=2015-04-17&amp;p=.htm" TargetMode="External"/><Relationship Id="rId1347" Type="http://schemas.openxmlformats.org/officeDocument/2006/relationships/hyperlink" Target="http://www.boxofficemojo.com/movies/?id=lostriver.htm" TargetMode="External"/><Relationship Id="rId1348" Type="http://schemas.openxmlformats.org/officeDocument/2006/relationships/hyperlink" Target="http://www.boxofficemojo.com/studio/chart/?studio=warnerbros.htm" TargetMode="External"/><Relationship Id="rId1349" Type="http://schemas.openxmlformats.org/officeDocument/2006/relationships/hyperlink" Target="http://www.boxofficemojo.com/schedule/?view=bydate&amp;release=theatrical&amp;date=2015-04-10&amp;p=.htm" TargetMode="External"/><Relationship Id="rId880" Type="http://schemas.openxmlformats.org/officeDocument/2006/relationships/hyperlink" Target="http://www.boxofficemojo.com/studio/chart/?studio=eros.htm" TargetMode="External"/><Relationship Id="rId881" Type="http://schemas.openxmlformats.org/officeDocument/2006/relationships/hyperlink" Target="http://www.boxofficemojo.com/schedule/?view=bydate&amp;release=theatrical&amp;date=2015-02-06&amp;p=.htm" TargetMode="External"/><Relationship Id="rId490" Type="http://schemas.openxmlformats.org/officeDocument/2006/relationships/hyperlink" Target="http://www.boxofficemojo.com/studio/chart/?studio=broadgreen.htm" TargetMode="External"/><Relationship Id="rId491" Type="http://schemas.openxmlformats.org/officeDocument/2006/relationships/hyperlink" Target="http://www.boxofficemojo.com/schedule/?view=bydate&amp;release=theatrical&amp;date=2015-08-21&amp;p=.htm" TargetMode="External"/><Relationship Id="rId492" Type="http://schemas.openxmlformats.org/officeDocument/2006/relationships/hyperlink" Target="http://www.boxofficemojo.com/movies/?id=phoenix2015.htm" TargetMode="External"/><Relationship Id="rId493" Type="http://schemas.openxmlformats.org/officeDocument/2006/relationships/hyperlink" Target="http://www.boxofficemojo.com/studio/chart/?studio=ifc.htm" TargetMode="External"/><Relationship Id="rId494" Type="http://schemas.openxmlformats.org/officeDocument/2006/relationships/hyperlink" Target="http://www.boxofficemojo.com/schedule/?view=bydate&amp;release=theatrical&amp;date=2015-07-24&amp;p=.htm" TargetMode="External"/><Relationship Id="rId495" Type="http://schemas.openxmlformats.org/officeDocument/2006/relationships/hyperlink" Target="http://www.boxofficemojo.com/movies/?id=wildtales.htm" TargetMode="External"/><Relationship Id="rId496" Type="http://schemas.openxmlformats.org/officeDocument/2006/relationships/hyperlink" Target="http://www.boxofficemojo.com/studio/chart/?studio=sonyclassics.htm" TargetMode="External"/><Relationship Id="rId497" Type="http://schemas.openxmlformats.org/officeDocument/2006/relationships/hyperlink" Target="http://www.boxofficemojo.com/schedule/?view=bydate&amp;release=theatrical&amp;date=2015-02-20&amp;p=.htm" TargetMode="External"/><Relationship Id="rId498" Type="http://schemas.openxmlformats.org/officeDocument/2006/relationships/hyperlink" Target="http://www.boxofficemojo.com/movies/?id=dildhadaknedo.htm" TargetMode="External"/><Relationship Id="rId499" Type="http://schemas.openxmlformats.org/officeDocument/2006/relationships/hyperlink" Target="http://www.boxofficemojo.com/studio/chart/?studio=eros.htm" TargetMode="External"/><Relationship Id="rId882" Type="http://schemas.openxmlformats.org/officeDocument/2006/relationships/hyperlink" Target="http://www.boxofficemojo.com/movies/?id=taxitehran.htm" TargetMode="External"/><Relationship Id="rId883" Type="http://schemas.openxmlformats.org/officeDocument/2006/relationships/hyperlink" Target="http://www.boxofficemojo.com/studio/chart/?studio=kinolorber.htm" TargetMode="External"/><Relationship Id="rId884" Type="http://schemas.openxmlformats.org/officeDocument/2006/relationships/hyperlink" Target="http://www.boxofficemojo.com/schedule/?view=bydate&amp;release=theatrical&amp;date=2015-10-02&amp;p=.htm" TargetMode="External"/><Relationship Id="rId885" Type="http://schemas.openxmlformats.org/officeDocument/2006/relationships/hyperlink" Target="http://www.boxofficemojo.com/movies/?id=goodkill.htm" TargetMode="External"/><Relationship Id="rId886" Type="http://schemas.openxmlformats.org/officeDocument/2006/relationships/hyperlink" Target="http://www.boxofficemojo.com/studio/chart/?studio=ifc.htm" TargetMode="External"/><Relationship Id="rId887" Type="http://schemas.openxmlformats.org/officeDocument/2006/relationships/hyperlink" Target="http://www.boxofficemojo.com/schedule/?view=bydate&amp;release=theatrical&amp;date=2015-05-15&amp;p=.htm" TargetMode="External"/><Relationship Id="rId888" Type="http://schemas.openxmlformats.org/officeDocument/2006/relationships/hyperlink" Target="http://www.boxofficemojo.com/movies/?id=davidandgoliath.htm" TargetMode="External"/><Relationship Id="rId889" Type="http://schemas.openxmlformats.org/officeDocument/2006/relationships/hyperlink" Target="http://www.boxofficemojo.com/studio/chart/?studio=rippleeffect.htm" TargetMode="External"/><Relationship Id="rId1734" Type="http://schemas.openxmlformats.org/officeDocument/2006/relationships/hyperlink" Target="http://www.boxofficemojo.com/movies/?id=markdefriest.htm" TargetMode="External"/><Relationship Id="rId1735" Type="http://schemas.openxmlformats.org/officeDocument/2006/relationships/hyperlink" Target="http://www.boxofficemojo.com/studio/chart/?studio=citydrive.htm" TargetMode="External"/><Relationship Id="rId1736" Type="http://schemas.openxmlformats.org/officeDocument/2006/relationships/hyperlink" Target="http://www.boxofficemojo.com/schedule/?view=bydate&amp;release=theatrical&amp;date=2015-03-06&amp;p=.htm" TargetMode="External"/><Relationship Id="rId1737" Type="http://schemas.openxmlformats.org/officeDocument/2006/relationships/hyperlink" Target="http://www.boxofficemojo.com/movies/?id=stilllife2015.htm" TargetMode="External"/><Relationship Id="rId1738" Type="http://schemas.openxmlformats.org/officeDocument/2006/relationships/hyperlink" Target="http://www.boxofficemojo.com/studio/chart/?studio=tribecafilm.htm" TargetMode="External"/><Relationship Id="rId1739" Type="http://schemas.openxmlformats.org/officeDocument/2006/relationships/hyperlink" Target="http://www.boxofficemojo.com/schedule/?view=bydate&amp;release=theatrical&amp;date=2015-01-16&amp;p=.htm" TargetMode="External"/><Relationship Id="rId2030" Type="http://schemas.openxmlformats.org/officeDocument/2006/relationships/hyperlink" Target="http://www.boxofficemojo.com/schedule/?view=bydate&amp;release=theatrical&amp;date=2015-02-27&amp;p=.htm" TargetMode="External"/><Relationship Id="rId2031" Type="http://schemas.openxmlformats.org/officeDocument/2006/relationships/hyperlink" Target="http://www.boxofficemojo.com/movies/?id=ladyinthecarwithglassesandagun.htm" TargetMode="External"/><Relationship Id="rId2032" Type="http://schemas.openxmlformats.org/officeDocument/2006/relationships/hyperlink" Target="http://www.boxofficemojo.com/studio/chart/?studio=magnolia.htm" TargetMode="External"/><Relationship Id="rId2033" Type="http://schemas.openxmlformats.org/officeDocument/2006/relationships/hyperlink" Target="http://www.boxofficemojo.com/schedule/?view=bydate&amp;release=theatrical&amp;date=2015-12-18&amp;p=.htm" TargetMode="External"/><Relationship Id="rId2034" Type="http://schemas.openxmlformats.org/officeDocument/2006/relationships/hyperlink" Target="http://www.boxofficemojo.com/movies/?id=meyouandfivebucks.htm" TargetMode="External"/><Relationship Id="rId2035" Type="http://schemas.openxmlformats.org/officeDocument/2006/relationships/hyperlink" Target="http://www.boxofficemojo.com/studio/chart/?studio=indican.htm" TargetMode="External"/><Relationship Id="rId2036" Type="http://schemas.openxmlformats.org/officeDocument/2006/relationships/hyperlink" Target="http://www.boxofficemojo.com/schedule/?view=bydate&amp;release=theatrical&amp;date=2015-09-25&amp;p=.htm" TargetMode="External"/><Relationship Id="rId2037" Type="http://schemas.openxmlformats.org/officeDocument/2006/relationships/hyperlink" Target="http://www.boxofficemojo.com/movies/?id=sneakerheadz.htm" TargetMode="External"/><Relationship Id="rId2038" Type="http://schemas.openxmlformats.org/officeDocument/2006/relationships/hyperlink" Target="http://www.boxofficemojo.com/studio/chart/?studio=submarinedeluxe.htm" TargetMode="External"/><Relationship Id="rId2039" Type="http://schemas.openxmlformats.org/officeDocument/2006/relationships/hyperlink" Target="http://www.boxofficemojo.com/schedule/?view=bydate&amp;release=theatrical&amp;date=2015-08-07&amp;p=.htm" TargetMode="External"/><Relationship Id="rId1740" Type="http://schemas.openxmlformats.org/officeDocument/2006/relationships/hyperlink" Target="http://www.boxofficemojo.com/movies/?id=onecutonelife.htm" TargetMode="External"/><Relationship Id="rId1741" Type="http://schemas.openxmlformats.org/officeDocument/2006/relationships/hyperlink" Target="http://www.boxofficemojo.com/studio/chart/?studio=firstrun.htm" TargetMode="External"/><Relationship Id="rId1742" Type="http://schemas.openxmlformats.org/officeDocument/2006/relationships/hyperlink" Target="http://www.boxofficemojo.com/schedule/?view=bydate&amp;release=theatrical&amp;date=2015-05-13&amp;p=.htm" TargetMode="External"/><Relationship Id="rId1743" Type="http://schemas.openxmlformats.org/officeDocument/2006/relationships/hyperlink" Target="http://www.boxofficemojo.com/movies/?id=everythingwillbefine.htm" TargetMode="External"/><Relationship Id="rId1350" Type="http://schemas.openxmlformats.org/officeDocument/2006/relationships/hyperlink" Target="http://www.boxofficemojo.com/movies/?id=mrx.htm" TargetMode="External"/><Relationship Id="rId1351" Type="http://schemas.openxmlformats.org/officeDocument/2006/relationships/hyperlink" Target="http://www.boxofficemojo.com/studio/chart/?studio=fip.htm" TargetMode="External"/><Relationship Id="rId1352" Type="http://schemas.openxmlformats.org/officeDocument/2006/relationships/hyperlink" Target="http://www.boxofficemojo.com/schedule/?view=bydate&amp;release=theatrical&amp;date=2015-04-17&amp;p=.htm" TargetMode="External"/><Relationship Id="rId1353" Type="http://schemas.openxmlformats.org/officeDocument/2006/relationships/hyperlink" Target="http://www.boxofficemojo.com/movies/?id=salvation.htm" TargetMode="External"/><Relationship Id="rId1354" Type="http://schemas.openxmlformats.org/officeDocument/2006/relationships/hyperlink" Target="http://www.boxofficemojo.com/studio/chart/?studio=ifc.htm" TargetMode="External"/><Relationship Id="rId1355" Type="http://schemas.openxmlformats.org/officeDocument/2006/relationships/hyperlink" Target="http://www.boxofficemojo.com/schedule/?view=bydate&amp;release=theatrical&amp;date=2015-02-27&amp;p=.htm" TargetMode="External"/><Relationship Id="rId1356" Type="http://schemas.openxmlformats.org/officeDocument/2006/relationships/hyperlink" Target="http://www.boxofficemojo.com/movies/?id=riveroffundament.htm" TargetMode="External"/><Relationship Id="rId1357" Type="http://schemas.openxmlformats.org/officeDocument/2006/relationships/hyperlink" Target="http://www.boxofficemojo.com/studio/chart/?studio=intlfilmcircuit.htm" TargetMode="External"/><Relationship Id="rId1358" Type="http://schemas.openxmlformats.org/officeDocument/2006/relationships/hyperlink" Target="http://www.boxofficemojo.com/schedule/?view=bydate&amp;release=theatrical&amp;date=2015-12-04&amp;p=.htm" TargetMode="External"/><Relationship Id="rId1359" Type="http://schemas.openxmlformats.org/officeDocument/2006/relationships/hyperlink" Target="http://www.boxofficemojo.com/movies/?id=madamebovary15.htm" TargetMode="External"/><Relationship Id="rId890" Type="http://schemas.openxmlformats.org/officeDocument/2006/relationships/hyperlink" Target="http://www.boxofficemojo.com/schedule/?view=bydate&amp;release=theatrical&amp;date=2015-04-03&amp;p=.htm" TargetMode="External"/><Relationship Id="rId891" Type="http://schemas.openxmlformats.org/officeDocument/2006/relationships/hyperlink" Target="http://www.boxofficemojo.com/movies/?id=runningman2015.htm" TargetMode="External"/><Relationship Id="rId892" Type="http://schemas.openxmlformats.org/officeDocument/2006/relationships/hyperlink" Target="http://www.boxofficemojo.com/studio/chart/?studio=chinalion.htm" TargetMode="External"/><Relationship Id="rId893" Type="http://schemas.openxmlformats.org/officeDocument/2006/relationships/hyperlink" Target="http://www.boxofficemojo.com/schedule/?view=bydate&amp;release=theatrical&amp;date=2015-01-30&amp;p=.htm" TargetMode="External"/><Relationship Id="rId894" Type="http://schemas.openxmlformats.org/officeDocument/2006/relationships/hyperlink" Target="http://www.boxofficemojo.com/movies/?id=merchantsofdoubt.htm" TargetMode="External"/><Relationship Id="rId895" Type="http://schemas.openxmlformats.org/officeDocument/2006/relationships/hyperlink" Target="http://www.boxofficemojo.com/studio/chart/?studio=sonyclassics.htm" TargetMode="External"/><Relationship Id="rId896" Type="http://schemas.openxmlformats.org/officeDocument/2006/relationships/hyperlink" Target="http://www.boxofficemojo.com/schedule/?view=bydate&amp;release=theatrical&amp;date=2015-03-06&amp;p=.htm" TargetMode="External"/><Relationship Id="rId897" Type="http://schemas.openxmlformats.org/officeDocument/2006/relationships/hyperlink" Target="http://www.boxofficemojo.com/movies/?id=attackontitanpart2.htm" TargetMode="External"/><Relationship Id="rId898" Type="http://schemas.openxmlformats.org/officeDocument/2006/relationships/hyperlink" Target="http://www.boxofficemojo.com/studio/chart/?studio=funimation.htm" TargetMode="External"/><Relationship Id="rId899" Type="http://schemas.openxmlformats.org/officeDocument/2006/relationships/hyperlink" Target="http://www.boxofficemojo.com/schedule/?view=bydate&amp;release=theatrical&amp;date=2015-10-20&amp;p=.htm" TargetMode="External"/><Relationship Id="rId1744" Type="http://schemas.openxmlformats.org/officeDocument/2006/relationships/hyperlink" Target="http://www.boxofficemojo.com/studio/chart/?studio=ifc.htm" TargetMode="External"/><Relationship Id="rId1745" Type="http://schemas.openxmlformats.org/officeDocument/2006/relationships/hyperlink" Target="http://www.boxofficemojo.com/schedule/?view=bydate&amp;release=theatrical&amp;date=2015-12-04&amp;p=.htm" TargetMode="External"/><Relationship Id="rId1746" Type="http://schemas.openxmlformats.org/officeDocument/2006/relationships/hyperlink" Target="http://www.boxofficemojo.com/movies/?id=cupcakes.htm" TargetMode="External"/><Relationship Id="rId1747" Type="http://schemas.openxmlformats.org/officeDocument/2006/relationships/hyperlink" Target="http://www.boxofficemojo.com/studio/chart/?studio=strand.htm" TargetMode="External"/><Relationship Id="rId1748" Type="http://schemas.openxmlformats.org/officeDocument/2006/relationships/hyperlink" Target="http://www.boxofficemojo.com/schedule/?view=bydate&amp;release=theatrical&amp;date=2015-03-27&amp;p=.htm" TargetMode="External"/><Relationship Id="rId1749" Type="http://schemas.openxmlformats.org/officeDocument/2006/relationships/hyperlink" Target="http://www.boxofficemojo.com/movies/?id=lesson.htm" TargetMode="External"/><Relationship Id="rId2040" Type="http://schemas.openxmlformats.org/officeDocument/2006/relationships/hyperlink" Target="http://www.boxofficemojo.com/movies/?id=otherman15.htm" TargetMode="External"/><Relationship Id="rId2041" Type="http://schemas.openxmlformats.org/officeDocument/2006/relationships/hyperlink" Target="http://www.boxofficemojo.com/studio/chart/?studio=firstrun.htm" TargetMode="External"/><Relationship Id="rId2042" Type="http://schemas.openxmlformats.org/officeDocument/2006/relationships/hyperlink" Target="http://www.boxofficemojo.com/schedule/?view=bydate&amp;release=theatrical&amp;date=2015-02-06&amp;p=.htm" TargetMode="External"/><Relationship Id="rId2043" Type="http://schemas.openxmlformats.org/officeDocument/2006/relationships/hyperlink" Target="http://www.boxofficemojo.com/movies/?id=darkforest.htm" TargetMode="External"/><Relationship Id="rId2044" Type="http://schemas.openxmlformats.org/officeDocument/2006/relationships/hyperlink" Target="http://www.boxofficemojo.com/studio/chart/?studio=zellkoj.hrm" TargetMode="External"/><Relationship Id="rId2045" Type="http://schemas.openxmlformats.org/officeDocument/2006/relationships/hyperlink" Target="http://www.boxofficemojo.com/schedule/?view=bydate&amp;release=theatrical&amp;date=2015-08-21&amp;p=.htm" TargetMode="External"/><Relationship Id="rId2046" Type="http://schemas.openxmlformats.org/officeDocument/2006/relationships/hyperlink" Target="http://www.boxofficemojo.com/movies/?id=thelookingglass.htm" TargetMode="External"/><Relationship Id="rId2047" Type="http://schemas.openxmlformats.org/officeDocument/2006/relationships/hyperlink" Target="http://www.boxofficemojo.com/studio/chart/?studio=firstrun.htm" TargetMode="External"/><Relationship Id="rId2048" Type="http://schemas.openxmlformats.org/officeDocument/2006/relationships/hyperlink" Target="http://www.boxofficemojo.com/schedule/?view=bydate&amp;release=theatrical&amp;date=2015-10-23&amp;p=.htm" TargetMode="External"/><Relationship Id="rId2049" Type="http://schemas.openxmlformats.org/officeDocument/2006/relationships/hyperlink" Target="http://www.boxofficemojo.com/movies/?id=drown.htm" TargetMode="External"/><Relationship Id="rId100" Type="http://schemas.openxmlformats.org/officeDocument/2006/relationships/hyperlink" Target="http://www.boxofficemojo.com/studio/chart/?studio=paramount.htm" TargetMode="External"/><Relationship Id="rId101" Type="http://schemas.openxmlformats.org/officeDocument/2006/relationships/hyperlink" Target="http://www.boxofficemojo.com/schedule/?view=bydate&amp;release=theatrical&amp;date=2015-07-01&amp;p=.htm" TargetMode="External"/><Relationship Id="rId102" Type="http://schemas.openxmlformats.org/officeDocument/2006/relationships/hyperlink" Target="http://www.boxofficemojo.com/movies/?id=taken3.htm" TargetMode="External"/><Relationship Id="rId103" Type="http://schemas.openxmlformats.org/officeDocument/2006/relationships/hyperlink" Target="http://www.boxofficemojo.com/studio/chart/?studio=fox.htm" TargetMode="External"/><Relationship Id="rId104" Type="http://schemas.openxmlformats.org/officeDocument/2006/relationships/hyperlink" Target="http://www.boxofficemojo.com/schedule/?view=bydate&amp;release=theatrical&amp;date=2015-01-09&amp;p=.htm" TargetMode="External"/><Relationship Id="rId105" Type="http://schemas.openxmlformats.org/officeDocument/2006/relationships/hyperlink" Target="http://www.boxofficemojo.com/movies/?id=nest.htm" TargetMode="External"/><Relationship Id="rId106" Type="http://schemas.openxmlformats.org/officeDocument/2006/relationships/hyperlink" Target="http://www.boxofficemojo.com/studio/chart/?studio=universal.htm" TargetMode="External"/><Relationship Id="rId107" Type="http://schemas.openxmlformats.org/officeDocument/2006/relationships/hyperlink" Target="http://www.boxofficemojo.com/schedule/?view=bydate&amp;release=theatrical&amp;date=2015-12-18&amp;p=.htm" TargetMode="External"/><Relationship Id="rId108" Type="http://schemas.openxmlformats.org/officeDocument/2006/relationships/hyperlink" Target="http://www.boxofficemojo.com/movies/?id=alvin4.htm" TargetMode="External"/><Relationship Id="rId109" Type="http://schemas.openxmlformats.org/officeDocument/2006/relationships/hyperlink" Target="http://www.boxofficemojo.com/studio/chart/?studio=fox.htm" TargetMode="External"/><Relationship Id="rId1750" Type="http://schemas.openxmlformats.org/officeDocument/2006/relationships/hyperlink" Target="http://www.boxofficemojo.com/studio/chart/?studio=filmmovement.htm" TargetMode="External"/><Relationship Id="rId1751" Type="http://schemas.openxmlformats.org/officeDocument/2006/relationships/hyperlink" Target="http://www.boxofficemojo.com/schedule/?view=bydate&amp;release=theatrical&amp;date=2015-03-04&amp;p=.htm" TargetMode="External"/><Relationship Id="rId1752" Type="http://schemas.openxmlformats.org/officeDocument/2006/relationships/hyperlink" Target="http://www.boxofficemojo.com/movies/?id=stationtostation.htm" TargetMode="External"/><Relationship Id="rId1753" Type="http://schemas.openxmlformats.org/officeDocument/2006/relationships/hyperlink" Target="http://www.boxofficemojo.com/studio/chart/?studio=submarinedeluxe.htm" TargetMode="External"/><Relationship Id="rId1360" Type="http://schemas.openxmlformats.org/officeDocument/2006/relationships/hyperlink" Target="http://www.boxofficemojo.com/studio/chart/?studio=alchemy.htm" TargetMode="External"/><Relationship Id="rId1361" Type="http://schemas.openxmlformats.org/officeDocument/2006/relationships/hyperlink" Target="http://www.boxofficemojo.com/schedule/?view=bydate&amp;release=theatrical&amp;date=2015-06-12&amp;p=.htm" TargetMode="External"/><Relationship Id="rId1362" Type="http://schemas.openxmlformats.org/officeDocument/2006/relationships/hyperlink" Target="http://www.boxofficemojo.com/movies/?id=charliescountry.htm" TargetMode="External"/><Relationship Id="rId1363" Type="http://schemas.openxmlformats.org/officeDocument/2006/relationships/hyperlink" Target="http://www.boxofficemojo.com/studio/chart/?studio=monument.htm" TargetMode="External"/><Relationship Id="rId1364" Type="http://schemas.openxmlformats.org/officeDocument/2006/relationships/hyperlink" Target="http://www.boxofficemojo.com/schedule/?view=bydate&amp;release=theatrical&amp;date=2015-06-05&amp;p=.htm" TargetMode="External"/><Relationship Id="rId1365" Type="http://schemas.openxmlformats.org/officeDocument/2006/relationships/hyperlink" Target="http://www.boxofficemojo.com/movies/?id=breathe.htm" TargetMode="External"/><Relationship Id="rId1366" Type="http://schemas.openxmlformats.org/officeDocument/2006/relationships/hyperlink" Target="http://www.boxofficemojo.com/studio/chart/?studio=filmmovement.htm" TargetMode="External"/><Relationship Id="rId1367" Type="http://schemas.openxmlformats.org/officeDocument/2006/relationships/hyperlink" Target="http://www.boxofficemojo.com/schedule/?view=bydate&amp;release=theatrical&amp;date=2015-09-11&amp;p=.htm" TargetMode="External"/><Relationship Id="rId1368" Type="http://schemas.openxmlformats.org/officeDocument/2006/relationships/hyperlink" Target="http://www.boxofficemojo.com/movies/?id=pearlbutton.htm" TargetMode="External"/><Relationship Id="rId1369" Type="http://schemas.openxmlformats.org/officeDocument/2006/relationships/hyperlink" Target="http://www.boxofficemojo.com/studio/chart/?studio=kinolorber.htm" TargetMode="External"/><Relationship Id="rId1754" Type="http://schemas.openxmlformats.org/officeDocument/2006/relationships/hyperlink" Target="http://www.boxofficemojo.com/schedule/?view=bydate&amp;release=theatrical&amp;date=2015-08-21&amp;p=.htm" TargetMode="External"/><Relationship Id="rId1755" Type="http://schemas.openxmlformats.org/officeDocument/2006/relationships/hyperlink" Target="http://www.boxofficemojo.com/movies/?id=aneyeforbeauty.htm" TargetMode="External"/><Relationship Id="rId1756" Type="http://schemas.openxmlformats.org/officeDocument/2006/relationships/hyperlink" Target="http://www.boxofficemojo.com/studio/chart/?studio=monument.htm" TargetMode="External"/><Relationship Id="rId1757" Type="http://schemas.openxmlformats.org/officeDocument/2006/relationships/hyperlink" Target="http://www.boxofficemojo.com/schedule/?view=bydate&amp;release=theatrical&amp;date=2015-08-28&amp;p=.htm" TargetMode="External"/><Relationship Id="rId1758" Type="http://schemas.openxmlformats.org/officeDocument/2006/relationships/hyperlink" Target="http://www.boxofficemojo.com/movies/?id=northernsoul.htm" TargetMode="External"/><Relationship Id="rId1759" Type="http://schemas.openxmlformats.org/officeDocument/2006/relationships/hyperlink" Target="http://www.boxofficemojo.com/studio/chart/?studio=fs.htm" TargetMode="External"/><Relationship Id="rId2050" Type="http://schemas.openxmlformats.org/officeDocument/2006/relationships/hyperlink" Target="http://www.boxofficemojo.com/studio/chart/?studio=strand.htm" TargetMode="External"/><Relationship Id="rId2051" Type="http://schemas.openxmlformats.org/officeDocument/2006/relationships/hyperlink" Target="http://www.boxofficemojo.com/schedule/?view=bydate&amp;release=theatrical&amp;date=2015-08-28&amp;p=.htm" TargetMode="External"/><Relationship Id="rId2052" Type="http://schemas.openxmlformats.org/officeDocument/2006/relationships/hyperlink" Target="http://www.boxofficemojo.com/movies/?id=cutsnake.htm" TargetMode="External"/><Relationship Id="rId2053" Type="http://schemas.openxmlformats.org/officeDocument/2006/relationships/hyperlink" Target="http://www.boxofficemojo.com/studio/chart/?studio=montereymediainc.htm" TargetMode="External"/><Relationship Id="rId2054" Type="http://schemas.openxmlformats.org/officeDocument/2006/relationships/hyperlink" Target="http://www.boxofficemojo.com/schedule/?view=bydate&amp;release=theatrical&amp;date=2015-10-07&amp;p=.htm" TargetMode="External"/><Relationship Id="rId2055" Type="http://schemas.openxmlformats.org/officeDocument/2006/relationships/hyperlink" Target="http://www.boxofficemojo.com/movies/?id=forever2015.htm" TargetMode="External"/><Relationship Id="rId2056" Type="http://schemas.openxmlformats.org/officeDocument/2006/relationships/hyperlink" Target="http://www.boxofficemojo.com/studio/chart/?studio=montereymediainc.htm" TargetMode="External"/><Relationship Id="rId2057" Type="http://schemas.openxmlformats.org/officeDocument/2006/relationships/hyperlink" Target="http://www.boxofficemojo.com/schedule/?view=bydate&amp;release=theatrical&amp;date=2015-09-11&amp;p=.htm" TargetMode="External"/><Relationship Id="rId2058" Type="http://schemas.openxmlformats.org/officeDocument/2006/relationships/hyperlink" Target="http://www.boxofficemojo.com/movies/?id=stationsofthecross.htm" TargetMode="External"/><Relationship Id="rId2059" Type="http://schemas.openxmlformats.org/officeDocument/2006/relationships/hyperlink" Target="http://www.boxofficemojo.com/studio/chart/?studio=filmmovement.htm" TargetMode="External"/></Relationships>
</file>

<file path=xl/worksheets/_rels/sheet5.xml.rels><?xml version="1.0" encoding="UTF-8" standalone="yes"?>
<Relationships xmlns="http://schemas.openxmlformats.org/package/2006/relationships"><Relationship Id="rId500" Type="http://schemas.openxmlformats.org/officeDocument/2006/relationships/hyperlink" Target="http://www.boxofficemojo.com/schedule/?view=bydate&amp;release=theatrical&amp;date=2016-09-02&amp;p=.htm" TargetMode="External"/><Relationship Id="rId501" Type="http://schemas.openxmlformats.org/officeDocument/2006/relationships/hyperlink" Target="http://www.boxofficemojo.com/movies/?id=kabali.htm" TargetMode="External"/><Relationship Id="rId502" Type="http://schemas.openxmlformats.org/officeDocument/2006/relationships/hyperlink" Target="http://www.boxofficemojo.com/studio/chart/?studio=cinegalaxy.htm" TargetMode="External"/><Relationship Id="rId503" Type="http://schemas.openxmlformats.org/officeDocument/2006/relationships/hyperlink" Target="http://www.boxofficemojo.com/schedule/?view=bydate&amp;release=theatrical&amp;date=2016-07-21&amp;p=.htm" TargetMode="External"/><Relationship Id="rId110" Type="http://schemas.openxmlformats.org/officeDocument/2006/relationships/hyperlink" Target="http://www.boxofficemojo.com/schedule/?view=bydate&amp;release=theatrical&amp;date=2016-09-30&amp;p=.htm" TargetMode="External"/><Relationship Id="rId111" Type="http://schemas.openxmlformats.org/officeDocument/2006/relationships/hyperlink" Target="http://www.boxofficemojo.com/movies/?id=theaccountant.htm" TargetMode="External"/><Relationship Id="rId112" Type="http://schemas.openxmlformats.org/officeDocument/2006/relationships/hyperlink" Target="http://www.boxofficemojo.com/studio/chart/?studio=warnerbros.htm" TargetMode="External"/><Relationship Id="rId113" Type="http://schemas.openxmlformats.org/officeDocument/2006/relationships/hyperlink" Target="http://www.boxofficemojo.com/schedule/?view=bydate&amp;release=theatrical&amp;date=2016-10-14&amp;p=.htm" TargetMode="External"/><Relationship Id="rId114" Type="http://schemas.openxmlformats.org/officeDocument/2006/relationships/hyperlink" Target="http://www.boxofficemojo.com/movies/?id=tmnt2016.htm" TargetMode="External"/><Relationship Id="rId115" Type="http://schemas.openxmlformats.org/officeDocument/2006/relationships/hyperlink" Target="http://www.boxofficemojo.com/studio/chart/?studio=paramount.htm" TargetMode="External"/><Relationship Id="rId116" Type="http://schemas.openxmlformats.org/officeDocument/2006/relationships/hyperlink" Target="http://www.boxofficemojo.com/schedule/?view=bydate&amp;release=theatrical&amp;date=2016-06-03&amp;p=.htm" TargetMode="External"/><Relationship Id="rId117" Type="http://schemas.openxmlformats.org/officeDocument/2006/relationships/hyperlink" Target="http://www.boxofficemojo.com/movies/?id=purge3.htm" TargetMode="External"/><Relationship Id="rId118" Type="http://schemas.openxmlformats.org/officeDocument/2006/relationships/hyperlink" Target="http://www.boxofficemojo.com/studio/chart/?studio=universal.htm" TargetMode="External"/><Relationship Id="rId119" Type="http://schemas.openxmlformats.org/officeDocument/2006/relationships/hyperlink" Target="http://www.boxofficemojo.com/schedule/?view=bydate&amp;release=theatrical&amp;date=2016-07-01&amp;p=.htm" TargetMode="External"/><Relationship Id="rId504" Type="http://schemas.openxmlformats.org/officeDocument/2006/relationships/hyperlink" Target="http://www.boxofficemojo.com/movies/?id=themanwhoknewinfinity.htm" TargetMode="External"/><Relationship Id="rId505" Type="http://schemas.openxmlformats.org/officeDocument/2006/relationships/hyperlink" Target="http://www.boxofficemojo.com/studio/chart/?studio=ifc.htm" TargetMode="External"/><Relationship Id="rId506" Type="http://schemas.openxmlformats.org/officeDocument/2006/relationships/hyperlink" Target="http://www.boxofficemojo.com/schedule/?view=bydate&amp;release=theatrical&amp;date=2016-04-29&amp;p=.htm" TargetMode="External"/><Relationship Id="rId507" Type="http://schemas.openxmlformats.org/officeDocument/2006/relationships/hyperlink" Target="http://www.boxofficemojo.com/movies/?id=wheretoinvadenext.htm" TargetMode="External"/><Relationship Id="rId508" Type="http://schemas.openxmlformats.org/officeDocument/2006/relationships/hyperlink" Target="http://www.boxofficemojo.com/studio/chart/?studio=drafthousefilms.htm" TargetMode="External"/><Relationship Id="rId509" Type="http://schemas.openxmlformats.org/officeDocument/2006/relationships/hyperlink" Target="http://www.boxofficemojo.com/schedule/?view=bydate&amp;release=theatrical&amp;date=2016-02-12&amp;p=.htm" TargetMode="External"/><Relationship Id="rId1760" Type="http://schemas.openxmlformats.org/officeDocument/2006/relationships/hyperlink" Target="http://www.boxofficemojo.com/schedule/?view=bydate&amp;release=theatrical&amp;date=2016-12-16&amp;p=.htm" TargetMode="External"/><Relationship Id="rId1761" Type="http://schemas.openxmlformats.org/officeDocument/2006/relationships/hyperlink" Target="http://www.boxofficemojo.com/movies/?id=comingthroughtherye.htm" TargetMode="External"/><Relationship Id="rId1762" Type="http://schemas.openxmlformats.org/officeDocument/2006/relationships/hyperlink" Target="http://www.boxofficemojo.com/studio/chart/?studio=eammonfilms.htm" TargetMode="External"/><Relationship Id="rId1763" Type="http://schemas.openxmlformats.org/officeDocument/2006/relationships/hyperlink" Target="http://www.boxofficemojo.com/schedule/?view=bydate&amp;release=theatrical&amp;date=2016-10-14&amp;p=.htm" TargetMode="External"/><Relationship Id="rId1370" Type="http://schemas.openxmlformats.org/officeDocument/2006/relationships/hyperlink" Target="http://www.boxofficemojo.com/schedule/?view=bydate&amp;release=theatrical&amp;date=2016-06-17&amp;p=.htm" TargetMode="External"/><Relationship Id="rId1371" Type="http://schemas.openxmlformats.org/officeDocument/2006/relationships/hyperlink" Target="http://www.boxofficemojo.com/movies/?id=diaryofachambermaid.htm" TargetMode="External"/><Relationship Id="rId1372" Type="http://schemas.openxmlformats.org/officeDocument/2006/relationships/hyperlink" Target="http://www.boxofficemojo.com/studio/chart/?studio=cohenmedia.htm" TargetMode="External"/><Relationship Id="rId1373" Type="http://schemas.openxmlformats.org/officeDocument/2006/relationships/hyperlink" Target="http://www.boxofficemojo.com/schedule/?view=bydate&amp;release=theatrical&amp;date=2016-06-10&amp;p=.htm" TargetMode="External"/><Relationship Id="rId1374" Type="http://schemas.openxmlformats.org/officeDocument/2006/relationships/hyperlink" Target="http://www.boxofficemojo.com/movies/?id=mykingmonroi.htm" TargetMode="External"/><Relationship Id="rId1375" Type="http://schemas.openxmlformats.org/officeDocument/2006/relationships/hyperlink" Target="http://www.boxofficemojo.com/studio/chart/?studio=filmmovement.htm" TargetMode="External"/><Relationship Id="rId1376" Type="http://schemas.openxmlformats.org/officeDocument/2006/relationships/hyperlink" Target="http://www.boxofficemojo.com/schedule/?view=bydate&amp;release=theatrical&amp;date=2016-08-12&amp;p=.htm" TargetMode="External"/><Relationship Id="rId1377" Type="http://schemas.openxmlformats.org/officeDocument/2006/relationships/hyperlink" Target="http://www.boxofficemojo.com/movies/?id=inavalleyofviolence.htm" TargetMode="External"/><Relationship Id="rId1378" Type="http://schemas.openxmlformats.org/officeDocument/2006/relationships/hyperlink" Target="http://www.boxofficemojo.com/studio/chart/?studio=focusworld.htm" TargetMode="External"/><Relationship Id="rId1379" Type="http://schemas.openxmlformats.org/officeDocument/2006/relationships/hyperlink" Target="http://www.boxofficemojo.com/schedule/?view=bydate&amp;release=theatrical&amp;date=2016-10-21&amp;p=.htm" TargetMode="External"/><Relationship Id="rId1764" Type="http://schemas.openxmlformats.org/officeDocument/2006/relationships/hyperlink" Target="http://www.boxofficemojo.com/movies/?id=peterandthefarm.htm" TargetMode="External"/><Relationship Id="rId1765" Type="http://schemas.openxmlformats.org/officeDocument/2006/relationships/hyperlink" Target="http://www.boxofficemojo.com/studio/chart/?studio=magnolia.htm" TargetMode="External"/><Relationship Id="rId1766" Type="http://schemas.openxmlformats.org/officeDocument/2006/relationships/hyperlink" Target="http://www.boxofficemojo.com/schedule/?view=bydate&amp;release=theatrical&amp;date=2016-11-04&amp;p=.htm" TargetMode="External"/><Relationship Id="rId1767" Type="http://schemas.openxmlformats.org/officeDocument/2006/relationships/hyperlink" Target="http://www.boxofficemojo.com/movies/?id=harrybenson.htm" TargetMode="External"/><Relationship Id="rId1768" Type="http://schemas.openxmlformats.org/officeDocument/2006/relationships/hyperlink" Target="http://www.boxofficemojo.com/studio/chart/?studio=magnolia.htm" TargetMode="External"/><Relationship Id="rId1769" Type="http://schemas.openxmlformats.org/officeDocument/2006/relationships/hyperlink" Target="http://www.boxofficemojo.com/schedule/?view=bydate&amp;release=theatrical&amp;date=2016-12-09&amp;p=.htm" TargetMode="External"/><Relationship Id="rId2060" Type="http://schemas.openxmlformats.org/officeDocument/2006/relationships/hyperlink" Target="http://www.boxofficemojo.com/schedule/?view=bydate&amp;release=theatrical&amp;date=2016-05-19&amp;p=.htm" TargetMode="External"/><Relationship Id="rId2061" Type="http://schemas.openxmlformats.org/officeDocument/2006/relationships/hyperlink" Target="http://www.boxofficemojo.com/movies/?id=callherapplebroog.htm" TargetMode="External"/><Relationship Id="rId2062" Type="http://schemas.openxmlformats.org/officeDocument/2006/relationships/hyperlink" Target="http://www.boxofficemojo.com/studio/chart/?studio=zeitgeist.htm" TargetMode="External"/><Relationship Id="rId2063" Type="http://schemas.openxmlformats.org/officeDocument/2006/relationships/hyperlink" Target="http://www.boxofficemojo.com/schedule/?view=bydate&amp;release=theatrical&amp;date=2016-06-10&amp;p=.htm" TargetMode="External"/><Relationship Id="rId2064" Type="http://schemas.openxmlformats.org/officeDocument/2006/relationships/hyperlink" Target="http://www.boxofficemojo.com/movies/?id=marinoni.htm" TargetMode="External"/><Relationship Id="rId2065" Type="http://schemas.openxmlformats.org/officeDocument/2006/relationships/hyperlink" Target="http://www.boxofficemojo.com/studio/chart/?studio=firstrun.htm" TargetMode="External"/><Relationship Id="rId2066" Type="http://schemas.openxmlformats.org/officeDocument/2006/relationships/hyperlink" Target="http://www.boxofficemojo.com/schedule/?view=bydate&amp;release=theatrical&amp;date=2016-04-01&amp;p=.htm" TargetMode="External"/><Relationship Id="rId2067" Type="http://schemas.openxmlformats.org/officeDocument/2006/relationships/hyperlink" Target="http://www.boxofficemojo.com/movies/?id=bloodonthemountain.htm" TargetMode="External"/><Relationship Id="rId2068" Type="http://schemas.openxmlformats.org/officeDocument/2006/relationships/hyperlink" Target="http://www.boxofficemojo.com/studio/chart/?studio=abramorama.htm" TargetMode="External"/><Relationship Id="rId2069" Type="http://schemas.openxmlformats.org/officeDocument/2006/relationships/hyperlink" Target="http://www.boxofficemojo.com/schedule/?view=bydate&amp;release=theatrical&amp;date=2016-11-18&amp;p=.htm" TargetMode="External"/><Relationship Id="rId900" Type="http://schemas.openxmlformats.org/officeDocument/2006/relationships/hyperlink" Target="http://www.boxofficemojo.com/movies/?id=thewastedtimes.htm" TargetMode="External"/><Relationship Id="rId901" Type="http://schemas.openxmlformats.org/officeDocument/2006/relationships/hyperlink" Target="http://www.boxofficemojo.com/studio/chart/?studio=chinalion.htm" TargetMode="External"/><Relationship Id="rId902" Type="http://schemas.openxmlformats.org/officeDocument/2006/relationships/hyperlink" Target="http://www.boxofficemojo.com/schedule/?view=bydate&amp;release=theatrical&amp;date=2016-12-16&amp;p=.htm" TargetMode="External"/><Relationship Id="rId903" Type="http://schemas.openxmlformats.org/officeDocument/2006/relationships/hyperlink" Target="http://www.boxofficemojo.com/movies/?id=thelobstercanada.htm" TargetMode="External"/><Relationship Id="rId904" Type="http://schemas.openxmlformats.org/officeDocument/2006/relationships/hyperlink" Target="http://www.boxofficemojo.com/studio/chart/?studio=mongrel.htm" TargetMode="External"/><Relationship Id="rId905" Type="http://schemas.openxmlformats.org/officeDocument/2006/relationships/hyperlink" Target="http://www.boxofficemojo.com/schedule/?view=bydate&amp;release=theatrical&amp;date=2016-03-25&amp;p=.htm" TargetMode="External"/><Relationship Id="rId906" Type="http://schemas.openxmlformats.org/officeDocument/2006/relationships/hyperlink" Target="http://www.boxofficemojo.com/movies/?id=mrdonkey.htm" TargetMode="External"/><Relationship Id="rId907" Type="http://schemas.openxmlformats.org/officeDocument/2006/relationships/hyperlink" Target="http://www.boxofficemojo.com/studio/chart/?studio=chinalion.htm" TargetMode="External"/><Relationship Id="rId120" Type="http://schemas.openxmlformats.org/officeDocument/2006/relationships/hyperlink" Target="http://www.boxofficemojo.com/movies/?id=alice2.htm" TargetMode="External"/><Relationship Id="rId121" Type="http://schemas.openxmlformats.org/officeDocument/2006/relationships/hyperlink" Target="http://www.boxofficemojo.com/studio/chart/?studio=buenavista.htm" TargetMode="External"/><Relationship Id="rId122" Type="http://schemas.openxmlformats.org/officeDocument/2006/relationships/hyperlink" Target="http://www.boxofficemojo.com/schedule/?view=bydate&amp;release=theatrical&amp;date=2016-05-27&amp;p=.htm" TargetMode="External"/><Relationship Id="rId123" Type="http://schemas.openxmlformats.org/officeDocument/2006/relationships/hyperlink" Target="http://www.boxofficemojo.com/movies/?id=petesdragon2016.htm" TargetMode="External"/><Relationship Id="rId124" Type="http://schemas.openxmlformats.org/officeDocument/2006/relationships/hyperlink" Target="http://www.boxofficemojo.com/studio/chart/?studio=buenavista.htm" TargetMode="External"/><Relationship Id="rId125" Type="http://schemas.openxmlformats.org/officeDocument/2006/relationships/hyperlink" Target="http://www.boxofficemojo.com/schedule/?view=bydate&amp;release=theatrical&amp;date=2016-08-12&amp;p=.htm" TargetMode="External"/><Relationship Id="rId126" Type="http://schemas.openxmlformats.org/officeDocument/2006/relationships/hyperlink" Target="http://www.boxofficemojo.com/movies/?id=thegirlonthetrain2016.htm" TargetMode="External"/><Relationship Id="rId127" Type="http://schemas.openxmlformats.org/officeDocument/2006/relationships/hyperlink" Target="http://www.boxofficemojo.com/studio/chart/?studio=universal.htm" TargetMode="External"/><Relationship Id="rId128" Type="http://schemas.openxmlformats.org/officeDocument/2006/relationships/hyperlink" Target="http://www.boxofficemojo.com/schedule/?view=bydate&amp;release=theatrical&amp;date=2016-10-07&amp;p=.htm" TargetMode="External"/><Relationship Id="rId129" Type="http://schemas.openxmlformats.org/officeDocument/2006/relationships/hyperlink" Target="http://www.boxofficemojo.com/movies/?id=booamadeahalloween.htm" TargetMode="External"/><Relationship Id="rId908" Type="http://schemas.openxmlformats.org/officeDocument/2006/relationships/hyperlink" Target="http://www.boxofficemojo.com/schedule/?view=bydate&amp;release=theatrical&amp;date=2016-10-28&amp;p=.htm" TargetMode="External"/><Relationship Id="rId909" Type="http://schemas.openxmlformats.org/officeDocument/2006/relationships/hyperlink" Target="http://www.boxofficemojo.com/movies/?id=eatthatquestion.htm" TargetMode="External"/><Relationship Id="rId510" Type="http://schemas.openxmlformats.org/officeDocument/2006/relationships/hyperlink" Target="http://www.boxofficemojo.com/movies/?id=maxsteel.htm" TargetMode="External"/><Relationship Id="rId511" Type="http://schemas.openxmlformats.org/officeDocument/2006/relationships/hyperlink" Target="http://www.boxofficemojo.com/studio/chart/?studio=openroads.htm" TargetMode="External"/><Relationship Id="rId512" Type="http://schemas.openxmlformats.org/officeDocument/2006/relationships/hyperlink" Target="http://www.boxofficemojo.com/schedule/?view=bydate&amp;release=theatrical&amp;date=2016-10-14&amp;p=.htm" TargetMode="External"/><Relationship Id="rId513" Type="http://schemas.openxmlformats.org/officeDocument/2006/relationships/hyperlink" Target="http://www.boxofficemojo.com/movies/?id=batmankillingjoke.htm" TargetMode="External"/><Relationship Id="rId514" Type="http://schemas.openxmlformats.org/officeDocument/2006/relationships/hyperlink" Target="http://www.boxofficemojo.com/studio/chart/?studio=fathom.htm" TargetMode="External"/><Relationship Id="rId515" Type="http://schemas.openxmlformats.org/officeDocument/2006/relationships/hyperlink" Target="http://www.boxofficemojo.com/schedule/?view=bydate&amp;release=theatrical&amp;date=2016-07-25&amp;p=.htm" TargetMode="External"/><Relationship Id="rId516" Type="http://schemas.openxmlformats.org/officeDocument/2006/relationships/hyperlink" Target="http://www.boxofficemojo.com/movies/?id=amonstercalls.htm" TargetMode="External"/><Relationship Id="rId517" Type="http://schemas.openxmlformats.org/officeDocument/2006/relationships/hyperlink" Target="http://www.boxofficemojo.com/studio/chart/?studio=focus.htm" TargetMode="External"/><Relationship Id="rId518" Type="http://schemas.openxmlformats.org/officeDocument/2006/relationships/hyperlink" Target="http://www.boxofficemojo.com/schedule/?view=bydate&amp;release=theatrical&amp;date=2016-12-23&amp;p=.htm" TargetMode="External"/><Relationship Id="rId519" Type="http://schemas.openxmlformats.org/officeDocument/2006/relationships/hyperlink" Target="http://www.boxofficemojo.com/movies/?id=midnightspecial.htm" TargetMode="External"/><Relationship Id="rId1770" Type="http://schemas.openxmlformats.org/officeDocument/2006/relationships/hyperlink" Target="http://www.boxofficemojo.com/movies/?id=abitofbadluck.htm" TargetMode="External"/><Relationship Id="rId1771" Type="http://schemas.openxmlformats.org/officeDocument/2006/relationships/hyperlink" Target="http://www.boxofficemojo.com/studio/chart/?studio=indican.htm" TargetMode="External"/><Relationship Id="rId1772" Type="http://schemas.openxmlformats.org/officeDocument/2006/relationships/hyperlink" Target="http://www.boxofficemojo.com/schedule/?view=bydate&amp;release=theatrical&amp;date=2016-05-13&amp;p=.htm" TargetMode="External"/><Relationship Id="rId1773" Type="http://schemas.openxmlformats.org/officeDocument/2006/relationships/hyperlink" Target="http://www.boxofficemojo.com/movies/?id=wildflower.htm" TargetMode="External"/><Relationship Id="rId1380" Type="http://schemas.openxmlformats.org/officeDocument/2006/relationships/hyperlink" Target="http://www.boxofficemojo.com/movies/?id=highstrung2016.htm" TargetMode="External"/><Relationship Id="rId1381" Type="http://schemas.openxmlformats.org/officeDocument/2006/relationships/hyperlink" Target="http://www.boxofficemojo.com/studio/chart/?studio=paladin.htm" TargetMode="External"/><Relationship Id="rId1382" Type="http://schemas.openxmlformats.org/officeDocument/2006/relationships/hyperlink" Target="http://www.boxofficemojo.com/schedule/?view=bydate&amp;release=theatrical&amp;date=2016-04-08&amp;p=.htm" TargetMode="External"/><Relationship Id="rId1383" Type="http://schemas.openxmlformats.org/officeDocument/2006/relationships/hyperlink" Target="http://www.boxofficemojo.com/movies/?id=theclub.htm" TargetMode="External"/><Relationship Id="rId1384" Type="http://schemas.openxmlformats.org/officeDocument/2006/relationships/hyperlink" Target="http://www.boxofficemojo.com/studio/chart/?studio=musicboxfilms.htm" TargetMode="External"/><Relationship Id="rId1385" Type="http://schemas.openxmlformats.org/officeDocument/2006/relationships/hyperlink" Target="http://www.boxofficemojo.com/schedule/?view=bydate&amp;release=theatrical&amp;date=2016-02-05&amp;p=.htm" TargetMode="External"/><Relationship Id="rId1386" Type="http://schemas.openxmlformats.org/officeDocument/2006/relationships/hyperlink" Target="http://www.boxofficemojo.com/movies/?id=being17.htm" TargetMode="External"/><Relationship Id="rId1387" Type="http://schemas.openxmlformats.org/officeDocument/2006/relationships/hyperlink" Target="http://www.boxofficemojo.com/studio/chart/?studio=strand.htm" TargetMode="External"/><Relationship Id="rId1388" Type="http://schemas.openxmlformats.org/officeDocument/2006/relationships/hyperlink" Target="http://www.boxofficemojo.com/schedule/?view=bydate&amp;release=theatrical&amp;date=2016-10-07&amp;p=.htm" TargetMode="External"/><Relationship Id="rId1389" Type="http://schemas.openxmlformats.org/officeDocument/2006/relationships/hyperlink" Target="http://www.boxofficemojo.com/movies/?id=thelastmanonthemoon.htm" TargetMode="External"/><Relationship Id="rId1774" Type="http://schemas.openxmlformats.org/officeDocument/2006/relationships/hyperlink" Target="http://www.boxofficemojo.com/studio/chart/?studio=canzion.htm" TargetMode="External"/><Relationship Id="rId1775" Type="http://schemas.openxmlformats.org/officeDocument/2006/relationships/hyperlink" Target="http://www.boxofficemojo.com/schedule/?view=bydate&amp;release=theatrical&amp;date=2016-10-20&amp;p=.htm" TargetMode="External"/><Relationship Id="rId1776" Type="http://schemas.openxmlformats.org/officeDocument/2006/relationships/hyperlink" Target="http://www.boxofficemojo.com/movies/?id=holyhell.htm" TargetMode="External"/><Relationship Id="rId1777" Type="http://schemas.openxmlformats.org/officeDocument/2006/relationships/hyperlink" Target="http://www.boxofficemojo.com/studio/chart/?studio=wra.htm" TargetMode="External"/><Relationship Id="rId1778" Type="http://schemas.openxmlformats.org/officeDocument/2006/relationships/hyperlink" Target="http://www.boxofficemojo.com/schedule/?view=bydate&amp;release=theatrical&amp;date=2016-05-27&amp;p=.htm" TargetMode="External"/><Relationship Id="rId1779" Type="http://schemas.openxmlformats.org/officeDocument/2006/relationships/hyperlink" Target="http://www.boxofficemojo.com/movies/?id=iknewherwell.htm" TargetMode="External"/><Relationship Id="rId2070" Type="http://schemas.openxmlformats.org/officeDocument/2006/relationships/hyperlink" Target="http://www.boxofficemojo.com/movies/?id=swornvirgin.htm" TargetMode="External"/><Relationship Id="rId2071" Type="http://schemas.openxmlformats.org/officeDocument/2006/relationships/hyperlink" Target="http://www.boxofficemojo.com/studio/chart/?studio=strand.htm" TargetMode="External"/><Relationship Id="rId2072" Type="http://schemas.openxmlformats.org/officeDocument/2006/relationships/hyperlink" Target="http://www.boxofficemojo.com/schedule/?view=bydate&amp;release=theatrical&amp;date=2016-04-22&amp;p=.htm" TargetMode="External"/><Relationship Id="rId2073" Type="http://schemas.openxmlformats.org/officeDocument/2006/relationships/hyperlink" Target="http://www.boxofficemojo.com/movies/?id=missstevens.htm" TargetMode="External"/><Relationship Id="rId2074" Type="http://schemas.openxmlformats.org/officeDocument/2006/relationships/hyperlink" Target="http://www.boxofficemojo.com/studio/chart/?studio=orchard.htm" TargetMode="External"/><Relationship Id="rId2075" Type="http://schemas.openxmlformats.org/officeDocument/2006/relationships/hyperlink" Target="http://www.boxofficemojo.com/schedule/?view=bydate&amp;release=theatrical&amp;date=2016-09-16&amp;p=.htm" TargetMode="External"/><Relationship Id="rId2076" Type="http://schemas.openxmlformats.org/officeDocument/2006/relationships/hyperlink" Target="http://www.boxofficemojo.com/movies/?id=automatichate.htm" TargetMode="External"/><Relationship Id="rId2077" Type="http://schemas.openxmlformats.org/officeDocument/2006/relationships/hyperlink" Target="http://www.boxofficemojo.com/studio/chart/?studio=filmmovement.htm" TargetMode="External"/><Relationship Id="rId2078" Type="http://schemas.openxmlformats.org/officeDocument/2006/relationships/hyperlink" Target="http://www.boxofficemojo.com/schedule/?view=bydate&amp;release=theatrical&amp;date=2016-03-11&amp;p=.htm" TargetMode="External"/><Relationship Id="rId2079" Type="http://schemas.openxmlformats.org/officeDocument/2006/relationships/hyperlink" Target="http://www.boxofficemojo.com/movies/?id=searchparty.htm" TargetMode="External"/><Relationship Id="rId910" Type="http://schemas.openxmlformats.org/officeDocument/2006/relationships/hyperlink" Target="http://www.boxofficemojo.com/studio/chart/?studio=sonyclassics.htm" TargetMode="External"/><Relationship Id="rId911" Type="http://schemas.openxmlformats.org/officeDocument/2006/relationships/hyperlink" Target="http://www.boxofficemojo.com/schedule/?view=bydate&amp;release=theatrical&amp;date=2016-06-24&amp;p=.htm" TargetMode="External"/><Relationship Id="rId912" Type="http://schemas.openxmlformats.org/officeDocument/2006/relationships/hyperlink" Target="http://www.boxofficemojo.com/movies/?id=happybhaagjayegi.htm" TargetMode="External"/><Relationship Id="rId913" Type="http://schemas.openxmlformats.org/officeDocument/2006/relationships/hyperlink" Target="http://www.boxofficemojo.com/studio/chart/?studio=eros.htm" TargetMode="External"/><Relationship Id="rId914" Type="http://schemas.openxmlformats.org/officeDocument/2006/relationships/hyperlink" Target="http://www.boxofficemojo.com/schedule/?view=bydate&amp;release=theatrical&amp;date=2016-08-19&amp;p=.htm" TargetMode="External"/><Relationship Id="rId915" Type="http://schemas.openxmlformats.org/officeDocument/2006/relationships/hyperlink" Target="http://www.boxofficemojo.com/movies/?id=kahaani2.htm" TargetMode="External"/><Relationship Id="rId916" Type="http://schemas.openxmlformats.org/officeDocument/2006/relationships/hyperlink" Target="http://www.boxofficemojo.com/studio/chart/?studio=eros.htm" TargetMode="External"/><Relationship Id="rId917" Type="http://schemas.openxmlformats.org/officeDocument/2006/relationships/hyperlink" Target="http://www.boxofficemojo.com/schedule/?view=bydate&amp;release=theatrical&amp;date=2016-12-02&amp;p=.htm" TargetMode="External"/><Relationship Id="rId130" Type="http://schemas.openxmlformats.org/officeDocument/2006/relationships/hyperlink" Target="http://www.boxofficemojo.com/studio/chart/?studio=lionsgate.htm" TargetMode="External"/><Relationship Id="rId131" Type="http://schemas.openxmlformats.org/officeDocument/2006/relationships/hyperlink" Target="http://www.boxofficemojo.com/schedule/?view=bydate&amp;release=theatrical&amp;date=2016-10-21&amp;p=.htm" TargetMode="External"/><Relationship Id="rId132" Type="http://schemas.openxmlformats.org/officeDocument/2006/relationships/hyperlink" Target="http://www.boxofficemojo.com/movies/?id=storks.htm" TargetMode="External"/><Relationship Id="rId133" Type="http://schemas.openxmlformats.org/officeDocument/2006/relationships/hyperlink" Target="http://www.boxofficemojo.com/studio/chart/?studio=warnerbros.htm" TargetMode="External"/><Relationship Id="rId134" Type="http://schemas.openxmlformats.org/officeDocument/2006/relationships/hyperlink" Target="http://www.boxofficemojo.com/schedule/?view=bydate&amp;release=theatrical&amp;date=2016-09-23&amp;p=.htm" TargetMode="External"/><Relationship Id="rId135" Type="http://schemas.openxmlformats.org/officeDocument/2006/relationships/hyperlink" Target="http://www.boxofficemojo.com/movies/?id=badrobot2016.htm" TargetMode="External"/><Relationship Id="rId136" Type="http://schemas.openxmlformats.org/officeDocument/2006/relationships/hyperlink" Target="http://www.boxofficemojo.com/studio/chart/?studio=paramount.htm" TargetMode="External"/><Relationship Id="rId137" Type="http://schemas.openxmlformats.org/officeDocument/2006/relationships/hyperlink" Target="http://www.boxofficemojo.com/schedule/?view=bydate&amp;release=theatrical&amp;date=2016-03-11&amp;p=.htm" TargetMode="External"/><Relationship Id="rId138" Type="http://schemas.openxmlformats.org/officeDocument/2006/relationships/hyperlink" Target="http://www.boxofficemojo.com/movies/?id=newline0116.htm" TargetMode="External"/><Relationship Id="rId139" Type="http://schemas.openxmlformats.org/officeDocument/2006/relationships/hyperlink" Target="http://www.boxofficemojo.com/studio/chart/?studio=wb-newline.htm" TargetMode="External"/><Relationship Id="rId918" Type="http://schemas.openxmlformats.org/officeDocument/2006/relationships/hyperlink" Target="http://www.boxofficemojo.com/movies/?id=lord2016.htm" TargetMode="External"/><Relationship Id="rId919" Type="http://schemas.openxmlformats.org/officeDocument/2006/relationships/hyperlink" Target="http://www.boxofficemojo.com/studio/chart/?studio=asiareleasing.htm" TargetMode="External"/><Relationship Id="rId520" Type="http://schemas.openxmlformats.org/officeDocument/2006/relationships/hyperlink" Target="http://www.boxofficemojo.com/studio/chart/?studio=warnerbros.htm" TargetMode="External"/><Relationship Id="rId521" Type="http://schemas.openxmlformats.org/officeDocument/2006/relationships/hyperlink" Target="http://www.boxofficemojo.com/schedule/?view=bydate&amp;release=theatrical&amp;date=2016-03-18&amp;p=.htm" TargetMode="External"/><Relationship Id="rId522" Type="http://schemas.openxmlformats.org/officeDocument/2006/relationships/hyperlink" Target="http://www.boxofficemojo.com/movies/?id=rulesdontapply.htm" TargetMode="External"/><Relationship Id="rId523" Type="http://schemas.openxmlformats.org/officeDocument/2006/relationships/hyperlink" Target="http://www.boxofficemojo.com/studio/chart/?studio=fox.htm" TargetMode="External"/><Relationship Id="rId524" Type="http://schemas.openxmlformats.org/officeDocument/2006/relationships/hyperlink" Target="http://www.boxofficemojo.com/schedule/?view=bydate&amp;release=theatrical&amp;date=2016-11-23&amp;p=.htm" TargetMode="External"/><Relationship Id="rId525" Type="http://schemas.openxmlformats.org/officeDocument/2006/relationships/hyperlink" Target="http://www.boxofficemojo.com/movies/?id=misssloane.htm" TargetMode="External"/><Relationship Id="rId526" Type="http://schemas.openxmlformats.org/officeDocument/2006/relationships/hyperlink" Target="http://www.boxofficemojo.com/studio/chart/?studio=europacorp.htm" TargetMode="External"/><Relationship Id="rId527" Type="http://schemas.openxmlformats.org/officeDocument/2006/relationships/hyperlink" Target="http://www.boxofficemojo.com/schedule/?view=bydate&amp;release=theatrical&amp;date=2016-11-25&amp;p=.htm" TargetMode="External"/><Relationship Id="rId528" Type="http://schemas.openxmlformats.org/officeDocument/2006/relationships/hyperlink" Target="http://www.boxofficemojo.com/movies/?id=amancalledove.htm" TargetMode="External"/><Relationship Id="rId529" Type="http://schemas.openxmlformats.org/officeDocument/2006/relationships/hyperlink" Target="http://www.boxofficemojo.com/studio/chart/?studio=musicboxfilms.htm" TargetMode="External"/><Relationship Id="rId1780" Type="http://schemas.openxmlformats.org/officeDocument/2006/relationships/hyperlink" Target="http://www.boxofficemojo.com/studio/chart/?studio=janusfilms.htm" TargetMode="External"/><Relationship Id="rId1781" Type="http://schemas.openxmlformats.org/officeDocument/2006/relationships/hyperlink" Target="http://www.boxofficemojo.com/schedule/?view=bydate&amp;release=theatrical&amp;date=2016-02-05&amp;p=.htm" TargetMode="External"/><Relationship Id="rId1782" Type="http://schemas.openxmlformats.org/officeDocument/2006/relationships/hyperlink" Target="http://www.boxofficemojo.com/movies/?id=mengotobattle.htm" TargetMode="External"/><Relationship Id="rId1783" Type="http://schemas.openxmlformats.org/officeDocument/2006/relationships/hyperlink" Target="http://www.boxofficemojo.com/studio/chart/?studio=filmmovement.htm" TargetMode="External"/><Relationship Id="rId1390" Type="http://schemas.openxmlformats.org/officeDocument/2006/relationships/hyperlink" Target="http://www.boxofficemojo.com/studio/chart/?studio=gravitas.htm" TargetMode="External"/><Relationship Id="rId1391" Type="http://schemas.openxmlformats.org/officeDocument/2006/relationships/hyperlink" Target="http://www.boxofficemojo.com/schedule/?view=bydate&amp;release=theatrical&amp;date=2016-02-26&amp;p=.htm" TargetMode="External"/><Relationship Id="rId1392" Type="http://schemas.openxmlformats.org/officeDocument/2006/relationships/hyperlink" Target="http://www.boxofficemojo.com/movies/?id=myannoyingbrother.htm" TargetMode="External"/><Relationship Id="rId1393" Type="http://schemas.openxmlformats.org/officeDocument/2006/relationships/hyperlink" Target="http://www.boxofficemojo.com/studio/chart/?studio=cjentertainment.htm" TargetMode="External"/><Relationship Id="rId1394" Type="http://schemas.openxmlformats.org/officeDocument/2006/relationships/hyperlink" Target="http://www.boxofficemojo.com/schedule/?view=bydate&amp;release=theatrical&amp;date=2016-12-23&amp;p=.htm" TargetMode="External"/><Relationship Id="rId1395" Type="http://schemas.openxmlformats.org/officeDocument/2006/relationships/hyperlink" Target="http://www.boxofficemojo.com/movies/?id=cemeteryofsplendor.htm" TargetMode="External"/><Relationship Id="rId1396" Type="http://schemas.openxmlformats.org/officeDocument/2006/relationships/hyperlink" Target="http://www.boxofficemojo.com/studio/chart/?studio=strand.htm" TargetMode="External"/><Relationship Id="rId1397" Type="http://schemas.openxmlformats.org/officeDocument/2006/relationships/hyperlink" Target="http://www.boxofficemojo.com/schedule/?view=bydate&amp;release=theatrical&amp;date=2016-03-04&amp;p=.htm" TargetMode="External"/><Relationship Id="rId1398" Type="http://schemas.openxmlformats.org/officeDocument/2006/relationships/hyperlink" Target="http://www.boxofficemojo.com/movies/?id=disorder.htm" TargetMode="External"/><Relationship Id="rId1399" Type="http://schemas.openxmlformats.org/officeDocument/2006/relationships/hyperlink" Target="http://www.boxofficemojo.com/studio/chart/?studio=ifc.htm" TargetMode="External"/><Relationship Id="rId1784" Type="http://schemas.openxmlformats.org/officeDocument/2006/relationships/hyperlink" Target="http://www.boxofficemojo.com/schedule/?view=bydate&amp;release=theatrical&amp;date=2016-07-08&amp;p=.htm" TargetMode="External"/><Relationship Id="rId1785" Type="http://schemas.openxmlformats.org/officeDocument/2006/relationships/hyperlink" Target="http://www.boxofficemojo.com/movies/?id=howhefellinlove.htm" TargetMode="External"/><Relationship Id="rId1786" Type="http://schemas.openxmlformats.org/officeDocument/2006/relationships/hyperlink" Target="http://www.boxofficemojo.com/studio/chart/?studio=orion.htm" TargetMode="External"/><Relationship Id="rId1787" Type="http://schemas.openxmlformats.org/officeDocument/2006/relationships/hyperlink" Target="http://www.boxofficemojo.com/schedule/?view=bydate&amp;release=theatrical&amp;date=2016-07-08&amp;p=.htm" TargetMode="External"/><Relationship Id="rId1788" Type="http://schemas.openxmlformats.org/officeDocument/2006/relationships/hyperlink" Target="http://www.boxofficemojo.com/movies/?id=streits.htm" TargetMode="External"/><Relationship Id="rId1789" Type="http://schemas.openxmlformats.org/officeDocument/2006/relationships/hyperlink" Target="http://www.boxofficemojo.com/studio/chart/?studio=menemsha.htm" TargetMode="External"/><Relationship Id="rId2080" Type="http://schemas.openxmlformats.org/officeDocument/2006/relationships/hyperlink" Target="http://www.boxofficemojo.com/studio/chart/?studio=focusworld.htm" TargetMode="External"/><Relationship Id="rId2081" Type="http://schemas.openxmlformats.org/officeDocument/2006/relationships/hyperlink" Target="http://www.boxofficemojo.com/schedule/?view=bydate&amp;release=theatrical&amp;date=2016-05-13&amp;p=.htm" TargetMode="External"/><Relationship Id="rId2082" Type="http://schemas.openxmlformats.org/officeDocument/2006/relationships/hyperlink" Target="http://www.boxofficemojo.com/movies/?id=synchronicity.htm" TargetMode="External"/><Relationship Id="rId2083" Type="http://schemas.openxmlformats.org/officeDocument/2006/relationships/hyperlink" Target="http://www.boxofficemojo.com/studio/chart/?studio=magnolia.htm" TargetMode="External"/><Relationship Id="rId2084" Type="http://schemas.openxmlformats.org/officeDocument/2006/relationships/hyperlink" Target="http://www.boxofficemojo.com/schedule/?view=bydate&amp;release=theatrical&amp;date=2016-01-22&amp;p=.htm" TargetMode="External"/><Relationship Id="rId2085" Type="http://schemas.openxmlformats.org/officeDocument/2006/relationships/hyperlink" Target="http://www.boxofficemojo.com/movies/?id=onmeditation.htm" TargetMode="External"/><Relationship Id="rId2086" Type="http://schemas.openxmlformats.org/officeDocument/2006/relationships/hyperlink" Target="http://www.boxofficemojo.com/studio/chart/?studio=kinolorber.htm" TargetMode="External"/><Relationship Id="rId2087" Type="http://schemas.openxmlformats.org/officeDocument/2006/relationships/hyperlink" Target="http://www.boxofficemojo.com/schedule/?view=bydate&amp;release=theatrical&amp;date=2016-07-27&amp;p=.htm" TargetMode="External"/><Relationship Id="rId2088" Type="http://schemas.openxmlformats.org/officeDocument/2006/relationships/hyperlink" Target="http://www.boxofficemojo.com/movies/?id=autoshopofhorrors.htm" TargetMode="External"/><Relationship Id="rId2089" Type="http://schemas.openxmlformats.org/officeDocument/2006/relationships/hyperlink" Target="http://www.boxofficemojo.com/studio/chart/?studio=drivingwithoureyesshut.htm" TargetMode="External"/><Relationship Id="rId1" Type="http://schemas.openxmlformats.org/officeDocument/2006/relationships/hyperlink" Target="http://www.boxofficemojo.com/yearly/chart/?view=releasedate&amp;view2=domestic&amp;yr=2016&amp;sort=gross&amp;order=ASC&amp;p=.htm" TargetMode="External"/><Relationship Id="rId2" Type="http://schemas.openxmlformats.org/officeDocument/2006/relationships/hyperlink" Target="http://www.boxofficemojo.com/yearly/chart/?view=releasedate&amp;view2=domestic&amp;yr=2016&amp;sort=title&amp;order=ASC&amp;p=.htm" TargetMode="External"/><Relationship Id="rId3" Type="http://schemas.openxmlformats.org/officeDocument/2006/relationships/hyperlink" Target="http://www.boxofficemojo.com/yearly/chart/?view=releasedate&amp;view2=domestic&amp;yr=2016&amp;sort=studio&amp;order=ASC&amp;p=.htm" TargetMode="External"/><Relationship Id="rId920" Type="http://schemas.openxmlformats.org/officeDocument/2006/relationships/hyperlink" Target="http://www.boxofficemojo.com/schedule/?view=bydate&amp;release=theatrical&amp;date=2016-09-30&amp;p=.htm" TargetMode="External"/><Relationship Id="rId921" Type="http://schemas.openxmlformats.org/officeDocument/2006/relationships/hyperlink" Target="http://www.boxofficemojo.com/movies/?id=highrise.htm" TargetMode="External"/><Relationship Id="rId922" Type="http://schemas.openxmlformats.org/officeDocument/2006/relationships/hyperlink" Target="http://www.boxofficemojo.com/studio/chart/?studio=magnolia.htm" TargetMode="External"/><Relationship Id="rId923" Type="http://schemas.openxmlformats.org/officeDocument/2006/relationships/hyperlink" Target="http://www.boxofficemojo.com/schedule/?view=bydate&amp;release=theatrical&amp;date=2016-05-13&amp;p=.htm" TargetMode="External"/><Relationship Id="rId924" Type="http://schemas.openxmlformats.org/officeDocument/2006/relationships/hyperlink" Target="http://www.boxofficemojo.com/movies/?id=te3n.htm" TargetMode="External"/><Relationship Id="rId925" Type="http://schemas.openxmlformats.org/officeDocument/2006/relationships/hyperlink" Target="http://www.boxofficemojo.com/studio/chart/?studio=reliance.htm" TargetMode="External"/><Relationship Id="rId926" Type="http://schemas.openxmlformats.org/officeDocument/2006/relationships/hyperlink" Target="http://www.boxofficemojo.com/schedule/?view=bydate&amp;release=theatrical&amp;date=2016-06-10&amp;p=.htm" TargetMode="External"/><Relationship Id="rId927" Type="http://schemas.openxmlformats.org/officeDocument/2006/relationships/hyperlink" Target="http://www.boxofficemojo.com/movies/?id=kaashmora.htm" TargetMode="External"/><Relationship Id="rId140" Type="http://schemas.openxmlformats.org/officeDocument/2006/relationships/hyperlink" Target="http://www.boxofficemojo.com/schedule/?view=bydate&amp;release=theatrical&amp;date=2016-07-22&amp;p=.htm" TargetMode="External"/><Relationship Id="rId141" Type="http://schemas.openxmlformats.org/officeDocument/2006/relationships/hyperlink" Target="http://www.boxofficemojo.com/movies/?id=hacksawridge.htm" TargetMode="External"/><Relationship Id="rId142" Type="http://schemas.openxmlformats.org/officeDocument/2006/relationships/hyperlink" Target="http://www.boxofficemojo.com/studio/chart/?studio=lionsgate.htm" TargetMode="External"/><Relationship Id="rId143" Type="http://schemas.openxmlformats.org/officeDocument/2006/relationships/hyperlink" Target="http://www.boxofficemojo.com/schedule/?view=bydate&amp;release=theatrical&amp;date=2016-11-04&amp;p=.htm" TargetMode="External"/><Relationship Id="rId144" Type="http://schemas.openxmlformats.org/officeDocument/2006/relationships/hyperlink" Target="http://www.boxofficemojo.com/movies/?id=allegiant.htm" TargetMode="External"/><Relationship Id="rId145" Type="http://schemas.openxmlformats.org/officeDocument/2006/relationships/hyperlink" Target="http://www.boxofficemojo.com/studio/chart/?studio=lionsgatesummit.htm" TargetMode="External"/><Relationship Id="rId146" Type="http://schemas.openxmlformats.org/officeDocument/2006/relationships/hyperlink" Target="http://www.boxofficemojo.com/schedule/?view=bydate&amp;release=theatrical&amp;date=2016-03-18&amp;p=.htm" TargetMode="External"/><Relationship Id="rId147" Type="http://schemas.openxmlformats.org/officeDocument/2006/relationships/hyperlink" Target="http://www.boxofficemojo.com/movies/?id=nowyouseeme2.htm" TargetMode="External"/><Relationship Id="rId148" Type="http://schemas.openxmlformats.org/officeDocument/2006/relationships/hyperlink" Target="http://www.boxofficemojo.com/studio/chart/?studio=lionsgatesummit.htm" TargetMode="External"/><Relationship Id="rId149" Type="http://schemas.openxmlformats.org/officeDocument/2006/relationships/hyperlink" Target="http://www.boxofficemojo.com/schedule/?view=bydate&amp;release=theatrical&amp;date=2016-06-10&amp;p=.htm" TargetMode="External"/><Relationship Id="rId928" Type="http://schemas.openxmlformats.org/officeDocument/2006/relationships/hyperlink" Target="http://www.boxofficemojo.com/studio/chart/?studio=cinegalaxy.htm" TargetMode="External"/><Relationship Id="rId929" Type="http://schemas.openxmlformats.org/officeDocument/2006/relationships/hyperlink" Target="http://www.boxofficemojo.com/schedule/?view=bydate&amp;release=theatrical&amp;date=2016-10-28&amp;p=.htm" TargetMode="External"/><Relationship Id="rId530" Type="http://schemas.openxmlformats.org/officeDocument/2006/relationships/hyperlink" Target="http://www.boxofficemojo.com/schedule/?view=bydate&amp;release=theatrical&amp;date=2016-09-30&amp;p=.htm" TargetMode="External"/><Relationship Id="rId531" Type="http://schemas.openxmlformats.org/officeDocument/2006/relationships/hyperlink" Target="http://www.boxofficemojo.com/movies/?id=indignation.htm" TargetMode="External"/><Relationship Id="rId532" Type="http://schemas.openxmlformats.org/officeDocument/2006/relationships/hyperlink" Target="http://www.boxofficemojo.com/studio/chart/?studio=roadsideattractions.htm" TargetMode="External"/><Relationship Id="rId533" Type="http://schemas.openxmlformats.org/officeDocument/2006/relationships/hyperlink" Target="http://www.boxofficemojo.com/schedule/?view=bydate&amp;release=theatrical&amp;date=2016-07-29&amp;p=.htm" TargetMode="External"/><Relationship Id="rId534" Type="http://schemas.openxmlformats.org/officeDocument/2006/relationships/hyperlink" Target="http://www.boxofficemojo.com/movies/?id=smoker.htm" TargetMode="External"/><Relationship Id="rId535" Type="http://schemas.openxmlformats.org/officeDocument/2006/relationships/hyperlink" Target="http://www.boxofficemojo.com/studio/chart/?studio=paramount.htm" TargetMode="External"/><Relationship Id="rId536" Type="http://schemas.openxmlformats.org/officeDocument/2006/relationships/hyperlink" Target="http://www.boxofficemojo.com/schedule/?view=bydate&amp;release=theatrical&amp;date=2016-03-30&amp;p=.htm" TargetMode="External"/><Relationship Id="rId537" Type="http://schemas.openxmlformats.org/officeDocument/2006/relationships/hyperlink" Target="http://www.boxofficemojo.com/movies/?id=maggiesplan.htm" TargetMode="External"/><Relationship Id="rId538" Type="http://schemas.openxmlformats.org/officeDocument/2006/relationships/hyperlink" Target="http://www.boxofficemojo.com/studio/chart/?studio=sonyclassics.htm" TargetMode="External"/><Relationship Id="rId539" Type="http://schemas.openxmlformats.org/officeDocument/2006/relationships/hyperlink" Target="http://www.boxofficemojo.com/schedule/?view=bydate&amp;release=theatrical&amp;date=2016-05-20&amp;p=.htm" TargetMode="External"/><Relationship Id="rId4" Type="http://schemas.openxmlformats.org/officeDocument/2006/relationships/hyperlink" Target="http://www.boxofficemojo.com/yearly/chart/?view=releasedate&amp;view2=domestic&amp;yr=2016&amp;sort=open&amp;order=DESC&amp;p=.htm" TargetMode="External"/><Relationship Id="rId5" Type="http://schemas.openxmlformats.org/officeDocument/2006/relationships/hyperlink" Target="http://www.boxofficemojo.com/yearly/chart/?view=releasedate&amp;view2=domestic&amp;yr=2016&amp;sort=close&amp;order=DESC&amp;p=.htm" TargetMode="External"/><Relationship Id="rId6" Type="http://schemas.openxmlformats.org/officeDocument/2006/relationships/hyperlink" Target="http://www.boxofficemojo.com/movies/?id=starwars2016.htm" TargetMode="External"/><Relationship Id="rId7" Type="http://schemas.openxmlformats.org/officeDocument/2006/relationships/hyperlink" Target="http://www.boxofficemojo.com/studio/chart/?studio=buenavista.htm" TargetMode="External"/><Relationship Id="rId8" Type="http://schemas.openxmlformats.org/officeDocument/2006/relationships/hyperlink" Target="http://www.boxofficemojo.com/schedule/?view=bydate&amp;release=theatrical&amp;date=2016-12-16&amp;p=.htm" TargetMode="External"/><Relationship Id="rId9" Type="http://schemas.openxmlformats.org/officeDocument/2006/relationships/hyperlink" Target="http://www.boxofficemojo.com/movies/?id=pixar2015.htm" TargetMode="External"/><Relationship Id="rId1790" Type="http://schemas.openxmlformats.org/officeDocument/2006/relationships/hyperlink" Target="http://www.boxofficemojo.com/schedule/?view=bydate&amp;release=theatrical&amp;date=2016-04-20&amp;p=.htm" TargetMode="External"/><Relationship Id="rId1791" Type="http://schemas.openxmlformats.org/officeDocument/2006/relationships/hyperlink" Target="http://www.boxofficemojo.com/movies/?id=landfillharmonic.htm" TargetMode="External"/><Relationship Id="rId1792" Type="http://schemas.openxmlformats.org/officeDocument/2006/relationships/hyperlink" Target="http://www.boxofficemojo.com/studio/chart/?studio=filmcollaborative.htm" TargetMode="External"/><Relationship Id="rId1793" Type="http://schemas.openxmlformats.org/officeDocument/2006/relationships/hyperlink" Target="http://www.boxofficemojo.com/schedule/?view=bydate&amp;release=theatrical&amp;date=2016-09-09&amp;p=.htm" TargetMode="External"/><Relationship Id="rId1794" Type="http://schemas.openxmlformats.org/officeDocument/2006/relationships/hyperlink" Target="http://www.boxofficemojo.com/movies/?id=alwaysshine.htm" TargetMode="External"/><Relationship Id="rId1795" Type="http://schemas.openxmlformats.org/officeDocument/2006/relationships/hyperlink" Target="http://www.boxofficemojo.com/studio/chart/?studio=oscilloscopepictures.htm" TargetMode="External"/><Relationship Id="rId1796" Type="http://schemas.openxmlformats.org/officeDocument/2006/relationships/hyperlink" Target="http://www.boxofficemojo.com/schedule/?view=bydate&amp;release=theatrical&amp;date=2016-11-25&amp;p=.htm" TargetMode="External"/><Relationship Id="rId1797" Type="http://schemas.openxmlformats.org/officeDocument/2006/relationships/hyperlink" Target="http://www.boxofficemojo.com/movies/?id=onthemap.htm" TargetMode="External"/><Relationship Id="rId1798" Type="http://schemas.openxmlformats.org/officeDocument/2006/relationships/hyperlink" Target="http://www.boxofficemojo.com/studio/chart/?studio=heyjudeproductions.htm" TargetMode="External"/><Relationship Id="rId1799" Type="http://schemas.openxmlformats.org/officeDocument/2006/relationships/hyperlink" Target="http://www.boxofficemojo.com/schedule/?view=bydate&amp;release=theatrical&amp;date=2016-11-25&amp;p=.htm" TargetMode="External"/><Relationship Id="rId2090" Type="http://schemas.openxmlformats.org/officeDocument/2006/relationships/hyperlink" Target="http://www.boxofficemojo.com/schedule/?view=bydate&amp;release=theatrical&amp;date=2016-09-23&amp;p=.htm" TargetMode="External"/><Relationship Id="rId2091" Type="http://schemas.openxmlformats.org/officeDocument/2006/relationships/hyperlink" Target="http://www.boxofficemojo.com/movies/?id=maximumride.htm" TargetMode="External"/><Relationship Id="rId2092" Type="http://schemas.openxmlformats.org/officeDocument/2006/relationships/hyperlink" Target="http://www.boxofficemojo.com/studio/chart/?studio=" TargetMode="External"/><Relationship Id="rId2093" Type="http://schemas.openxmlformats.org/officeDocument/2006/relationships/hyperlink" Target="http://www.boxofficemojo.com/schedule/?view=bydate&amp;release=theatrical&amp;date=2016-09-30&amp;p=.htm" TargetMode="External"/><Relationship Id="rId2094" Type="http://schemas.openxmlformats.org/officeDocument/2006/relationships/hyperlink" Target="http://www.boxofficemojo.com/movies/?id=breakingamonster.htm" TargetMode="External"/><Relationship Id="rId2095" Type="http://schemas.openxmlformats.org/officeDocument/2006/relationships/hyperlink" Target="http://www.boxofficemojo.com/studio/chart/?studio=abramorama.htm" TargetMode="External"/><Relationship Id="rId2096" Type="http://schemas.openxmlformats.org/officeDocument/2006/relationships/hyperlink" Target="http://www.boxofficemojo.com/schedule/?view=bydate&amp;release=theatrical&amp;date=2016-06-24&amp;p=.htm" TargetMode="External"/><Relationship Id="rId2097" Type="http://schemas.openxmlformats.org/officeDocument/2006/relationships/hyperlink" Target="http://www.boxofficemojo.com/movies/?id=amongthebelievers.htm" TargetMode="External"/><Relationship Id="rId2098" Type="http://schemas.openxmlformats.org/officeDocument/2006/relationships/hyperlink" Target="http://www.boxofficemojo.com/studio/chart/?studio=firstrun.htm" TargetMode="External"/><Relationship Id="rId2099" Type="http://schemas.openxmlformats.org/officeDocument/2006/relationships/hyperlink" Target="http://www.boxofficemojo.com/schedule/?view=bydate&amp;release=theatrical&amp;date=2016-09-30&amp;p=.htm" TargetMode="External"/><Relationship Id="rId1000" Type="http://schemas.openxmlformats.org/officeDocument/2006/relationships/hyperlink" Target="http://www.boxofficemojo.com/studio/chart/?studio=fip.htm" TargetMode="External"/><Relationship Id="rId1001" Type="http://schemas.openxmlformats.org/officeDocument/2006/relationships/hyperlink" Target="http://www.boxofficemojo.com/schedule/?view=bydate&amp;release=theatrical&amp;date=2016-09-02&amp;p=.htm" TargetMode="External"/><Relationship Id="rId1002" Type="http://schemas.openxmlformats.org/officeDocument/2006/relationships/hyperlink" Target="http://www.boxofficemojo.com/movies/?id=homannjahaan.htm" TargetMode="External"/><Relationship Id="rId1003" Type="http://schemas.openxmlformats.org/officeDocument/2006/relationships/hyperlink" Target="http://www.boxofficemojo.com/studio/chart/?studio=eros.htm" TargetMode="External"/><Relationship Id="rId930" Type="http://schemas.openxmlformats.org/officeDocument/2006/relationships/hyperlink" Target="http://www.boxofficemojo.com/movies/?id=thebounceback.htm" TargetMode="External"/><Relationship Id="rId931" Type="http://schemas.openxmlformats.org/officeDocument/2006/relationships/hyperlink" Target="http://www.boxofficemojo.com/studio/chart/?studio=vivapictures.htm" TargetMode="External"/><Relationship Id="rId932" Type="http://schemas.openxmlformats.org/officeDocument/2006/relationships/hyperlink" Target="http://www.boxofficemojo.com/schedule/?view=bydate&amp;release=theatrical&amp;date=2016-12-09&amp;p=.htm" TargetMode="External"/><Relationship Id="rId933" Type="http://schemas.openxmlformats.org/officeDocument/2006/relationships/hyperlink" Target="http://www.boxofficemojo.com/movies/?id=amerigeddon.htm" TargetMode="External"/><Relationship Id="rId934" Type="http://schemas.openxmlformats.org/officeDocument/2006/relationships/hyperlink" Target="http://www.boxofficemojo.com/studio/chart/?studio=forewarned.htm" TargetMode="External"/><Relationship Id="rId935" Type="http://schemas.openxmlformats.org/officeDocument/2006/relationships/hyperlink" Target="http://www.boxofficemojo.com/schedule/?view=bydate&amp;release=theatrical&amp;date=2016-05-13&amp;p=.htm" TargetMode="External"/><Relationship Id="rId936" Type="http://schemas.openxmlformats.org/officeDocument/2006/relationships/hyperlink" Target="http://www.boxofficemojo.com/movies/?id=francofonia.htm" TargetMode="External"/><Relationship Id="rId937" Type="http://schemas.openxmlformats.org/officeDocument/2006/relationships/hyperlink" Target="http://www.boxofficemojo.com/studio/chart/?studio=musicboxfilms.htm" TargetMode="External"/><Relationship Id="rId150" Type="http://schemas.openxmlformats.org/officeDocument/2006/relationships/hyperlink" Target="http://www.boxofficemojo.com/movies/?id=iceage5.htm" TargetMode="External"/><Relationship Id="rId151" Type="http://schemas.openxmlformats.org/officeDocument/2006/relationships/hyperlink" Target="http://www.boxofficemojo.com/studio/chart/?studio=fox.htm" TargetMode="External"/><Relationship Id="rId152" Type="http://schemas.openxmlformats.org/officeDocument/2006/relationships/hyperlink" Target="http://www.boxofficemojo.com/schedule/?view=bydate&amp;release=theatrical&amp;date=2016-07-22&amp;p=.htm" TargetMode="External"/><Relationship Id="rId153" Type="http://schemas.openxmlformats.org/officeDocument/2006/relationships/hyperlink" Target="http://www.boxofficemojo.com/movies/?id=michelledarnell.htm" TargetMode="External"/><Relationship Id="rId154" Type="http://schemas.openxmlformats.org/officeDocument/2006/relationships/hyperlink" Target="http://www.boxofficemojo.com/studio/chart/?studio=universal.htm" TargetMode="External"/><Relationship Id="rId155" Type="http://schemas.openxmlformats.org/officeDocument/2006/relationships/hyperlink" Target="http://www.boxofficemojo.com/schedule/?view=bydate&amp;release=theatrical&amp;date=2016-04-08&amp;p=.htm" TargetMode="External"/><Relationship Id="rId156" Type="http://schemas.openxmlformats.org/officeDocument/2006/relationships/hyperlink" Target="http://www.boxofficemojo.com/movies/?id=londonhasfallen.htm" TargetMode="External"/><Relationship Id="rId157" Type="http://schemas.openxmlformats.org/officeDocument/2006/relationships/hyperlink" Target="http://www.boxofficemojo.com/studio/chart/?studio=focus.htm" TargetMode="External"/><Relationship Id="rId158" Type="http://schemas.openxmlformats.org/officeDocument/2006/relationships/hyperlink" Target="http://www.boxofficemojo.com/schedule/?view=bydate&amp;release=theatrical&amp;date=2016-03-04&amp;p=.htm" TargetMode="External"/><Relationship Id="rId159" Type="http://schemas.openxmlformats.org/officeDocument/2006/relationships/hyperlink" Target="http://www.boxofficemojo.com/movies/?id=miraclesfromheaven.htm" TargetMode="External"/><Relationship Id="rId938" Type="http://schemas.openxmlformats.org/officeDocument/2006/relationships/hyperlink" Target="http://www.boxofficemojo.com/schedule/?view=bydate&amp;release=theatrical&amp;date=2016-04-01&amp;p=.htm" TargetMode="External"/><Relationship Id="rId939" Type="http://schemas.openxmlformats.org/officeDocument/2006/relationships/hyperlink" Target="http://www.boxofficemojo.com/movies/?id=miamadre.htm" TargetMode="External"/><Relationship Id="rId1004" Type="http://schemas.openxmlformats.org/officeDocument/2006/relationships/hyperlink" Target="http://www.boxofficemojo.com/schedule/?view=bydate&amp;release=theatrical&amp;date=2016-01-01&amp;p=.htm" TargetMode="External"/><Relationship Id="rId1005" Type="http://schemas.openxmlformats.org/officeDocument/2006/relationships/hyperlink" Target="http://www.boxofficemojo.com/movies/?id=seedtheuntoldstory.htm" TargetMode="External"/><Relationship Id="rId1006" Type="http://schemas.openxmlformats.org/officeDocument/2006/relationships/hyperlink" Target="http://www.boxofficemojo.com/studio/chart/?studio=collectiveeye.htm" TargetMode="External"/><Relationship Id="rId1007" Type="http://schemas.openxmlformats.org/officeDocument/2006/relationships/hyperlink" Target="http://www.boxofficemojo.com/schedule/?view=bydate&amp;release=theatrical&amp;date=2016-08-22&amp;p=.htm" TargetMode="External"/><Relationship Id="rId1008" Type="http://schemas.openxmlformats.org/officeDocument/2006/relationships/hyperlink" Target="http://www.boxofficemojo.com/movies/?id=kaptaan.htm" TargetMode="External"/><Relationship Id="rId1009" Type="http://schemas.openxmlformats.org/officeDocument/2006/relationships/hyperlink" Target="http://www.boxofficemojo.com/studio/chart/?studio=utv.htm" TargetMode="External"/><Relationship Id="rId540" Type="http://schemas.openxmlformats.org/officeDocument/2006/relationships/hyperlink" Target="http://www.boxofficemojo.com/movies/?id=singstreet.htm" TargetMode="External"/><Relationship Id="rId541" Type="http://schemas.openxmlformats.org/officeDocument/2006/relationships/hyperlink" Target="http://www.boxofficemojo.com/studio/chart/?studio=weinsteincompany.htm" TargetMode="External"/><Relationship Id="rId542" Type="http://schemas.openxmlformats.org/officeDocument/2006/relationships/hyperlink" Target="http://www.boxofficemojo.com/schedule/?view=bydate&amp;release=theatrical&amp;date=2016-04-15&amp;p=.htm" TargetMode="External"/><Relationship Id="rId543" Type="http://schemas.openxmlformats.org/officeDocument/2006/relationships/hyperlink" Target="http://www.boxofficemojo.com/movies/?id=mermaid2016.htm" TargetMode="External"/><Relationship Id="rId544" Type="http://schemas.openxmlformats.org/officeDocument/2006/relationships/hyperlink" Target="http://www.boxofficemojo.com/studio/chart/?studio=sony.htm" TargetMode="External"/><Relationship Id="rId545" Type="http://schemas.openxmlformats.org/officeDocument/2006/relationships/hyperlink" Target="http://www.boxofficemojo.com/schedule/?view=bydate&amp;release=theatrical&amp;date=2016-02-19&amp;p=.htm" TargetMode="External"/><Relationship Id="rId546" Type="http://schemas.openxmlformats.org/officeDocument/2006/relationships/hyperlink" Target="http://www.boxofficemojo.com/movies/?id=greenroom.htm" TargetMode="External"/><Relationship Id="rId547" Type="http://schemas.openxmlformats.org/officeDocument/2006/relationships/hyperlink" Target="http://www.boxofficemojo.com/studio/chart/?studio=a24.htm" TargetMode="External"/><Relationship Id="rId548" Type="http://schemas.openxmlformats.org/officeDocument/2006/relationships/hyperlink" Target="http://www.boxofficemojo.com/schedule/?view=bydate&amp;release=theatrical&amp;date=2016-04-15&amp;p=.htm" TargetMode="External"/><Relationship Id="rId549" Type="http://schemas.openxmlformats.org/officeDocument/2006/relationships/hyperlink" Target="http://www.boxofficemojo.com/movies/?id=theeaglehuntress.htm" TargetMode="External"/><Relationship Id="rId1400" Type="http://schemas.openxmlformats.org/officeDocument/2006/relationships/hyperlink" Target="http://www.boxofficemojo.com/schedule/?view=bydate&amp;release=theatrical&amp;date=2016-08-12&amp;p=.htm" TargetMode="External"/><Relationship Id="rId1401" Type="http://schemas.openxmlformats.org/officeDocument/2006/relationships/hyperlink" Target="http://www.boxofficemojo.com/movies/?id=intheshadowofwomen.htm" TargetMode="External"/><Relationship Id="rId1402" Type="http://schemas.openxmlformats.org/officeDocument/2006/relationships/hyperlink" Target="http://www.boxofficemojo.com/studio/chart/?studio=distribfilms.htm" TargetMode="External"/><Relationship Id="rId1403" Type="http://schemas.openxmlformats.org/officeDocument/2006/relationships/hyperlink" Target="http://www.boxofficemojo.com/schedule/?view=bydate&amp;release=theatrical&amp;date=2016-01-15&amp;p=.htm" TargetMode="External"/><Relationship Id="rId1404" Type="http://schemas.openxmlformats.org/officeDocument/2006/relationships/hyperlink" Target="http://www.boxofficemojo.com/movies/?id=bastilleday.htm" TargetMode="External"/><Relationship Id="rId1405" Type="http://schemas.openxmlformats.org/officeDocument/2006/relationships/hyperlink" Target="http://www.boxofficemojo.com/studio/chart/?studio=hightop.htm" TargetMode="External"/><Relationship Id="rId1406" Type="http://schemas.openxmlformats.org/officeDocument/2006/relationships/hyperlink" Target="http://www.boxofficemojo.com/schedule/?view=bydate&amp;release=theatrical&amp;date=2016-11-18&amp;p=.htm" TargetMode="External"/><Relationship Id="rId1407" Type="http://schemas.openxmlformats.org/officeDocument/2006/relationships/hyperlink" Target="http://www.boxofficemojo.com/movies/?id=inorderofdisappearance.htm" TargetMode="External"/><Relationship Id="rId1408" Type="http://schemas.openxmlformats.org/officeDocument/2006/relationships/hyperlink" Target="http://www.boxofficemojo.com/studio/chart/?studio=magnolia.htm" TargetMode="External"/><Relationship Id="rId1409" Type="http://schemas.openxmlformats.org/officeDocument/2006/relationships/hyperlink" Target="http://www.boxofficemojo.com/schedule/?view=bydate&amp;release=theatrical&amp;date=2016-08-26&amp;p=.htm" TargetMode="External"/><Relationship Id="rId940" Type="http://schemas.openxmlformats.org/officeDocument/2006/relationships/hyperlink" Target="http://www.boxofficemojo.com/studio/chart/?studio=musicboxfilms.htm" TargetMode="External"/><Relationship Id="rId941" Type="http://schemas.openxmlformats.org/officeDocument/2006/relationships/hyperlink" Target="http://www.boxofficemojo.com/schedule/?view=bydate&amp;release=theatrical&amp;date=2016-08-26&amp;p=.htm" TargetMode="External"/><Relationship Id="rId942" Type="http://schemas.openxmlformats.org/officeDocument/2006/relationships/hyperlink" Target="http://www.boxofficemojo.com/movies/?id=christine201).htm" TargetMode="External"/><Relationship Id="rId943" Type="http://schemas.openxmlformats.org/officeDocument/2006/relationships/hyperlink" Target="http://www.boxofficemojo.com/studio/chart/?studio=orchard.htm" TargetMode="External"/><Relationship Id="rId944" Type="http://schemas.openxmlformats.org/officeDocument/2006/relationships/hyperlink" Target="http://www.boxofficemojo.com/schedule/?view=bydate&amp;release=theatrical&amp;date=2016-10-14&amp;p=.htm" TargetMode="External"/><Relationship Id="rId945" Type="http://schemas.openxmlformats.org/officeDocument/2006/relationships/hyperlink" Target="http://www.boxofficemojo.com/movies/?id=aprilandtheextraordinaryworld.htm" TargetMode="External"/><Relationship Id="rId160" Type="http://schemas.openxmlformats.org/officeDocument/2006/relationships/hyperlink" Target="http://www.boxofficemojo.com/studio/chart/?studio=tristar.htm" TargetMode="External"/><Relationship Id="rId161" Type="http://schemas.openxmlformats.org/officeDocument/2006/relationships/hyperlink" Target="http://www.boxofficemojo.com/schedule/?view=bydate&amp;release=theatrical&amp;date=2016-03-16&amp;p=.htm" TargetMode="External"/><Relationship Id="rId162" Type="http://schemas.openxmlformats.org/officeDocument/2006/relationships/hyperlink" Target="http://www.boxofficemojo.com/movies/?id=deepwaterhorizon.htm" TargetMode="External"/><Relationship Id="rId163" Type="http://schemas.openxmlformats.org/officeDocument/2006/relationships/hyperlink" Target="http://www.boxofficemojo.com/studio/chart/?studio=lionsgatesummit.htm" TargetMode="External"/><Relationship Id="rId164" Type="http://schemas.openxmlformats.org/officeDocument/2006/relationships/hyperlink" Target="http://www.boxofficemojo.com/schedule/?view=bydate&amp;release=theatrical&amp;date=2016-09-30&amp;p=.htm" TargetMode="External"/><Relationship Id="rId165" Type="http://schemas.openxmlformats.org/officeDocument/2006/relationships/hyperlink" Target="http://www.boxofficemojo.com/movies/?id=whyhim.htm" TargetMode="External"/><Relationship Id="rId166" Type="http://schemas.openxmlformats.org/officeDocument/2006/relationships/hyperlink" Target="http://www.boxofficemojo.com/studio/chart/?studio=fox.htm" TargetMode="External"/><Relationship Id="rId167" Type="http://schemas.openxmlformats.org/officeDocument/2006/relationships/hyperlink" Target="http://www.boxofficemojo.com/schedule/?view=bydate&amp;release=theatrical&amp;date=2016-12-23&amp;p=.htm" TargetMode="External"/><Relationship Id="rId168" Type="http://schemas.openxmlformats.org/officeDocument/2006/relationships/hyperlink" Target="http://www.boxofficemojo.com/movies/?id=mybigfatgreekwedding2.htm" TargetMode="External"/><Relationship Id="rId169" Type="http://schemas.openxmlformats.org/officeDocument/2006/relationships/hyperlink" Target="http://www.boxofficemojo.com/studio/chart/?studio=universal.htm" TargetMode="External"/><Relationship Id="rId946" Type="http://schemas.openxmlformats.org/officeDocument/2006/relationships/hyperlink" Target="http://www.boxofficemojo.com/studio/chart/?studio=gkids.htm" TargetMode="External"/><Relationship Id="rId947" Type="http://schemas.openxmlformats.org/officeDocument/2006/relationships/hyperlink" Target="http://www.boxofficemojo.com/schedule/?view=bydate&amp;release=theatrical&amp;date=2016-03-25&amp;p=.htm" TargetMode="External"/><Relationship Id="rId948" Type="http://schemas.openxmlformats.org/officeDocument/2006/relationships/hyperlink" Target="http://www.boxofficemojo.com/movies/?id=ixcanul.htm" TargetMode="External"/><Relationship Id="rId949" Type="http://schemas.openxmlformats.org/officeDocument/2006/relationships/hyperlink" Target="http://www.boxofficemojo.com/studio/chart/?studio=kinolorber.htm" TargetMode="External"/><Relationship Id="rId1010" Type="http://schemas.openxmlformats.org/officeDocument/2006/relationships/hyperlink" Target="http://www.boxofficemojo.com/schedule/?view=bydate&amp;release=theatrical&amp;date=2016-05-20&amp;p=.htm" TargetMode="External"/><Relationship Id="rId1011" Type="http://schemas.openxmlformats.org/officeDocument/2006/relationships/hyperlink" Target="http://www.boxofficemojo.com/movies/?id=elclan.htm" TargetMode="External"/><Relationship Id="rId1012" Type="http://schemas.openxmlformats.org/officeDocument/2006/relationships/hyperlink" Target="http://www.boxofficemojo.com/studio/chart/?studio=fip.htm" TargetMode="External"/><Relationship Id="rId1013" Type="http://schemas.openxmlformats.org/officeDocument/2006/relationships/hyperlink" Target="http://www.boxofficemojo.com/schedule/?view=bydate&amp;release=theatrical&amp;date=2016-03-18&amp;p=.htm" TargetMode="External"/><Relationship Id="rId1014" Type="http://schemas.openxmlformats.org/officeDocument/2006/relationships/hyperlink" Target="http://www.boxofficemojo.com/movies/?id=whitegirl.htm" TargetMode="External"/><Relationship Id="rId1015" Type="http://schemas.openxmlformats.org/officeDocument/2006/relationships/hyperlink" Target="http://www.boxofficemojo.com/studio/chart/?studio=filmrise.htm" TargetMode="External"/><Relationship Id="rId1016" Type="http://schemas.openxmlformats.org/officeDocument/2006/relationships/hyperlink" Target="http://www.boxofficemojo.com/schedule/?view=bydate&amp;release=theatrical&amp;date=2016-09-02&amp;p=.htm" TargetMode="External"/><Relationship Id="rId1017" Type="http://schemas.openxmlformats.org/officeDocument/2006/relationships/hyperlink" Target="http://www.boxofficemojo.com/movies/?id=fallenidol2016.htm" TargetMode="External"/><Relationship Id="rId1018" Type="http://schemas.openxmlformats.org/officeDocument/2006/relationships/hyperlink" Target="http://www.boxofficemojo.com/studio/chart/?studio=rialto.htm" TargetMode="External"/><Relationship Id="rId1019" Type="http://schemas.openxmlformats.org/officeDocument/2006/relationships/hyperlink" Target="http://www.boxofficemojo.com/schedule/?view=bydate&amp;release=theatrical&amp;date=2016-05-27&amp;p=.htm" TargetMode="External"/><Relationship Id="rId550" Type="http://schemas.openxmlformats.org/officeDocument/2006/relationships/hyperlink" Target="http://www.boxofficemojo.com/studio/chart/?studio=sonyclassics.htm" TargetMode="External"/><Relationship Id="rId551" Type="http://schemas.openxmlformats.org/officeDocument/2006/relationships/hyperlink" Target="http://www.boxofficemojo.com/schedule/?view=bydate&amp;release=theatrical&amp;date=2016-11-02&amp;p=.htm" TargetMode="External"/><Relationship Id="rId552" Type="http://schemas.openxmlformats.org/officeDocument/2006/relationships/hyperlink" Target="http://www.boxofficemojo.com/movies/?id=ourkindoftraitor.htm" TargetMode="External"/><Relationship Id="rId553" Type="http://schemas.openxmlformats.org/officeDocument/2006/relationships/hyperlink" Target="http://www.boxofficemojo.com/studio/chart/?studio=roadsideattractions.htm" TargetMode="External"/><Relationship Id="rId554" Type="http://schemas.openxmlformats.org/officeDocument/2006/relationships/hyperlink" Target="http://www.boxofficemojo.com/schedule/?view=bydate&amp;release=theatrical&amp;date=2016-07-01&amp;p=.htm" TargetMode="External"/><Relationship Id="rId555" Type="http://schemas.openxmlformats.org/officeDocument/2006/relationships/hyperlink" Target="http://www.boxofficemojo.com/movies/?id=compadres.htm" TargetMode="External"/><Relationship Id="rId556" Type="http://schemas.openxmlformats.org/officeDocument/2006/relationships/hyperlink" Target="http://www.boxofficemojo.com/studio/chart/?studio=pantelion.htm" TargetMode="External"/><Relationship Id="rId557" Type="http://schemas.openxmlformats.org/officeDocument/2006/relationships/hyperlink" Target="http://www.boxofficemojo.com/schedule/?view=bydate&amp;release=theatrical&amp;date=2016-04-22&amp;p=.htm" TargetMode="External"/><Relationship Id="rId558" Type="http://schemas.openxmlformats.org/officeDocument/2006/relationships/hyperlink" Target="http://www.boxofficemojo.com/movies/?id=othersideofthedoor.htm" TargetMode="External"/><Relationship Id="rId559" Type="http://schemas.openxmlformats.org/officeDocument/2006/relationships/hyperlink" Target="http://www.boxofficemojo.com/studio/chart/?studio=fox.htm" TargetMode="External"/><Relationship Id="rId1800" Type="http://schemas.openxmlformats.org/officeDocument/2006/relationships/hyperlink" Target="http://www.boxofficemojo.com/movies/?id=tharlo.htm" TargetMode="External"/><Relationship Id="rId1801" Type="http://schemas.openxmlformats.org/officeDocument/2006/relationships/hyperlink" Target="http://www.boxofficemojo.com/studio/chart/?studio=icarus.htm" TargetMode="External"/><Relationship Id="rId1802" Type="http://schemas.openxmlformats.org/officeDocument/2006/relationships/hyperlink" Target="http://www.boxofficemojo.com/schedule/?view=bydate&amp;release=theatrical&amp;date=2016-09-28&amp;p=.htm" TargetMode="External"/><Relationship Id="rId1803" Type="http://schemas.openxmlformats.org/officeDocument/2006/relationships/hyperlink" Target="http://www.boxofficemojo.com/movies/?id=colonia.htm" TargetMode="External"/><Relationship Id="rId1410" Type="http://schemas.openxmlformats.org/officeDocument/2006/relationships/hyperlink" Target="http://www.boxofficemojo.com/movies/?id=thetreasure16.htm" TargetMode="External"/><Relationship Id="rId1411" Type="http://schemas.openxmlformats.org/officeDocument/2006/relationships/hyperlink" Target="http://www.boxofficemojo.com/studio/chart/?studio=sundanceselects.htm" TargetMode="External"/><Relationship Id="rId1412" Type="http://schemas.openxmlformats.org/officeDocument/2006/relationships/hyperlink" Target="http://www.boxofficemojo.com/schedule/?view=bydate&amp;release=theatrical&amp;date=2016-01-08&amp;p=.htm" TargetMode="External"/><Relationship Id="rId1413" Type="http://schemas.openxmlformats.org/officeDocument/2006/relationships/hyperlink" Target="http://www.boxofficemojo.com/movies/?id=fatima.htm" TargetMode="External"/><Relationship Id="rId1414" Type="http://schemas.openxmlformats.org/officeDocument/2006/relationships/hyperlink" Target="http://www.boxofficemojo.com/studio/chart/?studio=kinolorber.htm" TargetMode="External"/><Relationship Id="rId1415" Type="http://schemas.openxmlformats.org/officeDocument/2006/relationships/hyperlink" Target="http://www.boxofficemojo.com/schedule/?view=bydate&amp;release=theatrical&amp;date=2016-08-26&amp;p=.htm" TargetMode="External"/><Relationship Id="rId1416" Type="http://schemas.openxmlformats.org/officeDocument/2006/relationships/hyperlink" Target="http://www.boxofficemojo.com/movies/?id=mama2015.htm" TargetMode="External"/><Relationship Id="rId1417" Type="http://schemas.openxmlformats.org/officeDocument/2006/relationships/hyperlink" Target="http://www.boxofficemojo.com/studio/chart/?studio=oscilloscopepictures.htm" TargetMode="External"/><Relationship Id="rId1418" Type="http://schemas.openxmlformats.org/officeDocument/2006/relationships/hyperlink" Target="http://www.boxofficemojo.com/schedule/?view=bydate&amp;release=theatrical&amp;date=2016-05-20&amp;p=.htm" TargetMode="External"/><Relationship Id="rId1419" Type="http://schemas.openxmlformats.org/officeDocument/2006/relationships/hyperlink" Target="http://www.boxofficemojo.com/movies/?id=tanna.htm" TargetMode="External"/><Relationship Id="rId950" Type="http://schemas.openxmlformats.org/officeDocument/2006/relationships/hyperlink" Target="http://www.boxofficemojo.com/schedule/?view=bydate&amp;release=theatrical&amp;date=2016-04-09&amp;p=.htm" TargetMode="External"/><Relationship Id="rId951" Type="http://schemas.openxmlformats.org/officeDocument/2006/relationships/hyperlink" Target="http://www.boxofficemojo.com/movies/?id=peoplevsfritzbauer.htm" TargetMode="External"/><Relationship Id="rId952" Type="http://schemas.openxmlformats.org/officeDocument/2006/relationships/hyperlink" Target="http://www.boxofficemojo.com/studio/chart/?studio=cohenmedia.htm" TargetMode="External"/><Relationship Id="rId953" Type="http://schemas.openxmlformats.org/officeDocument/2006/relationships/hyperlink" Target="http://www.boxofficemojo.com/schedule/?view=bydate&amp;release=theatrical&amp;date=2016-08-19&amp;p=.htm" TargetMode="External"/><Relationship Id="rId954" Type="http://schemas.openxmlformats.org/officeDocument/2006/relationships/hyperlink" Target="http://www.boxofficemojo.com/movies/?id=aquarius.htm" TargetMode="External"/><Relationship Id="rId955" Type="http://schemas.openxmlformats.org/officeDocument/2006/relationships/hyperlink" Target="http://www.boxofficemojo.com/studio/chart/?studio=vitagraph.htm" TargetMode="External"/><Relationship Id="rId170" Type="http://schemas.openxmlformats.org/officeDocument/2006/relationships/hyperlink" Target="http://www.boxofficemojo.com/schedule/?view=bydate&amp;release=theatrical&amp;date=2016-03-25&amp;p=.htm" TargetMode="External"/><Relationship Id="rId171" Type="http://schemas.openxmlformats.org/officeDocument/2006/relationships/hyperlink" Target="http://www.boxofficemojo.com/movies/?id=jackreacher2.htm" TargetMode="External"/><Relationship Id="rId172" Type="http://schemas.openxmlformats.org/officeDocument/2006/relationships/hyperlink" Target="http://www.boxofficemojo.com/studio/chart/?studio=paramount.htm" TargetMode="External"/><Relationship Id="rId173" Type="http://schemas.openxmlformats.org/officeDocument/2006/relationships/hyperlink" Target="http://www.boxofficemojo.com/schedule/?view=bydate&amp;release=theatrical&amp;date=2016-10-21&amp;p=.htm" TargetMode="External"/><Relationship Id="rId174" Type="http://schemas.openxmlformats.org/officeDocument/2006/relationships/hyperlink" Target="http://www.boxofficemojo.com/movies/?id=fences.htm" TargetMode="External"/><Relationship Id="rId175" Type="http://schemas.openxmlformats.org/officeDocument/2006/relationships/hyperlink" Target="http://www.boxofficemojo.com/studio/chart/?studio=paramount.htm" TargetMode="External"/><Relationship Id="rId176" Type="http://schemas.openxmlformats.org/officeDocument/2006/relationships/hyperlink" Target="http://www.boxofficemojo.com/schedule/?view=bydate&amp;release=theatrical&amp;date=2016-12-16&amp;p=.htm" TargetMode="External"/><Relationship Id="rId177" Type="http://schemas.openxmlformats.org/officeDocument/2006/relationships/hyperlink" Target="http://www.boxofficemojo.com/movies/?id=mebeforeyou.htm" TargetMode="External"/><Relationship Id="rId178" Type="http://schemas.openxmlformats.org/officeDocument/2006/relationships/hyperlink" Target="http://www.boxofficemojo.com/studio/chart/?studio=wb-newline.htm" TargetMode="External"/><Relationship Id="rId179" Type="http://schemas.openxmlformats.org/officeDocument/2006/relationships/hyperlink" Target="http://www.boxofficemojo.com/schedule/?view=bydate&amp;release=theatrical&amp;date=2016-06-03&amp;p=.htm" TargetMode="External"/><Relationship Id="rId956" Type="http://schemas.openxmlformats.org/officeDocument/2006/relationships/hyperlink" Target="http://www.boxofficemojo.com/schedule/?view=bydate&amp;release=theatrical&amp;date=2016-10-14&amp;p=.htm" TargetMode="External"/><Relationship Id="rId957" Type="http://schemas.openxmlformats.org/officeDocument/2006/relationships/hyperlink" Target="http://www.boxofficemojo.com/movies/?id=kingsglaive.htm" TargetMode="External"/><Relationship Id="rId958" Type="http://schemas.openxmlformats.org/officeDocument/2006/relationships/hyperlink" Target="http://www.boxofficemojo.com/studio/chart/?studio=vertical.htm" TargetMode="External"/><Relationship Id="rId959" Type="http://schemas.openxmlformats.org/officeDocument/2006/relationships/hyperlink" Target="http://www.boxofficemojo.com/schedule/?view=bydate&amp;release=theatrical&amp;date=2016-08-19&amp;p=.htm" TargetMode="External"/><Relationship Id="rId1020" Type="http://schemas.openxmlformats.org/officeDocument/2006/relationships/hyperlink" Target="http://www.boxofficemojo.com/movies/?id=acompleteunknown.htm" TargetMode="External"/><Relationship Id="rId1021" Type="http://schemas.openxmlformats.org/officeDocument/2006/relationships/hyperlink" Target="http://www.boxofficemojo.com/studio/chart/?studio=ifc.htm" TargetMode="External"/><Relationship Id="rId1022" Type="http://schemas.openxmlformats.org/officeDocument/2006/relationships/hyperlink" Target="http://www.boxofficemojo.com/schedule/?view=bydate&amp;release=theatrical&amp;date=2016-08-26&amp;p=.htm" TargetMode="External"/><Relationship Id="rId1023" Type="http://schemas.openxmlformats.org/officeDocument/2006/relationships/hyperlink" Target="http://www.boxofficemojo.com/movies/?id=digimonadvtri.htm" TargetMode="External"/><Relationship Id="rId1024" Type="http://schemas.openxmlformats.org/officeDocument/2006/relationships/hyperlink" Target="http://www.boxofficemojo.com/studio/chart/?studio=elevenarts.htm" TargetMode="External"/><Relationship Id="rId1025" Type="http://schemas.openxmlformats.org/officeDocument/2006/relationships/hyperlink" Target="http://www.boxofficemojo.com/schedule/?view=bydate&amp;release=theatrical&amp;date=2016-09-15&amp;p=.htm" TargetMode="External"/><Relationship Id="rId1026" Type="http://schemas.openxmlformats.org/officeDocument/2006/relationships/hyperlink" Target="http://www.boxofficemojo.com/movies/?id=themaskedsaint.htm" TargetMode="External"/><Relationship Id="rId1027" Type="http://schemas.openxmlformats.org/officeDocument/2006/relationships/hyperlink" Target="http://www.boxofficemojo.com/studio/chart/?studio=fs.htm" TargetMode="External"/><Relationship Id="rId1028" Type="http://schemas.openxmlformats.org/officeDocument/2006/relationships/hyperlink" Target="http://www.boxofficemojo.com/schedule/?view=bydate&amp;release=theatrical&amp;date=2016-01-08&amp;p=.htm" TargetMode="External"/><Relationship Id="rId1029" Type="http://schemas.openxmlformats.org/officeDocument/2006/relationships/hyperlink" Target="http://www.boxofficemojo.com/movies/?id=leagueofgods.htm" TargetMode="External"/><Relationship Id="rId560" Type="http://schemas.openxmlformats.org/officeDocument/2006/relationships/hyperlink" Target="http://www.boxofficemojo.com/schedule/?view=bydate&amp;release=theatrical&amp;date=2016-03-04&amp;p=.htm" TargetMode="External"/><Relationship Id="rId561" Type="http://schemas.openxmlformats.org/officeDocument/2006/relationships/hyperlink" Target="http://www.boxofficemojo.com/movies/?id=anthropoid.htm" TargetMode="External"/><Relationship Id="rId562" Type="http://schemas.openxmlformats.org/officeDocument/2006/relationships/hyperlink" Target="http://www.boxofficemojo.com/studio/chart/?studio=bleeckerstreet.htm" TargetMode="External"/><Relationship Id="rId563" Type="http://schemas.openxmlformats.org/officeDocument/2006/relationships/hyperlink" Target="http://www.boxofficemojo.com/schedule/?view=bydate&amp;release=theatrical&amp;date=2016-08-12&amp;p=.htm" TargetMode="External"/><Relationship Id="rId564" Type="http://schemas.openxmlformats.org/officeDocument/2006/relationships/hyperlink" Target="http://www.boxofficemojo.com/movies/?id=beatleseightdaysaweek.htm" TargetMode="External"/><Relationship Id="rId565" Type="http://schemas.openxmlformats.org/officeDocument/2006/relationships/hyperlink" Target="http://www.boxofficemojo.com/studio/chart/?studio=abramorama.htm" TargetMode="External"/><Relationship Id="rId566" Type="http://schemas.openxmlformats.org/officeDocument/2006/relationships/hyperlink" Target="http://www.boxofficemojo.com/schedule/?view=bydate&amp;release=theatrical&amp;date=2016-09-15&amp;p=.htm" TargetMode="External"/><Relationship Id="rId567" Type="http://schemas.openxmlformats.org/officeDocument/2006/relationships/hyperlink" Target="http://www.boxofficemojo.com/movies/?id=2016oscarnominatedshortfilms.htm" TargetMode="External"/><Relationship Id="rId568" Type="http://schemas.openxmlformats.org/officeDocument/2006/relationships/hyperlink" Target="http://www.boxofficemojo.com/studio/chart/?studio=shortsinternational.htm" TargetMode="External"/><Relationship Id="rId569" Type="http://schemas.openxmlformats.org/officeDocument/2006/relationships/hyperlink" Target="http://www.boxofficemojo.com/schedule/?view=bydate&amp;release=theatrical&amp;date=2016-01-29&amp;p=.htm" TargetMode="External"/><Relationship Id="rId1804" Type="http://schemas.openxmlformats.org/officeDocument/2006/relationships/hyperlink" Target="http://www.boxofficemojo.com/studio/chart/?studio=screenmedia.htm" TargetMode="External"/><Relationship Id="rId1805" Type="http://schemas.openxmlformats.org/officeDocument/2006/relationships/hyperlink" Target="http://www.boxofficemojo.com/schedule/?view=bydate&amp;release=theatrical&amp;date=2016-04-15&amp;p=.htm" TargetMode="External"/><Relationship Id="rId1806" Type="http://schemas.openxmlformats.org/officeDocument/2006/relationships/hyperlink" Target="http://www.boxofficemojo.com/movies/?id=fivenightsinmaine.htm" TargetMode="External"/><Relationship Id="rId1807" Type="http://schemas.openxmlformats.org/officeDocument/2006/relationships/hyperlink" Target="http://www.boxofficemojo.com/studio/chart/?studio=filmrise.htm" TargetMode="External"/><Relationship Id="rId1808" Type="http://schemas.openxmlformats.org/officeDocument/2006/relationships/hyperlink" Target="http://www.boxofficemojo.com/schedule/?view=bydate&amp;release=theatrical&amp;date=2016-08-05&amp;p=.htm" TargetMode="External"/><Relationship Id="rId1809" Type="http://schemas.openxmlformats.org/officeDocument/2006/relationships/hyperlink" Target="http://www.boxofficemojo.com/movies/?id=besomebody.htm" TargetMode="External"/><Relationship Id="rId2100" Type="http://schemas.openxmlformats.org/officeDocument/2006/relationships/hyperlink" Target="http://www.boxofficemojo.com/movies/?id=thehollow.htm" TargetMode="External"/><Relationship Id="rId2101" Type="http://schemas.openxmlformats.org/officeDocument/2006/relationships/hyperlink" Target="http://www.boxofficemojo.com/studio/chart/?studio=uncorkd.htm" TargetMode="External"/><Relationship Id="rId2102" Type="http://schemas.openxmlformats.org/officeDocument/2006/relationships/hyperlink" Target="http://www.boxofficemojo.com/schedule/?view=bydate&amp;release=theatrical&amp;date=2016-10-07&amp;p=.htm" TargetMode="External"/><Relationship Id="rId2103" Type="http://schemas.openxmlformats.org/officeDocument/2006/relationships/hyperlink" Target="http://www.boxofficemojo.com/movies/?id=thelastfilmfestival.htm" TargetMode="External"/><Relationship Id="rId2104" Type="http://schemas.openxmlformats.org/officeDocument/2006/relationships/hyperlink" Target="http://www.boxofficemojo.com/studio/chart/?studio=montereymediainc.htm" TargetMode="External"/><Relationship Id="rId2105" Type="http://schemas.openxmlformats.org/officeDocument/2006/relationships/hyperlink" Target="http://www.boxofficemojo.com/schedule/?view=bydate&amp;release=theatrical&amp;date=2016-09-02&amp;p=.htm" TargetMode="External"/><Relationship Id="rId2106" Type="http://schemas.openxmlformats.org/officeDocument/2006/relationships/hyperlink" Target="http://www.boxofficemojo.com/movies/?id=lovingstory2016.htm" TargetMode="External"/><Relationship Id="rId2107" Type="http://schemas.openxmlformats.org/officeDocument/2006/relationships/hyperlink" Target="http://www.boxofficemojo.com/studio/chart/?studio=icarus.htm" TargetMode="External"/><Relationship Id="rId2108" Type="http://schemas.openxmlformats.org/officeDocument/2006/relationships/hyperlink" Target="http://www.boxofficemojo.com/schedule/?view=bydate&amp;release=theatrical&amp;date=2016-11-01&amp;p=.htm" TargetMode="External"/><Relationship Id="rId2109" Type="http://schemas.openxmlformats.org/officeDocument/2006/relationships/hyperlink" Target="http://www.boxofficemojo.com/movies/?id=restoredmemm.htm" TargetMode="External"/><Relationship Id="rId1810" Type="http://schemas.openxmlformats.org/officeDocument/2006/relationships/hyperlink" Target="http://www.boxofficemojo.com/studio/chart/?studio=" TargetMode="External"/><Relationship Id="rId1811" Type="http://schemas.openxmlformats.org/officeDocument/2006/relationships/hyperlink" Target="http://www.boxofficemojo.com/schedule/?view=bydate&amp;release=theatrical&amp;date=2016-06-10&amp;p=.htm" TargetMode="External"/><Relationship Id="rId1812" Type="http://schemas.openxmlformats.org/officeDocument/2006/relationships/hyperlink" Target="http://www.boxofficemojo.com/movies/?id=starcrossed.htm" TargetMode="External"/><Relationship Id="rId1813" Type="http://schemas.openxmlformats.org/officeDocument/2006/relationships/hyperlink" Target="http://www.boxofficemojo.com/studio/chart/?studio=indican.htm" TargetMode="External"/><Relationship Id="rId1420" Type="http://schemas.openxmlformats.org/officeDocument/2006/relationships/hyperlink" Target="http://www.boxofficemojo.com/studio/chart/?studio=lightyear.htm" TargetMode="External"/><Relationship Id="rId1421" Type="http://schemas.openxmlformats.org/officeDocument/2006/relationships/hyperlink" Target="http://www.boxofficemojo.com/schedule/?view=bydate&amp;release=theatrical&amp;date=2016-09-16&amp;p=.htm" TargetMode="External"/><Relationship Id="rId1422" Type="http://schemas.openxmlformats.org/officeDocument/2006/relationships/hyperlink" Target="http://www.boxofficemojo.com/movies/?id=thegreasystrangler.htm" TargetMode="External"/><Relationship Id="rId1423" Type="http://schemas.openxmlformats.org/officeDocument/2006/relationships/hyperlink" Target="http://www.boxofficemojo.com/studio/chart/?studio=filmrise.htm" TargetMode="External"/><Relationship Id="rId1424" Type="http://schemas.openxmlformats.org/officeDocument/2006/relationships/hyperlink" Target="http://www.boxofficemojo.com/schedule/?view=bydate&amp;release=theatrical&amp;date=2016-10-07&amp;p=.htm" TargetMode="External"/><Relationship Id="rId1425" Type="http://schemas.openxmlformats.org/officeDocument/2006/relationships/hyperlink" Target="http://www.boxofficemojo.com/movies/?id=3weeksinyerevan.htm" TargetMode="External"/><Relationship Id="rId1426" Type="http://schemas.openxmlformats.org/officeDocument/2006/relationships/hyperlink" Target="http://www.boxofficemojo.com/studio/chart/?studio=richmondmedia.htm" TargetMode="External"/><Relationship Id="rId1427" Type="http://schemas.openxmlformats.org/officeDocument/2006/relationships/hyperlink" Target="http://www.boxofficemojo.com/schedule/?view=bydate&amp;release=theatrical&amp;date=2016-09-16&amp;p=.htm" TargetMode="External"/><Relationship Id="rId1428" Type="http://schemas.openxmlformats.org/officeDocument/2006/relationships/hyperlink" Target="http://www.boxofficemojo.com/movies/?id=wearex.htm" TargetMode="External"/><Relationship Id="rId1429" Type="http://schemas.openxmlformats.org/officeDocument/2006/relationships/hyperlink" Target="http://www.boxofficemojo.com/studio/chart/?studio=drafthousefilms.htm" TargetMode="External"/><Relationship Id="rId960" Type="http://schemas.openxmlformats.org/officeDocument/2006/relationships/hyperlink" Target="http://www.boxofficemojo.com/movies/?id=mygoldendays.htm" TargetMode="External"/><Relationship Id="rId961" Type="http://schemas.openxmlformats.org/officeDocument/2006/relationships/hyperlink" Target="http://www.boxofficemojo.com/studio/chart/?studio=magnolia.htm" TargetMode="External"/><Relationship Id="rId962" Type="http://schemas.openxmlformats.org/officeDocument/2006/relationships/hyperlink" Target="http://www.boxofficemojo.com/schedule/?view=bydate&amp;release=theatrical&amp;date=2016-03-18&amp;p=.htm" TargetMode="External"/><Relationship Id="rId963" Type="http://schemas.openxmlformats.org/officeDocument/2006/relationships/hyperlink" Target="http://www.boxofficemojo.com/movies/?id=thefamilyfang.htm" TargetMode="External"/><Relationship Id="rId964" Type="http://schemas.openxmlformats.org/officeDocument/2006/relationships/hyperlink" Target="http://www.boxofficemojo.com/studio/chart/?studio=starzmedia.htm" TargetMode="External"/><Relationship Id="rId965" Type="http://schemas.openxmlformats.org/officeDocument/2006/relationships/hyperlink" Target="http://www.boxofficemojo.com/schedule/?view=bydate&amp;release=theatrical&amp;date=2016-04-29&amp;p=.htm" TargetMode="External"/><Relationship Id="rId180" Type="http://schemas.openxmlformats.org/officeDocument/2006/relationships/hyperlink" Target="http://www.boxofficemojo.com/movies/?id=bfg.htm" TargetMode="External"/><Relationship Id="rId181" Type="http://schemas.openxmlformats.org/officeDocument/2006/relationships/hyperlink" Target="http://www.boxofficemojo.com/studio/chart/?studio=buenavista.htm" TargetMode="External"/><Relationship Id="rId182" Type="http://schemas.openxmlformats.org/officeDocument/2006/relationships/hyperlink" Target="http://www.boxofficemojo.com/schedule/?view=bydate&amp;release=theatrical&amp;date=2016-07-01&amp;p=.htm" TargetMode="External"/><Relationship Id="rId183" Type="http://schemas.openxmlformats.org/officeDocument/2006/relationships/hyperlink" Target="http://www.boxofficemojo.com/movies/?id=universalcomedy2016.htm" TargetMode="External"/><Relationship Id="rId184" Type="http://schemas.openxmlformats.org/officeDocument/2006/relationships/hyperlink" Target="http://www.boxofficemojo.com/studio/chart/?studio=universal.htm" TargetMode="External"/><Relationship Id="rId185" Type="http://schemas.openxmlformats.org/officeDocument/2006/relationships/hyperlink" Target="http://www.boxofficemojo.com/schedule/?view=bydate&amp;release=theatrical&amp;date=2016-05-20&amp;p=.htm" TargetMode="External"/><Relationship Id="rId186" Type="http://schemas.openxmlformats.org/officeDocument/2006/relationships/hyperlink" Target="http://www.boxofficemojo.com/movies/?id=theshallows.htm" TargetMode="External"/><Relationship Id="rId187" Type="http://schemas.openxmlformats.org/officeDocument/2006/relationships/hyperlink" Target="http://www.boxofficemojo.com/studio/chart/?studio=sony.htm" TargetMode="External"/><Relationship Id="rId188" Type="http://schemas.openxmlformats.org/officeDocument/2006/relationships/hyperlink" Target="http://www.boxofficemojo.com/schedule/?view=bydate&amp;release=theatrical&amp;date=2016-06-24&amp;p=.htm" TargetMode="External"/><Relationship Id="rId189" Type="http://schemas.openxmlformats.org/officeDocument/2006/relationships/hyperlink" Target="http://www.boxofficemojo.com/movies/?id=officechristmasparty.htm" TargetMode="External"/><Relationship Id="rId966" Type="http://schemas.openxmlformats.org/officeDocument/2006/relationships/hyperlink" Target="http://www.boxofficemojo.com/movies/?id=minimalism.htm" TargetMode="External"/><Relationship Id="rId967" Type="http://schemas.openxmlformats.org/officeDocument/2006/relationships/hyperlink" Target="http://www.boxofficemojo.com/studio/chart/?studio=gathrfilms.htm" TargetMode="External"/><Relationship Id="rId968" Type="http://schemas.openxmlformats.org/officeDocument/2006/relationships/hyperlink" Target="http://www.boxofficemojo.com/schedule/?view=bydate&amp;release=theatrical&amp;date=2016-05-24&amp;p=.htm" TargetMode="External"/><Relationship Id="rId969" Type="http://schemas.openxmlformats.org/officeDocument/2006/relationships/hyperlink" Target="http://www.boxofficemojo.com/movies/?id=dheepan.htm" TargetMode="External"/><Relationship Id="rId1030" Type="http://schemas.openxmlformats.org/officeDocument/2006/relationships/hyperlink" Target="http://www.boxofficemojo.com/studio/chart/?studio=sony.htm" TargetMode="External"/><Relationship Id="rId1031" Type="http://schemas.openxmlformats.org/officeDocument/2006/relationships/hyperlink" Target="http://www.boxofficemojo.com/schedule/?view=bydate&amp;release=theatrical&amp;date=2016-07-29&amp;p=.htm" TargetMode="External"/><Relationship Id="rId1032" Type="http://schemas.openxmlformats.org/officeDocument/2006/relationships/hyperlink" Target="http://www.boxofficemojo.com/movies/?id=viva.htm" TargetMode="External"/><Relationship Id="rId1033" Type="http://schemas.openxmlformats.org/officeDocument/2006/relationships/hyperlink" Target="http://www.boxofficemojo.com/studio/chart/?studio=magnolia.htm" TargetMode="External"/><Relationship Id="rId1034" Type="http://schemas.openxmlformats.org/officeDocument/2006/relationships/hyperlink" Target="http://www.boxofficemojo.com/schedule/?view=bydate&amp;release=theatrical&amp;date=2016-04-29&amp;p=.htm" TargetMode="External"/><Relationship Id="rId1035" Type="http://schemas.openxmlformats.org/officeDocument/2006/relationships/hyperlink" Target="http://www.boxofficemojo.com/movies/?id=thewave.htm" TargetMode="External"/><Relationship Id="rId1036" Type="http://schemas.openxmlformats.org/officeDocument/2006/relationships/hyperlink" Target="http://www.boxofficemojo.com/studio/chart/?studio=magnolia.htm" TargetMode="External"/><Relationship Id="rId1037" Type="http://schemas.openxmlformats.org/officeDocument/2006/relationships/hyperlink" Target="http://www.boxofficemojo.com/schedule/?view=bydate&amp;release=theatrical&amp;date=2016-03-04&amp;p=.htm" TargetMode="External"/><Relationship Id="rId1038" Type="http://schemas.openxmlformats.org/officeDocument/2006/relationships/hyperlink" Target="http://www.boxofficemojo.com/movies/?id=asura.htm" TargetMode="External"/><Relationship Id="rId1039" Type="http://schemas.openxmlformats.org/officeDocument/2006/relationships/hyperlink" Target="http://www.boxofficemojo.com/studio/chart/?studio=cjentertainment.htm" TargetMode="External"/><Relationship Id="rId570" Type="http://schemas.openxmlformats.org/officeDocument/2006/relationships/hyperlink" Target="http://www.boxofficemojo.com/movies/?id=ipman3.htm" TargetMode="External"/><Relationship Id="rId571" Type="http://schemas.openxmlformats.org/officeDocument/2006/relationships/hyperlink" Target="http://www.boxofficemojo.com/studio/chart/?studio=wellgo.htm" TargetMode="External"/><Relationship Id="rId572" Type="http://schemas.openxmlformats.org/officeDocument/2006/relationships/hyperlink" Target="http://www.boxofficemojo.com/schedule/?view=bydate&amp;release=theatrical&amp;date=2016-01-22&amp;p=.htm" TargetMode="External"/><Relationship Id="rId573" Type="http://schemas.openxmlformats.org/officeDocument/2006/relationships/hyperlink" Target="http://www.boxofficemojo.com/movies/?id=milesahead.htm" TargetMode="External"/><Relationship Id="rId574" Type="http://schemas.openxmlformats.org/officeDocument/2006/relationships/hyperlink" Target="http://www.boxofficemojo.com/studio/chart/?studio=sonyclassics.htm" TargetMode="External"/><Relationship Id="rId575" Type="http://schemas.openxmlformats.org/officeDocument/2006/relationships/hyperlink" Target="http://www.boxofficemojo.com/schedule/?view=bydate&amp;release=theatrical&amp;date=2016-04-01&amp;p=.htm" TargetMode="External"/><Relationship Id="rId576" Type="http://schemas.openxmlformats.org/officeDocument/2006/relationships/hyperlink" Target="http://www.boxofficemojo.com/movies/?id=kapoorsons.htm" TargetMode="External"/><Relationship Id="rId577" Type="http://schemas.openxmlformats.org/officeDocument/2006/relationships/hyperlink" Target="http://www.boxofficemojo.com/studio/chart/?studio=fip.htm" TargetMode="External"/><Relationship Id="rId578" Type="http://schemas.openxmlformats.org/officeDocument/2006/relationships/hyperlink" Target="http://www.boxofficemojo.com/schedule/?view=bydate&amp;release=theatrical&amp;date=2016-03-18&amp;p=.htm" TargetMode="External"/><Relationship Id="rId579" Type="http://schemas.openxmlformats.org/officeDocument/2006/relationships/hyperlink" Target="http://www.boxofficemojo.com/movies/?id=disappointmentsroom.htm" TargetMode="External"/><Relationship Id="rId1814" Type="http://schemas.openxmlformats.org/officeDocument/2006/relationships/hyperlink" Target="http://www.boxofficemojo.com/schedule/?view=bydate&amp;release=theatrical&amp;date=2016-05-13&amp;p=.htm" TargetMode="External"/><Relationship Id="rId1815" Type="http://schemas.openxmlformats.org/officeDocument/2006/relationships/hyperlink" Target="http://www.boxofficemojo.com/movies/?id=ofmindandmusic.htm" TargetMode="External"/><Relationship Id="rId1816" Type="http://schemas.openxmlformats.org/officeDocument/2006/relationships/hyperlink" Target="http://www.boxofficemojo.com/studio/chart/?studio=montereymediainc.htm" TargetMode="External"/><Relationship Id="rId1817" Type="http://schemas.openxmlformats.org/officeDocument/2006/relationships/hyperlink" Target="http://www.boxofficemojo.com/schedule/?view=bydate&amp;release=theatrical&amp;date=2016-02-12&amp;p=.htm" TargetMode="External"/><Relationship Id="rId1818" Type="http://schemas.openxmlformats.org/officeDocument/2006/relationships/hyperlink" Target="http://www.boxofficemojo.com/movies/?id=argentina.htm" TargetMode="External"/><Relationship Id="rId1819" Type="http://schemas.openxmlformats.org/officeDocument/2006/relationships/hyperlink" Target="http://www.boxofficemojo.com/studio/chart/?studio=firstrun.htm" TargetMode="External"/><Relationship Id="rId2110" Type="http://schemas.openxmlformats.org/officeDocument/2006/relationships/hyperlink" Target="http://www.boxofficemojo.com/studio/chart/?studio=mastersmedia.htm" TargetMode="External"/><Relationship Id="rId2111" Type="http://schemas.openxmlformats.org/officeDocument/2006/relationships/hyperlink" Target="http://www.boxofficemojo.com/schedule/?view=bydate&amp;release=theatrical&amp;date=2016-09-09&amp;p=.htm" TargetMode="External"/><Relationship Id="rId2112" Type="http://schemas.openxmlformats.org/officeDocument/2006/relationships/hyperlink" Target="http://www.boxofficemojo.com/movies/?id=burningbodhi.htm" TargetMode="External"/><Relationship Id="rId2113" Type="http://schemas.openxmlformats.org/officeDocument/2006/relationships/hyperlink" Target="http://www.boxofficemojo.com/studio/chart/?studio=montereymediainc.htm" TargetMode="External"/><Relationship Id="rId2114" Type="http://schemas.openxmlformats.org/officeDocument/2006/relationships/hyperlink" Target="http://www.boxofficemojo.com/schedule/?view=bydate&amp;release=theatrical&amp;date=2016-03-18&amp;p=.htm" TargetMode="External"/><Relationship Id="rId2115" Type="http://schemas.openxmlformats.org/officeDocument/2006/relationships/hyperlink" Target="http://www.boxofficemojo.com/movies/?id=ghostsofjohnsonwoods.htm" TargetMode="External"/><Relationship Id="rId2116" Type="http://schemas.openxmlformats.org/officeDocument/2006/relationships/hyperlink" Target="http://www.boxofficemojo.com/studio/chart/?studio=drivingwithoureyesshut.htm" TargetMode="External"/><Relationship Id="rId2117" Type="http://schemas.openxmlformats.org/officeDocument/2006/relationships/hyperlink" Target="http://www.boxofficemojo.com/schedule/?view=bydate&amp;release=theatrical&amp;date=2016-12-02&amp;p=.htm" TargetMode="External"/><Relationship Id="rId2118" Type="http://schemas.openxmlformats.org/officeDocument/2006/relationships/hyperlink" Target="http://www.boxofficemojo.com/movies/?id=inharmony.htm" TargetMode="External"/><Relationship Id="rId2119" Type="http://schemas.openxmlformats.org/officeDocument/2006/relationships/hyperlink" Target="http://www.boxofficemojo.com/studio/chart/?studio=distribfilms.htm" TargetMode="External"/><Relationship Id="rId1820" Type="http://schemas.openxmlformats.org/officeDocument/2006/relationships/hyperlink" Target="http://www.boxofficemojo.com/schedule/?view=bydate&amp;release=theatrical&amp;date=2016-06-17&amp;p=.htm" TargetMode="External"/><Relationship Id="rId1821" Type="http://schemas.openxmlformats.org/officeDocument/2006/relationships/hyperlink" Target="http://www.boxofficemojo.com/movies/?id=rememberyou.htm" TargetMode="External"/><Relationship Id="rId1822" Type="http://schemas.openxmlformats.org/officeDocument/2006/relationships/hyperlink" Target="http://www.boxofficemojo.com/studio/chart/?studio=cjentertainment.htm" TargetMode="External"/><Relationship Id="rId1823" Type="http://schemas.openxmlformats.org/officeDocument/2006/relationships/hyperlink" Target="http://www.boxofficemojo.com/schedule/?view=bydate&amp;release=theatrical&amp;date=2016-01-15&amp;p=.htm" TargetMode="External"/><Relationship Id="rId1430" Type="http://schemas.openxmlformats.org/officeDocument/2006/relationships/hyperlink" Target="http://www.boxofficemojo.com/schedule/?view=bydate&amp;release=theatrical&amp;date=2016-10-21&amp;p=.htm" TargetMode="External"/><Relationship Id="rId1431" Type="http://schemas.openxmlformats.org/officeDocument/2006/relationships/hyperlink" Target="http://www.boxofficemojo.com/movies/?id=amelodytoremember.htm" TargetMode="External"/><Relationship Id="rId1432" Type="http://schemas.openxmlformats.org/officeDocument/2006/relationships/hyperlink" Target="http://www.boxofficemojo.com/studio/chart/?studio=cjentertainment.htm" TargetMode="External"/><Relationship Id="rId1433" Type="http://schemas.openxmlformats.org/officeDocument/2006/relationships/hyperlink" Target="http://www.boxofficemojo.com/schedule/?view=bydate&amp;release=theatrical&amp;date=2016-01-29&amp;p=.htm" TargetMode="External"/><Relationship Id="rId1434" Type="http://schemas.openxmlformats.org/officeDocument/2006/relationships/hyperlink" Target="http://www.boxofficemojo.com/movies/?id=nuts2016.htm" TargetMode="External"/><Relationship Id="rId1435" Type="http://schemas.openxmlformats.org/officeDocument/2006/relationships/hyperlink" Target="http://www.boxofficemojo.com/studio/chart/?studio=cartuna.htm" TargetMode="External"/><Relationship Id="rId1436" Type="http://schemas.openxmlformats.org/officeDocument/2006/relationships/hyperlink" Target="http://www.boxofficemojo.com/schedule/?view=bydate&amp;release=theatrical&amp;date=2016-06-22&amp;p=.htm" TargetMode="External"/><Relationship Id="rId1437" Type="http://schemas.openxmlformats.org/officeDocument/2006/relationships/hyperlink" Target="http://www.boxofficemojo.com/movies/?id=dannysays.htm" TargetMode="External"/><Relationship Id="rId1438" Type="http://schemas.openxmlformats.org/officeDocument/2006/relationships/hyperlink" Target="http://www.boxofficemojo.com/studio/chart/?studio=magnolia.htm" TargetMode="External"/><Relationship Id="rId1439" Type="http://schemas.openxmlformats.org/officeDocument/2006/relationships/hyperlink" Target="http://www.boxofficemojo.com/schedule/?view=bydate&amp;release=theatrical&amp;date=2016-09-30&amp;p=.htm" TargetMode="External"/><Relationship Id="rId970" Type="http://schemas.openxmlformats.org/officeDocument/2006/relationships/hyperlink" Target="http://www.boxofficemojo.com/studio/chart/?studio=ifc.htm" TargetMode="External"/><Relationship Id="rId971" Type="http://schemas.openxmlformats.org/officeDocument/2006/relationships/hyperlink" Target="http://www.boxofficemojo.com/schedule/?view=bydate&amp;release=theatrical&amp;date=2016-05-06&amp;p=.htm" TargetMode="External"/><Relationship Id="rId972" Type="http://schemas.openxmlformats.org/officeDocument/2006/relationships/hyperlink" Target="http://www.boxofficemojo.com/movies/?id=yokaiwatchmovie.htm" TargetMode="External"/><Relationship Id="rId973" Type="http://schemas.openxmlformats.org/officeDocument/2006/relationships/hyperlink" Target="http://www.boxofficemojo.com/studio/chart/?studio=elevenarts.htm" TargetMode="External"/><Relationship Id="rId974" Type="http://schemas.openxmlformats.org/officeDocument/2006/relationships/hyperlink" Target="http://www.boxofficemojo.com/schedule/?view=bydate&amp;release=theatrical&amp;date=2016-10-15&amp;p=.htm" TargetMode="External"/><Relationship Id="rId975" Type="http://schemas.openxmlformats.org/officeDocument/2006/relationships/hyperlink" Target="http://www.boxofficemojo.com/movies/?id=lifeanimated.htm" TargetMode="External"/><Relationship Id="rId190" Type="http://schemas.openxmlformats.org/officeDocument/2006/relationships/hyperlink" Target="http://www.boxofficemojo.com/studio/chart/?studio=paramount.htm" TargetMode="External"/><Relationship Id="rId191" Type="http://schemas.openxmlformats.org/officeDocument/2006/relationships/hyperlink" Target="http://www.boxofficemojo.com/schedule/?view=bydate&amp;release=theatrical&amp;date=2016-12-09&amp;p=.htm" TargetMode="External"/><Relationship Id="rId192" Type="http://schemas.openxmlformats.org/officeDocument/2006/relationships/hyperlink" Target="http://www.boxofficemojo.com/movies/?id=assassinscreed.htm" TargetMode="External"/><Relationship Id="rId193" Type="http://schemas.openxmlformats.org/officeDocument/2006/relationships/hyperlink" Target="http://www.boxofficemojo.com/studio/chart/?studio=fox.htm" TargetMode="External"/><Relationship Id="rId194" Type="http://schemas.openxmlformats.org/officeDocument/2006/relationships/hyperlink" Target="http://www.boxofficemojo.com/schedule/?view=bydate&amp;release=theatrical&amp;date=2016-12-21&amp;p=.htm" TargetMode="External"/><Relationship Id="rId195" Type="http://schemas.openxmlformats.org/officeDocument/2006/relationships/hyperlink" Target="http://www.boxofficemojo.com/movies/?id=barbershop3.htm" TargetMode="External"/><Relationship Id="rId196" Type="http://schemas.openxmlformats.org/officeDocument/2006/relationships/hyperlink" Target="http://www.boxofficemojo.com/studio/chart/?studio=wb-newline.htm" TargetMode="External"/><Relationship Id="rId197" Type="http://schemas.openxmlformats.org/officeDocument/2006/relationships/hyperlink" Target="http://www.boxofficemojo.com/schedule/?view=bydate&amp;release=theatrical&amp;date=2016-04-15&amp;p=.htm" TargetMode="External"/><Relationship Id="rId198" Type="http://schemas.openxmlformats.org/officeDocument/2006/relationships/hyperlink" Target="http://www.boxofficemojo.com/movies/?id=13hoursthesecretsoldiersofbenghazi.htm" TargetMode="External"/><Relationship Id="rId199" Type="http://schemas.openxmlformats.org/officeDocument/2006/relationships/hyperlink" Target="http://www.boxofficemojo.com/studio/chart/?studio=paramount.htm" TargetMode="External"/><Relationship Id="rId976" Type="http://schemas.openxmlformats.org/officeDocument/2006/relationships/hyperlink" Target="http://www.boxofficemojo.com/studio/chart/?studio=orchard.htm" TargetMode="External"/><Relationship Id="rId977" Type="http://schemas.openxmlformats.org/officeDocument/2006/relationships/hyperlink" Target="http://www.boxofficemojo.com/schedule/?view=bydate&amp;release=theatrical&amp;date=2016-07-01&amp;p=.htm" TargetMode="External"/><Relationship Id="rId978" Type="http://schemas.openxmlformats.org/officeDocument/2006/relationships/hyperlink" Target="http://www.boxofficemojo.com/movies/?id=oasissupersonic.htm" TargetMode="External"/><Relationship Id="rId979" Type="http://schemas.openxmlformats.org/officeDocument/2006/relationships/hyperlink" Target="http://www.boxofficemojo.com/studio/chart/?studio=a24.htm" TargetMode="External"/><Relationship Id="rId1040" Type="http://schemas.openxmlformats.org/officeDocument/2006/relationships/hyperlink" Target="http://www.boxofficemojo.com/schedule/?view=bydate&amp;release=theatrical&amp;date=2016-10-07&amp;p=.htm" TargetMode="External"/><Relationship Id="rId1041" Type="http://schemas.openxmlformats.org/officeDocument/2006/relationships/hyperlink" Target="http://www.boxofficemojo.com/movies/?id=hieronymusboschtouchedbythedevil.htm" TargetMode="External"/><Relationship Id="rId1042" Type="http://schemas.openxmlformats.org/officeDocument/2006/relationships/hyperlink" Target="http://www.boxofficemojo.com/studio/chart/?studio=kinolorber.htm" TargetMode="External"/><Relationship Id="rId1043" Type="http://schemas.openxmlformats.org/officeDocument/2006/relationships/hyperlink" Target="http://www.boxofficemojo.com/schedule/?view=bydate&amp;release=theatrical&amp;date=2016-07-16&amp;p=.htm" TargetMode="External"/><Relationship Id="rId1044" Type="http://schemas.openxmlformats.org/officeDocument/2006/relationships/hyperlink" Target="http://www.boxofficemojo.com/movies/?id=apparitionhill.htm" TargetMode="External"/><Relationship Id="rId1045" Type="http://schemas.openxmlformats.org/officeDocument/2006/relationships/hyperlink" Target="http://www.boxofficemojo.com/studio/chart/?studio=littleflower.htm" TargetMode="External"/><Relationship Id="rId1046" Type="http://schemas.openxmlformats.org/officeDocument/2006/relationships/hyperlink" Target="http://www.boxofficemojo.com/schedule/?view=bydate&amp;release=theatrical&amp;date=2016-08-05&amp;p=.htm" TargetMode="External"/><Relationship Id="rId1047" Type="http://schemas.openxmlformats.org/officeDocument/2006/relationships/hyperlink" Target="http://www.boxofficemojo.com/movies/?id=thefits.htm" TargetMode="External"/><Relationship Id="rId1048" Type="http://schemas.openxmlformats.org/officeDocument/2006/relationships/hyperlink" Target="http://www.boxofficemojo.com/studio/chart/?studio=oscilloscopepictures.htm" TargetMode="External"/><Relationship Id="rId1049" Type="http://schemas.openxmlformats.org/officeDocument/2006/relationships/hyperlink" Target="http://www.boxofficemojo.com/schedule/?view=bydate&amp;release=theatrical&amp;date=2016-06-03&amp;p=.htm" TargetMode="External"/><Relationship Id="rId580" Type="http://schemas.openxmlformats.org/officeDocument/2006/relationships/hyperlink" Target="http://www.boxofficemojo.com/studio/chart/?studio=relativity.htm" TargetMode="External"/><Relationship Id="rId581" Type="http://schemas.openxmlformats.org/officeDocument/2006/relationships/hyperlink" Target="http://www.boxofficemojo.com/schedule/?view=bydate&amp;release=theatrical&amp;date=2016-09-09&amp;p=.htm" TargetMode="External"/><Relationship Id="rId582" Type="http://schemas.openxmlformats.org/officeDocument/2006/relationships/hyperlink" Target="http://www.boxofficemojo.com/movies/?id=hillsong.htm" TargetMode="External"/><Relationship Id="rId583" Type="http://schemas.openxmlformats.org/officeDocument/2006/relationships/hyperlink" Target="http://www.boxofficemojo.com/studio/chart/?studio=pureflix.htm" TargetMode="External"/><Relationship Id="rId584" Type="http://schemas.openxmlformats.org/officeDocument/2006/relationships/hyperlink" Target="http://www.boxofficemojo.com/schedule/?view=bydate&amp;release=theatrical&amp;date=2016-09-16&amp;p=.htm" TargetMode="External"/><Relationship Id="rId585" Type="http://schemas.openxmlformats.org/officeDocument/2006/relationships/hyperlink" Target="http://www.boxofficemojo.com/movies/?id=dearzindagi.htm" TargetMode="External"/><Relationship Id="rId586" Type="http://schemas.openxmlformats.org/officeDocument/2006/relationships/hyperlink" Target="http://www.boxofficemojo.com/studio/chart/?studio=reliancebigpictures.htm" TargetMode="External"/><Relationship Id="rId587" Type="http://schemas.openxmlformats.org/officeDocument/2006/relationships/hyperlink" Target="http://www.boxofficemojo.com/schedule/?view=bydate&amp;release=theatrical&amp;date=2016-11-23&amp;p=.htm" TargetMode="External"/><Relationship Id="rId588" Type="http://schemas.openxmlformats.org/officeDocument/2006/relationships/hyperlink" Target="http://www.boxofficemojo.com/movies/?id=elle.htm" TargetMode="External"/><Relationship Id="rId589" Type="http://schemas.openxmlformats.org/officeDocument/2006/relationships/hyperlink" Target="http://www.boxofficemojo.com/studio/chart/?studio=sonyclassics.htm" TargetMode="External"/><Relationship Id="rId1824" Type="http://schemas.openxmlformats.org/officeDocument/2006/relationships/hyperlink" Target="http://www.boxofficemojo.com/movies/?id=lamb2016.htm" TargetMode="External"/><Relationship Id="rId1825" Type="http://schemas.openxmlformats.org/officeDocument/2006/relationships/hyperlink" Target="http://www.boxofficemojo.com/studio/chart/?studio=orchard.htm" TargetMode="External"/><Relationship Id="rId1826" Type="http://schemas.openxmlformats.org/officeDocument/2006/relationships/hyperlink" Target="http://www.boxofficemojo.com/schedule/?view=bydate&amp;release=theatrical&amp;date=2016-01-08&amp;p=.htm" TargetMode="External"/><Relationship Id="rId1827" Type="http://schemas.openxmlformats.org/officeDocument/2006/relationships/hyperlink" Target="http://www.boxofficemojo.com/movies/?id=wanderers2016.htm" TargetMode="External"/><Relationship Id="rId1828" Type="http://schemas.openxmlformats.org/officeDocument/2006/relationships/hyperlink" Target="http://www.boxofficemojo.com/studio/chart/?studio=kinolorber.htm" TargetMode="External"/><Relationship Id="rId1829" Type="http://schemas.openxmlformats.org/officeDocument/2006/relationships/hyperlink" Target="http://www.boxofficemojo.com/schedule/?view=bydate&amp;release=theatrical&amp;date=2016-11-10&amp;p=.htm" TargetMode="External"/><Relationship Id="rId2120" Type="http://schemas.openxmlformats.org/officeDocument/2006/relationships/hyperlink" Target="http://www.boxofficemojo.com/schedule/?view=bydate&amp;release=theatrical&amp;date=2016-04-15&amp;p=.htm" TargetMode="External"/><Relationship Id="rId2121" Type="http://schemas.openxmlformats.org/officeDocument/2006/relationships/hyperlink" Target="http://www.boxofficemojo.com/movies/?id=bestandmostbeautifulthings.htm" TargetMode="External"/><Relationship Id="rId2122" Type="http://schemas.openxmlformats.org/officeDocument/2006/relationships/hyperlink" Target="http://www.boxofficemojo.com/studio/chart/?studio=firstrun.htm" TargetMode="External"/><Relationship Id="rId2123" Type="http://schemas.openxmlformats.org/officeDocument/2006/relationships/hyperlink" Target="http://www.boxofficemojo.com/schedule/?view=bydate&amp;release=theatrical&amp;date=2016-12-02&amp;p=.htm" TargetMode="External"/><Relationship Id="rId2124" Type="http://schemas.openxmlformats.org/officeDocument/2006/relationships/hyperlink" Target="http://www.boxofficemojo.com/movies/?id=akindofmurder.htm" TargetMode="External"/><Relationship Id="rId2125" Type="http://schemas.openxmlformats.org/officeDocument/2006/relationships/hyperlink" Target="http://www.boxofficemojo.com/studio/chart/?studio=magnolia.htm" TargetMode="External"/><Relationship Id="rId2126" Type="http://schemas.openxmlformats.org/officeDocument/2006/relationships/hyperlink" Target="http://www.boxofficemojo.com/schedule/?view=bydate&amp;release=theatrical&amp;date=2016-12-16&amp;p=.htm" TargetMode="External"/><Relationship Id="rId2127" Type="http://schemas.openxmlformats.org/officeDocument/2006/relationships/hyperlink" Target="http://www.boxofficemojo.com/movies/?id=professortaichi.htm" TargetMode="External"/><Relationship Id="rId2128" Type="http://schemas.openxmlformats.org/officeDocument/2006/relationships/hyperlink" Target="http://www.boxofficemojo.com/studio/chart/?studio=firstrun.htm" TargetMode="External"/><Relationship Id="rId2129" Type="http://schemas.openxmlformats.org/officeDocument/2006/relationships/hyperlink" Target="http://www.boxofficemojo.com/schedule/?view=bydate&amp;release=theatrical&amp;date=2016-05-06&amp;p=.htm" TargetMode="External"/><Relationship Id="rId1830" Type="http://schemas.openxmlformats.org/officeDocument/2006/relationships/hyperlink" Target="http://www.boxofficemojo.com/movies/?id=uncondemned.htm" TargetMode="External"/><Relationship Id="rId1831" Type="http://schemas.openxmlformats.org/officeDocument/2006/relationships/hyperlink" Target="http://www.boxofficemojo.com/studio/chart/?studio=abramorama.htm" TargetMode="External"/><Relationship Id="rId1832" Type="http://schemas.openxmlformats.org/officeDocument/2006/relationships/hyperlink" Target="http://www.boxofficemojo.com/schedule/?view=bydate&amp;release=theatrical&amp;date=2016-10-21&amp;p=.htm" TargetMode="External"/><Relationship Id="rId1833" Type="http://schemas.openxmlformats.org/officeDocument/2006/relationships/hyperlink" Target="http://www.boxofficemojo.com/movies/?id=brothernature.htm" TargetMode="External"/><Relationship Id="rId1440" Type="http://schemas.openxmlformats.org/officeDocument/2006/relationships/hyperlink" Target="http://www.boxofficemojo.com/movies/?id=phantomofthetheatre.htm" TargetMode="External"/><Relationship Id="rId1441" Type="http://schemas.openxmlformats.org/officeDocument/2006/relationships/hyperlink" Target="http://www.boxofficemojo.com/studio/chart/?studio=wellgo.htm" TargetMode="External"/><Relationship Id="rId1442" Type="http://schemas.openxmlformats.org/officeDocument/2006/relationships/hyperlink" Target="http://www.boxofficemojo.com/schedule/?view=bydate&amp;release=theatrical&amp;date=2016-05-06&amp;p=.htm" TargetMode="External"/><Relationship Id="rId1443" Type="http://schemas.openxmlformats.org/officeDocument/2006/relationships/hyperlink" Target="http://www.boxofficemojo.com/movies/?id=theland.htm" TargetMode="External"/><Relationship Id="rId1444" Type="http://schemas.openxmlformats.org/officeDocument/2006/relationships/hyperlink" Target="http://www.boxofficemojo.com/studio/chart/?studio=ifc.htm" TargetMode="External"/><Relationship Id="rId1445" Type="http://schemas.openxmlformats.org/officeDocument/2006/relationships/hyperlink" Target="http://www.boxofficemojo.com/schedule/?view=bydate&amp;release=theatrical&amp;date=2016-07-29&amp;p=.htm" TargetMode="External"/><Relationship Id="rId1446" Type="http://schemas.openxmlformats.org/officeDocument/2006/relationships/hyperlink" Target="http://www.boxofficemojo.com/movies/?id=mastizaade.htm" TargetMode="External"/><Relationship Id="rId1447" Type="http://schemas.openxmlformats.org/officeDocument/2006/relationships/hyperlink" Target="http://www.boxofficemojo.com/studio/chart/?studio=eros.htm" TargetMode="External"/><Relationship Id="rId1448" Type="http://schemas.openxmlformats.org/officeDocument/2006/relationships/hyperlink" Target="http://www.boxofficemojo.com/schedule/?view=bydate&amp;release=theatrical&amp;date=2016-01-29&amp;p=.htm" TargetMode="External"/><Relationship Id="rId1449" Type="http://schemas.openxmlformats.org/officeDocument/2006/relationships/hyperlink" Target="http://www.boxofficemojo.com/movies/?id=closetmonster.htm" TargetMode="External"/><Relationship Id="rId980" Type="http://schemas.openxmlformats.org/officeDocument/2006/relationships/hyperlink" Target="http://www.boxofficemojo.com/schedule/?view=bydate&amp;release=theatrical&amp;date=2016-10-26&amp;p=.htm" TargetMode="External"/><Relationship Id="rId981" Type="http://schemas.openxmlformats.org/officeDocument/2006/relationships/hyperlink" Target="http://www.boxofficemojo.com/movies/?id=theinvitation.htm" TargetMode="External"/><Relationship Id="rId982" Type="http://schemas.openxmlformats.org/officeDocument/2006/relationships/hyperlink" Target="http://www.boxofficemojo.com/studio/chart/?studio=drafthousefilms.htm" TargetMode="External"/><Relationship Id="rId983" Type="http://schemas.openxmlformats.org/officeDocument/2006/relationships/hyperlink" Target="http://www.boxofficemojo.com/schedule/?view=bydate&amp;release=theatrical&amp;date=2016-04-08&amp;p=.htm" TargetMode="External"/><Relationship Id="rId984" Type="http://schemas.openxmlformats.org/officeDocument/2006/relationships/hyperlink" Target="http://www.boxofficemojo.com/movies/?id=jimmyvestvood.htm" TargetMode="External"/><Relationship Id="rId985" Type="http://schemas.openxmlformats.org/officeDocument/2006/relationships/hyperlink" Target="http://www.boxofficemojo.com/studio/chart/?studio=skyislandfilms.htm" TargetMode="External"/><Relationship Id="rId986" Type="http://schemas.openxmlformats.org/officeDocument/2006/relationships/hyperlink" Target="http://www.boxofficemojo.com/schedule/?view=bydate&amp;release=theatrical&amp;date=2016-05-13&amp;p=.htm" TargetMode="External"/><Relationship Id="rId987" Type="http://schemas.openxmlformats.org/officeDocument/2006/relationships/hyperlink" Target="http://www.boxofficemojo.com/movies/?id=thelovewitch.htm" TargetMode="External"/><Relationship Id="rId988" Type="http://schemas.openxmlformats.org/officeDocument/2006/relationships/hyperlink" Target="http://www.boxofficemojo.com/studio/chart/?studio=oscilloscopepictures.htm" TargetMode="External"/><Relationship Id="rId989" Type="http://schemas.openxmlformats.org/officeDocument/2006/relationships/hyperlink" Target="http://www.boxofficemojo.com/schedule/?view=bydate&amp;release=theatrical&amp;date=2016-11-11&amp;p=.htm" TargetMode="External"/><Relationship Id="rId1050" Type="http://schemas.openxmlformats.org/officeDocument/2006/relationships/hyperlink" Target="http://www.boxofficemojo.com/movies/?id=depalma.htm" TargetMode="External"/><Relationship Id="rId1051" Type="http://schemas.openxmlformats.org/officeDocument/2006/relationships/hyperlink" Target="http://www.boxofficemojo.com/studio/chart/?studio=a24.htm" TargetMode="External"/><Relationship Id="rId1052" Type="http://schemas.openxmlformats.org/officeDocument/2006/relationships/hyperlink" Target="http://www.boxofficemojo.com/schedule/?view=bydate&amp;release=theatrical&amp;date=2016-06-10&amp;p=.htm" TargetMode="External"/><Relationship Id="rId1053" Type="http://schemas.openxmlformats.org/officeDocument/2006/relationships/hyperlink" Target="http://www.boxofficemojo.com/movies/?id=louderthanbombs.htm" TargetMode="External"/><Relationship Id="rId1054" Type="http://schemas.openxmlformats.org/officeDocument/2006/relationships/hyperlink" Target="http://www.boxofficemojo.com/studio/chart/?studio=orchard.htm" TargetMode="External"/><Relationship Id="rId1055" Type="http://schemas.openxmlformats.org/officeDocument/2006/relationships/hyperlink" Target="http://www.boxofficemojo.com/schedule/?view=bydate&amp;release=theatrical&amp;date=2016-04-08&amp;p=.htm" TargetMode="External"/><Relationship Id="rId1056" Type="http://schemas.openxmlformats.org/officeDocument/2006/relationships/hyperlink" Target="http://www.boxofficemojo.com/movies/?id=howardsend2016.htm" TargetMode="External"/><Relationship Id="rId1057" Type="http://schemas.openxmlformats.org/officeDocument/2006/relationships/hyperlink" Target="http://www.boxofficemojo.com/studio/chart/?studio=cohenmedia.htm" TargetMode="External"/><Relationship Id="rId1058" Type="http://schemas.openxmlformats.org/officeDocument/2006/relationships/hyperlink" Target="http://www.boxofficemojo.com/schedule/?view=bydate&amp;release=theatrical&amp;date=2016-08-26&amp;p=.htm" TargetMode="External"/><Relationship Id="rId1059" Type="http://schemas.openxmlformats.org/officeDocument/2006/relationships/hyperlink" Target="http://www.boxofficemojo.com/movies/?id=beautyandthebeast16.htm" TargetMode="External"/><Relationship Id="rId590" Type="http://schemas.openxmlformats.org/officeDocument/2006/relationships/hyperlink" Target="http://www.boxofficemojo.com/schedule/?view=bydate&amp;release=theatrical&amp;date=2016-11-11&amp;p=.htm" TargetMode="External"/><Relationship Id="rId591" Type="http://schemas.openxmlformats.org/officeDocument/2006/relationships/hyperlink" Target="http://www.boxofficemojo.com/movies/?id=aaa.htm" TargetMode="External"/><Relationship Id="rId592" Type="http://schemas.openxmlformats.org/officeDocument/2006/relationships/hyperlink" Target="http://www.boxofficemojo.com/studio/chart/?studio=bluesky.htm" TargetMode="External"/><Relationship Id="rId593" Type="http://schemas.openxmlformats.org/officeDocument/2006/relationships/hyperlink" Target="http://www.boxofficemojo.com/schedule/?view=bydate&amp;release=theatrical&amp;date=2016-06-01&amp;p=.htm" TargetMode="External"/><Relationship Id="rId594" Type="http://schemas.openxmlformats.org/officeDocument/2006/relationships/hyperlink" Target="http://www.boxofficemojo.com/movies/?id=fan16.htm" TargetMode="External"/><Relationship Id="rId595" Type="http://schemas.openxmlformats.org/officeDocument/2006/relationships/hyperlink" Target="http://www.boxofficemojo.com/studio/chart/?studio=yashraj.htm" TargetMode="External"/><Relationship Id="rId596" Type="http://schemas.openxmlformats.org/officeDocument/2006/relationships/hyperlink" Target="http://www.boxofficemojo.com/schedule/?view=bydate&amp;release=theatrical&amp;date=2016-04-15&amp;p=.htm" TargetMode="External"/><Relationship Id="rId597" Type="http://schemas.openxmlformats.org/officeDocument/2006/relationships/hyperlink" Target="http://www.boxofficemojo.com/movies/?id=paterson.htm" TargetMode="External"/><Relationship Id="rId598" Type="http://schemas.openxmlformats.org/officeDocument/2006/relationships/hyperlink" Target="http://www.boxofficemojo.com/studio/chart/?studio=bleeckerstreet.htm" TargetMode="External"/><Relationship Id="rId599" Type="http://schemas.openxmlformats.org/officeDocument/2006/relationships/hyperlink" Target="http://www.boxofficemojo.com/schedule/?view=bydate&amp;release=theatrical&amp;date=2016-12-28&amp;p=.htm" TargetMode="External"/><Relationship Id="rId1834" Type="http://schemas.openxmlformats.org/officeDocument/2006/relationships/hyperlink" Target="http://www.boxofficemojo.com/studio/chart/?studio=samuelgoldwyn.htm" TargetMode="External"/><Relationship Id="rId1835" Type="http://schemas.openxmlformats.org/officeDocument/2006/relationships/hyperlink" Target="http://www.boxofficemojo.com/schedule/?view=bydate&amp;release=theatrical&amp;date=2016-09-09&amp;p=.htm" TargetMode="External"/><Relationship Id="rId1836" Type="http://schemas.openxmlformats.org/officeDocument/2006/relationships/hyperlink" Target="http://www.boxofficemojo.com/movies/?id=newtown.htm" TargetMode="External"/><Relationship Id="rId1837" Type="http://schemas.openxmlformats.org/officeDocument/2006/relationships/hyperlink" Target="http://www.boxofficemojo.com/studio/chart/?studio=abramorama.htm" TargetMode="External"/><Relationship Id="rId1838" Type="http://schemas.openxmlformats.org/officeDocument/2006/relationships/hyperlink" Target="http://www.boxofficemojo.com/schedule/?view=bydate&amp;release=theatrical&amp;date=2016-10-07&amp;p=.htm" TargetMode="External"/><Relationship Id="rId1839" Type="http://schemas.openxmlformats.org/officeDocument/2006/relationships/hyperlink" Target="http://www.boxofficemojo.com/movies/?id=shangrilasuite.htm" TargetMode="External"/><Relationship Id="rId2130" Type="http://schemas.openxmlformats.org/officeDocument/2006/relationships/hyperlink" Target="http://www.boxofficemojo.com/movies/?id=whitelies.htm" TargetMode="External"/><Relationship Id="rId2131" Type="http://schemas.openxmlformats.org/officeDocument/2006/relationships/hyperlink" Target="http://www.boxofficemojo.com/studio/chart/?studio=artmattan.htm" TargetMode="External"/><Relationship Id="rId2132" Type="http://schemas.openxmlformats.org/officeDocument/2006/relationships/hyperlink" Target="http://www.boxofficemojo.com/schedule/?view=bydate&amp;release=theatrical&amp;date=2016-03-04&amp;p=.htm" TargetMode="External"/><Relationship Id="rId2133" Type="http://schemas.openxmlformats.org/officeDocument/2006/relationships/hyperlink" Target="http://www.boxofficemojo.com/movies/?id=mekonghotel.htm" TargetMode="External"/><Relationship Id="rId2134" Type="http://schemas.openxmlformats.org/officeDocument/2006/relationships/hyperlink" Target="http://www.boxofficemojo.com/studio/chart/?studio=strand.htm" TargetMode="External"/><Relationship Id="rId2135" Type="http://schemas.openxmlformats.org/officeDocument/2006/relationships/hyperlink" Target="http://www.boxofficemojo.com/schedule/?view=bydate&amp;release=theatrical&amp;date=2016-03-04&amp;p=.htm" TargetMode="External"/><Relationship Id="rId2136" Type="http://schemas.openxmlformats.org/officeDocument/2006/relationships/hyperlink" Target="http://www.boxofficemojo.com/movies/?id=homeland.htm" TargetMode="External"/><Relationship Id="rId2137" Type="http://schemas.openxmlformats.org/officeDocument/2006/relationships/hyperlink" Target="http://www.boxofficemojo.com/studio/chart/?studio=kinolorber.htm" TargetMode="External"/><Relationship Id="rId2138" Type="http://schemas.openxmlformats.org/officeDocument/2006/relationships/hyperlink" Target="http://www.boxofficemojo.com/schedule/?view=bydate&amp;release=theatrical&amp;date=2016-10-06&amp;p=.htm" TargetMode="External"/><Relationship Id="rId2139" Type="http://schemas.openxmlformats.org/officeDocument/2006/relationships/hyperlink" Target="http://www.boxofficemojo.com/movies/?id=fromtheeast.htm" TargetMode="External"/><Relationship Id="rId1840" Type="http://schemas.openxmlformats.org/officeDocument/2006/relationships/hyperlink" Target="http://www.boxofficemojo.com/studio/chart/?studio=bowandarrow.htm" TargetMode="External"/><Relationship Id="rId1841" Type="http://schemas.openxmlformats.org/officeDocument/2006/relationships/hyperlink" Target="http://www.boxofficemojo.com/schedule/?view=bydate&amp;release=theatrical&amp;date=2016-10-28&amp;p=.htm" TargetMode="External"/><Relationship Id="rId1842" Type="http://schemas.openxmlformats.org/officeDocument/2006/relationships/hyperlink" Target="http://www.boxofficemojo.com/movies/?id=aperfectday.htm" TargetMode="External"/><Relationship Id="rId1843" Type="http://schemas.openxmlformats.org/officeDocument/2006/relationships/hyperlink" Target="http://www.boxofficemojo.com/studio/chart/?studio=ifc.htm" TargetMode="External"/><Relationship Id="rId1450" Type="http://schemas.openxmlformats.org/officeDocument/2006/relationships/hyperlink" Target="http://www.boxofficemojo.com/studio/chart/?studio=strand.htm" TargetMode="External"/><Relationship Id="rId1451" Type="http://schemas.openxmlformats.org/officeDocument/2006/relationships/hyperlink" Target="http://www.boxofficemojo.com/schedule/?view=bydate&amp;release=theatrical&amp;date=2016-09-23&amp;p=.htm" TargetMode="External"/><Relationship Id="rId1452" Type="http://schemas.openxmlformats.org/officeDocument/2006/relationships/hyperlink" Target="http://www.boxofficemojo.com/movies/?id=daughtersofthedust2016.htm" TargetMode="External"/><Relationship Id="rId1453" Type="http://schemas.openxmlformats.org/officeDocument/2006/relationships/hyperlink" Target="http://www.boxofficemojo.com/studio/chart/?studio=cohenmedia.htm" TargetMode="External"/><Relationship Id="rId1454" Type="http://schemas.openxmlformats.org/officeDocument/2006/relationships/hyperlink" Target="http://www.boxofficemojo.com/schedule/?view=bydate&amp;release=theatrical&amp;date=2016-11-18&amp;p=.htm" TargetMode="External"/><Relationship Id="rId1455" Type="http://schemas.openxmlformats.org/officeDocument/2006/relationships/hyperlink" Target="http://www.boxofficemojo.com/movies/?id=wildoats.htm" TargetMode="External"/><Relationship Id="rId1456" Type="http://schemas.openxmlformats.org/officeDocument/2006/relationships/hyperlink" Target="http://www.boxofficemojo.com/studio/chart/?studio=wdimension.htm" TargetMode="External"/><Relationship Id="rId1457" Type="http://schemas.openxmlformats.org/officeDocument/2006/relationships/hyperlink" Target="http://www.boxofficemojo.com/schedule/?view=bydate&amp;release=theatrical&amp;date=2016-09-16&amp;p=.htm" TargetMode="External"/><Relationship Id="rId1458" Type="http://schemas.openxmlformats.org/officeDocument/2006/relationships/hyperlink" Target="http://www.boxofficemojo.com/movies/?id=isthataguninyourpocket.htm" TargetMode="External"/><Relationship Id="rId1459" Type="http://schemas.openxmlformats.org/officeDocument/2006/relationships/hyperlink" Target="http://www.boxofficemojo.com/studio/chart/?studio=area23a.htm" TargetMode="External"/><Relationship Id="rId990" Type="http://schemas.openxmlformats.org/officeDocument/2006/relationships/hyperlink" Target="http://www.boxofficemojo.com/movies/?id=tampopo2016.htm" TargetMode="External"/><Relationship Id="rId991" Type="http://schemas.openxmlformats.org/officeDocument/2006/relationships/hyperlink" Target="http://www.boxofficemojo.com/studio/chart/?studio=janusfilms.htm" TargetMode="External"/><Relationship Id="rId992" Type="http://schemas.openxmlformats.org/officeDocument/2006/relationships/hyperlink" Target="http://www.boxofficemojo.com/schedule/?view=bydate&amp;release=theatrical&amp;date=2016-10-21&amp;p=.htm" TargetMode="External"/><Relationship Id="rId993" Type="http://schemas.openxmlformats.org/officeDocument/2006/relationships/hyperlink" Target="http://www.boxofficemojo.com/movies/?id=misshokusai.htm" TargetMode="External"/><Relationship Id="rId994" Type="http://schemas.openxmlformats.org/officeDocument/2006/relationships/hyperlink" Target="http://www.boxofficemojo.com/studio/chart/?studio=gkids.htm" TargetMode="External"/><Relationship Id="rId995" Type="http://schemas.openxmlformats.org/officeDocument/2006/relationships/hyperlink" Target="http://www.boxofficemojo.com/schedule/?view=bydate&amp;release=theatrical&amp;date=2016-10-14&amp;p=.htm" TargetMode="External"/><Relationship Id="rId996" Type="http://schemas.openxmlformats.org/officeDocument/2006/relationships/hyperlink" Target="http://www.boxofficemojo.com/movies/?id=spiritofthegame.htm" TargetMode="External"/><Relationship Id="rId997" Type="http://schemas.openxmlformats.org/officeDocument/2006/relationships/hyperlink" Target="http://www.boxofficemojo.com/studio/chart/?studio=samuelgoldwyn.htm" TargetMode="External"/><Relationship Id="rId998" Type="http://schemas.openxmlformats.org/officeDocument/2006/relationships/hyperlink" Target="http://www.boxofficemojo.com/schedule/?view=bydate&amp;release=theatrical&amp;date=2016-10-07&amp;p=.htm" TargetMode="External"/><Relationship Id="rId999" Type="http://schemas.openxmlformats.org/officeDocument/2006/relationships/hyperlink" Target="http://www.boxofficemojo.com/movies/?id=naamhaiakira.htm" TargetMode="External"/><Relationship Id="rId1060" Type="http://schemas.openxmlformats.org/officeDocument/2006/relationships/hyperlink" Target="http://www.boxofficemojo.com/studio/chart/?studio=janusfilms.htm" TargetMode="External"/><Relationship Id="rId1061" Type="http://schemas.openxmlformats.org/officeDocument/2006/relationships/hyperlink" Target="http://www.boxofficemojo.com/schedule/?view=bydate&amp;release=theatrical&amp;date=2016-02-12&amp;p=.htm" TargetMode="External"/><Relationship Id="rId1062" Type="http://schemas.openxmlformats.org/officeDocument/2006/relationships/hyperlink" Target="http://www.boxofficemojo.com/movies/?id=sunsetsong.htm" TargetMode="External"/><Relationship Id="rId1063" Type="http://schemas.openxmlformats.org/officeDocument/2006/relationships/hyperlink" Target="http://www.boxofficemojo.com/studio/chart/?studio=magnolia.htm" TargetMode="External"/><Relationship Id="rId1064" Type="http://schemas.openxmlformats.org/officeDocument/2006/relationships/hyperlink" Target="http://www.boxofficemojo.com/schedule/?view=bydate&amp;release=theatrical&amp;date=2016-05-13&amp;p=.htm" TargetMode="External"/><Relationship Id="rId1065" Type="http://schemas.openxmlformats.org/officeDocument/2006/relationships/hyperlink" Target="http://www.boxofficemojo.com/movies/?id=witness2016.htm" TargetMode="External"/><Relationship Id="rId1066" Type="http://schemas.openxmlformats.org/officeDocument/2006/relationships/hyperlink" Target="http://www.boxofficemojo.com/studio/chart/?studio=filmrise.htm" TargetMode="External"/><Relationship Id="rId1067" Type="http://schemas.openxmlformats.org/officeDocument/2006/relationships/hyperlink" Target="http://www.boxofficemojo.com/schedule/?view=bydate&amp;release=theatrical&amp;date=2016-06-03&amp;p=.htm" TargetMode="External"/><Relationship Id="rId1068" Type="http://schemas.openxmlformats.org/officeDocument/2006/relationships/hyperlink" Target="http://www.boxofficemojo.com/movies/?id=evahesse.htm" TargetMode="External"/><Relationship Id="rId1069" Type="http://schemas.openxmlformats.org/officeDocument/2006/relationships/hyperlink" Target="http://www.boxofficemojo.com/studio/chart/?studio=zeitgeist.htm" TargetMode="External"/><Relationship Id="rId1844" Type="http://schemas.openxmlformats.org/officeDocument/2006/relationships/hyperlink" Target="http://www.boxofficemojo.com/schedule/?view=bydate&amp;release=theatrical&amp;date=2016-01-15&amp;p=.htm" TargetMode="External"/><Relationship Id="rId1845" Type="http://schemas.openxmlformats.org/officeDocument/2006/relationships/hyperlink" Target="http://www.boxofficemojo.com/movies/?id=yosemite.htm" TargetMode="External"/><Relationship Id="rId1846" Type="http://schemas.openxmlformats.org/officeDocument/2006/relationships/hyperlink" Target="http://www.boxofficemojo.com/studio/chart/?studio=montereymediainc.htm" TargetMode="External"/><Relationship Id="rId1847" Type="http://schemas.openxmlformats.org/officeDocument/2006/relationships/hyperlink" Target="http://www.boxofficemojo.com/schedule/?view=bydate&amp;release=theatrical&amp;date=2016-01-01&amp;p=.htm" TargetMode="External"/><Relationship Id="rId1848" Type="http://schemas.openxmlformats.org/officeDocument/2006/relationships/hyperlink" Target="http://www.boxofficemojo.com/movies/?id=aspaceprogram.htm" TargetMode="External"/><Relationship Id="rId1849" Type="http://schemas.openxmlformats.org/officeDocument/2006/relationships/hyperlink" Target="http://www.boxofficemojo.com/studio/chart/?studio=zeitgeist.htm" TargetMode="External"/><Relationship Id="rId2140" Type="http://schemas.openxmlformats.org/officeDocument/2006/relationships/hyperlink" Target="http://www.boxofficemojo.com/studio/chart/?studio=icarus.htm" TargetMode="External"/><Relationship Id="rId2141" Type="http://schemas.openxmlformats.org/officeDocument/2006/relationships/hyperlink" Target="http://www.boxofficemojo.com/schedule/?view=bydate&amp;release=theatrical&amp;date=2016-04-17&amp;p=.htm" TargetMode="External"/><Relationship Id="rId2142" Type="http://schemas.openxmlformats.org/officeDocument/2006/relationships/hyperlink" Target="http://www.boxofficemojo.com/movies/?id=1000rupeenote.htm" TargetMode="External"/><Relationship Id="rId2143" Type="http://schemas.openxmlformats.org/officeDocument/2006/relationships/hyperlink" Target="http://www.boxofficemojo.com/studio/chart/?studio=kinolorber.htm" TargetMode="External"/><Relationship Id="rId2144" Type="http://schemas.openxmlformats.org/officeDocument/2006/relationships/hyperlink" Target="http://www.boxofficemojo.com/schedule/?view=bydate&amp;release=theatrical&amp;date=2016-09-23&amp;p=.htm" TargetMode="External"/><Relationship Id="rId2145" Type="http://schemas.openxmlformats.org/officeDocument/2006/relationships/hyperlink" Target="http://www.boxofficemojo.com/movies/?id=memoria.htm" TargetMode="External"/><Relationship Id="rId2146" Type="http://schemas.openxmlformats.org/officeDocument/2006/relationships/hyperlink" Target="http://www.boxofficemojo.com/studio/chart/?studio=montereymediainc.htm" TargetMode="External"/><Relationship Id="rId2147" Type="http://schemas.openxmlformats.org/officeDocument/2006/relationships/hyperlink" Target="http://www.boxofficemojo.com/schedule/?view=bydate&amp;release=theatrical&amp;date=2016-04-08&amp;p=.htm" TargetMode="External"/><Relationship Id="rId2148" Type="http://schemas.openxmlformats.org/officeDocument/2006/relationships/hyperlink" Target="http://www.boxofficemojo.com/movies/?id=thevigilantediaries.htm" TargetMode="External"/><Relationship Id="rId2149" Type="http://schemas.openxmlformats.org/officeDocument/2006/relationships/hyperlink" Target="http://www.boxofficemojo.com/studio/chart/?studio=anchorbayentertainment.htm" TargetMode="External"/><Relationship Id="rId200" Type="http://schemas.openxmlformats.org/officeDocument/2006/relationships/hyperlink" Target="http://www.boxofficemojo.com/schedule/?view=bydate&amp;release=theatrical&amp;date=2016-01-15&amp;p=.htm" TargetMode="External"/><Relationship Id="rId201" Type="http://schemas.openxmlformats.org/officeDocument/2006/relationships/hyperlink" Target="http://www.boxofficemojo.com/movies/?id=lion.htm" TargetMode="External"/><Relationship Id="rId202" Type="http://schemas.openxmlformats.org/officeDocument/2006/relationships/hyperlink" Target="http://www.boxofficemojo.com/studio/chart/?studio=weinsteincompany.htm" TargetMode="External"/><Relationship Id="rId203" Type="http://schemas.openxmlformats.org/officeDocument/2006/relationships/hyperlink" Target="http://www.boxofficemojo.com/schedule/?view=bydate&amp;release=theatrical&amp;date=2016-11-25&amp;p=.htm" TargetMode="External"/><Relationship Id="rId204" Type="http://schemas.openxmlformats.org/officeDocument/2006/relationships/hyperlink" Target="http://www.boxofficemojo.com/movies/?id=huntsman.htm" TargetMode="External"/><Relationship Id="rId205" Type="http://schemas.openxmlformats.org/officeDocument/2006/relationships/hyperlink" Target="http://www.boxofficemojo.com/studio/chart/?studio=universal.htm" TargetMode="External"/><Relationship Id="rId206" Type="http://schemas.openxmlformats.org/officeDocument/2006/relationships/hyperlink" Target="http://www.boxofficemojo.com/schedule/?view=bydate&amp;release=theatrical&amp;date=2016-04-22&amp;p=.htm" TargetMode="External"/><Relationship Id="rId207" Type="http://schemas.openxmlformats.org/officeDocument/2006/relationships/hyperlink" Target="http://www.boxofficemojo.com/movies/?id=kuboandthetwostrings.htm" TargetMode="External"/><Relationship Id="rId208" Type="http://schemas.openxmlformats.org/officeDocument/2006/relationships/hyperlink" Target="http://www.boxofficemojo.com/studio/chart/?studio=focus.htm" TargetMode="External"/><Relationship Id="rId209" Type="http://schemas.openxmlformats.org/officeDocument/2006/relationships/hyperlink" Target="http://www.boxofficemojo.com/schedule/?view=bydate&amp;release=theatrical&amp;date=2016-08-19&amp;p=.htm" TargetMode="External"/><Relationship Id="rId1850" Type="http://schemas.openxmlformats.org/officeDocument/2006/relationships/hyperlink" Target="http://www.boxofficemojo.com/schedule/?view=bydate&amp;release=theatrical&amp;date=2016-03-18&amp;p=.htm" TargetMode="External"/><Relationship Id="rId1851" Type="http://schemas.openxmlformats.org/officeDocument/2006/relationships/hyperlink" Target="http://www.boxofficemojo.com/movies/?id=tikkun.htm" TargetMode="External"/><Relationship Id="rId1852" Type="http://schemas.openxmlformats.org/officeDocument/2006/relationships/hyperlink" Target="http://www.boxofficemojo.com/studio/chart/?studio=kinolorber.htm" TargetMode="External"/><Relationship Id="rId1853" Type="http://schemas.openxmlformats.org/officeDocument/2006/relationships/hyperlink" Target="http://www.boxofficemojo.com/schedule/?view=bydate&amp;release=theatrical&amp;date=2016-06-10&amp;p=.htm" TargetMode="External"/><Relationship Id="rId1460" Type="http://schemas.openxmlformats.org/officeDocument/2006/relationships/hyperlink" Target="http://www.boxofficemojo.com/schedule/?view=bydate&amp;release=theatrical&amp;date=2016-09-16&amp;p=.htm" TargetMode="External"/><Relationship Id="rId1461" Type="http://schemas.openxmlformats.org/officeDocument/2006/relationships/hyperlink" Target="http://www.boxofficemojo.com/movies/?id=homelessbillionaire.htm" TargetMode="External"/><Relationship Id="rId1462" Type="http://schemas.openxmlformats.org/officeDocument/2006/relationships/hyperlink" Target="http://www.boxofficemojo.com/studio/chart/?studio=hannoverhouse.htm" TargetMode="External"/><Relationship Id="rId1463" Type="http://schemas.openxmlformats.org/officeDocument/2006/relationships/hyperlink" Target="http://www.boxofficemojo.com/schedule/?view=bydate&amp;release=theatrical&amp;date=2016-06-17&amp;p=.htm" TargetMode="External"/><Relationship Id="rId1464" Type="http://schemas.openxmlformats.org/officeDocument/2006/relationships/hyperlink" Target="http://www.boxofficemojo.com/movies/?id=lanotte2016.htm" TargetMode="External"/><Relationship Id="rId1465" Type="http://schemas.openxmlformats.org/officeDocument/2006/relationships/hyperlink" Target="http://www.boxofficemojo.com/studio/chart/?studio=rialto.htm" TargetMode="External"/><Relationship Id="rId1466" Type="http://schemas.openxmlformats.org/officeDocument/2006/relationships/hyperlink" Target="http://www.boxofficemojo.com/schedule/?view=bydate&amp;release=theatrical&amp;date=2016-09-14&amp;p=.htm" TargetMode="External"/><Relationship Id="rId1467" Type="http://schemas.openxmlformats.org/officeDocument/2006/relationships/hyperlink" Target="http://www.boxofficemojo.com/movies/?id=restoredme.htm" TargetMode="External"/><Relationship Id="rId1468" Type="http://schemas.openxmlformats.org/officeDocument/2006/relationships/hyperlink" Target="http://www.boxofficemojo.com/studio/chart/?studio=gathrfilms.htm" TargetMode="External"/><Relationship Id="rId1469" Type="http://schemas.openxmlformats.org/officeDocument/2006/relationships/hyperlink" Target="http://www.boxofficemojo.com/schedule/?view=bydate&amp;release=theatrical&amp;date=2016-06-06&amp;p=.htm" TargetMode="External"/><Relationship Id="rId1070" Type="http://schemas.openxmlformats.org/officeDocument/2006/relationships/hyperlink" Target="http://www.boxofficemojo.com/schedule/?view=bydate&amp;release=theatrical&amp;date=2016-04-27&amp;p=.htm" TargetMode="External"/><Relationship Id="rId1071" Type="http://schemas.openxmlformats.org/officeDocument/2006/relationships/hyperlink" Target="http://www.boxofficemojo.com/movies/?id=borntobebluecanada.htm" TargetMode="External"/><Relationship Id="rId1072" Type="http://schemas.openxmlformats.org/officeDocument/2006/relationships/hyperlink" Target="http://www.boxofficemojo.com/studio/chart/?studio=entertainmentone.htm" TargetMode="External"/><Relationship Id="rId1073" Type="http://schemas.openxmlformats.org/officeDocument/2006/relationships/hyperlink" Target="http://www.boxofficemojo.com/schedule/?view=bydate&amp;release=theatrical&amp;date=2016-03-04&amp;p=.htm" TargetMode="External"/><Relationship Id="rId1074" Type="http://schemas.openxmlformats.org/officeDocument/2006/relationships/hyperlink" Target="http://www.boxofficemojo.com/movies/?id=generationfound.htm" TargetMode="External"/><Relationship Id="rId1075" Type="http://schemas.openxmlformats.org/officeDocument/2006/relationships/hyperlink" Target="http://www.boxofficemojo.com/studio/chart/?studio=gathrfilms.htm" TargetMode="External"/><Relationship Id="rId1076" Type="http://schemas.openxmlformats.org/officeDocument/2006/relationships/hyperlink" Target="http://www.boxofficemojo.com/schedule/?view=bydate&amp;release=theatrical&amp;date=2016-08-29&amp;p=.htm" TargetMode="External"/><Relationship Id="rId1077" Type="http://schemas.openxmlformats.org/officeDocument/2006/relationships/hyperlink" Target="http://www.boxofficemojo.com/movies/?id=kicks.htm" TargetMode="External"/><Relationship Id="rId1078" Type="http://schemas.openxmlformats.org/officeDocument/2006/relationships/hyperlink" Target="http://www.boxofficemojo.com/studio/chart/?studio=focusworld.htm" TargetMode="External"/><Relationship Id="rId1079" Type="http://schemas.openxmlformats.org/officeDocument/2006/relationships/hyperlink" Target="http://www.boxofficemojo.com/schedule/?view=bydate&amp;release=theatrical&amp;date=2016-09-09&amp;p=.htm" TargetMode="External"/><Relationship Id="rId1854" Type="http://schemas.openxmlformats.org/officeDocument/2006/relationships/hyperlink" Target="http://www.boxofficemojo.com/movies/?id=spicesofliberty.htm" TargetMode="External"/><Relationship Id="rId1855" Type="http://schemas.openxmlformats.org/officeDocument/2006/relationships/hyperlink" Target="http://www.boxofficemojo.com/studio/chart/?studio=hannoverhouse.htm" TargetMode="External"/><Relationship Id="rId1856" Type="http://schemas.openxmlformats.org/officeDocument/2006/relationships/hyperlink" Target="http://www.boxofficemojo.com/schedule/?view=bydate&amp;release=theatrical&amp;date=2016-10-21&amp;p=.htm" TargetMode="External"/><Relationship Id="rId1857" Type="http://schemas.openxmlformats.org/officeDocument/2006/relationships/hyperlink" Target="http://www.boxofficemojo.com/movies/?id=theduelist16.htm" TargetMode="External"/><Relationship Id="rId1858" Type="http://schemas.openxmlformats.org/officeDocument/2006/relationships/hyperlink" Target="http://www.boxofficemojo.com/studio/chart/?studio=sony.htm" TargetMode="External"/><Relationship Id="rId1859" Type="http://schemas.openxmlformats.org/officeDocument/2006/relationships/hyperlink" Target="http://www.boxofficemojo.com/schedule/?view=bydate&amp;release=theatrical&amp;date=2016-12-02&amp;p=.htm" TargetMode="External"/><Relationship Id="rId2150" Type="http://schemas.openxmlformats.org/officeDocument/2006/relationships/hyperlink" Target="http://www.boxofficemojo.com/schedule/?view=bydate&amp;release=theatrical&amp;date=2016-06-24&amp;p=.htm" TargetMode="External"/><Relationship Id="rId2151" Type="http://schemas.openxmlformats.org/officeDocument/2006/relationships/hyperlink" Target="http://www.boxofficemojo.com/movies/?id=watermelon20thanni.htm" TargetMode="External"/><Relationship Id="rId2152" Type="http://schemas.openxmlformats.org/officeDocument/2006/relationships/hyperlink" Target="http://www.boxofficemojo.com/studio/chart/?studio=firstrun.htm" TargetMode="External"/><Relationship Id="rId2153" Type="http://schemas.openxmlformats.org/officeDocument/2006/relationships/hyperlink" Target="http://www.boxofficemojo.com/schedule/?view=bydate&amp;release=theatrical&amp;date=2016-11-10&amp;p=.htm" TargetMode="External"/><Relationship Id="rId2154" Type="http://schemas.openxmlformats.org/officeDocument/2006/relationships/hyperlink" Target="http://www.boxofficemojo.com/movies/?id=abeautifulnow.htm" TargetMode="External"/><Relationship Id="rId2155" Type="http://schemas.openxmlformats.org/officeDocument/2006/relationships/hyperlink" Target="http://www.boxofficemojo.com/studio/chart/?studio=montereymediainc.htm" TargetMode="External"/><Relationship Id="rId2156" Type="http://schemas.openxmlformats.org/officeDocument/2006/relationships/hyperlink" Target="http://www.boxofficemojo.com/schedule/?view=bydate&amp;release=theatrical&amp;date=2016-09-02&amp;p=.htm" TargetMode="External"/><Relationship Id="rId2157" Type="http://schemas.openxmlformats.org/officeDocument/2006/relationships/hyperlink" Target="http://www.boxofficemojo.com/movies/?id=inhername.htm" TargetMode="External"/><Relationship Id="rId2158" Type="http://schemas.openxmlformats.org/officeDocument/2006/relationships/hyperlink" Target="http://www.boxofficemojo.com/studio/chart/?studio=distribfilms.htm" TargetMode="External"/><Relationship Id="rId2159" Type="http://schemas.openxmlformats.org/officeDocument/2006/relationships/hyperlink" Target="http://www.boxofficemojo.com/schedule/?view=bydate&amp;release=theatrical&amp;date=2016-12-02&amp;p=.htm" TargetMode="External"/><Relationship Id="rId600" Type="http://schemas.openxmlformats.org/officeDocument/2006/relationships/hyperlink" Target="http://www.boxofficemojo.com/movies/?id=traintobusan.htm" TargetMode="External"/><Relationship Id="rId601" Type="http://schemas.openxmlformats.org/officeDocument/2006/relationships/hyperlink" Target="http://www.boxofficemojo.com/studio/chart/?studio=wellgo.htm" TargetMode="External"/><Relationship Id="rId602" Type="http://schemas.openxmlformats.org/officeDocument/2006/relationships/hyperlink" Target="http://www.boxofficemojo.com/schedule/?view=bydate&amp;release=theatrical&amp;date=2016-07-22&amp;p=.htm" TargetMode="External"/><Relationship Id="rId603" Type="http://schemas.openxmlformats.org/officeDocument/2006/relationships/hyperlink" Target="http://www.boxofficemojo.com/movies/?id=imnotashamed.htm" TargetMode="External"/><Relationship Id="rId604" Type="http://schemas.openxmlformats.org/officeDocument/2006/relationships/hyperlink" Target="http://www.boxofficemojo.com/studio/chart/?studio=pureflix.htm" TargetMode="External"/><Relationship Id="rId605" Type="http://schemas.openxmlformats.org/officeDocument/2006/relationships/hyperlink" Target="http://www.boxofficemojo.com/schedule/?view=bydate&amp;release=theatrical&amp;date=2016-10-21&amp;p=.htm" TargetMode="External"/><Relationship Id="rId606" Type="http://schemas.openxmlformats.org/officeDocument/2006/relationships/hyperlink" Target="http://www.boxofficemojo.com/movies/?id=abiggersplash.htm" TargetMode="External"/><Relationship Id="rId607" Type="http://schemas.openxmlformats.org/officeDocument/2006/relationships/hyperlink" Target="http://www.boxofficemojo.com/studio/chart/?studio=foxsearchlight.htm" TargetMode="External"/><Relationship Id="rId608" Type="http://schemas.openxmlformats.org/officeDocument/2006/relationships/hyperlink" Target="http://www.boxofficemojo.com/schedule/?view=bydate&amp;release=theatrical&amp;date=2016-05-04&amp;p=.htm" TargetMode="External"/><Relationship Id="rId609" Type="http://schemas.openxmlformats.org/officeDocument/2006/relationships/hyperlink" Target="http://www.boxofficemojo.com/movies/?id=thedressmaker.htm" TargetMode="External"/><Relationship Id="rId210" Type="http://schemas.openxmlformats.org/officeDocument/2006/relationships/hyperlink" Target="http://www.boxofficemojo.com/movies/?id=manchesterbythesea.htm" TargetMode="External"/><Relationship Id="rId211" Type="http://schemas.openxmlformats.org/officeDocument/2006/relationships/hyperlink" Target="http://www.boxofficemojo.com/studio/chart/?studio=roadsideattractions.htm" TargetMode="External"/><Relationship Id="rId212" Type="http://schemas.openxmlformats.org/officeDocument/2006/relationships/hyperlink" Target="http://www.boxofficemojo.com/schedule/?view=bydate&amp;release=theatrical&amp;date=2016-11-18&amp;p=.htm" TargetMode="External"/><Relationship Id="rId213" Type="http://schemas.openxmlformats.org/officeDocument/2006/relationships/hyperlink" Target="http://www.boxofficemojo.com/movies/?id=warcraft.htm" TargetMode="External"/><Relationship Id="rId214" Type="http://schemas.openxmlformats.org/officeDocument/2006/relationships/hyperlink" Target="http://www.boxofficemojo.com/studio/chart/?studio=universal.htm" TargetMode="External"/><Relationship Id="rId215" Type="http://schemas.openxmlformats.org/officeDocument/2006/relationships/hyperlink" Target="http://www.boxofficemojo.com/schedule/?view=bydate&amp;release=theatrical&amp;date=2016-06-10&amp;p=.htm" TargetMode="External"/><Relationship Id="rId216" Type="http://schemas.openxmlformats.org/officeDocument/2006/relationships/hyperlink" Target="http://www.boxofficemojo.com/movies/?id=howtobesingle.htm" TargetMode="External"/><Relationship Id="rId217" Type="http://schemas.openxmlformats.org/officeDocument/2006/relationships/hyperlink" Target="http://www.boxofficemojo.com/studio/chart/?studio=wb-newline.htm" TargetMode="External"/><Relationship Id="rId218" Type="http://schemas.openxmlformats.org/officeDocument/2006/relationships/hyperlink" Target="http://www.boxofficemojo.com/schedule/?view=bydate&amp;release=theatrical&amp;date=2016-02-12&amp;p=.htm" TargetMode="External"/><Relationship Id="rId219" Type="http://schemas.openxmlformats.org/officeDocument/2006/relationships/hyperlink" Target="http://www.boxofficemojo.com/movies/?id=mikeanddave.htm" TargetMode="External"/><Relationship Id="rId1860" Type="http://schemas.openxmlformats.org/officeDocument/2006/relationships/hyperlink" Target="http://www.boxofficemojo.com/movies/?id=latespring2016.htm" TargetMode="External"/><Relationship Id="rId1861" Type="http://schemas.openxmlformats.org/officeDocument/2006/relationships/hyperlink" Target="http://www.boxofficemojo.com/studio/chart/?studio=janusfilms.htm" TargetMode="External"/><Relationship Id="rId1862" Type="http://schemas.openxmlformats.org/officeDocument/2006/relationships/hyperlink" Target="http://www.boxofficemojo.com/schedule/?view=bydate&amp;release=theatrical&amp;date=2016-03-04&amp;p=.htm" TargetMode="External"/><Relationship Id="rId1863" Type="http://schemas.openxmlformats.org/officeDocument/2006/relationships/hyperlink" Target="http://www.boxofficemojo.com/movies/?id=adderalldiaries.htm" TargetMode="External"/><Relationship Id="rId1470" Type="http://schemas.openxmlformats.org/officeDocument/2006/relationships/hyperlink" Target="http://www.boxofficemojo.com/movies/?id=catchingthesun.htm" TargetMode="External"/><Relationship Id="rId1471" Type="http://schemas.openxmlformats.org/officeDocument/2006/relationships/hyperlink" Target="http://www.boxofficemojo.com/studio/chart/?studio=filmcollaborative.htm" TargetMode="External"/><Relationship Id="rId1472" Type="http://schemas.openxmlformats.org/officeDocument/2006/relationships/hyperlink" Target="http://www.boxofficemojo.com/schedule/?view=bydate&amp;release=theatrical&amp;date=2016-04-01&amp;p=.htm" TargetMode="External"/><Relationship Id="rId1473" Type="http://schemas.openxmlformats.org/officeDocument/2006/relationships/hyperlink" Target="http://www.boxofficemojo.com/movies/?id=spanight.htm" TargetMode="External"/><Relationship Id="rId1474" Type="http://schemas.openxmlformats.org/officeDocument/2006/relationships/hyperlink" Target="http://www.boxofficemojo.com/studio/chart/?studio=strand.htm" TargetMode="External"/><Relationship Id="rId1475" Type="http://schemas.openxmlformats.org/officeDocument/2006/relationships/hyperlink" Target="http://www.boxofficemojo.com/schedule/?view=bydate&amp;release=theatrical&amp;date=2016-08-19&amp;p=.htm" TargetMode="External"/><Relationship Id="rId1476" Type="http://schemas.openxmlformats.org/officeDocument/2006/relationships/hyperlink" Target="http://www.boxofficemojo.com/movies/?id=germansandjews.htm" TargetMode="External"/><Relationship Id="rId1477" Type="http://schemas.openxmlformats.org/officeDocument/2006/relationships/hyperlink" Target="http://www.boxofficemojo.com/studio/chart/?studio=firstrun.htm" TargetMode="External"/><Relationship Id="rId1478" Type="http://schemas.openxmlformats.org/officeDocument/2006/relationships/hyperlink" Target="http://www.boxofficemojo.com/schedule/?view=bydate&amp;release=theatrical&amp;date=2016-06-10&amp;p=.htm" TargetMode="External"/><Relationship Id="rId1479" Type="http://schemas.openxmlformats.org/officeDocument/2006/relationships/hyperlink" Target="http://www.boxofficemojo.com/movies/?id=bandofoutsiders2016.htm" TargetMode="External"/><Relationship Id="rId1080" Type="http://schemas.openxmlformats.org/officeDocument/2006/relationships/hyperlink" Target="http://www.boxofficemojo.com/movies/?id=seasons.htm" TargetMode="External"/><Relationship Id="rId1081" Type="http://schemas.openxmlformats.org/officeDocument/2006/relationships/hyperlink" Target="http://www.boxofficemojo.com/studio/chart/?studio=musicboxfilms.htm" TargetMode="External"/><Relationship Id="rId1082" Type="http://schemas.openxmlformats.org/officeDocument/2006/relationships/hyperlink" Target="http://www.boxofficemojo.com/schedule/?view=bydate&amp;release=theatrical&amp;date=2016-11-25&amp;p=.htm" TargetMode="External"/><Relationship Id="rId1083" Type="http://schemas.openxmlformats.org/officeDocument/2006/relationships/hyperlink" Target="http://www.boxofficemojo.com/movies/?id=rams.htm" TargetMode="External"/><Relationship Id="rId1084" Type="http://schemas.openxmlformats.org/officeDocument/2006/relationships/hyperlink" Target="http://www.boxofficemojo.com/studio/chart/?studio=cohenmedia.htm" TargetMode="External"/><Relationship Id="rId1085" Type="http://schemas.openxmlformats.org/officeDocument/2006/relationships/hyperlink" Target="http://www.boxofficemojo.com/schedule/?view=bydate&amp;release=theatrical&amp;date=2016-02-03&amp;p=.htm" TargetMode="External"/><Relationship Id="rId1086" Type="http://schemas.openxmlformats.org/officeDocument/2006/relationships/hyperlink" Target="http://www.boxofficemojo.com/movies/?id=trumpland.htm" TargetMode="External"/><Relationship Id="rId1087" Type="http://schemas.openxmlformats.org/officeDocument/2006/relationships/hyperlink" Target="http://www.boxofficemojo.com/studio/chart/?studio=mmoore.htm" TargetMode="External"/><Relationship Id="rId1088" Type="http://schemas.openxmlformats.org/officeDocument/2006/relationships/hyperlink" Target="http://www.boxofficemojo.com/schedule/?view=bydate&amp;release=theatrical&amp;date=2016-10-19&amp;p=.htm" TargetMode="External"/><Relationship Id="rId1089" Type="http://schemas.openxmlformats.org/officeDocument/2006/relationships/hyperlink" Target="http://www.boxofficemojo.com/movies/?id=touchedwithfire.htm" TargetMode="External"/><Relationship Id="rId1864" Type="http://schemas.openxmlformats.org/officeDocument/2006/relationships/hyperlink" Target="http://www.boxofficemojo.com/studio/chart/?studio=a24.htm" TargetMode="External"/><Relationship Id="rId1865" Type="http://schemas.openxmlformats.org/officeDocument/2006/relationships/hyperlink" Target="http://www.boxofficemojo.com/schedule/?view=bydate&amp;release=theatrical&amp;date=2016-04-15&amp;p=.htm" TargetMode="External"/><Relationship Id="rId1866" Type="http://schemas.openxmlformats.org/officeDocument/2006/relationships/hyperlink" Target="http://www.boxofficemojo.com/movies/?id=theprogram2015.htm" TargetMode="External"/><Relationship Id="rId1867" Type="http://schemas.openxmlformats.org/officeDocument/2006/relationships/hyperlink" Target="http://www.boxofficemojo.com/studio/chart/?studio=entertainmentone.htm" TargetMode="External"/><Relationship Id="rId1868" Type="http://schemas.openxmlformats.org/officeDocument/2006/relationships/hyperlink" Target="http://www.boxofficemojo.com/schedule/?view=bydate&amp;release=theatrical&amp;date=2016-03-18&amp;p=.htm" TargetMode="External"/><Relationship Id="rId1869" Type="http://schemas.openxmlformats.org/officeDocument/2006/relationships/hyperlink" Target="http://www.boxofficemojo.com/movies/?id=neitherheavennorearth.htm" TargetMode="External"/><Relationship Id="rId2160" Type="http://schemas.openxmlformats.org/officeDocument/2006/relationships/hyperlink" Target="http://www.boxofficemojo.com/movies/?id=missindiaamerica.htm" TargetMode="External"/><Relationship Id="rId2161" Type="http://schemas.openxmlformats.org/officeDocument/2006/relationships/hyperlink" Target="http://www.boxofficemojo.com/studio/chart/?studio=marvista.htm" TargetMode="External"/><Relationship Id="rId2162" Type="http://schemas.openxmlformats.org/officeDocument/2006/relationships/hyperlink" Target="http://www.boxofficemojo.com/schedule/?view=bydate&amp;release=theatrical&amp;date=2016-03-24&amp;p=.htm" TargetMode="External"/><Relationship Id="rId2163" Type="http://schemas.openxmlformats.org/officeDocument/2006/relationships/hyperlink" Target="http://www.boxofficemojo.com/movies/?id=levelup.htm" TargetMode="External"/><Relationship Id="rId2164" Type="http://schemas.openxmlformats.org/officeDocument/2006/relationships/hyperlink" Target="http://www.boxofficemojo.com/studio/chart/?studio=filmbuff.htm" TargetMode="External"/><Relationship Id="rId2165" Type="http://schemas.openxmlformats.org/officeDocument/2006/relationships/hyperlink" Target="http://www.boxofficemojo.com/schedule/?view=bydate&amp;release=theatrical&amp;date=2016-08-26&amp;p=.htm" TargetMode="External"/><Relationship Id="rId2166" Type="http://schemas.openxmlformats.org/officeDocument/2006/relationships/hyperlink" Target="http://www.boxofficemojo.com/movies/?id=hyenaroad.htm" TargetMode="External"/><Relationship Id="rId2167" Type="http://schemas.openxmlformats.org/officeDocument/2006/relationships/hyperlink" Target="http://www.boxofficemojo.com/studio/chart/?studio=samuelgoldwyn.htm" TargetMode="External"/><Relationship Id="rId2168" Type="http://schemas.openxmlformats.org/officeDocument/2006/relationships/hyperlink" Target="http://www.boxofficemojo.com/schedule/?view=bydate&amp;release=theatrical&amp;date=2016-03-11&amp;p=.htm" TargetMode="External"/><Relationship Id="rId2169" Type="http://schemas.openxmlformats.org/officeDocument/2006/relationships/hyperlink" Target="http://www.boxofficemojo.com/movies/?id=silenceofmarkrothko.htm" TargetMode="External"/><Relationship Id="rId610" Type="http://schemas.openxmlformats.org/officeDocument/2006/relationships/hyperlink" Target="http://www.boxofficemojo.com/studio/chart/?studio=broadgreen.htm" TargetMode="External"/><Relationship Id="rId611" Type="http://schemas.openxmlformats.org/officeDocument/2006/relationships/hyperlink" Target="http://www.boxofficemojo.com/schedule/?view=bydate&amp;release=theatrical&amp;date=2016-09-23&amp;p=.htm" TargetMode="External"/><Relationship Id="rId612" Type="http://schemas.openxmlformats.org/officeDocument/2006/relationships/hyperlink" Target="http://www.boxofficemojo.com/movies/?id=thehandmaiden.htm" TargetMode="External"/><Relationship Id="rId613" Type="http://schemas.openxmlformats.org/officeDocument/2006/relationships/hyperlink" Target="http://www.boxofficemojo.com/studio/chart/?studio=magnolia.htm" TargetMode="External"/><Relationship Id="rId614" Type="http://schemas.openxmlformats.org/officeDocument/2006/relationships/hyperlink" Target="http://www.boxofficemojo.com/schedule/?view=bydate&amp;release=theatrical&amp;date=2016-10-21&amp;p=.htm" TargetMode="External"/><Relationship Id="rId615" Type="http://schemas.openxmlformats.org/officeDocument/2006/relationships/hyperlink" Target="http://www.boxofficemojo.com/movies/?id=desierto.htm" TargetMode="External"/><Relationship Id="rId616" Type="http://schemas.openxmlformats.org/officeDocument/2006/relationships/hyperlink" Target="http://www.boxofficemojo.com/studio/chart/?studio=stx.htm" TargetMode="External"/><Relationship Id="rId617" Type="http://schemas.openxmlformats.org/officeDocument/2006/relationships/hyperlink" Target="http://www.boxofficemojo.com/schedule/?view=bydate&amp;release=theatrical&amp;date=2016-10-14&amp;p=.htm" TargetMode="External"/><Relationship Id="rId618" Type="http://schemas.openxmlformats.org/officeDocument/2006/relationships/hyperlink" Target="http://www.boxofficemojo.com/movies/?id=greater.htm" TargetMode="External"/><Relationship Id="rId619" Type="http://schemas.openxmlformats.org/officeDocument/2006/relationships/hyperlink" Target="http://www.boxofficemojo.com/studio/chart/?studio=hammond.htm" TargetMode="External"/><Relationship Id="rId220" Type="http://schemas.openxmlformats.org/officeDocument/2006/relationships/hyperlink" Target="http://www.boxofficemojo.com/studio/chart/?studio=fox.htm" TargetMode="External"/><Relationship Id="rId221" Type="http://schemas.openxmlformats.org/officeDocument/2006/relationships/hyperlink" Target="http://www.boxofficemojo.com/schedule/?view=bydate&amp;release=theatrical&amp;date=2016-07-08&amp;p=.htm" TargetMode="External"/><Relationship Id="rId222" Type="http://schemas.openxmlformats.org/officeDocument/2006/relationships/hyperlink" Target="http://www.boxofficemojo.com/movies/?id=armsandthedudes.htm" TargetMode="External"/><Relationship Id="rId223" Type="http://schemas.openxmlformats.org/officeDocument/2006/relationships/hyperlink" Target="http://www.boxofficemojo.com/studio/chart/?studio=warnerbros.htm" TargetMode="External"/><Relationship Id="rId224" Type="http://schemas.openxmlformats.org/officeDocument/2006/relationships/hyperlink" Target="http://www.boxofficemojo.com/schedule/?view=bydate&amp;release=theatrical&amp;date=2016-08-19&amp;p=.htm" TargetMode="External"/><Relationship Id="rId225" Type="http://schemas.openxmlformats.org/officeDocument/2006/relationships/hyperlink" Target="http://www.boxofficemojo.com/movies/?id=ameyerschristmas.htm" TargetMode="External"/><Relationship Id="rId226" Type="http://schemas.openxmlformats.org/officeDocument/2006/relationships/hyperlink" Target="http://www.boxofficemojo.com/studio/chart/?studio=universal.htm" TargetMode="External"/><Relationship Id="rId227" Type="http://schemas.openxmlformats.org/officeDocument/2006/relationships/hyperlink" Target="http://www.boxofficemojo.com/schedule/?view=bydate&amp;release=theatrical&amp;date=2016-11-11&amp;p=.htm" TargetMode="External"/><Relationship Id="rId228" Type="http://schemas.openxmlformats.org/officeDocument/2006/relationships/hyperlink" Target="http://www.boxofficemojo.com/movies/?id=moneymonster.htm" TargetMode="External"/><Relationship Id="rId229" Type="http://schemas.openxmlformats.org/officeDocument/2006/relationships/hyperlink" Target="http://www.boxofficemojo.com/studio/chart/?studio=tristar.htm" TargetMode="External"/><Relationship Id="rId1870" Type="http://schemas.openxmlformats.org/officeDocument/2006/relationships/hyperlink" Target="http://www.boxofficemojo.com/studio/chart/?studio=filmmovement.htm" TargetMode="External"/><Relationship Id="rId1871" Type="http://schemas.openxmlformats.org/officeDocument/2006/relationships/hyperlink" Target="http://www.boxofficemojo.com/schedule/?view=bydate&amp;release=theatrical&amp;date=2016-08-05&amp;p=.htm" TargetMode="External"/><Relationship Id="rId1872" Type="http://schemas.openxmlformats.org/officeDocument/2006/relationships/hyperlink" Target="http://www.boxofficemojo.com/movies/?id=monster2016.htm" TargetMode="External"/><Relationship Id="rId1873" Type="http://schemas.openxmlformats.org/officeDocument/2006/relationships/hyperlink" Target="http://www.boxofficemojo.com/studio/chart/?studio=a24.htm" TargetMode="External"/><Relationship Id="rId1480" Type="http://schemas.openxmlformats.org/officeDocument/2006/relationships/hyperlink" Target="http://www.boxofficemojo.com/studio/chart/?studio=rialto.htm" TargetMode="External"/><Relationship Id="rId1481" Type="http://schemas.openxmlformats.org/officeDocument/2006/relationships/hyperlink" Target="http://www.boxofficemojo.com/schedule/?view=bydate&amp;release=theatrical&amp;date=2016-05-06&amp;p=.htm" TargetMode="External"/><Relationship Id="rId1482" Type="http://schemas.openxmlformats.org/officeDocument/2006/relationships/hyperlink" Target="http://www.boxofficemojo.com/movies/?id=comewhatmay.htm" TargetMode="External"/><Relationship Id="rId1483" Type="http://schemas.openxmlformats.org/officeDocument/2006/relationships/hyperlink" Target="http://www.boxofficemojo.com/studio/chart/?studio=cohenmedia.htm" TargetMode="External"/><Relationship Id="rId1484" Type="http://schemas.openxmlformats.org/officeDocument/2006/relationships/hyperlink" Target="http://www.boxofficemojo.com/schedule/?view=bydate&amp;release=theatrical&amp;date=2016-09-09&amp;p=.htm" TargetMode="External"/><Relationship Id="rId1485" Type="http://schemas.openxmlformats.org/officeDocument/2006/relationships/hyperlink" Target="http://www.boxofficemojo.com/movies/?id=trustfund.htm" TargetMode="External"/><Relationship Id="rId1486" Type="http://schemas.openxmlformats.org/officeDocument/2006/relationships/hyperlink" Target="http://www.boxofficemojo.com/studio/chart/?studio=transatlantic.htm" TargetMode="External"/><Relationship Id="rId1487" Type="http://schemas.openxmlformats.org/officeDocument/2006/relationships/hyperlink" Target="http://www.boxofficemojo.com/schedule/?view=bydate&amp;release=theatrical&amp;date=2016-01-08&amp;p=.htm" TargetMode="External"/><Relationship Id="rId1488" Type="http://schemas.openxmlformats.org/officeDocument/2006/relationships/hyperlink" Target="http://www.boxofficemojo.com/movies/?id=killmedeadly.htm" TargetMode="External"/><Relationship Id="rId1489" Type="http://schemas.openxmlformats.org/officeDocument/2006/relationships/hyperlink" Target="http://www.boxofficemojo.com/studio/chart/?studio=indican.htm" TargetMode="External"/><Relationship Id="rId1090" Type="http://schemas.openxmlformats.org/officeDocument/2006/relationships/hyperlink" Target="http://www.boxofficemojo.com/studio/chart/?studio=roadsideattractions.htm" TargetMode="External"/><Relationship Id="rId1091" Type="http://schemas.openxmlformats.org/officeDocument/2006/relationships/hyperlink" Target="http://www.boxofficemojo.com/schedule/?view=bydate&amp;release=theatrical&amp;date=2016-02-12&amp;p=.htm" TargetMode="External"/><Relationship Id="rId1092" Type="http://schemas.openxmlformats.org/officeDocument/2006/relationships/hyperlink" Target="http://www.boxofficemojo.com/movies/?id=krisha.htm" TargetMode="External"/><Relationship Id="rId1093" Type="http://schemas.openxmlformats.org/officeDocument/2006/relationships/hyperlink" Target="http://www.boxofficemojo.com/studio/chart/?studio=a24.htm" TargetMode="External"/><Relationship Id="rId1094" Type="http://schemas.openxmlformats.org/officeDocument/2006/relationships/hyperlink" Target="http://www.boxofficemojo.com/schedule/?view=bydate&amp;release=theatrical&amp;date=2016-03-18&amp;p=.htm" TargetMode="External"/><Relationship Id="rId1095" Type="http://schemas.openxmlformats.org/officeDocument/2006/relationships/hyperlink" Target="http://www.boxofficemojo.com/movies/?id=psychopass.htm" TargetMode="External"/><Relationship Id="rId1096" Type="http://schemas.openxmlformats.org/officeDocument/2006/relationships/hyperlink" Target="http://www.boxofficemojo.com/studio/chart/?studio=funimation.htm" TargetMode="External"/><Relationship Id="rId1097" Type="http://schemas.openxmlformats.org/officeDocument/2006/relationships/hyperlink" Target="http://www.boxofficemojo.com/schedule/?view=bydate&amp;release=theatrical&amp;date=2016-03-15&amp;p=.htm" TargetMode="External"/><Relationship Id="rId1098" Type="http://schemas.openxmlformats.org/officeDocument/2006/relationships/hyperlink" Target="http://www.boxofficemojo.com/movies/?id=thekindwords.htm" TargetMode="External"/><Relationship Id="rId1099" Type="http://schemas.openxmlformats.org/officeDocument/2006/relationships/hyperlink" Target="http://www.boxofficemojo.com/studio/chart/?studio=strand.htm" TargetMode="External"/><Relationship Id="rId1874" Type="http://schemas.openxmlformats.org/officeDocument/2006/relationships/hyperlink" Target="http://www.boxofficemojo.com/schedule/?view=bydate&amp;release=theatrical&amp;date=2016-11-11&amp;p=.htm" TargetMode="External"/><Relationship Id="rId1875" Type="http://schemas.openxmlformats.org/officeDocument/2006/relationships/hyperlink" Target="http://www.boxofficemojo.com/movies/?id=cityofwomen2016.htm" TargetMode="External"/><Relationship Id="rId1876" Type="http://schemas.openxmlformats.org/officeDocument/2006/relationships/hyperlink" Target="http://www.boxofficemojo.com/studio/chart/?studio=cohenmedia.htm" TargetMode="External"/><Relationship Id="rId1877" Type="http://schemas.openxmlformats.org/officeDocument/2006/relationships/hyperlink" Target="http://www.boxofficemojo.com/schedule/?view=bydate&amp;release=theatrical&amp;date=2016-02-19&amp;p=.htm" TargetMode="External"/><Relationship Id="rId1878" Type="http://schemas.openxmlformats.org/officeDocument/2006/relationships/hyperlink" Target="http://www.boxofficemojo.com/movies/?id=theonesbelow.htm" TargetMode="External"/><Relationship Id="rId1879" Type="http://schemas.openxmlformats.org/officeDocument/2006/relationships/hyperlink" Target="http://www.boxofficemojo.com/studio/chart/?studio=magnolia.htm" TargetMode="External"/><Relationship Id="rId2170" Type="http://schemas.openxmlformats.org/officeDocument/2006/relationships/hyperlink" Target="http://www.boxofficemojo.com/studio/chart/?studio=icarus.htm" TargetMode="External"/><Relationship Id="rId2171" Type="http://schemas.openxmlformats.org/officeDocument/2006/relationships/hyperlink" Target="http://www.boxofficemojo.com/schedule/?view=bydate&amp;release=theatrical&amp;date=2016-04-21&amp;p=.htm" TargetMode="External"/><Relationship Id="rId2172" Type="http://schemas.openxmlformats.org/officeDocument/2006/relationships/hyperlink" Target="http://www.boxofficemojo.com/movies/?id=asmallgoodthing.htm" TargetMode="External"/><Relationship Id="rId2173" Type="http://schemas.openxmlformats.org/officeDocument/2006/relationships/hyperlink" Target="http://www.boxofficemojo.com/studio/chart/?studio=kinolorber.htm" TargetMode="External"/><Relationship Id="rId2174" Type="http://schemas.openxmlformats.org/officeDocument/2006/relationships/hyperlink" Target="http://www.boxofficemojo.com/schedule/?view=bydate&amp;release=theatrical&amp;date=2016-08-19&amp;p=.htm" TargetMode="External"/><Relationship Id="rId2175" Type="http://schemas.openxmlformats.org/officeDocument/2006/relationships/hyperlink" Target="http://www.boxofficemojo.com/movies/?id=yalomscure.htm" TargetMode="External"/><Relationship Id="rId2176" Type="http://schemas.openxmlformats.org/officeDocument/2006/relationships/hyperlink" Target="http://www.boxofficemojo.com/studio/chart/?studio=firstrun.htm" TargetMode="External"/><Relationship Id="rId2177" Type="http://schemas.openxmlformats.org/officeDocument/2006/relationships/hyperlink" Target="http://www.boxofficemojo.com/schedule/?view=bydate&amp;release=theatrical&amp;date=2016-03-11&amp;p=.htm" TargetMode="External"/><Relationship Id="rId2178" Type="http://schemas.openxmlformats.org/officeDocument/2006/relationships/hyperlink" Target="http://www.boxofficemojo.com/movies/?id=officerdowne.htm" TargetMode="External"/><Relationship Id="rId2179" Type="http://schemas.openxmlformats.org/officeDocument/2006/relationships/hyperlink" Target="http://www.boxofficemojo.com/studio/chart/?studio=magnolia.htm" TargetMode="External"/><Relationship Id="rId620" Type="http://schemas.openxmlformats.org/officeDocument/2006/relationships/hyperlink" Target="http://www.boxofficemojo.com/schedule/?view=bydate&amp;release=theatrical&amp;date=2016-08-26&amp;p=.htm" TargetMode="External"/><Relationship Id="rId621" Type="http://schemas.openxmlformats.org/officeDocument/2006/relationships/hyperlink" Target="http://www.boxofficemojo.com/movies/?id=demolition.htm" TargetMode="External"/><Relationship Id="rId622" Type="http://schemas.openxmlformats.org/officeDocument/2006/relationships/hyperlink" Target="http://www.boxofficemojo.com/studio/chart/?studio=foxsearchlight.htm" TargetMode="External"/><Relationship Id="rId623" Type="http://schemas.openxmlformats.org/officeDocument/2006/relationships/hyperlink" Target="http://www.boxofficemojo.com/schedule/?view=bydate&amp;release=theatrical&amp;date=2016-04-08&amp;p=.htm" TargetMode="External"/><Relationship Id="rId624" Type="http://schemas.openxmlformats.org/officeDocument/2006/relationships/hyperlink" Target="http://www.boxofficemojo.com/movies/?id=shingodzilla.htm" TargetMode="External"/><Relationship Id="rId625" Type="http://schemas.openxmlformats.org/officeDocument/2006/relationships/hyperlink" Target="http://www.boxofficemojo.com/studio/chart/?studio=funimation.htm" TargetMode="External"/><Relationship Id="rId626" Type="http://schemas.openxmlformats.org/officeDocument/2006/relationships/hyperlink" Target="http://www.boxofficemojo.com/schedule/?view=bydate&amp;release=theatrical&amp;date=2016-10-11&amp;p=.htm" TargetMode="External"/><Relationship Id="rId627" Type="http://schemas.openxmlformats.org/officeDocument/2006/relationships/hyperlink" Target="http://www.boxofficemojo.com/movies/?id=purplerain2016.htm" TargetMode="External"/><Relationship Id="rId628" Type="http://schemas.openxmlformats.org/officeDocument/2006/relationships/hyperlink" Target="http://www.boxofficemojo.com/studio/chart/?studio=warnerbros.htm" TargetMode="External"/><Relationship Id="rId629" Type="http://schemas.openxmlformats.org/officeDocument/2006/relationships/hyperlink" Target="http://www.boxofficemojo.com/schedule/?view=bydate&amp;release=theatrical&amp;date=2016-04-23&amp;p=.htm" TargetMode="External"/><Relationship Id="rId230" Type="http://schemas.openxmlformats.org/officeDocument/2006/relationships/hyperlink" Target="http://www.boxofficemojo.com/schedule/?view=bydate&amp;release=theatrical&amp;date=2016-05-13&amp;p=.htm" TargetMode="External"/><Relationship Id="rId231" Type="http://schemas.openxmlformats.org/officeDocument/2006/relationships/hyperlink" Target="http://www.boxofficemojo.com/movies/?id=pittcotillard.htm" TargetMode="External"/><Relationship Id="rId232" Type="http://schemas.openxmlformats.org/officeDocument/2006/relationships/hyperlink" Target="http://www.boxofficemojo.com/studio/chart/?studio=paramount.htm" TargetMode="External"/><Relationship Id="rId233" Type="http://schemas.openxmlformats.org/officeDocument/2006/relationships/hyperlink" Target="http://www.boxofficemojo.com/schedule/?view=bydate&amp;release=theatrical&amp;date=2016-11-23&amp;p=.htm" TargetMode="External"/><Relationship Id="rId234" Type="http://schemas.openxmlformats.org/officeDocument/2006/relationships/hyperlink" Target="http://www.boxofficemojo.com/movies/?id=nerve.htm" TargetMode="External"/><Relationship Id="rId235" Type="http://schemas.openxmlformats.org/officeDocument/2006/relationships/hyperlink" Target="http://www.boxofficemojo.com/studio/chart/?studio=lionsgate.htm" TargetMode="External"/><Relationship Id="rId236" Type="http://schemas.openxmlformats.org/officeDocument/2006/relationships/hyperlink" Target="http://www.boxofficemojo.com/schedule/?view=bydate&amp;release=theatrical&amp;date=2016-07-27&amp;p=.htm" TargetMode="External"/><Relationship Id="rId237" Type="http://schemas.openxmlformats.org/officeDocument/2006/relationships/hyperlink" Target="http://www.boxofficemojo.com/movies/?id=risen.htm" TargetMode="External"/><Relationship Id="rId238" Type="http://schemas.openxmlformats.org/officeDocument/2006/relationships/hyperlink" Target="http://www.boxofficemojo.com/studio/chart/?studio=sony.htm" TargetMode="External"/><Relationship Id="rId239" Type="http://schemas.openxmlformats.org/officeDocument/2006/relationships/hyperlink" Target="http://www.boxofficemojo.com/schedule/?view=bydate&amp;release=theatrical&amp;date=2016-02-19&amp;p=.htm" TargetMode="External"/><Relationship Id="rId1880" Type="http://schemas.openxmlformats.org/officeDocument/2006/relationships/hyperlink" Target="http://www.boxofficemojo.com/schedule/?view=bydate&amp;release=theatrical&amp;date=2016-05-27&amp;p=.htm" TargetMode="External"/><Relationship Id="rId1881" Type="http://schemas.openxmlformats.org/officeDocument/2006/relationships/hyperlink" Target="http://www.boxofficemojo.com/movies/?id=kiki,lovetolove.htm" TargetMode="External"/><Relationship Id="rId1882" Type="http://schemas.openxmlformats.org/officeDocument/2006/relationships/hyperlink" Target="http://www.boxofficemojo.com/studio/chart/?studio=strand.htm" TargetMode="External"/><Relationship Id="rId1883" Type="http://schemas.openxmlformats.org/officeDocument/2006/relationships/hyperlink" Target="http://www.boxofficemojo.com/schedule/?view=bydate&amp;release=theatrical&amp;date=2016-11-11&amp;p=.htm" TargetMode="External"/><Relationship Id="rId1490" Type="http://schemas.openxmlformats.org/officeDocument/2006/relationships/hyperlink" Target="http://www.boxofficemojo.com/schedule/?view=bydate&amp;release=theatrical&amp;date=2016-04-01&amp;p=.htm" TargetMode="External"/><Relationship Id="rId1491" Type="http://schemas.openxmlformats.org/officeDocument/2006/relationships/hyperlink" Target="http://www.boxofficemojo.com/movies/?id=untilforever.htm" TargetMode="External"/><Relationship Id="rId1492" Type="http://schemas.openxmlformats.org/officeDocument/2006/relationships/hyperlink" Target="http://www.boxofficemojo.com/studio/chart/?studio=linnprods.htm" TargetMode="External"/><Relationship Id="rId1493" Type="http://schemas.openxmlformats.org/officeDocument/2006/relationships/hyperlink" Target="http://www.boxofficemojo.com/schedule/?view=bydate&amp;release=theatrical&amp;date=2016-02-12&amp;p=.htm" TargetMode="External"/><Relationship Id="rId1494" Type="http://schemas.openxmlformats.org/officeDocument/2006/relationships/hyperlink" Target="http://www.boxofficemojo.com/movies/?id=summertime2016.htm" TargetMode="External"/><Relationship Id="rId1495" Type="http://schemas.openxmlformats.org/officeDocument/2006/relationships/hyperlink" Target="http://www.boxofficemojo.com/studio/chart/?studio=strand.htm" TargetMode="External"/><Relationship Id="rId1496" Type="http://schemas.openxmlformats.org/officeDocument/2006/relationships/hyperlink" Target="http://www.boxofficemojo.com/schedule/?view=bydate&amp;release=theatrical&amp;date=2016-07-22&amp;p=.htm" TargetMode="External"/><Relationship Id="rId1497" Type="http://schemas.openxmlformats.org/officeDocument/2006/relationships/hyperlink" Target="http://www.boxofficemojo.com/movies/?id=songsmybrotherstaughtme.htm" TargetMode="External"/><Relationship Id="rId1498" Type="http://schemas.openxmlformats.org/officeDocument/2006/relationships/hyperlink" Target="http://www.boxofficemojo.com/studio/chart/?studio=kinolorber.htm" TargetMode="External"/><Relationship Id="rId1499" Type="http://schemas.openxmlformats.org/officeDocument/2006/relationships/hyperlink" Target="http://www.boxofficemojo.com/schedule/?view=bydate&amp;release=theatrical&amp;date=2016-03-02&amp;p=.htm" TargetMode="External"/><Relationship Id="rId1884" Type="http://schemas.openxmlformats.org/officeDocument/2006/relationships/hyperlink" Target="http://www.boxofficemojo.com/movies/?id=elstree1976.htm" TargetMode="External"/><Relationship Id="rId1885" Type="http://schemas.openxmlformats.org/officeDocument/2006/relationships/hyperlink" Target="http://www.boxofficemojo.com/studio/chart/?studio=filmrise.htm" TargetMode="External"/><Relationship Id="rId1886" Type="http://schemas.openxmlformats.org/officeDocument/2006/relationships/hyperlink" Target="http://www.boxofficemojo.com/schedule/?view=bydate&amp;release=theatrical&amp;date=2016-05-06&amp;p=.htm" TargetMode="External"/><Relationship Id="rId1887" Type="http://schemas.openxmlformats.org/officeDocument/2006/relationships/hyperlink" Target="http://www.boxofficemojo.com/movies/?id=fritzlangsdestiny2016.htm" TargetMode="External"/><Relationship Id="rId1888" Type="http://schemas.openxmlformats.org/officeDocument/2006/relationships/hyperlink" Target="http://www.boxofficemojo.com/studio/chart/?studio=kinolorber.htm" TargetMode="External"/><Relationship Id="rId1889" Type="http://schemas.openxmlformats.org/officeDocument/2006/relationships/hyperlink" Target="http://www.boxofficemojo.com/schedule/?view=bydate&amp;release=theatrical&amp;date=2016-05-20&amp;p=.htm" TargetMode="External"/><Relationship Id="rId2180" Type="http://schemas.openxmlformats.org/officeDocument/2006/relationships/hyperlink" Target="http://www.boxofficemojo.com/schedule/?view=bydate&amp;release=theatrical&amp;date=2016-11-18&amp;p=.htm" TargetMode="External"/><Relationship Id="rId2181" Type="http://schemas.openxmlformats.org/officeDocument/2006/relationships/hyperlink" Target="http://www.boxofficemojo.com/movies/?id=nexttimeillaimfortheheart.htm" TargetMode="External"/><Relationship Id="rId2182" Type="http://schemas.openxmlformats.org/officeDocument/2006/relationships/hyperlink" Target="http://www.boxofficemojo.com/studio/chart/?studio=distribfilms.htm" TargetMode="External"/><Relationship Id="rId2183" Type="http://schemas.openxmlformats.org/officeDocument/2006/relationships/hyperlink" Target="http://www.boxofficemojo.com/schedule/?view=bydate&amp;release=theatrical&amp;date=2016-04-01&amp;p=.htm" TargetMode="External"/><Relationship Id="rId2184" Type="http://schemas.openxmlformats.org/officeDocument/2006/relationships/hyperlink" Target="http://www.boxofficemojo.com/movies/?id=studentandmr.henri.htm" TargetMode="External"/><Relationship Id="rId10" Type="http://schemas.openxmlformats.org/officeDocument/2006/relationships/hyperlink" Target="http://www.boxofficemojo.com/studio/chart/?studio=buenavista.htm" TargetMode="External"/><Relationship Id="rId11" Type="http://schemas.openxmlformats.org/officeDocument/2006/relationships/hyperlink" Target="http://www.boxofficemojo.com/schedule/?view=bydate&amp;release=theatrical&amp;date=2016-06-17&amp;p=.htm" TargetMode="External"/><Relationship Id="rId12" Type="http://schemas.openxmlformats.org/officeDocument/2006/relationships/hyperlink" Target="http://www.boxofficemojo.com/movies/?id=marvel2016.htm" TargetMode="External"/><Relationship Id="rId13" Type="http://schemas.openxmlformats.org/officeDocument/2006/relationships/hyperlink" Target="http://www.boxofficemojo.com/studio/chart/?studio=buenavista.htm" TargetMode="External"/><Relationship Id="rId14" Type="http://schemas.openxmlformats.org/officeDocument/2006/relationships/hyperlink" Target="http://www.boxofficemojo.com/schedule/?view=bydate&amp;release=theatrical&amp;date=2016-05-06&amp;p=.htm" TargetMode="External"/><Relationship Id="rId15" Type="http://schemas.openxmlformats.org/officeDocument/2006/relationships/hyperlink" Target="http://www.boxofficemojo.com/movies/?id=illumination2015.htm" TargetMode="External"/><Relationship Id="rId16" Type="http://schemas.openxmlformats.org/officeDocument/2006/relationships/hyperlink" Target="http://www.boxofficemojo.com/studio/chart/?studio=universal.htm" TargetMode="External"/><Relationship Id="rId17" Type="http://schemas.openxmlformats.org/officeDocument/2006/relationships/hyperlink" Target="http://www.boxofficemojo.com/schedule/?view=bydate&amp;release=theatrical&amp;date=2016-07-08&amp;p=.htm" TargetMode="External"/><Relationship Id="rId18" Type="http://schemas.openxmlformats.org/officeDocument/2006/relationships/hyperlink" Target="http://www.boxofficemojo.com/movies/?id=junglebook2015.htm" TargetMode="External"/><Relationship Id="rId19" Type="http://schemas.openxmlformats.org/officeDocument/2006/relationships/hyperlink" Target="http://www.boxofficemojo.com/studio/chart/?studio=buenavista.htm" TargetMode="External"/><Relationship Id="rId2185" Type="http://schemas.openxmlformats.org/officeDocument/2006/relationships/hyperlink" Target="http://www.boxofficemojo.com/studio/chart/?studio=distribfilms.htm" TargetMode="External"/><Relationship Id="rId2186" Type="http://schemas.openxmlformats.org/officeDocument/2006/relationships/hyperlink" Target="http://www.boxofficemojo.com/schedule/?view=bydate&amp;release=theatrical&amp;date=2016-08-19&amp;p=.htm" TargetMode="External"/><Relationship Id="rId2187" Type="http://schemas.openxmlformats.org/officeDocument/2006/relationships/hyperlink" Target="http://www.boxofficemojo.com/movies/?id=downbylove.htm" TargetMode="External"/><Relationship Id="rId2188" Type="http://schemas.openxmlformats.org/officeDocument/2006/relationships/hyperlink" Target="http://www.boxofficemojo.com/studio/chart/?studio=distribfilms.htm" TargetMode="External"/><Relationship Id="rId2189" Type="http://schemas.openxmlformats.org/officeDocument/2006/relationships/hyperlink" Target="http://www.boxofficemojo.com/schedule/?view=bydate&amp;release=theatrical&amp;date=2016-08-19&amp;p=.htm" TargetMode="External"/><Relationship Id="rId630" Type="http://schemas.openxmlformats.org/officeDocument/2006/relationships/hyperlink" Target="http://www.boxofficemojo.com/movies/?id=msdhoni.htm" TargetMode="External"/><Relationship Id="rId631" Type="http://schemas.openxmlformats.org/officeDocument/2006/relationships/hyperlink" Target="http://www.boxofficemojo.com/studio/chart/?studio=fip.htm" TargetMode="External"/><Relationship Id="rId632" Type="http://schemas.openxmlformats.org/officeDocument/2006/relationships/hyperlink" Target="http://www.boxofficemojo.com/schedule/?view=bydate&amp;release=theatrical&amp;date=2016-09-30&amp;p=.htm" TargetMode="External"/><Relationship Id="rId633" Type="http://schemas.openxmlformats.org/officeDocument/2006/relationships/hyperlink" Target="http://www.boxofficemojo.com/movies/?id=busconovioparamimujer.htm" TargetMode="External"/><Relationship Id="rId634" Type="http://schemas.openxmlformats.org/officeDocument/2006/relationships/hyperlink" Target="http://www.boxofficemojo.com/studio/chart/?studio=pantelion.htm" TargetMode="External"/><Relationship Id="rId635" Type="http://schemas.openxmlformats.org/officeDocument/2006/relationships/hyperlink" Target="http://www.boxofficemojo.com/schedule/?view=bydate&amp;release=theatrical&amp;date=2016-02-19&amp;p=.htm" TargetMode="External"/><Relationship Id="rId636" Type="http://schemas.openxmlformats.org/officeDocument/2006/relationships/hyperlink" Target="http://www.boxofficemojo.com/movies/?id=billylynn.htm" TargetMode="External"/><Relationship Id="rId637" Type="http://schemas.openxmlformats.org/officeDocument/2006/relationships/hyperlink" Target="http://www.boxofficemojo.com/studio/chart/?studio=tristar.htm" TargetMode="External"/><Relationship Id="rId638" Type="http://schemas.openxmlformats.org/officeDocument/2006/relationships/hyperlink" Target="http://www.boxofficemojo.com/schedule/?view=bydate&amp;release=theatrical&amp;date=2016-11-11&amp;p=.htm" TargetMode="External"/><Relationship Id="rId639" Type="http://schemas.openxmlformats.org/officeDocument/2006/relationships/hyperlink" Target="http://www.boxofficemojo.com/movies/?id=harrypotterimaxmarathon.htm" TargetMode="External"/><Relationship Id="rId240" Type="http://schemas.openxmlformats.org/officeDocument/2006/relationships/hyperlink" Target="http://www.boxofficemojo.com/movies/?id=niceguys.htm" TargetMode="External"/><Relationship Id="rId241" Type="http://schemas.openxmlformats.org/officeDocument/2006/relationships/hyperlink" Target="http://www.boxofficemojo.com/studio/chart/?studio=warnerbros.htm" TargetMode="External"/><Relationship Id="rId242" Type="http://schemas.openxmlformats.org/officeDocument/2006/relationships/hyperlink" Target="http://www.boxofficemojo.com/schedule/?view=bydate&amp;release=theatrical&amp;date=2016-05-20&amp;p=.htm" TargetMode="External"/><Relationship Id="rId243" Type="http://schemas.openxmlformats.org/officeDocument/2006/relationships/hyperlink" Target="http://www.boxofficemojo.com/movies/?id=boy2016.htm" TargetMode="External"/><Relationship Id="rId244" Type="http://schemas.openxmlformats.org/officeDocument/2006/relationships/hyperlink" Target="http://www.boxofficemojo.com/studio/chart/?studio=stx.htm" TargetMode="External"/><Relationship Id="rId245" Type="http://schemas.openxmlformats.org/officeDocument/2006/relationships/hyperlink" Target="http://www.boxofficemojo.com/schedule/?view=bydate&amp;release=theatrical&amp;date=2016-01-22&amp;p=.htm" TargetMode="External"/><Relationship Id="rId246" Type="http://schemas.openxmlformats.org/officeDocument/2006/relationships/hyperlink" Target="http://www.boxofficemojo.com/movies/?id=dirtygrandpa.htm" TargetMode="External"/><Relationship Id="rId247" Type="http://schemas.openxmlformats.org/officeDocument/2006/relationships/hyperlink" Target="http://www.boxofficemojo.com/studio/chart/?studio=lionsgate.htm" TargetMode="External"/><Relationship Id="rId248" Type="http://schemas.openxmlformats.org/officeDocument/2006/relationships/hyperlink" Target="http://www.boxofficemojo.com/schedule/?view=bydate&amp;release=theatrical&amp;date=2016-01-22&amp;p=.htm" TargetMode="External"/><Relationship Id="rId249" Type="http://schemas.openxmlformats.org/officeDocument/2006/relationships/hyperlink" Target="http://www.boxofficemojo.com/movies/?id=blumhouse3.htm" TargetMode="External"/><Relationship Id="rId1890" Type="http://schemas.openxmlformats.org/officeDocument/2006/relationships/hyperlink" Target="http://www.boxofficemojo.com/movies/?id=hotwater.htm" TargetMode="External"/><Relationship Id="rId1891" Type="http://schemas.openxmlformats.org/officeDocument/2006/relationships/hyperlink" Target="http://www.boxofficemojo.com/studio/chart/?studio=indican.htm" TargetMode="External"/><Relationship Id="rId1892" Type="http://schemas.openxmlformats.org/officeDocument/2006/relationships/hyperlink" Target="http://www.boxofficemojo.com/schedule/?view=bydate&amp;release=theatrical&amp;date=2016-03-11&amp;p=.htm" TargetMode="External"/><Relationship Id="rId1893" Type="http://schemas.openxmlformats.org/officeDocument/2006/relationships/hyperlink" Target="http://www.boxofficemojo.com/movies/?id=whentwoworldscollide.htm" TargetMode="External"/><Relationship Id="rId1894" Type="http://schemas.openxmlformats.org/officeDocument/2006/relationships/hyperlink" Target="http://www.boxofficemojo.com/studio/chart/?studio=firstrun.htm" TargetMode="External"/><Relationship Id="rId1895" Type="http://schemas.openxmlformats.org/officeDocument/2006/relationships/hyperlink" Target="http://www.boxofficemojo.com/schedule/?view=bydate&amp;release=theatrical&amp;date=2016-08-17&amp;p=.htm" TargetMode="External"/><Relationship Id="rId1896" Type="http://schemas.openxmlformats.org/officeDocument/2006/relationships/hyperlink" Target="http://www.boxofficemojo.com/movies/?id=killzone2.htm" TargetMode="External"/><Relationship Id="rId1897" Type="http://schemas.openxmlformats.org/officeDocument/2006/relationships/hyperlink" Target="http://www.boxofficemojo.com/studio/chart/?studio=wellgo.htm" TargetMode="External"/><Relationship Id="rId1898" Type="http://schemas.openxmlformats.org/officeDocument/2006/relationships/hyperlink" Target="http://www.boxofficemojo.com/schedule/?view=bydate&amp;release=theatrical&amp;date=2016-05-13&amp;p=.htm" TargetMode="External"/><Relationship Id="rId1899" Type="http://schemas.openxmlformats.org/officeDocument/2006/relationships/hyperlink" Target="http://www.boxofficemojo.com/movies/?id=luchamexico.htm" TargetMode="External"/><Relationship Id="rId2190" Type="http://schemas.openxmlformats.org/officeDocument/2006/relationships/hyperlink" Target="http://www.boxofficemojo.com/movies/?id=thepit2016re.htm" TargetMode="External"/><Relationship Id="rId2191" Type="http://schemas.openxmlformats.org/officeDocument/2006/relationships/hyperlink" Target="http://www.boxofficemojo.com/studio/chart/?studio=kinolorber.htm" TargetMode="External"/><Relationship Id="rId2192" Type="http://schemas.openxmlformats.org/officeDocument/2006/relationships/hyperlink" Target="http://www.boxofficemojo.com/schedule/?view=bydate&amp;release=theatrical&amp;date=2016-09-30&amp;p=.htm" TargetMode="External"/><Relationship Id="rId2193" Type="http://schemas.openxmlformats.org/officeDocument/2006/relationships/hyperlink" Target="http://www.boxofficemojo.com/movies/?id=greenisgold.htm" TargetMode="External"/><Relationship Id="rId2194" Type="http://schemas.openxmlformats.org/officeDocument/2006/relationships/hyperlink" Target="http://www.boxofficemojo.com/studio/chart/?studio=samuelgoldwyn.htm" TargetMode="External"/><Relationship Id="rId2195" Type="http://schemas.openxmlformats.org/officeDocument/2006/relationships/hyperlink" Target="http://www.boxofficemojo.com/schedule/?view=bydate&amp;release=theatrical&amp;date=2016-10-07&amp;p=.htm" TargetMode="External"/><Relationship Id="rId2196" Type="http://schemas.openxmlformats.org/officeDocument/2006/relationships/hyperlink" Target="http://www.boxofficemojo.com/movies/?id=hannahbuddhism.htm" TargetMode="External"/><Relationship Id="rId20" Type="http://schemas.openxmlformats.org/officeDocument/2006/relationships/hyperlink" Target="http://www.boxofficemojo.com/schedule/?view=bydate&amp;release=theatrical&amp;date=2016-04-15&amp;p=.htm" TargetMode="External"/><Relationship Id="rId21" Type="http://schemas.openxmlformats.org/officeDocument/2006/relationships/hyperlink" Target="http://www.boxofficemojo.com/movies/?id=deadpool2016.htm" TargetMode="External"/><Relationship Id="rId22" Type="http://schemas.openxmlformats.org/officeDocument/2006/relationships/hyperlink" Target="http://www.boxofficemojo.com/studio/chart/?studio=fox.htm" TargetMode="External"/><Relationship Id="rId23" Type="http://schemas.openxmlformats.org/officeDocument/2006/relationships/hyperlink" Target="http://www.boxofficemojo.com/schedule/?view=bydate&amp;release=theatrical&amp;date=2016-02-12&amp;p=.htm" TargetMode="External"/><Relationship Id="rId24" Type="http://schemas.openxmlformats.org/officeDocument/2006/relationships/hyperlink" Target="http://www.boxofficemojo.com/movies/?id=disney2016.htm" TargetMode="External"/><Relationship Id="rId25" Type="http://schemas.openxmlformats.org/officeDocument/2006/relationships/hyperlink" Target="http://www.boxofficemojo.com/studio/chart/?studio=buenavista.htm" TargetMode="External"/><Relationship Id="rId26" Type="http://schemas.openxmlformats.org/officeDocument/2006/relationships/hyperlink" Target="http://www.boxofficemojo.com/schedule/?view=bydate&amp;release=theatrical&amp;date=2016-03-04&amp;p=.htm" TargetMode="External"/><Relationship Id="rId27" Type="http://schemas.openxmlformats.org/officeDocument/2006/relationships/hyperlink" Target="http://www.boxofficemojo.com/movies/?id=superman2015.htm" TargetMode="External"/><Relationship Id="rId28" Type="http://schemas.openxmlformats.org/officeDocument/2006/relationships/hyperlink" Target="http://www.boxofficemojo.com/studio/chart/?studio=warnerbros.htm" TargetMode="External"/><Relationship Id="rId29" Type="http://schemas.openxmlformats.org/officeDocument/2006/relationships/hyperlink" Target="http://www.boxofficemojo.com/schedule/?view=bydate&amp;release=theatrical&amp;date=2016-03-25&amp;p=.htm" TargetMode="External"/><Relationship Id="rId2197" Type="http://schemas.openxmlformats.org/officeDocument/2006/relationships/hyperlink" Target="http://www.boxofficemojo.com/studio/chart/?studio=kinolorber.htm" TargetMode="External"/><Relationship Id="rId2198" Type="http://schemas.openxmlformats.org/officeDocument/2006/relationships/hyperlink" Target="http://www.boxofficemojo.com/schedule/?view=bydate&amp;release=theatrical&amp;date=2016-10-14&amp;p=.htm" TargetMode="External"/><Relationship Id="rId2199" Type="http://schemas.openxmlformats.org/officeDocument/2006/relationships/hyperlink" Target="http://www.boxofficemojo.com/movies/?id=newsfromplanetmars.htm" TargetMode="External"/><Relationship Id="rId1100" Type="http://schemas.openxmlformats.org/officeDocument/2006/relationships/hyperlink" Target="http://www.boxofficemojo.com/schedule/?view=bydate&amp;release=theatrical&amp;date=2016-06-24&amp;p=.htm" TargetMode="External"/><Relationship Id="rId1101" Type="http://schemas.openxmlformats.org/officeDocument/2006/relationships/hyperlink" Target="http://www.boxofficemojo.com/movies/?id=tumbledown.htm" TargetMode="External"/><Relationship Id="rId1102" Type="http://schemas.openxmlformats.org/officeDocument/2006/relationships/hyperlink" Target="http://www.boxofficemojo.com/studio/chart/?studio=starzmedia.htm" TargetMode="External"/><Relationship Id="rId1103" Type="http://schemas.openxmlformats.org/officeDocument/2006/relationships/hyperlink" Target="http://www.boxofficemojo.com/schedule/?view=bydate&amp;release=theatrical&amp;date=2016-02-05&amp;p=.htm" TargetMode="External"/><Relationship Id="rId1104" Type="http://schemas.openxmlformats.org/officeDocument/2006/relationships/hyperlink" Target="http://www.boxofficemojo.com/movies/?id=ism.htm" TargetMode="External"/><Relationship Id="rId1105" Type="http://schemas.openxmlformats.org/officeDocument/2006/relationships/hyperlink" Target="http://www.boxofficemojo.com/studio/chart/?studio=cinegalaxy.htm" TargetMode="External"/><Relationship Id="rId1106" Type="http://schemas.openxmlformats.org/officeDocument/2006/relationships/hyperlink" Target="http://www.boxofficemojo.com/schedule/?view=bydate&amp;release=theatrical&amp;date=2016-10-21&amp;p=.htm" TargetMode="External"/><Relationship Id="rId1107" Type="http://schemas.openxmlformats.org/officeDocument/2006/relationships/hyperlink" Target="http://www.boxofficemojo.com/movies/?id=dawsoncity:frozentime.htm" TargetMode="External"/><Relationship Id="rId1108" Type="http://schemas.openxmlformats.org/officeDocument/2006/relationships/hyperlink" Target="http://www.boxofficemojo.com/studio/chart/?studio=kinolorber.htm" TargetMode="External"/><Relationship Id="rId1109" Type="http://schemas.openxmlformats.org/officeDocument/2006/relationships/hyperlink" Target="http://www.boxofficemojo.com/schedule/?view=bydate&amp;release=theatrical&amp;date=2016-10-02&amp;p=.htm" TargetMode="External"/><Relationship Id="rId640" Type="http://schemas.openxmlformats.org/officeDocument/2006/relationships/hyperlink" Target="http://www.boxofficemojo.com/studio/chart/?studio=imax.htm" TargetMode="External"/><Relationship Id="rId641" Type="http://schemas.openxmlformats.org/officeDocument/2006/relationships/hyperlink" Target="http://www.boxofficemojo.com/schedule/?view=bydate&amp;release=theatrical&amp;date=2016-10-14&amp;p=.htm" TargetMode="External"/><Relationship Id="rId642" Type="http://schemas.openxmlformats.org/officeDocument/2006/relationships/hyperlink" Target="http://www.boxofficemojo.com/movies/?id=tojoeywithlove.htm" TargetMode="External"/><Relationship Id="rId643" Type="http://schemas.openxmlformats.org/officeDocument/2006/relationships/hyperlink" Target="http://www.boxofficemojo.com/studio/chart/?studio=fathom.htm" TargetMode="External"/><Relationship Id="rId644" Type="http://schemas.openxmlformats.org/officeDocument/2006/relationships/hyperlink" Target="http://www.boxofficemojo.com/schedule/?view=bydate&amp;release=theatrical&amp;date=2016-09-20&amp;p=.htm" TargetMode="External"/><Relationship Id="rId645" Type="http://schemas.openxmlformats.org/officeDocument/2006/relationships/hyperlink" Target="http://www.boxofficemojo.com/movies/?id=weiner.htm" TargetMode="External"/><Relationship Id="rId646" Type="http://schemas.openxmlformats.org/officeDocument/2006/relationships/hyperlink" Target="http://www.boxofficemojo.com/studio/chart/?studio=ifc.htm" TargetMode="External"/><Relationship Id="rId647" Type="http://schemas.openxmlformats.org/officeDocument/2006/relationships/hyperlink" Target="http://www.boxofficemojo.com/schedule/?view=bydate&amp;release=theatrical&amp;date=2016-05-20&amp;p=.htm" TargetMode="External"/><Relationship Id="rId648" Type="http://schemas.openxmlformats.org/officeDocument/2006/relationships/hyperlink" Target="http://www.boxofficemojo.com/movies/?id=thecomedian17.htm" TargetMode="External"/><Relationship Id="rId649" Type="http://schemas.openxmlformats.org/officeDocument/2006/relationships/hyperlink" Target="http://www.boxofficemojo.com/studio/chart/?studio=sonyclassics.htm" TargetMode="External"/><Relationship Id="rId250" Type="http://schemas.openxmlformats.org/officeDocument/2006/relationships/hyperlink" Target="http://www.boxofficemojo.com/studio/chart/?studio=universal.htm" TargetMode="External"/><Relationship Id="rId251" Type="http://schemas.openxmlformats.org/officeDocument/2006/relationships/hyperlink" Target="http://www.boxofficemojo.com/schedule/?view=bydate&amp;release=theatrical&amp;date=2016-10-21&amp;p=.htm" TargetMode="External"/><Relationship Id="rId252" Type="http://schemas.openxmlformats.org/officeDocument/2006/relationships/hyperlink" Target="http://www.boxofficemojo.com/movies/?id=5thwave.htm" TargetMode="External"/><Relationship Id="rId253" Type="http://schemas.openxmlformats.org/officeDocument/2006/relationships/hyperlink" Target="http://www.boxofficemojo.com/studio/chart/?studio=sony.htm" TargetMode="External"/><Relationship Id="rId254" Type="http://schemas.openxmlformats.org/officeDocument/2006/relationships/hyperlink" Target="http://www.boxofficemojo.com/schedule/?view=bydate&amp;release=theatrical&amp;date=2016-01-22&amp;p=.htm" TargetMode="External"/><Relationship Id="rId255" Type="http://schemas.openxmlformats.org/officeDocument/2006/relationships/hyperlink" Target="http://www.boxofficemojo.com/movies/?id=inferno2015.htm" TargetMode="External"/><Relationship Id="rId256" Type="http://schemas.openxmlformats.org/officeDocument/2006/relationships/hyperlink" Target="http://www.boxofficemojo.com/studio/chart/?studio=sony.htm" TargetMode="External"/><Relationship Id="rId257" Type="http://schemas.openxmlformats.org/officeDocument/2006/relationships/hyperlink" Target="http://www.boxofficemojo.com/schedule/?view=bydate&amp;release=theatrical&amp;date=2016-10-28&amp;p=.htm" TargetMode="External"/><Relationship Id="rId258" Type="http://schemas.openxmlformats.org/officeDocument/2006/relationships/hyperlink" Target="http://www.boxofficemojo.com/movies/?id=mothersday.htm" TargetMode="External"/><Relationship Id="rId259" Type="http://schemas.openxmlformats.org/officeDocument/2006/relationships/hyperlink" Target="http://www.boxofficemojo.com/studio/chart/?studio=openroads.htm" TargetMode="External"/><Relationship Id="rId30" Type="http://schemas.openxmlformats.org/officeDocument/2006/relationships/hyperlink" Target="http://www.boxofficemojo.com/movies/?id=dc2016.htm" TargetMode="External"/><Relationship Id="rId31" Type="http://schemas.openxmlformats.org/officeDocument/2006/relationships/hyperlink" Target="http://www.boxofficemojo.com/studio/chart/?studio=warnerbros.htm" TargetMode="External"/><Relationship Id="rId32" Type="http://schemas.openxmlformats.org/officeDocument/2006/relationships/hyperlink" Target="http://www.boxofficemojo.com/schedule/?view=bydate&amp;release=theatrical&amp;date=2016-08-05&amp;p=.htm" TargetMode="External"/><Relationship Id="rId33" Type="http://schemas.openxmlformats.org/officeDocument/2006/relationships/hyperlink" Target="http://www.boxofficemojo.com/movies/?id=illumination2016.htm" TargetMode="External"/><Relationship Id="rId34" Type="http://schemas.openxmlformats.org/officeDocument/2006/relationships/hyperlink" Target="http://www.boxofficemojo.com/studio/chart/?studio=universal.htm" TargetMode="External"/><Relationship Id="rId35" Type="http://schemas.openxmlformats.org/officeDocument/2006/relationships/hyperlink" Target="http://www.boxofficemojo.com/schedule/?view=bydate&amp;release=theatrical&amp;date=2016-12-21&amp;p=.htm" TargetMode="External"/><Relationship Id="rId36" Type="http://schemas.openxmlformats.org/officeDocument/2006/relationships/hyperlink" Target="http://www.boxofficemojo.com/movies/?id=disney1116.htm" TargetMode="External"/><Relationship Id="rId37" Type="http://schemas.openxmlformats.org/officeDocument/2006/relationships/hyperlink" Target="http://www.boxofficemojo.com/studio/chart/?studio=buenavista.htm" TargetMode="External"/><Relationship Id="rId38" Type="http://schemas.openxmlformats.org/officeDocument/2006/relationships/hyperlink" Target="http://www.boxofficemojo.com/schedule/?view=bydate&amp;release=theatrical&amp;date=2016-11-23&amp;p=.htm" TargetMode="External"/><Relationship Id="rId39" Type="http://schemas.openxmlformats.org/officeDocument/2006/relationships/hyperlink" Target="http://www.boxofficemojo.com/movies/?id=fantasticbeasts.htm" TargetMode="External"/><Relationship Id="rId1500" Type="http://schemas.openxmlformats.org/officeDocument/2006/relationships/hyperlink" Target="http://www.boxofficemojo.com/movies/?id=mrright16.htm" TargetMode="External"/><Relationship Id="rId1501" Type="http://schemas.openxmlformats.org/officeDocument/2006/relationships/hyperlink" Target="http://www.boxofficemojo.com/studio/chart/?studio=focusworld.htm" TargetMode="External"/><Relationship Id="rId1502" Type="http://schemas.openxmlformats.org/officeDocument/2006/relationships/hyperlink" Target="http://www.boxofficemojo.com/schedule/?view=bydate&amp;release=theatrical&amp;date=2016-04-08&amp;p=.htm" TargetMode="External"/><Relationship Id="rId1503" Type="http://schemas.openxmlformats.org/officeDocument/2006/relationships/hyperlink" Target="http://www.boxofficemojo.com/movies/?id=phantomboy.htm" TargetMode="External"/><Relationship Id="rId1110" Type="http://schemas.openxmlformats.org/officeDocument/2006/relationships/hyperlink" Target="http://www.boxofficemojo.com/movies/?id=requiemfortheamericandream.htm" TargetMode="External"/><Relationship Id="rId1111" Type="http://schemas.openxmlformats.org/officeDocument/2006/relationships/hyperlink" Target="http://www.boxofficemojo.com/studio/chart/?studio=filmcollaborative.htm" TargetMode="External"/><Relationship Id="rId1112" Type="http://schemas.openxmlformats.org/officeDocument/2006/relationships/hyperlink" Target="http://www.boxofficemojo.com/schedule/?view=bydate&amp;release=theatrical&amp;date=2016-01-29&amp;p=.htm" TargetMode="External"/><Relationship Id="rId1113" Type="http://schemas.openxmlformats.org/officeDocument/2006/relationships/hyperlink" Target="http://www.boxofficemojo.com/movies/?id=brandnewtestament.htm" TargetMode="External"/><Relationship Id="rId1114" Type="http://schemas.openxmlformats.org/officeDocument/2006/relationships/hyperlink" Target="http://www.boxofficemojo.com/studio/chart/?studio=musicboxfilms.htm" TargetMode="External"/><Relationship Id="rId1115" Type="http://schemas.openxmlformats.org/officeDocument/2006/relationships/hyperlink" Target="http://www.boxofficemojo.com/schedule/?view=bydate&amp;release=theatrical&amp;date=2016-12-09&amp;p=.htm" TargetMode="External"/><Relationship Id="rId1116" Type="http://schemas.openxmlformats.org/officeDocument/2006/relationships/hyperlink" Target="http://www.boxofficemojo.com/movies/?id=chimesatmidnight2015.htm" TargetMode="External"/><Relationship Id="rId1117" Type="http://schemas.openxmlformats.org/officeDocument/2006/relationships/hyperlink" Target="http://www.boxofficemojo.com/studio/chart/?studio=janusfilms.htm" TargetMode="External"/><Relationship Id="rId1118" Type="http://schemas.openxmlformats.org/officeDocument/2006/relationships/hyperlink" Target="http://www.boxofficemojo.com/schedule/?view=bydate&amp;release=theatrical&amp;date=2016-01-01&amp;p=.htm" TargetMode="External"/><Relationship Id="rId1119" Type="http://schemas.openxmlformats.org/officeDocument/2006/relationships/hyperlink" Target="http://www.boxofficemojo.com/movies/?id=spiritshomecoming.htm" TargetMode="External"/><Relationship Id="rId650" Type="http://schemas.openxmlformats.org/officeDocument/2006/relationships/hyperlink" Target="http://www.boxofficemojo.com/schedule/?view=bydate&amp;release=theatrical&amp;date=2016-12-09&amp;p=.htm" TargetMode="External"/><Relationship Id="rId651" Type="http://schemas.openxmlformats.org/officeDocument/2006/relationships/hyperlink" Target="http://www.boxofficemojo.com/movies/?id=isawthelight.htm" TargetMode="External"/><Relationship Id="rId652" Type="http://schemas.openxmlformats.org/officeDocument/2006/relationships/hyperlink" Target="http://www.boxofficemojo.com/studio/chart/?studio=sonyclassics.htm" TargetMode="External"/><Relationship Id="rId653" Type="http://schemas.openxmlformats.org/officeDocument/2006/relationships/hyperlink" Target="http://www.boxofficemojo.com/schedule/?view=bydate&amp;release=theatrical&amp;date=2016-03-25&amp;p=.htm" TargetMode="External"/><Relationship Id="rId654" Type="http://schemas.openxmlformats.org/officeDocument/2006/relationships/hyperlink" Target="http://www.boxofficemojo.com/movies/?id=equity.htm" TargetMode="External"/><Relationship Id="rId655" Type="http://schemas.openxmlformats.org/officeDocument/2006/relationships/hyperlink" Target="http://www.boxofficemojo.com/studio/chart/?studio=sonyclassics.htm" TargetMode="External"/><Relationship Id="rId656" Type="http://schemas.openxmlformats.org/officeDocument/2006/relationships/hyperlink" Target="http://www.boxofficemojo.com/schedule/?view=bydate&amp;release=theatrical&amp;date=2016-07-29&amp;p=.htm" TargetMode="External"/><Relationship Id="rId657" Type="http://schemas.openxmlformats.org/officeDocument/2006/relationships/hyperlink" Target="http://www.boxofficemojo.com/movies/?id=neerja.htm" TargetMode="External"/><Relationship Id="rId658" Type="http://schemas.openxmlformats.org/officeDocument/2006/relationships/hyperlink" Target="http://www.boxofficemojo.com/studio/chart/?studio=fip.htm" TargetMode="External"/><Relationship Id="rId659" Type="http://schemas.openxmlformats.org/officeDocument/2006/relationships/hyperlink" Target="http://www.boxofficemojo.com/schedule/?view=bydate&amp;release=theatrical&amp;date=2016-02-19&amp;p=.htm" TargetMode="External"/><Relationship Id="rId1504" Type="http://schemas.openxmlformats.org/officeDocument/2006/relationships/hyperlink" Target="http://www.boxofficemojo.com/studio/chart/?studio=gkids.htm" TargetMode="External"/><Relationship Id="rId1505" Type="http://schemas.openxmlformats.org/officeDocument/2006/relationships/hyperlink" Target="http://www.boxofficemojo.com/schedule/?view=bydate&amp;release=theatrical&amp;date=2016-07-15&amp;p=.htm" TargetMode="External"/><Relationship Id="rId1506" Type="http://schemas.openxmlformats.org/officeDocument/2006/relationships/hyperlink" Target="http://www.boxofficemojo.com/movies/?id=sweetsixteen2016.htm" TargetMode="External"/><Relationship Id="rId1507" Type="http://schemas.openxmlformats.org/officeDocument/2006/relationships/hyperlink" Target="http://www.boxofficemojo.com/studio/chart/?studio=chinalion.htm" TargetMode="External"/><Relationship Id="rId1508" Type="http://schemas.openxmlformats.org/officeDocument/2006/relationships/hyperlink" Target="http://www.boxofficemojo.com/schedule/?view=bydate&amp;release=theatrical&amp;date=2016-08-19&amp;p=.htm" TargetMode="External"/><Relationship Id="rId1509" Type="http://schemas.openxmlformats.org/officeDocument/2006/relationships/hyperlink" Target="http://www.boxofficemojo.com/movies/?id=eisensteininguanajuato.htm" TargetMode="External"/><Relationship Id="rId260" Type="http://schemas.openxmlformats.org/officeDocument/2006/relationships/hyperlink" Target="http://www.boxofficemojo.com/schedule/?view=bydate&amp;release=theatrical&amp;date=2016-04-29&amp;p=.htm" TargetMode="External"/><Relationship Id="rId261" Type="http://schemas.openxmlformats.org/officeDocument/2006/relationships/hyperlink" Target="http://www.boxofficemojo.com/movies/?id=patriotsday.htm" TargetMode="External"/><Relationship Id="rId262" Type="http://schemas.openxmlformats.org/officeDocument/2006/relationships/hyperlink" Target="http://www.boxofficemojo.com/studio/chart/?studio=lionsgate.htm" TargetMode="External"/><Relationship Id="rId263" Type="http://schemas.openxmlformats.org/officeDocument/2006/relationships/hyperlink" Target="http://www.boxofficemojo.com/schedule/?view=bydate&amp;release=theatrical&amp;date=2016-12-21&amp;p=.htm" TargetMode="External"/><Relationship Id="rId264" Type="http://schemas.openxmlformats.org/officeDocument/2006/relationships/hyperlink" Target="http://www.boxofficemojo.com/movies/?id=godsofegypt.htm" TargetMode="External"/><Relationship Id="rId265" Type="http://schemas.openxmlformats.org/officeDocument/2006/relationships/hyperlink" Target="http://www.boxofficemojo.com/studio/chart/?studio=lionsgatesummit.htm" TargetMode="External"/><Relationship Id="rId266" Type="http://schemas.openxmlformats.org/officeDocument/2006/relationships/hyperlink" Target="http://www.boxofficemojo.com/schedule/?view=bydate&amp;release=theatrical&amp;date=2016-02-26&amp;p=.htm" TargetMode="External"/><Relationship Id="rId267" Type="http://schemas.openxmlformats.org/officeDocument/2006/relationships/hyperlink" Target="http://www.boxofficemojo.com/movies/?id=collateralbeauty.htm" TargetMode="External"/><Relationship Id="rId268" Type="http://schemas.openxmlformats.org/officeDocument/2006/relationships/hyperlink" Target="http://www.boxofficemojo.com/studio/chart/?studio=wb-newline.htm" TargetMode="External"/><Relationship Id="rId269" Type="http://schemas.openxmlformats.org/officeDocument/2006/relationships/hyperlink" Target="http://www.boxofficemojo.com/schedule/?view=bydate&amp;release=theatrical&amp;date=2016-12-16&amp;p=.htm" TargetMode="External"/><Relationship Id="rId40" Type="http://schemas.openxmlformats.org/officeDocument/2006/relationships/hyperlink" Target="http://www.boxofficemojo.com/studio/chart/?studio=warnerbros.htm" TargetMode="External"/><Relationship Id="rId41" Type="http://schemas.openxmlformats.org/officeDocument/2006/relationships/hyperlink" Target="http://www.boxofficemojo.com/schedule/?view=bydate&amp;release=theatrical&amp;date=2016-11-18&amp;p=.htm" TargetMode="External"/><Relationship Id="rId42" Type="http://schemas.openxmlformats.org/officeDocument/2006/relationships/hyperlink" Target="http://www.boxofficemojo.com/movies/?id=marvel716.htm" TargetMode="External"/><Relationship Id="rId43" Type="http://schemas.openxmlformats.org/officeDocument/2006/relationships/hyperlink" Target="http://www.boxofficemojo.com/studio/chart/?studio=buenavista.htm" TargetMode="External"/><Relationship Id="rId44" Type="http://schemas.openxmlformats.org/officeDocument/2006/relationships/hyperlink" Target="http://www.boxofficemojo.com/schedule/?view=bydate&amp;release=theatrical&amp;date=2016-11-04&amp;p=.htm" TargetMode="External"/><Relationship Id="rId45" Type="http://schemas.openxmlformats.org/officeDocument/2006/relationships/hyperlink" Target="http://www.boxofficemojo.com/movies/?id=hiddenfigures.htm" TargetMode="External"/><Relationship Id="rId46" Type="http://schemas.openxmlformats.org/officeDocument/2006/relationships/hyperlink" Target="http://www.boxofficemojo.com/studio/chart/?studio=fox.htm" TargetMode="External"/><Relationship Id="rId47" Type="http://schemas.openxmlformats.org/officeDocument/2006/relationships/hyperlink" Target="http://www.boxofficemojo.com/schedule/?view=bydate&amp;release=theatrical&amp;date=2016-12-25&amp;p=.htm" TargetMode="External"/><Relationship Id="rId48" Type="http://schemas.openxmlformats.org/officeDocument/2006/relationships/hyperlink" Target="http://www.boxofficemojo.com/movies/?id=bourne5.htm" TargetMode="External"/><Relationship Id="rId49" Type="http://schemas.openxmlformats.org/officeDocument/2006/relationships/hyperlink" Target="http://www.boxofficemojo.com/studio/chart/?studio=universal.htm" TargetMode="External"/><Relationship Id="rId1900" Type="http://schemas.openxmlformats.org/officeDocument/2006/relationships/hyperlink" Target="http://www.boxofficemojo.com/studio/chart/?studio=kinolorber.htm" TargetMode="External"/><Relationship Id="rId1901" Type="http://schemas.openxmlformats.org/officeDocument/2006/relationships/hyperlink" Target="http://www.boxofficemojo.com/schedule/?view=bydate&amp;release=theatrical&amp;date=2016-07-15&amp;p=.htm" TargetMode="External"/><Relationship Id="rId1902" Type="http://schemas.openxmlformats.org/officeDocument/2006/relationships/hyperlink" Target="http://www.boxofficemojo.com/movies/?id=dontcallmeson%0b.htm" TargetMode="External"/><Relationship Id="rId1903" Type="http://schemas.openxmlformats.org/officeDocument/2006/relationships/hyperlink" Target="http://www.boxofficemojo.com/studio/chart/?studio=zeitgeist.htm" TargetMode="External"/><Relationship Id="rId1510" Type="http://schemas.openxmlformats.org/officeDocument/2006/relationships/hyperlink" Target="http://www.boxofficemojo.com/studio/chart/?studio=strand.htm" TargetMode="External"/><Relationship Id="rId1511" Type="http://schemas.openxmlformats.org/officeDocument/2006/relationships/hyperlink" Target="http://www.boxofficemojo.com/schedule/?view=bydate&amp;release=theatrical&amp;date=2016-02-05&amp;p=.htm" TargetMode="External"/><Relationship Id="rId1512" Type="http://schemas.openxmlformats.org/officeDocument/2006/relationships/hyperlink" Target="http://www.boxofficemojo.com/movies/?id=offtherails.htm" TargetMode="External"/><Relationship Id="rId1513" Type="http://schemas.openxmlformats.org/officeDocument/2006/relationships/hyperlink" Target="http://www.boxofficemojo.com/studio/chart/?studio=filmcollaborative.htm" TargetMode="External"/><Relationship Id="rId1120" Type="http://schemas.openxmlformats.org/officeDocument/2006/relationships/hyperlink" Target="http://www.boxofficemojo.com/studio/chart/?studio=panmedia.htm" TargetMode="External"/><Relationship Id="rId1121" Type="http://schemas.openxmlformats.org/officeDocument/2006/relationships/hyperlink" Target="http://www.boxofficemojo.com/schedule/?view=bydate&amp;release=theatrical&amp;date=2016-03-11&amp;p=.htm" TargetMode="External"/><Relationship Id="rId1122" Type="http://schemas.openxmlformats.org/officeDocument/2006/relationships/hyperlink" Target="http://www.boxofficemojo.com/movies/?id=sweetbean.htm" TargetMode="External"/><Relationship Id="rId1123" Type="http://schemas.openxmlformats.org/officeDocument/2006/relationships/hyperlink" Target="http://www.boxofficemojo.com/studio/chart/?studio=kinolorber.htm" TargetMode="External"/><Relationship Id="rId1124" Type="http://schemas.openxmlformats.org/officeDocument/2006/relationships/hyperlink" Target="http://www.boxofficemojo.com/schedule/?view=bydate&amp;release=theatrical&amp;date=2016-03-18&amp;p=.htm" TargetMode="External"/><Relationship Id="rId1125" Type="http://schemas.openxmlformats.org/officeDocument/2006/relationships/hyperlink" Target="http://www.boxofficemojo.com/movies/?id=awar.htm" TargetMode="External"/><Relationship Id="rId1126" Type="http://schemas.openxmlformats.org/officeDocument/2006/relationships/hyperlink" Target="http://www.boxofficemojo.com/studio/chart/?studio=magnolia.htm" TargetMode="External"/><Relationship Id="rId1127" Type="http://schemas.openxmlformats.org/officeDocument/2006/relationships/hyperlink" Target="http://www.boxofficemojo.com/schedule/?view=bydate&amp;release=theatrical&amp;date=2016-02-12&amp;p=.htm" TargetMode="External"/><Relationship Id="rId1128" Type="http://schemas.openxmlformats.org/officeDocument/2006/relationships/hyperlink" Target="http://www.boxofficemojo.com/movies/?id=fireatsea.htm" TargetMode="External"/><Relationship Id="rId1129" Type="http://schemas.openxmlformats.org/officeDocument/2006/relationships/hyperlink" Target="http://www.boxofficemojo.com/studio/chart/?studio=kinolorber.htm" TargetMode="External"/><Relationship Id="rId660" Type="http://schemas.openxmlformats.org/officeDocument/2006/relationships/hyperlink" Target="http://www.boxofficemojo.com/movies/?id=janegotagun.htm" TargetMode="External"/><Relationship Id="rId661" Type="http://schemas.openxmlformats.org/officeDocument/2006/relationships/hyperlink" Target="http://www.boxofficemojo.com/studio/chart/?studio=weinsteincompany.htm" TargetMode="External"/><Relationship Id="rId662" Type="http://schemas.openxmlformats.org/officeDocument/2006/relationships/hyperlink" Target="http://www.boxofficemojo.com/schedule/?view=bydate&amp;release=theatrical&amp;date=2016-01-29&amp;p=.htm" TargetMode="External"/><Relationship Id="rId663" Type="http://schemas.openxmlformats.org/officeDocument/2006/relationships/hyperlink" Target="http://www.boxofficemojo.com/movies/?id=priceless2016.htm" TargetMode="External"/><Relationship Id="rId664" Type="http://schemas.openxmlformats.org/officeDocument/2006/relationships/hyperlink" Target="http://www.boxofficemojo.com/studio/chart/?studio=roadsideattractions.htm" TargetMode="External"/><Relationship Id="rId665" Type="http://schemas.openxmlformats.org/officeDocument/2006/relationships/hyperlink" Target="http://www.boxofficemojo.com/schedule/?view=bydate&amp;release=theatrical&amp;date=2016-10-14&amp;p=.htm" TargetMode="External"/><Relationship Id="rId666" Type="http://schemas.openxmlformats.org/officeDocument/2006/relationships/hyperlink" Target="http://www.boxofficemojo.com/movies/?id=julieta.htm" TargetMode="External"/><Relationship Id="rId667" Type="http://schemas.openxmlformats.org/officeDocument/2006/relationships/hyperlink" Target="http://www.boxofficemojo.com/studio/chart/?studio=sonyclassics.htm" TargetMode="External"/><Relationship Id="rId668" Type="http://schemas.openxmlformats.org/officeDocument/2006/relationships/hyperlink" Target="http://www.boxofficemojo.com/schedule/?view=bydate&amp;release=theatrical&amp;date=2016-12-21&amp;p=.htm" TargetMode="External"/><Relationship Id="rId669" Type="http://schemas.openxmlformats.org/officeDocument/2006/relationships/hyperlink" Target="http://www.boxofficemojo.com/movies/?id=tonierdmann.htm" TargetMode="External"/><Relationship Id="rId1514" Type="http://schemas.openxmlformats.org/officeDocument/2006/relationships/hyperlink" Target="http://www.boxofficemojo.com/schedule/?view=bydate&amp;release=theatrical&amp;date=2016-11-18&amp;p=.htm" TargetMode="External"/><Relationship Id="rId1515" Type="http://schemas.openxmlformats.org/officeDocument/2006/relationships/hyperlink" Target="http://www.boxofficemojo.com/movies/?id=lastcabtodarwin.htm" TargetMode="External"/><Relationship Id="rId1516" Type="http://schemas.openxmlformats.org/officeDocument/2006/relationships/hyperlink" Target="http://www.boxofficemojo.com/studio/chart/?studio=firstrun.htm" TargetMode="External"/><Relationship Id="rId1517" Type="http://schemas.openxmlformats.org/officeDocument/2006/relationships/hyperlink" Target="http://www.boxofficemojo.com/schedule/?view=bydate&amp;release=theatrical&amp;date=2016-06-10&amp;p=.htm" TargetMode="External"/><Relationship Id="rId1518" Type="http://schemas.openxmlformats.org/officeDocument/2006/relationships/hyperlink" Target="http://www.boxofficemojo.com/movies/?id=mapagainsttheworld.htm" TargetMode="External"/><Relationship Id="rId1519" Type="http://schemas.openxmlformats.org/officeDocument/2006/relationships/hyperlink" Target="http://www.boxofficemojo.com/studio/chart/?studio=cjentertainment.htm" TargetMode="External"/><Relationship Id="rId270" Type="http://schemas.openxmlformats.org/officeDocument/2006/relationships/hyperlink" Target="http://www.boxofficemojo.com/movies/?id=hailcaesar.htm" TargetMode="External"/><Relationship Id="rId271" Type="http://schemas.openxmlformats.org/officeDocument/2006/relationships/hyperlink" Target="http://www.boxofficemojo.com/studio/chart/?studio=universal.htm" TargetMode="External"/><Relationship Id="rId272" Type="http://schemas.openxmlformats.org/officeDocument/2006/relationships/hyperlink" Target="http://www.boxofficemojo.com/schedule/?view=bydate&amp;release=theatrical&amp;date=2016-02-05&amp;p=.htm" TargetMode="External"/><Relationship Id="rId273" Type="http://schemas.openxmlformats.org/officeDocument/2006/relationships/hyperlink" Target="http://www.boxofficemojo.com/movies/?id=whentheboughbreaks.htm" TargetMode="External"/><Relationship Id="rId274" Type="http://schemas.openxmlformats.org/officeDocument/2006/relationships/hyperlink" Target="http://www.boxofficemojo.com/studio/chart/?studio=screengems.htm" TargetMode="External"/><Relationship Id="rId275" Type="http://schemas.openxmlformats.org/officeDocument/2006/relationships/hyperlink" Target="http://www.boxofficemojo.com/schedule/?view=bydate&amp;release=theatrical&amp;date=2016-09-09&amp;p=.htm" TargetMode="External"/><Relationship Id="rId276" Type="http://schemas.openxmlformats.org/officeDocument/2006/relationships/hyperlink" Target="http://www.boxofficemojo.com/movies/?id=zoolander2.htm" TargetMode="External"/><Relationship Id="rId277" Type="http://schemas.openxmlformats.org/officeDocument/2006/relationships/hyperlink" Target="http://www.boxofficemojo.com/studio/chart/?studio=paramount.htm" TargetMode="External"/><Relationship Id="rId278" Type="http://schemas.openxmlformats.org/officeDocument/2006/relationships/hyperlink" Target="http://www.boxofficemojo.com/schedule/?view=bydate&amp;release=theatrical&amp;date=2016-02-12&amp;p=.htm" TargetMode="External"/><Relationship Id="rId279" Type="http://schemas.openxmlformats.org/officeDocument/2006/relationships/hyperlink" Target="http://www.boxofficemojo.com/movies/?id=moonlight2016.htm" TargetMode="External"/><Relationship Id="rId1904" Type="http://schemas.openxmlformats.org/officeDocument/2006/relationships/hyperlink" Target="http://www.boxofficemojo.com/schedule/?view=bydate&amp;release=theatrical&amp;date=2016-11-02&amp;p=.htm" TargetMode="External"/><Relationship Id="rId1905" Type="http://schemas.openxmlformats.org/officeDocument/2006/relationships/hyperlink" Target="http://www.boxofficemojo.com/movies/?id=thepreppieconnection.htm" TargetMode="External"/><Relationship Id="rId1906" Type="http://schemas.openxmlformats.org/officeDocument/2006/relationships/hyperlink" Target="http://www.boxofficemojo.com/studio/chart/?studio=ifc.htm" TargetMode="External"/><Relationship Id="rId1907" Type="http://schemas.openxmlformats.org/officeDocument/2006/relationships/hyperlink" Target="http://www.boxofficemojo.com/schedule/?view=bydate&amp;release=theatrical&amp;date=2016-03-18&amp;p=.htm" TargetMode="External"/><Relationship Id="rId1908" Type="http://schemas.openxmlformats.org/officeDocument/2006/relationships/hyperlink" Target="http://www.boxofficemojo.com/movies/?id=riverofgrass.htm" TargetMode="External"/><Relationship Id="rId1909" Type="http://schemas.openxmlformats.org/officeDocument/2006/relationships/hyperlink" Target="http://www.boxofficemojo.com/studio/chart/?studio=oscilloscopepictures.htm" TargetMode="External"/><Relationship Id="rId2200" Type="http://schemas.openxmlformats.org/officeDocument/2006/relationships/hyperlink" Target="http://www.boxofficemojo.com/studio/chart/?studio=kinolorber.htm" TargetMode="External"/><Relationship Id="rId2201" Type="http://schemas.openxmlformats.org/officeDocument/2006/relationships/hyperlink" Target="http://www.boxofficemojo.com/schedule/?view=bydate&amp;release=theatrical&amp;date=2016-07-22&amp;p=.htm" TargetMode="External"/><Relationship Id="rId2202" Type="http://schemas.openxmlformats.org/officeDocument/2006/relationships/hyperlink" Target="http://www.boxofficemojo.com/movies/?id=satanic16.htm" TargetMode="External"/><Relationship Id="rId2203" Type="http://schemas.openxmlformats.org/officeDocument/2006/relationships/hyperlink" Target="http://www.boxofficemojo.com/studio/chart/?studio=magnolia.htm" TargetMode="External"/><Relationship Id="rId2204" Type="http://schemas.openxmlformats.org/officeDocument/2006/relationships/hyperlink" Target="http://www.boxofficemojo.com/schedule/?view=bydate&amp;release=theatrical&amp;date=2016-07-01&amp;p=.htm" TargetMode="External"/><Relationship Id="rId50" Type="http://schemas.openxmlformats.org/officeDocument/2006/relationships/hyperlink" Target="http://www.boxofficemojo.com/schedule/?view=bydate&amp;release=theatrical&amp;date=2016-07-29&amp;p=.htm" TargetMode="External"/><Relationship Id="rId51" Type="http://schemas.openxmlformats.org/officeDocument/2006/relationships/hyperlink" Target="http://www.boxofficemojo.com/movies/?id=startrek2016.htm" TargetMode="External"/><Relationship Id="rId52" Type="http://schemas.openxmlformats.org/officeDocument/2006/relationships/hyperlink" Target="http://www.boxofficemojo.com/studio/chart/?studio=paramount.htm" TargetMode="External"/><Relationship Id="rId53" Type="http://schemas.openxmlformats.org/officeDocument/2006/relationships/hyperlink" Target="http://www.boxofficemojo.com/schedule/?view=bydate&amp;release=theatrical&amp;date=2016-07-22&amp;p=.htm" TargetMode="External"/><Relationship Id="rId54" Type="http://schemas.openxmlformats.org/officeDocument/2006/relationships/hyperlink" Target="http://www.boxofficemojo.com/movies/?id=x-men2016.htm" TargetMode="External"/><Relationship Id="rId55" Type="http://schemas.openxmlformats.org/officeDocument/2006/relationships/hyperlink" Target="http://www.boxofficemojo.com/studio/chart/?studio=fox.htm" TargetMode="External"/><Relationship Id="rId56" Type="http://schemas.openxmlformats.org/officeDocument/2006/relationships/hyperlink" Target="http://www.boxofficemojo.com/schedule/?view=bydate&amp;release=theatrical&amp;date=2016-05-27&amp;p=.htm" TargetMode="External"/><Relationship Id="rId57" Type="http://schemas.openxmlformats.org/officeDocument/2006/relationships/hyperlink" Target="http://www.boxofficemojo.com/movies/?id=trolls.htm" TargetMode="External"/><Relationship Id="rId58" Type="http://schemas.openxmlformats.org/officeDocument/2006/relationships/hyperlink" Target="http://www.boxofficemojo.com/studio/chart/?studio=fox.htm" TargetMode="External"/><Relationship Id="rId59" Type="http://schemas.openxmlformats.org/officeDocument/2006/relationships/hyperlink" Target="http://www.boxofficemojo.com/schedule/?view=bydate&amp;release=theatrical&amp;date=2016-11-04&amp;p=.htm" TargetMode="External"/><Relationship Id="rId1910" Type="http://schemas.openxmlformats.org/officeDocument/2006/relationships/hyperlink" Target="http://www.boxofficemojo.com/schedule/?view=bydate&amp;release=theatrical&amp;date=2016-03-11&amp;p=.htm" TargetMode="External"/><Relationship Id="rId1911" Type="http://schemas.openxmlformats.org/officeDocument/2006/relationships/hyperlink" Target="http://www.boxofficemojo.com/movies/?id=theruinsoflifta.htm" TargetMode="External"/><Relationship Id="rId1912" Type="http://schemas.openxmlformats.org/officeDocument/2006/relationships/hyperlink" Target="http://www.boxofficemojo.com/studio/chart/?studio=firstrun.htm" TargetMode="External"/><Relationship Id="rId1913" Type="http://schemas.openxmlformats.org/officeDocument/2006/relationships/hyperlink" Target="http://www.boxofficemojo.com/schedule/?view=bydate&amp;release=theatrical&amp;date=2016-09-23&amp;p=.htm" TargetMode="External"/><Relationship Id="rId1520" Type="http://schemas.openxmlformats.org/officeDocument/2006/relationships/hyperlink" Target="http://www.boxofficemojo.com/schedule/?view=bydate&amp;release=theatrical&amp;date=2016-09-09&amp;p=.htm" TargetMode="External"/><Relationship Id="rId1521" Type="http://schemas.openxmlformats.org/officeDocument/2006/relationships/hyperlink" Target="http://www.boxofficemojo.com/movies/?id=equals.htm" TargetMode="External"/><Relationship Id="rId1522" Type="http://schemas.openxmlformats.org/officeDocument/2006/relationships/hyperlink" Target="http://www.boxofficemojo.com/studio/chart/?studio=a24.htm" TargetMode="External"/><Relationship Id="rId1523" Type="http://schemas.openxmlformats.org/officeDocument/2006/relationships/hyperlink" Target="http://www.boxofficemojo.com/schedule/?view=bydate&amp;release=theatrical&amp;date=2016-07-15&amp;p=.htm" TargetMode="External"/><Relationship Id="rId1130" Type="http://schemas.openxmlformats.org/officeDocument/2006/relationships/hyperlink" Target="http://www.boxofficemojo.com/schedule/?view=bydate&amp;release=theatrical&amp;date=2016-09-18&amp;p=.htm" TargetMode="External"/><Relationship Id="rId1131" Type="http://schemas.openxmlformats.org/officeDocument/2006/relationships/hyperlink" Target="http://www.boxofficemojo.com/movies/?id=misssharonjones.htm" TargetMode="External"/><Relationship Id="rId1132" Type="http://schemas.openxmlformats.org/officeDocument/2006/relationships/hyperlink" Target="http://www.boxofficemojo.com/studio/chart/?studio=starzmedia.htm" TargetMode="External"/><Relationship Id="rId1133" Type="http://schemas.openxmlformats.org/officeDocument/2006/relationships/hyperlink" Target="http://www.boxofficemojo.com/schedule/?view=bydate&amp;release=theatrical&amp;date=2016-07-29&amp;p=.htm" TargetMode="External"/><Relationship Id="rId1134" Type="http://schemas.openxmlformats.org/officeDocument/2006/relationships/hyperlink" Target="http://www.boxofficemojo.com/movies/?id=hockney.htm" TargetMode="External"/><Relationship Id="rId1135" Type="http://schemas.openxmlformats.org/officeDocument/2006/relationships/hyperlink" Target="http://www.boxofficemojo.com/studio/chart/?studio=filmmovement.htm" TargetMode="External"/><Relationship Id="rId1136" Type="http://schemas.openxmlformats.org/officeDocument/2006/relationships/hyperlink" Target="http://www.boxofficemojo.com/schedule/?view=bydate&amp;release=theatrical&amp;date=2016-04-22&amp;p=.htm" TargetMode="External"/><Relationship Id="rId1137" Type="http://schemas.openxmlformats.org/officeDocument/2006/relationships/hyperlink" Target="http://www.boxofficemojo.com/movies/?id=three.htm" TargetMode="External"/><Relationship Id="rId1138" Type="http://schemas.openxmlformats.org/officeDocument/2006/relationships/hyperlink" Target="http://www.boxofficemojo.com/studio/chart/?studio=wellgo.htm" TargetMode="External"/><Relationship Id="rId1139" Type="http://schemas.openxmlformats.org/officeDocument/2006/relationships/hyperlink" Target="http://www.boxofficemojo.com/schedule/?view=bydate&amp;release=theatrical&amp;date=2016-06-24&amp;p=.htm" TargetMode="External"/><Relationship Id="rId670" Type="http://schemas.openxmlformats.org/officeDocument/2006/relationships/hyperlink" Target="http://www.boxofficemojo.com/studio/chart/?studio=sonyclassics.htm" TargetMode="External"/><Relationship Id="rId671" Type="http://schemas.openxmlformats.org/officeDocument/2006/relationships/hyperlink" Target="http://www.boxofficemojo.com/schedule/?view=bydate&amp;release=theatrical&amp;date=2016-12-25&amp;p=.htm" TargetMode="External"/><Relationship Id="rId280" Type="http://schemas.openxmlformats.org/officeDocument/2006/relationships/hyperlink" Target="http://www.boxofficemojo.com/studio/chart/?studio=a24.htm" TargetMode="External"/><Relationship Id="rId281" Type="http://schemas.openxmlformats.org/officeDocument/2006/relationships/hyperlink" Target="http://www.boxofficemojo.com/schedule/?view=bydate&amp;release=theatrical&amp;date=2016-10-21&amp;p=.htm" TargetMode="External"/><Relationship Id="rId282" Type="http://schemas.openxmlformats.org/officeDocument/2006/relationships/hyperlink" Target="http://www.boxofficemojo.com/movies/?id=finesthours.htm" TargetMode="External"/><Relationship Id="rId283" Type="http://schemas.openxmlformats.org/officeDocument/2006/relationships/hyperlink" Target="http://www.boxofficemojo.com/studio/chart/?studio=buenavista.htm" TargetMode="External"/><Relationship Id="rId284" Type="http://schemas.openxmlformats.org/officeDocument/2006/relationships/hyperlink" Target="http://www.boxofficemojo.com/schedule/?view=bydate&amp;release=theatrical&amp;date=2016-01-29&amp;p=.htm" TargetMode="External"/><Relationship Id="rId285" Type="http://schemas.openxmlformats.org/officeDocument/2006/relationships/hyperlink" Target="http://www.boxofficemojo.com/movies/?id=florencefosterjenkins.htm" TargetMode="External"/><Relationship Id="rId286" Type="http://schemas.openxmlformats.org/officeDocument/2006/relationships/hyperlink" Target="http://www.boxofficemojo.com/studio/chart/?studio=paramount.htm" TargetMode="External"/><Relationship Id="rId287" Type="http://schemas.openxmlformats.org/officeDocument/2006/relationships/hyperlink" Target="http://www.boxofficemojo.com/schedule/?view=bydate&amp;release=theatrical&amp;date=2016-08-12&amp;p=.htm" TargetMode="External"/><Relationship Id="rId288" Type="http://schemas.openxmlformats.org/officeDocument/2006/relationships/hyperlink" Target="http://www.boxofficemojo.com/movies/?id=hellorhighwater.htm" TargetMode="External"/><Relationship Id="rId289" Type="http://schemas.openxmlformats.org/officeDocument/2006/relationships/hyperlink" Target="http://www.boxofficemojo.com/studio/chart/?studio=lionsgate.htm" TargetMode="External"/><Relationship Id="rId672" Type="http://schemas.openxmlformats.org/officeDocument/2006/relationships/hyperlink" Target="http://www.boxofficemojo.com/movies/?id=genius.htm" TargetMode="External"/><Relationship Id="rId673" Type="http://schemas.openxmlformats.org/officeDocument/2006/relationships/hyperlink" Target="http://www.boxofficemojo.com/studio/chart/?studio=roadsideattractions.htm" TargetMode="External"/><Relationship Id="rId674" Type="http://schemas.openxmlformats.org/officeDocument/2006/relationships/hyperlink" Target="http://www.boxofficemojo.com/schedule/?view=bydate&amp;release=theatrical&amp;date=2016-06-10&amp;p=.htm" TargetMode="External"/><Relationship Id="rId675" Type="http://schemas.openxmlformats.org/officeDocument/2006/relationships/hyperlink" Target="http://www.boxofficemojo.com/movies/?id=thelittleprince.htm" TargetMode="External"/><Relationship Id="rId676" Type="http://schemas.openxmlformats.org/officeDocument/2006/relationships/hyperlink" Target="http://www.boxofficemojo.com/studio/chart/?studio=entertainmentone.htm" TargetMode="External"/><Relationship Id="rId677" Type="http://schemas.openxmlformats.org/officeDocument/2006/relationships/hyperlink" Target="http://www.boxofficemojo.com/schedule/?view=bydate&amp;release=theatrical&amp;date=2016-02-12&amp;p=.htm" TargetMode="External"/><Relationship Id="rId678" Type="http://schemas.openxmlformats.org/officeDocument/2006/relationships/hyperlink" Target="http://www.boxofficemojo.com/movies/?id=theneondemon.htm" TargetMode="External"/><Relationship Id="rId679" Type="http://schemas.openxmlformats.org/officeDocument/2006/relationships/hyperlink" Target="http://www.boxofficemojo.com/studio/chart/?studio=broadgreen.htm" TargetMode="External"/><Relationship Id="rId1524" Type="http://schemas.openxmlformats.org/officeDocument/2006/relationships/hyperlink" Target="http://www.boxofficemojo.com/movies/?id=multiplemaniacs2016.htm" TargetMode="External"/><Relationship Id="rId1525" Type="http://schemas.openxmlformats.org/officeDocument/2006/relationships/hyperlink" Target="http://www.boxofficemojo.com/studio/chart/?studio=janusfilms.htm" TargetMode="External"/><Relationship Id="rId1526" Type="http://schemas.openxmlformats.org/officeDocument/2006/relationships/hyperlink" Target="http://www.boxofficemojo.com/schedule/?view=bydate&amp;release=theatrical&amp;date=2016-08-05&amp;p=.htm" TargetMode="External"/><Relationship Id="rId1527" Type="http://schemas.openxmlformats.org/officeDocument/2006/relationships/hyperlink" Target="http://www.boxofficemojo.com/movies/?id=theintervention.htm" TargetMode="External"/><Relationship Id="rId1528" Type="http://schemas.openxmlformats.org/officeDocument/2006/relationships/hyperlink" Target="http://www.boxofficemojo.com/studio/chart/?studio=samuelgoldwyn.htm" TargetMode="External"/><Relationship Id="rId1529" Type="http://schemas.openxmlformats.org/officeDocument/2006/relationships/hyperlink" Target="http://www.boxofficemojo.com/schedule/?view=bydate&amp;release=theatrical&amp;date=2016-08-26&amp;p=.htm" TargetMode="External"/><Relationship Id="rId1914" Type="http://schemas.openxmlformats.org/officeDocument/2006/relationships/hyperlink" Target="http://www.boxofficemojo.com/movies/?id=viktoria.htm" TargetMode="External"/><Relationship Id="rId1915" Type="http://schemas.openxmlformats.org/officeDocument/2006/relationships/hyperlink" Target="http://www.boxofficemojo.com/studio/chart/?studio=bigworld.htm" TargetMode="External"/><Relationship Id="rId1916" Type="http://schemas.openxmlformats.org/officeDocument/2006/relationships/hyperlink" Target="http://www.boxofficemojo.com/schedule/?view=bydate&amp;release=theatrical&amp;date=2016-04-29&amp;p=.htm" TargetMode="External"/><Relationship Id="rId1917" Type="http://schemas.openxmlformats.org/officeDocument/2006/relationships/hyperlink" Target="http://www.boxofficemojo.com/movies/?id=jeruzalem.htm" TargetMode="External"/><Relationship Id="rId1918" Type="http://schemas.openxmlformats.org/officeDocument/2006/relationships/hyperlink" Target="http://www.boxofficemojo.com/studio/chart/?studio=epicpics.htm" TargetMode="External"/><Relationship Id="rId1919" Type="http://schemas.openxmlformats.org/officeDocument/2006/relationships/hyperlink" Target="http://www.boxofficemojo.com/schedule/?view=bydate&amp;release=theatrical&amp;date=2016-01-22&amp;p=.htm" TargetMode="External"/><Relationship Id="rId60" Type="http://schemas.openxmlformats.org/officeDocument/2006/relationships/hyperlink" Target="http://www.boxofficemojo.com/movies/?id=lalaland.htm" TargetMode="External"/><Relationship Id="rId61" Type="http://schemas.openxmlformats.org/officeDocument/2006/relationships/hyperlink" Target="http://www.boxofficemojo.com/studio/chart/?studio=lionsgatesummit.htm" TargetMode="External"/><Relationship Id="rId62" Type="http://schemas.openxmlformats.org/officeDocument/2006/relationships/hyperlink" Target="http://www.boxofficemojo.com/schedule/?view=bydate&amp;release=theatrical&amp;date=2016-12-09&amp;p=.htm" TargetMode="External"/><Relationship Id="rId63" Type="http://schemas.openxmlformats.org/officeDocument/2006/relationships/hyperlink" Target="http://www.boxofficemojo.com/movies/?id=kungfupanda3.htm" TargetMode="External"/><Relationship Id="rId64" Type="http://schemas.openxmlformats.org/officeDocument/2006/relationships/hyperlink" Target="http://www.boxofficemojo.com/studio/chart/?studio=fox.htm" TargetMode="External"/><Relationship Id="rId65" Type="http://schemas.openxmlformats.org/officeDocument/2006/relationships/hyperlink" Target="http://www.boxofficemojo.com/schedule/?view=bydate&amp;release=theatrical&amp;date=2016-01-29&amp;p=.htm" TargetMode="External"/><Relationship Id="rId66" Type="http://schemas.openxmlformats.org/officeDocument/2006/relationships/hyperlink" Target="http://www.boxofficemojo.com/movies/?id=ghostbusters2016.htm" TargetMode="External"/><Relationship Id="rId67" Type="http://schemas.openxmlformats.org/officeDocument/2006/relationships/hyperlink" Target="http://www.boxofficemojo.com/studio/chart/?studio=sony.htm" TargetMode="External"/><Relationship Id="rId68" Type="http://schemas.openxmlformats.org/officeDocument/2006/relationships/hyperlink" Target="http://www.boxofficemojo.com/schedule/?view=bydate&amp;release=theatrical&amp;date=2016-07-15&amp;p=.htm" TargetMode="External"/><Relationship Id="rId69" Type="http://schemas.openxmlformats.org/officeDocument/2006/relationships/hyperlink" Target="http://www.boxofficemojo.com/movies/?id=centralintelligence.htm" TargetMode="External"/><Relationship Id="rId1920" Type="http://schemas.openxmlformats.org/officeDocument/2006/relationships/hyperlink" Target="http://www.boxofficemojo.com/movies/?id=theowholived.htm" TargetMode="External"/><Relationship Id="rId1921" Type="http://schemas.openxmlformats.org/officeDocument/2006/relationships/hyperlink" Target="http://www.boxofficemojo.com/studio/chart/?studio=zeitgeist.htm" TargetMode="External"/><Relationship Id="rId1922" Type="http://schemas.openxmlformats.org/officeDocument/2006/relationships/hyperlink" Target="http://www.boxofficemojo.com/schedule/?view=bydate&amp;release=theatrical&amp;date=2016-10-07&amp;p=.htm" TargetMode="External"/><Relationship Id="rId1923" Type="http://schemas.openxmlformats.org/officeDocument/2006/relationships/hyperlink" Target="http://www.boxofficemojo.com/movies/?id=anonymous2016.htm" TargetMode="External"/><Relationship Id="rId1530" Type="http://schemas.openxmlformats.org/officeDocument/2006/relationships/hyperlink" Target="http://www.boxofficemojo.com/movies/?id=monsterhunt.htm" TargetMode="External"/><Relationship Id="rId1531" Type="http://schemas.openxmlformats.org/officeDocument/2006/relationships/hyperlink" Target="http://www.boxofficemojo.com/studio/chart/?studio=filmrise.htm" TargetMode="External"/><Relationship Id="rId1532" Type="http://schemas.openxmlformats.org/officeDocument/2006/relationships/hyperlink" Target="http://www.boxofficemojo.com/schedule/?view=bydate&amp;release=theatrical&amp;date=2016-01-22&amp;p=.htm" TargetMode="External"/><Relationship Id="rId1533" Type="http://schemas.openxmlformats.org/officeDocument/2006/relationships/hyperlink" Target="http://www.boxofficemojo.com/movies/?id=nohomemovie.htm" TargetMode="External"/><Relationship Id="rId1140" Type="http://schemas.openxmlformats.org/officeDocument/2006/relationships/hyperlink" Target="http://www.boxofficemojo.com/movies/?id=rememberthegoal.htm" TargetMode="External"/><Relationship Id="rId1141" Type="http://schemas.openxmlformats.org/officeDocument/2006/relationships/hyperlink" Target="http://www.boxofficemojo.com/studio/chart/?studio=fiveandtwo.htm" TargetMode="External"/><Relationship Id="rId1142" Type="http://schemas.openxmlformats.org/officeDocument/2006/relationships/hyperlink" Target="http://www.boxofficemojo.com/schedule/?view=bydate&amp;release=theatrical&amp;date=2016-08-26&amp;p=.htm" TargetMode="External"/><Relationship Id="rId1143" Type="http://schemas.openxmlformats.org/officeDocument/2006/relationships/hyperlink" Target="http://www.boxofficemojo.com/movies/?id=taleoftales.htm" TargetMode="External"/><Relationship Id="rId1144" Type="http://schemas.openxmlformats.org/officeDocument/2006/relationships/hyperlink" Target="http://www.boxofficemojo.com/studio/chart/?studio=ifc.htm" TargetMode="External"/><Relationship Id="rId1145" Type="http://schemas.openxmlformats.org/officeDocument/2006/relationships/hyperlink" Target="http://www.boxofficemojo.com/schedule/?view=bydate&amp;release=theatrical&amp;date=2016-04-22&amp;p=.htm" TargetMode="External"/><Relationship Id="rId1146" Type="http://schemas.openxmlformats.org/officeDocument/2006/relationships/hyperlink" Target="http://www.boxofficemojo.com/movies/?id=victor.htm" TargetMode="External"/><Relationship Id="rId1147" Type="http://schemas.openxmlformats.org/officeDocument/2006/relationships/hyperlink" Target="http://www.boxofficemojo.com/studio/chart/?studio=canzion.htm" TargetMode="External"/><Relationship Id="rId1148" Type="http://schemas.openxmlformats.org/officeDocument/2006/relationships/hyperlink" Target="http://www.boxofficemojo.com/schedule/?view=bydate&amp;release=theatrical&amp;date=2016-09-15&amp;p=.htm" TargetMode="External"/><Relationship Id="rId1149" Type="http://schemas.openxmlformats.org/officeDocument/2006/relationships/hyperlink" Target="http://www.boxofficemojo.com/movies/?id=cagednomore.htm" TargetMode="External"/><Relationship Id="rId680" Type="http://schemas.openxmlformats.org/officeDocument/2006/relationships/hyperlink" Target="http://www.boxofficemojo.com/schedule/?view=bydate&amp;release=theatrical&amp;date=2016-06-24&amp;p=.htm" TargetMode="External"/><Relationship Id="rId681" Type="http://schemas.openxmlformats.org/officeDocument/2006/relationships/hyperlink" Target="http://www.boxofficemojo.com/movies/?id=embraceoftheserpent.htm" TargetMode="External"/><Relationship Id="rId290" Type="http://schemas.openxmlformats.org/officeDocument/2006/relationships/hyperlink" Target="http://www.boxofficemojo.com/schedule/?view=bydate&amp;release=theatrical&amp;date=2016-08-12&amp;p=.htm" TargetMode="External"/><Relationship Id="rId291" Type="http://schemas.openxmlformats.org/officeDocument/2006/relationships/hyperlink" Target="http://www.boxofficemojo.com/movies/?id=forest.htm" TargetMode="External"/><Relationship Id="rId292" Type="http://schemas.openxmlformats.org/officeDocument/2006/relationships/hyperlink" Target="http://www.boxofficemojo.com/studio/chart/?studio=focus.htm" TargetMode="External"/><Relationship Id="rId293" Type="http://schemas.openxmlformats.org/officeDocument/2006/relationships/hyperlink" Target="http://www.boxofficemojo.com/schedule/?view=bydate&amp;release=theatrical&amp;date=2016-01-08&amp;p=.htm" TargetMode="External"/><Relationship Id="rId294" Type="http://schemas.openxmlformats.org/officeDocument/2006/relationships/hyperlink" Target="http://www.boxofficemojo.com/movies/?id=benhur2016.htm" TargetMode="External"/><Relationship Id="rId295" Type="http://schemas.openxmlformats.org/officeDocument/2006/relationships/hyperlink" Target="http://www.boxofficemojo.com/studio/chart/?studio=paramount.htm" TargetMode="External"/><Relationship Id="rId296" Type="http://schemas.openxmlformats.org/officeDocument/2006/relationships/hyperlink" Target="http://www.boxofficemojo.com/schedule/?view=bydate&amp;release=theatrical&amp;date=2016-08-19&amp;p=.htm" TargetMode="External"/><Relationship Id="rId297" Type="http://schemas.openxmlformats.org/officeDocument/2006/relationships/hyperlink" Target="http://www.boxofficemojo.com/movies/?id=thewitch.htm" TargetMode="External"/><Relationship Id="rId298" Type="http://schemas.openxmlformats.org/officeDocument/2006/relationships/hyperlink" Target="http://www.boxofficemojo.com/studio/chart/?studio=a24.htm" TargetMode="External"/><Relationship Id="rId299" Type="http://schemas.openxmlformats.org/officeDocument/2006/relationships/hyperlink" Target="http://www.boxofficemojo.com/schedule/?view=bydate&amp;release=theatrical&amp;date=2016-02-19&amp;p=.htm" TargetMode="External"/><Relationship Id="rId682" Type="http://schemas.openxmlformats.org/officeDocument/2006/relationships/hyperlink" Target="http://www.boxofficemojo.com/studio/chart/?studio=oscilloscopepictures.htm" TargetMode="External"/><Relationship Id="rId683" Type="http://schemas.openxmlformats.org/officeDocument/2006/relationships/hyperlink" Target="http://www.boxofficemojo.com/schedule/?view=bydate&amp;release=theatrical&amp;date=2016-02-17&amp;p=.htm" TargetMode="External"/><Relationship Id="rId684" Type="http://schemas.openxmlformats.org/officeDocument/2006/relationships/hyperlink" Target="http://www.boxofficemojo.com/movies/?id=housefull3.htm" TargetMode="External"/><Relationship Id="rId685" Type="http://schemas.openxmlformats.org/officeDocument/2006/relationships/hyperlink" Target="http://www.boxofficemojo.com/studio/chart/?studio=eros.htm" TargetMode="External"/><Relationship Id="rId686" Type="http://schemas.openxmlformats.org/officeDocument/2006/relationships/hyperlink" Target="http://www.boxofficemojo.com/schedule/?view=bydate&amp;release=theatrical&amp;date=2016-06-03&amp;p=.htm" TargetMode="External"/><Relationship Id="rId687" Type="http://schemas.openxmlformats.org/officeDocument/2006/relationships/hyperlink" Target="http://www.boxofficemojo.com/movies/?id=mohenjodaro.htm" TargetMode="External"/><Relationship Id="rId688" Type="http://schemas.openxmlformats.org/officeDocument/2006/relationships/hyperlink" Target="http://www.boxofficemojo.com/studio/chart/?studio=utv.htm" TargetMode="External"/><Relationship Id="rId689" Type="http://schemas.openxmlformats.org/officeDocument/2006/relationships/hyperlink" Target="http://www.boxofficemojo.com/schedule/?view=bydate&amp;release=theatrical&amp;date=2016-08-12&amp;p=.htm" TargetMode="External"/><Relationship Id="rId1534" Type="http://schemas.openxmlformats.org/officeDocument/2006/relationships/hyperlink" Target="http://www.boxofficemojo.com/studio/chart/?studio=icarus.htm" TargetMode="External"/><Relationship Id="rId1535" Type="http://schemas.openxmlformats.org/officeDocument/2006/relationships/hyperlink" Target="http://www.boxofficemojo.com/schedule/?view=bydate&amp;release=theatrical&amp;date=2016-02-18&amp;p=.htm" TargetMode="External"/><Relationship Id="rId1536" Type="http://schemas.openxmlformats.org/officeDocument/2006/relationships/hyperlink" Target="http://www.boxofficemojo.com/movies/?id=rurounikenshin:origins.htm" TargetMode="External"/><Relationship Id="rId1537" Type="http://schemas.openxmlformats.org/officeDocument/2006/relationships/hyperlink" Target="http://www.boxofficemojo.com/studio/chart/?studio=funimation.htm" TargetMode="External"/><Relationship Id="rId1538" Type="http://schemas.openxmlformats.org/officeDocument/2006/relationships/hyperlink" Target="http://www.boxofficemojo.com/schedule/?view=bydate&amp;release=theatrical&amp;date=2016-08-08&amp;p=.htm" TargetMode="External"/><Relationship Id="rId1539" Type="http://schemas.openxmlformats.org/officeDocument/2006/relationships/hyperlink" Target="http://www.boxofficemojo.com/movies/?id=anesthesia.htm" TargetMode="External"/><Relationship Id="rId1924" Type="http://schemas.openxmlformats.org/officeDocument/2006/relationships/hyperlink" Target="http://www.boxofficemojo.com/studio/chart/?studio=archstone.htm" TargetMode="External"/><Relationship Id="rId1925" Type="http://schemas.openxmlformats.org/officeDocument/2006/relationships/hyperlink" Target="http://www.boxofficemojo.com/schedule/?view=bydate&amp;release=theatrical&amp;date=2016-12-02&amp;p=.htm" TargetMode="External"/><Relationship Id="rId1926" Type="http://schemas.openxmlformats.org/officeDocument/2006/relationships/hyperlink" Target="http://www.boxofficemojo.com/movies/?id=whathappenedlastnight.htm" TargetMode="External"/><Relationship Id="rId1927" Type="http://schemas.openxmlformats.org/officeDocument/2006/relationships/hyperlink" Target="http://www.boxofficemojo.com/studio/chart/?studio=gemelli.htm" TargetMode="External"/><Relationship Id="rId1928" Type="http://schemas.openxmlformats.org/officeDocument/2006/relationships/hyperlink" Target="http://www.boxofficemojo.com/schedule/?view=bydate&amp;release=theatrical&amp;date=2016-11-04&amp;p=.htm" TargetMode="External"/><Relationship Id="rId1929" Type="http://schemas.openxmlformats.org/officeDocument/2006/relationships/hyperlink" Target="http://www.boxofficemojo.com/movies/?id=nationalbird.htm" TargetMode="External"/><Relationship Id="rId70" Type="http://schemas.openxmlformats.org/officeDocument/2006/relationships/hyperlink" Target="http://www.boxofficemojo.com/studio/chart/?studio=wb-newline.htm" TargetMode="External"/><Relationship Id="rId71" Type="http://schemas.openxmlformats.org/officeDocument/2006/relationships/hyperlink" Target="http://www.boxofficemojo.com/schedule/?view=bydate&amp;release=theatrical&amp;date=2016-06-17&amp;p=.htm" TargetMode="External"/><Relationship Id="rId72" Type="http://schemas.openxmlformats.org/officeDocument/2006/relationships/hyperlink" Target="http://www.boxofficemojo.com/movies/?id=tarzan2016.htm" TargetMode="External"/><Relationship Id="rId73" Type="http://schemas.openxmlformats.org/officeDocument/2006/relationships/hyperlink" Target="http://www.boxofficemojo.com/studio/chart/?studio=warnerbros.htm" TargetMode="External"/><Relationship Id="rId74" Type="http://schemas.openxmlformats.org/officeDocument/2006/relationships/hyperlink" Target="http://www.boxofficemojo.com/schedule/?view=bydate&amp;release=theatrical&amp;date=2016-07-01&amp;p=.htm" TargetMode="External"/><Relationship Id="rId75" Type="http://schemas.openxmlformats.org/officeDocument/2006/relationships/hyperlink" Target="http://www.boxofficemojo.com/movies/?id=sully.htm" TargetMode="External"/><Relationship Id="rId76" Type="http://schemas.openxmlformats.org/officeDocument/2006/relationships/hyperlink" Target="http://www.boxofficemojo.com/studio/chart/?studio=warnerbros.htm" TargetMode="External"/><Relationship Id="rId77" Type="http://schemas.openxmlformats.org/officeDocument/2006/relationships/hyperlink" Target="http://www.boxofficemojo.com/schedule/?view=bydate&amp;release=theatrical&amp;date=2016-09-09&amp;p=.htm" TargetMode="External"/><Relationship Id="rId78" Type="http://schemas.openxmlformats.org/officeDocument/2006/relationships/hyperlink" Target="http://www.boxofficemojo.com/movies/?id=untitledlucasmoore.htm" TargetMode="External"/><Relationship Id="rId79" Type="http://schemas.openxmlformats.org/officeDocument/2006/relationships/hyperlink" Target="http://www.boxofficemojo.com/studio/chart/?studio=stx.htm" TargetMode="External"/><Relationship Id="rId1930" Type="http://schemas.openxmlformats.org/officeDocument/2006/relationships/hyperlink" Target="http://www.boxofficemojo.com/studio/chart/?studio=filmrise.htm" TargetMode="External"/><Relationship Id="rId1931" Type="http://schemas.openxmlformats.org/officeDocument/2006/relationships/hyperlink" Target="http://www.boxofficemojo.com/schedule/?view=bydate&amp;release=theatrical&amp;date=2016-11-11&amp;p=.htm" TargetMode="External"/><Relationship Id="rId1932" Type="http://schemas.openxmlformats.org/officeDocument/2006/relationships/hyperlink" Target="http://www.boxofficemojo.com/movies/?id=theautopsyofjanedoe.htm" TargetMode="External"/><Relationship Id="rId1933" Type="http://schemas.openxmlformats.org/officeDocument/2006/relationships/hyperlink" Target="http://www.boxofficemojo.com/studio/chart/?studio=ifc.htm" TargetMode="External"/><Relationship Id="rId1540" Type="http://schemas.openxmlformats.org/officeDocument/2006/relationships/hyperlink" Target="http://www.boxofficemojo.com/studio/chart/?studio=ifc.htm" TargetMode="External"/><Relationship Id="rId1541" Type="http://schemas.openxmlformats.org/officeDocument/2006/relationships/hyperlink" Target="http://www.boxofficemojo.com/schedule/?view=bydate&amp;release=theatrical&amp;date=2016-01-08&amp;p=.htm" TargetMode="External"/><Relationship Id="rId1542" Type="http://schemas.openxmlformats.org/officeDocument/2006/relationships/hyperlink" Target="http://www.boxofficemojo.com/movies/?id=rioiloveyou.htm" TargetMode="External"/><Relationship Id="rId1543" Type="http://schemas.openxmlformats.org/officeDocument/2006/relationships/hyperlink" Target="http://www.boxofficemojo.com/studio/chart/?studio=screenmedia.htm" TargetMode="External"/><Relationship Id="rId1150" Type="http://schemas.openxmlformats.org/officeDocument/2006/relationships/hyperlink" Target="http://www.boxofficemojo.com/studio/chart/?studio=fs.htm" TargetMode="External"/><Relationship Id="rId1151" Type="http://schemas.openxmlformats.org/officeDocument/2006/relationships/hyperlink" Target="http://www.boxofficemojo.com/schedule/?view=bydate&amp;release=theatrical&amp;date=2016-01-22&amp;p=.htm" TargetMode="External"/><Relationship Id="rId1152" Type="http://schemas.openxmlformats.org/officeDocument/2006/relationships/hyperlink" Target="http://www.boxofficemojo.com/movies/?id=measureofaman.htm" TargetMode="External"/><Relationship Id="rId1153" Type="http://schemas.openxmlformats.org/officeDocument/2006/relationships/hyperlink" Target="http://www.boxofficemojo.com/studio/chart/?studio=kinolorber.htm" TargetMode="External"/><Relationship Id="rId1154" Type="http://schemas.openxmlformats.org/officeDocument/2006/relationships/hyperlink" Target="http://www.boxofficemojo.com/schedule/?view=bydate&amp;release=theatrical&amp;date=2016-04-15&amp;p=.htm" TargetMode="External"/><Relationship Id="rId1155" Type="http://schemas.openxmlformats.org/officeDocument/2006/relationships/hyperlink" Target="http://www.boxofficemojo.com/movies/?id=elevatorgallows2016.htm" TargetMode="External"/><Relationship Id="rId1156" Type="http://schemas.openxmlformats.org/officeDocument/2006/relationships/hyperlink" Target="http://www.boxofficemojo.com/studio/chart/?studio=rialto.htm" TargetMode="External"/><Relationship Id="rId1157" Type="http://schemas.openxmlformats.org/officeDocument/2006/relationships/hyperlink" Target="http://www.boxofficemojo.com/schedule/?view=bydate&amp;release=theatrical&amp;date=2016-08-03&amp;p=.htm" TargetMode="External"/><Relationship Id="rId1158" Type="http://schemas.openxmlformats.org/officeDocument/2006/relationships/hyperlink" Target="http://www.boxofficemojo.com/movies/?id=zerodays.htm" TargetMode="External"/><Relationship Id="rId1159" Type="http://schemas.openxmlformats.org/officeDocument/2006/relationships/hyperlink" Target="http://www.boxofficemojo.com/studio/chart/?studio=magnolia.htm" TargetMode="External"/><Relationship Id="rId690" Type="http://schemas.openxmlformats.org/officeDocument/2006/relationships/hyperlink" Target="http://www.boxofficemojo.com/movies/?id=lazerteam.htm" TargetMode="External"/><Relationship Id="rId691" Type="http://schemas.openxmlformats.org/officeDocument/2006/relationships/hyperlink" Target="http://www.boxofficemojo.com/studio/chart/?studio=amplify.htm" TargetMode="External"/><Relationship Id="rId692" Type="http://schemas.openxmlformats.org/officeDocument/2006/relationships/hyperlink" Target="http://www.boxofficemojo.com/schedule/?view=bydate&amp;release=theatrical&amp;date=2016-01-27&amp;p=.htm" TargetMode="External"/><Relationship Id="rId693" Type="http://schemas.openxmlformats.org/officeDocument/2006/relationships/hyperlink" Target="http://www.boxofficemojo.com/movies/?id=themusicofstrangers.htm" TargetMode="External"/><Relationship Id="rId694" Type="http://schemas.openxmlformats.org/officeDocument/2006/relationships/hyperlink" Target="http://www.boxofficemojo.com/studio/chart/?studio=orchard.htm" TargetMode="External"/><Relationship Id="rId695" Type="http://schemas.openxmlformats.org/officeDocument/2006/relationships/hyperlink" Target="http://www.boxofficemojo.com/schedule/?view=bydate&amp;release=theatrical&amp;date=2016-06-10&amp;p=.htm" TargetMode="External"/><Relationship Id="rId696" Type="http://schemas.openxmlformats.org/officeDocument/2006/relationships/hyperlink" Target="http://www.boxofficemojo.com/movies/?id=vaxxed.htm" TargetMode="External"/><Relationship Id="rId697" Type="http://schemas.openxmlformats.org/officeDocument/2006/relationships/hyperlink" Target="http://www.boxofficemojo.com/studio/chart/?studio=cls.htm" TargetMode="External"/><Relationship Id="rId698" Type="http://schemas.openxmlformats.org/officeDocument/2006/relationships/hyperlink" Target="http://www.boxofficemojo.com/schedule/?view=bydate&amp;release=theatrical&amp;date=2016-04-01&amp;p=.htm" TargetMode="External"/><Relationship Id="rId699" Type="http://schemas.openxmlformats.org/officeDocument/2006/relationships/hyperlink" Target="http://www.boxofficemojo.com/movies/?id=dough.htm" TargetMode="External"/><Relationship Id="rId1544" Type="http://schemas.openxmlformats.org/officeDocument/2006/relationships/hyperlink" Target="http://www.boxofficemojo.com/schedule/?view=bydate&amp;release=theatrical&amp;date=2016-04-15&amp;p=.htm" TargetMode="External"/><Relationship Id="rId1545" Type="http://schemas.openxmlformats.org/officeDocument/2006/relationships/hyperlink" Target="http://www.boxofficemojo.com/movies/?id=undertheshadow.htm" TargetMode="External"/><Relationship Id="rId1546" Type="http://schemas.openxmlformats.org/officeDocument/2006/relationships/hyperlink" Target="http://www.boxofficemojo.com/studio/chart/?studio=vertical.htm" TargetMode="External"/><Relationship Id="rId1547" Type="http://schemas.openxmlformats.org/officeDocument/2006/relationships/hyperlink" Target="http://www.boxofficemojo.com/schedule/?view=bydate&amp;release=theatrical&amp;date=2016-10-07&amp;p=.htm" TargetMode="External"/><Relationship Id="rId1548" Type="http://schemas.openxmlformats.org/officeDocument/2006/relationships/hyperlink" Target="http://www.boxofficemojo.com/movies/?id=pathsofthesoul.htm" TargetMode="External"/><Relationship Id="rId1549" Type="http://schemas.openxmlformats.org/officeDocument/2006/relationships/hyperlink" Target="http://www.boxofficemojo.com/studio/chart/?studio=icarus.htm" TargetMode="External"/><Relationship Id="rId1934" Type="http://schemas.openxmlformats.org/officeDocument/2006/relationships/hyperlink" Target="http://www.boxofficemojo.com/schedule/?view=bydate&amp;release=theatrical&amp;date=2016-12-21&amp;p=.htm" TargetMode="External"/><Relationship Id="rId1935" Type="http://schemas.openxmlformats.org/officeDocument/2006/relationships/hyperlink" Target="http://www.boxofficemojo.com/movies/?id=serialkiller1.htm" TargetMode="External"/><Relationship Id="rId1936" Type="http://schemas.openxmlformats.org/officeDocument/2006/relationships/hyperlink" Target="http://www.boxofficemojo.com/studio/chart/?studio=kinolorber.htm" TargetMode="External"/><Relationship Id="rId1937" Type="http://schemas.openxmlformats.org/officeDocument/2006/relationships/hyperlink" Target="http://www.boxofficemojo.com/schedule/?view=bydate&amp;release=theatrical&amp;date=2016-05-13&amp;p=.htm" TargetMode="External"/><Relationship Id="rId1938" Type="http://schemas.openxmlformats.org/officeDocument/2006/relationships/hyperlink" Target="http://www.boxofficemojo.com/movies/?id=approachingtheunknown.htm" TargetMode="External"/><Relationship Id="rId1939" Type="http://schemas.openxmlformats.org/officeDocument/2006/relationships/hyperlink" Target="http://www.boxofficemojo.com/studio/chart/?studio=independent.htm" TargetMode="External"/><Relationship Id="rId80" Type="http://schemas.openxmlformats.org/officeDocument/2006/relationships/hyperlink" Target="http://www.boxofficemojo.com/schedule/?view=bydate&amp;release=theatrical&amp;date=2016-07-29&amp;p=.htm" TargetMode="External"/><Relationship Id="rId81" Type="http://schemas.openxmlformats.org/officeDocument/2006/relationships/hyperlink" Target="http://www.boxofficemojo.com/movies/?id=angrybirds.htm" TargetMode="External"/><Relationship Id="rId82" Type="http://schemas.openxmlformats.org/officeDocument/2006/relationships/hyperlink" Target="http://www.boxofficemojo.com/studio/chart/?studio=sony.htm" TargetMode="External"/><Relationship Id="rId83" Type="http://schemas.openxmlformats.org/officeDocument/2006/relationships/hyperlink" Target="http://www.boxofficemojo.com/schedule/?view=bydate&amp;release=theatrical&amp;date=2016-05-20&amp;p=.htm" TargetMode="External"/><Relationship Id="rId84" Type="http://schemas.openxmlformats.org/officeDocument/2006/relationships/hyperlink" Target="http://www.boxofficemojo.com/movies/?id=id42.htm" TargetMode="External"/><Relationship Id="rId85" Type="http://schemas.openxmlformats.org/officeDocument/2006/relationships/hyperlink" Target="http://www.boxofficemojo.com/studio/chart/?studio=fox.htm" TargetMode="External"/><Relationship Id="rId86" Type="http://schemas.openxmlformats.org/officeDocument/2006/relationships/hyperlink" Target="http://www.boxofficemojo.com/schedule/?view=bydate&amp;release=theatrical&amp;date=2016-06-24&amp;p=.htm" TargetMode="External"/><Relationship Id="rId87" Type="http://schemas.openxmlformats.org/officeDocument/2006/relationships/hyperlink" Target="http://www.boxofficemojo.com/movies/?id=conjuring2.htm" TargetMode="External"/><Relationship Id="rId88" Type="http://schemas.openxmlformats.org/officeDocument/2006/relationships/hyperlink" Target="http://www.boxofficemojo.com/studio/chart/?studio=wb-newline.htm" TargetMode="External"/><Relationship Id="rId89" Type="http://schemas.openxmlformats.org/officeDocument/2006/relationships/hyperlink" Target="http://www.boxofficemojo.com/schedule/?view=bydate&amp;release=theatrical&amp;date=2016-06-10&amp;p=.htm" TargetMode="External"/><Relationship Id="rId1940" Type="http://schemas.openxmlformats.org/officeDocument/2006/relationships/hyperlink" Target="http://www.boxofficemojo.com/schedule/?view=bydate&amp;release=theatrical&amp;date=2016-06-03&amp;p=.htm" TargetMode="External"/><Relationship Id="rId1941" Type="http://schemas.openxmlformats.org/officeDocument/2006/relationships/hyperlink" Target="http://www.boxofficemojo.com/movies/?id=betatest.htm" TargetMode="External"/><Relationship Id="rId1942" Type="http://schemas.openxmlformats.org/officeDocument/2006/relationships/hyperlink" Target="http://www.boxofficemojo.com/studio/chart/?studio=mirrorimages.htm" TargetMode="External"/><Relationship Id="rId1943" Type="http://schemas.openxmlformats.org/officeDocument/2006/relationships/hyperlink" Target="http://www.boxofficemojo.com/schedule/?view=bydate&amp;release=theatrical&amp;date=2016-07-22&amp;p=.htm" TargetMode="External"/><Relationship Id="rId1550" Type="http://schemas.openxmlformats.org/officeDocument/2006/relationships/hyperlink" Target="http://www.boxofficemojo.com/schedule/?view=bydate&amp;release=theatrical&amp;date=2016-05-13&amp;p=.htm" TargetMode="External"/><Relationship Id="rId1551" Type="http://schemas.openxmlformats.org/officeDocument/2006/relationships/hyperlink" Target="http://www.boxofficemojo.com/movies/?id=asiopenmyeyes.htm" TargetMode="External"/><Relationship Id="rId1552" Type="http://schemas.openxmlformats.org/officeDocument/2006/relationships/hyperlink" Target="http://www.boxofficemojo.com/studio/chart/?studio=kinolorber.htm" TargetMode="External"/><Relationship Id="rId1553" Type="http://schemas.openxmlformats.org/officeDocument/2006/relationships/hyperlink" Target="http://www.boxofficemojo.com/schedule/?view=bydate&amp;release=theatrical&amp;date=2016-09-08&amp;p=.htm" TargetMode="External"/><Relationship Id="rId1160" Type="http://schemas.openxmlformats.org/officeDocument/2006/relationships/hyperlink" Target="http://www.boxofficemojo.com/schedule/?view=bydate&amp;release=theatrical&amp;date=2016-07-08&amp;p=.htm" TargetMode="External"/><Relationship Id="rId1161" Type="http://schemas.openxmlformats.org/officeDocument/2006/relationships/hyperlink" Target="http://www.boxofficemojo.com/movies/?id=aferim.htm" TargetMode="External"/><Relationship Id="rId1162" Type="http://schemas.openxmlformats.org/officeDocument/2006/relationships/hyperlink" Target="http://www.boxofficemojo.com/studio/chart/?studio=bigworld.htm" TargetMode="External"/><Relationship Id="rId1163" Type="http://schemas.openxmlformats.org/officeDocument/2006/relationships/hyperlink" Target="http://www.boxofficemojo.com/schedule/?view=bydate&amp;release=theatrical&amp;date=2016-01-22&amp;p=.htm" TargetMode="External"/><Relationship Id="rId1164" Type="http://schemas.openxmlformats.org/officeDocument/2006/relationships/hyperlink" Target="http://www.boxofficemojo.com/movies/?id=bestworstthing.htm" TargetMode="External"/><Relationship Id="rId1165" Type="http://schemas.openxmlformats.org/officeDocument/2006/relationships/hyperlink" Target="http://www.boxofficemojo.com/studio/chart/?studio=abramorama.htm" TargetMode="External"/><Relationship Id="rId1166" Type="http://schemas.openxmlformats.org/officeDocument/2006/relationships/hyperlink" Target="http://www.boxofficemojo.com/schedule/?view=bydate&amp;release=theatrical&amp;date=2016-11-18&amp;p=.htm" TargetMode="External"/><Relationship Id="rId1167" Type="http://schemas.openxmlformats.org/officeDocument/2006/relationships/hyperlink" Target="http://www.boxofficemojo.com/movies/?id=dekalog2016.htm" TargetMode="External"/><Relationship Id="rId1168" Type="http://schemas.openxmlformats.org/officeDocument/2006/relationships/hyperlink" Target="http://www.boxofficemojo.com/studio/chart/?studio=janusfilms.htm" TargetMode="External"/><Relationship Id="rId1169" Type="http://schemas.openxmlformats.org/officeDocument/2006/relationships/hyperlink" Target="http://www.boxofficemojo.com/schedule/?view=bydate&amp;release=theatrical&amp;date=2016-09-02&amp;p=.htm" TargetMode="External"/><Relationship Id="rId1554" Type="http://schemas.openxmlformats.org/officeDocument/2006/relationships/hyperlink" Target="http://www.boxofficemojo.com/movies/?id=thesonofjoseph.htm" TargetMode="External"/><Relationship Id="rId1555" Type="http://schemas.openxmlformats.org/officeDocument/2006/relationships/hyperlink" Target="http://www.boxofficemojo.com/studio/chart/?studio=kinolorber.htm" TargetMode="External"/><Relationship Id="rId1556" Type="http://schemas.openxmlformats.org/officeDocument/2006/relationships/hyperlink" Target="http://www.boxofficemojo.com/schedule/?view=bydate&amp;release=theatrical&amp;date=2016-09-29&amp;p=.htm" TargetMode="External"/><Relationship Id="rId1557" Type="http://schemas.openxmlformats.org/officeDocument/2006/relationships/hyperlink" Target="http://www.boxofficemojo.com/movies/?id=beingcharlie.htm" TargetMode="External"/><Relationship Id="rId1558" Type="http://schemas.openxmlformats.org/officeDocument/2006/relationships/hyperlink" Target="http://www.boxofficemojo.com/studio/chart/?studio=paladin.htm" TargetMode="External"/><Relationship Id="rId1559" Type="http://schemas.openxmlformats.org/officeDocument/2006/relationships/hyperlink" Target="http://www.boxofficemojo.com/schedule/?view=bydate&amp;release=theatrical&amp;date=2016-05-06&amp;p=.htm" TargetMode="External"/><Relationship Id="rId1944" Type="http://schemas.openxmlformats.org/officeDocument/2006/relationships/hyperlink" Target="http://www.boxofficemojo.com/movies/?id=intotheforest.htm" TargetMode="External"/><Relationship Id="rId1945" Type="http://schemas.openxmlformats.org/officeDocument/2006/relationships/hyperlink" Target="http://www.boxofficemojo.com/studio/chart/?studio=a24.htm" TargetMode="External"/><Relationship Id="rId1946" Type="http://schemas.openxmlformats.org/officeDocument/2006/relationships/hyperlink" Target="http://www.boxofficemojo.com/schedule/?view=bydate&amp;release=theatrical&amp;date=2016-07-29&amp;p=.htm" TargetMode="External"/><Relationship Id="rId1947" Type="http://schemas.openxmlformats.org/officeDocument/2006/relationships/hyperlink" Target="http://www.boxofficemojo.com/movies/?id=madeinfrance.htm" TargetMode="External"/><Relationship Id="rId1948" Type="http://schemas.openxmlformats.org/officeDocument/2006/relationships/hyperlink" Target="http://www.boxofficemojo.com/studio/chart/?studio=milkyway.htm" TargetMode="External"/><Relationship Id="rId1949" Type="http://schemas.openxmlformats.org/officeDocument/2006/relationships/hyperlink" Target="http://www.boxofficemojo.com/schedule/?view=bydate&amp;release=theatrical&amp;date=2016-09-23&amp;p=.htm" TargetMode="External"/><Relationship Id="rId300" Type="http://schemas.openxmlformats.org/officeDocument/2006/relationships/hyperlink" Target="http://www.boxofficemojo.com/movies/?id=bridgetjonessbaby.htm" TargetMode="External"/><Relationship Id="rId301" Type="http://schemas.openxmlformats.org/officeDocument/2006/relationships/hyperlink" Target="http://www.boxofficemojo.com/studio/chart/?studio=universal.htm" TargetMode="External"/><Relationship Id="rId302" Type="http://schemas.openxmlformats.org/officeDocument/2006/relationships/hyperlink" Target="http://www.boxofficemojo.com/schedule/?view=bydate&amp;release=theatrical&amp;date=2016-09-16&amp;p=.htm" TargetMode="External"/><Relationship Id="rId303" Type="http://schemas.openxmlformats.org/officeDocument/2006/relationships/hyperlink" Target="http://www.boxofficemojo.com/movies/?id=kevinhart2016.htm" TargetMode="External"/><Relationship Id="rId304" Type="http://schemas.openxmlformats.org/officeDocument/2006/relationships/hyperlink" Target="http://www.boxofficemojo.com/studio/chart/?studio=universal.htm" TargetMode="External"/><Relationship Id="rId305" Type="http://schemas.openxmlformats.org/officeDocument/2006/relationships/hyperlink" Target="http://www.boxofficemojo.com/schedule/?view=bydate&amp;release=theatrical&amp;date=2016-10-14&amp;p=.htm" TargetMode="External"/><Relationship Id="rId306" Type="http://schemas.openxmlformats.org/officeDocument/2006/relationships/hyperlink" Target="http://www.boxofficemojo.com/movies/?id=untitledtinafeycomedy.htm" TargetMode="External"/><Relationship Id="rId307" Type="http://schemas.openxmlformats.org/officeDocument/2006/relationships/hyperlink" Target="http://www.boxofficemojo.com/studio/chart/?studio=paramount.htm" TargetMode="External"/><Relationship Id="rId308" Type="http://schemas.openxmlformats.org/officeDocument/2006/relationships/hyperlink" Target="http://www.boxofficemojo.com/schedule/?view=bydate&amp;release=theatrical&amp;date=2016-03-04&amp;p=.htm" TargetMode="External"/><Relationship Id="rId309" Type="http://schemas.openxmlformats.org/officeDocument/2006/relationships/hyperlink" Target="http://www.boxofficemojo.com/movies/?id=snowden.htm" TargetMode="External"/><Relationship Id="rId90" Type="http://schemas.openxmlformats.org/officeDocument/2006/relationships/hyperlink" Target="http://www.boxofficemojo.com/movies/?id=arrival2016.htm" TargetMode="External"/><Relationship Id="rId91" Type="http://schemas.openxmlformats.org/officeDocument/2006/relationships/hyperlink" Target="http://www.boxofficemojo.com/studio/chart/?studio=paramount.htm" TargetMode="External"/><Relationship Id="rId92" Type="http://schemas.openxmlformats.org/officeDocument/2006/relationships/hyperlink" Target="http://www.boxofficemojo.com/schedule/?view=bydate&amp;release=theatrical&amp;date=2016-11-11&amp;p=.htm" TargetMode="External"/><Relationship Id="rId93" Type="http://schemas.openxmlformats.org/officeDocument/2006/relationships/hyperlink" Target="http://www.boxofficemojo.com/movies/?id=passengers2016.htm" TargetMode="External"/><Relationship Id="rId94" Type="http://schemas.openxmlformats.org/officeDocument/2006/relationships/hyperlink" Target="http://www.boxofficemojo.com/studio/chart/?studio=sony.htm" TargetMode="External"/><Relationship Id="rId95" Type="http://schemas.openxmlformats.org/officeDocument/2006/relationships/hyperlink" Target="http://www.boxofficemojo.com/schedule/?view=bydate&amp;release=theatrical&amp;date=2016-12-21&amp;p=.htm" TargetMode="External"/><Relationship Id="rId96" Type="http://schemas.openxmlformats.org/officeDocument/2006/relationships/hyperlink" Target="http://www.boxofficemojo.com/movies/?id=sausageparty.htm" TargetMode="External"/><Relationship Id="rId97" Type="http://schemas.openxmlformats.org/officeDocument/2006/relationships/hyperlink" Target="http://www.boxofficemojo.com/studio/chart/?studio=sony.htm" TargetMode="External"/><Relationship Id="rId98" Type="http://schemas.openxmlformats.org/officeDocument/2006/relationships/hyperlink" Target="http://www.boxofficemojo.com/schedule/?view=bydate&amp;release=theatrical&amp;date=2016-08-12&amp;p=.htm" TargetMode="External"/><Relationship Id="rId99" Type="http://schemas.openxmlformats.org/officeDocument/2006/relationships/hyperlink" Target="http://www.boxofficemojo.com/movies/?id=themagnificentseven.htm" TargetMode="External"/><Relationship Id="rId1950" Type="http://schemas.openxmlformats.org/officeDocument/2006/relationships/hyperlink" Target="http://www.boxofficemojo.com/movies/?id=thelostarcade.htm" TargetMode="External"/><Relationship Id="rId1951" Type="http://schemas.openxmlformats.org/officeDocument/2006/relationships/hyperlink" Target="http://www.boxofficemojo.com/studio/chart/?studio=26aries.htm" TargetMode="External"/><Relationship Id="rId1952" Type="http://schemas.openxmlformats.org/officeDocument/2006/relationships/hyperlink" Target="http://www.boxofficemojo.com/schedule/?view=bydate&amp;release=theatrical&amp;date=2016-08-12&amp;p=.htm" TargetMode="External"/><Relationship Id="rId1953" Type="http://schemas.openxmlformats.org/officeDocument/2006/relationships/hyperlink" Target="http://www.boxofficemojo.com/movies/?id=chosen16.htm" TargetMode="External"/><Relationship Id="rId1560" Type="http://schemas.openxmlformats.org/officeDocument/2006/relationships/hyperlink" Target="http://www.boxofficemojo.com/movies/?id=menchicken.htm" TargetMode="External"/><Relationship Id="rId1561" Type="http://schemas.openxmlformats.org/officeDocument/2006/relationships/hyperlink" Target="http://www.boxofficemojo.com/studio/chart/?studio=drafthousefilms.htm" TargetMode="External"/><Relationship Id="rId1562" Type="http://schemas.openxmlformats.org/officeDocument/2006/relationships/hyperlink" Target="http://www.boxofficemojo.com/schedule/?view=bydate&amp;release=theatrical&amp;date=2016-04-22&amp;p=.htm" TargetMode="External"/><Relationship Id="rId1563" Type="http://schemas.openxmlformats.org/officeDocument/2006/relationships/hyperlink" Target="http://www.boxofficemojo.com/movies/?id=fromafar.htm" TargetMode="External"/><Relationship Id="rId1170" Type="http://schemas.openxmlformats.org/officeDocument/2006/relationships/hyperlink" Target="http://www.boxofficemojo.com/movies/?id=untilforeverporsiempre.htm" TargetMode="External"/><Relationship Id="rId1171" Type="http://schemas.openxmlformats.org/officeDocument/2006/relationships/hyperlink" Target="http://www.boxofficemojo.com/studio/chart/?studio=canzion.htm" TargetMode="External"/><Relationship Id="rId1172" Type="http://schemas.openxmlformats.org/officeDocument/2006/relationships/hyperlink" Target="http://www.boxofficemojo.com/schedule/?view=bydate&amp;release=theatrical&amp;date=2016-11-17&amp;p=.htm" TargetMode="External"/><Relationship Id="rId1173" Type="http://schemas.openxmlformats.org/officeDocument/2006/relationships/hyperlink" Target="http://www.boxofficemojo.com/movies/?id=underthesun2016.htm" TargetMode="External"/><Relationship Id="rId1174" Type="http://schemas.openxmlformats.org/officeDocument/2006/relationships/hyperlink" Target="http://www.boxofficemojo.com/studio/chart/?studio=icarus.htm" TargetMode="External"/><Relationship Id="rId1175" Type="http://schemas.openxmlformats.org/officeDocument/2006/relationships/hyperlink" Target="http://www.boxofficemojo.com/schedule/?view=bydate&amp;release=theatrical&amp;date=2016-07-06&amp;p=.htm" TargetMode="External"/><Relationship Id="rId1176" Type="http://schemas.openxmlformats.org/officeDocument/2006/relationships/hyperlink" Target="http://www.boxofficemojo.com/movies/?id=dictator2016.htm" TargetMode="External"/><Relationship Id="rId1177" Type="http://schemas.openxmlformats.org/officeDocument/2006/relationships/hyperlink" Target="http://www.boxofficemojo.com/studio/chart/?studio=eros.htm" TargetMode="External"/><Relationship Id="rId1178" Type="http://schemas.openxmlformats.org/officeDocument/2006/relationships/hyperlink" Target="http://www.boxofficemojo.com/schedule/?view=bydate&amp;release=theatrical&amp;date=2016-01-13&amp;p=.htm" TargetMode="External"/><Relationship Id="rId1179" Type="http://schemas.openxmlformats.org/officeDocument/2006/relationships/hyperlink" Target="http://www.boxofficemojo.com/movies/?id=demon.htm" TargetMode="External"/><Relationship Id="rId1564" Type="http://schemas.openxmlformats.org/officeDocument/2006/relationships/hyperlink" Target="http://www.boxofficemojo.com/studio/chart/?studio=strand.htm" TargetMode="External"/><Relationship Id="rId1565" Type="http://schemas.openxmlformats.org/officeDocument/2006/relationships/hyperlink" Target="http://www.boxofficemojo.com/schedule/?view=bydate&amp;release=theatrical&amp;date=2016-06-08&amp;p=.htm" TargetMode="External"/><Relationship Id="rId1566" Type="http://schemas.openxmlformats.org/officeDocument/2006/relationships/hyperlink" Target="http://www.boxofficemojo.com/movies/?id=forafewbullets.htm" TargetMode="External"/><Relationship Id="rId1567" Type="http://schemas.openxmlformats.org/officeDocument/2006/relationships/hyperlink" Target="http://www.boxofficemojo.com/studio/chart/?studio=chinalion.htm" TargetMode="External"/><Relationship Id="rId1568" Type="http://schemas.openxmlformats.org/officeDocument/2006/relationships/hyperlink" Target="http://www.boxofficemojo.com/schedule/?view=bydate&amp;release=theatrical&amp;date=2016-07-22&amp;p=.htm" TargetMode="External"/><Relationship Id="rId1569" Type="http://schemas.openxmlformats.org/officeDocument/2006/relationships/hyperlink" Target="http://www.boxofficemojo.com/movies/?id=therapyforavampire.htm" TargetMode="External"/><Relationship Id="rId1954" Type="http://schemas.openxmlformats.org/officeDocument/2006/relationships/hyperlink" Target="http://www.boxofficemojo.com/studio/chart/?studio=medallionreleasing.htm" TargetMode="External"/><Relationship Id="rId1955" Type="http://schemas.openxmlformats.org/officeDocument/2006/relationships/hyperlink" Target="http://www.boxofficemojo.com/schedule/?view=bydate&amp;release=theatrical&amp;date=2016-12-16&amp;p=.htm" TargetMode="External"/><Relationship Id="rId1956" Type="http://schemas.openxmlformats.org/officeDocument/2006/relationships/hyperlink" Target="http://www.boxofficemojo.com/movies/?id=hooligansparrow.htm" TargetMode="External"/><Relationship Id="rId1957" Type="http://schemas.openxmlformats.org/officeDocument/2006/relationships/hyperlink" Target="http://www.boxofficemojo.com/studio/chart/?studio=filmcollaborative.htm" TargetMode="External"/><Relationship Id="rId1958" Type="http://schemas.openxmlformats.org/officeDocument/2006/relationships/hyperlink" Target="http://www.boxofficemojo.com/schedule/?view=bydate&amp;release=theatrical&amp;date=2016-07-22&amp;p=.htm" TargetMode="External"/><Relationship Id="rId1959" Type="http://schemas.openxmlformats.org/officeDocument/2006/relationships/hyperlink" Target="http://www.boxofficemojo.com/movies/?id=frankandlola.htm" TargetMode="External"/><Relationship Id="rId700" Type="http://schemas.openxmlformats.org/officeDocument/2006/relationships/hyperlink" Target="http://www.boxofficemojo.com/studio/chart/?studio=menemsha.htm" TargetMode="External"/><Relationship Id="rId701" Type="http://schemas.openxmlformats.org/officeDocument/2006/relationships/hyperlink" Target="http://www.boxofficemojo.com/schedule/?view=bydate&amp;release=theatrical&amp;date=2016-02-12&amp;p=.htm" TargetMode="External"/><Relationship Id="rId702" Type="http://schemas.openxmlformats.org/officeDocument/2006/relationships/hyperlink" Target="http://www.boxofficemojo.com/movies/?id=wazir.htm" TargetMode="External"/><Relationship Id="rId703" Type="http://schemas.openxmlformats.org/officeDocument/2006/relationships/hyperlink" Target="http://www.boxofficemojo.com/studio/chart/?studio=reliancebigpictures.htm" TargetMode="External"/><Relationship Id="rId310" Type="http://schemas.openxmlformats.org/officeDocument/2006/relationships/hyperlink" Target="http://www.boxofficemojo.com/studio/chart/?studio=openroads.htm" TargetMode="External"/><Relationship Id="rId311" Type="http://schemas.openxmlformats.org/officeDocument/2006/relationships/hyperlink" Target="http://www.boxofficemojo.com/schedule/?view=bydate&amp;release=theatrical&amp;date=2016-09-16&amp;p=.htm" TargetMode="External"/><Relationship Id="rId312" Type="http://schemas.openxmlformats.org/officeDocument/2006/relationships/hyperlink" Target="http://www.boxofficemojo.com/movies/?id=mechanic2.htm" TargetMode="External"/><Relationship Id="rId313" Type="http://schemas.openxmlformats.org/officeDocument/2006/relationships/hyperlink" Target="http://www.boxofficemojo.com/studio/chart/?studio=lionsgatesummit.htm" TargetMode="External"/><Relationship Id="rId314" Type="http://schemas.openxmlformats.org/officeDocument/2006/relationships/hyperlink" Target="http://www.boxofficemojo.com/schedule/?view=bydate&amp;release=theatrical&amp;date=2016-08-26&amp;p=.htm" TargetMode="External"/><Relationship Id="rId315" Type="http://schemas.openxmlformats.org/officeDocument/2006/relationships/hyperlink" Target="http://www.boxofficemojo.com/movies/?id=freestateofjones.htm" TargetMode="External"/><Relationship Id="rId316" Type="http://schemas.openxmlformats.org/officeDocument/2006/relationships/hyperlink" Target="http://www.boxofficemojo.com/studio/chart/?studio=stx.htm" TargetMode="External"/><Relationship Id="rId317" Type="http://schemas.openxmlformats.org/officeDocument/2006/relationships/hyperlink" Target="http://www.boxofficemojo.com/schedule/?view=bydate&amp;release=theatrical&amp;date=2016-06-24&amp;p=.htm" TargetMode="External"/><Relationship Id="rId318" Type="http://schemas.openxmlformats.org/officeDocument/2006/relationships/hyperlink" Target="http://www.boxofficemojo.com/movies/?id=woods2016.htm" TargetMode="External"/><Relationship Id="rId319" Type="http://schemas.openxmlformats.org/officeDocument/2006/relationships/hyperlink" Target="http://www.boxofficemojo.com/studio/chart/?studio=lionsgate.htm" TargetMode="External"/><Relationship Id="rId704" Type="http://schemas.openxmlformats.org/officeDocument/2006/relationships/hyperlink" Target="http://www.boxofficemojo.com/schedule/?view=bydate&amp;release=theatrical&amp;date=2016-01-08&amp;p=.htm" TargetMode="External"/><Relationship Id="rId705" Type="http://schemas.openxmlformats.org/officeDocument/2006/relationships/hyperlink" Target="http://www.boxofficemojo.com/movies/?id=hemingwayincuba.htm" TargetMode="External"/><Relationship Id="rId706" Type="http://schemas.openxmlformats.org/officeDocument/2006/relationships/hyperlink" Target="http://www.boxofficemojo.com/studio/chart/?studio=yarifilmgroup.htm" TargetMode="External"/><Relationship Id="rId707" Type="http://schemas.openxmlformats.org/officeDocument/2006/relationships/hyperlink" Target="http://www.boxofficemojo.com/schedule/?view=bydate&amp;release=theatrical&amp;date=2016-04-29&amp;p=.htm" TargetMode="External"/><Relationship Id="rId708" Type="http://schemas.openxmlformats.org/officeDocument/2006/relationships/hyperlink" Target="http://www.boxofficemojo.com/movies/?id=theinsanityofgod.htm" TargetMode="External"/><Relationship Id="rId709" Type="http://schemas.openxmlformats.org/officeDocument/2006/relationships/hyperlink" Target="http://www.boxofficemojo.com/studio/chart/?studio=lifeway.htm" TargetMode="External"/><Relationship Id="rId1960" Type="http://schemas.openxmlformats.org/officeDocument/2006/relationships/hyperlink" Target="http://www.boxofficemojo.com/studio/chart/?studio=paladin.htm" TargetMode="External"/><Relationship Id="rId1961" Type="http://schemas.openxmlformats.org/officeDocument/2006/relationships/hyperlink" Target="http://www.boxofficemojo.com/schedule/?view=bydate&amp;release=theatrical&amp;date=2016-12-09&amp;p=.htm" TargetMode="External"/><Relationship Id="rId1962" Type="http://schemas.openxmlformats.org/officeDocument/2006/relationships/hyperlink" Target="http://www.boxofficemojo.com/movies/?id=chronic.htm" TargetMode="External"/><Relationship Id="rId1963" Type="http://schemas.openxmlformats.org/officeDocument/2006/relationships/hyperlink" Target="http://www.boxofficemojo.com/studio/chart/?studio=monument.htm" TargetMode="External"/><Relationship Id="rId1570" Type="http://schemas.openxmlformats.org/officeDocument/2006/relationships/hyperlink" Target="http://www.boxofficemojo.com/studio/chart/?studio=musicboxfilms.htm" TargetMode="External"/><Relationship Id="rId1571" Type="http://schemas.openxmlformats.org/officeDocument/2006/relationships/hyperlink" Target="http://www.boxofficemojo.com/schedule/?view=bydate&amp;release=theatrical&amp;date=2016-06-10&amp;p=.htm" TargetMode="External"/><Relationship Id="rId1572" Type="http://schemas.openxmlformats.org/officeDocument/2006/relationships/hyperlink" Target="http://www.boxofficemojo.com/movies/?id=theseventhfire.htm" TargetMode="External"/><Relationship Id="rId1573" Type="http://schemas.openxmlformats.org/officeDocument/2006/relationships/hyperlink" Target="http://www.boxofficemojo.com/studio/chart/?studio=filmmovement.htm" TargetMode="External"/><Relationship Id="rId1180" Type="http://schemas.openxmlformats.org/officeDocument/2006/relationships/hyperlink" Target="http://www.boxofficemojo.com/studio/chart/?studio=orchard.htm" TargetMode="External"/><Relationship Id="rId1181" Type="http://schemas.openxmlformats.org/officeDocument/2006/relationships/hyperlink" Target="http://www.boxofficemojo.com/schedule/?view=bydate&amp;release=theatrical&amp;date=2016-09-09&amp;p=.htm" TargetMode="External"/><Relationship Id="rId1182" Type="http://schemas.openxmlformats.org/officeDocument/2006/relationships/hyperlink" Target="http://www.boxofficemojo.com/movies/?id=puertoricansinparis.htm" TargetMode="External"/><Relationship Id="rId1183" Type="http://schemas.openxmlformats.org/officeDocument/2006/relationships/hyperlink" Target="http://www.boxofficemojo.com/studio/chart/?studio=focusworld.htm" TargetMode="External"/><Relationship Id="rId1184" Type="http://schemas.openxmlformats.org/officeDocument/2006/relationships/hyperlink" Target="http://www.boxofficemojo.com/schedule/?view=bydate&amp;release=theatrical&amp;date=2016-06-10&amp;p=.htm" TargetMode="External"/><Relationship Id="rId1185" Type="http://schemas.openxmlformats.org/officeDocument/2006/relationships/hyperlink" Target="http://www.boxofficemojo.com/movies/?id=cameraperson.htm" TargetMode="External"/><Relationship Id="rId1186" Type="http://schemas.openxmlformats.org/officeDocument/2006/relationships/hyperlink" Target="http://www.boxofficemojo.com/studio/chart/?studio=janusfilms.htm" TargetMode="External"/><Relationship Id="rId1187" Type="http://schemas.openxmlformats.org/officeDocument/2006/relationships/hyperlink" Target="http://www.boxofficemojo.com/schedule/?view=bydate&amp;release=theatrical&amp;date=2016-09-09&amp;p=.htm" TargetMode="External"/><Relationship Id="rId1188" Type="http://schemas.openxmlformats.org/officeDocument/2006/relationships/hyperlink" Target="http://www.boxofficemojo.com/movies/?id=tower2016.htm" TargetMode="External"/><Relationship Id="rId1189" Type="http://schemas.openxmlformats.org/officeDocument/2006/relationships/hyperlink" Target="http://www.boxofficemojo.com/studio/chart/?studio=kinolorber.htm" TargetMode="External"/><Relationship Id="rId1574" Type="http://schemas.openxmlformats.org/officeDocument/2006/relationships/hyperlink" Target="http://www.boxofficemojo.com/schedule/?view=bydate&amp;release=theatrical&amp;date=2016-07-22&amp;p=.htm" TargetMode="External"/><Relationship Id="rId1575" Type="http://schemas.openxmlformats.org/officeDocument/2006/relationships/hyperlink" Target="http://www.boxofficemojo.com/movies/?id=bestdemocracymoneycanbuy.htm" TargetMode="External"/><Relationship Id="rId1576" Type="http://schemas.openxmlformats.org/officeDocument/2006/relationships/hyperlink" Target="http://www.boxofficemojo.com/studio/chart/?studio=cls.htm" TargetMode="External"/><Relationship Id="rId1577" Type="http://schemas.openxmlformats.org/officeDocument/2006/relationships/hyperlink" Target="http://www.boxofficemojo.com/schedule/?view=bydate&amp;release=theatrical&amp;date=2016-09-23&amp;p=.htm" TargetMode="External"/><Relationship Id="rId1578" Type="http://schemas.openxmlformats.org/officeDocument/2006/relationships/hyperlink" Target="http://www.boxofficemojo.com/movies/?id=thedogwedding.htm" TargetMode="External"/><Relationship Id="rId1579" Type="http://schemas.openxmlformats.org/officeDocument/2006/relationships/hyperlink" Target="http://www.boxofficemojo.com/studio/chart/?studio=25thframe.htm" TargetMode="External"/><Relationship Id="rId1964" Type="http://schemas.openxmlformats.org/officeDocument/2006/relationships/hyperlink" Target="http://www.boxofficemojo.com/schedule/?view=bydate&amp;release=theatrical&amp;date=2016-09-23&amp;p=.htm" TargetMode="External"/><Relationship Id="rId1965" Type="http://schemas.openxmlformats.org/officeDocument/2006/relationships/hyperlink" Target="http://www.boxofficemojo.com/movies/?id=magnus.htm" TargetMode="External"/><Relationship Id="rId1966" Type="http://schemas.openxmlformats.org/officeDocument/2006/relationships/hyperlink" Target="http://www.boxofficemojo.com/studio/chart/?studio=filmrise.htm" TargetMode="External"/><Relationship Id="rId1967" Type="http://schemas.openxmlformats.org/officeDocument/2006/relationships/hyperlink" Target="http://www.boxofficemojo.com/schedule/?view=bydate&amp;release=theatrical&amp;date=2016-11-18&amp;p=.htm" TargetMode="External"/><Relationship Id="rId1968" Type="http://schemas.openxmlformats.org/officeDocument/2006/relationships/hyperlink" Target="http://www.boxofficemojo.com/movies/?id=thelastking.htm" TargetMode="External"/><Relationship Id="rId1969" Type="http://schemas.openxmlformats.org/officeDocument/2006/relationships/hyperlink" Target="http://www.boxofficemojo.com/studio/chart/?studio=magnolia.htm" TargetMode="External"/><Relationship Id="rId710" Type="http://schemas.openxmlformats.org/officeDocument/2006/relationships/hyperlink" Target="http://www.boxofficemojo.com/schedule/?view=bydate&amp;release=theatrical&amp;date=2016-08-30&amp;p=.htm" TargetMode="External"/><Relationship Id="rId711" Type="http://schemas.openxmlformats.org/officeDocument/2006/relationships/hyperlink" Target="http://www.boxofficemojo.com/movies/?id=certainwomen.htm" TargetMode="External"/><Relationship Id="rId712" Type="http://schemas.openxmlformats.org/officeDocument/2006/relationships/hyperlink" Target="http://www.boxofficemojo.com/studio/chart/?studio=ifc.htm" TargetMode="External"/><Relationship Id="rId713" Type="http://schemas.openxmlformats.org/officeDocument/2006/relationships/hyperlink" Target="http://www.boxofficemojo.com/schedule/?view=bydate&amp;release=theatrical&amp;date=2016-10-14&amp;p=.htm" TargetMode="External"/><Relationship Id="rId320" Type="http://schemas.openxmlformats.org/officeDocument/2006/relationships/hyperlink" Target="http://www.boxofficemojo.com/schedule/?view=bydate&amp;release=theatrical&amp;date=2016-09-16&amp;p=.htm" TargetMode="External"/><Relationship Id="rId321" Type="http://schemas.openxmlformats.org/officeDocument/2006/relationships/hyperlink" Target="http://www.boxofficemojo.com/movies/?id=godsnotdead2.htm" TargetMode="External"/><Relationship Id="rId322" Type="http://schemas.openxmlformats.org/officeDocument/2006/relationships/hyperlink" Target="http://www.boxofficemojo.com/studio/chart/?studio=pureflix.htm" TargetMode="External"/><Relationship Id="rId323" Type="http://schemas.openxmlformats.org/officeDocument/2006/relationships/hyperlink" Target="http://www.boxofficemojo.com/schedule/?view=bydate&amp;release=theatrical&amp;date=2016-04-01&amp;p=.htm" TargetMode="External"/><Relationship Id="rId324" Type="http://schemas.openxmlformats.org/officeDocument/2006/relationships/hyperlink" Target="http://www.boxofficemojo.com/movies/?id=keanu.htm" TargetMode="External"/><Relationship Id="rId325" Type="http://schemas.openxmlformats.org/officeDocument/2006/relationships/hyperlink" Target="http://www.boxofficemojo.com/studio/chart/?studio=wb-newline.htm" TargetMode="External"/><Relationship Id="rId326" Type="http://schemas.openxmlformats.org/officeDocument/2006/relationships/hyperlink" Target="http://www.boxofficemojo.com/schedule/?view=bydate&amp;release=theatrical&amp;date=2016-04-29&amp;p=.htm" TargetMode="External"/><Relationship Id="rId327" Type="http://schemas.openxmlformats.org/officeDocument/2006/relationships/hyperlink" Target="http://www.boxofficemojo.com/movies/?id=middleschool.htm" TargetMode="External"/><Relationship Id="rId328" Type="http://schemas.openxmlformats.org/officeDocument/2006/relationships/hyperlink" Target="http://www.boxofficemojo.com/studio/chart/?studio=lionsgate.htm" TargetMode="External"/><Relationship Id="rId329" Type="http://schemas.openxmlformats.org/officeDocument/2006/relationships/hyperlink" Target="http://www.boxofficemojo.com/schedule/?view=bydate&amp;release=theatrical&amp;date=2016-10-07&amp;p=.htm" TargetMode="External"/><Relationship Id="rId714" Type="http://schemas.openxmlformats.org/officeDocument/2006/relationships/hyperlink" Target="http://www.boxofficemojo.com/movies/?id=rustom.htm" TargetMode="External"/><Relationship Id="rId715" Type="http://schemas.openxmlformats.org/officeDocument/2006/relationships/hyperlink" Target="http://www.boxofficemojo.com/studio/chart/?studio=zeetv.htm" TargetMode="External"/><Relationship Id="rId716" Type="http://schemas.openxmlformats.org/officeDocument/2006/relationships/hyperlink" Target="http://www.boxofficemojo.com/schedule/?view=bydate&amp;release=theatrical&amp;date=2016-08-12&amp;p=.htm" TargetMode="External"/><Relationship Id="rId717" Type="http://schemas.openxmlformats.org/officeDocument/2006/relationships/hyperlink" Target="http://www.boxofficemojo.com/movies/?id=theinnocents.htm" TargetMode="External"/><Relationship Id="rId718" Type="http://schemas.openxmlformats.org/officeDocument/2006/relationships/hyperlink" Target="http://www.boxofficemojo.com/studio/chart/?studio=musicboxfilms.htm" TargetMode="External"/><Relationship Id="rId719" Type="http://schemas.openxmlformats.org/officeDocument/2006/relationships/hyperlink" Target="http://www.boxofficemojo.com/schedule/?view=bydate&amp;release=theatrical&amp;date=2016-07-01&amp;p=.htm" TargetMode="External"/><Relationship Id="rId1970" Type="http://schemas.openxmlformats.org/officeDocument/2006/relationships/hyperlink" Target="http://www.boxofficemojo.com/schedule/?view=bydate&amp;release=theatrical&amp;date=2016-06-17&amp;p=.htm" TargetMode="External"/><Relationship Id="rId1971" Type="http://schemas.openxmlformats.org/officeDocument/2006/relationships/hyperlink" Target="http://www.boxofficemojo.com/movies/?id=providence.htm" TargetMode="External"/><Relationship Id="rId1972" Type="http://schemas.openxmlformats.org/officeDocument/2006/relationships/hyperlink" Target="http://www.boxofficemojo.com/studio/chart/?studio=mainstreetprod.htm" TargetMode="External"/><Relationship Id="rId1973" Type="http://schemas.openxmlformats.org/officeDocument/2006/relationships/hyperlink" Target="http://www.boxofficemojo.com/schedule/?view=bydate&amp;release=theatrical&amp;date=2016-02-12&amp;p=.htm" TargetMode="External"/><Relationship Id="rId1580" Type="http://schemas.openxmlformats.org/officeDocument/2006/relationships/hyperlink" Target="http://www.boxofficemojo.com/schedule/?view=bydate&amp;release=theatrical&amp;date=2016-03-11&amp;p=.htm" TargetMode="External"/><Relationship Id="rId1581" Type="http://schemas.openxmlformats.org/officeDocument/2006/relationships/hyperlink" Target="http://www.boxofficemojo.com/movies/?id=troublemakers.htm" TargetMode="External"/><Relationship Id="rId1582" Type="http://schemas.openxmlformats.org/officeDocument/2006/relationships/hyperlink" Target="http://www.boxofficemojo.com/studio/chart/?studio=firstrun.htm" TargetMode="External"/><Relationship Id="rId1583" Type="http://schemas.openxmlformats.org/officeDocument/2006/relationships/hyperlink" Target="http://www.boxofficemojo.com/schedule/?view=bydate&amp;release=theatrical&amp;date=2016-01-08&amp;p=.htm" TargetMode="External"/><Relationship Id="rId1190" Type="http://schemas.openxmlformats.org/officeDocument/2006/relationships/hyperlink" Target="http://www.boxofficemojo.com/schedule/?view=bydate&amp;release=theatrical&amp;date=2016-09-28&amp;p=.htm" TargetMode="External"/><Relationship Id="rId1191" Type="http://schemas.openxmlformats.org/officeDocument/2006/relationships/hyperlink" Target="http://www.boxofficemojo.com/movies/?id=ourlasttango.htm" TargetMode="External"/><Relationship Id="rId1192" Type="http://schemas.openxmlformats.org/officeDocument/2006/relationships/hyperlink" Target="http://www.boxofficemojo.com/studio/chart/?studio=strand.htm" TargetMode="External"/><Relationship Id="rId1193" Type="http://schemas.openxmlformats.org/officeDocument/2006/relationships/hyperlink" Target="http://www.boxofficemojo.com/schedule/?view=bydate&amp;release=theatrical&amp;date=2016-04-15&amp;p=.htm" TargetMode="External"/><Relationship Id="rId1194" Type="http://schemas.openxmlformats.org/officeDocument/2006/relationships/hyperlink" Target="http://www.boxofficemojo.com/movies/?id=rockon2.htm" TargetMode="External"/><Relationship Id="rId1195" Type="http://schemas.openxmlformats.org/officeDocument/2006/relationships/hyperlink" Target="http://www.boxofficemojo.com/studio/chart/?studio=eros.htm" TargetMode="External"/><Relationship Id="rId1196" Type="http://schemas.openxmlformats.org/officeDocument/2006/relationships/hyperlink" Target="http://www.boxofficemojo.com/schedule/?view=bydate&amp;release=theatrical&amp;date=2016-11-11&amp;p=.htm" TargetMode="External"/><Relationship Id="rId1197" Type="http://schemas.openxmlformats.org/officeDocument/2006/relationships/hyperlink" Target="http://www.boxofficemojo.com/movies/?id=seondal.htm" TargetMode="External"/><Relationship Id="rId1198" Type="http://schemas.openxmlformats.org/officeDocument/2006/relationships/hyperlink" Target="http://www.boxofficemojo.com/studio/chart/?studio=cjentertainment.htm" TargetMode="External"/><Relationship Id="rId1199" Type="http://schemas.openxmlformats.org/officeDocument/2006/relationships/hyperlink" Target="http://www.boxofficemojo.com/schedule/?view=bydate&amp;release=theatrical&amp;date=2016-07-14&amp;p=.htm" TargetMode="External"/><Relationship Id="rId1584" Type="http://schemas.openxmlformats.org/officeDocument/2006/relationships/hyperlink" Target="http://www.boxofficemojo.com/movies/?id=lastprincess.htm" TargetMode="External"/><Relationship Id="rId1585" Type="http://schemas.openxmlformats.org/officeDocument/2006/relationships/hyperlink" Target="http://www.boxofficemojo.com/studio/chart/?studio=cjentertainment.htm" TargetMode="External"/><Relationship Id="rId1586" Type="http://schemas.openxmlformats.org/officeDocument/2006/relationships/hyperlink" Target="http://www.boxofficemojo.com/schedule/?view=bydate&amp;release=theatrical&amp;date=2016-09-09&amp;p=.htm" TargetMode="External"/><Relationship Id="rId1587" Type="http://schemas.openxmlformats.org/officeDocument/2006/relationships/hyperlink" Target="http://www.boxofficemojo.com/movies/?id=timetochoose.htm" TargetMode="External"/><Relationship Id="rId1588" Type="http://schemas.openxmlformats.org/officeDocument/2006/relationships/hyperlink" Target="http://www.boxofficemojo.com/studio/chart/?studio=abramorama.htm" TargetMode="External"/><Relationship Id="rId1589" Type="http://schemas.openxmlformats.org/officeDocument/2006/relationships/hyperlink" Target="http://www.boxofficemojo.com/schedule/?view=bydate&amp;release=theatrical&amp;date=2016-06-03&amp;p=.htm" TargetMode="External"/><Relationship Id="rId1974" Type="http://schemas.openxmlformats.org/officeDocument/2006/relationships/hyperlink" Target="http://www.boxofficemojo.com/movies/?id=wearetwistedfingsiste!.htm" TargetMode="External"/><Relationship Id="rId1975" Type="http://schemas.openxmlformats.org/officeDocument/2006/relationships/hyperlink" Target="http://www.boxofficemojo.com/studio/chart/?studio=musicboxfilms.htm" TargetMode="External"/><Relationship Id="rId1976" Type="http://schemas.openxmlformats.org/officeDocument/2006/relationships/hyperlink" Target="http://www.boxofficemojo.com/schedule/?view=bydate&amp;release=theatrical&amp;date=2016-02-19&amp;p=.htm" TargetMode="External"/><Relationship Id="rId1977" Type="http://schemas.openxmlformats.org/officeDocument/2006/relationships/hyperlink" Target="http://www.boxofficemojo.com/movies/?id=mojave.htm" TargetMode="External"/><Relationship Id="rId1978" Type="http://schemas.openxmlformats.org/officeDocument/2006/relationships/hyperlink" Target="http://www.boxofficemojo.com/studio/chart/?studio=a24.htm" TargetMode="External"/><Relationship Id="rId1979" Type="http://schemas.openxmlformats.org/officeDocument/2006/relationships/hyperlink" Target="http://www.boxofficemojo.com/schedule/?view=bydate&amp;release=theatrical&amp;date=2016-01-22&amp;p=.htm" TargetMode="External"/><Relationship Id="rId720" Type="http://schemas.openxmlformats.org/officeDocument/2006/relationships/hyperlink" Target="http://www.boxofficemojo.com/movies/?id=elvisnixon.htm" TargetMode="External"/><Relationship Id="rId721" Type="http://schemas.openxmlformats.org/officeDocument/2006/relationships/hyperlink" Target="http://www.boxofficemojo.com/studio/chart/?studio=bleeckerstreet.htm" TargetMode="External"/><Relationship Id="rId722" Type="http://schemas.openxmlformats.org/officeDocument/2006/relationships/hyperlink" Target="http://www.boxofficemojo.com/schedule/?view=bydate&amp;release=theatrical&amp;date=2016-04-22&amp;p=.htm" TargetMode="External"/><Relationship Id="rId723" Type="http://schemas.openxmlformats.org/officeDocument/2006/relationships/hyperlink" Target="http://www.boxofficemojo.com/movies/?id=operationchromite.htm" TargetMode="External"/><Relationship Id="rId330" Type="http://schemas.openxmlformats.org/officeDocument/2006/relationships/hyperlink" Target="http://www.boxofficemojo.com/movies/?id=ninelives2016.htm" TargetMode="External"/><Relationship Id="rId331" Type="http://schemas.openxmlformats.org/officeDocument/2006/relationships/hyperlink" Target="http://www.boxofficemojo.com/studio/chart/?studio=europacorp.htm" TargetMode="External"/><Relationship Id="rId332" Type="http://schemas.openxmlformats.org/officeDocument/2006/relationships/hyperlink" Target="http://www.boxofficemojo.com/schedule/?view=bydate&amp;release=theatrical&amp;date=2016-08-05&amp;p=.htm" TargetMode="External"/><Relationship Id="rId333" Type="http://schemas.openxmlformats.org/officeDocument/2006/relationships/hyperlink" Target="http://www.boxofficemojo.com/movies/?id=race2016.htm" TargetMode="External"/><Relationship Id="rId334" Type="http://schemas.openxmlformats.org/officeDocument/2006/relationships/hyperlink" Target="http://www.boxofficemojo.com/studio/chart/?studio=focus.htm" TargetMode="External"/><Relationship Id="rId335" Type="http://schemas.openxmlformats.org/officeDocument/2006/relationships/hyperlink" Target="http://www.boxofficemojo.com/schedule/?view=bydate&amp;release=theatrical&amp;date=2016-02-19&amp;p=.htm" TargetMode="External"/><Relationship Id="rId336" Type="http://schemas.openxmlformats.org/officeDocument/2006/relationships/hyperlink" Target="http://www.boxofficemojo.com/movies/?id=thechoice.htm" TargetMode="External"/><Relationship Id="rId337" Type="http://schemas.openxmlformats.org/officeDocument/2006/relationships/hyperlink" Target="http://www.boxofficemojo.com/studio/chart/?studio=lionsgate.htm" TargetMode="External"/><Relationship Id="rId338" Type="http://schemas.openxmlformats.org/officeDocument/2006/relationships/hyperlink" Target="http://www.boxofficemojo.com/schedule/?view=bydate&amp;release=theatrical&amp;date=2016-02-05&amp;p=.htm" TargetMode="External"/><Relationship Id="rId339" Type="http://schemas.openxmlformats.org/officeDocument/2006/relationships/hyperlink" Target="http://www.boxofficemojo.com/movies/?id=eyeinthesky.htm" TargetMode="External"/><Relationship Id="rId724" Type="http://schemas.openxmlformats.org/officeDocument/2006/relationships/hyperlink" Target="http://www.boxofficemojo.com/studio/chart/?studio=cjentertainment.htm" TargetMode="External"/><Relationship Id="rId725" Type="http://schemas.openxmlformats.org/officeDocument/2006/relationships/hyperlink" Target="http://www.boxofficemojo.com/schedule/?view=bydate&amp;release=theatrical&amp;date=2016-08-05&amp;p=.htm" TargetMode="External"/><Relationship Id="rId726" Type="http://schemas.openxmlformats.org/officeDocument/2006/relationships/hyperlink" Target="http://www.boxofficemojo.com/movies/?id=thehollars.htm" TargetMode="External"/><Relationship Id="rId727" Type="http://schemas.openxmlformats.org/officeDocument/2006/relationships/hyperlink" Target="http://www.boxofficemojo.com/studio/chart/?studio=sonyclassics.htm" TargetMode="External"/><Relationship Id="rId728" Type="http://schemas.openxmlformats.org/officeDocument/2006/relationships/hyperlink" Target="http://www.boxofficemojo.com/schedule/?view=bydate&amp;release=theatrical&amp;date=2016-08-26&amp;p=.htm" TargetMode="External"/><Relationship Id="rId729" Type="http://schemas.openxmlformats.org/officeDocument/2006/relationships/hyperlink" Target="http://www.boxofficemojo.com/movies/?id=baarbaardekho.htm" TargetMode="External"/><Relationship Id="rId1980" Type="http://schemas.openxmlformats.org/officeDocument/2006/relationships/hyperlink" Target="http://www.boxofficemojo.com/movies/?id=siliconcowboys.htm" TargetMode="External"/><Relationship Id="rId1981" Type="http://schemas.openxmlformats.org/officeDocument/2006/relationships/hyperlink" Target="http://www.boxofficemojo.com/studio/chart/?studio=filmrise.htm" TargetMode="External"/><Relationship Id="rId1982" Type="http://schemas.openxmlformats.org/officeDocument/2006/relationships/hyperlink" Target="http://www.boxofficemojo.com/schedule/?view=bydate&amp;release=theatrical&amp;date=2016-09-16&amp;p=.htm" TargetMode="External"/><Relationship Id="rId1983" Type="http://schemas.openxmlformats.org/officeDocument/2006/relationships/hyperlink" Target="http://www.boxofficemojo.com/movies/?id=goldenkingdom.htm" TargetMode="External"/><Relationship Id="rId1590" Type="http://schemas.openxmlformats.org/officeDocument/2006/relationships/hyperlink" Target="http://www.boxofficemojo.com/movies/?id=valleyoflove.htm" TargetMode="External"/><Relationship Id="rId1591" Type="http://schemas.openxmlformats.org/officeDocument/2006/relationships/hyperlink" Target="http://www.boxofficemojo.com/studio/chart/?studio=strand.htm" TargetMode="External"/><Relationship Id="rId1592" Type="http://schemas.openxmlformats.org/officeDocument/2006/relationships/hyperlink" Target="http://www.boxofficemojo.com/schedule/?view=bydate&amp;release=theatrical&amp;date=2016-03-25&amp;p=.htm" TargetMode="External"/><Relationship Id="rId1593" Type="http://schemas.openxmlformats.org/officeDocument/2006/relationships/hyperlink" Target="http://www.boxofficemojo.com/movies/?id=seasonsinquincy.htm" TargetMode="External"/><Relationship Id="rId1594" Type="http://schemas.openxmlformats.org/officeDocument/2006/relationships/hyperlink" Target="http://www.boxofficemojo.com/studio/chart/?studio=icarus.htm" TargetMode="External"/><Relationship Id="rId1595" Type="http://schemas.openxmlformats.org/officeDocument/2006/relationships/hyperlink" Target="http://www.boxofficemojo.com/schedule/?view=bydate&amp;release=theatrical&amp;date=2016-08-31&amp;p=.htm" TargetMode="External"/><Relationship Id="rId1596" Type="http://schemas.openxmlformats.org/officeDocument/2006/relationships/hyperlink" Target="http://www.boxofficemojo.com/movies/?id=rabinthelastday.htm" TargetMode="External"/><Relationship Id="rId1597" Type="http://schemas.openxmlformats.org/officeDocument/2006/relationships/hyperlink" Target="http://www.boxofficemojo.com/studio/chart/?studio=kinolorber.htm" TargetMode="External"/><Relationship Id="rId1598" Type="http://schemas.openxmlformats.org/officeDocument/2006/relationships/hyperlink" Target="http://www.boxofficemojo.com/schedule/?view=bydate&amp;release=theatrical&amp;date=2016-01-29&amp;p=.htm" TargetMode="External"/><Relationship Id="rId1599" Type="http://schemas.openxmlformats.org/officeDocument/2006/relationships/hyperlink" Target="http://www.boxofficemojo.com/movies/?id=takemetotheriver2016.htm" TargetMode="External"/><Relationship Id="rId1984" Type="http://schemas.openxmlformats.org/officeDocument/2006/relationships/hyperlink" Target="http://www.boxofficemojo.com/studio/chart/?studio=kinolorber.htm" TargetMode="External"/><Relationship Id="rId1985" Type="http://schemas.openxmlformats.org/officeDocument/2006/relationships/hyperlink" Target="http://www.boxofficemojo.com/schedule/?view=bydate&amp;release=theatrical&amp;date=2016-06-17&amp;p=.htm" TargetMode="External"/><Relationship Id="rId1986" Type="http://schemas.openxmlformats.org/officeDocument/2006/relationships/hyperlink" Target="http://www.boxofficemojo.com/movies/?id=theotherside.htm" TargetMode="External"/><Relationship Id="rId1987" Type="http://schemas.openxmlformats.org/officeDocument/2006/relationships/hyperlink" Target="http://www.boxofficemojo.com/studio/chart/?studio=filmmovement.htm" TargetMode="External"/><Relationship Id="rId1988" Type="http://schemas.openxmlformats.org/officeDocument/2006/relationships/hyperlink" Target="http://www.boxofficemojo.com/schedule/?view=bydate&amp;release=theatrical&amp;date=2016-05-20&amp;p=.htm" TargetMode="External"/><Relationship Id="rId1989" Type="http://schemas.openxmlformats.org/officeDocument/2006/relationships/hyperlink" Target="http://www.boxofficemojo.com/movies/?id=pet2016.htm" TargetMode="External"/><Relationship Id="rId730" Type="http://schemas.openxmlformats.org/officeDocument/2006/relationships/hyperlink" Target="http://www.boxofficemojo.com/studio/chart/?studio=eros.htm" TargetMode="External"/><Relationship Id="rId731" Type="http://schemas.openxmlformats.org/officeDocument/2006/relationships/hyperlink" Target="http://www.boxofficemojo.com/schedule/?view=bydate&amp;release=theatrical&amp;date=2016-09-09&amp;p=.htm" TargetMode="External"/><Relationship Id="rId732" Type="http://schemas.openxmlformats.org/officeDocument/2006/relationships/hyperlink" Target="http://www.boxofficemojo.com/movies/?id=darkhorse2016.htm" TargetMode="External"/><Relationship Id="rId733" Type="http://schemas.openxmlformats.org/officeDocument/2006/relationships/hyperlink" Target="http://www.boxofficemojo.com/studio/chart/?studio=sonyclassics.htm" TargetMode="External"/><Relationship Id="rId734" Type="http://schemas.openxmlformats.org/officeDocument/2006/relationships/hyperlink" Target="http://www.boxofficemojo.com/schedule/?view=bydate&amp;release=theatrical&amp;date=2016-05-06&amp;p=.htm" TargetMode="External"/><Relationship Id="rId735" Type="http://schemas.openxmlformats.org/officeDocument/2006/relationships/hyperlink" Target="http://www.boxofficemojo.com/movies/?id=neruda.htm" TargetMode="External"/><Relationship Id="rId736" Type="http://schemas.openxmlformats.org/officeDocument/2006/relationships/hyperlink" Target="http://www.boxofficemojo.com/studio/chart/?studio=orchard.htm" TargetMode="External"/><Relationship Id="rId737" Type="http://schemas.openxmlformats.org/officeDocument/2006/relationships/hyperlink" Target="http://www.boxofficemojo.com/schedule/?view=bydate&amp;release=theatrical&amp;date=2016-12-16&amp;p=.htm" TargetMode="External"/><Relationship Id="rId738" Type="http://schemas.openxmlformats.org/officeDocument/2006/relationships/hyperlink" Target="http://www.boxofficemojo.com/movies/?id=gentleman.htm" TargetMode="External"/><Relationship Id="rId739" Type="http://schemas.openxmlformats.org/officeDocument/2006/relationships/hyperlink" Target="http://www.boxofficemojo.com/studio/chart/?studio=gaatri.htm" TargetMode="External"/><Relationship Id="rId340" Type="http://schemas.openxmlformats.org/officeDocument/2006/relationships/hyperlink" Target="http://www.boxofficemojo.com/studio/chart/?studio=bleeckerstreet.htm" TargetMode="External"/><Relationship Id="rId341" Type="http://schemas.openxmlformats.org/officeDocument/2006/relationships/hyperlink" Target="http://www.boxofficemojo.com/schedule/?view=bydate&amp;release=theatrical&amp;date=2016-03-11&amp;p=.htm" TargetMode="External"/><Relationship Id="rId342" Type="http://schemas.openxmlformats.org/officeDocument/2006/relationships/hyperlink" Target="http://www.boxofficemojo.com/movies/?id=badsanta2.htm" TargetMode="External"/><Relationship Id="rId343" Type="http://schemas.openxmlformats.org/officeDocument/2006/relationships/hyperlink" Target="http://www.boxofficemojo.com/studio/chart/?studio=broadgreen.htm" TargetMode="External"/><Relationship Id="rId344" Type="http://schemas.openxmlformats.org/officeDocument/2006/relationships/hyperlink" Target="http://www.boxofficemojo.com/schedule/?view=bydate&amp;release=theatrical&amp;date=2016-11-23&amp;p=.htm" TargetMode="External"/><Relationship Id="rId345" Type="http://schemas.openxmlformats.org/officeDocument/2006/relationships/hyperlink" Target="http://www.boxofficemojo.com/movies/?id=armored15.htm" TargetMode="External"/><Relationship Id="rId346" Type="http://schemas.openxmlformats.org/officeDocument/2006/relationships/hyperlink" Target="http://www.boxofficemojo.com/studio/chart/?studio=relativity.htm" TargetMode="External"/><Relationship Id="rId347" Type="http://schemas.openxmlformats.org/officeDocument/2006/relationships/hyperlink" Target="http://www.boxofficemojo.com/schedule/?view=bydate&amp;release=theatrical&amp;date=2016-09-30&amp;p=.htm" TargetMode="External"/><Relationship Id="rId348" Type="http://schemas.openxmlformats.org/officeDocument/2006/relationships/hyperlink" Target="http://www.boxofficemojo.com/movies/?id=normofthenorth.htm" TargetMode="External"/><Relationship Id="rId349" Type="http://schemas.openxmlformats.org/officeDocument/2006/relationships/hyperlink" Target="http://www.boxofficemojo.com/studio/chart/?studio=lionsgate.htm" TargetMode="External"/><Relationship Id="rId1990" Type="http://schemas.openxmlformats.org/officeDocument/2006/relationships/hyperlink" Target="http://www.boxofficemojo.com/studio/chart/?studio=samuelgoldwyn.htm" TargetMode="External"/><Relationship Id="rId1991" Type="http://schemas.openxmlformats.org/officeDocument/2006/relationships/hyperlink" Target="http://www.boxofficemojo.com/schedule/?view=bydate&amp;release=theatrical&amp;date=2016-09-30&amp;p=.htm" TargetMode="External"/><Relationship Id="rId1992" Type="http://schemas.openxmlformats.org/officeDocument/2006/relationships/hyperlink" Target="http://www.boxofficemojo.com/movies/?id=talenthashunger.htm" TargetMode="External"/><Relationship Id="rId1993" Type="http://schemas.openxmlformats.org/officeDocument/2006/relationships/hyperlink" Target="http://www.boxofficemojo.com/studio/chart/?studio=firstrun.htm" TargetMode="External"/><Relationship Id="rId1994" Type="http://schemas.openxmlformats.org/officeDocument/2006/relationships/hyperlink" Target="http://www.boxofficemojo.com/schedule/?view=bydate&amp;release=theatrical&amp;date=2016-03-11&amp;p=.htm" TargetMode="External"/><Relationship Id="rId1995" Type="http://schemas.openxmlformats.org/officeDocument/2006/relationships/hyperlink" Target="http://www.boxofficemojo.com/movies/?id=roseanneforpresident.htm" TargetMode="External"/><Relationship Id="rId1996" Type="http://schemas.openxmlformats.org/officeDocument/2006/relationships/hyperlink" Target="http://www.boxofficemojo.com/studio/chart/?studio=ifc.htm" TargetMode="External"/><Relationship Id="rId1997" Type="http://schemas.openxmlformats.org/officeDocument/2006/relationships/hyperlink" Target="http://www.boxofficemojo.com/schedule/?view=bydate&amp;release=theatrical&amp;date=2016-07-01&amp;p=.htm" TargetMode="External"/><Relationship Id="rId1998" Type="http://schemas.openxmlformats.org/officeDocument/2006/relationships/hyperlink" Target="http://www.boxofficemojo.com/movies/?id=portraitofagarden.htm" TargetMode="External"/><Relationship Id="rId1999" Type="http://schemas.openxmlformats.org/officeDocument/2006/relationships/hyperlink" Target="http://www.boxofficemojo.com/studio/chart/?studio=grasshopper.htm" TargetMode="External"/><Relationship Id="rId1200" Type="http://schemas.openxmlformats.org/officeDocument/2006/relationships/hyperlink" Target="http://www.boxofficemojo.com/movies/?id=soyoung2nevergone.htm" TargetMode="External"/><Relationship Id="rId1201" Type="http://schemas.openxmlformats.org/officeDocument/2006/relationships/hyperlink" Target="http://www.boxofficemojo.com/studio/chart/?studio=chinalion.htm" TargetMode="External"/><Relationship Id="rId1202" Type="http://schemas.openxmlformats.org/officeDocument/2006/relationships/hyperlink" Target="http://www.boxofficemojo.com/schedule/?view=bydate&amp;release=theatrical&amp;date=2016-07-15&amp;p=.htm" TargetMode="External"/><Relationship Id="rId1203" Type="http://schemas.openxmlformats.org/officeDocument/2006/relationships/hyperlink" Target="http://www.boxofficemojo.com/movies/?id=thefightwithin.htm" TargetMode="External"/><Relationship Id="rId1204" Type="http://schemas.openxmlformats.org/officeDocument/2006/relationships/hyperlink" Target="http://www.boxofficemojo.com/studio/chart/?studio=gvn.htm" TargetMode="External"/><Relationship Id="rId1205" Type="http://schemas.openxmlformats.org/officeDocument/2006/relationships/hyperlink" Target="http://www.boxofficemojo.com/schedule/?view=bydate&amp;release=theatrical&amp;date=2016-08-12&amp;p=.htm" TargetMode="External"/><Relationship Id="rId1206" Type="http://schemas.openxmlformats.org/officeDocument/2006/relationships/hyperlink" Target="http://www.boxofficemojo.com/movies/?id=newyorknewyork16.htm" TargetMode="External"/><Relationship Id="rId1207" Type="http://schemas.openxmlformats.org/officeDocument/2006/relationships/hyperlink" Target="http://www.boxofficemojo.com/studio/chart/?studio=chinalion.htm" TargetMode="External"/><Relationship Id="rId740" Type="http://schemas.openxmlformats.org/officeDocument/2006/relationships/hyperlink" Target="http://www.boxofficemojo.com/schedule/?view=bydate&amp;release=theatrical&amp;date=2016-06-17&amp;p=.htm" TargetMode="External"/><Relationship Id="rId741" Type="http://schemas.openxmlformats.org/officeDocument/2006/relationships/hyperlink" Target="http://www.boxofficemojo.com/movies/?id=believe2016.htm" TargetMode="External"/><Relationship Id="rId742" Type="http://schemas.openxmlformats.org/officeDocument/2006/relationships/hyperlink" Target="http://www.boxofficemojo.com/studio/chart/?studio=fs.htm" TargetMode="External"/><Relationship Id="rId743" Type="http://schemas.openxmlformats.org/officeDocument/2006/relationships/hyperlink" Target="http://www.boxofficemojo.com/schedule/?view=bydate&amp;release=theatrical&amp;date=2016-12-02&amp;p=.htm" TargetMode="External"/><Relationship Id="rId744" Type="http://schemas.openxmlformats.org/officeDocument/2006/relationships/hyperlink" Target="http://www.boxofficemojo.com/movies/?id=kiandka.htm" TargetMode="External"/><Relationship Id="rId745" Type="http://schemas.openxmlformats.org/officeDocument/2006/relationships/hyperlink" Target="http://www.boxofficemojo.com/studio/chart/?studio=eros.htm" TargetMode="External"/><Relationship Id="rId746" Type="http://schemas.openxmlformats.org/officeDocument/2006/relationships/hyperlink" Target="http://www.boxofficemojo.com/schedule/?view=bydate&amp;release=theatrical&amp;date=2016-04-01&amp;p=.htm" TargetMode="External"/><Relationship Id="rId747" Type="http://schemas.openxmlformats.org/officeDocument/2006/relationships/hyperlink" Target="http://www.boxofficemojo.com/movies/?id=premam.htm" TargetMode="External"/><Relationship Id="rId748" Type="http://schemas.openxmlformats.org/officeDocument/2006/relationships/hyperlink" Target="http://www.boxofficemojo.com/studio/chart/?studio=bluesky.htm" TargetMode="External"/><Relationship Id="rId749" Type="http://schemas.openxmlformats.org/officeDocument/2006/relationships/hyperlink" Target="http://www.boxofficemojo.com/schedule/?view=bydate&amp;release=theatrical&amp;date=2016-10-06&amp;p=.htm" TargetMode="External"/><Relationship Id="rId350" Type="http://schemas.openxmlformats.org/officeDocument/2006/relationships/hyperlink" Target="http://www.boxofficemojo.com/schedule/?view=bydate&amp;release=theatrical&amp;date=2016-01-15&amp;p=.htm" TargetMode="External"/><Relationship Id="rId351" Type="http://schemas.openxmlformats.org/officeDocument/2006/relationships/hyperlink" Target="http://www.boxofficemojo.com/movies/?id=thebirthofanation.htm" TargetMode="External"/><Relationship Id="rId352" Type="http://schemas.openxmlformats.org/officeDocument/2006/relationships/hyperlink" Target="http://www.boxofficemojo.com/studio/chart/?studio=foxsearchlight.htm" TargetMode="External"/><Relationship Id="rId353" Type="http://schemas.openxmlformats.org/officeDocument/2006/relationships/hyperlink" Target="http://www.boxofficemojo.com/schedule/?view=bydate&amp;release=theatrical&amp;date=2016-10-07&amp;p=.htm" TargetMode="External"/><Relationship Id="rId354" Type="http://schemas.openxmlformats.org/officeDocument/2006/relationships/hyperlink" Target="http://www.boxofficemojo.com/movies/?id=eddietheeagle.htm" TargetMode="External"/><Relationship Id="rId355" Type="http://schemas.openxmlformats.org/officeDocument/2006/relationships/hyperlink" Target="http://www.boxofficemojo.com/studio/chart/?studio=fox.htm" TargetMode="External"/><Relationship Id="rId356" Type="http://schemas.openxmlformats.org/officeDocument/2006/relationships/hyperlink" Target="http://www.boxofficemojo.com/schedule/?view=bydate&amp;release=theatrical&amp;date=2016-02-26&amp;p=.htm" TargetMode="External"/><Relationship Id="rId357" Type="http://schemas.openxmlformats.org/officeDocument/2006/relationships/hyperlink" Target="http://www.boxofficemojo.com/movies/?id=theinfiltrator.htm" TargetMode="External"/><Relationship Id="rId358" Type="http://schemas.openxmlformats.org/officeDocument/2006/relationships/hyperlink" Target="http://www.boxofficemojo.com/studio/chart/?studio=broadgreen.htm" TargetMode="External"/><Relationship Id="rId359" Type="http://schemas.openxmlformats.org/officeDocument/2006/relationships/hyperlink" Target="http://www.boxofficemojo.com/schedule/?view=bydate&amp;release=theatrical&amp;date=2016-07-13&amp;p=.htm" TargetMode="External"/><Relationship Id="rId1208" Type="http://schemas.openxmlformats.org/officeDocument/2006/relationships/hyperlink" Target="http://www.boxofficemojo.com/schedule/?view=bydate&amp;release=theatrical&amp;date=2016-04-15&amp;p=.htm" TargetMode="External"/><Relationship Id="rId1209" Type="http://schemas.openxmlformats.org/officeDocument/2006/relationships/hyperlink" Target="http://www.boxofficemojo.com/movies/?id=otherpeople.htm" TargetMode="External"/><Relationship Id="rId1600" Type="http://schemas.openxmlformats.org/officeDocument/2006/relationships/hyperlink" Target="http://www.boxofficemojo.com/studio/chart/?studio=filmmovement.htm" TargetMode="External"/><Relationship Id="rId1601" Type="http://schemas.openxmlformats.org/officeDocument/2006/relationships/hyperlink" Target="http://www.boxofficemojo.com/schedule/?view=bydate&amp;release=theatrical&amp;date=2016-03-18&amp;p=.htm" TargetMode="External"/><Relationship Id="rId1602" Type="http://schemas.openxmlformats.org/officeDocument/2006/relationships/hyperlink" Target="http://www.boxofficemojo.com/movies/?id=kailiblues.htm" TargetMode="External"/><Relationship Id="rId1603" Type="http://schemas.openxmlformats.org/officeDocument/2006/relationships/hyperlink" Target="http://www.boxofficemojo.com/studio/chart/?studio=grasshopper.htm" TargetMode="External"/><Relationship Id="rId1604" Type="http://schemas.openxmlformats.org/officeDocument/2006/relationships/hyperlink" Target="http://www.boxofficemojo.com/schedule/?view=bydate&amp;release=theatrical&amp;date=2016-05-20&amp;p=.htm" TargetMode="External"/><Relationship Id="rId1605" Type="http://schemas.openxmlformats.org/officeDocument/2006/relationships/hyperlink" Target="http://www.boxofficemojo.com/movies/?id=unlockingthecage.htm" TargetMode="External"/><Relationship Id="rId1606" Type="http://schemas.openxmlformats.org/officeDocument/2006/relationships/hyperlink" Target="http://www.boxofficemojo.com/studio/chart/?studio=firstrun.htm" TargetMode="External"/><Relationship Id="rId1607" Type="http://schemas.openxmlformats.org/officeDocument/2006/relationships/hyperlink" Target="http://www.boxofficemojo.com/schedule/?view=bydate&amp;release=theatrical&amp;date=2016-05-25&amp;p=.htm" TargetMode="External"/><Relationship Id="rId1608" Type="http://schemas.openxmlformats.org/officeDocument/2006/relationships/hyperlink" Target="http://www.boxofficemojo.com/movies/?id=eyesofmymother.htm" TargetMode="External"/><Relationship Id="rId1609" Type="http://schemas.openxmlformats.org/officeDocument/2006/relationships/hyperlink" Target="http://www.boxofficemojo.com/studio/chart/?studio=magnolia.htm" TargetMode="External"/><Relationship Id="rId1210" Type="http://schemas.openxmlformats.org/officeDocument/2006/relationships/hyperlink" Target="http://www.boxofficemojo.com/studio/chart/?studio=vertical.htm" TargetMode="External"/><Relationship Id="rId1211" Type="http://schemas.openxmlformats.org/officeDocument/2006/relationships/hyperlink" Target="http://www.boxofficemojo.com/schedule/?view=bydate&amp;release=theatrical&amp;date=2016-09-09&amp;p=.htm" TargetMode="External"/><Relationship Id="rId750" Type="http://schemas.openxmlformats.org/officeDocument/2006/relationships/hyperlink" Target="http://www.boxofficemojo.com/movies/?id=dishoom.htm" TargetMode="External"/><Relationship Id="rId751" Type="http://schemas.openxmlformats.org/officeDocument/2006/relationships/hyperlink" Target="http://www.boxofficemojo.com/studio/chart/?studio=eros.htm" TargetMode="External"/><Relationship Id="rId752" Type="http://schemas.openxmlformats.org/officeDocument/2006/relationships/hyperlink" Target="http://www.boxofficemojo.com/schedule/?view=bydate&amp;release=theatrical&amp;date=2016-07-29&amp;p=.htm" TargetMode="External"/><Relationship Id="rId753" Type="http://schemas.openxmlformats.org/officeDocument/2006/relationships/hyperlink" Target="http://www.boxofficemojo.com/movies/?id=operationmekong.htm" TargetMode="External"/><Relationship Id="rId754" Type="http://schemas.openxmlformats.org/officeDocument/2006/relationships/hyperlink" Target="http://www.boxofficemojo.com/studio/chart/?studio=wellgo.htm" TargetMode="External"/><Relationship Id="rId755" Type="http://schemas.openxmlformats.org/officeDocument/2006/relationships/hyperlink" Target="http://www.boxofficemojo.com/schedule/?view=bydate&amp;release=theatrical&amp;date=2016-09-30&amp;p=.htm" TargetMode="External"/><Relationship Id="rId756" Type="http://schemas.openxmlformats.org/officeDocument/2006/relationships/hyperlink" Target="http://www.boxofficemojo.com/movies/?id=wailing.htm" TargetMode="External"/><Relationship Id="rId757" Type="http://schemas.openxmlformats.org/officeDocument/2006/relationships/hyperlink" Target="http://www.boxofficemojo.com/studio/chart/?studio=wellgo.htm" TargetMode="External"/><Relationship Id="rId758" Type="http://schemas.openxmlformats.org/officeDocument/2006/relationships/hyperlink" Target="http://www.boxofficemojo.com/schedule/?view=bydate&amp;release=theatrical&amp;date=2016-05-20&amp;p=.htm" TargetMode="External"/><Relationship Id="rId759" Type="http://schemas.openxmlformats.org/officeDocument/2006/relationships/hyperlink" Target="http://www.boxofficemojo.com/movies/?id=31.htm" TargetMode="External"/><Relationship Id="rId360" Type="http://schemas.openxmlformats.org/officeDocument/2006/relationships/hyperlink" Target="http://www.boxofficemojo.com/movies/?id=keepingupjoneses.htm" TargetMode="External"/><Relationship Id="rId361" Type="http://schemas.openxmlformats.org/officeDocument/2006/relationships/hyperlink" Target="http://www.boxofficemojo.com/studio/chart/?studio=fox.htm" TargetMode="External"/><Relationship Id="rId362" Type="http://schemas.openxmlformats.org/officeDocument/2006/relationships/hyperlink" Target="http://www.boxofficemojo.com/schedule/?view=bydate&amp;release=theatrical&amp;date=2016-10-21&amp;p=.htm" TargetMode="External"/><Relationship Id="rId363" Type="http://schemas.openxmlformats.org/officeDocument/2006/relationships/hyperlink" Target="http://www.boxofficemojo.com/movies/?id=criminal2015.htm" TargetMode="External"/><Relationship Id="rId364" Type="http://schemas.openxmlformats.org/officeDocument/2006/relationships/hyperlink" Target="http://www.boxofficemojo.com/studio/chart/?studio=lionsgatesummit.htm" TargetMode="External"/><Relationship Id="rId365" Type="http://schemas.openxmlformats.org/officeDocument/2006/relationships/hyperlink" Target="http://www.boxofficemojo.com/schedule/?view=bydate&amp;release=theatrical&amp;date=2016-04-15&amp;p=.htm" TargetMode="External"/><Relationship Id="rId366" Type="http://schemas.openxmlformats.org/officeDocument/2006/relationships/hyperlink" Target="http://www.boxofficemojo.com/movies/?id=hello,mynameisdoris.htm" TargetMode="External"/><Relationship Id="rId367" Type="http://schemas.openxmlformats.org/officeDocument/2006/relationships/hyperlink" Target="http://www.boxofficemojo.com/studio/chart/?studio=roadsideattractions.htm" TargetMode="External"/><Relationship Id="rId368" Type="http://schemas.openxmlformats.org/officeDocument/2006/relationships/hyperlink" Target="http://www.boxofficemojo.com/schedule/?view=bydate&amp;release=theatrical&amp;date=2016-03-11&amp;p=.htm" TargetMode="External"/><Relationship Id="rId369" Type="http://schemas.openxmlformats.org/officeDocument/2006/relationships/hyperlink" Target="http://www.boxofficemojo.com/movies/?id=besties.htm" TargetMode="External"/><Relationship Id="rId1212" Type="http://schemas.openxmlformats.org/officeDocument/2006/relationships/hyperlink" Target="http://www.boxofficemojo.com/movies/?id=morrisfromamerica.htm" TargetMode="External"/><Relationship Id="rId1213" Type="http://schemas.openxmlformats.org/officeDocument/2006/relationships/hyperlink" Target="http://www.boxofficemojo.com/studio/chart/?studio=a24.htm" TargetMode="External"/><Relationship Id="rId1214" Type="http://schemas.openxmlformats.org/officeDocument/2006/relationships/hyperlink" Target="http://www.boxofficemojo.com/schedule/?view=bydate&amp;release=theatrical&amp;date=2016-08-19&amp;p=.htm" TargetMode="External"/><Relationship Id="rId1215" Type="http://schemas.openxmlformats.org/officeDocument/2006/relationships/hyperlink" Target="http://www.boxofficemojo.com/movies/?id=fireworkswednesday.htm" TargetMode="External"/><Relationship Id="rId1216" Type="http://schemas.openxmlformats.org/officeDocument/2006/relationships/hyperlink" Target="http://www.boxofficemojo.com/studio/chart/?studio=grasshopper.htm" TargetMode="External"/><Relationship Id="rId1217" Type="http://schemas.openxmlformats.org/officeDocument/2006/relationships/hyperlink" Target="http://www.boxofficemojo.com/schedule/?view=bydate&amp;release=theatrical&amp;date=2016-03-18&amp;p=.htm" TargetMode="External"/><Relationship Id="rId1218" Type="http://schemas.openxmlformats.org/officeDocument/2006/relationships/hyperlink" Target="http://www.boxofficemojo.com/movies/?id=noonelifeeasy.htm" TargetMode="External"/><Relationship Id="rId1219" Type="http://schemas.openxmlformats.org/officeDocument/2006/relationships/hyperlink" Target="http://www.boxofficemojo.com/studio/chart/?studio=chinalion.htm" TargetMode="External"/><Relationship Id="rId1610" Type="http://schemas.openxmlformats.org/officeDocument/2006/relationships/hyperlink" Target="http://www.boxofficemojo.com/schedule/?view=bydate&amp;release=theatrical&amp;date=2016-12-02&amp;p=.htm" TargetMode="External"/><Relationship Id="rId1611" Type="http://schemas.openxmlformats.org/officeDocument/2006/relationships/hyperlink" Target="http://www.boxofficemojo.com/movies/?id=blackway.htm" TargetMode="External"/><Relationship Id="rId1612" Type="http://schemas.openxmlformats.org/officeDocument/2006/relationships/hyperlink" Target="http://www.boxofficemojo.com/studio/chart/?studio=electric.htm" TargetMode="External"/><Relationship Id="rId1613" Type="http://schemas.openxmlformats.org/officeDocument/2006/relationships/hyperlink" Target="http://www.boxofficemojo.com/schedule/?view=bydate&amp;release=theatrical&amp;date=2016-06-10&amp;p=.htm" TargetMode="External"/><Relationship Id="rId1614" Type="http://schemas.openxmlformats.org/officeDocument/2006/relationships/hyperlink" Target="http://www.boxofficemojo.com/movies/?id=neonbull.htm" TargetMode="External"/><Relationship Id="rId1615" Type="http://schemas.openxmlformats.org/officeDocument/2006/relationships/hyperlink" Target="http://www.boxofficemojo.com/studio/chart/?studio=kinolorber.htm" TargetMode="External"/><Relationship Id="rId1616" Type="http://schemas.openxmlformats.org/officeDocument/2006/relationships/hyperlink" Target="http://www.boxofficemojo.com/schedule/?view=bydate&amp;release=theatrical&amp;date=2016-04-08&amp;p=.htm" TargetMode="External"/><Relationship Id="rId1617" Type="http://schemas.openxmlformats.org/officeDocument/2006/relationships/hyperlink" Target="http://www.boxofficemojo.com/movies/?id=papa2016.htm" TargetMode="External"/><Relationship Id="rId1618" Type="http://schemas.openxmlformats.org/officeDocument/2006/relationships/hyperlink" Target="http://www.boxofficemojo.com/studio/chart/?studio=jampa.htm" TargetMode="External"/><Relationship Id="rId1619" Type="http://schemas.openxmlformats.org/officeDocument/2006/relationships/hyperlink" Target="http://www.boxofficemojo.com/schedule/?view=bydate&amp;release=theatrical&amp;date=2016-03-18&amp;p=.htm" TargetMode="External"/><Relationship Id="rId1220" Type="http://schemas.openxmlformats.org/officeDocument/2006/relationships/hyperlink" Target="http://www.boxofficemojo.com/schedule/?view=bydate&amp;release=theatrical&amp;date=2016-07-01&amp;p=.htm" TargetMode="External"/><Relationship Id="rId1221" Type="http://schemas.openxmlformats.org/officeDocument/2006/relationships/hyperlink" Target="http://www.boxofficemojo.com/movies/?id=dontcrossthatriver.htm" TargetMode="External"/><Relationship Id="rId760" Type="http://schemas.openxmlformats.org/officeDocument/2006/relationships/hyperlink" Target="http://www.boxofficemojo.com/studio/chart/?studio=sabanfilms.htm" TargetMode="External"/><Relationship Id="rId761" Type="http://schemas.openxmlformats.org/officeDocument/2006/relationships/hyperlink" Target="http://www.boxofficemojo.com/schedule/?view=bydate&amp;release=theatrical&amp;date=2016-08-26&amp;p=.htm" TargetMode="External"/><Relationship Id="rId762" Type="http://schemas.openxmlformats.org/officeDocument/2006/relationships/hyperlink" Target="http://www.boxofficemojo.com/movies/?id=chongqinghotpot.htm" TargetMode="External"/><Relationship Id="rId763" Type="http://schemas.openxmlformats.org/officeDocument/2006/relationships/hyperlink" Target="http://www.boxofficemojo.com/studio/chart/?studio=chinalion.htm" TargetMode="External"/><Relationship Id="rId764" Type="http://schemas.openxmlformats.org/officeDocument/2006/relationships/hyperlink" Target="http://www.boxofficemojo.com/schedule/?view=bydate&amp;release=theatrical&amp;date=2016-04-01&amp;p=.htm" TargetMode="External"/><Relationship Id="rId765" Type="http://schemas.openxmlformats.org/officeDocument/2006/relationships/hyperlink" Target="http://www.boxofficemojo.com/movies/?id=polarexpress2016.htm" TargetMode="External"/><Relationship Id="rId766" Type="http://schemas.openxmlformats.org/officeDocument/2006/relationships/hyperlink" Target="http://www.boxofficemojo.com/studio/chart/?studio=warnerbros.htm" TargetMode="External"/><Relationship Id="rId767" Type="http://schemas.openxmlformats.org/officeDocument/2006/relationships/hyperlink" Target="http://www.boxofficemojo.com/schedule/?view=bydate&amp;release=theatrical&amp;date=2016-11-11&amp;p=.htm" TargetMode="External"/><Relationship Id="rId768" Type="http://schemas.openxmlformats.org/officeDocument/2006/relationships/hyperlink" Target="http://www.boxofficemojo.com/movies/?id=ibelongedtoyou.htm" TargetMode="External"/><Relationship Id="rId769" Type="http://schemas.openxmlformats.org/officeDocument/2006/relationships/hyperlink" Target="http://www.boxofficemojo.com/studio/chart/?studio=chinalion.htm" TargetMode="External"/><Relationship Id="rId370" Type="http://schemas.openxmlformats.org/officeDocument/2006/relationships/hyperlink" Target="http://www.boxofficemojo.com/studio/chart/?studio=stx.htm" TargetMode="External"/><Relationship Id="rId371" Type="http://schemas.openxmlformats.org/officeDocument/2006/relationships/hyperlink" Target="http://www.boxofficemojo.com/schedule/?view=bydate&amp;release=theatrical&amp;date=2016-11-18&amp;p=.htm" TargetMode="External"/><Relationship Id="rId372" Type="http://schemas.openxmlformats.org/officeDocument/2006/relationships/hyperlink" Target="http://www.boxofficemojo.com/movies/?id=lovefriendship.htm" TargetMode="External"/><Relationship Id="rId373" Type="http://schemas.openxmlformats.org/officeDocument/2006/relationships/hyperlink" Target="http://www.boxofficemojo.com/studio/chart/?studio=roadsideattractions.htm" TargetMode="External"/><Relationship Id="rId374" Type="http://schemas.openxmlformats.org/officeDocument/2006/relationships/hyperlink" Target="http://www.boxofficemojo.com/schedule/?view=bydate&amp;release=theatrical&amp;date=2016-05-13&amp;p=.htm" TargetMode="External"/><Relationship Id="rId375" Type="http://schemas.openxmlformats.org/officeDocument/2006/relationships/hyperlink" Target="http://www.boxofficemojo.com/movies/?id=jackie.htm" TargetMode="External"/><Relationship Id="rId376" Type="http://schemas.openxmlformats.org/officeDocument/2006/relationships/hyperlink" Target="http://www.boxofficemojo.com/studio/chart/?studio=foxsearchlight.htm" TargetMode="External"/><Relationship Id="rId377" Type="http://schemas.openxmlformats.org/officeDocument/2006/relationships/hyperlink" Target="http://www.boxofficemojo.com/schedule/?view=bydate&amp;release=theatrical&amp;date=2016-12-02&amp;p=.htm" TargetMode="External"/><Relationship Id="rId378" Type="http://schemas.openxmlformats.org/officeDocument/2006/relationships/hyperlink" Target="http://www.boxofficemojo.com/movies/?id=abeautifulplanet.htm" TargetMode="External"/><Relationship Id="rId379" Type="http://schemas.openxmlformats.org/officeDocument/2006/relationships/hyperlink" Target="http://www.boxofficemojo.com/studio/chart/?studio=imax.htm" TargetMode="External"/><Relationship Id="rId1222" Type="http://schemas.openxmlformats.org/officeDocument/2006/relationships/hyperlink" Target="http://www.boxofficemojo.com/studio/chart/?studio=filmmovement.htm" TargetMode="External"/><Relationship Id="rId1223" Type="http://schemas.openxmlformats.org/officeDocument/2006/relationships/hyperlink" Target="http://www.boxofficemojo.com/schedule/?view=bydate&amp;release=theatrical&amp;date=2016-06-17&amp;p=.htm" TargetMode="External"/><Relationship Id="rId1224" Type="http://schemas.openxmlformats.org/officeDocument/2006/relationships/hyperlink" Target="http://www.boxofficemojo.com/movies/?id=sandstorm2016.htm" TargetMode="External"/><Relationship Id="rId1225" Type="http://schemas.openxmlformats.org/officeDocument/2006/relationships/hyperlink" Target="http://www.boxofficemojo.com/studio/chart/?studio=kinolorber.htm" TargetMode="External"/><Relationship Id="rId1226" Type="http://schemas.openxmlformats.org/officeDocument/2006/relationships/hyperlink" Target="http://www.boxofficemojo.com/schedule/?view=bydate&amp;release=theatrical&amp;date=2016-09-28&amp;p=.htm" TargetMode="External"/><Relationship Id="rId1227" Type="http://schemas.openxmlformats.org/officeDocument/2006/relationships/hyperlink" Target="http://www.boxofficemojo.com/movies/?id=jtleroystory.htm" TargetMode="External"/><Relationship Id="rId1228" Type="http://schemas.openxmlformats.org/officeDocument/2006/relationships/hyperlink" Target="http://www.boxofficemojo.com/studio/chart/?studio=magnolia.htm" TargetMode="External"/><Relationship Id="rId1229" Type="http://schemas.openxmlformats.org/officeDocument/2006/relationships/hyperlink" Target="http://www.boxofficemojo.com/schedule/?view=bydate&amp;release=theatrical&amp;date=2016-09-09&amp;p=.htm" TargetMode="External"/><Relationship Id="rId1620" Type="http://schemas.openxmlformats.org/officeDocument/2006/relationships/hyperlink" Target="http://www.boxofficemojo.com/movies/?id=frontcover.htm" TargetMode="External"/><Relationship Id="rId1621" Type="http://schemas.openxmlformats.org/officeDocument/2006/relationships/hyperlink" Target="http://www.boxofficemojo.com/studio/chart/?studio=strand.htm" TargetMode="External"/><Relationship Id="rId1622" Type="http://schemas.openxmlformats.org/officeDocument/2006/relationships/hyperlink" Target="http://www.boxofficemojo.com/schedule/?view=bydate&amp;release=theatrical&amp;date=2016-08-05&amp;p=.htm" TargetMode="External"/><Relationship Id="rId1623" Type="http://schemas.openxmlformats.org/officeDocument/2006/relationships/hyperlink" Target="http://www.boxofficemojo.com/movies/?id=standingtall.htm" TargetMode="External"/><Relationship Id="rId1624" Type="http://schemas.openxmlformats.org/officeDocument/2006/relationships/hyperlink" Target="http://www.boxofficemojo.com/studio/chart/?studio=cohenmedia.htm" TargetMode="External"/><Relationship Id="rId1625" Type="http://schemas.openxmlformats.org/officeDocument/2006/relationships/hyperlink" Target="http://www.boxofficemojo.com/schedule/?view=bydate&amp;release=theatrical&amp;date=2016-04-01&amp;p=.htm" TargetMode="External"/><Relationship Id="rId1626" Type="http://schemas.openxmlformats.org/officeDocument/2006/relationships/hyperlink" Target="http://www.boxofficemojo.com/movies/?id=chevalier.htm" TargetMode="External"/><Relationship Id="rId1627" Type="http://schemas.openxmlformats.org/officeDocument/2006/relationships/hyperlink" Target="http://www.boxofficemojo.com/studio/chart/?studio=strand.htm" TargetMode="External"/><Relationship Id="rId1628" Type="http://schemas.openxmlformats.org/officeDocument/2006/relationships/hyperlink" Target="http://www.boxofficemojo.com/schedule/?view=bydate&amp;release=theatrical&amp;date=2016-05-27&amp;p=.htm" TargetMode="External"/><Relationship Id="rId1629" Type="http://schemas.openxmlformats.org/officeDocument/2006/relationships/hyperlink" Target="http://www.boxofficemojo.com/movies/?id=gurukulam.htm" TargetMode="External"/><Relationship Id="rId1230" Type="http://schemas.openxmlformats.org/officeDocument/2006/relationships/hyperlink" Target="http://www.boxofficemojo.com/movies/?id=lossures.htm" TargetMode="External"/><Relationship Id="rId1231" Type="http://schemas.openxmlformats.org/officeDocument/2006/relationships/hyperlink" Target="http://www.boxofficemojo.com/studio/chart/?studio=oscilloscopepictures.htm" TargetMode="External"/><Relationship Id="rId770" Type="http://schemas.openxmlformats.org/officeDocument/2006/relationships/hyperlink" Target="http://www.boxofficemojo.com/schedule/?view=bydate&amp;release=theatrical&amp;date=2016-09-30&amp;p=.htm" TargetMode="External"/><Relationship Id="rId771" Type="http://schemas.openxmlformats.org/officeDocument/2006/relationships/hyperlink" Target="http://www.boxofficemojo.com/movies/?id=saturdayswarrior.htm" TargetMode="External"/><Relationship Id="rId772" Type="http://schemas.openxmlformats.org/officeDocument/2006/relationships/hyperlink" Target="http://www.boxofficemojo.com/studio/chart/?studio=purdie.htm" TargetMode="External"/><Relationship Id="rId773" Type="http://schemas.openxmlformats.org/officeDocument/2006/relationships/hyperlink" Target="http://www.boxofficemojo.com/schedule/?view=bydate&amp;release=theatrical&amp;date=2016-04-01&amp;p=.htm" TargetMode="External"/><Relationship Id="rId774" Type="http://schemas.openxmlformats.org/officeDocument/2006/relationships/hyperlink" Target="http://www.boxofficemojo.com/movies/?id=monkeyking2.htm" TargetMode="External"/><Relationship Id="rId775" Type="http://schemas.openxmlformats.org/officeDocument/2006/relationships/hyperlink" Target="http://www.boxofficemojo.com/studio/chart/?studio=chinalion.htm" TargetMode="External"/><Relationship Id="rId776" Type="http://schemas.openxmlformats.org/officeDocument/2006/relationships/hyperlink" Target="http://www.boxofficemojo.com/schedule/?view=bydate&amp;release=theatrical&amp;date=2016-02-05&amp;p=.htm" TargetMode="External"/><Relationship Id="rId777" Type="http://schemas.openxmlformats.org/officeDocument/2006/relationships/hyperlink" Target="http://www.boxofficemojo.com/movies/?id=littlemen2016.htm" TargetMode="External"/><Relationship Id="rId778" Type="http://schemas.openxmlformats.org/officeDocument/2006/relationships/hyperlink" Target="http://www.boxofficemojo.com/studio/chart/?studio=magnolia.htm" TargetMode="External"/><Relationship Id="rId779" Type="http://schemas.openxmlformats.org/officeDocument/2006/relationships/hyperlink" Target="http://www.boxofficemojo.com/schedule/?view=bydate&amp;release=theatrical&amp;date=2016-08-05&amp;p=.htm" TargetMode="External"/><Relationship Id="rId380" Type="http://schemas.openxmlformats.org/officeDocument/2006/relationships/hyperlink" Target="http://www.boxofficemojo.com/schedule/?view=bydate&amp;release=theatrical&amp;date=2016-04-29&amp;p=.htm" TargetMode="External"/><Relationship Id="rId381" Type="http://schemas.openxmlformats.org/officeDocument/2006/relationships/hyperlink" Target="http://www.boxofficemojo.com/movies/?id=hillarysamerica.htm" TargetMode="External"/><Relationship Id="rId382" Type="http://schemas.openxmlformats.org/officeDocument/2006/relationships/hyperlink" Target="http://www.boxofficemojo.com/studio/chart/?studio=qualityflix.htm" TargetMode="External"/><Relationship Id="rId383" Type="http://schemas.openxmlformats.org/officeDocument/2006/relationships/hyperlink" Target="http://www.boxofficemojo.com/schedule/?view=bydate&amp;release=theatrical&amp;date=2016-07-15&amp;p=.htm" TargetMode="External"/><Relationship Id="rId384" Type="http://schemas.openxmlformats.org/officeDocument/2006/relationships/hyperlink" Target="http://www.boxofficemojo.com/movies/?id=triplenine.htm" TargetMode="External"/><Relationship Id="rId385" Type="http://schemas.openxmlformats.org/officeDocument/2006/relationships/hyperlink" Target="http://www.boxofficemojo.com/studio/chart/?studio=openroads.htm" TargetMode="External"/><Relationship Id="rId386" Type="http://schemas.openxmlformats.org/officeDocument/2006/relationships/hyperlink" Target="http://www.boxofficemojo.com/schedule/?view=bydate&amp;release=theatrical&amp;date=2016-02-26&amp;p=.htm" TargetMode="External"/><Relationship Id="rId387" Type="http://schemas.openxmlformats.org/officeDocument/2006/relationships/hyperlink" Target="http://www.boxofficemojo.com/movies/?id=lightbetweenoceans.htm" TargetMode="External"/><Relationship Id="rId388" Type="http://schemas.openxmlformats.org/officeDocument/2006/relationships/hyperlink" Target="http://www.boxofficemojo.com/studio/chart/?studio=buenavista.htm" TargetMode="External"/><Relationship Id="rId389" Type="http://schemas.openxmlformats.org/officeDocument/2006/relationships/hyperlink" Target="http://www.boxofficemojo.com/schedule/?view=bydate&amp;release=theatrical&amp;date=2016-09-02&amp;p=.htm" TargetMode="External"/><Relationship Id="rId1232" Type="http://schemas.openxmlformats.org/officeDocument/2006/relationships/hyperlink" Target="http://www.boxofficemojo.com/schedule/?view=bydate&amp;release=theatrical&amp;date=2016-04-15&amp;p=.htm" TargetMode="External"/><Relationship Id="rId1233" Type="http://schemas.openxmlformats.org/officeDocument/2006/relationships/hyperlink" Target="http://www.boxofficemojo.com/movies/?id=oceanwaves.htm" TargetMode="External"/><Relationship Id="rId1234" Type="http://schemas.openxmlformats.org/officeDocument/2006/relationships/hyperlink" Target="http://www.boxofficemojo.com/studio/chart/?studio=gkids.htm" TargetMode="External"/><Relationship Id="rId1235" Type="http://schemas.openxmlformats.org/officeDocument/2006/relationships/hyperlink" Target="http://www.boxofficemojo.com/schedule/?view=bydate&amp;release=theatrical&amp;date=2016-12-28&amp;p=.htm" TargetMode="External"/><Relationship Id="rId1236" Type="http://schemas.openxmlformats.org/officeDocument/2006/relationships/hyperlink" Target="http://www.boxofficemojo.com/movies/?id=mountainsmaydepart.htm" TargetMode="External"/><Relationship Id="rId1237" Type="http://schemas.openxmlformats.org/officeDocument/2006/relationships/hyperlink" Target="http://www.boxofficemojo.com/studio/chart/?studio=kinolorber.htm" TargetMode="External"/><Relationship Id="rId1238" Type="http://schemas.openxmlformats.org/officeDocument/2006/relationships/hyperlink" Target="http://www.boxofficemojo.com/schedule/?view=bydate&amp;release=theatrical&amp;date=2016-02-12&amp;p=.htm" TargetMode="External"/><Relationship Id="rId1239" Type="http://schemas.openxmlformats.org/officeDocument/2006/relationships/hyperlink" Target="http://www.boxofficemojo.com/movies/?id=cockandbull.htm" TargetMode="External"/><Relationship Id="rId1630" Type="http://schemas.openxmlformats.org/officeDocument/2006/relationships/hyperlink" Target="http://www.boxofficemojo.com/studio/chart/?studio=matson.htm" TargetMode="External"/><Relationship Id="rId1631" Type="http://schemas.openxmlformats.org/officeDocument/2006/relationships/hyperlink" Target="http://www.boxofficemojo.com/schedule/?view=bydate&amp;release=theatrical&amp;date=2016-06-03&amp;p=.htm" TargetMode="External"/><Relationship Id="rId1632" Type="http://schemas.openxmlformats.org/officeDocument/2006/relationships/hyperlink" Target="http://www.boxofficemojo.com/movies/?id=kateplayschristine.htm" TargetMode="External"/><Relationship Id="rId1633" Type="http://schemas.openxmlformats.org/officeDocument/2006/relationships/hyperlink" Target="http://www.boxofficemojo.com/studio/chart/?studio=grasshopper.htm" TargetMode="External"/><Relationship Id="rId1634" Type="http://schemas.openxmlformats.org/officeDocument/2006/relationships/hyperlink" Target="http://www.boxofficemojo.com/schedule/?view=bydate&amp;release=theatrical&amp;date=2016-08-26&amp;p=.htm" TargetMode="External"/><Relationship Id="rId1635" Type="http://schemas.openxmlformats.org/officeDocument/2006/relationships/hyperlink" Target="http://www.boxofficemojo.com/movies/?id=banjo.htm" TargetMode="External"/><Relationship Id="rId1636" Type="http://schemas.openxmlformats.org/officeDocument/2006/relationships/hyperlink" Target="http://www.boxofficemojo.com/studio/chart/?studio=eros.htm" TargetMode="External"/><Relationship Id="rId1637" Type="http://schemas.openxmlformats.org/officeDocument/2006/relationships/hyperlink" Target="http://www.boxofficemojo.com/schedule/?view=bydate&amp;release=theatrical&amp;date=2016-09-23&amp;p=.htm" TargetMode="External"/><Relationship Id="rId1638" Type="http://schemas.openxmlformats.org/officeDocument/2006/relationships/hyperlink" Target="http://www.boxofficemojo.com/movies/?id=newyearseveofoldlee.htm" TargetMode="External"/><Relationship Id="rId1639" Type="http://schemas.openxmlformats.org/officeDocument/2006/relationships/hyperlink" Target="http://www.boxofficemojo.com/studio/chart/?studio=chinalion.htm" TargetMode="External"/><Relationship Id="rId1240" Type="http://schemas.openxmlformats.org/officeDocument/2006/relationships/hyperlink" Target="http://www.boxofficemojo.com/studio/chart/?studio=chinalion.htm" TargetMode="External"/><Relationship Id="rId1241" Type="http://schemas.openxmlformats.org/officeDocument/2006/relationships/hyperlink" Target="http://www.boxofficemojo.com/schedule/?view=bydate&amp;release=theatrical&amp;date=2016-09-16&amp;p=.htm" TargetMode="External"/><Relationship Id="rId780" Type="http://schemas.openxmlformats.org/officeDocument/2006/relationships/hyperlink" Target="http://www.boxofficemojo.com/movies/?id=chaarsahibzaade2.htm" TargetMode="External"/><Relationship Id="rId781" Type="http://schemas.openxmlformats.org/officeDocument/2006/relationships/hyperlink" Target="http://www.boxofficemojo.com/studio/chart/?studio=eros.htm" TargetMode="External"/><Relationship Id="rId782" Type="http://schemas.openxmlformats.org/officeDocument/2006/relationships/hyperlink" Target="http://www.boxofficemojo.com/schedule/?view=bydate&amp;release=theatrical&amp;date=2016-11-11&amp;p=.htm" TargetMode="External"/><Relationship Id="rId783" Type="http://schemas.openxmlformats.org/officeDocument/2006/relationships/hyperlink" Target="http://www.boxofficemojo.com/movies/?id=mrchurch.htm" TargetMode="External"/><Relationship Id="rId784" Type="http://schemas.openxmlformats.org/officeDocument/2006/relationships/hyperlink" Target="http://www.boxofficemojo.com/studio/chart/?studio=fs.htm" TargetMode="External"/><Relationship Id="rId785" Type="http://schemas.openxmlformats.org/officeDocument/2006/relationships/hyperlink" Target="http://www.boxofficemojo.com/schedule/?view=bydate&amp;release=theatrical&amp;date=2016-09-16&amp;p=.htm" TargetMode="External"/><Relationship Id="rId786" Type="http://schemas.openxmlformats.org/officeDocument/2006/relationships/hyperlink" Target="http://www.boxofficemojo.com/movies/?id=borntobeblue.htm" TargetMode="External"/><Relationship Id="rId787" Type="http://schemas.openxmlformats.org/officeDocument/2006/relationships/hyperlink" Target="http://www.boxofficemojo.com/studio/chart/?studio=ifc.htm" TargetMode="External"/><Relationship Id="rId788" Type="http://schemas.openxmlformats.org/officeDocument/2006/relationships/hyperlink" Target="http://www.boxofficemojo.com/schedule/?view=bydate&amp;release=theatrical&amp;date=2016-03-25&amp;p=.htm" TargetMode="External"/><Relationship Id="rId789" Type="http://schemas.openxmlformats.org/officeDocument/2006/relationships/hyperlink" Target="http://www.boxofficemojo.com/movies/?id=americanhoney.htm" TargetMode="External"/><Relationship Id="rId390" Type="http://schemas.openxmlformats.org/officeDocument/2006/relationships/hyperlink" Target="http://www.boxofficemojo.com/movies/?id=dangal.htm" TargetMode="External"/><Relationship Id="rId391" Type="http://schemas.openxmlformats.org/officeDocument/2006/relationships/hyperlink" Target="http://www.boxofficemojo.com/studio/chart/?studio=utv.htm" TargetMode="External"/><Relationship Id="rId392" Type="http://schemas.openxmlformats.org/officeDocument/2006/relationships/hyperlink" Target="http://www.boxofficemojo.com/schedule/?view=bydate&amp;release=theatrical&amp;date=2016-12-21&amp;p=.htm" TargetMode="External"/><Relationship Id="rId393" Type="http://schemas.openxmlformats.org/officeDocument/2006/relationships/hyperlink" Target="http://www.boxofficemojo.com/movies/?id=fiftyshadesofblack.htm" TargetMode="External"/><Relationship Id="rId394" Type="http://schemas.openxmlformats.org/officeDocument/2006/relationships/hyperlink" Target="http://www.boxofficemojo.com/studio/chart/?studio=openroads.htm" TargetMode="External"/><Relationship Id="rId395" Type="http://schemas.openxmlformats.org/officeDocument/2006/relationships/hyperlink" Target="http://www.boxofficemojo.com/schedule/?view=bydate&amp;release=theatrical&amp;date=2016-01-29&amp;p=.htm" TargetMode="External"/><Relationship Id="rId396" Type="http://schemas.openxmlformats.org/officeDocument/2006/relationships/hyperlink" Target="http://www.boxofficemojo.com/movies/?id=nomanchesfrida.htm" TargetMode="External"/><Relationship Id="rId397" Type="http://schemas.openxmlformats.org/officeDocument/2006/relationships/hyperlink" Target="http://www.boxofficemojo.com/studio/chart/?studio=pantelion.htm" TargetMode="External"/><Relationship Id="rId398" Type="http://schemas.openxmlformats.org/officeDocument/2006/relationships/hyperlink" Target="http://www.boxofficemojo.com/schedule/?view=bydate&amp;release=theatrical&amp;date=2016-09-02&amp;p=.htm" TargetMode="External"/><Relationship Id="rId399" Type="http://schemas.openxmlformats.org/officeDocument/2006/relationships/hyperlink" Target="http://www.boxofficemojo.com/movies/?id=cafesociety.htm" TargetMode="External"/><Relationship Id="rId1242" Type="http://schemas.openxmlformats.org/officeDocument/2006/relationships/hyperlink" Target="http://www.boxofficemojo.com/movies/?id=astreetcatnamedbob.htm" TargetMode="External"/><Relationship Id="rId1243" Type="http://schemas.openxmlformats.org/officeDocument/2006/relationships/hyperlink" Target="http://www.boxofficemojo.com/studio/chart/?studio=cleopatrafilms.htm" TargetMode="External"/><Relationship Id="rId1244" Type="http://schemas.openxmlformats.org/officeDocument/2006/relationships/hyperlink" Target="http://www.boxofficemojo.com/schedule/?view=bydate&amp;release=theatrical&amp;date=2016-11-18&amp;p=.htm" TargetMode="External"/><Relationship Id="rId1245" Type="http://schemas.openxmlformats.org/officeDocument/2006/relationships/hyperlink" Target="http://www.boxofficemojo.com/movies/?id=vitaactiva.htm" TargetMode="External"/><Relationship Id="rId1246" Type="http://schemas.openxmlformats.org/officeDocument/2006/relationships/hyperlink" Target="http://www.boxofficemojo.com/studio/chart/?studio=zeitgeist.htm" TargetMode="External"/><Relationship Id="rId1247" Type="http://schemas.openxmlformats.org/officeDocument/2006/relationships/hyperlink" Target="http://www.boxofficemojo.com/schedule/?view=bydate&amp;release=theatrical&amp;date=2016-04-06&amp;p=.htm" TargetMode="External"/><Relationship Id="rId1248" Type="http://schemas.openxmlformats.org/officeDocument/2006/relationships/hyperlink" Target="http://www.boxofficemojo.com/movies/?id=kingcobra.htm" TargetMode="External"/><Relationship Id="rId1249" Type="http://schemas.openxmlformats.org/officeDocument/2006/relationships/hyperlink" Target="http://www.boxofficemojo.com/studio/chart/?studio=ifc.htm" TargetMode="External"/><Relationship Id="rId1640" Type="http://schemas.openxmlformats.org/officeDocument/2006/relationships/hyperlink" Target="http://www.boxofficemojo.com/schedule/?view=bydate&amp;release=theatrical&amp;date=2016-02-12&amp;p=.htm" TargetMode="External"/><Relationship Id="rId1641" Type="http://schemas.openxmlformats.org/officeDocument/2006/relationships/hyperlink" Target="http://www.boxofficemojo.com/movies/?id=disturbingthepeace.htm" TargetMode="External"/><Relationship Id="rId1642" Type="http://schemas.openxmlformats.org/officeDocument/2006/relationships/hyperlink" Target="http://www.boxofficemojo.com/studio/chart/?studio=abramorama.htm" TargetMode="External"/><Relationship Id="rId1643" Type="http://schemas.openxmlformats.org/officeDocument/2006/relationships/hyperlink" Target="http://www.boxofficemojo.com/schedule/?view=bydate&amp;release=theatrical&amp;date=2016-11-11&amp;p=.htm" TargetMode="External"/><Relationship Id="rId1644" Type="http://schemas.openxmlformats.org/officeDocument/2006/relationships/hyperlink" Target="http://www.boxofficemojo.com/movies/?id=cosmos.htm" TargetMode="External"/><Relationship Id="rId1645" Type="http://schemas.openxmlformats.org/officeDocument/2006/relationships/hyperlink" Target="http://www.boxofficemojo.com/studio/chart/?studio=kinolorber.htm" TargetMode="External"/><Relationship Id="rId1646" Type="http://schemas.openxmlformats.org/officeDocument/2006/relationships/hyperlink" Target="http://www.boxofficemojo.com/schedule/?view=bydate&amp;release=theatrical&amp;date=2016-06-17&amp;p=.htm" TargetMode="External"/><Relationship Id="rId1647" Type="http://schemas.openxmlformats.org/officeDocument/2006/relationships/hyperlink" Target="http://www.boxofficemojo.com/movies/?id=monsterthousandheads.htm" TargetMode="External"/><Relationship Id="rId1648" Type="http://schemas.openxmlformats.org/officeDocument/2006/relationships/hyperlink" Target="http://www.boxofficemojo.com/studio/chart/?studio=musicboxfilms.htm" TargetMode="External"/><Relationship Id="rId1649" Type="http://schemas.openxmlformats.org/officeDocument/2006/relationships/hyperlink" Target="http://www.boxofficemojo.com/schedule/?view=bydate&amp;release=theatrical&amp;date=2016-05-11&amp;p=.htm" TargetMode="External"/><Relationship Id="rId1250" Type="http://schemas.openxmlformats.org/officeDocument/2006/relationships/hyperlink" Target="http://www.boxofficemojo.com/schedule/?view=bydate&amp;release=theatrical&amp;date=2016-10-21&amp;p=.htm" TargetMode="External"/><Relationship Id="rId1251" Type="http://schemas.openxmlformats.org/officeDocument/2006/relationships/hyperlink" Target="http://www.boxofficemojo.com/movies/?id=lescowboys.htm" TargetMode="External"/><Relationship Id="rId790" Type="http://schemas.openxmlformats.org/officeDocument/2006/relationships/hyperlink" Target="http://www.boxofficemojo.com/studio/chart/?studio=a24.htm" TargetMode="External"/><Relationship Id="rId791" Type="http://schemas.openxmlformats.org/officeDocument/2006/relationships/hyperlink" Target="http://www.boxofficemojo.com/schedule/?view=bydate&amp;release=theatrical&amp;date=2016-09-30&amp;p=.htm" TargetMode="External"/><Relationship Id="rId792" Type="http://schemas.openxmlformats.org/officeDocument/2006/relationships/hyperlink" Target="http://www.boxofficemojo.com/movies/?id=eljeremias.htm" TargetMode="External"/><Relationship Id="rId793" Type="http://schemas.openxmlformats.org/officeDocument/2006/relationships/hyperlink" Target="http://www.boxofficemojo.com/studio/chart/?studio=sony.htm" TargetMode="External"/><Relationship Id="rId794" Type="http://schemas.openxmlformats.org/officeDocument/2006/relationships/hyperlink" Target="http://www.boxofficemojo.com/schedule/?view=bydate&amp;release=theatrical&amp;date=2016-10-21&amp;p=.htm" TargetMode="External"/><Relationship Id="rId795" Type="http://schemas.openxmlformats.org/officeDocument/2006/relationships/hyperlink" Target="http://www.boxofficemojo.com/movies/?id=cityofgold.htm" TargetMode="External"/><Relationship Id="rId796" Type="http://schemas.openxmlformats.org/officeDocument/2006/relationships/hyperlink" Target="http://www.boxofficemojo.com/studio/chart/?studio=ifc.htm" TargetMode="External"/><Relationship Id="rId797" Type="http://schemas.openxmlformats.org/officeDocument/2006/relationships/hyperlink" Target="http://www.boxofficemojo.com/schedule/?view=bydate&amp;release=theatrical&amp;date=2016-03-11&amp;p=.htm" TargetMode="External"/><Relationship Id="rId798" Type="http://schemas.openxmlformats.org/officeDocument/2006/relationships/hyperlink" Target="http://www.boxofficemojo.com/movies/?id=remember.htm" TargetMode="External"/><Relationship Id="rId799" Type="http://schemas.openxmlformats.org/officeDocument/2006/relationships/hyperlink" Target="http://www.boxofficemojo.com/studio/chart/?studio=a24.htm" TargetMode="External"/><Relationship Id="rId1252" Type="http://schemas.openxmlformats.org/officeDocument/2006/relationships/hyperlink" Target="http://www.boxofficemojo.com/studio/chart/?studio=cohenmedia.htm" TargetMode="External"/><Relationship Id="rId1253" Type="http://schemas.openxmlformats.org/officeDocument/2006/relationships/hyperlink" Target="http://www.boxofficemojo.com/schedule/?view=bydate&amp;release=theatrical&amp;date=2016-06-24&amp;p=.htm" TargetMode="External"/><Relationship Id="rId1254" Type="http://schemas.openxmlformats.org/officeDocument/2006/relationships/hyperlink" Target="http://www.boxofficemojo.com/movies/?id=fortheloveofspock.htm" TargetMode="External"/><Relationship Id="rId1255" Type="http://schemas.openxmlformats.org/officeDocument/2006/relationships/hyperlink" Target="http://www.boxofficemojo.com/studio/chart/?studio=gravitas.htm" TargetMode="External"/><Relationship Id="rId1256" Type="http://schemas.openxmlformats.org/officeDocument/2006/relationships/hyperlink" Target="http://www.boxofficemojo.com/schedule/?view=bydate&amp;release=theatrical&amp;date=2016-09-09&amp;p=.htm" TargetMode="External"/><Relationship Id="rId1257" Type="http://schemas.openxmlformats.org/officeDocument/2006/relationships/hyperlink" Target="http://www.boxofficemojo.com/movies/?id=bestfriendswedding2016.htm" TargetMode="External"/><Relationship Id="rId1258" Type="http://schemas.openxmlformats.org/officeDocument/2006/relationships/hyperlink" Target="http://www.boxofficemojo.com/studio/chart/?studio=sony.htm" TargetMode="External"/><Relationship Id="rId1259" Type="http://schemas.openxmlformats.org/officeDocument/2006/relationships/hyperlink" Target="http://www.boxofficemojo.com/schedule/?view=bydate&amp;release=theatrical&amp;date=2016-08-12&amp;p=.htm" TargetMode="External"/><Relationship Id="rId1650" Type="http://schemas.openxmlformats.org/officeDocument/2006/relationships/hyperlink" Target="http://www.boxofficemojo.com/movies/?id=evolution2016.htm" TargetMode="External"/><Relationship Id="rId1651" Type="http://schemas.openxmlformats.org/officeDocument/2006/relationships/hyperlink" Target="http://www.boxofficemojo.com/studio/chart/?studio=ifc.htm" TargetMode="External"/><Relationship Id="rId1652" Type="http://schemas.openxmlformats.org/officeDocument/2006/relationships/hyperlink" Target="http://www.boxofficemojo.com/schedule/?view=bydate&amp;release=theatrical&amp;date=2016-11-25&amp;p=.htm" TargetMode="External"/><Relationship Id="rId1653" Type="http://schemas.openxmlformats.org/officeDocument/2006/relationships/hyperlink" Target="http://www.boxofficemojo.com/movies/?id=suddenfear2016.htm" TargetMode="External"/><Relationship Id="rId1654" Type="http://schemas.openxmlformats.org/officeDocument/2006/relationships/hyperlink" Target="http://www.boxofficemojo.com/studio/chart/?studio=cohenmedia.htm" TargetMode="External"/><Relationship Id="rId1655" Type="http://schemas.openxmlformats.org/officeDocument/2006/relationships/hyperlink" Target="http://www.boxofficemojo.com/schedule/?view=bydate&amp;release=theatrical&amp;date=2016-08-12&amp;p=.htm" TargetMode="External"/><Relationship Id="rId1656" Type="http://schemas.openxmlformats.org/officeDocument/2006/relationships/hyperlink" Target="http://www.boxofficemojo.com/movies/?id=rightnowwrongthen.htm" TargetMode="External"/><Relationship Id="rId1657" Type="http://schemas.openxmlformats.org/officeDocument/2006/relationships/hyperlink" Target="http://www.boxofficemojo.com/studio/chart/?studio=grasshopper.htm" TargetMode="External"/><Relationship Id="rId1658" Type="http://schemas.openxmlformats.org/officeDocument/2006/relationships/hyperlink" Target="http://www.boxofficemojo.com/schedule/?view=bydate&amp;release=theatrical&amp;date=2016-06-24&amp;p=.htm" TargetMode="External"/><Relationship Id="rId1659" Type="http://schemas.openxmlformats.org/officeDocument/2006/relationships/hyperlink" Target="http://www.boxofficemojo.com/movies/?id=lolo.htm" TargetMode="External"/><Relationship Id="rId1260" Type="http://schemas.openxmlformats.org/officeDocument/2006/relationships/hyperlink" Target="http://www.boxofficemojo.com/movies/?id=skyonfire.htm" TargetMode="External"/><Relationship Id="rId1261" Type="http://schemas.openxmlformats.org/officeDocument/2006/relationships/hyperlink" Target="http://www.boxofficemojo.com/studio/chart/?studio=wellgo.htm" TargetMode="External"/><Relationship Id="rId1262" Type="http://schemas.openxmlformats.org/officeDocument/2006/relationships/hyperlink" Target="http://www.boxofficemojo.com/schedule/?view=bydate&amp;release=theatrical&amp;date=2016-12-02&amp;p=.htm" TargetMode="External"/><Relationship Id="rId1263" Type="http://schemas.openxmlformats.org/officeDocument/2006/relationships/hyperlink" Target="http://www.boxofficemojo.com/movies/?id=collidingdreams.htm" TargetMode="External"/><Relationship Id="rId1264" Type="http://schemas.openxmlformats.org/officeDocument/2006/relationships/hyperlink" Target="http://www.boxofficemojo.com/studio/chart/?studio=intlfilmcircuit.htm" TargetMode="External"/><Relationship Id="rId1265" Type="http://schemas.openxmlformats.org/officeDocument/2006/relationships/hyperlink" Target="http://www.boxofficemojo.com/schedule/?view=bydate&amp;release=theatrical&amp;date=2016-03-04&amp;p=.htm" TargetMode="External"/><Relationship Id="rId1266" Type="http://schemas.openxmlformats.org/officeDocument/2006/relationships/hyperlink" Target="http://www.boxofficemojo.com/movies/?id=saalakhadoos.htm" TargetMode="External"/><Relationship Id="rId1267" Type="http://schemas.openxmlformats.org/officeDocument/2006/relationships/hyperlink" Target="http://www.boxofficemojo.com/studio/chart/?studio=utv.htm" TargetMode="External"/><Relationship Id="rId1268" Type="http://schemas.openxmlformats.org/officeDocument/2006/relationships/hyperlink" Target="http://www.boxofficemojo.com/schedule/?view=bydate&amp;release=theatrical&amp;date=2016-01-29&amp;p=.htm" TargetMode="External"/><Relationship Id="rId1269" Type="http://schemas.openxmlformats.org/officeDocument/2006/relationships/hyperlink" Target="http://www.boxofficemojo.com/movies/?id=dontblinkrobertfrank.htm" TargetMode="External"/><Relationship Id="rId400" Type="http://schemas.openxmlformats.org/officeDocument/2006/relationships/hyperlink" Target="http://www.boxofficemojo.com/studio/chart/?studio=lionsgate.htm" TargetMode="External"/><Relationship Id="rId401" Type="http://schemas.openxmlformats.org/officeDocument/2006/relationships/hyperlink" Target="http://www.boxofficemojo.com/schedule/?view=bydate&amp;release=theatrical&amp;date=2016-07-15&amp;p=.htm" TargetMode="External"/><Relationship Id="rId402" Type="http://schemas.openxmlformats.org/officeDocument/2006/relationships/hyperlink" Target="http://www.boxofficemojo.com/movies/?id=prideprejudicezombies.htm" TargetMode="External"/><Relationship Id="rId403" Type="http://schemas.openxmlformats.org/officeDocument/2006/relationships/hyperlink" Target="http://www.boxofficemojo.com/studio/chart/?studio=screengems.htm" TargetMode="External"/><Relationship Id="rId404" Type="http://schemas.openxmlformats.org/officeDocument/2006/relationships/hyperlink" Target="http://www.boxofficemojo.com/schedule/?view=bydate&amp;release=theatrical&amp;date=2016-02-05&amp;p=.htm" TargetMode="External"/><Relationship Id="rId405" Type="http://schemas.openxmlformats.org/officeDocument/2006/relationships/hyperlink" Target="http://www.boxofficemojo.com/movies/?id=bhtilt2016.htm" TargetMode="External"/><Relationship Id="rId406" Type="http://schemas.openxmlformats.org/officeDocument/2006/relationships/hyperlink" Target="http://www.boxofficemojo.com/studio/chart/?studio=bhtilt.htm" TargetMode="External"/><Relationship Id="rId407" Type="http://schemas.openxmlformats.org/officeDocument/2006/relationships/hyperlink" Target="http://www.boxofficemojo.com/schedule/?view=bydate&amp;release=theatrical&amp;date=2016-05-13&amp;p=.htm" TargetMode="External"/><Relationship Id="rId408" Type="http://schemas.openxmlformats.org/officeDocument/2006/relationships/hyperlink" Target="http://www.boxofficemojo.com/movies/?id=nocturnalanimals.htm" TargetMode="External"/><Relationship Id="rId409" Type="http://schemas.openxmlformats.org/officeDocument/2006/relationships/hyperlink" Target="http://www.boxofficemojo.com/studio/chart/?studio=focus.htm" TargetMode="External"/><Relationship Id="rId1660" Type="http://schemas.openxmlformats.org/officeDocument/2006/relationships/hyperlink" Target="http://www.boxofficemojo.com/studio/chart/?studio=filmrise.htm" TargetMode="External"/><Relationship Id="rId1661" Type="http://schemas.openxmlformats.org/officeDocument/2006/relationships/hyperlink" Target="http://www.boxofficemojo.com/schedule/?view=bydate&amp;release=theatrical&amp;date=2016-03-11&amp;p=.htm" TargetMode="External"/><Relationship Id="rId1662" Type="http://schemas.openxmlformats.org/officeDocument/2006/relationships/hyperlink" Target="http://www.boxofficemojo.com/movies/?id=thefiance.htm" TargetMode="External"/><Relationship Id="rId1663" Type="http://schemas.openxmlformats.org/officeDocument/2006/relationships/hyperlink" Target="http://www.boxofficemojo.com/studio/chart/?studio=indican.htm" TargetMode="External"/><Relationship Id="rId1664" Type="http://schemas.openxmlformats.org/officeDocument/2006/relationships/hyperlink" Target="http://www.boxofficemojo.com/schedule/?view=bydate&amp;release=theatrical&amp;date=2016-11-11&amp;p=.htm" TargetMode="External"/><Relationship Id="rId1665" Type="http://schemas.openxmlformats.org/officeDocument/2006/relationships/hyperlink" Target="http://www.boxofficemojo.com/movies/?id=southbound.htm" TargetMode="External"/><Relationship Id="rId1666" Type="http://schemas.openxmlformats.org/officeDocument/2006/relationships/hyperlink" Target="http://www.boxofficemojo.com/studio/chart/?studio=orchard.htm" TargetMode="External"/><Relationship Id="rId1667" Type="http://schemas.openxmlformats.org/officeDocument/2006/relationships/hyperlink" Target="http://www.boxofficemojo.com/schedule/?view=bydate&amp;release=theatrical&amp;date=2016-02-05&amp;p=.htm" TargetMode="External"/><Relationship Id="rId1668" Type="http://schemas.openxmlformats.org/officeDocument/2006/relationships/hyperlink" Target="http://www.boxofficemojo.com/movies/?id=gridironheroes.htm" TargetMode="External"/><Relationship Id="rId1669" Type="http://schemas.openxmlformats.org/officeDocument/2006/relationships/hyperlink" Target="http://www.boxofficemojo.com/studio/chart/?studio=indican.htm" TargetMode="External"/><Relationship Id="rId1270" Type="http://schemas.openxmlformats.org/officeDocument/2006/relationships/hyperlink" Target="http://www.boxofficemojo.com/studio/chart/?studio=grasshopper.htm" TargetMode="External"/><Relationship Id="rId1271" Type="http://schemas.openxmlformats.org/officeDocument/2006/relationships/hyperlink" Target="http://www.boxofficemojo.com/schedule/?view=bydate&amp;release=theatrical&amp;date=2016-07-15&amp;p=.htm" TargetMode="External"/><Relationship Id="rId1272" Type="http://schemas.openxmlformats.org/officeDocument/2006/relationships/hyperlink" Target="http://www.boxofficemojo.com/movies/?id=swordmaster.htm" TargetMode="External"/><Relationship Id="rId1273" Type="http://schemas.openxmlformats.org/officeDocument/2006/relationships/hyperlink" Target="http://www.boxofficemojo.com/studio/chart/?studio=wellgo.htm" TargetMode="External"/><Relationship Id="rId1274" Type="http://schemas.openxmlformats.org/officeDocument/2006/relationships/hyperlink" Target="http://www.boxofficemojo.com/schedule/?view=bydate&amp;release=theatrical&amp;date=2016-12-09&amp;p=.htm" TargetMode="External"/><Relationship Id="rId1275" Type="http://schemas.openxmlformats.org/officeDocument/2006/relationships/hyperlink" Target="http://www.boxofficemojo.com/movies/?id=donotresist.htm" TargetMode="External"/><Relationship Id="rId1276" Type="http://schemas.openxmlformats.org/officeDocument/2006/relationships/hyperlink" Target="http://www.boxofficemojo.com/studio/chart/?studio=vanishfilms.htm" TargetMode="External"/><Relationship Id="rId1277" Type="http://schemas.openxmlformats.org/officeDocument/2006/relationships/hyperlink" Target="http://www.boxofficemojo.com/schedule/?view=bydate&amp;release=theatrical&amp;date=2016-09-30&amp;p=.htm" TargetMode="External"/><Relationship Id="rId1278" Type="http://schemas.openxmlformats.org/officeDocument/2006/relationships/hyperlink" Target="http://www.boxofficemojo.com/movies/?id=dancer.htm" TargetMode="External"/><Relationship Id="rId1279" Type="http://schemas.openxmlformats.org/officeDocument/2006/relationships/hyperlink" Target="http://www.boxofficemojo.com/studio/chart/?studio=ifc.htm" TargetMode="External"/><Relationship Id="rId800" Type="http://schemas.openxmlformats.org/officeDocument/2006/relationships/hyperlink" Target="http://www.boxofficemojo.com/schedule/?view=bydate&amp;release=theatrical&amp;date=2016-03-11&amp;p=.htm" TargetMode="External"/><Relationship Id="rId801" Type="http://schemas.openxmlformats.org/officeDocument/2006/relationships/hyperlink" Target="http://www.boxofficemojo.com/movies/?id=range15.htm" TargetMode="External"/><Relationship Id="rId802" Type="http://schemas.openxmlformats.org/officeDocument/2006/relationships/hyperlink" Target="http://www.boxofficemojo.com/studio/chart/?studio=" TargetMode="External"/><Relationship Id="rId803" Type="http://schemas.openxmlformats.org/officeDocument/2006/relationships/hyperlink" Target="http://www.boxofficemojo.com/schedule/?view=bydate&amp;release=theatrical&amp;date=2016-06-15&amp;p=.htm" TargetMode="External"/><Relationship Id="rId410" Type="http://schemas.openxmlformats.org/officeDocument/2006/relationships/hyperlink" Target="http://www.boxofficemojo.com/schedule/?view=bydate&amp;release=theatrical&amp;date=2016-11-18&amp;p=.htm" TargetMode="External"/><Relationship Id="rId411" Type="http://schemas.openxmlformats.org/officeDocument/2006/relationships/hyperlink" Target="http://www.boxofficemojo.com/movies/?id=livebynight.htm" TargetMode="External"/><Relationship Id="rId412" Type="http://schemas.openxmlformats.org/officeDocument/2006/relationships/hyperlink" Target="http://www.boxofficemojo.com/studio/chart/?studio=warnerbros.htm" TargetMode="External"/><Relationship Id="rId413" Type="http://schemas.openxmlformats.org/officeDocument/2006/relationships/hyperlink" Target="http://www.boxofficemojo.com/schedule/?view=bydate&amp;release=theatrical&amp;date=2016-12-25&amp;p=.htm" TargetMode="External"/><Relationship Id="rId414" Type="http://schemas.openxmlformats.org/officeDocument/2006/relationships/hyperlink" Target="http://www.boxofficemojo.com/movies/?id=theperfectmatch.htm" TargetMode="External"/><Relationship Id="rId415" Type="http://schemas.openxmlformats.org/officeDocument/2006/relationships/hyperlink" Target="http://www.boxofficemojo.com/studio/chart/?studio=lionsgate.htm" TargetMode="External"/><Relationship Id="rId416" Type="http://schemas.openxmlformats.org/officeDocument/2006/relationships/hyperlink" Target="http://www.boxofficemojo.com/schedule/?view=bydate&amp;release=theatrical&amp;date=2016-03-11&amp;p=.htm" TargetMode="External"/><Relationship Id="rId417" Type="http://schemas.openxmlformats.org/officeDocument/2006/relationships/hyperlink" Target="http://www.boxofficemojo.com/movies/?id=topsecretuntitledlonelyislandmovie.htm" TargetMode="External"/><Relationship Id="rId418" Type="http://schemas.openxmlformats.org/officeDocument/2006/relationships/hyperlink" Target="http://www.boxofficemojo.com/studio/chart/?studio=universal.htm" TargetMode="External"/><Relationship Id="rId419" Type="http://schemas.openxmlformats.org/officeDocument/2006/relationships/hyperlink" Target="http://www.boxofficemojo.com/schedule/?view=bydate&amp;release=theatrical&amp;date=2016-06-03&amp;p=.htm" TargetMode="External"/><Relationship Id="rId804" Type="http://schemas.openxmlformats.org/officeDocument/2006/relationships/hyperlink" Target="http://www.boxofficemojo.com/movies/?id=embrace.htm" TargetMode="External"/><Relationship Id="rId805" Type="http://schemas.openxmlformats.org/officeDocument/2006/relationships/hyperlink" Target="http://www.boxofficemojo.com/studio/chart/?studio=gathrfilms.htm" TargetMode="External"/><Relationship Id="rId806" Type="http://schemas.openxmlformats.org/officeDocument/2006/relationships/hyperlink" Target="http://www.boxofficemojo.com/schedule/?view=bydate&amp;release=theatrical&amp;date=2016-09-19&amp;p=.htm" TargetMode="External"/><Relationship Id="rId807" Type="http://schemas.openxmlformats.org/officeDocument/2006/relationships/hyperlink" Target="http://www.boxofficemojo.com/movies/?id=bronze.htm" TargetMode="External"/><Relationship Id="rId808" Type="http://schemas.openxmlformats.org/officeDocument/2006/relationships/hyperlink" Target="http://www.boxofficemojo.com/studio/chart/?studio=sonyclassics.htm" TargetMode="External"/><Relationship Id="rId809" Type="http://schemas.openxmlformats.org/officeDocument/2006/relationships/hyperlink" Target="http://www.boxofficemojo.com/schedule/?view=bydate&amp;release=theatrical&amp;date=2016-03-18&amp;p=.htm" TargetMode="External"/><Relationship Id="rId1670" Type="http://schemas.openxmlformats.org/officeDocument/2006/relationships/hyperlink" Target="http://www.boxofficemojo.com/schedule/?view=bydate&amp;release=theatrical&amp;date=2016-04-15&amp;p=.htm" TargetMode="External"/><Relationship Id="rId1671" Type="http://schemas.openxmlformats.org/officeDocument/2006/relationships/hyperlink" Target="http://www.boxofficemojo.com/movies/?id=harmony.htm" TargetMode="External"/><Relationship Id="rId1672" Type="http://schemas.openxmlformats.org/officeDocument/2006/relationships/hyperlink" Target="http://www.boxofficemojo.com/studio/chart/?studio=funimation.htm" TargetMode="External"/><Relationship Id="rId1673" Type="http://schemas.openxmlformats.org/officeDocument/2006/relationships/hyperlink" Target="http://www.boxofficemojo.com/schedule/?view=bydate&amp;release=theatrical&amp;date=2016-05-17&amp;p=.htm" TargetMode="External"/><Relationship Id="rId1280" Type="http://schemas.openxmlformats.org/officeDocument/2006/relationships/hyperlink" Target="http://www.boxofficemojo.com/schedule/?view=bydate&amp;release=theatrical&amp;date=2016-09-09&amp;p=.htm" TargetMode="External"/><Relationship Id="rId1281" Type="http://schemas.openxmlformats.org/officeDocument/2006/relationships/hyperlink" Target="http://www.boxofficemojo.com/movies/?id=raiders.htm" TargetMode="External"/><Relationship Id="rId1282" Type="http://schemas.openxmlformats.org/officeDocument/2006/relationships/hyperlink" Target="http://www.boxofficemojo.com/studio/chart/?studio=drafthousefilms.htm" TargetMode="External"/><Relationship Id="rId1283" Type="http://schemas.openxmlformats.org/officeDocument/2006/relationships/hyperlink" Target="http://www.boxofficemojo.com/schedule/?view=bydate&amp;release=theatrical&amp;date=2016-06-17&amp;p=.htm" TargetMode="External"/><Relationship Id="rId1284" Type="http://schemas.openxmlformats.org/officeDocument/2006/relationships/hyperlink" Target="http://www.boxofficemojo.com/movies/?id=sweet20.htm" TargetMode="External"/><Relationship Id="rId1285" Type="http://schemas.openxmlformats.org/officeDocument/2006/relationships/hyperlink" Target="http://www.boxofficemojo.com/studio/chart/?studio=cjentertainment.htm" TargetMode="External"/><Relationship Id="rId1286" Type="http://schemas.openxmlformats.org/officeDocument/2006/relationships/hyperlink" Target="http://www.boxofficemojo.com/schedule/?view=bydate&amp;release=theatrical&amp;date=2016-03-11&amp;p=.htm" TargetMode="External"/><Relationship Id="rId1287" Type="http://schemas.openxmlformats.org/officeDocument/2006/relationships/hyperlink" Target="http://www.boxofficemojo.com/movies/?id=thecongressman.htm" TargetMode="External"/><Relationship Id="rId1288" Type="http://schemas.openxmlformats.org/officeDocument/2006/relationships/hyperlink" Target="http://www.boxofficemojo.com/studio/chart/?studio=shadow.htm" TargetMode="External"/><Relationship Id="rId1289" Type="http://schemas.openxmlformats.org/officeDocument/2006/relationships/hyperlink" Target="http://www.boxofficemojo.com/schedule/?view=bydate&amp;release=theatrical&amp;date=2016-04-29&amp;p=.htm" TargetMode="External"/><Relationship Id="rId1674" Type="http://schemas.openxmlformats.org/officeDocument/2006/relationships/hyperlink" Target="http://www.boxofficemojo.com/movies/?id=goat.htm" TargetMode="External"/><Relationship Id="rId1675" Type="http://schemas.openxmlformats.org/officeDocument/2006/relationships/hyperlink" Target="http://www.boxofficemojo.com/studio/chart/?studio=filmarcade.htm" TargetMode="External"/><Relationship Id="rId1676" Type="http://schemas.openxmlformats.org/officeDocument/2006/relationships/hyperlink" Target="http://www.boxofficemojo.com/schedule/?view=bydate&amp;release=theatrical&amp;date=2016-09-23&amp;p=.htm" TargetMode="External"/><Relationship Id="rId1677" Type="http://schemas.openxmlformats.org/officeDocument/2006/relationships/hyperlink" Target="http://www.boxofficemojo.com/movies/?id=theblackdove.htm" TargetMode="External"/><Relationship Id="rId1678" Type="http://schemas.openxmlformats.org/officeDocument/2006/relationships/hyperlink" Target="http://www.boxofficemojo.com/studio/chart/?studio=indican.htm" TargetMode="External"/><Relationship Id="rId1679" Type="http://schemas.openxmlformats.org/officeDocument/2006/relationships/hyperlink" Target="http://www.boxofficemojo.com/schedule/?view=bydate&amp;release=theatrical&amp;date=2016-08-12&amp;p=.htm" TargetMode="External"/><Relationship Id="rId810" Type="http://schemas.openxmlformats.org/officeDocument/2006/relationships/hyperlink" Target="http://www.boxofficemojo.com/movies/?id=tickled.htm" TargetMode="External"/><Relationship Id="rId811" Type="http://schemas.openxmlformats.org/officeDocument/2006/relationships/hyperlink" Target="http://www.boxofficemojo.com/studio/chart/?studio=magnolia.htm" TargetMode="External"/><Relationship Id="rId812" Type="http://schemas.openxmlformats.org/officeDocument/2006/relationships/hyperlink" Target="http://www.boxofficemojo.com/schedule/?view=bydate&amp;release=theatrical&amp;date=2016-06-17&amp;p=.htm" TargetMode="External"/><Relationship Id="rId813" Type="http://schemas.openxmlformats.org/officeDocument/2006/relationships/hyperlink" Target="http://www.boxofficemojo.com/movies/?id=master16.htm" TargetMode="External"/><Relationship Id="rId420" Type="http://schemas.openxmlformats.org/officeDocument/2006/relationships/hyperlink" Target="http://www.boxofficemojo.com/movies/?id=hardcorehenry.htm" TargetMode="External"/><Relationship Id="rId421" Type="http://schemas.openxmlformats.org/officeDocument/2006/relationships/hyperlink" Target="http://www.boxofficemojo.com/studio/chart/?studio=stx.htm" TargetMode="External"/><Relationship Id="rId422" Type="http://schemas.openxmlformats.org/officeDocument/2006/relationships/hyperlink" Target="http://www.boxofficemojo.com/schedule/?view=bydate&amp;release=theatrical&amp;date=2016-04-08&amp;p=.htm" TargetMode="External"/><Relationship Id="rId423" Type="http://schemas.openxmlformats.org/officeDocument/2006/relationships/hyperlink" Target="http://www.boxofficemojo.com/movies/?id=meettheblacks.htm" TargetMode="External"/><Relationship Id="rId424" Type="http://schemas.openxmlformats.org/officeDocument/2006/relationships/hyperlink" Target="http://www.boxofficemojo.com/studio/chart/?studio=fs.htm" TargetMode="External"/><Relationship Id="rId425" Type="http://schemas.openxmlformats.org/officeDocument/2006/relationships/hyperlink" Target="http://www.boxofficemojo.com/schedule/?view=bydate&amp;release=theatrical&amp;date=2016-04-01&amp;p=.htm" TargetMode="External"/><Relationship Id="rId426" Type="http://schemas.openxmlformats.org/officeDocument/2006/relationships/hyperlink" Target="http://www.boxofficemojo.com/movies/?id=queenofkatwe.htm" TargetMode="External"/><Relationship Id="rId427" Type="http://schemas.openxmlformats.org/officeDocument/2006/relationships/hyperlink" Target="http://www.boxofficemojo.com/studio/chart/?studio=buenavista.htm" TargetMode="External"/><Relationship Id="rId428" Type="http://schemas.openxmlformats.org/officeDocument/2006/relationships/hyperlink" Target="http://www.boxofficemojo.com/schedule/?view=bydate&amp;release=theatrical&amp;date=2016-09-23&amp;p=.htm" TargetMode="External"/><Relationship Id="rId429" Type="http://schemas.openxmlformats.org/officeDocument/2006/relationships/hyperlink" Target="http://www.boxofficemojo.com/movies/?id=ratchetandclank.htm" TargetMode="External"/><Relationship Id="rId814" Type="http://schemas.openxmlformats.org/officeDocument/2006/relationships/hyperlink" Target="http://www.boxofficemojo.com/studio/chart/?studio=cjentertainment.htm" TargetMode="External"/><Relationship Id="rId815" Type="http://schemas.openxmlformats.org/officeDocument/2006/relationships/hyperlink" Target="http://www.boxofficemojo.com/schedule/?view=bydate&amp;release=theatrical&amp;date=2016-12-30&amp;p=.htm" TargetMode="External"/><Relationship Id="rId816" Type="http://schemas.openxmlformats.org/officeDocument/2006/relationships/hyperlink" Target="http://www.boxofficemojo.com/movies/?id=loandbehold.htm" TargetMode="External"/><Relationship Id="rId817" Type="http://schemas.openxmlformats.org/officeDocument/2006/relationships/hyperlink" Target="http://www.boxofficemojo.com/studio/chart/?studio=magnolia.htm" TargetMode="External"/><Relationship Id="rId818" Type="http://schemas.openxmlformats.org/officeDocument/2006/relationships/hyperlink" Target="http://www.boxofficemojo.com/schedule/?view=bydate&amp;release=theatrical&amp;date=2016-08-19&amp;p=.htm" TargetMode="External"/><Relationship Id="rId819" Type="http://schemas.openxmlformats.org/officeDocument/2006/relationships/hyperlink" Target="http://www.boxofficemojo.com/movies/?id=gleason.htm" TargetMode="External"/><Relationship Id="rId1680" Type="http://schemas.openxmlformats.org/officeDocument/2006/relationships/hyperlink" Target="http://www.boxofficemojo.com/movies/?id=kamikaze89.htm" TargetMode="External"/><Relationship Id="rId1681" Type="http://schemas.openxmlformats.org/officeDocument/2006/relationships/hyperlink" Target="http://www.boxofficemojo.com/studio/chart/?studio=filmmovement.htm" TargetMode="External"/><Relationship Id="rId1682" Type="http://schemas.openxmlformats.org/officeDocument/2006/relationships/hyperlink" Target="http://www.boxofficemojo.com/schedule/?view=bydate&amp;release=theatrical&amp;date=2016-06-03&amp;p=.htm" TargetMode="External"/><Relationship Id="rId1683" Type="http://schemas.openxmlformats.org/officeDocument/2006/relationships/hyperlink" Target="http://www.boxofficemojo.com/movies/?id=beherenow.htm" TargetMode="External"/><Relationship Id="rId1290" Type="http://schemas.openxmlformats.org/officeDocument/2006/relationships/hyperlink" Target="http://www.boxofficemojo.com/movies/?id=normanlear.htm" TargetMode="External"/><Relationship Id="rId1291" Type="http://schemas.openxmlformats.org/officeDocument/2006/relationships/hyperlink" Target="http://www.boxofficemojo.com/studio/chart/?studio=musicboxfilms.htm" TargetMode="External"/><Relationship Id="rId1292" Type="http://schemas.openxmlformats.org/officeDocument/2006/relationships/hyperlink" Target="http://www.boxofficemojo.com/schedule/?view=bydate&amp;release=theatrical&amp;date=2016-07-08&amp;p=.htm" TargetMode="External"/><Relationship Id="rId1293" Type="http://schemas.openxmlformats.org/officeDocument/2006/relationships/hyperlink" Target="http://www.boxofficemojo.com/movies/?id=thedarkhorse.htm" TargetMode="External"/><Relationship Id="rId1294" Type="http://schemas.openxmlformats.org/officeDocument/2006/relationships/hyperlink" Target="http://www.boxofficemojo.com/studio/chart/?studio=broadgreen.htm" TargetMode="External"/><Relationship Id="rId1295" Type="http://schemas.openxmlformats.org/officeDocument/2006/relationships/hyperlink" Target="http://www.boxofficemojo.com/schedule/?view=bydate&amp;release=theatrical&amp;date=2016-04-01&amp;p=.htm" TargetMode="External"/><Relationship Id="rId1296" Type="http://schemas.openxmlformats.org/officeDocument/2006/relationships/hyperlink" Target="http://www.boxofficemojo.com/movies/?id=phantomdetective.htm" TargetMode="External"/><Relationship Id="rId1297" Type="http://schemas.openxmlformats.org/officeDocument/2006/relationships/hyperlink" Target="http://www.boxofficemojo.com/studio/chart/?studio=cjentertainment.htm" TargetMode="External"/><Relationship Id="rId1298" Type="http://schemas.openxmlformats.org/officeDocument/2006/relationships/hyperlink" Target="http://www.boxofficemojo.com/schedule/?view=bydate&amp;release=theatrical&amp;date=2016-05-11&amp;p=.htm" TargetMode="External"/><Relationship Id="rId1299" Type="http://schemas.openxmlformats.org/officeDocument/2006/relationships/hyperlink" Target="http://www.boxofficemojo.com/movies/?id=maxrose.htm" TargetMode="External"/><Relationship Id="rId1684" Type="http://schemas.openxmlformats.org/officeDocument/2006/relationships/hyperlink" Target="http://www.boxofficemojo.com/studio/chart/?studio=" TargetMode="External"/><Relationship Id="rId1685" Type="http://schemas.openxmlformats.org/officeDocument/2006/relationships/hyperlink" Target="http://www.boxofficemojo.com/schedule/?view=bydate&amp;release=theatrical&amp;date=2016-04-08&amp;p=.htm" TargetMode="External"/><Relationship Id="rId1686" Type="http://schemas.openxmlformats.org/officeDocument/2006/relationships/hyperlink" Target="http://www.boxofficemojo.com/movies/?id=generationstartup.htm" TargetMode="External"/><Relationship Id="rId1687" Type="http://schemas.openxmlformats.org/officeDocument/2006/relationships/hyperlink" Target="http://www.boxofficemojo.com/studio/chart/?studio=longshotfactory.htm" TargetMode="External"/><Relationship Id="rId1688" Type="http://schemas.openxmlformats.org/officeDocument/2006/relationships/hyperlink" Target="http://www.boxofficemojo.com/schedule/?view=bydate&amp;release=theatrical&amp;date=2016-09-23&amp;p=.htm" TargetMode="External"/><Relationship Id="rId1689" Type="http://schemas.openxmlformats.org/officeDocument/2006/relationships/hyperlink" Target="http://www.boxofficemojo.com/movies/?id=reparation.htm" TargetMode="External"/><Relationship Id="rId820" Type="http://schemas.openxmlformats.org/officeDocument/2006/relationships/hyperlink" Target="http://www.boxofficemojo.com/studio/chart/?studio=openroads.htm" TargetMode="External"/><Relationship Id="rId821" Type="http://schemas.openxmlformats.org/officeDocument/2006/relationships/hyperlink" Target="http://www.boxofficemojo.com/schedule/?view=bydate&amp;release=theatrical&amp;date=2016-07-29&amp;p=.htm" TargetMode="External"/><Relationship Id="rId822" Type="http://schemas.openxmlformats.org/officeDocument/2006/relationships/hyperlink" Target="http://www.boxofficemojo.com/movies/?id=ataleofloveanddarkness.htm" TargetMode="External"/><Relationship Id="rId823" Type="http://schemas.openxmlformats.org/officeDocument/2006/relationships/hyperlink" Target="http://www.boxofficemojo.com/studio/chart/?studio=focus.htm" TargetMode="External"/><Relationship Id="rId430" Type="http://schemas.openxmlformats.org/officeDocument/2006/relationships/hyperlink" Target="http://www.boxofficemojo.com/studio/chart/?studio=focus.htm" TargetMode="External"/><Relationship Id="rId431" Type="http://schemas.openxmlformats.org/officeDocument/2006/relationships/hyperlink" Target="http://www.boxofficemojo.com/schedule/?view=bydate&amp;release=theatrical&amp;date=2016-04-29&amp;p=.htm" TargetMode="External"/><Relationship Id="rId432" Type="http://schemas.openxmlformats.org/officeDocument/2006/relationships/hyperlink" Target="http://www.boxofficemojo.com/movies/?id=thelobster.htm" TargetMode="External"/><Relationship Id="rId433" Type="http://schemas.openxmlformats.org/officeDocument/2006/relationships/hyperlink" Target="http://www.boxofficemojo.com/studio/chart/?studio=a24.htm" TargetMode="External"/><Relationship Id="rId434" Type="http://schemas.openxmlformats.org/officeDocument/2006/relationships/hyperlink" Target="http://www.boxofficemojo.com/schedule/?view=bydate&amp;release=theatrical&amp;date=2016-05-13&amp;p=.htm" TargetMode="External"/><Relationship Id="rId435" Type="http://schemas.openxmlformats.org/officeDocument/2006/relationships/hyperlink" Target="http://www.boxofficemojo.com/movies/?id=thewildlife2016.htm" TargetMode="External"/><Relationship Id="rId436" Type="http://schemas.openxmlformats.org/officeDocument/2006/relationships/hyperlink" Target="http://www.boxofficemojo.com/studio/chart/?studio=lionsgatesummit.htm" TargetMode="External"/><Relationship Id="rId437" Type="http://schemas.openxmlformats.org/officeDocument/2006/relationships/hyperlink" Target="http://www.boxofficemojo.com/schedule/?view=bydate&amp;release=theatrical&amp;date=2016-09-09&amp;p=.htm" TargetMode="External"/><Relationship Id="rId438" Type="http://schemas.openxmlformats.org/officeDocument/2006/relationships/hyperlink" Target="http://www.boxofficemojo.com/movies/?id=loving.htm" TargetMode="External"/><Relationship Id="rId439" Type="http://schemas.openxmlformats.org/officeDocument/2006/relationships/hyperlink" Target="http://www.boxofficemojo.com/studio/chart/?studio=focus.htm" TargetMode="External"/><Relationship Id="rId824" Type="http://schemas.openxmlformats.org/officeDocument/2006/relationships/hyperlink" Target="http://www.boxofficemojo.com/schedule/?view=bydate&amp;release=theatrical&amp;date=2016-08-19&amp;p=.htm" TargetMode="External"/><Relationship Id="rId825" Type="http://schemas.openxmlformats.org/officeDocument/2006/relationships/hyperlink" Target="http://www.boxofficemojo.com/movies/?id=tunnel2016.htm" TargetMode="External"/><Relationship Id="rId826" Type="http://schemas.openxmlformats.org/officeDocument/2006/relationships/hyperlink" Target="http://www.boxofficemojo.com/studio/chart/?studio=wellgo.htm" TargetMode="External"/><Relationship Id="rId827" Type="http://schemas.openxmlformats.org/officeDocument/2006/relationships/hyperlink" Target="http://www.boxofficemojo.com/schedule/?view=bydate&amp;release=theatrical&amp;date=2016-08-26&amp;p=.htm" TargetMode="External"/><Relationship Id="rId828" Type="http://schemas.openxmlformats.org/officeDocument/2006/relationships/hyperlink" Target="http://www.boxofficemojo.com/movies/?id=knightofcups.htm" TargetMode="External"/><Relationship Id="rId829" Type="http://schemas.openxmlformats.org/officeDocument/2006/relationships/hyperlink" Target="http://www.boxofficemojo.com/studio/chart/?studio=broadgreen.htm" TargetMode="External"/><Relationship Id="rId1690" Type="http://schemas.openxmlformats.org/officeDocument/2006/relationships/hyperlink" Target="http://www.boxofficemojo.com/studio/chart/?studio=reddirt.htm" TargetMode="External"/><Relationship Id="rId1691" Type="http://schemas.openxmlformats.org/officeDocument/2006/relationships/hyperlink" Target="http://www.boxofficemojo.com/schedule/?view=bydate&amp;release=theatrical&amp;date=2016-09-04&amp;p=.htm" TargetMode="External"/><Relationship Id="rId1692" Type="http://schemas.openxmlformats.org/officeDocument/2006/relationships/hyperlink" Target="http://www.boxofficemojo.com/movies/?id=sanamterikasam.htm" TargetMode="External"/><Relationship Id="rId1693" Type="http://schemas.openxmlformats.org/officeDocument/2006/relationships/hyperlink" Target="http://www.boxofficemojo.com/studio/chart/?studio=eros.htm" TargetMode="External"/><Relationship Id="rId1694" Type="http://schemas.openxmlformats.org/officeDocument/2006/relationships/hyperlink" Target="http://www.boxofficemojo.com/schedule/?view=bydate&amp;release=theatrical&amp;date=2016-02-05&amp;p=.htm" TargetMode="External"/><Relationship Id="rId1695" Type="http://schemas.openxmlformats.org/officeDocument/2006/relationships/hyperlink" Target="http://www.boxofficemojo.com/movies/?id=bluejay.htm" TargetMode="External"/><Relationship Id="rId1696" Type="http://schemas.openxmlformats.org/officeDocument/2006/relationships/hyperlink" Target="http://www.boxofficemojo.com/studio/chart/?studio=orchard.htm" TargetMode="External"/><Relationship Id="rId1697" Type="http://schemas.openxmlformats.org/officeDocument/2006/relationships/hyperlink" Target="http://www.boxofficemojo.com/schedule/?view=bydate&amp;release=theatrical&amp;date=2016-10-07&amp;p=.htm" TargetMode="External"/><Relationship Id="rId1698" Type="http://schemas.openxmlformats.org/officeDocument/2006/relationships/hyperlink" Target="http://www.boxofficemojo.com/movies/?id=thankyouforyourservice.htm" TargetMode="External"/><Relationship Id="rId1699" Type="http://schemas.openxmlformats.org/officeDocument/2006/relationships/hyperlink" Target="http://www.boxofficemojo.com/studio/chart/?studio=gathrfilms.htm" TargetMode="External"/><Relationship Id="rId830" Type="http://schemas.openxmlformats.org/officeDocument/2006/relationships/hyperlink" Target="http://www.boxofficemojo.com/schedule/?view=bydate&amp;release=theatrical&amp;date=2016-03-04&amp;p=.htm" TargetMode="External"/><Relationship Id="rId831" Type="http://schemas.openxmlformats.org/officeDocument/2006/relationships/hyperlink" Target="http://www.boxofficemojo.com/movies/?id=harryandsnowman.htm" TargetMode="External"/><Relationship Id="rId832" Type="http://schemas.openxmlformats.org/officeDocument/2006/relationships/hyperlink" Target="http://www.boxofficemojo.com/studio/chart/?studio=filmrise.htm" TargetMode="External"/><Relationship Id="rId833" Type="http://schemas.openxmlformats.org/officeDocument/2006/relationships/hyperlink" Target="http://www.boxofficemojo.com/schedule/?view=bydate&amp;release=theatrical&amp;date=2016-09-30&amp;p=.htm" TargetMode="External"/><Relationship Id="rId440" Type="http://schemas.openxmlformats.org/officeDocument/2006/relationships/hyperlink" Target="http://www.boxofficemojo.com/schedule/?view=bydate&amp;release=theatrical&amp;date=2016-11-04&amp;p=.htm" TargetMode="External"/><Relationship Id="rId441" Type="http://schemas.openxmlformats.org/officeDocument/2006/relationships/hyperlink" Target="http://www.boxofficemojo.com/movies/?id=silence2016.htm" TargetMode="External"/><Relationship Id="rId442" Type="http://schemas.openxmlformats.org/officeDocument/2006/relationships/hyperlink" Target="http://www.boxofficemojo.com/studio/chart/?studio=paramount.htm" TargetMode="External"/><Relationship Id="rId443" Type="http://schemas.openxmlformats.org/officeDocument/2006/relationships/hyperlink" Target="http://www.boxofficemojo.com/schedule/?view=bydate&amp;release=theatrical&amp;date=2016-12-23&amp;p=.htm" TargetMode="External"/><Relationship Id="rId444" Type="http://schemas.openxmlformats.org/officeDocument/2006/relationships/hyperlink" Target="http://www.boxofficemojo.com/movies/?id=shutin.htm" TargetMode="External"/><Relationship Id="rId445" Type="http://schemas.openxmlformats.org/officeDocument/2006/relationships/hyperlink" Target="http://www.boxofficemojo.com/studio/chart/?studio=europacorp.htm" TargetMode="External"/><Relationship Id="rId446" Type="http://schemas.openxmlformats.org/officeDocument/2006/relationships/hyperlink" Target="http://www.boxofficemojo.com/schedule/?view=bydate&amp;release=theatrical&amp;date=2016-11-11&amp;p=.htm" TargetMode="External"/><Relationship Id="rId447" Type="http://schemas.openxmlformats.org/officeDocument/2006/relationships/hyperlink" Target="http://www.boxofficemojo.com/movies/?id=grimsby.htm" TargetMode="External"/><Relationship Id="rId448" Type="http://schemas.openxmlformats.org/officeDocument/2006/relationships/hyperlink" Target="http://www.boxofficemojo.com/studio/chart/?studio=sony.htm" TargetMode="External"/><Relationship Id="rId449" Type="http://schemas.openxmlformats.org/officeDocument/2006/relationships/hyperlink" Target="http://www.boxofficemojo.com/schedule/?view=bydate&amp;release=theatrical&amp;date=2016-03-11&amp;p=.htm" TargetMode="External"/><Relationship Id="rId834" Type="http://schemas.openxmlformats.org/officeDocument/2006/relationships/hyperlink" Target="http://www.boxofficemojo.com/movies/?id=coldwar2.htm" TargetMode="External"/><Relationship Id="rId835" Type="http://schemas.openxmlformats.org/officeDocument/2006/relationships/hyperlink" Target="http://www.boxofficemojo.com/studio/chart/?studio=wellgo.htm" TargetMode="External"/><Relationship Id="rId836" Type="http://schemas.openxmlformats.org/officeDocument/2006/relationships/hyperlink" Target="http://www.boxofficemojo.com/schedule/?view=bydate&amp;release=theatrical&amp;date=2016-07-08&amp;p=.htm" TargetMode="External"/><Relationship Id="rId837" Type="http://schemas.openxmlformats.org/officeDocument/2006/relationships/hyperlink" Target="http://www.boxofficemojo.com/movies/?id=americanpastoral.htm" TargetMode="External"/><Relationship Id="rId838" Type="http://schemas.openxmlformats.org/officeDocument/2006/relationships/hyperlink" Target="http://www.boxofficemojo.com/studio/chart/?studio=lionsgate.htm" TargetMode="External"/><Relationship Id="rId839" Type="http://schemas.openxmlformats.org/officeDocument/2006/relationships/hyperlink" Target="http://www.boxofficemojo.com/schedule/?view=bydate&amp;release=theatrical&amp;date=2016-10-21&amp;p=.htm" TargetMode="External"/><Relationship Id="rId1300" Type="http://schemas.openxmlformats.org/officeDocument/2006/relationships/hyperlink" Target="http://www.boxofficemojo.com/studio/chart/?studio=paladin.htm" TargetMode="External"/><Relationship Id="rId1301" Type="http://schemas.openxmlformats.org/officeDocument/2006/relationships/hyperlink" Target="http://www.boxofficemojo.com/schedule/?view=bydate&amp;release=theatrical&amp;date=2016-09-02&amp;p=.htm" TargetMode="External"/><Relationship Id="rId1302" Type="http://schemas.openxmlformats.org/officeDocument/2006/relationships/hyperlink" Target="http://www.boxofficemojo.com/movies/?id=kinggeorges.htm" TargetMode="External"/><Relationship Id="rId1303" Type="http://schemas.openxmlformats.org/officeDocument/2006/relationships/hyperlink" Target="http://www.boxofficemojo.com/studio/chart/?studio=ifc.htm" TargetMode="External"/><Relationship Id="rId1304" Type="http://schemas.openxmlformats.org/officeDocument/2006/relationships/hyperlink" Target="http://www.boxofficemojo.com/schedule/?view=bydate&amp;release=theatrical&amp;date=2016-02-26&amp;p=.htm" TargetMode="External"/><Relationship Id="rId1305" Type="http://schemas.openxmlformats.org/officeDocument/2006/relationships/hyperlink" Target="http://www.boxofficemojo.com/movies/?id=ran2016.htm" TargetMode="External"/><Relationship Id="rId1306" Type="http://schemas.openxmlformats.org/officeDocument/2006/relationships/hyperlink" Target="http://www.boxofficemojo.com/studio/chart/?studio=rialto.htm" TargetMode="External"/><Relationship Id="rId1307" Type="http://schemas.openxmlformats.org/officeDocument/2006/relationships/hyperlink" Target="http://www.boxofficemojo.com/schedule/?view=bydate&amp;release=theatrical&amp;date=2016-02-26&amp;p=.htm" TargetMode="External"/><Relationship Id="rId1308" Type="http://schemas.openxmlformats.org/officeDocument/2006/relationships/hyperlink" Target="http://www.boxofficemojo.com/movies/?id=microbegasoline.htm" TargetMode="External"/><Relationship Id="rId1309" Type="http://schemas.openxmlformats.org/officeDocument/2006/relationships/hyperlink" Target="http://www.boxofficemojo.com/studio/chart/?studio=screenmedia.htm" TargetMode="External"/><Relationship Id="rId840" Type="http://schemas.openxmlformats.org/officeDocument/2006/relationships/hyperlink" Target="http://www.boxofficemojo.com/movies/?id=theageofshadows.htm" TargetMode="External"/><Relationship Id="rId841" Type="http://schemas.openxmlformats.org/officeDocument/2006/relationships/hyperlink" Target="http://www.boxofficemojo.com/studio/chart/?studio=cjentertainment.htm" TargetMode="External"/><Relationship Id="rId450" Type="http://schemas.openxmlformats.org/officeDocument/2006/relationships/hyperlink" Target="http://www.boxofficemojo.com/movies/?id=christthelord.htm" TargetMode="External"/><Relationship Id="rId451" Type="http://schemas.openxmlformats.org/officeDocument/2006/relationships/hyperlink" Target="http://www.boxofficemojo.com/studio/chart/?studio=focus.htm" TargetMode="External"/><Relationship Id="rId452" Type="http://schemas.openxmlformats.org/officeDocument/2006/relationships/hyperlink" Target="http://www.boxofficemojo.com/schedule/?view=bydate&amp;release=theatrical&amp;date=2016-03-11&amp;p=.htm" TargetMode="External"/><Relationship Id="rId453" Type="http://schemas.openxmlformats.org/officeDocument/2006/relationships/hyperlink" Target="http://www.boxofficemojo.com/movies/?id=southsidewithyou.htm" TargetMode="External"/><Relationship Id="rId454" Type="http://schemas.openxmlformats.org/officeDocument/2006/relationships/hyperlink" Target="http://www.boxofficemojo.com/studio/chart/?studio=roadsideattractions.htm" TargetMode="External"/><Relationship Id="rId455" Type="http://schemas.openxmlformats.org/officeDocument/2006/relationships/hyperlink" Target="http://www.boxofficemojo.com/schedule/?view=bydate&amp;release=theatrical&amp;date=2016-08-26&amp;p=.htm" TargetMode="External"/><Relationship Id="rId456" Type="http://schemas.openxmlformats.org/officeDocument/2006/relationships/hyperlink" Target="http://www.boxofficemojo.com/movies/?id=sultan.htm" TargetMode="External"/><Relationship Id="rId457" Type="http://schemas.openxmlformats.org/officeDocument/2006/relationships/hyperlink" Target="http://www.boxofficemojo.com/studio/chart/?studio=yashraj.htm" TargetMode="External"/><Relationship Id="rId458" Type="http://schemas.openxmlformats.org/officeDocument/2006/relationships/hyperlink" Target="http://www.boxofficemojo.com/schedule/?view=bydate&amp;release=theatrical&amp;date=2016-07-06&amp;p=.htm" TargetMode="External"/><Relationship Id="rId459" Type="http://schemas.openxmlformats.org/officeDocument/2006/relationships/hyperlink" Target="http://www.boxofficemojo.com/movies/?id=captainfantastic.htm" TargetMode="External"/><Relationship Id="rId842" Type="http://schemas.openxmlformats.org/officeDocument/2006/relationships/hyperlink" Target="http://www.boxofficemojo.com/schedule/?view=bydate&amp;release=theatrical&amp;date=2016-09-23&amp;p=.htm" TargetMode="External"/><Relationship Id="rId843" Type="http://schemas.openxmlformats.org/officeDocument/2006/relationships/hyperlink" Target="http://www.boxofficemojo.com/movies/?id=fitoor.htm" TargetMode="External"/><Relationship Id="rId844" Type="http://schemas.openxmlformats.org/officeDocument/2006/relationships/hyperlink" Target="http://www.boxofficemojo.com/studio/chart/?studio=utv.htm" TargetMode="External"/><Relationship Id="rId845" Type="http://schemas.openxmlformats.org/officeDocument/2006/relationships/hyperlink" Target="http://www.boxofficemojo.com/schedule/?view=bydate&amp;release=theatrical&amp;date=2016-02-12&amp;p=.htm" TargetMode="External"/><Relationship Id="rId846" Type="http://schemas.openxmlformats.org/officeDocument/2006/relationships/hyperlink" Target="http://www.boxofficemojo.com/movies/?id=thefirstmondayinmay.htm" TargetMode="External"/><Relationship Id="rId847" Type="http://schemas.openxmlformats.org/officeDocument/2006/relationships/hyperlink" Target="http://www.boxofficemojo.com/studio/chart/?studio=magnolia.htm" TargetMode="External"/><Relationship Id="rId848" Type="http://schemas.openxmlformats.org/officeDocument/2006/relationships/hyperlink" Target="http://www.boxofficemojo.com/schedule/?view=bydate&amp;release=theatrical&amp;date=2016-04-15&amp;p=.htm" TargetMode="External"/><Relationship Id="rId849" Type="http://schemas.openxmlformats.org/officeDocument/2006/relationships/hyperlink" Target="http://www.boxofficemojo.com/movies/?id=willywonka2016.htm" TargetMode="External"/><Relationship Id="rId1700" Type="http://schemas.openxmlformats.org/officeDocument/2006/relationships/hyperlink" Target="http://www.boxofficemojo.com/schedule/?view=bydate&amp;release=theatrical&amp;date=2016-10-07&amp;p=.htm" TargetMode="External"/><Relationship Id="rId1701" Type="http://schemas.openxmlformats.org/officeDocument/2006/relationships/hyperlink" Target="http://www.boxofficemojo.com/movies/?id=termlife.htm" TargetMode="External"/><Relationship Id="rId1702" Type="http://schemas.openxmlformats.org/officeDocument/2006/relationships/hyperlink" Target="http://www.boxofficemojo.com/studio/chart/?studio=focusworld.htm" TargetMode="External"/><Relationship Id="rId1703" Type="http://schemas.openxmlformats.org/officeDocument/2006/relationships/hyperlink" Target="http://www.boxofficemojo.com/schedule/?view=bydate&amp;release=theatrical&amp;date=2016-04-29&amp;p=.htm" TargetMode="External"/><Relationship Id="rId1310" Type="http://schemas.openxmlformats.org/officeDocument/2006/relationships/hyperlink" Target="http://www.boxofficemojo.com/schedule/?view=bydate&amp;release=theatrical&amp;date=2016-07-01&amp;p=.htm" TargetMode="External"/><Relationship Id="rId1311" Type="http://schemas.openxmlformats.org/officeDocument/2006/relationships/hyperlink" Target="http://www.boxofficemojo.com/movies/?id=thetenthman.htm" TargetMode="External"/><Relationship Id="rId1312" Type="http://schemas.openxmlformats.org/officeDocument/2006/relationships/hyperlink" Target="http://www.boxofficemojo.com/studio/chart/?studio=kinolorber.htm" TargetMode="External"/><Relationship Id="rId1313" Type="http://schemas.openxmlformats.org/officeDocument/2006/relationships/hyperlink" Target="http://www.boxofficemojo.com/schedule/?view=bydate&amp;release=theatrical&amp;date=2016-07-29&amp;p=.htm" TargetMode="External"/><Relationship Id="rId1314" Type="http://schemas.openxmlformats.org/officeDocument/2006/relationships/hyperlink" Target="http://www.boxofficemojo.com/movies/?id=trapped2016.htm" TargetMode="External"/><Relationship Id="rId1315" Type="http://schemas.openxmlformats.org/officeDocument/2006/relationships/hyperlink" Target="http://www.boxofficemojo.com/studio/chart/?studio=abramorama.htm" TargetMode="External"/><Relationship Id="rId1316" Type="http://schemas.openxmlformats.org/officeDocument/2006/relationships/hyperlink" Target="http://www.boxofficemojo.com/schedule/?view=bydate&amp;release=theatrical&amp;date=2016-03-04&amp;p=.htm" TargetMode="External"/><Relationship Id="rId1317" Type="http://schemas.openxmlformats.org/officeDocument/2006/relationships/hyperlink" Target="http://www.boxofficemojo.com/movies/?id=creativecontrol.htm" TargetMode="External"/><Relationship Id="rId1318" Type="http://schemas.openxmlformats.org/officeDocument/2006/relationships/hyperlink" Target="http://www.boxofficemojo.com/studio/chart/?studio=magnolia.htm" TargetMode="External"/><Relationship Id="rId1319" Type="http://schemas.openxmlformats.org/officeDocument/2006/relationships/hyperlink" Target="http://www.boxofficemojo.com/schedule/?view=bydate&amp;release=theatrical&amp;date=2016-03-11&amp;p=.htm" TargetMode="External"/><Relationship Id="rId850" Type="http://schemas.openxmlformats.org/officeDocument/2006/relationships/hyperlink" Target="http://www.boxofficemojo.com/studio/chart/?studio=warnerbros.htm" TargetMode="External"/><Relationship Id="rId851" Type="http://schemas.openxmlformats.org/officeDocument/2006/relationships/hyperlink" Target="http://www.boxofficemojo.com/schedule/?view=bydate&amp;release=theatrical&amp;date=2016-09-03&amp;p=.htm" TargetMode="External"/><Relationship Id="rId460" Type="http://schemas.openxmlformats.org/officeDocument/2006/relationships/hyperlink" Target="http://www.boxofficemojo.com/studio/chart/?studio=bleeckerstreet.htm" TargetMode="External"/><Relationship Id="rId461" Type="http://schemas.openxmlformats.org/officeDocument/2006/relationships/hyperlink" Target="http://www.boxofficemojo.com/schedule/?view=bydate&amp;release=theatrical&amp;date=2016-07-08&amp;p=.htm" TargetMode="External"/><Relationship Id="rId462" Type="http://schemas.openxmlformats.org/officeDocument/2006/relationships/hyperlink" Target="http://www.boxofficemojo.com/movies/?id=20thcenturywomen.htm" TargetMode="External"/><Relationship Id="rId463" Type="http://schemas.openxmlformats.org/officeDocument/2006/relationships/hyperlink" Target="http://www.boxofficemojo.com/studio/chart/?studio=a24.htm" TargetMode="External"/><Relationship Id="rId464" Type="http://schemas.openxmlformats.org/officeDocument/2006/relationships/hyperlink" Target="http://www.boxofficemojo.com/schedule/?view=bydate&amp;release=theatrical&amp;date=2016-12-28&amp;p=.htm" TargetMode="External"/><Relationship Id="rId465" Type="http://schemas.openxmlformats.org/officeDocument/2006/relationships/hyperlink" Target="http://www.boxofficemojo.com/movies/?id=huntforwilderpeople.htm" TargetMode="External"/><Relationship Id="rId466" Type="http://schemas.openxmlformats.org/officeDocument/2006/relationships/hyperlink" Target="http://www.boxofficemojo.com/studio/chart/?studio=orchard.htm" TargetMode="External"/><Relationship Id="rId467" Type="http://schemas.openxmlformats.org/officeDocument/2006/relationships/hyperlink" Target="http://www.boxofficemojo.com/schedule/?view=bydate&amp;release=theatrical&amp;date=2016-06-24&amp;p=.htm" TargetMode="External"/><Relationship Id="rId468" Type="http://schemas.openxmlformats.org/officeDocument/2006/relationships/hyperlink" Target="http://www.boxofficemojo.com/movies/?id=bleedforthis.htm" TargetMode="External"/><Relationship Id="rId469" Type="http://schemas.openxmlformats.org/officeDocument/2006/relationships/hyperlink" Target="http://www.boxofficemojo.com/studio/chart/?studio=openroads.htm" TargetMode="External"/><Relationship Id="rId852" Type="http://schemas.openxmlformats.org/officeDocument/2006/relationships/hyperlink" Target="http://www.boxofficemojo.com/movies/?id=unsullied.htm" TargetMode="External"/><Relationship Id="rId853" Type="http://schemas.openxmlformats.org/officeDocument/2006/relationships/hyperlink" Target="http://www.boxofficemojo.com/studio/chart/?studio=indican.htm" TargetMode="External"/><Relationship Id="rId854" Type="http://schemas.openxmlformats.org/officeDocument/2006/relationships/hyperlink" Target="http://www.boxofficemojo.com/schedule/?view=bydate&amp;release=theatrical&amp;date=2016-04-22&amp;p=.htm" TargetMode="External"/><Relationship Id="rId855" Type="http://schemas.openxmlformats.org/officeDocument/2006/relationships/hyperlink" Target="http://www.boxofficemojo.com/movies/?id=befikre.htm" TargetMode="External"/><Relationship Id="rId856" Type="http://schemas.openxmlformats.org/officeDocument/2006/relationships/hyperlink" Target="http://www.boxofficemojo.com/studio/chart/?studio=yashraj.htm" TargetMode="External"/><Relationship Id="rId857" Type="http://schemas.openxmlformats.org/officeDocument/2006/relationships/hyperlink" Target="http://www.boxofficemojo.com/schedule/?view=bydate&amp;release=theatrical&amp;date=2016-12-09&amp;p=.htm" TargetMode="External"/><Relationship Id="rId858" Type="http://schemas.openxmlformats.org/officeDocument/2006/relationships/hyperlink" Target="http://www.boxofficemojo.com/movies/?id=marguerite.htm" TargetMode="External"/><Relationship Id="rId859" Type="http://schemas.openxmlformats.org/officeDocument/2006/relationships/hyperlink" Target="http://www.boxofficemojo.com/studio/chart/?studio=cohenmedia.htm" TargetMode="External"/><Relationship Id="rId1704" Type="http://schemas.openxmlformats.org/officeDocument/2006/relationships/hyperlink" Target="http://www.boxofficemojo.com/movies/?id=alreadytomorrowinhongkong.htm" TargetMode="External"/><Relationship Id="rId1705" Type="http://schemas.openxmlformats.org/officeDocument/2006/relationships/hyperlink" Target="http://www.boxofficemojo.com/studio/chart/?studio=gravitas.htm" TargetMode="External"/><Relationship Id="rId1706" Type="http://schemas.openxmlformats.org/officeDocument/2006/relationships/hyperlink" Target="http://www.boxofficemojo.com/schedule/?view=bydate&amp;release=theatrical&amp;date=2016-02-12&amp;p=.htm" TargetMode="External"/><Relationship Id="rId1707" Type="http://schemas.openxmlformats.org/officeDocument/2006/relationships/hyperlink" Target="http://www.boxofficemojo.com/movies/?id=almostholy.htm" TargetMode="External"/><Relationship Id="rId1708" Type="http://schemas.openxmlformats.org/officeDocument/2006/relationships/hyperlink" Target="http://www.boxofficemojo.com/studio/chart/?studio=orchard.htm" TargetMode="External"/><Relationship Id="rId1709" Type="http://schemas.openxmlformats.org/officeDocument/2006/relationships/hyperlink" Target="http://www.boxofficemojo.com/schedule/?view=bydate&amp;release=theatrical&amp;date=2016-05-20&amp;p=.htm" TargetMode="External"/><Relationship Id="rId2000" Type="http://schemas.openxmlformats.org/officeDocument/2006/relationships/hyperlink" Target="http://www.boxofficemojo.com/schedule/?view=bydate&amp;release=theatrical&amp;date=2016-10-26&amp;p=.htm" TargetMode="External"/><Relationship Id="rId2001" Type="http://schemas.openxmlformats.org/officeDocument/2006/relationships/hyperlink" Target="http://www.boxofficemojo.com/movies/?id=idontbelonganywhere.htm" TargetMode="External"/><Relationship Id="rId2002" Type="http://schemas.openxmlformats.org/officeDocument/2006/relationships/hyperlink" Target="http://www.boxofficemojo.com/studio/chart/?studio=icarus.htm" TargetMode="External"/><Relationship Id="rId2003" Type="http://schemas.openxmlformats.org/officeDocument/2006/relationships/hyperlink" Target="http://www.boxofficemojo.com/schedule/?view=bydate&amp;release=theatrical&amp;date=2016-03-28&amp;p=.htm" TargetMode="External"/><Relationship Id="rId2004" Type="http://schemas.openxmlformats.org/officeDocument/2006/relationships/hyperlink" Target="http://www.boxofficemojo.com/movies/?id=thepresident.htm" TargetMode="External"/><Relationship Id="rId2005" Type="http://schemas.openxmlformats.org/officeDocument/2006/relationships/hyperlink" Target="http://www.boxofficemojo.com/studio/chart/?studio=corinthfilmsinc.htm" TargetMode="External"/><Relationship Id="rId2006" Type="http://schemas.openxmlformats.org/officeDocument/2006/relationships/hyperlink" Target="http://www.boxofficemojo.com/schedule/?view=bydate&amp;release=theatrical&amp;date=2016-06-03&amp;p=.htm" TargetMode="External"/><Relationship Id="rId2007" Type="http://schemas.openxmlformats.org/officeDocument/2006/relationships/hyperlink" Target="http://www.boxofficemojo.com/movies/?id=theywillhavetokillusfirst.htm" TargetMode="External"/><Relationship Id="rId2008" Type="http://schemas.openxmlformats.org/officeDocument/2006/relationships/hyperlink" Target="http://www.boxofficemojo.com/studio/chart/?studio=bbcworldwide.htm" TargetMode="External"/><Relationship Id="rId2009" Type="http://schemas.openxmlformats.org/officeDocument/2006/relationships/hyperlink" Target="http://www.boxofficemojo.com/schedule/?view=bydate&amp;release=theatrical&amp;date=2016-03-04&amp;p=.htm" TargetMode="External"/><Relationship Id="rId1710" Type="http://schemas.openxmlformats.org/officeDocument/2006/relationships/hyperlink" Target="http://www.boxofficemojo.com/movies/?id=timechanger2016.htm" TargetMode="External"/><Relationship Id="rId1711" Type="http://schemas.openxmlformats.org/officeDocument/2006/relationships/hyperlink" Target="http://www.boxofficemojo.com/studio/chart/?studio=fiveandtwo.htm" TargetMode="External"/><Relationship Id="rId1712" Type="http://schemas.openxmlformats.org/officeDocument/2006/relationships/hyperlink" Target="http://www.boxofficemojo.com/schedule/?view=bydate&amp;release=theatrical&amp;date=2016-02-12&amp;p=.htm" TargetMode="External"/><Relationship Id="rId1713" Type="http://schemas.openxmlformats.org/officeDocument/2006/relationships/hyperlink" Target="http://www.boxofficemojo.com/movies/?id=huntergatherer.htm" TargetMode="External"/><Relationship Id="rId1320" Type="http://schemas.openxmlformats.org/officeDocument/2006/relationships/hyperlink" Target="http://www.boxofficemojo.com/movies/?id=mifunethelastsamurai.htm" TargetMode="External"/><Relationship Id="rId1321" Type="http://schemas.openxmlformats.org/officeDocument/2006/relationships/hyperlink" Target="http://www.boxofficemojo.com/studio/chart/?studio=strand.htm" TargetMode="External"/><Relationship Id="rId1322" Type="http://schemas.openxmlformats.org/officeDocument/2006/relationships/hyperlink" Target="http://www.boxofficemojo.com/schedule/?view=bydate&amp;release=theatrical&amp;date=2016-11-25&amp;p=.htm" TargetMode="External"/><Relationship Id="rId1323" Type="http://schemas.openxmlformats.org/officeDocument/2006/relationships/hyperlink" Target="http://www.boxofficemojo.com/movies/?id=toolate.htm" TargetMode="External"/><Relationship Id="rId1324" Type="http://schemas.openxmlformats.org/officeDocument/2006/relationships/hyperlink" Target="http://www.boxofficemojo.com/studio/chart/?studio=vanishingangle.htm" TargetMode="External"/><Relationship Id="rId1325" Type="http://schemas.openxmlformats.org/officeDocument/2006/relationships/hyperlink" Target="http://www.boxofficemojo.com/schedule/?view=bydate&amp;release=theatrical&amp;date=2016-03-18&amp;p=.htm" TargetMode="External"/><Relationship Id="rId1326" Type="http://schemas.openxmlformats.org/officeDocument/2006/relationships/hyperlink" Target="http://www.boxofficemojo.com/movies/?id=girlasleep.htm" TargetMode="External"/><Relationship Id="rId1327" Type="http://schemas.openxmlformats.org/officeDocument/2006/relationships/hyperlink" Target="http://www.boxofficemojo.com/studio/chart/?studio=oscilloscopepictures.htm" TargetMode="External"/><Relationship Id="rId1328" Type="http://schemas.openxmlformats.org/officeDocument/2006/relationships/hyperlink" Target="http://www.boxofficemojo.com/schedule/?view=bydate&amp;release=theatrical&amp;date=2016-09-23&amp;p=.htm" TargetMode="External"/><Relationship Id="rId1329" Type="http://schemas.openxmlformats.org/officeDocument/2006/relationships/hyperlink" Target="http://www.boxofficemojo.com/movies/?id=presentingprincessshaw.htm" TargetMode="External"/><Relationship Id="rId860" Type="http://schemas.openxmlformats.org/officeDocument/2006/relationships/hyperlink" Target="http://www.boxofficemojo.com/schedule/?view=bydate&amp;release=theatrical&amp;date=2016-03-11&amp;p=.htm" TargetMode="External"/><Relationship Id="rId861" Type="http://schemas.openxmlformats.org/officeDocument/2006/relationships/hyperlink" Target="http://www.boxofficemojo.com/movies/?id=theboyandthebeast.htm" TargetMode="External"/><Relationship Id="rId470" Type="http://schemas.openxmlformats.org/officeDocument/2006/relationships/hyperlink" Target="http://www.boxofficemojo.com/schedule/?view=bydate&amp;release=theatrical&amp;date=2016-11-18&amp;p=.htm" TargetMode="External"/><Relationship Id="rId471" Type="http://schemas.openxmlformats.org/officeDocument/2006/relationships/hyperlink" Target="http://www.boxofficemojo.com/movies/?id=untitledbhtilthorror2.htm" TargetMode="External"/><Relationship Id="rId472" Type="http://schemas.openxmlformats.org/officeDocument/2006/relationships/hyperlink" Target="http://www.boxofficemojo.com/studio/chart/?studio=bhtilt.htm" TargetMode="External"/><Relationship Id="rId473" Type="http://schemas.openxmlformats.org/officeDocument/2006/relationships/hyperlink" Target="http://www.boxofficemojo.com/schedule/?view=bydate&amp;release=theatrical&amp;date=2016-12-02&amp;p=.htm" TargetMode="External"/><Relationship Id="rId474" Type="http://schemas.openxmlformats.org/officeDocument/2006/relationships/hyperlink" Target="http://www.boxofficemojo.com/movies/?id=absolutelyfabulousthemovie.htm" TargetMode="External"/><Relationship Id="rId475" Type="http://schemas.openxmlformats.org/officeDocument/2006/relationships/hyperlink" Target="http://www.boxofficemojo.com/studio/chart/?studio=foxsearchlight.htm" TargetMode="External"/><Relationship Id="rId476" Type="http://schemas.openxmlformats.org/officeDocument/2006/relationships/hyperlink" Target="http://www.boxofficemojo.com/schedule/?view=bydate&amp;release=theatrical&amp;date=2016-07-22&amp;p=.htm" TargetMode="External"/><Relationship Id="rId477" Type="http://schemas.openxmlformats.org/officeDocument/2006/relationships/hyperlink" Target="http://www.boxofficemojo.com/movies/?id=handsofstone.htm" TargetMode="External"/><Relationship Id="rId478" Type="http://schemas.openxmlformats.org/officeDocument/2006/relationships/hyperlink" Target="http://www.boxofficemojo.com/studio/chart/?studio=weinsteincompany.htm" TargetMode="External"/><Relationship Id="rId479" Type="http://schemas.openxmlformats.org/officeDocument/2006/relationships/hyperlink" Target="http://www.boxofficemojo.com/schedule/?view=bydate&amp;release=theatrical&amp;date=2016-08-26&amp;p=.htm" TargetMode="External"/><Relationship Id="rId862" Type="http://schemas.openxmlformats.org/officeDocument/2006/relationships/hyperlink" Target="http://www.boxofficemojo.com/studio/chart/?studio=funimation.htm" TargetMode="External"/><Relationship Id="rId863" Type="http://schemas.openxmlformats.org/officeDocument/2006/relationships/hyperlink" Target="http://www.boxofficemojo.com/schedule/?view=bydate&amp;release=theatrical&amp;date=2016-03-04&amp;p=.htm" TargetMode="External"/><Relationship Id="rId864" Type="http://schemas.openxmlformats.org/officeDocument/2006/relationships/hyperlink" Target="http://www.boxofficemojo.com/movies/?id=weinerdog.htm" TargetMode="External"/><Relationship Id="rId865" Type="http://schemas.openxmlformats.org/officeDocument/2006/relationships/hyperlink" Target="http://www.boxofficemojo.com/studio/chart/?studio=ifc.htm" TargetMode="External"/><Relationship Id="rId866" Type="http://schemas.openxmlformats.org/officeDocument/2006/relationships/hyperlink" Target="http://www.boxofficemojo.com/schedule/?view=bydate&amp;release=theatrical&amp;date=2016-06-24&amp;p=.htm" TargetMode="External"/><Relationship Id="rId867" Type="http://schemas.openxmlformats.org/officeDocument/2006/relationships/hyperlink" Target="http://www.boxofficemojo.com/movies/?id=detectivechinatown.htm" TargetMode="External"/><Relationship Id="rId868" Type="http://schemas.openxmlformats.org/officeDocument/2006/relationships/hyperlink" Target="http://www.boxofficemojo.com/studio/chart/?studio=chinalion.htm" TargetMode="External"/><Relationship Id="rId869" Type="http://schemas.openxmlformats.org/officeDocument/2006/relationships/hyperlink" Target="http://www.boxofficemojo.com/schedule/?view=bydate&amp;release=theatrical&amp;date=2016-01-15&amp;p=.htm" TargetMode="External"/><Relationship Id="rId1714" Type="http://schemas.openxmlformats.org/officeDocument/2006/relationships/hyperlink" Target="http://www.boxofficemojo.com/studio/chart/?studio=matson.htm" TargetMode="External"/><Relationship Id="rId1715" Type="http://schemas.openxmlformats.org/officeDocument/2006/relationships/hyperlink" Target="http://www.boxofficemojo.com/schedule/?view=bydate&amp;release=theatrical&amp;date=2016-11-18&amp;p=.htm" TargetMode="External"/><Relationship Id="rId1716" Type="http://schemas.openxmlformats.org/officeDocument/2006/relationships/hyperlink" Target="http://www.boxofficemojo.com/movies/?id=bandofrobbers.htm" TargetMode="External"/><Relationship Id="rId1717" Type="http://schemas.openxmlformats.org/officeDocument/2006/relationships/hyperlink" Target="http://www.boxofficemojo.com/studio/chart/?studio=gravitas.htm" TargetMode="External"/><Relationship Id="rId1718" Type="http://schemas.openxmlformats.org/officeDocument/2006/relationships/hyperlink" Target="http://www.boxofficemojo.com/schedule/?view=bydate&amp;release=theatrical&amp;date=2016-01-15&amp;p=.htm" TargetMode="External"/><Relationship Id="rId1719" Type="http://schemas.openxmlformats.org/officeDocument/2006/relationships/hyperlink" Target="http://www.boxofficemojo.com/movies/?id=thislastlonelyplace.htm" TargetMode="External"/><Relationship Id="rId2010" Type="http://schemas.openxmlformats.org/officeDocument/2006/relationships/hyperlink" Target="http://www.boxofficemojo.com/movies/?id=oldstone.htm" TargetMode="External"/><Relationship Id="rId2011" Type="http://schemas.openxmlformats.org/officeDocument/2006/relationships/hyperlink" Target="http://www.boxofficemojo.com/studio/chart/?studio=zeitgeist.htm" TargetMode="External"/><Relationship Id="rId2012" Type="http://schemas.openxmlformats.org/officeDocument/2006/relationships/hyperlink" Target="http://www.boxofficemojo.com/schedule/?view=bydate&amp;release=theatrical&amp;date=2016-11-30&amp;p=.htm" TargetMode="External"/><Relationship Id="rId2013" Type="http://schemas.openxmlformats.org/officeDocument/2006/relationships/hyperlink" Target="http://www.boxofficemojo.com/movies/?id=indianpoint.htm" TargetMode="External"/><Relationship Id="rId2014" Type="http://schemas.openxmlformats.org/officeDocument/2006/relationships/hyperlink" Target="http://www.boxofficemojo.com/studio/chart/?studio=firstrun.htm" TargetMode="External"/><Relationship Id="rId2015" Type="http://schemas.openxmlformats.org/officeDocument/2006/relationships/hyperlink" Target="http://www.boxofficemojo.com/schedule/?view=bydate&amp;release=theatrical&amp;date=2016-07-08&amp;p=.htm" TargetMode="External"/><Relationship Id="rId2016" Type="http://schemas.openxmlformats.org/officeDocument/2006/relationships/hyperlink" Target="http://www.boxofficemojo.com/movies/?id=ithadtobeyou.htm" TargetMode="External"/><Relationship Id="rId2017" Type="http://schemas.openxmlformats.org/officeDocument/2006/relationships/hyperlink" Target="http://www.boxofficemojo.com/studio/chart/?studio=samuelgoldwyn.htm" TargetMode="External"/><Relationship Id="rId2018" Type="http://schemas.openxmlformats.org/officeDocument/2006/relationships/hyperlink" Target="http://www.boxofficemojo.com/schedule/?view=bydate&amp;release=theatrical&amp;date=2016-10-21&amp;p=.htm" TargetMode="External"/><Relationship Id="rId2019" Type="http://schemas.openxmlformats.org/officeDocument/2006/relationships/hyperlink" Target="http://www.boxofficemojo.com/movies/?id=uglydirtyandbadre.htm" TargetMode="External"/><Relationship Id="rId1720" Type="http://schemas.openxmlformats.org/officeDocument/2006/relationships/hyperlink" Target="http://www.boxofficemojo.com/studio/chart/?studio=indican.htm" TargetMode="External"/><Relationship Id="rId1721" Type="http://schemas.openxmlformats.org/officeDocument/2006/relationships/hyperlink" Target="http://www.boxofficemojo.com/schedule/?view=bydate&amp;release=theatrical&amp;date=2016-08-12&amp;p=.htm" TargetMode="External"/><Relationship Id="rId1722" Type="http://schemas.openxmlformats.org/officeDocument/2006/relationships/hyperlink" Target="http://www.boxofficemojo.com/movies/?id=theseaoftrees.htm" TargetMode="External"/><Relationship Id="rId1723" Type="http://schemas.openxmlformats.org/officeDocument/2006/relationships/hyperlink" Target="http://www.boxofficemojo.com/studio/chart/?studio=a24.htm" TargetMode="External"/><Relationship Id="rId1330" Type="http://schemas.openxmlformats.org/officeDocument/2006/relationships/hyperlink" Target="http://www.boxofficemojo.com/studio/chart/?studio=magnolia.htm" TargetMode="External"/><Relationship Id="rId1331" Type="http://schemas.openxmlformats.org/officeDocument/2006/relationships/hyperlink" Target="http://www.boxofficemojo.com/schedule/?view=bydate&amp;release=theatrical&amp;date=2016-05-27&amp;p=.htm" TargetMode="External"/><Relationship Id="rId1332" Type="http://schemas.openxmlformats.org/officeDocument/2006/relationships/hyperlink" Target="http://www.boxofficemojo.com/movies/?id=timerenegades.htm" TargetMode="External"/><Relationship Id="rId1333" Type="http://schemas.openxmlformats.org/officeDocument/2006/relationships/hyperlink" Target="http://www.boxofficemojo.com/studio/chart/?studio=cjentertainment.htm" TargetMode="External"/><Relationship Id="rId1334" Type="http://schemas.openxmlformats.org/officeDocument/2006/relationships/hyperlink" Target="http://www.boxofficemojo.com/schedule/?view=bydate&amp;release=theatrical&amp;date=2016-04-15&amp;p=.htm" TargetMode="External"/><Relationship Id="rId1335" Type="http://schemas.openxmlformats.org/officeDocument/2006/relationships/hyperlink" Target="http://www.boxofficemojo.com/movies/?id=vanishingtime.htm" TargetMode="External"/><Relationship Id="rId1336" Type="http://schemas.openxmlformats.org/officeDocument/2006/relationships/hyperlink" Target="http://www.boxofficemojo.com/studio/chart/?studio=dreamwest.htm" TargetMode="External"/><Relationship Id="rId1337" Type="http://schemas.openxmlformats.org/officeDocument/2006/relationships/hyperlink" Target="http://www.boxofficemojo.com/schedule/?view=bydate&amp;release=theatrical&amp;date=2016-11-18&amp;p=.htm" TargetMode="External"/><Relationship Id="rId1338" Type="http://schemas.openxmlformats.org/officeDocument/2006/relationships/hyperlink" Target="http://www.boxofficemojo.com/movies/?id=commandandcontrol.htm" TargetMode="External"/><Relationship Id="rId1339" Type="http://schemas.openxmlformats.org/officeDocument/2006/relationships/hyperlink" Target="http://www.boxofficemojo.com/studio/chart/?studio=aef.htm" TargetMode="External"/><Relationship Id="rId870" Type="http://schemas.openxmlformats.org/officeDocument/2006/relationships/hyperlink" Target="http://www.boxofficemojo.com/movies/?id=ourlittlesister.htm" TargetMode="External"/><Relationship Id="rId871" Type="http://schemas.openxmlformats.org/officeDocument/2006/relationships/hyperlink" Target="http://www.boxofficemojo.com/studio/chart/?studio=sonyclassics.htm" TargetMode="External"/><Relationship Id="rId480" Type="http://schemas.openxmlformats.org/officeDocument/2006/relationships/hyperlink" Target="http://www.boxofficemojo.com/movies/?id=dontthinktwice.htm" TargetMode="External"/><Relationship Id="rId481" Type="http://schemas.openxmlformats.org/officeDocument/2006/relationships/hyperlink" Target="http://www.boxofficemojo.com/studio/chart/?studio=filmarcade.htm" TargetMode="External"/><Relationship Id="rId482" Type="http://schemas.openxmlformats.org/officeDocument/2006/relationships/hyperlink" Target="http://www.boxofficemojo.com/schedule/?view=bydate&amp;release=theatrical&amp;date=2016-07-22&amp;p=.htm" TargetMode="External"/><Relationship Id="rId483" Type="http://schemas.openxmlformats.org/officeDocument/2006/relationships/hyperlink" Target="http://www.boxofficemojo.com/movies/?id=themeddler.htm" TargetMode="External"/><Relationship Id="rId484" Type="http://schemas.openxmlformats.org/officeDocument/2006/relationships/hyperlink" Target="http://www.boxofficemojo.com/studio/chart/?studio=sonyclassics.htm" TargetMode="External"/><Relationship Id="rId485" Type="http://schemas.openxmlformats.org/officeDocument/2006/relationships/hyperlink" Target="http://www.boxofficemojo.com/schedule/?view=bydate&amp;release=theatrical&amp;date=2016-04-22&amp;p=.htm" TargetMode="External"/><Relationship Id="rId486" Type="http://schemas.openxmlformats.org/officeDocument/2006/relationships/hyperlink" Target="http://www.boxofficemojo.com/movies/?id=aedilhaimushkil.htm" TargetMode="External"/><Relationship Id="rId487" Type="http://schemas.openxmlformats.org/officeDocument/2006/relationships/hyperlink" Target="http://www.boxofficemojo.com/studio/chart/?studio=fip.htm" TargetMode="External"/><Relationship Id="rId488" Type="http://schemas.openxmlformats.org/officeDocument/2006/relationships/hyperlink" Target="http://www.boxofficemojo.com/schedule/?view=bydate&amp;release=theatrical&amp;date=2016-10-28&amp;p=.htm" TargetMode="External"/><Relationship Id="rId489" Type="http://schemas.openxmlformats.org/officeDocument/2006/relationships/hyperlink" Target="http://www.boxofficemojo.com/movies/?id=ahologramfortheking.htm" TargetMode="External"/><Relationship Id="rId872" Type="http://schemas.openxmlformats.org/officeDocument/2006/relationships/hyperlink" Target="http://www.boxofficemojo.com/schedule/?view=bydate&amp;release=theatrical&amp;date=2016-07-08&amp;p=.htm" TargetMode="External"/><Relationship Id="rId873" Type="http://schemas.openxmlformats.org/officeDocument/2006/relationships/hyperlink" Target="http://www.boxofficemojo.com/movies/?id=luckkey.htm" TargetMode="External"/><Relationship Id="rId874" Type="http://schemas.openxmlformats.org/officeDocument/2006/relationships/hyperlink" Target="http://www.boxofficemojo.com/studio/chart/?studio=jbg.htm" TargetMode="External"/><Relationship Id="rId875" Type="http://schemas.openxmlformats.org/officeDocument/2006/relationships/hyperlink" Target="http://www.boxofficemojo.com/schedule/?view=bydate&amp;release=theatrical&amp;date=2016-10-21&amp;p=.htm" TargetMode="External"/><Relationship Id="rId876" Type="http://schemas.openxmlformats.org/officeDocument/2006/relationships/hyperlink" Target="http://www.boxofficemojo.com/movies/?id=onlyyesterday2016.htm" TargetMode="External"/><Relationship Id="rId877" Type="http://schemas.openxmlformats.org/officeDocument/2006/relationships/hyperlink" Target="http://www.boxofficemojo.com/studio/chart/?studio=gkids.htm" TargetMode="External"/><Relationship Id="rId878" Type="http://schemas.openxmlformats.org/officeDocument/2006/relationships/hyperlink" Target="http://www.boxofficemojo.com/schedule/?view=bydate&amp;release=theatrical&amp;date=2016-01-01&amp;p=.htm" TargetMode="External"/><Relationship Id="rId879" Type="http://schemas.openxmlformats.org/officeDocument/2006/relationships/hyperlink" Target="http://www.boxofficemojo.com/movies/?id=gimmedanger.htm" TargetMode="External"/><Relationship Id="rId1724" Type="http://schemas.openxmlformats.org/officeDocument/2006/relationships/hyperlink" Target="http://www.boxofficemojo.com/schedule/?view=bydate&amp;release=theatrical&amp;date=2016-08-26&amp;p=.htm" TargetMode="External"/><Relationship Id="rId1725" Type="http://schemas.openxmlformats.org/officeDocument/2006/relationships/hyperlink" Target="http://www.boxofficemojo.com/movies/?id=never.htm" TargetMode="External"/><Relationship Id="rId1726" Type="http://schemas.openxmlformats.org/officeDocument/2006/relationships/hyperlink" Target="http://www.boxofficemojo.com/studio/chart/?studio=indican.htm" TargetMode="External"/><Relationship Id="rId1727" Type="http://schemas.openxmlformats.org/officeDocument/2006/relationships/hyperlink" Target="http://www.boxofficemojo.com/schedule/?view=bydate&amp;release=theatrical&amp;date=2016-08-19&amp;p=.htm" TargetMode="External"/><Relationship Id="rId1728" Type="http://schemas.openxmlformats.org/officeDocument/2006/relationships/hyperlink" Target="http://www.boxofficemojo.com/movies/?id=newworldorder.htm" TargetMode="External"/><Relationship Id="rId1729" Type="http://schemas.openxmlformats.org/officeDocument/2006/relationships/hyperlink" Target="http://www.boxofficemojo.com/studio/chart/?studio=indican.htm" TargetMode="External"/><Relationship Id="rId2020" Type="http://schemas.openxmlformats.org/officeDocument/2006/relationships/hyperlink" Target="http://www.boxofficemojo.com/studio/chart/?studio=filmmovement.htm" TargetMode="External"/><Relationship Id="rId2021" Type="http://schemas.openxmlformats.org/officeDocument/2006/relationships/hyperlink" Target="http://www.boxofficemojo.com/schedule/?view=bydate&amp;release=theatrical&amp;date=2016-10-21&amp;p=.htm" TargetMode="External"/><Relationship Id="rId2022" Type="http://schemas.openxmlformats.org/officeDocument/2006/relationships/hyperlink" Target="http://www.boxofficemojo.com/movies/?id=thebrainwashingofmydad.htm" TargetMode="External"/><Relationship Id="rId2023" Type="http://schemas.openxmlformats.org/officeDocument/2006/relationships/hyperlink" Target="http://www.boxofficemojo.com/studio/chart/?studio=jsenko.htm" TargetMode="External"/><Relationship Id="rId2024" Type="http://schemas.openxmlformats.org/officeDocument/2006/relationships/hyperlink" Target="http://www.boxofficemojo.com/schedule/?view=bydate&amp;release=theatrical&amp;date=2016-03-18&amp;p=.htm" TargetMode="External"/><Relationship Id="rId2025" Type="http://schemas.openxmlformats.org/officeDocument/2006/relationships/hyperlink" Target="http://www.boxofficemojo.com/movies/?id=boombustboom.htm" TargetMode="External"/><Relationship Id="rId2026" Type="http://schemas.openxmlformats.org/officeDocument/2006/relationships/hyperlink" Target="http://www.boxofficemojo.com/studio/chart/?studio=brainstormmedia.htm" TargetMode="External"/><Relationship Id="rId2027" Type="http://schemas.openxmlformats.org/officeDocument/2006/relationships/hyperlink" Target="http://www.boxofficemojo.com/schedule/?view=bydate&amp;release=theatrical&amp;date=2016-03-11&amp;p=.htm" TargetMode="External"/><Relationship Id="rId2028" Type="http://schemas.openxmlformats.org/officeDocument/2006/relationships/hyperlink" Target="http://www.boxofficemojo.com/movies/?id=madtiger.htm" TargetMode="External"/><Relationship Id="rId2029" Type="http://schemas.openxmlformats.org/officeDocument/2006/relationships/hyperlink" Target="http://www.boxofficemojo.com/studio/chart/?studio=filmmovement.htm" TargetMode="External"/><Relationship Id="rId1730" Type="http://schemas.openxmlformats.org/officeDocument/2006/relationships/hyperlink" Target="http://www.boxofficemojo.com/schedule/?view=bydate&amp;release=theatrical&amp;date=2016-09-23&amp;p=.htm" TargetMode="External"/><Relationship Id="rId1731" Type="http://schemas.openxmlformats.org/officeDocument/2006/relationships/hyperlink" Target="http://www.boxofficemojo.com/movies/?id=lovemetrue.htm" TargetMode="External"/><Relationship Id="rId1732" Type="http://schemas.openxmlformats.org/officeDocument/2006/relationships/hyperlink" Target="http://www.boxofficemojo.com/studio/chart/?studio=indican.htm" TargetMode="External"/><Relationship Id="rId1733" Type="http://schemas.openxmlformats.org/officeDocument/2006/relationships/hyperlink" Target="http://www.boxofficemojo.com/schedule/?view=bydate&amp;release=theatrical&amp;date=2016-08-12&amp;p=.htm" TargetMode="External"/><Relationship Id="rId1340" Type="http://schemas.openxmlformats.org/officeDocument/2006/relationships/hyperlink" Target="http://www.boxofficemojo.com/schedule/?view=bydate&amp;release=theatrical&amp;date=2016-09-14&amp;p=.htm" TargetMode="External"/><Relationship Id="rId1341" Type="http://schemas.openxmlformats.org/officeDocument/2006/relationships/hyperlink" Target="http://www.boxofficemojo.com/movies/?id=sold.htm" TargetMode="External"/><Relationship Id="rId1342" Type="http://schemas.openxmlformats.org/officeDocument/2006/relationships/hyperlink" Target="http://www.boxofficemojo.com/studio/chart/?studio=matson.htm" TargetMode="External"/><Relationship Id="rId1343" Type="http://schemas.openxmlformats.org/officeDocument/2006/relationships/hyperlink" Target="http://www.boxofficemojo.com/schedule/?view=bydate&amp;release=theatrical&amp;date=2016-04-01&amp;p=.htm" TargetMode="External"/><Relationship Id="rId1344" Type="http://schemas.openxmlformats.org/officeDocument/2006/relationships/hyperlink" Target="http://www.boxofficemojo.com/movies/?id=pele.htm" TargetMode="External"/><Relationship Id="rId1345" Type="http://schemas.openxmlformats.org/officeDocument/2006/relationships/hyperlink" Target="http://www.boxofficemojo.com/studio/chart/?studio=ifc.htm" TargetMode="External"/><Relationship Id="rId1346" Type="http://schemas.openxmlformats.org/officeDocument/2006/relationships/hyperlink" Target="http://www.boxofficemojo.com/schedule/?view=bydate&amp;release=theatrical&amp;date=2016-05-13&amp;p=.htm" TargetMode="External"/><Relationship Id="rId1347" Type="http://schemas.openxmlformats.org/officeDocument/2006/relationships/hyperlink" Target="http://www.boxofficemojo.com/movies/?id=battleofalgiers2016.htm" TargetMode="External"/><Relationship Id="rId1348" Type="http://schemas.openxmlformats.org/officeDocument/2006/relationships/hyperlink" Target="http://www.boxofficemojo.com/studio/chart/?studio=rialto.htm" TargetMode="External"/><Relationship Id="rId1349" Type="http://schemas.openxmlformats.org/officeDocument/2006/relationships/hyperlink" Target="http://www.boxofficemojo.com/schedule/?view=bydate&amp;release=theatrical&amp;date=2016-10-07&amp;p=.htm" TargetMode="External"/><Relationship Id="rId880" Type="http://schemas.openxmlformats.org/officeDocument/2006/relationships/hyperlink" Target="http://www.boxofficemojo.com/studio/chart/?studio=magnolia.htm" TargetMode="External"/><Relationship Id="rId881" Type="http://schemas.openxmlformats.org/officeDocument/2006/relationships/hyperlink" Target="http://www.boxofficemojo.com/schedule/?view=bydate&amp;release=theatrical&amp;date=2016-10-28&amp;p=.htm" TargetMode="External"/><Relationship Id="rId490" Type="http://schemas.openxmlformats.org/officeDocument/2006/relationships/hyperlink" Target="http://www.boxofficemojo.com/studio/chart/?studio=roadsideattractions.htm" TargetMode="External"/><Relationship Id="rId491" Type="http://schemas.openxmlformats.org/officeDocument/2006/relationships/hyperlink" Target="http://www.boxofficemojo.com/schedule/?view=bydate&amp;release=theatrical&amp;date=2016-04-22&amp;p=.htm" TargetMode="External"/><Relationship Id="rId492" Type="http://schemas.openxmlformats.org/officeDocument/2006/relationships/hyperlink" Target="http://www.boxofficemojo.com/movies/?id=swissarmyman.htm" TargetMode="External"/><Relationship Id="rId493" Type="http://schemas.openxmlformats.org/officeDocument/2006/relationships/hyperlink" Target="http://www.boxofficemojo.com/studio/chart/?studio=a24.htm" TargetMode="External"/><Relationship Id="rId494" Type="http://schemas.openxmlformats.org/officeDocument/2006/relationships/hyperlink" Target="http://www.boxofficemojo.com/schedule/?view=bydate&amp;release=theatrical&amp;date=2016-06-24&amp;p=.htm" TargetMode="External"/><Relationship Id="rId495" Type="http://schemas.openxmlformats.org/officeDocument/2006/relationships/hyperlink" Target="http://www.boxofficemojo.com/movies/?id=denial.htm" TargetMode="External"/><Relationship Id="rId496" Type="http://schemas.openxmlformats.org/officeDocument/2006/relationships/hyperlink" Target="http://www.boxofficemojo.com/studio/chart/?studio=bleeckerstreet.htm" TargetMode="External"/><Relationship Id="rId497" Type="http://schemas.openxmlformats.org/officeDocument/2006/relationships/hyperlink" Target="http://www.boxofficemojo.com/schedule/?view=bydate&amp;release=theatrical&amp;date=2016-09-30&amp;p=.htm" TargetMode="External"/><Relationship Id="rId498" Type="http://schemas.openxmlformats.org/officeDocument/2006/relationships/hyperlink" Target="http://www.boxofficemojo.com/movies/?id=morgan.htm" TargetMode="External"/><Relationship Id="rId499" Type="http://schemas.openxmlformats.org/officeDocument/2006/relationships/hyperlink" Target="http://www.boxofficemojo.com/studio/chart/?studio=fox.htm" TargetMode="External"/><Relationship Id="rId882" Type="http://schemas.openxmlformats.org/officeDocument/2006/relationships/hyperlink" Target="http://www.boxofficemojo.com/movies/?id=baaghi.htm" TargetMode="External"/><Relationship Id="rId883" Type="http://schemas.openxmlformats.org/officeDocument/2006/relationships/hyperlink" Target="http://www.boxofficemojo.com/studio/chart/?studio=utv.htm" TargetMode="External"/><Relationship Id="rId884" Type="http://schemas.openxmlformats.org/officeDocument/2006/relationships/hyperlink" Target="http://www.boxofficemojo.com/schedule/?view=bydate&amp;release=theatrical&amp;date=2016-04-29&amp;p=.htm" TargetMode="External"/><Relationship Id="rId885" Type="http://schemas.openxmlformats.org/officeDocument/2006/relationships/hyperlink" Target="http://www.boxofficemojo.com/movies/?id=iamnotmadamebovary.htm" TargetMode="External"/><Relationship Id="rId886" Type="http://schemas.openxmlformats.org/officeDocument/2006/relationships/hyperlink" Target="http://www.boxofficemojo.com/studio/chart/?studio=wellgo.htm" TargetMode="External"/><Relationship Id="rId887" Type="http://schemas.openxmlformats.org/officeDocument/2006/relationships/hyperlink" Target="http://www.boxofficemojo.com/schedule/?view=bydate&amp;release=theatrical&amp;date=2016-11-18&amp;p=.htm" TargetMode="External"/><Relationship Id="rId888" Type="http://schemas.openxmlformats.org/officeDocument/2006/relationships/hyperlink" Target="http://www.boxofficemojo.com/movies/?id=landofmine.htm" TargetMode="External"/><Relationship Id="rId889" Type="http://schemas.openxmlformats.org/officeDocument/2006/relationships/hyperlink" Target="http://www.boxofficemojo.com/studio/chart/?studio=sonyclassics.htm" TargetMode="External"/><Relationship Id="rId1734" Type="http://schemas.openxmlformats.org/officeDocument/2006/relationships/hyperlink" Target="http://www.boxofficemojo.com/movies/?id=nopaynudity.htm" TargetMode="External"/><Relationship Id="rId1735" Type="http://schemas.openxmlformats.org/officeDocument/2006/relationships/hyperlink" Target="http://www.boxofficemojo.com/studio/chart/?studio=montereymediainc.htm" TargetMode="External"/><Relationship Id="rId1736" Type="http://schemas.openxmlformats.org/officeDocument/2006/relationships/hyperlink" Target="http://www.boxofficemojo.com/schedule/?view=bydate&amp;release=theatrical&amp;date=2016-11-11&amp;p=.htm" TargetMode="External"/><Relationship Id="rId1737" Type="http://schemas.openxmlformats.org/officeDocument/2006/relationships/hyperlink" Target="http://www.boxofficemojo.com/movies/?id=theromans.htm" TargetMode="External"/><Relationship Id="rId1738" Type="http://schemas.openxmlformats.org/officeDocument/2006/relationships/hyperlink" Target="http://www.boxofficemojo.com/studio/chart/?studio=indican.htm" TargetMode="External"/><Relationship Id="rId1739" Type="http://schemas.openxmlformats.org/officeDocument/2006/relationships/hyperlink" Target="http://www.boxofficemojo.com/schedule/?view=bydate&amp;release=theatrical&amp;date=2016-05-27&amp;p=.htm" TargetMode="External"/><Relationship Id="rId2030" Type="http://schemas.openxmlformats.org/officeDocument/2006/relationships/hyperlink" Target="http://www.boxofficemojo.com/schedule/?view=bydate&amp;release=theatrical&amp;date=2016-03-20&amp;p=.htm" TargetMode="External"/><Relationship Id="rId2031" Type="http://schemas.openxmlformats.org/officeDocument/2006/relationships/hyperlink" Target="http://www.boxofficemojo.com/movies/?id=ghostteam.htm" TargetMode="External"/><Relationship Id="rId2032" Type="http://schemas.openxmlformats.org/officeDocument/2006/relationships/hyperlink" Target="http://www.boxofficemojo.com/studio/chart/?studio=orchard.htm" TargetMode="External"/><Relationship Id="rId2033" Type="http://schemas.openxmlformats.org/officeDocument/2006/relationships/hyperlink" Target="http://www.boxofficemojo.com/schedule/?view=bydate&amp;release=theatrical&amp;date=2016-08-12&amp;p=.htm" TargetMode="External"/><Relationship Id="rId2034" Type="http://schemas.openxmlformats.org/officeDocument/2006/relationships/hyperlink" Target="http://www.boxofficemojo.com/movies/?id=thedyingofthelight.htm" TargetMode="External"/><Relationship Id="rId2035" Type="http://schemas.openxmlformats.org/officeDocument/2006/relationships/hyperlink" Target="http://www.boxofficemojo.com/studio/chart/?studio=firstrun.htm" TargetMode="External"/><Relationship Id="rId2036" Type="http://schemas.openxmlformats.org/officeDocument/2006/relationships/hyperlink" Target="http://www.boxofficemojo.com/schedule/?view=bydate&amp;release=theatrical&amp;date=2016-04-07&amp;p=.htm" TargetMode="External"/><Relationship Id="rId2037" Type="http://schemas.openxmlformats.org/officeDocument/2006/relationships/hyperlink" Target="http://www.boxofficemojo.com/movies/?id=thecharnelhouse.htm" TargetMode="External"/><Relationship Id="rId2038" Type="http://schemas.openxmlformats.org/officeDocument/2006/relationships/hyperlink" Target="http://www.boxofficemojo.com/studio/chart/?studio=fs.htm" TargetMode="External"/><Relationship Id="rId2039" Type="http://schemas.openxmlformats.org/officeDocument/2006/relationships/hyperlink" Target="http://www.boxofficemojo.com/schedule/?view=bydate&amp;release=theatrical&amp;date=2016-11-04&amp;p=.htm" TargetMode="External"/><Relationship Id="rId1740" Type="http://schemas.openxmlformats.org/officeDocument/2006/relationships/hyperlink" Target="http://www.boxofficemojo.com/movies/?id=artbastard.htm" TargetMode="External"/><Relationship Id="rId1741" Type="http://schemas.openxmlformats.org/officeDocument/2006/relationships/hyperlink" Target="http://www.boxofficemojo.com/studio/chart/?studio=cavu.htm" TargetMode="External"/><Relationship Id="rId1742" Type="http://schemas.openxmlformats.org/officeDocument/2006/relationships/hyperlink" Target="http://www.boxofficemojo.com/schedule/?view=bydate&amp;release=theatrical&amp;date=2016-06-03&amp;p=.htm" TargetMode="External"/><Relationship Id="rId1743" Type="http://schemas.openxmlformats.org/officeDocument/2006/relationships/hyperlink" Target="http://www.boxofficemojo.com/movies/?id=revelationdawn.htm" TargetMode="External"/><Relationship Id="rId1350" Type="http://schemas.openxmlformats.org/officeDocument/2006/relationships/hyperlink" Target="http://www.boxofficemojo.com/movies/?id=dongju.htm" TargetMode="External"/><Relationship Id="rId1351" Type="http://schemas.openxmlformats.org/officeDocument/2006/relationships/hyperlink" Target="http://www.boxofficemojo.com/studio/chart/?studio=cjentertainment.htm" TargetMode="External"/><Relationship Id="rId1352" Type="http://schemas.openxmlformats.org/officeDocument/2006/relationships/hyperlink" Target="http://www.boxofficemojo.com/schedule/?view=bydate&amp;release=theatrical&amp;date=2016-04-01&amp;p=.htm" TargetMode="External"/><Relationship Id="rId1353" Type="http://schemas.openxmlformats.org/officeDocument/2006/relationships/hyperlink" Target="http://www.boxofficemojo.com/movies/?id=weddingdoll.htm" TargetMode="External"/><Relationship Id="rId1354" Type="http://schemas.openxmlformats.org/officeDocument/2006/relationships/hyperlink" Target="http://www.boxofficemojo.com/studio/chart/?studio=strand.htm" TargetMode="External"/><Relationship Id="rId1355" Type="http://schemas.openxmlformats.org/officeDocument/2006/relationships/hyperlink" Target="http://www.boxofficemojo.com/schedule/?view=bydate&amp;release=theatrical&amp;date=2016-04-15&amp;p=.htm" TargetMode="External"/><Relationship Id="rId1356" Type="http://schemas.openxmlformats.org/officeDocument/2006/relationships/hyperlink" Target="http://www.boxofficemojo.com/movies/?id=lattesa.htm" TargetMode="External"/><Relationship Id="rId1357" Type="http://schemas.openxmlformats.org/officeDocument/2006/relationships/hyperlink" Target="http://www.boxofficemojo.com/studio/chart/?studio=oscilloscopepictures.htm" TargetMode="External"/><Relationship Id="rId1358" Type="http://schemas.openxmlformats.org/officeDocument/2006/relationships/hyperlink" Target="http://www.boxofficemojo.com/schedule/?view=bydate&amp;release=theatrical&amp;date=2016-04-29&amp;p=.htm" TargetMode="External"/><Relationship Id="rId1359" Type="http://schemas.openxmlformats.org/officeDocument/2006/relationships/hyperlink" Target="http://www.boxofficemojo.com/movies/?id=theloversandthedespot.htm" TargetMode="External"/><Relationship Id="rId890" Type="http://schemas.openxmlformats.org/officeDocument/2006/relationships/hyperlink" Target="http://www.boxofficemojo.com/schedule/?view=bydate&amp;release=theatrical&amp;date=2016-12-16&amp;p=.htm" TargetMode="External"/><Relationship Id="rId891" Type="http://schemas.openxmlformats.org/officeDocument/2006/relationships/hyperlink" Target="http://www.boxofficemojo.com/movies/?id=madmaxfuryroadbc.htm" TargetMode="External"/><Relationship Id="rId892" Type="http://schemas.openxmlformats.org/officeDocument/2006/relationships/hyperlink" Target="http://www.boxofficemojo.com/studio/chart/?studio=warnerbros.htm" TargetMode="External"/><Relationship Id="rId893" Type="http://schemas.openxmlformats.org/officeDocument/2006/relationships/hyperlink" Target="http://www.boxofficemojo.com/schedule/?view=bydate&amp;release=theatrical&amp;date=2016-01-15&amp;p=.htm" TargetMode="External"/><Relationship Id="rId894" Type="http://schemas.openxmlformats.org/officeDocument/2006/relationships/hyperlink" Target="http://www.boxofficemojo.com/movies/?id=voiceless.htm" TargetMode="External"/><Relationship Id="rId895" Type="http://schemas.openxmlformats.org/officeDocument/2006/relationships/hyperlink" Target="http://www.boxofficemojo.com/studio/chart/?studio=artaffects.htm" TargetMode="External"/><Relationship Id="rId896" Type="http://schemas.openxmlformats.org/officeDocument/2006/relationships/hyperlink" Target="http://www.boxofficemojo.com/schedule/?view=bydate&amp;release=theatrical&amp;date=2016-10-07&amp;p=.htm" TargetMode="External"/><Relationship Id="rId897" Type="http://schemas.openxmlformats.org/officeDocument/2006/relationships/hyperlink" Target="http://www.boxofficemojo.com/movies/?id=thingstocome%0b.htm" TargetMode="External"/><Relationship Id="rId898" Type="http://schemas.openxmlformats.org/officeDocument/2006/relationships/hyperlink" Target="http://www.boxofficemojo.com/studio/chart/?studio=ifc.htm" TargetMode="External"/><Relationship Id="rId899" Type="http://schemas.openxmlformats.org/officeDocument/2006/relationships/hyperlink" Target="http://www.boxofficemojo.com/schedule/?view=bydate&amp;release=theatrical&amp;date=2016-12-02&amp;p=.htm" TargetMode="External"/><Relationship Id="rId1744" Type="http://schemas.openxmlformats.org/officeDocument/2006/relationships/hyperlink" Target="http://www.boxofficemojo.com/studio/chart/?studio=rockymountainpictures.htm" TargetMode="External"/><Relationship Id="rId1745" Type="http://schemas.openxmlformats.org/officeDocument/2006/relationships/hyperlink" Target="http://www.boxofficemojo.com/schedule/?view=bydate&amp;release=theatrical&amp;date=2016-04-15&amp;p=.htm" TargetMode="External"/><Relationship Id="rId1746" Type="http://schemas.openxmlformats.org/officeDocument/2006/relationships/hyperlink" Target="http://www.boxofficemojo.com/movies/?id=searchengines.htm" TargetMode="External"/><Relationship Id="rId1747" Type="http://schemas.openxmlformats.org/officeDocument/2006/relationships/hyperlink" Target="http://www.boxofficemojo.com/studio/chart/?studio=indican.htm" TargetMode="External"/><Relationship Id="rId1748" Type="http://schemas.openxmlformats.org/officeDocument/2006/relationships/hyperlink" Target="http://www.boxofficemojo.com/schedule/?view=bydate&amp;release=theatrical&amp;date=2016-10-14&amp;p=.htm" TargetMode="External"/><Relationship Id="rId1749" Type="http://schemas.openxmlformats.org/officeDocument/2006/relationships/hyperlink" Target="http://www.boxofficemojo.com/movies/?id=ktowncowboys.htm" TargetMode="External"/><Relationship Id="rId2040" Type="http://schemas.openxmlformats.org/officeDocument/2006/relationships/hyperlink" Target="http://www.boxofficemojo.com/movies/?id=thebadkids.htm" TargetMode="External"/><Relationship Id="rId2041" Type="http://schemas.openxmlformats.org/officeDocument/2006/relationships/hyperlink" Target="http://www.boxofficemojo.com/studio/chart/?studio=filmrise.htm" TargetMode="External"/><Relationship Id="rId2042" Type="http://schemas.openxmlformats.org/officeDocument/2006/relationships/hyperlink" Target="http://www.boxofficemojo.com/schedule/?view=bydate&amp;release=theatrical&amp;date=2016-12-16&amp;p=.htm" TargetMode="External"/><Relationship Id="rId2043" Type="http://schemas.openxmlformats.org/officeDocument/2006/relationships/hyperlink" Target="http://www.boxofficemojo.com/movies/?id=thecarer.htm" TargetMode="External"/><Relationship Id="rId2044" Type="http://schemas.openxmlformats.org/officeDocument/2006/relationships/hyperlink" Target="http://www.boxofficemojo.com/studio/chart/?studio=corinthfilmsinc.htm" TargetMode="External"/><Relationship Id="rId2045" Type="http://schemas.openxmlformats.org/officeDocument/2006/relationships/hyperlink" Target="http://www.boxofficemojo.com/schedule/?view=bydate&amp;release=theatrical&amp;date=2016-09-09&amp;p=.htm" TargetMode="External"/><Relationship Id="rId2046" Type="http://schemas.openxmlformats.org/officeDocument/2006/relationships/hyperlink" Target="http://www.boxofficemojo.com/movies/?id=slash16.htm" TargetMode="External"/><Relationship Id="rId2047" Type="http://schemas.openxmlformats.org/officeDocument/2006/relationships/hyperlink" Target="http://www.boxofficemojo.com/studio/chart/?studio=boxcar.htm" TargetMode="External"/><Relationship Id="rId2048" Type="http://schemas.openxmlformats.org/officeDocument/2006/relationships/hyperlink" Target="http://www.boxofficemojo.com/schedule/?view=bydate&amp;release=theatrical&amp;date=2016-12-09&amp;p=.htm" TargetMode="External"/><Relationship Id="rId2049" Type="http://schemas.openxmlformats.org/officeDocument/2006/relationships/hyperlink" Target="http://www.boxofficemojo.com/movies/?id=bourek.htm" TargetMode="External"/><Relationship Id="rId100" Type="http://schemas.openxmlformats.org/officeDocument/2006/relationships/hyperlink" Target="http://www.boxofficemojo.com/studio/chart/?studio=sony.htm" TargetMode="External"/><Relationship Id="rId101" Type="http://schemas.openxmlformats.org/officeDocument/2006/relationships/hyperlink" Target="http://www.boxofficemojo.com/schedule/?view=bydate&amp;release=theatrical&amp;date=2016-09-23&amp;p=.htm" TargetMode="External"/><Relationship Id="rId102" Type="http://schemas.openxmlformats.org/officeDocument/2006/relationships/hyperlink" Target="http://www.boxofficemojo.com/movies/?id=ridealong2.htm" TargetMode="External"/><Relationship Id="rId103" Type="http://schemas.openxmlformats.org/officeDocument/2006/relationships/hyperlink" Target="http://www.boxofficemojo.com/studio/chart/?studio=universal.htm" TargetMode="External"/><Relationship Id="rId104" Type="http://schemas.openxmlformats.org/officeDocument/2006/relationships/hyperlink" Target="http://www.boxofficemojo.com/schedule/?view=bydate&amp;release=theatrical&amp;date=2016-01-15&amp;p=.htm" TargetMode="External"/><Relationship Id="rId105" Type="http://schemas.openxmlformats.org/officeDocument/2006/relationships/hyperlink" Target="http://www.boxofficemojo.com/movies/?id=dontbreathe.htm" TargetMode="External"/><Relationship Id="rId106" Type="http://schemas.openxmlformats.org/officeDocument/2006/relationships/hyperlink" Target="http://www.boxofficemojo.com/studio/chart/?studio=screengems.htm" TargetMode="External"/><Relationship Id="rId107" Type="http://schemas.openxmlformats.org/officeDocument/2006/relationships/hyperlink" Target="http://www.boxofficemojo.com/schedule/?view=bydate&amp;release=theatrical&amp;date=2016-08-26&amp;p=.htm" TargetMode="External"/><Relationship Id="rId108" Type="http://schemas.openxmlformats.org/officeDocument/2006/relationships/hyperlink" Target="http://www.boxofficemojo.com/movies/?id=peregrine.htm" TargetMode="External"/><Relationship Id="rId109" Type="http://schemas.openxmlformats.org/officeDocument/2006/relationships/hyperlink" Target="http://www.boxofficemojo.com/studio/chart/?studio=fox.htm" TargetMode="External"/><Relationship Id="rId1750" Type="http://schemas.openxmlformats.org/officeDocument/2006/relationships/hyperlink" Target="http://www.boxofficemojo.com/studio/chart/?studio=fs.htm" TargetMode="External"/><Relationship Id="rId1751" Type="http://schemas.openxmlformats.org/officeDocument/2006/relationships/hyperlink" Target="http://www.boxofficemojo.com/schedule/?view=bydate&amp;release=theatrical&amp;date=2016-03-18&amp;p=.htm" TargetMode="External"/><Relationship Id="rId1752" Type="http://schemas.openxmlformats.org/officeDocument/2006/relationships/hyperlink" Target="http://www.boxofficemojo.com/movies/?id=seoulsearching.htm" TargetMode="External"/><Relationship Id="rId1753" Type="http://schemas.openxmlformats.org/officeDocument/2006/relationships/hyperlink" Target="http://www.boxofficemojo.com/studio/chart/?studio=wondervision.htm" TargetMode="External"/><Relationship Id="rId1360" Type="http://schemas.openxmlformats.org/officeDocument/2006/relationships/hyperlink" Target="http://www.boxofficemojo.com/studio/chart/?studio=magnolia.htm" TargetMode="External"/><Relationship Id="rId1361" Type="http://schemas.openxmlformats.org/officeDocument/2006/relationships/hyperlink" Target="http://www.boxofficemojo.com/schedule/?view=bydate&amp;release=theatrical&amp;date=2016-09-23&amp;p=.htm" TargetMode="External"/><Relationship Id="rId1362" Type="http://schemas.openxmlformats.org/officeDocument/2006/relationships/hyperlink" Target="http://www.boxofficemojo.com/movies/?id=voyageoftimeimax.htm" TargetMode="External"/><Relationship Id="rId1363" Type="http://schemas.openxmlformats.org/officeDocument/2006/relationships/hyperlink" Target="http://www.boxofficemojo.com/studio/chart/?studio=imax.htm" TargetMode="External"/><Relationship Id="rId1364" Type="http://schemas.openxmlformats.org/officeDocument/2006/relationships/hyperlink" Target="http://www.boxofficemojo.com/schedule/?view=bydate&amp;release=theatrical&amp;date=2016-10-07&amp;p=.htm" TargetMode="External"/><Relationship Id="rId1365" Type="http://schemas.openxmlformats.org/officeDocument/2006/relationships/hyperlink" Target="http://www.boxofficemojo.com/movies/?id=regression.htm" TargetMode="External"/><Relationship Id="rId1366" Type="http://schemas.openxmlformats.org/officeDocument/2006/relationships/hyperlink" Target="http://www.boxofficemojo.com/studio/chart/?studio=wdimension.htm" TargetMode="External"/><Relationship Id="rId1367" Type="http://schemas.openxmlformats.org/officeDocument/2006/relationships/hyperlink" Target="http://www.boxofficemojo.com/schedule/?view=bydate&amp;release=theatrical&amp;date=2016-02-05&amp;p=.htm" TargetMode="External"/><Relationship Id="rId1368" Type="http://schemas.openxmlformats.org/officeDocument/2006/relationships/hyperlink" Target="http://www.boxofficemojo.com/movies/?id=clown2016.htm" TargetMode="External"/><Relationship Id="rId1369" Type="http://schemas.openxmlformats.org/officeDocument/2006/relationships/hyperlink" Target="http://www.boxofficemojo.com/studio/chart/?studio=wdimension.htm" TargetMode="External"/><Relationship Id="rId1754" Type="http://schemas.openxmlformats.org/officeDocument/2006/relationships/hyperlink" Target="http://www.boxofficemojo.com/schedule/?view=bydate&amp;release=theatrical&amp;date=2016-06-17&amp;p=.htm" TargetMode="External"/><Relationship Id="rId1755" Type="http://schemas.openxmlformats.org/officeDocument/2006/relationships/hyperlink" Target="http://www.boxofficemojo.com/movies/?id=thechannel.htm" TargetMode="External"/><Relationship Id="rId1756" Type="http://schemas.openxmlformats.org/officeDocument/2006/relationships/hyperlink" Target="http://www.boxofficemojo.com/studio/chart/?studio=indican.htm" TargetMode="External"/><Relationship Id="rId1757" Type="http://schemas.openxmlformats.org/officeDocument/2006/relationships/hyperlink" Target="http://www.boxofficemojo.com/schedule/?view=bydate&amp;release=theatrical&amp;date=2016-04-08&amp;p=.htm" TargetMode="External"/><Relationship Id="rId1758" Type="http://schemas.openxmlformats.org/officeDocument/2006/relationships/hyperlink" Target="http://www.boxofficemojo.com/movies/?id=lioninwinter2016.htm" TargetMode="External"/><Relationship Id="rId1759" Type="http://schemas.openxmlformats.org/officeDocument/2006/relationships/hyperlink" Target="http://www.boxofficemojo.com/studio/chart/?studio=rialto.htm" TargetMode="External"/><Relationship Id="rId2050" Type="http://schemas.openxmlformats.org/officeDocument/2006/relationships/hyperlink" Target="http://www.boxofficemojo.com/studio/chart/?studio=argotpictures.htm" TargetMode="External"/><Relationship Id="rId2051" Type="http://schemas.openxmlformats.org/officeDocument/2006/relationships/hyperlink" Target="http://www.boxofficemojo.com/schedule/?view=bydate&amp;release=theatrical&amp;date=2016-04-29&amp;p=.htm" TargetMode="External"/><Relationship Id="rId2052" Type="http://schemas.openxmlformats.org/officeDocument/2006/relationships/hyperlink" Target="http://www.boxofficemojo.com/movies/?id=undrafted.htm" TargetMode="External"/><Relationship Id="rId2053" Type="http://schemas.openxmlformats.org/officeDocument/2006/relationships/hyperlink" Target="http://www.boxofficemojo.com/studio/chart/?studio=independent.htm" TargetMode="External"/><Relationship Id="rId2054" Type="http://schemas.openxmlformats.org/officeDocument/2006/relationships/hyperlink" Target="http://www.boxofficemojo.com/schedule/?view=bydate&amp;release=theatrical&amp;date=2016-07-15&amp;p=.htm" TargetMode="External"/><Relationship Id="rId2055" Type="http://schemas.openxmlformats.org/officeDocument/2006/relationships/hyperlink" Target="http://www.boxofficemojo.com/movies/?id=klownforever.htm" TargetMode="External"/><Relationship Id="rId2056" Type="http://schemas.openxmlformats.org/officeDocument/2006/relationships/hyperlink" Target="http://www.boxofficemojo.com/studio/chart/?studio=drafthousefilms.htm" TargetMode="External"/><Relationship Id="rId2057" Type="http://schemas.openxmlformats.org/officeDocument/2006/relationships/hyperlink" Target="http://www.boxofficemojo.com/schedule/?view=bydate&amp;release=theatrical&amp;date=2016-09-02&amp;p=.htm" TargetMode="External"/><Relationship Id="rId2058" Type="http://schemas.openxmlformats.org/officeDocument/2006/relationships/hyperlink" Target="http://www.boxofficemojo.com/movies/?id=welcometohappiness.htm" TargetMode="External"/><Relationship Id="rId2059" Type="http://schemas.openxmlformats.org/officeDocument/2006/relationships/hyperlink" Target="http://www.boxofficemojo.com/studio/chart/?studio=orion.htm" TargetMode="External"/></Relationships>
</file>

<file path=xl/worksheets/_rels/sheet6.xml.rels><?xml version="1.0" encoding="UTF-8" standalone="yes"?>
<Relationships xmlns="http://schemas.openxmlformats.org/package/2006/relationships"><Relationship Id="rId500" Type="http://schemas.openxmlformats.org/officeDocument/2006/relationships/hyperlink" Target="http://www.boxofficemojo.com/schedule/?view=bydate&amp;release=theatrical&amp;date=2011-12-02&amp;p=.htm" TargetMode="External"/><Relationship Id="rId501" Type="http://schemas.openxmlformats.org/officeDocument/2006/relationships/hyperlink" Target="http://www.boxofficemojo.com/movies/?id=don2.htm" TargetMode="External"/><Relationship Id="rId502" Type="http://schemas.openxmlformats.org/officeDocument/2006/relationships/hyperlink" Target="http://www.boxofficemojo.com/studio/chart/?studio=reliancebigpictures.htm" TargetMode="External"/><Relationship Id="rId503" Type="http://schemas.openxmlformats.org/officeDocument/2006/relationships/hyperlink" Target="http://www.boxofficemojo.com/schedule/?view=bydate&amp;release=theatrical&amp;date=2011-12-22&amp;p=.htm" TargetMode="External"/><Relationship Id="rId110" Type="http://schemas.openxmlformats.org/officeDocument/2006/relationships/hyperlink" Target="http://www.boxofficemojo.com/schedule/?view=bydate&amp;release=theatrical&amp;date=2011-10-07&amp;p=.htm" TargetMode="External"/><Relationship Id="rId111" Type="http://schemas.openxmlformats.org/officeDocument/2006/relationships/hyperlink" Target="http://www.boxofficemojo.com/movies/?id=crazystupidlove.htm" TargetMode="External"/><Relationship Id="rId112" Type="http://schemas.openxmlformats.org/officeDocument/2006/relationships/hyperlink" Target="http://www.boxofficemojo.com/studio/chart/?studio=warnerbros.htm" TargetMode="External"/><Relationship Id="rId113" Type="http://schemas.openxmlformats.org/officeDocument/2006/relationships/hyperlink" Target="http://www.boxofficemojo.com/schedule/?view=bydate&amp;release=theatrical&amp;date=2011-07-29&amp;p=.htm" TargetMode="External"/><Relationship Id="rId114" Type="http://schemas.openxmlformats.org/officeDocument/2006/relationships/hyperlink" Target="http://www.boxofficemojo.com/movies/?id=battlelosangeles.htm" TargetMode="External"/><Relationship Id="rId115" Type="http://schemas.openxmlformats.org/officeDocument/2006/relationships/hyperlink" Target="http://www.boxofficemojo.com/studio/chart/?studio=sony.htm" TargetMode="External"/><Relationship Id="rId116" Type="http://schemas.openxmlformats.org/officeDocument/2006/relationships/hyperlink" Target="http://www.boxofficemojo.com/schedule/?view=bydate&amp;release=theatrical&amp;date=2011-03-11&amp;p=.htm" TargetMode="External"/><Relationship Id="rId117" Type="http://schemas.openxmlformats.org/officeDocument/2006/relationships/hyperlink" Target="http://www.boxofficemojo.com/movies/?id=warofgods.htm" TargetMode="External"/><Relationship Id="rId118" Type="http://schemas.openxmlformats.org/officeDocument/2006/relationships/hyperlink" Target="http://www.boxofficemojo.com/studio/chart/?studio=relativity.htm" TargetMode="External"/><Relationship Id="rId119" Type="http://schemas.openxmlformats.org/officeDocument/2006/relationships/hyperlink" Target="http://www.boxofficemojo.com/schedule/?view=bydate&amp;release=theatrical&amp;date=2011-11-11&amp;p=.htm" TargetMode="External"/><Relationship Id="rId504" Type="http://schemas.openxmlformats.org/officeDocument/2006/relationships/hyperlink" Target="http://www.boxofficemojo.com/movies/?id=pina.htm" TargetMode="External"/><Relationship Id="rId505" Type="http://schemas.openxmlformats.org/officeDocument/2006/relationships/hyperlink" Target="http://www.boxofficemojo.com/studio/chart/?studio=ifc.htm" TargetMode="External"/><Relationship Id="rId506" Type="http://schemas.openxmlformats.org/officeDocument/2006/relationships/hyperlink" Target="http://www.boxofficemojo.com/schedule/?view=bydate&amp;release=theatrical&amp;date=2011-12-23&amp;p=.htm" TargetMode="External"/><Relationship Id="rId507" Type="http://schemas.openxmlformats.org/officeDocument/2006/relationships/hyperlink" Target="http://www.boxofficemojo.com/movies/?id=likecrazy.htm" TargetMode="External"/><Relationship Id="rId508" Type="http://schemas.openxmlformats.org/officeDocument/2006/relationships/hyperlink" Target="http://www.boxofficemojo.com/studio/chart/?studio=paramountvantage.htm" TargetMode="External"/><Relationship Id="rId509" Type="http://schemas.openxmlformats.org/officeDocument/2006/relationships/hyperlink" Target="http://www.boxofficemojo.com/schedule/?view=bydate&amp;release=theatrical&amp;date=2011-10-28&amp;p=.htm" TargetMode="External"/><Relationship Id="rId1760" Type="http://schemas.openxmlformats.org/officeDocument/2006/relationships/hyperlink" Target="http://www.boxofficemojo.com/movies/?id=knuckle.htm" TargetMode="External"/><Relationship Id="rId1761" Type="http://schemas.openxmlformats.org/officeDocument/2006/relationships/hyperlink" Target="http://www.boxofficemojo.com/studio/chart/?studio=vitagraph.htm" TargetMode="External"/><Relationship Id="rId1762" Type="http://schemas.openxmlformats.org/officeDocument/2006/relationships/hyperlink" Target="http://www.boxofficemojo.com/schedule/?view=bydate&amp;release=theatrical&amp;date=2011-12-09&amp;p=.htm" TargetMode="External"/><Relationship Id="rId1763" Type="http://schemas.openxmlformats.org/officeDocument/2006/relationships/hyperlink" Target="http://www.boxofficemojo.com/movies/?id=mainstreet.htm" TargetMode="External"/><Relationship Id="rId1370" Type="http://schemas.openxmlformats.org/officeDocument/2006/relationships/hyperlink" Target="http://www.boxofficemojo.com/schedule/?view=bydate&amp;release=theatrical&amp;date=2011-04-01&amp;p=.htm" TargetMode="External"/><Relationship Id="rId1371" Type="http://schemas.openxmlformats.org/officeDocument/2006/relationships/hyperlink" Target="http://www.boxofficemojo.com/movies/?id=evidenceofahaunting.htm" TargetMode="External"/><Relationship Id="rId1372" Type="http://schemas.openxmlformats.org/officeDocument/2006/relationships/hyperlink" Target="http://www.boxofficemojo.com/studio/chart/?studio=nocturnalfeatures.htm" TargetMode="External"/><Relationship Id="rId1373" Type="http://schemas.openxmlformats.org/officeDocument/2006/relationships/hyperlink" Target="http://www.boxofficemojo.com/schedule/?view=bydate&amp;release=theatrical&amp;date=2011-08-26&amp;p=.htm" TargetMode="External"/><Relationship Id="rId1374" Type="http://schemas.openxmlformats.org/officeDocument/2006/relationships/hyperlink" Target="http://www.boxofficemojo.com/movies/?id=cracks.htm" TargetMode="External"/><Relationship Id="rId1375" Type="http://schemas.openxmlformats.org/officeDocument/2006/relationships/hyperlink" Target="http://www.boxofficemojo.com/studio/chart/?studio=ifc.htm" TargetMode="External"/><Relationship Id="rId1376" Type="http://schemas.openxmlformats.org/officeDocument/2006/relationships/hyperlink" Target="http://www.boxofficemojo.com/schedule/?view=bydate&amp;release=theatrical&amp;date=2011-03-18&amp;p=.htm" TargetMode="External"/><Relationship Id="rId1377" Type="http://schemas.openxmlformats.org/officeDocument/2006/relationships/hyperlink" Target="http://www.boxofficemojo.com/movies/?id=redemptionroad.htm" TargetMode="External"/><Relationship Id="rId1378" Type="http://schemas.openxmlformats.org/officeDocument/2006/relationships/hyperlink" Target="http://www.boxofficemojo.com/studio/chart/?studio=fs.htm" TargetMode="External"/><Relationship Id="rId1379" Type="http://schemas.openxmlformats.org/officeDocument/2006/relationships/hyperlink" Target="http://www.boxofficemojo.com/schedule/?view=bydate&amp;release=theatrical&amp;date=2011-08-26&amp;p=.htm" TargetMode="External"/><Relationship Id="rId1764" Type="http://schemas.openxmlformats.org/officeDocument/2006/relationships/hyperlink" Target="http://www.boxofficemojo.com/studio/chart/?studio=magnolia.htm" TargetMode="External"/><Relationship Id="rId1765" Type="http://schemas.openxmlformats.org/officeDocument/2006/relationships/hyperlink" Target="http://www.boxofficemojo.com/schedule/?view=bydate&amp;release=theatrical&amp;date=2011-09-09&amp;p=.htm" TargetMode="External"/><Relationship Id="rId1766" Type="http://schemas.openxmlformats.org/officeDocument/2006/relationships/hyperlink" Target="http://www.boxofficemojo.com/movies/?id=sidewalls.htm" TargetMode="External"/><Relationship Id="rId1767" Type="http://schemas.openxmlformats.org/officeDocument/2006/relationships/hyperlink" Target="http://www.boxofficemojo.com/studio/chart/?studio=ifc.htm" TargetMode="External"/><Relationship Id="rId1768" Type="http://schemas.openxmlformats.org/officeDocument/2006/relationships/hyperlink" Target="http://www.boxofficemojo.com/schedule/?view=bydate&amp;release=theatrical&amp;date=2011-10-26&amp;p=.htm" TargetMode="External"/><Relationship Id="rId1769" Type="http://schemas.openxmlformats.org/officeDocument/2006/relationships/hyperlink" Target="http://www.boxofficemojo.com/movies/?id=poolboys.htm" TargetMode="External"/><Relationship Id="rId900" Type="http://schemas.openxmlformats.org/officeDocument/2006/relationships/hyperlink" Target="http://www.boxofficemojo.com/movies/?id=goodorgy.htm" TargetMode="External"/><Relationship Id="rId901" Type="http://schemas.openxmlformats.org/officeDocument/2006/relationships/hyperlink" Target="http://www.boxofficemojo.com/studio/chart/?studio=samuelgoldwyn.htm" TargetMode="External"/><Relationship Id="rId902" Type="http://schemas.openxmlformats.org/officeDocument/2006/relationships/hyperlink" Target="http://www.boxofficemojo.com/schedule/?view=bydate&amp;release=theatrical&amp;date=2011-09-02&amp;p=.htm" TargetMode="External"/><Relationship Id="rId903" Type="http://schemas.openxmlformats.org/officeDocument/2006/relationships/hyperlink" Target="http://www.boxofficemojo.com/movies/?id=octoberbaby.htm" TargetMode="External"/><Relationship Id="rId904" Type="http://schemas.openxmlformats.org/officeDocument/2006/relationships/hyperlink" Target="http://www.boxofficemojo.com/studio/chart/?studio=fiveandtwo.htm" TargetMode="External"/><Relationship Id="rId905" Type="http://schemas.openxmlformats.org/officeDocument/2006/relationships/hyperlink" Target="http://www.boxofficemojo.com/schedule/?view=bydate&amp;release=theatrical&amp;date=2011-10-28&amp;p=.htm" TargetMode="External"/><Relationship Id="rId906" Type="http://schemas.openxmlformats.org/officeDocument/2006/relationships/hyperlink" Target="http://www.boxofficemojo.com/movies/?id=bol.htm" TargetMode="External"/><Relationship Id="rId907" Type="http://schemas.openxmlformats.org/officeDocument/2006/relationships/hyperlink" Target="http://www.boxofficemojo.com/studio/chart/?studio=eros.htm" TargetMode="External"/><Relationship Id="rId120" Type="http://schemas.openxmlformats.org/officeDocument/2006/relationships/hyperlink" Target="http://www.boxofficemojo.com/movies/?id=descendents.htm" TargetMode="External"/><Relationship Id="rId121" Type="http://schemas.openxmlformats.org/officeDocument/2006/relationships/hyperlink" Target="http://www.boxofficemojo.com/studio/chart/?studio=foxsearchlight.htm" TargetMode="External"/><Relationship Id="rId122" Type="http://schemas.openxmlformats.org/officeDocument/2006/relationships/hyperlink" Target="http://www.boxofficemojo.com/schedule/?view=bydate&amp;release=theatrical&amp;date=2011-11-16&amp;p=.htm" TargetMode="External"/><Relationship Id="rId123" Type="http://schemas.openxmlformats.org/officeDocument/2006/relationships/hyperlink" Target="http://www.boxofficemojo.com/movies/?id=zookeeper.htm" TargetMode="External"/><Relationship Id="rId124" Type="http://schemas.openxmlformats.org/officeDocument/2006/relationships/hyperlink" Target="http://www.boxofficemojo.com/studio/chart/?studio=sony.htm" TargetMode="External"/><Relationship Id="rId125" Type="http://schemas.openxmlformats.org/officeDocument/2006/relationships/hyperlink" Target="http://www.boxofficemojo.com/schedule/?view=bydate&amp;release=theatrical&amp;date=2011-07-08&amp;p=.htm" TargetMode="External"/><Relationship Id="rId126" Type="http://schemas.openxmlformats.org/officeDocument/2006/relationships/hyperlink" Target="http://www.boxofficemojo.com/movies/?id=warhorse.htm" TargetMode="External"/><Relationship Id="rId127" Type="http://schemas.openxmlformats.org/officeDocument/2006/relationships/hyperlink" Target="http://www.boxofficemojo.com/studio/chart/?studio=buenavista.htm" TargetMode="External"/><Relationship Id="rId128" Type="http://schemas.openxmlformats.org/officeDocument/2006/relationships/hyperlink" Target="http://www.boxofficemojo.com/schedule/?view=bydate&amp;release=theatrical&amp;date=2011-12-25&amp;p=.htm" TargetMode="External"/><Relationship Id="rId129" Type="http://schemas.openxmlformats.org/officeDocument/2006/relationships/hyperlink" Target="http://www.boxofficemojo.com/movies/?id=darkfields.htm" TargetMode="External"/><Relationship Id="rId908" Type="http://schemas.openxmlformats.org/officeDocument/2006/relationships/hyperlink" Target="http://www.boxofficemojo.com/schedule/?view=bydate&amp;release=theatrical&amp;date=2011-08-31&amp;p=.htm" TargetMode="External"/><Relationship Id="rId909" Type="http://schemas.openxmlformats.org/officeDocument/2006/relationships/hyperlink" Target="http://www.boxofficemojo.com/movies/?id=amigo.htm" TargetMode="External"/><Relationship Id="rId510" Type="http://schemas.openxmlformats.org/officeDocument/2006/relationships/hyperlink" Target="http://www.boxofficemojo.com/movies/?id=kingsspeechpg13.htm" TargetMode="External"/><Relationship Id="rId511" Type="http://schemas.openxmlformats.org/officeDocument/2006/relationships/hyperlink" Target="http://www.boxofficemojo.com/studio/chart/?studio=weinsteincompany.htm" TargetMode="External"/><Relationship Id="rId512" Type="http://schemas.openxmlformats.org/officeDocument/2006/relationships/hyperlink" Target="http://www.boxofficemojo.com/schedule/?view=bydate&amp;release=theatrical&amp;date=2011-04-01&amp;p=.htm" TargetMode="External"/><Relationship Id="rId513" Type="http://schemas.openxmlformats.org/officeDocument/2006/relationships/hyperlink" Target="http://www.boxofficemojo.com/movies/?id=skinilivein.htm" TargetMode="External"/><Relationship Id="rId514" Type="http://schemas.openxmlformats.org/officeDocument/2006/relationships/hyperlink" Target="http://www.boxofficemojo.com/studio/chart/?studio=sonyclassics.htm" TargetMode="External"/><Relationship Id="rId515" Type="http://schemas.openxmlformats.org/officeDocument/2006/relationships/hyperlink" Target="http://www.boxofficemojo.com/schedule/?view=bydate&amp;release=theatrical&amp;date=2011-10-14&amp;p=.htm" TargetMode="External"/><Relationship Id="rId516" Type="http://schemas.openxmlformats.org/officeDocument/2006/relationships/hyperlink" Target="http://www.boxofficemojo.com/movies/?id=zindagi.htm" TargetMode="External"/><Relationship Id="rId517" Type="http://schemas.openxmlformats.org/officeDocument/2006/relationships/hyperlink" Target="http://www.boxofficemojo.com/studio/chart/?studio=eros.htm" TargetMode="External"/><Relationship Id="rId518" Type="http://schemas.openxmlformats.org/officeDocument/2006/relationships/hyperlink" Target="http://www.boxofficemojo.com/schedule/?view=bydate&amp;release=theatrical&amp;date=2011-07-15&amp;p=.htm" TargetMode="External"/><Relationship Id="rId519" Type="http://schemas.openxmlformats.org/officeDocument/2006/relationships/hyperlink" Target="http://www.boxofficemojo.com/movies/?id=frompradatonada.htm" TargetMode="External"/><Relationship Id="rId1770" Type="http://schemas.openxmlformats.org/officeDocument/2006/relationships/hyperlink" Target="http://www.boxofficemojo.com/studio/chart/?studio=cinedigmentertainment.htm" TargetMode="External"/><Relationship Id="rId1771" Type="http://schemas.openxmlformats.org/officeDocument/2006/relationships/hyperlink" Target="http://www.boxofficemojo.com/schedule/?view=bydate&amp;release=theatrical&amp;date=2011-09-30&amp;p=.htm" TargetMode="External"/><Relationship Id="rId1772" Type="http://schemas.openxmlformats.org/officeDocument/2006/relationships/hyperlink" Target="http://www.boxofficemojo.com/movies/?id=loveweddingmarriage.htm" TargetMode="External"/><Relationship Id="rId1773" Type="http://schemas.openxmlformats.org/officeDocument/2006/relationships/hyperlink" Target="http://www.boxofficemojo.com/studio/chart/?studio=ifc.htm" TargetMode="External"/><Relationship Id="rId1380" Type="http://schemas.openxmlformats.org/officeDocument/2006/relationships/hyperlink" Target="http://www.boxofficemojo.com/movies/?id=topptwins.htm" TargetMode="External"/><Relationship Id="rId1381" Type="http://schemas.openxmlformats.org/officeDocument/2006/relationships/hyperlink" Target="http://www.boxofficemojo.com/studio/chart/?studio=argotpictures.htm" TargetMode="External"/><Relationship Id="rId1382" Type="http://schemas.openxmlformats.org/officeDocument/2006/relationships/hyperlink" Target="http://www.boxofficemojo.com/schedule/?view=bydate&amp;release=theatrical&amp;date=2011-05-13&amp;p=.htm" TargetMode="External"/><Relationship Id="rId1383" Type="http://schemas.openxmlformats.org/officeDocument/2006/relationships/hyperlink" Target="http://www.boxofficemojo.com/movies/?id=sleepingbeauty11.htm" TargetMode="External"/><Relationship Id="rId1384" Type="http://schemas.openxmlformats.org/officeDocument/2006/relationships/hyperlink" Target="http://www.boxofficemojo.com/studio/chart/?studio=strand.htm" TargetMode="External"/><Relationship Id="rId1385" Type="http://schemas.openxmlformats.org/officeDocument/2006/relationships/hyperlink" Target="http://www.boxofficemojo.com/schedule/?view=bydate&amp;release=theatrical&amp;date=2011-07-08&amp;p=.htm" TargetMode="External"/><Relationship Id="rId1386" Type="http://schemas.openxmlformats.org/officeDocument/2006/relationships/hyperlink" Target="http://www.boxofficemojo.com/movies/?id=garbo.htm" TargetMode="External"/><Relationship Id="rId1387" Type="http://schemas.openxmlformats.org/officeDocument/2006/relationships/hyperlink" Target="http://www.boxofficemojo.com/studio/chart/?studio=firstrun.htm" TargetMode="External"/><Relationship Id="rId1388" Type="http://schemas.openxmlformats.org/officeDocument/2006/relationships/hyperlink" Target="http://www.boxofficemojo.com/schedule/?view=bydate&amp;release=theatrical&amp;date=2011-11-18&amp;p=.htm" TargetMode="External"/><Relationship Id="rId1389" Type="http://schemas.openxmlformats.org/officeDocument/2006/relationships/hyperlink" Target="http://www.boxofficemojo.com/movies/?id=salvationboulevard.htm" TargetMode="External"/><Relationship Id="rId1774" Type="http://schemas.openxmlformats.org/officeDocument/2006/relationships/hyperlink" Target="http://www.boxofficemojo.com/schedule/?view=bydate&amp;release=theatrical&amp;date=2011-06-03&amp;p=.htm" TargetMode="External"/><Relationship Id="rId1775" Type="http://schemas.openxmlformats.org/officeDocument/2006/relationships/hyperlink" Target="http://www.boxofficemojo.com/movies/?id=nowandlater.htm" TargetMode="External"/><Relationship Id="rId1776" Type="http://schemas.openxmlformats.org/officeDocument/2006/relationships/hyperlink" Target="http://www.boxofficemojo.com/studio/chart/?studio=cls.htm" TargetMode="External"/><Relationship Id="rId1777" Type="http://schemas.openxmlformats.org/officeDocument/2006/relationships/hyperlink" Target="http://www.boxofficemojo.com/schedule/?view=bydate&amp;release=theatrical&amp;date=2011-02-18&amp;p=.htm" TargetMode="External"/><Relationship Id="rId1778" Type="http://schemas.openxmlformats.org/officeDocument/2006/relationships/hyperlink" Target="http://www.boxofficemojo.com/movies/?id=chaletgirl.htm" TargetMode="External"/><Relationship Id="rId1779" Type="http://schemas.openxmlformats.org/officeDocument/2006/relationships/hyperlink" Target="http://www.boxofficemojo.com/studio/chart/?studio=ifc.htm" TargetMode="External"/><Relationship Id="rId910" Type="http://schemas.openxmlformats.org/officeDocument/2006/relationships/hyperlink" Target="http://www.boxofficemojo.com/studio/chart/?studio=variancefilms.htm" TargetMode="External"/><Relationship Id="rId911" Type="http://schemas.openxmlformats.org/officeDocument/2006/relationships/hyperlink" Target="http://www.boxofficemojo.com/schedule/?view=bydate&amp;release=theatrical&amp;date=2011-08-19&amp;p=.htm" TargetMode="External"/><Relationship Id="rId912" Type="http://schemas.openxmlformats.org/officeDocument/2006/relationships/hyperlink" Target="http://www.boxofficemojo.com/movies/?id=uncleboonmee.htm" TargetMode="External"/><Relationship Id="rId913" Type="http://schemas.openxmlformats.org/officeDocument/2006/relationships/hyperlink" Target="http://www.boxofficemojo.com/studio/chart/?studio=strand.htm" TargetMode="External"/><Relationship Id="rId914" Type="http://schemas.openxmlformats.org/officeDocument/2006/relationships/hyperlink" Target="http://www.boxofficemojo.com/schedule/?view=bydate&amp;release=theatrical&amp;date=2011-03-02&amp;p=.htm" TargetMode="External"/><Relationship Id="rId915" Type="http://schemas.openxmlformats.org/officeDocument/2006/relationships/hyperlink" Target="http://www.boxofficemojo.com/movies/?id=jig.htm" TargetMode="External"/><Relationship Id="rId916" Type="http://schemas.openxmlformats.org/officeDocument/2006/relationships/hyperlink" Target="http://www.boxofficemojo.com/studio/chart/?studio=screenmedia.htm" TargetMode="External"/><Relationship Id="rId917" Type="http://schemas.openxmlformats.org/officeDocument/2006/relationships/hyperlink" Target="http://www.boxofficemojo.com/schedule/?view=bydate&amp;release=theatrical&amp;date=2011-06-17&amp;p=.htm" TargetMode="External"/><Relationship Id="rId130" Type="http://schemas.openxmlformats.org/officeDocument/2006/relationships/hyperlink" Target="http://www.boxofficemojo.com/studio/chart/?studio=relativity.htm" TargetMode="External"/><Relationship Id="rId131" Type="http://schemas.openxmlformats.org/officeDocument/2006/relationships/hyperlink" Target="http://www.boxofficemojo.com/schedule/?view=bydate&amp;release=theatrical&amp;date=2011-03-18&amp;p=.htm" TargetMode="External"/><Relationship Id="rId132" Type="http://schemas.openxmlformats.org/officeDocument/2006/relationships/hyperlink" Target="http://www.boxofficemojo.com/movies/?id=towerheist.htm" TargetMode="External"/><Relationship Id="rId133" Type="http://schemas.openxmlformats.org/officeDocument/2006/relationships/hyperlink" Target="http://www.boxofficemojo.com/studio/chart/?studio=universal.htm" TargetMode="External"/><Relationship Id="rId134" Type="http://schemas.openxmlformats.org/officeDocument/2006/relationships/hyperlink" Target="http://www.boxofficemojo.com/schedule/?view=bydate&amp;release=theatrical&amp;date=2011-11-04&amp;p=.htm" TargetMode="External"/><Relationship Id="rId135" Type="http://schemas.openxmlformats.org/officeDocument/2006/relationships/hyperlink" Target="http://www.boxofficemojo.com/movies/?id=tintin.htm" TargetMode="External"/><Relationship Id="rId136" Type="http://schemas.openxmlformats.org/officeDocument/2006/relationships/hyperlink" Target="http://www.boxofficemojo.com/studio/chart/?studio=paramount.htm" TargetMode="External"/><Relationship Id="rId137" Type="http://schemas.openxmlformats.org/officeDocument/2006/relationships/hyperlink" Target="http://www.boxofficemojo.com/schedule/?view=bydate&amp;release=theatrical&amp;date=2011-12-21&amp;p=.htm" TargetMode="External"/><Relationship Id="rId138" Type="http://schemas.openxmlformats.org/officeDocument/2006/relationships/hyperlink" Target="http://www.boxofficemojo.com/movies/?id=contagion.htm" TargetMode="External"/><Relationship Id="rId139" Type="http://schemas.openxmlformats.org/officeDocument/2006/relationships/hyperlink" Target="http://www.boxofficemojo.com/studio/chart/?studio=warnerbros.htm" TargetMode="External"/><Relationship Id="rId918" Type="http://schemas.openxmlformats.org/officeDocument/2006/relationships/hyperlink" Target="http://www.boxofficemojo.com/movies/?id=mannobodyknew.htm" TargetMode="External"/><Relationship Id="rId919" Type="http://schemas.openxmlformats.org/officeDocument/2006/relationships/hyperlink" Target="http://www.boxofficemojo.com/studio/chart/?studio=firstrun.htm" TargetMode="External"/><Relationship Id="rId520" Type="http://schemas.openxmlformats.org/officeDocument/2006/relationships/hyperlink" Target="http://www.boxofficemojo.com/studio/chart/?studio=lionsgate.htm" TargetMode="External"/><Relationship Id="rId521" Type="http://schemas.openxmlformats.org/officeDocument/2006/relationships/hyperlink" Target="http://www.boxofficemojo.com/schedule/?view=bydate&amp;release=theatrical&amp;date=2011-01-28&amp;p=.htm" TargetMode="External"/><Relationship Id="rId522" Type="http://schemas.openxmlformats.org/officeDocument/2006/relationships/hyperlink" Target="http://www.boxofficemojo.com/movies/?id=melancholia.htm" TargetMode="External"/><Relationship Id="rId523" Type="http://schemas.openxmlformats.org/officeDocument/2006/relationships/hyperlink" Target="http://www.boxofficemojo.com/studio/chart/?studio=magnolia.htm" TargetMode="External"/><Relationship Id="rId524" Type="http://schemas.openxmlformats.org/officeDocument/2006/relationships/hyperlink" Target="http://www.boxofficemojo.com/schedule/?view=bydate&amp;release=theatrical&amp;date=2011-11-11&amp;p=.htm" TargetMode="External"/><Relationship Id="rId525" Type="http://schemas.openxmlformats.org/officeDocument/2006/relationships/hyperlink" Target="http://www.boxofficemojo.com/movies/?id=marthamarcymaymarlene.htm" TargetMode="External"/><Relationship Id="rId526" Type="http://schemas.openxmlformats.org/officeDocument/2006/relationships/hyperlink" Target="http://www.boxofficemojo.com/studio/chart/?studio=foxsearchlight.htm" TargetMode="External"/><Relationship Id="rId527" Type="http://schemas.openxmlformats.org/officeDocument/2006/relationships/hyperlink" Target="http://www.boxofficemojo.com/schedule/?view=bydate&amp;release=theatrical&amp;date=2011-10-21&amp;p=.htm" TargetMode="External"/><Relationship Id="rId528" Type="http://schemas.openxmlformats.org/officeDocument/2006/relationships/hyperlink" Target="http://www.boxofficemojo.com/movies/?id=everythingmustgo.htm" TargetMode="External"/><Relationship Id="rId529" Type="http://schemas.openxmlformats.org/officeDocument/2006/relationships/hyperlink" Target="http://www.boxofficemojo.com/studio/chart/?studio=roadsideattractions.htm" TargetMode="External"/><Relationship Id="rId1780" Type="http://schemas.openxmlformats.org/officeDocument/2006/relationships/hyperlink" Target="http://www.boxofficemojo.com/schedule/?view=bydate&amp;release=theatrical&amp;date=2011-10-14&amp;p=.htm" TargetMode="External"/><Relationship Id="rId1781" Type="http://schemas.openxmlformats.org/officeDocument/2006/relationships/hyperlink" Target="http://www.boxofficemojo.com/movies/?id=theyreoutofbusiness.htm" TargetMode="External"/><Relationship Id="rId1782" Type="http://schemas.openxmlformats.org/officeDocument/2006/relationships/hyperlink" Target="http://www.boxofficemojo.com/studio/chart/?studio=ifc.htm" TargetMode="External"/><Relationship Id="rId1783" Type="http://schemas.openxmlformats.org/officeDocument/2006/relationships/hyperlink" Target="http://www.boxofficemojo.com/schedule/?view=bydate&amp;release=theatrical&amp;date=2011-04-06&amp;p=.htm" TargetMode="External"/><Relationship Id="rId1390" Type="http://schemas.openxmlformats.org/officeDocument/2006/relationships/hyperlink" Target="http://www.boxofficemojo.com/studio/chart/?studio=ifc.htm" TargetMode="External"/><Relationship Id="rId1391" Type="http://schemas.openxmlformats.org/officeDocument/2006/relationships/hyperlink" Target="http://www.boxofficemojo.com/schedule/?view=bydate&amp;release=theatrical&amp;date=2011-07-15&amp;p=.htm" TargetMode="External"/><Relationship Id="rId1392" Type="http://schemas.openxmlformats.org/officeDocument/2006/relationships/hyperlink" Target="http://www.boxofficemojo.com/movies/?id=tuesdayafterchristmas.htm" TargetMode="External"/><Relationship Id="rId1393" Type="http://schemas.openxmlformats.org/officeDocument/2006/relationships/hyperlink" Target="http://www.boxofficemojo.com/studio/chart/?studio=lorberfilms.htm" TargetMode="External"/><Relationship Id="rId1394" Type="http://schemas.openxmlformats.org/officeDocument/2006/relationships/hyperlink" Target="http://www.boxofficemojo.com/schedule/?view=bydate&amp;release=theatrical&amp;date=2011-05-25&amp;p=.htm" TargetMode="External"/><Relationship Id="rId1395" Type="http://schemas.openxmlformats.org/officeDocument/2006/relationships/hyperlink" Target="http://www.boxofficemojo.com/movies/?id=metropolis11.htm" TargetMode="External"/><Relationship Id="rId1396" Type="http://schemas.openxmlformats.org/officeDocument/2006/relationships/hyperlink" Target="http://www.boxofficemojo.com/studio/chart/?studio=kinoclassics.htm" TargetMode="External"/><Relationship Id="rId1397" Type="http://schemas.openxmlformats.org/officeDocument/2006/relationships/hyperlink" Target="http://www.boxofficemojo.com/schedule/?view=bydate&amp;release=theatrical&amp;date=2011-10-07&amp;p=.htm" TargetMode="External"/><Relationship Id="rId1398" Type="http://schemas.openxmlformats.org/officeDocument/2006/relationships/hyperlink" Target="http://www.boxofficemojo.com/movies/?id=janesjourney.htm" TargetMode="External"/><Relationship Id="rId1399" Type="http://schemas.openxmlformats.org/officeDocument/2006/relationships/hyperlink" Target="http://www.boxofficemojo.com/studio/chart/?studio=firstrun.htm" TargetMode="External"/><Relationship Id="rId1784" Type="http://schemas.openxmlformats.org/officeDocument/2006/relationships/hyperlink" Target="http://www.boxofficemojo.com/movies/?id=tunnel11.htm" TargetMode="External"/><Relationship Id="rId1785" Type="http://schemas.openxmlformats.org/officeDocument/2006/relationships/hyperlink" Target="http://www.boxofficemojo.com/studio/chart/?studio=blackrockfilms.htm" TargetMode="External"/><Relationship Id="rId1786" Type="http://schemas.openxmlformats.org/officeDocument/2006/relationships/hyperlink" Target="http://www.boxofficemojo.com/schedule/?view=bydate&amp;release=theatrical&amp;date=2011-08-05&amp;p=.htm" TargetMode="External"/><Relationship Id="rId1787" Type="http://schemas.openxmlformats.org/officeDocument/2006/relationships/hyperlink" Target="http://www.boxofficemojo.com/movies/?id=littlegirl.htm" TargetMode="External"/><Relationship Id="rId1788" Type="http://schemas.openxmlformats.org/officeDocument/2006/relationships/hyperlink" Target="http://www.boxofficemojo.com/studio/chart/?studio=firstrun.htm" TargetMode="External"/><Relationship Id="rId1789" Type="http://schemas.openxmlformats.org/officeDocument/2006/relationships/hyperlink" Target="http://www.boxofficemojo.com/schedule/?view=bydate&amp;release=theatrical&amp;date=2011-09-02&amp;p=.htm" TargetMode="External"/><Relationship Id="rId1" Type="http://schemas.openxmlformats.org/officeDocument/2006/relationships/hyperlink" Target="http://www.boxofficemojo.com/yearly/chart/?view=releasedate&amp;view2=domestic&amp;yr=2011&amp;sort=gross&amp;order=ASC&amp;p=.htm" TargetMode="External"/><Relationship Id="rId2" Type="http://schemas.openxmlformats.org/officeDocument/2006/relationships/hyperlink" Target="http://www.boxofficemojo.com/yearly/chart/?view=releasedate&amp;view2=domestic&amp;yr=2011&amp;sort=title&amp;order=ASC&amp;p=.htm" TargetMode="External"/><Relationship Id="rId3" Type="http://schemas.openxmlformats.org/officeDocument/2006/relationships/hyperlink" Target="http://www.boxofficemojo.com/yearly/chart/?view=releasedate&amp;view2=domestic&amp;yr=2011&amp;sort=studio&amp;order=ASC&amp;p=.htm" TargetMode="External"/><Relationship Id="rId920" Type="http://schemas.openxmlformats.org/officeDocument/2006/relationships/hyperlink" Target="http://www.boxofficemojo.com/schedule/?view=bydate&amp;release=theatrical&amp;date=2011-09-23&amp;p=.htm" TargetMode="External"/><Relationship Id="rId921" Type="http://schemas.openxmlformats.org/officeDocument/2006/relationships/hyperlink" Target="http://www.boxofficemojo.com/movies/?id=goforit.htm" TargetMode="External"/><Relationship Id="rId922" Type="http://schemas.openxmlformats.org/officeDocument/2006/relationships/hyperlink" Target="http://www.boxofficemojo.com/studio/chart/?studio=lionsgate.htm" TargetMode="External"/><Relationship Id="rId923" Type="http://schemas.openxmlformats.org/officeDocument/2006/relationships/hyperlink" Target="http://www.boxofficemojo.com/schedule/?view=bydate&amp;release=theatrical&amp;date=2011-05-13&amp;p=.htm" TargetMode="External"/><Relationship Id="rId924" Type="http://schemas.openxmlformats.org/officeDocument/2006/relationships/hyperlink" Target="http://www.boxofficemojo.com/movies/?id=bellflower.htm" TargetMode="External"/><Relationship Id="rId925" Type="http://schemas.openxmlformats.org/officeDocument/2006/relationships/hyperlink" Target="http://www.boxofficemojo.com/studio/chart/?studio=oscilloscopepictures.htm" TargetMode="External"/><Relationship Id="rId926" Type="http://schemas.openxmlformats.org/officeDocument/2006/relationships/hyperlink" Target="http://www.boxofficemojo.com/schedule/?view=bydate&amp;release=theatrical&amp;date=2011-08-05&amp;p=.htm" TargetMode="External"/><Relationship Id="rId927" Type="http://schemas.openxmlformats.org/officeDocument/2006/relationships/hyperlink" Target="http://www.boxofficemojo.com/movies/?id=lastgodfather.htm" TargetMode="External"/><Relationship Id="rId140" Type="http://schemas.openxmlformats.org/officeDocument/2006/relationships/hyperlink" Target="http://www.boxofficemojo.com/schedule/?view=bydate&amp;release=theatrical&amp;date=2011-09-09&amp;p=.htm" TargetMode="External"/><Relationship Id="rId141" Type="http://schemas.openxmlformats.org/officeDocument/2006/relationships/hyperlink" Target="http://www.boxofficemojo.com/movies/?id=weboughtazoo.htm" TargetMode="External"/><Relationship Id="rId142" Type="http://schemas.openxmlformats.org/officeDocument/2006/relationships/hyperlink" Target="http://www.boxofficemojo.com/studio/chart/?studio=fox.htm" TargetMode="External"/><Relationship Id="rId143" Type="http://schemas.openxmlformats.org/officeDocument/2006/relationships/hyperlink" Target="http://www.boxofficemojo.com/schedule/?view=bydate&amp;release=theatrical&amp;date=2011-12-23&amp;p=.htm" TargetMode="External"/><Relationship Id="rId144" Type="http://schemas.openxmlformats.org/officeDocument/2006/relationships/hyperlink" Target="http://www.boxofficemojo.com/movies/?id=moneyball.htm" TargetMode="External"/><Relationship Id="rId145" Type="http://schemas.openxmlformats.org/officeDocument/2006/relationships/hyperlink" Target="http://www.boxofficemojo.com/studio/chart/?studio=sony.htm" TargetMode="External"/><Relationship Id="rId146" Type="http://schemas.openxmlformats.org/officeDocument/2006/relationships/hyperlink" Target="http://www.boxofficemojo.com/schedule/?view=bydate&amp;release=theatrical&amp;date=2011-09-23&amp;p=.htm" TargetMode="External"/><Relationship Id="rId147" Type="http://schemas.openxmlformats.org/officeDocument/2006/relationships/hyperlink" Target="http://www.boxofficemojo.com/movies/?id=jackandjill.htm" TargetMode="External"/><Relationship Id="rId148" Type="http://schemas.openxmlformats.org/officeDocument/2006/relationships/hyperlink" Target="http://www.boxofficemojo.com/studio/chart/?studio=sony.htm" TargetMode="External"/><Relationship Id="rId149" Type="http://schemas.openxmlformats.org/officeDocument/2006/relationships/hyperlink" Target="http://www.boxofficemojo.com/schedule/?view=bydate&amp;release=theatrical&amp;date=2011-11-11&amp;p=.htm" TargetMode="External"/><Relationship Id="rId928" Type="http://schemas.openxmlformats.org/officeDocument/2006/relationships/hyperlink" Target="http://www.boxofficemojo.com/studio/chart/?studio=roadsideattractions.htm" TargetMode="External"/><Relationship Id="rId929" Type="http://schemas.openxmlformats.org/officeDocument/2006/relationships/hyperlink" Target="http://www.boxofficemojo.com/schedule/?view=bydate&amp;release=theatrical&amp;date=2011-04-01&amp;p=.htm" TargetMode="External"/><Relationship Id="rId530" Type="http://schemas.openxmlformats.org/officeDocument/2006/relationships/hyperlink" Target="http://www.boxofficemojo.com/schedule/?view=bydate&amp;release=theatrical&amp;date=2011-05-13&amp;p=.htm" TargetMode="External"/><Relationship Id="rId531" Type="http://schemas.openxmlformats.org/officeDocument/2006/relationships/hyperlink" Target="http://www.boxofficemojo.com/movies/?id=wayback.htm" TargetMode="External"/><Relationship Id="rId532" Type="http://schemas.openxmlformats.org/officeDocument/2006/relationships/hyperlink" Target="http://www.boxofficemojo.com/studio/chart/?studio=newmarket.htm" TargetMode="External"/><Relationship Id="rId533" Type="http://schemas.openxmlformats.org/officeDocument/2006/relationships/hyperlink" Target="http://www.boxofficemojo.com/schedule/?view=bydate&amp;release=theatrical&amp;date=2011-01-21&amp;p=.htm" TargetMode="External"/><Relationship Id="rId534" Type="http://schemas.openxmlformats.org/officeDocument/2006/relationships/hyperlink" Target="http://www.boxofficemojo.com/movies/?id=carnage2011.htm" TargetMode="External"/><Relationship Id="rId535" Type="http://schemas.openxmlformats.org/officeDocument/2006/relationships/hyperlink" Target="http://www.boxofficemojo.com/studio/chart/?studio=sonyclassics.htm" TargetMode="External"/><Relationship Id="rId536" Type="http://schemas.openxmlformats.org/officeDocument/2006/relationships/hyperlink" Target="http://www.boxofficemojo.com/schedule/?view=bydate&amp;release=theatrical&amp;date=2011-12-16&amp;p=.htm" TargetMode="External"/><Relationship Id="rId537" Type="http://schemas.openxmlformats.org/officeDocument/2006/relationships/hyperlink" Target="http://www.boxofficemojo.com/movies/?id=borntobeastar.htm" TargetMode="External"/><Relationship Id="rId538" Type="http://schemas.openxmlformats.org/officeDocument/2006/relationships/hyperlink" Target="http://www.boxofficemojo.com/studio/chart/?studio=sony.htm" TargetMode="External"/><Relationship Id="rId539" Type="http://schemas.openxmlformats.org/officeDocument/2006/relationships/hyperlink" Target="http://www.boxofficemojo.com/schedule/?view=bydate&amp;release=theatrical&amp;date=2011-09-09&amp;p=.htm" TargetMode="External"/><Relationship Id="rId4" Type="http://schemas.openxmlformats.org/officeDocument/2006/relationships/hyperlink" Target="http://www.boxofficemojo.com/yearly/chart/?view=releasedate&amp;view2=domestic&amp;yr=2011&amp;sort=open&amp;order=DESC&amp;p=.htm" TargetMode="External"/><Relationship Id="rId5" Type="http://schemas.openxmlformats.org/officeDocument/2006/relationships/hyperlink" Target="http://www.boxofficemojo.com/yearly/chart/?view=releasedate&amp;view2=domestic&amp;yr=2011&amp;sort=close&amp;order=DESC&amp;p=.htm" TargetMode="External"/><Relationship Id="rId6" Type="http://schemas.openxmlformats.org/officeDocument/2006/relationships/hyperlink" Target="http://www.boxofficemojo.com/movies/?id=harrypotter72.htm" TargetMode="External"/><Relationship Id="rId7" Type="http://schemas.openxmlformats.org/officeDocument/2006/relationships/hyperlink" Target="http://www.boxofficemojo.com/studio/chart/?studio=warnerbros.htm" TargetMode="External"/><Relationship Id="rId8" Type="http://schemas.openxmlformats.org/officeDocument/2006/relationships/hyperlink" Target="http://www.boxofficemojo.com/schedule/?view=bydate&amp;release=theatrical&amp;date=2011-07-15&amp;p=.htm" TargetMode="External"/><Relationship Id="rId9" Type="http://schemas.openxmlformats.org/officeDocument/2006/relationships/hyperlink" Target="http://www.boxofficemojo.com/movies/?id=transformers3.htm" TargetMode="External"/><Relationship Id="rId1790" Type="http://schemas.openxmlformats.org/officeDocument/2006/relationships/hyperlink" Target="http://www.boxofficemojo.com/movies/?id=invisiblesign.htm" TargetMode="External"/><Relationship Id="rId1791" Type="http://schemas.openxmlformats.org/officeDocument/2006/relationships/hyperlink" Target="http://www.boxofficemojo.com/studio/chart/?studio=ifc.htm" TargetMode="External"/><Relationship Id="rId1792" Type="http://schemas.openxmlformats.org/officeDocument/2006/relationships/hyperlink" Target="http://www.boxofficemojo.com/schedule/?view=bydate&amp;release=theatrical&amp;date=2011-05-06&amp;p=.htm" TargetMode="External"/><Relationship Id="rId1793" Type="http://schemas.openxmlformats.org/officeDocument/2006/relationships/hyperlink" Target="http://www.boxofficemojo.com/movies/?id=romeos.htm" TargetMode="External"/><Relationship Id="rId1794" Type="http://schemas.openxmlformats.org/officeDocument/2006/relationships/hyperlink" Target="http://www.boxofficemojo.com/studio/chart/?studio=strand.htm" TargetMode="External"/><Relationship Id="rId1795" Type="http://schemas.openxmlformats.org/officeDocument/2006/relationships/hyperlink" Target="http://www.boxofficemojo.com/schedule/?view=bydate&amp;release=theatrical&amp;date=2011-09-16&amp;p=.htm" TargetMode="External"/><Relationship Id="rId1796" Type="http://schemas.openxmlformats.org/officeDocument/2006/relationships/hyperlink" Target="http://www.boxofficemojo.com/movies/?id=strangersonline.htm" TargetMode="External"/><Relationship Id="rId1797" Type="http://schemas.openxmlformats.org/officeDocument/2006/relationships/hyperlink" Target="http://www.boxofficemojo.com/studio/chart/?studio=breakingglass.htm" TargetMode="External"/><Relationship Id="rId1798" Type="http://schemas.openxmlformats.org/officeDocument/2006/relationships/hyperlink" Target="http://www.boxofficemojo.com/schedule/?view=bydate&amp;release=theatrical&amp;date=2011-06-24&amp;p=.htm" TargetMode="External"/><Relationship Id="rId1799" Type="http://schemas.openxmlformats.org/officeDocument/2006/relationships/hyperlink" Target="http://www.boxofficemojo.com/movies/?id=angelscrest.htm" TargetMode="External"/><Relationship Id="rId1000" Type="http://schemas.openxmlformats.org/officeDocument/2006/relationships/hyperlink" Target="http://www.boxofficemojo.com/studio/chart/?studio=elevenarts.htm" TargetMode="External"/><Relationship Id="rId1001" Type="http://schemas.openxmlformats.org/officeDocument/2006/relationships/hyperlink" Target="http://www.boxofficemojo.com/schedule/?view=bydate&amp;release=theatrical&amp;date=2011-01-21&amp;p=.htm" TargetMode="External"/><Relationship Id="rId1002" Type="http://schemas.openxmlformats.org/officeDocument/2006/relationships/hyperlink" Target="http://www.boxofficemojo.com/movies/?id=tomboy2011.htm" TargetMode="External"/><Relationship Id="rId1003" Type="http://schemas.openxmlformats.org/officeDocument/2006/relationships/hyperlink" Target="http://www.boxofficemojo.com/studio/chart/?studio=dada.htm" TargetMode="External"/><Relationship Id="rId930" Type="http://schemas.openxmlformats.org/officeDocument/2006/relationships/hyperlink" Target="http://www.boxofficemojo.com/movies/?id=nostalgiaforthelight.htm" TargetMode="External"/><Relationship Id="rId931" Type="http://schemas.openxmlformats.org/officeDocument/2006/relationships/hyperlink" Target="http://www.boxofficemojo.com/studio/chart/?studio=icarus.htm" TargetMode="External"/><Relationship Id="rId932" Type="http://schemas.openxmlformats.org/officeDocument/2006/relationships/hyperlink" Target="http://www.boxofficemojo.com/schedule/?view=bydate&amp;release=theatrical&amp;date=2011-01-13&amp;p=.htm" TargetMode="External"/><Relationship Id="rId933" Type="http://schemas.openxmlformats.org/officeDocument/2006/relationships/hyperlink" Target="http://www.boxofficemojo.com/movies/?id=restless2011.htm" TargetMode="External"/><Relationship Id="rId934" Type="http://schemas.openxmlformats.org/officeDocument/2006/relationships/hyperlink" Target="http://www.boxofficemojo.com/studio/chart/?studio=sonyclassics.htm" TargetMode="External"/><Relationship Id="rId935" Type="http://schemas.openxmlformats.org/officeDocument/2006/relationships/hyperlink" Target="http://www.boxofficemojo.com/schedule/?view=bydate&amp;release=theatrical&amp;date=2011-09-16&amp;p=.htm" TargetMode="External"/><Relationship Id="rId936" Type="http://schemas.openxmlformats.org/officeDocument/2006/relationships/hyperlink" Target="http://www.boxofficemojo.com/movies/?id=younggoetheinlove.htm" TargetMode="External"/><Relationship Id="rId937" Type="http://schemas.openxmlformats.org/officeDocument/2006/relationships/hyperlink" Target="http://www.boxofficemojo.com/studio/chart/?studio=musicboxfilms.htm" TargetMode="External"/><Relationship Id="rId150" Type="http://schemas.openxmlformats.org/officeDocument/2006/relationships/hyperlink" Target="http://www.boxofficemojo.com/movies/?id=hugocabret.htm" TargetMode="External"/><Relationship Id="rId151" Type="http://schemas.openxmlformats.org/officeDocument/2006/relationships/hyperlink" Target="http://www.boxofficemojo.com/studio/chart/?studio=paramount.htm" TargetMode="External"/><Relationship Id="rId152" Type="http://schemas.openxmlformats.org/officeDocument/2006/relationships/hyperlink" Target="http://www.boxofficemojo.com/schedule/?view=bydate&amp;release=theatrical&amp;date=2011-11-23&amp;p=.htm" TargetMode="External"/><Relationship Id="rId153" Type="http://schemas.openxmlformats.org/officeDocument/2006/relationships/hyperlink" Target="http://www.boxofficemojo.com/movies/?id=bieber3d.htm" TargetMode="External"/><Relationship Id="rId154" Type="http://schemas.openxmlformats.org/officeDocument/2006/relationships/hyperlink" Target="http://www.boxofficemojo.com/studio/chart/?studio=paramount.htm" TargetMode="External"/><Relationship Id="rId155" Type="http://schemas.openxmlformats.org/officeDocument/2006/relationships/hyperlink" Target="http://www.boxofficemojo.com/schedule/?view=bydate&amp;release=theatrical&amp;date=2011-02-11&amp;p=.htm" TargetMode="External"/><Relationship Id="rId156" Type="http://schemas.openxmlformats.org/officeDocument/2006/relationships/hyperlink" Target="http://www.boxofficemojo.com/movies/?id=dolphintale.htm" TargetMode="External"/><Relationship Id="rId157" Type="http://schemas.openxmlformats.org/officeDocument/2006/relationships/hyperlink" Target="http://www.boxofficemojo.com/studio/chart/?studio=warnerbros.htm" TargetMode="External"/><Relationship Id="rId158" Type="http://schemas.openxmlformats.org/officeDocument/2006/relationships/hyperlink" Target="http://www.boxofficemojo.com/schedule/?view=bydate&amp;release=theatrical&amp;date=2011-09-23&amp;p=.htm" TargetMode="External"/><Relationship Id="rId159" Type="http://schemas.openxmlformats.org/officeDocument/2006/relationships/hyperlink" Target="http://www.boxofficemojo.com/movies/?id=friendswithbenefits.htm" TargetMode="External"/><Relationship Id="rId938" Type="http://schemas.openxmlformats.org/officeDocument/2006/relationships/hyperlink" Target="http://www.boxofficemojo.com/schedule/?view=bydate&amp;release=theatrical&amp;date=2011-11-04&amp;p=.htm" TargetMode="External"/><Relationship Id="rId939" Type="http://schemas.openxmlformats.org/officeDocument/2006/relationships/hyperlink" Target="http://www.boxofficemojo.com/movies/?id=pastorela.htm" TargetMode="External"/><Relationship Id="rId1004" Type="http://schemas.openxmlformats.org/officeDocument/2006/relationships/hyperlink" Target="http://www.boxofficemojo.com/schedule/?view=bydate&amp;release=theatrical&amp;date=2011-11-16&amp;p=.htm" TargetMode="External"/><Relationship Id="rId1005" Type="http://schemas.openxmlformats.org/officeDocument/2006/relationships/hyperlink" Target="http://www.boxofficemojo.com/movies/?id=isawthedevil.htm" TargetMode="External"/><Relationship Id="rId1006" Type="http://schemas.openxmlformats.org/officeDocument/2006/relationships/hyperlink" Target="http://www.boxofficemojo.com/studio/chart/?studio=magnolia.htm" TargetMode="External"/><Relationship Id="rId1007" Type="http://schemas.openxmlformats.org/officeDocument/2006/relationships/hyperlink" Target="http://www.boxofficemojo.com/schedule/?view=bydate&amp;release=theatrical&amp;date=2011-03-04&amp;p=.htm" TargetMode="External"/><Relationship Id="rId1008" Type="http://schemas.openxmlformats.org/officeDocument/2006/relationships/hyperlink" Target="http://www.boxofficemojo.com/movies/?id=whatwomenwant2011.htm" TargetMode="External"/><Relationship Id="rId1009" Type="http://schemas.openxmlformats.org/officeDocument/2006/relationships/hyperlink" Target="http://www.boxofficemojo.com/studio/chart/?studio=chinalion.htm" TargetMode="External"/><Relationship Id="rId540" Type="http://schemas.openxmlformats.org/officeDocument/2006/relationships/hyperlink" Target="http://www.boxofficemojo.com/movies/?id=raone.htm" TargetMode="External"/><Relationship Id="rId541" Type="http://schemas.openxmlformats.org/officeDocument/2006/relationships/hyperlink" Target="http://www.boxofficemojo.com/studio/chart/?studio=eros.htm" TargetMode="External"/><Relationship Id="rId542" Type="http://schemas.openxmlformats.org/officeDocument/2006/relationships/hyperlink" Target="http://www.boxofficemojo.com/schedule/?view=bydate&amp;release=theatrical&amp;date=2011-10-26&amp;p=.htm" TargetMode="External"/><Relationship Id="rId543" Type="http://schemas.openxmlformats.org/officeDocument/2006/relationships/hyperlink" Target="http://www.boxofficemojo.com/movies/?id=gracecard.htm" TargetMode="External"/><Relationship Id="rId544" Type="http://schemas.openxmlformats.org/officeDocument/2006/relationships/hyperlink" Target="http://www.boxofficemojo.com/studio/chart/?studio=samuelgoldwyn.htm" TargetMode="External"/><Relationship Id="rId545" Type="http://schemas.openxmlformats.org/officeDocument/2006/relationships/hyperlink" Target="http://www.boxofficemojo.com/schedule/?view=bydate&amp;release=theatrical&amp;date=2011-02-25&amp;p=.htm" TargetMode="External"/><Relationship Id="rId546" Type="http://schemas.openxmlformats.org/officeDocument/2006/relationships/hyperlink" Target="http://www.boxofficemojo.com/movies/?id=incendies.htm" TargetMode="External"/><Relationship Id="rId547" Type="http://schemas.openxmlformats.org/officeDocument/2006/relationships/hyperlink" Target="http://www.boxofficemojo.com/studio/chart/?studio=sonyclassics.htm" TargetMode="External"/><Relationship Id="rId548" Type="http://schemas.openxmlformats.org/officeDocument/2006/relationships/hyperlink" Target="http://www.boxofficemojo.com/schedule/?view=bydate&amp;release=theatrical&amp;date=2011-04-22&amp;p=.htm" TargetMode="External"/><Relationship Id="rId549" Type="http://schemas.openxmlformats.org/officeDocument/2006/relationships/hyperlink" Target="http://www.boxofficemojo.com/movies/?id=trip2011.htm" TargetMode="External"/><Relationship Id="rId1400" Type="http://schemas.openxmlformats.org/officeDocument/2006/relationships/hyperlink" Target="http://www.boxofficemojo.com/schedule/?view=bydate&amp;release=theatrical&amp;date=2011-09-16&amp;p=.htm" TargetMode="External"/><Relationship Id="rId1401" Type="http://schemas.openxmlformats.org/officeDocument/2006/relationships/hyperlink" Target="http://www.boxofficemojo.com/movies/?id=clashbayrong.htm" TargetMode="External"/><Relationship Id="rId1402" Type="http://schemas.openxmlformats.org/officeDocument/2006/relationships/hyperlink" Target="http://www.boxofficemojo.com/studio/chart/?studio=variancefilms.htm" TargetMode="External"/><Relationship Id="rId1403" Type="http://schemas.openxmlformats.org/officeDocument/2006/relationships/hyperlink" Target="http://www.boxofficemojo.com/schedule/?view=bydate&amp;release=theatrical&amp;date=2011-03-11&amp;p=.htm" TargetMode="External"/><Relationship Id="rId1404" Type="http://schemas.openxmlformats.org/officeDocument/2006/relationships/hyperlink" Target="http://www.boxofficemojo.com/movies/?id=lastride.htm" TargetMode="External"/><Relationship Id="rId1405" Type="http://schemas.openxmlformats.org/officeDocument/2006/relationships/hyperlink" Target="http://www.boxofficemojo.com/studio/chart/?studio=categoryone.htm" TargetMode="External"/><Relationship Id="rId1406" Type="http://schemas.openxmlformats.org/officeDocument/2006/relationships/hyperlink" Target="http://www.boxofficemojo.com/schedule/?view=bydate&amp;release=theatrical&amp;date=2011-10-21&amp;p=.htm" TargetMode="External"/><Relationship Id="rId1407" Type="http://schemas.openxmlformats.org/officeDocument/2006/relationships/hyperlink" Target="http://www.boxofficemojo.com/movies/?id=ceasarandotto.htm" TargetMode="External"/><Relationship Id="rId1408" Type="http://schemas.openxmlformats.org/officeDocument/2006/relationships/hyperlink" Target="http://www.boxofficemojo.com/studio/chart/?studio=nocturnalfeatures.htm" TargetMode="External"/><Relationship Id="rId1409" Type="http://schemas.openxmlformats.org/officeDocument/2006/relationships/hyperlink" Target="http://www.boxofficemojo.com/schedule/?view=bydate&amp;release=theatrical&amp;date=2011-09-16&amp;p=.htm" TargetMode="External"/><Relationship Id="rId940" Type="http://schemas.openxmlformats.org/officeDocument/2006/relationships/hyperlink" Target="http://www.boxofficemojo.com/studio/chart/?studio=lionsgate.htm" TargetMode="External"/><Relationship Id="rId941" Type="http://schemas.openxmlformats.org/officeDocument/2006/relationships/hyperlink" Target="http://www.boxofficemojo.com/schedule/?view=bydate&amp;release=theatrical&amp;date=2011-12-02&amp;p=.htm" TargetMode="External"/><Relationship Id="rId942" Type="http://schemas.openxmlformats.org/officeDocument/2006/relationships/hyperlink" Target="http://www.boxofficemojo.com/movies/?id=housemaid.htm" TargetMode="External"/><Relationship Id="rId943" Type="http://schemas.openxmlformats.org/officeDocument/2006/relationships/hyperlink" Target="http://www.boxofficemojo.com/studio/chart/?studio=ifc.htm" TargetMode="External"/><Relationship Id="rId944" Type="http://schemas.openxmlformats.org/officeDocument/2006/relationships/hyperlink" Target="http://www.boxofficemojo.com/schedule/?view=bydate&amp;release=theatrical&amp;date=2011-01-21&amp;p=.htm" TargetMode="External"/><Relationship Id="rId945" Type="http://schemas.openxmlformats.org/officeDocument/2006/relationships/hyperlink" Target="http://www.boxofficemojo.com/movies/?id=chasingmadoff.htm" TargetMode="External"/><Relationship Id="rId160" Type="http://schemas.openxmlformats.org/officeDocument/2006/relationships/hyperlink" Target="http://www.boxofficemojo.com/studio/chart/?studio=paramount.htm" TargetMode="External"/><Relationship Id="rId161" Type="http://schemas.openxmlformats.org/officeDocument/2006/relationships/hyperlink" Target="http://www.boxofficemojo.com/schedule/?view=bydate&amp;release=theatrical&amp;date=2011-01-21&amp;p=.htm" TargetMode="External"/><Relationship Id="rId162" Type="http://schemas.openxmlformats.org/officeDocument/2006/relationships/hyperlink" Target="http://www.boxofficemojo.com/movies/?id=mrpopperspenguins.htm" TargetMode="External"/><Relationship Id="rId163" Type="http://schemas.openxmlformats.org/officeDocument/2006/relationships/hyperlink" Target="http://www.boxofficemojo.com/studio/chart/?studio=fox.htm" TargetMode="External"/><Relationship Id="rId164" Type="http://schemas.openxmlformats.org/officeDocument/2006/relationships/hyperlink" Target="http://www.boxofficemojo.com/schedule/?view=bydate&amp;release=theatrical&amp;date=2011-06-17&amp;p=.htm" TargetMode="External"/><Relationship Id="rId165" Type="http://schemas.openxmlformats.org/officeDocument/2006/relationships/hyperlink" Target="http://www.boxofficemojo.com/movies/?id=happyfeet2.htm" TargetMode="External"/><Relationship Id="rId166" Type="http://schemas.openxmlformats.org/officeDocument/2006/relationships/hyperlink" Target="http://www.boxofficemojo.com/studio/chart/?studio=warnerbros.htm" TargetMode="External"/><Relationship Id="rId167" Type="http://schemas.openxmlformats.org/officeDocument/2006/relationships/hyperlink" Target="http://www.boxofficemojo.com/schedule/?view=bydate&amp;release=theatrical&amp;date=2011-11-18&amp;p=.htm" TargetMode="External"/><Relationship Id="rId168" Type="http://schemas.openxmlformats.org/officeDocument/2006/relationships/hyperlink" Target="http://www.boxofficemojo.com/movies/?id=unknownwhitemale11.htm" TargetMode="External"/><Relationship Id="rId169" Type="http://schemas.openxmlformats.org/officeDocument/2006/relationships/hyperlink" Target="http://www.boxofficemojo.com/studio/chart/?studio=warnerbros.htm" TargetMode="External"/><Relationship Id="rId946" Type="http://schemas.openxmlformats.org/officeDocument/2006/relationships/hyperlink" Target="http://www.boxofficemojo.com/studio/chart/?studio=cohenmedia.htm" TargetMode="External"/><Relationship Id="rId947" Type="http://schemas.openxmlformats.org/officeDocument/2006/relationships/hyperlink" Target="http://www.boxofficemojo.com/schedule/?view=bydate&amp;release=theatrical&amp;date=2011-08-26&amp;p=.htm" TargetMode="External"/><Relationship Id="rId948" Type="http://schemas.openxmlformats.org/officeDocument/2006/relationships/hyperlink" Target="http://www.boxofficemojo.com/movies/?id=magictrip.htm" TargetMode="External"/><Relationship Id="rId949" Type="http://schemas.openxmlformats.org/officeDocument/2006/relationships/hyperlink" Target="http://www.boxofficemojo.com/studio/chart/?studio=magnolia.htm" TargetMode="External"/><Relationship Id="rId1010" Type="http://schemas.openxmlformats.org/officeDocument/2006/relationships/hyperlink" Target="http://www.boxofficemojo.com/schedule/?view=bydate&amp;release=theatrical&amp;date=2011-02-03&amp;p=.htm" TargetMode="External"/><Relationship Id="rId1011" Type="http://schemas.openxmlformats.org/officeDocument/2006/relationships/hyperlink" Target="http://www.boxofficemojo.com/movies/?id=inni.htm" TargetMode="External"/><Relationship Id="rId1012" Type="http://schemas.openxmlformats.org/officeDocument/2006/relationships/hyperlink" Target="http://www.boxofficemojo.com/studio/chart/?studio=cinemapurgatorio.htm" TargetMode="External"/><Relationship Id="rId1013" Type="http://schemas.openxmlformats.org/officeDocument/2006/relationships/hyperlink" Target="http://www.boxofficemojo.com/schedule/?view=bydate&amp;release=theatrical&amp;date=2011-10-28&amp;p=.htm" TargetMode="External"/><Relationship Id="rId1014" Type="http://schemas.openxmlformats.org/officeDocument/2006/relationships/hyperlink" Target="http://www.boxofficemojo.com/movies/?id=lastmountain.htm" TargetMode="External"/><Relationship Id="rId1015" Type="http://schemas.openxmlformats.org/officeDocument/2006/relationships/hyperlink" Target="http://www.boxofficemojo.com/studio/chart/?studio=dada.htm" TargetMode="External"/><Relationship Id="rId1016" Type="http://schemas.openxmlformats.org/officeDocument/2006/relationships/hyperlink" Target="http://www.boxofficemojo.com/schedule/?view=bydate&amp;release=theatrical&amp;date=2011-06-03&amp;p=.htm" TargetMode="External"/><Relationship Id="rId1017" Type="http://schemas.openxmlformats.org/officeDocument/2006/relationships/hyperlink" Target="http://www.boxofficemojo.com/movies/?id=cityoflifeanddeath.htm" TargetMode="External"/><Relationship Id="rId1018" Type="http://schemas.openxmlformats.org/officeDocument/2006/relationships/hyperlink" Target="http://www.boxofficemojo.com/studio/chart/?studio=kino.htm" TargetMode="External"/><Relationship Id="rId1019" Type="http://schemas.openxmlformats.org/officeDocument/2006/relationships/hyperlink" Target="http://www.boxofficemojo.com/schedule/?view=bydate&amp;release=theatrical&amp;date=2011-05-11&amp;p=.htm" TargetMode="External"/><Relationship Id="rId550" Type="http://schemas.openxmlformats.org/officeDocument/2006/relationships/hyperlink" Target="http://www.boxofficemojo.com/studio/chart/?studio=ifc.htm" TargetMode="External"/><Relationship Id="rId551" Type="http://schemas.openxmlformats.org/officeDocument/2006/relationships/hyperlink" Target="http://www.boxofficemojo.com/schedule/?view=bydate&amp;release=theatrical&amp;date=2011-06-10&amp;p=.htm" TargetMode="External"/><Relationship Id="rId552" Type="http://schemas.openxmlformats.org/officeDocument/2006/relationships/hyperlink" Target="http://www.boxofficemojo.com/movies/?id=mightymacs.htm" TargetMode="External"/><Relationship Id="rId553" Type="http://schemas.openxmlformats.org/officeDocument/2006/relationships/hyperlink" Target="http://www.boxofficemojo.com/studio/chart/?studio=quakermedia.htm" TargetMode="External"/><Relationship Id="rId554" Type="http://schemas.openxmlformats.org/officeDocument/2006/relationships/hyperlink" Target="http://www.boxofficemojo.com/schedule/?view=bydate&amp;release=theatrical&amp;date=2011-10-21&amp;p=.htm" TargetMode="External"/><Relationship Id="rId555" Type="http://schemas.openxmlformats.org/officeDocument/2006/relationships/hyperlink" Target="http://www.boxofficemojo.com/movies/?id=bodyguard2011.htm" TargetMode="External"/><Relationship Id="rId556" Type="http://schemas.openxmlformats.org/officeDocument/2006/relationships/hyperlink" Target="http://www.boxofficemojo.com/studio/chart/?studio=reliancebigpictures.htm" TargetMode="External"/><Relationship Id="rId557" Type="http://schemas.openxmlformats.org/officeDocument/2006/relationships/hyperlink" Target="http://www.boxofficemojo.com/schedule/?view=bydate&amp;release=theatrical&amp;date=2011-08-31&amp;p=.htm" TargetMode="External"/><Relationship Id="rId558" Type="http://schemas.openxmlformats.org/officeDocument/2006/relationships/hyperlink" Target="http://www.boxofficemojo.com/movies/?id=abetterlife.htm" TargetMode="External"/><Relationship Id="rId559" Type="http://schemas.openxmlformats.org/officeDocument/2006/relationships/hyperlink" Target="http://www.boxofficemojo.com/studio/chart/?studio=summitentertainment.htm" TargetMode="External"/><Relationship Id="rId1800" Type="http://schemas.openxmlformats.org/officeDocument/2006/relationships/hyperlink" Target="http://www.boxofficemojo.com/studio/chart/?studio=magnolia.htm" TargetMode="External"/><Relationship Id="rId1801" Type="http://schemas.openxmlformats.org/officeDocument/2006/relationships/hyperlink" Target="http://www.boxofficemojo.com/schedule/?view=bydate&amp;release=theatrical&amp;date=2011-12-30&amp;p=.htm" TargetMode="External"/><Relationship Id="rId1802" Type="http://schemas.openxmlformats.org/officeDocument/2006/relationships/hyperlink" Target="http://www.boxofficemojo.com/movies/?id=redneckcarnage.htm" TargetMode="External"/><Relationship Id="rId1803" Type="http://schemas.openxmlformats.org/officeDocument/2006/relationships/hyperlink" Target="http://www.boxofficemojo.com/studio/chart/?studio=zomularmedia.htm" TargetMode="External"/><Relationship Id="rId1410" Type="http://schemas.openxmlformats.org/officeDocument/2006/relationships/hyperlink" Target="http://www.boxofficemojo.com/movies/?id=waitingforforever.htm" TargetMode="External"/><Relationship Id="rId1411" Type="http://schemas.openxmlformats.org/officeDocument/2006/relationships/hyperlink" Target="http://www.boxofficemojo.com/studio/chart/?studio=fs.htm" TargetMode="External"/><Relationship Id="rId1412" Type="http://schemas.openxmlformats.org/officeDocument/2006/relationships/hyperlink" Target="http://www.boxofficemojo.com/schedule/?view=bydate&amp;release=theatrical&amp;date=2011-02-04&amp;p=.htm" TargetMode="External"/><Relationship Id="rId1413" Type="http://schemas.openxmlformats.org/officeDocument/2006/relationships/hyperlink" Target="http://www.boxofficemojo.com/movies/?id=otherwoman.htm" TargetMode="External"/><Relationship Id="rId1414" Type="http://schemas.openxmlformats.org/officeDocument/2006/relationships/hyperlink" Target="http://www.boxofficemojo.com/studio/chart/?studio=ifc.htm" TargetMode="External"/><Relationship Id="rId1415" Type="http://schemas.openxmlformats.org/officeDocument/2006/relationships/hyperlink" Target="http://www.boxofficemojo.com/schedule/?view=bydate&amp;release=theatrical&amp;date=2011-02-04&amp;p=.htm" TargetMode="External"/><Relationship Id="rId1416" Type="http://schemas.openxmlformats.org/officeDocument/2006/relationships/hyperlink" Target="http://www.boxofficemojo.com/movies/?id=worstmovieever.htm" TargetMode="External"/><Relationship Id="rId1417" Type="http://schemas.openxmlformats.org/officeDocument/2006/relationships/hyperlink" Target="http://www.boxofficemojo.com/studio/chart/?studio=drivingwithoureyesshut.htm" TargetMode="External"/><Relationship Id="rId1418" Type="http://schemas.openxmlformats.org/officeDocument/2006/relationships/hyperlink" Target="http://www.boxofficemojo.com/schedule/?view=bydate&amp;release=theatrical&amp;date=2011-08-19&amp;p=.htm" TargetMode="External"/><Relationship Id="rId1419" Type="http://schemas.openxmlformats.org/officeDocument/2006/relationships/hyperlink" Target="http://www.boxofficemojo.com/movies/?id=bonnieclydevsdracula.htm" TargetMode="External"/><Relationship Id="rId950" Type="http://schemas.openxmlformats.org/officeDocument/2006/relationships/hyperlink" Target="http://www.boxofficemojo.com/schedule/?view=bydate&amp;release=theatrical&amp;date=2011-08-05&amp;p=.htm" TargetMode="External"/><Relationship Id="rId951" Type="http://schemas.openxmlformats.org/officeDocument/2006/relationships/hyperlink" Target="http://www.boxofficemojo.com/movies/?id=sexandzen3d.htm" TargetMode="External"/><Relationship Id="rId952" Type="http://schemas.openxmlformats.org/officeDocument/2006/relationships/hyperlink" Target="http://www.boxofficemojo.com/studio/chart/?studio=chinalion.htm" TargetMode="External"/><Relationship Id="rId953" Type="http://schemas.openxmlformats.org/officeDocument/2006/relationships/hyperlink" Target="http://www.boxofficemojo.com/schedule/?view=bydate&amp;release=theatrical&amp;date=2011-08-12&amp;p=.htm" TargetMode="External"/><Relationship Id="rId954" Type="http://schemas.openxmlformats.org/officeDocument/2006/relationships/hyperlink" Target="http://www.boxofficemojo.com/movies/?id=eames.htm" TargetMode="External"/><Relationship Id="rId955" Type="http://schemas.openxmlformats.org/officeDocument/2006/relationships/hyperlink" Target="http://www.boxofficemojo.com/studio/chart/?studio=firstrun.htm" TargetMode="External"/><Relationship Id="rId170" Type="http://schemas.openxmlformats.org/officeDocument/2006/relationships/hyperlink" Target="http://www.boxofficemojo.com/schedule/?view=bydate&amp;release=theatrical&amp;date=2011-02-18&amp;p=.htm" TargetMode="External"/><Relationship Id="rId171" Type="http://schemas.openxmlformats.org/officeDocument/2006/relationships/hyperlink" Target="http://www.boxofficemojo.com/movies/?id=adjustmentbureau.htm" TargetMode="External"/><Relationship Id="rId172" Type="http://schemas.openxmlformats.org/officeDocument/2006/relationships/hyperlink" Target="http://www.boxofficemojo.com/studio/chart/?studio=universal.htm" TargetMode="External"/><Relationship Id="rId173" Type="http://schemas.openxmlformats.org/officeDocument/2006/relationships/hyperlink" Target="http://www.boxofficemojo.com/schedule/?view=bydate&amp;release=theatrical&amp;date=2011-03-04&amp;p=.htm" TargetMode="External"/><Relationship Id="rId174" Type="http://schemas.openxmlformats.org/officeDocument/2006/relationships/hyperlink" Target="http://www.boxofficemojo.com/movies/?id=waterforelephants.htm" TargetMode="External"/><Relationship Id="rId175" Type="http://schemas.openxmlformats.org/officeDocument/2006/relationships/hyperlink" Target="http://www.boxofficemojo.com/studio/chart/?studio=fox.htm" TargetMode="External"/><Relationship Id="rId176" Type="http://schemas.openxmlformats.org/officeDocument/2006/relationships/hyperlink" Target="http://www.boxofficemojo.com/schedule/?view=bydate&amp;release=theatrical&amp;date=2011-04-22&amp;p=.htm" TargetMode="External"/><Relationship Id="rId177" Type="http://schemas.openxmlformats.org/officeDocument/2006/relationships/hyperlink" Target="http://www.boxofficemojo.com/movies/?id=lincolnlawyer.htm" TargetMode="External"/><Relationship Id="rId178" Type="http://schemas.openxmlformats.org/officeDocument/2006/relationships/hyperlink" Target="http://www.boxofficemojo.com/studio/chart/?studio=lionsgate.htm" TargetMode="External"/><Relationship Id="rId179" Type="http://schemas.openxmlformats.org/officeDocument/2006/relationships/hyperlink" Target="http://www.boxofficemojo.com/schedule/?view=bydate&amp;release=theatrical&amp;date=2011-03-18&amp;p=.htm" TargetMode="External"/><Relationship Id="rId956" Type="http://schemas.openxmlformats.org/officeDocument/2006/relationships/hyperlink" Target="http://www.boxofficemojo.com/schedule/?view=bydate&amp;release=theatrical&amp;date=2011-11-11&amp;p=.htm" TargetMode="External"/><Relationship Id="rId957" Type="http://schemas.openxmlformats.org/officeDocument/2006/relationships/hyperlink" Target="http://www.boxofficemojo.com/movies/?id=lequattrovolte.htm" TargetMode="External"/><Relationship Id="rId958" Type="http://schemas.openxmlformats.org/officeDocument/2006/relationships/hyperlink" Target="http://www.boxofficemojo.com/studio/chart/?studio=lorberfilms.htm" TargetMode="External"/><Relationship Id="rId959" Type="http://schemas.openxmlformats.org/officeDocument/2006/relationships/hyperlink" Target="http://www.boxofficemojo.com/schedule/?view=bydate&amp;release=theatrical&amp;date=2011-03-30&amp;p=.htm" TargetMode="External"/><Relationship Id="rId1020" Type="http://schemas.openxmlformats.org/officeDocument/2006/relationships/hyperlink" Target="http://www.boxofficemojo.com/movies/?id=trust2011.htm" TargetMode="External"/><Relationship Id="rId1021" Type="http://schemas.openxmlformats.org/officeDocument/2006/relationships/hyperlink" Target="http://www.boxofficemojo.com/studio/chart/?studio=millenniumentertainment.htm" TargetMode="External"/><Relationship Id="rId1022" Type="http://schemas.openxmlformats.org/officeDocument/2006/relationships/hyperlink" Target="http://www.boxofficemojo.com/schedule/?view=bydate&amp;release=theatrical&amp;date=2011-04-01&amp;p=.htm" TargetMode="External"/><Relationship Id="rId1023" Type="http://schemas.openxmlformats.org/officeDocument/2006/relationships/hyperlink" Target="http://www.boxofficemojo.com/movies/?id=kaboom.htm" TargetMode="External"/><Relationship Id="rId1024" Type="http://schemas.openxmlformats.org/officeDocument/2006/relationships/hyperlink" Target="http://www.boxofficemojo.com/studio/chart/?studio=ifc.htm" TargetMode="External"/><Relationship Id="rId1025" Type="http://schemas.openxmlformats.org/officeDocument/2006/relationships/hyperlink" Target="http://www.boxofficemojo.com/schedule/?view=bydate&amp;release=theatrical&amp;date=2011-01-28&amp;p=.htm" TargetMode="External"/><Relationship Id="rId1026" Type="http://schemas.openxmlformats.org/officeDocument/2006/relationships/hyperlink" Target="http://www.boxofficemojo.com/movies/?id=undefeated11.htm" TargetMode="External"/><Relationship Id="rId1027" Type="http://schemas.openxmlformats.org/officeDocument/2006/relationships/hyperlink" Target="http://www.boxofficemojo.com/studio/chart/?studio=arcent.htm" TargetMode="External"/><Relationship Id="rId1028" Type="http://schemas.openxmlformats.org/officeDocument/2006/relationships/hyperlink" Target="http://www.boxofficemojo.com/schedule/?view=bydate&amp;release=theatrical&amp;date=2011-07-15&amp;p=.htm" TargetMode="External"/><Relationship Id="rId1029" Type="http://schemas.openxmlformats.org/officeDocument/2006/relationships/hyperlink" Target="http://www.boxofficemojo.com/movies/?id=blankcity.htm" TargetMode="External"/><Relationship Id="rId560" Type="http://schemas.openxmlformats.org/officeDocument/2006/relationships/hyperlink" Target="http://www.boxofficemojo.com/schedule/?view=bydate&amp;release=theatrical&amp;date=2011-06-24&amp;p=.htm" TargetMode="External"/><Relationship Id="rId561" Type="http://schemas.openxmlformats.org/officeDocument/2006/relationships/hyperlink" Target="http://www.boxofficemojo.com/movies/?id=weneedtotalkaboutkevin.htm" TargetMode="External"/><Relationship Id="rId562" Type="http://schemas.openxmlformats.org/officeDocument/2006/relationships/hyperlink" Target="http://www.boxofficemojo.com/studio/chart/?studio=oscilloscopepictures.htm" TargetMode="External"/><Relationship Id="rId563" Type="http://schemas.openxmlformats.org/officeDocument/2006/relationships/hyperlink" Target="http://www.boxofficemojo.com/schedule/?view=bydate&amp;release=theatrical&amp;date=2011-12-09&amp;p=.htm" TargetMode="External"/><Relationship Id="rId564" Type="http://schemas.openxmlformats.org/officeDocument/2006/relationships/hyperlink" Target="http://www.boxofficemojo.com/movies/?id=takeshelter.htm" TargetMode="External"/><Relationship Id="rId565" Type="http://schemas.openxmlformats.org/officeDocument/2006/relationships/hyperlink" Target="http://www.boxofficemojo.com/studio/chart/?studio=sonyclassics.htm" TargetMode="External"/><Relationship Id="rId566" Type="http://schemas.openxmlformats.org/officeDocument/2006/relationships/hyperlink" Target="http://www.boxofficemojo.com/schedule/?view=bydate&amp;release=theatrical&amp;date=2011-09-30&amp;p=.htm" TargetMode="External"/><Relationship Id="rId567" Type="http://schemas.openxmlformats.org/officeDocument/2006/relationships/hyperlink" Target="http://www.boxofficemojo.com/movies/?id=potiche.htm" TargetMode="External"/><Relationship Id="rId568" Type="http://schemas.openxmlformats.org/officeDocument/2006/relationships/hyperlink" Target="http://www.boxofficemojo.com/studio/chart/?studio=musicboxfilms.htm" TargetMode="External"/><Relationship Id="rId569" Type="http://schemas.openxmlformats.org/officeDocument/2006/relationships/hyperlink" Target="http://www.boxofficemojo.com/schedule/?view=bydate&amp;release=theatrical&amp;date=2011-03-25&amp;p=.htm" TargetMode="External"/><Relationship Id="rId1804" Type="http://schemas.openxmlformats.org/officeDocument/2006/relationships/hyperlink" Target="http://www.boxofficemojo.com/schedule/?view=bydate&amp;release=theatrical&amp;date=2011-10-29&amp;p=.htm" TargetMode="External"/><Relationship Id="rId1805" Type="http://schemas.openxmlformats.org/officeDocument/2006/relationships/hyperlink" Target="http://www.boxofficemojo.com/movies/?id=illegal2011.htm" TargetMode="External"/><Relationship Id="rId1806" Type="http://schemas.openxmlformats.org/officeDocument/2006/relationships/hyperlink" Target="http://www.boxofficemojo.com/studio/chart/?studio=filmmovement.htm" TargetMode="External"/><Relationship Id="rId1807" Type="http://schemas.openxmlformats.org/officeDocument/2006/relationships/hyperlink" Target="http://www.boxofficemojo.com/schedule/?view=bydate&amp;release=theatrical&amp;date=2011-03-25&amp;p=.htm" TargetMode="External"/><Relationship Id="rId1808" Type="http://schemas.openxmlformats.org/officeDocument/2006/relationships/hyperlink" Target="http://www.boxofficemojo.com/movies/?id=agooddaytodie.htm" TargetMode="External"/><Relationship Id="rId1809" Type="http://schemas.openxmlformats.org/officeDocument/2006/relationships/hyperlink" Target="http://www.boxofficemojo.com/studio/chart/?studio=alivemind.htm" TargetMode="External"/><Relationship Id="rId1810" Type="http://schemas.openxmlformats.org/officeDocument/2006/relationships/hyperlink" Target="http://www.boxofficemojo.com/schedule/?view=bydate&amp;release=theatrical&amp;date=2011-11-04&amp;p=.htm" TargetMode="External"/><Relationship Id="rId1420" Type="http://schemas.openxmlformats.org/officeDocument/2006/relationships/hyperlink" Target="http://www.boxofficemojo.com/studio/chart/?studio=indican.htm" TargetMode="External"/><Relationship Id="rId1421" Type="http://schemas.openxmlformats.org/officeDocument/2006/relationships/hyperlink" Target="http://www.boxofficemojo.com/schedule/?view=bydate&amp;release=theatrical&amp;date=2011-03-11&amp;p=.htm" TargetMode="External"/><Relationship Id="rId1422" Type="http://schemas.openxmlformats.org/officeDocument/2006/relationships/hyperlink" Target="http://www.boxofficemojo.com/movies/?id=harvest.htm" TargetMode="External"/><Relationship Id="rId1423" Type="http://schemas.openxmlformats.org/officeDocument/2006/relationships/hyperlink" Target="http://www.boxofficemojo.com/studio/chart/?studio=montereymediainc.htm" TargetMode="External"/><Relationship Id="rId1424" Type="http://schemas.openxmlformats.org/officeDocument/2006/relationships/hyperlink" Target="http://www.boxofficemojo.com/schedule/?view=bydate&amp;release=theatrical&amp;date=2011-05-06&amp;p=.htm" TargetMode="External"/><Relationship Id="rId1425" Type="http://schemas.openxmlformats.org/officeDocument/2006/relationships/hyperlink" Target="http://www.boxofficemojo.com/movies/?id=immigrationtango.htm" TargetMode="External"/><Relationship Id="rId1426" Type="http://schemas.openxmlformats.org/officeDocument/2006/relationships/hyperlink" Target="http://www.boxofficemojo.com/studio/chart/?studio=roadsideattractions.htm" TargetMode="External"/><Relationship Id="rId1427" Type="http://schemas.openxmlformats.org/officeDocument/2006/relationships/hyperlink" Target="http://www.boxofficemojo.com/schedule/?view=bydate&amp;release=theatrical&amp;date=2011-02-18&amp;p=.htm" TargetMode="External"/><Relationship Id="rId1428" Type="http://schemas.openxmlformats.org/officeDocument/2006/relationships/hyperlink" Target="http://www.boxofficemojo.com/movies/?id=after2011.htm" TargetMode="External"/><Relationship Id="rId1429" Type="http://schemas.openxmlformats.org/officeDocument/2006/relationships/hyperlink" Target="http://www.boxofficemojo.com/studio/chart/?studio=unknown.htm" TargetMode="External"/><Relationship Id="rId960" Type="http://schemas.openxmlformats.org/officeDocument/2006/relationships/hyperlink" Target="http://www.boxofficemojo.com/movies/?id=foundingofaparty.htm" TargetMode="External"/><Relationship Id="rId961" Type="http://schemas.openxmlformats.org/officeDocument/2006/relationships/hyperlink" Target="http://www.boxofficemojo.com/studio/chart/?studio=chinalion.htm" TargetMode="External"/><Relationship Id="rId962" Type="http://schemas.openxmlformats.org/officeDocument/2006/relationships/hyperlink" Target="http://www.boxofficemojo.com/schedule/?view=bydate&amp;release=theatrical&amp;date=2011-06-24&amp;p=.htm" TargetMode="External"/><Relationship Id="rId963" Type="http://schemas.openxmlformats.org/officeDocument/2006/relationships/hyperlink" Target="http://www.boxofficemojo.com/movies/?id=revengeoftheelectriccar.htm" TargetMode="External"/><Relationship Id="rId964" Type="http://schemas.openxmlformats.org/officeDocument/2006/relationships/hyperlink" Target="http://www.boxofficemojo.com/studio/chart/?studio=area23a.htm" TargetMode="External"/><Relationship Id="rId965" Type="http://schemas.openxmlformats.org/officeDocument/2006/relationships/hyperlink" Target="http://www.boxofficemojo.com/schedule/?view=bydate&amp;release=theatrical&amp;date=2011-10-21&amp;p=.htm" TargetMode="External"/><Relationship Id="rId180" Type="http://schemas.openxmlformats.org/officeDocument/2006/relationships/hyperlink" Target="http://www.boxofficemojo.com/movies/?id=midnightinparis.htm" TargetMode="External"/><Relationship Id="rId181" Type="http://schemas.openxmlformats.org/officeDocument/2006/relationships/hyperlink" Target="http://www.boxofficemojo.com/studio/chart/?studio=sonyclassics.htm" TargetMode="External"/><Relationship Id="rId182" Type="http://schemas.openxmlformats.org/officeDocument/2006/relationships/hyperlink" Target="http://www.boxofficemojo.com/schedule/?view=bydate&amp;release=theatrical&amp;date=2011-05-20&amp;p=.htm" TargetMode="External"/><Relationship Id="rId183" Type="http://schemas.openxmlformats.org/officeDocument/2006/relationships/hyperlink" Target="http://www.boxofficemojo.com/movies/?id=friendswithbenefits10.htm" TargetMode="External"/><Relationship Id="rId184" Type="http://schemas.openxmlformats.org/officeDocument/2006/relationships/hyperlink" Target="http://www.boxofficemojo.com/studio/chart/?studio=screengems.htm" TargetMode="External"/><Relationship Id="rId185" Type="http://schemas.openxmlformats.org/officeDocument/2006/relationships/hyperlink" Target="http://www.boxofficemojo.com/schedule/?view=bydate&amp;release=theatrical&amp;date=2011-07-22&amp;p=.htm" TargetMode="External"/><Relationship Id="rId186" Type="http://schemas.openxmlformats.org/officeDocument/2006/relationships/hyperlink" Target="http://www.boxofficemojo.com/movies/?id=iamnumberfour.htm" TargetMode="External"/><Relationship Id="rId187" Type="http://schemas.openxmlformats.org/officeDocument/2006/relationships/hyperlink" Target="http://www.boxofficemojo.com/studio/chart/?studio=buenavista.htm" TargetMode="External"/><Relationship Id="rId188" Type="http://schemas.openxmlformats.org/officeDocument/2006/relationships/hyperlink" Target="http://www.boxofficemojo.com/schedule/?view=bydate&amp;release=theatrical&amp;date=2011-02-18&amp;p=.htm" TargetMode="External"/><Relationship Id="rId189" Type="http://schemas.openxmlformats.org/officeDocument/2006/relationships/hyperlink" Target="http://www.boxofficemojo.com/movies/?id=sourcecode.htm" TargetMode="External"/><Relationship Id="rId966" Type="http://schemas.openxmlformats.org/officeDocument/2006/relationships/hyperlink" Target="http://www.boxofficemojo.com/movies/?id=gunhillroad.htm" TargetMode="External"/><Relationship Id="rId967" Type="http://schemas.openxmlformats.org/officeDocument/2006/relationships/hyperlink" Target="http://www.boxofficemojo.com/studio/chart/?studio=motionfilmgroup.htm" TargetMode="External"/><Relationship Id="rId968" Type="http://schemas.openxmlformats.org/officeDocument/2006/relationships/hyperlink" Target="http://www.boxofficemojo.com/schedule/?view=bydate&amp;release=theatrical&amp;date=2011-08-05&amp;p=.htm" TargetMode="External"/><Relationship Id="rId969" Type="http://schemas.openxmlformats.org/officeDocument/2006/relationships/hyperlink" Target="http://www.boxofficemojo.com/movies/?id=thundersoul.htm" TargetMode="External"/><Relationship Id="rId1030" Type="http://schemas.openxmlformats.org/officeDocument/2006/relationships/hyperlink" Target="http://www.boxofficemojo.com/studio/chart/?studio=insurgent.htm" TargetMode="External"/><Relationship Id="rId1031" Type="http://schemas.openxmlformats.org/officeDocument/2006/relationships/hyperlink" Target="http://www.boxofficemojo.com/schedule/?view=bydate&amp;release=theatrical&amp;date=2011-04-06&amp;p=.htm" TargetMode="External"/><Relationship Id="rId1032" Type="http://schemas.openxmlformats.org/officeDocument/2006/relationships/hyperlink" Target="http://www.boxofficemojo.com/movies/?id=35andticking.htm" TargetMode="External"/><Relationship Id="rId1033" Type="http://schemas.openxmlformats.org/officeDocument/2006/relationships/hyperlink" Target="http://www.boxofficemojo.com/studio/chart/?studio=imageentertainment.htm" TargetMode="External"/><Relationship Id="rId1034" Type="http://schemas.openxmlformats.org/officeDocument/2006/relationships/hyperlink" Target="http://www.boxofficemojo.com/schedule/?view=bydate&amp;release=theatrical&amp;date=2011-05-20&amp;p=.htm" TargetMode="External"/><Relationship Id="rId1035" Type="http://schemas.openxmlformats.org/officeDocument/2006/relationships/hyperlink" Target="http://www.boxofficemojo.com/movies/?id=mysteriesoflisbon.htm" TargetMode="External"/><Relationship Id="rId1036" Type="http://schemas.openxmlformats.org/officeDocument/2006/relationships/hyperlink" Target="http://www.boxofficemojo.com/studio/chart/?studio=musicboxfilms.htm" TargetMode="External"/><Relationship Id="rId1037" Type="http://schemas.openxmlformats.org/officeDocument/2006/relationships/hyperlink" Target="http://www.boxofficemojo.com/schedule/?view=bydate&amp;release=theatrical&amp;date=2011-08-05&amp;p=.htm" TargetMode="External"/><Relationship Id="rId1038" Type="http://schemas.openxmlformats.org/officeDocument/2006/relationships/hyperlink" Target="http://www.boxofficemojo.com/movies/?id=stevejobs.htm" TargetMode="External"/><Relationship Id="rId1039" Type="http://schemas.openxmlformats.org/officeDocument/2006/relationships/hyperlink" Target="http://www.boxofficemojo.com/studio/chart/?studio=magnolia.htm" TargetMode="External"/><Relationship Id="rId570" Type="http://schemas.openxmlformats.org/officeDocument/2006/relationships/hyperlink" Target="http://www.boxofficemojo.com/movies/?id=senna.htm" TargetMode="External"/><Relationship Id="rId571" Type="http://schemas.openxmlformats.org/officeDocument/2006/relationships/hyperlink" Target="http://www.boxofficemojo.com/studio/chart/?studio=pda.htm" TargetMode="External"/><Relationship Id="rId572" Type="http://schemas.openxmlformats.org/officeDocument/2006/relationships/hyperlink" Target="http://www.boxofficemojo.com/schedule/?view=bydate&amp;release=theatrical&amp;date=2011-08-12&amp;p=.htm" TargetMode="External"/><Relationship Id="rId573" Type="http://schemas.openxmlformats.org/officeDocument/2006/relationships/hyperlink" Target="http://www.boxofficemojo.com/movies/?id=iam.htm" TargetMode="External"/><Relationship Id="rId574" Type="http://schemas.openxmlformats.org/officeDocument/2006/relationships/hyperlink" Target="http://www.boxofficemojo.com/studio/chart/?studio=paladin.htm" TargetMode="External"/><Relationship Id="rId575" Type="http://schemas.openxmlformats.org/officeDocument/2006/relationships/hyperlink" Target="http://www.boxofficemojo.com/schedule/?view=bydate&amp;release=theatrical&amp;date=2011-02-18&amp;p=.htm" TargetMode="External"/><Relationship Id="rId576" Type="http://schemas.openxmlformats.org/officeDocument/2006/relationships/hyperlink" Target="http://www.boxofficemojo.com/movies/?id=delhibelly.htm" TargetMode="External"/><Relationship Id="rId577" Type="http://schemas.openxmlformats.org/officeDocument/2006/relationships/hyperlink" Target="http://www.boxofficemojo.com/studio/chart/?studio=utv.htm" TargetMode="External"/><Relationship Id="rId578" Type="http://schemas.openxmlformats.org/officeDocument/2006/relationships/hyperlink" Target="http://www.boxofficemojo.com/schedule/?view=bydate&amp;release=theatrical&amp;date=2011-07-01&amp;p=.htm" TargetMode="External"/><Relationship Id="rId579" Type="http://schemas.openxmlformats.org/officeDocument/2006/relationships/hyperlink" Target="http://www.boxofficemojo.com/movies/?id=doublehour.htm" TargetMode="External"/><Relationship Id="rId1430" Type="http://schemas.openxmlformats.org/officeDocument/2006/relationships/hyperlink" Target="http://www.boxofficemojo.com/schedule/?view=bydate&amp;release=theatrical&amp;date=2011-09-09&amp;p=.htm" TargetMode="External"/><Relationship Id="rId1431" Type="http://schemas.openxmlformats.org/officeDocument/2006/relationships/hyperlink" Target="http://www.boxofficemojo.com/movies/?id=trespass2011.htm" TargetMode="External"/><Relationship Id="rId1432" Type="http://schemas.openxmlformats.org/officeDocument/2006/relationships/hyperlink" Target="http://www.boxofficemojo.com/studio/chart/?studio=millenniumentertainment.htm" TargetMode="External"/><Relationship Id="rId1433" Type="http://schemas.openxmlformats.org/officeDocument/2006/relationships/hyperlink" Target="http://www.boxofficemojo.com/schedule/?view=bydate&amp;release=theatrical&amp;date=2011-10-14&amp;p=.htm" TargetMode="External"/><Relationship Id="rId1434" Type="http://schemas.openxmlformats.org/officeDocument/2006/relationships/hyperlink" Target="http://www.boxofficemojo.com/movies/?id=ranchero.htm" TargetMode="External"/><Relationship Id="rId1435" Type="http://schemas.openxmlformats.org/officeDocument/2006/relationships/hyperlink" Target="http://www.boxofficemojo.com/studio/chart/?studio=indican.htm" TargetMode="External"/><Relationship Id="rId1436" Type="http://schemas.openxmlformats.org/officeDocument/2006/relationships/hyperlink" Target="http://www.boxofficemojo.com/schedule/?view=bydate&amp;release=theatrical&amp;date=2011-07-08&amp;p=.htm" TargetMode="External"/><Relationship Id="rId1437" Type="http://schemas.openxmlformats.org/officeDocument/2006/relationships/hyperlink" Target="http://www.boxofficemojo.com/movies/?id=shutuplittleman.htm" TargetMode="External"/><Relationship Id="rId1438" Type="http://schemas.openxmlformats.org/officeDocument/2006/relationships/hyperlink" Target="http://www.boxofficemojo.com/studio/chart/?studio=tribecafilm.htm" TargetMode="External"/><Relationship Id="rId1439" Type="http://schemas.openxmlformats.org/officeDocument/2006/relationships/hyperlink" Target="http://www.boxofficemojo.com/schedule/?view=bydate&amp;release=theatrical&amp;date=2011-08-26&amp;p=.htm" TargetMode="External"/><Relationship Id="rId970" Type="http://schemas.openxmlformats.org/officeDocument/2006/relationships/hyperlink" Target="http://www.boxofficemojo.com/studio/chart/?studio=roadsideattractions.htm" TargetMode="External"/><Relationship Id="rId971" Type="http://schemas.openxmlformats.org/officeDocument/2006/relationships/hyperlink" Target="http://www.boxofficemojo.com/schedule/?view=bydate&amp;release=theatrical&amp;date=2011-09-23&amp;p=.htm" TargetMode="External"/><Relationship Id="rId972" Type="http://schemas.openxmlformats.org/officeDocument/2006/relationships/hyperlink" Target="http://www.boxofficemojo.com/movies/?id=orangesandsunshine.htm" TargetMode="External"/><Relationship Id="rId973" Type="http://schemas.openxmlformats.org/officeDocument/2006/relationships/hyperlink" Target="http://www.boxofficemojo.com/studio/chart/?studio=cohenmedia.htm" TargetMode="External"/><Relationship Id="rId974" Type="http://schemas.openxmlformats.org/officeDocument/2006/relationships/hyperlink" Target="http://www.boxofficemojo.com/schedule/?view=bydate&amp;release=theatrical&amp;date=2011-10-21&amp;p=.htm" TargetMode="External"/><Relationship Id="rId975" Type="http://schemas.openxmlformats.org/officeDocument/2006/relationships/hyperlink" Target="http://www.boxofficemojo.com/movies/?id=humancentipede2.htm" TargetMode="External"/><Relationship Id="rId190" Type="http://schemas.openxmlformats.org/officeDocument/2006/relationships/hyperlink" Target="http://www.boxofficemojo.com/studio/chart/?studio=summitentertainment.htm" TargetMode="External"/><Relationship Id="rId191" Type="http://schemas.openxmlformats.org/officeDocument/2006/relationships/hyperlink" Target="http://www.boxofficemojo.com/schedule/?view=bydate&amp;release=theatrical&amp;date=2011-04-01&amp;p=.htm" TargetMode="External"/><Relationship Id="rId192" Type="http://schemas.openxmlformats.org/officeDocument/2006/relationships/hyperlink" Target="http://www.boxofficemojo.com/movies/?id=newyearseve.htm" TargetMode="External"/><Relationship Id="rId193" Type="http://schemas.openxmlformats.org/officeDocument/2006/relationships/hyperlink" Target="http://www.boxofficemojo.com/studio/chart/?studio=wb-newline.htm" TargetMode="External"/><Relationship Id="rId194" Type="http://schemas.openxmlformats.org/officeDocument/2006/relationships/hyperlink" Target="http://www.boxofficemojo.com/schedule/?view=bydate&amp;release=theatrical&amp;date=2011-12-09&amp;p=.htm" TargetMode="External"/><Relationship Id="rId195" Type="http://schemas.openxmlformats.org/officeDocument/2006/relationships/hyperlink" Target="http://www.boxofficemojo.com/movies/?id=insidious.htm" TargetMode="External"/><Relationship Id="rId196" Type="http://schemas.openxmlformats.org/officeDocument/2006/relationships/hyperlink" Target="http://www.boxofficemojo.com/studio/chart/?studio=filmdistrict.htm" TargetMode="External"/><Relationship Id="rId197" Type="http://schemas.openxmlformats.org/officeDocument/2006/relationships/hyperlink" Target="http://www.boxofficemojo.com/schedule/?view=bydate&amp;release=theatrical&amp;date=2011-04-01&amp;p=.htm" TargetMode="External"/><Relationship Id="rId198" Type="http://schemas.openxmlformats.org/officeDocument/2006/relationships/hyperlink" Target="http://www.boxofficemojo.com/movies/?id=madeasbighappyfamily.htm" TargetMode="External"/><Relationship Id="rId199" Type="http://schemas.openxmlformats.org/officeDocument/2006/relationships/hyperlink" Target="http://www.boxofficemojo.com/studio/chart/?studio=lionsgate.htm" TargetMode="External"/><Relationship Id="rId976" Type="http://schemas.openxmlformats.org/officeDocument/2006/relationships/hyperlink" Target="http://www.boxofficemojo.com/studio/chart/?studio=ifc.htm" TargetMode="External"/><Relationship Id="rId977" Type="http://schemas.openxmlformats.org/officeDocument/2006/relationships/hyperlink" Target="http://www.boxofficemojo.com/schedule/?view=bydate&amp;release=theatrical&amp;date=2011-10-07&amp;p=.htm" TargetMode="External"/><Relationship Id="rId978" Type="http://schemas.openxmlformats.org/officeDocument/2006/relationships/hyperlink" Target="http://www.boxofficemojo.com/movies/?id=coldweather.htm" TargetMode="External"/><Relationship Id="rId979" Type="http://schemas.openxmlformats.org/officeDocument/2006/relationships/hyperlink" Target="http://www.boxofficemojo.com/studio/chart/?studio=ifc.htm" TargetMode="External"/><Relationship Id="rId1040" Type="http://schemas.openxmlformats.org/officeDocument/2006/relationships/hyperlink" Target="http://www.boxofficemojo.com/schedule/?view=bydate&amp;release=theatrical&amp;date=2011-11-16&amp;p=.htm" TargetMode="External"/><Relationship Id="rId1041" Type="http://schemas.openxmlformats.org/officeDocument/2006/relationships/hyperlink" Target="http://www.boxofficemojo.com/movies/?id=henryscrime.htm" TargetMode="External"/><Relationship Id="rId1042" Type="http://schemas.openxmlformats.org/officeDocument/2006/relationships/hyperlink" Target="http://www.boxofficemojo.com/studio/chart/?studio=mpft.htm" TargetMode="External"/><Relationship Id="rId1043" Type="http://schemas.openxmlformats.org/officeDocument/2006/relationships/hyperlink" Target="http://www.boxofficemojo.com/schedule/?view=bydate&amp;release=theatrical&amp;date=2011-04-08&amp;p=.htm" TargetMode="External"/><Relationship Id="rId1044" Type="http://schemas.openxmlformats.org/officeDocument/2006/relationships/hyperlink" Target="http://www.boxofficemojo.com/movies/?id=inthefamily.htm" TargetMode="External"/><Relationship Id="rId1045" Type="http://schemas.openxmlformats.org/officeDocument/2006/relationships/hyperlink" Target="http://www.boxofficemojo.com/studio/chart/?studio=inthefamily.htm" TargetMode="External"/><Relationship Id="rId1046" Type="http://schemas.openxmlformats.org/officeDocument/2006/relationships/hyperlink" Target="http://www.boxofficemojo.com/schedule/?view=bydate&amp;release=theatrical&amp;date=2011-11-04&amp;p=.htm" TargetMode="External"/><Relationship Id="rId1047" Type="http://schemas.openxmlformats.org/officeDocument/2006/relationships/hyperlink" Target="http://www.boxofficemojo.com/movies/?id=rubber.htm" TargetMode="External"/><Relationship Id="rId1048" Type="http://schemas.openxmlformats.org/officeDocument/2006/relationships/hyperlink" Target="http://www.boxofficemojo.com/studio/chart/?studio=magnolia.htm" TargetMode="External"/><Relationship Id="rId1049" Type="http://schemas.openxmlformats.org/officeDocument/2006/relationships/hyperlink" Target="http://www.boxofficemojo.com/schedule/?view=bydate&amp;release=theatrical&amp;date=2011-04-01&amp;p=.htm" TargetMode="External"/><Relationship Id="rId580" Type="http://schemas.openxmlformats.org/officeDocument/2006/relationships/hyperlink" Target="http://www.boxofficemojo.com/studio/chart/?studio=samuelgoldwyn.htm" TargetMode="External"/><Relationship Id="rId581" Type="http://schemas.openxmlformats.org/officeDocument/2006/relationships/hyperlink" Target="http://www.boxofficemojo.com/schedule/?view=bydate&amp;release=theatrical&amp;date=2011-04-15&amp;p=.htm" TargetMode="External"/><Relationship Id="rId582" Type="http://schemas.openxmlformats.org/officeDocument/2006/relationships/hyperlink" Target="http://www.boxofficemojo.com/movies/?id=billcunninghamnewyork.htm" TargetMode="External"/><Relationship Id="rId583" Type="http://schemas.openxmlformats.org/officeDocument/2006/relationships/hyperlink" Target="http://www.boxofficemojo.com/studio/chart/?studio=zeitgeist.htm" TargetMode="External"/><Relationship Id="rId584" Type="http://schemas.openxmlformats.org/officeDocument/2006/relationships/hyperlink" Target="http://www.boxofficemojo.com/schedule/?view=bydate&amp;release=theatrical&amp;date=2011-03-16&amp;p=.htm" TargetMode="External"/><Relationship Id="rId585" Type="http://schemas.openxmlformats.org/officeDocument/2006/relationships/hyperlink" Target="http://www.boxofficemojo.com/movies/?id=homework2011.htm" TargetMode="External"/><Relationship Id="rId586" Type="http://schemas.openxmlformats.org/officeDocument/2006/relationships/hyperlink" Target="http://www.boxofficemojo.com/studio/chart/?studio=foxsearchlight.htm" TargetMode="External"/><Relationship Id="rId587" Type="http://schemas.openxmlformats.org/officeDocument/2006/relationships/hyperlink" Target="http://www.boxofficemojo.com/schedule/?view=bydate&amp;release=theatrical&amp;date=2011-06-17&amp;p=.htm" TargetMode="External"/><Relationship Id="rId588" Type="http://schemas.openxmlformats.org/officeDocument/2006/relationships/hyperlink" Target="http://www.boxofficemojo.com/movies/?id=savingprivateperez.htm" TargetMode="External"/><Relationship Id="rId589" Type="http://schemas.openxmlformats.org/officeDocument/2006/relationships/hyperlink" Target="http://www.boxofficemojo.com/studio/chart/?studio=lionsgate.htm" TargetMode="External"/><Relationship Id="rId1440" Type="http://schemas.openxmlformats.org/officeDocument/2006/relationships/hyperlink" Target="http://www.boxofficemojo.com/movies/?id=rawfaith.htm" TargetMode="External"/><Relationship Id="rId1441" Type="http://schemas.openxmlformats.org/officeDocument/2006/relationships/hyperlink" Target="http://www.boxofficemojo.com/studio/chart/?studio=alivemind.htm" TargetMode="External"/><Relationship Id="rId1442" Type="http://schemas.openxmlformats.org/officeDocument/2006/relationships/hyperlink" Target="http://www.boxofficemojo.com/schedule/?view=bydate&amp;release=theatrical&amp;date=2011-06-24&amp;p=.htm" TargetMode="External"/><Relationship Id="rId1443" Type="http://schemas.openxmlformats.org/officeDocument/2006/relationships/hyperlink" Target="http://www.boxofficemojo.com/movies/?id=lostbohemia.htm" TargetMode="External"/><Relationship Id="rId1444" Type="http://schemas.openxmlformats.org/officeDocument/2006/relationships/hyperlink" Target="http://www.boxofficemojo.com/studio/chart/?studio=longshotfactory.htm" TargetMode="External"/><Relationship Id="rId1445" Type="http://schemas.openxmlformats.org/officeDocument/2006/relationships/hyperlink" Target="http://www.boxofficemojo.com/schedule/?view=bydate&amp;release=theatrical&amp;date=2011-05-20&amp;p=.htm" TargetMode="External"/><Relationship Id="rId1446" Type="http://schemas.openxmlformats.org/officeDocument/2006/relationships/hyperlink" Target="http://www.boxofficemojo.com/movies/?id=vanishingon7thstreet.htm" TargetMode="External"/><Relationship Id="rId1447" Type="http://schemas.openxmlformats.org/officeDocument/2006/relationships/hyperlink" Target="http://www.boxofficemojo.com/studio/chart/?studio=magnolia.htm" TargetMode="External"/><Relationship Id="rId1448" Type="http://schemas.openxmlformats.org/officeDocument/2006/relationships/hyperlink" Target="http://www.boxofficemojo.com/schedule/?view=bydate&amp;release=theatrical&amp;date=2011-02-18&amp;p=.htm" TargetMode="External"/><Relationship Id="rId1449" Type="http://schemas.openxmlformats.org/officeDocument/2006/relationships/hyperlink" Target="http://www.boxofficemojo.com/movies/?id=blackdeath.htm" TargetMode="External"/><Relationship Id="rId980" Type="http://schemas.openxmlformats.org/officeDocument/2006/relationships/hyperlink" Target="http://www.boxofficemojo.com/schedule/?view=bydate&amp;release=theatrical&amp;date=2011-02-04&amp;p=.htm" TargetMode="External"/><Relationship Id="rId981" Type="http://schemas.openxmlformats.org/officeDocument/2006/relationships/hyperlink" Target="http://www.boxofficemojo.com/movies/?id=game2011.htm" TargetMode="External"/><Relationship Id="rId982" Type="http://schemas.openxmlformats.org/officeDocument/2006/relationships/hyperlink" Target="http://www.boxofficemojo.com/studio/chart/?studio=eros.htm" TargetMode="External"/><Relationship Id="rId983" Type="http://schemas.openxmlformats.org/officeDocument/2006/relationships/hyperlink" Target="http://www.boxofficemojo.com/schedule/?view=bydate&amp;release=theatrical&amp;date=2011-04-01&amp;p=.htm" TargetMode="External"/><Relationship Id="rId984" Type="http://schemas.openxmlformats.org/officeDocument/2006/relationships/hyperlink" Target="http://www.boxofficemojo.com/movies/?id=double2011.htm" TargetMode="External"/><Relationship Id="rId985" Type="http://schemas.openxmlformats.org/officeDocument/2006/relationships/hyperlink" Target="http://www.boxofficemojo.com/studio/chart/?studio=imageentertainment.htm" TargetMode="External"/><Relationship Id="rId986" Type="http://schemas.openxmlformats.org/officeDocument/2006/relationships/hyperlink" Target="http://www.boxofficemojo.com/schedule/?view=bydate&amp;release=theatrical&amp;date=2011-10-28&amp;p=.htm" TargetMode="External"/><Relationship Id="rId987" Type="http://schemas.openxmlformats.org/officeDocument/2006/relationships/hyperlink" Target="http://www.boxofficemojo.com/movies/?id=labiosrojos.htm" TargetMode="External"/><Relationship Id="rId988" Type="http://schemas.openxmlformats.org/officeDocument/2006/relationships/hyperlink" Target="http://www.boxofficemojo.com/studio/chart/?studio=lionsgate.htm" TargetMode="External"/><Relationship Id="rId989" Type="http://schemas.openxmlformats.org/officeDocument/2006/relationships/hyperlink" Target="http://www.boxofficemojo.com/schedule/?view=bydate&amp;release=theatrical&amp;date=2011-10-14&amp;p=.htm" TargetMode="External"/><Relationship Id="rId1050" Type="http://schemas.openxmlformats.org/officeDocument/2006/relationships/hyperlink" Target="http://www.boxofficemojo.com/movies/?id=rejoiceandshout.htm" TargetMode="External"/><Relationship Id="rId1051" Type="http://schemas.openxmlformats.org/officeDocument/2006/relationships/hyperlink" Target="http://www.boxofficemojo.com/studio/chart/?studio=magnolia.htm" TargetMode="External"/><Relationship Id="rId1052" Type="http://schemas.openxmlformats.org/officeDocument/2006/relationships/hyperlink" Target="http://www.boxofficemojo.com/schedule/?view=bydate&amp;release=theatrical&amp;date=2011-06-03&amp;p=.htm" TargetMode="External"/><Relationship Id="rId1053" Type="http://schemas.openxmlformats.org/officeDocument/2006/relationships/hyperlink" Target="http://www.boxofficemojo.com/movies/?id=elitesquad2.htm" TargetMode="External"/><Relationship Id="rId1054" Type="http://schemas.openxmlformats.org/officeDocument/2006/relationships/hyperlink" Target="http://www.boxofficemojo.com/studio/chart/?studio=variancefilms.htm" TargetMode="External"/><Relationship Id="rId1055" Type="http://schemas.openxmlformats.org/officeDocument/2006/relationships/hyperlink" Target="http://www.boxofficemojo.com/schedule/?view=bydate&amp;release=theatrical&amp;date=2011-11-11&amp;p=.htm" TargetMode="External"/><Relationship Id="rId1056" Type="http://schemas.openxmlformats.org/officeDocument/2006/relationships/hyperlink" Target="http://www.boxofficemojo.com/movies/?id=manwhofelltoearth11.htm" TargetMode="External"/><Relationship Id="rId1057" Type="http://schemas.openxmlformats.org/officeDocument/2006/relationships/hyperlink" Target="http://www.boxofficemojo.com/studio/chart/?studio=rialto.htm" TargetMode="External"/><Relationship Id="rId1058" Type="http://schemas.openxmlformats.org/officeDocument/2006/relationships/hyperlink" Target="http://www.boxofficemojo.com/schedule/?view=bydate&amp;release=theatrical&amp;date=2011-06-24&amp;p=.htm" TargetMode="External"/><Relationship Id="rId1059" Type="http://schemas.openxmlformats.org/officeDocument/2006/relationships/hyperlink" Target="http://www.boxofficemojo.com/movies/?id=lastnight09.htm" TargetMode="External"/><Relationship Id="rId590" Type="http://schemas.openxmlformats.org/officeDocument/2006/relationships/hyperlink" Target="http://www.boxofficemojo.com/schedule/?view=bydate&amp;release=theatrical&amp;date=2011-09-02&amp;p=.htm" TargetMode="External"/><Relationship Id="rId591" Type="http://schemas.openxmlformats.org/officeDocument/2006/relationships/hyperlink" Target="http://www.boxofficemojo.com/movies/?id=certifiedcopy.htm" TargetMode="External"/><Relationship Id="rId592" Type="http://schemas.openxmlformats.org/officeDocument/2006/relationships/hyperlink" Target="http://www.boxofficemojo.com/studio/chart/?studio=ifc.htm" TargetMode="External"/><Relationship Id="rId593" Type="http://schemas.openxmlformats.org/officeDocument/2006/relationships/hyperlink" Target="http://www.boxofficemojo.com/schedule/?view=bydate&amp;release=theatrical&amp;date=2011-03-11&amp;p=.htm" TargetMode="External"/><Relationship Id="rId594" Type="http://schemas.openxmlformats.org/officeDocument/2006/relationships/hyperlink" Target="http://www.boxofficemojo.com/movies/?id=devilsdouble.htm" TargetMode="External"/><Relationship Id="rId595" Type="http://schemas.openxmlformats.org/officeDocument/2006/relationships/hyperlink" Target="http://www.boxofficemojo.com/studio/chart/?studio=lionsgate.htm" TargetMode="External"/><Relationship Id="rId596" Type="http://schemas.openxmlformats.org/officeDocument/2006/relationships/hyperlink" Target="http://www.boxofficemojo.com/schedule/?view=bydate&amp;release=theatrical&amp;date=2011-07-29&amp;p=.htm" TargetMode="External"/><Relationship Id="rId597" Type="http://schemas.openxmlformats.org/officeDocument/2006/relationships/hyperlink" Target="http://www.boxofficemojo.com/movies/?id=2011oscarshorts.htm" TargetMode="External"/><Relationship Id="rId598" Type="http://schemas.openxmlformats.org/officeDocument/2006/relationships/hyperlink" Target="http://www.boxofficemojo.com/studio/chart/?studio=shortsinternational.htm" TargetMode="External"/><Relationship Id="rId599" Type="http://schemas.openxmlformats.org/officeDocument/2006/relationships/hyperlink" Target="http://www.boxofficemojo.com/schedule/?view=bydate&amp;release=theatrical&amp;date=2011-02-11&amp;p=.htm" TargetMode="External"/><Relationship Id="rId1450" Type="http://schemas.openxmlformats.org/officeDocument/2006/relationships/hyperlink" Target="http://www.boxofficemojo.com/studio/chart/?studio=magnolia.htm" TargetMode="External"/><Relationship Id="rId1451" Type="http://schemas.openxmlformats.org/officeDocument/2006/relationships/hyperlink" Target="http://www.boxofficemojo.com/schedule/?view=bydate&amp;release=theatrical&amp;date=2011-03-11&amp;p=.htm" TargetMode="External"/><Relationship Id="rId1452" Type="http://schemas.openxmlformats.org/officeDocument/2006/relationships/hyperlink" Target="http://www.boxofficemojo.com/movies/?id=incendiary.htm" TargetMode="External"/><Relationship Id="rId1453" Type="http://schemas.openxmlformats.org/officeDocument/2006/relationships/hyperlink" Target="http://www.boxofficemojo.com/studio/chart/?studio=trulyindie.htm" TargetMode="External"/><Relationship Id="rId1454" Type="http://schemas.openxmlformats.org/officeDocument/2006/relationships/hyperlink" Target="http://www.boxofficemojo.com/schedule/?view=bydate&amp;release=theatrical&amp;date=2011-09-23&amp;p=.htm" TargetMode="External"/><Relationship Id="rId1455" Type="http://schemas.openxmlformats.org/officeDocument/2006/relationships/hyperlink" Target="http://www.boxofficemojo.com/movies/?id=tyrannosaur.htm" TargetMode="External"/><Relationship Id="rId1456" Type="http://schemas.openxmlformats.org/officeDocument/2006/relationships/hyperlink" Target="http://www.boxofficemojo.com/studio/chart/?studio=strand.htm" TargetMode="External"/><Relationship Id="rId1457" Type="http://schemas.openxmlformats.org/officeDocument/2006/relationships/hyperlink" Target="http://www.boxofficemojo.com/schedule/?view=bydate&amp;release=theatrical&amp;date=2011-11-18&amp;p=.htm" TargetMode="External"/><Relationship Id="rId1458" Type="http://schemas.openxmlformats.org/officeDocument/2006/relationships/hyperlink" Target="http://www.boxofficemojo.com/movies/?id=ceremony.htm" TargetMode="External"/><Relationship Id="rId1459" Type="http://schemas.openxmlformats.org/officeDocument/2006/relationships/hyperlink" Target="http://www.boxofficemojo.com/studio/chart/?studio=magnolia.htm" TargetMode="External"/><Relationship Id="rId990" Type="http://schemas.openxmlformats.org/officeDocument/2006/relationships/hyperlink" Target="http://www.boxofficemojo.com/movies/?id=iwillfollow.htm" TargetMode="External"/><Relationship Id="rId991" Type="http://schemas.openxmlformats.org/officeDocument/2006/relationships/hyperlink" Target="http://www.boxofficemojo.com/studio/chart/?studio=affrm.htm" TargetMode="External"/><Relationship Id="rId992" Type="http://schemas.openxmlformats.org/officeDocument/2006/relationships/hyperlink" Target="http://www.boxofficemojo.com/schedule/?view=bydate&amp;release=theatrical&amp;date=2011-03-11&amp;p=.htm" TargetMode="External"/><Relationship Id="rId993" Type="http://schemas.openxmlformats.org/officeDocument/2006/relationships/hyperlink" Target="http://www.boxofficemojo.com/movies/?id=1911.htm" TargetMode="External"/><Relationship Id="rId994" Type="http://schemas.openxmlformats.org/officeDocument/2006/relationships/hyperlink" Target="http://www.boxofficemojo.com/studio/chart/?studio=variancefilms.htm" TargetMode="External"/><Relationship Id="rId995" Type="http://schemas.openxmlformats.org/officeDocument/2006/relationships/hyperlink" Target="http://www.boxofficemojo.com/schedule/?view=bydate&amp;release=theatrical&amp;date=2011-10-07&amp;p=.htm" TargetMode="External"/><Relationship Id="rId996" Type="http://schemas.openxmlformats.org/officeDocument/2006/relationships/hyperlink" Target="http://www.boxofficemojo.com/movies/?id=lifeaboveall.htm" TargetMode="External"/><Relationship Id="rId997" Type="http://schemas.openxmlformats.org/officeDocument/2006/relationships/hyperlink" Target="http://www.boxofficemojo.com/studio/chart/?studio=sonyclassics.htm" TargetMode="External"/><Relationship Id="rId998" Type="http://schemas.openxmlformats.org/officeDocument/2006/relationships/hyperlink" Target="http://www.boxofficemojo.com/schedule/?view=bydate&amp;release=theatrical&amp;date=2011-07-15&amp;p=.htm" TargetMode="External"/><Relationship Id="rId999" Type="http://schemas.openxmlformats.org/officeDocument/2006/relationships/hyperlink" Target="http://www.boxofficemojo.com/movies/?id=evangelion2.htm" TargetMode="External"/><Relationship Id="rId1060" Type="http://schemas.openxmlformats.org/officeDocument/2006/relationships/hyperlink" Target="http://www.boxofficemojo.com/studio/chart/?studio=tribecafilm.htm" TargetMode="External"/><Relationship Id="rId1061" Type="http://schemas.openxmlformats.org/officeDocument/2006/relationships/hyperlink" Target="http://www.boxofficemojo.com/schedule/?view=bydate&amp;release=theatrical&amp;date=2011-05-06&amp;p=.htm" TargetMode="External"/><Relationship Id="rId1062" Type="http://schemas.openxmlformats.org/officeDocument/2006/relationships/hyperlink" Target="http://www.boxofficemojo.com/movies/?id=alittlehelp.htm" TargetMode="External"/><Relationship Id="rId1063" Type="http://schemas.openxmlformats.org/officeDocument/2006/relationships/hyperlink" Target="http://www.boxofficemojo.com/studio/chart/?studio=fs.htm" TargetMode="External"/><Relationship Id="rId1064" Type="http://schemas.openxmlformats.org/officeDocument/2006/relationships/hyperlink" Target="http://www.boxofficemojo.com/schedule/?view=bydate&amp;release=theatrical&amp;date=2011-07-22&amp;p=.htm" TargetMode="External"/><Relationship Id="rId1065" Type="http://schemas.openxmlformats.org/officeDocument/2006/relationships/hyperlink" Target="http://www.boxofficemojo.com/movies/?id=chalodilli.htm" TargetMode="External"/><Relationship Id="rId1066" Type="http://schemas.openxmlformats.org/officeDocument/2006/relationships/hyperlink" Target="http://www.boxofficemojo.com/studio/chart/?studio=eros.htm" TargetMode="External"/><Relationship Id="rId1067" Type="http://schemas.openxmlformats.org/officeDocument/2006/relationships/hyperlink" Target="http://www.boxofficemojo.com/schedule/?view=bydate&amp;release=theatrical&amp;date=2011-04-29&amp;p=.htm" TargetMode="External"/><Relationship Id="rId1068" Type="http://schemas.openxmlformats.org/officeDocument/2006/relationships/hyperlink" Target="http://www.boxofficemojo.com/movies/?id=myreincarnation.htm" TargetMode="External"/><Relationship Id="rId1069" Type="http://schemas.openxmlformats.org/officeDocument/2006/relationships/hyperlink" Target="http://www.boxofficemojo.com/studio/chart/?studio=longshotfactory.htm" TargetMode="External"/><Relationship Id="rId200" Type="http://schemas.openxmlformats.org/officeDocument/2006/relationships/hyperlink" Target="http://www.boxofficemojo.com/schedule/?view=bydate&amp;release=theatrical&amp;date=2011-04-22&amp;p=.htm" TargetMode="External"/><Relationship Id="rId201" Type="http://schemas.openxmlformats.org/officeDocument/2006/relationships/hyperlink" Target="http://www.boxofficemojo.com/movies/?id=diaryofawimpykid2.htm" TargetMode="External"/><Relationship Id="rId202" Type="http://schemas.openxmlformats.org/officeDocument/2006/relationships/hyperlink" Target="http://www.boxofficemojo.com/studio/chart/?studio=fox.htm" TargetMode="External"/><Relationship Id="rId203" Type="http://schemas.openxmlformats.org/officeDocument/2006/relationships/hyperlink" Target="http://www.boxofficemojo.com/schedule/?view=bydate&amp;release=theatrical&amp;date=2011-03-25&amp;p=.htm" TargetMode="External"/><Relationship Id="rId204" Type="http://schemas.openxmlformats.org/officeDocument/2006/relationships/hyperlink" Target="http://www.boxofficemojo.com/movies/?id=footloose2010.htm" TargetMode="External"/><Relationship Id="rId205" Type="http://schemas.openxmlformats.org/officeDocument/2006/relationships/hyperlink" Target="http://www.boxofficemojo.com/studio/chart/?studio=paramount.htm" TargetMode="External"/><Relationship Id="rId206" Type="http://schemas.openxmlformats.org/officeDocument/2006/relationships/hyperlink" Target="http://www.boxofficemojo.com/schedule/?view=bydate&amp;release=theatrical&amp;date=2011-10-14&amp;p=.htm" TargetMode="External"/><Relationship Id="rId207" Type="http://schemas.openxmlformats.org/officeDocument/2006/relationships/hyperlink" Target="http://www.boxofficemojo.com/movies/?id=howardvaughnjames.htm" TargetMode="External"/><Relationship Id="rId208" Type="http://schemas.openxmlformats.org/officeDocument/2006/relationships/hyperlink" Target="http://www.boxofficemojo.com/studio/chart/?studio=universal.htm" TargetMode="External"/><Relationship Id="rId209" Type="http://schemas.openxmlformats.org/officeDocument/2006/relationships/hyperlink" Target="http://www.boxofficemojo.com/schedule/?view=bydate&amp;release=theatrical&amp;date=2011-01-14&amp;p=.htm" TargetMode="External"/><Relationship Id="rId1460" Type="http://schemas.openxmlformats.org/officeDocument/2006/relationships/hyperlink" Target="http://www.boxofficemojo.com/schedule/?view=bydate&amp;release=theatrical&amp;date=2011-04-08&amp;p=.htm" TargetMode="External"/><Relationship Id="rId1461" Type="http://schemas.openxmlformats.org/officeDocument/2006/relationships/hyperlink" Target="http://www.boxofficemojo.com/movies/?id=allsfaireinlove.htm" TargetMode="External"/><Relationship Id="rId1462" Type="http://schemas.openxmlformats.org/officeDocument/2006/relationships/hyperlink" Target="http://www.boxofficemojo.com/studio/chart/?studio=hannoverhouse.htm" TargetMode="External"/><Relationship Id="rId1463" Type="http://schemas.openxmlformats.org/officeDocument/2006/relationships/hyperlink" Target="http://www.boxofficemojo.com/schedule/?view=bydate&amp;release=theatrical&amp;date=2011-10-28&amp;p=.htm" TargetMode="External"/><Relationship Id="rId1464" Type="http://schemas.openxmlformats.org/officeDocument/2006/relationships/hyperlink" Target="http://www.boxofficemojo.com/movies/?id=fouradventures.htm" TargetMode="External"/><Relationship Id="rId1465" Type="http://schemas.openxmlformats.org/officeDocument/2006/relationships/hyperlink" Target="http://www.boxofficemojo.com/studio/chart/?studio=thefilmdesk.htm" TargetMode="External"/><Relationship Id="rId1466" Type="http://schemas.openxmlformats.org/officeDocument/2006/relationships/hyperlink" Target="http://www.boxofficemojo.com/schedule/?view=bydate&amp;release=theatrical&amp;date=2011-07-20&amp;p=.htm" TargetMode="External"/><Relationship Id="rId1467" Type="http://schemas.openxmlformats.org/officeDocument/2006/relationships/hyperlink" Target="http://www.boxofficemojo.com/movies/?id=answerstonothing.htm" TargetMode="External"/><Relationship Id="rId1468" Type="http://schemas.openxmlformats.org/officeDocument/2006/relationships/hyperlink" Target="http://www.boxofficemojo.com/studio/chart/?studio=roadsideattractions.htm" TargetMode="External"/><Relationship Id="rId1469" Type="http://schemas.openxmlformats.org/officeDocument/2006/relationships/hyperlink" Target="http://www.boxofficemojo.com/schedule/?view=bydate&amp;release=theatrical&amp;date=2011-12-02&amp;p=.htm" TargetMode="External"/><Relationship Id="rId1070" Type="http://schemas.openxmlformats.org/officeDocument/2006/relationships/hyperlink" Target="http://www.boxofficemojo.com/schedule/?view=bydate&amp;release=theatrical&amp;date=2011-10-28&amp;p=.htm" TargetMode="External"/><Relationship Id="rId1071" Type="http://schemas.openxmlformats.org/officeDocument/2006/relationships/hyperlink" Target="http://www.boxofficemojo.com/movies/?id=billhicks.htm" TargetMode="External"/><Relationship Id="rId1072" Type="http://schemas.openxmlformats.org/officeDocument/2006/relationships/hyperlink" Target="http://www.boxofficemojo.com/studio/chart/?studio=variancefilms.htm" TargetMode="External"/><Relationship Id="rId1073" Type="http://schemas.openxmlformats.org/officeDocument/2006/relationships/hyperlink" Target="http://www.boxofficemojo.com/schedule/?view=bydate&amp;release=theatrical&amp;date=2011-04-08&amp;p=.htm" TargetMode="External"/><Relationship Id="rId1074" Type="http://schemas.openxmlformats.org/officeDocument/2006/relationships/hyperlink" Target="http://www.boxofficemojo.com/movies/?id=evilbong3d.htm" TargetMode="External"/><Relationship Id="rId1075" Type="http://schemas.openxmlformats.org/officeDocument/2006/relationships/hyperlink" Target="http://www.boxofficemojo.com/studio/chart/?studio=fullmoonpictures.htm" TargetMode="External"/><Relationship Id="rId1076" Type="http://schemas.openxmlformats.org/officeDocument/2006/relationships/hyperlink" Target="http://www.boxofficemojo.com/schedule/?view=bydate&amp;release=theatrical&amp;date=2011-04-08&amp;p=.htm" TargetMode="External"/><Relationship Id="rId1077" Type="http://schemas.openxmlformats.org/officeDocument/2006/relationships/hyperlink" Target="http://www.boxofficemojo.com/movies/?id=exportingraymond.htm" TargetMode="External"/><Relationship Id="rId1078" Type="http://schemas.openxmlformats.org/officeDocument/2006/relationships/hyperlink" Target="http://www.boxofficemojo.com/studio/chart/?studio=samuelgoldwyn.htm" TargetMode="External"/><Relationship Id="rId1079" Type="http://schemas.openxmlformats.org/officeDocument/2006/relationships/hyperlink" Target="http://www.boxofficemojo.com/schedule/?view=bydate&amp;release=theatrical&amp;date=2011-04-29&amp;p=.htm" TargetMode="External"/><Relationship Id="rId600" Type="http://schemas.openxmlformats.org/officeDocument/2006/relationships/hyperlink" Target="http://www.boxofficemojo.com/movies/?id=snowflower.htm" TargetMode="External"/><Relationship Id="rId601" Type="http://schemas.openxmlformats.org/officeDocument/2006/relationships/hyperlink" Target="http://www.boxofficemojo.com/studio/chart/?studio=foxsearchlight.htm" TargetMode="External"/><Relationship Id="rId602" Type="http://schemas.openxmlformats.org/officeDocument/2006/relationships/hyperlink" Target="http://www.boxofficemojo.com/schedule/?view=bydate&amp;release=theatrical&amp;date=2011-07-15&amp;p=.htm" TargetMode="External"/><Relationship Id="rId603" Type="http://schemas.openxmlformats.org/officeDocument/2006/relationships/hyperlink" Target="http://www.boxofficemojo.com/movies/?id=noerestu.htm" TargetMode="External"/><Relationship Id="rId604" Type="http://schemas.openxmlformats.org/officeDocument/2006/relationships/hyperlink" Target="http://www.boxofficemojo.com/studio/chart/?studio=lionsgate.htm" TargetMode="External"/><Relationship Id="rId605" Type="http://schemas.openxmlformats.org/officeDocument/2006/relationships/hyperlink" Target="http://www.boxofficemojo.com/schedule/?view=bydate&amp;release=theatrical&amp;date=2011-04-08&amp;p=.htm" TargetMode="External"/><Relationship Id="rId606" Type="http://schemas.openxmlformats.org/officeDocument/2006/relationships/hyperlink" Target="http://www.boxofficemojo.com/movies/?id=anotherearth.htm" TargetMode="External"/><Relationship Id="rId607" Type="http://schemas.openxmlformats.org/officeDocument/2006/relationships/hyperlink" Target="http://www.boxofficemojo.com/studio/chart/?studio=foxsearchlight.htm" TargetMode="External"/><Relationship Id="rId608" Type="http://schemas.openxmlformats.org/officeDocument/2006/relationships/hyperlink" Target="http://www.boxofficemojo.com/schedule/?view=bydate&amp;release=theatrical&amp;date=2011-07-22&amp;p=.htm" TargetMode="External"/><Relationship Id="rId609" Type="http://schemas.openxmlformats.org/officeDocument/2006/relationships/hyperlink" Target="http://www.boxofficemojo.com/movies/?id=beatsrhymesandlife.htm" TargetMode="External"/><Relationship Id="rId210" Type="http://schemas.openxmlformats.org/officeDocument/2006/relationships/hyperlink" Target="http://www.boxofficemojo.com/movies/?id=arthurchristmas.htm" TargetMode="External"/><Relationship Id="rId211" Type="http://schemas.openxmlformats.org/officeDocument/2006/relationships/hyperlink" Target="http://www.boxofficemojo.com/studio/chart/?studio=sony.htm" TargetMode="External"/><Relationship Id="rId212" Type="http://schemas.openxmlformats.org/officeDocument/2006/relationships/hyperlink" Target="http://www.boxofficemojo.com/schedule/?view=bydate&amp;release=theatrical&amp;date=2011-11-23&amp;p=.htm" TargetMode="External"/><Relationship Id="rId213" Type="http://schemas.openxmlformats.org/officeDocument/2006/relationships/hyperlink" Target="http://www.boxofficemojo.com/movies/?id=hallpass.htm" TargetMode="External"/><Relationship Id="rId214" Type="http://schemas.openxmlformats.org/officeDocument/2006/relationships/hyperlink" Target="http://www.boxofficemojo.com/studio/chart/?studio=wb-newline.htm" TargetMode="External"/><Relationship Id="rId215" Type="http://schemas.openxmlformats.org/officeDocument/2006/relationships/hyperlink" Target="http://www.boxofficemojo.com/schedule/?view=bydate&amp;release=theatrical&amp;date=2011-02-25&amp;p=.htm" TargetMode="External"/><Relationship Id="rId216" Type="http://schemas.openxmlformats.org/officeDocument/2006/relationships/hyperlink" Target="http://www.boxofficemojo.com/movies/?id=artist.htm" TargetMode="External"/><Relationship Id="rId217" Type="http://schemas.openxmlformats.org/officeDocument/2006/relationships/hyperlink" Target="http://www.boxofficemojo.com/studio/chart/?studio=weinsteincompany.htm" TargetMode="External"/><Relationship Id="rId218" Type="http://schemas.openxmlformats.org/officeDocument/2006/relationships/hyperlink" Target="http://www.boxofficemojo.com/schedule/?view=bydate&amp;release=theatrical&amp;date=2011-11-25&amp;p=.htm" TargetMode="External"/><Relationship Id="rId219" Type="http://schemas.openxmlformats.org/officeDocument/2006/relationships/hyperlink" Target="http://www.boxofficemojo.com/movies/?id=soulsurfer.htm" TargetMode="External"/><Relationship Id="rId1470" Type="http://schemas.openxmlformats.org/officeDocument/2006/relationships/hyperlink" Target="http://www.boxofficemojo.com/movies/?id=arbor.htm" TargetMode="External"/><Relationship Id="rId1471" Type="http://schemas.openxmlformats.org/officeDocument/2006/relationships/hyperlink" Target="http://www.boxofficemojo.com/studio/chart/?studio=strand.htm" TargetMode="External"/><Relationship Id="rId1472" Type="http://schemas.openxmlformats.org/officeDocument/2006/relationships/hyperlink" Target="http://www.boxofficemojo.com/schedule/?view=bydate&amp;release=theatrical&amp;date=2011-04-27&amp;p=.htm" TargetMode="External"/><Relationship Id="rId1473" Type="http://schemas.openxmlformats.org/officeDocument/2006/relationships/hyperlink" Target="http://www.boxofficemojo.com/movies/?id=monogamy.htm" TargetMode="External"/><Relationship Id="rId1474" Type="http://schemas.openxmlformats.org/officeDocument/2006/relationships/hyperlink" Target="http://www.boxofficemojo.com/studio/chart/?studio=oscilloscopepictures.htm" TargetMode="External"/><Relationship Id="rId1475" Type="http://schemas.openxmlformats.org/officeDocument/2006/relationships/hyperlink" Target="http://www.boxofficemojo.com/schedule/?view=bydate&amp;release=theatrical&amp;date=2011-03-11&amp;p=.htm" TargetMode="External"/><Relationship Id="rId1476" Type="http://schemas.openxmlformats.org/officeDocument/2006/relationships/hyperlink" Target="http://www.boxofficemojo.com/movies/?id=alwayskabhikabhi.htm" TargetMode="External"/><Relationship Id="rId1477" Type="http://schemas.openxmlformats.org/officeDocument/2006/relationships/hyperlink" Target="http://www.boxofficemojo.com/studio/chart/?studio=eros.htm" TargetMode="External"/><Relationship Id="rId1478" Type="http://schemas.openxmlformats.org/officeDocument/2006/relationships/hyperlink" Target="http://www.boxofficemojo.com/schedule/?view=bydate&amp;release=theatrical&amp;date=2011-06-17&amp;p=.htm" TargetMode="External"/><Relationship Id="rId1479" Type="http://schemas.openxmlformats.org/officeDocument/2006/relationships/hyperlink" Target="http://www.boxofficemojo.com/movies/?id=resurrectdead.htm" TargetMode="External"/><Relationship Id="rId1080" Type="http://schemas.openxmlformats.org/officeDocument/2006/relationships/hyperlink" Target="http://www.boxofficemojo.com/movies/?id=crazywisdom.htm" TargetMode="External"/><Relationship Id="rId1081" Type="http://schemas.openxmlformats.org/officeDocument/2006/relationships/hyperlink" Target="http://www.boxofficemojo.com/studio/chart/?studio=alivemind.htm" TargetMode="External"/><Relationship Id="rId1082" Type="http://schemas.openxmlformats.org/officeDocument/2006/relationships/hyperlink" Target="http://www.boxofficemojo.com/schedule/?view=bydate&amp;release=theatrical&amp;date=2011-11-25&amp;p=.htm" TargetMode="External"/><Relationship Id="rId1083" Type="http://schemas.openxmlformats.org/officeDocument/2006/relationships/hyperlink" Target="http://www.boxofficemojo.com/movies/?id=vidalsassoon.htm" TargetMode="External"/><Relationship Id="rId1084" Type="http://schemas.openxmlformats.org/officeDocument/2006/relationships/hyperlink" Target="http://www.boxofficemojo.com/studio/chart/?studio=phase4.htm" TargetMode="External"/><Relationship Id="rId1085" Type="http://schemas.openxmlformats.org/officeDocument/2006/relationships/hyperlink" Target="http://www.boxofficemojo.com/schedule/?view=bydate&amp;release=theatrical&amp;date=2011-02-11&amp;p=.htm" TargetMode="External"/><Relationship Id="rId1086" Type="http://schemas.openxmlformats.org/officeDocument/2006/relationships/hyperlink" Target="http://www.boxofficemojo.com/movies/?id=carancho.htm" TargetMode="External"/><Relationship Id="rId1087" Type="http://schemas.openxmlformats.org/officeDocument/2006/relationships/hyperlink" Target="http://www.boxofficemojo.com/studio/chart/?studio=strand.htm" TargetMode="External"/><Relationship Id="rId1088" Type="http://schemas.openxmlformats.org/officeDocument/2006/relationships/hyperlink" Target="http://www.boxofficemojo.com/schedule/?view=bydate&amp;release=theatrical&amp;date=2011-02-11&amp;p=.htm" TargetMode="External"/><Relationship Id="rId1089" Type="http://schemas.openxmlformats.org/officeDocument/2006/relationships/hyperlink" Target="http://www.boxofficemojo.com/movies/?id=wretchesandjabberers.htm" TargetMode="External"/><Relationship Id="rId610" Type="http://schemas.openxmlformats.org/officeDocument/2006/relationships/hyperlink" Target="http://www.boxofficemojo.com/studio/chart/?studio=sonyclassics.htm" TargetMode="External"/><Relationship Id="rId611" Type="http://schemas.openxmlformats.org/officeDocument/2006/relationships/hyperlink" Target="http://www.boxofficemojo.com/schedule/?view=bydate&amp;release=theatrical&amp;date=2011-07-08&amp;p=.htm" TargetMode="External"/><Relationship Id="rId612" Type="http://schemas.openxmlformats.org/officeDocument/2006/relationships/hyperlink" Target="http://www.boxofficemojo.com/movies/?id=killtheirishman.htm" TargetMode="External"/><Relationship Id="rId613" Type="http://schemas.openxmlformats.org/officeDocument/2006/relationships/hyperlink" Target="http://www.boxofficemojo.com/studio/chart/?studio=anchorbayentertainment.htm" TargetMode="External"/><Relationship Id="rId614" Type="http://schemas.openxmlformats.org/officeDocument/2006/relationships/hyperlink" Target="http://www.boxofficemojo.com/schedule/?view=bydate&amp;release=theatrical&amp;date=2011-03-11&amp;p=.htm" TargetMode="External"/><Relationship Id="rId615" Type="http://schemas.openxmlformats.org/officeDocument/2006/relationships/hyperlink" Target="http://www.boxofficemojo.com/movies/?id=dylandog.htm" TargetMode="External"/><Relationship Id="rId616" Type="http://schemas.openxmlformats.org/officeDocument/2006/relationships/hyperlink" Target="http://www.boxofficemojo.com/studio/chart/?studio=omnifreestyle.htm" TargetMode="External"/><Relationship Id="rId617" Type="http://schemas.openxmlformats.org/officeDocument/2006/relationships/hyperlink" Target="http://www.boxofficemojo.com/schedule/?view=bydate&amp;release=theatrical&amp;date=2011-04-29&amp;p=.htm" TargetMode="External"/><Relationship Id="rId618" Type="http://schemas.openxmlformats.org/officeDocument/2006/relationships/hyperlink" Target="http://www.boxofficemojo.com/movies/?id=whistleblower11.htm" TargetMode="External"/><Relationship Id="rId619" Type="http://schemas.openxmlformats.org/officeDocument/2006/relationships/hyperlink" Target="http://www.boxofficemojo.com/studio/chart/?studio=samuelgoldwyn.htm" TargetMode="External"/><Relationship Id="rId220" Type="http://schemas.openxmlformats.org/officeDocument/2006/relationships/hyperlink" Target="http://www.boxofficemojo.com/studio/chart/?studio=tristar.htm" TargetMode="External"/><Relationship Id="rId221" Type="http://schemas.openxmlformats.org/officeDocument/2006/relationships/hyperlink" Target="http://www.boxofficemojo.com/schedule/?view=bydate&amp;release=theatrical&amp;date=2011-04-08&amp;p=.htm" TargetMode="External"/><Relationship Id="rId222" Type="http://schemas.openxmlformats.org/officeDocument/2006/relationships/hyperlink" Target="http://www.boxofficemojo.com/movies/?id=finaldestination5.htm" TargetMode="External"/><Relationship Id="rId223" Type="http://schemas.openxmlformats.org/officeDocument/2006/relationships/hyperlink" Target="http://www.boxofficemojo.com/studio/chart/?studio=wb-newline.htm" TargetMode="External"/><Relationship Id="rId224" Type="http://schemas.openxmlformats.org/officeDocument/2006/relationships/hyperlink" Target="http://www.boxofficemojo.com/schedule/?view=bydate&amp;release=theatrical&amp;date=2011-08-12&amp;p=.htm" TargetMode="External"/><Relationship Id="rId225" Type="http://schemas.openxmlformats.org/officeDocument/2006/relationships/hyperlink" Target="http://www.boxofficemojo.com/movies/?id=idesofmarch.htm" TargetMode="External"/><Relationship Id="rId226" Type="http://schemas.openxmlformats.org/officeDocument/2006/relationships/hyperlink" Target="http://www.boxofficemojo.com/studio/chart/?studio=sony.htm" TargetMode="External"/><Relationship Id="rId227" Type="http://schemas.openxmlformats.org/officeDocument/2006/relationships/hyperlink" Target="http://www.boxofficemojo.com/schedule/?view=bydate&amp;release=theatrical&amp;date=2011-10-07&amp;p=.htm" TargetMode="External"/><Relationship Id="rId228" Type="http://schemas.openxmlformats.org/officeDocument/2006/relationships/hyperlink" Target="http://www.boxofficemojo.com/movies/?id=hanna.htm" TargetMode="External"/><Relationship Id="rId229" Type="http://schemas.openxmlformats.org/officeDocument/2006/relationships/hyperlink" Target="http://www.boxofficemojo.com/studio/chart/?studio=focus.htm" TargetMode="External"/><Relationship Id="rId1480" Type="http://schemas.openxmlformats.org/officeDocument/2006/relationships/hyperlink" Target="http://www.boxofficemojo.com/studio/chart/?studio=argotpictures.htm" TargetMode="External"/><Relationship Id="rId1481" Type="http://schemas.openxmlformats.org/officeDocument/2006/relationships/hyperlink" Target="http://www.boxofficemojo.com/schedule/?view=bydate&amp;release=theatrical&amp;date=2011-09-02&amp;p=.htm" TargetMode="External"/><Relationship Id="rId1482" Type="http://schemas.openxmlformats.org/officeDocument/2006/relationships/hyperlink" Target="http://www.boxofficemojo.com/movies/?id=cameraman.htm" TargetMode="External"/><Relationship Id="rId1483" Type="http://schemas.openxmlformats.org/officeDocument/2006/relationships/hyperlink" Target="http://www.boxofficemojo.com/studio/chart/?studio=strand.htm" TargetMode="External"/><Relationship Id="rId1484" Type="http://schemas.openxmlformats.org/officeDocument/2006/relationships/hyperlink" Target="http://www.boxofficemojo.com/schedule/?view=bydate&amp;release=theatrical&amp;date=2011-05-13&amp;p=.htm" TargetMode="External"/><Relationship Id="rId1485" Type="http://schemas.openxmlformats.org/officeDocument/2006/relationships/hyperlink" Target="http://www.boxofficemojo.com/movies/?id=charlotteramplingthelook.htm" TargetMode="External"/><Relationship Id="rId1486" Type="http://schemas.openxmlformats.org/officeDocument/2006/relationships/hyperlink" Target="http://www.boxofficemojo.com/studio/chart/?studio=kinolorber.htm" TargetMode="External"/><Relationship Id="rId1487" Type="http://schemas.openxmlformats.org/officeDocument/2006/relationships/hyperlink" Target="http://www.boxofficemojo.com/schedule/?view=bydate&amp;release=theatrical&amp;date=2011-11-04&amp;p=.htm" TargetMode="External"/><Relationship Id="rId1488" Type="http://schemas.openxmlformats.org/officeDocument/2006/relationships/hyperlink" Target="http://www.boxofficemojo.com/movies/?id=brotherhood11.htm" TargetMode="External"/><Relationship Id="rId1489" Type="http://schemas.openxmlformats.org/officeDocument/2006/relationships/hyperlink" Target="http://www.boxofficemojo.com/studio/chart/?studio=phase4.htm" TargetMode="External"/><Relationship Id="rId1090" Type="http://schemas.openxmlformats.org/officeDocument/2006/relationships/hyperlink" Target="http://www.boxofficemojo.com/studio/chart/?studio=area23a.htm" TargetMode="External"/><Relationship Id="rId1091" Type="http://schemas.openxmlformats.org/officeDocument/2006/relationships/hyperlink" Target="http://www.boxofficemojo.com/schedule/?view=bydate&amp;release=theatrical&amp;date=2011-04-01&amp;p=.htm" TargetMode="External"/><Relationship Id="rId1092" Type="http://schemas.openxmlformats.org/officeDocument/2006/relationships/hyperlink" Target="http://www.boxofficemojo.com/movies/?id=robber.htm" TargetMode="External"/><Relationship Id="rId1093" Type="http://schemas.openxmlformats.org/officeDocument/2006/relationships/hyperlink" Target="http://www.boxofficemojo.com/studio/chart/?studio=kino.htm" TargetMode="External"/><Relationship Id="rId1094" Type="http://schemas.openxmlformats.org/officeDocument/2006/relationships/hyperlink" Target="http://www.boxofficemojo.com/schedule/?view=bydate&amp;release=theatrical&amp;date=2011-02-03&amp;p=.htm" TargetMode="External"/><Relationship Id="rId1095" Type="http://schemas.openxmlformats.org/officeDocument/2006/relationships/hyperlink" Target="http://www.boxofficemojo.com/movies/?id=whale.htm" TargetMode="External"/><Relationship Id="rId1096" Type="http://schemas.openxmlformats.org/officeDocument/2006/relationships/hyperlink" Target="http://www.boxofficemojo.com/studio/chart/?studio=paladin.htm" TargetMode="External"/><Relationship Id="rId1097" Type="http://schemas.openxmlformats.org/officeDocument/2006/relationships/hyperlink" Target="http://www.boxofficemojo.com/schedule/?view=bydate&amp;release=theatrical&amp;date=2011-09-09&amp;p=.htm" TargetMode="External"/><Relationship Id="rId1098" Type="http://schemas.openxmlformats.org/officeDocument/2006/relationships/hyperlink" Target="http://www.boxofficemojo.com/movies/?id=inkubus.htm" TargetMode="External"/><Relationship Id="rId1099" Type="http://schemas.openxmlformats.org/officeDocument/2006/relationships/hyperlink" Target="http://www.boxofficemojo.com/studio/chart/?studio=screenmedia.htm" TargetMode="External"/><Relationship Id="rId620" Type="http://schemas.openxmlformats.org/officeDocument/2006/relationships/hyperlink" Target="http://www.boxofficemojo.com/schedule/?view=bydate&amp;release=theatrical&amp;date=2011-08-05&amp;p=.htm" TargetMode="External"/><Relationship Id="rId621" Type="http://schemas.openxmlformats.org/officeDocument/2006/relationships/hyperlink" Target="http://www.boxofficemojo.com/movies/?id=redstate.htm" TargetMode="External"/><Relationship Id="rId622" Type="http://schemas.openxmlformats.org/officeDocument/2006/relationships/hyperlink" Target="http://www.boxofficemojo.com/studio/chart/?studio=smodcast.htm" TargetMode="External"/><Relationship Id="rId623" Type="http://schemas.openxmlformats.org/officeDocument/2006/relationships/hyperlink" Target="http://www.boxofficemojo.com/schedule/?view=bydate&amp;release=theatrical&amp;date=2011-03-05&amp;p=.htm" TargetMode="External"/><Relationship Id="rId624" Type="http://schemas.openxmlformats.org/officeDocument/2006/relationships/hyperlink" Target="http://www.boxofficemojo.com/movies/?id=heartspecialist.htm" TargetMode="External"/><Relationship Id="rId625" Type="http://schemas.openxmlformats.org/officeDocument/2006/relationships/hyperlink" Target="http://www.boxofficemojo.com/studio/chart/?studio=fs.htm" TargetMode="External"/><Relationship Id="rId626" Type="http://schemas.openxmlformats.org/officeDocument/2006/relationships/hyperlink" Target="http://www.boxofficemojo.com/schedule/?view=bydate&amp;release=theatrical&amp;date=2011-01-14&amp;p=.htm" TargetMode="External"/><Relationship Id="rId627" Type="http://schemas.openxmlformats.org/officeDocument/2006/relationships/hyperlink" Target="http://www.boxofficemojo.com/movies/?id=desiboyz.htm" TargetMode="External"/><Relationship Id="rId628" Type="http://schemas.openxmlformats.org/officeDocument/2006/relationships/hyperlink" Target="http://www.boxofficemojo.com/studio/chart/?studio=eros.htm" TargetMode="External"/><Relationship Id="rId629" Type="http://schemas.openxmlformats.org/officeDocument/2006/relationships/hyperlink" Target="http://www.boxofficemojo.com/schedule/?view=bydate&amp;release=theatrical&amp;date=2011-11-25&amp;p=.htm" TargetMode="External"/><Relationship Id="rId230" Type="http://schemas.openxmlformats.org/officeDocument/2006/relationships/hyperlink" Target="http://www.boxofficemojo.com/schedule/?view=bydate&amp;release=theatrical&amp;date=2011-04-08&amp;p=.htm" TargetMode="External"/><Relationship Id="rId231" Type="http://schemas.openxmlformats.org/officeDocument/2006/relationships/hyperlink" Target="http://www.boxofficemojo.com/movies/?id=somethingborrowed.htm" TargetMode="External"/><Relationship Id="rId232" Type="http://schemas.openxmlformats.org/officeDocument/2006/relationships/hyperlink" Target="http://www.boxofficemojo.com/studio/chart/?studio=warnerbros.htm" TargetMode="External"/><Relationship Id="rId233" Type="http://schemas.openxmlformats.org/officeDocument/2006/relationships/hyperlink" Target="http://www.boxofficemojo.com/schedule/?view=bydate&amp;release=theatrical&amp;date=2011-05-06&amp;p=.htm" TargetMode="External"/><Relationship Id="rId234" Type="http://schemas.openxmlformats.org/officeDocument/2006/relationships/hyperlink" Target="http://www.boxofficemojo.com/movies/?id=spykids4.htm" TargetMode="External"/><Relationship Id="rId235" Type="http://schemas.openxmlformats.org/officeDocument/2006/relationships/hyperlink" Target="http://www.boxofficemojo.com/studio/chart/?studio=wdimension.htm" TargetMode="External"/><Relationship Id="rId236" Type="http://schemas.openxmlformats.org/officeDocument/2006/relationships/hyperlink" Target="http://www.boxofficemojo.com/schedule/?view=bydate&amp;release=theatrical&amp;date=2011-08-19&amp;p=.htm" TargetMode="External"/><Relationship Id="rId237" Type="http://schemas.openxmlformats.org/officeDocument/2006/relationships/hyperlink" Target="http://www.boxofficemojo.com/movies/?id=scream4.htm" TargetMode="External"/><Relationship Id="rId238" Type="http://schemas.openxmlformats.org/officeDocument/2006/relationships/hyperlink" Target="http://www.boxofficemojo.com/studio/chart/?studio=wdimension.htm" TargetMode="External"/><Relationship Id="rId239" Type="http://schemas.openxmlformats.org/officeDocument/2006/relationships/hyperlink" Target="http://www.boxofficemojo.com/schedule/?view=bydate&amp;release=theatrical&amp;date=2011-04-15&amp;p=.htm" TargetMode="External"/><Relationship Id="rId1490" Type="http://schemas.openxmlformats.org/officeDocument/2006/relationships/hyperlink" Target="http://www.boxofficemojo.com/schedule/?view=bydate&amp;release=theatrical&amp;date=2011-02-18&amp;p=.htm" TargetMode="External"/><Relationship Id="rId1491" Type="http://schemas.openxmlformats.org/officeDocument/2006/relationships/hyperlink" Target="http://www.boxofficemojo.com/movies/?id=whenweleave.htm" TargetMode="External"/><Relationship Id="rId1492" Type="http://schemas.openxmlformats.org/officeDocument/2006/relationships/hyperlink" Target="http://www.boxofficemojo.com/studio/chart/?studio=olivefilms.htm" TargetMode="External"/><Relationship Id="rId1493" Type="http://schemas.openxmlformats.org/officeDocument/2006/relationships/hyperlink" Target="http://www.boxofficemojo.com/schedule/?view=bydate&amp;release=theatrical&amp;date=2011-01-28&amp;p=.htm" TargetMode="External"/><Relationship Id="rId1494" Type="http://schemas.openxmlformats.org/officeDocument/2006/relationships/hyperlink" Target="http://www.boxofficemojo.com/movies/?id=skateland.htm" TargetMode="External"/><Relationship Id="rId1495" Type="http://schemas.openxmlformats.org/officeDocument/2006/relationships/hyperlink" Target="http://www.boxofficemojo.com/studio/chart/?studio=fs.htm" TargetMode="External"/><Relationship Id="rId1496" Type="http://schemas.openxmlformats.org/officeDocument/2006/relationships/hyperlink" Target="http://www.boxofficemojo.com/schedule/?view=bydate&amp;release=theatrical&amp;date=2011-05-13&amp;p=.htm" TargetMode="External"/><Relationship Id="rId1497" Type="http://schemas.openxmlformats.org/officeDocument/2006/relationships/hyperlink" Target="http://www.boxofficemojo.com/movies/?id=houseofpleasures.htm" TargetMode="External"/><Relationship Id="rId1498" Type="http://schemas.openxmlformats.org/officeDocument/2006/relationships/hyperlink" Target="http://www.boxofficemojo.com/studio/chart/?studio=ifc.htm" TargetMode="External"/><Relationship Id="rId1499" Type="http://schemas.openxmlformats.org/officeDocument/2006/relationships/hyperlink" Target="http://www.boxofficemojo.com/schedule/?view=bydate&amp;release=theatrical&amp;date=2011-11-25&amp;p=.htm" TargetMode="External"/><Relationship Id="rId10" Type="http://schemas.openxmlformats.org/officeDocument/2006/relationships/hyperlink" Target="http://www.boxofficemojo.com/studio/chart/?studio=pardw.htm" TargetMode="External"/><Relationship Id="rId11" Type="http://schemas.openxmlformats.org/officeDocument/2006/relationships/hyperlink" Target="http://www.boxofficemojo.com/schedule/?view=bydate&amp;release=theatrical&amp;date=2011-06-29&amp;p=.htm" TargetMode="External"/><Relationship Id="rId12" Type="http://schemas.openxmlformats.org/officeDocument/2006/relationships/hyperlink" Target="http://www.boxofficemojo.com/movies/?id=breakingdawn.htm" TargetMode="External"/><Relationship Id="rId13" Type="http://schemas.openxmlformats.org/officeDocument/2006/relationships/hyperlink" Target="http://www.boxofficemojo.com/studio/chart/?studio=summitentertainment.htm" TargetMode="External"/><Relationship Id="rId14" Type="http://schemas.openxmlformats.org/officeDocument/2006/relationships/hyperlink" Target="http://www.boxofficemojo.com/schedule/?view=bydate&amp;release=theatrical&amp;date=2011-11-18&amp;p=.htm" TargetMode="External"/><Relationship Id="rId15" Type="http://schemas.openxmlformats.org/officeDocument/2006/relationships/hyperlink" Target="http://www.boxofficemojo.com/movies/?id=hangover2.htm" TargetMode="External"/><Relationship Id="rId16" Type="http://schemas.openxmlformats.org/officeDocument/2006/relationships/hyperlink" Target="http://www.boxofficemojo.com/studio/chart/?studio=warnerbros.htm" TargetMode="External"/><Relationship Id="rId17" Type="http://schemas.openxmlformats.org/officeDocument/2006/relationships/hyperlink" Target="http://www.boxofficemojo.com/schedule/?view=bydate&amp;release=theatrical&amp;date=2011-05-26&amp;p=.htm" TargetMode="External"/><Relationship Id="rId18" Type="http://schemas.openxmlformats.org/officeDocument/2006/relationships/hyperlink" Target="http://www.boxofficemojo.com/movies/?id=piratesofthecaribbean4.htm" TargetMode="External"/><Relationship Id="rId19" Type="http://schemas.openxmlformats.org/officeDocument/2006/relationships/hyperlink" Target="http://www.boxofficemojo.com/studio/chart/?studio=buenavista.htm" TargetMode="External"/><Relationship Id="rId630" Type="http://schemas.openxmlformats.org/officeDocument/2006/relationships/hyperlink" Target="http://www.boxofficemojo.com/movies/?id=therebedragons.htm" TargetMode="External"/><Relationship Id="rId631" Type="http://schemas.openxmlformats.org/officeDocument/2006/relationships/hyperlink" Target="http://www.boxofficemojo.com/studio/chart/?studio=samuelgoldwyn.htm" TargetMode="External"/><Relationship Id="rId632" Type="http://schemas.openxmlformats.org/officeDocument/2006/relationships/hyperlink" Target="http://www.boxofficemojo.com/schedule/?view=bydate&amp;release=theatrical&amp;date=2011-05-06&amp;p=.htm" TargetMode="External"/><Relationship Id="rId633" Type="http://schemas.openxmlformats.org/officeDocument/2006/relationships/hyperlink" Target="http://www.boxofficemojo.com/movies/?id=pageone.htm" TargetMode="External"/><Relationship Id="rId634" Type="http://schemas.openxmlformats.org/officeDocument/2006/relationships/hyperlink" Target="http://www.boxofficemojo.com/studio/chart/?studio=magnolia.htm" TargetMode="External"/><Relationship Id="rId635" Type="http://schemas.openxmlformats.org/officeDocument/2006/relationships/hyperlink" Target="http://www.boxofficemojo.com/schedule/?view=bydate&amp;release=theatrical&amp;date=2011-06-17&amp;p=.htm" TargetMode="External"/><Relationship Id="rId636" Type="http://schemas.openxmlformats.org/officeDocument/2006/relationships/hyperlink" Target="http://www.boxofficemojo.com/movies/?id=attacktheblock.htm" TargetMode="External"/><Relationship Id="rId637" Type="http://schemas.openxmlformats.org/officeDocument/2006/relationships/hyperlink" Target="http://www.boxofficemojo.com/studio/chart/?studio=screengems.htm" TargetMode="External"/><Relationship Id="rId638" Type="http://schemas.openxmlformats.org/officeDocument/2006/relationships/hyperlink" Target="http://www.boxofficemojo.com/schedule/?view=bydate&amp;release=theatrical&amp;date=2011-07-29&amp;p=.htm" TargetMode="External"/><Relationship Id="rId639" Type="http://schemas.openxmlformats.org/officeDocument/2006/relationships/hyperlink" Target="http://www.boxofficemojo.com/movies/?id=inabetterworld.htm" TargetMode="External"/><Relationship Id="rId240" Type="http://schemas.openxmlformats.org/officeDocument/2006/relationships/hyperlink" Target="http://www.boxofficemojo.com/movies/?id=bigmomma3.htm" TargetMode="External"/><Relationship Id="rId241" Type="http://schemas.openxmlformats.org/officeDocument/2006/relationships/hyperlink" Target="http://www.boxofficemojo.com/studio/chart/?studio=fox.htm" TargetMode="External"/><Relationship Id="rId242" Type="http://schemas.openxmlformats.org/officeDocument/2006/relationships/hyperlink" Target="http://www.boxofficemojo.com/schedule/?view=bydate&amp;release=theatrical&amp;date=2011-02-18&amp;p=.htm" TargetMode="External"/><Relationship Id="rId243" Type="http://schemas.openxmlformats.org/officeDocument/2006/relationships/hyperlink" Target="http://www.boxofficemojo.com/movies/?id=redridinghood.htm" TargetMode="External"/><Relationship Id="rId244" Type="http://schemas.openxmlformats.org/officeDocument/2006/relationships/hyperlink" Target="http://www.boxofficemojo.com/studio/chart/?studio=warnerbros.htm" TargetMode="External"/><Relationship Id="rId245" Type="http://schemas.openxmlformats.org/officeDocument/2006/relationships/hyperlink" Target="http://www.boxofficemojo.com/schedule/?view=bydate&amp;release=theatrical&amp;date=2011-03-11&amp;p=.htm" TargetMode="External"/><Relationship Id="rId246" Type="http://schemas.openxmlformats.org/officeDocument/2006/relationships/hyperlink" Target="http://www.boxofficemojo.com/movies/?id=now.htm" TargetMode="External"/><Relationship Id="rId247" Type="http://schemas.openxmlformats.org/officeDocument/2006/relationships/hyperlink" Target="http://www.boxofficemojo.com/studio/chart/?studio=fox.htm" TargetMode="External"/><Relationship Id="rId248" Type="http://schemas.openxmlformats.org/officeDocument/2006/relationships/hyperlink" Target="http://www.boxofficemojo.com/schedule/?view=bydate&amp;release=theatrical&amp;date=2011-10-28&amp;p=.htm" TargetMode="External"/><Relationship Id="rId249" Type="http://schemas.openxmlformats.org/officeDocument/2006/relationships/hyperlink" Target="http://www.boxofficemojo.com/movies/?id=paul.htm" TargetMode="External"/><Relationship Id="rId20" Type="http://schemas.openxmlformats.org/officeDocument/2006/relationships/hyperlink" Target="http://www.boxofficemojo.com/schedule/?view=bydate&amp;release=theatrical&amp;date=2011-05-20&amp;p=.htm" TargetMode="External"/><Relationship Id="rId21" Type="http://schemas.openxmlformats.org/officeDocument/2006/relationships/hyperlink" Target="http://www.boxofficemojo.com/movies/?id=fastfive.htm" TargetMode="External"/><Relationship Id="rId22" Type="http://schemas.openxmlformats.org/officeDocument/2006/relationships/hyperlink" Target="http://www.boxofficemojo.com/studio/chart/?studio=universal.htm" TargetMode="External"/><Relationship Id="rId23" Type="http://schemas.openxmlformats.org/officeDocument/2006/relationships/hyperlink" Target="http://www.boxofficemojo.com/schedule/?view=bydate&amp;release=theatrical&amp;date=2011-04-29&amp;p=.htm" TargetMode="External"/><Relationship Id="rId24" Type="http://schemas.openxmlformats.org/officeDocument/2006/relationships/hyperlink" Target="http://www.boxofficemojo.com/movies/?id=mi4.htm" TargetMode="External"/><Relationship Id="rId25" Type="http://schemas.openxmlformats.org/officeDocument/2006/relationships/hyperlink" Target="http://www.boxofficemojo.com/studio/chart/?studio=paramount.htm" TargetMode="External"/><Relationship Id="rId26" Type="http://schemas.openxmlformats.org/officeDocument/2006/relationships/hyperlink" Target="http://www.boxofficemojo.com/schedule/?view=bydate&amp;release=theatrical&amp;date=2011-12-16&amp;p=.htm" TargetMode="External"/><Relationship Id="rId27" Type="http://schemas.openxmlformats.org/officeDocument/2006/relationships/hyperlink" Target="http://www.boxofficemojo.com/movies/?id=cars2.htm" TargetMode="External"/><Relationship Id="rId28" Type="http://schemas.openxmlformats.org/officeDocument/2006/relationships/hyperlink" Target="http://www.boxofficemojo.com/studio/chart/?studio=buenavista.htm" TargetMode="External"/><Relationship Id="rId29" Type="http://schemas.openxmlformats.org/officeDocument/2006/relationships/hyperlink" Target="http://www.boxofficemojo.com/schedule/?view=bydate&amp;release=theatrical&amp;date=2011-06-24&amp;p=.htm" TargetMode="External"/><Relationship Id="rId1100" Type="http://schemas.openxmlformats.org/officeDocument/2006/relationships/hyperlink" Target="http://www.boxofficemojo.com/schedule/?view=bydate&amp;release=theatrical&amp;date=2011-10-28&amp;p=.htm" TargetMode="External"/><Relationship Id="rId1101" Type="http://schemas.openxmlformats.org/officeDocument/2006/relationships/hyperlink" Target="http://www.boxofficemojo.com/movies/?id=circo.htm" TargetMode="External"/><Relationship Id="rId1102" Type="http://schemas.openxmlformats.org/officeDocument/2006/relationships/hyperlink" Target="http://www.boxofficemojo.com/studio/chart/?studio=firstrun.htm" TargetMode="External"/><Relationship Id="rId1103" Type="http://schemas.openxmlformats.org/officeDocument/2006/relationships/hyperlink" Target="http://www.boxofficemojo.com/schedule/?view=bydate&amp;release=theatrical&amp;date=2011-04-01&amp;p=.htm" TargetMode="External"/><Relationship Id="rId1104" Type="http://schemas.openxmlformats.org/officeDocument/2006/relationships/hyperlink" Target="http://www.boxofficemojo.com/movies/?id=beautifulboy.htm" TargetMode="External"/><Relationship Id="rId1105" Type="http://schemas.openxmlformats.org/officeDocument/2006/relationships/hyperlink" Target="http://www.boxofficemojo.com/studio/chart/?studio=anchorbayentertainment.htm" TargetMode="External"/><Relationship Id="rId1106" Type="http://schemas.openxmlformats.org/officeDocument/2006/relationships/hyperlink" Target="http://www.boxofficemojo.com/schedule/?view=bydate&amp;release=theatrical&amp;date=2011-06-03&amp;p=.htm" TargetMode="External"/><Relationship Id="rId1107" Type="http://schemas.openxmlformats.org/officeDocument/2006/relationships/hyperlink" Target="http://www.boxofficemojo.com/movies/?id=tocatchadollar.htm" TargetMode="External"/><Relationship Id="rId1108" Type="http://schemas.openxmlformats.org/officeDocument/2006/relationships/hyperlink" Target="http://www.boxofficemojo.com/studio/chart/?studio=area23a.htm" TargetMode="External"/><Relationship Id="rId1109" Type="http://schemas.openxmlformats.org/officeDocument/2006/relationships/hyperlink" Target="http://www.boxofficemojo.com/schedule/?view=bydate&amp;release=theatrical&amp;date=2011-03-31&amp;p=.htm" TargetMode="External"/><Relationship Id="rId640" Type="http://schemas.openxmlformats.org/officeDocument/2006/relationships/hyperlink" Target="http://www.boxofficemojo.com/studio/chart/?studio=sonyclassics.htm" TargetMode="External"/><Relationship Id="rId641" Type="http://schemas.openxmlformats.org/officeDocument/2006/relationships/hyperlink" Target="http://www.boxofficemojo.com/schedule/?view=bydate&amp;release=theatrical&amp;date=2011-04-01&amp;p=.htm" TargetMode="External"/><Relationship Id="rId642" Type="http://schemas.openxmlformats.org/officeDocument/2006/relationships/hyperlink" Target="http://www.boxofficemojo.com/movies/?id=yamlapagladeewana.htm" TargetMode="External"/><Relationship Id="rId643" Type="http://schemas.openxmlformats.org/officeDocument/2006/relationships/hyperlink" Target="http://www.boxofficemojo.com/studio/chart/?studio=eros.htm" TargetMode="External"/><Relationship Id="rId644" Type="http://schemas.openxmlformats.org/officeDocument/2006/relationships/hyperlink" Target="http://www.boxofficemojo.com/schedule/?view=bydate&amp;release=theatrical&amp;date=2011-01-14&amp;p=.htm" TargetMode="External"/><Relationship Id="rId645" Type="http://schemas.openxmlformats.org/officeDocument/2006/relationships/hyperlink" Target="http://www.boxofficemojo.com/movies/?id=rockstar2011.htm" TargetMode="External"/><Relationship Id="rId646" Type="http://schemas.openxmlformats.org/officeDocument/2006/relationships/hyperlink" Target="http://www.boxofficemojo.com/studio/chart/?studio=eros.htm" TargetMode="External"/><Relationship Id="rId647" Type="http://schemas.openxmlformats.org/officeDocument/2006/relationships/hyperlink" Target="http://www.boxofficemojo.com/schedule/?view=bydate&amp;release=theatrical&amp;date=2011-11-11&amp;p=.htm" TargetMode="External"/><Relationship Id="rId648" Type="http://schemas.openxmlformats.org/officeDocument/2006/relationships/hyperlink" Target="http://www.boxofficemojo.com/movies/?id=meekscutoff.htm" TargetMode="External"/><Relationship Id="rId649" Type="http://schemas.openxmlformats.org/officeDocument/2006/relationships/hyperlink" Target="http://www.boxofficemojo.com/studio/chart/?studio=oscilloscopepictures.htm" TargetMode="External"/><Relationship Id="rId250" Type="http://schemas.openxmlformats.org/officeDocument/2006/relationships/hyperlink" Target="http://www.boxofficemojo.com/studio/chart/?studio=universal.htm" TargetMode="External"/><Relationship Id="rId251" Type="http://schemas.openxmlformats.org/officeDocument/2006/relationships/hyperlink" Target="http://www.boxofficemojo.com/schedule/?view=bydate&amp;release=theatrical&amp;date=2011-03-18&amp;p=.htm" TargetMode="External"/><Relationship Id="rId252" Type="http://schemas.openxmlformats.org/officeDocument/2006/relationships/hyperlink" Target="http://www.boxofficemojo.com/movies/?id=jedgar.htm" TargetMode="External"/><Relationship Id="rId253" Type="http://schemas.openxmlformats.org/officeDocument/2006/relationships/hyperlink" Target="http://www.boxofficemojo.com/studio/chart/?studio=warnerbros.htm" TargetMode="External"/><Relationship Id="rId254" Type="http://schemas.openxmlformats.org/officeDocument/2006/relationships/hyperlink" Target="http://www.boxofficemojo.com/schedule/?view=bydate&amp;release=theatrical&amp;date=2011-11-09&amp;p=.htm" TargetMode="External"/><Relationship Id="rId255" Type="http://schemas.openxmlformats.org/officeDocument/2006/relationships/hyperlink" Target="http://www.boxofficemojo.com/movies/?id=roommate10.htm" TargetMode="External"/><Relationship Id="rId256" Type="http://schemas.openxmlformats.org/officeDocument/2006/relationships/hyperlink" Target="http://www.boxofficemojo.com/studio/chart/?studio=screengems.htm" TargetMode="External"/><Relationship Id="rId257" Type="http://schemas.openxmlformats.org/officeDocument/2006/relationships/hyperlink" Target="http://www.boxofficemojo.com/schedule/?view=bydate&amp;release=theatrical&amp;date=2011-02-04&amp;p=.htm" TargetMode="External"/><Relationship Id="rId258" Type="http://schemas.openxmlformats.org/officeDocument/2006/relationships/hyperlink" Target="http://www.boxofficemojo.com/movies/?id=jumpingthebroom.htm" TargetMode="External"/><Relationship Id="rId259" Type="http://schemas.openxmlformats.org/officeDocument/2006/relationships/hyperlink" Target="http://www.boxofficemojo.com/studio/chart/?studio=tristar.htm" TargetMode="External"/><Relationship Id="rId30" Type="http://schemas.openxmlformats.org/officeDocument/2006/relationships/hyperlink" Target="http://www.boxofficemojo.com/movies/?id=sherlockholmes2.htm" TargetMode="External"/><Relationship Id="rId31" Type="http://schemas.openxmlformats.org/officeDocument/2006/relationships/hyperlink" Target="http://www.boxofficemojo.com/studio/chart/?studio=warnerbros.htm" TargetMode="External"/><Relationship Id="rId32" Type="http://schemas.openxmlformats.org/officeDocument/2006/relationships/hyperlink" Target="http://www.boxofficemojo.com/schedule/?view=bydate&amp;release=theatrical&amp;date=2011-12-16&amp;p=.htm" TargetMode="External"/><Relationship Id="rId33" Type="http://schemas.openxmlformats.org/officeDocument/2006/relationships/hyperlink" Target="http://www.boxofficemojo.com/movies/?id=thor.htm" TargetMode="External"/><Relationship Id="rId34" Type="http://schemas.openxmlformats.org/officeDocument/2006/relationships/hyperlink" Target="http://www.boxofficemojo.com/studio/chart/?studio=paramount.htm" TargetMode="External"/><Relationship Id="rId35" Type="http://schemas.openxmlformats.org/officeDocument/2006/relationships/hyperlink" Target="http://www.boxofficemojo.com/schedule/?view=bydate&amp;release=theatrical&amp;date=2011-05-06&amp;p=.htm" TargetMode="External"/><Relationship Id="rId36" Type="http://schemas.openxmlformats.org/officeDocument/2006/relationships/hyperlink" Target="http://www.boxofficemojo.com/movies/?id=riseoftheapes.htm" TargetMode="External"/><Relationship Id="rId37" Type="http://schemas.openxmlformats.org/officeDocument/2006/relationships/hyperlink" Target="http://www.boxofficemojo.com/studio/chart/?studio=fox.htm" TargetMode="External"/><Relationship Id="rId38" Type="http://schemas.openxmlformats.org/officeDocument/2006/relationships/hyperlink" Target="http://www.boxofficemojo.com/schedule/?view=bydate&amp;release=theatrical&amp;date=2011-08-05&amp;p=.htm" TargetMode="External"/><Relationship Id="rId39" Type="http://schemas.openxmlformats.org/officeDocument/2006/relationships/hyperlink" Target="http://www.boxofficemojo.com/movies/?id=captainamerica.htm" TargetMode="External"/><Relationship Id="rId1500" Type="http://schemas.openxmlformats.org/officeDocument/2006/relationships/hyperlink" Target="http://www.boxofficemojo.com/movies/?id=makebelieve.htm" TargetMode="External"/><Relationship Id="rId1501" Type="http://schemas.openxmlformats.org/officeDocument/2006/relationships/hyperlink" Target="http://www.boxofficemojo.com/studio/chart/?studio=crowdstarter.htm" TargetMode="External"/><Relationship Id="rId1502" Type="http://schemas.openxmlformats.org/officeDocument/2006/relationships/hyperlink" Target="http://www.boxofficemojo.com/schedule/?view=bydate&amp;release=theatrical&amp;date=2011-05-13&amp;p=.htm" TargetMode="External"/><Relationship Id="rId1503" Type="http://schemas.openxmlformats.org/officeDocument/2006/relationships/hyperlink" Target="http://www.boxofficemojo.com/movies/?id=oka.htm" TargetMode="External"/><Relationship Id="rId1110" Type="http://schemas.openxmlformats.org/officeDocument/2006/relationships/hyperlink" Target="http://www.boxofficemojo.com/movies/?id=conquest11.htm" TargetMode="External"/><Relationship Id="rId1111" Type="http://schemas.openxmlformats.org/officeDocument/2006/relationships/hyperlink" Target="http://www.boxofficemojo.com/studio/chart/?studio=musicboxfilms.htm" TargetMode="External"/><Relationship Id="rId1112" Type="http://schemas.openxmlformats.org/officeDocument/2006/relationships/hyperlink" Target="http://www.boxofficemojo.com/schedule/?view=bydate&amp;release=theatrical&amp;date=2011-11-11&amp;p=.htm" TargetMode="External"/><Relationship Id="rId1113" Type="http://schemas.openxmlformats.org/officeDocument/2006/relationships/hyperlink" Target="http://www.boxofficemojo.com/movies/?id=tree2011.htm" TargetMode="External"/><Relationship Id="rId1114" Type="http://schemas.openxmlformats.org/officeDocument/2006/relationships/hyperlink" Target="http://www.boxofficemojo.com/studio/chart/?studio=zeitgeist.htm" TargetMode="External"/><Relationship Id="rId1115" Type="http://schemas.openxmlformats.org/officeDocument/2006/relationships/hyperlink" Target="http://www.boxofficemojo.com/schedule/?view=bydate&amp;release=theatrical&amp;date=2011-07-15&amp;p=.htm" TargetMode="External"/><Relationship Id="rId1116" Type="http://schemas.openxmlformats.org/officeDocument/2006/relationships/hyperlink" Target="http://www.boxofficemojo.com/movies/?id=firefliesinthegarden.htm" TargetMode="External"/><Relationship Id="rId1117" Type="http://schemas.openxmlformats.org/officeDocument/2006/relationships/hyperlink" Target="http://www.boxofficemojo.com/studio/chart/?studio=unknown.htm" TargetMode="External"/><Relationship Id="rId1118" Type="http://schemas.openxmlformats.org/officeDocument/2006/relationships/hyperlink" Target="http://www.boxofficemojo.com/schedule/?view=bydate&amp;release=theatrical&amp;date=2011-10-14&amp;p=.htm" TargetMode="External"/><Relationship Id="rId1119" Type="http://schemas.openxmlformats.org/officeDocument/2006/relationships/hyperlink" Target="http://www.boxofficemojo.com/movies/?id=warringstates.htm" TargetMode="External"/><Relationship Id="rId650" Type="http://schemas.openxmlformats.org/officeDocument/2006/relationships/hyperlink" Target="http://www.boxofficemojo.com/schedule/?view=bydate&amp;release=theatrical&amp;date=2011-04-08&amp;p=.htm" TargetMode="External"/><Relationship Id="rId651" Type="http://schemas.openxmlformats.org/officeDocument/2006/relationships/hyperlink" Target="http://www.boxofficemojo.com/movies/?id=beaver.htm" TargetMode="External"/><Relationship Id="rId652" Type="http://schemas.openxmlformats.org/officeDocument/2006/relationships/hyperlink" Target="http://www.boxofficemojo.com/studio/chart/?studio=summitentertainment.htm" TargetMode="External"/><Relationship Id="rId653" Type="http://schemas.openxmlformats.org/officeDocument/2006/relationships/hyperlink" Target="http://www.boxofficemojo.com/schedule/?view=bydate&amp;release=theatrical&amp;date=2011-05-06&amp;p=.htm" TargetMode="External"/><Relationship Id="rId654" Type="http://schemas.openxmlformats.org/officeDocument/2006/relationships/hyperlink" Target="http://www.boxofficemojo.com/movies/?id=ready.htm" TargetMode="External"/><Relationship Id="rId655" Type="http://schemas.openxmlformats.org/officeDocument/2006/relationships/hyperlink" Target="http://www.boxofficemojo.com/studio/chart/?studio=eros.htm" TargetMode="External"/><Relationship Id="rId656" Type="http://schemas.openxmlformats.org/officeDocument/2006/relationships/hyperlink" Target="http://www.boxofficemojo.com/schedule/?view=bydate&amp;release=theatrical&amp;date=2011-06-03&amp;p=.htm" TargetMode="External"/><Relationship Id="rId657" Type="http://schemas.openxmlformats.org/officeDocument/2006/relationships/hyperlink" Target="http://www.boxofficemojo.com/movies/?id=sholemaleichem.htm" TargetMode="External"/><Relationship Id="rId658" Type="http://schemas.openxmlformats.org/officeDocument/2006/relationships/hyperlink" Target="http://www.boxofficemojo.com/studio/chart/?studio=intlfilmcircuit.htm" TargetMode="External"/><Relationship Id="rId659" Type="http://schemas.openxmlformats.org/officeDocument/2006/relationships/hyperlink" Target="http://www.boxofficemojo.com/schedule/?view=bydate&amp;release=theatrical&amp;date=2011-07-08&amp;p=.htm" TargetMode="External"/><Relationship Id="rId1504" Type="http://schemas.openxmlformats.org/officeDocument/2006/relationships/hyperlink" Target="http://www.boxofficemojo.com/studio/chart/?studio=dada.htm" TargetMode="External"/><Relationship Id="rId1505" Type="http://schemas.openxmlformats.org/officeDocument/2006/relationships/hyperlink" Target="http://www.boxofficemojo.com/schedule/?view=bydate&amp;release=theatrical&amp;date=2011-10-14&amp;p=.htm" TargetMode="External"/><Relationship Id="rId1506" Type="http://schemas.openxmlformats.org/officeDocument/2006/relationships/hyperlink" Target="http://www.boxofficemojo.com/movies/?id=battleforbrooklyn.htm" TargetMode="External"/><Relationship Id="rId1507" Type="http://schemas.openxmlformats.org/officeDocument/2006/relationships/hyperlink" Target="http://www.boxofficemojo.com/studio/chart/?studio=rumurreleasing.htm" TargetMode="External"/><Relationship Id="rId1508" Type="http://schemas.openxmlformats.org/officeDocument/2006/relationships/hyperlink" Target="http://www.boxofficemojo.com/schedule/?view=bydate&amp;release=theatrical&amp;date=2011-06-17&amp;p=.htm" TargetMode="External"/><Relationship Id="rId1509" Type="http://schemas.openxmlformats.org/officeDocument/2006/relationships/hyperlink" Target="http://www.boxofficemojo.com/movies/?id=cookcounty.htm" TargetMode="External"/><Relationship Id="rId260" Type="http://schemas.openxmlformats.org/officeDocument/2006/relationships/hyperlink" Target="http://www.boxofficemojo.com/schedule/?view=bydate&amp;release=theatrical&amp;date=2011-05-06&amp;p=.htm" TargetMode="External"/><Relationship Id="rId261" Type="http://schemas.openxmlformats.org/officeDocument/2006/relationships/hyperlink" Target="http://www.boxofficemojo.com/movies/?id=changeup.htm" TargetMode="External"/><Relationship Id="rId262" Type="http://schemas.openxmlformats.org/officeDocument/2006/relationships/hyperlink" Target="http://www.boxofficemojo.com/studio/chart/?studio=universal.htm" TargetMode="External"/><Relationship Id="rId263" Type="http://schemas.openxmlformats.org/officeDocument/2006/relationships/hyperlink" Target="http://www.boxofficemojo.com/schedule/?view=bydate&amp;release=theatrical&amp;date=2011-08-05&amp;p=.htm" TargetMode="External"/><Relationship Id="rId264" Type="http://schemas.openxmlformats.org/officeDocument/2006/relationships/hyperlink" Target="http://www.boxofficemojo.com/movies/?id=30minutesorless.htm" TargetMode="External"/><Relationship Id="rId265" Type="http://schemas.openxmlformats.org/officeDocument/2006/relationships/hyperlink" Target="http://www.boxofficemojo.com/studio/chart/?studio=sony.htm" TargetMode="External"/><Relationship Id="rId266" Type="http://schemas.openxmlformats.org/officeDocument/2006/relationships/hyperlink" Target="http://www.boxofficemojo.com/schedule/?view=bydate&amp;release=theatrical&amp;date=2011-08-12&amp;p=.htm" TargetMode="External"/><Relationship Id="rId267" Type="http://schemas.openxmlformats.org/officeDocument/2006/relationships/hyperlink" Target="http://www.boxofficemojo.com/movies/?id=colombiana.htm" TargetMode="External"/><Relationship Id="rId268" Type="http://schemas.openxmlformats.org/officeDocument/2006/relationships/hyperlink" Target="http://www.boxofficemojo.com/studio/chart/?studio=tristar.htm" TargetMode="External"/><Relationship Id="rId269" Type="http://schemas.openxmlformats.org/officeDocument/2006/relationships/hyperlink" Target="http://www.boxofficemojo.com/schedule/?view=bydate&amp;release=theatrical&amp;date=2011-08-26&amp;p=.htm" TargetMode="External"/><Relationship Id="rId40" Type="http://schemas.openxmlformats.org/officeDocument/2006/relationships/hyperlink" Target="http://www.boxofficemojo.com/studio/chart/?studio=paramount.htm" TargetMode="External"/><Relationship Id="rId41" Type="http://schemas.openxmlformats.org/officeDocument/2006/relationships/hyperlink" Target="http://www.boxofficemojo.com/schedule/?view=bydate&amp;release=theatrical&amp;date=2011-07-22&amp;p=.htm" TargetMode="External"/><Relationship Id="rId42" Type="http://schemas.openxmlformats.org/officeDocument/2006/relationships/hyperlink" Target="http://www.boxofficemojo.com/movies/?id=help2011.htm" TargetMode="External"/><Relationship Id="rId43" Type="http://schemas.openxmlformats.org/officeDocument/2006/relationships/hyperlink" Target="http://www.boxofficemojo.com/studio/chart/?studio=buenavista.htm" TargetMode="External"/><Relationship Id="rId44" Type="http://schemas.openxmlformats.org/officeDocument/2006/relationships/hyperlink" Target="http://www.boxofficemojo.com/schedule/?view=bydate&amp;release=theatrical&amp;date=2011-08-10&amp;p=.htm" TargetMode="External"/><Relationship Id="rId45" Type="http://schemas.openxmlformats.org/officeDocument/2006/relationships/hyperlink" Target="http://www.boxofficemojo.com/movies/?id=wiigapatow.htm" TargetMode="External"/><Relationship Id="rId46" Type="http://schemas.openxmlformats.org/officeDocument/2006/relationships/hyperlink" Target="http://www.boxofficemojo.com/studio/chart/?studio=universal.htm" TargetMode="External"/><Relationship Id="rId47" Type="http://schemas.openxmlformats.org/officeDocument/2006/relationships/hyperlink" Target="http://www.boxofficemojo.com/schedule/?view=bydate&amp;release=theatrical&amp;date=2011-05-13&amp;p=.htm" TargetMode="External"/><Relationship Id="rId48" Type="http://schemas.openxmlformats.org/officeDocument/2006/relationships/hyperlink" Target="http://www.boxofficemojo.com/movies/?id=kungfupanda2.htm" TargetMode="External"/><Relationship Id="rId49" Type="http://schemas.openxmlformats.org/officeDocument/2006/relationships/hyperlink" Target="http://www.boxofficemojo.com/studio/chart/?studio=pardw.htm" TargetMode="External"/><Relationship Id="rId1510" Type="http://schemas.openxmlformats.org/officeDocument/2006/relationships/hyperlink" Target="http://www.boxofficemojo.com/studio/chart/?studio=hannoverhouse.htm" TargetMode="External"/><Relationship Id="rId1511" Type="http://schemas.openxmlformats.org/officeDocument/2006/relationships/hyperlink" Target="http://www.boxofficemojo.com/schedule/?view=bydate&amp;release=theatrical&amp;date=2011-12-16&amp;p=.htm" TargetMode="External"/><Relationship Id="rId1512" Type="http://schemas.openxmlformats.org/officeDocument/2006/relationships/hyperlink" Target="http://www.boxofficemojo.com/movies/?id=5daysofwar.htm" TargetMode="External"/><Relationship Id="rId1513" Type="http://schemas.openxmlformats.org/officeDocument/2006/relationships/hyperlink" Target="http://www.boxofficemojo.com/studio/chart/?studio=anchorbayentertainment.htm" TargetMode="External"/><Relationship Id="rId1120" Type="http://schemas.openxmlformats.org/officeDocument/2006/relationships/hyperlink" Target="http://www.boxofficemojo.com/studio/chart/?studio=chinalion.htm" TargetMode="External"/><Relationship Id="rId1121" Type="http://schemas.openxmlformats.org/officeDocument/2006/relationships/hyperlink" Target="http://www.boxofficemojo.com/schedule/?view=bydate&amp;release=theatrical&amp;date=2011-04-22&amp;p=.htm" TargetMode="External"/><Relationship Id="rId1122" Type="http://schemas.openxmlformats.org/officeDocument/2006/relationships/hyperlink" Target="http://www.boxofficemojo.com/movies/?id=puncture.htm" TargetMode="External"/><Relationship Id="rId1123" Type="http://schemas.openxmlformats.org/officeDocument/2006/relationships/hyperlink" Target="http://www.boxofficemojo.com/studio/chart/?studio=millenniumentertainment.htm" TargetMode="External"/><Relationship Id="rId1124" Type="http://schemas.openxmlformats.org/officeDocument/2006/relationships/hyperlink" Target="http://www.boxofficemojo.com/schedule/?view=bydate&amp;release=theatrical&amp;date=2011-09-23&amp;p=.htm" TargetMode="External"/><Relationship Id="rId1125" Type="http://schemas.openxmlformats.org/officeDocument/2006/relationships/hyperlink" Target="http://www.boxofficemojo.com/movies/?id=heartbeats.htm" TargetMode="External"/><Relationship Id="rId1126" Type="http://schemas.openxmlformats.org/officeDocument/2006/relationships/hyperlink" Target="http://www.boxofficemojo.com/studio/chart/?studio=ifc.htm" TargetMode="External"/><Relationship Id="rId1127" Type="http://schemas.openxmlformats.org/officeDocument/2006/relationships/hyperlink" Target="http://www.boxofficemojo.com/schedule/?view=bydate&amp;release=theatrical&amp;date=2011-02-25&amp;p=.htm" TargetMode="External"/><Relationship Id="rId1128" Type="http://schemas.openxmlformats.org/officeDocument/2006/relationships/hyperlink" Target="http://www.boxofficemojo.com/movies/?id=abeautifullife.htm" TargetMode="External"/><Relationship Id="rId1129" Type="http://schemas.openxmlformats.org/officeDocument/2006/relationships/hyperlink" Target="http://www.boxofficemojo.com/studio/chart/?studio=chinalion.htm" TargetMode="External"/><Relationship Id="rId660" Type="http://schemas.openxmlformats.org/officeDocument/2006/relationships/hyperlink" Target="http://www.boxofficemojo.com/movies/?id=higherground.htm" TargetMode="External"/><Relationship Id="rId661" Type="http://schemas.openxmlformats.org/officeDocument/2006/relationships/hyperlink" Target="http://www.boxofficemojo.com/studio/chart/?studio=sonyclassics.htm" TargetMode="External"/><Relationship Id="rId662" Type="http://schemas.openxmlformats.org/officeDocument/2006/relationships/hyperlink" Target="http://www.boxofficemojo.com/schedule/?view=bydate&amp;release=theatrical&amp;date=2011-08-26&amp;p=.htm" TargetMode="External"/><Relationship Id="rId663" Type="http://schemas.openxmlformats.org/officeDocument/2006/relationships/hyperlink" Target="http://www.boxofficemojo.com/movies/?id=rotk2011.htm" TargetMode="External"/><Relationship Id="rId664" Type="http://schemas.openxmlformats.org/officeDocument/2006/relationships/hyperlink" Target="http://www.boxofficemojo.com/studio/chart/?studio=warnerbros.htm" TargetMode="External"/><Relationship Id="rId665" Type="http://schemas.openxmlformats.org/officeDocument/2006/relationships/hyperlink" Target="http://www.boxofficemojo.com/schedule/?view=bydate&amp;release=theatrical&amp;date=2011-06-28&amp;p=.htm" TargetMode="External"/><Relationship Id="rId666" Type="http://schemas.openxmlformats.org/officeDocument/2006/relationships/hyperlink" Target="http://www.boxofficemojo.com/movies/?id=13assassins.htm" TargetMode="External"/><Relationship Id="rId667" Type="http://schemas.openxmlformats.org/officeDocument/2006/relationships/hyperlink" Target="http://www.boxofficemojo.com/studio/chart/?studio=magnolia.htm" TargetMode="External"/><Relationship Id="rId668" Type="http://schemas.openxmlformats.org/officeDocument/2006/relationships/hyperlink" Target="http://www.boxofficemojo.com/schedule/?view=bydate&amp;release=theatrical&amp;date=2011-04-29&amp;p=.htm" TargetMode="External"/><Relationship Id="rId669" Type="http://schemas.openxmlformats.org/officeDocument/2006/relationships/hyperlink" Target="http://www.boxofficemojo.com/movies/?id=pariah.htm" TargetMode="External"/><Relationship Id="rId1514" Type="http://schemas.openxmlformats.org/officeDocument/2006/relationships/hyperlink" Target="http://www.boxofficemojo.com/schedule/?view=bydate&amp;release=theatrical&amp;date=2011-08-19&amp;p=.htm" TargetMode="External"/><Relationship Id="rId1515" Type="http://schemas.openxmlformats.org/officeDocument/2006/relationships/hyperlink" Target="http://www.boxofficemojo.com/movies/?id=littlerock.htm" TargetMode="External"/><Relationship Id="rId1516" Type="http://schemas.openxmlformats.org/officeDocument/2006/relationships/hyperlink" Target="http://www.boxofficemojo.com/studio/chart/?studio=variancefilms.htm" TargetMode="External"/><Relationship Id="rId1517" Type="http://schemas.openxmlformats.org/officeDocument/2006/relationships/hyperlink" Target="http://www.boxofficemojo.com/schedule/?view=bydate&amp;release=theatrical&amp;date=2011-08-12&amp;p=.htm" TargetMode="External"/><Relationship Id="rId1518" Type="http://schemas.openxmlformats.org/officeDocument/2006/relationships/hyperlink" Target="http://www.boxofficemojo.com/movies/?id=archiesfinalproject.htm" TargetMode="External"/><Relationship Id="rId1519" Type="http://schemas.openxmlformats.org/officeDocument/2006/relationships/hyperlink" Target="http://www.boxofficemojo.com/studio/chart/?studio=rocketreleasing.htm" TargetMode="External"/><Relationship Id="rId270" Type="http://schemas.openxmlformats.org/officeDocument/2006/relationships/hyperlink" Target="http://www.boxofficemojo.com/movies/?id=suckerpunch.htm" TargetMode="External"/><Relationship Id="rId271" Type="http://schemas.openxmlformats.org/officeDocument/2006/relationships/hyperlink" Target="http://www.boxofficemojo.com/studio/chart/?studio=warnerbros.htm" TargetMode="External"/><Relationship Id="rId272" Type="http://schemas.openxmlformats.org/officeDocument/2006/relationships/hyperlink" Target="http://www.boxofficemojo.com/schedule/?view=bydate&amp;release=theatrical&amp;date=2011-03-25&amp;p=.htm" TargetMode="External"/><Relationship Id="rId273" Type="http://schemas.openxmlformats.org/officeDocument/2006/relationships/hyperlink" Target="http://www.boxofficemojo.com/movies/?id=larrycrowne.htm" TargetMode="External"/><Relationship Id="rId274" Type="http://schemas.openxmlformats.org/officeDocument/2006/relationships/hyperlink" Target="http://www.boxofficemojo.com/studio/chart/?studio=universal.htm" TargetMode="External"/><Relationship Id="rId275" Type="http://schemas.openxmlformats.org/officeDocument/2006/relationships/hyperlink" Target="http://www.boxofficemojo.com/schedule/?view=bydate&amp;release=theatrical&amp;date=2011-07-01&amp;p=.htm" TargetMode="External"/><Relationship Id="rId276" Type="http://schemas.openxmlformats.org/officeDocument/2006/relationships/hyperlink" Target="http://www.boxofficemojo.com/movies/?id=haroldandkumar3.htm" TargetMode="External"/><Relationship Id="rId277" Type="http://schemas.openxmlformats.org/officeDocument/2006/relationships/hyperlink" Target="http://www.boxofficemojo.com/studio/chart/?studio=warnerbros.htm" TargetMode="External"/><Relationship Id="rId278" Type="http://schemas.openxmlformats.org/officeDocument/2006/relationships/hyperlink" Target="http://www.boxofficemojo.com/schedule/?view=bydate&amp;release=theatrical&amp;date=2011-11-04&amp;p=.htm" TargetMode="External"/><Relationship Id="rId279" Type="http://schemas.openxmlformats.org/officeDocument/2006/relationships/hyperlink" Target="http://www.boxofficemojo.com/movies/?id=drive2011.htm" TargetMode="External"/><Relationship Id="rId50" Type="http://schemas.openxmlformats.org/officeDocument/2006/relationships/hyperlink" Target="http://www.boxofficemojo.com/schedule/?view=bydate&amp;release=theatrical&amp;date=2011-05-26&amp;p=.htm" TargetMode="External"/><Relationship Id="rId51" Type="http://schemas.openxmlformats.org/officeDocument/2006/relationships/hyperlink" Target="http://www.boxofficemojo.com/movies/?id=pussinboots12.htm" TargetMode="External"/><Relationship Id="rId52" Type="http://schemas.openxmlformats.org/officeDocument/2006/relationships/hyperlink" Target="http://www.boxofficemojo.com/studio/chart/?studio=pardw.htm" TargetMode="External"/><Relationship Id="rId53" Type="http://schemas.openxmlformats.org/officeDocument/2006/relationships/hyperlink" Target="http://www.boxofficemojo.com/schedule/?view=bydate&amp;release=theatrical&amp;date=2011-10-28&amp;p=.htm" TargetMode="External"/><Relationship Id="rId54" Type="http://schemas.openxmlformats.org/officeDocument/2006/relationships/hyperlink" Target="http://www.boxofficemojo.com/movies/?id=xmenfirstclass.htm" TargetMode="External"/><Relationship Id="rId55" Type="http://schemas.openxmlformats.org/officeDocument/2006/relationships/hyperlink" Target="http://www.boxofficemojo.com/studio/chart/?studio=fox.htm" TargetMode="External"/><Relationship Id="rId56" Type="http://schemas.openxmlformats.org/officeDocument/2006/relationships/hyperlink" Target="http://www.boxofficemojo.com/schedule/?view=bydate&amp;release=theatrical&amp;date=2011-06-03&amp;p=.htm" TargetMode="External"/><Relationship Id="rId57" Type="http://schemas.openxmlformats.org/officeDocument/2006/relationships/hyperlink" Target="http://www.boxofficemojo.com/movies/?id=rio.htm" TargetMode="External"/><Relationship Id="rId58" Type="http://schemas.openxmlformats.org/officeDocument/2006/relationships/hyperlink" Target="http://www.boxofficemojo.com/studio/chart/?studio=fox.htm" TargetMode="External"/><Relationship Id="rId59" Type="http://schemas.openxmlformats.org/officeDocument/2006/relationships/hyperlink" Target="http://www.boxofficemojo.com/schedule/?view=bydate&amp;release=theatrical&amp;date=2011-04-15&amp;p=.htm" TargetMode="External"/><Relationship Id="rId1520" Type="http://schemas.openxmlformats.org/officeDocument/2006/relationships/hyperlink" Target="http://www.boxofficemojo.com/schedule/?view=bydate&amp;release=theatrical&amp;date=2011-09-23&amp;p=.htm" TargetMode="External"/><Relationship Id="rId1521" Type="http://schemas.openxmlformats.org/officeDocument/2006/relationships/hyperlink" Target="http://www.boxofficemojo.com/movies/?id=miaandthemigoo.htm" TargetMode="External"/><Relationship Id="rId1522" Type="http://schemas.openxmlformats.org/officeDocument/2006/relationships/hyperlink" Target="http://www.boxofficemojo.com/studio/chart/?studio=gkids.htm" TargetMode="External"/><Relationship Id="rId1523" Type="http://schemas.openxmlformats.org/officeDocument/2006/relationships/hyperlink" Target="http://www.boxofficemojo.com/schedule/?view=bydate&amp;release=theatrical&amp;date=2011-03-25&amp;p=.htm" TargetMode="External"/><Relationship Id="rId1130" Type="http://schemas.openxmlformats.org/officeDocument/2006/relationships/hyperlink" Target="http://www.boxofficemojo.com/schedule/?view=bydate&amp;release=theatrical&amp;date=2011-05-20&amp;p=.htm" TargetMode="External"/><Relationship Id="rId1131" Type="http://schemas.openxmlformats.org/officeDocument/2006/relationships/hyperlink" Target="http://www.boxofficemojo.com/movies/?id=shaolin.htm" TargetMode="External"/><Relationship Id="rId1132" Type="http://schemas.openxmlformats.org/officeDocument/2006/relationships/hyperlink" Target="http://www.boxofficemojo.com/studio/chart/?studio=variancefilms.htm" TargetMode="External"/><Relationship Id="rId1133" Type="http://schemas.openxmlformats.org/officeDocument/2006/relationships/hyperlink" Target="http://www.boxofficemojo.com/schedule/?view=bydate&amp;release=theatrical&amp;date=2011-09-09&amp;p=.htm" TargetMode="External"/><Relationship Id="rId1134" Type="http://schemas.openxmlformats.org/officeDocument/2006/relationships/hyperlink" Target="http://www.boxofficemojo.com/movies/?id=battleofthebrides.htm" TargetMode="External"/><Relationship Id="rId1135" Type="http://schemas.openxmlformats.org/officeDocument/2006/relationships/hyperlink" Target="http://www.boxofficemojo.com/studio/chart/?studio=variancefilms.htm" TargetMode="External"/><Relationship Id="rId1136" Type="http://schemas.openxmlformats.org/officeDocument/2006/relationships/hyperlink" Target="http://www.boxofficemojo.com/schedule/?view=bydate&amp;release=theatrical&amp;date=2011-05-06&amp;p=.htm" TargetMode="External"/><Relationship Id="rId1137" Type="http://schemas.openxmlformats.org/officeDocument/2006/relationships/hyperlink" Target="http://www.boxofficemojo.com/movies/?id=hrmanager.htm" TargetMode="External"/><Relationship Id="rId1138" Type="http://schemas.openxmlformats.org/officeDocument/2006/relationships/hyperlink" Target="http://www.boxofficemojo.com/studio/chart/?studio=filmmovement.htm" TargetMode="External"/><Relationship Id="rId1139" Type="http://schemas.openxmlformats.org/officeDocument/2006/relationships/hyperlink" Target="http://www.boxofficemojo.com/schedule/?view=bydate&amp;release=theatrical&amp;date=2011-03-04&amp;p=.htm" TargetMode="External"/><Relationship Id="rId670" Type="http://schemas.openxmlformats.org/officeDocument/2006/relationships/hyperlink" Target="http://www.boxofficemojo.com/studio/chart/?studio=focus.htm" TargetMode="External"/><Relationship Id="rId671" Type="http://schemas.openxmlformats.org/officeDocument/2006/relationships/hyperlink" Target="http://www.boxofficemojo.com/schedule/?view=bydate&amp;release=theatrical&amp;date=2011-12-28&amp;p=.htm" TargetMode="External"/><Relationship Id="rId280" Type="http://schemas.openxmlformats.org/officeDocument/2006/relationships/hyperlink" Target="http://www.boxofficemojo.com/studio/chart/?studio=filmdistrict.htm" TargetMode="External"/><Relationship Id="rId281" Type="http://schemas.openxmlformats.org/officeDocument/2006/relationships/hyperlink" Target="http://www.boxofficemojo.com/schedule/?view=bydate&amp;release=theatrical&amp;date=2011-09-16&amp;p=.htm" TargetMode="External"/><Relationship Id="rId282" Type="http://schemas.openxmlformats.org/officeDocument/2006/relationships/hyperlink" Target="http://www.boxofficemojo.com/movies/?id=50fifty.htm" TargetMode="External"/><Relationship Id="rId283" Type="http://schemas.openxmlformats.org/officeDocument/2006/relationships/hyperlink" Target="http://www.boxofficemojo.com/studio/chart/?studio=summitentertainment.htm" TargetMode="External"/><Relationship Id="rId284" Type="http://schemas.openxmlformats.org/officeDocument/2006/relationships/hyperlink" Target="http://www.boxofficemojo.com/schedule/?view=bydate&amp;release=theatrical&amp;date=2011-09-30&amp;p=.htm" TargetMode="External"/><Relationship Id="rId285" Type="http://schemas.openxmlformats.org/officeDocument/2006/relationships/hyperlink" Target="http://www.boxofficemojo.com/movies/?id=courageous.htm" TargetMode="External"/><Relationship Id="rId286" Type="http://schemas.openxmlformats.org/officeDocument/2006/relationships/hyperlink" Target="http://www.boxofficemojo.com/studio/chart/?studio=tristar.htm" TargetMode="External"/><Relationship Id="rId287" Type="http://schemas.openxmlformats.org/officeDocument/2006/relationships/hyperlink" Target="http://www.boxofficemojo.com/schedule/?view=bydate&amp;release=theatrical&amp;date=2011-09-30&amp;p=.htm" TargetMode="External"/><Relationship Id="rId288" Type="http://schemas.openxmlformats.org/officeDocument/2006/relationships/hyperlink" Target="http://www.boxofficemojo.com/movies/?id=rite.htm" TargetMode="External"/><Relationship Id="rId289" Type="http://schemas.openxmlformats.org/officeDocument/2006/relationships/hyperlink" Target="http://www.boxofficemojo.com/studio/chart/?studio=wb-newline.htm" TargetMode="External"/><Relationship Id="rId672" Type="http://schemas.openxmlformats.org/officeDocument/2006/relationships/hyperlink" Target="http://www.boxofficemojo.com/movies/?id=fotr2011.htm" TargetMode="External"/><Relationship Id="rId673" Type="http://schemas.openxmlformats.org/officeDocument/2006/relationships/hyperlink" Target="http://www.boxofficemojo.com/studio/chart/?studio=warnerbros.htm" TargetMode="External"/><Relationship Id="rId674" Type="http://schemas.openxmlformats.org/officeDocument/2006/relationships/hyperlink" Target="http://www.boxofficemojo.com/schedule/?view=bydate&amp;release=theatrical&amp;date=2011-06-14&amp;p=.htm" TargetMode="External"/><Relationship Id="rId675" Type="http://schemas.openxmlformats.org/officeDocument/2006/relationships/hyperlink" Target="http://www.boxofficemojo.com/movies/?id=twotowers2011.htm" TargetMode="External"/><Relationship Id="rId676" Type="http://schemas.openxmlformats.org/officeDocument/2006/relationships/hyperlink" Target="http://www.boxofficemojo.com/studio/chart/?studio=warnerbros.htm" TargetMode="External"/><Relationship Id="rId677" Type="http://schemas.openxmlformats.org/officeDocument/2006/relationships/hyperlink" Target="http://www.boxofficemojo.com/schedule/?view=bydate&amp;release=theatrical&amp;date=2011-06-21&amp;p=.htm" TargetMode="External"/><Relationship Id="rId678" Type="http://schemas.openxmlformats.org/officeDocument/2006/relationships/hyperlink" Target="http://www.boxofficemojo.com/movies/?id=forksoverknives.htm" TargetMode="External"/><Relationship Id="rId679" Type="http://schemas.openxmlformats.org/officeDocument/2006/relationships/hyperlink" Target="http://www.boxofficemojo.com/studio/chart/?studio=pascack.htm" TargetMode="External"/><Relationship Id="rId1524" Type="http://schemas.openxmlformats.org/officeDocument/2006/relationships/hyperlink" Target="http://www.boxofficemojo.com/movies/?id=londonboulevard.htm" TargetMode="External"/><Relationship Id="rId1525" Type="http://schemas.openxmlformats.org/officeDocument/2006/relationships/hyperlink" Target="http://www.boxofficemojo.com/studio/chart/?studio=ifc.htm" TargetMode="External"/><Relationship Id="rId1526" Type="http://schemas.openxmlformats.org/officeDocument/2006/relationships/hyperlink" Target="http://www.boxofficemojo.com/schedule/?view=bydate&amp;release=theatrical&amp;date=2011-11-11&amp;p=.htm" TargetMode="External"/><Relationship Id="rId1527" Type="http://schemas.openxmlformats.org/officeDocument/2006/relationships/hyperlink" Target="http://www.boxofficemojo.com/movies/?id=anchorbaby.htm" TargetMode="External"/><Relationship Id="rId1528" Type="http://schemas.openxmlformats.org/officeDocument/2006/relationships/hyperlink" Target="http://www.boxofficemojo.com/studio/chart/?studio=alphagalore.htm" TargetMode="External"/><Relationship Id="rId1529" Type="http://schemas.openxmlformats.org/officeDocument/2006/relationships/hyperlink" Target="http://www.boxofficemojo.com/schedule/?view=bydate&amp;release=theatrical&amp;date=2011-07-08&amp;p=.htm" TargetMode="External"/><Relationship Id="rId60" Type="http://schemas.openxmlformats.org/officeDocument/2006/relationships/hyperlink" Target="http://www.boxofficemojo.com/movies/?id=smurfs.htm" TargetMode="External"/><Relationship Id="rId61" Type="http://schemas.openxmlformats.org/officeDocument/2006/relationships/hyperlink" Target="http://www.boxofficemojo.com/studio/chart/?studio=sony.htm" TargetMode="External"/><Relationship Id="rId62" Type="http://schemas.openxmlformats.org/officeDocument/2006/relationships/hyperlink" Target="http://www.boxofficemojo.com/schedule/?view=bydate&amp;release=theatrical&amp;date=2011-07-29&amp;p=.htm" TargetMode="External"/><Relationship Id="rId63" Type="http://schemas.openxmlformats.org/officeDocument/2006/relationships/hyperlink" Target="http://www.boxofficemojo.com/movies/?id=alvin3d.htm" TargetMode="External"/><Relationship Id="rId64" Type="http://schemas.openxmlformats.org/officeDocument/2006/relationships/hyperlink" Target="http://www.boxofficemojo.com/studio/chart/?studio=fox.htm" TargetMode="External"/><Relationship Id="rId65" Type="http://schemas.openxmlformats.org/officeDocument/2006/relationships/hyperlink" Target="http://www.boxofficemojo.com/schedule/?view=bydate&amp;release=theatrical&amp;date=2011-12-16&amp;p=.htm" TargetMode="External"/><Relationship Id="rId66" Type="http://schemas.openxmlformats.org/officeDocument/2006/relationships/hyperlink" Target="http://www.boxofficemojo.com/movies/?id=super8.htm" TargetMode="External"/><Relationship Id="rId67" Type="http://schemas.openxmlformats.org/officeDocument/2006/relationships/hyperlink" Target="http://www.boxofficemojo.com/studio/chart/?studio=paramount.htm" TargetMode="External"/><Relationship Id="rId68" Type="http://schemas.openxmlformats.org/officeDocument/2006/relationships/hyperlink" Target="http://www.boxofficemojo.com/schedule/?view=bydate&amp;release=theatrical&amp;date=2011-06-10&amp;p=.htm" TargetMode="External"/><Relationship Id="rId69" Type="http://schemas.openxmlformats.org/officeDocument/2006/relationships/hyperlink" Target="http://www.boxofficemojo.com/movies/?id=rango.htm" TargetMode="External"/><Relationship Id="rId1530" Type="http://schemas.openxmlformats.org/officeDocument/2006/relationships/hyperlink" Target="http://www.boxofficemojo.com/movies/?id=dumbstruck.htm" TargetMode="External"/><Relationship Id="rId1531" Type="http://schemas.openxmlformats.org/officeDocument/2006/relationships/hyperlink" Target="http://www.boxofficemojo.com/studio/chart/?studio=trulyindie.htm" TargetMode="External"/><Relationship Id="rId1532" Type="http://schemas.openxmlformats.org/officeDocument/2006/relationships/hyperlink" Target="http://www.boxofficemojo.com/schedule/?view=bydate&amp;release=theatrical&amp;date=2011-04-15&amp;p=.htm" TargetMode="External"/><Relationship Id="rId1533" Type="http://schemas.openxmlformats.org/officeDocument/2006/relationships/hyperlink" Target="http://www.boxofficemojo.com/movies/?id=imnotjesusmommy.htm" TargetMode="External"/><Relationship Id="rId1140" Type="http://schemas.openxmlformats.org/officeDocument/2006/relationships/hyperlink" Target="http://www.boxofficemojo.com/movies/?id=publicspeaking.htm" TargetMode="External"/><Relationship Id="rId1141" Type="http://schemas.openxmlformats.org/officeDocument/2006/relationships/hyperlink" Target="http://www.boxofficemojo.com/studio/chart/?studio=rialto.htm" TargetMode="External"/><Relationship Id="rId1142" Type="http://schemas.openxmlformats.org/officeDocument/2006/relationships/hyperlink" Target="http://www.boxofficemojo.com/schedule/?view=bydate&amp;release=theatrical&amp;date=2011-02-23&amp;p=.htm" TargetMode="External"/><Relationship Id="rId1143" Type="http://schemas.openxmlformats.org/officeDocument/2006/relationships/hyperlink" Target="http://www.boxofficemojo.com/movies/?id=trigun2011.htm" TargetMode="External"/><Relationship Id="rId1144" Type="http://schemas.openxmlformats.org/officeDocument/2006/relationships/hyperlink" Target="http://www.boxofficemojo.com/studio/chart/?studio=elevenarts.htm" TargetMode="External"/><Relationship Id="rId1145" Type="http://schemas.openxmlformats.org/officeDocument/2006/relationships/hyperlink" Target="http://www.boxofficemojo.com/schedule/?view=bydate&amp;release=theatrical&amp;date=2011-07-08&amp;p=.htm" TargetMode="External"/><Relationship Id="rId1146" Type="http://schemas.openxmlformats.org/officeDocument/2006/relationships/hyperlink" Target="http://www.boxofficemojo.com/movies/?id=ifatreefalls.htm" TargetMode="External"/><Relationship Id="rId1147" Type="http://schemas.openxmlformats.org/officeDocument/2006/relationships/hyperlink" Target="http://www.boxofficemojo.com/studio/chart/?studio=oscilloscopepictures.htm" TargetMode="External"/><Relationship Id="rId1148" Type="http://schemas.openxmlformats.org/officeDocument/2006/relationships/hyperlink" Target="http://www.boxofficemojo.com/schedule/?view=bydate&amp;release=theatrical&amp;date=2011-06-22&amp;p=.htm" TargetMode="External"/><Relationship Id="rId1149" Type="http://schemas.openxmlformats.org/officeDocument/2006/relationships/hyperlink" Target="http://www.boxofficemojo.com/movies/?id=vivariva.htm" TargetMode="External"/><Relationship Id="rId680" Type="http://schemas.openxmlformats.org/officeDocument/2006/relationships/hyperlink" Target="http://www.boxofficemojo.com/schedule/?view=bydate&amp;release=theatrical&amp;date=2011-01-07&amp;p=.htm" TargetMode="External"/><Relationship Id="rId681" Type="http://schemas.openxmlformats.org/officeDocument/2006/relationships/hyperlink" Target="http://www.boxofficemojo.com/movies/?id=mausam.htm" TargetMode="External"/><Relationship Id="rId290" Type="http://schemas.openxmlformats.org/officeDocument/2006/relationships/hyperlink" Target="http://www.boxofficemojo.com/schedule/?view=bydate&amp;release=theatrical&amp;date=2011-01-28&amp;p=.htm" TargetMode="External"/><Relationship Id="rId291" Type="http://schemas.openxmlformats.org/officeDocument/2006/relationships/hyperlink" Target="http://www.boxofficemojo.com/movies/?id=arthur2011.htm" TargetMode="External"/><Relationship Id="rId292" Type="http://schemas.openxmlformats.org/officeDocument/2006/relationships/hyperlink" Target="http://www.boxofficemojo.com/studio/chart/?studio=warnerbros.htm" TargetMode="External"/><Relationship Id="rId293" Type="http://schemas.openxmlformats.org/officeDocument/2006/relationships/hyperlink" Target="http://www.boxofficemojo.com/schedule/?view=bydate&amp;release=theatrical&amp;date=2011-04-08&amp;p=.htm" TargetMode="External"/><Relationship Id="rId294" Type="http://schemas.openxmlformats.org/officeDocument/2006/relationships/hyperlink" Target="http://www.boxofficemojo.com/movies/?id=extremelyloud.htm" TargetMode="External"/><Relationship Id="rId295" Type="http://schemas.openxmlformats.org/officeDocument/2006/relationships/hyperlink" Target="http://www.boxofficemojo.com/studio/chart/?studio=warnerbros.htm" TargetMode="External"/><Relationship Id="rId296" Type="http://schemas.openxmlformats.org/officeDocument/2006/relationships/hyperlink" Target="http://www.boxofficemojo.com/schedule/?view=bydate&amp;release=theatrical&amp;date=2011-12-25&amp;p=.htm" TargetMode="External"/><Relationship Id="rId297" Type="http://schemas.openxmlformats.org/officeDocument/2006/relationships/hyperlink" Target="http://www.boxofficemojo.com/movies/?id=debt.htm" TargetMode="External"/><Relationship Id="rId298" Type="http://schemas.openxmlformats.org/officeDocument/2006/relationships/hyperlink" Target="http://www.boxofficemojo.com/studio/chart/?studio=focus.htm" TargetMode="External"/><Relationship Id="rId299" Type="http://schemas.openxmlformats.org/officeDocument/2006/relationships/hyperlink" Target="http://www.boxofficemojo.com/schedule/?view=bydate&amp;release=theatrical&amp;date=2011-08-31&amp;p=.htm" TargetMode="External"/><Relationship Id="rId682" Type="http://schemas.openxmlformats.org/officeDocument/2006/relationships/hyperlink" Target="http://www.boxofficemojo.com/studio/chart/?studio=eros.htm" TargetMode="External"/><Relationship Id="rId683" Type="http://schemas.openxmlformats.org/officeDocument/2006/relationships/hyperlink" Target="http://www.boxofficemojo.com/schedule/?view=bydate&amp;release=theatrical&amp;date=2011-09-23&amp;p=.htm" TargetMode="External"/><Relationship Id="rId684" Type="http://schemas.openxmlformats.org/officeDocument/2006/relationships/hyperlink" Target="http://www.boxofficemojo.com/movies/?id=womenonthe6thfloor.htm" TargetMode="External"/><Relationship Id="rId685" Type="http://schemas.openxmlformats.org/officeDocument/2006/relationships/hyperlink" Target="http://www.boxofficemojo.com/studio/chart/?studio=strand.htm" TargetMode="External"/><Relationship Id="rId686" Type="http://schemas.openxmlformats.org/officeDocument/2006/relationships/hyperlink" Target="http://www.boxofficemojo.com/schedule/?view=bydate&amp;release=theatrical&amp;date=2011-10-07&amp;p=.htm" TargetMode="External"/><Relationship Id="rId687" Type="http://schemas.openxmlformats.org/officeDocument/2006/relationships/hyperlink" Target="http://www.boxofficemojo.com/movies/?id=polarexpress2011reissue.htm" TargetMode="External"/><Relationship Id="rId688" Type="http://schemas.openxmlformats.org/officeDocument/2006/relationships/hyperlink" Target="http://www.boxofficemojo.com/studio/chart/?studio=warnerbros.htm" TargetMode="External"/><Relationship Id="rId689" Type="http://schemas.openxmlformats.org/officeDocument/2006/relationships/hyperlink" Target="http://www.boxofficemojo.com/schedule/?view=bydate&amp;release=theatrical&amp;date=2011-11-25&amp;p=.htm" TargetMode="External"/><Relationship Id="rId1534" Type="http://schemas.openxmlformats.org/officeDocument/2006/relationships/hyperlink" Target="http://www.boxofficemojo.com/studio/chart/?studio=filmdemic.htm" TargetMode="External"/><Relationship Id="rId1535" Type="http://schemas.openxmlformats.org/officeDocument/2006/relationships/hyperlink" Target="http://www.boxofficemojo.com/schedule/?view=bydate&amp;release=theatrical&amp;date=2011-05-06&amp;p=.htm" TargetMode="External"/><Relationship Id="rId1536" Type="http://schemas.openxmlformats.org/officeDocument/2006/relationships/hyperlink" Target="http://www.boxofficemojo.com/movies/?id=tenant11.htm" TargetMode="External"/><Relationship Id="rId1537" Type="http://schemas.openxmlformats.org/officeDocument/2006/relationships/hyperlink" Target="http://www.boxofficemojo.com/studio/chart/?studio=indican.htm" TargetMode="External"/><Relationship Id="rId1538" Type="http://schemas.openxmlformats.org/officeDocument/2006/relationships/hyperlink" Target="http://www.boxofficemojo.com/schedule/?view=bydate&amp;release=theatrical&amp;date=2011-04-15&amp;p=.htm" TargetMode="External"/><Relationship Id="rId1539" Type="http://schemas.openxmlformats.org/officeDocument/2006/relationships/hyperlink" Target="http://www.boxofficemojo.com/movies/?id=ongbak3.htm" TargetMode="External"/><Relationship Id="rId70" Type="http://schemas.openxmlformats.org/officeDocument/2006/relationships/hyperlink" Target="http://www.boxofficemojo.com/studio/chart/?studio=paramount.htm" TargetMode="External"/><Relationship Id="rId71" Type="http://schemas.openxmlformats.org/officeDocument/2006/relationships/hyperlink" Target="http://www.boxofficemojo.com/schedule/?view=bydate&amp;release=theatrical&amp;date=2011-03-04&amp;p=.htm" TargetMode="External"/><Relationship Id="rId72" Type="http://schemas.openxmlformats.org/officeDocument/2006/relationships/hyperlink" Target="http://www.boxofficemojo.com/movies/?id=horriblebosses.htm" TargetMode="External"/><Relationship Id="rId73" Type="http://schemas.openxmlformats.org/officeDocument/2006/relationships/hyperlink" Target="http://www.boxofficemojo.com/studio/chart/?studio=wb-newline.htm" TargetMode="External"/><Relationship Id="rId74" Type="http://schemas.openxmlformats.org/officeDocument/2006/relationships/hyperlink" Target="http://www.boxofficemojo.com/schedule/?view=bydate&amp;release=theatrical&amp;date=2011-07-08&amp;p=.htm" TargetMode="External"/><Relationship Id="rId75" Type="http://schemas.openxmlformats.org/officeDocument/2006/relationships/hyperlink" Target="http://www.boxofficemojo.com/movies/?id=greenlantern.htm" TargetMode="External"/><Relationship Id="rId76" Type="http://schemas.openxmlformats.org/officeDocument/2006/relationships/hyperlink" Target="http://www.boxofficemojo.com/studio/chart/?studio=warnerbros.htm" TargetMode="External"/><Relationship Id="rId77" Type="http://schemas.openxmlformats.org/officeDocument/2006/relationships/hyperlink" Target="http://www.boxofficemojo.com/schedule/?view=bydate&amp;release=theatrical&amp;date=2011-06-17&amp;p=.htm" TargetMode="External"/><Relationship Id="rId78" Type="http://schemas.openxmlformats.org/officeDocument/2006/relationships/hyperlink" Target="http://www.boxofficemojo.com/movies/?id=ihop.htm" TargetMode="External"/><Relationship Id="rId79" Type="http://schemas.openxmlformats.org/officeDocument/2006/relationships/hyperlink" Target="http://www.boxofficemojo.com/studio/chart/?studio=universal.htm" TargetMode="External"/><Relationship Id="rId1540" Type="http://schemas.openxmlformats.org/officeDocument/2006/relationships/hyperlink" Target="http://www.boxofficemojo.com/studio/chart/?studio=magnolia.htm" TargetMode="External"/><Relationship Id="rId1541" Type="http://schemas.openxmlformats.org/officeDocument/2006/relationships/hyperlink" Target="http://www.boxofficemojo.com/schedule/?view=bydate&amp;release=theatrical&amp;date=2011-01-14&amp;p=.htm" TargetMode="External"/><Relationship Id="rId1542" Type="http://schemas.openxmlformats.org/officeDocument/2006/relationships/hyperlink" Target="http://www.boxofficemojo.com/movies/?id=armadillo.htm" TargetMode="External"/><Relationship Id="rId1543" Type="http://schemas.openxmlformats.org/officeDocument/2006/relationships/hyperlink" Target="http://www.boxofficemojo.com/studio/chart/?studio=lorberfilms.htm" TargetMode="External"/><Relationship Id="rId1150" Type="http://schemas.openxmlformats.org/officeDocument/2006/relationships/hyperlink" Target="http://www.boxofficemojo.com/studio/chart/?studio=musicboxfilms.htm" TargetMode="External"/><Relationship Id="rId1151" Type="http://schemas.openxmlformats.org/officeDocument/2006/relationships/hyperlink" Target="http://www.boxofficemojo.com/schedule/?view=bydate&amp;release=theatrical&amp;date=2011-06-10&amp;p=.htm" TargetMode="External"/><Relationship Id="rId1152" Type="http://schemas.openxmlformats.org/officeDocument/2006/relationships/hyperlink" Target="http://www.boxofficemojo.com/movies/?id=howtoliveforever.htm" TargetMode="External"/><Relationship Id="rId1153" Type="http://schemas.openxmlformats.org/officeDocument/2006/relationships/hyperlink" Target="http://www.boxofficemojo.com/studio/chart/?studio=variancefilms.htm" TargetMode="External"/><Relationship Id="rId1154" Type="http://schemas.openxmlformats.org/officeDocument/2006/relationships/hyperlink" Target="http://www.boxofficemojo.com/schedule/?view=bydate&amp;release=theatrical&amp;date=2011-05-13&amp;p=.htm" TargetMode="External"/><Relationship Id="rId1155" Type="http://schemas.openxmlformats.org/officeDocument/2006/relationships/hyperlink" Target="http://www.boxofficemojo.com/movies/?id=limelight.htm" TargetMode="External"/><Relationship Id="rId1156" Type="http://schemas.openxmlformats.org/officeDocument/2006/relationships/hyperlink" Target="http://www.boxofficemojo.com/studio/chart/?studio=magnolia.htm" TargetMode="External"/><Relationship Id="rId1157" Type="http://schemas.openxmlformats.org/officeDocument/2006/relationships/hyperlink" Target="http://www.boxofficemojo.com/schedule/?view=bydate&amp;release=theatrical&amp;date=2011-09-23&amp;p=.htm" TargetMode="External"/><Relationship Id="rId1158" Type="http://schemas.openxmlformats.org/officeDocument/2006/relationships/hyperlink" Target="http://www.boxofficemojo.com/movies/?id=crimeaftercrime.htm" TargetMode="External"/><Relationship Id="rId1159" Type="http://schemas.openxmlformats.org/officeDocument/2006/relationships/hyperlink" Target="http://www.boxofficemojo.com/studio/chart/?studio=lifesentence.htm" TargetMode="External"/><Relationship Id="rId690" Type="http://schemas.openxmlformats.org/officeDocument/2006/relationships/hyperlink" Target="http://www.boxofficemojo.com/movies/?id=pointblank.htm" TargetMode="External"/><Relationship Id="rId691" Type="http://schemas.openxmlformats.org/officeDocument/2006/relationships/hyperlink" Target="http://www.boxofficemojo.com/studio/chart/?studio=magnolia.htm" TargetMode="External"/><Relationship Id="rId692" Type="http://schemas.openxmlformats.org/officeDocument/2006/relationships/hyperlink" Target="http://www.boxofficemojo.com/schedule/?view=bydate&amp;release=theatrical&amp;date=2011-07-29&amp;p=.htm" TargetMode="External"/><Relationship Id="rId693" Type="http://schemas.openxmlformats.org/officeDocument/2006/relationships/hyperlink" Target="http://www.boxofficemojo.com/movies/?id=hedgehog.htm" TargetMode="External"/><Relationship Id="rId694" Type="http://schemas.openxmlformats.org/officeDocument/2006/relationships/hyperlink" Target="http://www.boxofficemojo.com/studio/chart/?studio=neoclassicsfilms.htm" TargetMode="External"/><Relationship Id="rId695" Type="http://schemas.openxmlformats.org/officeDocument/2006/relationships/hyperlink" Target="http://www.boxofficemojo.com/schedule/?view=bydate&amp;release=theatrical&amp;date=2011-08-19&amp;p=.htm" TargetMode="External"/><Relationship Id="rId696" Type="http://schemas.openxmlformats.org/officeDocument/2006/relationships/hyperlink" Target="http://www.boxofficemojo.com/movies/?id=mozartssister.htm" TargetMode="External"/><Relationship Id="rId697" Type="http://schemas.openxmlformats.org/officeDocument/2006/relationships/hyperlink" Target="http://www.boxofficemojo.com/studio/chart/?studio=musicboxfilms.htm" TargetMode="External"/><Relationship Id="rId698" Type="http://schemas.openxmlformats.org/officeDocument/2006/relationships/hyperlink" Target="http://www.boxofficemojo.com/schedule/?view=bydate&amp;release=theatrical&amp;date=2011-08-19&amp;p=.htm" TargetMode="External"/><Relationship Id="rId699" Type="http://schemas.openxmlformats.org/officeDocument/2006/relationships/hyperlink" Target="http://www.boxofficemojo.com/movies/?id=hobowithashotgun.htm" TargetMode="External"/><Relationship Id="rId1544" Type="http://schemas.openxmlformats.org/officeDocument/2006/relationships/hyperlink" Target="http://www.boxofficemojo.com/schedule/?view=bydate&amp;release=theatrical&amp;date=2011-04-15&amp;p=.htm" TargetMode="External"/><Relationship Id="rId1545" Type="http://schemas.openxmlformats.org/officeDocument/2006/relationships/hyperlink" Target="http://www.boxofficemojo.com/movies/?id=peepworld.htm" TargetMode="External"/><Relationship Id="rId1546" Type="http://schemas.openxmlformats.org/officeDocument/2006/relationships/hyperlink" Target="http://www.boxofficemojo.com/studio/chart/?studio=ifc.htm" TargetMode="External"/><Relationship Id="rId1547" Type="http://schemas.openxmlformats.org/officeDocument/2006/relationships/hyperlink" Target="http://www.boxofficemojo.com/schedule/?view=bydate&amp;release=theatrical&amp;date=2011-03-25&amp;p=.htm" TargetMode="External"/><Relationship Id="rId1548" Type="http://schemas.openxmlformats.org/officeDocument/2006/relationships/hyperlink" Target="http://www.boxofficemojo.com/movies/?id=sahibbiwiaurgangster.htm" TargetMode="External"/><Relationship Id="rId1549" Type="http://schemas.openxmlformats.org/officeDocument/2006/relationships/hyperlink" Target="http://www.boxofficemojo.com/studio/chart/?studio=utv.htm" TargetMode="External"/><Relationship Id="rId80" Type="http://schemas.openxmlformats.org/officeDocument/2006/relationships/hyperlink" Target="http://www.boxofficemojo.com/schedule/?view=bydate&amp;release=theatrical&amp;date=2011-04-01&amp;p=.htm" TargetMode="External"/><Relationship Id="rId81" Type="http://schemas.openxmlformats.org/officeDocument/2006/relationships/hyperlink" Target="http://www.boxofficemojo.com/movies/?id=paranormalactivity3.htm" TargetMode="External"/><Relationship Id="rId82" Type="http://schemas.openxmlformats.org/officeDocument/2006/relationships/hyperlink" Target="http://www.boxofficemojo.com/studio/chart/?studio=paramount.htm" TargetMode="External"/><Relationship Id="rId83" Type="http://schemas.openxmlformats.org/officeDocument/2006/relationships/hyperlink" Target="http://www.boxofficemojo.com/schedule/?view=bydate&amp;release=theatrical&amp;date=2011-10-21&amp;p=.htm" TargetMode="External"/><Relationship Id="rId84" Type="http://schemas.openxmlformats.org/officeDocument/2006/relationships/hyperlink" Target="http://www.boxofficemojo.com/movies/?id=thepretendwife.htm" TargetMode="External"/><Relationship Id="rId85" Type="http://schemas.openxmlformats.org/officeDocument/2006/relationships/hyperlink" Target="http://www.boxofficemojo.com/studio/chart/?studio=sony.htm" TargetMode="External"/><Relationship Id="rId86" Type="http://schemas.openxmlformats.org/officeDocument/2006/relationships/hyperlink" Target="http://www.boxofficemojo.com/schedule/?view=bydate&amp;release=theatrical&amp;date=2011-02-11&amp;p=.htm" TargetMode="External"/><Relationship Id="rId87" Type="http://schemas.openxmlformats.org/officeDocument/2006/relationships/hyperlink" Target="http://www.boxofficemojo.com/movies/?id=girldragontattoo11.htm" TargetMode="External"/><Relationship Id="rId88" Type="http://schemas.openxmlformats.org/officeDocument/2006/relationships/hyperlink" Target="http://www.boxofficemojo.com/studio/chart/?studio=sony.htm" TargetMode="External"/><Relationship Id="rId89" Type="http://schemas.openxmlformats.org/officeDocument/2006/relationships/hyperlink" Target="http://www.boxofficemojo.com/schedule/?view=bydate&amp;release=theatrical&amp;date=2011-12-21&amp;p=.htm" TargetMode="External"/><Relationship Id="rId1550" Type="http://schemas.openxmlformats.org/officeDocument/2006/relationships/hyperlink" Target="http://www.boxofficemojo.com/schedule/?view=bydate&amp;release=theatrical&amp;date=2011-09-30&amp;p=.htm" TargetMode="External"/><Relationship Id="rId1551" Type="http://schemas.openxmlformats.org/officeDocument/2006/relationships/hyperlink" Target="http://www.boxofficemojo.com/movies/?id=sympathyfordelicious.htm" TargetMode="External"/><Relationship Id="rId1552" Type="http://schemas.openxmlformats.org/officeDocument/2006/relationships/hyperlink" Target="http://www.boxofficemojo.com/studio/chart/?studio=mayaentertainment.htm" TargetMode="External"/><Relationship Id="rId1553" Type="http://schemas.openxmlformats.org/officeDocument/2006/relationships/hyperlink" Target="http://www.boxofficemojo.com/schedule/?view=bydate&amp;release=theatrical&amp;date=2011-04-29&amp;p=.htm" TargetMode="External"/><Relationship Id="rId1160" Type="http://schemas.openxmlformats.org/officeDocument/2006/relationships/hyperlink" Target="http://www.boxofficemojo.com/schedule/?view=bydate&amp;release=theatrical&amp;date=2011-07-01&amp;p=.htm" TargetMode="External"/><Relationship Id="rId1161" Type="http://schemas.openxmlformats.org/officeDocument/2006/relationships/hyperlink" Target="http://www.boxofficemojo.com/movies/?id=3.htm" TargetMode="External"/><Relationship Id="rId1162" Type="http://schemas.openxmlformats.org/officeDocument/2006/relationships/hyperlink" Target="http://www.boxofficemojo.com/studio/chart/?studio=strand.htm" TargetMode="External"/><Relationship Id="rId1163" Type="http://schemas.openxmlformats.org/officeDocument/2006/relationships/hyperlink" Target="http://www.boxofficemojo.com/schedule/?view=bydate&amp;release=theatrical&amp;date=2011-09-16&amp;p=.htm" TargetMode="External"/><Relationship Id="rId1164" Type="http://schemas.openxmlformats.org/officeDocument/2006/relationships/hyperlink" Target="http://www.boxofficemojo.com/movies/?id=murder2.htm" TargetMode="External"/><Relationship Id="rId1165" Type="http://schemas.openxmlformats.org/officeDocument/2006/relationships/hyperlink" Target="http://www.boxofficemojo.com/studio/chart/?studio=eros.htm" TargetMode="External"/><Relationship Id="rId1166" Type="http://schemas.openxmlformats.org/officeDocument/2006/relationships/hyperlink" Target="http://www.boxofficemojo.com/schedule/?view=bydate&amp;release=theatrical&amp;date=2011-07-08&amp;p=.htm" TargetMode="External"/><Relationship Id="rId1167" Type="http://schemas.openxmlformats.org/officeDocument/2006/relationships/hyperlink" Target="http://www.boxofficemojo.com/movies/?id=farmageddon.htm" TargetMode="External"/><Relationship Id="rId1168" Type="http://schemas.openxmlformats.org/officeDocument/2006/relationships/hyperlink" Target="http://www.boxofficemojo.com/studio/chart/?studio=kristinmarie.htm" TargetMode="External"/><Relationship Id="rId1169" Type="http://schemas.openxmlformats.org/officeDocument/2006/relationships/hyperlink" Target="http://www.boxofficemojo.com/schedule/?view=bydate&amp;release=theatrical&amp;date=2011-06-17&amp;p=.htm" TargetMode="External"/><Relationship Id="rId1554" Type="http://schemas.openxmlformats.org/officeDocument/2006/relationships/hyperlink" Target="http://www.boxofficemojo.com/movies/?id=bendabilili.htm" TargetMode="External"/><Relationship Id="rId1555" Type="http://schemas.openxmlformats.org/officeDocument/2006/relationships/hyperlink" Target="http://www.boxofficemojo.com/studio/chart/?studio=nationalgeographiccinema.htm" TargetMode="External"/><Relationship Id="rId1556" Type="http://schemas.openxmlformats.org/officeDocument/2006/relationships/hyperlink" Target="http://www.boxofficemojo.com/schedule/?view=bydate&amp;release=theatrical&amp;date=2011-09-30&amp;p=.htm" TargetMode="External"/><Relationship Id="rId1557" Type="http://schemas.openxmlformats.org/officeDocument/2006/relationships/hyperlink" Target="http://www.boxofficemojo.com/movies/?id=underboardwalk.htm" TargetMode="External"/><Relationship Id="rId1558" Type="http://schemas.openxmlformats.org/officeDocument/2006/relationships/hyperlink" Target="http://www.boxofficemojo.com/studio/chart/?studio=tostieproductions.htm" TargetMode="External"/><Relationship Id="rId1559" Type="http://schemas.openxmlformats.org/officeDocument/2006/relationships/hyperlink" Target="http://www.boxofficemojo.com/schedule/?view=bydate&amp;release=theatrical&amp;date=2011-03-04&amp;p=.htm" TargetMode="External"/><Relationship Id="rId300" Type="http://schemas.openxmlformats.org/officeDocument/2006/relationships/hyperlink" Target="http://www.boxofficemojo.com/movies/?id=sitter.htm" TargetMode="External"/><Relationship Id="rId301" Type="http://schemas.openxmlformats.org/officeDocument/2006/relationships/hyperlink" Target="http://www.boxofficemojo.com/studio/chart/?studio=fox.htm" TargetMode="External"/><Relationship Id="rId302" Type="http://schemas.openxmlformats.org/officeDocument/2006/relationships/hyperlink" Target="http://www.boxofficemojo.com/schedule/?view=bydate&amp;release=theatrical&amp;date=2011-12-09&amp;p=.htm" TargetMode="External"/><Relationship Id="rId303" Type="http://schemas.openxmlformats.org/officeDocument/2006/relationships/hyperlink" Target="http://www.boxofficemojo.com/movies/?id=ironlady.htm" TargetMode="External"/><Relationship Id="rId304" Type="http://schemas.openxmlformats.org/officeDocument/2006/relationships/hyperlink" Target="http://www.boxofficemojo.com/studio/chart/?studio=weinsteincompany.htm" TargetMode="External"/><Relationship Id="rId305" Type="http://schemas.openxmlformats.org/officeDocument/2006/relationships/hyperlink" Target="http://www.boxofficemojo.com/schedule/?view=bydate&amp;release=theatrical&amp;date=2011-12-30&amp;p=.htm" TargetMode="External"/><Relationship Id="rId306" Type="http://schemas.openxmlformats.org/officeDocument/2006/relationships/hyperlink" Target="http://www.boxofficemojo.com/movies/?id=priest07.htm" TargetMode="External"/><Relationship Id="rId307" Type="http://schemas.openxmlformats.org/officeDocument/2006/relationships/hyperlink" Target="http://www.boxofficemojo.com/studio/chart/?studio=screengems.htm" TargetMode="External"/><Relationship Id="rId308" Type="http://schemas.openxmlformats.org/officeDocument/2006/relationships/hyperlink" Target="http://www.boxofficemojo.com/schedule/?view=bydate&amp;release=theatrical&amp;date=2011-05-13&amp;p=.htm" TargetMode="External"/><Relationship Id="rId309" Type="http://schemas.openxmlformats.org/officeDocument/2006/relationships/hyperlink" Target="http://www.boxofficemojo.com/movies/?id=mechanic.htm" TargetMode="External"/><Relationship Id="rId90" Type="http://schemas.openxmlformats.org/officeDocument/2006/relationships/hyperlink" Target="http://www.boxofficemojo.com/movies/?id=badteacher.htm" TargetMode="External"/><Relationship Id="rId91" Type="http://schemas.openxmlformats.org/officeDocument/2006/relationships/hyperlink" Target="http://www.boxofficemojo.com/studio/chart/?studio=sony.htm" TargetMode="External"/><Relationship Id="rId92" Type="http://schemas.openxmlformats.org/officeDocument/2006/relationships/hyperlink" Target="http://www.boxofficemojo.com/schedule/?view=bydate&amp;release=theatrical&amp;date=2011-06-24&amp;p=.htm" TargetMode="External"/><Relationship Id="rId93" Type="http://schemas.openxmlformats.org/officeDocument/2006/relationships/hyperlink" Target="http://www.boxofficemojo.com/movies/?id=cowboysandaliens.htm" TargetMode="External"/><Relationship Id="rId94" Type="http://schemas.openxmlformats.org/officeDocument/2006/relationships/hyperlink" Target="http://www.boxofficemojo.com/studio/chart/?studio=universal.htm" TargetMode="External"/><Relationship Id="rId95" Type="http://schemas.openxmlformats.org/officeDocument/2006/relationships/hyperlink" Target="http://www.boxofficemojo.com/schedule/?view=bydate&amp;release=theatrical&amp;date=2011-07-29&amp;p=.htm" TargetMode="External"/><Relationship Id="rId96" Type="http://schemas.openxmlformats.org/officeDocument/2006/relationships/hyperlink" Target="http://www.boxofficemojo.com/movies/?id=gnomeoandjuliet.htm" TargetMode="External"/><Relationship Id="rId97" Type="http://schemas.openxmlformats.org/officeDocument/2006/relationships/hyperlink" Target="http://www.boxofficemojo.com/studio/chart/?studio=buenavista.htm" TargetMode="External"/><Relationship Id="rId98" Type="http://schemas.openxmlformats.org/officeDocument/2006/relationships/hyperlink" Target="http://www.boxofficemojo.com/schedule/?view=bydate&amp;release=theatrical&amp;date=2011-02-11&amp;p=.htm" TargetMode="External"/><Relationship Id="rId99" Type="http://schemas.openxmlformats.org/officeDocument/2006/relationships/hyperlink" Target="http://www.boxofficemojo.com/movies/?id=greenhornet.htm" TargetMode="External"/><Relationship Id="rId1560" Type="http://schemas.openxmlformats.org/officeDocument/2006/relationships/hyperlink" Target="http://www.boxofficemojo.com/movies/?id=leapyear2011.htm" TargetMode="External"/><Relationship Id="rId1561" Type="http://schemas.openxmlformats.org/officeDocument/2006/relationships/hyperlink" Target="http://www.boxofficemojo.com/studio/chart/?studio=strand.htm" TargetMode="External"/><Relationship Id="rId1562" Type="http://schemas.openxmlformats.org/officeDocument/2006/relationships/hyperlink" Target="http://www.boxofficemojo.com/schedule/?view=bydate&amp;release=theatrical&amp;date=2011-06-24&amp;p=.htm" TargetMode="External"/><Relationship Id="rId1563" Type="http://schemas.openxmlformats.org/officeDocument/2006/relationships/hyperlink" Target="http://www.boxofficemojo.com/movies/?id=bloodworth.htm" TargetMode="External"/><Relationship Id="rId1170" Type="http://schemas.openxmlformats.org/officeDocument/2006/relationships/hyperlink" Target="http://www.boxofficemojo.com/movies/?id=findingjoe.htm" TargetMode="External"/><Relationship Id="rId1171" Type="http://schemas.openxmlformats.org/officeDocument/2006/relationships/hyperlink" Target="http://www.boxofficemojo.com/studio/chart/?studio=balcony.htm" TargetMode="External"/><Relationship Id="rId1172" Type="http://schemas.openxmlformats.org/officeDocument/2006/relationships/hyperlink" Target="http://www.boxofficemojo.com/schedule/?view=bydate&amp;release=theatrical&amp;date=2011-09-30&amp;p=.htm" TargetMode="External"/><Relationship Id="rId1173" Type="http://schemas.openxmlformats.org/officeDocument/2006/relationships/hyperlink" Target="http://www.boxofficemojo.com/movies/?id=intoeternity.htm" TargetMode="External"/><Relationship Id="rId1174" Type="http://schemas.openxmlformats.org/officeDocument/2006/relationships/hyperlink" Target="http://www.boxofficemojo.com/studio/chart/?studio=intlfilmcircuit.htm" TargetMode="External"/><Relationship Id="rId1175" Type="http://schemas.openxmlformats.org/officeDocument/2006/relationships/hyperlink" Target="http://www.boxofficemojo.com/schedule/?view=bydate&amp;release=theatrical&amp;date=2011-02-02&amp;p=.htm" TargetMode="External"/><Relationship Id="rId1176" Type="http://schemas.openxmlformats.org/officeDocument/2006/relationships/hyperlink" Target="http://www.boxofficemojo.com/movies/?id=dirtygirl.htm" TargetMode="External"/><Relationship Id="rId1177" Type="http://schemas.openxmlformats.org/officeDocument/2006/relationships/hyperlink" Target="http://www.boxofficemojo.com/studio/chart/?studio=weinsteincompany.htm" TargetMode="External"/><Relationship Id="rId1178" Type="http://schemas.openxmlformats.org/officeDocument/2006/relationships/hyperlink" Target="http://www.boxofficemojo.com/schedule/?view=bydate&amp;release=theatrical&amp;date=2011-10-07&amp;p=.htm" TargetMode="External"/><Relationship Id="rId1179" Type="http://schemas.openxmlformats.org/officeDocument/2006/relationships/hyperlink" Target="http://www.boxofficemojo.com/movies/?id=snowmen.htm" TargetMode="External"/><Relationship Id="rId1564" Type="http://schemas.openxmlformats.org/officeDocument/2006/relationships/hyperlink" Target="http://www.boxofficemojo.com/studio/chart/?studio=samuelgoldwyn.htm" TargetMode="External"/><Relationship Id="rId1565" Type="http://schemas.openxmlformats.org/officeDocument/2006/relationships/hyperlink" Target="http://www.boxofficemojo.com/schedule/?view=bydate&amp;release=theatrical&amp;date=2011-05-20&amp;p=.htm" TargetMode="External"/><Relationship Id="rId1566" Type="http://schemas.openxmlformats.org/officeDocument/2006/relationships/hyperlink" Target="http://www.boxofficemojo.com/movies/?id=americathebeautiful2.htm" TargetMode="External"/><Relationship Id="rId1567" Type="http://schemas.openxmlformats.org/officeDocument/2006/relationships/hyperlink" Target="http://www.boxofficemojo.com/studio/chart/?studio=pmkbncfilms.htm" TargetMode="External"/><Relationship Id="rId1568" Type="http://schemas.openxmlformats.org/officeDocument/2006/relationships/hyperlink" Target="http://www.boxofficemojo.com/schedule/?view=bydate&amp;release=theatrical&amp;date=2011-10-14&amp;p=.htm" TargetMode="External"/><Relationship Id="rId1569" Type="http://schemas.openxmlformats.org/officeDocument/2006/relationships/hyperlink" Target="http://www.boxofficemojo.com/movies/?id=rebirth.htm" TargetMode="External"/><Relationship Id="rId700" Type="http://schemas.openxmlformats.org/officeDocument/2006/relationships/hyperlink" Target="http://www.boxofficemojo.com/studio/chart/?studio=magnolia.htm" TargetMode="External"/><Relationship Id="rId701" Type="http://schemas.openxmlformats.org/officeDocument/2006/relationships/hyperlink" Target="http://www.boxofficemojo.com/schedule/?view=bydate&amp;release=theatrical&amp;date=2011-05-06&amp;p=.htm" TargetMode="External"/><Relationship Id="rId702" Type="http://schemas.openxmlformats.org/officeDocument/2006/relationships/hyperlink" Target="http://www.boxofficemojo.com/movies/?id=tabloid.htm" TargetMode="External"/><Relationship Id="rId703" Type="http://schemas.openxmlformats.org/officeDocument/2006/relationships/hyperlink" Target="http://www.boxofficemojo.com/studio/chart/?studio=ifc.htm" TargetMode="External"/><Relationship Id="rId310" Type="http://schemas.openxmlformats.org/officeDocument/2006/relationships/hyperlink" Target="http://www.boxofficemojo.com/studio/chart/?studio=cbsfilms.htm" TargetMode="External"/><Relationship Id="rId311" Type="http://schemas.openxmlformats.org/officeDocument/2006/relationships/hyperlink" Target="http://www.boxofficemojo.com/schedule/?view=bydate&amp;release=theatrical&amp;date=2011-01-28&amp;p=.htm" TargetMode="External"/><Relationship Id="rId312" Type="http://schemas.openxmlformats.org/officeDocument/2006/relationships/hyperlink" Target="http://www.boxofficemojo.com/movies/?id=abduction11.htm" TargetMode="External"/><Relationship Id="rId313" Type="http://schemas.openxmlformats.org/officeDocument/2006/relationships/hyperlink" Target="http://www.boxofficemojo.com/studio/chart/?studio=lionsgate.htm" TargetMode="External"/><Relationship Id="rId314" Type="http://schemas.openxmlformats.org/officeDocument/2006/relationships/hyperlink" Target="http://www.boxofficemojo.com/schedule/?view=bydate&amp;release=theatrical&amp;date=2011-09-23&amp;p=.htm" TargetMode="External"/><Relationship Id="rId315" Type="http://schemas.openxmlformats.org/officeDocument/2006/relationships/hyperlink" Target="http://www.boxofficemojo.com/movies/?id=beastly.htm" TargetMode="External"/><Relationship Id="rId316" Type="http://schemas.openxmlformats.org/officeDocument/2006/relationships/hyperlink" Target="http://www.boxofficemojo.com/studio/chart/?studio=cbsfilms.htm" TargetMode="External"/><Relationship Id="rId317" Type="http://schemas.openxmlformats.org/officeDocument/2006/relationships/hyperlink" Target="http://www.boxofficemojo.com/schedule/?view=bydate&amp;release=theatrical&amp;date=2011-03-04&amp;p=.htm" TargetMode="External"/><Relationship Id="rId318" Type="http://schemas.openxmlformats.org/officeDocument/2006/relationships/hyperlink" Target="http://www.boxofficemojo.com/movies/?id=winniethepooh.htm" TargetMode="External"/><Relationship Id="rId319" Type="http://schemas.openxmlformats.org/officeDocument/2006/relationships/hyperlink" Target="http://www.boxofficemojo.com/studio/chart/?studio=buenavista.htm" TargetMode="External"/><Relationship Id="rId704" Type="http://schemas.openxmlformats.org/officeDocument/2006/relationships/hyperlink" Target="http://www.boxofficemojo.com/schedule/?view=bydate&amp;release=theatrical&amp;date=2011-07-15&amp;p=.htm" TargetMode="External"/><Relationship Id="rId705" Type="http://schemas.openxmlformats.org/officeDocument/2006/relationships/hyperlink" Target="http://www.boxofficemojo.com/movies/?id=myafternoonswithmargueritte.htm" TargetMode="External"/><Relationship Id="rId706" Type="http://schemas.openxmlformats.org/officeDocument/2006/relationships/hyperlink" Target="http://www.boxofficemojo.com/studio/chart/?studio=cohenmedia.htm" TargetMode="External"/><Relationship Id="rId707" Type="http://schemas.openxmlformats.org/officeDocument/2006/relationships/hyperlink" Target="http://www.boxofficemojo.com/schedule/?view=bydate&amp;release=theatrical&amp;date=2011-09-16&amp;p=.htm" TargetMode="External"/><Relationship Id="rId708" Type="http://schemas.openxmlformats.org/officeDocument/2006/relationships/hyperlink" Target="http://www.boxofficemojo.com/movies/?id=terri.htm" TargetMode="External"/><Relationship Id="rId709" Type="http://schemas.openxmlformats.org/officeDocument/2006/relationships/hyperlink" Target="http://www.boxofficemojo.com/studio/chart/?studio=atopictures.htm" TargetMode="External"/><Relationship Id="rId1570" Type="http://schemas.openxmlformats.org/officeDocument/2006/relationships/hyperlink" Target="http://www.boxofficemojo.com/studio/chart/?studio=oscilloscopepictures.htm" TargetMode="External"/><Relationship Id="rId1571" Type="http://schemas.openxmlformats.org/officeDocument/2006/relationships/hyperlink" Target="http://www.boxofficemojo.com/schedule/?view=bydate&amp;release=theatrical&amp;date=2011-08-31&amp;p=.htm" TargetMode="External"/><Relationship Id="rId1572" Type="http://schemas.openxmlformats.org/officeDocument/2006/relationships/hyperlink" Target="http://www.boxofficemojo.com/movies/?id=backdoorchannels.htm" TargetMode="External"/><Relationship Id="rId1573" Type="http://schemas.openxmlformats.org/officeDocument/2006/relationships/hyperlink" Target="http://www.boxofficemojo.com/studio/chart/?studio=fisherklingenstein.htm" TargetMode="External"/><Relationship Id="rId1180" Type="http://schemas.openxmlformats.org/officeDocument/2006/relationships/hyperlink" Target="http://www.boxofficemojo.com/studio/chart/?studio=cinedigmentertainment.htm" TargetMode="External"/><Relationship Id="rId1181" Type="http://schemas.openxmlformats.org/officeDocument/2006/relationships/hyperlink" Target="http://www.boxofficemojo.com/schedule/?view=bydate&amp;release=theatrical&amp;date=2011-10-21&amp;p=.htm" TargetMode="External"/><Relationship Id="rId1182" Type="http://schemas.openxmlformats.org/officeDocument/2006/relationships/hyperlink" Target="http://www.boxofficemojo.com/movies/?id=otherfword.htm" TargetMode="External"/><Relationship Id="rId1183" Type="http://schemas.openxmlformats.org/officeDocument/2006/relationships/hyperlink" Target="http://www.boxofficemojo.com/studio/chart/?studio=oscilloscopepictures.htm" TargetMode="External"/><Relationship Id="rId1184" Type="http://schemas.openxmlformats.org/officeDocument/2006/relationships/hyperlink" Target="http://www.boxofficemojo.com/schedule/?view=bydate&amp;release=theatrical&amp;date=2011-11-04&amp;p=.htm" TargetMode="External"/><Relationship Id="rId1185" Type="http://schemas.openxmlformats.org/officeDocument/2006/relationships/hyperlink" Target="http://www.boxofficemojo.com/movies/?id=womenartrevolution.htm" TargetMode="External"/><Relationship Id="rId1186" Type="http://schemas.openxmlformats.org/officeDocument/2006/relationships/hyperlink" Target="http://www.boxofficemojo.com/studio/chart/?studio=zeitgeist.htm" TargetMode="External"/><Relationship Id="rId1187" Type="http://schemas.openxmlformats.org/officeDocument/2006/relationships/hyperlink" Target="http://www.boxofficemojo.com/schedule/?view=bydate&amp;release=theatrical&amp;date=2011-06-01&amp;p=.htm" TargetMode="External"/><Relationship Id="rId1188" Type="http://schemas.openxmlformats.org/officeDocument/2006/relationships/hyperlink" Target="http://www.boxofficemojo.com/movies/?id=overyourcities.htm" TargetMode="External"/><Relationship Id="rId1189" Type="http://schemas.openxmlformats.org/officeDocument/2006/relationships/hyperlink" Target="http://www.boxofficemojo.com/studio/chart/?studio=alivemind.htm" TargetMode="External"/><Relationship Id="rId1574" Type="http://schemas.openxmlformats.org/officeDocument/2006/relationships/hyperlink" Target="http://www.boxofficemojo.com/schedule/?view=bydate&amp;release=theatrical&amp;date=2011-09-16&amp;p=.htm" TargetMode="External"/><Relationship Id="rId1575" Type="http://schemas.openxmlformats.org/officeDocument/2006/relationships/hyperlink" Target="http://www.boxofficemojo.com/movies/?id=wanttowhistle.htm" TargetMode="External"/><Relationship Id="rId1576" Type="http://schemas.openxmlformats.org/officeDocument/2006/relationships/hyperlink" Target="http://www.boxofficemojo.com/studio/chart/?studio=filmmovement.htm" TargetMode="External"/><Relationship Id="rId1577" Type="http://schemas.openxmlformats.org/officeDocument/2006/relationships/hyperlink" Target="http://www.boxofficemojo.com/schedule/?view=bydate&amp;release=theatrical&amp;date=2011-01-05&amp;p=.htm" TargetMode="External"/><Relationship Id="rId1578" Type="http://schemas.openxmlformats.org/officeDocument/2006/relationships/hyperlink" Target="http://www.boxofficemojo.com/movies/?id=deepgold.htm" TargetMode="External"/><Relationship Id="rId1579" Type="http://schemas.openxmlformats.org/officeDocument/2006/relationships/hyperlink" Target="http://www.boxofficemojo.com/studio/chart/?studio=bigfootascendant.htm" TargetMode="External"/><Relationship Id="rId710" Type="http://schemas.openxmlformats.org/officeDocument/2006/relationships/hyperlink" Target="http://www.boxofficemojo.com/schedule/?view=bydate&amp;release=theatrical&amp;date=2011-07-01&amp;p=.htm" TargetMode="External"/><Relationship Id="rId711" Type="http://schemas.openxmlformats.org/officeDocument/2006/relationships/hyperlink" Target="http://www.boxofficemojo.com/movies/?id=aarakshan.htm" TargetMode="External"/><Relationship Id="rId712" Type="http://schemas.openxmlformats.org/officeDocument/2006/relationships/hyperlink" Target="http://www.boxofficemojo.com/studio/chart/?studio=reliancebigpictures.htm" TargetMode="External"/><Relationship Id="rId713" Type="http://schemas.openxmlformats.org/officeDocument/2006/relationships/hyperlink" Target="http://www.boxofficemojo.com/schedule/?view=bydate&amp;release=theatrical&amp;date=2011-08-12&amp;p=.htm" TargetMode="External"/><Relationship Id="rId320" Type="http://schemas.openxmlformats.org/officeDocument/2006/relationships/hyperlink" Target="http://www.boxofficemojo.com/schedule/?view=bydate&amp;release=theatrical&amp;date=2011-07-15&amp;p=.htm" TargetMode="External"/><Relationship Id="rId321" Type="http://schemas.openxmlformats.org/officeDocument/2006/relationships/hyperlink" Target="http://www.boxofficemojo.com/movies/?id=borntobewildimax.htm" TargetMode="External"/><Relationship Id="rId322" Type="http://schemas.openxmlformats.org/officeDocument/2006/relationships/hyperlink" Target="http://www.boxofficemojo.com/studio/chart/?studio=warnerbros.htm" TargetMode="External"/><Relationship Id="rId323" Type="http://schemas.openxmlformats.org/officeDocument/2006/relationships/hyperlink" Target="http://www.boxofficemojo.com/schedule/?view=bydate&amp;release=theatrical&amp;date=2011-04-08&amp;p=.htm" TargetMode="External"/><Relationship Id="rId324" Type="http://schemas.openxmlformats.org/officeDocument/2006/relationships/hyperlink" Target="http://www.boxofficemojo.com/movies/?id=killerelite.htm" TargetMode="External"/><Relationship Id="rId325" Type="http://schemas.openxmlformats.org/officeDocument/2006/relationships/hyperlink" Target="http://www.boxofficemojo.com/studio/chart/?studio=openroads.htm" TargetMode="External"/><Relationship Id="rId326" Type="http://schemas.openxmlformats.org/officeDocument/2006/relationships/hyperlink" Target="http://www.boxofficemojo.com/schedule/?view=bydate&amp;release=theatrical&amp;date=2011-09-23&amp;p=.htm" TargetMode="External"/><Relationship Id="rId327" Type="http://schemas.openxmlformats.org/officeDocument/2006/relationships/hyperlink" Target="http://www.boxofficemojo.com/movies/?id=seasonofthewitch.htm" TargetMode="External"/><Relationship Id="rId328" Type="http://schemas.openxmlformats.org/officeDocument/2006/relationships/hyperlink" Target="http://www.boxofficemojo.com/studio/chart/?studio=relativity.htm" TargetMode="External"/><Relationship Id="rId329" Type="http://schemas.openxmlformats.org/officeDocument/2006/relationships/hyperlink" Target="http://www.boxofficemojo.com/schedule/?view=bydate&amp;release=theatrical&amp;date=2011-01-07&amp;p=.htm" TargetMode="External"/><Relationship Id="rId714" Type="http://schemas.openxmlformats.org/officeDocument/2006/relationships/hyperlink" Target="http://www.boxofficemojo.com/movies/?id=greatestmovieeversold.htm" TargetMode="External"/><Relationship Id="rId715" Type="http://schemas.openxmlformats.org/officeDocument/2006/relationships/hyperlink" Target="http://www.boxofficemojo.com/studio/chart/?studio=sonyclassics.htm" TargetMode="External"/><Relationship Id="rId716" Type="http://schemas.openxmlformats.org/officeDocument/2006/relationships/hyperlink" Target="http://www.boxofficemojo.com/schedule/?view=bydate&amp;release=theatrical&amp;date=2011-04-22&amp;p=.htm" TargetMode="External"/><Relationship Id="rId717" Type="http://schemas.openxmlformats.org/officeDocument/2006/relationships/hyperlink" Target="http://www.boxofficemojo.com/movies/?id=lastlions.htm" TargetMode="External"/><Relationship Id="rId718" Type="http://schemas.openxmlformats.org/officeDocument/2006/relationships/hyperlink" Target="http://www.boxofficemojo.com/studio/chart/?studio=nationalgeographiccinema.htm" TargetMode="External"/><Relationship Id="rId719" Type="http://schemas.openxmlformats.org/officeDocument/2006/relationships/hyperlink" Target="http://www.boxofficemojo.com/schedule/?view=bydate&amp;release=theatrical&amp;date=2011-02-18&amp;p=.htm" TargetMode="External"/><Relationship Id="rId1580" Type="http://schemas.openxmlformats.org/officeDocument/2006/relationships/hyperlink" Target="http://www.boxofficemojo.com/schedule/?view=bydate&amp;release=theatrical&amp;date=2011-04-22&amp;p=.htm" TargetMode="External"/><Relationship Id="rId1581" Type="http://schemas.openxmlformats.org/officeDocument/2006/relationships/hyperlink" Target="http://www.boxofficemojo.com/movies/?id=ridofme.htm" TargetMode="External"/><Relationship Id="rId1582" Type="http://schemas.openxmlformats.org/officeDocument/2006/relationships/hyperlink" Target="http://www.boxofficemojo.com/studio/chart/?studio=submarinedeluxe.htm" TargetMode="External"/><Relationship Id="rId1583" Type="http://schemas.openxmlformats.org/officeDocument/2006/relationships/hyperlink" Target="http://www.boxofficemojo.com/schedule/?view=bydate&amp;release=theatrical&amp;date=2011-11-18&amp;p=.htm" TargetMode="External"/><Relationship Id="rId1190" Type="http://schemas.openxmlformats.org/officeDocument/2006/relationships/hyperlink" Target="http://www.boxofficemojo.com/schedule/?view=bydate&amp;release=theatrical&amp;date=2011-08-10&amp;p=.htm" TargetMode="External"/><Relationship Id="rId1191" Type="http://schemas.openxmlformats.org/officeDocument/2006/relationships/hyperlink" Target="http://www.boxofficemojo.com/movies/?id=battleshippotemkin2011.htm" TargetMode="External"/><Relationship Id="rId1192" Type="http://schemas.openxmlformats.org/officeDocument/2006/relationships/hyperlink" Target="http://www.boxofficemojo.com/studio/chart/?studio=kino.htm" TargetMode="External"/><Relationship Id="rId1193" Type="http://schemas.openxmlformats.org/officeDocument/2006/relationships/hyperlink" Target="http://www.boxofficemojo.com/schedule/?view=bydate&amp;release=theatrical&amp;date=2011-01-14&amp;p=.htm" TargetMode="External"/><Relationship Id="rId1194" Type="http://schemas.openxmlformats.org/officeDocument/2006/relationships/hyperlink" Target="http://www.boxofficemojo.com/movies/?id=legendofthefist.htm" TargetMode="External"/><Relationship Id="rId1195" Type="http://schemas.openxmlformats.org/officeDocument/2006/relationships/hyperlink" Target="http://www.boxofficemojo.com/studio/chart/?studio=variancefilms.htm" TargetMode="External"/><Relationship Id="rId1196" Type="http://schemas.openxmlformats.org/officeDocument/2006/relationships/hyperlink" Target="http://www.boxofficemojo.com/schedule/?view=bydate&amp;release=theatrical&amp;date=2011-04-22&amp;p=.htm" TargetMode="External"/><Relationship Id="rId1197" Type="http://schemas.openxmlformats.org/officeDocument/2006/relationships/hyperlink" Target="http://www.boxofficemojo.com/movies/?id=puttyhill.htm" TargetMode="External"/><Relationship Id="rId1198" Type="http://schemas.openxmlformats.org/officeDocument/2006/relationships/hyperlink" Target="http://www.boxofficemojo.com/studio/chart/?studio=cinemaguild.htm" TargetMode="External"/><Relationship Id="rId1199" Type="http://schemas.openxmlformats.org/officeDocument/2006/relationships/hyperlink" Target="http://www.boxofficemojo.com/schedule/?view=bydate&amp;release=theatrical&amp;date=2011-02-18&amp;p=.htm" TargetMode="External"/><Relationship Id="rId1584" Type="http://schemas.openxmlformats.org/officeDocument/2006/relationships/hyperlink" Target="http://www.boxofficemojo.com/movies/?id=elektraluxx.htm" TargetMode="External"/><Relationship Id="rId1585" Type="http://schemas.openxmlformats.org/officeDocument/2006/relationships/hyperlink" Target="http://www.boxofficemojo.com/studio/chart/?studio=samuelgoldwyn.htm" TargetMode="External"/><Relationship Id="rId1586" Type="http://schemas.openxmlformats.org/officeDocument/2006/relationships/hyperlink" Target="http://www.boxofficemojo.com/schedule/?view=bydate&amp;release=theatrical&amp;date=2011-03-11&amp;p=.htm" TargetMode="External"/><Relationship Id="rId1587" Type="http://schemas.openxmlformats.org/officeDocument/2006/relationships/hyperlink" Target="http://www.boxofficemojo.com/movies/?id=insight.htm" TargetMode="External"/><Relationship Id="rId1588" Type="http://schemas.openxmlformats.org/officeDocument/2006/relationships/hyperlink" Target="http://www.boxofficemojo.com/studio/chart/?studio=checkentertainment.htm" TargetMode="External"/><Relationship Id="rId1589" Type="http://schemas.openxmlformats.org/officeDocument/2006/relationships/hyperlink" Target="http://www.boxofficemojo.com/schedule/?view=bydate&amp;release=theatrical&amp;date=2011-09-02&amp;p=.htm" TargetMode="External"/><Relationship Id="rId720" Type="http://schemas.openxmlformats.org/officeDocument/2006/relationships/hyperlink" Target="http://www.boxofficemojo.com/movies/?id=lehavre.htm" TargetMode="External"/><Relationship Id="rId721" Type="http://schemas.openxmlformats.org/officeDocument/2006/relationships/hyperlink" Target="http://www.boxofficemojo.com/studio/chart/?studio=janusfilms.htm" TargetMode="External"/><Relationship Id="rId722" Type="http://schemas.openxmlformats.org/officeDocument/2006/relationships/hyperlink" Target="http://www.boxofficemojo.com/schedule/?view=bydate&amp;release=theatrical&amp;date=2011-10-21&amp;p=.htm" TargetMode="External"/><Relationship Id="rId723" Type="http://schemas.openxmlformats.org/officeDocument/2006/relationships/hyperlink" Target="http://www.boxofficemojo.com/movies/?id=dhobighat.htm" TargetMode="External"/><Relationship Id="rId330" Type="http://schemas.openxmlformats.org/officeDocument/2006/relationships/hyperlink" Target="http://www.boxofficemojo.com/movies/?id=ouridiotbrother.htm" TargetMode="External"/><Relationship Id="rId331" Type="http://schemas.openxmlformats.org/officeDocument/2006/relationships/hyperlink" Target="http://www.boxofficemojo.com/studio/chart/?studio=weinsteincompany.htm" TargetMode="External"/><Relationship Id="rId332" Type="http://schemas.openxmlformats.org/officeDocument/2006/relationships/hyperlink" Target="http://www.boxofficemojo.com/schedule/?view=bydate&amp;release=theatrical&amp;date=2011-08-26&amp;p=.htm" TargetMode="External"/><Relationship Id="rId333" Type="http://schemas.openxmlformats.org/officeDocument/2006/relationships/hyperlink" Target="http://www.boxofficemojo.com/movies/?id=tinkertailorsoldierspy.htm" TargetMode="External"/><Relationship Id="rId334" Type="http://schemas.openxmlformats.org/officeDocument/2006/relationships/hyperlink" Target="http://www.boxofficemojo.com/studio/chart/?studio=focus.htm" TargetMode="External"/><Relationship Id="rId335" Type="http://schemas.openxmlformats.org/officeDocument/2006/relationships/hyperlink" Target="http://www.boxofficemojo.com/schedule/?view=bydate&amp;release=theatrical&amp;date=2011-12-09&amp;p=.htm" TargetMode="External"/><Relationship Id="rId336" Type="http://schemas.openxmlformats.org/officeDocument/2006/relationships/hyperlink" Target="http://www.boxofficemojo.com/movies/?id=dontbeafraidofthedark.htm" TargetMode="External"/><Relationship Id="rId337" Type="http://schemas.openxmlformats.org/officeDocument/2006/relationships/hyperlink" Target="http://www.boxofficemojo.com/studio/chart/?studio=filmdistrict.htm" TargetMode="External"/><Relationship Id="rId338" Type="http://schemas.openxmlformats.org/officeDocument/2006/relationships/hyperlink" Target="http://www.boxofficemojo.com/schedule/?view=bydate&amp;release=theatrical&amp;date=2011-08-26&amp;p=.htm" TargetMode="External"/><Relationship Id="rId339" Type="http://schemas.openxmlformats.org/officeDocument/2006/relationships/hyperlink" Target="http://www.boxofficemojo.com/movies/?id=sanctum.htm" TargetMode="External"/><Relationship Id="rId724" Type="http://schemas.openxmlformats.org/officeDocument/2006/relationships/hyperlink" Target="http://www.boxofficemojo.com/studio/chart/?studio=utv.htm" TargetMode="External"/><Relationship Id="rId725" Type="http://schemas.openxmlformats.org/officeDocument/2006/relationships/hyperlink" Target="http://www.boxofficemojo.com/schedule/?view=bydate&amp;release=theatrical&amp;date=2011-01-21&amp;p=.htm" TargetMode="External"/><Relationship Id="rId726" Type="http://schemas.openxmlformats.org/officeDocument/2006/relationships/hyperlink" Target="http://www.boxofficemojo.com/movies/?id=future.htm" TargetMode="External"/><Relationship Id="rId727" Type="http://schemas.openxmlformats.org/officeDocument/2006/relationships/hyperlink" Target="http://www.boxofficemojo.com/studio/chart/?studio=roadsideattractions.htm" TargetMode="External"/><Relationship Id="rId728" Type="http://schemas.openxmlformats.org/officeDocument/2006/relationships/hyperlink" Target="http://www.boxofficemojo.com/schedule/?view=bydate&amp;release=theatrical&amp;date=2011-07-29&amp;p=.htm" TargetMode="External"/><Relationship Id="rId729" Type="http://schemas.openxmlformats.org/officeDocument/2006/relationships/hyperlink" Target="http://www.boxofficemojo.com/movies/?id=dummaarodum.htm" TargetMode="External"/><Relationship Id="rId1590" Type="http://schemas.openxmlformats.org/officeDocument/2006/relationships/hyperlink" Target="http://www.boxofficemojo.com/movies/?id=womanwiththefiveelephants.htm" TargetMode="External"/><Relationship Id="rId1591" Type="http://schemas.openxmlformats.org/officeDocument/2006/relationships/hyperlink" Target="http://www.boxofficemojo.com/studio/chart/?studio=cinemaguild.htm" TargetMode="External"/><Relationship Id="rId1592" Type="http://schemas.openxmlformats.org/officeDocument/2006/relationships/hyperlink" Target="http://www.boxofficemojo.com/schedule/?view=bydate&amp;release=theatrical&amp;date=2011-07-20&amp;p=.htm" TargetMode="External"/><Relationship Id="rId1593" Type="http://schemas.openxmlformats.org/officeDocument/2006/relationships/hyperlink" Target="http://www.boxofficemojo.com/movies/?id=sarahpalin.htm" TargetMode="External"/><Relationship Id="rId1594" Type="http://schemas.openxmlformats.org/officeDocument/2006/relationships/hyperlink" Target="http://www.boxofficemojo.com/studio/chart/?studio=fs.htm" TargetMode="External"/><Relationship Id="rId1595" Type="http://schemas.openxmlformats.org/officeDocument/2006/relationships/hyperlink" Target="http://www.boxofficemojo.com/schedule/?view=bydate&amp;release=theatrical&amp;date=2011-09-30&amp;p=.htm" TargetMode="External"/><Relationship Id="rId1596" Type="http://schemas.openxmlformats.org/officeDocument/2006/relationships/hyperlink" Target="http://www.boxofficemojo.com/movies/?id=magictowin.htm" TargetMode="External"/><Relationship Id="rId1597" Type="http://schemas.openxmlformats.org/officeDocument/2006/relationships/hyperlink" Target="http://www.boxofficemojo.com/studio/chart/?studio=chinalion.htm" TargetMode="External"/><Relationship Id="rId1598" Type="http://schemas.openxmlformats.org/officeDocument/2006/relationships/hyperlink" Target="http://www.boxofficemojo.com/schedule/?view=bydate&amp;release=theatrical&amp;date=2011-12-09&amp;p=.htm" TargetMode="External"/><Relationship Id="rId1599" Type="http://schemas.openxmlformats.org/officeDocument/2006/relationships/hyperlink" Target="http://www.boxofficemojo.com/movies/?id=frankiealice.htm" TargetMode="External"/><Relationship Id="rId730" Type="http://schemas.openxmlformats.org/officeDocument/2006/relationships/hyperlink" Target="http://www.boxofficemojo.com/studio/chart/?studio=foxsearchlight.htm" TargetMode="External"/><Relationship Id="rId731" Type="http://schemas.openxmlformats.org/officeDocument/2006/relationships/hyperlink" Target="http://www.boxofficemojo.com/schedule/?view=bydate&amp;release=theatrical&amp;date=2011-04-22&amp;p=.htm" TargetMode="External"/><Relationship Id="rId732" Type="http://schemas.openxmlformats.org/officeDocument/2006/relationships/hyperlink" Target="http://www.boxofficemojo.com/movies/?id=greatestmiracle.htm" TargetMode="External"/><Relationship Id="rId733" Type="http://schemas.openxmlformats.org/officeDocument/2006/relationships/hyperlink" Target="http://www.boxofficemojo.com/studio/chart/?studio=kkm.htm" TargetMode="External"/><Relationship Id="rId734" Type="http://schemas.openxmlformats.org/officeDocument/2006/relationships/hyperlink" Target="http://www.boxofficemojo.com/schedule/?view=bydate&amp;release=theatrical&amp;date=2011-10-14&amp;p=.htm" TargetMode="External"/><Relationship Id="rId735" Type="http://schemas.openxmlformats.org/officeDocument/2006/relationships/hyperlink" Target="http://www.boxofficemojo.com/movies/?id=doubledhamaal.htm" TargetMode="External"/><Relationship Id="rId736" Type="http://schemas.openxmlformats.org/officeDocument/2006/relationships/hyperlink" Target="http://www.boxofficemojo.com/studio/chart/?studio=reliancebigpictures.htm" TargetMode="External"/><Relationship Id="rId737" Type="http://schemas.openxmlformats.org/officeDocument/2006/relationships/hyperlink" Target="http://www.boxofficemojo.com/schedule/?view=bydate&amp;release=theatrical&amp;date=2011-06-24&amp;p=.htm" TargetMode="External"/><Relationship Id="rId738" Type="http://schemas.openxmlformats.org/officeDocument/2006/relationships/hyperlink" Target="http://www.boxofficemojo.com/movies/?id=winterinwartime.htm" TargetMode="External"/><Relationship Id="rId739" Type="http://schemas.openxmlformats.org/officeDocument/2006/relationships/hyperlink" Target="http://www.boxofficemojo.com/studio/chart/?studio=sonyclassics.htm" TargetMode="External"/><Relationship Id="rId340" Type="http://schemas.openxmlformats.org/officeDocument/2006/relationships/hyperlink" Target="http://www.boxofficemojo.com/studio/chart/?studio=universal.htm" TargetMode="External"/><Relationship Id="rId341" Type="http://schemas.openxmlformats.org/officeDocument/2006/relationships/hyperlink" Target="http://www.boxofficemojo.com/schedule/?view=bydate&amp;release=theatrical&amp;date=2011-02-04&amp;p=.htm" TargetMode="External"/><Relationship Id="rId342" Type="http://schemas.openxmlformats.org/officeDocument/2006/relationships/hyperlink" Target="http://www.boxofficemojo.com/movies/?id=montecarlo.htm" TargetMode="External"/><Relationship Id="rId343" Type="http://schemas.openxmlformats.org/officeDocument/2006/relationships/hyperlink" Target="http://www.boxofficemojo.com/studio/chart/?studio=fox.htm" TargetMode="External"/><Relationship Id="rId344" Type="http://schemas.openxmlformats.org/officeDocument/2006/relationships/hyperlink" Target="http://www.boxofficemojo.com/schedule/?view=bydate&amp;release=theatrical&amp;date=2011-07-01&amp;p=.htm" TargetMode="External"/><Relationship Id="rId345" Type="http://schemas.openxmlformats.org/officeDocument/2006/relationships/hyperlink" Target="http://www.boxofficemojo.com/movies/?id=yourhighness.htm" TargetMode="External"/><Relationship Id="rId346" Type="http://schemas.openxmlformats.org/officeDocument/2006/relationships/hyperlink" Target="http://www.boxofficemojo.com/studio/chart/?studio=universal.htm" TargetMode="External"/><Relationship Id="rId347" Type="http://schemas.openxmlformats.org/officeDocument/2006/relationships/hyperlink" Target="http://www.boxofficemojo.com/schedule/?view=bydate&amp;release=theatrical&amp;date=2011-04-08&amp;p=.htm" TargetMode="External"/><Relationship Id="rId348" Type="http://schemas.openxmlformats.org/officeDocument/2006/relationships/hyperlink" Target="http://www.boxofficemojo.com/movies/?id=darkesthour.htm" TargetMode="External"/><Relationship Id="rId349" Type="http://schemas.openxmlformats.org/officeDocument/2006/relationships/hyperlink" Target="http://www.boxofficemojo.com/studio/chart/?studio=summitentertainment.htm" TargetMode="External"/><Relationship Id="rId1200" Type="http://schemas.openxmlformats.org/officeDocument/2006/relationships/hyperlink" Target="http://www.boxofficemojo.com/movies/?id=pianomania.htm" TargetMode="External"/><Relationship Id="rId1201" Type="http://schemas.openxmlformats.org/officeDocument/2006/relationships/hyperlink" Target="http://www.boxofficemojo.com/studio/chart/?studio=firstrun.htm" TargetMode="External"/><Relationship Id="rId1202" Type="http://schemas.openxmlformats.org/officeDocument/2006/relationships/hyperlink" Target="http://www.boxofficemojo.com/schedule/?view=bydate&amp;release=theatrical&amp;date=2011-05-27&amp;p=.htm" TargetMode="External"/><Relationship Id="rId1203" Type="http://schemas.openxmlformats.org/officeDocument/2006/relationships/hyperlink" Target="http://www.boxofficemojo.com/movies/?id=orgasminc.htm" TargetMode="External"/><Relationship Id="rId1204" Type="http://schemas.openxmlformats.org/officeDocument/2006/relationships/hyperlink" Target="http://www.boxofficemojo.com/studio/chart/?studio=firstrun.htm" TargetMode="External"/><Relationship Id="rId1205" Type="http://schemas.openxmlformats.org/officeDocument/2006/relationships/hyperlink" Target="http://www.boxofficemojo.com/schedule/?view=bydate&amp;release=theatrical&amp;date=2011-02-11&amp;p=.htm" TargetMode="External"/><Relationship Id="rId1206" Type="http://schemas.openxmlformats.org/officeDocument/2006/relationships/hyperlink" Target="http://www.boxofficemojo.com/movies/?id=perfecthost.htm" TargetMode="External"/><Relationship Id="rId1207" Type="http://schemas.openxmlformats.org/officeDocument/2006/relationships/hyperlink" Target="http://www.boxofficemojo.com/studio/chart/?studio=magnolia.htm" TargetMode="External"/><Relationship Id="rId740" Type="http://schemas.openxmlformats.org/officeDocument/2006/relationships/hyperlink" Target="http://www.boxofficemojo.com/schedule/?view=bydate&amp;release=theatrical&amp;date=2011-03-18&amp;p=.htm" TargetMode="External"/><Relationship Id="rId741" Type="http://schemas.openxmlformats.org/officeDocument/2006/relationships/hyperlink" Target="http://www.boxofficemojo.com/movies/?id=lovecrime.htm" TargetMode="External"/><Relationship Id="rId742" Type="http://schemas.openxmlformats.org/officeDocument/2006/relationships/hyperlink" Target="http://www.boxofficemojo.com/studio/chart/?studio=ifc.htm" TargetMode="External"/><Relationship Id="rId743" Type="http://schemas.openxmlformats.org/officeDocument/2006/relationships/hyperlink" Target="http://www.boxofficemojo.com/schedule/?view=bydate&amp;release=theatrical&amp;date=2011-09-02&amp;p=.htm" TargetMode="External"/><Relationship Id="rId744" Type="http://schemas.openxmlformats.org/officeDocument/2006/relationships/hyperlink" Target="http://www.boxofficemojo.com/movies/?id=machinegunpreacher.htm" TargetMode="External"/><Relationship Id="rId745" Type="http://schemas.openxmlformats.org/officeDocument/2006/relationships/hyperlink" Target="http://www.boxofficemojo.com/studio/chart/?studio=relativity.htm" TargetMode="External"/><Relationship Id="rId746" Type="http://schemas.openxmlformats.org/officeDocument/2006/relationships/hyperlink" Target="http://www.boxofficemojo.com/schedule/?view=bydate&amp;release=theatrical&amp;date=2011-09-23&amp;p=.htm" TargetMode="External"/><Relationship Id="rId747" Type="http://schemas.openxmlformats.org/officeDocument/2006/relationships/hyperlink" Target="http://www.boxofficemojo.com/movies/?id=eventherain.htm" TargetMode="External"/><Relationship Id="rId748" Type="http://schemas.openxmlformats.org/officeDocument/2006/relationships/hyperlink" Target="http://www.boxofficemojo.com/studio/chart/?studio=vitagraph.htm" TargetMode="External"/><Relationship Id="rId749" Type="http://schemas.openxmlformats.org/officeDocument/2006/relationships/hyperlink" Target="http://www.boxofficemojo.com/schedule/?view=bydate&amp;release=theatrical&amp;date=2011-02-18&amp;p=.htm" TargetMode="External"/><Relationship Id="rId350" Type="http://schemas.openxmlformats.org/officeDocument/2006/relationships/hyperlink" Target="http://www.boxofficemojo.com/schedule/?view=bydate&amp;release=theatrical&amp;date=2011-12-25&amp;p=.htm" TargetMode="External"/><Relationship Id="rId351" Type="http://schemas.openxmlformats.org/officeDocument/2006/relationships/hyperlink" Target="http://www.boxofficemojo.com/movies/?id=marsneedsmoms.htm" TargetMode="External"/><Relationship Id="rId352" Type="http://schemas.openxmlformats.org/officeDocument/2006/relationships/hyperlink" Target="http://www.boxofficemojo.com/studio/chart/?studio=buenavista.htm" TargetMode="External"/><Relationship Id="rId353" Type="http://schemas.openxmlformats.org/officeDocument/2006/relationships/hyperlink" Target="http://www.boxofficemojo.com/schedule/?view=bydate&amp;release=theatrical&amp;date=2011-03-11&amp;p=.htm" TargetMode="External"/><Relationship Id="rId354" Type="http://schemas.openxmlformats.org/officeDocument/2006/relationships/hyperlink" Target="http://www.boxofficemojo.com/movies/?id=dreamhouse.htm" TargetMode="External"/><Relationship Id="rId355" Type="http://schemas.openxmlformats.org/officeDocument/2006/relationships/hyperlink" Target="http://www.boxofficemojo.com/studio/chart/?studio=universal.htm" TargetMode="External"/><Relationship Id="rId356" Type="http://schemas.openxmlformats.org/officeDocument/2006/relationships/hyperlink" Target="http://www.boxofficemojo.com/schedule/?view=bydate&amp;release=theatrical&amp;date=2011-09-30&amp;p=.htm" TargetMode="External"/><Relationship Id="rId357" Type="http://schemas.openxmlformats.org/officeDocument/2006/relationships/hyperlink" Target="http://www.boxofficemojo.com/movies/?id=conan3d.htm" TargetMode="External"/><Relationship Id="rId358" Type="http://schemas.openxmlformats.org/officeDocument/2006/relationships/hyperlink" Target="http://www.boxofficemojo.com/studio/chart/?studio=lionsgate.htm" TargetMode="External"/><Relationship Id="rId359" Type="http://schemas.openxmlformats.org/officeDocument/2006/relationships/hyperlink" Target="http://www.boxofficemojo.com/schedule/?view=bydate&amp;release=theatrical&amp;date=2011-08-19&amp;p=.htm" TargetMode="External"/><Relationship Id="rId1208" Type="http://schemas.openxmlformats.org/officeDocument/2006/relationships/hyperlink" Target="http://www.boxofficemojo.com/schedule/?view=bydate&amp;release=theatrical&amp;date=2011-07-01&amp;p=.htm" TargetMode="External"/><Relationship Id="rId1209" Type="http://schemas.openxmlformats.org/officeDocument/2006/relationships/hyperlink" Target="http://www.boxofficemojo.com/movies/?id=loveumrkalakaar.htm" TargetMode="External"/><Relationship Id="rId1600" Type="http://schemas.openxmlformats.org/officeDocument/2006/relationships/hyperlink" Target="http://www.boxofficemojo.com/studio/chart/?studio=fs.htm" TargetMode="External"/><Relationship Id="rId1601" Type="http://schemas.openxmlformats.org/officeDocument/2006/relationships/hyperlink" Target="http://www.boxofficemojo.com/movies/?id=marriageitaliansty.htm" TargetMode="External"/><Relationship Id="rId1602" Type="http://schemas.openxmlformats.org/officeDocument/2006/relationships/hyperlink" Target="http://www.boxofficemojo.com/studio/chart/?studio=kinoclassics.htm" TargetMode="External"/><Relationship Id="rId1603" Type="http://schemas.openxmlformats.org/officeDocument/2006/relationships/hyperlink" Target="http://www.boxofficemojo.com/schedule/?view=bydate&amp;release=theatrical&amp;date=2011-09-23&amp;p=.htm" TargetMode="External"/><Relationship Id="rId1604" Type="http://schemas.openxmlformats.org/officeDocument/2006/relationships/hyperlink" Target="http://www.boxofficemojo.com/movies/?id=zerobridge.htm" TargetMode="External"/><Relationship Id="rId1605" Type="http://schemas.openxmlformats.org/officeDocument/2006/relationships/hyperlink" Target="http://www.boxofficemojo.com/studio/chart/?studio=thefilmdesk.htm" TargetMode="External"/><Relationship Id="rId1606" Type="http://schemas.openxmlformats.org/officeDocument/2006/relationships/hyperlink" Target="http://www.boxofficemojo.com/schedule/?view=bydate&amp;release=theatrical&amp;date=2011-02-16&amp;p=.htm" TargetMode="External"/><Relationship Id="rId1607" Type="http://schemas.openxmlformats.org/officeDocument/2006/relationships/hyperlink" Target="http://www.boxofficemojo.com/movies/?id=largowinch.htm" TargetMode="External"/><Relationship Id="rId1608" Type="http://schemas.openxmlformats.org/officeDocument/2006/relationships/hyperlink" Target="http://www.boxofficemojo.com/studio/chart/?studio=musicboxfilms.htm" TargetMode="External"/><Relationship Id="rId1609" Type="http://schemas.openxmlformats.org/officeDocument/2006/relationships/hyperlink" Target="http://www.boxofficemojo.com/schedule/?view=bydate&amp;release=theatrical&amp;date=2011-11-18&amp;p=.htm" TargetMode="External"/><Relationship Id="rId1210" Type="http://schemas.openxmlformats.org/officeDocument/2006/relationships/hyperlink" Target="http://www.boxofficemojo.com/studio/chart/?studio=eros.htm" TargetMode="External"/><Relationship Id="rId1211" Type="http://schemas.openxmlformats.org/officeDocument/2006/relationships/hyperlink" Target="http://www.boxofficemojo.com/schedule/?view=bydate&amp;release=theatrical&amp;date=2011-05-13&amp;p=.htm" TargetMode="External"/><Relationship Id="rId750" Type="http://schemas.openxmlformats.org/officeDocument/2006/relationships/hyperlink" Target="http://www.boxofficemojo.com/movies/?id=namesoflove.htm" TargetMode="External"/><Relationship Id="rId751" Type="http://schemas.openxmlformats.org/officeDocument/2006/relationships/hyperlink" Target="http://www.boxofficemojo.com/studio/chart/?studio=musicboxfilms.htm" TargetMode="External"/><Relationship Id="rId752" Type="http://schemas.openxmlformats.org/officeDocument/2006/relationships/hyperlink" Target="http://www.boxofficemojo.com/schedule/?view=bydate&amp;release=theatrical&amp;date=2011-06-24&amp;p=.htm" TargetMode="External"/><Relationship Id="rId753" Type="http://schemas.openxmlformats.org/officeDocument/2006/relationships/hyperlink" Target="http://www.boxofficemojo.com/movies/?id=creature2011.htm" TargetMode="External"/><Relationship Id="rId754" Type="http://schemas.openxmlformats.org/officeDocument/2006/relationships/hyperlink" Target="http://www.boxofficemojo.com/studio/chart/?studio=bubbledistribution.htm" TargetMode="External"/><Relationship Id="rId755" Type="http://schemas.openxmlformats.org/officeDocument/2006/relationships/hyperlink" Target="http://www.boxofficemojo.com/schedule/?view=bydate&amp;release=theatrical&amp;date=2011-09-09&amp;p=.htm" TargetMode="External"/><Relationship Id="rId756" Type="http://schemas.openxmlformats.org/officeDocument/2006/relationships/hyperlink" Target="http://www.boxofficemojo.com/movies/?id=brideflight.htm" TargetMode="External"/><Relationship Id="rId757" Type="http://schemas.openxmlformats.org/officeDocument/2006/relationships/hyperlink" Target="http://www.boxofficemojo.com/studio/chart/?studio=musicboxfilms.htm" TargetMode="External"/><Relationship Id="rId758" Type="http://schemas.openxmlformats.org/officeDocument/2006/relationships/hyperlink" Target="http://www.boxofficemojo.com/schedule/?view=bydate&amp;release=theatrical&amp;date=2011-06-10&amp;p=.htm" TargetMode="External"/><Relationship Id="rId759" Type="http://schemas.openxmlformats.org/officeDocument/2006/relationships/hyperlink" Target="http://www.boxofficemojo.com/movies/?id=merebrotherkidulhan.htm" TargetMode="External"/><Relationship Id="rId360" Type="http://schemas.openxmlformats.org/officeDocument/2006/relationships/hyperlink" Target="http://www.boxofficemojo.com/movies/?id=threemusketeers11.htm" TargetMode="External"/><Relationship Id="rId361" Type="http://schemas.openxmlformats.org/officeDocument/2006/relationships/hyperlink" Target="http://www.boxofficemojo.com/studio/chart/?studio=summitentertainment.htm" TargetMode="External"/><Relationship Id="rId362" Type="http://schemas.openxmlformats.org/officeDocument/2006/relationships/hyperlink" Target="http://www.boxofficemojo.com/schedule/?view=bydate&amp;release=theatrical&amp;date=2011-10-21&amp;p=.htm" TargetMode="External"/><Relationship Id="rId363" Type="http://schemas.openxmlformats.org/officeDocument/2006/relationships/hyperlink" Target="http://www.boxofficemojo.com/movies/?id=eagleoftheninth.htm" TargetMode="External"/><Relationship Id="rId364" Type="http://schemas.openxmlformats.org/officeDocument/2006/relationships/hyperlink" Target="http://www.boxofficemojo.com/studio/chart/?studio=focus.htm" TargetMode="External"/><Relationship Id="rId365" Type="http://schemas.openxmlformats.org/officeDocument/2006/relationships/hyperlink" Target="http://www.boxofficemojo.com/schedule/?view=bydate&amp;release=theatrical&amp;date=2011-02-11&amp;p=.htm" TargetMode="External"/><Relationship Id="rId366" Type="http://schemas.openxmlformats.org/officeDocument/2006/relationships/hyperlink" Target="http://www.boxofficemojo.com/movies/?id=shark3d.htm" TargetMode="External"/><Relationship Id="rId367" Type="http://schemas.openxmlformats.org/officeDocument/2006/relationships/hyperlink" Target="http://www.boxofficemojo.com/studio/chart/?studio=relativity.htm" TargetMode="External"/><Relationship Id="rId368" Type="http://schemas.openxmlformats.org/officeDocument/2006/relationships/hyperlink" Target="http://www.boxofficemojo.com/schedule/?view=bydate&amp;release=theatrical&amp;date=2011-09-02&amp;p=.htm" TargetMode="External"/><Relationship Id="rId369" Type="http://schemas.openxmlformats.org/officeDocument/2006/relationships/hyperlink" Target="http://www.boxofficemojo.com/movies/?id=frightnight2011.htm" TargetMode="External"/><Relationship Id="rId1212" Type="http://schemas.openxmlformats.org/officeDocument/2006/relationships/hyperlink" Target="http://www.boxofficemojo.com/movies/?id=lebanonpa.htm" TargetMode="External"/><Relationship Id="rId1213" Type="http://schemas.openxmlformats.org/officeDocument/2006/relationships/hyperlink" Target="http://www.boxofficemojo.com/studio/chart/?studio=trulyindie.htm" TargetMode="External"/><Relationship Id="rId1214" Type="http://schemas.openxmlformats.org/officeDocument/2006/relationships/hyperlink" Target="http://www.boxofficemojo.com/schedule/?view=bydate&amp;release=theatrical&amp;date=2011-04-29&amp;p=.htm" TargetMode="External"/><Relationship Id="rId1215" Type="http://schemas.openxmlformats.org/officeDocument/2006/relationships/hyperlink" Target="http://www.boxofficemojo.com/movies/?id=butcherchefswordsman.htm" TargetMode="External"/><Relationship Id="rId1216" Type="http://schemas.openxmlformats.org/officeDocument/2006/relationships/hyperlink" Target="http://www.boxofficemojo.com/studio/chart/?studio=chinalion.htm" TargetMode="External"/><Relationship Id="rId1217" Type="http://schemas.openxmlformats.org/officeDocument/2006/relationships/hyperlink" Target="http://www.boxofficemojo.com/schedule/?view=bydate&amp;release=theatrical&amp;date=2011-03-18&amp;p=.htm" TargetMode="External"/><Relationship Id="rId1218" Type="http://schemas.openxmlformats.org/officeDocument/2006/relationships/hyperlink" Target="http://www.boxofficemojo.com/movies/?id=alabamamoon.htm" TargetMode="External"/><Relationship Id="rId1219" Type="http://schemas.openxmlformats.org/officeDocument/2006/relationships/hyperlink" Target="http://www.boxofficemojo.com/studio/chart/?studio=unknown.htm" TargetMode="External"/><Relationship Id="rId1610" Type="http://schemas.openxmlformats.org/officeDocument/2006/relationships/hyperlink" Target="http://www.boxofficemojo.com/movies/?id=princeofthehimalayas.htm" TargetMode="External"/><Relationship Id="rId1611" Type="http://schemas.openxmlformats.org/officeDocument/2006/relationships/hyperlink" Target="http://www.boxofficemojo.com/studio/chart/?studio=alivemind.htm" TargetMode="External"/><Relationship Id="rId1612" Type="http://schemas.openxmlformats.org/officeDocument/2006/relationships/hyperlink" Target="http://www.boxofficemojo.com/schedule/?view=bydate&amp;release=theatrical&amp;date=2011-12-23&amp;p=.htm" TargetMode="External"/><Relationship Id="rId1613" Type="http://schemas.openxmlformats.org/officeDocument/2006/relationships/hyperlink" Target="http://www.boxofficemojo.com/movies/?id=missminoes.htm" TargetMode="External"/><Relationship Id="rId1614" Type="http://schemas.openxmlformats.org/officeDocument/2006/relationships/hyperlink" Target="http://www.boxofficemojo.com/studio/chart/?studio=musicboxfilms.htm" TargetMode="External"/><Relationship Id="rId1615" Type="http://schemas.openxmlformats.org/officeDocument/2006/relationships/hyperlink" Target="http://www.boxofficemojo.com/schedule/?view=bydate&amp;release=theatrical&amp;date=2011-12-23&amp;p=.htm" TargetMode="External"/><Relationship Id="rId1616" Type="http://schemas.openxmlformats.org/officeDocument/2006/relationships/hyperlink" Target="http://www.boxofficemojo.com/movies/?id=abirdoftheair.htm" TargetMode="External"/><Relationship Id="rId1617" Type="http://schemas.openxmlformats.org/officeDocument/2006/relationships/hyperlink" Target="http://www.boxofficemojo.com/studio/chart/?studio=paladin.htm" TargetMode="External"/><Relationship Id="rId1618" Type="http://schemas.openxmlformats.org/officeDocument/2006/relationships/hyperlink" Target="http://www.boxofficemojo.com/schedule/?view=bydate&amp;release=theatrical&amp;date=2011-09-23&amp;p=.htm" TargetMode="External"/><Relationship Id="rId1619" Type="http://schemas.openxmlformats.org/officeDocument/2006/relationships/hyperlink" Target="http://www.boxofficemojo.com/movies/?id=ascreamingman.htm" TargetMode="External"/><Relationship Id="rId1220" Type="http://schemas.openxmlformats.org/officeDocument/2006/relationships/hyperlink" Target="http://www.boxofficemojo.com/schedule/?view=bydate&amp;release=theatrical&amp;date=2011-03-18&amp;p=.htm" TargetMode="External"/><Relationship Id="rId1221" Type="http://schemas.openxmlformats.org/officeDocument/2006/relationships/hyperlink" Target="http://www.boxofficemojo.com/movies/?id=wentthedaywell2011.htm" TargetMode="External"/><Relationship Id="rId760" Type="http://schemas.openxmlformats.org/officeDocument/2006/relationships/hyperlink" Target="http://www.boxofficemojo.com/studio/chart/?studio=yashraj.htm" TargetMode="External"/><Relationship Id="rId761" Type="http://schemas.openxmlformats.org/officeDocument/2006/relationships/hyperlink" Target="http://www.boxofficemojo.com/schedule/?view=bydate&amp;release=theatrical&amp;date=2011-09-09&amp;p=.htm" TargetMode="External"/><Relationship Id="rId762" Type="http://schemas.openxmlformats.org/officeDocument/2006/relationships/hyperlink" Target="http://www.boxofficemojo.com/movies/?id=weekend2011.htm" TargetMode="External"/><Relationship Id="rId763" Type="http://schemas.openxmlformats.org/officeDocument/2006/relationships/hyperlink" Target="http://www.boxofficemojo.com/studio/chart/?studio=ifc.htm" TargetMode="External"/><Relationship Id="rId764" Type="http://schemas.openxmlformats.org/officeDocument/2006/relationships/hyperlink" Target="http://www.boxofficemojo.com/schedule/?view=bydate&amp;release=theatrical&amp;date=2011-09-23&amp;p=.htm" TargetMode="External"/><Relationship Id="rId765" Type="http://schemas.openxmlformats.org/officeDocument/2006/relationships/hyperlink" Target="http://www.boxofficemojo.com/movies/?id=queentoplay.htm" TargetMode="External"/><Relationship Id="rId766" Type="http://schemas.openxmlformats.org/officeDocument/2006/relationships/hyperlink" Target="http://www.boxofficemojo.com/studio/chart/?studio=zeitgeist.htm" TargetMode="External"/><Relationship Id="rId767" Type="http://schemas.openxmlformats.org/officeDocument/2006/relationships/hyperlink" Target="http://www.boxofficemojo.com/schedule/?view=bydate&amp;release=theatrical&amp;date=2011-04-01&amp;p=.htm" TargetMode="External"/><Relationship Id="rId768" Type="http://schemas.openxmlformats.org/officeDocument/2006/relationships/hyperlink" Target="http://www.boxofficemojo.com/movies/?id=pearljamtwenty.htm" TargetMode="External"/><Relationship Id="rId769" Type="http://schemas.openxmlformats.org/officeDocument/2006/relationships/hyperlink" Target="http://www.boxofficemojo.com/studio/chart/?studio=abramorama.htm" TargetMode="External"/><Relationship Id="rId370" Type="http://schemas.openxmlformats.org/officeDocument/2006/relationships/hyperlink" Target="http://www.boxofficemojo.com/studio/chart/?studio=buenavista.htm" TargetMode="External"/><Relationship Id="rId371" Type="http://schemas.openxmlformats.org/officeDocument/2006/relationships/hyperlink" Target="http://www.boxofficemojo.com/schedule/?view=bydate&amp;release=theatrical&amp;date=2011-08-19&amp;p=.htm" TargetMode="External"/><Relationship Id="rId372" Type="http://schemas.openxmlformats.org/officeDocument/2006/relationships/hyperlink" Target="http://www.boxofficemojo.com/movies/?id=apollo18.htm" TargetMode="External"/><Relationship Id="rId373" Type="http://schemas.openxmlformats.org/officeDocument/2006/relationships/hyperlink" Target="http://www.boxofficemojo.com/studio/chart/?studio=wdimension.htm" TargetMode="External"/><Relationship Id="rId374" Type="http://schemas.openxmlformats.org/officeDocument/2006/relationships/hyperlink" Target="http://www.boxofficemojo.com/schedule/?view=bydate&amp;release=theatrical&amp;date=2011-09-02&amp;p=.htm" TargetMode="External"/><Relationship Id="rId375" Type="http://schemas.openxmlformats.org/officeDocument/2006/relationships/hyperlink" Target="http://www.boxofficemojo.com/movies/?id=thing11.htm" TargetMode="External"/><Relationship Id="rId376" Type="http://schemas.openxmlformats.org/officeDocument/2006/relationships/hyperlink" Target="http://www.boxofficemojo.com/studio/chart/?studio=universal.htm" TargetMode="External"/><Relationship Id="rId377" Type="http://schemas.openxmlformats.org/officeDocument/2006/relationships/hyperlink" Target="http://www.boxofficemojo.com/schedule/?view=bydate&amp;release=theatrical&amp;date=2011-10-14&amp;p=.htm" TargetMode="External"/><Relationship Id="rId378" Type="http://schemas.openxmlformats.org/officeDocument/2006/relationships/hyperlink" Target="http://www.boxofficemojo.com/movies/?id=youngadult.htm" TargetMode="External"/><Relationship Id="rId379" Type="http://schemas.openxmlformats.org/officeDocument/2006/relationships/hyperlink" Target="http://www.boxofficemojo.com/studio/chart/?studio=paramount.htm" TargetMode="External"/><Relationship Id="rId1222" Type="http://schemas.openxmlformats.org/officeDocument/2006/relationships/hyperlink" Target="http://www.boxofficemojo.com/studio/chart/?studio=rialto.htm" TargetMode="External"/><Relationship Id="rId1223" Type="http://schemas.openxmlformats.org/officeDocument/2006/relationships/hyperlink" Target="http://www.boxofficemojo.com/schedule/?view=bydate&amp;release=theatrical&amp;date=2011-05-20&amp;p=.htm" TargetMode="External"/><Relationship Id="rId1224" Type="http://schemas.openxmlformats.org/officeDocument/2006/relationships/hyperlink" Target="http://www.boxofficemojo.com/movies/?id=diaryofacountrypriest.htm" TargetMode="External"/><Relationship Id="rId1225" Type="http://schemas.openxmlformats.org/officeDocument/2006/relationships/hyperlink" Target="http://www.boxofficemojo.com/studio/chart/?studio=rialto.htm" TargetMode="External"/><Relationship Id="rId1226" Type="http://schemas.openxmlformats.org/officeDocument/2006/relationships/hyperlink" Target="http://www.boxofficemojo.com/schedule/?view=bydate&amp;release=theatrical&amp;date=2011-02-25&amp;p=.htm" TargetMode="External"/><Relationship Id="rId1227" Type="http://schemas.openxmlformats.org/officeDocument/2006/relationships/hyperlink" Target="http://www.boxofficemojo.com/movies/?id=connected.htm" TargetMode="External"/><Relationship Id="rId1228" Type="http://schemas.openxmlformats.org/officeDocument/2006/relationships/hyperlink" Target="http://www.boxofficemojo.com/studio/chart/?studio=paladin.htm" TargetMode="External"/><Relationship Id="rId1229" Type="http://schemas.openxmlformats.org/officeDocument/2006/relationships/hyperlink" Target="http://www.boxofficemojo.com/schedule/?view=bydate&amp;release=theatrical&amp;date=2011-09-16&amp;p=.htm" TargetMode="External"/><Relationship Id="rId1620" Type="http://schemas.openxmlformats.org/officeDocument/2006/relationships/hyperlink" Target="http://www.boxofficemojo.com/studio/chart/?studio=filmmovement.htm" TargetMode="External"/><Relationship Id="rId1621" Type="http://schemas.openxmlformats.org/officeDocument/2006/relationships/hyperlink" Target="http://www.boxofficemojo.com/schedule/?view=bydate&amp;release=theatrical&amp;date=2011-04-13&amp;p=.htm" TargetMode="External"/><Relationship Id="rId1622" Type="http://schemas.openxmlformats.org/officeDocument/2006/relationships/hyperlink" Target="http://www.boxofficemojo.com/movies/?id=vitobonafacci.htm" TargetMode="External"/><Relationship Id="rId1623" Type="http://schemas.openxmlformats.org/officeDocument/2006/relationships/hyperlink" Target="http://www.boxofficemojo.com/studio/chart/?studio=cavu.htm" TargetMode="External"/><Relationship Id="rId1624" Type="http://schemas.openxmlformats.org/officeDocument/2006/relationships/hyperlink" Target="http://www.boxofficemojo.com/schedule/?view=bydate&amp;release=theatrical&amp;date=2011-05-06&amp;p=.htm" TargetMode="External"/><Relationship Id="rId1625" Type="http://schemas.openxmlformats.org/officeDocument/2006/relationships/hyperlink" Target="http://www.boxofficemojo.com/movies/?id=ledge.htm" TargetMode="External"/><Relationship Id="rId1626" Type="http://schemas.openxmlformats.org/officeDocument/2006/relationships/hyperlink" Target="http://www.boxofficemojo.com/studio/chart/?studio=ifc.htm" TargetMode="External"/><Relationship Id="rId1627" Type="http://schemas.openxmlformats.org/officeDocument/2006/relationships/hyperlink" Target="http://www.boxofficemojo.com/schedule/?view=bydate&amp;release=theatrical&amp;date=2011-07-08&amp;p=.htm" TargetMode="External"/><Relationship Id="rId1628" Type="http://schemas.openxmlformats.org/officeDocument/2006/relationships/hyperlink" Target="http://www.boxofficemojo.com/movies/?id=specialtreatment.htm" TargetMode="External"/><Relationship Id="rId1629" Type="http://schemas.openxmlformats.org/officeDocument/2006/relationships/hyperlink" Target="http://www.boxofficemojo.com/studio/chart/?studio=firstrun.htm" TargetMode="External"/><Relationship Id="rId1230" Type="http://schemas.openxmlformats.org/officeDocument/2006/relationships/hyperlink" Target="http://www.boxofficemojo.com/movies/?id=woodmans.htm" TargetMode="External"/><Relationship Id="rId1231" Type="http://schemas.openxmlformats.org/officeDocument/2006/relationships/hyperlink" Target="http://www.boxofficemojo.com/studio/chart/?studio=lorberfilms.htm" TargetMode="External"/><Relationship Id="rId770" Type="http://schemas.openxmlformats.org/officeDocument/2006/relationships/hyperlink" Target="http://www.boxofficemojo.com/schedule/?view=bydate&amp;release=theatrical&amp;date=2011-09-20&amp;p=.htm" TargetMode="External"/><Relationship Id="rId771" Type="http://schemas.openxmlformats.org/officeDocument/2006/relationships/hyperlink" Target="http://www.boxofficemojo.com/movies/?id=submarine.htm" TargetMode="External"/><Relationship Id="rId772" Type="http://schemas.openxmlformats.org/officeDocument/2006/relationships/hyperlink" Target="http://www.boxofficemojo.com/studio/chart/?studio=weinsteincompany.htm" TargetMode="External"/><Relationship Id="rId773" Type="http://schemas.openxmlformats.org/officeDocument/2006/relationships/hyperlink" Target="http://www.boxofficemojo.com/schedule/?view=bydate&amp;release=theatrical&amp;date=2011-06-03&amp;p=.htm" TargetMode="External"/><Relationship Id="rId774" Type="http://schemas.openxmlformats.org/officeDocument/2006/relationships/hyperlink" Target="http://www.boxofficemojo.com/movies/?id=thankyou2011.htm" TargetMode="External"/><Relationship Id="rId775" Type="http://schemas.openxmlformats.org/officeDocument/2006/relationships/hyperlink" Target="http://www.boxofficemojo.com/studio/chart/?studio=utv.htm" TargetMode="External"/><Relationship Id="rId776" Type="http://schemas.openxmlformats.org/officeDocument/2006/relationships/hyperlink" Target="http://www.boxofficemojo.com/schedule/?view=bydate&amp;release=theatrical&amp;date=2011-04-08&amp;p=.htm" TargetMode="External"/><Relationship Id="rId777" Type="http://schemas.openxmlformats.org/officeDocument/2006/relationships/hyperlink" Target="http://www.boxofficemojo.com/movies/?id=detectivedee.htm" TargetMode="External"/><Relationship Id="rId778" Type="http://schemas.openxmlformats.org/officeDocument/2006/relationships/hyperlink" Target="http://www.boxofficemojo.com/studio/chart/?studio=indomina.htm" TargetMode="External"/><Relationship Id="rId779" Type="http://schemas.openxmlformats.org/officeDocument/2006/relationships/hyperlink" Target="http://www.boxofficemojo.com/schedule/?view=bydate&amp;release=theatrical&amp;date=2011-09-02&amp;p=.htm" TargetMode="External"/><Relationship Id="rId380" Type="http://schemas.openxmlformats.org/officeDocument/2006/relationships/hyperlink" Target="http://www.boxofficemojo.com/schedule/?view=bydate&amp;release=theatrical&amp;date=2011-12-09&amp;p=.htm" TargetMode="External"/><Relationship Id="rId381" Type="http://schemas.openxmlformats.org/officeDocument/2006/relationships/hyperlink" Target="http://www.boxofficemojo.com/movies/?id=africancats.htm" TargetMode="External"/><Relationship Id="rId382" Type="http://schemas.openxmlformats.org/officeDocument/2006/relationships/hyperlink" Target="http://www.boxofficemojo.com/studio/chart/?studio=buenavista.htm" TargetMode="External"/><Relationship Id="rId383" Type="http://schemas.openxmlformats.org/officeDocument/2006/relationships/hyperlink" Target="http://www.boxofficemojo.com/schedule/?view=bydate&amp;release=theatrical&amp;date=2011-04-22&amp;p=.htm" TargetMode="External"/><Relationship Id="rId384" Type="http://schemas.openxmlformats.org/officeDocument/2006/relationships/hyperlink" Target="http://www.boxofficemojo.com/movies/?id=judymoody.htm" TargetMode="External"/><Relationship Id="rId385" Type="http://schemas.openxmlformats.org/officeDocument/2006/relationships/hyperlink" Target="http://www.boxofficemojo.com/studio/chart/?studio=relativity.htm" TargetMode="External"/><Relationship Id="rId386" Type="http://schemas.openxmlformats.org/officeDocument/2006/relationships/hyperlink" Target="http://www.boxofficemojo.com/schedule/?view=bydate&amp;release=theatrical&amp;date=2011-06-10&amp;p=.htm" TargetMode="External"/><Relationship Id="rId387" Type="http://schemas.openxmlformats.org/officeDocument/2006/relationships/hyperlink" Target="http://www.boxofficemojo.com/movies/?id=myweekwithmarilyn.htm" TargetMode="External"/><Relationship Id="rId388" Type="http://schemas.openxmlformats.org/officeDocument/2006/relationships/hyperlink" Target="http://www.boxofficemojo.com/studio/chart/?studio=weinsteincompany.htm" TargetMode="External"/><Relationship Id="rId389" Type="http://schemas.openxmlformats.org/officeDocument/2006/relationships/hyperlink" Target="http://www.boxofficemojo.com/schedule/?view=bydate&amp;release=theatrical&amp;date=2011-11-23&amp;p=.htm" TargetMode="External"/><Relationship Id="rId1232" Type="http://schemas.openxmlformats.org/officeDocument/2006/relationships/hyperlink" Target="http://www.boxofficemojo.com/schedule/?view=bydate&amp;release=theatrical&amp;date=2011-01-19&amp;p=.htm" TargetMode="External"/><Relationship Id="rId1233" Type="http://schemas.openxmlformats.org/officeDocument/2006/relationships/hyperlink" Target="http://www.boxofficemojo.com/movies/?id=margaret.htm" TargetMode="External"/><Relationship Id="rId1234" Type="http://schemas.openxmlformats.org/officeDocument/2006/relationships/hyperlink" Target="http://www.boxofficemojo.com/studio/chart/?studio=foxsearchlight.htm" TargetMode="External"/><Relationship Id="rId1235" Type="http://schemas.openxmlformats.org/officeDocument/2006/relationships/hyperlink" Target="http://www.boxofficemojo.com/schedule/?view=bydate&amp;release=theatrical&amp;date=2011-09-30&amp;p=.htm" TargetMode="External"/><Relationship Id="rId1236" Type="http://schemas.openxmlformats.org/officeDocument/2006/relationships/hyperlink" Target="http://www.boxofficemojo.com/movies/?id=everyday.htm" TargetMode="External"/><Relationship Id="rId1237" Type="http://schemas.openxmlformats.org/officeDocument/2006/relationships/hyperlink" Target="http://www.boxofficemojo.com/studio/chart/?studio=imageentertainment.htm" TargetMode="External"/><Relationship Id="rId1238" Type="http://schemas.openxmlformats.org/officeDocument/2006/relationships/hyperlink" Target="http://www.boxofficemojo.com/schedule/?view=bydate&amp;release=theatrical&amp;date=2011-01-14&amp;p=.htm" TargetMode="External"/><Relationship Id="rId1239" Type="http://schemas.openxmlformats.org/officeDocument/2006/relationships/hyperlink" Target="http://www.boxofficemojo.com/movies/?id=rapt.htm" TargetMode="External"/><Relationship Id="rId1630" Type="http://schemas.openxmlformats.org/officeDocument/2006/relationships/hyperlink" Target="http://www.boxofficemojo.com/schedule/?view=bydate&amp;release=theatrical&amp;date=2011-08-26&amp;p=.htm" TargetMode="External"/><Relationship Id="rId1631" Type="http://schemas.openxmlformats.org/officeDocument/2006/relationships/hyperlink" Target="http://www.boxofficemojo.com/movies/?id=howiendedthissummer.htm" TargetMode="External"/><Relationship Id="rId1632" Type="http://schemas.openxmlformats.org/officeDocument/2006/relationships/hyperlink" Target="http://www.boxofficemojo.com/studio/chart/?studio=filmmovement.htm" TargetMode="External"/><Relationship Id="rId1633" Type="http://schemas.openxmlformats.org/officeDocument/2006/relationships/hyperlink" Target="http://www.boxofficemojo.com/schedule/?view=bydate&amp;release=theatrical&amp;date=2011-02-04&amp;p=.htm" TargetMode="External"/><Relationship Id="rId1634" Type="http://schemas.openxmlformats.org/officeDocument/2006/relationships/hyperlink" Target="http://www.boxofficemojo.com/movies/?id=imgladmymotherisalive.htm" TargetMode="External"/><Relationship Id="rId1635" Type="http://schemas.openxmlformats.org/officeDocument/2006/relationships/hyperlink" Target="http://www.boxofficemojo.com/studio/chart/?studio=strand.htm" TargetMode="External"/><Relationship Id="rId1636" Type="http://schemas.openxmlformats.org/officeDocument/2006/relationships/hyperlink" Target="http://www.boxofficemojo.com/schedule/?view=bydate&amp;release=theatrical&amp;date=2011-09-02&amp;p=.htm" TargetMode="External"/><Relationship Id="rId1637" Type="http://schemas.openxmlformats.org/officeDocument/2006/relationships/hyperlink" Target="http://www.boxofficemojo.com/movies/?id=lucky2011.htm" TargetMode="External"/><Relationship Id="rId1638" Type="http://schemas.openxmlformats.org/officeDocument/2006/relationships/hyperlink" Target="http://www.boxofficemojo.com/studio/chart/?studio=phase4.htm" TargetMode="External"/><Relationship Id="rId1639" Type="http://schemas.openxmlformats.org/officeDocument/2006/relationships/hyperlink" Target="http://www.boxofficemojo.com/schedule/?view=bydate&amp;release=theatrical&amp;date=2011-07-15&amp;p=.htm" TargetMode="External"/><Relationship Id="rId1240" Type="http://schemas.openxmlformats.org/officeDocument/2006/relationships/hyperlink" Target="http://www.boxofficemojo.com/studio/chart/?studio=lorberfilms.htm" TargetMode="External"/><Relationship Id="rId1241" Type="http://schemas.openxmlformats.org/officeDocument/2006/relationships/hyperlink" Target="http://www.boxofficemojo.com/schedule/?view=bydate&amp;release=theatrical&amp;date=2011-07-06&amp;p=.htm" TargetMode="External"/><Relationship Id="rId780" Type="http://schemas.openxmlformats.org/officeDocument/2006/relationships/hyperlink" Target="http://www.boxofficemojo.com/movies/?id=circumstance.htm" TargetMode="External"/><Relationship Id="rId781" Type="http://schemas.openxmlformats.org/officeDocument/2006/relationships/hyperlink" Target="http://www.boxofficemojo.com/studio/chart/?studio=roadsideattractions.htm" TargetMode="External"/><Relationship Id="rId782" Type="http://schemas.openxmlformats.org/officeDocument/2006/relationships/hyperlink" Target="http://www.boxofficemojo.com/schedule/?view=bydate&amp;release=theatrical&amp;date=2011-08-26&amp;p=.htm" TargetMode="External"/><Relationship Id="rId783" Type="http://schemas.openxmlformats.org/officeDocument/2006/relationships/hyperlink" Target="http://www.boxofficemojo.com/movies/?id=noonekilledjessica.htm" TargetMode="External"/><Relationship Id="rId784" Type="http://schemas.openxmlformats.org/officeDocument/2006/relationships/hyperlink" Target="http://www.boxofficemojo.com/studio/chart/?studio=utv.htm" TargetMode="External"/><Relationship Id="rId785" Type="http://schemas.openxmlformats.org/officeDocument/2006/relationships/hyperlink" Target="http://www.boxofficemojo.com/schedule/?view=bydate&amp;release=theatrical&amp;date=2011-01-07&amp;p=.htm" TargetMode="External"/><Relationship Id="rId786" Type="http://schemas.openxmlformats.org/officeDocument/2006/relationships/hyperlink" Target="http://www.boxofficemojo.com/movies/?id=projectnim.htm" TargetMode="External"/><Relationship Id="rId787" Type="http://schemas.openxmlformats.org/officeDocument/2006/relationships/hyperlink" Target="http://www.boxofficemojo.com/studio/chart/?studio=roadsideattractions.htm" TargetMode="External"/><Relationship Id="rId788" Type="http://schemas.openxmlformats.org/officeDocument/2006/relationships/hyperlink" Target="http://www.boxofficemojo.com/schedule/?view=bydate&amp;release=theatrical&amp;date=2011-07-08&amp;p=.htm" TargetMode="External"/><Relationship Id="rId789" Type="http://schemas.openxmlformats.org/officeDocument/2006/relationships/hyperlink" Target="http://www.boxofficemojo.com/movies/?id=5thquarter.htm" TargetMode="External"/><Relationship Id="rId390" Type="http://schemas.openxmlformats.org/officeDocument/2006/relationships/hyperlink" Target="http://www.boxofficemojo.com/movies/?id=whatsyournumber.htm" TargetMode="External"/><Relationship Id="rId391" Type="http://schemas.openxmlformats.org/officeDocument/2006/relationships/hyperlink" Target="http://www.boxofficemojo.com/studio/chart/?studio=fox.htm" TargetMode="External"/><Relationship Id="rId392" Type="http://schemas.openxmlformats.org/officeDocument/2006/relationships/hyperlink" Target="http://www.boxofficemojo.com/schedule/?view=bydate&amp;release=theatrical&amp;date=2011-09-30&amp;p=.htm" TargetMode="External"/><Relationship Id="rId393" Type="http://schemas.openxmlformats.org/officeDocument/2006/relationships/hyperlink" Target="http://www.boxofficemojo.com/movies/?id=oneday.htm" TargetMode="External"/><Relationship Id="rId394" Type="http://schemas.openxmlformats.org/officeDocument/2006/relationships/hyperlink" Target="http://www.boxofficemojo.com/studio/chart/?studio=focus.htm" TargetMode="External"/><Relationship Id="rId395" Type="http://schemas.openxmlformats.org/officeDocument/2006/relationships/hyperlink" Target="http://www.boxofficemojo.com/schedule/?view=bydate&amp;release=theatrical&amp;date=2011-08-19&amp;p=.htm" TargetMode="External"/><Relationship Id="rId396" Type="http://schemas.openxmlformats.org/officeDocument/2006/relationships/hyperlink" Target="http://www.boxofficemojo.com/movies/?id=warrior10.htm" TargetMode="External"/><Relationship Id="rId397" Type="http://schemas.openxmlformats.org/officeDocument/2006/relationships/hyperlink" Target="http://www.boxofficemojo.com/studio/chart/?studio=lionsgate.htm" TargetMode="External"/><Relationship Id="rId398" Type="http://schemas.openxmlformats.org/officeDocument/2006/relationships/hyperlink" Target="http://www.boxofficemojo.com/schedule/?view=bydate&amp;release=theatrical&amp;date=2011-09-09&amp;p=.htm" TargetMode="External"/><Relationship Id="rId399" Type="http://schemas.openxmlformats.org/officeDocument/2006/relationships/hyperlink" Target="http://www.boxofficemojo.com/movies/?id=treeoflife.htm" TargetMode="External"/><Relationship Id="rId1242" Type="http://schemas.openxmlformats.org/officeDocument/2006/relationships/hyperlink" Target="http://www.boxofficemojo.com/movies/?id=texaskillingfields.htm" TargetMode="External"/><Relationship Id="rId1243" Type="http://schemas.openxmlformats.org/officeDocument/2006/relationships/hyperlink" Target="http://www.boxofficemojo.com/studio/chart/?studio=anchorbayentertainment.htm" TargetMode="External"/><Relationship Id="rId1244" Type="http://schemas.openxmlformats.org/officeDocument/2006/relationships/hyperlink" Target="http://www.boxofficemojo.com/schedule/?view=bydate&amp;release=theatrical&amp;date=2011-10-14&amp;p=.htm" TargetMode="External"/><Relationship Id="rId1245" Type="http://schemas.openxmlformats.org/officeDocument/2006/relationships/hyperlink" Target="http://www.boxofficemojo.com/movies/?id=cornerstore.htm" TargetMode="External"/><Relationship Id="rId1246" Type="http://schemas.openxmlformats.org/officeDocument/2006/relationships/hyperlink" Target="http://www.boxofficemojo.com/studio/chart/?studio=shotown.htm" TargetMode="External"/><Relationship Id="rId1247" Type="http://schemas.openxmlformats.org/officeDocument/2006/relationships/hyperlink" Target="http://www.boxofficemojo.com/schedule/?view=bydate&amp;release=theatrical&amp;date=2011-08-12&amp;p=.htm" TargetMode="External"/><Relationship Id="rId1248" Type="http://schemas.openxmlformats.org/officeDocument/2006/relationships/hyperlink" Target="http://www.boxofficemojo.com/movies/?id=happyhappy.htm" TargetMode="External"/><Relationship Id="rId1249" Type="http://schemas.openxmlformats.org/officeDocument/2006/relationships/hyperlink" Target="http://www.boxofficemojo.com/studio/chart/?studio=magnolia.htm" TargetMode="External"/><Relationship Id="rId1640" Type="http://schemas.openxmlformats.org/officeDocument/2006/relationships/hyperlink" Target="http://www.boxofficemojo.com/movies/?id=anotherhappyday.htm" TargetMode="External"/><Relationship Id="rId1641" Type="http://schemas.openxmlformats.org/officeDocument/2006/relationships/hyperlink" Target="http://www.boxofficemojo.com/studio/chart/?studio=phase4.htm" TargetMode="External"/><Relationship Id="rId1642" Type="http://schemas.openxmlformats.org/officeDocument/2006/relationships/hyperlink" Target="http://www.boxofficemojo.com/schedule/?view=bydate&amp;release=theatrical&amp;date=2011-11-18&amp;p=.htm" TargetMode="External"/><Relationship Id="rId1643" Type="http://schemas.openxmlformats.org/officeDocument/2006/relationships/hyperlink" Target="http://www.boxofficemojo.com/movies/?id=korkoro.htm" TargetMode="External"/><Relationship Id="rId1644" Type="http://schemas.openxmlformats.org/officeDocument/2006/relationships/hyperlink" Target="http://www.boxofficemojo.com/studio/chart/?studio=lorberfilms.htm" TargetMode="External"/><Relationship Id="rId1645" Type="http://schemas.openxmlformats.org/officeDocument/2006/relationships/hyperlink" Target="http://www.boxofficemojo.com/schedule/?view=bydate&amp;release=theatrical&amp;date=2011-03-25&amp;p=.htm" TargetMode="External"/><Relationship Id="rId1646" Type="http://schemas.openxmlformats.org/officeDocument/2006/relationships/hyperlink" Target="http://www.boxofficemojo.com/movies/?id=wrecked.htm" TargetMode="External"/><Relationship Id="rId1647" Type="http://schemas.openxmlformats.org/officeDocument/2006/relationships/hyperlink" Target="http://www.boxofficemojo.com/studio/chart/?studio=ifc.htm" TargetMode="External"/><Relationship Id="rId1648" Type="http://schemas.openxmlformats.org/officeDocument/2006/relationships/hyperlink" Target="http://www.boxofficemojo.com/schedule/?view=bydate&amp;release=theatrical&amp;date=2011-04-01&amp;p=.htm" TargetMode="External"/><Relationship Id="rId1649" Type="http://schemas.openxmlformats.org/officeDocument/2006/relationships/hyperlink" Target="http://www.boxofficemojo.com/movies/?id=kingofdevilsisland.htm" TargetMode="External"/><Relationship Id="rId1250" Type="http://schemas.openxmlformats.org/officeDocument/2006/relationships/hyperlink" Target="http://www.boxofficemojo.com/schedule/?view=bydate&amp;release=theatrical&amp;date=2011-09-16&amp;p=.htm" TargetMode="External"/><Relationship Id="rId1251" Type="http://schemas.openxmlformats.org/officeDocument/2006/relationships/hyperlink" Target="http://www.boxofficemojo.com/movies/?id=outrage2011.htm" TargetMode="External"/><Relationship Id="rId790" Type="http://schemas.openxmlformats.org/officeDocument/2006/relationships/hyperlink" Target="http://www.boxofficemojo.com/studio/chart/?studio=rockymountainpictures.htm" TargetMode="External"/><Relationship Id="rId791" Type="http://schemas.openxmlformats.org/officeDocument/2006/relationships/hyperlink" Target="http://www.boxofficemojo.com/schedule/?view=bydate&amp;release=theatrical&amp;date=2011-03-25&amp;p=.htm" TargetMode="External"/><Relationship Id="rId792" Type="http://schemas.openxmlformats.org/officeDocument/2006/relationships/hyperlink" Target="http://www.boxofficemojo.com/movies/?id=turtle.htm" TargetMode="External"/><Relationship Id="rId793" Type="http://schemas.openxmlformats.org/officeDocument/2006/relationships/hyperlink" Target="http://www.boxofficemojo.com/studio/chart/?studio=hannoverhouse.htm" TargetMode="External"/><Relationship Id="rId794" Type="http://schemas.openxmlformats.org/officeDocument/2006/relationships/hyperlink" Target="http://www.boxofficemojo.com/schedule/?view=bydate&amp;release=theatrical&amp;date=2011-06-24&amp;p=.htm" TargetMode="External"/><Relationship Id="rId795" Type="http://schemas.openxmlformats.org/officeDocument/2006/relationships/hyperlink" Target="http://www.boxofficemojo.com/movies/?id=hesher.htm" TargetMode="External"/><Relationship Id="rId796" Type="http://schemas.openxmlformats.org/officeDocument/2006/relationships/hyperlink" Target="http://www.boxofficemojo.com/studio/chart/?studio=wreckinhill.htm" TargetMode="External"/><Relationship Id="rId797" Type="http://schemas.openxmlformats.org/officeDocument/2006/relationships/hyperlink" Target="http://www.boxofficemojo.com/schedule/?view=bydate&amp;release=theatrical&amp;date=2011-05-13&amp;p=.htm" TargetMode="External"/><Relationship Id="rId798" Type="http://schemas.openxmlformats.org/officeDocument/2006/relationships/hyperlink" Target="http://www.boxofficemojo.com/movies/?id=miral.htm" TargetMode="External"/><Relationship Id="rId799" Type="http://schemas.openxmlformats.org/officeDocument/2006/relationships/hyperlink" Target="http://www.boxofficemojo.com/studio/chart/?studio=weinsteincompany.htm" TargetMode="External"/><Relationship Id="rId1252" Type="http://schemas.openxmlformats.org/officeDocument/2006/relationships/hyperlink" Target="http://www.boxofficemojo.com/studio/chart/?studio=magnolia.htm" TargetMode="External"/><Relationship Id="rId1253" Type="http://schemas.openxmlformats.org/officeDocument/2006/relationships/hyperlink" Target="http://www.boxofficemojo.com/schedule/?view=bydate&amp;release=theatrical&amp;date=2011-12-02&amp;p=.htm" TargetMode="External"/><Relationship Id="rId1254" Type="http://schemas.openxmlformats.org/officeDocument/2006/relationships/hyperlink" Target="http://www.boxofficemojo.com/movies/?id=brideworeblack2011.htm" TargetMode="External"/><Relationship Id="rId1255" Type="http://schemas.openxmlformats.org/officeDocument/2006/relationships/hyperlink" Target="http://www.boxofficemojo.com/studio/chart/?studio=thefilmdesk.htm" TargetMode="External"/><Relationship Id="rId1256" Type="http://schemas.openxmlformats.org/officeDocument/2006/relationships/hyperlink" Target="http://www.boxofficemojo.com/schedule/?view=bydate&amp;release=theatrical&amp;date=2011-11-04&amp;p=.htm" TargetMode="External"/><Relationship Id="rId1257" Type="http://schemas.openxmlformats.org/officeDocument/2006/relationships/hyperlink" Target="http://www.boxofficemojo.com/movies/?id=desertflower.htm" TargetMode="External"/><Relationship Id="rId1258" Type="http://schemas.openxmlformats.org/officeDocument/2006/relationships/hyperlink" Target="http://www.boxofficemojo.com/studio/chart/?studio=nationalgeographiccinema.htm" TargetMode="External"/><Relationship Id="rId1259" Type="http://schemas.openxmlformats.org/officeDocument/2006/relationships/hyperlink" Target="http://www.boxofficemojo.com/schedule/?view=bydate&amp;release=theatrical&amp;date=2011-03-18&amp;p=.htm" TargetMode="External"/><Relationship Id="rId1650" Type="http://schemas.openxmlformats.org/officeDocument/2006/relationships/hyperlink" Target="http://www.boxofficemojo.com/studio/chart/?studio=filmmovement.htm" TargetMode="External"/><Relationship Id="rId1651" Type="http://schemas.openxmlformats.org/officeDocument/2006/relationships/hyperlink" Target="http://www.boxofficemojo.com/schedule/?view=bydate&amp;release=theatrical&amp;date=2011-11-18&amp;p=.htm" TargetMode="External"/><Relationship Id="rId1652" Type="http://schemas.openxmlformats.org/officeDocument/2006/relationships/hyperlink" Target="http://www.boxofficemojo.com/movies/?id=londonriver.htm" TargetMode="External"/><Relationship Id="rId1653" Type="http://schemas.openxmlformats.org/officeDocument/2006/relationships/hyperlink" Target="http://www.boxofficemojo.com/studio/chart/?studio=cinemalibre.htm" TargetMode="External"/><Relationship Id="rId1654" Type="http://schemas.openxmlformats.org/officeDocument/2006/relationships/hyperlink" Target="http://www.boxofficemojo.com/schedule/?view=bydate&amp;release=theatrical&amp;date=2011-12-07&amp;p=.htm" TargetMode="External"/><Relationship Id="rId1655" Type="http://schemas.openxmlformats.org/officeDocument/2006/relationships/hyperlink" Target="http://www.boxofficemojo.com/movies/?id=goodneighbors.htm" TargetMode="External"/><Relationship Id="rId1656" Type="http://schemas.openxmlformats.org/officeDocument/2006/relationships/hyperlink" Target="http://www.boxofficemojo.com/studio/chart/?studio=magnolia.htm" TargetMode="External"/><Relationship Id="rId1657" Type="http://schemas.openxmlformats.org/officeDocument/2006/relationships/hyperlink" Target="http://www.boxofficemojo.com/schedule/?view=bydate&amp;release=theatrical&amp;date=2011-07-29&amp;p=.htm" TargetMode="External"/><Relationship Id="rId1658" Type="http://schemas.openxmlformats.org/officeDocument/2006/relationships/hyperlink" Target="http://www.boxofficemojo.com/movies/?id=cormansworld.htm" TargetMode="External"/><Relationship Id="rId1659" Type="http://schemas.openxmlformats.org/officeDocument/2006/relationships/hyperlink" Target="http://www.boxofficemojo.com/studio/chart/?studio=anchorbayentertainment.htm" TargetMode="External"/><Relationship Id="rId1260" Type="http://schemas.openxmlformats.org/officeDocument/2006/relationships/hyperlink" Target="http://www.boxofficemojo.com/movies/?id=granito.htm" TargetMode="External"/><Relationship Id="rId1261" Type="http://schemas.openxmlformats.org/officeDocument/2006/relationships/hyperlink" Target="http://www.boxofficemojo.com/studio/chart/?studio=intlfilmcircuit.htm" TargetMode="External"/><Relationship Id="rId1262" Type="http://schemas.openxmlformats.org/officeDocument/2006/relationships/hyperlink" Target="http://www.boxofficemojo.com/schedule/?view=bydate&amp;release=theatrical&amp;date=2011-09-14&amp;p=.htm" TargetMode="External"/><Relationship Id="rId1263" Type="http://schemas.openxmlformats.org/officeDocument/2006/relationships/hyperlink" Target="http://www.boxofficemojo.com/movies/?id=lerayonvert.htm" TargetMode="External"/><Relationship Id="rId1264" Type="http://schemas.openxmlformats.org/officeDocument/2006/relationships/hyperlink" Target="http://www.boxofficemojo.com/studio/chart/?studio=thefilmdesk.htm" TargetMode="External"/><Relationship Id="rId1265" Type="http://schemas.openxmlformats.org/officeDocument/2006/relationships/hyperlink" Target="http://www.boxofficemojo.com/schedule/?view=bydate&amp;release=theatrical&amp;date=2011-06-09&amp;p=.htm" TargetMode="External"/><Relationship Id="rId1266" Type="http://schemas.openxmlformats.org/officeDocument/2006/relationships/hyperlink" Target="http://www.boxofficemojo.com/movies/?id=bereavement.htm" TargetMode="External"/><Relationship Id="rId1267" Type="http://schemas.openxmlformats.org/officeDocument/2006/relationships/hyperlink" Target="http://www.boxofficemojo.com/studio/chart/?studio=pmkbnc.htm" TargetMode="External"/><Relationship Id="rId1268" Type="http://schemas.openxmlformats.org/officeDocument/2006/relationships/hyperlink" Target="http://www.boxofficemojo.com/schedule/?view=bydate&amp;release=theatrical&amp;date=2011-03-04&amp;p=.htm" TargetMode="External"/><Relationship Id="rId1269" Type="http://schemas.openxmlformats.org/officeDocument/2006/relationships/hyperlink" Target="http://www.boxofficemojo.com/movies/?id=loveetc.htm" TargetMode="External"/><Relationship Id="rId400" Type="http://schemas.openxmlformats.org/officeDocument/2006/relationships/hyperlink" Target="http://www.boxofficemojo.com/studio/chart/?studio=foxsearchlight.htm" TargetMode="External"/><Relationship Id="rId401" Type="http://schemas.openxmlformats.org/officeDocument/2006/relationships/hyperlink" Target="http://www.boxofficemojo.com/schedule/?view=bydate&amp;release=theatrical&amp;date=2011-05-27&amp;p=.htm" TargetMode="External"/><Relationship Id="rId402" Type="http://schemas.openxmlformats.org/officeDocument/2006/relationships/hyperlink" Target="http://www.boxofficemojo.com/movies/?id=rumdiary.htm" TargetMode="External"/><Relationship Id="rId403" Type="http://schemas.openxmlformats.org/officeDocument/2006/relationships/hyperlink" Target="http://www.boxofficemojo.com/studio/chart/?studio=filmdistrict.htm" TargetMode="External"/><Relationship Id="rId404" Type="http://schemas.openxmlformats.org/officeDocument/2006/relationships/hyperlink" Target="http://www.boxofficemojo.com/schedule/?view=bydate&amp;release=theatrical&amp;date=2011-10-28&amp;p=.htm" TargetMode="External"/><Relationship Id="rId405" Type="http://schemas.openxmlformats.org/officeDocument/2006/relationships/hyperlink" Target="http://www.boxofficemojo.com/movies/?id=gleelive3d.htm" TargetMode="External"/><Relationship Id="rId406" Type="http://schemas.openxmlformats.org/officeDocument/2006/relationships/hyperlink" Target="http://www.boxofficemojo.com/studio/chart/?studio=fox.htm" TargetMode="External"/><Relationship Id="rId407" Type="http://schemas.openxmlformats.org/officeDocument/2006/relationships/hyperlink" Target="http://www.boxofficemojo.com/schedule/?view=bydate&amp;release=theatrical&amp;date=2011-08-12&amp;p=.htm" TargetMode="External"/><Relationship Id="rId408" Type="http://schemas.openxmlformats.org/officeDocument/2006/relationships/hyperlink" Target="http://www.boxofficemojo.com/movies/?id=conspirator.htm" TargetMode="External"/><Relationship Id="rId409" Type="http://schemas.openxmlformats.org/officeDocument/2006/relationships/hyperlink" Target="http://www.boxofficemojo.com/studio/chart/?studio=roadsideattractions.htm" TargetMode="External"/><Relationship Id="rId1660" Type="http://schemas.openxmlformats.org/officeDocument/2006/relationships/hyperlink" Target="http://www.boxofficemojo.com/schedule/?view=bydate&amp;release=theatrical&amp;date=2011-12-16&amp;p=.htm" TargetMode="External"/><Relationship Id="rId1661" Type="http://schemas.openxmlformats.org/officeDocument/2006/relationships/hyperlink" Target="http://www.boxofficemojo.com/movies/?id=mypieceofthepie.htm" TargetMode="External"/><Relationship Id="rId1662" Type="http://schemas.openxmlformats.org/officeDocument/2006/relationships/hyperlink" Target="http://www.boxofficemojo.com/studio/chart/?studio=ifc.htm" TargetMode="External"/><Relationship Id="rId1663" Type="http://schemas.openxmlformats.org/officeDocument/2006/relationships/hyperlink" Target="http://www.boxofficemojo.com/schedule/?view=bydate&amp;release=theatrical&amp;date=2011-12-09&amp;p=.htm" TargetMode="External"/><Relationship Id="rId1664" Type="http://schemas.openxmlformats.org/officeDocument/2006/relationships/hyperlink" Target="http://www.boxofficemojo.com/movies/?id=janiejones.htm" TargetMode="External"/><Relationship Id="rId1665" Type="http://schemas.openxmlformats.org/officeDocument/2006/relationships/hyperlink" Target="http://www.boxofficemojo.com/studio/chart/?studio=tribecafilm.htm" TargetMode="External"/><Relationship Id="rId1666" Type="http://schemas.openxmlformats.org/officeDocument/2006/relationships/hyperlink" Target="http://www.boxofficemojo.com/schedule/?view=bydate&amp;release=theatrical&amp;date=2011-10-28&amp;p=.htm" TargetMode="External"/><Relationship Id="rId1667" Type="http://schemas.openxmlformats.org/officeDocument/2006/relationships/hyperlink" Target="http://www.boxofficemojo.com/movies/?id=imeltwithyou.htm" TargetMode="External"/><Relationship Id="rId1668" Type="http://schemas.openxmlformats.org/officeDocument/2006/relationships/hyperlink" Target="http://www.boxofficemojo.com/studio/chart/?studio=magnolia.htm" TargetMode="External"/><Relationship Id="rId1669" Type="http://schemas.openxmlformats.org/officeDocument/2006/relationships/hyperlink" Target="http://www.boxofficemojo.com/schedule/?view=bydate&amp;release=theatrical&amp;date=2011-12-09&amp;p=.htm" TargetMode="External"/><Relationship Id="rId1270" Type="http://schemas.openxmlformats.org/officeDocument/2006/relationships/hyperlink" Target="http://www.boxofficemojo.com/studio/chart/?studio=paladin.htm" TargetMode="External"/><Relationship Id="rId1271" Type="http://schemas.openxmlformats.org/officeDocument/2006/relationships/hyperlink" Target="http://www.boxofficemojo.com/schedule/?view=bydate&amp;release=theatrical&amp;date=2011-07-01&amp;p=.htm" TargetMode="External"/><Relationship Id="rId1272" Type="http://schemas.openxmlformats.org/officeDocument/2006/relationships/hyperlink" Target="http://www.boxofficemojo.com/movies/?id=3backyards.htm" TargetMode="External"/><Relationship Id="rId1273" Type="http://schemas.openxmlformats.org/officeDocument/2006/relationships/hyperlink" Target="http://www.boxofficemojo.com/studio/chart/?studio=screenmedia.htm" TargetMode="External"/><Relationship Id="rId1274" Type="http://schemas.openxmlformats.org/officeDocument/2006/relationships/hyperlink" Target="http://www.boxofficemojo.com/schedule/?view=bydate&amp;release=theatrical&amp;date=2011-03-11&amp;p=.htm" TargetMode="External"/><Relationship Id="rId1275" Type="http://schemas.openxmlformats.org/officeDocument/2006/relationships/hyperlink" Target="http://www.boxofficemojo.com/movies/?id=downforlife.htm" TargetMode="External"/><Relationship Id="rId1276" Type="http://schemas.openxmlformats.org/officeDocument/2006/relationships/hyperlink" Target="http://www.boxofficemojo.com/studio/chart/?studio=bdfox.htm" TargetMode="External"/><Relationship Id="rId1277" Type="http://schemas.openxmlformats.org/officeDocument/2006/relationships/hyperlink" Target="http://www.boxofficemojo.com/schedule/?view=bydate&amp;release=theatrical&amp;date=2011-01-14&amp;p=.htm" TargetMode="External"/><Relationship Id="rId1278" Type="http://schemas.openxmlformats.org/officeDocument/2006/relationships/hyperlink" Target="http://www.boxofficemojo.com/movies/?id=mythofanamericansleepover.htm" TargetMode="External"/><Relationship Id="rId1279" Type="http://schemas.openxmlformats.org/officeDocument/2006/relationships/hyperlink" Target="http://www.boxofficemojo.com/studio/chart/?studio=ifc.htm" TargetMode="External"/><Relationship Id="rId800" Type="http://schemas.openxmlformats.org/officeDocument/2006/relationships/hyperlink" Target="http://www.boxofficemojo.com/schedule/?view=bydate&amp;release=theatrical&amp;date=2011-03-25&amp;p=.htm" TargetMode="External"/><Relationship Id="rId801" Type="http://schemas.openxmlformats.org/officeDocument/2006/relationships/hyperlink" Target="http://www.boxofficemojo.com/movies/?id=moozlum.htm" TargetMode="External"/><Relationship Id="rId802" Type="http://schemas.openxmlformats.org/officeDocument/2006/relationships/hyperlink" Target="http://www.boxofficemojo.com/studio/chart/?studio=peacefilm.htm" TargetMode="External"/><Relationship Id="rId803" Type="http://schemas.openxmlformats.org/officeDocument/2006/relationships/hyperlink" Target="http://www.boxofficemojo.com/schedule/?view=bydate&amp;release=theatrical&amp;date=2011-02-11&amp;p=.htm" TargetMode="External"/><Relationship Id="rId410" Type="http://schemas.openxmlformats.org/officeDocument/2006/relationships/hyperlink" Target="http://www.boxofficemojo.com/schedule/?view=bydate&amp;release=theatrical&amp;date=2011-04-15&amp;p=.htm" TargetMode="External"/><Relationship Id="rId411" Type="http://schemas.openxmlformats.org/officeDocument/2006/relationships/hyperlink" Target="http://www.boxofficemojo.com/movies/?id=janeeyre2011.htm" TargetMode="External"/><Relationship Id="rId412" Type="http://schemas.openxmlformats.org/officeDocument/2006/relationships/hyperlink" Target="http://www.boxofficemojo.com/studio/chart/?studio=focus.htm" TargetMode="External"/><Relationship Id="rId413" Type="http://schemas.openxmlformats.org/officeDocument/2006/relationships/hyperlink" Target="http://www.boxofficemojo.com/schedule/?view=bydate&amp;release=theatrical&amp;date=2011-03-11&amp;p=.htm" TargetMode="External"/><Relationship Id="rId414" Type="http://schemas.openxmlformats.org/officeDocument/2006/relationships/hyperlink" Target="http://www.boxofficemojo.com/movies/?id=driveangry.htm" TargetMode="External"/><Relationship Id="rId415" Type="http://schemas.openxmlformats.org/officeDocument/2006/relationships/hyperlink" Target="http://www.boxofficemojo.com/studio/chart/?studio=summitentertainment.htm" TargetMode="External"/><Relationship Id="rId416" Type="http://schemas.openxmlformats.org/officeDocument/2006/relationships/hyperlink" Target="http://www.boxofficemojo.com/schedule/?view=bydate&amp;release=theatrical&amp;date=2011-02-25&amp;p=.htm" TargetMode="External"/><Relationship Id="rId417" Type="http://schemas.openxmlformats.org/officeDocument/2006/relationships/hyperlink" Target="http://www.boxofficemojo.com/movies/?id=strawdogs10.htm" TargetMode="External"/><Relationship Id="rId418" Type="http://schemas.openxmlformats.org/officeDocument/2006/relationships/hyperlink" Target="http://www.boxofficemojo.com/studio/chart/?studio=screengems.htm" TargetMode="External"/><Relationship Id="rId419" Type="http://schemas.openxmlformats.org/officeDocument/2006/relationships/hyperlink" Target="http://www.boxofficemojo.com/schedule/?view=bydate&amp;release=theatrical&amp;date=2011-09-16&amp;p=.htm" TargetMode="External"/><Relationship Id="rId804" Type="http://schemas.openxmlformats.org/officeDocument/2006/relationships/hyperlink" Target="http://www.boxofficemojo.com/movies/?id=poetry.htm" TargetMode="External"/><Relationship Id="rId805" Type="http://schemas.openxmlformats.org/officeDocument/2006/relationships/hyperlink" Target="http://www.boxofficemojo.com/studio/chart/?studio=kino.htm" TargetMode="External"/><Relationship Id="rId806" Type="http://schemas.openxmlformats.org/officeDocument/2006/relationships/hyperlink" Target="http://www.boxofficemojo.com/schedule/?view=bydate&amp;release=theatrical&amp;date=2011-02-11&amp;p=.htm" TargetMode="External"/><Relationship Id="rId807" Type="http://schemas.openxmlformats.org/officeDocument/2006/relationships/hyperlink" Target="http://www.boxofficemojo.com/movies/?id=princessofmontpensier.htm" TargetMode="External"/><Relationship Id="rId808" Type="http://schemas.openxmlformats.org/officeDocument/2006/relationships/hyperlink" Target="http://www.boxofficemojo.com/studio/chart/?studio=ifc.htm" TargetMode="External"/><Relationship Id="rId809" Type="http://schemas.openxmlformats.org/officeDocument/2006/relationships/hyperlink" Target="http://www.boxofficemojo.com/schedule/?view=bydate&amp;release=theatrical&amp;date=2011-04-15&amp;p=.htm" TargetMode="External"/><Relationship Id="rId1670" Type="http://schemas.openxmlformats.org/officeDocument/2006/relationships/hyperlink" Target="http://www.boxofficemojo.com/movies/?id=chillarparty.htm" TargetMode="External"/><Relationship Id="rId1671" Type="http://schemas.openxmlformats.org/officeDocument/2006/relationships/hyperlink" Target="http://www.boxofficemojo.com/studio/chart/?studio=utv.htm" TargetMode="External"/><Relationship Id="rId1672" Type="http://schemas.openxmlformats.org/officeDocument/2006/relationships/hyperlink" Target="http://www.boxofficemojo.com/schedule/?view=bydate&amp;release=theatrical&amp;date=2011-07-08&amp;p=.htm" TargetMode="External"/><Relationship Id="rId1673" Type="http://schemas.openxmlformats.org/officeDocument/2006/relationships/hyperlink" Target="http://www.boxofficemojo.com/movies/?id=myjoy.htm" TargetMode="External"/><Relationship Id="rId1280" Type="http://schemas.openxmlformats.org/officeDocument/2006/relationships/hyperlink" Target="http://www.boxofficemojo.com/schedule/?view=bydate&amp;release=theatrical&amp;date=2011-07-22&amp;p=.htm" TargetMode="External"/><Relationship Id="rId1281" Type="http://schemas.openxmlformats.org/officeDocument/2006/relationships/hyperlink" Target="http://www.boxofficemojo.com/movies/?id=hellandbackagain.htm" TargetMode="External"/><Relationship Id="rId1282" Type="http://schemas.openxmlformats.org/officeDocument/2006/relationships/hyperlink" Target="http://www.boxofficemojo.com/studio/chart/?studio=docuramafilms.htm" TargetMode="External"/><Relationship Id="rId1283" Type="http://schemas.openxmlformats.org/officeDocument/2006/relationships/hyperlink" Target="http://www.boxofficemojo.com/schedule/?view=bydate&amp;release=theatrical&amp;date=2011-10-05&amp;p=.htm" TargetMode="External"/><Relationship Id="rId1284" Type="http://schemas.openxmlformats.org/officeDocument/2006/relationships/hyperlink" Target="http://www.boxofficemojo.com/movies/?id=lastcircus.htm" TargetMode="External"/><Relationship Id="rId1285" Type="http://schemas.openxmlformats.org/officeDocument/2006/relationships/hyperlink" Target="http://www.boxofficemojo.com/studio/chart/?studio=magnolia.htm" TargetMode="External"/><Relationship Id="rId1286" Type="http://schemas.openxmlformats.org/officeDocument/2006/relationships/hyperlink" Target="http://www.boxofficemojo.com/schedule/?view=bydate&amp;release=theatrical&amp;date=2011-08-19&amp;p=.htm" TargetMode="External"/><Relationship Id="rId1287" Type="http://schemas.openxmlformats.org/officeDocument/2006/relationships/hyperlink" Target="http://www.boxofficemojo.com/movies/?id=louderthanabomb.htm" TargetMode="External"/><Relationship Id="rId1288" Type="http://schemas.openxmlformats.org/officeDocument/2006/relationships/hyperlink" Target="http://www.boxofficemojo.com/studio/chart/?studio=balcony.htm" TargetMode="External"/><Relationship Id="rId1289" Type="http://schemas.openxmlformats.org/officeDocument/2006/relationships/hyperlink" Target="http://www.boxofficemojo.com/schedule/?view=bydate&amp;release=theatrical&amp;date=2011-05-18&amp;p=.htm" TargetMode="External"/><Relationship Id="rId1674" Type="http://schemas.openxmlformats.org/officeDocument/2006/relationships/hyperlink" Target="http://www.boxofficemojo.com/studio/chart/?studio=kinolorber.htm" TargetMode="External"/><Relationship Id="rId1675" Type="http://schemas.openxmlformats.org/officeDocument/2006/relationships/hyperlink" Target="http://www.boxofficemojo.com/schedule/?view=bydate&amp;release=theatrical&amp;date=2011-09-30&amp;p=.htm" TargetMode="External"/><Relationship Id="rId1676" Type="http://schemas.openxmlformats.org/officeDocument/2006/relationships/hyperlink" Target="http://www.boxofficemojo.com/movies/?id=elsicario.htm" TargetMode="External"/><Relationship Id="rId1677" Type="http://schemas.openxmlformats.org/officeDocument/2006/relationships/hyperlink" Target="http://www.boxofficemojo.com/studio/chart/?studio=icarus.htm" TargetMode="External"/><Relationship Id="rId1678" Type="http://schemas.openxmlformats.org/officeDocument/2006/relationships/hyperlink" Target="http://www.boxofficemojo.com/schedule/?view=bydate&amp;release=theatrical&amp;date=2011-12-28&amp;p=.htm" TargetMode="External"/><Relationship Id="rId1679" Type="http://schemas.openxmlformats.org/officeDocument/2006/relationships/hyperlink" Target="http://www.boxofficemojo.com/movies/?id=thefamilytree.htm" TargetMode="External"/><Relationship Id="rId810" Type="http://schemas.openxmlformats.org/officeDocument/2006/relationships/hyperlink" Target="http://www.boxofficemojo.com/movies/?id=singham.htm" TargetMode="External"/><Relationship Id="rId811" Type="http://schemas.openxmlformats.org/officeDocument/2006/relationships/hyperlink" Target="http://www.boxofficemojo.com/studio/chart/?studio=reliancebigpictures.htm" TargetMode="External"/><Relationship Id="rId812" Type="http://schemas.openxmlformats.org/officeDocument/2006/relationships/hyperlink" Target="http://www.boxofficemojo.com/schedule/?view=bydate&amp;release=theatrical&amp;date=2011-07-22&amp;p=.htm" TargetMode="External"/><Relationship Id="rId813" Type="http://schemas.openxmlformats.org/officeDocument/2006/relationships/hyperlink" Target="http://www.boxofficemojo.com/movies/?id=firstgrader.htm" TargetMode="External"/><Relationship Id="rId420" Type="http://schemas.openxmlformats.org/officeDocument/2006/relationships/hyperlink" Target="http://www.boxofficemojo.com/movies/?id=winwin.htm" TargetMode="External"/><Relationship Id="rId421" Type="http://schemas.openxmlformats.org/officeDocument/2006/relationships/hyperlink" Target="http://www.boxofficemojo.com/studio/chart/?studio=foxsearchlight.htm" TargetMode="External"/><Relationship Id="rId422" Type="http://schemas.openxmlformats.org/officeDocument/2006/relationships/hyperlink" Target="http://www.boxofficemojo.com/schedule/?view=bydate&amp;release=theatrical&amp;date=2011-03-18&amp;p=.htm" TargetMode="External"/><Relationship Id="rId423" Type="http://schemas.openxmlformats.org/officeDocument/2006/relationships/hyperlink" Target="http://www.boxofficemojo.com/movies/?id=hoodwinked2.htm" TargetMode="External"/><Relationship Id="rId424" Type="http://schemas.openxmlformats.org/officeDocument/2006/relationships/hyperlink" Target="http://www.boxofficemojo.com/studio/chart/?studio=weinsteincompany.htm" TargetMode="External"/><Relationship Id="rId425" Type="http://schemas.openxmlformats.org/officeDocument/2006/relationships/hyperlink" Target="http://www.boxofficemojo.com/schedule/?view=bydate&amp;release=theatrical&amp;date=2011-04-29&amp;p=.htm" TargetMode="External"/><Relationship Id="rId426" Type="http://schemas.openxmlformats.org/officeDocument/2006/relationships/hyperlink" Target="http://www.boxofficemojo.com/movies/?id=prom.htm" TargetMode="External"/><Relationship Id="rId427" Type="http://schemas.openxmlformats.org/officeDocument/2006/relationships/hyperlink" Target="http://www.boxofficemojo.com/studio/chart/?studio=buenavista.htm" TargetMode="External"/><Relationship Id="rId428" Type="http://schemas.openxmlformats.org/officeDocument/2006/relationships/hyperlink" Target="http://www.boxofficemojo.com/schedule/?view=bydate&amp;release=theatrical&amp;date=2011-04-29&amp;p=.htm" TargetMode="External"/><Relationship Id="rId429" Type="http://schemas.openxmlformats.org/officeDocument/2006/relationships/hyperlink" Target="http://www.boxofficemojo.com/movies/?id=idontknowhowshedoesit.htm" TargetMode="External"/><Relationship Id="rId814" Type="http://schemas.openxmlformats.org/officeDocument/2006/relationships/hyperlink" Target="http://www.boxofficemojo.com/studio/chart/?studio=nationalgeographiccinema.htm" TargetMode="External"/><Relationship Id="rId815" Type="http://schemas.openxmlformats.org/officeDocument/2006/relationships/hyperlink" Target="http://www.boxofficemojo.com/schedule/?view=bydate&amp;release=theatrical&amp;date=2011-05-13&amp;p=.htm" TargetMode="External"/><Relationship Id="rId816" Type="http://schemas.openxmlformats.org/officeDocument/2006/relationships/hyperlink" Target="http://www.boxofficemojo.com/movies/?id=super2011.htm" TargetMode="External"/><Relationship Id="rId817" Type="http://schemas.openxmlformats.org/officeDocument/2006/relationships/hyperlink" Target="http://www.boxofficemojo.com/studio/chart/?studio=ifc.htm" TargetMode="External"/><Relationship Id="rId818" Type="http://schemas.openxmlformats.org/officeDocument/2006/relationships/hyperlink" Target="http://www.boxofficemojo.com/schedule/?view=bydate&amp;release=theatrical&amp;date=2011-04-01&amp;p=.htm" TargetMode="External"/><Relationship Id="rId819" Type="http://schemas.openxmlformats.org/officeDocument/2006/relationships/hyperlink" Target="http://www.boxofficemojo.com/movies/?id=lamourfou.htm" TargetMode="External"/><Relationship Id="rId1680" Type="http://schemas.openxmlformats.org/officeDocument/2006/relationships/hyperlink" Target="http://www.boxofficemojo.com/studio/chart/?studio=entertainmentone.htm" TargetMode="External"/><Relationship Id="rId1681" Type="http://schemas.openxmlformats.org/officeDocument/2006/relationships/hyperlink" Target="http://www.boxofficemojo.com/schedule/?view=bydate&amp;release=theatrical&amp;date=2011-08-26&amp;p=.htm" TargetMode="External"/><Relationship Id="rId1682" Type="http://schemas.openxmlformats.org/officeDocument/2006/relationships/hyperlink" Target="http://www.boxofficemojo.com/movies/?id=imperialists.htm" TargetMode="External"/><Relationship Id="rId1683" Type="http://schemas.openxmlformats.org/officeDocument/2006/relationships/hyperlink" Target="http://www.boxofficemojo.com/studio/chart/?studio=ifc.htm" TargetMode="External"/><Relationship Id="rId1290" Type="http://schemas.openxmlformats.org/officeDocument/2006/relationships/hyperlink" Target="http://www.boxofficemojo.com/movies/?id=roadtonowhere.htm" TargetMode="External"/><Relationship Id="rId1291" Type="http://schemas.openxmlformats.org/officeDocument/2006/relationships/hyperlink" Target="http://www.boxofficemojo.com/studio/chart/?studio=montereymediainc.htm" TargetMode="External"/><Relationship Id="rId1292" Type="http://schemas.openxmlformats.org/officeDocument/2006/relationships/hyperlink" Target="http://www.boxofficemojo.com/schedule/?view=bydate&amp;release=theatrical&amp;date=2011-06-10&amp;p=.htm" TargetMode="External"/><Relationship Id="rId1293" Type="http://schemas.openxmlformats.org/officeDocument/2006/relationships/hyperlink" Target="http://www.boxofficemojo.com/movies/?id=addictionincorporated.htm" TargetMode="External"/><Relationship Id="rId1294" Type="http://schemas.openxmlformats.org/officeDocument/2006/relationships/hyperlink" Target="http://www.boxofficemojo.com/studio/chart/?studio=variancefilms.htm" TargetMode="External"/><Relationship Id="rId1295" Type="http://schemas.openxmlformats.org/officeDocument/2006/relationships/hyperlink" Target="http://www.boxofficemojo.com/schedule/?view=bydate&amp;release=theatrical&amp;date=2011-12-14&amp;p=.htm" TargetMode="External"/><Relationship Id="rId1296" Type="http://schemas.openxmlformats.org/officeDocument/2006/relationships/hyperlink" Target="http://www.boxofficemojo.com/movies/?id=khodorkovsky.htm" TargetMode="External"/><Relationship Id="rId1297" Type="http://schemas.openxmlformats.org/officeDocument/2006/relationships/hyperlink" Target="http://www.boxofficemojo.com/studio/chart/?studio=kinolorber.htm" TargetMode="External"/><Relationship Id="rId1298" Type="http://schemas.openxmlformats.org/officeDocument/2006/relationships/hyperlink" Target="http://www.boxofficemojo.com/schedule/?view=bydate&amp;release=theatrical&amp;date=2011-11-30&amp;p=.htm" TargetMode="External"/><Relationship Id="rId1299" Type="http://schemas.openxmlformats.org/officeDocument/2006/relationships/hyperlink" Target="http://www.boxofficemojo.com/movies/?id=wheresoldierscomefrom.htm" TargetMode="External"/><Relationship Id="rId1684" Type="http://schemas.openxmlformats.org/officeDocument/2006/relationships/hyperlink" Target="http://www.boxofficemojo.com/schedule/?view=bydate&amp;release=theatrical&amp;date=2011-04-15&amp;p=.htm" TargetMode="External"/><Relationship Id="rId1685" Type="http://schemas.openxmlformats.org/officeDocument/2006/relationships/hyperlink" Target="http://www.boxofficemojo.com/movies/?id=aurora.htm" TargetMode="External"/><Relationship Id="rId1686" Type="http://schemas.openxmlformats.org/officeDocument/2006/relationships/hyperlink" Target="http://www.boxofficemojo.com/studio/chart/?studio=cinemaguild.htm" TargetMode="External"/><Relationship Id="rId1687" Type="http://schemas.openxmlformats.org/officeDocument/2006/relationships/hyperlink" Target="http://www.boxofficemojo.com/schedule/?view=bydate&amp;release=theatrical&amp;date=2011-06-29&amp;p=.htm" TargetMode="External"/><Relationship Id="rId1688" Type="http://schemas.openxmlformats.org/officeDocument/2006/relationships/hyperlink" Target="http://www.boxofficemojo.com/movies/?id=ragerabia.htm" TargetMode="External"/><Relationship Id="rId1689" Type="http://schemas.openxmlformats.org/officeDocument/2006/relationships/hyperlink" Target="http://www.boxofficemojo.com/studio/chart/?studio=strand.htm" TargetMode="External"/><Relationship Id="rId820" Type="http://schemas.openxmlformats.org/officeDocument/2006/relationships/hyperlink" Target="http://www.boxofficemojo.com/studio/chart/?studio=ifc.htm" TargetMode="External"/><Relationship Id="rId821" Type="http://schemas.openxmlformats.org/officeDocument/2006/relationships/hyperlink" Target="http://www.boxofficemojo.com/schedule/?view=bydate&amp;release=theatrical&amp;date=2011-05-13&amp;p=.htm" TargetMode="External"/><Relationship Id="rId822" Type="http://schemas.openxmlformats.org/officeDocument/2006/relationships/hyperlink" Target="http://www.boxofficemojo.com/movies/?id=millandthecross.htm" TargetMode="External"/><Relationship Id="rId823" Type="http://schemas.openxmlformats.org/officeDocument/2006/relationships/hyperlink" Target="http://www.boxofficemojo.com/studio/chart/?studio=kinoclassics.htm" TargetMode="External"/><Relationship Id="rId430" Type="http://schemas.openxmlformats.org/officeDocument/2006/relationships/hyperlink" Target="http://www.boxofficemojo.com/studio/chart/?studio=weinsteincompany.htm" TargetMode="External"/><Relationship Id="rId431" Type="http://schemas.openxmlformats.org/officeDocument/2006/relationships/hyperlink" Target="http://www.boxofficemojo.com/schedule/?view=bydate&amp;release=theatrical&amp;date=2011-09-16&amp;p=.htm" TargetMode="External"/><Relationship Id="rId432" Type="http://schemas.openxmlformats.org/officeDocument/2006/relationships/hyperlink" Target="http://www.boxofficemojo.com/movies/?id=johnnyenglish2.htm" TargetMode="External"/><Relationship Id="rId433" Type="http://schemas.openxmlformats.org/officeDocument/2006/relationships/hyperlink" Target="http://www.boxofficemojo.com/studio/chart/?studio=universal.htm" TargetMode="External"/><Relationship Id="rId434" Type="http://schemas.openxmlformats.org/officeDocument/2006/relationships/hyperlink" Target="http://www.boxofficemojo.com/schedule/?view=bydate&amp;release=theatrical&amp;date=2011-10-21&amp;p=.htm" TargetMode="External"/><Relationship Id="rId435" Type="http://schemas.openxmlformats.org/officeDocument/2006/relationships/hyperlink" Target="http://www.boxofficemojo.com/movies/?id=laughatmypain.htm" TargetMode="External"/><Relationship Id="rId436" Type="http://schemas.openxmlformats.org/officeDocument/2006/relationships/hyperlink" Target="http://www.boxofficemojo.com/studio/chart/?studio=codeblackentertainment.htm" TargetMode="External"/><Relationship Id="rId437" Type="http://schemas.openxmlformats.org/officeDocument/2006/relationships/hyperlink" Target="http://www.boxofficemojo.com/schedule/?view=bydate&amp;release=theatrical&amp;date=2011-09-09&amp;p=.htm" TargetMode="External"/><Relationship Id="rId438" Type="http://schemas.openxmlformats.org/officeDocument/2006/relationships/hyperlink" Target="http://www.boxofficemojo.com/movies/?id=sarahskey.htm" TargetMode="External"/><Relationship Id="rId439" Type="http://schemas.openxmlformats.org/officeDocument/2006/relationships/hyperlink" Target="http://www.boxofficemojo.com/studio/chart/?studio=weinsteincompany.htm" TargetMode="External"/><Relationship Id="rId824" Type="http://schemas.openxmlformats.org/officeDocument/2006/relationships/hyperlink" Target="http://www.boxofficemojo.com/schedule/?view=bydate&amp;release=theatrical&amp;date=2011-09-14&amp;p=.htm" TargetMode="External"/><Relationship Id="rId825" Type="http://schemas.openxmlformats.org/officeDocument/2006/relationships/hyperlink" Target="http://www.boxofficemojo.com/movies/?id=beingelmo.htm" TargetMode="External"/><Relationship Id="rId826" Type="http://schemas.openxmlformats.org/officeDocument/2006/relationships/hyperlink" Target="http://www.boxofficemojo.com/studio/chart/?studio=submarinedeluxe.htm" TargetMode="External"/><Relationship Id="rId827" Type="http://schemas.openxmlformats.org/officeDocument/2006/relationships/hyperlink" Target="http://www.boxofficemojo.com/schedule/?view=bydate&amp;release=theatrical&amp;date=2011-10-21&amp;p=.htm" TargetMode="External"/><Relationship Id="rId828" Type="http://schemas.openxmlformats.org/officeDocument/2006/relationships/hyperlink" Target="http://www.boxofficemojo.com/movies/?id=inthelandofbloodandhoney.htm" TargetMode="External"/><Relationship Id="rId829" Type="http://schemas.openxmlformats.org/officeDocument/2006/relationships/hyperlink" Target="http://www.boxofficemojo.com/studio/chart/?studio=filmdistrict.htm" TargetMode="External"/><Relationship Id="rId1690" Type="http://schemas.openxmlformats.org/officeDocument/2006/relationships/hyperlink" Target="http://www.boxofficemojo.com/schedule/?view=bydate&amp;release=theatrical&amp;date=2011-01-28&amp;p=.htm" TargetMode="External"/><Relationship Id="rId1691" Type="http://schemas.openxmlformats.org/officeDocument/2006/relationships/hyperlink" Target="http://www.boxofficemojo.com/movies/?id=elevate.htm" TargetMode="External"/><Relationship Id="rId1692" Type="http://schemas.openxmlformats.org/officeDocument/2006/relationships/hyperlink" Target="http://www.boxofficemojo.com/studio/chart/?studio=variancefilms.htm" TargetMode="External"/><Relationship Id="rId1693" Type="http://schemas.openxmlformats.org/officeDocument/2006/relationships/hyperlink" Target="http://www.boxofficemojo.com/schedule/?view=bydate&amp;release=theatrical&amp;date=2011-10-21&amp;p=.htm" TargetMode="External"/><Relationship Id="rId1694" Type="http://schemas.openxmlformats.org/officeDocument/2006/relationships/hyperlink" Target="http://www.boxofficemojo.com/movies/?id=andtheyreoff.htm" TargetMode="External"/><Relationship Id="rId1695" Type="http://schemas.openxmlformats.org/officeDocument/2006/relationships/hyperlink" Target="http://www.boxofficemojo.com/studio/chart/?studio=kinobild.htm" TargetMode="External"/><Relationship Id="rId1696" Type="http://schemas.openxmlformats.org/officeDocument/2006/relationships/hyperlink" Target="http://www.boxofficemojo.com/schedule/?view=bydate&amp;release=theatrical&amp;date=2011-10-28&amp;p=.htm" TargetMode="External"/><Relationship Id="rId1697" Type="http://schemas.openxmlformats.org/officeDocument/2006/relationships/hyperlink" Target="http://www.boxofficemojo.com/movies/?id=tannerhall.htm" TargetMode="External"/><Relationship Id="rId1698" Type="http://schemas.openxmlformats.org/officeDocument/2006/relationships/hyperlink" Target="http://www.boxofficemojo.com/studio/chart/?studio=anchorbayentertainment.htm" TargetMode="External"/><Relationship Id="rId1699" Type="http://schemas.openxmlformats.org/officeDocument/2006/relationships/hyperlink" Target="http://www.boxofficemojo.com/schedule/?view=bydate&amp;release=theatrical&amp;date=2011-09-09&amp;p=.htm" TargetMode="External"/><Relationship Id="rId830" Type="http://schemas.openxmlformats.org/officeDocument/2006/relationships/hyperlink" Target="http://www.boxofficemojo.com/schedule/?view=bydate&amp;release=theatrical&amp;date=2011-12-23&amp;p=.htm" TargetMode="External"/><Relationship Id="rId831" Type="http://schemas.openxmlformats.org/officeDocument/2006/relationships/hyperlink" Target="http://www.boxofficemojo.com/movies/?id=interrupters.htm" TargetMode="External"/><Relationship Id="rId832" Type="http://schemas.openxmlformats.org/officeDocument/2006/relationships/hyperlink" Target="http://www.boxofficemojo.com/studio/chart/?studio=cinemaguild.htm" TargetMode="External"/><Relationship Id="rId833" Type="http://schemas.openxmlformats.org/officeDocument/2006/relationships/hyperlink" Target="http://www.boxofficemojo.com/schedule/?view=bydate&amp;release=theatrical&amp;date=2011-07-29&amp;p=.htm" TargetMode="External"/><Relationship Id="rId440" Type="http://schemas.openxmlformats.org/officeDocument/2006/relationships/hyperlink" Target="http://www.boxofficemojo.com/schedule/?view=bydate&amp;release=theatrical&amp;date=2011-07-22&amp;p=.htm" TargetMode="External"/><Relationship Id="rId441" Type="http://schemas.openxmlformats.org/officeDocument/2006/relationships/hyperlink" Target="http://www.boxofficemojo.com/movies/?id=bigyear.htm" TargetMode="External"/><Relationship Id="rId442" Type="http://schemas.openxmlformats.org/officeDocument/2006/relationships/hyperlink" Target="http://www.boxofficemojo.com/studio/chart/?studio=fox.htm" TargetMode="External"/><Relationship Id="rId443" Type="http://schemas.openxmlformats.org/officeDocument/2006/relationships/hyperlink" Target="http://www.boxofficemojo.com/schedule/?view=bydate&amp;release=theatrical&amp;date=2011-10-14&amp;p=.htm" TargetMode="External"/><Relationship Id="rId444" Type="http://schemas.openxmlformats.org/officeDocument/2006/relationships/hyperlink" Target="http://www.boxofficemojo.com/movies/?id=aseperation.htm" TargetMode="External"/><Relationship Id="rId445" Type="http://schemas.openxmlformats.org/officeDocument/2006/relationships/hyperlink" Target="http://www.boxofficemojo.com/studio/chart/?studio=sonyclassics.htm" TargetMode="External"/><Relationship Id="rId446" Type="http://schemas.openxmlformats.org/officeDocument/2006/relationships/hyperlink" Target="http://www.boxofficemojo.com/schedule/?view=bydate&amp;release=theatrical&amp;date=2011-12-30&amp;p=.htm" TargetMode="External"/><Relationship Id="rId447" Type="http://schemas.openxmlformats.org/officeDocument/2006/relationships/hyperlink" Target="http://www.boxofficemojo.com/movies/?id=kidsinamerica2011.htm" TargetMode="External"/><Relationship Id="rId448" Type="http://schemas.openxmlformats.org/officeDocument/2006/relationships/hyperlink" Target="http://www.boxofficemojo.com/studio/chart/?studio=relativity.htm" TargetMode="External"/><Relationship Id="rId449" Type="http://schemas.openxmlformats.org/officeDocument/2006/relationships/hyperlink" Target="http://www.boxofficemojo.com/schedule/?view=bydate&amp;release=theatrical&amp;date=2011-03-04&amp;p=.htm" TargetMode="External"/><Relationship Id="rId834" Type="http://schemas.openxmlformats.org/officeDocument/2006/relationships/hyperlink" Target="http://www.boxofficemojo.com/movies/?id=rascals.htm" TargetMode="External"/><Relationship Id="rId835" Type="http://schemas.openxmlformats.org/officeDocument/2006/relationships/hyperlink" Target="http://www.boxofficemojo.com/studio/chart/?studio=eros.htm" TargetMode="External"/><Relationship Id="rId836" Type="http://schemas.openxmlformats.org/officeDocument/2006/relationships/hyperlink" Target="http://www.boxofficemojo.com/schedule/?view=bydate&amp;release=theatrical&amp;date=2011-10-07&amp;p=.htm" TargetMode="External"/><Relationship Id="rId837" Type="http://schemas.openxmlformats.org/officeDocument/2006/relationships/hyperlink" Target="http://www.boxofficemojo.com/movies/?id=blackpowermixtape.htm" TargetMode="External"/><Relationship Id="rId838" Type="http://schemas.openxmlformats.org/officeDocument/2006/relationships/hyperlink" Target="http://www.boxofficemojo.com/studio/chart/?studio=ifc.htm" TargetMode="External"/><Relationship Id="rId839" Type="http://schemas.openxmlformats.org/officeDocument/2006/relationships/hyperlink" Target="http://www.boxofficemojo.com/schedule/?view=bydate&amp;release=theatrical&amp;date=2011-09-09&amp;p=.htm" TargetMode="External"/><Relationship Id="rId1300" Type="http://schemas.openxmlformats.org/officeDocument/2006/relationships/hyperlink" Target="http://www.boxofficemojo.com/studio/chart/?studio=intlfilmcircuit.htm" TargetMode="External"/><Relationship Id="rId1301" Type="http://schemas.openxmlformats.org/officeDocument/2006/relationships/hyperlink" Target="http://www.boxofficemojo.com/schedule/?view=bydate&amp;release=theatrical&amp;date=2011-09-09&amp;p=.htm" TargetMode="External"/><Relationship Id="rId1302" Type="http://schemas.openxmlformats.org/officeDocument/2006/relationships/hyperlink" Target="http://www.boxofficemojo.com/movies/?id=asomewhatgentleman.htm" TargetMode="External"/><Relationship Id="rId1303" Type="http://schemas.openxmlformats.org/officeDocument/2006/relationships/hyperlink" Target="http://www.boxofficemojo.com/studio/chart/?studio=strand.htm" TargetMode="External"/><Relationship Id="rId1304" Type="http://schemas.openxmlformats.org/officeDocument/2006/relationships/hyperlink" Target="http://www.boxofficemojo.com/schedule/?view=bydate&amp;release=theatrical&amp;date=2011-01-14&amp;p=.htm" TargetMode="External"/><Relationship Id="rId1305" Type="http://schemas.openxmlformats.org/officeDocument/2006/relationships/hyperlink" Target="http://www.boxofficemojo.com/movies/?id=sleepingbeauty2011ii.htm" TargetMode="External"/><Relationship Id="rId1306" Type="http://schemas.openxmlformats.org/officeDocument/2006/relationships/hyperlink" Target="http://www.boxofficemojo.com/studio/chart/?studio=ifc.htm" TargetMode="External"/><Relationship Id="rId1307" Type="http://schemas.openxmlformats.org/officeDocument/2006/relationships/hyperlink" Target="http://www.boxofficemojo.com/schedule/?view=bydate&amp;release=theatrical&amp;date=2011-12-02&amp;p=.htm" TargetMode="External"/><Relationship Id="rId1308" Type="http://schemas.openxmlformats.org/officeDocument/2006/relationships/hyperlink" Target="http://www.boxofficemojo.com/movies/?id=mykingdom2011.htm" TargetMode="External"/><Relationship Id="rId1309" Type="http://schemas.openxmlformats.org/officeDocument/2006/relationships/hyperlink" Target="http://www.boxofficemojo.com/studio/chart/?studio=chinalion.htm" TargetMode="External"/><Relationship Id="rId840" Type="http://schemas.openxmlformats.org/officeDocument/2006/relationships/hyperlink" Target="http://www.boxofficemojo.com/movies/?id=7khoonmaaf.htm" TargetMode="External"/><Relationship Id="rId841" Type="http://schemas.openxmlformats.org/officeDocument/2006/relationships/hyperlink" Target="http://www.boxofficemojo.com/studio/chart/?studio=utv.htm" TargetMode="External"/><Relationship Id="rId450" Type="http://schemas.openxmlformats.org/officeDocument/2006/relationships/hyperlink" Target="http://www.boxofficemojo.com/movies/?id=cedarrapids.htm" TargetMode="External"/><Relationship Id="rId451" Type="http://schemas.openxmlformats.org/officeDocument/2006/relationships/hyperlink" Target="http://www.boxofficemojo.com/studio/chart/?studio=foxsearchlight.htm" TargetMode="External"/><Relationship Id="rId452" Type="http://schemas.openxmlformats.org/officeDocument/2006/relationships/hyperlink" Target="http://www.boxofficemojo.com/schedule/?view=bydate&amp;release=theatrical&amp;date=2011-02-11&amp;p=.htm" TargetMode="External"/><Relationship Id="rId453" Type="http://schemas.openxmlformats.org/officeDocument/2006/relationships/hyperlink" Target="http://www.boxofficemojo.com/movies/?id=beginners.htm" TargetMode="External"/><Relationship Id="rId454" Type="http://schemas.openxmlformats.org/officeDocument/2006/relationships/hyperlink" Target="http://www.boxofficemojo.com/studio/chart/?studio=focus.htm" TargetMode="External"/><Relationship Id="rId455" Type="http://schemas.openxmlformats.org/officeDocument/2006/relationships/hyperlink" Target="http://www.boxofficemojo.com/schedule/?view=bydate&amp;release=theatrical&amp;date=2011-06-03&amp;p=.htm" TargetMode="External"/><Relationship Id="rId456" Type="http://schemas.openxmlformats.org/officeDocument/2006/relationships/hyperlink" Target="http://www.boxofficemojo.com/movies/?id=flyingmonsters.htm" TargetMode="External"/><Relationship Id="rId457" Type="http://schemas.openxmlformats.org/officeDocument/2006/relationships/hyperlink" Target="http://www.boxofficemojo.com/studio/chart/?studio=nationalgeographiccinema.htm" TargetMode="External"/><Relationship Id="rId458" Type="http://schemas.openxmlformats.org/officeDocument/2006/relationships/hyperlink" Target="http://www.boxofficemojo.com/schedule/?view=bydate&amp;release=theatrical&amp;date=2011-10-07&amp;p=.htm" TargetMode="External"/><Relationship Id="rId459" Type="http://schemas.openxmlformats.org/officeDocument/2006/relationships/hyperlink" Target="http://www.boxofficemojo.com/movies/?id=dangerousmethod.htm" TargetMode="External"/><Relationship Id="rId842" Type="http://schemas.openxmlformats.org/officeDocument/2006/relationships/hyperlink" Target="http://www.boxofficemojo.com/schedule/?view=bydate&amp;release=theatrical&amp;date=2011-02-18&amp;p=.htm" TargetMode="External"/><Relationship Id="rId843" Type="http://schemas.openxmlformats.org/officeDocument/2006/relationships/hyperlink" Target="http://www.boxofficemojo.com/movies/?id=conanobriencantstop.htm" TargetMode="External"/><Relationship Id="rId844" Type="http://schemas.openxmlformats.org/officeDocument/2006/relationships/hyperlink" Target="http://www.boxofficemojo.com/studio/chart/?studio=abramorama.htm" TargetMode="External"/><Relationship Id="rId845" Type="http://schemas.openxmlformats.org/officeDocument/2006/relationships/hyperlink" Target="http://www.boxofficemojo.com/schedule/?view=bydate&amp;release=theatrical&amp;date=2011-06-24&amp;p=.htm" TargetMode="External"/><Relationship Id="rId846" Type="http://schemas.openxmlformats.org/officeDocument/2006/relationships/hyperlink" Target="http://www.boxofficemojo.com/movies/?id=mungerroad.htm" TargetMode="External"/><Relationship Id="rId847" Type="http://schemas.openxmlformats.org/officeDocument/2006/relationships/hyperlink" Target="http://www.boxofficemojo.com/studio/chart/?studio=fs.htm" TargetMode="External"/><Relationship Id="rId848" Type="http://schemas.openxmlformats.org/officeDocument/2006/relationships/hyperlink" Target="http://www.boxofficemojo.com/schedule/?view=bydate&amp;release=theatrical&amp;date=2011-09-30&amp;p=.htm" TargetMode="External"/><Relationship Id="rId849" Type="http://schemas.openxmlformats.org/officeDocument/2006/relationships/hyperlink" Target="http://www.boxofficemojo.com/movies/?id=philochs.htm" TargetMode="External"/><Relationship Id="rId1700" Type="http://schemas.openxmlformats.org/officeDocument/2006/relationships/hyperlink" Target="http://www.boxofficemojo.com/movies/?id=flypaper.htm" TargetMode="External"/><Relationship Id="rId1701" Type="http://schemas.openxmlformats.org/officeDocument/2006/relationships/hyperlink" Target="http://www.boxofficemojo.com/studio/chart/?studio=ifc.htm" TargetMode="External"/><Relationship Id="rId1702" Type="http://schemas.openxmlformats.org/officeDocument/2006/relationships/hyperlink" Target="http://www.boxofficemojo.com/schedule/?view=bydate&amp;release=theatrical&amp;date=2011-08-19&amp;p=.htm" TargetMode="External"/><Relationship Id="rId1703" Type="http://schemas.openxmlformats.org/officeDocument/2006/relationships/hyperlink" Target="http://www.boxofficemojo.com/movies/?id=burkeandhare.htm" TargetMode="External"/><Relationship Id="rId1310" Type="http://schemas.openxmlformats.org/officeDocument/2006/relationships/hyperlink" Target="http://www.boxofficemojo.com/schedule/?view=bydate&amp;release=theatrical&amp;date=2011-09-09&amp;p=.htm" TargetMode="External"/><Relationship Id="rId1311" Type="http://schemas.openxmlformats.org/officeDocument/2006/relationships/hyperlink" Target="http://www.boxofficemojo.com/movies/?id=paulgoodman.htm" TargetMode="External"/><Relationship Id="rId1312" Type="http://schemas.openxmlformats.org/officeDocument/2006/relationships/hyperlink" Target="http://www.boxofficemojo.com/studio/chart/?studio=zeitgeist.htm" TargetMode="External"/><Relationship Id="rId1313" Type="http://schemas.openxmlformats.org/officeDocument/2006/relationships/hyperlink" Target="http://www.boxofficemojo.com/schedule/?view=bydate&amp;release=theatrical&amp;date=2011-10-19&amp;p=.htm" TargetMode="External"/><Relationship Id="rId1314" Type="http://schemas.openxmlformats.org/officeDocument/2006/relationships/hyperlink" Target="http://www.boxofficemojo.com/movies/?id=kinyarwanda.htm" TargetMode="External"/><Relationship Id="rId1315" Type="http://schemas.openxmlformats.org/officeDocument/2006/relationships/hyperlink" Target="http://www.boxofficemojo.com/studio/chart/?studio=affrm.htm" TargetMode="External"/><Relationship Id="rId1316" Type="http://schemas.openxmlformats.org/officeDocument/2006/relationships/hyperlink" Target="http://www.boxofficemojo.com/schedule/?view=bydate&amp;release=theatrical&amp;date=2011-12-02&amp;p=.htm" TargetMode="External"/><Relationship Id="rId1317" Type="http://schemas.openxmlformats.org/officeDocument/2006/relationships/hyperlink" Target="http://www.boxofficemojo.com/movies/?id=whenharrytriestomarry.htm" TargetMode="External"/><Relationship Id="rId1318" Type="http://schemas.openxmlformats.org/officeDocument/2006/relationships/hyperlink" Target="http://www.boxofficemojo.com/studio/chart/?studio=108pics.htm" TargetMode="External"/><Relationship Id="rId1319" Type="http://schemas.openxmlformats.org/officeDocument/2006/relationships/hyperlink" Target="http://www.boxofficemojo.com/schedule/?view=bydate&amp;release=theatrical&amp;date=2011-04-22&amp;p=.htm" TargetMode="External"/><Relationship Id="rId850" Type="http://schemas.openxmlformats.org/officeDocument/2006/relationships/hyperlink" Target="http://www.boxofficemojo.com/studio/chart/?studio=firstrun.htm" TargetMode="External"/><Relationship Id="rId851" Type="http://schemas.openxmlformats.org/officeDocument/2006/relationships/hyperlink" Target="http://www.boxofficemojo.com/schedule/?view=bydate&amp;release=theatrical&amp;date=2011-01-05&amp;p=.htm" TargetMode="External"/><Relationship Id="rId460" Type="http://schemas.openxmlformats.org/officeDocument/2006/relationships/hyperlink" Target="http://www.boxofficemojo.com/studio/chart/?studio=sonyclassics.htm" TargetMode="External"/><Relationship Id="rId461" Type="http://schemas.openxmlformats.org/officeDocument/2006/relationships/hyperlink" Target="http://www.boxofficemojo.com/schedule/?view=bydate&amp;release=theatrical&amp;date=2011-11-23&amp;p=.htm" TargetMode="External"/><Relationship Id="rId462" Type="http://schemas.openxmlformats.org/officeDocument/2006/relationships/hyperlink" Target="http://www.boxofficemojo.com/movies/?id=guard.htm" TargetMode="External"/><Relationship Id="rId463" Type="http://schemas.openxmlformats.org/officeDocument/2006/relationships/hyperlink" Target="http://www.boxofficemojo.com/studio/chart/?studio=sonyclassics.htm" TargetMode="External"/><Relationship Id="rId464" Type="http://schemas.openxmlformats.org/officeDocument/2006/relationships/hyperlink" Target="http://www.boxofficemojo.com/schedule/?view=bydate&amp;release=theatrical&amp;date=2011-07-29&amp;p=.htm" TargetMode="External"/><Relationship Id="rId465" Type="http://schemas.openxmlformats.org/officeDocument/2006/relationships/hyperlink" Target="http://www.boxofficemojo.com/movies/?id=margincall.htm" TargetMode="External"/><Relationship Id="rId466" Type="http://schemas.openxmlformats.org/officeDocument/2006/relationships/hyperlink" Target="http://www.boxofficemojo.com/studio/chart/?studio=roadsideattractions.htm" TargetMode="External"/><Relationship Id="rId467" Type="http://schemas.openxmlformats.org/officeDocument/2006/relationships/hyperlink" Target="http://www.boxofficemojo.com/schedule/?view=bydate&amp;release=theatrical&amp;date=2011-10-21&amp;p=.htm" TargetMode="External"/><Relationship Id="rId468" Type="http://schemas.openxmlformats.org/officeDocument/2006/relationships/hyperlink" Target="http://www.boxofficemojo.com/movies/?id=caveofforgottendreams.htm" TargetMode="External"/><Relationship Id="rId469" Type="http://schemas.openxmlformats.org/officeDocument/2006/relationships/hyperlink" Target="http://www.boxofficemojo.com/studio/chart/?studio=ifc.htm" TargetMode="External"/><Relationship Id="rId852" Type="http://schemas.openxmlformats.org/officeDocument/2006/relationships/hyperlink" Target="http://www.boxofficemojo.com/movies/?id=musicneverstopped.htm" TargetMode="External"/><Relationship Id="rId853" Type="http://schemas.openxmlformats.org/officeDocument/2006/relationships/hyperlink" Target="http://www.boxofficemojo.com/studio/chart/?studio=roadsideattractions.htm" TargetMode="External"/><Relationship Id="rId854" Type="http://schemas.openxmlformats.org/officeDocument/2006/relationships/hyperlink" Target="http://www.boxofficemojo.com/schedule/?view=bydate&amp;release=theatrical&amp;date=2011-03-18&amp;p=.htm" TargetMode="External"/><Relationship Id="rId855" Type="http://schemas.openxmlformats.org/officeDocument/2006/relationships/hyperlink" Target="http://www.boxofficemojo.com/movies/?id=passione.htm" TargetMode="External"/><Relationship Id="rId856" Type="http://schemas.openxmlformats.org/officeDocument/2006/relationships/hyperlink" Target="http://www.boxofficemojo.com/studio/chart/?studio=abramorama.htm" TargetMode="External"/><Relationship Id="rId857" Type="http://schemas.openxmlformats.org/officeDocument/2006/relationships/hyperlink" Target="http://www.boxofficemojo.com/schedule/?view=bydate&amp;release=theatrical&amp;date=2011-06-22&amp;p=.htm" TargetMode="External"/><Relationship Id="rId858" Type="http://schemas.openxmlformats.org/officeDocument/2006/relationships/hyperlink" Target="http://www.boxofficemojo.com/movies/?id=trollhunter.htm" TargetMode="External"/><Relationship Id="rId859" Type="http://schemas.openxmlformats.org/officeDocument/2006/relationships/hyperlink" Target="http://www.boxofficemojo.com/studio/chart/?studio=magnolia.htm" TargetMode="External"/><Relationship Id="rId1704" Type="http://schemas.openxmlformats.org/officeDocument/2006/relationships/hyperlink" Target="http://www.boxofficemojo.com/studio/chart/?studio=ifc.htm" TargetMode="External"/><Relationship Id="rId1705" Type="http://schemas.openxmlformats.org/officeDocument/2006/relationships/hyperlink" Target="http://www.boxofficemojo.com/schedule/?view=bydate&amp;release=theatrical&amp;date=2011-09-09&amp;p=.htm" TargetMode="External"/><Relationship Id="rId1706" Type="http://schemas.openxmlformats.org/officeDocument/2006/relationships/hyperlink" Target="http://www.boxofficemojo.com/movies/?id=catechismcataclysm.htm" TargetMode="External"/><Relationship Id="rId1707" Type="http://schemas.openxmlformats.org/officeDocument/2006/relationships/hyperlink" Target="http://www.boxofficemojo.com/studio/chart/?studio=ifc.htm" TargetMode="External"/><Relationship Id="rId1708" Type="http://schemas.openxmlformats.org/officeDocument/2006/relationships/hyperlink" Target="http://www.boxofficemojo.com/schedule/?view=bydate&amp;release=theatrical&amp;date=2011-10-19&amp;p=.htm" TargetMode="External"/><Relationship Id="rId1709" Type="http://schemas.openxmlformats.org/officeDocument/2006/relationships/hyperlink" Target="http://www.boxofficemojo.com/movies/?id=campusradio.htm" TargetMode="External"/><Relationship Id="rId1710" Type="http://schemas.openxmlformats.org/officeDocument/2006/relationships/hyperlink" Target="http://www.boxofficemojo.com/studio/chart/?studio=extrabutter.htm" TargetMode="External"/><Relationship Id="rId1711" Type="http://schemas.openxmlformats.org/officeDocument/2006/relationships/hyperlink" Target="http://www.boxofficemojo.com/schedule/?view=bydate&amp;release=theatrical&amp;date=2011-02-04&amp;p=.htm" TargetMode="External"/><Relationship Id="rId1712" Type="http://schemas.openxmlformats.org/officeDocument/2006/relationships/hyperlink" Target="http://www.boxofficemojo.com/movies/?id=daylight2011.htm" TargetMode="External"/><Relationship Id="rId1713" Type="http://schemas.openxmlformats.org/officeDocument/2006/relationships/hyperlink" Target="http://www.boxofficemojo.com/studio/chart/?studio=cinemapurgatorio.htm" TargetMode="External"/><Relationship Id="rId1320" Type="http://schemas.openxmlformats.org/officeDocument/2006/relationships/hyperlink" Target="http://www.boxofficemojo.com/movies/?id=loveinspace.htm" TargetMode="External"/><Relationship Id="rId1321" Type="http://schemas.openxmlformats.org/officeDocument/2006/relationships/hyperlink" Target="http://www.boxofficemojo.com/studio/chart/?studio=chinalion.htm" TargetMode="External"/><Relationship Id="rId1322" Type="http://schemas.openxmlformats.org/officeDocument/2006/relationships/hyperlink" Target="http://www.boxofficemojo.com/schedule/?view=bydate&amp;release=theatrical&amp;date=2011-09-09&amp;p=.htm" TargetMode="External"/><Relationship Id="rId1323" Type="http://schemas.openxmlformats.org/officeDocument/2006/relationships/hyperlink" Target="http://www.boxofficemojo.com/movies/?id=beautifuldarling.htm" TargetMode="External"/><Relationship Id="rId1324" Type="http://schemas.openxmlformats.org/officeDocument/2006/relationships/hyperlink" Target="http://www.boxofficemojo.com/studio/chart/?studio=corinthfilmsinc.htm" TargetMode="External"/><Relationship Id="rId1325" Type="http://schemas.openxmlformats.org/officeDocument/2006/relationships/hyperlink" Target="http://www.boxofficemojo.com/schedule/?view=bydate&amp;release=theatrical&amp;date=2011-04-22&amp;p=.htm" TargetMode="External"/><Relationship Id="rId1326" Type="http://schemas.openxmlformats.org/officeDocument/2006/relationships/hyperlink" Target="http://www.boxofficemojo.com/movies/?id=nicolaeceausescu.htm" TargetMode="External"/><Relationship Id="rId1327" Type="http://schemas.openxmlformats.org/officeDocument/2006/relationships/hyperlink" Target="http://www.boxofficemojo.com/studio/chart/?studio=thefilmdesk.htm" TargetMode="External"/><Relationship Id="rId1328" Type="http://schemas.openxmlformats.org/officeDocument/2006/relationships/hyperlink" Target="http://www.boxofficemojo.com/schedule/?view=bydate&amp;release=theatrical&amp;date=2011-09-09&amp;p=.htm" TargetMode="External"/><Relationship Id="rId1329" Type="http://schemas.openxmlformats.org/officeDocument/2006/relationships/hyperlink" Target="http://www.boxofficemojo.com/movies/?id=makingtheboys.htm" TargetMode="External"/><Relationship Id="rId860" Type="http://schemas.openxmlformats.org/officeDocument/2006/relationships/hyperlink" Target="http://www.boxofficemojo.com/schedule/?view=bydate&amp;release=theatrical&amp;date=2011-06-10&amp;p=.htm" TargetMode="External"/><Relationship Id="rId861" Type="http://schemas.openxmlformats.org/officeDocument/2006/relationships/hyperlink" Target="http://www.boxofficemojo.com/movies/?id=lifeinaday.htm" TargetMode="External"/><Relationship Id="rId470" Type="http://schemas.openxmlformats.org/officeDocument/2006/relationships/hyperlink" Target="http://www.boxofficemojo.com/schedule/?view=bydate&amp;release=theatrical&amp;date=2011-04-29&amp;p=.htm" TargetMode="External"/><Relationship Id="rId471" Type="http://schemas.openxmlformats.org/officeDocument/2006/relationships/hyperlink" Target="http://www.boxofficemojo.com/movies/?id=biutiful.htm" TargetMode="External"/><Relationship Id="rId472" Type="http://schemas.openxmlformats.org/officeDocument/2006/relationships/hyperlink" Target="http://www.boxofficemojo.com/studio/chart/?studio=roadsideattractions.htm" TargetMode="External"/><Relationship Id="rId473" Type="http://schemas.openxmlformats.org/officeDocument/2006/relationships/hyperlink" Target="http://www.boxofficemojo.com/schedule/?view=bydate&amp;release=theatrical&amp;date=2011-01-28&amp;p=.htm" TargetMode="External"/><Relationship Id="rId474" Type="http://schemas.openxmlformats.org/officeDocument/2006/relationships/hyperlink" Target="http://www.boxofficemojo.com/movies/?id=atlasshrugged.htm" TargetMode="External"/><Relationship Id="rId475" Type="http://schemas.openxmlformats.org/officeDocument/2006/relationships/hyperlink" Target="http://www.boxofficemojo.com/studio/chart/?studio=rockymountainpictures.htm" TargetMode="External"/><Relationship Id="rId476" Type="http://schemas.openxmlformats.org/officeDocument/2006/relationships/hyperlink" Target="http://www.boxofficemojo.com/schedule/?view=bydate&amp;release=theatrical&amp;date=2011-04-15&amp;p=.htm" TargetMode="External"/><Relationship Id="rId477" Type="http://schemas.openxmlformats.org/officeDocument/2006/relationships/hyperlink" Target="http://www.boxofficemojo.com/movies/?id=anonymous.htm" TargetMode="External"/><Relationship Id="rId478" Type="http://schemas.openxmlformats.org/officeDocument/2006/relationships/hyperlink" Target="http://www.boxofficemojo.com/studio/chart/?studio=sony.htm" TargetMode="External"/><Relationship Id="rId479" Type="http://schemas.openxmlformats.org/officeDocument/2006/relationships/hyperlink" Target="http://www.boxofficemojo.com/schedule/?view=bydate&amp;release=theatrical&amp;date=2011-10-28&amp;p=.htm" TargetMode="External"/><Relationship Id="rId862" Type="http://schemas.openxmlformats.org/officeDocument/2006/relationships/hyperlink" Target="http://www.boxofficemojo.com/studio/chart/?studio=nationalgeographiccinema.htm" TargetMode="External"/><Relationship Id="rId863" Type="http://schemas.openxmlformats.org/officeDocument/2006/relationships/hyperlink" Target="http://www.boxofficemojo.com/schedule/?view=bydate&amp;release=theatrical&amp;date=2011-07-29&amp;p=.htm" TargetMode="External"/><Relationship Id="rId864" Type="http://schemas.openxmlformats.org/officeDocument/2006/relationships/hyperlink" Target="http://www.boxofficemojo.com/movies/?id=warofthearrows.htm" TargetMode="External"/><Relationship Id="rId865" Type="http://schemas.openxmlformats.org/officeDocument/2006/relationships/hyperlink" Target="http://www.boxofficemojo.com/studio/chart/?studio=cjentertainment.htm" TargetMode="External"/><Relationship Id="rId866" Type="http://schemas.openxmlformats.org/officeDocument/2006/relationships/hyperlink" Target="http://www.boxofficemojo.com/schedule/?view=bydate&amp;release=theatrical&amp;date=2011-09-30&amp;p=.htm" TargetMode="External"/><Relationship Id="rId867" Type="http://schemas.openxmlformats.org/officeDocument/2006/relationships/hyperlink" Target="http://www.boxofficemojo.com/movies/?id=myperestroika.htm" TargetMode="External"/><Relationship Id="rId868" Type="http://schemas.openxmlformats.org/officeDocument/2006/relationships/hyperlink" Target="http://www.boxofficemojo.com/studio/chart/?studio=intlfilmcircuit.htm" TargetMode="External"/><Relationship Id="rId869" Type="http://schemas.openxmlformats.org/officeDocument/2006/relationships/hyperlink" Target="http://www.boxofficemojo.com/schedule/?view=bydate&amp;release=theatrical&amp;date=2011-03-23&amp;p=.htm" TargetMode="External"/><Relationship Id="rId1714" Type="http://schemas.openxmlformats.org/officeDocument/2006/relationships/hyperlink" Target="http://www.boxofficemojo.com/schedule/?view=bydate&amp;release=theatrical&amp;date=2011-07-15&amp;p=.htm" TargetMode="External"/><Relationship Id="rId1715" Type="http://schemas.openxmlformats.org/officeDocument/2006/relationships/hyperlink" Target="http://www.boxofficemojo.com/movies/?id=caterpillar.htm" TargetMode="External"/><Relationship Id="rId1716" Type="http://schemas.openxmlformats.org/officeDocument/2006/relationships/hyperlink" Target="http://www.boxofficemojo.com/studio/chart/?studio=lorberfilms.htm" TargetMode="External"/><Relationship Id="rId1717" Type="http://schemas.openxmlformats.org/officeDocument/2006/relationships/hyperlink" Target="http://www.boxofficemojo.com/schedule/?view=bydate&amp;release=theatrical&amp;date=2011-05-06&amp;p=.htm" TargetMode="External"/><Relationship Id="rId1718" Type="http://schemas.openxmlformats.org/officeDocument/2006/relationships/hyperlink" Target="http://www.boxofficemojo.com/movies/?id=todielikeaman.htm" TargetMode="External"/><Relationship Id="rId1719" Type="http://schemas.openxmlformats.org/officeDocument/2006/relationships/hyperlink" Target="http://www.boxofficemojo.com/studio/chart/?studio=strand.htm" TargetMode="External"/><Relationship Id="rId1720" Type="http://schemas.openxmlformats.org/officeDocument/2006/relationships/hyperlink" Target="http://www.boxofficemojo.com/schedule/?view=bydate&amp;release=theatrical&amp;date=2011-04-08&amp;p=.htm" TargetMode="External"/><Relationship Id="rId1721" Type="http://schemas.openxmlformats.org/officeDocument/2006/relationships/hyperlink" Target="http://www.boxofficemojo.com/movies/?id=harvestlacosecha.htm" TargetMode="External"/><Relationship Id="rId1722" Type="http://schemas.openxmlformats.org/officeDocument/2006/relationships/hyperlink" Target="http://www.boxofficemojo.com/studio/chart/?studio=cls.htm" TargetMode="External"/><Relationship Id="rId1723" Type="http://schemas.openxmlformats.org/officeDocument/2006/relationships/hyperlink" Target="http://www.boxofficemojo.com/schedule/?view=bydate&amp;release=theatrical&amp;date=2011-07-29&amp;p=.htm" TargetMode="External"/><Relationship Id="rId1330" Type="http://schemas.openxmlformats.org/officeDocument/2006/relationships/hyperlink" Target="http://www.boxofficemojo.com/studio/chart/?studio=firstrun.htm" TargetMode="External"/><Relationship Id="rId1331" Type="http://schemas.openxmlformats.org/officeDocument/2006/relationships/hyperlink" Target="http://www.boxofficemojo.com/schedule/?view=bydate&amp;release=theatrical&amp;date=2011-03-11&amp;p=.htm" TargetMode="External"/><Relationship Id="rId1332" Type="http://schemas.openxmlformats.org/officeDocument/2006/relationships/hyperlink" Target="http://www.boxofficemojo.com/movies/?id=stakeland.htm" TargetMode="External"/><Relationship Id="rId1333" Type="http://schemas.openxmlformats.org/officeDocument/2006/relationships/hyperlink" Target="http://www.boxofficemojo.com/studio/chart/?studio=ifc.htm" TargetMode="External"/><Relationship Id="rId1334" Type="http://schemas.openxmlformats.org/officeDocument/2006/relationships/hyperlink" Target="http://www.boxofficemojo.com/schedule/?view=bydate&amp;release=theatrical&amp;date=2011-04-22&amp;p=.htm" TargetMode="External"/><Relationship Id="rId1335" Type="http://schemas.openxmlformats.org/officeDocument/2006/relationships/hyperlink" Target="http://www.boxofficemojo.com/movies/?id=americanteacher.htm" TargetMode="External"/><Relationship Id="rId1336" Type="http://schemas.openxmlformats.org/officeDocument/2006/relationships/hyperlink" Target="http://www.boxofficemojo.com/studio/chart/?studio=firstrun.htm" TargetMode="External"/><Relationship Id="rId1337" Type="http://schemas.openxmlformats.org/officeDocument/2006/relationships/hyperlink" Target="http://www.boxofficemojo.com/schedule/?view=bydate&amp;release=theatrical&amp;date=2011-09-30&amp;p=.htm" TargetMode="External"/><Relationship Id="rId1338" Type="http://schemas.openxmlformats.org/officeDocument/2006/relationships/hyperlink" Target="http://www.boxofficemojo.com/movies/?id=meetmonicavelour.htm" TargetMode="External"/><Relationship Id="rId1339" Type="http://schemas.openxmlformats.org/officeDocument/2006/relationships/hyperlink" Target="http://www.boxofficemojo.com/studio/chart/?studio=anchorbayentertainment.htm" TargetMode="External"/><Relationship Id="rId870" Type="http://schemas.openxmlformats.org/officeDocument/2006/relationships/hyperlink" Target="http://www.boxofficemojo.com/movies/?id=elbulli.htm" TargetMode="External"/><Relationship Id="rId871" Type="http://schemas.openxmlformats.org/officeDocument/2006/relationships/hyperlink" Target="http://www.boxofficemojo.com/studio/chart/?studio=alivemind.htm" TargetMode="External"/><Relationship Id="rId480" Type="http://schemas.openxmlformats.org/officeDocument/2006/relationships/hyperlink" Target="http://www.boxofficemojo.com/movies/?id=companymen.htm" TargetMode="External"/><Relationship Id="rId481" Type="http://schemas.openxmlformats.org/officeDocument/2006/relationships/hyperlink" Target="http://www.boxofficemojo.com/studio/chart/?studio=weinsteincompany.htm" TargetMode="External"/><Relationship Id="rId482" Type="http://schemas.openxmlformats.org/officeDocument/2006/relationships/hyperlink" Target="http://www.boxofficemojo.com/schedule/?view=bydate&amp;release=theatrical&amp;date=2011-01-21&amp;p=.htm" TargetMode="External"/><Relationship Id="rId483" Type="http://schemas.openxmlformats.org/officeDocument/2006/relationships/hyperlink" Target="http://www.boxofficemojo.com/movies/?id=barneysversion.htm" TargetMode="External"/><Relationship Id="rId484" Type="http://schemas.openxmlformats.org/officeDocument/2006/relationships/hyperlink" Target="http://www.boxofficemojo.com/studio/chart/?studio=sonyclassics.htm" TargetMode="External"/><Relationship Id="rId485" Type="http://schemas.openxmlformats.org/officeDocument/2006/relationships/hyperlink" Target="http://www.boxofficemojo.com/schedule/?view=bydate&amp;release=theatrical&amp;date=2011-01-14&amp;p=.htm" TargetMode="External"/><Relationship Id="rId486" Type="http://schemas.openxmlformats.org/officeDocument/2006/relationships/hyperlink" Target="http://www.boxofficemojo.com/movies/?id=way2011.htm" TargetMode="External"/><Relationship Id="rId487" Type="http://schemas.openxmlformats.org/officeDocument/2006/relationships/hyperlink" Target="http://www.boxofficemojo.com/studio/chart/?studio=pda.htm" TargetMode="External"/><Relationship Id="rId488" Type="http://schemas.openxmlformats.org/officeDocument/2006/relationships/hyperlink" Target="http://www.boxofficemojo.com/schedule/?view=bydate&amp;release=theatrical&amp;date=2011-10-07&amp;p=.htm" TargetMode="External"/><Relationship Id="rId489" Type="http://schemas.openxmlformats.org/officeDocument/2006/relationships/hyperlink" Target="http://www.boxofficemojo.com/movies/?id=sevendaysinutopia.htm" TargetMode="External"/><Relationship Id="rId872" Type="http://schemas.openxmlformats.org/officeDocument/2006/relationships/hyperlink" Target="http://www.boxofficemojo.com/schedule/?view=bydate&amp;release=theatrical&amp;date=2011-07-27&amp;p=.htm" TargetMode="External"/><Relationship Id="rId873" Type="http://schemas.openxmlformats.org/officeDocument/2006/relationships/hyperlink" Target="http://www.boxofficemojo.com/movies/?id=gainsbourg.htm" TargetMode="External"/><Relationship Id="rId874" Type="http://schemas.openxmlformats.org/officeDocument/2006/relationships/hyperlink" Target="http://www.boxofficemojo.com/studio/chart/?studio=musicboxfilms.htm" TargetMode="External"/><Relationship Id="rId875" Type="http://schemas.openxmlformats.org/officeDocument/2006/relationships/hyperlink" Target="http://www.boxofficemojo.com/schedule/?view=bydate&amp;release=theatrical&amp;date=2011-08-31&amp;p=.htm" TargetMode="External"/><Relationship Id="rId876" Type="http://schemas.openxmlformats.org/officeDocument/2006/relationships/hyperlink" Target="http://www.boxofficemojo.com/movies/?id=brightonrock.htm" TargetMode="External"/><Relationship Id="rId877" Type="http://schemas.openxmlformats.org/officeDocument/2006/relationships/hyperlink" Target="http://www.boxofficemojo.com/studio/chart/?studio=ifc.htm" TargetMode="External"/><Relationship Id="rId878" Type="http://schemas.openxmlformats.org/officeDocument/2006/relationships/hyperlink" Target="http://www.boxofficemojo.com/schedule/?view=bydate&amp;release=theatrical&amp;date=2011-08-26&amp;p=.htm" TargetMode="External"/><Relationship Id="rId879" Type="http://schemas.openxmlformats.org/officeDocument/2006/relationships/hyperlink" Target="http://www.boxofficemojo.com/movies/?id=intotheabyss.htm" TargetMode="External"/><Relationship Id="rId1724" Type="http://schemas.openxmlformats.org/officeDocument/2006/relationships/hyperlink" Target="http://www.boxofficemojo.com/movies/?id=passionplay.htm" TargetMode="External"/><Relationship Id="rId1725" Type="http://schemas.openxmlformats.org/officeDocument/2006/relationships/hyperlink" Target="http://www.boxofficemojo.com/studio/chart/?studio=imageentertainment.htm" TargetMode="External"/><Relationship Id="rId1726" Type="http://schemas.openxmlformats.org/officeDocument/2006/relationships/hyperlink" Target="http://www.boxofficemojo.com/schedule/?view=bydate&amp;release=theatrical&amp;date=2011-05-06&amp;p=.htm" TargetMode="External"/><Relationship Id="rId1727" Type="http://schemas.openxmlformats.org/officeDocument/2006/relationships/hyperlink" Target="http://www.boxofficemojo.com/movies/?id=buildinghope.htm" TargetMode="External"/><Relationship Id="rId1728" Type="http://schemas.openxmlformats.org/officeDocument/2006/relationships/hyperlink" Target="http://www.boxofficemojo.com/studio/chart/?studio=nobelityproject.htm" TargetMode="External"/><Relationship Id="rId1729" Type="http://schemas.openxmlformats.org/officeDocument/2006/relationships/hyperlink" Target="http://www.boxofficemojo.com/schedule/?view=bydate&amp;release=theatrical&amp;date=2011-06-03&amp;p=.htm" TargetMode="External"/><Relationship Id="rId1730" Type="http://schemas.openxmlformats.org/officeDocument/2006/relationships/hyperlink" Target="http://www.boxofficemojo.com/movies/?id=sonsoftennesseewilliams.htm" TargetMode="External"/><Relationship Id="rId1731" Type="http://schemas.openxmlformats.org/officeDocument/2006/relationships/hyperlink" Target="http://www.boxofficemojo.com/studio/chart/?studio=firstrun.htm" TargetMode="External"/><Relationship Id="rId1732" Type="http://schemas.openxmlformats.org/officeDocument/2006/relationships/hyperlink" Target="http://www.boxofficemojo.com/schedule/?view=bydate&amp;release=theatrical&amp;date=2011-10-07&amp;p=.htm" TargetMode="External"/><Relationship Id="rId1733" Type="http://schemas.openxmlformats.org/officeDocument/2006/relationships/hyperlink" Target="http://www.boxofficemojo.com/movies/?id=plasticplanet.htm" TargetMode="External"/><Relationship Id="rId1340" Type="http://schemas.openxmlformats.org/officeDocument/2006/relationships/hyperlink" Target="http://www.boxofficemojo.com/schedule/?view=bydate&amp;release=theatrical&amp;date=2011-04-08&amp;p=.htm" TargetMode="External"/><Relationship Id="rId1341" Type="http://schemas.openxmlformats.org/officeDocument/2006/relationships/hyperlink" Target="http://www.boxofficemojo.com/movies/?id=filmsocialisme.htm" TargetMode="External"/><Relationship Id="rId1342" Type="http://schemas.openxmlformats.org/officeDocument/2006/relationships/hyperlink" Target="http://www.boxofficemojo.com/studio/chart/?studio=lorberfilms.htm" TargetMode="External"/><Relationship Id="rId1343" Type="http://schemas.openxmlformats.org/officeDocument/2006/relationships/hyperlink" Target="http://www.boxofficemojo.com/schedule/?view=bydate&amp;release=theatrical&amp;date=2011-06-03&amp;p=.htm" TargetMode="External"/><Relationship Id="rId1344" Type="http://schemas.openxmlformats.org/officeDocument/2006/relationships/hyperlink" Target="http://www.boxofficemojo.com/movies/?id=timethatremains.htm" TargetMode="External"/><Relationship Id="rId1345" Type="http://schemas.openxmlformats.org/officeDocument/2006/relationships/hyperlink" Target="http://www.boxofficemojo.com/studio/chart/?studio=ifc.htm" TargetMode="External"/><Relationship Id="rId1346" Type="http://schemas.openxmlformats.org/officeDocument/2006/relationships/hyperlink" Target="http://www.boxofficemojo.com/schedule/?view=bydate&amp;release=theatrical&amp;date=2011-01-07&amp;p=.htm" TargetMode="External"/><Relationship Id="rId1347" Type="http://schemas.openxmlformats.org/officeDocument/2006/relationships/hyperlink" Target="http://www.boxofficemojo.com/movies/?id=111111.htm" TargetMode="External"/><Relationship Id="rId1348" Type="http://schemas.openxmlformats.org/officeDocument/2006/relationships/hyperlink" Target="http://www.boxofficemojo.com/studio/chart/?studio=rocketreleasing.htm" TargetMode="External"/><Relationship Id="rId1349" Type="http://schemas.openxmlformats.org/officeDocument/2006/relationships/hyperlink" Target="http://www.boxofficemojo.com/schedule/?view=bydate&amp;release=theatrical&amp;date=2011-11-11&amp;p=.htm" TargetMode="External"/><Relationship Id="rId880" Type="http://schemas.openxmlformats.org/officeDocument/2006/relationships/hyperlink" Target="http://www.boxofficemojo.com/studio/chart/?studio=ifc.htm" TargetMode="External"/><Relationship Id="rId881" Type="http://schemas.openxmlformats.org/officeDocument/2006/relationships/hyperlink" Target="http://www.boxofficemojo.com/schedule/?view=bydate&amp;release=theatrical&amp;date=2011-11-11&amp;p=.htm" TargetMode="External"/><Relationship Id="rId490" Type="http://schemas.openxmlformats.org/officeDocument/2006/relationships/hyperlink" Target="http://www.boxofficemojo.com/studio/chart/?studio=visioentertainment.htm" TargetMode="External"/><Relationship Id="rId491" Type="http://schemas.openxmlformats.org/officeDocument/2006/relationships/hyperlink" Target="http://www.boxofficemojo.com/schedule/?view=bydate&amp;release=theatrical&amp;date=2011-09-02&amp;p=.htm" TargetMode="External"/><Relationship Id="rId492" Type="http://schemas.openxmlformats.org/officeDocument/2006/relationships/hyperlink" Target="http://www.boxofficemojo.com/movies/?id=buck.htm" TargetMode="External"/><Relationship Id="rId493" Type="http://schemas.openxmlformats.org/officeDocument/2006/relationships/hyperlink" Target="http://www.boxofficemojo.com/studio/chart/?studio=ifc.htm" TargetMode="External"/><Relationship Id="rId494" Type="http://schemas.openxmlformats.org/officeDocument/2006/relationships/hyperlink" Target="http://www.boxofficemojo.com/schedule/?view=bydate&amp;release=theatrical&amp;date=2011-06-17&amp;p=.htm" TargetMode="External"/><Relationship Id="rId495" Type="http://schemas.openxmlformats.org/officeDocument/2006/relationships/hyperlink" Target="http://www.boxofficemojo.com/movies/?id=ofgodsandmen.htm" TargetMode="External"/><Relationship Id="rId496" Type="http://schemas.openxmlformats.org/officeDocument/2006/relationships/hyperlink" Target="http://www.boxofficemojo.com/studio/chart/?studio=sonyclassics.htm" TargetMode="External"/><Relationship Id="rId497" Type="http://schemas.openxmlformats.org/officeDocument/2006/relationships/hyperlink" Target="http://www.boxofficemojo.com/schedule/?view=bydate&amp;release=theatrical&amp;date=2011-02-25&amp;p=.htm" TargetMode="External"/><Relationship Id="rId498" Type="http://schemas.openxmlformats.org/officeDocument/2006/relationships/hyperlink" Target="http://www.boxofficemojo.com/movies/?id=shame.htm" TargetMode="External"/><Relationship Id="rId499" Type="http://schemas.openxmlformats.org/officeDocument/2006/relationships/hyperlink" Target="http://www.boxofficemojo.com/studio/chart/?studio=foxsearchlight.htm" TargetMode="External"/><Relationship Id="rId882" Type="http://schemas.openxmlformats.org/officeDocument/2006/relationships/hyperlink" Target="http://www.boxofficemojo.com/movies/?id=tuckeranddalevsevil.htm" TargetMode="External"/><Relationship Id="rId883" Type="http://schemas.openxmlformats.org/officeDocument/2006/relationships/hyperlink" Target="http://www.boxofficemojo.com/studio/chart/?studio=magnolia.htm" TargetMode="External"/><Relationship Id="rId884" Type="http://schemas.openxmlformats.org/officeDocument/2006/relationships/hyperlink" Target="http://www.boxofficemojo.com/schedule/?view=bydate&amp;release=theatrical&amp;date=2011-09-30&amp;p=.htm" TargetMode="External"/><Relationship Id="rId885" Type="http://schemas.openxmlformats.org/officeDocument/2006/relationships/hyperlink" Target="http://www.boxofficemojo.com/movies/?id=happythankyoumoreplease.htm" TargetMode="External"/><Relationship Id="rId886" Type="http://schemas.openxmlformats.org/officeDocument/2006/relationships/hyperlink" Target="http://www.boxofficemojo.com/studio/chart/?studio=anchorbayentertainment.htm" TargetMode="External"/><Relationship Id="rId887" Type="http://schemas.openxmlformats.org/officeDocument/2006/relationships/hyperlink" Target="http://www.boxofficemojo.com/schedule/?view=bydate&amp;release=theatrical&amp;date=2011-03-04&amp;p=.htm" TargetMode="External"/><Relationship Id="rId888" Type="http://schemas.openxmlformats.org/officeDocument/2006/relationships/hyperlink" Target="http://www.boxofficemojo.com/movies/?id=afflicted.htm" TargetMode="External"/><Relationship Id="rId889" Type="http://schemas.openxmlformats.org/officeDocument/2006/relationships/hyperlink" Target="http://www.boxofficemojo.com/studio/chart/?studio=nocturnalfeatures.htm" TargetMode="External"/><Relationship Id="rId1734" Type="http://schemas.openxmlformats.org/officeDocument/2006/relationships/hyperlink" Target="http://www.boxofficemojo.com/studio/chart/?studio=firstrun.htm" TargetMode="External"/><Relationship Id="rId1735" Type="http://schemas.openxmlformats.org/officeDocument/2006/relationships/hyperlink" Target="http://www.boxofficemojo.com/schedule/?view=bydate&amp;release=theatrical&amp;date=2011-01-14&amp;p=.htm" TargetMode="External"/><Relationship Id="rId1736" Type="http://schemas.openxmlformats.org/officeDocument/2006/relationships/hyperlink" Target="http://www.boxofficemojo.com/movies/?id=ballstothewall.htm" TargetMode="External"/><Relationship Id="rId1737" Type="http://schemas.openxmlformats.org/officeDocument/2006/relationships/hyperlink" Target="http://www.boxofficemojo.com/studio/chart/?studio=rockymountainpictures.htm" TargetMode="External"/><Relationship Id="rId1738" Type="http://schemas.openxmlformats.org/officeDocument/2006/relationships/hyperlink" Target="http://www.boxofficemojo.com/schedule/?view=bydate&amp;release=theatrical&amp;date=2011-10-21&amp;p=.htm" TargetMode="External"/><Relationship Id="rId1739" Type="http://schemas.openxmlformats.org/officeDocument/2006/relationships/hyperlink" Target="http://www.boxofficemojo.com/movies/?id=weirdworldofblowfly.htm" TargetMode="External"/><Relationship Id="rId1740" Type="http://schemas.openxmlformats.org/officeDocument/2006/relationships/hyperlink" Target="http://www.boxofficemojo.com/studio/chart/?studio=variancefilms.htm" TargetMode="External"/><Relationship Id="rId1741" Type="http://schemas.openxmlformats.org/officeDocument/2006/relationships/hyperlink" Target="http://www.boxofficemojo.com/schedule/?view=bydate&amp;release=theatrical&amp;date=2011-09-16&amp;p=.htm" TargetMode="External"/><Relationship Id="rId1742" Type="http://schemas.openxmlformats.org/officeDocument/2006/relationships/hyperlink" Target="http://www.boxofficemojo.com/movies/?id=lie2011.htm" TargetMode="External"/><Relationship Id="rId1743" Type="http://schemas.openxmlformats.org/officeDocument/2006/relationships/hyperlink" Target="http://www.boxofficemojo.com/studio/chart/?studio=screenmedia.htm" TargetMode="External"/><Relationship Id="rId1350" Type="http://schemas.openxmlformats.org/officeDocument/2006/relationships/hyperlink" Target="http://www.boxofficemojo.com/movies/?id=octubre.htm" TargetMode="External"/><Relationship Id="rId1351" Type="http://schemas.openxmlformats.org/officeDocument/2006/relationships/hyperlink" Target="http://www.boxofficemojo.com/studio/chart/?studio=newyorker.htm" TargetMode="External"/><Relationship Id="rId1352" Type="http://schemas.openxmlformats.org/officeDocument/2006/relationships/hyperlink" Target="http://www.boxofficemojo.com/schedule/?view=bydate&amp;release=theatrical&amp;date=2011-05-06&amp;p=.htm" TargetMode="External"/><Relationship Id="rId1353" Type="http://schemas.openxmlformats.org/officeDocument/2006/relationships/hyperlink" Target="http://www.boxofficemojo.com/movies/?id=heyboo.htm" TargetMode="External"/><Relationship Id="rId1354" Type="http://schemas.openxmlformats.org/officeDocument/2006/relationships/hyperlink" Target="http://www.boxofficemojo.com/studio/chart/?studio=firstrun.htm" TargetMode="External"/><Relationship Id="rId1355" Type="http://schemas.openxmlformats.org/officeDocument/2006/relationships/hyperlink" Target="http://www.boxofficemojo.com/schedule/?view=bydate&amp;release=theatrical&amp;date=2011-05-13&amp;p=.htm" TargetMode="External"/><Relationship Id="rId1356" Type="http://schemas.openxmlformats.org/officeDocument/2006/relationships/hyperlink" Target="http://www.boxofficemojo.com/movies/?id=smalltownmurdersongs.htm" TargetMode="External"/><Relationship Id="rId1357" Type="http://schemas.openxmlformats.org/officeDocument/2006/relationships/hyperlink" Target="http://www.boxofficemojo.com/studio/chart/?studio=montereymediainc.htm" TargetMode="External"/><Relationship Id="rId1358" Type="http://schemas.openxmlformats.org/officeDocument/2006/relationships/hyperlink" Target="http://www.boxofficemojo.com/schedule/?view=bydate&amp;release=theatrical&amp;date=2011-06-03&amp;p=.htm" TargetMode="External"/><Relationship Id="rId1359" Type="http://schemas.openxmlformats.org/officeDocument/2006/relationships/hyperlink" Target="http://www.boxofficemojo.com/movies/?id=whiteirishdrinkers.htm" TargetMode="External"/><Relationship Id="rId890" Type="http://schemas.openxmlformats.org/officeDocument/2006/relationships/hyperlink" Target="http://www.boxofficemojo.com/schedule/?view=bydate&amp;release=theatrical&amp;date=2011-10-21&amp;p=.htm" TargetMode="External"/><Relationship Id="rId891" Type="http://schemas.openxmlformats.org/officeDocument/2006/relationships/hyperlink" Target="http://www.boxofficemojo.com/movies/?id=ipman2.htm" TargetMode="External"/><Relationship Id="rId892" Type="http://schemas.openxmlformats.org/officeDocument/2006/relationships/hyperlink" Target="http://www.boxofficemojo.com/studio/chart/?studio=variancefilms.htm" TargetMode="External"/><Relationship Id="rId893" Type="http://schemas.openxmlformats.org/officeDocument/2006/relationships/hyperlink" Target="http://www.boxofficemojo.com/schedule/?view=bydate&amp;release=theatrical&amp;date=2011-01-28&amp;p=.htm" TargetMode="External"/><Relationship Id="rId894" Type="http://schemas.openxmlformats.org/officeDocument/2006/relationships/hyperlink" Target="http://www.boxofficemojo.com/movies/?id=filthtoashesfleshtodust.htm" TargetMode="External"/><Relationship Id="rId895" Type="http://schemas.openxmlformats.org/officeDocument/2006/relationships/hyperlink" Target="http://www.boxofficemojo.com/studio/chart/?studio=nocturnalfeatures.htm" TargetMode="External"/><Relationship Id="rId896" Type="http://schemas.openxmlformats.org/officeDocument/2006/relationships/hyperlink" Target="http://www.boxofficemojo.com/schedule/?view=bydate&amp;release=theatrical&amp;date=2011-09-30&amp;p=.htm" TargetMode="External"/><Relationship Id="rId897" Type="http://schemas.openxmlformats.org/officeDocument/2006/relationships/hyperlink" Target="http://www.boxofficemojo.com/movies/?id=blackthorn.htm" TargetMode="External"/><Relationship Id="rId898" Type="http://schemas.openxmlformats.org/officeDocument/2006/relationships/hyperlink" Target="http://www.boxofficemojo.com/studio/chart/?studio=magnolia.htm" TargetMode="External"/><Relationship Id="rId899" Type="http://schemas.openxmlformats.org/officeDocument/2006/relationships/hyperlink" Target="http://www.boxofficemojo.com/schedule/?view=bydate&amp;release=theatrical&amp;date=2011-10-07&amp;p=.htm" TargetMode="External"/><Relationship Id="rId1744" Type="http://schemas.openxmlformats.org/officeDocument/2006/relationships/hyperlink" Target="http://www.boxofficemojo.com/schedule/?view=bydate&amp;release=theatrical&amp;date=2011-11-18&amp;p=.htm" TargetMode="External"/><Relationship Id="rId1745" Type="http://schemas.openxmlformats.org/officeDocument/2006/relationships/hyperlink" Target="http://www.boxofficemojo.com/movies/?id=protektor.htm" TargetMode="External"/><Relationship Id="rId1746" Type="http://schemas.openxmlformats.org/officeDocument/2006/relationships/hyperlink" Target="http://www.boxofficemojo.com/studio/chart/?studio=filmmovement.htm" TargetMode="External"/><Relationship Id="rId1747" Type="http://schemas.openxmlformats.org/officeDocument/2006/relationships/hyperlink" Target="http://www.boxofficemojo.com/schedule/?view=bydate&amp;release=theatrical&amp;date=2011-08-05&amp;p=.htm" TargetMode="External"/><Relationship Id="rId1748" Type="http://schemas.openxmlformats.org/officeDocument/2006/relationships/hyperlink" Target="http://www.boxofficemojo.com/movies/?id=zokkomon.htm" TargetMode="External"/><Relationship Id="rId1749" Type="http://schemas.openxmlformats.org/officeDocument/2006/relationships/hyperlink" Target="http://www.boxofficemojo.com/studio/chart/?studio=utv.htm" TargetMode="External"/><Relationship Id="rId100" Type="http://schemas.openxmlformats.org/officeDocument/2006/relationships/hyperlink" Target="http://www.boxofficemojo.com/studio/chart/?studio=sony.htm" TargetMode="External"/><Relationship Id="rId101" Type="http://schemas.openxmlformats.org/officeDocument/2006/relationships/hyperlink" Target="http://www.boxofficemojo.com/schedule/?view=bydate&amp;release=theatrical&amp;date=2011-01-14&amp;p=.htm" TargetMode="External"/><Relationship Id="rId102" Type="http://schemas.openxmlformats.org/officeDocument/2006/relationships/hyperlink" Target="http://www.boxofficemojo.com/movies/?id=lionking3d.htm" TargetMode="External"/><Relationship Id="rId103" Type="http://schemas.openxmlformats.org/officeDocument/2006/relationships/hyperlink" Target="http://www.boxofficemojo.com/studio/chart/?studio=buenavista.htm" TargetMode="External"/><Relationship Id="rId104" Type="http://schemas.openxmlformats.org/officeDocument/2006/relationships/hyperlink" Target="http://www.boxofficemojo.com/schedule/?view=bydate&amp;release=theatrical&amp;date=2011-09-16&amp;p=.htm" TargetMode="External"/><Relationship Id="rId105" Type="http://schemas.openxmlformats.org/officeDocument/2006/relationships/hyperlink" Target="http://www.boxofficemojo.com/movies/?id=themuppets.htm" TargetMode="External"/><Relationship Id="rId106" Type="http://schemas.openxmlformats.org/officeDocument/2006/relationships/hyperlink" Target="http://www.boxofficemojo.com/studio/chart/?studio=buenavista.htm" TargetMode="External"/><Relationship Id="rId107" Type="http://schemas.openxmlformats.org/officeDocument/2006/relationships/hyperlink" Target="http://www.boxofficemojo.com/schedule/?view=bydate&amp;release=theatrical&amp;date=2011-11-23&amp;p=.htm" TargetMode="External"/><Relationship Id="rId108" Type="http://schemas.openxmlformats.org/officeDocument/2006/relationships/hyperlink" Target="http://www.boxofficemojo.com/movies/?id=realsteel.htm" TargetMode="External"/><Relationship Id="rId109" Type="http://schemas.openxmlformats.org/officeDocument/2006/relationships/hyperlink" Target="http://www.boxofficemojo.com/studio/chart/?studio=buenavista.htm" TargetMode="External"/><Relationship Id="rId1750" Type="http://schemas.openxmlformats.org/officeDocument/2006/relationships/hyperlink" Target="http://www.boxofficemojo.com/schedule/?view=bydate&amp;release=theatrical&amp;date=2011-04-22&amp;p=.htm" TargetMode="External"/><Relationship Id="rId1751" Type="http://schemas.openxmlformats.org/officeDocument/2006/relationships/hyperlink" Target="http://www.boxofficemojo.com/movies/?id=bloodties.htm" TargetMode="External"/><Relationship Id="rId1752" Type="http://schemas.openxmlformats.org/officeDocument/2006/relationships/hyperlink" Target="http://www.boxofficemojo.com/studio/chart/?studio=afterlifepictures.htm" TargetMode="External"/><Relationship Id="rId1753" Type="http://schemas.openxmlformats.org/officeDocument/2006/relationships/hyperlink" Target="http://www.boxofficemojo.com/schedule/?view=bydate&amp;release=theatrical&amp;date=2011-02-11&amp;p=.htm" TargetMode="External"/><Relationship Id="rId1360" Type="http://schemas.openxmlformats.org/officeDocument/2006/relationships/hyperlink" Target="http://www.boxofficemojo.com/studio/chart/?studio=screenmedia.htm" TargetMode="External"/><Relationship Id="rId1361" Type="http://schemas.openxmlformats.org/officeDocument/2006/relationships/hyperlink" Target="http://www.boxofficemojo.com/schedule/?view=bydate&amp;release=theatrical&amp;date=2011-03-25&amp;p=.htm" TargetMode="External"/><Relationship Id="rId1362" Type="http://schemas.openxmlformats.org/officeDocument/2006/relationships/hyperlink" Target="http://www.boxofficemojo.com/movies/?id=sonofnoone.htm" TargetMode="External"/><Relationship Id="rId1363" Type="http://schemas.openxmlformats.org/officeDocument/2006/relationships/hyperlink" Target="http://www.boxofficemojo.com/studio/chart/?studio=anchorbayentertainment.htm" TargetMode="External"/><Relationship Id="rId1364" Type="http://schemas.openxmlformats.org/officeDocument/2006/relationships/hyperlink" Target="http://www.boxofficemojo.com/schedule/?view=bydate&amp;release=theatrical&amp;date=2011-11-04&amp;p=.htm" TargetMode="External"/><Relationship Id="rId1365" Type="http://schemas.openxmlformats.org/officeDocument/2006/relationships/hyperlink" Target="http://www.boxofficemojo.com/movies/?id=muran.htm" TargetMode="External"/><Relationship Id="rId1366" Type="http://schemas.openxmlformats.org/officeDocument/2006/relationships/hyperlink" Target="http://www.boxofficemojo.com/studio/chart/?studio=utv.htm" TargetMode="External"/><Relationship Id="rId1367" Type="http://schemas.openxmlformats.org/officeDocument/2006/relationships/hyperlink" Target="http://www.boxofficemojo.com/schedule/?view=bydate&amp;release=theatrical&amp;date=2011-09-30&amp;p=.htm" TargetMode="External"/><Relationship Id="rId1368" Type="http://schemas.openxmlformats.org/officeDocument/2006/relationships/hyperlink" Target="http://www.boxofficemojo.com/movies/?id=catrun.htm" TargetMode="External"/><Relationship Id="rId1369" Type="http://schemas.openxmlformats.org/officeDocument/2006/relationships/hyperlink" Target="http://www.boxofficemojo.com/studio/chart/?studio=paladin.htm" TargetMode="External"/><Relationship Id="rId1754" Type="http://schemas.openxmlformats.org/officeDocument/2006/relationships/hyperlink" Target="http://www.boxofficemojo.com/movies/?id=restitution.htm" TargetMode="External"/><Relationship Id="rId1755" Type="http://schemas.openxmlformats.org/officeDocument/2006/relationships/hyperlink" Target="http://www.boxofficemojo.com/studio/chart/?studio=montereymediainc.htm" TargetMode="External"/><Relationship Id="rId1756" Type="http://schemas.openxmlformats.org/officeDocument/2006/relationships/hyperlink" Target="http://www.boxofficemojo.com/schedule/?view=bydate&amp;release=theatrical&amp;date=2011-10-28&amp;p=.htm" TargetMode="External"/><Relationship Id="rId1757" Type="http://schemas.openxmlformats.org/officeDocument/2006/relationships/hyperlink" Target="http://www.boxofficemojo.com/movies/?id=unitedredarmy.htm" TargetMode="External"/><Relationship Id="rId1758" Type="http://schemas.openxmlformats.org/officeDocument/2006/relationships/hyperlink" Target="http://www.boxofficemojo.com/studio/chart/?studio=lorberfilms.htm" TargetMode="External"/><Relationship Id="rId1759" Type="http://schemas.openxmlformats.org/officeDocument/2006/relationships/hyperlink" Target="http://www.boxofficemojo.com/schedule/?view=bydate&amp;release=theatrical&amp;date=2011-05-27&amp;p=.htm" TargetMode="External"/></Relationships>
</file>

<file path=xl/worksheets/_rels/sheet7.xml.rels><?xml version="1.0" encoding="UTF-8" standalone="yes"?>
<Relationships xmlns="http://schemas.openxmlformats.org/package/2006/relationships"><Relationship Id="rId1403" Type="http://schemas.openxmlformats.org/officeDocument/2006/relationships/hyperlink" Target="http://www.boxofficemojo.com/schedule/?view=bydate&amp;release=theatrical&amp;date=2010-03-12&amp;p=.htm" TargetMode="External"/><Relationship Id="rId1404" Type="http://schemas.openxmlformats.org/officeDocument/2006/relationships/hyperlink" Target="http://www.boxofficemojo.com/movies/?id=christina.htm" TargetMode="External"/><Relationship Id="rId1405" Type="http://schemas.openxmlformats.org/officeDocument/2006/relationships/hyperlink" Target="http://www.boxofficemojo.com/studio/chart/?studio=indican.htm" TargetMode="External"/><Relationship Id="rId1406" Type="http://schemas.openxmlformats.org/officeDocument/2006/relationships/hyperlink" Target="http://www.boxofficemojo.com/schedule/?view=bydate&amp;release=theatrical&amp;date=2010-12-03&amp;p=.htm" TargetMode="External"/><Relationship Id="rId1407" Type="http://schemas.openxmlformats.org/officeDocument/2006/relationships/hyperlink" Target="http://www.boxofficemojo.com/movies/?id=springfever.htm" TargetMode="External"/><Relationship Id="rId1408" Type="http://schemas.openxmlformats.org/officeDocument/2006/relationships/hyperlink" Target="http://www.boxofficemojo.com/studio/chart/?studio=strand.htm" TargetMode="External"/><Relationship Id="rId1409" Type="http://schemas.openxmlformats.org/officeDocument/2006/relationships/hyperlink" Target="http://www.boxofficemojo.com/schedule/?view=bydate&amp;release=theatrical&amp;date=2010-06-04&amp;p=.htm" TargetMode="External"/><Relationship Id="rId30" Type="http://schemas.openxmlformats.org/officeDocument/2006/relationships/hyperlink" Target="http://www.boxofficemojo.com/movies/?id=howtotrainyourdragon.htm" TargetMode="External"/><Relationship Id="rId31" Type="http://schemas.openxmlformats.org/officeDocument/2006/relationships/hyperlink" Target="http://www.boxofficemojo.com/studio/chart/?studio=pardw.htm" TargetMode="External"/><Relationship Id="rId32" Type="http://schemas.openxmlformats.org/officeDocument/2006/relationships/hyperlink" Target="http://www.boxofficemojo.com/schedule/?view=bydate&amp;release=theatrical&amp;date=2010-03-26&amp;p=.htm" TargetMode="External"/><Relationship Id="rId33" Type="http://schemas.openxmlformats.org/officeDocument/2006/relationships/hyperlink" Target="http://www.boxofficemojo.com/movies/?id=rapunzel.htm" TargetMode="External"/><Relationship Id="rId34" Type="http://schemas.openxmlformats.org/officeDocument/2006/relationships/hyperlink" Target="http://www.boxofficemojo.com/studio/chart/?studio=buenavista.htm" TargetMode="External"/><Relationship Id="rId35" Type="http://schemas.openxmlformats.org/officeDocument/2006/relationships/hyperlink" Target="http://www.boxofficemojo.com/schedule/?view=bydate&amp;release=theatrical&amp;date=2010-11-24&amp;p=.htm" TargetMode="External"/><Relationship Id="rId36" Type="http://schemas.openxmlformats.org/officeDocument/2006/relationships/hyperlink" Target="http://www.boxofficemojo.com/movies/?id=karatekid2010.htm" TargetMode="External"/><Relationship Id="rId37" Type="http://schemas.openxmlformats.org/officeDocument/2006/relationships/hyperlink" Target="http://www.boxofficemojo.com/studio/chart/?studio=sony.htm" TargetMode="External"/><Relationship Id="rId38" Type="http://schemas.openxmlformats.org/officeDocument/2006/relationships/hyperlink" Target="http://www.boxofficemojo.com/schedule/?view=bydate&amp;release=theatrical&amp;date=2010-06-11&amp;p=.htm" TargetMode="External"/><Relationship Id="rId39" Type="http://schemas.openxmlformats.org/officeDocument/2006/relationships/hyperlink" Target="http://www.boxofficemojo.com/movies/?id=tron2.htm" TargetMode="External"/><Relationship Id="rId400" Type="http://schemas.openxmlformats.org/officeDocument/2006/relationships/hyperlink" Target="http://www.boxofficemojo.com/studio/chart/?studio=musicboxfilms.htm" TargetMode="External"/><Relationship Id="rId401" Type="http://schemas.openxmlformats.org/officeDocument/2006/relationships/hyperlink" Target="http://www.boxofficemojo.com/schedule/?view=bydate&amp;release=theatrical&amp;date=2010-03-19&amp;p=.htm" TargetMode="External"/><Relationship Id="rId402" Type="http://schemas.openxmlformats.org/officeDocument/2006/relationships/hyperlink" Target="http://www.boxofficemojo.com/movies/?id=bluevalentine.htm" TargetMode="External"/><Relationship Id="rId403" Type="http://schemas.openxmlformats.org/officeDocument/2006/relationships/hyperlink" Target="http://www.boxofficemojo.com/studio/chart/?studio=weinsteincompany.htm" TargetMode="External"/><Relationship Id="rId404" Type="http://schemas.openxmlformats.org/officeDocument/2006/relationships/hyperlink" Target="http://www.boxofficemojo.com/schedule/?view=bydate&amp;release=theatrical&amp;date=2010-12-29&amp;p=.htm" TargetMode="External"/><Relationship Id="rId405" Type="http://schemas.openxmlformats.org/officeDocument/2006/relationships/hyperlink" Target="http://www.boxofficemojo.com/movies/?id=fairgame10.htm" TargetMode="External"/><Relationship Id="rId406" Type="http://schemas.openxmlformats.org/officeDocument/2006/relationships/hyperlink" Target="http://www.boxofficemojo.com/studio/chart/?studio=summitentertainment.htm" TargetMode="External"/><Relationship Id="rId407" Type="http://schemas.openxmlformats.org/officeDocument/2006/relationships/hyperlink" Target="http://www.boxofficemojo.com/schedule/?view=bydate&amp;release=theatrical&amp;date=2010-11-05&amp;p=.htm" TargetMode="External"/><Relationship Id="rId408" Type="http://schemas.openxmlformats.org/officeDocument/2006/relationships/hyperlink" Target="http://www.boxofficemojo.com/movies/?id=getlow.htm" TargetMode="External"/><Relationship Id="rId409" Type="http://schemas.openxmlformats.org/officeDocument/2006/relationships/hyperlink" Target="http://www.boxofficemojo.com/studio/chart/?studio=sonyclassics.htm" TargetMode="External"/><Relationship Id="rId1280" Type="http://schemas.openxmlformats.org/officeDocument/2006/relationships/hyperlink" Target="http://www.boxofficemojo.com/schedule/?view=bydate&amp;release=theatrical&amp;date=2010-02-12&amp;p=.htm" TargetMode="External"/><Relationship Id="rId1281" Type="http://schemas.openxmlformats.org/officeDocument/2006/relationships/hyperlink" Target="http://www.boxofficemojo.com/movies/?id=othercity.htm" TargetMode="External"/><Relationship Id="rId1282" Type="http://schemas.openxmlformats.org/officeDocument/2006/relationships/hyperlink" Target="http://www.boxofficemojo.com/studio/chart/?studio=cabinfilms.htm" TargetMode="External"/><Relationship Id="rId1283" Type="http://schemas.openxmlformats.org/officeDocument/2006/relationships/hyperlink" Target="http://www.boxofficemojo.com/schedule/?view=bydate&amp;release=theatrical&amp;date=2010-09-17&amp;p=.htm" TargetMode="External"/><Relationship Id="rId1284" Type="http://schemas.openxmlformats.org/officeDocument/2006/relationships/hyperlink" Target="http://www.boxofficemojo.com/movies/?id=happytears.htm" TargetMode="External"/><Relationship Id="rId1285" Type="http://schemas.openxmlformats.org/officeDocument/2006/relationships/hyperlink" Target="http://www.boxofficemojo.com/studio/chart/?studio=roadsideattractions.htm" TargetMode="External"/><Relationship Id="rId1286" Type="http://schemas.openxmlformats.org/officeDocument/2006/relationships/hyperlink" Target="http://www.boxofficemojo.com/schedule/?view=bydate&amp;release=theatrical&amp;date=2010-02-19&amp;p=.htm" TargetMode="External"/><Relationship Id="rId1287" Type="http://schemas.openxmlformats.org/officeDocument/2006/relationships/hyperlink" Target="http://www.boxofficemojo.com/movies/?id=gardenofeden.htm" TargetMode="External"/><Relationship Id="rId1288" Type="http://schemas.openxmlformats.org/officeDocument/2006/relationships/hyperlink" Target="http://www.boxofficemojo.com/studio/chart/?studio=roadsideattractions.htm" TargetMode="External"/><Relationship Id="rId1289" Type="http://schemas.openxmlformats.org/officeDocument/2006/relationships/hyperlink" Target="http://www.boxofficemojo.com/schedule/?view=bydate&amp;release=theatrical&amp;date=2010-12-10&amp;p=.htm" TargetMode="External"/><Relationship Id="rId280" Type="http://schemas.openxmlformats.org/officeDocument/2006/relationships/hyperlink" Target="http://www.boxofficemojo.com/studio/chart/?studio=universal.htm" TargetMode="External"/><Relationship Id="rId281" Type="http://schemas.openxmlformats.org/officeDocument/2006/relationships/hyperlink" Target="http://www.boxofficemojo.com/schedule/?view=bydate&amp;release=theatrical&amp;date=2010-08-13&amp;p=.htm" TargetMode="External"/><Relationship Id="rId282" Type="http://schemas.openxmlformats.org/officeDocument/2006/relationships/hyperlink" Target="http://www.boxofficemojo.com/movies/?id=charliestcloud.htm" TargetMode="External"/><Relationship Id="rId283" Type="http://schemas.openxmlformats.org/officeDocument/2006/relationships/hyperlink" Target="http://www.boxofficemojo.com/studio/chart/?studio=universal.htm" TargetMode="External"/><Relationship Id="rId284" Type="http://schemas.openxmlformats.org/officeDocument/2006/relationships/hyperlink" Target="http://www.boxofficemojo.com/schedule/?view=bydate&amp;release=theatrical&amp;date=2010-07-30&amp;p=.htm" TargetMode="External"/><Relationship Id="rId285" Type="http://schemas.openxmlformats.org/officeDocument/2006/relationships/hyperlink" Target="http://www.boxofficemojo.com/movies/?id=morningglory10.htm" TargetMode="External"/><Relationship Id="rId286" Type="http://schemas.openxmlformats.org/officeDocument/2006/relationships/hyperlink" Target="http://www.boxofficemojo.com/studio/chart/?studio=paramount.htm" TargetMode="External"/><Relationship Id="rId287" Type="http://schemas.openxmlformats.org/officeDocument/2006/relationships/hyperlink" Target="http://www.boxofficemojo.com/schedule/?view=bydate&amp;release=theatrical&amp;date=2010-11-10&amp;p=.htm" TargetMode="External"/><Relationship Id="rId288" Type="http://schemas.openxmlformats.org/officeDocument/2006/relationships/hyperlink" Target="http://www.boxofficemojo.com/movies/?id=jimbrooks10.htm" TargetMode="External"/><Relationship Id="rId289" Type="http://schemas.openxmlformats.org/officeDocument/2006/relationships/hyperlink" Target="http://www.boxofficemojo.com/studio/chart/?studio=sony.htm" TargetMode="External"/><Relationship Id="rId730" Type="http://schemas.openxmlformats.org/officeDocument/2006/relationships/hyperlink" Target="http://www.boxofficemojo.com/studio/chart/?studio=magnolia.htm" TargetMode="External"/><Relationship Id="rId731" Type="http://schemas.openxmlformats.org/officeDocument/2006/relationships/hyperlink" Target="http://www.boxofficemojo.com/schedule/?view=bydate&amp;release=theatrical&amp;date=2010-09-10&amp;p=.htm" TargetMode="External"/><Relationship Id="rId732" Type="http://schemas.openxmlformats.org/officeDocument/2006/relationships/hyperlink" Target="http://www.boxofficemojo.com/movies/?id=square10.htm" TargetMode="External"/><Relationship Id="rId733" Type="http://schemas.openxmlformats.org/officeDocument/2006/relationships/hyperlink" Target="http://www.boxofficemojo.com/studio/chart/?studio=apparition.htm" TargetMode="External"/><Relationship Id="rId734" Type="http://schemas.openxmlformats.org/officeDocument/2006/relationships/hyperlink" Target="http://www.boxofficemojo.com/schedule/?view=bydate&amp;release=theatrical&amp;date=2010-04-09&amp;p=.htm" TargetMode="External"/><Relationship Id="rId735" Type="http://schemas.openxmlformats.org/officeDocument/2006/relationships/hyperlink" Target="http://www.boxofficemojo.com/movies/?id=wildgrass.htm" TargetMode="External"/><Relationship Id="rId736" Type="http://schemas.openxmlformats.org/officeDocument/2006/relationships/hyperlink" Target="http://www.boxofficemojo.com/studio/chart/?studio=sonyclassics.htm" TargetMode="External"/><Relationship Id="rId737" Type="http://schemas.openxmlformats.org/officeDocument/2006/relationships/hyperlink" Target="http://www.boxofficemojo.com/schedule/?view=bydate&amp;release=theatrical&amp;date=2010-06-25&amp;p=.htm" TargetMode="External"/><Relationship Id="rId738" Type="http://schemas.openxmlformats.org/officeDocument/2006/relationships/hyperlink" Target="http://www.boxofficemojo.com/movies/?id=tinyfurniture.htm" TargetMode="External"/><Relationship Id="rId739" Type="http://schemas.openxmlformats.org/officeDocument/2006/relationships/hyperlink" Target="http://www.boxofficemojo.com/studio/chart/?studio=ifc.htm" TargetMode="External"/><Relationship Id="rId1410" Type="http://schemas.openxmlformats.org/officeDocument/2006/relationships/hyperlink" Target="http://www.boxofficemojo.com/movies/?id=terkelintrouble.htm" TargetMode="External"/><Relationship Id="rId1411" Type="http://schemas.openxmlformats.org/officeDocument/2006/relationships/hyperlink" Target="http://www.boxofficemojo.com/studio/chart/?studio=indican.htm" TargetMode="External"/><Relationship Id="rId1412" Type="http://schemas.openxmlformats.org/officeDocument/2006/relationships/hyperlink" Target="http://www.boxofficemojo.com/schedule/?view=bydate&amp;release=theatrical&amp;date=2010-03-26&amp;p=.htm" TargetMode="External"/><Relationship Id="rId1413" Type="http://schemas.openxmlformats.org/officeDocument/2006/relationships/hyperlink" Target="http://www.boxofficemojo.com/movies/?id=waitingforarmageddon.htm" TargetMode="External"/><Relationship Id="rId1414" Type="http://schemas.openxmlformats.org/officeDocument/2006/relationships/hyperlink" Target="http://www.boxofficemojo.com/studio/chart/?studio=firstrun.htm" TargetMode="External"/><Relationship Id="rId1415" Type="http://schemas.openxmlformats.org/officeDocument/2006/relationships/hyperlink" Target="http://www.boxofficemojo.com/schedule/?view=bydate&amp;release=theatrical&amp;date=2010-01-08&amp;p=.htm" TargetMode="External"/><Relationship Id="rId1416" Type="http://schemas.openxmlformats.org/officeDocument/2006/relationships/hyperlink" Target="http://www.boxofficemojo.com/movies/?id=milkofsorrow.htm" TargetMode="External"/><Relationship Id="rId1417" Type="http://schemas.openxmlformats.org/officeDocument/2006/relationships/hyperlink" Target="http://www.boxofficemojo.com/studio/chart/?studio=olivefilms.htm" TargetMode="External"/><Relationship Id="rId1418" Type="http://schemas.openxmlformats.org/officeDocument/2006/relationships/hyperlink" Target="http://www.boxofficemojo.com/schedule/?view=bydate&amp;release=theatrical&amp;date=2010-08-27&amp;p=.htm" TargetMode="External"/><Relationship Id="rId1419" Type="http://schemas.openxmlformats.org/officeDocument/2006/relationships/hyperlink" Target="http://www.boxofficemojo.com/movies/?id=comeundone2010.htm" TargetMode="External"/><Relationship Id="rId40" Type="http://schemas.openxmlformats.org/officeDocument/2006/relationships/hyperlink" Target="http://www.boxofficemojo.com/studio/chart/?studio=buenavista.htm" TargetMode="External"/><Relationship Id="rId41" Type="http://schemas.openxmlformats.org/officeDocument/2006/relationships/hyperlink" Target="http://www.boxofficemojo.com/schedule/?view=bydate&amp;release=theatrical&amp;date=2010-12-17&amp;p=.htm" TargetMode="External"/><Relationship Id="rId42" Type="http://schemas.openxmlformats.org/officeDocument/2006/relationships/hyperlink" Target="http://www.boxofficemojo.com/movies/?id=truegrit2010.htm" TargetMode="External"/><Relationship Id="rId43" Type="http://schemas.openxmlformats.org/officeDocument/2006/relationships/hyperlink" Target="http://www.boxofficemojo.com/studio/chart/?studio=paramount.htm" TargetMode="External"/><Relationship Id="rId44" Type="http://schemas.openxmlformats.org/officeDocument/2006/relationships/hyperlink" Target="http://www.boxofficemojo.com/schedule/?view=bydate&amp;release=theatrical&amp;date=2010-12-22&amp;p=.htm" TargetMode="External"/><Relationship Id="rId45" Type="http://schemas.openxmlformats.org/officeDocument/2006/relationships/hyperlink" Target="http://www.boxofficemojo.com/movies/?id=clashofthetitans10.htm" TargetMode="External"/><Relationship Id="rId46" Type="http://schemas.openxmlformats.org/officeDocument/2006/relationships/hyperlink" Target="http://www.boxofficemojo.com/studio/chart/?studio=warnerbros.htm" TargetMode="External"/><Relationship Id="rId47" Type="http://schemas.openxmlformats.org/officeDocument/2006/relationships/hyperlink" Target="http://www.boxofficemojo.com/schedule/?view=bydate&amp;release=theatrical&amp;date=2010-04-02&amp;p=.htm" TargetMode="External"/><Relationship Id="rId48" Type="http://schemas.openxmlformats.org/officeDocument/2006/relationships/hyperlink" Target="http://www.boxofficemojo.com/movies/?id=grownups.htm" TargetMode="External"/><Relationship Id="rId49" Type="http://schemas.openxmlformats.org/officeDocument/2006/relationships/hyperlink" Target="http://www.boxofficemojo.com/studio/chart/?studio=sony.htm" TargetMode="External"/><Relationship Id="rId410" Type="http://schemas.openxmlformats.org/officeDocument/2006/relationships/hyperlink" Target="http://www.boxofficemojo.com/schedule/?view=bydate&amp;release=theatrical&amp;date=2010-07-30&amp;p=.htm" TargetMode="External"/><Relationship Id="rId411" Type="http://schemas.openxmlformats.org/officeDocument/2006/relationships/hyperlink" Target="http://www.boxofficemojo.com/movies/?id=macgruber.htm" TargetMode="External"/><Relationship Id="rId412" Type="http://schemas.openxmlformats.org/officeDocument/2006/relationships/hyperlink" Target="http://www.boxofficemojo.com/studio/chart/?studio=universal.htm" TargetMode="External"/><Relationship Id="rId413" Type="http://schemas.openxmlformats.org/officeDocument/2006/relationships/hyperlink" Target="http://www.boxofficemojo.com/schedule/?view=bydate&amp;release=theatrical&amp;date=2010-05-21&amp;p=.htm" TargetMode="External"/><Relationship Id="rId414" Type="http://schemas.openxmlformats.org/officeDocument/2006/relationships/hyperlink" Target="http://www.boxofficemojo.com/movies/?id=girlwhoplayedwithfire.htm" TargetMode="External"/><Relationship Id="rId415" Type="http://schemas.openxmlformats.org/officeDocument/2006/relationships/hyperlink" Target="http://www.boxofficemojo.com/studio/chart/?studio=musicboxfilms.htm" TargetMode="External"/><Relationship Id="rId416" Type="http://schemas.openxmlformats.org/officeDocument/2006/relationships/hyperlink" Target="http://www.boxofficemojo.com/schedule/?view=bydate&amp;release=theatrical&amp;date=2010-07-09&amp;p=.htm" TargetMode="External"/><Relationship Id="rId417" Type="http://schemas.openxmlformats.org/officeDocument/2006/relationships/hyperlink" Target="http://www.boxofficemojo.com/movies/?id=cyrus.htm" TargetMode="External"/><Relationship Id="rId418" Type="http://schemas.openxmlformats.org/officeDocument/2006/relationships/hyperlink" Target="http://www.boxofficemojo.com/studio/chart/?studio=foxsearchlight.htm" TargetMode="External"/><Relationship Id="rId419" Type="http://schemas.openxmlformats.org/officeDocument/2006/relationships/hyperlink" Target="http://www.boxofficemojo.com/schedule/?view=bydate&amp;release=theatrical&amp;date=2010-06-18&amp;p=.htm" TargetMode="External"/><Relationship Id="rId1290" Type="http://schemas.openxmlformats.org/officeDocument/2006/relationships/hyperlink" Target="http://www.boxofficemojo.com/movies/?id=everythingisgoingfine.htm" TargetMode="External"/><Relationship Id="rId1291" Type="http://schemas.openxmlformats.org/officeDocument/2006/relationships/hyperlink" Target="http://www.boxofficemojo.com/studio/chart/?studio=ifc.htm" TargetMode="External"/><Relationship Id="rId1292" Type="http://schemas.openxmlformats.org/officeDocument/2006/relationships/hyperlink" Target="http://www.boxofficemojo.com/schedule/?view=bydate&amp;release=theatrical&amp;date=2010-12-10&amp;p=.htm" TargetMode="External"/><Relationship Id="rId1293" Type="http://schemas.openxmlformats.org/officeDocument/2006/relationships/hyperlink" Target="http://www.boxofficemojo.com/movies/?id=daddylonglegs.htm" TargetMode="External"/><Relationship Id="rId1294" Type="http://schemas.openxmlformats.org/officeDocument/2006/relationships/hyperlink" Target="http://www.boxofficemojo.com/studio/chart/?studio=ifc.htm" TargetMode="External"/><Relationship Id="rId1295" Type="http://schemas.openxmlformats.org/officeDocument/2006/relationships/hyperlink" Target="http://www.boxofficemojo.com/schedule/?view=bydate&amp;release=theatrical&amp;date=2010-05-14&amp;p=.htm" TargetMode="External"/><Relationship Id="rId1296" Type="http://schemas.openxmlformats.org/officeDocument/2006/relationships/hyperlink" Target="http://www.boxofficemojo.com/movies/?id=toetotoe.htm" TargetMode="External"/><Relationship Id="rId1297" Type="http://schemas.openxmlformats.org/officeDocument/2006/relationships/hyperlink" Target="http://www.boxofficemojo.com/studio/chart/?studio=strand.htm" TargetMode="External"/><Relationship Id="rId1298" Type="http://schemas.openxmlformats.org/officeDocument/2006/relationships/hyperlink" Target="http://www.boxofficemojo.com/schedule/?view=bydate&amp;release=theatrical&amp;date=2010-02-26&amp;p=.htm" TargetMode="External"/><Relationship Id="rId1299" Type="http://schemas.openxmlformats.org/officeDocument/2006/relationships/hyperlink" Target="http://www.boxofficemojo.com/movies/?id=redhill.htm" TargetMode="External"/><Relationship Id="rId290" Type="http://schemas.openxmlformats.org/officeDocument/2006/relationships/hyperlink" Target="http://www.boxofficemojo.com/schedule/?view=bydate&amp;release=theatrical&amp;date=2010-12-17&amp;p=.htm" TargetMode="External"/><Relationship Id="rId291" Type="http://schemas.openxmlformats.org/officeDocument/2006/relationships/hyperlink" Target="http://www.boxofficemojo.com/movies/?id=daybreakers.htm" TargetMode="External"/><Relationship Id="rId292" Type="http://schemas.openxmlformats.org/officeDocument/2006/relationships/hyperlink" Target="http://www.boxofficemojo.com/studio/chart/?studio=lionsgate.htm" TargetMode="External"/><Relationship Id="rId293" Type="http://schemas.openxmlformats.org/officeDocument/2006/relationships/hyperlink" Target="http://www.boxofficemojo.com/schedule/?view=bydate&amp;release=theatrical&amp;date=2010-01-08&amp;p=.htm" TargetMode="External"/><Relationship Id="rId294" Type="http://schemas.openxmlformats.org/officeDocument/2006/relationships/hyperlink" Target="http://www.boxofficemojo.com/movies/?id=nannymcphee2.htm" TargetMode="External"/><Relationship Id="rId295" Type="http://schemas.openxmlformats.org/officeDocument/2006/relationships/hyperlink" Target="http://www.boxofficemojo.com/studio/chart/?studio=universal.htm" TargetMode="External"/><Relationship Id="rId296" Type="http://schemas.openxmlformats.org/officeDocument/2006/relationships/hyperlink" Target="http://www.boxofficemojo.com/schedule/?view=bydate&amp;release=theatrical&amp;date=2010-08-20&amp;p=.htm" TargetMode="External"/><Relationship Id="rId297" Type="http://schemas.openxmlformats.org/officeDocument/2006/relationships/hyperlink" Target="http://www.boxofficemojo.com/movies/?id=baster.htm" TargetMode="External"/><Relationship Id="rId298" Type="http://schemas.openxmlformats.org/officeDocument/2006/relationships/hyperlink" Target="http://www.boxofficemojo.com/studio/chart/?studio=miramax.htm" TargetMode="External"/><Relationship Id="rId299" Type="http://schemas.openxmlformats.org/officeDocument/2006/relationships/hyperlink" Target="http://www.boxofficemojo.com/schedule/?view=bydate&amp;release=theatrical&amp;date=2010-08-20&amp;p=.htm" TargetMode="External"/><Relationship Id="rId740" Type="http://schemas.openxmlformats.org/officeDocument/2006/relationships/hyperlink" Target="http://www.boxofficemojo.com/schedule/?view=bydate&amp;release=theatrical&amp;date=2010-11-12&amp;p=.htm" TargetMode="External"/><Relationship Id="rId741" Type="http://schemas.openxmlformats.org/officeDocument/2006/relationships/hyperlink" Target="http://www.boxofficemojo.com/movies/?id=fishtank.htm" TargetMode="External"/><Relationship Id="rId742" Type="http://schemas.openxmlformats.org/officeDocument/2006/relationships/hyperlink" Target="http://www.boxofficemojo.com/studio/chart/?studio=ifc.htm" TargetMode="External"/><Relationship Id="rId743" Type="http://schemas.openxmlformats.org/officeDocument/2006/relationships/hyperlink" Target="http://www.boxofficemojo.com/schedule/?view=bydate&amp;release=theatrical&amp;date=2010-01-15&amp;p=.htm" TargetMode="External"/><Relationship Id="rId744" Type="http://schemas.openxmlformats.org/officeDocument/2006/relationships/hyperlink" Target="http://www.boxofficemojo.com/movies/?id=lebanon.htm" TargetMode="External"/><Relationship Id="rId745" Type="http://schemas.openxmlformats.org/officeDocument/2006/relationships/hyperlink" Target="http://www.boxofficemojo.com/studio/chart/?studio=sonyclassics.htm" TargetMode="External"/><Relationship Id="rId746" Type="http://schemas.openxmlformats.org/officeDocument/2006/relationships/hyperlink" Target="http://www.boxofficemojo.com/schedule/?view=bydate&amp;release=theatrical&amp;date=2010-08-06&amp;p=.htm" TargetMode="External"/><Relationship Id="rId747" Type="http://schemas.openxmlformats.org/officeDocument/2006/relationships/hyperlink" Target="http://www.boxofficemojo.com/movies/?id=greasesingalong.htm" TargetMode="External"/><Relationship Id="rId748" Type="http://schemas.openxmlformats.org/officeDocument/2006/relationships/hyperlink" Target="http://www.boxofficemojo.com/studio/chart/?studio=paramount.htm" TargetMode="External"/><Relationship Id="rId749" Type="http://schemas.openxmlformats.org/officeDocument/2006/relationships/hyperlink" Target="http://www.boxofficemojo.com/schedule/?view=bydate&amp;release=theatrical&amp;date=2010-07-08&amp;p=.htm" TargetMode="External"/><Relationship Id="rId1420" Type="http://schemas.openxmlformats.org/officeDocument/2006/relationships/hyperlink" Target="http://www.boxofficemojo.com/studio/chart/?studio=filmmovement.htm" TargetMode="External"/><Relationship Id="rId1421" Type="http://schemas.openxmlformats.org/officeDocument/2006/relationships/hyperlink" Target="http://www.boxofficemojo.com/schedule/?view=bydate&amp;release=theatrical&amp;date=2010-12-03&amp;p=.htm" TargetMode="External"/><Relationship Id="rId1422" Type="http://schemas.openxmlformats.org/officeDocument/2006/relationships/hyperlink" Target="http://www.boxofficemojo.com/movies/?id=circle2010.htm" TargetMode="External"/><Relationship Id="rId1423" Type="http://schemas.openxmlformats.org/officeDocument/2006/relationships/hyperlink" Target="http://www.boxofficemojo.com/studio/chart/?studio=indican.htm" TargetMode="External"/><Relationship Id="rId1424" Type="http://schemas.openxmlformats.org/officeDocument/2006/relationships/hyperlink" Target="http://www.boxofficemojo.com/schedule/?view=bydate&amp;release=theatrical&amp;date=2010-08-27&amp;p=.htm" TargetMode="External"/><Relationship Id="rId1425" Type="http://schemas.openxmlformats.org/officeDocument/2006/relationships/hyperlink" Target="http://www.boxofficemojo.com/movies/?id=hughhefner.htm" TargetMode="External"/><Relationship Id="rId1426" Type="http://schemas.openxmlformats.org/officeDocument/2006/relationships/hyperlink" Target="http://www.boxofficemojo.com/studio/chart/?studio=phase4.htm" TargetMode="External"/><Relationship Id="rId1427" Type="http://schemas.openxmlformats.org/officeDocument/2006/relationships/hyperlink" Target="http://www.boxofficemojo.com/schedule/?view=bydate&amp;release=theatrical&amp;date=2010-07-30&amp;p=.htm" TargetMode="External"/><Relationship Id="rId1428" Type="http://schemas.openxmlformats.org/officeDocument/2006/relationships/hyperlink" Target="http://www.boxofficemojo.com/movies/?id=downterrace.htm" TargetMode="External"/><Relationship Id="rId1429" Type="http://schemas.openxmlformats.org/officeDocument/2006/relationships/hyperlink" Target="http://www.boxofficemojo.com/studio/chart/?studio=magnolia.htm" TargetMode="External"/><Relationship Id="rId50" Type="http://schemas.openxmlformats.org/officeDocument/2006/relationships/hyperlink" Target="http://www.boxofficemojo.com/schedule/?view=bydate&amp;release=theatrical&amp;date=2010-06-25&amp;p=.htm" TargetMode="External"/><Relationship Id="rId51" Type="http://schemas.openxmlformats.org/officeDocument/2006/relationships/hyperlink" Target="http://www.boxofficemojo.com/movies/?id=meetthefockerssequel.htm" TargetMode="External"/><Relationship Id="rId52" Type="http://schemas.openxmlformats.org/officeDocument/2006/relationships/hyperlink" Target="http://www.boxofficemojo.com/studio/chart/?studio=universal.htm" TargetMode="External"/><Relationship Id="rId53" Type="http://schemas.openxmlformats.org/officeDocument/2006/relationships/hyperlink" Target="http://www.boxofficemojo.com/schedule/?view=bydate&amp;release=theatrical&amp;date=2010-12-22&amp;p=.htm" TargetMode="External"/><Relationship Id="rId54" Type="http://schemas.openxmlformats.org/officeDocument/2006/relationships/hyperlink" Target="http://www.boxofficemojo.com/movies/?id=mastermind.htm" TargetMode="External"/><Relationship Id="rId55" Type="http://schemas.openxmlformats.org/officeDocument/2006/relationships/hyperlink" Target="http://www.boxofficemojo.com/studio/chart/?studio=pardw.htm" TargetMode="External"/><Relationship Id="rId56" Type="http://schemas.openxmlformats.org/officeDocument/2006/relationships/hyperlink" Target="http://www.boxofficemojo.com/schedule/?view=bydate&amp;release=theatrical&amp;date=2010-11-05&amp;p=.htm" TargetMode="External"/><Relationship Id="rId57" Type="http://schemas.openxmlformats.org/officeDocument/2006/relationships/hyperlink" Target="http://www.boxofficemojo.com/movies/?id=kingsspeech.htm" TargetMode="External"/><Relationship Id="rId58" Type="http://schemas.openxmlformats.org/officeDocument/2006/relationships/hyperlink" Target="http://www.boxofficemojo.com/studio/chart/?studio=weinsteincompany.htm" TargetMode="External"/><Relationship Id="rId59" Type="http://schemas.openxmlformats.org/officeDocument/2006/relationships/hyperlink" Target="http://www.boxofficemojo.com/schedule/?view=bydate&amp;release=theatrical&amp;date=2010-11-26&amp;p=.htm" TargetMode="External"/><Relationship Id="rId420" Type="http://schemas.openxmlformats.org/officeDocument/2006/relationships/hyperlink" Target="http://www.boxofficemojo.com/movies/?id=babies.htm" TargetMode="External"/><Relationship Id="rId421" Type="http://schemas.openxmlformats.org/officeDocument/2006/relationships/hyperlink" Target="http://www.boxofficemojo.com/studio/chart/?studio=focus.htm" TargetMode="External"/><Relationship Id="rId422" Type="http://schemas.openxmlformats.org/officeDocument/2006/relationships/hyperlink" Target="http://www.boxofficemojo.com/schedule/?view=bydate&amp;release=theatrical&amp;date=2010-05-07&amp;p=.htm" TargetMode="External"/><Relationship Id="rId423" Type="http://schemas.openxmlformats.org/officeDocument/2006/relationships/hyperlink" Target="http://www.boxofficemojo.com/movies/?id=bettyannwaters.htm" TargetMode="External"/><Relationship Id="rId424" Type="http://schemas.openxmlformats.org/officeDocument/2006/relationships/hyperlink" Target="http://www.boxofficemojo.com/studio/chart/?studio=foxsearchlight.htm" TargetMode="External"/><Relationship Id="rId425" Type="http://schemas.openxmlformats.org/officeDocument/2006/relationships/hyperlink" Target="http://www.boxofficemojo.com/schedule/?view=bydate&amp;release=theatrical&amp;date=2010-10-15&amp;p=.htm" TargetMode="External"/><Relationship Id="rId426" Type="http://schemas.openxmlformats.org/officeDocument/2006/relationships/hyperlink" Target="http://www.boxofficemojo.com/movies/?id=cityisland.htm" TargetMode="External"/><Relationship Id="rId427" Type="http://schemas.openxmlformats.org/officeDocument/2006/relationships/hyperlink" Target="http://www.boxofficemojo.com/studio/chart/?studio=anchorbayentertainment.htm" TargetMode="External"/><Relationship Id="rId428" Type="http://schemas.openxmlformats.org/officeDocument/2006/relationships/hyperlink" Target="http://www.boxofficemojo.com/schedule/?view=bydate&amp;release=theatrical&amp;date=2010-03-19&amp;p=.htm" TargetMode="External"/><Relationship Id="rId429" Type="http://schemas.openxmlformats.org/officeDocument/2006/relationships/hyperlink" Target="http://www.boxofficemojo.com/movies/?id=thelaststation.htm" TargetMode="External"/><Relationship Id="rId1100" Type="http://schemas.openxmlformats.org/officeDocument/2006/relationships/hyperlink" Target="http://www.boxofficemojo.com/schedule/?view=bydate&amp;release=theatrical&amp;date=2010-05-21&amp;p=.htm" TargetMode="External"/><Relationship Id="rId1101" Type="http://schemas.openxmlformats.org/officeDocument/2006/relationships/hyperlink" Target="http://www.boxofficemojo.com/movies/?id=aftershock.htm" TargetMode="External"/><Relationship Id="rId1102" Type="http://schemas.openxmlformats.org/officeDocument/2006/relationships/hyperlink" Target="http://www.boxofficemojo.com/studio/chart/?studio=chinalion.htm" TargetMode="External"/><Relationship Id="rId1103" Type="http://schemas.openxmlformats.org/officeDocument/2006/relationships/hyperlink" Target="http://www.boxofficemojo.com/schedule/?view=bydate&amp;release=theatrical&amp;date=2010-10-29&amp;p=.htm" TargetMode="External"/><Relationship Id="rId1104" Type="http://schemas.openxmlformats.org/officeDocument/2006/relationships/hyperlink" Target="http://www.boxofficemojo.com/movies/?id=coolit.htm" TargetMode="External"/><Relationship Id="rId1105" Type="http://schemas.openxmlformats.org/officeDocument/2006/relationships/hyperlink" Target="http://www.boxofficemojo.com/studio/chart/?studio=roadsideattractions.htm" TargetMode="External"/><Relationship Id="rId1106" Type="http://schemas.openxmlformats.org/officeDocument/2006/relationships/hyperlink" Target="http://www.boxofficemojo.com/schedule/?view=bydate&amp;release=theatrical&amp;date=2010-11-12&amp;p=.htm" TargetMode="External"/><Relationship Id="rId1107" Type="http://schemas.openxmlformats.org/officeDocument/2006/relationships/hyperlink" Target="http://www.boxofficemojo.com/movies/?id=alamar.htm" TargetMode="External"/><Relationship Id="rId1108" Type="http://schemas.openxmlformats.org/officeDocument/2006/relationships/hyperlink" Target="http://www.boxofficemojo.com/studio/chart/?studio=filmmovement.htm" TargetMode="External"/><Relationship Id="rId1109" Type="http://schemas.openxmlformats.org/officeDocument/2006/relationships/hyperlink" Target="http://www.boxofficemojo.com/schedule/?view=bydate&amp;release=theatrical&amp;date=2010-07-14&amp;p=.htm" TargetMode="External"/><Relationship Id="rId100" Type="http://schemas.openxmlformats.org/officeDocument/2006/relationships/hyperlink" Target="http://www.boxofficemojo.com/studio/chart/?studio=sony.htm" TargetMode="External"/><Relationship Id="rId101" Type="http://schemas.openxmlformats.org/officeDocument/2006/relationships/hyperlink" Target="http://www.boxofficemojo.com/schedule/?view=bydate&amp;release=theatrical&amp;date=2010-10-01&amp;p=.htm" TargetMode="External"/><Relationship Id="rId102" Type="http://schemas.openxmlformats.org/officeDocument/2006/relationships/hyperlink" Target="http://www.boxofficemojo.com/movies/?id=sexandthecity2.htm" TargetMode="External"/><Relationship Id="rId103" Type="http://schemas.openxmlformats.org/officeDocument/2006/relationships/hyperlink" Target="http://www.boxofficemojo.com/studio/chart/?studio=wb-newline.htm" TargetMode="External"/><Relationship Id="rId104" Type="http://schemas.openxmlformats.org/officeDocument/2006/relationships/hyperlink" Target="http://www.boxofficemojo.com/schedule/?view=bydate&amp;release=theatrical&amp;date=2010-05-27&amp;p=.htm" TargetMode="External"/><Relationship Id="rId105" Type="http://schemas.openxmlformats.org/officeDocument/2006/relationships/hyperlink" Target="http://www.boxofficemojo.com/movies/?id=bookofeli.htm" TargetMode="External"/><Relationship Id="rId106" Type="http://schemas.openxmlformats.org/officeDocument/2006/relationships/hyperlink" Target="http://www.boxofficemojo.com/studio/chart/?studio=warnerbros.htm" TargetMode="External"/><Relationship Id="rId107" Type="http://schemas.openxmlformats.org/officeDocument/2006/relationships/hyperlink" Target="http://www.boxofficemojo.com/schedule/?view=bydate&amp;release=theatrical&amp;date=2010-01-15&amp;p=.htm" TargetMode="External"/><Relationship Id="rId108" Type="http://schemas.openxmlformats.org/officeDocument/2006/relationships/hyperlink" Target="http://www.boxofficemojo.com/movies/?id=fighter10.htm" TargetMode="External"/><Relationship Id="rId109" Type="http://schemas.openxmlformats.org/officeDocument/2006/relationships/hyperlink" Target="http://www.boxofficemojo.com/studio/chart/?studio=paramount.htm" TargetMode="External"/><Relationship Id="rId750" Type="http://schemas.openxmlformats.org/officeDocument/2006/relationships/hyperlink" Target="http://www.boxofficemojo.com/movies/?id=breathless2010reissue.htm" TargetMode="External"/><Relationship Id="rId751" Type="http://schemas.openxmlformats.org/officeDocument/2006/relationships/hyperlink" Target="http://www.boxofficemojo.com/studio/chart/?studio=rialto.htm" TargetMode="External"/><Relationship Id="rId752" Type="http://schemas.openxmlformats.org/officeDocument/2006/relationships/hyperlink" Target="http://www.boxofficemojo.com/schedule/?view=bydate&amp;release=theatrical&amp;date=2010-05-28&amp;p=.htm" TargetMode="External"/><Relationship Id="rId753" Type="http://schemas.openxmlformats.org/officeDocument/2006/relationships/hyperlink" Target="http://www.boxofficemojo.com/movies/?id=likedandeliondust.htm" TargetMode="External"/><Relationship Id="rId754" Type="http://schemas.openxmlformats.org/officeDocument/2006/relationships/hyperlink" Target="http://www.boxofficemojo.com/studio/chart/?studio=bluecollar.htm" TargetMode="External"/><Relationship Id="rId755" Type="http://schemas.openxmlformats.org/officeDocument/2006/relationships/hyperlink" Target="http://www.boxofficemojo.com/schedule/?view=bydate&amp;release=theatrical&amp;date=2010-09-24&amp;p=.htm" TargetMode="External"/><Relationship Id="rId756" Type="http://schemas.openxmlformats.org/officeDocument/2006/relationships/hyperlink" Target="http://www.boxofficemojo.com/movies/?id=creation.htm" TargetMode="External"/><Relationship Id="rId757" Type="http://schemas.openxmlformats.org/officeDocument/2006/relationships/hyperlink" Target="http://www.boxofficemojo.com/studio/chart/?studio=newmarket.htm" TargetMode="External"/><Relationship Id="rId758" Type="http://schemas.openxmlformats.org/officeDocument/2006/relationships/hyperlink" Target="http://www.boxofficemojo.com/schedule/?view=bydate&amp;release=theatrical&amp;date=2010-01-22&amp;p=.htm" TargetMode="External"/><Relationship Id="rId759" Type="http://schemas.openxmlformats.org/officeDocument/2006/relationships/hyperlink" Target="http://www.boxofficemojo.com/movies/?id=enterthevoid.htm" TargetMode="External"/><Relationship Id="rId1430" Type="http://schemas.openxmlformats.org/officeDocument/2006/relationships/hyperlink" Target="http://www.boxofficemojo.com/schedule/?view=bydate&amp;release=theatrical&amp;date=2010-10-15&amp;p=.htm" TargetMode="External"/><Relationship Id="rId1431" Type="http://schemas.openxmlformats.org/officeDocument/2006/relationships/hyperlink" Target="http://www.boxofficemojo.com/movies/?id=brutalbeauty.htm" TargetMode="External"/><Relationship Id="rId1432" Type="http://schemas.openxmlformats.org/officeDocument/2006/relationships/hyperlink" Target="http://www.boxofficemojo.com/studio/chart/?studio=cinemapurgatorio.htm" TargetMode="External"/><Relationship Id="rId1433" Type="http://schemas.openxmlformats.org/officeDocument/2006/relationships/hyperlink" Target="http://www.boxofficemojo.com/schedule/?view=bydate&amp;release=theatrical&amp;date=2010-01-08&amp;p=.htm" TargetMode="External"/><Relationship Id="rId1434" Type="http://schemas.openxmlformats.org/officeDocument/2006/relationships/hyperlink" Target="http://www.boxofficemojo.com/movies/?id=wonderfulworld.htm" TargetMode="External"/><Relationship Id="rId1435" Type="http://schemas.openxmlformats.org/officeDocument/2006/relationships/hyperlink" Target="http://www.boxofficemojo.com/studio/chart/?studio=magnolia.htm" TargetMode="External"/><Relationship Id="rId1436" Type="http://schemas.openxmlformats.org/officeDocument/2006/relationships/hyperlink" Target="http://www.boxofficemojo.com/schedule/?view=bydate&amp;release=theatrical&amp;date=2010-01-08&amp;p=.htm" TargetMode="External"/><Relationship Id="rId1437" Type="http://schemas.openxmlformats.org/officeDocument/2006/relationships/hyperlink" Target="http://www.boxofficemojo.com/movies/?id=brotherhood.htm" TargetMode="External"/><Relationship Id="rId1438" Type="http://schemas.openxmlformats.org/officeDocument/2006/relationships/hyperlink" Target="http://www.boxofficemojo.com/studio/chart/?studio=olivefilms.htm" TargetMode="External"/><Relationship Id="rId1439" Type="http://schemas.openxmlformats.org/officeDocument/2006/relationships/hyperlink" Target="http://www.boxofficemojo.com/schedule/?view=bydate&amp;release=theatrical&amp;date=2010-08-06&amp;p=.htm" TargetMode="External"/><Relationship Id="rId60" Type="http://schemas.openxmlformats.org/officeDocument/2006/relationships/hyperlink" Target="http://www.boxofficemojo.com/movies/?id=lastairbender.htm" TargetMode="External"/><Relationship Id="rId61" Type="http://schemas.openxmlformats.org/officeDocument/2006/relationships/hyperlink" Target="http://www.boxofficemojo.com/studio/chart/?studio=paramount.htm" TargetMode="External"/><Relationship Id="rId62" Type="http://schemas.openxmlformats.org/officeDocument/2006/relationships/hyperlink" Target="http://www.boxofficemojo.com/schedule/?view=bydate&amp;release=theatrical&amp;date=2010-07-01&amp;p=.htm" TargetMode="External"/><Relationship Id="rId63" Type="http://schemas.openxmlformats.org/officeDocument/2006/relationships/hyperlink" Target="http://www.boxofficemojo.com/movies/?id=shutterisland.htm" TargetMode="External"/><Relationship Id="rId64" Type="http://schemas.openxmlformats.org/officeDocument/2006/relationships/hyperlink" Target="http://www.boxofficemojo.com/studio/chart/?studio=paramount.htm" TargetMode="External"/><Relationship Id="rId65" Type="http://schemas.openxmlformats.org/officeDocument/2006/relationships/hyperlink" Target="http://www.boxofficemojo.com/schedule/?view=bydate&amp;release=theatrical&amp;date=2010-02-19&amp;p=.htm" TargetMode="External"/><Relationship Id="rId66" Type="http://schemas.openxmlformats.org/officeDocument/2006/relationships/hyperlink" Target="http://www.boxofficemojo.com/movies/?id=ferrellwahlberg2010.htm" TargetMode="External"/><Relationship Id="rId67" Type="http://schemas.openxmlformats.org/officeDocument/2006/relationships/hyperlink" Target="http://www.boxofficemojo.com/studio/chart/?studio=sony.htm" TargetMode="External"/><Relationship Id="rId68" Type="http://schemas.openxmlformats.org/officeDocument/2006/relationships/hyperlink" Target="http://www.boxofficemojo.com/schedule/?view=bydate&amp;release=theatrical&amp;date=2010-08-06&amp;p=.htm" TargetMode="External"/><Relationship Id="rId69" Type="http://schemas.openxmlformats.org/officeDocument/2006/relationships/hyperlink" Target="http://www.boxofficemojo.com/movies/?id=salt10.htm" TargetMode="External"/><Relationship Id="rId430" Type="http://schemas.openxmlformats.org/officeDocument/2006/relationships/hyperlink" Target="http://www.boxofficemojo.com/studio/chart/?studio=sonyclassics.htm" TargetMode="External"/><Relationship Id="rId431" Type="http://schemas.openxmlformats.org/officeDocument/2006/relationships/hyperlink" Target="http://www.boxofficemojo.com/schedule/?view=bydate&amp;release=theatrical&amp;date=2010-01-15&amp;p=.htm" TargetMode="External"/><Relationship Id="rId432" Type="http://schemas.openxmlformats.org/officeDocument/2006/relationships/hyperlink" Target="http://www.boxofficemojo.com/movies/?id=wintersbone.htm" TargetMode="External"/><Relationship Id="rId433" Type="http://schemas.openxmlformats.org/officeDocument/2006/relationships/hyperlink" Target="http://www.boxofficemojo.com/studio/chart/?studio=roadsideattractions.htm" TargetMode="External"/><Relationship Id="rId434" Type="http://schemas.openxmlformats.org/officeDocument/2006/relationships/hyperlink" Target="http://www.boxofficemojo.com/schedule/?view=bydate&amp;release=theatrical&amp;date=2010-06-11&amp;p=.htm" TargetMode="External"/><Relationship Id="rId435" Type="http://schemas.openxmlformats.org/officeDocument/2006/relationships/hyperlink" Target="http://www.boxofficemojo.com/movies/?id=waitingforsuperman.htm" TargetMode="External"/><Relationship Id="rId436" Type="http://schemas.openxmlformats.org/officeDocument/2006/relationships/hyperlink" Target="http://www.boxofficemojo.com/studio/chart/?studio=paramountvantage.htm" TargetMode="External"/><Relationship Id="rId437" Type="http://schemas.openxmlformats.org/officeDocument/2006/relationships/hyperlink" Target="http://www.boxofficemojo.com/schedule/?view=bydate&amp;release=theatrical&amp;date=2010-09-24&amp;p=.htm" TargetMode="External"/><Relationship Id="rId438" Type="http://schemas.openxmlformats.org/officeDocument/2006/relationships/hyperlink" Target="http://www.boxofficemojo.com/movies/?id=secretintheireyes.htm" TargetMode="External"/><Relationship Id="rId439" Type="http://schemas.openxmlformats.org/officeDocument/2006/relationships/hyperlink" Target="http://www.boxofficemojo.com/studio/chart/?studio=sonyclassics.htm" TargetMode="External"/><Relationship Id="rId1110" Type="http://schemas.openxmlformats.org/officeDocument/2006/relationships/hyperlink" Target="http://www.boxofficemojo.com/movies/?id=orlandoreissue.htm" TargetMode="External"/><Relationship Id="rId1111" Type="http://schemas.openxmlformats.org/officeDocument/2006/relationships/hyperlink" Target="http://www.boxofficemojo.com/studio/chart/?studio=sonyclassics.htm" TargetMode="External"/><Relationship Id="rId1112" Type="http://schemas.openxmlformats.org/officeDocument/2006/relationships/hyperlink" Target="http://www.boxofficemojo.com/schedule/?view=bydate&amp;release=theatrical&amp;date=2010-07-23&amp;p=.htm" TargetMode="External"/><Relationship Id="rId1113" Type="http://schemas.openxmlformats.org/officeDocument/2006/relationships/hyperlink" Target="http://www.boxofficemojo.com/movies/?id=lookingforeric.htm" TargetMode="External"/><Relationship Id="rId1114" Type="http://schemas.openxmlformats.org/officeDocument/2006/relationships/hyperlink" Target="http://www.boxofficemojo.com/studio/chart/?studio=ifc.htm" TargetMode="External"/><Relationship Id="rId1115" Type="http://schemas.openxmlformats.org/officeDocument/2006/relationships/hyperlink" Target="http://www.boxofficemojo.com/schedule/?view=bydate&amp;release=theatrical&amp;date=2010-05-14&amp;p=.htm" TargetMode="External"/><Relationship Id="rId1116" Type="http://schemas.openxmlformats.org/officeDocument/2006/relationships/hyperlink" Target="http://www.boxofficemojo.com/movies/?id=natureofexistence.htm" TargetMode="External"/><Relationship Id="rId1117" Type="http://schemas.openxmlformats.org/officeDocument/2006/relationships/hyperlink" Target="http://www.boxofficemojo.com/studio/chart/?studio=" TargetMode="External"/><Relationship Id="rId1118" Type="http://schemas.openxmlformats.org/officeDocument/2006/relationships/hyperlink" Target="http://www.boxofficemojo.com/schedule/?view=bydate&amp;release=theatrical&amp;date=2010-06-18&amp;p=.htm" TargetMode="External"/><Relationship Id="rId1119" Type="http://schemas.openxmlformats.org/officeDocument/2006/relationships/hyperlink" Target="http://www.boxofficemojo.com/movies/?id=lottery.htm" TargetMode="External"/><Relationship Id="rId110" Type="http://schemas.openxmlformats.org/officeDocument/2006/relationships/hyperlink" Target="http://www.boxofficemojo.com/schedule/?view=bydate&amp;release=theatrical&amp;date=2010-12-10&amp;p=.htm" TargetMode="External"/><Relationship Id="rId111" Type="http://schemas.openxmlformats.org/officeDocument/2006/relationships/hyperlink" Target="http://www.boxofficemojo.com/movies/?id=town10.htm" TargetMode="External"/><Relationship Id="rId112" Type="http://schemas.openxmlformats.org/officeDocument/2006/relationships/hyperlink" Target="http://www.boxofficemojo.com/studio/chart/?studio=warnerbros.htm" TargetMode="External"/><Relationship Id="rId113" Type="http://schemas.openxmlformats.org/officeDocument/2006/relationships/hyperlink" Target="http://www.boxofficemojo.com/schedule/?view=bydate&amp;release=theatrical&amp;date=2010-09-17&amp;p=.htm" TargetMode="External"/><Relationship Id="rId114" Type="http://schemas.openxmlformats.org/officeDocument/2006/relationships/hyperlink" Target="http://www.boxofficemojo.com/movies/?id=princeofpersia.htm" TargetMode="External"/><Relationship Id="rId115" Type="http://schemas.openxmlformats.org/officeDocument/2006/relationships/hyperlink" Target="http://www.boxofficemojo.com/studio/chart/?studio=buenavista.htm" TargetMode="External"/><Relationship Id="rId116" Type="http://schemas.openxmlformats.org/officeDocument/2006/relationships/hyperlink" Target="http://www.boxofficemojo.com/schedule/?view=bydate&amp;release=theatrical&amp;date=2010-05-28&amp;p=.htm" TargetMode="External"/><Relationship Id="rId117" Type="http://schemas.openxmlformats.org/officeDocument/2006/relationships/hyperlink" Target="http://www.boxofficemojo.com/movies/?id=red2010.htm" TargetMode="External"/><Relationship Id="rId118" Type="http://schemas.openxmlformats.org/officeDocument/2006/relationships/hyperlink" Target="http://www.boxofficemojo.com/studio/chart/?studio=summitentertainment.htm" TargetMode="External"/><Relationship Id="rId119" Type="http://schemas.openxmlformats.org/officeDocument/2006/relationships/hyperlink" Target="http://www.boxofficemojo.com/schedule/?view=bydate&amp;release=theatrical&amp;date=2010-10-15&amp;p=.htm" TargetMode="External"/><Relationship Id="rId760" Type="http://schemas.openxmlformats.org/officeDocument/2006/relationships/hyperlink" Target="http://www.boxofficemojo.com/studio/chart/?studio=ifc.htm" TargetMode="External"/><Relationship Id="rId761" Type="http://schemas.openxmlformats.org/officeDocument/2006/relationships/hyperlink" Target="http://www.boxofficemojo.com/schedule/?view=bydate&amp;release=theatrical&amp;date=2010-09-24&amp;p=.htm" TargetMode="External"/><Relationship Id="rId762" Type="http://schemas.openxmlformats.org/officeDocument/2006/relationships/hyperlink" Target="http://www.boxofficemojo.com/movies/?id=kingsofpastry.htm" TargetMode="External"/><Relationship Id="rId763" Type="http://schemas.openxmlformats.org/officeDocument/2006/relationships/hyperlink" Target="http://www.boxofficemojo.com/studio/chart/?studio=firstrun.htm" TargetMode="External"/><Relationship Id="rId764" Type="http://schemas.openxmlformats.org/officeDocument/2006/relationships/hyperlink" Target="http://www.boxofficemojo.com/schedule/?view=bydate&amp;release=theatrical&amp;date=2010-09-15&amp;p=.htm" TargetMode="External"/><Relationship Id="rId765" Type="http://schemas.openxmlformats.org/officeDocument/2006/relationships/hyperlink" Target="http://www.boxofficemojo.com/movies/?id=afilmunfinished.htm" TargetMode="External"/><Relationship Id="rId766" Type="http://schemas.openxmlformats.org/officeDocument/2006/relationships/hyperlink" Target="http://www.boxofficemojo.com/studio/chart/?studio=oscilloscopepictures.htm" TargetMode="External"/><Relationship Id="rId767" Type="http://schemas.openxmlformats.org/officeDocument/2006/relationships/hyperlink" Target="http://www.boxofficemojo.com/schedule/?view=bydate&amp;release=theatrical&amp;date=2010-08-18&amp;p=.htm" TargetMode="External"/><Relationship Id="rId768" Type="http://schemas.openxmlformats.org/officeDocument/2006/relationships/hyperlink" Target="http://www.boxofficemojo.com/movies/?id=yellowhandkerchief.htm" TargetMode="External"/><Relationship Id="rId769" Type="http://schemas.openxmlformats.org/officeDocument/2006/relationships/hyperlink" Target="http://www.boxofficemojo.com/studio/chart/?studio=samuelgoldwyn.htm" TargetMode="External"/><Relationship Id="rId1440" Type="http://schemas.openxmlformats.org/officeDocument/2006/relationships/hyperlink" Target="http://www.boxofficemojo.com/movies/?id=onlywhenidance.htm" TargetMode="External"/><Relationship Id="rId1441" Type="http://schemas.openxmlformats.org/officeDocument/2006/relationships/hyperlink" Target="http://www.boxofficemojo.com/studio/chart/?studio=filmmovement.htm" TargetMode="External"/><Relationship Id="rId1442" Type="http://schemas.openxmlformats.org/officeDocument/2006/relationships/hyperlink" Target="http://www.boxofficemojo.com/schedule/?view=bydate&amp;release=theatrical&amp;date=2010-07-02&amp;p=.htm" TargetMode="External"/><Relationship Id="rId1443" Type="http://schemas.openxmlformats.org/officeDocument/2006/relationships/hyperlink" Target="http://www.boxofficemojo.com/movies/?id=allaboutevil.htm" TargetMode="External"/><Relationship Id="rId1444" Type="http://schemas.openxmlformats.org/officeDocument/2006/relationships/hyperlink" Target="http://www.boxofficemojo.com/studio/chart/?studio=peacheschrist.htm" TargetMode="External"/><Relationship Id="rId1445" Type="http://schemas.openxmlformats.org/officeDocument/2006/relationships/hyperlink" Target="http://www.boxofficemojo.com/schedule/?view=bydate&amp;release=theatrical&amp;date=2010-07-09&amp;p=.htm" TargetMode="External"/><Relationship Id="rId1446" Type="http://schemas.openxmlformats.org/officeDocument/2006/relationships/hyperlink" Target="http://www.boxofficemojo.com/movies/?id=stolen2010.htm" TargetMode="External"/><Relationship Id="rId1447" Type="http://schemas.openxmlformats.org/officeDocument/2006/relationships/hyperlink" Target="http://www.boxofficemojo.com/studio/chart/?studio=ifc.htm" TargetMode="External"/><Relationship Id="rId1448" Type="http://schemas.openxmlformats.org/officeDocument/2006/relationships/hyperlink" Target="http://www.boxofficemojo.com/schedule/?view=bydate&amp;release=theatrical&amp;date=2010-03-12&amp;p=.htm" TargetMode="External"/><Relationship Id="rId1449" Type="http://schemas.openxmlformats.org/officeDocument/2006/relationships/hyperlink" Target="http://www.boxofficemojo.com/movies/?id=mugabe.htm" TargetMode="External"/><Relationship Id="rId70" Type="http://schemas.openxmlformats.org/officeDocument/2006/relationships/hyperlink" Target="http://www.boxofficemojo.com/studio/chart/?studio=sony.htm" TargetMode="External"/><Relationship Id="rId71" Type="http://schemas.openxmlformats.org/officeDocument/2006/relationships/hyperlink" Target="http://www.boxofficemojo.com/schedule/?view=bydate&amp;release=theatrical&amp;date=2010-07-23&amp;p=.htm" TargetMode="External"/><Relationship Id="rId72" Type="http://schemas.openxmlformats.org/officeDocument/2006/relationships/hyperlink" Target="http://www.boxofficemojo.com/movies/?id=jackass3d.htm" TargetMode="External"/><Relationship Id="rId73" Type="http://schemas.openxmlformats.org/officeDocument/2006/relationships/hyperlink" Target="http://www.boxofficemojo.com/studio/chart/?studio=paramount.htm" TargetMode="External"/><Relationship Id="rId74" Type="http://schemas.openxmlformats.org/officeDocument/2006/relationships/hyperlink" Target="http://www.boxofficemojo.com/schedule/?view=bydate&amp;release=theatrical&amp;date=2010-10-15&amp;p=.htm" TargetMode="External"/><Relationship Id="rId75" Type="http://schemas.openxmlformats.org/officeDocument/2006/relationships/hyperlink" Target="http://www.boxofficemojo.com/movies/?id=valentinesday.htm" TargetMode="External"/><Relationship Id="rId76" Type="http://schemas.openxmlformats.org/officeDocument/2006/relationships/hyperlink" Target="http://www.boxofficemojo.com/studio/chart/?studio=wb-newline.htm" TargetMode="External"/><Relationship Id="rId77" Type="http://schemas.openxmlformats.org/officeDocument/2006/relationships/hyperlink" Target="http://www.boxofficemojo.com/schedule/?view=bydate&amp;release=theatrical&amp;date=2010-02-12&amp;p=.htm" TargetMode="External"/><Relationship Id="rId78" Type="http://schemas.openxmlformats.org/officeDocument/2006/relationships/hyperlink" Target="http://www.boxofficemojo.com/movies/?id=blackswan.htm" TargetMode="External"/><Relationship Id="rId79" Type="http://schemas.openxmlformats.org/officeDocument/2006/relationships/hyperlink" Target="http://www.boxofficemojo.com/studio/chart/?studio=foxsearchlight.htm" TargetMode="External"/><Relationship Id="rId440" Type="http://schemas.openxmlformats.org/officeDocument/2006/relationships/hyperlink" Target="http://www.boxofficemojo.com/schedule/?view=bydate&amp;release=theatrical&amp;date=2010-04-16&amp;p=.htm" TargetMode="External"/><Relationship Id="rId441" Type="http://schemas.openxmlformats.org/officeDocument/2006/relationships/hyperlink" Target="http://www.boxofficemojo.com/movies/?id=itskindofafunnystory.htm" TargetMode="External"/><Relationship Id="rId442" Type="http://schemas.openxmlformats.org/officeDocument/2006/relationships/hyperlink" Target="http://www.boxofficemojo.com/studio/chart/?studio=focus.htm" TargetMode="External"/><Relationship Id="rId443" Type="http://schemas.openxmlformats.org/officeDocument/2006/relationships/hyperlink" Target="http://www.boxofficemojo.com/schedule/?view=bydate&amp;release=theatrical&amp;date=2010-10-08&amp;p=.htm" TargetMode="External"/><Relationship Id="rId444" Type="http://schemas.openxmlformats.org/officeDocument/2006/relationships/hyperlink" Target="http://www.boxofficemojo.com/movies/?id=searex3d.htm" TargetMode="External"/><Relationship Id="rId445" Type="http://schemas.openxmlformats.org/officeDocument/2006/relationships/hyperlink" Target="http://www.boxofficemojo.com/studio/chart/?studio=3dentertainment.htm" TargetMode="External"/><Relationship Id="rId446" Type="http://schemas.openxmlformats.org/officeDocument/2006/relationships/hyperlink" Target="http://www.boxofficemojo.com/schedule/?view=bydate&amp;release=theatrical&amp;date=2010-05-28&amp;p=.htm" TargetMode="External"/><Relationship Id="rId447" Type="http://schemas.openxmlformats.org/officeDocument/2006/relationships/hyperlink" Target="http://www.boxofficemojo.com/movies/?id=warriorsway.htm" TargetMode="External"/><Relationship Id="rId448" Type="http://schemas.openxmlformats.org/officeDocument/2006/relationships/hyperlink" Target="http://www.boxofficemojo.com/studio/chart/?studio=relativity.htm" TargetMode="External"/><Relationship Id="rId449" Type="http://schemas.openxmlformats.org/officeDocument/2006/relationships/hyperlink" Target="http://www.boxofficemojo.com/schedule/?view=bydate&amp;release=theatrical&amp;date=2010-12-03&amp;p=.htm" TargetMode="External"/><Relationship Id="rId1120" Type="http://schemas.openxmlformats.org/officeDocument/2006/relationships/hyperlink" Target="http://www.boxofficemojo.com/studio/chart/?studio=variancefilms.htm" TargetMode="External"/><Relationship Id="rId1121" Type="http://schemas.openxmlformats.org/officeDocument/2006/relationships/hyperlink" Target="http://www.boxofficemojo.com/schedule/?view=bydate&amp;release=theatrical&amp;date=2010-06-11&amp;p=.htm" TargetMode="External"/><Relationship Id="rId1122" Type="http://schemas.openxmlformats.org/officeDocument/2006/relationships/hyperlink" Target="http://www.boxofficemojo.com/movies/?id=harimayabridge.htm" TargetMode="External"/><Relationship Id="rId1123" Type="http://schemas.openxmlformats.org/officeDocument/2006/relationships/hyperlink" Target="http://www.boxofficemojo.com/studio/chart/?studio=elevenarts.htm" TargetMode="External"/><Relationship Id="rId1124" Type="http://schemas.openxmlformats.org/officeDocument/2006/relationships/hyperlink" Target="http://www.boxofficemojo.com/schedule/?view=bydate&amp;release=theatrical&amp;date=2010-03-12&amp;p=.htm" TargetMode="External"/><Relationship Id="rId1125" Type="http://schemas.openxmlformats.org/officeDocument/2006/relationships/hyperlink" Target="http://www.boxofficemojo.com/movies/?id=harlan.htm" TargetMode="External"/><Relationship Id="rId1126" Type="http://schemas.openxmlformats.org/officeDocument/2006/relationships/hyperlink" Target="http://www.boxofficemojo.com/studio/chart/?studio=zeitgeist.htm" TargetMode="External"/><Relationship Id="rId1127" Type="http://schemas.openxmlformats.org/officeDocument/2006/relationships/hyperlink" Target="http://www.boxofficemojo.com/schedule/?view=bydate&amp;release=theatrical&amp;date=2010-03-03&amp;p=.htm" TargetMode="External"/><Relationship Id="rId1128" Type="http://schemas.openxmlformats.org/officeDocument/2006/relationships/hyperlink" Target="http://www.boxofficemojo.com/movies/?id=godofvampires.htm" TargetMode="External"/><Relationship Id="rId1129" Type="http://schemas.openxmlformats.org/officeDocument/2006/relationships/hyperlink" Target="http://www.boxofficemojo.com/studio/chart/?studio=nocturnalfeatures.htm" TargetMode="External"/><Relationship Id="rId120" Type="http://schemas.openxmlformats.org/officeDocument/2006/relationships/hyperlink" Target="http://www.boxofficemojo.com/movies/?id=percyjackson.htm" TargetMode="External"/><Relationship Id="rId121" Type="http://schemas.openxmlformats.org/officeDocument/2006/relationships/hyperlink" Target="http://www.boxofficemojo.com/studio/chart/?studio=fox.htm" TargetMode="External"/><Relationship Id="rId122" Type="http://schemas.openxmlformats.org/officeDocument/2006/relationships/hyperlink" Target="http://www.boxofficemojo.com/schedule/?view=bydate&amp;release=theatrical&amp;date=2010-02-12&amp;p=.htm" TargetMode="External"/><Relationship Id="rId123" Type="http://schemas.openxmlformats.org/officeDocument/2006/relationships/hyperlink" Target="http://www.boxofficemojo.com/movies/?id=paranormalactivity2.htm" TargetMode="External"/><Relationship Id="rId124" Type="http://schemas.openxmlformats.org/officeDocument/2006/relationships/hyperlink" Target="http://www.boxofficemojo.com/studio/chart/?studio=paramount.htm" TargetMode="External"/><Relationship Id="rId125" Type="http://schemas.openxmlformats.org/officeDocument/2006/relationships/hyperlink" Target="http://www.boxofficemojo.com/schedule/?view=bydate&amp;release=theatrical&amp;date=2010-10-22&amp;p=.htm" TargetMode="External"/><Relationship Id="rId126" Type="http://schemas.openxmlformats.org/officeDocument/2006/relationships/hyperlink" Target="http://www.boxofficemojo.com/movies/?id=unstoppable.htm" TargetMode="External"/><Relationship Id="rId127" Type="http://schemas.openxmlformats.org/officeDocument/2006/relationships/hyperlink" Target="http://www.boxofficemojo.com/studio/chart/?studio=fox.htm" TargetMode="External"/><Relationship Id="rId128" Type="http://schemas.openxmlformats.org/officeDocument/2006/relationships/hyperlink" Target="http://www.boxofficemojo.com/schedule/?view=bydate&amp;release=theatrical&amp;date=2010-11-12&amp;p=.htm" TargetMode="External"/><Relationship Id="rId129" Type="http://schemas.openxmlformats.org/officeDocument/2006/relationships/hyperlink" Target="http://www.boxofficemojo.com/movies/?id=eatpraylove.htm" TargetMode="External"/><Relationship Id="rId770" Type="http://schemas.openxmlformats.org/officeDocument/2006/relationships/hyperlink" Target="http://www.boxofficemojo.com/schedule/?view=bydate&amp;release=theatrical&amp;date=2010-02-26&amp;p=.htm" TargetMode="External"/><Relationship Id="rId771" Type="http://schemas.openxmlformats.org/officeDocument/2006/relationships/hyperlink" Target="http://www.boxofficemojo.com/movies/?id=todaysspecial.htm" TargetMode="External"/><Relationship Id="rId772" Type="http://schemas.openxmlformats.org/officeDocument/2006/relationships/hyperlink" Target="http://www.boxofficemojo.com/studio/chart/?studio=vitagraph.htm" TargetMode="External"/><Relationship Id="rId773" Type="http://schemas.openxmlformats.org/officeDocument/2006/relationships/hyperlink" Target="http://www.boxofficemojo.com/schedule/?view=bydate&amp;release=theatrical&amp;date=2010-11-19&amp;p=.htm" TargetMode="External"/><Relationship Id="rId774" Type="http://schemas.openxmlformats.org/officeDocument/2006/relationships/hyperlink" Target="http://www.boxofficemojo.com/movies/?id=fourlions.htm" TargetMode="External"/><Relationship Id="rId775" Type="http://schemas.openxmlformats.org/officeDocument/2006/relationships/hyperlink" Target="http://www.boxofficemojo.com/studio/chart/?studio=drafthousefilms.htm" TargetMode="External"/><Relationship Id="rId776" Type="http://schemas.openxmlformats.org/officeDocument/2006/relationships/hyperlink" Target="http://www.boxofficemojo.com/schedule/?view=bydate&amp;release=theatrical&amp;date=2010-11-05&amp;p=.htm" TargetMode="External"/><Relationship Id="rId777" Type="http://schemas.openxmlformats.org/officeDocument/2006/relationships/hyperlink" Target="http://www.boxofficemojo.com/movies/?id=whitematerial.htm" TargetMode="External"/><Relationship Id="rId778" Type="http://schemas.openxmlformats.org/officeDocument/2006/relationships/hyperlink" Target="http://www.boxofficemojo.com/studio/chart/?studio=ifc.htm" TargetMode="External"/><Relationship Id="rId779" Type="http://schemas.openxmlformats.org/officeDocument/2006/relationships/hyperlink" Target="http://www.boxofficemojo.com/schedule/?view=bydate&amp;release=theatrical&amp;date=2010-11-19&amp;p=.htm" TargetMode="External"/><Relationship Id="rId1450" Type="http://schemas.openxmlformats.org/officeDocument/2006/relationships/hyperlink" Target="http://www.boxofficemojo.com/studio/chart/?studio=firstrun.htm" TargetMode="External"/><Relationship Id="rId1451" Type="http://schemas.openxmlformats.org/officeDocument/2006/relationships/hyperlink" Target="http://www.boxofficemojo.com/schedule/?view=bydate&amp;release=theatrical&amp;date=2010-07-23&amp;p=.htm" TargetMode="External"/><Relationship Id="rId1452" Type="http://schemas.openxmlformats.org/officeDocument/2006/relationships/hyperlink" Target="http://www.boxofficemojo.com/movies/?id=zenith.htm" TargetMode="External"/><Relationship Id="rId1453" Type="http://schemas.openxmlformats.org/officeDocument/2006/relationships/hyperlink" Target="http://www.boxofficemojo.com/studio/chart/?studio=cinemapurgatorio.htm" TargetMode="External"/><Relationship Id="rId1454" Type="http://schemas.openxmlformats.org/officeDocument/2006/relationships/hyperlink" Target="http://www.boxofficemojo.com/schedule/?view=bydate&amp;release=theatrical&amp;date=2010-10-01&amp;p=.htm" TargetMode="External"/><Relationship Id="rId1455" Type="http://schemas.openxmlformats.org/officeDocument/2006/relationships/hyperlink" Target="http://www.boxofficemojo.com/movies/?id=talesfromthescript.htm" TargetMode="External"/><Relationship Id="rId1456" Type="http://schemas.openxmlformats.org/officeDocument/2006/relationships/hyperlink" Target="http://www.boxofficemojo.com/studio/chart/?studio=firstrun.htm" TargetMode="External"/><Relationship Id="rId1457" Type="http://schemas.openxmlformats.org/officeDocument/2006/relationships/hyperlink" Target="http://www.boxofficemojo.com/schedule/?view=bydate&amp;release=theatrical&amp;date=2010-03-12&amp;p=.htm" TargetMode="External"/><Relationship Id="rId1458" Type="http://schemas.openxmlformats.org/officeDocument/2006/relationships/hyperlink" Target="http://www.boxofficemojo.com/movies/?id=udaan.htm" TargetMode="External"/><Relationship Id="rId1459" Type="http://schemas.openxmlformats.org/officeDocument/2006/relationships/hyperlink" Target="http://www.boxofficemojo.com/studio/chart/?studio=utv.htm" TargetMode="External"/><Relationship Id="rId80" Type="http://schemas.openxmlformats.org/officeDocument/2006/relationships/hyperlink" Target="http://www.boxofficemojo.com/schedule/?view=bydate&amp;release=theatrical&amp;date=2010-12-03&amp;p=.htm" TargetMode="External"/><Relationship Id="rId81" Type="http://schemas.openxmlformats.org/officeDocument/2006/relationships/hyperlink" Target="http://www.boxofficemojo.com/movies/?id=nottingham.htm" TargetMode="External"/><Relationship Id="rId82" Type="http://schemas.openxmlformats.org/officeDocument/2006/relationships/hyperlink" Target="http://www.boxofficemojo.com/studio/chart/?studio=universal.htm" TargetMode="External"/><Relationship Id="rId83" Type="http://schemas.openxmlformats.org/officeDocument/2006/relationships/hyperlink" Target="http://www.boxofficemojo.com/schedule/?view=bydate&amp;release=theatrical&amp;date=2010-05-14&amp;p=.htm" TargetMode="External"/><Relationship Id="rId84" Type="http://schemas.openxmlformats.org/officeDocument/2006/relationships/hyperlink" Target="http://www.boxofficemojo.com/movies/?id=narnia3.htm" TargetMode="External"/><Relationship Id="rId85" Type="http://schemas.openxmlformats.org/officeDocument/2006/relationships/hyperlink" Target="http://www.boxofficemojo.com/studio/chart/?studio=fox.htm" TargetMode="External"/><Relationship Id="rId86" Type="http://schemas.openxmlformats.org/officeDocument/2006/relationships/hyperlink" Target="http://www.boxofficemojo.com/schedule/?view=bydate&amp;release=theatrical&amp;date=2010-12-10&amp;p=.htm" TargetMode="External"/><Relationship Id="rId87" Type="http://schemas.openxmlformats.org/officeDocument/2006/relationships/hyperlink" Target="http://www.boxofficemojo.com/movies/?id=expendables.htm" TargetMode="External"/><Relationship Id="rId88" Type="http://schemas.openxmlformats.org/officeDocument/2006/relationships/hyperlink" Target="http://www.boxofficemojo.com/studio/chart/?studio=lionsgate.htm" TargetMode="External"/><Relationship Id="rId89" Type="http://schemas.openxmlformats.org/officeDocument/2006/relationships/hyperlink" Target="http://www.boxofficemojo.com/schedule/?view=bydate&amp;release=theatrical&amp;date=2010-08-13&amp;p=.htm" TargetMode="External"/><Relationship Id="rId450" Type="http://schemas.openxmlformats.org/officeDocument/2006/relationships/hyperlink" Target="http://www.boxofficemojo.com/movies/?id=hornetsnest.htm" TargetMode="External"/><Relationship Id="rId451" Type="http://schemas.openxmlformats.org/officeDocument/2006/relationships/hyperlink" Target="http://www.boxofficemojo.com/studio/chart/?studio=musicboxfilms.htm" TargetMode="External"/><Relationship Id="rId452" Type="http://schemas.openxmlformats.org/officeDocument/2006/relationships/hyperlink" Target="http://www.boxofficemojo.com/schedule/?view=bydate&amp;release=theatrical&amp;date=2010-10-29&amp;p=.htm" TargetMode="External"/><Relationship Id="rId453" Type="http://schemas.openxmlformats.org/officeDocument/2006/relationships/hyperlink" Target="http://www.boxofficemojo.com/movies/?id=iamlove.htm" TargetMode="External"/><Relationship Id="rId454" Type="http://schemas.openxmlformats.org/officeDocument/2006/relationships/hyperlink" Target="http://www.boxofficemojo.com/studio/chart/?studio=magnolia.htm" TargetMode="External"/><Relationship Id="rId455" Type="http://schemas.openxmlformats.org/officeDocument/2006/relationships/hyperlink" Target="http://www.boxofficemojo.com/schedule/?view=bydate&amp;release=theatrical&amp;date=2010-06-18&amp;p=.htm" TargetMode="External"/><Relationship Id="rId456" Type="http://schemas.openxmlformats.org/officeDocument/2006/relationships/hyperlink" Target="http://www.boxofficemojo.com/movies/?id=maoslastdancer.htm" TargetMode="External"/><Relationship Id="rId459" Type="http://schemas.openxmlformats.org/officeDocument/2006/relationships/hyperlink" Target="http://www.boxofficemojo.com/movies/?id=solitaryman.htm" TargetMode="External"/><Relationship Id="rId457" Type="http://schemas.openxmlformats.org/officeDocument/2006/relationships/hyperlink" Target="http://www.boxofficemojo.com/studio/chart/?studio=samuelgoldwyn.htm" TargetMode="External"/><Relationship Id="rId458" Type="http://schemas.openxmlformats.org/officeDocument/2006/relationships/hyperlink" Target="http://www.boxofficemojo.com/schedule/?view=bydate&amp;release=theatrical&amp;date=2010-08-20&amp;p=.htm" TargetMode="External"/><Relationship Id="rId1130" Type="http://schemas.openxmlformats.org/officeDocument/2006/relationships/hyperlink" Target="http://www.boxofficemojo.com/schedule/?view=bydate&amp;release=theatrical&amp;date=2010-07-02&amp;p=.htm" TargetMode="External"/><Relationship Id="rId1131" Type="http://schemas.openxmlformats.org/officeDocument/2006/relationships/hyperlink" Target="http://www.boxofficemojo.com/movies/?id=hatchet2.htm" TargetMode="External"/><Relationship Id="rId1132" Type="http://schemas.openxmlformats.org/officeDocument/2006/relationships/hyperlink" Target="http://www.boxofficemojo.com/studio/chart/?studio=vitagraph.htm" TargetMode="External"/><Relationship Id="rId1133" Type="http://schemas.openxmlformats.org/officeDocument/2006/relationships/hyperlink" Target="http://www.boxofficemojo.com/schedule/?view=bydate&amp;release=theatrical&amp;date=2010-10-01&amp;p=.htm" TargetMode="External"/><Relationship Id="rId1134" Type="http://schemas.openxmlformats.org/officeDocument/2006/relationships/hyperlink" Target="http://www.boxofficemojo.com/movies/?id=cropsey.htm" TargetMode="External"/><Relationship Id="rId1135" Type="http://schemas.openxmlformats.org/officeDocument/2006/relationships/hyperlink" Target="http://www.boxofficemojo.com/studio/chart/?studio=cinemapurgatorio.htm" TargetMode="External"/><Relationship Id="rId1136" Type="http://schemas.openxmlformats.org/officeDocument/2006/relationships/hyperlink" Target="http://www.boxofficemojo.com/schedule/?view=bydate&amp;release=theatrical&amp;date=2010-06-04&amp;p=.htm" TargetMode="External"/><Relationship Id="rId1137" Type="http://schemas.openxmlformats.org/officeDocument/2006/relationships/hyperlink" Target="http://www.boxofficemojo.com/movies/?id=breathmadevisible.htm" TargetMode="External"/><Relationship Id="rId1138" Type="http://schemas.openxmlformats.org/officeDocument/2006/relationships/hyperlink" Target="http://www.boxofficemojo.com/studio/chart/?studio=argotpictures.htm" TargetMode="External"/><Relationship Id="rId1139" Type="http://schemas.openxmlformats.org/officeDocument/2006/relationships/hyperlink" Target="http://www.boxofficemojo.com/schedule/?view=bydate&amp;release=theatrical&amp;date=2010-04-02&amp;p=.htm" TargetMode="External"/><Relationship Id="rId130" Type="http://schemas.openxmlformats.org/officeDocument/2006/relationships/hyperlink" Target="http://www.boxofficemojo.com/studio/chart/?studio=sony.htm" TargetMode="External"/><Relationship Id="rId131" Type="http://schemas.openxmlformats.org/officeDocument/2006/relationships/hyperlink" Target="http://www.boxofficemojo.com/schedule/?view=bydate&amp;release=theatrical&amp;date=2010-08-13&amp;p=.htm" TargetMode="External"/><Relationship Id="rId132" Type="http://schemas.openxmlformats.org/officeDocument/2006/relationships/hyperlink" Target="http://www.boxofficemojo.com/movies/?id=dearjohn.htm" TargetMode="External"/><Relationship Id="rId133" Type="http://schemas.openxmlformats.org/officeDocument/2006/relationships/hyperlink" Target="http://www.boxofficemojo.com/studio/chart/?studio=screengems.htm" TargetMode="External"/><Relationship Id="rId134" Type="http://schemas.openxmlformats.org/officeDocument/2006/relationships/hyperlink" Target="http://www.boxofficemojo.com/schedule/?view=bydate&amp;release=theatrical&amp;date=2010-02-05&amp;p=.htm" TargetMode="External"/><Relationship Id="rId135" Type="http://schemas.openxmlformats.org/officeDocument/2006/relationships/hyperlink" Target="http://www.boxofficemojo.com/movies/?id=ateam.htm" TargetMode="External"/><Relationship Id="rId136" Type="http://schemas.openxmlformats.org/officeDocument/2006/relationships/hyperlink" Target="http://www.boxofficemojo.com/studio/chart/?studio=fox.htm" TargetMode="External"/><Relationship Id="rId137" Type="http://schemas.openxmlformats.org/officeDocument/2006/relationships/hyperlink" Target="http://www.boxofficemojo.com/schedule/?view=bydate&amp;release=theatrical&amp;date=2010-06-11&amp;p=.htm" TargetMode="External"/><Relationship Id="rId138" Type="http://schemas.openxmlformats.org/officeDocument/2006/relationships/hyperlink" Target="http://www.boxofficemojo.com/movies/?id=cruisediaz10.htm" TargetMode="External"/><Relationship Id="rId139" Type="http://schemas.openxmlformats.org/officeDocument/2006/relationships/hyperlink" Target="http://www.boxofficemojo.com/studio/chart/?studio=fox.htm" TargetMode="External"/><Relationship Id="rId900" Type="http://schemas.openxmlformats.org/officeDocument/2006/relationships/hyperlink" Target="http://www.boxofficemojo.com/movies/?id=welcometotherileys.htm" TargetMode="External"/><Relationship Id="rId901" Type="http://schemas.openxmlformats.org/officeDocument/2006/relationships/hyperlink" Target="http://www.boxofficemojo.com/studio/chart/?studio=samuelgoldwyn.htm" TargetMode="External"/><Relationship Id="rId902" Type="http://schemas.openxmlformats.org/officeDocument/2006/relationships/hyperlink" Target="http://www.boxofficemojo.com/schedule/?view=bydate&amp;release=theatrical&amp;date=2010-10-29&amp;p=.htm" TargetMode="External"/><Relationship Id="rId903" Type="http://schemas.openxmlformats.org/officeDocument/2006/relationships/hyperlink" Target="http://www.boxofficemojo.com/movies/?id=redridingtrilogypart1.htm" TargetMode="External"/><Relationship Id="rId904" Type="http://schemas.openxmlformats.org/officeDocument/2006/relationships/hyperlink" Target="http://www.boxofficemojo.com/studio/chart/?studio=ifc.htm" TargetMode="External"/><Relationship Id="rId905" Type="http://schemas.openxmlformats.org/officeDocument/2006/relationships/hyperlink" Target="http://www.boxofficemojo.com/schedule/?view=bydate&amp;release=theatrical&amp;date=2010-02-05&amp;p=.htm" TargetMode="External"/><Relationship Id="rId906" Type="http://schemas.openxmlformats.org/officeDocument/2006/relationships/hyperlink" Target="http://www.boxofficemojo.com/movies/?id=cremastercyclereissue.htm" TargetMode="External"/><Relationship Id="rId907" Type="http://schemas.openxmlformats.org/officeDocument/2006/relationships/hyperlink" Target="http://www.boxofficemojo.com/studio/chart/?studio=intlfilmcircuit.htm" TargetMode="External"/><Relationship Id="rId908" Type="http://schemas.openxmlformats.org/officeDocument/2006/relationships/hyperlink" Target="http://www.boxofficemojo.com/schedule/?view=bydate&amp;release=theatrical&amp;date=2010-04-09&amp;p=.htm" TargetMode="External"/><Relationship Id="rId909" Type="http://schemas.openxmlformats.org/officeDocument/2006/relationships/hyperlink" Target="http://www.boxofficemojo.com/movies/?id=housererelease.htm" TargetMode="External"/><Relationship Id="rId780" Type="http://schemas.openxmlformats.org/officeDocument/2006/relationships/hyperlink" Target="http://www.boxofficemojo.com/movies/?id=holyrollers.htm" TargetMode="External"/><Relationship Id="rId781" Type="http://schemas.openxmlformats.org/officeDocument/2006/relationships/hyperlink" Target="http://www.boxofficemojo.com/studio/chart/?studio=firstindependentpictures.htm" TargetMode="External"/><Relationship Id="rId782" Type="http://schemas.openxmlformats.org/officeDocument/2006/relationships/hyperlink" Target="http://www.boxofficemojo.com/schedule/?view=bydate&amp;release=theatrical&amp;date=2010-05-21&amp;p=.htm" TargetMode="External"/><Relationship Id="rId783" Type="http://schemas.openxmlformats.org/officeDocument/2006/relationships/hyperlink" Target="http://www.boxofficemojo.com/movies/?id=lasttrainhome.htm" TargetMode="External"/><Relationship Id="rId784" Type="http://schemas.openxmlformats.org/officeDocument/2006/relationships/hyperlink" Target="http://www.boxofficemojo.com/studio/chart/?studio=zeitgeist.htm" TargetMode="External"/><Relationship Id="rId785" Type="http://schemas.openxmlformats.org/officeDocument/2006/relationships/hyperlink" Target="http://www.boxofficemojo.com/schedule/?view=bydate&amp;release=theatrical&amp;date=2010-09-03&amp;p=.htm" TargetMode="External"/><Relationship Id="rId786" Type="http://schemas.openxmlformats.org/officeDocument/2006/relationships/hyperlink" Target="http://www.boxofficemojo.com/movies/?id=karthikcallingkarthik.htm" TargetMode="External"/><Relationship Id="rId787" Type="http://schemas.openxmlformats.org/officeDocument/2006/relationships/hyperlink" Target="http://www.boxofficemojo.com/studio/chart/?studio=eros.htm" TargetMode="External"/><Relationship Id="rId788" Type="http://schemas.openxmlformats.org/officeDocument/2006/relationships/hyperlink" Target="http://www.boxofficemojo.com/schedule/?view=bydate&amp;release=theatrical&amp;date=2010-02-26&amp;p=.htm" TargetMode="External"/><Relationship Id="rId789" Type="http://schemas.openxmlformats.org/officeDocument/2006/relationships/hyperlink" Target="http://www.boxofficemojo.com/movies/?id=noproblem.htm" TargetMode="External"/><Relationship Id="rId1460" Type="http://schemas.openxmlformats.org/officeDocument/2006/relationships/hyperlink" Target="http://www.boxofficemojo.com/schedule/?view=bydate&amp;release=theatrical&amp;date=2010-07-16&amp;p=.htm" TargetMode="External"/><Relationship Id="rId1461" Type="http://schemas.openxmlformats.org/officeDocument/2006/relationships/hyperlink" Target="http://www.boxofficemojo.com/movies/?id=thornintheheart.htm" TargetMode="External"/><Relationship Id="rId1462" Type="http://schemas.openxmlformats.org/officeDocument/2006/relationships/hyperlink" Target="http://www.boxofficemojo.com/studio/chart/?studio=oscilloscopepictures.htm" TargetMode="External"/><Relationship Id="rId1463" Type="http://schemas.openxmlformats.org/officeDocument/2006/relationships/hyperlink" Target="http://www.boxofficemojo.com/schedule/?view=bydate&amp;release=theatrical&amp;date=2010-04-02&amp;p=.htm" TargetMode="External"/><Relationship Id="rId1464" Type="http://schemas.openxmlformats.org/officeDocument/2006/relationships/hyperlink" Target="http://www.boxofficemojo.com/movies/?id=gangstersparadise.htm" TargetMode="External"/><Relationship Id="rId1465" Type="http://schemas.openxmlformats.org/officeDocument/2006/relationships/hyperlink" Target="http://www.boxofficemojo.com/studio/chart/?studio=anchorbayentertainment.htm" TargetMode="External"/><Relationship Id="rId1466" Type="http://schemas.openxmlformats.org/officeDocument/2006/relationships/hyperlink" Target="http://www.boxofficemojo.com/schedule/?view=bydate&amp;release=theatrical&amp;date=2010-06-11&amp;p=.htm" TargetMode="External"/><Relationship Id="rId1467" Type="http://schemas.openxmlformats.org/officeDocument/2006/relationships/hyperlink" Target="http://www.boxofficemojo.com/movies/?id=happinessruns.htm" TargetMode="External"/><Relationship Id="rId1468" Type="http://schemas.openxmlformats.org/officeDocument/2006/relationships/hyperlink" Target="http://www.boxofficemojo.com/studio/chart/?studio=strand.htm" TargetMode="External"/><Relationship Id="rId1469" Type="http://schemas.openxmlformats.org/officeDocument/2006/relationships/hyperlink" Target="http://www.boxofficemojo.com/schedule/?view=bydate&amp;release=theatrical&amp;date=2010-05-07&amp;p=.htm" TargetMode="External"/><Relationship Id="rId90" Type="http://schemas.openxmlformats.org/officeDocument/2006/relationships/hyperlink" Target="http://www.boxofficemojo.com/movies/?id=duedate.htm" TargetMode="External"/><Relationship Id="rId91" Type="http://schemas.openxmlformats.org/officeDocument/2006/relationships/hyperlink" Target="http://www.boxofficemojo.com/studio/chart/?studio=warnerbros.htm" TargetMode="External"/><Relationship Id="rId92" Type="http://schemas.openxmlformats.org/officeDocument/2006/relationships/hyperlink" Target="http://www.boxofficemojo.com/schedule/?view=bydate&amp;release=theatrical&amp;date=2010-11-05&amp;p=.htm" TargetMode="External"/><Relationship Id="rId93" Type="http://schemas.openxmlformats.org/officeDocument/2006/relationships/hyperlink" Target="http://www.boxofficemojo.com/movies/?id=yogibear.htm" TargetMode="External"/><Relationship Id="rId94" Type="http://schemas.openxmlformats.org/officeDocument/2006/relationships/hyperlink" Target="http://www.boxofficemojo.com/studio/chart/?studio=warnerbros.htm" TargetMode="External"/><Relationship Id="rId95" Type="http://schemas.openxmlformats.org/officeDocument/2006/relationships/hyperlink" Target="http://www.boxofficemojo.com/schedule/?view=bydate&amp;release=theatrical&amp;date=2010-12-17&amp;p=.htm" TargetMode="External"/><Relationship Id="rId96" Type="http://schemas.openxmlformats.org/officeDocument/2006/relationships/hyperlink" Target="http://www.boxofficemojo.com/movies/?id=datenight.htm" TargetMode="External"/><Relationship Id="rId97" Type="http://schemas.openxmlformats.org/officeDocument/2006/relationships/hyperlink" Target="http://www.boxofficemojo.com/studio/chart/?studio=fox.htm" TargetMode="External"/><Relationship Id="rId98" Type="http://schemas.openxmlformats.org/officeDocument/2006/relationships/hyperlink" Target="http://www.boxofficemojo.com/schedule/?view=bydate&amp;release=theatrical&amp;date=2010-04-09&amp;p=.htm" TargetMode="External"/><Relationship Id="rId99" Type="http://schemas.openxmlformats.org/officeDocument/2006/relationships/hyperlink" Target="http://www.boxofficemojo.com/movies/?id=socialnetwork.htm" TargetMode="External"/><Relationship Id="rId460" Type="http://schemas.openxmlformats.org/officeDocument/2006/relationships/hyperlink" Target="http://www.boxofficemojo.com/studio/chart/?studio=anchorbayentertainment.htm" TargetMode="External"/><Relationship Id="rId461" Type="http://schemas.openxmlformats.org/officeDocument/2006/relationships/hyperlink" Target="http://www.boxofficemojo.com/schedule/?view=bydate&amp;release=theatrical&amp;date=2010-05-21&amp;p=.htm" TargetMode="External"/><Relationship Id="rId462" Type="http://schemas.openxmlformats.org/officeDocument/2006/relationships/hyperlink" Target="http://www.boxofficemojo.com/movies/?id=insidejob.htm" TargetMode="External"/><Relationship Id="rId463" Type="http://schemas.openxmlformats.org/officeDocument/2006/relationships/hyperlink" Target="http://www.boxofficemojo.com/studio/chart/?studio=sonyclassics.htm" TargetMode="External"/><Relationship Id="rId464" Type="http://schemas.openxmlformats.org/officeDocument/2006/relationships/hyperlink" Target="http://www.boxofficemojo.com/schedule/?view=bydate&amp;release=theatrical&amp;date=2010-10-08&amp;p=.htm" TargetMode="External"/><Relationship Id="rId465" Type="http://schemas.openxmlformats.org/officeDocument/2006/relationships/hyperlink" Target="http://www.boxofficemojo.com/movies/?id=greenberg.htm" TargetMode="External"/><Relationship Id="rId466" Type="http://schemas.openxmlformats.org/officeDocument/2006/relationships/hyperlink" Target="http://www.boxofficemojo.com/studio/chart/?studio=focus.htm" TargetMode="External"/><Relationship Id="rId467" Type="http://schemas.openxmlformats.org/officeDocument/2006/relationships/hyperlink" Target="http://www.boxofficemojo.com/schedule/?view=bydate&amp;release=theatrical&amp;date=2010-03-19&amp;p=.htm" TargetMode="External"/><Relationship Id="rId468" Type="http://schemas.openxmlformats.org/officeDocument/2006/relationships/hyperlink" Target="http://www.boxofficemojo.com/movies/?id=pleasegive.htm" TargetMode="External"/><Relationship Id="rId469" Type="http://schemas.openxmlformats.org/officeDocument/2006/relationships/hyperlink" Target="http://www.boxofficemojo.com/studio/chart/?studio=sonyclassics.htm" TargetMode="External"/><Relationship Id="rId1140" Type="http://schemas.openxmlformats.org/officeDocument/2006/relationships/hyperlink" Target="http://www.boxofficemojo.com/movies/?id=humanexperience.htm" TargetMode="External"/><Relationship Id="rId1141" Type="http://schemas.openxmlformats.org/officeDocument/2006/relationships/hyperlink" Target="http://www.boxofficemojo.com/studio/chart/?studio=" TargetMode="External"/><Relationship Id="rId1142" Type="http://schemas.openxmlformats.org/officeDocument/2006/relationships/hyperlink" Target="http://www.boxofficemojo.com/schedule/?view=bydate&amp;release=theatrical&amp;date=2010-04-09&amp;p=.htm" TargetMode="External"/><Relationship Id="rId1143" Type="http://schemas.openxmlformats.org/officeDocument/2006/relationships/hyperlink" Target="http://www.boxofficemojo.com/movies/?id=strangecaseofangelica.htm" TargetMode="External"/><Relationship Id="rId1144" Type="http://schemas.openxmlformats.org/officeDocument/2006/relationships/hyperlink" Target="http://www.boxofficemojo.com/studio/chart/?studio=cinemaguild.htm" TargetMode="External"/><Relationship Id="rId1145" Type="http://schemas.openxmlformats.org/officeDocument/2006/relationships/hyperlink" Target="http://www.boxofficemojo.com/schedule/?view=bydate&amp;release=theatrical&amp;date=2010-12-29&amp;p=.htm" TargetMode="External"/><Relationship Id="rId1146" Type="http://schemas.openxmlformats.org/officeDocument/2006/relationships/hyperlink" Target="http://www.boxofficemojo.com/movies/?id=talesfromearthsea.htm" TargetMode="External"/><Relationship Id="rId1147" Type="http://schemas.openxmlformats.org/officeDocument/2006/relationships/hyperlink" Target="http://www.boxofficemojo.com/studio/chart/?studio=buenavista.htm" TargetMode="External"/><Relationship Id="rId1148" Type="http://schemas.openxmlformats.org/officeDocument/2006/relationships/hyperlink" Target="http://www.boxofficemojo.com/schedule/?view=bydate&amp;release=theatrical&amp;date=2010-08-13&amp;p=.htm" TargetMode="External"/><Relationship Id="rId1149" Type="http://schemas.openxmlformats.org/officeDocument/2006/relationships/hyperlink" Target="http://www.boxofficemojo.com/movies/?id=everymanforhimself2010.htm" TargetMode="External"/><Relationship Id="rId140" Type="http://schemas.openxmlformats.org/officeDocument/2006/relationships/hyperlink" Target="http://www.boxofficemojo.com/schedule/?view=bydate&amp;release=theatrical&amp;date=2010-06-23&amp;p=.htm" TargetMode="External"/><Relationship Id="rId141" Type="http://schemas.openxmlformats.org/officeDocument/2006/relationships/hyperlink" Target="http://www.boxofficemojo.com/movies/?id=dinnerforschmucks.htm" TargetMode="External"/><Relationship Id="rId142" Type="http://schemas.openxmlformats.org/officeDocument/2006/relationships/hyperlink" Target="http://www.boxofficemojo.com/studio/chart/?studio=pardw.htm" TargetMode="External"/><Relationship Id="rId143" Type="http://schemas.openxmlformats.org/officeDocument/2006/relationships/hyperlink" Target="http://www.boxofficemojo.com/schedule/?view=bydate&amp;release=theatrical&amp;date=2010-07-30&amp;p=.htm" TargetMode="External"/><Relationship Id="rId144" Type="http://schemas.openxmlformats.org/officeDocument/2006/relationships/hyperlink" Target="http://www.boxofficemojo.com/movies/?id=tourist.htm" TargetMode="External"/><Relationship Id="rId145" Type="http://schemas.openxmlformats.org/officeDocument/2006/relationships/hyperlink" Target="http://www.boxofficemojo.com/studio/chart/?studio=sony.htm" TargetMode="External"/><Relationship Id="rId146" Type="http://schemas.openxmlformats.org/officeDocument/2006/relationships/hyperlink" Target="http://www.boxofficemojo.com/schedule/?view=bydate&amp;release=theatrical&amp;date=2010-12-10&amp;p=.htm" TargetMode="External"/><Relationship Id="rId147" Type="http://schemas.openxmlformats.org/officeDocument/2006/relationships/hyperlink" Target="http://www.boxofficemojo.com/movies/?id=bountyhunter.htm" TargetMode="External"/><Relationship Id="rId148" Type="http://schemas.openxmlformats.org/officeDocument/2006/relationships/hyperlink" Target="http://www.boxofficemojo.com/studio/chart/?studio=sony.htm" TargetMode="External"/><Relationship Id="rId149" Type="http://schemas.openxmlformats.org/officeDocument/2006/relationships/hyperlink" Target="http://www.boxofficemojo.com/schedule/?view=bydate&amp;release=theatrical&amp;date=2010-03-19&amp;p=.htm" TargetMode="External"/><Relationship Id="rId910" Type="http://schemas.openxmlformats.org/officeDocument/2006/relationships/hyperlink" Target="http://www.boxofficemojo.com/studio/chart/?studio=janusfilms.htm" TargetMode="External"/><Relationship Id="rId911" Type="http://schemas.openxmlformats.org/officeDocument/2006/relationships/hyperlink" Target="http://www.boxofficemojo.com/schedule/?view=bydate&amp;release=theatrical&amp;date=2010-01-15&amp;p=.htm" TargetMode="External"/><Relationship Id="rId912" Type="http://schemas.openxmlformats.org/officeDocument/2006/relationships/hyperlink" Target="http://www.boxofficemojo.com/movies/?id=onlythebrave.htm" TargetMode="External"/><Relationship Id="rId913" Type="http://schemas.openxmlformats.org/officeDocument/2006/relationships/hyperlink" Target="http://www.boxofficemojo.com/studio/chart/?studio=indican.htm" TargetMode="External"/><Relationship Id="rId914" Type="http://schemas.openxmlformats.org/officeDocument/2006/relationships/hyperlink" Target="http://www.boxofficemojo.com/schedule/?view=bydate&amp;release=theatrical&amp;date=2010-05-28&amp;p=.htm" TargetMode="External"/><Relationship Id="rId915" Type="http://schemas.openxmlformats.org/officeDocument/2006/relationships/hyperlink" Target="http://www.boxofficemojo.com/movies/?id=carlos.htm" TargetMode="External"/><Relationship Id="rId916" Type="http://schemas.openxmlformats.org/officeDocument/2006/relationships/hyperlink" Target="http://www.boxofficemojo.com/studio/chart/?studio=ifc.htm" TargetMode="External"/><Relationship Id="rId917" Type="http://schemas.openxmlformats.org/officeDocument/2006/relationships/hyperlink" Target="http://www.boxofficemojo.com/schedule/?view=bydate&amp;release=theatrical&amp;date=2010-10-15&amp;p=.htm" TargetMode="External"/><Relationship Id="rId918" Type="http://schemas.openxmlformats.org/officeDocument/2006/relationships/hyperlink" Target="http://www.boxofficemojo.com/movies/?id=fatherofmychildren.htm" TargetMode="External"/><Relationship Id="rId919" Type="http://schemas.openxmlformats.org/officeDocument/2006/relationships/hyperlink" Target="http://www.boxofficemojo.com/studio/chart/?studio=ifc.htm" TargetMode="External"/><Relationship Id="rId790" Type="http://schemas.openxmlformats.org/officeDocument/2006/relationships/hyperlink" Target="http://www.boxofficemojo.com/studio/chart/?studio=eros.htm" TargetMode="External"/><Relationship Id="rId791" Type="http://schemas.openxmlformats.org/officeDocument/2006/relationships/hyperlink" Target="http://www.boxofficemojo.com/schedule/?view=bydate&amp;release=theatrical&amp;date=2010-12-10&amp;p=.htm" TargetMode="External"/><Relationship Id="rId792" Type="http://schemas.openxmlformats.org/officeDocument/2006/relationships/hyperlink" Target="http://www.boxofficemojo.com/movies/?id=lifeduringwartime.htm" TargetMode="External"/><Relationship Id="rId793" Type="http://schemas.openxmlformats.org/officeDocument/2006/relationships/hyperlink" Target="http://www.boxofficemojo.com/studio/chart/?studio=ifc.htm" TargetMode="External"/><Relationship Id="rId794" Type="http://schemas.openxmlformats.org/officeDocument/2006/relationships/hyperlink" Target="http://www.boxofficemojo.com/schedule/?view=bydate&amp;release=theatrical&amp;date=2010-07-23&amp;p=.htm" TargetMode="External"/><Relationship Id="rId795" Type="http://schemas.openxmlformats.org/officeDocument/2006/relationships/hyperlink" Target="http://www.boxofficemojo.com/movies/?id=tempest10.htm" TargetMode="External"/><Relationship Id="rId796" Type="http://schemas.openxmlformats.org/officeDocument/2006/relationships/hyperlink" Target="http://www.boxofficemojo.com/studio/chart/?studio=miramax.htm" TargetMode="External"/><Relationship Id="rId797" Type="http://schemas.openxmlformats.org/officeDocument/2006/relationships/hyperlink" Target="http://www.boxofficemojo.com/schedule/?view=bydate&amp;release=theatrical&amp;date=2010-12-10&amp;p=.htm" TargetMode="External"/><Relationship Id="rId798" Type="http://schemas.openxmlformats.org/officeDocument/2006/relationships/hyperlink" Target="http://www.boxofficemojo.com/movies/?id=soulkitchen.htm" TargetMode="External"/><Relationship Id="rId799" Type="http://schemas.openxmlformats.org/officeDocument/2006/relationships/hyperlink" Target="http://www.boxofficemojo.com/studio/chart/?studio=ifc.htm" TargetMode="External"/><Relationship Id="rId1470" Type="http://schemas.openxmlformats.org/officeDocument/2006/relationships/hyperlink" Target="http://www.boxofficemojo.com/movies/?id=logan.htm" TargetMode="External"/><Relationship Id="rId1471" Type="http://schemas.openxmlformats.org/officeDocument/2006/relationships/hyperlink" Target="http://www.boxofficemojo.com/studio/chart/?studio=realbean.htm" TargetMode="External"/><Relationship Id="rId1472" Type="http://schemas.openxmlformats.org/officeDocument/2006/relationships/hyperlink" Target="http://www.boxofficemojo.com/schedule/?view=bydate&amp;release=theatrical&amp;date=2010-09-10&amp;p=.htm" TargetMode="External"/><Relationship Id="rId1473" Type="http://schemas.openxmlformats.org/officeDocument/2006/relationships/hyperlink" Target="http://www.boxofficemojo.com/movies/?id=misconceptions.htm" TargetMode="External"/><Relationship Id="rId1474" Type="http://schemas.openxmlformats.org/officeDocument/2006/relationships/hyperlink" Target="http://www.boxofficemojo.com/studio/chart/?studio=regent.htm" TargetMode="External"/><Relationship Id="rId1475" Type="http://schemas.openxmlformats.org/officeDocument/2006/relationships/hyperlink" Target="http://www.boxofficemojo.com/schedule/?view=bydate&amp;release=theatrical&amp;date=2010-01-22&amp;p=.htm" TargetMode="External"/><Relationship Id="rId1476" Type="http://schemas.openxmlformats.org/officeDocument/2006/relationships/hyperlink" Target="http://www.boxofficemojo.com/movies/?id=findingbliss.htm" TargetMode="External"/><Relationship Id="rId1477" Type="http://schemas.openxmlformats.org/officeDocument/2006/relationships/hyperlink" Target="http://www.boxofficemojo.com/studio/chart/?studio=phase4.htm" TargetMode="External"/><Relationship Id="rId1478" Type="http://schemas.openxmlformats.org/officeDocument/2006/relationships/hyperlink" Target="http://www.boxofficemojo.com/schedule/?view=bydate&amp;release=theatrical&amp;date=2010-06-04&amp;p=.htm" TargetMode="External"/><Relationship Id="rId1479" Type="http://schemas.openxmlformats.org/officeDocument/2006/relationships/hyperlink" Target="http://www.boxofficemojo.com/movies/?id=mercy2010.htm" TargetMode="External"/><Relationship Id="rId470" Type="http://schemas.openxmlformats.org/officeDocument/2006/relationships/hyperlink" Target="http://www.boxofficemojo.com/schedule/?view=bydate&amp;release=theatrical&amp;date=2010-04-30&amp;p=.htm" TargetMode="External"/><Relationship Id="rId471" Type="http://schemas.openxmlformats.org/officeDocument/2006/relationships/hyperlink" Target="http://www.boxofficemojo.com/movies/?id=mynameiskhan.htm" TargetMode="External"/><Relationship Id="rId472" Type="http://schemas.openxmlformats.org/officeDocument/2006/relationships/hyperlink" Target="http://www.boxofficemojo.com/studio/chart/?studio=foxsearchlight.htm" TargetMode="External"/><Relationship Id="rId473" Type="http://schemas.openxmlformats.org/officeDocument/2006/relationships/hyperlink" Target="http://www.boxofficemojo.com/schedule/?view=bydate&amp;release=theatrical&amp;date=2010-02-12&amp;p=.htm" TargetMode="External"/><Relationship Id="rId474" Type="http://schemas.openxmlformats.org/officeDocument/2006/relationships/hyperlink" Target="http://www.boxofficemojo.com/movies/?id=tosavealife.htm" TargetMode="External"/><Relationship Id="rId475" Type="http://schemas.openxmlformats.org/officeDocument/2006/relationships/hyperlink" Target="http://www.boxofficemojo.com/studio/chart/?studio=samuelgoldwyn.htm" TargetMode="External"/><Relationship Id="rId476" Type="http://schemas.openxmlformats.org/officeDocument/2006/relationships/hyperlink" Target="http://www.boxofficemojo.com/schedule/?view=bydate&amp;release=theatrical&amp;date=2010-01-22&amp;p=.htm" TargetMode="External"/><Relationship Id="rId477" Type="http://schemas.openxmlformats.org/officeDocument/2006/relationships/hyperlink" Target="http://www.boxofficemojo.com/movies/?id=therunaways.htm" TargetMode="External"/><Relationship Id="rId478" Type="http://schemas.openxmlformats.org/officeDocument/2006/relationships/hyperlink" Target="http://www.boxofficemojo.com/studio/chart/?studio=apparition.htm" TargetMode="External"/><Relationship Id="rId479" Type="http://schemas.openxmlformats.org/officeDocument/2006/relationships/hyperlink" Target="http://www.boxofficemojo.com/schedule/?view=bydate&amp;release=theatrical&amp;date=2010-03-19&amp;p=.htm" TargetMode="External"/><Relationship Id="rId1150" Type="http://schemas.openxmlformats.org/officeDocument/2006/relationships/hyperlink" Target="http://www.boxofficemojo.com/studio/chart/?studio=thefilmdesk.htm" TargetMode="External"/><Relationship Id="rId1151" Type="http://schemas.openxmlformats.org/officeDocument/2006/relationships/hyperlink" Target="http://www.boxofficemojo.com/schedule/?view=bydate&amp;release=theatrical&amp;date=2010-11-12&amp;p=.htm" TargetMode="External"/><Relationship Id="rId1152" Type="http://schemas.openxmlformats.org/officeDocument/2006/relationships/hyperlink" Target="http://www.boxofficemojo.com/movies/?id=changeofplans.htm" TargetMode="External"/><Relationship Id="rId1153" Type="http://schemas.openxmlformats.org/officeDocument/2006/relationships/hyperlink" Target="http://www.boxofficemojo.com/studio/chart/?studio=ifc.htm" TargetMode="External"/><Relationship Id="rId1154" Type="http://schemas.openxmlformats.org/officeDocument/2006/relationships/hyperlink" Target="http://www.boxofficemojo.com/schedule/?view=bydate&amp;release=theatrical&amp;date=2010-08-27&amp;p=.htm" TargetMode="External"/><Relationship Id="rId1155" Type="http://schemas.openxmlformats.org/officeDocument/2006/relationships/hyperlink" Target="http://www.boxofficemojo.com/movies/?id=cash10.htm" TargetMode="External"/><Relationship Id="rId1156" Type="http://schemas.openxmlformats.org/officeDocument/2006/relationships/hyperlink" Target="http://www.boxofficemojo.com/studio/chart/?studio=roadsideattractions.htm" TargetMode="External"/><Relationship Id="rId1157" Type="http://schemas.openxmlformats.org/officeDocument/2006/relationships/hyperlink" Target="http://www.boxofficemojo.com/schedule/?view=bydate&amp;release=theatrical&amp;date=2010-03-26&amp;p=.htm" TargetMode="External"/><Relationship Id="rId1158" Type="http://schemas.openxmlformats.org/officeDocument/2006/relationships/hyperlink" Target="http://www.boxofficemojo.com/movies/?id=williamburroughsmanwithin.htm" TargetMode="External"/><Relationship Id="rId1159" Type="http://schemas.openxmlformats.org/officeDocument/2006/relationships/hyperlink" Target="http://www.boxofficemojo.com/studio/chart/?studio=oscilloscopepictures.htm" TargetMode="External"/><Relationship Id="rId150" Type="http://schemas.openxmlformats.org/officeDocument/2006/relationships/hyperlink" Target="http://www.boxofficemojo.com/movies/?id=diaryofawimpykid.htm" TargetMode="External"/><Relationship Id="rId151" Type="http://schemas.openxmlformats.org/officeDocument/2006/relationships/hyperlink" Target="http://www.boxofficemojo.com/studio/chart/?studio=fox.htm" TargetMode="External"/><Relationship Id="rId152" Type="http://schemas.openxmlformats.org/officeDocument/2006/relationships/hyperlink" Target="http://www.boxofficemojo.com/schedule/?view=bydate&amp;release=theatrical&amp;date=2010-03-19&amp;p=.htm" TargetMode="External"/><Relationship Id="rId153" Type="http://schemas.openxmlformats.org/officeDocument/2006/relationships/hyperlink" Target="http://www.boxofficemojo.com/movies/?id=sorcerersapprentice.htm" TargetMode="External"/><Relationship Id="rId154" Type="http://schemas.openxmlformats.org/officeDocument/2006/relationships/hyperlink" Target="http://www.boxofficemojo.com/studio/chart/?studio=buenavista.htm" TargetMode="External"/><Relationship Id="rId155" Type="http://schemas.openxmlformats.org/officeDocument/2006/relationships/hyperlink" Target="http://www.boxofficemojo.com/schedule/?view=bydate&amp;release=theatrical&amp;date=2010-07-14&amp;p=.htm" TargetMode="External"/><Relationship Id="rId156" Type="http://schemas.openxmlformats.org/officeDocument/2006/relationships/hyperlink" Target="http://www.boxofficemojo.com/movies/?id=nightmareonelmstreet10.htm" TargetMode="External"/><Relationship Id="rId157" Type="http://schemas.openxmlformats.org/officeDocument/2006/relationships/hyperlink" Target="http://www.boxofficemojo.com/studio/chart/?studio=wb-newline.htm" TargetMode="External"/><Relationship Id="rId158" Type="http://schemas.openxmlformats.org/officeDocument/2006/relationships/hyperlink" Target="http://www.boxofficemojo.com/schedule/?view=bydate&amp;release=theatrical&amp;date=2010-04-30&amp;p=.htm" TargetMode="External"/><Relationship Id="rId159" Type="http://schemas.openxmlformats.org/officeDocument/2006/relationships/hyperlink" Target="http://www.boxofficemojo.com/movies/?id=lastsong.htm" TargetMode="External"/><Relationship Id="rId920" Type="http://schemas.openxmlformats.org/officeDocument/2006/relationships/hyperlink" Target="http://www.boxofficemojo.com/schedule/?view=bydate&amp;release=theatrical&amp;date=2010-05-21&amp;p=.htm" TargetMode="External"/><Relationship Id="rId921" Type="http://schemas.openxmlformats.org/officeDocument/2006/relationships/hyperlink" Target="http://www.boxofficemojo.com/movies/?id=theweatheredunderground.htm" TargetMode="External"/><Relationship Id="rId922" Type="http://schemas.openxmlformats.org/officeDocument/2006/relationships/hyperlink" Target="http://www.boxofficemojo.com/studio/chart/?studio=indican.htm" TargetMode="External"/><Relationship Id="rId923" Type="http://schemas.openxmlformats.org/officeDocument/2006/relationships/hyperlink" Target="http://www.boxofficemojo.com/schedule/?view=bydate&amp;release=theatrical&amp;date=2010-01-26&amp;p=.htm" TargetMode="External"/><Relationship Id="rId924" Type="http://schemas.openxmlformats.org/officeDocument/2006/relationships/hyperlink" Target="http://www.boxofficemojo.com/movies/?id=chainletter.htm" TargetMode="External"/><Relationship Id="rId925" Type="http://schemas.openxmlformats.org/officeDocument/2006/relationships/hyperlink" Target="http://www.boxofficemojo.com/studio/chart/?studio=newfilmscinema.htm" TargetMode="External"/><Relationship Id="rId926" Type="http://schemas.openxmlformats.org/officeDocument/2006/relationships/hyperlink" Target="http://www.boxofficemojo.com/schedule/?view=bydate&amp;release=theatrical&amp;date=2010-10-01&amp;p=.htm" TargetMode="External"/><Relationship Id="rId927" Type="http://schemas.openxmlformats.org/officeDocument/2006/relationships/hyperlink" Target="http://www.boxofficemojo.com/movies/?id=loveranch.htm" TargetMode="External"/><Relationship Id="rId928" Type="http://schemas.openxmlformats.org/officeDocument/2006/relationships/hyperlink" Target="http://www.boxofficemojo.com/studio/chart/?studio=e1entertainment.htm" TargetMode="External"/><Relationship Id="rId929" Type="http://schemas.openxmlformats.org/officeDocument/2006/relationships/hyperlink" Target="http://www.boxofficemojo.com/schedule/?view=bydate&amp;release=theatrical&amp;date=2010-06-30&amp;p=.htm" TargetMode="External"/><Relationship Id="rId1600" Type="http://schemas.openxmlformats.org/officeDocument/2006/relationships/hyperlink" Target="http://www.boxofficemojo.com/studio/chart/?studio=firstrun.htm" TargetMode="External"/><Relationship Id="rId1601" Type="http://schemas.openxmlformats.org/officeDocument/2006/relationships/hyperlink" Target="http://www.boxofficemojo.com/schedule/?view=bydate&amp;release=theatrical&amp;date=2010-10-15&amp;p=.htm" TargetMode="External"/><Relationship Id="rId1602" Type="http://schemas.openxmlformats.org/officeDocument/2006/relationships/hyperlink" Target="http://www.boxofficemojo.com/movies/?id=drool.htm" TargetMode="External"/><Relationship Id="rId1603" Type="http://schemas.openxmlformats.org/officeDocument/2006/relationships/hyperlink" Target="http://www.boxofficemojo.com/studio/chart/?studio=strand.htm" TargetMode="External"/><Relationship Id="rId1604" Type="http://schemas.openxmlformats.org/officeDocument/2006/relationships/hyperlink" Target="http://www.boxofficemojo.com/schedule/?view=bydate&amp;release=theatrical&amp;date=2010-01-22&amp;p=.htm" TargetMode="External"/><Relationship Id="rId1605" Type="http://schemas.openxmlformats.org/officeDocument/2006/relationships/hyperlink" Target="http://www.boxofficemojo.com/movies/?id=45365.htm" TargetMode="External"/><Relationship Id="rId1606" Type="http://schemas.openxmlformats.org/officeDocument/2006/relationships/hyperlink" Target="http://www.boxofficemojo.com/studio/chart/?studio=sevenartsdistribution.htm" TargetMode="External"/><Relationship Id="rId1607" Type="http://schemas.openxmlformats.org/officeDocument/2006/relationships/hyperlink" Target="http://www.boxofficemojo.com/schedule/?view=bydate&amp;release=theatrical&amp;date=2010-02-26&amp;p=.htm" TargetMode="External"/><Relationship Id="rId1608" Type="http://schemas.openxmlformats.org/officeDocument/2006/relationships/hyperlink" Target="http://www.boxofficemojo.com/movies/?id=perriersbounty.htm" TargetMode="External"/><Relationship Id="rId1609" Type="http://schemas.openxmlformats.org/officeDocument/2006/relationships/hyperlink" Target="http://www.boxofficemojo.com/studio/chart/?studio=ifc.htm" TargetMode="External"/><Relationship Id="rId600" Type="http://schemas.openxmlformats.org/officeDocument/2006/relationships/hyperlink" Target="http://www.boxofficemojo.com/movies/?id=wildestdream.htm" TargetMode="External"/><Relationship Id="rId601" Type="http://schemas.openxmlformats.org/officeDocument/2006/relationships/hyperlink" Target="http://www.boxofficemojo.com/studio/chart/?studio=nationalgeographiccinema.htm" TargetMode="External"/><Relationship Id="rId602" Type="http://schemas.openxmlformats.org/officeDocument/2006/relationships/hyperlink" Target="http://www.boxofficemojo.com/schedule/?view=bydate&amp;release=theatrical&amp;date=2010-08-06&amp;p=.htm" TargetMode="External"/><Relationship Id="rId603" Type="http://schemas.openxmlformats.org/officeDocument/2006/relationships/hyperlink" Target="http://www.boxofficemojo.com/movies/?id=princesskaiulani.htm" TargetMode="External"/><Relationship Id="rId604" Type="http://schemas.openxmlformats.org/officeDocument/2006/relationships/hyperlink" Target="http://www.boxofficemojo.com/studio/chart/?studio=roadsideattractions.htm" TargetMode="External"/><Relationship Id="rId605" Type="http://schemas.openxmlformats.org/officeDocument/2006/relationships/hyperlink" Target="http://www.boxofficemojo.com/schedule/?view=bydate&amp;release=theatrical&amp;date=2010-05-14&amp;p=.htm" TargetMode="External"/><Relationship Id="rId606" Type="http://schemas.openxmlformats.org/officeDocument/2006/relationships/hyperlink" Target="http://www.boxofficemojo.com/movies/?id=anjaanaanjaani.htm" TargetMode="External"/><Relationship Id="rId607" Type="http://schemas.openxmlformats.org/officeDocument/2006/relationships/hyperlink" Target="http://www.boxofficemojo.com/studio/chart/?studio=eros.htm" TargetMode="External"/><Relationship Id="rId608" Type="http://schemas.openxmlformats.org/officeDocument/2006/relationships/hyperlink" Target="http://www.boxofficemojo.com/schedule/?view=bydate&amp;release=theatrical&amp;date=2010-10-01&amp;p=.htm" TargetMode="External"/><Relationship Id="rId609" Type="http://schemas.openxmlformats.org/officeDocument/2006/relationships/hyperlink" Target="http://www.boxofficemojo.com/movies/?id=ihateluvstorys.htm" TargetMode="External"/><Relationship Id="rId1480" Type="http://schemas.openxmlformats.org/officeDocument/2006/relationships/hyperlink" Target="http://www.boxofficemojo.com/studio/chart/?studio=ifc.htm" TargetMode="External"/><Relationship Id="rId1481" Type="http://schemas.openxmlformats.org/officeDocument/2006/relationships/hyperlink" Target="http://www.boxofficemojo.com/schedule/?view=bydate&amp;release=theatrical&amp;date=2010-04-30&amp;p=.htm" TargetMode="External"/><Relationship Id="rId1482" Type="http://schemas.openxmlformats.org/officeDocument/2006/relationships/hyperlink" Target="http://www.boxofficemojo.com/movies/?id=reginaspektor.htm" TargetMode="External"/><Relationship Id="rId1483" Type="http://schemas.openxmlformats.org/officeDocument/2006/relationships/hyperlink" Target="http://www.boxofficemojo.com/studio/chart/?studio=cinemapurgatorio.htm" TargetMode="External"/><Relationship Id="rId1484" Type="http://schemas.openxmlformats.org/officeDocument/2006/relationships/hyperlink" Target="http://www.boxofficemojo.com/schedule/?view=bydate&amp;release=theatrical&amp;date=2010-11-19&amp;p=.htm" TargetMode="External"/><Relationship Id="rId1485" Type="http://schemas.openxmlformats.org/officeDocument/2006/relationships/hyperlink" Target="http://www.boxofficemojo.com/movies/?id=dreamboy.htm" TargetMode="External"/><Relationship Id="rId1486" Type="http://schemas.openxmlformats.org/officeDocument/2006/relationships/hyperlink" Target="http://www.boxofficemojo.com/studio/chart/?studio=regent.htm" TargetMode="External"/><Relationship Id="rId1487" Type="http://schemas.openxmlformats.org/officeDocument/2006/relationships/hyperlink" Target="http://www.boxofficemojo.com/schedule/?view=bydate&amp;release=theatrical&amp;date=2010-03-26&amp;p=.htm" TargetMode="External"/><Relationship Id="rId1488" Type="http://schemas.openxmlformats.org/officeDocument/2006/relationships/hyperlink" Target="http://www.boxofficemojo.com/movies/?id=watercolors.htm" TargetMode="External"/><Relationship Id="rId1489" Type="http://schemas.openxmlformats.org/officeDocument/2006/relationships/hyperlink" Target="http://www.boxofficemojo.com/studio/chart/?studio=regent.htm" TargetMode="External"/><Relationship Id="rId480" Type="http://schemas.openxmlformats.org/officeDocument/2006/relationships/hyperlink" Target="http://www.boxofficemojo.com/movies/?id=exitthroughthegiftshop.htm" TargetMode="External"/><Relationship Id="rId481" Type="http://schemas.openxmlformats.org/officeDocument/2006/relationships/hyperlink" Target="http://www.boxofficemojo.com/studio/chart/?studio=pda.htm" TargetMode="External"/><Relationship Id="rId482" Type="http://schemas.openxmlformats.org/officeDocument/2006/relationships/hyperlink" Target="http://www.boxofficemojo.com/schedule/?view=bydate&amp;release=theatrical&amp;date=2010-04-16&amp;p=.htm" TargetMode="External"/><Relationship Id="rId483" Type="http://schemas.openxmlformats.org/officeDocument/2006/relationships/hyperlink" Target="http://www.boxofficemojo.com/movies/?id=talldarkstranger.htm" TargetMode="External"/><Relationship Id="rId484" Type="http://schemas.openxmlformats.org/officeDocument/2006/relationships/hyperlink" Target="http://www.boxofficemojo.com/studio/chart/?studio=sonyclassics.htm" TargetMode="External"/><Relationship Id="rId485" Type="http://schemas.openxmlformats.org/officeDocument/2006/relationships/hyperlink" Target="http://www.boxofficemojo.com/schedule/?view=bydate&amp;release=theatrical&amp;date=2010-09-22&amp;p=.htm" TargetMode="External"/><Relationship Id="rId486" Type="http://schemas.openxmlformats.org/officeDocument/2006/relationships/hyperlink" Target="http://www.boxofficemojo.com/movies/?id=catfish.htm" TargetMode="External"/><Relationship Id="rId487" Type="http://schemas.openxmlformats.org/officeDocument/2006/relationships/hyperlink" Target="http://www.boxofficemojo.com/studio/chart/?studio=roguepictures.htm" TargetMode="External"/><Relationship Id="rId488" Type="http://schemas.openxmlformats.org/officeDocument/2006/relationships/hyperlink" Target="http://www.boxofficemojo.com/schedule/?view=bydate&amp;release=theatrical&amp;date=2010-09-17&amp;p=.htm" TargetMode="External"/><Relationship Id="rId489" Type="http://schemas.openxmlformats.org/officeDocument/2006/relationships/hyperlink" Target="http://www.boxofficemojo.com/movies/?id=anotheryear.htm" TargetMode="External"/><Relationship Id="rId1160" Type="http://schemas.openxmlformats.org/officeDocument/2006/relationships/hyperlink" Target="http://www.boxofficemojo.com/schedule/?view=bydate&amp;release=theatrical&amp;date=2010-11-17&amp;p=.htm" TargetMode="External"/><Relationship Id="rId1161" Type="http://schemas.openxmlformats.org/officeDocument/2006/relationships/hyperlink" Target="http://www.boxofficemojo.com/movies/?id=defendor.htm" TargetMode="External"/><Relationship Id="rId1162" Type="http://schemas.openxmlformats.org/officeDocument/2006/relationships/hyperlink" Target="http://www.boxofficemojo.com/studio/chart/?studio=" TargetMode="External"/><Relationship Id="rId1163" Type="http://schemas.openxmlformats.org/officeDocument/2006/relationships/hyperlink" Target="http://www.boxofficemojo.com/schedule/?view=bydate&amp;release=theatrical&amp;date=2010-02-19&amp;p=.htm" TargetMode="External"/><Relationship Id="rId1164" Type="http://schemas.openxmlformats.org/officeDocument/2006/relationships/hyperlink" Target="http://www.boxofficemojo.com/movies/?id=bandbaajabaaraat.htm" TargetMode="External"/><Relationship Id="rId1165" Type="http://schemas.openxmlformats.org/officeDocument/2006/relationships/hyperlink" Target="http://www.boxofficemojo.com/studio/chart/?studio=yashraj.htm" TargetMode="External"/><Relationship Id="rId1166" Type="http://schemas.openxmlformats.org/officeDocument/2006/relationships/hyperlink" Target="http://www.boxofficemojo.com/schedule/?view=bydate&amp;release=theatrical&amp;date=2010-12-10&amp;p=.htm" TargetMode="External"/><Relationship Id="rId1167" Type="http://schemas.openxmlformats.org/officeDocument/2006/relationships/hyperlink" Target="http://www.boxofficemojo.com/movies/?id=oath.htm" TargetMode="External"/><Relationship Id="rId1168" Type="http://schemas.openxmlformats.org/officeDocument/2006/relationships/hyperlink" Target="http://www.boxofficemojo.com/studio/chart/?studio=zeitgeist.htm" TargetMode="External"/><Relationship Id="rId1169" Type="http://schemas.openxmlformats.org/officeDocument/2006/relationships/hyperlink" Target="http://www.boxofficemojo.com/schedule/?view=bydate&amp;release=theatrical&amp;date=2010-05-07&amp;p=.htm" TargetMode="External"/><Relationship Id="rId160" Type="http://schemas.openxmlformats.org/officeDocument/2006/relationships/hyperlink" Target="http://www.boxofficemojo.com/studio/chart/?studio=buenavista.htm" TargetMode="External"/><Relationship Id="rId161" Type="http://schemas.openxmlformats.org/officeDocument/2006/relationships/hyperlink" Target="http://www.boxofficemojo.com/schedule/?view=bydate&amp;release=theatrical&amp;date=2010-03-31&amp;p=.htm" TargetMode="External"/><Relationship Id="rId162" Type="http://schemas.openxmlformats.org/officeDocument/2006/relationships/hyperlink" Target="http://www.boxofficemojo.com/movies/?id=wolfman.htm" TargetMode="External"/><Relationship Id="rId163" Type="http://schemas.openxmlformats.org/officeDocument/2006/relationships/hyperlink" Target="http://www.boxofficemojo.com/studio/chart/?studio=universal.htm" TargetMode="External"/><Relationship Id="rId164" Type="http://schemas.openxmlformats.org/officeDocument/2006/relationships/hyperlink" Target="http://www.boxofficemojo.com/schedule/?view=bydate&amp;release=theatrical&amp;date=2010-02-12&amp;p=.htm" TargetMode="External"/><Relationship Id="rId165" Type="http://schemas.openxmlformats.org/officeDocument/2006/relationships/hyperlink" Target="http://www.boxofficemojo.com/movies/?id=gethimtothegreek.htm" TargetMode="External"/><Relationship Id="rId166" Type="http://schemas.openxmlformats.org/officeDocument/2006/relationships/hyperlink" Target="http://www.boxofficemojo.com/studio/chart/?studio=universal.htm" TargetMode="External"/><Relationship Id="rId167" Type="http://schemas.openxmlformats.org/officeDocument/2006/relationships/hyperlink" Target="http://www.boxofficemojo.com/schedule/?view=bydate&amp;release=theatrical&amp;date=2010-06-04&amp;p=.htm" TargetMode="External"/><Relationship Id="rId168" Type="http://schemas.openxmlformats.org/officeDocument/2006/relationships/hyperlink" Target="http://www.boxofficemojo.com/movies/?id=residentevil4.htm" TargetMode="External"/><Relationship Id="rId169" Type="http://schemas.openxmlformats.org/officeDocument/2006/relationships/hyperlink" Target="http://www.boxofficemojo.com/studio/chart/?studio=screengems.htm" TargetMode="External"/><Relationship Id="rId930" Type="http://schemas.openxmlformats.org/officeDocument/2006/relationships/hyperlink" Target="http://www.boxofficemojo.com/movies/?id=purecountry2.htm" TargetMode="External"/><Relationship Id="rId931" Type="http://schemas.openxmlformats.org/officeDocument/2006/relationships/hyperlink" Target="http://www.boxofficemojo.com/studio/chart/?studio=warnerbros.htm" TargetMode="External"/><Relationship Id="rId932" Type="http://schemas.openxmlformats.org/officeDocument/2006/relationships/hyperlink" Target="http://www.boxofficemojo.com/schedule/?view=bydate&amp;release=theatrical&amp;date=2010-10-15&amp;p=.htm" TargetMode="External"/><Relationship Id="rId933" Type="http://schemas.openxmlformats.org/officeDocument/2006/relationships/hyperlink" Target="http://www.boxofficemojo.com/movies/?id=eclipse10.htm" TargetMode="External"/><Relationship Id="rId934" Type="http://schemas.openxmlformats.org/officeDocument/2006/relationships/hyperlink" Target="http://www.boxofficemojo.com/studio/chart/?studio=magnolia.htm" TargetMode="External"/><Relationship Id="rId935" Type="http://schemas.openxmlformats.org/officeDocument/2006/relationships/hyperlink" Target="http://www.boxofficemojo.com/schedule/?view=bydate&amp;release=theatrical&amp;date=2010-03-26&amp;p=.htm" TargetMode="External"/><Relationship Id="rId936" Type="http://schemas.openxmlformats.org/officeDocument/2006/relationships/hyperlink" Target="http://www.boxofficemojo.com/movies/?id=warlords.htm" TargetMode="External"/><Relationship Id="rId937" Type="http://schemas.openxmlformats.org/officeDocument/2006/relationships/hyperlink" Target="http://www.boxofficemojo.com/studio/chart/?studio=magnolia.htm" TargetMode="External"/><Relationship Id="rId938" Type="http://schemas.openxmlformats.org/officeDocument/2006/relationships/hyperlink" Target="http://www.boxofficemojo.com/schedule/?view=bydate&amp;release=theatrical&amp;date=2010-04-02&amp;p=.htm" TargetMode="External"/><Relationship Id="rId939" Type="http://schemas.openxmlformats.org/officeDocument/2006/relationships/hyperlink" Target="http://www.boxofficemojo.com/movies/?id=thegoodthebadtheweird.htm" TargetMode="External"/><Relationship Id="rId1610" Type="http://schemas.openxmlformats.org/officeDocument/2006/relationships/hyperlink" Target="http://www.boxofficemojo.com/schedule/?view=bydate&amp;release=theatrical&amp;date=2010-05-21&amp;p=.htm" TargetMode="External"/><Relationship Id="rId1611" Type="http://schemas.openxmlformats.org/officeDocument/2006/relationships/hyperlink" Target="http://www.boxofficemojo.com/movies/?id=shakehands.htm" TargetMode="External"/><Relationship Id="rId1612" Type="http://schemas.openxmlformats.org/officeDocument/2006/relationships/hyperlink" Target="http://www.boxofficemojo.com/studio/chart/?studio=regent.htm" TargetMode="External"/><Relationship Id="rId1613" Type="http://schemas.openxmlformats.org/officeDocument/2006/relationships/hyperlink" Target="http://www.boxofficemojo.com/schedule/?view=bydate&amp;release=theatrical&amp;date=2010-10-29&amp;p=.htm" TargetMode="External"/><Relationship Id="rId1614" Type="http://schemas.openxmlformats.org/officeDocument/2006/relationships/hyperlink" Target="http://www.boxofficemojo.com/movies/?id=magician2010.htm" TargetMode="External"/><Relationship Id="rId1615" Type="http://schemas.openxmlformats.org/officeDocument/2006/relationships/hyperlink" Target="http://www.boxofficemojo.com/studio/chart/?studio=regent.htm" TargetMode="External"/><Relationship Id="rId1616" Type="http://schemas.openxmlformats.org/officeDocument/2006/relationships/hyperlink" Target="http://www.boxofficemojo.com/schedule/?view=bydate&amp;release=theatrical&amp;date=2010-10-29&amp;p=.htm" TargetMode="External"/><Relationship Id="rId610" Type="http://schemas.openxmlformats.org/officeDocument/2006/relationships/hyperlink" Target="http://www.boxofficemojo.com/studio/chart/?studio=utv.htm" TargetMode="External"/><Relationship Id="rId611" Type="http://schemas.openxmlformats.org/officeDocument/2006/relationships/hyperlink" Target="http://www.boxofficemojo.com/schedule/?view=bydate&amp;release=theatrical&amp;date=2010-06-30&amp;p=.htm" TargetMode="External"/><Relationship Id="rId612" Type="http://schemas.openxmlformats.org/officeDocument/2006/relationships/hyperlink" Target="http://www.boxofficemojo.com/movies/?id=whatif.htm" TargetMode="External"/><Relationship Id="rId613" Type="http://schemas.openxmlformats.org/officeDocument/2006/relationships/hyperlink" Target="http://www.boxofficemojo.com/studio/chart/?studio=fiveandtwo.htm" TargetMode="External"/><Relationship Id="rId614" Type="http://schemas.openxmlformats.org/officeDocument/2006/relationships/hyperlink" Target="http://www.boxofficemojo.com/schedule/?view=bydate&amp;release=theatrical&amp;date=2010-08-20&amp;p=.htm" TargetMode="External"/><Relationship Id="rId615" Type="http://schemas.openxmlformats.org/officeDocument/2006/relationships/hyperlink" Target="http://www.boxofficemojo.com/movies/?id=tillmanstory.htm" TargetMode="External"/><Relationship Id="rId616" Type="http://schemas.openxmlformats.org/officeDocument/2006/relationships/hyperlink" Target="http://www.boxofficemojo.com/studio/chart/?studio=weinsteincompany.htm" TargetMode="External"/><Relationship Id="rId617" Type="http://schemas.openxmlformats.org/officeDocument/2006/relationships/hyperlink" Target="http://www.boxofficemojo.com/schedule/?view=bydate&amp;release=theatrical&amp;date=2010-08-20&amp;p=.htm" TargetMode="External"/><Relationship Id="rId618" Type="http://schemas.openxmlformats.org/officeDocument/2006/relationships/hyperlink" Target="http://www.boxofficemojo.com/movies/?id=peeplilive.htm" TargetMode="External"/><Relationship Id="rId619" Type="http://schemas.openxmlformats.org/officeDocument/2006/relationships/hyperlink" Target="http://www.boxofficemojo.com/studio/chart/?studio=utv.htm" TargetMode="External"/><Relationship Id="rId1490" Type="http://schemas.openxmlformats.org/officeDocument/2006/relationships/hyperlink" Target="http://www.boxofficemojo.com/schedule/?view=bydate&amp;release=theatrical&amp;date=2010-01-22&amp;p=.htm" TargetMode="External"/><Relationship Id="rId1491" Type="http://schemas.openxmlformats.org/officeDocument/2006/relationships/hyperlink" Target="http://www.boxofficemojo.com/movies/?id=redchapel.htm" TargetMode="External"/><Relationship Id="rId1492" Type="http://schemas.openxmlformats.org/officeDocument/2006/relationships/hyperlink" Target="http://www.boxofficemojo.com/studio/chart/?studio=lorberfilms.htm" TargetMode="External"/><Relationship Id="rId1493" Type="http://schemas.openxmlformats.org/officeDocument/2006/relationships/hyperlink" Target="http://www.boxofficemojo.com/schedule/?view=bydate&amp;release=theatrical&amp;date=2010-12-29&amp;p=.htm" TargetMode="External"/><Relationship Id="rId1494" Type="http://schemas.openxmlformats.org/officeDocument/2006/relationships/hyperlink" Target="http://www.boxofficemojo.com/movies/?id=bearcity.htm" TargetMode="External"/><Relationship Id="rId1495" Type="http://schemas.openxmlformats.org/officeDocument/2006/relationships/hyperlink" Target="http://www.boxofficemojo.com/studio/chart/?studio=tla.htm" TargetMode="External"/><Relationship Id="rId1496" Type="http://schemas.openxmlformats.org/officeDocument/2006/relationships/hyperlink" Target="http://www.boxofficemojo.com/schedule/?view=bydate&amp;release=theatrical&amp;date=2010-10-22&amp;p=.htm" TargetMode="External"/><Relationship Id="rId1497" Type="http://schemas.openxmlformats.org/officeDocument/2006/relationships/hyperlink" Target="http://www.boxofficemojo.com/movies/?id=prisonrodeo.htm" TargetMode="External"/><Relationship Id="rId1498" Type="http://schemas.openxmlformats.org/officeDocument/2006/relationships/hyperlink" Target="http://www.boxofficemojo.com/studio/chart/?studio=cinemapurgatorio.htm" TargetMode="External"/><Relationship Id="rId1499" Type="http://schemas.openxmlformats.org/officeDocument/2006/relationships/hyperlink" Target="http://www.boxofficemojo.com/schedule/?view=bydate&amp;release=theatrical&amp;date=2010-09-17&amp;p=.htm" TargetMode="External"/><Relationship Id="rId490" Type="http://schemas.openxmlformats.org/officeDocument/2006/relationships/hyperlink" Target="http://www.boxofficemojo.com/studio/chart/?studio=sonyclassics.htm" TargetMode="External"/><Relationship Id="rId491" Type="http://schemas.openxmlformats.org/officeDocument/2006/relationships/hyperlink" Target="http://www.boxofficemojo.com/schedule/?view=bydate&amp;release=theatrical&amp;date=2010-12-29&amp;p=.htm" TargetMode="External"/><Relationship Id="rId492" Type="http://schemas.openxmlformats.org/officeDocument/2006/relationships/hyperlink" Target="http://www.boxofficemojo.com/movies/?id=chloe.htm" TargetMode="External"/><Relationship Id="rId493" Type="http://schemas.openxmlformats.org/officeDocument/2006/relationships/hyperlink" Target="http://www.boxofficemojo.com/studio/chart/?studio=sonyclassics.htm" TargetMode="External"/><Relationship Id="rId494" Type="http://schemas.openxmlformats.org/officeDocument/2006/relationships/hyperlink" Target="http://www.boxofficemojo.com/schedule/?view=bydate&amp;release=theatrical&amp;date=2010-03-26&amp;p=.htm" TargetMode="External"/><Relationship Id="rId495" Type="http://schemas.openxmlformats.org/officeDocument/2006/relationships/hyperlink" Target="http://www.boxofficemojo.com/movies/?id=joanrivers.htm" TargetMode="External"/><Relationship Id="rId496" Type="http://schemas.openxmlformats.org/officeDocument/2006/relationships/hyperlink" Target="http://www.boxofficemojo.com/studio/chart/?studio=ifc.htm" TargetMode="External"/><Relationship Id="rId497" Type="http://schemas.openxmlformats.org/officeDocument/2006/relationships/hyperlink" Target="http://www.boxofficemojo.com/schedule/?view=bydate&amp;release=theatrical&amp;date=2010-06-11&amp;p=.htm" TargetMode="External"/><Relationship Id="rId498" Type="http://schemas.openxmlformats.org/officeDocument/2006/relationships/hyperlink" Target="http://www.boxofficemojo.com/movies/?id=letterstogod.htm" TargetMode="External"/><Relationship Id="rId499" Type="http://schemas.openxmlformats.org/officeDocument/2006/relationships/hyperlink" Target="http://www.boxofficemojo.com/studio/chart/?studio=vivendientertainment.htm" TargetMode="External"/><Relationship Id="rId1170" Type="http://schemas.openxmlformats.org/officeDocument/2006/relationships/hyperlink" Target="http://www.boxofficemojo.com/movies/?id=onthebowery.htm" TargetMode="External"/><Relationship Id="rId1171" Type="http://schemas.openxmlformats.org/officeDocument/2006/relationships/hyperlink" Target="http://www.boxofficemojo.com/studio/chart/?studio=milestone.htm" TargetMode="External"/><Relationship Id="rId1172" Type="http://schemas.openxmlformats.org/officeDocument/2006/relationships/hyperlink" Target="http://www.boxofficemojo.com/schedule/?view=bydate&amp;release=theatrical&amp;date=2010-09-17&amp;p=.htm" TargetMode="External"/><Relationship Id="rId1173" Type="http://schemas.openxmlformats.org/officeDocument/2006/relationships/hyperlink" Target="http://www.boxofficemojo.com/movies/?id=kites:theremix.htm" TargetMode="External"/><Relationship Id="rId1174" Type="http://schemas.openxmlformats.org/officeDocument/2006/relationships/hyperlink" Target="http://www.boxofficemojo.com/studio/chart/?studio=reliancebigpictures.htm" TargetMode="External"/><Relationship Id="rId1175" Type="http://schemas.openxmlformats.org/officeDocument/2006/relationships/hyperlink" Target="http://www.boxofficemojo.com/schedule/?view=bydate&amp;release=theatrical&amp;date=2010-05-28&amp;p=.htm" TargetMode="External"/><Relationship Id="rId1176" Type="http://schemas.openxmlformats.org/officeDocument/2006/relationships/hyperlink" Target="http://www.boxofficemojo.com/movies/?id=troublewithterkel.htm" TargetMode="External"/><Relationship Id="rId1177" Type="http://schemas.openxmlformats.org/officeDocument/2006/relationships/hyperlink" Target="http://www.boxofficemojo.com/studio/chart/?studio=indican.htm" TargetMode="External"/><Relationship Id="rId1178" Type="http://schemas.openxmlformats.org/officeDocument/2006/relationships/hyperlink" Target="http://www.boxofficemojo.com/schedule/?view=bydate&amp;release=theatrical&amp;date=2010-10-15&amp;p=.htm" TargetMode="External"/><Relationship Id="rId1179" Type="http://schemas.openxmlformats.org/officeDocument/2006/relationships/hyperlink" Target="http://www.boxofficemojo.com/movies/?id=44inchchest.htm" TargetMode="External"/><Relationship Id="rId170" Type="http://schemas.openxmlformats.org/officeDocument/2006/relationships/hyperlink" Target="http://www.boxofficemojo.com/schedule/?view=bydate&amp;release=theatrical&amp;date=2010-09-10&amp;p=.htm" TargetMode="External"/><Relationship Id="rId171" Type="http://schemas.openxmlformats.org/officeDocument/2006/relationships/hyperlink" Target="http://www.boxofficemojo.com/movies/?id=whydidigetmarriedtoo.htm" TargetMode="External"/><Relationship Id="rId172" Type="http://schemas.openxmlformats.org/officeDocument/2006/relationships/hyperlink" Target="http://www.boxofficemojo.com/studio/chart/?studio=lionsgate.htm" TargetMode="External"/><Relationship Id="rId173" Type="http://schemas.openxmlformats.org/officeDocument/2006/relationships/hyperlink" Target="http://www.boxofficemojo.com/schedule/?view=bydate&amp;release=theatrical&amp;date=2010-04-02&amp;p=.htm" TargetMode="External"/><Relationship Id="rId174" Type="http://schemas.openxmlformats.org/officeDocument/2006/relationships/hyperlink" Target="http://www.boxofficemojo.com/movies/?id=toothfairy.htm" TargetMode="External"/><Relationship Id="rId175" Type="http://schemas.openxmlformats.org/officeDocument/2006/relationships/hyperlink" Target="http://www.boxofficemojo.com/studio/chart/?studio=fox.htm" TargetMode="External"/><Relationship Id="rId176" Type="http://schemas.openxmlformats.org/officeDocument/2006/relationships/hyperlink" Target="http://www.boxofficemojo.com/schedule/?view=bydate&amp;release=theatrical&amp;date=2010-01-22&amp;p=.htm" TargetMode="External"/><Relationship Id="rId177" Type="http://schemas.openxmlformats.org/officeDocument/2006/relationships/hyperlink" Target="http://www.boxofficemojo.com/movies/?id=secretariat.htm" TargetMode="External"/><Relationship Id="rId178" Type="http://schemas.openxmlformats.org/officeDocument/2006/relationships/hyperlink" Target="http://www.boxofficemojo.com/studio/chart/?studio=buenavista.htm" TargetMode="External"/><Relationship Id="rId179" Type="http://schemas.openxmlformats.org/officeDocument/2006/relationships/hyperlink" Target="http://www.boxofficemojo.com/schedule/?view=bydate&amp;release=theatrical&amp;date=2010-10-08&amp;p=.htm" TargetMode="External"/><Relationship Id="rId940" Type="http://schemas.openxmlformats.org/officeDocument/2006/relationships/hyperlink" Target="http://www.boxofficemojo.com/studio/chart/?studio=ifc.htm" TargetMode="External"/><Relationship Id="rId941" Type="http://schemas.openxmlformats.org/officeDocument/2006/relationships/hyperlink" Target="http://www.boxofficemojo.com/schedule/?view=bydate&amp;release=theatrical&amp;date=2010-04-23&amp;p=.htm" TargetMode="External"/><Relationship Id="rId942" Type="http://schemas.openxmlformats.org/officeDocument/2006/relationships/hyperlink" Target="http://www.boxofficemojo.com/movies/?id=stonewalluprising.htm" TargetMode="External"/><Relationship Id="rId943" Type="http://schemas.openxmlformats.org/officeDocument/2006/relationships/hyperlink" Target="http://www.boxofficemojo.com/studio/chart/?studio=firstrun.htm" TargetMode="External"/><Relationship Id="rId944" Type="http://schemas.openxmlformats.org/officeDocument/2006/relationships/hyperlink" Target="http://www.boxofficemojo.com/schedule/?view=bydate&amp;release=theatrical&amp;date=2010-06-16&amp;p=.htm" TargetMode="External"/><Relationship Id="rId945" Type="http://schemas.openxmlformats.org/officeDocument/2006/relationships/hyperlink" Target="http://www.boxofficemojo.com/movies/?id=lovelystill.htm" TargetMode="External"/><Relationship Id="rId946" Type="http://schemas.openxmlformats.org/officeDocument/2006/relationships/hyperlink" Target="http://www.boxofficemojo.com/studio/chart/?studio=montereymediainc.htm" TargetMode="External"/><Relationship Id="rId947" Type="http://schemas.openxmlformats.org/officeDocument/2006/relationships/hyperlink" Target="http://www.boxofficemojo.com/schedule/?view=bydate&amp;release=theatrical&amp;date=2010-09-10&amp;p=.htm" TargetMode="External"/><Relationship Id="rId948" Type="http://schemas.openxmlformats.org/officeDocument/2006/relationships/hyperlink" Target="http://www.boxofficemojo.com/movies/?id=ran2010reissue.htm" TargetMode="External"/><Relationship Id="rId949" Type="http://schemas.openxmlformats.org/officeDocument/2006/relationships/hyperlink" Target="http://www.boxofficemojo.com/studio/chart/?studio=rialto.htm" TargetMode="External"/><Relationship Id="rId620" Type="http://schemas.openxmlformats.org/officeDocument/2006/relationships/hyperlink" Target="http://www.boxofficemojo.com/schedule/?view=bydate&amp;release=theatrical&amp;date=2010-08-13&amp;p=.htm" TargetMode="External"/><Relationship Id="rId621" Type="http://schemas.openxmlformats.org/officeDocument/2006/relationships/hyperlink" Target="http://www.boxofficemojo.com/movies/?id=middlemen.htm" TargetMode="External"/><Relationship Id="rId622" Type="http://schemas.openxmlformats.org/officeDocument/2006/relationships/hyperlink" Target="http://www.boxofficemojo.com/studio/chart/?studio=paramountvantage.htm" TargetMode="External"/><Relationship Id="rId623" Type="http://schemas.openxmlformats.org/officeDocument/2006/relationships/hyperlink" Target="http://www.boxofficemojo.com/schedule/?view=bydate&amp;release=theatrical&amp;date=2010-08-06&amp;p=.htm" TargetMode="External"/><Relationship Id="rId624" Type="http://schemas.openxmlformats.org/officeDocument/2006/relationships/hyperlink" Target="http://www.boxofficemojo.com/movies/?id=northface.htm" TargetMode="External"/><Relationship Id="rId625" Type="http://schemas.openxmlformats.org/officeDocument/2006/relationships/hyperlink" Target="http://www.boxofficemojo.com/studio/chart/?studio=musicboxfilms.htm" TargetMode="External"/><Relationship Id="rId626" Type="http://schemas.openxmlformats.org/officeDocument/2006/relationships/hyperlink" Target="http://www.boxofficemojo.com/schedule/?view=bydate&amp;release=theatrical&amp;date=2010-01-29&amp;p=.htm" TargetMode="External"/><Relationship Id="rId627" Type="http://schemas.openxmlformats.org/officeDocument/2006/relationships/hyperlink" Target="http://www.boxofficemojo.com/movies/?id=raavan.htm" TargetMode="External"/><Relationship Id="rId628" Type="http://schemas.openxmlformats.org/officeDocument/2006/relationships/hyperlink" Target="http://www.boxofficemojo.com/studio/chart/?studio=reliancebigpictures.htm" TargetMode="External"/><Relationship Id="rId629" Type="http://schemas.openxmlformats.org/officeDocument/2006/relationships/hyperlink" Target="http://www.boxofficemojo.com/schedule/?view=bydate&amp;release=theatrical&amp;date=2010-06-18&amp;p=.htm" TargetMode="External"/><Relationship Id="rId1300" Type="http://schemas.openxmlformats.org/officeDocument/2006/relationships/hyperlink" Target="http://www.boxofficemojo.com/studio/chart/?studio=strand.htm" TargetMode="External"/><Relationship Id="rId1301" Type="http://schemas.openxmlformats.org/officeDocument/2006/relationships/hyperlink" Target="http://www.boxofficemojo.com/schedule/?view=bydate&amp;release=theatrical&amp;date=2010-11-05&amp;p=.htm" TargetMode="External"/><Relationship Id="rId1302" Type="http://schemas.openxmlformats.org/officeDocument/2006/relationships/hyperlink" Target="http://www.boxofficemojo.com/movies/?id=thegoodheart.htm" TargetMode="External"/><Relationship Id="rId1303" Type="http://schemas.openxmlformats.org/officeDocument/2006/relationships/hyperlink" Target="http://www.boxofficemojo.com/studio/chart/?studio=magnolia.htm" TargetMode="External"/><Relationship Id="rId1304" Type="http://schemas.openxmlformats.org/officeDocument/2006/relationships/hyperlink" Target="http://www.boxofficemojo.com/schedule/?view=bydate&amp;release=theatrical&amp;date=2010-04-30&amp;p=.htm" TargetMode="External"/><Relationship Id="rId1305" Type="http://schemas.openxmlformats.org/officeDocument/2006/relationships/hyperlink" Target="http://www.boxofficemojo.com/movies/?id=douchebag.htm" TargetMode="External"/><Relationship Id="rId1306" Type="http://schemas.openxmlformats.org/officeDocument/2006/relationships/hyperlink" Target="http://www.boxofficemojo.com/studio/chart/?studio=paladin.htm" TargetMode="External"/><Relationship Id="rId1307" Type="http://schemas.openxmlformats.org/officeDocument/2006/relationships/hyperlink" Target="http://www.boxofficemojo.com/schedule/?view=bydate&amp;release=theatrical&amp;date=2010-10-01&amp;p=.htm" TargetMode="External"/><Relationship Id="rId1308" Type="http://schemas.openxmlformats.org/officeDocument/2006/relationships/hyperlink" Target="http://www.boxofficemojo.com/movies/?id=thekorean.htm" TargetMode="External"/><Relationship Id="rId1309" Type="http://schemas.openxmlformats.org/officeDocument/2006/relationships/hyperlink" Target="http://www.boxofficemojo.com/studio/chart/?studio=indican.htm" TargetMode="External"/><Relationship Id="rId300" Type="http://schemas.openxmlformats.org/officeDocument/2006/relationships/hyperlink" Target="http://www.boxofficemojo.com/movies/?id=brooklynsfinest.htm" TargetMode="External"/><Relationship Id="rId301" Type="http://schemas.openxmlformats.org/officeDocument/2006/relationships/hyperlink" Target="http://www.boxofficemojo.com/studio/chart/?studio=overturefilms.htm" TargetMode="External"/><Relationship Id="rId302" Type="http://schemas.openxmlformats.org/officeDocument/2006/relationships/hyperlink" Target="http://www.boxofficemojo.com/schedule/?view=bydate&amp;release=theatrical&amp;date=2010-03-05&amp;p=.htm" TargetMode="External"/><Relationship Id="rId303" Type="http://schemas.openxmlformats.org/officeDocument/2006/relationships/hyperlink" Target="http://www.boxofficemojo.com/movies/?id=machete.htm" TargetMode="External"/><Relationship Id="rId304" Type="http://schemas.openxmlformats.org/officeDocument/2006/relationships/hyperlink" Target="http://www.boxofficemojo.com/studio/chart/?studio=fox.htm" TargetMode="External"/><Relationship Id="rId305" Type="http://schemas.openxmlformats.org/officeDocument/2006/relationships/hyperlink" Target="http://www.boxofficemojo.com/schedule/?view=bydate&amp;release=theatrical&amp;date=2010-09-03&amp;p=.htm" TargetMode="External"/><Relationship Id="rId306" Type="http://schemas.openxmlformats.org/officeDocument/2006/relationships/hyperlink" Target="http://www.boxofficemojo.com/movies/?id=ramona.htm" TargetMode="External"/><Relationship Id="rId307" Type="http://schemas.openxmlformats.org/officeDocument/2006/relationships/hyperlink" Target="http://www.boxofficemojo.com/studio/chart/?studio=fox.htm" TargetMode="External"/><Relationship Id="rId308" Type="http://schemas.openxmlformats.org/officeDocument/2006/relationships/hyperlink" Target="http://www.boxofficemojo.com/schedule/?view=bydate&amp;release=theatrical&amp;date=2010-07-23&amp;p=.htm" TargetMode="External"/><Relationship Id="rId309" Type="http://schemas.openxmlformats.org/officeDocument/2006/relationships/hyperlink" Target="http://www.boxofficemojo.com/movies/?id=leapyear.htm" TargetMode="External"/><Relationship Id="rId1180" Type="http://schemas.openxmlformats.org/officeDocument/2006/relationships/hyperlink" Target="http://www.boxofficemojo.com/studio/chart/?studio=imageentertainment.htm" TargetMode="External"/><Relationship Id="rId1181" Type="http://schemas.openxmlformats.org/officeDocument/2006/relationships/hyperlink" Target="http://www.boxofficemojo.com/schedule/?view=bydate&amp;release=theatrical&amp;date=2010-01-15&amp;p=.htm" TargetMode="External"/><Relationship Id="rId1182" Type="http://schemas.openxmlformats.org/officeDocument/2006/relationships/hyperlink" Target="http://www.boxofficemojo.com/movies/?id=ninenationanimation.htm" TargetMode="External"/><Relationship Id="rId1183" Type="http://schemas.openxmlformats.org/officeDocument/2006/relationships/hyperlink" Target="http://www.boxofficemojo.com/studio/chart/?studio=worldaccordingtoshorts.htm" TargetMode="External"/><Relationship Id="rId1184" Type="http://schemas.openxmlformats.org/officeDocument/2006/relationships/hyperlink" Target="http://www.boxofficemojo.com/schedule/?view=bydate&amp;release=theatrical&amp;date=2010-09-29&amp;p=.htm" TargetMode="External"/><Relationship Id="rId1185" Type="http://schemas.openxmlformats.org/officeDocument/2006/relationships/hyperlink" Target="http://www.boxofficemojo.com/movies/?id=legendofpalemale.htm" TargetMode="External"/><Relationship Id="rId1186" Type="http://schemas.openxmlformats.org/officeDocument/2006/relationships/hyperlink" Target="http://www.boxofficemojo.com/studio/chart/?studio=balcony.htm" TargetMode="External"/><Relationship Id="rId1187" Type="http://schemas.openxmlformats.org/officeDocument/2006/relationships/hyperlink" Target="http://www.boxofficemojo.com/schedule/?view=bydate&amp;release=theatrical&amp;date=2010-11-24&amp;p=.htm" TargetMode="External"/><Relationship Id="rId1188" Type="http://schemas.openxmlformats.org/officeDocument/2006/relationships/hyperlink" Target="http://www.boxofficemojo.com/movies/?id=redbaron.htm" TargetMode="External"/><Relationship Id="rId1189" Type="http://schemas.openxmlformats.org/officeDocument/2006/relationships/hyperlink" Target="http://www.boxofficemojo.com/studio/chart/?studio=montereymediainc.htm" TargetMode="External"/><Relationship Id="rId180" Type="http://schemas.openxmlformats.org/officeDocument/2006/relationships/hyperlink" Target="http://www.boxofficemojo.com/movies/?id=easya.htm" TargetMode="External"/><Relationship Id="rId181" Type="http://schemas.openxmlformats.org/officeDocument/2006/relationships/hyperlink" Target="http://www.boxofficemojo.com/studio/chart/?studio=screengems.htm" TargetMode="External"/><Relationship Id="rId182" Type="http://schemas.openxmlformats.org/officeDocument/2006/relationships/hyperlink" Target="http://www.boxofficemojo.com/schedule/?view=bydate&amp;release=theatrical&amp;date=2010-09-17&amp;p=.htm" TargetMode="External"/><Relationship Id="rId183" Type="http://schemas.openxmlformats.org/officeDocument/2006/relationships/hyperlink" Target="http://www.boxofficemojo.com/movies/?id=bonedeep.htm" TargetMode="External"/><Relationship Id="rId184" Type="http://schemas.openxmlformats.org/officeDocument/2006/relationships/hyperlink" Target="http://www.boxofficemojo.com/studio/chart/?studio=screengems.htm" TargetMode="External"/><Relationship Id="rId185" Type="http://schemas.openxmlformats.org/officeDocument/2006/relationships/hyperlink" Target="http://www.boxofficemojo.com/schedule/?view=bydate&amp;release=theatrical&amp;date=2010-08-27&amp;p=.htm" TargetMode="External"/><Relationship Id="rId186" Type="http://schemas.openxmlformats.org/officeDocument/2006/relationships/hyperlink" Target="http://www.boxofficemojo.com/movies/?id=guardiansofgahoole.htm" TargetMode="External"/><Relationship Id="rId187" Type="http://schemas.openxmlformats.org/officeDocument/2006/relationships/hyperlink" Target="http://www.boxofficemojo.com/studio/chart/?studio=warnerbros.htm" TargetMode="External"/><Relationship Id="rId188" Type="http://schemas.openxmlformats.org/officeDocument/2006/relationships/hyperlink" Target="http://www.boxofficemojo.com/schedule/?view=bydate&amp;release=theatrical&amp;date=2010-09-24&amp;p=.htm" TargetMode="External"/><Relationship Id="rId189" Type="http://schemas.openxmlformats.org/officeDocument/2006/relationships/hyperlink" Target="http://www.boxofficemojo.com/movies/?id=lifeasweknowit.htm" TargetMode="External"/><Relationship Id="rId950" Type="http://schemas.openxmlformats.org/officeDocument/2006/relationships/hyperlink" Target="http://www.boxofficemojo.com/schedule/?view=bydate&amp;release=theatrical&amp;date=2010-02-05&amp;p=.htm" TargetMode="External"/><Relationship Id="rId951" Type="http://schemas.openxmlformats.org/officeDocument/2006/relationships/hyperlink" Target="http://www.boxofficemojo.com/movies/?id=centurion.htm" TargetMode="External"/><Relationship Id="rId952" Type="http://schemas.openxmlformats.org/officeDocument/2006/relationships/hyperlink" Target="http://www.boxofficemojo.com/studio/chart/?studio=magnolia.htm" TargetMode="External"/><Relationship Id="rId953" Type="http://schemas.openxmlformats.org/officeDocument/2006/relationships/hyperlink" Target="http://www.boxofficemojo.com/schedule/?view=bydate&amp;release=theatrical&amp;date=2010-08-27&amp;p=.htm" TargetMode="External"/><Relationship Id="rId954" Type="http://schemas.openxmlformats.org/officeDocument/2006/relationships/hyperlink" Target="http://www.boxofficemojo.com/movies/?id=valleyoftheheartsdelight.htm" TargetMode="External"/><Relationship Id="rId955" Type="http://schemas.openxmlformats.org/officeDocument/2006/relationships/hyperlink" Target="http://www.boxofficemojo.com/studio/chart/?studio=indican.htm" TargetMode="External"/><Relationship Id="rId956" Type="http://schemas.openxmlformats.org/officeDocument/2006/relationships/hyperlink" Target="http://www.boxofficemojo.com/schedule/?view=bydate&amp;release=theatrical&amp;date=2010-04-09&amp;p=.htm" TargetMode="External"/><Relationship Id="rId957" Type="http://schemas.openxmlformats.org/officeDocument/2006/relationships/hyperlink" Target="http://www.boxofficemojo.com/movies/?id=seewhatimsaying.htm" TargetMode="External"/><Relationship Id="rId958" Type="http://schemas.openxmlformats.org/officeDocument/2006/relationships/hyperlink" Target="http://www.boxofficemojo.com/studio/chart/?studio=" TargetMode="External"/><Relationship Id="rId959" Type="http://schemas.openxmlformats.org/officeDocument/2006/relationships/hyperlink" Target="http://www.boxofficemojo.com/schedule/?view=bydate&amp;release=theatrical&amp;date=2010-03-19&amp;p=.htm" TargetMode="External"/><Relationship Id="rId630" Type="http://schemas.openxmlformats.org/officeDocument/2006/relationships/hyperlink" Target="http://www.boxofficemojo.com/movies/?id=secretofkells.htm" TargetMode="External"/><Relationship Id="rId631" Type="http://schemas.openxmlformats.org/officeDocument/2006/relationships/hyperlink" Target="http://www.boxofficemojo.com/studio/chart/?studio=gkids.htm" TargetMode="External"/><Relationship Id="rId632" Type="http://schemas.openxmlformats.org/officeDocument/2006/relationships/hyperlink" Target="http://www.boxofficemojo.com/schedule/?view=bydate&amp;release=theatrical&amp;date=2010-03-05&amp;p=.htm" TargetMode="External"/><Relationship Id="rId633" Type="http://schemas.openxmlformats.org/officeDocument/2006/relationships/hyperlink" Target="http://www.boxofficemojo.com/movies/?id=midaugustlunch.htm" TargetMode="External"/><Relationship Id="rId634" Type="http://schemas.openxmlformats.org/officeDocument/2006/relationships/hyperlink" Target="http://www.boxofficemojo.com/studio/chart/?studio=zeitgeist.htm" TargetMode="External"/><Relationship Id="rId635" Type="http://schemas.openxmlformats.org/officeDocument/2006/relationships/hyperlink" Target="http://www.boxofficemojo.com/schedule/?view=bydate&amp;release=theatrical&amp;date=2010-03-17&amp;p=.htm" TargetMode="External"/><Relationship Id="rId636" Type="http://schemas.openxmlformats.org/officeDocument/2006/relationships/hyperlink" Target="http://www.boxofficemojo.com/movies/?id=polarexpressimax10.htm" TargetMode="External"/><Relationship Id="rId637" Type="http://schemas.openxmlformats.org/officeDocument/2006/relationships/hyperlink" Target="http://www.boxofficemojo.com/studio/chart/?studio=warnerbros.htm" TargetMode="External"/><Relationship Id="rId638" Type="http://schemas.openxmlformats.org/officeDocument/2006/relationships/hyperlink" Target="http://www.boxofficemojo.com/schedule/?view=bydate&amp;release=theatrical&amp;date=2010-12-03&amp;p=.htm" TargetMode="External"/><Relationship Id="rId639" Type="http://schemas.openxmlformats.org/officeDocument/2006/relationships/hyperlink" Target="http://www.boxofficemojo.com/movies/?id=concert.htm" TargetMode="External"/><Relationship Id="rId1310" Type="http://schemas.openxmlformats.org/officeDocument/2006/relationships/hyperlink" Target="http://www.boxofficemojo.com/schedule/?view=bydate&amp;release=theatrical&amp;date=2010-02-05&amp;p=.htm" TargetMode="External"/><Relationship Id="rId1311" Type="http://schemas.openxmlformats.org/officeDocument/2006/relationships/hyperlink" Target="http://www.boxofficemojo.com/movies/?id=doubletake2010.htm" TargetMode="External"/><Relationship Id="rId1312" Type="http://schemas.openxmlformats.org/officeDocument/2006/relationships/hyperlink" Target="http://www.boxofficemojo.com/studio/chart/?studio=kino.htm" TargetMode="External"/><Relationship Id="rId1313" Type="http://schemas.openxmlformats.org/officeDocument/2006/relationships/hyperlink" Target="http://www.boxofficemojo.com/schedule/?view=bydate&amp;release=theatrical&amp;date=2010-06-02&amp;p=.htm" TargetMode="External"/><Relationship Id="rId1314" Type="http://schemas.openxmlformats.org/officeDocument/2006/relationships/hyperlink" Target="http://www.boxofficemojo.com/movies/?id=shoah.htm" TargetMode="External"/><Relationship Id="rId1315" Type="http://schemas.openxmlformats.org/officeDocument/2006/relationships/hyperlink" Target="http://www.boxofficemojo.com/studio/chart/?studio=ifc.htm" TargetMode="External"/><Relationship Id="rId1316" Type="http://schemas.openxmlformats.org/officeDocument/2006/relationships/hyperlink" Target="http://www.boxofficemojo.com/schedule/?view=bydate&amp;release=theatrical&amp;date=2010-12-10&amp;p=.htm" TargetMode="External"/><Relationship Id="rId1317" Type="http://schemas.openxmlformats.org/officeDocument/2006/relationships/hyperlink" Target="http://www.boxofficemojo.com/movies/?id=trial2010.htm" TargetMode="External"/><Relationship Id="rId1318" Type="http://schemas.openxmlformats.org/officeDocument/2006/relationships/hyperlink" Target="http://www.boxofficemojo.com/studio/chart/?studio=mountaintopreleasing.htm" TargetMode="External"/><Relationship Id="rId1319" Type="http://schemas.openxmlformats.org/officeDocument/2006/relationships/hyperlink" Target="http://www.boxofficemojo.com/schedule/?view=bydate&amp;release=theatrical&amp;date=2010-09-10&amp;p=.htm" TargetMode="External"/><Relationship Id="rId310" Type="http://schemas.openxmlformats.org/officeDocument/2006/relationships/hyperlink" Target="http://www.boxofficemojo.com/studio/chart/?studio=universal.htm" TargetMode="External"/><Relationship Id="rId311" Type="http://schemas.openxmlformats.org/officeDocument/2006/relationships/hyperlink" Target="http://www.boxofficemojo.com/schedule/?view=bydate&amp;release=theatrical&amp;date=2010-01-08&amp;p=.htm" TargetMode="External"/><Relationship Id="rId312" Type="http://schemas.openxmlformats.org/officeDocument/2006/relationships/hyperlink" Target="http://www.boxofficemojo.com/movies/?id=youagain.htm" TargetMode="External"/><Relationship Id="rId313" Type="http://schemas.openxmlformats.org/officeDocument/2006/relationships/hyperlink" Target="http://www.boxofficemojo.com/studio/chart/?studio=buenavista.htm" TargetMode="External"/><Relationship Id="rId314" Type="http://schemas.openxmlformats.org/officeDocument/2006/relationships/hyperlink" Target="http://www.boxofficemojo.com/schedule/?view=bydate&amp;release=theatrical&amp;date=2010-09-24&amp;p=.htm" TargetMode="External"/><Relationship Id="rId315" Type="http://schemas.openxmlformats.org/officeDocument/2006/relationships/hyperlink" Target="http://www.boxofficemojo.com/movies/?id=alphaandomega.htm" TargetMode="External"/><Relationship Id="rId316" Type="http://schemas.openxmlformats.org/officeDocument/2006/relationships/hyperlink" Target="http://www.boxofficemojo.com/studio/chart/?studio=lionsgate.htm" TargetMode="External"/><Relationship Id="rId317" Type="http://schemas.openxmlformats.org/officeDocument/2006/relationships/hyperlink" Target="http://www.boxofficemojo.com/schedule/?view=bydate&amp;release=theatrical&amp;date=2010-09-17&amp;p=.htm" TargetMode="External"/><Relationship Id="rId318" Type="http://schemas.openxmlformats.org/officeDocument/2006/relationships/hyperlink" Target="http://www.boxofficemojo.com/movies/?id=piranha3d.htm" TargetMode="External"/><Relationship Id="rId319" Type="http://schemas.openxmlformats.org/officeDocument/2006/relationships/hyperlink" Target="http://www.boxofficemojo.com/studio/chart/?studio=wdimension.htm" TargetMode="External"/><Relationship Id="rId1190" Type="http://schemas.openxmlformats.org/officeDocument/2006/relationships/hyperlink" Target="http://www.boxofficemojo.com/schedule/?view=bydate&amp;release=theatrical&amp;date=2010-03-19&amp;p=.htm" TargetMode="External"/><Relationship Id="rId1191" Type="http://schemas.openxmlformats.org/officeDocument/2006/relationships/hyperlink" Target="http://www.boxofficemojo.com/movies/?id=armyofcrime.htm" TargetMode="External"/><Relationship Id="rId1192" Type="http://schemas.openxmlformats.org/officeDocument/2006/relationships/hyperlink" Target="http://www.boxofficemojo.com/studio/chart/?studio=lorberfilms.htm" TargetMode="External"/><Relationship Id="rId1193" Type="http://schemas.openxmlformats.org/officeDocument/2006/relationships/hyperlink" Target="http://www.boxofficemojo.com/schedule/?view=bydate&amp;release=theatrical&amp;date=2010-08-20&amp;p=.htm" TargetMode="External"/><Relationship Id="rId1194" Type="http://schemas.openxmlformats.org/officeDocument/2006/relationships/hyperlink" Target="http://www.boxofficemojo.com/movies/?id=districtb13ultimatum.htm" TargetMode="External"/><Relationship Id="rId1195" Type="http://schemas.openxmlformats.org/officeDocument/2006/relationships/hyperlink" Target="http://www.boxofficemojo.com/studio/chart/?studio=magnolia.htm" TargetMode="External"/><Relationship Id="rId1196" Type="http://schemas.openxmlformats.org/officeDocument/2006/relationships/hyperlink" Target="http://www.boxofficemojo.com/schedule/?view=bydate&amp;release=theatrical&amp;date=2010-02-05&amp;p=.htm" TargetMode="External"/><Relationship Id="rId1197" Type="http://schemas.openxmlformats.org/officeDocument/2006/relationships/hyperlink" Target="http://www.boxofficemojo.com/movies/?id=guyandmadeline.htm" TargetMode="External"/><Relationship Id="rId1198" Type="http://schemas.openxmlformats.org/officeDocument/2006/relationships/hyperlink" Target="http://www.boxofficemojo.com/studio/chart/?studio=variancefilms.htm" TargetMode="External"/><Relationship Id="rId1199" Type="http://schemas.openxmlformats.org/officeDocument/2006/relationships/hyperlink" Target="http://www.boxofficemojo.com/schedule/?view=bydate&amp;release=theatrical&amp;date=2010-11-05&amp;p=.htm" TargetMode="External"/><Relationship Id="rId190" Type="http://schemas.openxmlformats.org/officeDocument/2006/relationships/hyperlink" Target="http://www.boxofficemojo.com/studio/chart/?studio=warnerbros.htm" TargetMode="External"/><Relationship Id="rId191" Type="http://schemas.openxmlformats.org/officeDocument/2006/relationships/hyperlink" Target="http://www.boxofficemojo.com/schedule/?view=bydate&amp;release=theatrical&amp;date=2010-10-08&amp;p=.htm" TargetMode="External"/><Relationship Id="rId192" Type="http://schemas.openxmlformats.org/officeDocument/2006/relationships/hyperlink" Target="http://www.boxofficemojo.com/movies/?id=letterstojuliet.htm" TargetMode="External"/><Relationship Id="rId193" Type="http://schemas.openxmlformats.org/officeDocument/2006/relationships/hyperlink" Target="http://www.boxofficemojo.com/studio/chart/?studio=summitentertainment.htm" TargetMode="External"/><Relationship Id="rId194" Type="http://schemas.openxmlformats.org/officeDocument/2006/relationships/hyperlink" Target="http://www.boxofficemojo.com/schedule/?view=bydate&amp;release=theatrical&amp;date=2010-05-14&amp;p=.htm" TargetMode="External"/><Relationship Id="rId195" Type="http://schemas.openxmlformats.org/officeDocument/2006/relationships/hyperlink" Target="http://www.boxofficemojo.com/movies/?id=wallstreet2.htm" TargetMode="External"/><Relationship Id="rId196" Type="http://schemas.openxmlformats.org/officeDocument/2006/relationships/hyperlink" Target="http://www.boxofficemojo.com/studio/chart/?studio=fox.htm" TargetMode="External"/><Relationship Id="rId197" Type="http://schemas.openxmlformats.org/officeDocument/2006/relationships/hyperlink" Target="http://www.boxofficemojo.com/schedule/?view=bydate&amp;release=theatrical&amp;date=2010-09-24&amp;p=.htm" TargetMode="External"/><Relationship Id="rId198" Type="http://schemas.openxmlformats.org/officeDocument/2006/relationships/hyperlink" Target="http://www.boxofficemojo.com/movies/?id=hubble3d.htm" TargetMode="External"/><Relationship Id="rId199" Type="http://schemas.openxmlformats.org/officeDocument/2006/relationships/hyperlink" Target="http://www.boxofficemojo.com/studio/chart/?studio=warnerbros.htm" TargetMode="External"/><Relationship Id="rId960" Type="http://schemas.openxmlformats.org/officeDocument/2006/relationships/hyperlink" Target="http://www.boxofficemojo.com/movies/?id=touchinghome.htm" TargetMode="External"/><Relationship Id="rId961" Type="http://schemas.openxmlformats.org/officeDocument/2006/relationships/hyperlink" Target="http://www.boxofficemojo.com/studio/chart/?studio=cfireleasing.htm" TargetMode="External"/><Relationship Id="rId962" Type="http://schemas.openxmlformats.org/officeDocument/2006/relationships/hyperlink" Target="http://www.boxofficemojo.com/schedule/?view=bydate&amp;release=theatrical&amp;date=2010-04-30&amp;p=.htm" TargetMode="External"/><Relationship Id="rId963" Type="http://schemas.openxmlformats.org/officeDocument/2006/relationships/hyperlink" Target="http://www.boxofficemojo.com/movies/?id=greatest2010.htm" TargetMode="External"/><Relationship Id="rId964" Type="http://schemas.openxmlformats.org/officeDocument/2006/relationships/hyperlink" Target="http://www.boxofficemojo.com/studio/chart/?studio=paladin.htm" TargetMode="External"/><Relationship Id="rId965" Type="http://schemas.openxmlformats.org/officeDocument/2006/relationships/hyperlink" Target="http://www.boxofficemojo.com/schedule/?view=bydate&amp;release=theatrical&amp;date=2010-04-02&amp;p=.htm" TargetMode="External"/><Relationship Id="rId966" Type="http://schemas.openxmlformats.org/officeDocument/2006/relationships/hyperlink" Target="http://www.boxofficemojo.com/movies/?id=brannuedae.htm" TargetMode="External"/><Relationship Id="rId967" Type="http://schemas.openxmlformats.org/officeDocument/2006/relationships/hyperlink" Target="http://www.boxofficemojo.com/studio/chart/?studio=fs.htm" TargetMode="External"/><Relationship Id="rId968" Type="http://schemas.openxmlformats.org/officeDocument/2006/relationships/hyperlink" Target="http://www.boxofficemojo.com/schedule/?view=bydate&amp;release=theatrical&amp;date=2010-09-10&amp;p=.htm" TargetMode="External"/><Relationship Id="rId969" Type="http://schemas.openxmlformats.org/officeDocument/2006/relationships/hyperlink" Target="http://www.boxofficemojo.com/movies/?id=marwencol.htm" TargetMode="External"/><Relationship Id="rId640" Type="http://schemas.openxmlformats.org/officeDocument/2006/relationships/hyperlink" Target="http://www.boxofficemojo.com/studio/chart/?studio=weinsteincompany.htm" TargetMode="External"/><Relationship Id="rId641" Type="http://schemas.openxmlformats.org/officeDocument/2006/relationships/hyperlink" Target="http://www.boxofficemojo.com/schedule/?view=bydate&amp;release=theatrical&amp;date=2010-07-30&amp;p=.htm" TargetMode="External"/><Relationship Id="rId642" Type="http://schemas.openxmlformats.org/officeDocument/2006/relationships/hyperlink" Target="http://www.boxofficemojo.com/movies/?id=wearefamily.htm" TargetMode="External"/><Relationship Id="rId643" Type="http://schemas.openxmlformats.org/officeDocument/2006/relationships/hyperlink" Target="http://www.boxofficemojo.com/studio/chart/?studio=utv.htm" TargetMode="External"/><Relationship Id="rId644" Type="http://schemas.openxmlformats.org/officeDocument/2006/relationships/hyperlink" Target="http://www.boxofficemojo.com/schedule/?view=bydate&amp;release=theatrical&amp;date=2010-09-03&amp;p=.htm" TargetMode="External"/><Relationship Id="rId645" Type="http://schemas.openxmlformats.org/officeDocument/2006/relationships/hyperlink" Target="http://www.boxofficemojo.com/movies/?id=virginityhit.htm" TargetMode="External"/><Relationship Id="rId646" Type="http://schemas.openxmlformats.org/officeDocument/2006/relationships/hyperlink" Target="http://www.boxofficemojo.com/studio/chart/?studio=sony.htm" TargetMode="External"/><Relationship Id="rId647" Type="http://schemas.openxmlformats.org/officeDocument/2006/relationships/hyperlink" Target="http://www.boxofficemojo.com/schedule/?view=bydate&amp;release=theatrical&amp;date=2010-09-24&amp;p=.htm" TargetMode="External"/><Relationship Id="rId648" Type="http://schemas.openxmlformats.org/officeDocument/2006/relationships/hyperlink" Target="http://www.boxofficemojo.com/movies/?id=ajami.htm" TargetMode="External"/><Relationship Id="rId649" Type="http://schemas.openxmlformats.org/officeDocument/2006/relationships/hyperlink" Target="http://www.boxofficemojo.com/studio/chart/?studio=kino.htm" TargetMode="External"/><Relationship Id="rId1320" Type="http://schemas.openxmlformats.org/officeDocument/2006/relationships/hyperlink" Target="http://www.boxofficemojo.com/movies/?id=neshoba.htm" TargetMode="External"/><Relationship Id="rId1321" Type="http://schemas.openxmlformats.org/officeDocument/2006/relationships/hyperlink" Target="http://www.boxofficemojo.com/studio/chart/?studio=firstrun.htm" TargetMode="External"/><Relationship Id="rId1322" Type="http://schemas.openxmlformats.org/officeDocument/2006/relationships/hyperlink" Target="http://www.boxofficemojo.com/schedule/?view=bydate&amp;release=theatrical&amp;date=2010-08-13&amp;p=.htm" TargetMode="External"/><Relationship Id="rId1323" Type="http://schemas.openxmlformats.org/officeDocument/2006/relationships/hyperlink" Target="http://www.boxofficemojo.com/movies/?id=peopleivesleptwith.htm" TargetMode="External"/><Relationship Id="rId1324" Type="http://schemas.openxmlformats.org/officeDocument/2006/relationships/hyperlink" Target="http://www.boxofficemojo.com/studio/chart/?studio=peoplepictures.htm" TargetMode="External"/><Relationship Id="rId1325" Type="http://schemas.openxmlformats.org/officeDocument/2006/relationships/hyperlink" Target="http://www.boxofficemojo.com/schedule/?view=bydate&amp;release=theatrical&amp;date=2010-08-13&amp;p=.htm" TargetMode="External"/><Relationship Id="rId1326" Type="http://schemas.openxmlformats.org/officeDocument/2006/relationships/hyperlink" Target="http://www.boxofficemojo.com/movies/?id=offandrunning.htm" TargetMode="External"/><Relationship Id="rId1327" Type="http://schemas.openxmlformats.org/officeDocument/2006/relationships/hyperlink" Target="http://www.boxofficemojo.com/studio/chart/?studio=firstrun.htm" TargetMode="External"/><Relationship Id="rId1328" Type="http://schemas.openxmlformats.org/officeDocument/2006/relationships/hyperlink" Target="http://www.boxofficemojo.com/schedule/?view=bydate&amp;release=theatrical&amp;date=2010-01-29&amp;p=.htm" TargetMode="External"/><Relationship Id="rId1329" Type="http://schemas.openxmlformats.org/officeDocument/2006/relationships/hyperlink" Target="http://www.boxofficemojo.com/movies/?id=nenette.htm" TargetMode="External"/><Relationship Id="rId320" Type="http://schemas.openxmlformats.org/officeDocument/2006/relationships/hyperlink" Target="http://www.boxofficemojo.com/schedule/?view=bydate&amp;release=theatrical&amp;date=2010-08-20&amp;p=.htm" TargetMode="External"/><Relationship Id="rId321" Type="http://schemas.openxmlformats.org/officeDocument/2006/relationships/hyperlink" Target="http://www.boxofficemojo.com/movies/?id=lotteryticket.htm" TargetMode="External"/><Relationship Id="rId322" Type="http://schemas.openxmlformats.org/officeDocument/2006/relationships/hyperlink" Target="http://www.boxofficemojo.com/studio/chart/?studio=warnerbros.htm" TargetMode="External"/><Relationship Id="rId323" Type="http://schemas.openxmlformats.org/officeDocument/2006/relationships/hyperlink" Target="http://www.boxofficemojo.com/schedule/?view=bydate&amp;release=theatrical&amp;date=2010-08-20&amp;p=.htm" TargetMode="External"/><Relationship Id="rId324" Type="http://schemas.openxmlformats.org/officeDocument/2006/relationships/hyperlink" Target="http://www.boxofficemojo.com/movies/?id=spynextdoor.htm" TargetMode="External"/><Relationship Id="rId325" Type="http://schemas.openxmlformats.org/officeDocument/2006/relationships/hyperlink" Target="http://www.boxofficemojo.com/studio/chart/?studio=lionsgate.htm" TargetMode="External"/><Relationship Id="rId1000" Type="http://schemas.openxmlformats.org/officeDocument/2006/relationships/hyperlink" Target="http://www.boxofficemojo.com/studio/chart/?studio=indievestpictures.htm" TargetMode="External"/><Relationship Id="rId1001" Type="http://schemas.openxmlformats.org/officeDocument/2006/relationships/hyperlink" Target="http://www.boxofficemojo.com/schedule/?view=bydate&amp;release=theatrical&amp;date=2010-01-29&amp;p=.htm" TargetMode="External"/><Relationship Id="rId1002" Type="http://schemas.openxmlformats.org/officeDocument/2006/relationships/hyperlink" Target="http://www.boxofficemojo.com/movies/?id=everyoneelse.htm" TargetMode="External"/><Relationship Id="rId1003" Type="http://schemas.openxmlformats.org/officeDocument/2006/relationships/hyperlink" Target="http://www.boxofficemojo.com/studio/chart/?studio=cinemaguild.htm" TargetMode="External"/><Relationship Id="rId1004" Type="http://schemas.openxmlformats.org/officeDocument/2006/relationships/hyperlink" Target="http://www.boxofficemojo.com/schedule/?view=bydate&amp;release=theatrical&amp;date=2010-04-09&amp;p=.htm" TargetMode="External"/><Relationship Id="rId1005" Type="http://schemas.openxmlformats.org/officeDocument/2006/relationships/hyperlink" Target="http://www.boxofficemojo.com/movies/?id=survivalofthedead.htm" TargetMode="External"/><Relationship Id="rId1006" Type="http://schemas.openxmlformats.org/officeDocument/2006/relationships/hyperlink" Target="http://www.boxofficemojo.com/studio/chart/?studio=magnolia.htm" TargetMode="External"/><Relationship Id="rId1007" Type="http://schemas.openxmlformats.org/officeDocument/2006/relationships/hyperlink" Target="http://www.boxofficemojo.com/schedule/?view=bydate&amp;release=theatrical&amp;date=2010-05-28&amp;p=.htm" TargetMode="External"/><Relationship Id="rId1008" Type="http://schemas.openxmlformats.org/officeDocument/2006/relationships/hyperlink" Target="http://www.boxofficemojo.com/movies/?id=freakonomics.htm" TargetMode="External"/><Relationship Id="rId1009" Type="http://schemas.openxmlformats.org/officeDocument/2006/relationships/hyperlink" Target="http://www.boxofficemojo.com/studio/chart/?studio=magnolia.htm" TargetMode="External"/><Relationship Id="rId326" Type="http://schemas.openxmlformats.org/officeDocument/2006/relationships/hyperlink" Target="http://www.boxofficemojo.com/schedule/?view=bydate&amp;release=theatrical&amp;date=2010-01-15&amp;p=.htm" TargetMode="External"/><Relationship Id="rId327" Type="http://schemas.openxmlformats.org/officeDocument/2006/relationships/hyperlink" Target="http://www.boxofficemojo.com/movies/?id=frompariswithlove.htm" TargetMode="External"/><Relationship Id="rId328" Type="http://schemas.openxmlformats.org/officeDocument/2006/relationships/hyperlink" Target="http://www.boxofficemojo.com/studio/chart/?studio=lionsgate.htm" TargetMode="External"/><Relationship Id="rId329" Type="http://schemas.openxmlformats.org/officeDocument/2006/relationships/hyperlink" Target="http://www.boxofficemojo.com/schedule/?view=bydate&amp;release=theatrical&amp;date=2010-02-05&amp;p=.htm" TargetMode="External"/><Relationship Id="rId970" Type="http://schemas.openxmlformats.org/officeDocument/2006/relationships/hyperlink" Target="http://www.boxofficemojo.com/studio/chart/?studio=cinemaguild.htm" TargetMode="External"/><Relationship Id="rId971" Type="http://schemas.openxmlformats.org/officeDocument/2006/relationships/hyperlink" Target="http://www.boxofficemojo.com/schedule/?view=bydate&amp;release=theatrical&amp;date=2010-10-08&amp;p=.htm" TargetMode="External"/><Relationship Id="rId972" Type="http://schemas.openxmlformats.org/officeDocument/2006/relationships/hyperlink" Target="http://www.boxofficemojo.com/movies/?id=letitrain.htm" TargetMode="External"/><Relationship Id="rId973" Type="http://schemas.openxmlformats.org/officeDocument/2006/relationships/hyperlink" Target="http://www.boxofficemojo.com/studio/chart/?studio=ifc.htm" TargetMode="External"/><Relationship Id="rId974" Type="http://schemas.openxmlformats.org/officeDocument/2006/relationships/hyperlink" Target="http://www.boxofficemojo.com/schedule/?view=bydate&amp;release=theatrical&amp;date=2010-06-18&amp;p=.htm" TargetMode="External"/><Relationship Id="rId975" Type="http://schemas.openxmlformats.org/officeDocument/2006/relationships/hyperlink" Target="http://www.boxofficemojo.com/movies/?id=dogtooth.htm" TargetMode="External"/><Relationship Id="rId976" Type="http://schemas.openxmlformats.org/officeDocument/2006/relationships/hyperlink" Target="http://www.boxofficemojo.com/studio/chart/?studio=kino.htm" TargetMode="External"/><Relationship Id="rId977" Type="http://schemas.openxmlformats.org/officeDocument/2006/relationships/hyperlink" Target="http://www.boxofficemojo.com/schedule/?view=bydate&amp;release=theatrical&amp;date=2010-06-25&amp;p=.htm" TargetMode="External"/><Relationship Id="rId978" Type="http://schemas.openxmlformats.org/officeDocument/2006/relationships/hyperlink" Target="http://www.boxofficemojo.com/movies/?id=bestworstmovie.htm" TargetMode="External"/><Relationship Id="rId979" Type="http://schemas.openxmlformats.org/officeDocument/2006/relationships/hyperlink" Target="http://www.boxofficemojo.com/studio/chart/?studio=abramorama.htm" TargetMode="External"/><Relationship Id="rId650" Type="http://schemas.openxmlformats.org/officeDocument/2006/relationships/hyperlink" Target="http://www.boxofficemojo.com/schedule/?view=bydate&amp;release=theatrical&amp;date=2010-02-03&amp;p=.htm" TargetMode="External"/><Relationship Id="rId651" Type="http://schemas.openxmlformats.org/officeDocument/2006/relationships/hyperlink" Target="http://www.boxofficemojo.com/movies/?id=agora.htm" TargetMode="External"/><Relationship Id="rId652" Type="http://schemas.openxmlformats.org/officeDocument/2006/relationships/hyperlink" Target="http://www.boxofficemojo.com/studio/chart/?studio=newmarket.htm" TargetMode="External"/><Relationship Id="rId653" Type="http://schemas.openxmlformats.org/officeDocument/2006/relationships/hyperlink" Target="http://www.boxofficemojo.com/schedule/?view=bydate&amp;release=theatrical&amp;date=2010-05-28&amp;p=.htm" TargetMode="External"/><Relationship Id="rId654" Type="http://schemas.openxmlformats.org/officeDocument/2006/relationships/hyperlink" Target="http://www.boxofficemojo.com/movies/?id=vincere.htm" TargetMode="External"/><Relationship Id="rId655" Type="http://schemas.openxmlformats.org/officeDocument/2006/relationships/hyperlink" Target="http://www.boxofficemojo.com/studio/chart/?studio=ifc.htm" TargetMode="External"/><Relationship Id="rId656" Type="http://schemas.openxmlformats.org/officeDocument/2006/relationships/hyperlink" Target="http://www.boxofficemojo.com/schedule/?view=bydate&amp;release=theatrical&amp;date=2010-03-19&amp;p=.htm" TargetMode="External"/><Relationship Id="rId657" Type="http://schemas.openxmlformats.org/officeDocument/2006/relationships/hyperlink" Target="http://www.boxofficemojo.com/movies/?id=howl.htm" TargetMode="External"/><Relationship Id="rId658" Type="http://schemas.openxmlformats.org/officeDocument/2006/relationships/hyperlink" Target="http://www.boxofficemojo.com/studio/chart/?studio=oscilloscopepictures.htm" TargetMode="External"/><Relationship Id="rId659" Type="http://schemas.openxmlformats.org/officeDocument/2006/relationships/hyperlink" Target="http://www.boxofficemojo.com/schedule/?view=bydate&amp;release=theatrical&amp;date=2010-09-24&amp;p=.htm" TargetMode="External"/><Relationship Id="rId1330" Type="http://schemas.openxmlformats.org/officeDocument/2006/relationships/hyperlink" Target="http://www.boxofficemojo.com/studio/chart/?studio=kino.htm" TargetMode="External"/><Relationship Id="rId1331" Type="http://schemas.openxmlformats.org/officeDocument/2006/relationships/hyperlink" Target="http://www.boxofficemojo.com/schedule/?view=bydate&amp;release=theatrical&amp;date=2010-12-22&amp;p=.htm" TargetMode="External"/><Relationship Id="rId1332" Type="http://schemas.openxmlformats.org/officeDocument/2006/relationships/hyperlink" Target="http://www.boxofficemojo.com/movies/?id=greatdirectors.htm" TargetMode="External"/><Relationship Id="rId1333" Type="http://schemas.openxmlformats.org/officeDocument/2006/relationships/hyperlink" Target="http://www.boxofficemojo.com/studio/chart/?studio=paladin.htm" TargetMode="External"/><Relationship Id="rId1334" Type="http://schemas.openxmlformats.org/officeDocument/2006/relationships/hyperlink" Target="http://www.boxofficemojo.com/schedule/?view=bydate&amp;release=theatrical&amp;date=2010-07-02&amp;p=.htm" TargetMode="External"/><Relationship Id="rId1335" Type="http://schemas.openxmlformats.org/officeDocument/2006/relationships/hyperlink" Target="http://www.boxofficemojo.com/movies/?id=bitchslap.htm" TargetMode="External"/><Relationship Id="rId1336" Type="http://schemas.openxmlformats.org/officeDocument/2006/relationships/hyperlink" Target="http://www.boxofficemojo.com/studio/chart/?studio=fs.htm" TargetMode="External"/><Relationship Id="rId1337" Type="http://schemas.openxmlformats.org/officeDocument/2006/relationships/hyperlink" Target="http://www.boxofficemojo.com/schedule/?view=bydate&amp;release=theatrical&amp;date=2010-01-08&amp;p=.htm" TargetMode="External"/><Relationship Id="rId1338" Type="http://schemas.openxmlformats.org/officeDocument/2006/relationships/hyperlink" Target="http://www.boxofficemojo.com/movies/?id=lawrerelease.htm" TargetMode="External"/><Relationship Id="rId1339" Type="http://schemas.openxmlformats.org/officeDocument/2006/relationships/hyperlink" Target="http://www.boxofficemojo.com/studio/chart/?studio=oscilloscopepictures.htm" TargetMode="External"/><Relationship Id="rId330" Type="http://schemas.openxmlformats.org/officeDocument/2006/relationships/hyperlink" Target="http://www.boxofficemojo.com/movies/?id=losers.htm" TargetMode="External"/><Relationship Id="rId331" Type="http://schemas.openxmlformats.org/officeDocument/2006/relationships/hyperlink" Target="http://www.boxofficemojo.com/studio/chart/?studio=warnerbros.htm" TargetMode="External"/><Relationship Id="rId332" Type="http://schemas.openxmlformats.org/officeDocument/2006/relationships/hyperlink" Target="http://www.boxofficemojo.com/schedule/?view=bydate&amp;release=theatrical&amp;date=2010-04-23&amp;p=.htm" TargetMode="External"/><Relationship Id="rId333" Type="http://schemas.openxmlformats.org/officeDocument/2006/relationships/hyperlink" Target="http://www.boxofficemojo.com/movies/?id=faster10.htm" TargetMode="External"/><Relationship Id="rId334" Type="http://schemas.openxmlformats.org/officeDocument/2006/relationships/hyperlink" Target="http://www.boxofficemojo.com/studio/chart/?studio=cbsfilms.htm" TargetMode="External"/><Relationship Id="rId335" Type="http://schemas.openxmlformats.org/officeDocument/2006/relationships/hyperlink" Target="http://www.boxofficemojo.com/schedule/?view=bydate&amp;release=theatrical&amp;date=2010-11-24&amp;p=.htm" TargetMode="External"/><Relationship Id="rId1010" Type="http://schemas.openxmlformats.org/officeDocument/2006/relationships/hyperlink" Target="http://www.boxofficemojo.com/schedule/?view=bydate&amp;release=theatrical&amp;date=2010-10-01&amp;p=.htm" TargetMode="External"/><Relationship Id="rId1011" Type="http://schemas.openxmlformats.org/officeDocument/2006/relationships/hyperlink" Target="http://www.boxofficemojo.com/movies/?id=feedthefish.htm" TargetMode="External"/><Relationship Id="rId1012" Type="http://schemas.openxmlformats.org/officeDocument/2006/relationships/hyperlink" Target="http://www.boxofficemojo.com/studio/chart/?studio=strand.htm" TargetMode="External"/><Relationship Id="rId1013" Type="http://schemas.openxmlformats.org/officeDocument/2006/relationships/hyperlink" Target="http://www.boxofficemojo.com/schedule/?view=bydate&amp;release=theatrical&amp;date=2010-04-23&amp;p=.htm" TargetMode="External"/><Relationship Id="rId1014" Type="http://schemas.openxmlformats.org/officeDocument/2006/relationships/hyperlink" Target="http://www.boxofficemojo.com/movies/?id=goodguy.htm" TargetMode="External"/><Relationship Id="rId1015" Type="http://schemas.openxmlformats.org/officeDocument/2006/relationships/hyperlink" Target="http://www.boxofficemojo.com/studio/chart/?studio=roadsideattractions.htm" TargetMode="External"/><Relationship Id="rId1016" Type="http://schemas.openxmlformats.org/officeDocument/2006/relationships/hyperlink" Target="http://www.boxofficemojo.com/schedule/?view=bydate&amp;release=theatrical&amp;date=2010-02-19&amp;p=.htm" TargetMode="External"/><Relationship Id="rId1017" Type="http://schemas.openxmlformats.org/officeDocument/2006/relationships/hyperlink" Target="http://www.boxofficemojo.com/movies/?id=8mormonproposition.htm" TargetMode="External"/><Relationship Id="rId1018" Type="http://schemas.openxmlformats.org/officeDocument/2006/relationships/hyperlink" Target="http://www.boxofficemojo.com/studio/chart/?studio=redflag.htm" TargetMode="External"/><Relationship Id="rId1019" Type="http://schemas.openxmlformats.org/officeDocument/2006/relationships/hyperlink" Target="http://www.boxofficemojo.com/schedule/?view=bydate&amp;release=theatrical&amp;date=2010-06-18&amp;p=.htm" TargetMode="External"/><Relationship Id="rId336" Type="http://schemas.openxmlformats.org/officeDocument/2006/relationships/hyperlink" Target="http://www.boxofficemojo.com/movies/?id=justwright.htm" TargetMode="External"/><Relationship Id="rId337" Type="http://schemas.openxmlformats.org/officeDocument/2006/relationships/hyperlink" Target="http://www.boxofficemojo.com/studio/chart/?studio=foxsearchlight.htm" TargetMode="External"/><Relationship Id="rId338" Type="http://schemas.openxmlformats.org/officeDocument/2006/relationships/hyperlink" Target="http://www.boxofficemojo.com/schedule/?view=bydate&amp;release=theatrical&amp;date=2010-05-14&amp;p=.htm" TargetMode="External"/><Relationship Id="rId339" Type="http://schemas.openxmlformats.org/officeDocument/2006/relationships/hyperlink" Target="http://www.boxofficemojo.com/movies/?id=skyline.htm" TargetMode="External"/><Relationship Id="rId980" Type="http://schemas.openxmlformats.org/officeDocument/2006/relationships/hyperlink" Target="http://www.boxofficemojo.com/schedule/?view=bydate&amp;release=theatrical&amp;date=2010-04-23&amp;p=.htm" TargetMode="External"/><Relationship Id="rId981" Type="http://schemas.openxmlformats.org/officeDocument/2006/relationships/hyperlink" Target="http://www.boxofficemojo.com/movies/?id=blooddonesignmyname.htm" TargetMode="External"/><Relationship Id="rId982" Type="http://schemas.openxmlformats.org/officeDocument/2006/relationships/hyperlink" Target="http://www.boxofficemojo.com/studio/chart/?studio=paladin.htm" TargetMode="External"/><Relationship Id="rId983" Type="http://schemas.openxmlformats.org/officeDocument/2006/relationships/hyperlink" Target="http://www.boxofficemojo.com/schedule/?view=bydate&amp;release=theatrical&amp;date=2010-02-19&amp;p=.htm" TargetMode="External"/><Relationship Id="rId984" Type="http://schemas.openxmlformats.org/officeDocument/2006/relationships/hyperlink" Target="http://www.boxofficemojo.com/movies/?id=undertow2010.htm" TargetMode="External"/><Relationship Id="rId985" Type="http://schemas.openxmlformats.org/officeDocument/2006/relationships/hyperlink" Target="http://www.boxofficemojo.com/studio/chart/?studio=filmcollaborative.htm" TargetMode="External"/><Relationship Id="rId986" Type="http://schemas.openxmlformats.org/officeDocument/2006/relationships/hyperlink" Target="http://www.boxofficemojo.com/schedule/?view=bydate&amp;release=theatrical&amp;date=2010-09-17&amp;p=.htm" TargetMode="External"/><Relationship Id="rId987" Type="http://schemas.openxmlformats.org/officeDocument/2006/relationships/hyperlink" Target="http://www.boxofficemojo.com/movies/?id=afterlife10.htm" TargetMode="External"/><Relationship Id="rId988" Type="http://schemas.openxmlformats.org/officeDocument/2006/relationships/hyperlink" Target="http://www.boxofficemojo.com/studio/chart/?studio=anchorbayentertainment.htm" TargetMode="External"/><Relationship Id="rId989" Type="http://schemas.openxmlformats.org/officeDocument/2006/relationships/hyperlink" Target="http://www.boxofficemojo.com/schedule/?view=bydate&amp;release=theatrical&amp;date=2010-04-09&amp;p=.htm" TargetMode="External"/><Relationship Id="rId660" Type="http://schemas.openxmlformats.org/officeDocument/2006/relationships/hyperlink" Target="http://www.boxofficemojo.com/movies/?id=elvis2011.htm" TargetMode="External"/><Relationship Id="rId661" Type="http://schemas.openxmlformats.org/officeDocument/2006/relationships/hyperlink" Target="http://www.boxofficemojo.com/studio/chart/?studio=warnerbros.htm" TargetMode="External"/><Relationship Id="rId662" Type="http://schemas.openxmlformats.org/officeDocument/2006/relationships/hyperlink" Target="http://www.boxofficemojo.com/schedule/?view=bydate&amp;release=theatrical&amp;date=2010-07-29&amp;p=.htm" TargetMode="External"/><Relationship Id="rId663" Type="http://schemas.openxmlformats.org/officeDocument/2006/relationships/hyperlink" Target="http://www.boxofficemojo.com/movies/?id=allgoodthings.htm" TargetMode="External"/><Relationship Id="rId664" Type="http://schemas.openxmlformats.org/officeDocument/2006/relationships/hyperlink" Target="http://www.boxofficemojo.com/studio/chart/?studio=magnolia.htm" TargetMode="External"/><Relationship Id="rId665" Type="http://schemas.openxmlformats.org/officeDocument/2006/relationships/hyperlink" Target="http://www.boxofficemojo.com/schedule/?view=bydate&amp;release=theatrical&amp;date=2010-12-03&amp;p=.htm" TargetMode="External"/><Relationship Id="rId666" Type="http://schemas.openxmlformats.org/officeDocument/2006/relationships/hyperlink" Target="http://www.boxofficemojo.com/movies/?id=tamaradrewe.htm" TargetMode="External"/><Relationship Id="rId667" Type="http://schemas.openxmlformats.org/officeDocument/2006/relationships/hyperlink" Target="http://www.boxofficemojo.com/studio/chart/?studio=sonyclassics.htm" TargetMode="External"/><Relationship Id="rId668" Type="http://schemas.openxmlformats.org/officeDocument/2006/relationships/hyperlink" Target="http://www.boxofficemojo.com/schedule/?view=bydate&amp;release=theatrical&amp;date=2010-10-08&amp;p=.htm" TargetMode="External"/><Relationship Id="rId669" Type="http://schemas.openxmlformats.org/officeDocument/2006/relationships/hyperlink" Target="http://www.boxofficemojo.com/movies/?id=mesrine1.htm" TargetMode="External"/><Relationship Id="rId1340" Type="http://schemas.openxmlformats.org/officeDocument/2006/relationships/hyperlink" Target="http://www.boxofficemojo.com/schedule/?view=bydate&amp;release=theatrical&amp;date=2010-06-23&amp;p=.htm" TargetMode="External"/><Relationship Id="rId1341" Type="http://schemas.openxmlformats.org/officeDocument/2006/relationships/hyperlink" Target="http://www.boxofficemojo.com/movies/?id=carbonnation.htm" TargetMode="External"/><Relationship Id="rId1342" Type="http://schemas.openxmlformats.org/officeDocument/2006/relationships/hyperlink" Target="http://www.boxofficemojo.com/studio/chart/?studio=clayway.htm" TargetMode="External"/><Relationship Id="rId1343" Type="http://schemas.openxmlformats.org/officeDocument/2006/relationships/hyperlink" Target="http://www.boxofficemojo.com/schedule/?view=bydate&amp;release=theatrical&amp;date=2010-05-07&amp;p=.htm" TargetMode="External"/><Relationship Id="rId1344" Type="http://schemas.openxmlformats.org/officeDocument/2006/relationships/hyperlink" Target="http://www.boxofficemojo.com/movies/?id=freebie.htm" TargetMode="External"/><Relationship Id="rId1345" Type="http://schemas.openxmlformats.org/officeDocument/2006/relationships/hyperlink" Target="http://www.boxofficemojo.com/studio/chart/?studio=phase4.htm" TargetMode="External"/><Relationship Id="rId1346" Type="http://schemas.openxmlformats.org/officeDocument/2006/relationships/hyperlink" Target="http://www.boxofficemojo.com/schedule/?view=bydate&amp;release=theatrical&amp;date=2010-09-17&amp;p=.htm" TargetMode="External"/><Relationship Id="rId1347" Type="http://schemas.openxmlformats.org/officeDocument/2006/relationships/hyperlink" Target="http://www.boxofficemojo.com/movies/?id=boyband.htm" TargetMode="External"/><Relationship Id="rId1348" Type="http://schemas.openxmlformats.org/officeDocument/2006/relationships/hyperlink" Target="http://www.boxofficemojo.com/studio/chart/?studio=artigoajemian.htm" TargetMode="External"/><Relationship Id="rId1349" Type="http://schemas.openxmlformats.org/officeDocument/2006/relationships/hyperlink" Target="http://www.boxofficemojo.com/schedule/?view=bydate&amp;release=theatrical&amp;date=2010-06-04&amp;p=.htm" TargetMode="External"/><Relationship Id="rId340" Type="http://schemas.openxmlformats.org/officeDocument/2006/relationships/hyperlink" Target="http://www.boxofficemojo.com/studio/chart/?studio=universal.htm" TargetMode="External"/><Relationship Id="rId341" Type="http://schemas.openxmlformats.org/officeDocument/2006/relationships/hyperlink" Target="http://www.boxofficemojo.com/schedule/?view=bydate&amp;release=theatrical&amp;date=2010-11-12&amp;p=.htm" TargetMode="External"/><Relationship Id="rId342" Type="http://schemas.openxmlformats.org/officeDocument/2006/relationships/hyperlink" Target="http://www.boxofficemojo.com/movies/?id=nextthreedays.htm" TargetMode="External"/><Relationship Id="rId343" Type="http://schemas.openxmlformats.org/officeDocument/2006/relationships/hyperlink" Target="http://www.boxofficemojo.com/studio/chart/?studio=lionsgate.htm" TargetMode="External"/><Relationship Id="rId344" Type="http://schemas.openxmlformats.org/officeDocument/2006/relationships/hyperlink" Target="http://www.boxofficemojo.com/schedule/?view=bydate&amp;release=theatrical&amp;date=2010-11-19&amp;p=.htm" TargetMode="External"/><Relationship Id="rId345" Type="http://schemas.openxmlformats.org/officeDocument/2006/relationships/hyperlink" Target="http://www.boxofficemojo.com/movies/?id=kidsareallright.htm" TargetMode="External"/><Relationship Id="rId1020" Type="http://schemas.openxmlformats.org/officeDocument/2006/relationships/hyperlink" Target="http://www.boxofficemojo.com/movies/?id=bhutto.htm" TargetMode="External"/><Relationship Id="rId1021" Type="http://schemas.openxmlformats.org/officeDocument/2006/relationships/hyperlink" Target="http://www.boxofficemojo.com/studio/chart/?studio=firstrun.htm" TargetMode="External"/><Relationship Id="rId1022" Type="http://schemas.openxmlformats.org/officeDocument/2006/relationships/hyperlink" Target="http://www.boxofficemojo.com/schedule/?view=bydate&amp;release=theatrical&amp;date=2010-12-03&amp;p=.htm" TargetMode="External"/><Relationship Id="rId1023" Type="http://schemas.openxmlformats.org/officeDocument/2006/relationships/hyperlink" Target="http://www.boxofficemojo.com/movies/?id=kingsoftheevening.htm" TargetMode="External"/><Relationship Id="rId1024" Type="http://schemas.openxmlformats.org/officeDocument/2006/relationships/hyperlink" Target="http://www.boxofficemojo.com/studio/chart/?studio=indican.htm" TargetMode="External"/><Relationship Id="rId1025" Type="http://schemas.openxmlformats.org/officeDocument/2006/relationships/hyperlink" Target="http://www.boxofficemojo.com/schedule/?view=bydate&amp;release=theatrical&amp;date=2010-06-11&amp;p=.htm" TargetMode="External"/><Relationship Id="rId1026" Type="http://schemas.openxmlformats.org/officeDocument/2006/relationships/hyperlink" Target="http://www.boxofficemojo.com/movies/?id=outsidethelaw.htm" TargetMode="External"/><Relationship Id="rId1027" Type="http://schemas.openxmlformats.org/officeDocument/2006/relationships/hyperlink" Target="http://www.boxofficemojo.com/studio/chart/?studio=unknown.htm" TargetMode="External"/><Relationship Id="rId1028" Type="http://schemas.openxmlformats.org/officeDocument/2006/relationships/hyperlink" Target="http://www.boxofficemojo.com/schedule/?view=bydate&amp;release=theatrical&amp;date=2010-11-03&amp;p=.htm" TargetMode="External"/><Relationship Id="rId1029" Type="http://schemas.openxmlformats.org/officeDocument/2006/relationships/hyperlink" Target="http://www.boxofficemojo.com/movies/?id=ispitonyourgrave.htm" TargetMode="External"/><Relationship Id="rId346" Type="http://schemas.openxmlformats.org/officeDocument/2006/relationships/hyperlink" Target="http://www.boxofficemojo.com/studio/chart/?studio=focus.htm" TargetMode="External"/><Relationship Id="rId347" Type="http://schemas.openxmlformats.org/officeDocument/2006/relationships/hyperlink" Target="http://www.boxofficemojo.com/schedule/?view=bydate&amp;release=theatrical&amp;date=2010-07-09&amp;p=.htm" TargetMode="External"/><Relationship Id="rId348" Type="http://schemas.openxmlformats.org/officeDocument/2006/relationships/hyperlink" Target="http://www.boxofficemojo.com/movies/?id=ourfamilywedding.htm" TargetMode="External"/><Relationship Id="rId349" Type="http://schemas.openxmlformats.org/officeDocument/2006/relationships/hyperlink" Target="http://www.boxofficemojo.com/studio/chart/?studio=foxsearchlight.htm" TargetMode="External"/><Relationship Id="rId990" Type="http://schemas.openxmlformats.org/officeDocument/2006/relationships/hyperlink" Target="http://www.boxofficemojo.com/movies/?id=wildtarget.htm" TargetMode="External"/><Relationship Id="rId991" Type="http://schemas.openxmlformats.org/officeDocument/2006/relationships/hyperlink" Target="http://www.boxofficemojo.com/studio/chart/?studio=fs.htm" TargetMode="External"/><Relationship Id="rId992" Type="http://schemas.openxmlformats.org/officeDocument/2006/relationships/hyperlink" Target="http://www.boxofficemojo.com/schedule/?view=bydate&amp;release=theatrical&amp;date=2010-10-29&amp;p=.htm" TargetMode="External"/><Relationship Id="rId993" Type="http://schemas.openxmlformats.org/officeDocument/2006/relationships/hyperlink" Target="http://www.boxofficemojo.com/movies/?id=bellamy.htm" TargetMode="External"/><Relationship Id="rId994" Type="http://schemas.openxmlformats.org/officeDocument/2006/relationships/hyperlink" Target="http://www.boxofficemojo.com/studio/chart/?studio=ifc.htm" TargetMode="External"/><Relationship Id="rId995" Type="http://schemas.openxmlformats.org/officeDocument/2006/relationships/hyperlink" Target="http://www.boxofficemojo.com/schedule/?view=bydate&amp;release=theatrical&amp;date=2010-10-29&amp;p=.htm" TargetMode="External"/><Relationship Id="rId996" Type="http://schemas.openxmlformats.org/officeDocument/2006/relationships/hyperlink" Target="http://www.boxofficemojo.com/movies/?id=romantics.htm" TargetMode="External"/><Relationship Id="rId997" Type="http://schemas.openxmlformats.org/officeDocument/2006/relationships/hyperlink" Target="http://www.boxofficemojo.com/studio/chart/?studio=foak.htm" TargetMode="External"/><Relationship Id="rId998" Type="http://schemas.openxmlformats.org/officeDocument/2006/relationships/hyperlink" Target="http://www.boxofficemojo.com/schedule/?view=bydate&amp;release=theatrical&amp;date=2010-09-10&amp;p=.htm" TargetMode="External"/><Relationship Id="rId999" Type="http://schemas.openxmlformats.org/officeDocument/2006/relationships/hyperlink" Target="http://www.boxofficemojo.com/movies/?id=saintjohnoflasvegas.htm" TargetMode="External"/><Relationship Id="rId670" Type="http://schemas.openxmlformats.org/officeDocument/2006/relationships/hyperlink" Target="http://www.boxofficemojo.com/studio/chart/?studio=musicboxfilms.htm" TargetMode="External"/><Relationship Id="rId671" Type="http://schemas.openxmlformats.org/officeDocument/2006/relationships/hyperlink" Target="http://www.boxofficemojo.com/schedule/?view=bydate&amp;release=theatrical&amp;date=2010-08-27&amp;p=.htm" TargetMode="External"/><Relationship Id="rId672" Type="http://schemas.openxmlformats.org/officeDocument/2006/relationships/hyperlink" Target="http://www.boxofficemojo.com/movies/?id=mother2010.htm" TargetMode="External"/><Relationship Id="rId673" Type="http://schemas.openxmlformats.org/officeDocument/2006/relationships/hyperlink" Target="http://www.boxofficemojo.com/studio/chart/?studio=magnolia.htm" TargetMode="External"/><Relationship Id="rId674" Type="http://schemas.openxmlformats.org/officeDocument/2006/relationships/hyperlink" Target="http://www.boxofficemojo.com/schedule/?view=bydate&amp;release=theatrical&amp;date=2010-03-12&amp;p=.htm" TargetMode="External"/><Relationship Id="rId675" Type="http://schemas.openxmlformats.org/officeDocument/2006/relationships/hyperlink" Target="http://www.boxofficemojo.com/movies/?id=ondine.htm" TargetMode="External"/><Relationship Id="rId676" Type="http://schemas.openxmlformats.org/officeDocument/2006/relationships/hyperlink" Target="http://www.boxofficemojo.com/studio/chart/?studio=magnolia.htm" TargetMode="External"/><Relationship Id="rId677" Type="http://schemas.openxmlformats.org/officeDocument/2006/relationships/hyperlink" Target="http://www.boxofficemojo.com/schedule/?view=bydate&amp;release=theatrical&amp;date=2010-06-04&amp;p=.htm" TargetMode="External"/><Relationship Id="rId678" Type="http://schemas.openxmlformats.org/officeDocument/2006/relationships/hyperlink" Target="http://www.boxofficemojo.com/movies/?id=theartofthesteal.htm" TargetMode="External"/><Relationship Id="rId679" Type="http://schemas.openxmlformats.org/officeDocument/2006/relationships/hyperlink" Target="http://www.boxofficemojo.com/studio/chart/?studio=ifc.htm" TargetMode="External"/><Relationship Id="rId1350" Type="http://schemas.openxmlformats.org/officeDocument/2006/relationships/hyperlink" Target="http://www.boxofficemojo.com/movies/?id=dreamkiller.htm" TargetMode="External"/><Relationship Id="rId1351" Type="http://schemas.openxmlformats.org/officeDocument/2006/relationships/hyperlink" Target="http://www.boxofficemojo.com/studio/chart/?studio=delawarepictures.htm" TargetMode="External"/><Relationship Id="rId1352" Type="http://schemas.openxmlformats.org/officeDocument/2006/relationships/hyperlink" Target="http://www.boxofficemojo.com/schedule/?view=bydate&amp;release=theatrical&amp;date=2010-02-19&amp;p=.htm" TargetMode="External"/><Relationship Id="rId1353" Type="http://schemas.openxmlformats.org/officeDocument/2006/relationships/hyperlink" Target="http://www.boxofficemojo.com/movies/?id=twoescobars.htm" TargetMode="External"/><Relationship Id="rId1354" Type="http://schemas.openxmlformats.org/officeDocument/2006/relationships/hyperlink" Target="http://www.boxofficemojo.com/studio/chart/?studio=allrise.htm" TargetMode="External"/><Relationship Id="rId1355" Type="http://schemas.openxmlformats.org/officeDocument/2006/relationships/hyperlink" Target="http://www.boxofficemojo.com/schedule/?view=bydate&amp;release=theatrical&amp;date=2010-08-27&amp;p=.htm" TargetMode="External"/><Relationship Id="rId1356" Type="http://schemas.openxmlformats.org/officeDocument/2006/relationships/hyperlink" Target="http://www.boxofficemojo.com/movies/?id=ghettophysics.htm" TargetMode="External"/><Relationship Id="rId1357" Type="http://schemas.openxmlformats.org/officeDocument/2006/relationships/hyperlink" Target="http://www.boxofficemojo.com/studio/chart/?studio=samuelgoldwyn.htm" TargetMode="External"/><Relationship Id="rId1358" Type="http://schemas.openxmlformats.org/officeDocument/2006/relationships/hyperlink" Target="http://www.boxofficemojo.com/schedule/?view=bydate&amp;release=theatrical&amp;date=2010-10-08&amp;p=.htm" TargetMode="External"/><Relationship Id="rId1359" Type="http://schemas.openxmlformats.org/officeDocument/2006/relationships/hyperlink" Target="http://www.boxofficemojo.com/movies/?id=donmckay.htm" TargetMode="External"/><Relationship Id="rId350" Type="http://schemas.openxmlformats.org/officeDocument/2006/relationships/hyperlink" Target="http://www.boxofficemojo.com/schedule/?view=bydate&amp;release=theatrical&amp;date=2010-03-12&amp;p=.htm" TargetMode="External"/><Relationship Id="rId351" Type="http://schemas.openxmlformats.org/officeDocument/2006/relationships/hyperlink" Target="http://www.boxofficemojo.com/movies/?id=countrystrong.htm" TargetMode="External"/><Relationship Id="rId352" Type="http://schemas.openxmlformats.org/officeDocument/2006/relationships/hyperlink" Target="http://www.boxofficemojo.com/studio/chart/?studio=screengems.htm" TargetMode="External"/><Relationship Id="rId353" Type="http://schemas.openxmlformats.org/officeDocument/2006/relationships/hyperlink" Target="http://www.boxofficemojo.com/schedule/?view=bydate&amp;release=theatrical&amp;date=2010-12-22&amp;p=.htm" TargetMode="External"/><Relationship Id="rId354" Type="http://schemas.openxmlformats.org/officeDocument/2006/relationships/hyperlink" Target="http://www.boxofficemojo.com/movies/?id=oceans.htm" TargetMode="External"/><Relationship Id="rId355" Type="http://schemas.openxmlformats.org/officeDocument/2006/relationships/hyperlink" Target="http://www.boxofficemojo.com/studio/chart/?studio=buenavista.htm" TargetMode="External"/><Relationship Id="rId1030" Type="http://schemas.openxmlformats.org/officeDocument/2006/relationships/hyperlink" Target="http://www.boxofficemojo.com/studio/chart/?studio=anchorbayentertainment.htm" TargetMode="External"/><Relationship Id="rId1031" Type="http://schemas.openxmlformats.org/officeDocument/2006/relationships/hyperlink" Target="http://www.boxofficemojo.com/schedule/?view=bydate&amp;release=theatrical&amp;date=2010-10-08&amp;p=.htm" TargetMode="External"/><Relationship Id="rId1032" Type="http://schemas.openxmlformats.org/officeDocument/2006/relationships/hyperlink" Target="http://www.boxofficemojo.com/movies/?id=oyveymysonisgay.htm" TargetMode="External"/><Relationship Id="rId1033" Type="http://schemas.openxmlformats.org/officeDocument/2006/relationships/hyperlink" Target="http://www.boxofficemojo.com/studio/chart/?studio=saintjuste.htm" TargetMode="External"/><Relationship Id="rId1034" Type="http://schemas.openxmlformats.org/officeDocument/2006/relationships/hyperlink" Target="http://www.boxofficemojo.com/schedule/?view=bydate&amp;release=theatrical&amp;date=2010-12-24&amp;p=.htm" TargetMode="External"/><Relationship Id="rId1035" Type="http://schemas.openxmlformats.org/officeDocument/2006/relationships/hyperlink" Target="http://www.boxofficemojo.com/movies/?id=oss117lostinrio.htm" TargetMode="External"/><Relationship Id="rId1036" Type="http://schemas.openxmlformats.org/officeDocument/2006/relationships/hyperlink" Target="http://www.boxofficemojo.com/studio/chart/?studio=musicboxfilms.htm" TargetMode="External"/><Relationship Id="rId1037" Type="http://schemas.openxmlformats.org/officeDocument/2006/relationships/hyperlink" Target="http://www.boxofficemojo.com/schedule/?view=bydate&amp;release=theatrical&amp;date=2010-05-07&amp;p=.htm" TargetMode="External"/><Relationship Id="rId1038" Type="http://schemas.openxmlformats.org/officeDocument/2006/relationships/hyperlink" Target="http://www.boxofficemojo.com/movies/?id=crazyontheoutside.htm" TargetMode="External"/><Relationship Id="rId1039" Type="http://schemas.openxmlformats.org/officeDocument/2006/relationships/hyperlink" Target="http://www.boxofficemojo.com/studio/chart/?studio=fs.htm" TargetMode="External"/><Relationship Id="rId356" Type="http://schemas.openxmlformats.org/officeDocument/2006/relationships/hyperlink" Target="http://www.boxofficemojo.com/schedule/?view=bydate&amp;release=theatrical&amp;date=2010-04-22&amp;p=.htm" TargetMode="External"/><Relationship Id="rId357" Type="http://schemas.openxmlformats.org/officeDocument/2006/relationships/hyperlink" Target="http://www.boxofficemojo.com/movies/?id=rememberme.htm" TargetMode="External"/><Relationship Id="rId358" Type="http://schemas.openxmlformats.org/officeDocument/2006/relationships/hyperlink" Target="http://www.boxofficemojo.com/studio/chart/?studio=summitentertainment.htm" TargetMode="External"/><Relationship Id="rId359" Type="http://schemas.openxmlformats.org/officeDocument/2006/relationships/hyperlink" Target="http://www.boxofficemojo.com/schedule/?view=bydate&amp;release=theatrical&amp;date=2010-03-12&amp;p=.htm" TargetMode="External"/><Relationship Id="rId800" Type="http://schemas.openxmlformats.org/officeDocument/2006/relationships/hyperlink" Target="http://www.boxofficemojo.com/schedule/?view=bydate&amp;release=theatrical&amp;date=2010-08-20&amp;p=.htm" TargetMode="External"/><Relationship Id="rId801" Type="http://schemas.openxmlformats.org/officeDocument/2006/relationships/hyperlink" Target="http://www.boxofficemojo.com/movies/?id=mesrine2.htm" TargetMode="External"/><Relationship Id="rId802" Type="http://schemas.openxmlformats.org/officeDocument/2006/relationships/hyperlink" Target="http://www.boxofficemojo.com/studio/chart/?studio=musicboxfilms.htm" TargetMode="External"/><Relationship Id="rId803" Type="http://schemas.openxmlformats.org/officeDocument/2006/relationships/hyperlink" Target="http://www.boxofficemojo.com/schedule/?view=bydate&amp;release=theatrical&amp;date=2010-09-03&amp;p=.htm" TargetMode="External"/><Relationship Id="rId804" Type="http://schemas.openxmlformats.org/officeDocument/2006/relationships/hyperlink" Target="http://www.boxofficemojo.com/movies/?id=countdowntozero.htm" TargetMode="External"/><Relationship Id="rId805" Type="http://schemas.openxmlformats.org/officeDocument/2006/relationships/hyperlink" Target="http://www.boxofficemojo.com/studio/chart/?studio=magnolia.htm" TargetMode="External"/><Relationship Id="rId806" Type="http://schemas.openxmlformats.org/officeDocument/2006/relationships/hyperlink" Target="http://www.boxofficemojo.com/schedule/?view=bydate&amp;release=theatrical&amp;date=2010-07-23&amp;p=.htm" TargetMode="External"/><Relationship Id="rId807" Type="http://schemas.openxmlformats.org/officeDocument/2006/relationships/hyperlink" Target="http://www.boxofficemojo.com/movies/?id=radiantchild.htm" TargetMode="External"/><Relationship Id="rId808" Type="http://schemas.openxmlformats.org/officeDocument/2006/relationships/hyperlink" Target="http://www.boxofficemojo.com/studio/chart/?studio=arthousefilms.htm" TargetMode="External"/><Relationship Id="rId809" Type="http://schemas.openxmlformats.org/officeDocument/2006/relationships/hyperlink" Target="http://www.boxofficemojo.com/schedule/?view=bydate&amp;release=theatrical&amp;date=2010-07-21&amp;p=.htm" TargetMode="External"/><Relationship Id="rId680" Type="http://schemas.openxmlformats.org/officeDocument/2006/relationships/hyperlink" Target="http://www.boxofficemojo.com/schedule/?view=bydate&amp;release=theatrical&amp;date=2010-02-26&amp;p=.htm" TargetMode="External"/><Relationship Id="rId681" Type="http://schemas.openxmlformats.org/officeDocument/2006/relationships/hyperlink" Target="http://www.boxofficemojo.com/movies/?id=jackgoesboating.htm" TargetMode="External"/><Relationship Id="rId682" Type="http://schemas.openxmlformats.org/officeDocument/2006/relationships/hyperlink" Target="http://www.boxofficemojo.com/studio/chart/?studio=overturefilms.htm" TargetMode="External"/><Relationship Id="rId683" Type="http://schemas.openxmlformats.org/officeDocument/2006/relationships/hyperlink" Target="http://www.boxofficemojo.com/schedule/?view=bydate&amp;release=theatrical&amp;date=2010-09-17&amp;p=.htm" TargetMode="External"/><Relationship Id="rId684" Type="http://schemas.openxmlformats.org/officeDocument/2006/relationships/hyperlink" Target="http://www.boxofficemojo.com/movies/?id=khattameetha.htm" TargetMode="External"/><Relationship Id="rId685" Type="http://schemas.openxmlformats.org/officeDocument/2006/relationships/hyperlink" Target="http://www.boxofficemojo.com/studio/chart/?studio=eros.htm" TargetMode="External"/><Relationship Id="rId686" Type="http://schemas.openxmlformats.org/officeDocument/2006/relationships/hyperlink" Target="http://www.boxofficemojo.com/schedule/?view=bydate&amp;release=theatrical&amp;date=2010-07-23&amp;p=.htm" TargetMode="External"/><Relationship Id="rId687" Type="http://schemas.openxmlformats.org/officeDocument/2006/relationships/hyperlink" Target="http://www.boxofficemojo.com/movies/?id=standingovation.htm" TargetMode="External"/><Relationship Id="rId688" Type="http://schemas.openxmlformats.org/officeDocument/2006/relationships/hyperlink" Target="http://www.boxofficemojo.com/studio/chart/?studio=rockymountainpictures.htm" TargetMode="External"/><Relationship Id="rId689" Type="http://schemas.openxmlformats.org/officeDocument/2006/relationships/hyperlink" Target="http://www.boxofficemojo.com/schedule/?view=bydate&amp;release=theatrical&amp;date=2010-07-16&amp;p=.htm" TargetMode="External"/><Relationship Id="rId1360" Type="http://schemas.openxmlformats.org/officeDocument/2006/relationships/hyperlink" Target="http://www.boxofficemojo.com/studio/chart/?studio=imageentertainment.htm" TargetMode="External"/><Relationship Id="rId1361" Type="http://schemas.openxmlformats.org/officeDocument/2006/relationships/hyperlink" Target="http://www.boxofficemojo.com/schedule/?view=bydate&amp;release=theatrical&amp;date=2010-04-02&amp;p=.htm" TargetMode="External"/><Relationship Id="rId1362" Type="http://schemas.openxmlformats.org/officeDocument/2006/relationships/hyperlink" Target="http://www.boxofficemojo.com/movies/?id=paperman.htm" TargetMode="External"/><Relationship Id="rId1363" Type="http://schemas.openxmlformats.org/officeDocument/2006/relationships/hyperlink" Target="http://www.boxofficemojo.com/studio/chart/?studio=mpimediagroup.htm" TargetMode="External"/><Relationship Id="rId1364" Type="http://schemas.openxmlformats.org/officeDocument/2006/relationships/hyperlink" Target="http://www.boxofficemojo.com/schedule/?view=bydate&amp;release=theatrical&amp;date=2010-04-23&amp;p=.htm" TargetMode="External"/><Relationship Id="rId1365" Type="http://schemas.openxmlformats.org/officeDocument/2006/relationships/hyperlink" Target="http://www.boxofficemojo.com/movies/?id=handsomeharry.htm" TargetMode="External"/><Relationship Id="rId1366" Type="http://schemas.openxmlformats.org/officeDocument/2006/relationships/hyperlink" Target="http://www.boxofficemojo.com/studio/chart/?studio=paladin.htm" TargetMode="External"/><Relationship Id="rId1367" Type="http://schemas.openxmlformats.org/officeDocument/2006/relationships/hyperlink" Target="http://www.boxofficemojo.com/schedule/?view=bydate&amp;release=theatrical&amp;date=2010-04-16&amp;p=.htm" TargetMode="External"/><Relationship Id="rId1368" Type="http://schemas.openxmlformats.org/officeDocument/2006/relationships/hyperlink" Target="http://www.boxofficemojo.com/movies/?id=violettendencies.htm" TargetMode="External"/><Relationship Id="rId1369" Type="http://schemas.openxmlformats.org/officeDocument/2006/relationships/hyperlink" Target="http://www.boxofficemojo.com/studio/chart/?studio=embrem.htm" TargetMode="External"/><Relationship Id="rId360" Type="http://schemas.openxmlformats.org/officeDocument/2006/relationships/hyperlink" Target="http://www.boxofficemojo.com/movies/?id=127hours.htm" TargetMode="External"/><Relationship Id="rId361" Type="http://schemas.openxmlformats.org/officeDocument/2006/relationships/hyperlink" Target="http://www.boxofficemojo.com/studio/chart/?studio=foxsearchlight.htm" TargetMode="External"/><Relationship Id="rId362" Type="http://schemas.openxmlformats.org/officeDocument/2006/relationships/hyperlink" Target="http://www.boxofficemojo.com/schedule/?view=bydate&amp;release=theatrical&amp;date=2010-11-05&amp;p=.htm" TargetMode="External"/><Relationship Id="rId363" Type="http://schemas.openxmlformats.org/officeDocument/2006/relationships/hyperlink" Target="http://www.boxofficemojo.com/movies/?id=goingthedistance10.htm" TargetMode="External"/><Relationship Id="rId364" Type="http://schemas.openxmlformats.org/officeDocument/2006/relationships/hyperlink" Target="http://www.boxofficemojo.com/studio/chart/?studio=wb-newline.htm" TargetMode="External"/><Relationship Id="rId365" Type="http://schemas.openxmlformats.org/officeDocument/2006/relationships/hyperlink" Target="http://www.boxofficemojo.com/schedule/?view=bydate&amp;release=theatrical&amp;date=2010-09-03&amp;p=.htm" TargetMode="External"/><Relationship Id="rId1040" Type="http://schemas.openxmlformats.org/officeDocument/2006/relationships/hyperlink" Target="http://www.boxofficemojo.com/schedule/?view=bydate&amp;release=theatrical&amp;date=2010-01-08&amp;p=.htm" TargetMode="External"/><Relationship Id="rId1041" Type="http://schemas.openxmlformats.org/officeDocument/2006/relationships/hyperlink" Target="http://www.boxofficemojo.com/movies/?id=cartel.htm" TargetMode="External"/><Relationship Id="rId1042" Type="http://schemas.openxmlformats.org/officeDocument/2006/relationships/hyperlink" Target="http://www.boxofficemojo.com/studio/chart/?studio=movingpictures.htm" TargetMode="External"/><Relationship Id="rId1043" Type="http://schemas.openxmlformats.org/officeDocument/2006/relationships/hyperlink" Target="http://www.boxofficemojo.com/schedule/?view=bydate&amp;release=theatrical&amp;date=2010-04-16&amp;p=.htm" TargetMode="External"/><Relationship Id="rId1044" Type="http://schemas.openxmlformats.org/officeDocument/2006/relationships/hyperlink" Target="http://www.boxofficemojo.com/movies/?id=nooneknowsaboutpersiancats.htm" TargetMode="External"/><Relationship Id="rId1045" Type="http://schemas.openxmlformats.org/officeDocument/2006/relationships/hyperlink" Target="http://www.boxofficemojo.com/studio/chart/?studio=ifc.htm" TargetMode="External"/><Relationship Id="rId1046" Type="http://schemas.openxmlformats.org/officeDocument/2006/relationships/hyperlink" Target="http://www.boxofficemojo.com/schedule/?view=bydate&amp;release=theatrical&amp;date=2010-04-16&amp;p=.htm" TargetMode="External"/><Relationship Id="rId1047" Type="http://schemas.openxmlformats.org/officeDocument/2006/relationships/hyperlink" Target="http://www.boxofficemojo.com/movies/?id=kisses.htm" TargetMode="External"/><Relationship Id="rId1048" Type="http://schemas.openxmlformats.org/officeDocument/2006/relationships/hyperlink" Target="http://www.boxofficemojo.com/studio/chart/?studio=oscilloscopepictures.htm" TargetMode="External"/><Relationship Id="rId1049" Type="http://schemas.openxmlformats.org/officeDocument/2006/relationships/hyperlink" Target="http://www.boxofficemojo.com/schedule/?view=bydate&amp;release=theatrical&amp;date=2010-07-16&amp;p=.htm" TargetMode="External"/><Relationship Id="rId366" Type="http://schemas.openxmlformats.org/officeDocument/2006/relationships/hyperlink" Target="http://www.boxofficemojo.com/movies/?id=furryvengeance.htm" TargetMode="External"/><Relationship Id="rId367" Type="http://schemas.openxmlformats.org/officeDocument/2006/relationships/hyperlink" Target="http://www.boxofficemojo.com/studio/chart/?studio=summitentertainment.htm" TargetMode="External"/><Relationship Id="rId368" Type="http://schemas.openxmlformats.org/officeDocument/2006/relationships/hyperlink" Target="http://www.boxofficemojo.com/schedule/?view=bydate&amp;release=theatrical&amp;date=2010-04-30&amp;p=.htm" TargetMode="External"/><Relationship Id="rId369" Type="http://schemas.openxmlformats.org/officeDocument/2006/relationships/hyperlink" Target="http://www.boxofficemojo.com/movies/?id=splice.htm" TargetMode="External"/><Relationship Id="rId810" Type="http://schemas.openxmlformats.org/officeDocument/2006/relationships/hyperlink" Target="http://www.boxofficemojo.com/movies/?id=mydogtulip.htm" TargetMode="External"/><Relationship Id="rId811" Type="http://schemas.openxmlformats.org/officeDocument/2006/relationships/hyperlink" Target="http://www.boxofficemojo.com/studio/chart/?studio=newyorker.htm" TargetMode="External"/><Relationship Id="rId812" Type="http://schemas.openxmlformats.org/officeDocument/2006/relationships/hyperlink" Target="http://www.boxofficemojo.com/schedule/?view=bydate&amp;release=theatrical&amp;date=2010-09-01&amp;p=.htm" TargetMode="External"/><Relationship Id="rId813" Type="http://schemas.openxmlformats.org/officeDocument/2006/relationships/hyperlink" Target="http://www.boxofficemojo.com/movies/?id=frozen.htm" TargetMode="External"/><Relationship Id="rId814" Type="http://schemas.openxmlformats.org/officeDocument/2006/relationships/hyperlink" Target="http://www.boxofficemojo.com/studio/chart/?studio=anchorbayentertainment.htm" TargetMode="External"/><Relationship Id="rId815" Type="http://schemas.openxmlformats.org/officeDocument/2006/relationships/hyperlink" Target="http://www.boxofficemojo.com/schedule/?view=bydate&amp;release=theatrical&amp;date=2010-02-05&amp;p=.htm" TargetMode="External"/><Relationship Id="rId816" Type="http://schemas.openxmlformats.org/officeDocument/2006/relationships/hyperlink" Target="http://www.boxofficemojo.com/movies/?id=whenyourestrange.htm" TargetMode="External"/><Relationship Id="rId817" Type="http://schemas.openxmlformats.org/officeDocument/2006/relationships/hyperlink" Target="http://www.boxofficemojo.com/studio/chart/?studio=abramorama.htm" TargetMode="External"/><Relationship Id="rId818" Type="http://schemas.openxmlformats.org/officeDocument/2006/relationships/hyperlink" Target="http://www.boxofficemojo.com/schedule/?view=bydate&amp;release=theatrical&amp;date=2010-04-09&amp;p=.htm" TargetMode="External"/><Relationship Id="rId819" Type="http://schemas.openxmlformats.org/officeDocument/2006/relationships/hyperlink" Target="http://www.boxofficemojo.com/movies/?id=monsters2010.htm" TargetMode="External"/><Relationship Id="rId690" Type="http://schemas.openxmlformats.org/officeDocument/2006/relationships/hyperlink" Target="http://www.boxofficemojo.com/movies/?id=mademoisellechambon.htm" TargetMode="External"/><Relationship Id="rId691" Type="http://schemas.openxmlformats.org/officeDocument/2006/relationships/hyperlink" Target="http://www.boxofficemojo.com/studio/chart/?studio=lorberfilms.htm" TargetMode="External"/><Relationship Id="rId692" Type="http://schemas.openxmlformats.org/officeDocument/2006/relationships/hyperlink" Target="http://www.boxofficemojo.com/schedule/?view=bydate&amp;release=theatrical&amp;date=2010-05-28&amp;p=.htm" TargetMode="External"/><Relationship Id="rId693" Type="http://schemas.openxmlformats.org/officeDocument/2006/relationships/hyperlink" Target="http://www.boxofficemojo.com/movies/?id=metropolis2010reissue.htm" TargetMode="External"/><Relationship Id="rId694" Type="http://schemas.openxmlformats.org/officeDocument/2006/relationships/hyperlink" Target="http://www.boxofficemojo.com/studio/chart/?studio=kino.htm" TargetMode="External"/><Relationship Id="rId695" Type="http://schemas.openxmlformats.org/officeDocument/2006/relationships/hyperlink" Target="http://www.boxofficemojo.com/schedule/?view=bydate&amp;release=theatrical&amp;date=2010-05-07&amp;p=.htm" TargetMode="External"/><Relationship Id="rId696" Type="http://schemas.openxmlformats.org/officeDocument/2006/relationships/hyperlink" Target="http://www.boxofficemojo.com/movies/?id=manfromnowhere.htm" TargetMode="External"/><Relationship Id="rId697" Type="http://schemas.openxmlformats.org/officeDocument/2006/relationships/hyperlink" Target="http://www.boxofficemojo.com/studio/chart/?studio=cjentertainment.htm" TargetMode="External"/><Relationship Id="rId698" Type="http://schemas.openxmlformats.org/officeDocument/2006/relationships/hyperlink" Target="http://www.boxofficemojo.com/schedule/?view=bydate&amp;release=theatrical&amp;date=2010-10-01&amp;p=.htm" TargetMode="External"/><Relationship Id="rId699" Type="http://schemas.openxmlformats.org/officeDocument/2006/relationships/hyperlink" Target="http://www.boxofficemojo.com/movies/?id=veer2010.htm" TargetMode="External"/><Relationship Id="rId1370" Type="http://schemas.openxmlformats.org/officeDocument/2006/relationships/hyperlink" Target="http://www.boxofficemojo.com/schedule/?view=bydate&amp;release=theatrical&amp;date=2010-11-05&amp;p=.htm" TargetMode="External"/><Relationship Id="rId1371" Type="http://schemas.openxmlformats.org/officeDocument/2006/relationships/hyperlink" Target="http://www.boxofficemojo.com/movies/?id=jim2010.htm" TargetMode="External"/><Relationship Id="rId1372" Type="http://schemas.openxmlformats.org/officeDocument/2006/relationships/hyperlink" Target="http://www.boxofficemojo.com/studio/chart/?studio=area23a.htm" TargetMode="External"/><Relationship Id="rId1373" Type="http://schemas.openxmlformats.org/officeDocument/2006/relationships/hyperlink" Target="http://www.boxofficemojo.com/schedule/?view=bydate&amp;release=theatrical&amp;date=2010-10-08&amp;p=.htm" TargetMode="External"/><Relationship Id="rId1374" Type="http://schemas.openxmlformats.org/officeDocument/2006/relationships/hyperlink" Target="http://www.boxofficemojo.com/movies/?id=livingwake.htm" TargetMode="External"/><Relationship Id="rId1375" Type="http://schemas.openxmlformats.org/officeDocument/2006/relationships/hyperlink" Target="http://www.boxofficemojo.com/studio/chart/?studio=mangustaproductions.htm" TargetMode="External"/><Relationship Id="rId1376" Type="http://schemas.openxmlformats.org/officeDocument/2006/relationships/hyperlink" Target="http://www.boxofficemojo.com/schedule/?view=bydate&amp;release=theatrical&amp;date=2010-05-14&amp;p=.htm" TargetMode="External"/><Relationship Id="rId1377" Type="http://schemas.openxmlformats.org/officeDocument/2006/relationships/hyperlink" Target="http://www.boxofficemojo.com/movies/?id=kidsgrowup.htm" TargetMode="External"/><Relationship Id="rId1378" Type="http://schemas.openxmlformats.org/officeDocument/2006/relationships/hyperlink" Target="http://www.boxofficemojo.com/studio/chart/?studio=shadow.htm" TargetMode="External"/><Relationship Id="rId1379" Type="http://schemas.openxmlformats.org/officeDocument/2006/relationships/hyperlink" Target="http://www.boxofficemojo.com/schedule/?view=bydate&amp;release=theatrical&amp;date=2010-10-29&amp;p=.htm" TargetMode="External"/><Relationship Id="rId370" Type="http://schemas.openxmlformats.org/officeDocument/2006/relationships/hyperlink" Target="http://www.boxofficemojo.com/studio/chart/?studio=warnerbros.htm" TargetMode="External"/><Relationship Id="rId371" Type="http://schemas.openxmlformats.org/officeDocument/2006/relationships/hyperlink" Target="http://www.boxofficemojo.com/schedule/?view=bydate&amp;release=theatrical&amp;date=2010-06-04&amp;p=.htm" TargetMode="External"/><Relationship Id="rId372" Type="http://schemas.openxmlformats.org/officeDocument/2006/relationships/hyperlink" Target="http://www.boxofficemojo.com/movies/?id=theghostwriter.htm" TargetMode="External"/><Relationship Id="rId373" Type="http://schemas.openxmlformats.org/officeDocument/2006/relationships/hyperlink" Target="http://www.boxofficemojo.com/studio/chart/?studio=summitentertainment.htm" TargetMode="External"/><Relationship Id="rId374" Type="http://schemas.openxmlformats.org/officeDocument/2006/relationships/hyperlink" Target="http://www.boxofficemojo.com/schedule/?view=bydate&amp;release=theatrical&amp;date=2010-02-19&amp;p=.htm" TargetMode="External"/><Relationship Id="rId375" Type="http://schemas.openxmlformats.org/officeDocument/2006/relationships/hyperlink" Target="http://www.boxofficemojo.com/movies/?id=youthinrevolt.htm" TargetMode="External"/><Relationship Id="rId1050" Type="http://schemas.openxmlformats.org/officeDocument/2006/relationships/hyperlink" Target="http://www.boxofficemojo.com/movies/?id=summerwars.htm" TargetMode="External"/><Relationship Id="rId1051" Type="http://schemas.openxmlformats.org/officeDocument/2006/relationships/hyperlink" Target="http://www.boxofficemojo.com/studio/chart/?studio=gkids.htm" TargetMode="External"/><Relationship Id="rId1052" Type="http://schemas.openxmlformats.org/officeDocument/2006/relationships/hyperlink" Target="http://www.boxofficemojo.com/schedule/?view=bydate&amp;release=theatrical&amp;date=2010-12-24&amp;p=.htm" TargetMode="External"/><Relationship Id="rId1053" Type="http://schemas.openxmlformats.org/officeDocument/2006/relationships/hyperlink" Target="http://www.boxofficemojo.com/movies/?id=wakingsleepingbeauty.htm" TargetMode="External"/><Relationship Id="rId1054" Type="http://schemas.openxmlformats.org/officeDocument/2006/relationships/hyperlink" Target="http://www.boxofficemojo.com/studio/chart/?studio=buenavista.htm" TargetMode="External"/><Relationship Id="rId1055" Type="http://schemas.openxmlformats.org/officeDocument/2006/relationships/hyperlink" Target="http://www.boxofficemojo.com/schedule/?view=bydate&amp;release=theatrical&amp;date=2010-03-26&amp;p=.htm" TargetMode="External"/><Relationship Id="rId1056" Type="http://schemas.openxmlformats.org/officeDocument/2006/relationships/hyperlink" Target="http://www.boxofficemojo.com/movies/?id=breakingupward.htm" TargetMode="External"/><Relationship Id="rId1057" Type="http://schemas.openxmlformats.org/officeDocument/2006/relationships/hyperlink" Target="http://www.boxofficemojo.com/studio/chart/?studio=ifc.htm" TargetMode="External"/><Relationship Id="rId1058" Type="http://schemas.openxmlformats.org/officeDocument/2006/relationships/hyperlink" Target="http://www.boxofficemojo.com/schedule/?view=bydate&amp;release=theatrical&amp;date=2010-04-02&amp;p=.htm" TargetMode="External"/><Relationship Id="rId1059" Type="http://schemas.openxmlformats.org/officeDocument/2006/relationships/hyperlink" Target="http://www.boxofficemojo.com/movies/?id=nightcatchesus.htm" TargetMode="External"/><Relationship Id="rId376" Type="http://schemas.openxmlformats.org/officeDocument/2006/relationships/hyperlink" Target="http://www.boxofficemojo.com/studio/chart/?studio=wdimension.htm" TargetMode="External"/><Relationship Id="rId377" Type="http://schemas.openxmlformats.org/officeDocument/2006/relationships/hyperlink" Target="http://www.boxofficemojo.com/schedule/?view=bydate&amp;release=theatrical&amp;date=2010-01-08&amp;p=.htm" TargetMode="External"/><Relationship Id="rId378" Type="http://schemas.openxmlformats.org/officeDocument/2006/relationships/hyperlink" Target="http://www.boxofficemojo.com/movies/?id=mysoultotake.htm" TargetMode="External"/><Relationship Id="rId379" Type="http://schemas.openxmlformats.org/officeDocument/2006/relationships/hyperlink" Target="http://www.boxofficemojo.com/studio/chart/?studio=universal.htm" TargetMode="External"/><Relationship Id="rId820" Type="http://schemas.openxmlformats.org/officeDocument/2006/relationships/hyperlink" Target="http://www.boxofficemojo.com/studio/chart/?studio=magnolia.htm" TargetMode="External"/><Relationship Id="rId821" Type="http://schemas.openxmlformats.org/officeDocument/2006/relationships/hyperlink" Target="http://www.boxofficemojo.com/schedule/?view=bydate&amp;release=theatrical&amp;date=2010-10-29&amp;p=.htm" TargetMode="External"/><Relationship Id="rId822" Type="http://schemas.openxmlformats.org/officeDocument/2006/relationships/hyperlink" Target="http://www.boxofficemojo.com/movies/?id=rareexports.htm" TargetMode="External"/><Relationship Id="rId823" Type="http://schemas.openxmlformats.org/officeDocument/2006/relationships/hyperlink" Target="http://www.boxofficemojo.com/studio/chart/?studio=oscilloscopepictures.htm" TargetMode="External"/><Relationship Id="rId824" Type="http://schemas.openxmlformats.org/officeDocument/2006/relationships/hyperlink" Target="http://www.boxofficemojo.com/schedule/?view=bydate&amp;release=theatrical&amp;date=2010-12-03&amp;p=.htm" TargetMode="External"/><Relationship Id="rId825" Type="http://schemas.openxmlformats.org/officeDocument/2006/relationships/hyperlink" Target="http://www.boxofficemojo.com/movies/?id=exorcist10.htm" TargetMode="External"/><Relationship Id="rId826" Type="http://schemas.openxmlformats.org/officeDocument/2006/relationships/hyperlink" Target="http://www.boxofficemojo.com/studio/chart/?studio=warnerbros.htm" TargetMode="External"/><Relationship Id="rId827" Type="http://schemas.openxmlformats.org/officeDocument/2006/relationships/hyperlink" Target="http://www.boxofficemojo.com/schedule/?view=bydate&amp;release=theatrical&amp;date=2010-09-30&amp;p=.htm" TargetMode="External"/><Relationship Id="rId828" Type="http://schemas.openxmlformats.org/officeDocument/2006/relationships/hyperlink" Target="http://www.boxofficemojo.com/movies/?id=formosabetrayed.htm" TargetMode="External"/><Relationship Id="rId829" Type="http://schemas.openxmlformats.org/officeDocument/2006/relationships/hyperlink" Target="http://www.boxofficemojo.com/studio/chart/?studio=screenmedia.htm" TargetMode="External"/><Relationship Id="rId1500" Type="http://schemas.openxmlformats.org/officeDocument/2006/relationships/hyperlink" Target="http://www.boxofficemojo.com/movies/?id=midnightreckoning.htm" TargetMode="External"/><Relationship Id="rId1501" Type="http://schemas.openxmlformats.org/officeDocument/2006/relationships/hyperlink" Target="http://www.boxofficemojo.com/studio/chart/?studio=winterstar.htm" TargetMode="External"/><Relationship Id="rId1502" Type="http://schemas.openxmlformats.org/officeDocument/2006/relationships/hyperlink" Target="http://www.boxofficemojo.com/schedule/?view=bydate&amp;release=theatrical&amp;date=2010-09-10&amp;p=.htm" TargetMode="External"/><Relationship Id="rId1503" Type="http://schemas.openxmlformats.org/officeDocument/2006/relationships/hyperlink" Target="http://www.boxofficemojo.com/movies/?id=americangrindhouse.htm" TargetMode="External"/><Relationship Id="rId1504" Type="http://schemas.openxmlformats.org/officeDocument/2006/relationships/hyperlink" Target="http://www.boxofficemojo.com/studio/chart/?studio=lorberfilms.htm" TargetMode="External"/><Relationship Id="rId1505" Type="http://schemas.openxmlformats.org/officeDocument/2006/relationships/hyperlink" Target="http://www.boxofficemojo.com/schedule/?view=bydate&amp;release=theatrical&amp;date=2010-06-18&amp;p=.htm" TargetMode="External"/><Relationship Id="rId1506" Type="http://schemas.openxmlformats.org/officeDocument/2006/relationships/hyperlink" Target="http://www.boxofficemojo.com/movies/?id=whizkids.htm" TargetMode="External"/><Relationship Id="rId1507" Type="http://schemas.openxmlformats.org/officeDocument/2006/relationships/hyperlink" Target="http://www.boxofficemojo.com/studio/chart/?studio=shadow.htm" TargetMode="External"/><Relationship Id="rId1508" Type="http://schemas.openxmlformats.org/officeDocument/2006/relationships/hyperlink" Target="http://www.boxofficemojo.com/schedule/?view=bydate&amp;release=theatrical&amp;date=2010-06-04&amp;p=.htm" TargetMode="External"/><Relationship Id="rId1509" Type="http://schemas.openxmlformats.org/officeDocument/2006/relationships/hyperlink" Target="http://www.boxofficemojo.com/movies/?id=speeddating.htm" TargetMode="External"/><Relationship Id="rId500" Type="http://schemas.openxmlformats.org/officeDocument/2006/relationships/hyperlink" Target="http://www.boxofficemojo.com/schedule/?view=bydate&amp;release=theatrical&amp;date=2010-04-09&amp;p=.htm" TargetMode="External"/><Relationship Id="rId501" Type="http://schemas.openxmlformats.org/officeDocument/2006/relationships/hyperlink" Target="http://www.boxofficemojo.com/movies/?id=nsecure.htm" TargetMode="External"/><Relationship Id="rId502" Type="http://schemas.openxmlformats.org/officeDocument/2006/relationships/hyperlink" Target="http://www.boxofficemojo.com/studio/chart/?studio=fs.htm" TargetMode="External"/><Relationship Id="rId503" Type="http://schemas.openxmlformats.org/officeDocument/2006/relationships/hyperlink" Target="http://www.boxofficemojo.com/schedule/?view=bydate&amp;release=theatrical&amp;date=2010-10-15&amp;p=.htm" TargetMode="External"/><Relationship Id="rId504" Type="http://schemas.openxmlformats.org/officeDocument/2006/relationships/hyperlink" Target="http://www.boxofficemojo.com/movies/?id=neverletmego.htm" TargetMode="External"/><Relationship Id="rId505" Type="http://schemas.openxmlformats.org/officeDocument/2006/relationships/hyperlink" Target="http://www.boxofficemojo.com/studio/chart/?studio=foxsearchlight.htm" TargetMode="External"/><Relationship Id="rId506" Type="http://schemas.openxmlformats.org/officeDocument/2006/relationships/hyperlink" Target="http://www.boxofficemojo.com/schedule/?view=bydate&amp;release=theatrical&amp;date=2010-09-15&amp;p=.htm" TargetMode="External"/><Relationship Id="rId507" Type="http://schemas.openxmlformats.org/officeDocument/2006/relationships/hyperlink" Target="http://www.boxofficemojo.com/movies/?id=twilightnewmooncombo.htm" TargetMode="External"/><Relationship Id="rId508" Type="http://schemas.openxmlformats.org/officeDocument/2006/relationships/hyperlink" Target="http://www.boxofficemojo.com/studio/chart/?studio=summitentertainment.htm" TargetMode="External"/><Relationship Id="rId509" Type="http://schemas.openxmlformats.org/officeDocument/2006/relationships/hyperlink" Target="http://www.boxofficemojo.com/schedule/?view=bydate&amp;release=theatrical&amp;date=2010-06-29&amp;p=.htm" TargetMode="External"/><Relationship Id="rId1380" Type="http://schemas.openxmlformats.org/officeDocument/2006/relationships/hyperlink" Target="http://www.boxofficemojo.com/movies/?id=pictureme.htm" TargetMode="External"/><Relationship Id="rId1381" Type="http://schemas.openxmlformats.org/officeDocument/2006/relationships/hyperlink" Target="http://www.boxofficemojo.com/studio/chart/?studio=strand.htm" TargetMode="External"/><Relationship Id="rId1382" Type="http://schemas.openxmlformats.org/officeDocument/2006/relationships/hyperlink" Target="http://www.boxofficemojo.com/schedule/?view=bydate&amp;release=theatrical&amp;date=2010-09-17&amp;p=.htm" TargetMode="External"/><Relationship Id="rId1383" Type="http://schemas.openxmlformats.org/officeDocument/2006/relationships/hyperlink" Target="http://www.boxofficemojo.com/movies/?id=dryland.htm" TargetMode="External"/><Relationship Id="rId1384" Type="http://schemas.openxmlformats.org/officeDocument/2006/relationships/hyperlink" Target="http://www.boxofficemojo.com/studio/chart/?studio=fs.htm" TargetMode="External"/><Relationship Id="rId1385" Type="http://schemas.openxmlformats.org/officeDocument/2006/relationships/hyperlink" Target="http://www.boxofficemojo.com/schedule/?view=bydate&amp;release=theatrical&amp;date=2010-07-30&amp;p=.htm" TargetMode="External"/><Relationship Id="rId1386" Type="http://schemas.openxmlformats.org/officeDocument/2006/relationships/hyperlink" Target="http://www.boxofficemojo.com/movies/?id=whitewedding.htm" TargetMode="External"/><Relationship Id="rId1387" Type="http://schemas.openxmlformats.org/officeDocument/2006/relationships/hyperlink" Target="http://www.boxofficemojo.com/studio/chart/?studio=dada.htm" TargetMode="External"/><Relationship Id="rId1388" Type="http://schemas.openxmlformats.org/officeDocument/2006/relationships/hyperlink" Target="http://www.boxofficemojo.com/schedule/?view=bydate&amp;release=theatrical&amp;date=2010-09-03&amp;p=.htm" TargetMode="External"/><Relationship Id="rId1389" Type="http://schemas.openxmlformats.org/officeDocument/2006/relationships/hyperlink" Target="http://www.boxofficemojo.com/movies/?id=saltofthesea.htm" TargetMode="External"/><Relationship Id="rId380" Type="http://schemas.openxmlformats.org/officeDocument/2006/relationships/hyperlink" Target="http://www.boxofficemojo.com/schedule/?view=bydate&amp;release=theatrical&amp;date=2010-10-08&amp;p=.htm" TargetMode="External"/><Relationship Id="rId381" Type="http://schemas.openxmlformats.org/officeDocument/2006/relationships/hyperlink" Target="http://www.boxofficemojo.com/movies/?id=repossessionmambo.htm" TargetMode="External"/><Relationship Id="rId382" Type="http://schemas.openxmlformats.org/officeDocument/2006/relationships/hyperlink" Target="http://www.boxofficemojo.com/studio/chart/?studio=universal.htm" TargetMode="External"/><Relationship Id="rId383" Type="http://schemas.openxmlformats.org/officeDocument/2006/relationships/hyperlink" Target="http://www.boxofficemojo.com/schedule/?view=bydate&amp;release=theatrical&amp;date=2010-03-19&amp;p=.htm" TargetMode="External"/><Relationship Id="rId384" Type="http://schemas.openxmlformats.org/officeDocument/2006/relationships/hyperlink" Target="http://www.boxofficemojo.com/movies/?id=case39.htm" TargetMode="External"/><Relationship Id="rId385" Type="http://schemas.openxmlformats.org/officeDocument/2006/relationships/hyperlink" Target="http://www.boxofficemojo.com/studio/chart/?studio=paramountvantage.htm" TargetMode="External"/><Relationship Id="rId1060" Type="http://schemas.openxmlformats.org/officeDocument/2006/relationships/hyperlink" Target="http://www.boxofficemojo.com/studio/chart/?studio=magnolia.htm" TargetMode="External"/><Relationship Id="rId1061" Type="http://schemas.openxmlformats.org/officeDocument/2006/relationships/hyperlink" Target="http://www.boxofficemojo.com/schedule/?view=bydate&amp;release=theatrical&amp;date=2010-12-03&amp;p=.htm" TargetMode="External"/><Relationship Id="rId1062" Type="http://schemas.openxmlformats.org/officeDocument/2006/relationships/hyperlink" Target="http://www.boxofficemojo.com/movies/?id=prodigalsons.htm" TargetMode="External"/><Relationship Id="rId1063" Type="http://schemas.openxmlformats.org/officeDocument/2006/relationships/hyperlink" Target="http://www.boxofficemojo.com/studio/chart/?studio=firstrun.htm" TargetMode="External"/><Relationship Id="rId1064" Type="http://schemas.openxmlformats.org/officeDocument/2006/relationships/hyperlink" Target="http://www.boxofficemojo.com/schedule/?view=bydate&amp;release=theatrical&amp;date=2010-02-26&amp;p=.htm" TargetMode="External"/><Relationship Id="rId1065" Type="http://schemas.openxmlformats.org/officeDocument/2006/relationships/hyperlink" Target="http://www.boxofficemojo.com/movies/?id=enemiesofthepeople.htm" TargetMode="External"/><Relationship Id="rId386" Type="http://schemas.openxmlformats.org/officeDocument/2006/relationships/hyperlink" Target="http://www.boxofficemojo.com/schedule/?view=bydate&amp;release=theatrical&amp;date=2010-10-01&amp;p=.htm" TargetMode="External"/><Relationship Id="rId387" Type="http://schemas.openxmlformats.org/officeDocument/2006/relationships/hyperlink" Target="http://www.boxofficemojo.com/movies/?id=lettherightonein09.htm" TargetMode="External"/><Relationship Id="rId388" Type="http://schemas.openxmlformats.org/officeDocument/2006/relationships/hyperlink" Target="http://www.boxofficemojo.com/studio/chart/?studio=overturefilms.htm" TargetMode="External"/><Relationship Id="rId389" Type="http://schemas.openxmlformats.org/officeDocument/2006/relationships/hyperlink" Target="http://www.boxofficemojo.com/schedule/?view=bydate&amp;release=theatrical&amp;date=2010-10-01&amp;p=.htm" TargetMode="External"/><Relationship Id="rId1066" Type="http://schemas.openxmlformats.org/officeDocument/2006/relationships/hyperlink" Target="http://www.boxofficemojo.com/studio/chart/?studio=intlfilmcircuit.htm" TargetMode="External"/><Relationship Id="rId1067" Type="http://schemas.openxmlformats.org/officeDocument/2006/relationships/hyperlink" Target="http://www.boxofficemojo.com/schedule/?view=bydate&amp;release=theatrical&amp;date=2010-07-30&amp;p=.htm" TargetMode="External"/><Relationship Id="rId1068" Type="http://schemas.openxmlformats.org/officeDocument/2006/relationships/hyperlink" Target="http://www.boxofficemojo.com/movies/?id=siciliangirl.htm" TargetMode="External"/><Relationship Id="rId1069" Type="http://schemas.openxmlformats.org/officeDocument/2006/relationships/hyperlink" Target="http://www.boxofficemojo.com/studio/chart/?studio=musicboxfilms.htm" TargetMode="External"/><Relationship Id="rId830" Type="http://schemas.openxmlformats.org/officeDocument/2006/relationships/hyperlink" Target="http://www.boxofficemojo.com/schedule/?view=bydate&amp;release=theatrical&amp;date=2010-02-26&amp;p=.htm" TargetMode="External"/><Relationship Id="rId831" Type="http://schemas.openxmlformats.org/officeDocument/2006/relationships/hyperlink" Target="http://www.boxofficemojo.com/movies/?id=blackwatersofechospond.htm" TargetMode="External"/><Relationship Id="rId832" Type="http://schemas.openxmlformats.org/officeDocument/2006/relationships/hyperlink" Target="http://www.boxofficemojo.com/studio/chart/?studio=" TargetMode="External"/><Relationship Id="rId833" Type="http://schemas.openxmlformats.org/officeDocument/2006/relationships/hyperlink" Target="http://www.boxofficemojo.com/schedule/?view=bydate&amp;release=theatrical&amp;date=2010-04-09&amp;p=.htm" TargetMode="External"/><Relationship Id="rId834" Type="http://schemas.openxmlformats.org/officeDocument/2006/relationships/hyperlink" Target="http://www.boxofficemojo.com/movies/?id=killerinsideme.htm" TargetMode="External"/><Relationship Id="rId835" Type="http://schemas.openxmlformats.org/officeDocument/2006/relationships/hyperlink" Target="http://www.boxofficemojo.com/studio/chart/?studio=ifc.htm" TargetMode="External"/><Relationship Id="rId836" Type="http://schemas.openxmlformats.org/officeDocument/2006/relationships/hyperlink" Target="http://www.boxofficemojo.com/schedule/?view=bydate&amp;release=theatrical&amp;date=2010-06-18&amp;p=.htm" TargetMode="External"/><Relationship Id="rId837" Type="http://schemas.openxmlformats.org/officeDocument/2006/relationships/hyperlink" Target="http://www.boxofficemojo.com/movies/?id=lasoga.htm" TargetMode="External"/><Relationship Id="rId838" Type="http://schemas.openxmlformats.org/officeDocument/2006/relationships/hyperlink" Target="http://www.boxofficemojo.com/studio/chart/?studio=757releasing.htm" TargetMode="External"/><Relationship Id="rId839" Type="http://schemas.openxmlformats.org/officeDocument/2006/relationships/hyperlink" Target="http://www.boxofficemojo.com/schedule/?view=bydate&amp;release=theatrical&amp;date=2010-08-13&amp;p=.htm" TargetMode="External"/><Relationship Id="rId1510" Type="http://schemas.openxmlformats.org/officeDocument/2006/relationships/hyperlink" Target="http://www.boxofficemojo.com/studio/chart/?studio=rockstone.htm" TargetMode="External"/><Relationship Id="rId1511" Type="http://schemas.openxmlformats.org/officeDocument/2006/relationships/hyperlink" Target="http://www.boxofficemojo.com/schedule/?view=bydate&amp;release=theatrical&amp;date=2010-06-04&amp;p=.htm" TargetMode="External"/><Relationship Id="rId1512" Type="http://schemas.openxmlformats.org/officeDocument/2006/relationships/hyperlink" Target="http://www.boxofficemojo.com/movies/?id=hadewijch.htm" TargetMode="External"/><Relationship Id="rId1513" Type="http://schemas.openxmlformats.org/officeDocument/2006/relationships/hyperlink" Target="http://www.boxofficemojo.com/studio/chart/?studio=ifc.htm" TargetMode="External"/><Relationship Id="rId1514" Type="http://schemas.openxmlformats.org/officeDocument/2006/relationships/hyperlink" Target="http://www.boxofficemojo.com/schedule/?view=bydate&amp;release=theatrical&amp;date=2010-12-24&amp;p=.htm" TargetMode="External"/><Relationship Id="rId1515" Type="http://schemas.openxmlformats.org/officeDocument/2006/relationships/hyperlink" Target="http://www.boxofficemojo.com/movies/?id=oxfordmurders.htm" TargetMode="External"/><Relationship Id="rId1516" Type="http://schemas.openxmlformats.org/officeDocument/2006/relationships/hyperlink" Target="http://www.boxofficemojo.com/studio/chart/?studio=magnolia.htm" TargetMode="External"/><Relationship Id="rId1517" Type="http://schemas.openxmlformats.org/officeDocument/2006/relationships/hyperlink" Target="http://www.boxofficemojo.com/schedule/?view=bydate&amp;release=theatrical&amp;date=2010-08-06&amp;p=.htm" TargetMode="External"/><Relationship Id="rId1518" Type="http://schemas.openxmlformats.org/officeDocument/2006/relationships/hyperlink" Target="http://www.boxofficemojo.com/movies/?id=todieishard.htm" TargetMode="External"/><Relationship Id="rId1519" Type="http://schemas.openxmlformats.org/officeDocument/2006/relationships/hyperlink" Target="http://www.boxofficemojo.com/studio/chart/?studio=drivingwithoureyesshut.htm" TargetMode="External"/><Relationship Id="rId510" Type="http://schemas.openxmlformats.org/officeDocument/2006/relationships/hyperlink" Target="http://www.boxofficemojo.com/movies/?id=illusionist2010.htm" TargetMode="External"/><Relationship Id="rId511" Type="http://schemas.openxmlformats.org/officeDocument/2006/relationships/hyperlink" Target="http://www.boxofficemojo.com/studio/chart/?studio=sonyclassics.htm" TargetMode="External"/><Relationship Id="rId512" Type="http://schemas.openxmlformats.org/officeDocument/2006/relationships/hyperlink" Target="http://www.boxofficemojo.com/schedule/?view=bydate&amp;release=theatrical&amp;date=2010-12-25&amp;p=.htm" TargetMode="External"/><Relationship Id="rId513" Type="http://schemas.openxmlformats.org/officeDocument/2006/relationships/hyperlink" Target="http://www.boxofficemojo.com/movies/?id=rabbithole.htm" TargetMode="External"/><Relationship Id="rId514" Type="http://schemas.openxmlformats.org/officeDocument/2006/relationships/hyperlink" Target="http://www.boxofficemojo.com/studio/chart/?studio=lionsgate.htm" TargetMode="External"/><Relationship Id="rId515" Type="http://schemas.openxmlformats.org/officeDocument/2006/relationships/hyperlink" Target="http://www.boxofficemojo.com/schedule/?view=bydate&amp;release=theatrical&amp;date=2010-12-17&amp;p=.htm" TargetMode="External"/><Relationship Id="rId516" Type="http://schemas.openxmlformats.org/officeDocument/2006/relationships/hyperlink" Target="http://www.boxofficemojo.com/movies/?id=aprophet.htm" TargetMode="External"/><Relationship Id="rId517" Type="http://schemas.openxmlformats.org/officeDocument/2006/relationships/hyperlink" Target="http://www.boxofficemojo.com/studio/chart/?studio=sonyclassics.htm" TargetMode="External"/><Relationship Id="rId518" Type="http://schemas.openxmlformats.org/officeDocument/2006/relationships/hyperlink" Target="http://www.boxofficemojo.com/schedule/?view=bydate&amp;release=theatrical&amp;date=2010-02-26&amp;p=.htm" TargetMode="External"/><Relationship Id="rId519" Type="http://schemas.openxmlformats.org/officeDocument/2006/relationships/hyperlink" Target="http://www.boxofficemojo.com/movies/?id=iloveyouphillipmorris.htm" TargetMode="External"/><Relationship Id="rId1390" Type="http://schemas.openxmlformats.org/officeDocument/2006/relationships/hyperlink" Target="http://www.boxofficemojo.com/studio/chart/?studio=lorberfilms.htm" TargetMode="External"/><Relationship Id="rId1391" Type="http://schemas.openxmlformats.org/officeDocument/2006/relationships/hyperlink" Target="http://www.boxofficemojo.com/schedule/?view=bydate&amp;release=theatrical&amp;date=2010-08-13&amp;p=.htm" TargetMode="External"/><Relationship Id="rId1392" Type="http://schemas.openxmlformats.org/officeDocument/2006/relationships/hyperlink" Target="http://www.boxofficemojo.com/movies/?id=afterthecup.htm" TargetMode="External"/><Relationship Id="rId1393" Type="http://schemas.openxmlformats.org/officeDocument/2006/relationships/hyperlink" Target="http://www.boxofficemojo.com/studio/chart/?studio=variancefilms.htm" TargetMode="External"/><Relationship Id="rId1394" Type="http://schemas.openxmlformats.org/officeDocument/2006/relationships/hyperlink" Target="http://www.boxofficemojo.com/schedule/?view=bydate&amp;release=theatrical&amp;date=2010-05-21&amp;p=.htm" TargetMode="External"/><Relationship Id="rId1395" Type="http://schemas.openxmlformats.org/officeDocument/2006/relationships/hyperlink" Target="http://www.boxofficemojo.com/movies/?id=taqwacores.htm" TargetMode="External"/><Relationship Id="rId1396" Type="http://schemas.openxmlformats.org/officeDocument/2006/relationships/hyperlink" Target="http://www.boxofficemojo.com/studio/chart/?studio=strand.htm" TargetMode="External"/><Relationship Id="rId1397" Type="http://schemas.openxmlformats.org/officeDocument/2006/relationships/hyperlink" Target="http://www.boxofficemojo.com/schedule/?view=bydate&amp;release=theatrical&amp;date=2010-10-22&amp;p=.htm" TargetMode="External"/><Relationship Id="rId1398" Type="http://schemas.openxmlformats.org/officeDocument/2006/relationships/hyperlink" Target="http://www.boxofficemojo.com/movies/?id=cherry.htm" TargetMode="External"/><Relationship Id="rId1399" Type="http://schemas.openxmlformats.org/officeDocument/2006/relationships/hyperlink" Target="http://www.boxofficemojo.com/studio/chart/?studio=abramorama.htm" TargetMode="External"/><Relationship Id="rId390" Type="http://schemas.openxmlformats.org/officeDocument/2006/relationships/hyperlink" Target="http://www.boxofficemojo.com/movies/?id=crowley.htm" TargetMode="External"/><Relationship Id="rId391" Type="http://schemas.openxmlformats.org/officeDocument/2006/relationships/hyperlink" Target="http://www.boxofficemojo.com/studio/chart/?studio=cbsfilms.htm" TargetMode="External"/><Relationship Id="rId392" Type="http://schemas.openxmlformats.org/officeDocument/2006/relationships/hyperlink" Target="http://www.boxofficemojo.com/schedule/?view=bydate&amp;release=theatrical&amp;date=2010-01-22&amp;p=.htm" TargetMode="External"/><Relationship Id="rId393" Type="http://schemas.openxmlformats.org/officeDocument/2006/relationships/hyperlink" Target="http://www.boxofficemojo.com/movies/?id=avatarspecialedition.htm" TargetMode="External"/><Relationship Id="rId394" Type="http://schemas.openxmlformats.org/officeDocument/2006/relationships/hyperlink" Target="http://www.boxofficemojo.com/studio/chart/?studio=fox.htm" TargetMode="External"/><Relationship Id="rId395" Type="http://schemas.openxmlformats.org/officeDocument/2006/relationships/hyperlink" Target="http://www.boxofficemojo.com/schedule/?view=bydate&amp;release=theatrical&amp;date=2010-08-27&amp;p=.htm" TargetMode="External"/><Relationship Id="rId396" Type="http://schemas.openxmlformats.org/officeDocument/2006/relationships/hyperlink" Target="http://www.boxofficemojo.com/movies/?id=jonahhex.htm" TargetMode="External"/><Relationship Id="rId397" Type="http://schemas.openxmlformats.org/officeDocument/2006/relationships/hyperlink" Target="http://www.boxofficemojo.com/studio/chart/?studio=warnerbros.htm" TargetMode="External"/><Relationship Id="rId398" Type="http://schemas.openxmlformats.org/officeDocument/2006/relationships/hyperlink" Target="http://www.boxofficemojo.com/schedule/?view=bydate&amp;release=theatrical&amp;date=2010-06-18&amp;p=.htm" TargetMode="External"/><Relationship Id="rId399" Type="http://schemas.openxmlformats.org/officeDocument/2006/relationships/hyperlink" Target="http://www.boxofficemojo.com/movies/?id=girlwiththedragontattoo.htm" TargetMode="External"/><Relationship Id="rId1070" Type="http://schemas.openxmlformats.org/officeDocument/2006/relationships/hyperlink" Target="http://www.boxofficemojo.com/schedule/?view=bydate&amp;release=theatrical&amp;date=2010-08-04&amp;p=.htm" TargetMode="External"/><Relationship Id="rId1071" Type="http://schemas.openxmlformats.org/officeDocument/2006/relationships/hyperlink" Target="http://www.boxofficemojo.com/movies/?id=rosencrantzguildensternareundead.htm" TargetMode="External"/><Relationship Id="rId1072" Type="http://schemas.openxmlformats.org/officeDocument/2006/relationships/hyperlink" Target="http://www.boxofficemojo.com/studio/chart/?studio=indican.htm" TargetMode="External"/><Relationship Id="rId1073" Type="http://schemas.openxmlformats.org/officeDocument/2006/relationships/hyperlink" Target="http://www.boxofficemojo.com/schedule/?view=bydate&amp;release=theatrical&amp;date=2010-06-04&amp;p=.htm" TargetMode="External"/><Relationship Id="rId1074" Type="http://schemas.openxmlformats.org/officeDocument/2006/relationships/hyperlink" Target="http://www.boxofficemojo.com/movies/?id=leavesofgrass.htm" TargetMode="External"/><Relationship Id="rId1075" Type="http://schemas.openxmlformats.org/officeDocument/2006/relationships/hyperlink" Target="http://www.boxofficemojo.com/studio/chart/?studio=firstlook.htm" TargetMode="External"/><Relationship Id="rId1076" Type="http://schemas.openxmlformats.org/officeDocument/2006/relationships/hyperlink" Target="http://www.boxofficemojo.com/schedule/?view=bydate&amp;release=theatrical&amp;date=2010-09-17&amp;p=.htm" TargetMode="External"/><Relationship Id="rId1077" Type="http://schemas.openxmlformats.org/officeDocument/2006/relationships/hyperlink" Target="http://www.boxofficemojo.com/movies/?id=strangepowers.htm" TargetMode="External"/><Relationship Id="rId1078" Type="http://schemas.openxmlformats.org/officeDocument/2006/relationships/hyperlink" Target="http://www.boxofficemojo.com/studio/chart/?studio=variancefilms.htm" TargetMode="External"/><Relationship Id="rId1079" Type="http://schemas.openxmlformats.org/officeDocument/2006/relationships/hyperlink" Target="http://www.boxofficemojo.com/schedule/?view=bydate&amp;release=theatrical&amp;date=2010-10-27&amp;p=.htm" TargetMode="External"/><Relationship Id="rId840" Type="http://schemas.openxmlformats.org/officeDocument/2006/relationships/hyperlink" Target="http://www.boxofficemojo.com/movies/?id=girlonthetrain.htm" TargetMode="External"/><Relationship Id="rId841" Type="http://schemas.openxmlformats.org/officeDocument/2006/relationships/hyperlink" Target="http://www.boxofficemojo.com/studio/chart/?studio=strand.htm" TargetMode="External"/><Relationship Id="rId842" Type="http://schemas.openxmlformats.org/officeDocument/2006/relationships/hyperlink" Target="http://www.boxofficemojo.com/schedule/?view=bydate&amp;release=theatrical&amp;date=2010-01-22&amp;p=.htm" TargetMode="External"/><Relationship Id="rId843" Type="http://schemas.openxmlformats.org/officeDocument/2006/relationships/hyperlink" Target="http://www.boxofficemojo.com/movies/?id=sweetgrass.htm" TargetMode="External"/><Relationship Id="rId844" Type="http://schemas.openxmlformats.org/officeDocument/2006/relationships/hyperlink" Target="http://www.boxofficemojo.com/studio/chart/?studio=cinemaguild.htm" TargetMode="External"/><Relationship Id="rId845" Type="http://schemas.openxmlformats.org/officeDocument/2006/relationships/hyperlink" Target="http://www.boxofficemojo.com/schedule/?view=bydate&amp;release=theatrical&amp;date=2010-01-06&amp;p=.htm" TargetMode="External"/><Relationship Id="rId846" Type="http://schemas.openxmlformats.org/officeDocument/2006/relationships/hyperlink" Target="http://www.boxofficemojo.com/movies/?id=legendary.htm" TargetMode="External"/><Relationship Id="rId847" Type="http://schemas.openxmlformats.org/officeDocument/2006/relationships/hyperlink" Target="http://www.boxofficemojo.com/studio/chart/?studio=samuelgoldwyn.htm" TargetMode="External"/><Relationship Id="rId848" Type="http://schemas.openxmlformats.org/officeDocument/2006/relationships/hyperlink" Target="http://www.boxofficemojo.com/schedule/?view=bydate&amp;release=theatrical&amp;date=2010-09-10&amp;p=.htm" TargetMode="External"/><Relationship Id="rId849" Type="http://schemas.openxmlformats.org/officeDocument/2006/relationships/hyperlink" Target="http://www.boxofficemojo.com/movies/?id=southoftheborder.htm" TargetMode="External"/><Relationship Id="rId1520" Type="http://schemas.openxmlformats.org/officeDocument/2006/relationships/hyperlink" Target="http://www.boxofficemojo.com/schedule/?view=bydate&amp;release=theatrical&amp;date=2010-12-17&amp;p=.htm" TargetMode="External"/><Relationship Id="rId1521" Type="http://schemas.openxmlformats.org/officeDocument/2006/relationships/hyperlink" Target="http://www.boxofficemojo.com/movies/?id=promisedlands2010reissue.htm" TargetMode="External"/><Relationship Id="rId1522" Type="http://schemas.openxmlformats.org/officeDocument/2006/relationships/hyperlink" Target="http://www.boxofficemojo.com/studio/chart/?studio=thefilmdesk.htm" TargetMode="External"/><Relationship Id="rId1523" Type="http://schemas.openxmlformats.org/officeDocument/2006/relationships/hyperlink" Target="http://www.boxofficemojo.com/schedule/?view=bydate&amp;release=theatrical&amp;date=2010-02-05&amp;p=.htm" TargetMode="External"/><Relationship Id="rId1524" Type="http://schemas.openxmlformats.org/officeDocument/2006/relationships/hyperlink" Target="http://www.boxofficemojo.com/movies/?id=kimjongilia.htm" TargetMode="External"/><Relationship Id="rId1525" Type="http://schemas.openxmlformats.org/officeDocument/2006/relationships/hyperlink" Target="http://www.boxofficemojo.com/studio/chart/?studio=lorberfilms.htm" TargetMode="External"/><Relationship Id="rId1526" Type="http://schemas.openxmlformats.org/officeDocument/2006/relationships/hyperlink" Target="http://www.boxofficemojo.com/schedule/?view=bydate&amp;release=theatrical&amp;date=2010-03-19&amp;p=.htm" TargetMode="External"/><Relationship Id="rId1527" Type="http://schemas.openxmlformats.org/officeDocument/2006/relationships/hyperlink" Target="http://www.boxofficemojo.com/movies/?id=helenafromthewedding.htm" TargetMode="External"/><Relationship Id="rId1528" Type="http://schemas.openxmlformats.org/officeDocument/2006/relationships/hyperlink" Target="http://www.boxofficemojo.com/studio/chart/?studio=filmmovement.htm" TargetMode="External"/><Relationship Id="rId1529" Type="http://schemas.openxmlformats.org/officeDocument/2006/relationships/hyperlink" Target="http://www.boxofficemojo.com/schedule/?view=bydate&amp;release=theatrical&amp;date=2010-11-12&amp;p=.htm" TargetMode="External"/><Relationship Id="rId520" Type="http://schemas.openxmlformats.org/officeDocument/2006/relationships/hyperlink" Target="http://www.boxofficemojo.com/studio/chart/?studio=roadsideattractions.htm" TargetMode="External"/><Relationship Id="rId521" Type="http://schemas.openxmlformats.org/officeDocument/2006/relationships/hyperlink" Target="http://www.boxofficemojo.com/schedule/?view=bydate&amp;release=theatrical&amp;date=2010-12-03&amp;p=.htm" TargetMode="External"/><Relationship Id="rId522" Type="http://schemas.openxmlformats.org/officeDocument/2006/relationships/hyperlink" Target="http://www.boxofficemojo.com/movies/?id=harrybrown.htm" TargetMode="External"/><Relationship Id="rId523" Type="http://schemas.openxmlformats.org/officeDocument/2006/relationships/hyperlink" Target="http://www.boxofficemojo.com/studio/chart/?studio=samuelgoldwyn.htm" TargetMode="External"/><Relationship Id="rId524" Type="http://schemas.openxmlformats.org/officeDocument/2006/relationships/hyperlink" Target="http://www.boxofficemojo.com/schedule/?view=bydate&amp;release=theatrical&amp;date=2010-04-30&amp;p=.htm" TargetMode="External"/><Relationship Id="rId525" Type="http://schemas.openxmlformats.org/officeDocument/2006/relationships/hyperlink" Target="http://www.boxofficemojo.com/movies/?id=stone.htm" TargetMode="External"/><Relationship Id="rId526" Type="http://schemas.openxmlformats.org/officeDocument/2006/relationships/hyperlink" Target="http://www.boxofficemojo.com/studio/chart/?studio=overturefilms.htm" TargetMode="External"/><Relationship Id="rId527" Type="http://schemas.openxmlformats.org/officeDocument/2006/relationships/hyperlink" Target="http://www.boxofficemojo.com/schedule/?view=bydate&amp;release=theatrical&amp;date=2010-10-08&amp;p=.htm" TargetMode="External"/><Relationship Id="rId528" Type="http://schemas.openxmlformats.org/officeDocument/2006/relationships/hyperlink" Target="http://www.boxofficemojo.com/movies/?id=somewhere10.htm" TargetMode="External"/><Relationship Id="rId529" Type="http://schemas.openxmlformats.org/officeDocument/2006/relationships/hyperlink" Target="http://www.boxofficemojo.com/studio/chart/?studio=focus.htm" TargetMode="External"/><Relationship Id="rId1200" Type="http://schemas.openxmlformats.org/officeDocument/2006/relationships/hyperlink" Target="http://www.boxofficemojo.com/movies/?id=lerefuge.htm" TargetMode="External"/><Relationship Id="rId1201" Type="http://schemas.openxmlformats.org/officeDocument/2006/relationships/hyperlink" Target="http://www.boxofficemojo.com/studio/chart/?studio=strand.htm" TargetMode="External"/><Relationship Id="rId1202" Type="http://schemas.openxmlformats.org/officeDocument/2006/relationships/hyperlink" Target="http://www.boxofficemojo.com/schedule/?view=bydate&amp;release=theatrical&amp;date=2010-09-10&amp;p=.htm" TargetMode="External"/><Relationship Id="rId1203" Type="http://schemas.openxmlformats.org/officeDocument/2006/relationships/hyperlink" Target="http://www.boxofficemojo.com/movies/?id=bluebeard.htm" TargetMode="External"/><Relationship Id="rId1204" Type="http://schemas.openxmlformats.org/officeDocument/2006/relationships/hyperlink" Target="http://www.boxofficemojo.com/studio/chart/?studio=strand.htm" TargetMode="External"/><Relationship Id="rId1205" Type="http://schemas.openxmlformats.org/officeDocument/2006/relationships/hyperlink" Target="http://www.boxofficemojo.com/schedule/?view=bydate&amp;release=theatrical&amp;date=2010-03-26&amp;p=.htm" TargetMode="External"/><Relationship Id="rId1206" Type="http://schemas.openxmlformats.org/officeDocument/2006/relationships/hyperlink" Target="http://www.boxofficemojo.com/movies/?id=aroundasmallmountain.htm" TargetMode="External"/><Relationship Id="rId1207" Type="http://schemas.openxmlformats.org/officeDocument/2006/relationships/hyperlink" Target="http://www.boxofficemojo.com/studio/chart/?studio=cinemaguild.htm" TargetMode="External"/><Relationship Id="rId1208" Type="http://schemas.openxmlformats.org/officeDocument/2006/relationships/hyperlink" Target="http://www.boxofficemojo.com/schedule/?view=bydate&amp;release=theatrical&amp;date=2010-07-09&amp;p=.htm" TargetMode="External"/><Relationship Id="rId1209" Type="http://schemas.openxmlformats.org/officeDocument/2006/relationships/hyperlink" Target="http://www.boxofficemojo.com/movies/?id=aheadoftime.htm" TargetMode="External"/><Relationship Id="rId200" Type="http://schemas.openxmlformats.org/officeDocument/2006/relationships/hyperlink" Target="http://www.boxofficemojo.com/schedule/?view=bydate&amp;release=theatrical&amp;date=2010-03-19&amp;p=.htm" TargetMode="External"/><Relationship Id="rId201" Type="http://schemas.openxmlformats.org/officeDocument/2006/relationships/hyperlink" Target="http://www.boxofficemojo.com/movies/?id=predators.htm" TargetMode="External"/><Relationship Id="rId202" Type="http://schemas.openxmlformats.org/officeDocument/2006/relationships/hyperlink" Target="http://www.boxofficemojo.com/studio/chart/?studio=fox.htm" TargetMode="External"/><Relationship Id="rId203" Type="http://schemas.openxmlformats.org/officeDocument/2006/relationships/hyperlink" Target="http://www.boxofficemojo.com/schedule/?view=bydate&amp;release=theatrical&amp;date=2010-07-09&amp;p=.htm" TargetMode="External"/><Relationship Id="rId204" Type="http://schemas.openxmlformats.org/officeDocument/2006/relationships/hyperlink" Target="http://www.boxofficemojo.com/movies/?id=hottubtimemachine.htm" TargetMode="External"/><Relationship Id="rId205" Type="http://schemas.openxmlformats.org/officeDocument/2006/relationships/hyperlink" Target="http://www.boxofficemojo.com/studio/chart/?studio=mgm.htm" TargetMode="External"/><Relationship Id="rId206" Type="http://schemas.openxmlformats.org/officeDocument/2006/relationships/hyperlink" Target="http://www.boxofficemojo.com/schedule/?view=bydate&amp;release=theatrical&amp;date=2010-03-26&amp;p=.htm" TargetMode="External"/><Relationship Id="rId207" Type="http://schemas.openxmlformats.org/officeDocument/2006/relationships/hyperlink" Target="http://www.boxofficemojo.com/movies/?id=kickass.htm" TargetMode="External"/><Relationship Id="rId208" Type="http://schemas.openxmlformats.org/officeDocument/2006/relationships/hyperlink" Target="http://www.boxofficemojo.com/studio/chart/?studio=lionsgate.htm" TargetMode="External"/><Relationship Id="rId209" Type="http://schemas.openxmlformats.org/officeDocument/2006/relationships/hyperlink" Target="http://www.boxofficemojo.com/schedule/?view=bydate&amp;release=theatrical&amp;date=2010-04-16&amp;p=.htm" TargetMode="External"/><Relationship Id="rId1080" Type="http://schemas.openxmlformats.org/officeDocument/2006/relationships/hyperlink" Target="http://www.boxofficemojo.com/movies/?id=budrus.htm" TargetMode="External"/><Relationship Id="rId1081" Type="http://schemas.openxmlformats.org/officeDocument/2006/relationships/hyperlink" Target="http://www.boxofficemojo.com/studio/chart/?studio=balcony.htm" TargetMode="External"/><Relationship Id="rId1082" Type="http://schemas.openxmlformats.org/officeDocument/2006/relationships/hyperlink" Target="http://www.boxofficemojo.com/schedule/?view=bydate&amp;release=theatrical&amp;date=2010-10-08&amp;p=.htm" TargetMode="External"/><Relationship Id="rId1083" Type="http://schemas.openxmlformats.org/officeDocument/2006/relationships/hyperlink" Target="http://www.boxofficemojo.com/movies/?id=2012timeforchange.htm" TargetMode="External"/><Relationship Id="rId1084" Type="http://schemas.openxmlformats.org/officeDocument/2006/relationships/hyperlink" Target="http://www.boxofficemojo.com/studio/chart/?studio=mangustaproductions.htm" TargetMode="External"/><Relationship Id="rId1085" Type="http://schemas.openxmlformats.org/officeDocument/2006/relationships/hyperlink" Target="http://www.boxofficemojo.com/schedule/?view=bydate&amp;release=theatrical&amp;date=2010-04-09&amp;p=.htm" TargetMode="External"/><Relationship Id="rId1086" Type="http://schemas.openxmlformats.org/officeDocument/2006/relationships/hyperlink" Target="http://www.boxofficemojo.com/movies/?id=leamiche.htm" TargetMode="External"/><Relationship Id="rId1087" Type="http://schemas.openxmlformats.org/officeDocument/2006/relationships/hyperlink" Target="http://www.boxofficemojo.com/studio/chart/?studio=thefilmdesk.htm" TargetMode="External"/><Relationship Id="rId1088" Type="http://schemas.openxmlformats.org/officeDocument/2006/relationships/hyperlink" Target="http://www.boxofficemojo.com/schedule/?view=bydate&amp;release=theatrical&amp;date=2010-06-18&amp;p=.htm" TargetMode="External"/><Relationship Id="rId1089" Type="http://schemas.openxmlformats.org/officeDocument/2006/relationships/hyperlink" Target="http://www.boxofficemojo.com/movies/?id=johnrabe.htm" TargetMode="External"/><Relationship Id="rId850" Type="http://schemas.openxmlformats.org/officeDocument/2006/relationships/hyperlink" Target="http://www.boxofficemojo.com/studio/chart/?studio=cls.htm" TargetMode="External"/><Relationship Id="rId851" Type="http://schemas.openxmlformats.org/officeDocument/2006/relationships/hyperlink" Target="http://www.boxofficemojo.com/schedule/?view=bydate&amp;release=theatrical&amp;date=2010-06-25&amp;p=.htm" TargetMode="External"/><Relationship Id="rId852" Type="http://schemas.openxmlformats.org/officeDocument/2006/relationships/hyperlink" Target="http://www.boxofficemojo.com/movies/?id=nutcracker3d.htm" TargetMode="External"/><Relationship Id="rId853" Type="http://schemas.openxmlformats.org/officeDocument/2006/relationships/hyperlink" Target="http://www.boxofficemojo.com/studio/chart/?studio=fs.htm" TargetMode="External"/><Relationship Id="rId854" Type="http://schemas.openxmlformats.org/officeDocument/2006/relationships/hyperlink" Target="http://www.boxofficemojo.com/schedule/?view=bydate&amp;release=theatrical&amp;date=2010-11-24&amp;p=.htm" TargetMode="External"/><Relationship Id="rId855" Type="http://schemas.openxmlformats.org/officeDocument/2006/relationships/hyperlink" Target="http://www.boxofficemojo.com/movies/?id=noodleshop.htm" TargetMode="External"/><Relationship Id="rId856" Type="http://schemas.openxmlformats.org/officeDocument/2006/relationships/hyperlink" Target="http://www.boxofficemojo.com/studio/chart/?studio=sonyclassics.htm" TargetMode="External"/><Relationship Id="rId857" Type="http://schemas.openxmlformats.org/officeDocument/2006/relationships/hyperlink" Target="http://www.boxofficemojo.com/schedule/?view=bydate&amp;release=theatrical&amp;date=2010-09-03&amp;p=.htm" TargetMode="External"/><Relationship Id="rId858" Type="http://schemas.openxmlformats.org/officeDocument/2006/relationships/hyperlink" Target="http://www.boxofficemojo.com/movies/?id=client9.htm" TargetMode="External"/><Relationship Id="rId859" Type="http://schemas.openxmlformats.org/officeDocument/2006/relationships/hyperlink" Target="http://www.boxofficemojo.com/studio/chart/?studio=magnolia.htm" TargetMode="External"/><Relationship Id="rId1530" Type="http://schemas.openxmlformats.org/officeDocument/2006/relationships/hyperlink" Target="http://www.boxofficemojo.com/movies/?id=inhale.htm" TargetMode="External"/><Relationship Id="rId1531" Type="http://schemas.openxmlformats.org/officeDocument/2006/relationships/hyperlink" Target="http://www.boxofficemojo.com/studio/chart/?studio=ifc.htm" TargetMode="External"/><Relationship Id="rId1532" Type="http://schemas.openxmlformats.org/officeDocument/2006/relationships/hyperlink" Target="http://www.boxofficemojo.com/schedule/?view=bydate&amp;release=theatrical&amp;date=2010-10-22&amp;p=.htm" TargetMode="External"/><Relationship Id="rId1533" Type="http://schemas.openxmlformats.org/officeDocument/2006/relationships/hyperlink" Target="http://www.boxofficemojo.com/movies/?id=justsaylove.htm" TargetMode="External"/><Relationship Id="rId1534" Type="http://schemas.openxmlformats.org/officeDocument/2006/relationships/hyperlink" Target="http://www.boxofficemojo.com/studio/chart/?studio=regent.htm" TargetMode="External"/><Relationship Id="rId1535" Type="http://schemas.openxmlformats.org/officeDocument/2006/relationships/hyperlink" Target="http://www.boxofficemojo.com/schedule/?view=bydate&amp;release=theatrical&amp;date=2010-03-26&amp;p=.htm" TargetMode="External"/><Relationship Id="rId1536" Type="http://schemas.openxmlformats.org/officeDocument/2006/relationships/hyperlink" Target="http://www.boxofficemojo.com/movies/?id=insignificantothers.htm" TargetMode="External"/><Relationship Id="rId1537" Type="http://schemas.openxmlformats.org/officeDocument/2006/relationships/hyperlink" Target="http://www.boxofficemojo.com/studio/chart/?studio=npp.htm" TargetMode="External"/><Relationship Id="rId1538" Type="http://schemas.openxmlformats.org/officeDocument/2006/relationships/hyperlink" Target="http://www.boxofficemojo.com/schedule/?view=bydate&amp;release=theatrical&amp;date=2010-05-14&amp;p=.htm" TargetMode="External"/><Relationship Id="rId1539" Type="http://schemas.openxmlformats.org/officeDocument/2006/relationships/hyperlink" Target="http://www.boxofficemojo.com/movies/?id=heartless.htm" TargetMode="External"/><Relationship Id="rId530" Type="http://schemas.openxmlformats.org/officeDocument/2006/relationships/hyperlink" Target="http://www.boxofficemojo.com/schedule/?view=bydate&amp;release=theatrical&amp;date=2010-12-22&amp;p=.htm" TargetMode="External"/><Relationship Id="rId531" Type="http://schemas.openxmlformats.org/officeDocument/2006/relationships/hyperlink" Target="http://www.boxofficemojo.com/movies/?id=flipped.htm" TargetMode="External"/><Relationship Id="rId532" Type="http://schemas.openxmlformats.org/officeDocument/2006/relationships/hyperlink" Target="http://www.boxofficemojo.com/studio/chart/?studio=warnerbros.htm" TargetMode="External"/><Relationship Id="rId533" Type="http://schemas.openxmlformats.org/officeDocument/2006/relationships/hyperlink" Target="http://www.boxofficemojo.com/schedule/?view=bydate&amp;release=theatrical&amp;date=2010-08-06&amp;p=.htm" TargetMode="External"/><Relationship Id="rId534" Type="http://schemas.openxmlformats.org/officeDocument/2006/relationships/hyperlink" Target="http://www.boxofficemojo.com/movies/?id=kites.htm" TargetMode="External"/><Relationship Id="rId535" Type="http://schemas.openxmlformats.org/officeDocument/2006/relationships/hyperlink" Target="http://www.boxofficemojo.com/studio/chart/?studio=reliancebigpictures.htm" TargetMode="External"/><Relationship Id="rId536" Type="http://schemas.openxmlformats.org/officeDocument/2006/relationships/hyperlink" Target="http://www.boxofficemojo.com/schedule/?view=bydate&amp;release=theatrical&amp;date=2010-05-21&amp;p=.htm" TargetMode="External"/><Relationship Id="rId537" Type="http://schemas.openxmlformats.org/officeDocument/2006/relationships/hyperlink" Target="http://www.boxofficemojo.com/movies/?id=cocoandigor.htm" TargetMode="External"/><Relationship Id="rId538" Type="http://schemas.openxmlformats.org/officeDocument/2006/relationships/hyperlink" Target="http://www.boxofficemojo.com/studio/chart/?studio=sonyclassics.htm" TargetMode="External"/><Relationship Id="rId539" Type="http://schemas.openxmlformats.org/officeDocument/2006/relationships/hyperlink" Target="http://www.boxofficemojo.com/schedule/?view=bydate&amp;release=theatrical&amp;date=2010-06-11&amp;p=.htm" TargetMode="External"/><Relationship Id="rId1210" Type="http://schemas.openxmlformats.org/officeDocument/2006/relationships/hyperlink" Target="http://www.boxofficemojo.com/studio/chart/?studio=vitagraph.htm" TargetMode="External"/><Relationship Id="rId1211" Type="http://schemas.openxmlformats.org/officeDocument/2006/relationships/hyperlink" Target="http://www.boxofficemojo.com/schedule/?view=bydate&amp;release=theatrical&amp;date=2010-09-10&amp;p=.htm" TargetMode="External"/><Relationship Id="rId1212" Type="http://schemas.openxmlformats.org/officeDocument/2006/relationships/hyperlink" Target="http://www.boxofficemojo.com/movies/?id=spokenword.htm" TargetMode="External"/><Relationship Id="rId1213" Type="http://schemas.openxmlformats.org/officeDocument/2006/relationships/hyperlink" Target="http://www.boxofficemojo.com/studio/chart/?studio=variancefilms.htm" TargetMode="External"/><Relationship Id="rId1214" Type="http://schemas.openxmlformats.org/officeDocument/2006/relationships/hyperlink" Target="http://www.boxofficemojo.com/schedule/?view=bydate&amp;release=theatrical&amp;date=2010-07-23&amp;p=.htm" TargetMode="External"/><Relationship Id="rId1215" Type="http://schemas.openxmlformats.org/officeDocument/2006/relationships/hyperlink" Target="http://www.boxofficemojo.com/movies/?id=boxinggym.htm" TargetMode="External"/><Relationship Id="rId1216" Type="http://schemas.openxmlformats.org/officeDocument/2006/relationships/hyperlink" Target="http://www.boxofficemojo.com/studio/chart/?studio=zipporahfilms.htm" TargetMode="External"/><Relationship Id="rId1217" Type="http://schemas.openxmlformats.org/officeDocument/2006/relationships/hyperlink" Target="http://www.boxofficemojo.com/schedule/?view=bydate&amp;release=theatrical&amp;date=2010-10-22&amp;p=.htm" TargetMode="External"/><Relationship Id="rId1218" Type="http://schemas.openxmlformats.org/officeDocument/2006/relationships/hyperlink" Target="http://www.boxofficemojo.com/movies/?id=beetlequeenconquerstokyo.htm" TargetMode="External"/><Relationship Id="rId1219" Type="http://schemas.openxmlformats.org/officeDocument/2006/relationships/hyperlink" Target="http://www.boxofficemojo.com/studio/chart/?studio=argotpictures.htm" TargetMode="External"/><Relationship Id="rId210" Type="http://schemas.openxmlformats.org/officeDocument/2006/relationships/hyperlink" Target="http://www.boxofficemojo.com/movies/?id=heiglkutcheraction.htm" TargetMode="External"/><Relationship Id="rId211" Type="http://schemas.openxmlformats.org/officeDocument/2006/relationships/hyperlink" Target="http://www.boxofficemojo.com/studio/chart/?studio=lionsgate.htm" TargetMode="External"/><Relationship Id="rId212" Type="http://schemas.openxmlformats.org/officeDocument/2006/relationships/hyperlink" Target="http://www.boxofficemojo.com/schedule/?view=bydate&amp;release=theatrical&amp;date=2010-06-04&amp;p=.htm" TargetMode="External"/><Relationship Id="rId213" Type="http://schemas.openxmlformats.org/officeDocument/2006/relationships/hyperlink" Target="http://www.boxofficemojo.com/movies/?id=saw7.htm" TargetMode="External"/><Relationship Id="rId214" Type="http://schemas.openxmlformats.org/officeDocument/2006/relationships/hyperlink" Target="http://www.boxofficemojo.com/studio/chart/?studio=lionsgate.htm" TargetMode="External"/><Relationship Id="rId215" Type="http://schemas.openxmlformats.org/officeDocument/2006/relationships/hyperlink" Target="http://www.boxofficemojo.com/schedule/?view=bydate&amp;release=theatrical&amp;date=2010-10-29&amp;p=.htm" TargetMode="External"/><Relationship Id="rId216" Type="http://schemas.openxmlformats.org/officeDocument/2006/relationships/hyperlink" Target="http://www.boxofficemojo.com/movies/?id=coupleofdicks.htm" TargetMode="External"/><Relationship Id="rId217" Type="http://schemas.openxmlformats.org/officeDocument/2006/relationships/hyperlink" Target="http://www.boxofficemojo.com/studio/chart/?studio=warnerbros.htm" TargetMode="External"/><Relationship Id="rId218" Type="http://schemas.openxmlformats.org/officeDocument/2006/relationships/hyperlink" Target="http://www.boxofficemojo.com/schedule/?view=bydate&amp;release=theatrical&amp;date=2010-02-26&amp;p=.htm" TargetMode="External"/><Relationship Id="rId219" Type="http://schemas.openxmlformats.org/officeDocument/2006/relationships/hyperlink" Target="http://www.boxofficemojo.com/movies/?id=catsanddogs2.htm" TargetMode="External"/><Relationship Id="rId1090" Type="http://schemas.openxmlformats.org/officeDocument/2006/relationships/hyperlink" Target="http://www.boxofficemojo.com/studio/chart/?studio=strand.htm" TargetMode="External"/><Relationship Id="rId1091" Type="http://schemas.openxmlformats.org/officeDocument/2006/relationships/hyperlink" Target="http://www.boxofficemojo.com/schedule/?view=bydate&amp;release=theatrical&amp;date=2010-05-21&amp;p=.htm" TargetMode="External"/><Relationship Id="rId1092" Type="http://schemas.openxmlformats.org/officeDocument/2006/relationships/hyperlink" Target="http://www.boxofficemojo.com/movies/?id=sunbehindtheclouds.htm" TargetMode="External"/><Relationship Id="rId1093" Type="http://schemas.openxmlformats.org/officeDocument/2006/relationships/hyperlink" Target="http://www.boxofficemojo.com/studio/chart/?studio=balcony.htm" TargetMode="External"/><Relationship Id="rId1094" Type="http://schemas.openxmlformats.org/officeDocument/2006/relationships/hyperlink" Target="http://www.boxofficemojo.com/schedule/?view=bydate&amp;release=theatrical&amp;date=2010-03-31&amp;p=.htm" TargetMode="External"/><Relationship Id="rId1095" Type="http://schemas.openxmlformats.org/officeDocument/2006/relationships/hyperlink" Target="http://www.boxofficemojo.com/movies/?id=dancingacrossborders.htm" TargetMode="External"/><Relationship Id="rId1096" Type="http://schemas.openxmlformats.org/officeDocument/2006/relationships/hyperlink" Target="http://www.boxofficemojo.com/studio/chart/?studio=firstrun.htm" TargetMode="External"/><Relationship Id="rId1097" Type="http://schemas.openxmlformats.org/officeDocument/2006/relationships/hyperlink" Target="http://www.boxofficemojo.com/schedule/?view=bydate&amp;release=theatrical&amp;date=2010-03-26&amp;p=.htm" TargetMode="External"/><Relationship Id="rId1098" Type="http://schemas.openxmlformats.org/officeDocument/2006/relationships/hyperlink" Target="http://www.boxofficemojo.com/movies/?id=racingdreams.htm" TargetMode="External"/><Relationship Id="rId1099" Type="http://schemas.openxmlformats.org/officeDocument/2006/relationships/hyperlink" Target="http://www.boxofficemojo.com/studio/chart/?studio=hannoverhouse.htm" TargetMode="External"/><Relationship Id="rId860" Type="http://schemas.openxmlformats.org/officeDocument/2006/relationships/hyperlink" Target="http://www.boxofficemojo.com/schedule/?view=bydate&amp;release=theatrical&amp;date=2010-11-05&amp;p=.htm" TargetMode="External"/><Relationship Id="rId861" Type="http://schemas.openxmlformats.org/officeDocument/2006/relationships/hyperlink" Target="http://www.boxofficemojo.com/movies/?id=nicksaban.htm" TargetMode="External"/><Relationship Id="rId862" Type="http://schemas.openxmlformats.org/officeDocument/2006/relationships/hyperlink" Target="http://www.boxofficemojo.com/studio/chart/?studio=flashlightfilms.htm" TargetMode="External"/><Relationship Id="rId863" Type="http://schemas.openxmlformats.org/officeDocument/2006/relationships/hyperlink" Target="http://www.boxofficemojo.com/schedule/?view=bydate&amp;release=theatrical&amp;date=2010-08-27&amp;p=.htm" TargetMode="External"/><Relationship Id="rId864" Type="http://schemas.openxmlformats.org/officeDocument/2006/relationships/hyperlink" Target="http://www.boxofficemojo.com/movies/?id=wasteland.htm" TargetMode="External"/><Relationship Id="rId865" Type="http://schemas.openxmlformats.org/officeDocument/2006/relationships/hyperlink" Target="http://www.boxofficemojo.com/studio/chart/?studio=arthousefilms.htm" TargetMode="External"/><Relationship Id="rId866" Type="http://schemas.openxmlformats.org/officeDocument/2006/relationships/hyperlink" Target="http://www.boxofficemojo.com/schedule/?view=bydate&amp;release=theatrical&amp;date=2010-10-29&amp;p=.htm" TargetMode="External"/><Relationship Id="rId867" Type="http://schemas.openxmlformats.org/officeDocument/2006/relationships/hyperlink" Target="http://www.boxofficemojo.com/movies/?id=twelve.htm" TargetMode="External"/><Relationship Id="rId868" Type="http://schemas.openxmlformats.org/officeDocument/2006/relationships/hyperlink" Target="http://www.boxofficemojo.com/studio/chart/?studio=hannoverhouse.htm" TargetMode="External"/><Relationship Id="rId869" Type="http://schemas.openxmlformats.org/officeDocument/2006/relationships/hyperlink" Target="http://www.boxofficemojo.com/schedule/?view=bydate&amp;release=theatrical&amp;date=2010-08-06&amp;p=.htm" TargetMode="External"/><Relationship Id="rId1540" Type="http://schemas.openxmlformats.org/officeDocument/2006/relationships/hyperlink" Target="http://www.boxofficemojo.com/studio/chart/?studio=ifc.htm" TargetMode="External"/><Relationship Id="rId1541" Type="http://schemas.openxmlformats.org/officeDocument/2006/relationships/hyperlink" Target="http://www.boxofficemojo.com/schedule/?view=bydate&amp;release=theatrical&amp;date=2010-11-19&amp;p=.htm" TargetMode="External"/><Relationship Id="rId1542" Type="http://schemas.openxmlformats.org/officeDocument/2006/relationships/hyperlink" Target="http://www.boxofficemojo.com/movies/?id=smashhiscamera.htm" TargetMode="External"/><Relationship Id="rId1543" Type="http://schemas.openxmlformats.org/officeDocument/2006/relationships/hyperlink" Target="http://www.boxofficemojo.com/studio/chart/?studio=magnolia.htm" TargetMode="External"/><Relationship Id="rId1544" Type="http://schemas.openxmlformats.org/officeDocument/2006/relationships/hyperlink" Target="http://www.boxofficemojo.com/schedule/?view=bydate&amp;release=theatrical&amp;date=2010-07-30&amp;p=.htm" TargetMode="External"/><Relationship Id="rId1545" Type="http://schemas.openxmlformats.org/officeDocument/2006/relationships/hyperlink" Target="http://www.boxofficemojo.com/movies/?id=metalmessiah.htm" TargetMode="External"/><Relationship Id="rId1546" Type="http://schemas.openxmlformats.org/officeDocument/2006/relationships/hyperlink" Target="http://www.boxofficemojo.com/studio/chart/?studio=windpixie.htm" TargetMode="External"/><Relationship Id="rId1547" Type="http://schemas.openxmlformats.org/officeDocument/2006/relationships/hyperlink" Target="http://www.boxofficemojo.com/schedule/?view=bydate&amp;release=theatrical&amp;date=2010-09-16&amp;p=.htm" TargetMode="External"/><Relationship Id="rId1548" Type="http://schemas.openxmlformats.org/officeDocument/2006/relationships/hyperlink" Target="http://www.boxofficemojo.com/movies/?id=fullpicture.htm" TargetMode="External"/><Relationship Id="rId1549" Type="http://schemas.openxmlformats.org/officeDocument/2006/relationships/hyperlink" Target="http://www.boxofficemojo.com/studio/chart/?studio=unknown.htm" TargetMode="External"/><Relationship Id="rId540" Type="http://schemas.openxmlformats.org/officeDocument/2006/relationships/hyperlink" Target="http://www.boxofficemojo.com/movies/?id=cairotime.htm" TargetMode="External"/><Relationship Id="rId541" Type="http://schemas.openxmlformats.org/officeDocument/2006/relationships/hyperlink" Target="http://www.boxofficemojo.com/studio/chart/?studio=ifc.htm" TargetMode="External"/><Relationship Id="rId542" Type="http://schemas.openxmlformats.org/officeDocument/2006/relationships/hyperlink" Target="http://www.boxofficemojo.com/schedule/?view=bydate&amp;release=theatrical&amp;date=2010-08-06&amp;p=.htm" TargetMode="External"/><Relationship Id="rId543" Type="http://schemas.openxmlformats.org/officeDocument/2006/relationships/hyperlink" Target="http://www.boxofficemojo.com/movies/?id=raajneeti.htm" TargetMode="External"/><Relationship Id="rId544" Type="http://schemas.openxmlformats.org/officeDocument/2006/relationships/hyperlink" Target="http://www.boxofficemojo.com/studio/chart/?studio=utv.htm" TargetMode="External"/><Relationship Id="rId545" Type="http://schemas.openxmlformats.org/officeDocument/2006/relationships/hyperlink" Target="http://www.boxofficemojo.com/schedule/?view=bydate&amp;release=theatrical&amp;date=2010-06-04&amp;p=.htm" TargetMode="External"/><Relationship Id="rId546" Type="http://schemas.openxmlformats.org/officeDocument/2006/relationships/hyperlink" Target="http://www.boxofficemojo.com/movies/?id=joneses.htm" TargetMode="External"/><Relationship Id="rId547" Type="http://schemas.openxmlformats.org/officeDocument/2006/relationships/hyperlink" Target="http://www.boxofficemojo.com/studio/chart/?studio=roadsideattractions.htm" TargetMode="External"/><Relationship Id="rId548" Type="http://schemas.openxmlformats.org/officeDocument/2006/relationships/hyperlink" Target="http://www.boxofficemojo.com/schedule/?view=bydate&amp;release=theatrical&amp;date=2010-04-16&amp;p=.htm" TargetMode="External"/><Relationship Id="rId549" Type="http://schemas.openxmlformats.org/officeDocument/2006/relationships/hyperlink" Target="http://www.boxofficemojo.com/movies/?id=nowhereboy.htm" TargetMode="External"/><Relationship Id="rId1220" Type="http://schemas.openxmlformats.org/officeDocument/2006/relationships/hyperlink" Target="http://www.boxofficemojo.com/schedule/?view=bydate&amp;release=theatrical&amp;date=2010-05-12&amp;p=.htm" TargetMode="External"/><Relationship Id="rId1221" Type="http://schemas.openxmlformats.org/officeDocument/2006/relationships/hyperlink" Target="http://www.boxofficemojo.com/movies/?id=livinginemergency.htm" TargetMode="External"/><Relationship Id="rId1222" Type="http://schemas.openxmlformats.org/officeDocument/2006/relationships/hyperlink" Target="http://www.boxofficemojo.com/studio/chart/?studio=trulyindie.htm" TargetMode="External"/><Relationship Id="rId1223" Type="http://schemas.openxmlformats.org/officeDocument/2006/relationships/hyperlink" Target="http://www.boxofficemojo.com/schedule/?view=bydate&amp;release=theatrical&amp;date=2010-06-04&amp;p=.htm" TargetMode="External"/><Relationship Id="rId1224" Type="http://schemas.openxmlformats.org/officeDocument/2006/relationships/hyperlink" Target="http://www.boxofficemojo.com/movies/?id=180south.htm" TargetMode="External"/><Relationship Id="rId1225" Type="http://schemas.openxmlformats.org/officeDocument/2006/relationships/hyperlink" Target="http://www.boxofficemojo.com/studio/chart/?studio=magnolia.htm" TargetMode="External"/><Relationship Id="rId1226" Type="http://schemas.openxmlformats.org/officeDocument/2006/relationships/hyperlink" Target="http://www.boxofficemojo.com/schedule/?view=bydate&amp;release=theatrical&amp;date=2010-05-21&amp;p=.htm" TargetMode="External"/><Relationship Id="rId1227" Type="http://schemas.openxmlformats.org/officeDocument/2006/relationships/hyperlink" Target="http://www.boxofficemojo.com/movies/?id=harrynilsson.htm" TargetMode="External"/><Relationship Id="rId1228" Type="http://schemas.openxmlformats.org/officeDocument/2006/relationships/hyperlink" Target="http://www.boxofficemojo.com/studio/chart/?studio=lorberfilms.htm" TargetMode="External"/><Relationship Id="rId1229" Type="http://schemas.openxmlformats.org/officeDocument/2006/relationships/hyperlink" Target="http://www.boxofficemojo.com/schedule/?view=bydate&amp;release=theatrical&amp;date=2010-09-10&amp;p=.htm" TargetMode="External"/><Relationship Id="rId220" Type="http://schemas.openxmlformats.org/officeDocument/2006/relationships/hyperlink" Target="http://www.boxofficemojo.com/studio/chart/?studio=warnerbros.htm" TargetMode="External"/><Relationship Id="rId221" Type="http://schemas.openxmlformats.org/officeDocument/2006/relationships/hyperlink" Target="http://www.boxofficemojo.com/schedule/?view=bydate&amp;release=theatrical&amp;date=2010-07-30&amp;p=.htm" TargetMode="External"/><Relationship Id="rId222" Type="http://schemas.openxmlformats.org/officeDocument/2006/relationships/hyperlink" Target="http://www.boxofficemojo.com/movies/?id=edgeofdarkness.htm" TargetMode="External"/><Relationship Id="rId223" Type="http://schemas.openxmlformats.org/officeDocument/2006/relationships/hyperlink" Target="http://www.boxofficemojo.com/studio/chart/?studio=warnerbros.htm" TargetMode="External"/><Relationship Id="rId224" Type="http://schemas.openxmlformats.org/officeDocument/2006/relationships/hyperlink" Target="http://www.boxofficemojo.com/schedule/?view=bydate&amp;release=theatrical&amp;date=2010-01-29&amp;p=.htm" TargetMode="External"/><Relationship Id="rId225" Type="http://schemas.openxmlformats.org/officeDocument/2006/relationships/hyperlink" Target="http://www.boxofficemojo.com/movies/?id=gulliverstravels.htm" TargetMode="External"/><Relationship Id="rId226" Type="http://schemas.openxmlformats.org/officeDocument/2006/relationships/hyperlink" Target="http://www.boxofficemojo.com/studio/chart/?studio=fox.htm" TargetMode="External"/><Relationship Id="rId227" Type="http://schemas.openxmlformats.org/officeDocument/2006/relationships/hyperlink" Target="http://www.boxofficemojo.com/schedule/?view=bydate&amp;release=theatrical&amp;date=2010-12-25&amp;p=.htm" TargetMode="External"/><Relationship Id="rId228" Type="http://schemas.openxmlformats.org/officeDocument/2006/relationships/hyperlink" Target="http://www.boxofficemojo.com/movies/?id=deathatafuneral10.htm" TargetMode="External"/><Relationship Id="rId229" Type="http://schemas.openxmlformats.org/officeDocument/2006/relationships/hyperlink" Target="http://www.boxofficemojo.com/studio/chart/?studio=screengems.htm" TargetMode="External"/><Relationship Id="rId870" Type="http://schemas.openxmlformats.org/officeDocument/2006/relationships/hyperlink" Target="http://www.boxofficemojo.com/movies/?id=humancentipede.htm" TargetMode="External"/><Relationship Id="rId871" Type="http://schemas.openxmlformats.org/officeDocument/2006/relationships/hyperlink" Target="http://www.boxofficemojo.com/studio/chart/?studio=ifc.htm" TargetMode="External"/><Relationship Id="rId872" Type="http://schemas.openxmlformats.org/officeDocument/2006/relationships/hyperlink" Target="http://www.boxofficemojo.com/schedule/?view=bydate&amp;release=theatrical&amp;date=2010-04-30&amp;p=.htm" TargetMode="External"/><Relationship Id="rId873" Type="http://schemas.openxmlformats.org/officeDocument/2006/relationships/hyperlink" Target="http://www.boxofficemojo.com/movies/?id=winnebagoman.htm" TargetMode="External"/><Relationship Id="rId874" Type="http://schemas.openxmlformats.org/officeDocument/2006/relationships/hyperlink" Target="http://www.boxofficemojo.com/studio/chart/?studio=kino.htm" TargetMode="External"/><Relationship Id="rId875" Type="http://schemas.openxmlformats.org/officeDocument/2006/relationships/hyperlink" Target="http://www.boxofficemojo.com/schedule/?view=bydate&amp;release=theatrical&amp;date=2010-07-09&amp;p=.htm" TargetMode="External"/><Relationship Id="rId876" Type="http://schemas.openxmlformats.org/officeDocument/2006/relationships/hyperlink" Target="http://www.boxofficemojo.com/movies/?id=casinojack.htm" TargetMode="External"/><Relationship Id="rId877" Type="http://schemas.openxmlformats.org/officeDocument/2006/relationships/hyperlink" Target="http://www.boxofficemojo.com/studio/chart/?studio=magnolia.htm" TargetMode="External"/><Relationship Id="rId878" Type="http://schemas.openxmlformats.org/officeDocument/2006/relationships/hyperlink" Target="http://www.boxofficemojo.com/schedule/?view=bydate&amp;release=theatrical&amp;date=2010-05-07&amp;p=.htm" TargetMode="External"/><Relationship Id="rId879" Type="http://schemas.openxmlformats.org/officeDocument/2006/relationships/hyperlink" Target="http://www.boxofficemojo.com/movies/?id=71intothefire.htm" TargetMode="External"/><Relationship Id="rId1550" Type="http://schemas.openxmlformats.org/officeDocument/2006/relationships/hyperlink" Target="http://www.boxofficemojo.com/schedule/?view=bydate&amp;release=theatrical&amp;date=2010-06-11&amp;p=.htm" TargetMode="External"/><Relationship Id="rId1551" Type="http://schemas.openxmlformats.org/officeDocument/2006/relationships/hyperlink" Target="http://www.boxofficemojo.com/movies/?id=murderinfashion.htm" TargetMode="External"/><Relationship Id="rId1552" Type="http://schemas.openxmlformats.org/officeDocument/2006/relationships/hyperlink" Target="http://www.boxofficemojo.com/studio/chart/?studio=regent.htm" TargetMode="External"/><Relationship Id="rId1553" Type="http://schemas.openxmlformats.org/officeDocument/2006/relationships/hyperlink" Target="http://www.boxofficemojo.com/schedule/?view=bydate&amp;release=theatrical&amp;date=2010-01-22&amp;p=.htm" TargetMode="External"/><Relationship Id="rId1554" Type="http://schemas.openxmlformats.org/officeDocument/2006/relationships/hyperlink" Target="http://www.boxofficemojo.com/movies/?id=elsuperstar.htm" TargetMode="External"/><Relationship Id="rId1555" Type="http://schemas.openxmlformats.org/officeDocument/2006/relationships/hyperlink" Target="http://www.boxofficemojo.com/studio/chart/?studio=cls.htm" TargetMode="External"/><Relationship Id="rId1556" Type="http://schemas.openxmlformats.org/officeDocument/2006/relationships/hyperlink" Target="http://www.boxofficemojo.com/schedule/?view=bydate&amp;release=theatrical&amp;date=2010-09-17&amp;p=.htm" TargetMode="External"/><Relationship Id="rId1557" Type="http://schemas.openxmlformats.org/officeDocument/2006/relationships/hyperlink" Target="http://www.boxofficemojo.com/movies/?id=myyearwithoutsex.htm" TargetMode="External"/><Relationship Id="rId1558" Type="http://schemas.openxmlformats.org/officeDocument/2006/relationships/hyperlink" Target="http://www.boxofficemojo.com/studio/chart/?studio=strand.htm" TargetMode="External"/><Relationship Id="rId1559" Type="http://schemas.openxmlformats.org/officeDocument/2006/relationships/hyperlink" Target="http://www.boxofficemojo.com/schedule/?view=bydate&amp;release=theatrical&amp;date=2010-03-12&amp;p=.htm" TargetMode="External"/><Relationship Id="rId550" Type="http://schemas.openxmlformats.org/officeDocument/2006/relationships/hyperlink" Target="http://www.boxofficemojo.com/studio/chart/?studio=weinsteincompany.htm" TargetMode="External"/><Relationship Id="rId551" Type="http://schemas.openxmlformats.org/officeDocument/2006/relationships/hyperlink" Target="http://www.boxofficemojo.com/schedule/?view=bydate&amp;release=theatrical&amp;date=2010-10-08&amp;p=.htm" TargetMode="External"/><Relationship Id="rId552" Type="http://schemas.openxmlformats.org/officeDocument/2006/relationships/hyperlink" Target="http://www.boxofficemojo.com/movies/?id=restrepo.htm" TargetMode="External"/><Relationship Id="rId553" Type="http://schemas.openxmlformats.org/officeDocument/2006/relationships/hyperlink" Target="http://www.boxofficemojo.com/studio/chart/?studio=nationalgeographiccinema.htm" TargetMode="External"/><Relationship Id="rId554" Type="http://schemas.openxmlformats.org/officeDocument/2006/relationships/hyperlink" Target="http://www.boxofficemojo.com/schedule/?view=bydate&amp;release=theatrical&amp;date=2010-06-25&amp;p=.htm" TargetMode="External"/><Relationship Id="rId555" Type="http://schemas.openxmlformats.org/officeDocument/2006/relationships/hyperlink" Target="http://www.boxofficemojo.com/movies/?id=dabangg.htm" TargetMode="External"/><Relationship Id="rId556" Type="http://schemas.openxmlformats.org/officeDocument/2006/relationships/hyperlink" Target="http://www.boxofficemojo.com/studio/chart/?studio=eros.htm" TargetMode="External"/><Relationship Id="rId557" Type="http://schemas.openxmlformats.org/officeDocument/2006/relationships/hyperlink" Target="http://www.boxofficemojo.com/schedule/?view=bydate&amp;release=theatrical&amp;date=2010-09-10&amp;p=.htm" TargetMode="External"/><Relationship Id="rId558" Type="http://schemas.openxmlformats.org/officeDocument/2006/relationships/hyperlink" Target="http://www.boxofficemojo.com/movies/?id=micmacs.htm" TargetMode="External"/><Relationship Id="rId559" Type="http://schemas.openxmlformats.org/officeDocument/2006/relationships/hyperlink" Target="http://www.boxofficemojo.com/studio/chart/?studio=sonyclassics.htm" TargetMode="External"/><Relationship Id="rId1230" Type="http://schemas.openxmlformats.org/officeDocument/2006/relationships/hyperlink" Target="http://www.boxofficemojo.com/movies/?id=gasland.htm" TargetMode="External"/><Relationship Id="rId1231" Type="http://schemas.openxmlformats.org/officeDocument/2006/relationships/hyperlink" Target="http://www.boxofficemojo.com/studio/chart/?studio=internationalwow.htm" TargetMode="External"/><Relationship Id="rId1232" Type="http://schemas.openxmlformats.org/officeDocument/2006/relationships/hyperlink" Target="http://www.boxofficemojo.com/schedule/?view=bydate&amp;release=theatrical&amp;date=2010-09-15&amp;p=.htm" TargetMode="External"/><Relationship Id="rId1233" Type="http://schemas.openxmlformats.org/officeDocument/2006/relationships/hyperlink" Target="http://www.boxofficemojo.com/movies/?id=valhallarising.htm" TargetMode="External"/><Relationship Id="rId1234" Type="http://schemas.openxmlformats.org/officeDocument/2006/relationships/hyperlink" Target="http://www.boxofficemojo.com/studio/chart/?studio=ifc.htm" TargetMode="External"/><Relationship Id="rId1235" Type="http://schemas.openxmlformats.org/officeDocument/2006/relationships/hyperlink" Target="http://www.boxofficemojo.com/schedule/?view=bydate&amp;release=theatrical&amp;date=2010-07-16&amp;p=.htm" TargetMode="External"/><Relationship Id="rId1236" Type="http://schemas.openxmlformats.org/officeDocument/2006/relationships/hyperlink" Target="http://www.boxofficemojo.com/movies/?id=shanghaired.htm" TargetMode="External"/><Relationship Id="rId1237" Type="http://schemas.openxmlformats.org/officeDocument/2006/relationships/hyperlink" Target="http://www.boxofficemojo.com/studio/chart/?studio=indican.htm" TargetMode="External"/><Relationship Id="rId1238" Type="http://schemas.openxmlformats.org/officeDocument/2006/relationships/hyperlink" Target="http://www.boxofficemojo.com/schedule/?view=bydate&amp;release=theatrical&amp;date=2010-02-12&amp;p=.htm" TargetMode="External"/><Relationship Id="rId1239" Type="http://schemas.openxmlformats.org/officeDocument/2006/relationships/hyperlink" Target="http://www.boxofficemojo.com/movies/?id=inmysleep.htm" TargetMode="External"/><Relationship Id="rId230" Type="http://schemas.openxmlformats.org/officeDocument/2006/relationships/hyperlink" Target="http://www.boxofficemojo.com/schedule/?view=bydate&amp;release=theatrical&amp;date=2010-04-16&amp;p=.htm" TargetMode="External"/><Relationship Id="rId231" Type="http://schemas.openxmlformats.org/officeDocument/2006/relationships/hyperlink" Target="http://www.boxofficemojo.com/movies/?id=stepup3d.htm" TargetMode="External"/><Relationship Id="rId232" Type="http://schemas.openxmlformats.org/officeDocument/2006/relationships/hyperlink" Target="http://www.boxofficemojo.com/studio/chart/?studio=buenavista.htm" TargetMode="External"/><Relationship Id="rId233" Type="http://schemas.openxmlformats.org/officeDocument/2006/relationships/hyperlink" Target="http://www.boxofficemojo.com/schedule/?view=bydate&amp;release=theatrical&amp;date=2010-08-06&amp;p=.htm" TargetMode="External"/><Relationship Id="rId234" Type="http://schemas.openxmlformats.org/officeDocument/2006/relationships/hyperlink" Target="http://www.boxofficemojo.com/movies/?id=lastexorcism.htm" TargetMode="External"/><Relationship Id="rId235" Type="http://schemas.openxmlformats.org/officeDocument/2006/relationships/hyperlink" Target="http://www.boxofficemojo.com/studio/chart/?studio=lionsgate.htm" TargetMode="External"/><Relationship Id="rId236" Type="http://schemas.openxmlformats.org/officeDocument/2006/relationships/hyperlink" Target="http://www.boxofficemojo.com/schedule/?view=bydate&amp;release=theatrical&amp;date=2010-08-27&amp;p=.htm" TargetMode="External"/><Relationship Id="rId237" Type="http://schemas.openxmlformats.org/officeDocument/2006/relationships/hyperlink" Target="http://www.boxofficemojo.com/movies/?id=legion10.htm" TargetMode="External"/><Relationship Id="rId238" Type="http://schemas.openxmlformats.org/officeDocument/2006/relationships/hyperlink" Target="http://www.boxofficemojo.com/studio/chart/?studio=screengems.htm" TargetMode="External"/><Relationship Id="rId239" Type="http://schemas.openxmlformats.org/officeDocument/2006/relationships/hyperlink" Target="http://www.boxofficemojo.com/schedule/?view=bydate&amp;release=theatrical&amp;date=2010-01-22&amp;p=.htm" TargetMode="External"/><Relationship Id="rId880" Type="http://schemas.openxmlformats.org/officeDocument/2006/relationships/hyperlink" Target="http://www.boxofficemojo.com/studio/chart/?studio=jsmedia.htm" TargetMode="External"/><Relationship Id="rId881" Type="http://schemas.openxmlformats.org/officeDocument/2006/relationships/hyperlink" Target="http://www.boxofficemojo.com/schedule/?view=bydate&amp;release=theatrical&amp;date=2010-07-30&amp;p=.htm" TargetMode="External"/><Relationship Id="rId882" Type="http://schemas.openxmlformats.org/officeDocument/2006/relationships/hyperlink" Target="http://www.boxofficemojo.com/movies/?id=leavingpartir.htm" TargetMode="External"/><Relationship Id="rId883" Type="http://schemas.openxmlformats.org/officeDocument/2006/relationships/hyperlink" Target="http://www.boxofficemojo.com/studio/chart/?studio=ifc.htm" TargetMode="External"/><Relationship Id="rId884" Type="http://schemas.openxmlformats.org/officeDocument/2006/relationships/hyperlink" Target="http://www.boxofficemojo.com/schedule/?view=bydate&amp;release=theatrical&amp;date=2010-10-01&amp;p=.htm" TargetMode="External"/><Relationship Id="rId885" Type="http://schemas.openxmlformats.org/officeDocument/2006/relationships/hyperlink" Target="http://www.boxofficemojo.com/movies/?id=terriblyhappy.htm" TargetMode="External"/><Relationship Id="rId886" Type="http://schemas.openxmlformats.org/officeDocument/2006/relationships/hyperlink" Target="http://www.boxofficemojo.com/studio/chart/?studio=oscilloscopepictures.htm" TargetMode="External"/><Relationship Id="rId887" Type="http://schemas.openxmlformats.org/officeDocument/2006/relationships/hyperlink" Target="http://www.boxofficemojo.com/schedule/?view=bydate&amp;release=theatrical&amp;date=2010-02-05&amp;p=.htm" TargetMode="External"/><Relationship Id="rId888" Type="http://schemas.openxmlformats.org/officeDocument/2006/relationships/hyperlink" Target="http://www.boxofficemojo.com/movies/?id=chancepedance.htm" TargetMode="External"/><Relationship Id="rId889" Type="http://schemas.openxmlformats.org/officeDocument/2006/relationships/hyperlink" Target="http://www.boxofficemojo.com/studio/chart/?studio=utv.htm" TargetMode="External"/><Relationship Id="rId1560" Type="http://schemas.openxmlformats.org/officeDocument/2006/relationships/hyperlink" Target="http://www.boxofficemojo.com/movies/?id=afterlight.htm" TargetMode="External"/><Relationship Id="rId1561" Type="http://schemas.openxmlformats.org/officeDocument/2006/relationships/hyperlink" Target="http://www.boxofficemojo.com/studio/chart/?studio=cinemapurgatorio.htm" TargetMode="External"/><Relationship Id="rId1562" Type="http://schemas.openxmlformats.org/officeDocument/2006/relationships/hyperlink" Target="http://www.boxofficemojo.com/schedule/?view=bydate&amp;release=theatrical&amp;date=2010-09-10&amp;p=.htm" TargetMode="External"/><Relationship Id="rId1563" Type="http://schemas.openxmlformats.org/officeDocument/2006/relationships/hyperlink" Target="http://www.boxofficemojo.com/movies/?id=altiplano.htm" TargetMode="External"/><Relationship Id="rId1564" Type="http://schemas.openxmlformats.org/officeDocument/2006/relationships/hyperlink" Target="http://www.boxofficemojo.com/studio/chart/?studio=firstrun.htm" TargetMode="External"/><Relationship Id="rId1565" Type="http://schemas.openxmlformats.org/officeDocument/2006/relationships/hyperlink" Target="http://www.boxofficemojo.com/schedule/?view=bydate&amp;release=theatrical&amp;date=2010-08-20&amp;p=.htm" TargetMode="External"/><Relationship Id="rId1566" Type="http://schemas.openxmlformats.org/officeDocument/2006/relationships/hyperlink" Target="http://www.boxofficemojo.com/movies/?id=eichmann.htm" TargetMode="External"/><Relationship Id="rId1567" Type="http://schemas.openxmlformats.org/officeDocument/2006/relationships/hyperlink" Target="http://www.boxofficemojo.com/studio/chart/?studio=regent.htm" TargetMode="External"/><Relationship Id="rId1568" Type="http://schemas.openxmlformats.org/officeDocument/2006/relationships/hyperlink" Target="http://www.boxofficemojo.com/schedule/?view=bydate&amp;release=theatrical&amp;date=2010-10-29&amp;p=.htm" TargetMode="External"/><Relationship Id="rId1569" Type="http://schemas.openxmlformats.org/officeDocument/2006/relationships/hyperlink" Target="http://www.boxofficemojo.com/movies/?id=boogiewoogie.htm" TargetMode="External"/><Relationship Id="rId560" Type="http://schemas.openxmlformats.org/officeDocument/2006/relationships/hyperlink" Target="http://www.boxofficemojo.com/schedule/?view=bydate&amp;release=theatrical&amp;date=2010-05-28&amp;p=.htm" TargetMode="External"/><Relationship Id="rId561" Type="http://schemas.openxmlformats.org/officeDocument/2006/relationships/hyperlink" Target="http://www.boxofficemojo.com/movies/?id=housefull.htm" TargetMode="External"/><Relationship Id="rId562" Type="http://schemas.openxmlformats.org/officeDocument/2006/relationships/hyperlink" Target="http://www.boxofficemojo.com/studio/chart/?studio=eros.htm" TargetMode="External"/><Relationship Id="rId563" Type="http://schemas.openxmlformats.org/officeDocument/2006/relationships/hyperlink" Target="http://www.boxofficemojo.com/schedule/?view=bydate&amp;release=theatrical&amp;date=2010-04-30&amp;p=.htm" TargetMode="External"/><Relationship Id="rId564" Type="http://schemas.openxmlformats.org/officeDocument/2006/relationships/hyperlink" Target="http://www.boxofficemojo.com/movies/?id=golmaal3.htm" TargetMode="External"/><Relationship Id="rId565" Type="http://schemas.openxmlformats.org/officeDocument/2006/relationships/hyperlink" Target="http://www.boxofficemojo.com/studio/chart/?studio=eros.htm" TargetMode="External"/><Relationship Id="rId566" Type="http://schemas.openxmlformats.org/officeDocument/2006/relationships/hyperlink" Target="http://www.boxofficemojo.com/schedule/?view=bydate&amp;release=theatrical&amp;date=2010-11-05&amp;p=.htm" TargetMode="External"/><Relationship Id="rId567" Type="http://schemas.openxmlformats.org/officeDocument/2006/relationships/hyperlink" Target="http://www.boxofficemojo.com/movies/?id=motherandchild.htm" TargetMode="External"/><Relationship Id="rId568" Type="http://schemas.openxmlformats.org/officeDocument/2006/relationships/hyperlink" Target="http://www.boxofficemojo.com/studio/chart/?studio=sonyclassics.htm" TargetMode="External"/><Relationship Id="rId569" Type="http://schemas.openxmlformats.org/officeDocument/2006/relationships/hyperlink" Target="http://www.boxofficemojo.com/schedule/?view=bydate&amp;release=theatrical&amp;date=2010-05-07&amp;p=.htm" TargetMode="External"/><Relationship Id="rId1240" Type="http://schemas.openxmlformats.org/officeDocument/2006/relationships/hyperlink" Target="http://www.boxofficemojo.com/studio/chart/?studio=morningstar.htm" TargetMode="External"/><Relationship Id="rId1241" Type="http://schemas.openxmlformats.org/officeDocument/2006/relationships/hyperlink" Target="http://www.boxofficemojo.com/schedule/?view=bydate&amp;release=theatrical&amp;date=2010-04-23&amp;p=.htm" TargetMode="External"/><Relationship Id="rId1242" Type="http://schemas.openxmlformats.org/officeDocument/2006/relationships/hyperlink" Target="http://www.boxofficemojo.com/movies/?id=saintmishbeavin.htm" TargetMode="External"/><Relationship Id="rId1243" Type="http://schemas.openxmlformats.org/officeDocument/2006/relationships/hyperlink" Target="http://www.boxofficemojo.com/studio/chart/?studio=argotpictures.htm" TargetMode="External"/><Relationship Id="rId1244" Type="http://schemas.openxmlformats.org/officeDocument/2006/relationships/hyperlink" Target="http://www.boxofficemojo.com/schedule/?view=bydate&amp;release=theatrical&amp;date=2010-12-03&amp;p=.htm" TargetMode="External"/><Relationship Id="rId1245" Type="http://schemas.openxmlformats.org/officeDocument/2006/relationships/hyperlink" Target="http://www.boxofficemojo.com/movies/?id=lbs.htm" TargetMode="External"/><Relationship Id="rId1246" Type="http://schemas.openxmlformats.org/officeDocument/2006/relationships/hyperlink" Target="http://www.boxofficemojo.com/studio/chart/?studio=trulyindie.htm" TargetMode="External"/><Relationship Id="rId1247" Type="http://schemas.openxmlformats.org/officeDocument/2006/relationships/hyperlink" Target="http://www.boxofficemojo.com/schedule/?view=bydate&amp;release=theatrical&amp;date=2010-03-26&amp;p=.htm" TargetMode="External"/><Relationship Id="rId1248" Type="http://schemas.openxmlformats.org/officeDocument/2006/relationships/hyperlink" Target="http://www.boxofficemojo.com/movies/?id=multiplesarcasms.htm" TargetMode="External"/><Relationship Id="rId1249" Type="http://schemas.openxmlformats.org/officeDocument/2006/relationships/hyperlink" Target="http://www.boxofficemojo.com/studio/chart/?studio=macreleasing.htm" TargetMode="External"/><Relationship Id="rId240" Type="http://schemas.openxmlformats.org/officeDocument/2006/relationships/hyperlink" Target="http://www.boxofficemojo.com/movies/?id=burlesque.htm" TargetMode="External"/><Relationship Id="rId241" Type="http://schemas.openxmlformats.org/officeDocument/2006/relationships/hyperlink" Target="http://www.boxofficemojo.com/studio/chart/?studio=screengems.htm" TargetMode="External"/><Relationship Id="rId242" Type="http://schemas.openxmlformats.org/officeDocument/2006/relationships/hyperlink" Target="http://www.boxofficemojo.com/schedule/?view=bydate&amp;release=theatrical&amp;date=2010-11-24&amp;p=.htm" TargetMode="External"/><Relationship Id="rId243" Type="http://schemas.openxmlformats.org/officeDocument/2006/relationships/hyperlink" Target="http://www.boxofficemojo.com/movies/?id=crazies.htm" TargetMode="External"/><Relationship Id="rId244" Type="http://schemas.openxmlformats.org/officeDocument/2006/relationships/hyperlink" Target="http://www.boxofficemojo.com/studio/chart/?studio=overturefilms.htm" TargetMode="External"/><Relationship Id="rId245" Type="http://schemas.openxmlformats.org/officeDocument/2006/relationships/hyperlink" Target="http://www.boxofficemojo.com/schedule/?view=bydate&amp;release=theatrical&amp;date=2010-02-26&amp;p=.htm" TargetMode="External"/><Relationship Id="rId246" Type="http://schemas.openxmlformats.org/officeDocument/2006/relationships/hyperlink" Target="http://www.boxofficemojo.com/movies/?id=forcoloredgirls.htm" TargetMode="External"/><Relationship Id="rId247" Type="http://schemas.openxmlformats.org/officeDocument/2006/relationships/hyperlink" Target="http://www.boxofficemojo.com/studio/chart/?studio=lionsgate.htm" TargetMode="External"/><Relationship Id="rId248" Type="http://schemas.openxmlformats.org/officeDocument/2006/relationships/hyperlink" Target="http://www.boxofficemojo.com/schedule/?view=bydate&amp;release=theatrical&amp;date=2010-11-05&amp;p=.htm" TargetMode="External"/><Relationship Id="rId249" Type="http://schemas.openxmlformats.org/officeDocument/2006/relationships/hyperlink" Target="http://www.boxofficemojo.com/movies/?id=backupplan.htm" TargetMode="External"/><Relationship Id="rId890" Type="http://schemas.openxmlformats.org/officeDocument/2006/relationships/hyperlink" Target="http://www.boxofficemojo.com/schedule/?view=bydate&amp;release=theatrical&amp;date=2010-01-15&amp;p=.htm" TargetMode="External"/><Relationship Id="rId891" Type="http://schemas.openxmlformats.org/officeDocument/2006/relationships/hyperlink" Target="http://www.boxofficemojo.com/movies/?id=geniuswithin.htm" TargetMode="External"/><Relationship Id="rId892" Type="http://schemas.openxmlformats.org/officeDocument/2006/relationships/hyperlink" Target="http://www.boxofficemojo.com/studio/chart/?studio=lorberfilms.htm" TargetMode="External"/><Relationship Id="rId893" Type="http://schemas.openxmlformats.org/officeDocument/2006/relationships/hyperlink" Target="http://www.boxofficemojo.com/schedule/?view=bydate&amp;release=theatrical&amp;date=2010-09-10&amp;p=.htm" TargetMode="External"/><Relationship Id="rId894" Type="http://schemas.openxmlformats.org/officeDocument/2006/relationships/hyperlink" Target="http://www.boxofficemojo.com/movies/?id=alicecreed.htm" TargetMode="External"/><Relationship Id="rId895" Type="http://schemas.openxmlformats.org/officeDocument/2006/relationships/hyperlink" Target="http://www.boxofficemojo.com/studio/chart/?studio=anchorbayentertainment.htm" TargetMode="External"/><Relationship Id="rId896" Type="http://schemas.openxmlformats.org/officeDocument/2006/relationships/hyperlink" Target="http://www.boxofficemojo.com/schedule/?view=bydate&amp;release=theatrical&amp;date=2010-08-06&amp;p=.htm" TargetMode="External"/><Relationship Id="rId897" Type="http://schemas.openxmlformats.org/officeDocument/2006/relationships/hyperlink" Target="http://www.boxofficemojo.com/movies/?id=foolforlove10.htm" TargetMode="External"/><Relationship Id="rId898" Type="http://schemas.openxmlformats.org/officeDocument/2006/relationships/hyperlink" Target="http://www.boxofficemojo.com/studio/chart/?studio=variancefilms.htm" TargetMode="External"/><Relationship Id="rId899" Type="http://schemas.openxmlformats.org/officeDocument/2006/relationships/hyperlink" Target="http://www.boxofficemojo.com/schedule/?view=bydate&amp;release=theatrical&amp;date=2010-09-10&amp;p=.htm" TargetMode="External"/><Relationship Id="rId1570" Type="http://schemas.openxmlformats.org/officeDocument/2006/relationships/hyperlink" Target="http://www.boxofficemojo.com/studio/chart/?studio=ifc.htm" TargetMode="External"/><Relationship Id="rId1571" Type="http://schemas.openxmlformats.org/officeDocument/2006/relationships/hyperlink" Target="http://www.boxofficemojo.com/schedule/?view=bydate&amp;release=theatrical&amp;date=2010-04-23&amp;p=.htm" TargetMode="External"/><Relationship Id="rId1572" Type="http://schemas.openxmlformats.org/officeDocument/2006/relationships/hyperlink" Target="http://www.boxofficemojo.com/movies/?id=danielandana.htm" TargetMode="External"/><Relationship Id="rId1573" Type="http://schemas.openxmlformats.org/officeDocument/2006/relationships/hyperlink" Target="http://www.boxofficemojo.com/studio/chart/?studio=strand.htm" TargetMode="External"/><Relationship Id="rId1574" Type="http://schemas.openxmlformats.org/officeDocument/2006/relationships/hyperlink" Target="http://www.boxofficemojo.com/schedule/?view=bydate&amp;release=theatrical&amp;date=2010-08-27&amp;p=.htm" TargetMode="External"/><Relationship Id="rId1575" Type="http://schemas.openxmlformats.org/officeDocument/2006/relationships/hyperlink" Target="http://www.boxofficemojo.com/movies/?id=youwontmissme.htm" TargetMode="External"/><Relationship Id="rId1576" Type="http://schemas.openxmlformats.org/officeDocument/2006/relationships/hyperlink" Target="http://www.boxofficemojo.com/studio/chart/?studio=reeldivaconsultants.htm" TargetMode="External"/><Relationship Id="rId1577" Type="http://schemas.openxmlformats.org/officeDocument/2006/relationships/hyperlink" Target="http://www.boxofficemojo.com/schedule/?view=bydate&amp;release=theatrical&amp;date=2010-12-10&amp;p=.htm" TargetMode="External"/><Relationship Id="rId1578" Type="http://schemas.openxmlformats.org/officeDocument/2006/relationships/hyperlink" Target="http://www.boxofficemojo.com/movies/?id=girlflickan.htm" TargetMode="External"/><Relationship Id="rId1579" Type="http://schemas.openxmlformats.org/officeDocument/2006/relationships/hyperlink" Target="http://www.boxofficemojo.com/studio/chart/?studio=olivefilms.htm" TargetMode="External"/><Relationship Id="rId570" Type="http://schemas.openxmlformats.org/officeDocument/2006/relationships/hyperlink" Target="http://www.boxofficemojo.com/movies/?id=madeindagenham.htm" TargetMode="External"/><Relationship Id="rId571" Type="http://schemas.openxmlformats.org/officeDocument/2006/relationships/hyperlink" Target="http://www.boxofficemojo.com/studio/chart/?studio=sonyclassics.htm" TargetMode="External"/><Relationship Id="rId572" Type="http://schemas.openxmlformats.org/officeDocument/2006/relationships/hyperlink" Target="http://www.boxofficemojo.com/schedule/?view=bydate&amp;release=theatrical&amp;date=2010-11-19&amp;p=.htm" TargetMode="External"/><Relationship Id="rId573" Type="http://schemas.openxmlformats.org/officeDocument/2006/relationships/hyperlink" Target="http://www.boxofficemojo.com/movies/?id=teesmaarkhan.htm" TargetMode="External"/><Relationship Id="rId574" Type="http://schemas.openxmlformats.org/officeDocument/2006/relationships/hyperlink" Target="http://www.boxofficemojo.com/studio/chart/?studio=utv.htm" TargetMode="External"/><Relationship Id="rId575" Type="http://schemas.openxmlformats.org/officeDocument/2006/relationships/hyperlink" Target="http://www.boxofficemojo.com/schedule/?view=bydate&amp;release=theatrical&amp;date=2010-12-22&amp;p=.htm" TargetMode="External"/><Relationship Id="rId576" Type="http://schemas.openxmlformats.org/officeDocument/2006/relationships/hyperlink" Target="http://www.boxofficemojo.com/movies/?id=lamission.htm" TargetMode="External"/><Relationship Id="rId577" Type="http://schemas.openxmlformats.org/officeDocument/2006/relationships/hyperlink" Target="http://www.boxofficemojo.com/studio/chart/?studio=screenmedia.htm" TargetMode="External"/><Relationship Id="rId578" Type="http://schemas.openxmlformats.org/officeDocument/2006/relationships/hyperlink" Target="http://www.boxofficemojo.com/schedule/?view=bydate&amp;release=theatrical&amp;date=2010-04-09&amp;p=.htm" TargetMode="External"/><Relationship Id="rId579" Type="http://schemas.openxmlformats.org/officeDocument/2006/relationships/hyperlink" Target="http://www.boxofficemojo.com/movies/?id=buried.htm" TargetMode="External"/><Relationship Id="rId1250" Type="http://schemas.openxmlformats.org/officeDocument/2006/relationships/hyperlink" Target="http://www.boxofficemojo.com/schedule/?view=bydate&amp;release=theatrical&amp;date=2010-05-07&amp;p=.htm" TargetMode="External"/><Relationship Id="rId1251" Type="http://schemas.openxmlformats.org/officeDocument/2006/relationships/hyperlink" Target="http://www.boxofficemojo.com/movies/?id=twointhewave.htm" TargetMode="External"/><Relationship Id="rId1252" Type="http://schemas.openxmlformats.org/officeDocument/2006/relationships/hyperlink" Target="http://www.boxofficemojo.com/studio/chart/?studio=lorberfilms.htm" TargetMode="External"/><Relationship Id="rId1253" Type="http://schemas.openxmlformats.org/officeDocument/2006/relationships/hyperlink" Target="http://www.boxofficemojo.com/schedule/?view=bydate&amp;release=theatrical&amp;date=2010-05-19&amp;p=.htm" TargetMode="External"/><Relationship Id="rId1254" Type="http://schemas.openxmlformats.org/officeDocument/2006/relationships/hyperlink" Target="http://www.boxofficemojo.com/movies/?id=rec2.htm" TargetMode="External"/><Relationship Id="rId1255" Type="http://schemas.openxmlformats.org/officeDocument/2006/relationships/hyperlink" Target="http://www.boxofficemojo.com/studio/chart/?studio=magnolia.htm" TargetMode="External"/><Relationship Id="rId1256" Type="http://schemas.openxmlformats.org/officeDocument/2006/relationships/hyperlink" Target="http://www.boxofficemojo.com/schedule/?view=bydate&amp;release=theatrical&amp;date=2010-07-09&amp;p=.htm" TargetMode="External"/><Relationship Id="rId1257" Type="http://schemas.openxmlformats.org/officeDocument/2006/relationships/hyperlink" Target="http://www.boxofficemojo.com/movies/?id=hereandthere.htm" TargetMode="External"/><Relationship Id="rId1258" Type="http://schemas.openxmlformats.org/officeDocument/2006/relationships/hyperlink" Target="http://www.boxofficemojo.com/studio/chart/?studio=cinemapurgatorio.htm" TargetMode="External"/><Relationship Id="rId1259" Type="http://schemas.openxmlformats.org/officeDocument/2006/relationships/hyperlink" Target="http://www.boxofficemojo.com/schedule/?view=bydate&amp;release=theatrical&amp;date=2010-05-14&amp;p=.htm" TargetMode="External"/><Relationship Id="rId250" Type="http://schemas.openxmlformats.org/officeDocument/2006/relationships/hyperlink" Target="http://www.boxofficemojo.com/studio/chart/?studio=cbsfilms.htm" TargetMode="External"/><Relationship Id="rId251" Type="http://schemas.openxmlformats.org/officeDocument/2006/relationships/hyperlink" Target="http://www.boxofficemojo.com/schedule/?view=bydate&amp;release=theatrical&amp;date=2010-04-23&amp;p=.htm" TargetMode="External"/><Relationship Id="rId252" Type="http://schemas.openxmlformats.org/officeDocument/2006/relationships/hyperlink" Target="http://www.boxofficemojo.com/movies/?id=untitledvampirespoof.htm" TargetMode="External"/><Relationship Id="rId253" Type="http://schemas.openxmlformats.org/officeDocument/2006/relationships/hyperlink" Target="http://www.boxofficemojo.com/studio/chart/?studio=fox.htm" TargetMode="External"/><Relationship Id="rId254" Type="http://schemas.openxmlformats.org/officeDocument/2006/relationships/hyperlink" Target="http://www.boxofficemojo.com/schedule/?view=bydate&amp;release=theatrical&amp;date=2010-08-18&amp;p=.htm" TargetMode="External"/><Relationship Id="rId255" Type="http://schemas.openxmlformats.org/officeDocument/2006/relationships/hyperlink" Target="http://www.boxofficemojo.com/movies/?id=american10.htm" TargetMode="External"/><Relationship Id="rId256" Type="http://schemas.openxmlformats.org/officeDocument/2006/relationships/hyperlink" Target="http://www.boxofficemojo.com/studio/chart/?studio=focus.htm" TargetMode="External"/><Relationship Id="rId257" Type="http://schemas.openxmlformats.org/officeDocument/2006/relationships/hyperlink" Target="http://www.boxofficemojo.com/schedule/?view=bydate&amp;release=theatrical&amp;date=2010-09-01&amp;p=.htm" TargetMode="External"/><Relationship Id="rId258" Type="http://schemas.openxmlformats.org/officeDocument/2006/relationships/hyperlink" Target="http://www.boxofficemojo.com/movies/?id=greenzone.htm" TargetMode="External"/><Relationship Id="rId259" Type="http://schemas.openxmlformats.org/officeDocument/2006/relationships/hyperlink" Target="http://www.boxofficemojo.com/studio/chart/?studio=universal.htm" TargetMode="External"/><Relationship Id="rId700" Type="http://schemas.openxmlformats.org/officeDocument/2006/relationships/hyperlink" Target="http://www.boxofficemojo.com/studio/chart/?studio=eros.htm" TargetMode="External"/><Relationship Id="rId701" Type="http://schemas.openxmlformats.org/officeDocument/2006/relationships/hyperlink" Target="http://www.boxofficemojo.com/schedule/?view=bydate&amp;release=theatrical&amp;date=2010-01-22&amp;p=.htm" TargetMode="External"/><Relationship Id="rId702" Type="http://schemas.openxmlformats.org/officeDocument/2006/relationships/hyperlink" Target="http://www.boxofficemojo.com/movies/?id=preacherskid.htm" TargetMode="External"/><Relationship Id="rId703" Type="http://schemas.openxmlformats.org/officeDocument/2006/relationships/hyperlink" Target="http://www.boxofficemojo.com/studio/chart/?studio=8x.htm" TargetMode="External"/><Relationship Id="rId704" Type="http://schemas.openxmlformats.org/officeDocument/2006/relationships/hyperlink" Target="http://www.boxofficemojo.com/schedule/?view=bydate&amp;release=theatrical&amp;date=2010-01-29&amp;p=.htm" TargetMode="External"/><Relationship Id="rId705" Type="http://schemas.openxmlformats.org/officeDocument/2006/relationships/hyperlink" Target="http://www.boxofficemojo.com/movies/?id=heartbreaker2010.htm" TargetMode="External"/><Relationship Id="rId706" Type="http://schemas.openxmlformats.org/officeDocument/2006/relationships/hyperlink" Target="http://www.boxofficemojo.com/studio/chart/?studio=ifc.htm" TargetMode="External"/><Relationship Id="rId707" Type="http://schemas.openxmlformats.org/officeDocument/2006/relationships/hyperlink" Target="http://www.boxofficemojo.com/schedule/?view=bydate&amp;release=theatrical&amp;date=2010-09-10&amp;p=.htm" TargetMode="External"/><Relationship Id="rId708" Type="http://schemas.openxmlformats.org/officeDocument/2006/relationships/hyperlink" Target="http://www.boxofficemojo.com/movies/?id=cityofyourfinaldestination.htm" TargetMode="External"/><Relationship Id="rId709" Type="http://schemas.openxmlformats.org/officeDocument/2006/relationships/hyperlink" Target="http://www.boxofficemojo.com/studio/chart/?studio=screenmedia.htm" TargetMode="External"/><Relationship Id="rId1580" Type="http://schemas.openxmlformats.org/officeDocument/2006/relationships/hyperlink" Target="http://www.boxofficemojo.com/schedule/?view=bydate&amp;release=theatrical&amp;date=2010-09-17&amp;p=.htm" TargetMode="External"/><Relationship Id="rId1581" Type="http://schemas.openxmlformats.org/officeDocument/2006/relationships/hyperlink" Target="http://www.boxofficemojo.com/movies/?id=nobodysperfect.htm" TargetMode="External"/><Relationship Id="rId1582" Type="http://schemas.openxmlformats.org/officeDocument/2006/relationships/hyperlink" Target="http://www.boxofficemojo.com/studio/chart/?studio=lorberfilms.htm" TargetMode="External"/><Relationship Id="rId1583" Type="http://schemas.openxmlformats.org/officeDocument/2006/relationships/hyperlink" Target="http://www.boxofficemojo.com/schedule/?view=bydate&amp;release=theatrical&amp;date=2010-04-16&amp;p=.htm" TargetMode="External"/><Relationship Id="rId1584" Type="http://schemas.openxmlformats.org/officeDocument/2006/relationships/hyperlink" Target="http://www.boxofficemojo.com/movies/?id=goodasdead.htm" TargetMode="External"/><Relationship Id="rId1585" Type="http://schemas.openxmlformats.org/officeDocument/2006/relationships/hyperlink" Target="http://www.boxofficemojo.com/studio/chart/?studio=firstlook.htm" TargetMode="External"/><Relationship Id="rId1586" Type="http://schemas.openxmlformats.org/officeDocument/2006/relationships/hyperlink" Target="http://www.boxofficemojo.com/schedule/?view=bydate&amp;release=theatrical&amp;date=2010-10-08&amp;p=.htm" TargetMode="External"/><Relationship Id="rId1587" Type="http://schemas.openxmlformats.org/officeDocument/2006/relationships/hyperlink" Target="http://www.boxofficemojo.com/movies/?id=fallingawake.htm" TargetMode="External"/><Relationship Id="rId1588" Type="http://schemas.openxmlformats.org/officeDocument/2006/relationships/hyperlink" Target="http://www.boxofficemojo.com/studio/chart/?studio=ifc.htm" TargetMode="External"/><Relationship Id="rId1589" Type="http://schemas.openxmlformats.org/officeDocument/2006/relationships/hyperlink" Target="http://www.boxofficemojo.com/schedule/?view=bydate&amp;release=theatrical&amp;date=2010-01-29&amp;p=.htm" TargetMode="External"/><Relationship Id="rId10" Type="http://schemas.openxmlformats.org/officeDocument/2006/relationships/hyperlink" Target="http://www.boxofficemojo.com/studio/chart/?studio=buenavista.htm" TargetMode="External"/><Relationship Id="rId11" Type="http://schemas.openxmlformats.org/officeDocument/2006/relationships/hyperlink" Target="http://www.boxofficemojo.com/schedule/?view=bydate&amp;release=theatrical&amp;date=2010-03-05&amp;p=.htm" TargetMode="External"/><Relationship Id="rId12" Type="http://schemas.openxmlformats.org/officeDocument/2006/relationships/hyperlink" Target="http://www.boxofficemojo.com/movies/?id=ironman2.htm" TargetMode="External"/><Relationship Id="rId13" Type="http://schemas.openxmlformats.org/officeDocument/2006/relationships/hyperlink" Target="http://www.boxofficemojo.com/studio/chart/?studio=paramount.htm" TargetMode="External"/><Relationship Id="rId14" Type="http://schemas.openxmlformats.org/officeDocument/2006/relationships/hyperlink" Target="http://www.boxofficemojo.com/schedule/?view=bydate&amp;release=theatrical&amp;date=2010-05-07&amp;p=.htm" TargetMode="External"/><Relationship Id="rId15" Type="http://schemas.openxmlformats.org/officeDocument/2006/relationships/hyperlink" Target="http://www.boxofficemojo.com/movies/?id=eclipse.htm" TargetMode="External"/><Relationship Id="rId16" Type="http://schemas.openxmlformats.org/officeDocument/2006/relationships/hyperlink" Target="http://www.boxofficemojo.com/studio/chart/?studio=summitentertainment.htm" TargetMode="External"/><Relationship Id="rId17" Type="http://schemas.openxmlformats.org/officeDocument/2006/relationships/hyperlink" Target="http://www.boxofficemojo.com/schedule/?view=bydate&amp;release=theatrical&amp;date=2010-06-30&amp;p=.htm" TargetMode="External"/><Relationship Id="rId18" Type="http://schemas.openxmlformats.org/officeDocument/2006/relationships/hyperlink" Target="http://www.boxofficemojo.com/movies/?id=harrypotter7.htm" TargetMode="External"/><Relationship Id="rId19" Type="http://schemas.openxmlformats.org/officeDocument/2006/relationships/hyperlink" Target="http://www.boxofficemojo.com/studio/chart/?studio=warnerbros.htm" TargetMode="External"/><Relationship Id="rId1" Type="http://schemas.openxmlformats.org/officeDocument/2006/relationships/hyperlink" Target="http://www.boxofficemojo.com/yearly/chart/?view=releasedate&amp;view2=domestic&amp;yr=2010&amp;sort=gross&amp;order=ASC&amp;p=.htm" TargetMode="External"/><Relationship Id="rId2" Type="http://schemas.openxmlformats.org/officeDocument/2006/relationships/hyperlink" Target="http://www.boxofficemojo.com/yearly/chart/?view=releasedate&amp;view2=domestic&amp;yr=2010&amp;sort=title&amp;order=ASC&amp;p=.htm" TargetMode="External"/><Relationship Id="rId3" Type="http://schemas.openxmlformats.org/officeDocument/2006/relationships/hyperlink" Target="http://www.boxofficemojo.com/yearly/chart/?view=releasedate&amp;view2=domestic&amp;yr=2010&amp;sort=studio&amp;order=ASC&amp;p=.htm" TargetMode="External"/><Relationship Id="rId4" Type="http://schemas.openxmlformats.org/officeDocument/2006/relationships/hyperlink" Target="http://www.boxofficemojo.com/yearly/chart/?view=releasedate&amp;view2=domestic&amp;yr=2010&amp;sort=open&amp;order=DESC&amp;p=.htm" TargetMode="External"/><Relationship Id="rId5" Type="http://schemas.openxmlformats.org/officeDocument/2006/relationships/hyperlink" Target="http://www.boxofficemojo.com/yearly/chart/?view=releasedate&amp;view2=domestic&amp;yr=2010&amp;sort=close&amp;order=DESC&amp;p=.htm" TargetMode="External"/><Relationship Id="rId6" Type="http://schemas.openxmlformats.org/officeDocument/2006/relationships/hyperlink" Target="http://www.boxofficemojo.com/movies/?id=toystory3.htm" TargetMode="External"/><Relationship Id="rId7" Type="http://schemas.openxmlformats.org/officeDocument/2006/relationships/hyperlink" Target="http://www.boxofficemojo.com/studio/chart/?studio=buenavista.htm" TargetMode="External"/><Relationship Id="rId8" Type="http://schemas.openxmlformats.org/officeDocument/2006/relationships/hyperlink" Target="http://www.boxofficemojo.com/schedule/?view=bydate&amp;release=theatrical&amp;date=2010-06-18&amp;p=.htm" TargetMode="External"/><Relationship Id="rId9" Type="http://schemas.openxmlformats.org/officeDocument/2006/relationships/hyperlink" Target="http://www.boxofficemojo.com/movies/?id=aliceinwonderland10.htm" TargetMode="External"/><Relationship Id="rId580" Type="http://schemas.openxmlformats.org/officeDocument/2006/relationships/hyperlink" Target="http://www.boxofficemojo.com/studio/chart/?studio=lionsgate.htm" TargetMode="External"/><Relationship Id="rId581" Type="http://schemas.openxmlformats.org/officeDocument/2006/relationships/hyperlink" Target="http://www.boxofficemojo.com/schedule/?view=bydate&amp;release=theatrical&amp;date=2010-09-24&amp;p=.htm" TargetMode="External"/><Relationship Id="rId582" Type="http://schemas.openxmlformats.org/officeDocument/2006/relationships/hyperlink" Target="http://www.boxofficemojo.com/movies/?id=animalkingdom.htm" TargetMode="External"/><Relationship Id="rId583" Type="http://schemas.openxmlformats.org/officeDocument/2006/relationships/hyperlink" Target="http://www.boxofficemojo.com/studio/chart/?studio=sonyclassics.htm" TargetMode="External"/><Relationship Id="rId584" Type="http://schemas.openxmlformats.org/officeDocument/2006/relationships/hyperlink" Target="http://www.boxofficemojo.com/schedule/?view=bydate&amp;release=theatrical&amp;date=2010-08-13&amp;p=.htm" TargetMode="External"/><Relationship Id="rId585" Type="http://schemas.openxmlformats.org/officeDocument/2006/relationships/hyperlink" Target="http://www.boxofficemojo.com/movies/?id=casinojack2.htm" TargetMode="External"/><Relationship Id="rId586" Type="http://schemas.openxmlformats.org/officeDocument/2006/relationships/hyperlink" Target="http://www.boxofficemojo.com/studio/chart/?studio=atopictures.htm" TargetMode="External"/><Relationship Id="rId587" Type="http://schemas.openxmlformats.org/officeDocument/2006/relationships/hyperlink" Target="http://www.boxofficemojo.com/schedule/?view=bydate&amp;release=theatrical&amp;date=2010-12-17&amp;p=.htm" TargetMode="External"/><Relationship Id="rId588" Type="http://schemas.openxmlformats.org/officeDocument/2006/relationships/hyperlink" Target="http://www.boxofficemojo.com/movies/?id=perfectgame.htm" TargetMode="External"/><Relationship Id="rId589" Type="http://schemas.openxmlformats.org/officeDocument/2006/relationships/hyperlink" Target="http://www.boxofficemojo.com/studio/chart/?studio=industryworks.htm" TargetMode="External"/><Relationship Id="rId1260" Type="http://schemas.openxmlformats.org/officeDocument/2006/relationships/hyperlink" Target="http://www.boxofficemojo.com/movies/?id=eyeswideopen.htm" TargetMode="External"/><Relationship Id="rId1261" Type="http://schemas.openxmlformats.org/officeDocument/2006/relationships/hyperlink" Target="http://www.boxofficemojo.com/studio/chart/?studio=newamericanvision.htm" TargetMode="External"/><Relationship Id="rId1262" Type="http://schemas.openxmlformats.org/officeDocument/2006/relationships/hyperlink" Target="http://www.boxofficemojo.com/schedule/?view=bydate&amp;release=theatrical&amp;date=2010-02-05&amp;p=.htm" TargetMode="External"/><Relationship Id="rId260" Type="http://schemas.openxmlformats.org/officeDocument/2006/relationships/hyperlink" Target="http://www.boxofficemojo.com/schedule/?view=bydate&amp;release=theatrical&amp;date=2010-03-12&amp;p=.htm" TargetMode="External"/><Relationship Id="rId261" Type="http://schemas.openxmlformats.org/officeDocument/2006/relationships/hyperlink" Target="http://www.boxofficemojo.com/movies/?id=marmaduke.htm" TargetMode="External"/><Relationship Id="rId262" Type="http://schemas.openxmlformats.org/officeDocument/2006/relationships/hyperlink" Target="http://www.boxofficemojo.com/studio/chart/?studio=fox.htm" TargetMode="External"/><Relationship Id="rId263" Type="http://schemas.openxmlformats.org/officeDocument/2006/relationships/hyperlink" Target="http://www.boxofficemojo.com/schedule/?view=bydate&amp;release=theatrical&amp;date=2010-06-04&amp;p=.htm" TargetMode="External"/><Relationship Id="rId264" Type="http://schemas.openxmlformats.org/officeDocument/2006/relationships/hyperlink" Target="http://www.boxofficemojo.com/movies/?id=nightchroniclesdevil.htm" TargetMode="External"/><Relationship Id="rId265" Type="http://schemas.openxmlformats.org/officeDocument/2006/relationships/hyperlink" Target="http://www.boxofficemojo.com/studio/chart/?studio=universal.htm" TargetMode="External"/><Relationship Id="rId266" Type="http://schemas.openxmlformats.org/officeDocument/2006/relationships/hyperlink" Target="http://www.boxofficemojo.com/schedule/?view=bydate&amp;release=theatrical&amp;date=2010-09-17&amp;p=.htm" TargetMode="External"/><Relationship Id="rId267" Type="http://schemas.openxmlformats.org/officeDocument/2006/relationships/hyperlink" Target="http://www.boxofficemojo.com/movies/?id=hereafter.htm" TargetMode="External"/><Relationship Id="rId268" Type="http://schemas.openxmlformats.org/officeDocument/2006/relationships/hyperlink" Target="http://www.boxofficemojo.com/studio/chart/?studio=warnerbros.htm" TargetMode="External"/><Relationship Id="rId269" Type="http://schemas.openxmlformats.org/officeDocument/2006/relationships/hyperlink" Target="http://www.boxofficemojo.com/schedule/?view=bydate&amp;release=theatrical&amp;date=2010-10-15&amp;p=.htm" TargetMode="External"/><Relationship Id="rId1263" Type="http://schemas.openxmlformats.org/officeDocument/2006/relationships/hyperlink" Target="http://www.boxofficemojo.com/movies/?id=octobercountry.htm" TargetMode="External"/><Relationship Id="rId1264" Type="http://schemas.openxmlformats.org/officeDocument/2006/relationships/hyperlink" Target="http://www.boxofficemojo.com/studio/chart/?studio=intlfilmcircuit.htm" TargetMode="External"/><Relationship Id="rId1265" Type="http://schemas.openxmlformats.org/officeDocument/2006/relationships/hyperlink" Target="http://www.boxofficemojo.com/schedule/?view=bydate&amp;release=theatrical&amp;date=2010-02-12&amp;p=.htm" TargetMode="External"/><Relationship Id="rId1266" Type="http://schemas.openxmlformats.org/officeDocument/2006/relationships/hyperlink" Target="http://www.boxofficemojo.com/movies/?id=theexplodinggirl.htm" TargetMode="External"/><Relationship Id="rId1267" Type="http://schemas.openxmlformats.org/officeDocument/2006/relationships/hyperlink" Target="http://www.boxofficemojo.com/studio/chart/?studio=oscilloscopepictures.htm" TargetMode="External"/><Relationship Id="rId1268" Type="http://schemas.openxmlformats.org/officeDocument/2006/relationships/hyperlink" Target="http://www.boxofficemojo.com/schedule/?view=bydate&amp;release=theatrical&amp;date=2010-03-12&amp;p=.htm" TargetMode="External"/><Relationship Id="rId1269" Type="http://schemas.openxmlformats.org/officeDocument/2006/relationships/hyperlink" Target="http://www.boxofficemojo.com/movies/?id=inferno.htm" TargetMode="External"/><Relationship Id="rId710" Type="http://schemas.openxmlformats.org/officeDocument/2006/relationships/hyperlink" Target="http://www.boxofficemojo.com/schedule/?view=bydate&amp;release=theatrical&amp;date=2010-04-16&amp;p=.htm" TargetMode="External"/><Relationship Id="rId711" Type="http://schemas.openxmlformats.org/officeDocument/2006/relationships/hyperlink" Target="http://www.boxofficemojo.com/movies/?id=themostdangerousmaninamerica.htm" TargetMode="External"/><Relationship Id="rId712" Type="http://schemas.openxmlformats.org/officeDocument/2006/relationships/hyperlink" Target="http://www.boxofficemojo.com/studio/chart/?studio=firstrun.htm" TargetMode="External"/><Relationship Id="rId713" Type="http://schemas.openxmlformats.org/officeDocument/2006/relationships/hyperlink" Target="http://www.boxofficemojo.com/schedule/?view=bydate&amp;release=theatrical&amp;date=2010-01-29&amp;p=.htm" TargetMode="External"/><Relationship Id="rId714" Type="http://schemas.openxmlformats.org/officeDocument/2006/relationships/hyperlink" Target="http://www.boxofficemojo.com/movies/?id=extraman.htm" TargetMode="External"/><Relationship Id="rId715" Type="http://schemas.openxmlformats.org/officeDocument/2006/relationships/hyperlink" Target="http://www.boxofficemojo.com/studio/chart/?studio=magnolia.htm" TargetMode="External"/><Relationship Id="rId716" Type="http://schemas.openxmlformats.org/officeDocument/2006/relationships/hyperlink" Target="http://www.boxofficemojo.com/schedule/?view=bydate&amp;release=theatrical&amp;date=2010-07-30&amp;p=.htm" TargetMode="External"/><Relationship Id="rId717" Type="http://schemas.openxmlformats.org/officeDocument/2006/relationships/hyperlink" Target="http://www.boxofficemojo.com/movies/?id=vision.htm" TargetMode="External"/><Relationship Id="rId718" Type="http://schemas.openxmlformats.org/officeDocument/2006/relationships/hyperlink" Target="http://www.boxofficemojo.com/studio/chart/?studio=zeitgeist.htm" TargetMode="External"/><Relationship Id="rId719" Type="http://schemas.openxmlformats.org/officeDocument/2006/relationships/hyperlink" Target="http://www.boxofficemojo.com/schedule/?view=bydate&amp;release=theatrical&amp;date=2010-10-13&amp;p=.htm" TargetMode="External"/><Relationship Id="rId1590" Type="http://schemas.openxmlformats.org/officeDocument/2006/relationships/hyperlink" Target="http://www.boxofficemojo.com/movies/?id=sttony.htm" TargetMode="External"/><Relationship Id="rId1591" Type="http://schemas.openxmlformats.org/officeDocument/2006/relationships/hyperlink" Target="http://www.boxofficemojo.com/studio/chart/?studio=olivefilms.htm" TargetMode="External"/><Relationship Id="rId1592" Type="http://schemas.openxmlformats.org/officeDocument/2006/relationships/hyperlink" Target="http://www.boxofficemojo.com/schedule/?view=bydate&amp;release=theatrical&amp;date=2010-09-17&amp;p=.htm" TargetMode="External"/><Relationship Id="rId1593" Type="http://schemas.openxmlformats.org/officeDocument/2006/relationships/hyperlink" Target="http://www.boxofficemojo.com/movies/?id=amotherscourage.htm" TargetMode="External"/><Relationship Id="rId1594" Type="http://schemas.openxmlformats.org/officeDocument/2006/relationships/hyperlink" Target="http://www.boxofficemojo.com/studio/chart/?studio=firstrun.htm" TargetMode="External"/><Relationship Id="rId1595" Type="http://schemas.openxmlformats.org/officeDocument/2006/relationships/hyperlink" Target="http://www.boxofficemojo.com/schedule/?view=bydate&amp;release=theatrical&amp;date=2010-09-24&amp;p=.htm" TargetMode="External"/><Relationship Id="rId1596" Type="http://schemas.openxmlformats.org/officeDocument/2006/relationships/hyperlink" Target="http://www.boxofficemojo.com/movies/?id=manuelaandmanuel.htm" TargetMode="External"/><Relationship Id="rId1597" Type="http://schemas.openxmlformats.org/officeDocument/2006/relationships/hyperlink" Target="http://www.boxofficemojo.com/studio/chart/?studio=regent.htm" TargetMode="External"/><Relationship Id="rId1598" Type="http://schemas.openxmlformats.org/officeDocument/2006/relationships/hyperlink" Target="http://www.boxofficemojo.com/schedule/?view=bydate&amp;release=theatrical&amp;date=2010-03-26&amp;p=.htm" TargetMode="External"/><Relationship Id="rId1599" Type="http://schemas.openxmlformats.org/officeDocument/2006/relationships/hyperlink" Target="http://www.boxofficemojo.com/movies/?id=carmo.htm" TargetMode="External"/><Relationship Id="rId20" Type="http://schemas.openxmlformats.org/officeDocument/2006/relationships/hyperlink" Target="http://www.boxofficemojo.com/schedule/?view=bydate&amp;release=theatrical&amp;date=2010-11-19&amp;p=.htm" TargetMode="External"/><Relationship Id="rId21" Type="http://schemas.openxmlformats.org/officeDocument/2006/relationships/hyperlink" Target="http://www.boxofficemojo.com/movies/?id=inception.htm" TargetMode="External"/><Relationship Id="rId22" Type="http://schemas.openxmlformats.org/officeDocument/2006/relationships/hyperlink" Target="http://www.boxofficemojo.com/studio/chart/?studio=warnerbros.htm" TargetMode="External"/><Relationship Id="rId23" Type="http://schemas.openxmlformats.org/officeDocument/2006/relationships/hyperlink" Target="http://www.boxofficemojo.com/schedule/?view=bydate&amp;release=theatrical&amp;date=2010-07-16&amp;p=.htm" TargetMode="External"/><Relationship Id="rId24" Type="http://schemas.openxmlformats.org/officeDocument/2006/relationships/hyperlink" Target="http://www.boxofficemojo.com/movies/?id=despicableme.htm" TargetMode="External"/><Relationship Id="rId25" Type="http://schemas.openxmlformats.org/officeDocument/2006/relationships/hyperlink" Target="http://www.boxofficemojo.com/studio/chart/?studio=universal.htm" TargetMode="External"/><Relationship Id="rId26" Type="http://schemas.openxmlformats.org/officeDocument/2006/relationships/hyperlink" Target="http://www.boxofficemojo.com/schedule/?view=bydate&amp;release=theatrical&amp;date=2010-07-09&amp;p=.htm" TargetMode="External"/><Relationship Id="rId27" Type="http://schemas.openxmlformats.org/officeDocument/2006/relationships/hyperlink" Target="http://www.boxofficemojo.com/movies/?id=shrek4.htm" TargetMode="External"/><Relationship Id="rId28" Type="http://schemas.openxmlformats.org/officeDocument/2006/relationships/hyperlink" Target="http://www.boxofficemojo.com/studio/chart/?studio=pardw.htm" TargetMode="External"/><Relationship Id="rId29" Type="http://schemas.openxmlformats.org/officeDocument/2006/relationships/hyperlink" Target="http://www.boxofficemojo.com/schedule/?view=bydate&amp;release=theatrical&amp;date=2010-05-21&amp;p=.htm" TargetMode="External"/><Relationship Id="rId590" Type="http://schemas.openxmlformats.org/officeDocument/2006/relationships/hyperlink" Target="http://www.boxofficemojo.com/schedule/?view=bydate&amp;release=theatrical&amp;date=2010-04-16&amp;p=.htm" TargetMode="External"/><Relationship Id="rId591" Type="http://schemas.openxmlformats.org/officeDocument/2006/relationships/hyperlink" Target="http://www.boxofficemojo.com/movies/?id=2010oscarshorts.htm" TargetMode="External"/><Relationship Id="rId592" Type="http://schemas.openxmlformats.org/officeDocument/2006/relationships/hyperlink" Target="http://www.boxofficemojo.com/studio/chart/?studio=shortsinternational.htm" TargetMode="External"/><Relationship Id="rId593" Type="http://schemas.openxmlformats.org/officeDocument/2006/relationships/hyperlink" Target="http://www.boxofficemojo.com/schedule/?view=bydate&amp;release=theatrical&amp;date=2010-02-19&amp;p=.htm" TargetMode="External"/><Relationship Id="rId594" Type="http://schemas.openxmlformats.org/officeDocument/2006/relationships/hyperlink" Target="http://www.boxofficemojo.com/movies/?id=guzaarish.htm" TargetMode="External"/><Relationship Id="rId595" Type="http://schemas.openxmlformats.org/officeDocument/2006/relationships/hyperlink" Target="http://www.boxofficemojo.com/studio/chart/?studio=utv.htm" TargetMode="External"/><Relationship Id="rId596" Type="http://schemas.openxmlformats.org/officeDocument/2006/relationships/hyperlink" Target="http://www.boxofficemojo.com/schedule/?view=bydate&amp;release=theatrical&amp;date=2010-11-19&amp;p=.htm" TargetMode="External"/><Relationship Id="rId597" Type="http://schemas.openxmlformats.org/officeDocument/2006/relationships/hyperlink" Target="http://www.boxofficemojo.com/movies/?id=salvationpoem.htm" TargetMode="External"/><Relationship Id="rId598" Type="http://schemas.openxmlformats.org/officeDocument/2006/relationships/hyperlink" Target="http://www.boxofficemojo.com/studio/chart/?studio=canzion.htm" TargetMode="External"/><Relationship Id="rId599" Type="http://schemas.openxmlformats.org/officeDocument/2006/relationships/hyperlink" Target="http://www.boxofficemojo.com/schedule/?view=bydate&amp;release=theatrical&amp;date=2010-08-27&amp;p=.htm" TargetMode="External"/><Relationship Id="rId1270" Type="http://schemas.openxmlformats.org/officeDocument/2006/relationships/hyperlink" Target="http://www.boxofficemojo.com/studio/chart/?studio=flickeralley.htm" TargetMode="External"/><Relationship Id="rId1271" Type="http://schemas.openxmlformats.org/officeDocument/2006/relationships/hyperlink" Target="http://www.boxofficemojo.com/schedule/?view=bydate&amp;release=theatrical&amp;date=2010-07-16&amp;p=.htm" TargetMode="External"/><Relationship Id="rId1272" Type="http://schemas.openxmlformats.org/officeDocument/2006/relationships/hyperlink" Target="http://www.boxofficemojo.com/movies/?id=fresh2010.htm" TargetMode="External"/><Relationship Id="rId1273" Type="http://schemas.openxmlformats.org/officeDocument/2006/relationships/hyperlink" Target="http://www.boxofficemojo.com/studio/chart/?studio=rippleeffect.htm" TargetMode="External"/><Relationship Id="rId1274" Type="http://schemas.openxmlformats.org/officeDocument/2006/relationships/hyperlink" Target="http://www.boxofficemojo.com/schedule/?view=bydate&amp;release=theatrical&amp;date=2010-04-09&amp;p=.htm" TargetMode="External"/><Relationship Id="rId1275" Type="http://schemas.openxmlformats.org/officeDocument/2006/relationships/hyperlink" Target="http://www.boxofficemojo.com/movies/?id=behindtheburlyq.htm" TargetMode="External"/><Relationship Id="rId1276" Type="http://schemas.openxmlformats.org/officeDocument/2006/relationships/hyperlink" Target="http://www.boxofficemojo.com/studio/chart/?studio=firstrun.htm" TargetMode="External"/><Relationship Id="rId1277" Type="http://schemas.openxmlformats.org/officeDocument/2006/relationships/hyperlink" Target="http://www.boxofficemojo.com/schedule/?view=bydate&amp;release=theatrical&amp;date=2010-04-23&amp;p=.htm" TargetMode="External"/><Relationship Id="rId1278" Type="http://schemas.openxmlformats.org/officeDocument/2006/relationships/hyperlink" Target="http://www.boxofficemojo.com/movies/?id=videocracy.htm" TargetMode="External"/><Relationship Id="rId1279" Type="http://schemas.openxmlformats.org/officeDocument/2006/relationships/hyperlink" Target="http://www.boxofficemojo.com/studio/chart/?studio=kino.htm" TargetMode="External"/><Relationship Id="rId270" Type="http://schemas.openxmlformats.org/officeDocument/2006/relationships/hyperlink" Target="http://www.boxofficemojo.com/movies/?id=wheninrome.htm" TargetMode="External"/><Relationship Id="rId271" Type="http://schemas.openxmlformats.org/officeDocument/2006/relationships/hyperlink" Target="http://www.boxofficemojo.com/studio/chart/?studio=buenavista.htm" TargetMode="External"/><Relationship Id="rId272" Type="http://schemas.openxmlformats.org/officeDocument/2006/relationships/hyperlink" Target="http://www.boxofficemojo.com/schedule/?view=bydate&amp;release=theatrical&amp;date=2010-01-29&amp;p=.htm" TargetMode="External"/><Relationship Id="rId273" Type="http://schemas.openxmlformats.org/officeDocument/2006/relationships/hyperlink" Target="http://www.boxofficemojo.com/movies/?id=loveandotherdrugs.htm" TargetMode="External"/><Relationship Id="rId274" Type="http://schemas.openxmlformats.org/officeDocument/2006/relationships/hyperlink" Target="http://www.boxofficemojo.com/studio/chart/?studio=fox.htm" TargetMode="External"/><Relationship Id="rId275" Type="http://schemas.openxmlformats.org/officeDocument/2006/relationships/hyperlink" Target="http://www.boxofficemojo.com/schedule/?view=bydate&amp;release=theatrical&amp;date=2010-11-24&amp;p=.htm" TargetMode="External"/><Relationship Id="rId276" Type="http://schemas.openxmlformats.org/officeDocument/2006/relationships/hyperlink" Target="http://www.boxofficemojo.com/movies/?id=hard10.htm" TargetMode="External"/><Relationship Id="rId277" Type="http://schemas.openxmlformats.org/officeDocument/2006/relationships/hyperlink" Target="http://www.boxofficemojo.com/studio/chart/?studio=paramount.htm" TargetMode="External"/><Relationship Id="rId278" Type="http://schemas.openxmlformats.org/officeDocument/2006/relationships/hyperlink" Target="http://www.boxofficemojo.com/schedule/?view=bydate&amp;release=theatrical&amp;date=2010-03-12&amp;p=.htm" TargetMode="External"/><Relationship Id="rId279" Type="http://schemas.openxmlformats.org/officeDocument/2006/relationships/hyperlink" Target="http://www.boxofficemojo.com/movies/?id=scottpilgrim.htm" TargetMode="External"/><Relationship Id="rId720" Type="http://schemas.openxmlformats.org/officeDocument/2006/relationships/hyperlink" Target="http://www.boxofficemojo.com/movies/?id=iwantyourmoney.htm" TargetMode="External"/><Relationship Id="rId721" Type="http://schemas.openxmlformats.org/officeDocument/2006/relationships/hyperlink" Target="http://www.boxofficemojo.com/studio/chart/?studio=fs.htm" TargetMode="External"/><Relationship Id="rId722" Type="http://schemas.openxmlformats.org/officeDocument/2006/relationships/hyperlink" Target="http://www.boxofficemojo.com/schedule/?view=bydate&amp;release=theatrical&amp;date=2010-10-15&amp;p=.htm" TargetMode="External"/><Relationship Id="rId723" Type="http://schemas.openxmlformats.org/officeDocument/2006/relationships/hyperlink" Target="http://www.boxofficemojo.com/movies/?id=breakkebaad.htm" TargetMode="External"/><Relationship Id="rId724" Type="http://schemas.openxmlformats.org/officeDocument/2006/relationships/hyperlink" Target="http://www.boxofficemojo.com/studio/chart/?studio=reliancebigpictures.htm" TargetMode="External"/><Relationship Id="rId725" Type="http://schemas.openxmlformats.org/officeDocument/2006/relationships/hyperlink" Target="http://www.boxofficemojo.com/schedule/?view=bydate&amp;release=theatrical&amp;date=2010-11-24&amp;p=.htm" TargetMode="External"/><Relationship Id="rId726" Type="http://schemas.openxmlformats.org/officeDocument/2006/relationships/hyperlink" Target="http://www.boxofficemojo.com/movies/?id=ifyouaretheone2.htm" TargetMode="External"/><Relationship Id="rId727" Type="http://schemas.openxmlformats.org/officeDocument/2006/relationships/hyperlink" Target="http://www.boxofficemojo.com/studio/chart/?studio=chinalion.htm" TargetMode="External"/><Relationship Id="rId728" Type="http://schemas.openxmlformats.org/officeDocument/2006/relationships/hyperlink" Target="http://www.boxofficemojo.com/schedule/?view=bydate&amp;release=theatrical&amp;date=2010-12-24&amp;p=.htm" TargetMode="External"/><Relationship Id="rId729" Type="http://schemas.openxmlformats.org/officeDocument/2006/relationships/hyperlink" Target="http://www.boxofficemojo.com/movies/?id=imstillhere.htm" TargetMode="External"/><Relationship Id="rId1400" Type="http://schemas.openxmlformats.org/officeDocument/2006/relationships/hyperlink" Target="http://www.boxofficemojo.com/schedule/?view=bydate&amp;release=theatrical&amp;date=2010-10-08&amp;p=.htm" TargetMode="External"/><Relationship Id="rId1401" Type="http://schemas.openxmlformats.org/officeDocument/2006/relationships/hyperlink" Target="http://www.boxofficemojo.com/movies/?id=childrenofinvention.htm" TargetMode="External"/><Relationship Id="rId1402" Type="http://schemas.openxmlformats.org/officeDocument/2006/relationships/hyperlink" Target="http://www.boxofficemojo.com/studio/chart/?studio=unknown.htm" TargetMode="External"/></Relationships>
</file>

<file path=xl/worksheets/_rels/sheet8.xml.rels><?xml version="1.0" encoding="UTF-8" standalone="yes"?>
<Relationships xmlns="http://schemas.openxmlformats.org/package/2006/relationships"><Relationship Id="rId500" Type="http://schemas.openxmlformats.org/officeDocument/2006/relationships/hyperlink" Target="http://www.boxofficemojo.com/studio/chart/?studio=entertainmentone.htm" TargetMode="External"/><Relationship Id="rId501" Type="http://schemas.openxmlformats.org/officeDocument/2006/relationships/hyperlink" Target="http://www.boxofficemojo.com/schedule/?view=bydate&amp;release=theatrical&amp;date=2017-02-24&amp;p=.htm" TargetMode="External"/><Relationship Id="rId502" Type="http://schemas.openxmlformats.org/officeDocument/2006/relationships/hyperlink" Target="http://www.boxofficemojo.com/movies/?id=oscarshorts2017.htm" TargetMode="External"/><Relationship Id="rId503" Type="http://schemas.openxmlformats.org/officeDocument/2006/relationships/hyperlink" Target="http://www.boxofficemojo.com/studio/chart/?studio=shortsinternational.htm" TargetMode="External"/><Relationship Id="rId110" Type="http://schemas.openxmlformats.org/officeDocument/2006/relationships/hyperlink" Target="http://www.boxofficemojo.com/studio/chart/?studio=lionsgate.htm" TargetMode="External"/><Relationship Id="rId111" Type="http://schemas.openxmlformats.org/officeDocument/2006/relationships/hyperlink" Target="http://www.boxofficemojo.com/schedule/?view=bydate&amp;release=theatrical&amp;date=2017-03-24&amp;p=.htm" TargetMode="External"/><Relationship Id="rId112" Type="http://schemas.openxmlformats.org/officeDocument/2006/relationships/hyperlink" Target="http://www.boxofficemojo.com/movies/?id=mummy2016.htm" TargetMode="External"/><Relationship Id="rId113" Type="http://schemas.openxmlformats.org/officeDocument/2006/relationships/hyperlink" Target="http://www.boxofficemojo.com/studio/chart/?studio=universal.htm" TargetMode="External"/><Relationship Id="rId114" Type="http://schemas.openxmlformats.org/officeDocument/2006/relationships/hyperlink" Target="http://www.boxofficemojo.com/schedule/?view=bydate&amp;release=theatrical&amp;date=2017-06-09&amp;p=.htm" TargetMode="External"/><Relationship Id="rId115" Type="http://schemas.openxmlformats.org/officeDocument/2006/relationships/hyperlink" Target="http://www.boxofficemojo.com/movies/?id=ferdinand.htm" TargetMode="External"/><Relationship Id="rId116" Type="http://schemas.openxmlformats.org/officeDocument/2006/relationships/hyperlink" Target="http://www.boxofficemojo.com/studio/chart/?studio=fox.htm" TargetMode="External"/><Relationship Id="rId117" Type="http://schemas.openxmlformats.org/officeDocument/2006/relationships/hyperlink" Target="http://www.boxofficemojo.com/schedule/?view=bydate&amp;release=theatrical&amp;date=2017-12-15&amp;p=.htm" TargetMode="External"/><Relationship Id="rId118" Type="http://schemas.openxmlformats.org/officeDocument/2006/relationships/hyperlink" Target="http://www.boxofficemojo.com/movies/?id=hitmansbodyguard.htm" TargetMode="External"/><Relationship Id="rId119" Type="http://schemas.openxmlformats.org/officeDocument/2006/relationships/hyperlink" Target="http://www.boxofficemojo.com/studio/chart/?studio=lionsgatesummit.htm" TargetMode="External"/><Relationship Id="rId504" Type="http://schemas.openxmlformats.org/officeDocument/2006/relationships/hyperlink" Target="http://www.boxofficemojo.com/schedule/?view=bydate&amp;release=theatrical&amp;date=2017-02-10&amp;p=.htm" TargetMode="External"/><Relationship Id="rId505" Type="http://schemas.openxmlformats.org/officeDocument/2006/relationships/hyperlink" Target="http://www.boxofficemojo.com/movies/?id=kedi.htm" TargetMode="External"/><Relationship Id="rId506" Type="http://schemas.openxmlformats.org/officeDocument/2006/relationships/hyperlink" Target="http://www.boxofficemojo.com/studio/chart/?studio=oscilloscopepictures.htm" TargetMode="External"/><Relationship Id="rId507" Type="http://schemas.openxmlformats.org/officeDocument/2006/relationships/hyperlink" Target="http://www.boxofficemojo.com/schedule/?view=bydate&amp;release=theatrical&amp;date=2017-02-10&amp;p=.htm" TargetMode="External"/><Relationship Id="rId508" Type="http://schemas.openxmlformats.org/officeDocument/2006/relationships/hyperlink" Target="http://www.boxofficemojo.com/movies/?id=wolfwarrior2.htm" TargetMode="External"/><Relationship Id="rId509" Type="http://schemas.openxmlformats.org/officeDocument/2006/relationships/hyperlink" Target="http://www.boxofficemojo.com/studio/chart/?studio=hcollective.htm" TargetMode="External"/><Relationship Id="rId1760" Type="http://schemas.openxmlformats.org/officeDocument/2006/relationships/hyperlink" Target="http://www.boxofficemojo.com/movies/?id=permanent.htm" TargetMode="External"/><Relationship Id="rId1761" Type="http://schemas.openxmlformats.org/officeDocument/2006/relationships/hyperlink" Target="http://www.boxofficemojo.com/studio/chart/?studio=magnolia.htm" TargetMode="External"/><Relationship Id="rId1762" Type="http://schemas.openxmlformats.org/officeDocument/2006/relationships/hyperlink" Target="http://www.boxofficemojo.com/schedule/?view=bydate&amp;release=theatrical&amp;date=2017-12-15&amp;p=.htm" TargetMode="External"/><Relationship Id="rId1763" Type="http://schemas.openxmlformats.org/officeDocument/2006/relationships/hyperlink" Target="http://www.boxofficemojo.com/movies/?id=junction48.htm" TargetMode="External"/><Relationship Id="rId1370" Type="http://schemas.openxmlformats.org/officeDocument/2006/relationships/hyperlink" Target="http://www.boxofficemojo.com/studio/chart/?studio=chinalion.htm" TargetMode="External"/><Relationship Id="rId1371" Type="http://schemas.openxmlformats.org/officeDocument/2006/relationships/hyperlink" Target="http://www.boxofficemojo.com/schedule/?view=bydate&amp;release=theatrical&amp;date=2017-09-08&amp;p=.htm" TargetMode="External"/><Relationship Id="rId1372" Type="http://schemas.openxmlformats.org/officeDocument/2006/relationships/hyperlink" Target="http://www.boxofficemojo.com/movies/?id=panique2017.htm" TargetMode="External"/><Relationship Id="rId1373" Type="http://schemas.openxmlformats.org/officeDocument/2006/relationships/hyperlink" Target="http://www.boxofficemojo.com/studio/chart/?studio=rialto.htm" TargetMode="External"/><Relationship Id="rId1374" Type="http://schemas.openxmlformats.org/officeDocument/2006/relationships/hyperlink" Target="http://www.boxofficemojo.com/schedule/?view=bydate&amp;release=theatrical&amp;date=2017-01-20&amp;p=.htm" TargetMode="External"/><Relationship Id="rId1375" Type="http://schemas.openxmlformats.org/officeDocument/2006/relationships/hyperlink" Target="http://www.boxofficemojo.com/movies/?id=maurice2017reissue.htm" TargetMode="External"/><Relationship Id="rId1376" Type="http://schemas.openxmlformats.org/officeDocument/2006/relationships/hyperlink" Target="http://www.boxofficemojo.com/studio/chart/?studio=cohenmedia.htm" TargetMode="External"/><Relationship Id="rId1377" Type="http://schemas.openxmlformats.org/officeDocument/2006/relationships/hyperlink" Target="http://www.boxofficemojo.com/schedule/?view=bydate&amp;release=theatrical&amp;date=2017-05-19&amp;p=.htm" TargetMode="External"/><Relationship Id="rId1378" Type="http://schemas.openxmlformats.org/officeDocument/2006/relationships/hyperlink" Target="http://www.boxofficemojo.com/movies/?id=leonmorin2017.htm" TargetMode="External"/><Relationship Id="rId1379" Type="http://schemas.openxmlformats.org/officeDocument/2006/relationships/hyperlink" Target="http://www.boxofficemojo.com/studio/chart/?studio=rialto.htm" TargetMode="External"/><Relationship Id="rId1764" Type="http://schemas.openxmlformats.org/officeDocument/2006/relationships/hyperlink" Target="http://www.boxofficemojo.com/studio/chart/?studio=orchard.htm" TargetMode="External"/><Relationship Id="rId1765" Type="http://schemas.openxmlformats.org/officeDocument/2006/relationships/hyperlink" Target="http://www.boxofficemojo.com/schedule/?view=bydate&amp;release=theatrical&amp;date=2017-03-03&amp;p=.htm" TargetMode="External"/><Relationship Id="rId1766" Type="http://schemas.openxmlformats.org/officeDocument/2006/relationships/hyperlink" Target="http://www.boxofficemojo.com/movies/?id=insearchoffellini.htm" TargetMode="External"/><Relationship Id="rId1767" Type="http://schemas.openxmlformats.org/officeDocument/2006/relationships/hyperlink" Target="http://www.boxofficemojo.com/studio/chart/?studio=ambi.htm" TargetMode="External"/><Relationship Id="rId1768" Type="http://schemas.openxmlformats.org/officeDocument/2006/relationships/hyperlink" Target="http://www.boxofficemojo.com/schedule/?view=bydate&amp;release=theatrical&amp;date=2017-09-15&amp;p=.htm" TargetMode="External"/><Relationship Id="rId1769" Type="http://schemas.openxmlformats.org/officeDocument/2006/relationships/hyperlink" Target="http://www.boxofficemojo.com/movies/?id=lastmeninaleppo.htm" TargetMode="External"/><Relationship Id="rId2060" Type="http://schemas.openxmlformats.org/officeDocument/2006/relationships/hyperlink" Target="http://www.boxofficemojo.com/movies/?id=lovesweatandtears.htm" TargetMode="External"/><Relationship Id="rId2061" Type="http://schemas.openxmlformats.org/officeDocument/2006/relationships/hyperlink" Target="http://www.boxofficemojo.com/studio/chart/?studio=kinolorber.htm" TargetMode="External"/><Relationship Id="rId2062" Type="http://schemas.openxmlformats.org/officeDocument/2006/relationships/hyperlink" Target="http://www.boxofficemojo.com/schedule/?view=bydate&amp;release=theatrical&amp;date=2017-04-07&amp;p=.htm" TargetMode="External"/><Relationship Id="rId2063" Type="http://schemas.openxmlformats.org/officeDocument/2006/relationships/hyperlink" Target="http://www.boxofficemojo.com/movies/?id=dalida.htm" TargetMode="External"/><Relationship Id="rId2064" Type="http://schemas.openxmlformats.org/officeDocument/2006/relationships/hyperlink" Target="http://www.boxofficemojo.com/studio/chart/?studio=milkyway.htm" TargetMode="External"/><Relationship Id="rId2065" Type="http://schemas.openxmlformats.org/officeDocument/2006/relationships/hyperlink" Target="http://www.boxofficemojo.com/schedule/?view=bydate&amp;release=theatrical&amp;date=2017-08-26&amp;p=.htm" TargetMode="External"/><Relationship Id="rId2066" Type="http://schemas.openxmlformats.org/officeDocument/2006/relationships/hyperlink" Target="http://www.boxofficemojo.com/movies/?id=speedsisters.htm" TargetMode="External"/><Relationship Id="rId2067" Type="http://schemas.openxmlformats.org/officeDocument/2006/relationships/hyperlink" Target="http://www.boxofficemojo.com/studio/chart/?studio=firstrun.htm" TargetMode="External"/><Relationship Id="rId2068" Type="http://schemas.openxmlformats.org/officeDocument/2006/relationships/hyperlink" Target="http://www.boxofficemojo.com/schedule/?view=bydate&amp;release=theatrical&amp;date=2017-01-27&amp;p=.htm" TargetMode="External"/><Relationship Id="rId2069" Type="http://schemas.openxmlformats.org/officeDocument/2006/relationships/hyperlink" Target="http://www.boxofficemojo.com/movies/?id=amandajack.htm" TargetMode="External"/><Relationship Id="rId900" Type="http://schemas.openxmlformats.org/officeDocument/2006/relationships/hyperlink" Target="http://www.boxofficemojo.com/schedule/?view=bydate&amp;release=theatrical&amp;date=2017-01-27&amp;p=.htm" TargetMode="External"/><Relationship Id="rId901" Type="http://schemas.openxmlformats.org/officeDocument/2006/relationships/hyperlink" Target="http://www.boxofficemojo.com/movies/?id=disneyjuniorhalloveenparty.htm" TargetMode="External"/><Relationship Id="rId902" Type="http://schemas.openxmlformats.org/officeDocument/2006/relationships/hyperlink" Target="http://www.boxofficemojo.com/studio/chart/?studio=fathom.htm" TargetMode="External"/><Relationship Id="rId903" Type="http://schemas.openxmlformats.org/officeDocument/2006/relationships/hyperlink" Target="http://www.boxofficemojo.com/schedule/?view=bydate&amp;release=theatrical&amp;date=2017-10-21&amp;p=.htm" TargetMode="External"/><Relationship Id="rId904" Type="http://schemas.openxmlformats.org/officeDocument/2006/relationships/hyperlink" Target="http://www.boxofficemojo.com/movies/?id=lettersfrombaghdad.htm" TargetMode="External"/><Relationship Id="rId905" Type="http://schemas.openxmlformats.org/officeDocument/2006/relationships/hyperlink" Target="http://www.boxofficemojo.com/studio/chart/?studio=vitagraph.htm" TargetMode="External"/><Relationship Id="rId906" Type="http://schemas.openxmlformats.org/officeDocument/2006/relationships/hyperlink" Target="http://www.boxofficemojo.com/schedule/?view=bydate&amp;release=theatrical&amp;date=2017-06-02&amp;p=.htm" TargetMode="External"/><Relationship Id="rId907" Type="http://schemas.openxmlformats.org/officeDocument/2006/relationships/hyperlink" Target="http://www.boxofficemojo.com/movies/?id=okjaanu.htm" TargetMode="External"/><Relationship Id="rId120" Type="http://schemas.openxmlformats.org/officeDocument/2006/relationships/hyperlink" Target="http://www.boxofficemojo.com/schedule/?view=bydate&amp;release=theatrical&amp;date=2017-08-18&amp;p=.htm" TargetMode="External"/><Relationship Id="rId121" Type="http://schemas.openxmlformats.org/officeDocument/2006/relationships/hyperlink" Target="http://www.boxofficemojo.com/movies/?id=alienparadiselost.htm" TargetMode="External"/><Relationship Id="rId122" Type="http://schemas.openxmlformats.org/officeDocument/2006/relationships/hyperlink" Target="http://www.boxofficemojo.com/studio/chart/?studio=fox.htm" TargetMode="External"/><Relationship Id="rId123" Type="http://schemas.openxmlformats.org/officeDocument/2006/relationships/hyperlink" Target="http://www.boxofficemojo.com/schedule/?view=bydate&amp;release=theatrical&amp;date=2017-05-19&amp;p=.htm" TargetMode="External"/><Relationship Id="rId124" Type="http://schemas.openxmlformats.org/officeDocument/2006/relationships/hyperlink" Target="http://www.boxofficemojo.com/movies/?id=captainunderpants.htm" TargetMode="External"/><Relationship Id="rId125" Type="http://schemas.openxmlformats.org/officeDocument/2006/relationships/hyperlink" Target="http://www.boxofficemojo.com/studio/chart/?studio=fox.htm" TargetMode="External"/><Relationship Id="rId126" Type="http://schemas.openxmlformats.org/officeDocument/2006/relationships/hyperlink" Target="http://www.boxofficemojo.com/schedule/?view=bydate&amp;release=theatrical&amp;date=2017-06-02&amp;p=.htm" TargetMode="External"/><Relationship Id="rId127" Type="http://schemas.openxmlformats.org/officeDocument/2006/relationships/hyperlink" Target="http://www.boxofficemojo.com/movies/?id=badmomschristmas.htm" TargetMode="External"/><Relationship Id="rId128" Type="http://schemas.openxmlformats.org/officeDocument/2006/relationships/hyperlink" Target="http://www.boxofficemojo.com/studio/chart/?studio=stx.htm" TargetMode="External"/><Relationship Id="rId129" Type="http://schemas.openxmlformats.org/officeDocument/2006/relationships/hyperlink" Target="http://www.boxofficemojo.com/schedule/?view=bydate&amp;release=theatrical&amp;date=2017-11-01&amp;p=.htm" TargetMode="External"/><Relationship Id="rId908" Type="http://schemas.openxmlformats.org/officeDocument/2006/relationships/hyperlink" Target="http://www.boxofficemojo.com/studio/chart/?studio=fip.htm" TargetMode="External"/><Relationship Id="rId909" Type="http://schemas.openxmlformats.org/officeDocument/2006/relationships/hyperlink" Target="http://www.boxofficemojo.com/schedule/?view=bydate&amp;release=theatrical&amp;date=2017-01-13&amp;p=.htm" TargetMode="External"/><Relationship Id="rId510" Type="http://schemas.openxmlformats.org/officeDocument/2006/relationships/hyperlink" Target="http://www.boxofficemojo.com/schedule/?view=bydate&amp;release=theatrical&amp;date=2017-07-28&amp;p=.htm" TargetMode="External"/><Relationship Id="rId511" Type="http://schemas.openxmlformats.org/officeDocument/2006/relationships/hyperlink" Target="http://www.boxofficemojo.com/movies/?id=mycousinrachel.htm" TargetMode="External"/><Relationship Id="rId512" Type="http://schemas.openxmlformats.org/officeDocument/2006/relationships/hyperlink" Target="http://www.boxofficemojo.com/studio/chart/?studio=foxsearchlight.htm" TargetMode="External"/><Relationship Id="rId513" Type="http://schemas.openxmlformats.org/officeDocument/2006/relationships/hyperlink" Target="http://www.boxofficemojo.com/schedule/?view=bydate&amp;release=theatrical&amp;date=2017-06-09&amp;p=.htm" TargetMode="External"/><Relationship Id="rId514" Type="http://schemas.openxmlformats.org/officeDocument/2006/relationships/hyperlink" Target="http://www.boxofficemojo.com/movies/?id=mayweathervsmcgregor.htm" TargetMode="External"/><Relationship Id="rId515" Type="http://schemas.openxmlformats.org/officeDocument/2006/relationships/hyperlink" Target="http://www.boxofficemojo.com/studio/chart/?studio=fathom.htm" TargetMode="External"/><Relationship Id="rId516" Type="http://schemas.openxmlformats.org/officeDocument/2006/relationships/hyperlink" Target="http://www.boxofficemojo.com/schedule/?view=bydate&amp;release=theatrical&amp;date=2017-08-26&amp;p=.htm" TargetMode="External"/><Relationship Id="rId517" Type="http://schemas.openxmlformats.org/officeDocument/2006/relationships/hyperlink" Target="http://www.boxofficemojo.com/movies/?id=aquestionoffaith.htm" TargetMode="External"/><Relationship Id="rId518" Type="http://schemas.openxmlformats.org/officeDocument/2006/relationships/hyperlink" Target="http://www.boxofficemojo.com/studio/chart/?studio=pureflix.htm" TargetMode="External"/><Relationship Id="rId519" Type="http://schemas.openxmlformats.org/officeDocument/2006/relationships/hyperlink" Target="http://www.boxofficemojo.com/schedule/?view=bydate&amp;release=theatrical&amp;date=2017-09-29&amp;p=.htm" TargetMode="External"/><Relationship Id="rId1770" Type="http://schemas.openxmlformats.org/officeDocument/2006/relationships/hyperlink" Target="http://www.boxofficemojo.com/studio/chart/?studio=grasshopper.htm" TargetMode="External"/><Relationship Id="rId1771" Type="http://schemas.openxmlformats.org/officeDocument/2006/relationships/hyperlink" Target="http://www.boxofficemojo.com/schedule/?view=bydate&amp;release=theatrical&amp;date=2017-05-05&amp;p=.htm" TargetMode="External"/><Relationship Id="rId1772" Type="http://schemas.openxmlformats.org/officeDocument/2006/relationships/hyperlink" Target="http://www.boxofficemojo.com/movies/?id=heal2017.htm" TargetMode="External"/><Relationship Id="rId1773" Type="http://schemas.openxmlformats.org/officeDocument/2006/relationships/hyperlink" Target="http://www.boxofficemojo.com/studio/chart/?studio=paladin.htm" TargetMode="External"/><Relationship Id="rId1380" Type="http://schemas.openxmlformats.org/officeDocument/2006/relationships/hyperlink" Target="http://www.boxofficemojo.com/schedule/?view=bydate&amp;release=theatrical&amp;date=2017-05-12&amp;p=.htm" TargetMode="External"/><Relationship Id="rId1381" Type="http://schemas.openxmlformats.org/officeDocument/2006/relationships/hyperlink" Target="http://www.boxofficemojo.com/movies/?id=justonedrop.htm" TargetMode="External"/><Relationship Id="rId1382" Type="http://schemas.openxmlformats.org/officeDocument/2006/relationships/hyperlink" Target="http://www.boxofficemojo.com/studio/chart/?studio=gathrfilms.htm" TargetMode="External"/><Relationship Id="rId1383" Type="http://schemas.openxmlformats.org/officeDocument/2006/relationships/hyperlink" Target="http://www.boxofficemojo.com/schedule/?view=bydate&amp;release=theatrical&amp;date=2017-09-22&amp;p=.htm" TargetMode="External"/><Relationship Id="rId1384" Type="http://schemas.openxmlformats.org/officeDocument/2006/relationships/hyperlink" Target="http://www.boxofficemojo.com/movies/?id=hermiahelena.htm" TargetMode="External"/><Relationship Id="rId1385" Type="http://schemas.openxmlformats.org/officeDocument/2006/relationships/hyperlink" Target="http://www.boxofficemojo.com/studio/chart/?studio=kinolorber.htm" TargetMode="External"/><Relationship Id="rId1386" Type="http://schemas.openxmlformats.org/officeDocument/2006/relationships/hyperlink" Target="http://www.boxofficemojo.com/schedule/?view=bydate&amp;release=theatrical&amp;date=2017-05-26&amp;p=.htm" TargetMode="External"/><Relationship Id="rId1387" Type="http://schemas.openxmlformats.org/officeDocument/2006/relationships/hyperlink" Target="http://www.boxofficemojo.com/movies/?id=bluebeard17.htm" TargetMode="External"/><Relationship Id="rId1388" Type="http://schemas.openxmlformats.org/officeDocument/2006/relationships/hyperlink" Target="http://www.boxofficemojo.com/studio/chart/?studio=wellgo.htm" TargetMode="External"/><Relationship Id="rId1389" Type="http://schemas.openxmlformats.org/officeDocument/2006/relationships/hyperlink" Target="http://www.boxofficemojo.com/schedule/?view=bydate&amp;release=theatrical&amp;date=2017-03-17&amp;p=.htm" TargetMode="External"/><Relationship Id="rId1774" Type="http://schemas.openxmlformats.org/officeDocument/2006/relationships/hyperlink" Target="http://www.boxofficemojo.com/schedule/?view=bydate&amp;release=theatrical&amp;date=2017-10-20&amp;p=.htm" TargetMode="External"/><Relationship Id="rId1775" Type="http://schemas.openxmlformats.org/officeDocument/2006/relationships/hyperlink" Target="http://www.boxofficemojo.com/movies/?id=blind.htm" TargetMode="External"/><Relationship Id="rId1776" Type="http://schemas.openxmlformats.org/officeDocument/2006/relationships/hyperlink" Target="http://www.boxofficemojo.com/studio/chart/?studio=vertical.htm" TargetMode="External"/><Relationship Id="rId1777" Type="http://schemas.openxmlformats.org/officeDocument/2006/relationships/hyperlink" Target="http://www.boxofficemojo.com/schedule/?view=bydate&amp;release=theatrical&amp;date=2017-07-14&amp;p=.htm" TargetMode="External"/><Relationship Id="rId1778" Type="http://schemas.openxmlformats.org/officeDocument/2006/relationships/hyperlink" Target="http://www.boxofficemojo.com/movies/?id=sevenbeauties2017.htm" TargetMode="External"/><Relationship Id="rId1779" Type="http://schemas.openxmlformats.org/officeDocument/2006/relationships/hyperlink" Target="http://www.boxofficemojo.com/studio/chart/?studio=kinolorber.htm" TargetMode="External"/><Relationship Id="rId2070" Type="http://schemas.openxmlformats.org/officeDocument/2006/relationships/hyperlink" Target="http://www.boxofficemojo.com/studio/chart/?studio=orion.htm" TargetMode="External"/><Relationship Id="rId2071" Type="http://schemas.openxmlformats.org/officeDocument/2006/relationships/hyperlink" Target="http://www.boxofficemojo.com/schedule/?view=bydate&amp;release=theatrical&amp;date=2017-11-10&amp;p=.htm" TargetMode="External"/><Relationship Id="rId2072" Type="http://schemas.openxmlformats.org/officeDocument/2006/relationships/hyperlink" Target="http://www.boxofficemojo.com/movies/?id=badmatch.htm" TargetMode="External"/><Relationship Id="rId2073" Type="http://schemas.openxmlformats.org/officeDocument/2006/relationships/hyperlink" Target="http://www.boxofficemojo.com/studio/chart/?studio=orion.htm" TargetMode="External"/><Relationship Id="rId2074" Type="http://schemas.openxmlformats.org/officeDocument/2006/relationships/hyperlink" Target="http://www.boxofficemojo.com/schedule/?view=bydate&amp;release=theatrical&amp;date=2017-11-03&amp;p=.htm" TargetMode="External"/><Relationship Id="rId2075" Type="http://schemas.openxmlformats.org/officeDocument/2006/relationships/hyperlink" Target="http://www.boxofficemojo.com/movies/?id=planetarium.htm" TargetMode="External"/><Relationship Id="rId2076" Type="http://schemas.openxmlformats.org/officeDocument/2006/relationships/hyperlink" Target="http://www.boxofficemojo.com/studio/chart/?studio=swen.htm" TargetMode="External"/><Relationship Id="rId2077" Type="http://schemas.openxmlformats.org/officeDocument/2006/relationships/hyperlink" Target="http://www.boxofficemojo.com/schedule/?view=bydate&amp;release=theatrical&amp;date=2017-08-11&amp;p=.htm" TargetMode="External"/><Relationship Id="rId2078" Type="http://schemas.openxmlformats.org/officeDocument/2006/relationships/hyperlink" Target="http://www.boxofficemojo.com/movies/?id=justice2017.htm" TargetMode="External"/><Relationship Id="rId2079" Type="http://schemas.openxmlformats.org/officeDocument/2006/relationships/hyperlink" Target="http://www.boxofficemojo.com/studio/chart/?studio=independent.htm" TargetMode="External"/><Relationship Id="rId910" Type="http://schemas.openxmlformats.org/officeDocument/2006/relationships/hyperlink" Target="http://www.boxofficemojo.com/movies/?id=longstrangetriptheuntoldstoryofthegratefuldead.htm" TargetMode="External"/><Relationship Id="rId911" Type="http://schemas.openxmlformats.org/officeDocument/2006/relationships/hyperlink" Target="http://www.boxofficemojo.com/studio/chart/?studio=abramorama.htm" TargetMode="External"/><Relationship Id="rId912" Type="http://schemas.openxmlformats.org/officeDocument/2006/relationships/hyperlink" Target="http://www.boxofficemojo.com/schedule/?view=bydate&amp;release=theatrical&amp;date=2017-05-25&amp;p=.htm" TargetMode="External"/><Relationship Id="rId913" Type="http://schemas.openxmlformats.org/officeDocument/2006/relationships/hyperlink" Target="http://www.boxofficemojo.com/movies/?id=pearljamletsplaytwo.htm" TargetMode="External"/><Relationship Id="rId914" Type="http://schemas.openxmlformats.org/officeDocument/2006/relationships/hyperlink" Target="http://www.boxofficemojo.com/studio/chart/?studio=abramorama.htm" TargetMode="External"/><Relationship Id="rId915" Type="http://schemas.openxmlformats.org/officeDocument/2006/relationships/hyperlink" Target="http://www.boxofficemojo.com/schedule/?view=bydate&amp;release=theatrical&amp;date=2017-09-29&amp;p=.htm" TargetMode="External"/><Relationship Id="rId916" Type="http://schemas.openxmlformats.org/officeDocument/2006/relationships/hyperlink" Target="http://www.boxofficemojo.com/movies/?id=tomoffinland.htm" TargetMode="External"/><Relationship Id="rId917" Type="http://schemas.openxmlformats.org/officeDocument/2006/relationships/hyperlink" Target="http://www.boxofficemojo.com/studio/chart/?studio=kinolorber.htm" TargetMode="External"/><Relationship Id="rId130" Type="http://schemas.openxmlformats.org/officeDocument/2006/relationships/hyperlink" Target="http://www.boxofficemojo.com/movies/?id=adogspurpose.htm" TargetMode="External"/><Relationship Id="rId131" Type="http://schemas.openxmlformats.org/officeDocument/2006/relationships/hyperlink" Target="http://www.boxofficemojo.com/studio/chart/?studio=universal.htm" TargetMode="External"/><Relationship Id="rId132" Type="http://schemas.openxmlformats.org/officeDocument/2006/relationships/hyperlink" Target="http://www.boxofficemojo.com/schedule/?view=bydate&amp;release=theatrical&amp;date=2017-01-27&amp;p=.htm" TargetMode="External"/><Relationship Id="rId133" Type="http://schemas.openxmlformats.org/officeDocument/2006/relationships/hyperlink" Target="http://www.boxofficemojo.com/movies/?id=ninjago.htm" TargetMode="External"/><Relationship Id="rId134" Type="http://schemas.openxmlformats.org/officeDocument/2006/relationships/hyperlink" Target="http://www.boxofficemojo.com/studio/chart/?studio=warnerbros.htm" TargetMode="External"/><Relationship Id="rId135" Type="http://schemas.openxmlformats.org/officeDocument/2006/relationships/hyperlink" Target="http://www.boxofficemojo.com/schedule/?view=bydate&amp;release=theatrical&amp;date=2017-09-22&amp;p=.htm" TargetMode="External"/><Relationship Id="rId136" Type="http://schemas.openxmlformats.org/officeDocument/2006/relationships/hyperlink" Target="http://www.boxofficemojo.com/movies/?id=baywatch.htm" TargetMode="External"/><Relationship Id="rId137" Type="http://schemas.openxmlformats.org/officeDocument/2006/relationships/hyperlink" Target="http://www.boxofficemojo.com/studio/chart/?studio=paramount.htm" TargetMode="External"/><Relationship Id="rId138" Type="http://schemas.openxmlformats.org/officeDocument/2006/relationships/hyperlink" Target="http://www.boxofficemojo.com/schedule/?view=bydate&amp;release=theatrical&amp;date=2017-05-25&amp;p=.htm" TargetMode="External"/><Relationship Id="rId139" Type="http://schemas.openxmlformats.org/officeDocument/2006/relationships/hyperlink" Target="http://www.boxofficemojo.com/movies/?id=theshack.htm" TargetMode="External"/><Relationship Id="rId918" Type="http://schemas.openxmlformats.org/officeDocument/2006/relationships/hyperlink" Target="http://www.boxofficemojo.com/schedule/?view=bydate&amp;release=theatrical&amp;date=2017-10-13&amp;p=.htm" TargetMode="External"/><Relationship Id="rId919" Type="http://schemas.openxmlformats.org/officeDocument/2006/relationships/hyperlink" Target="http://www.boxofficemojo.com/movies/?id=canelovschavezjr.htm" TargetMode="External"/><Relationship Id="rId520" Type="http://schemas.openxmlformats.org/officeDocument/2006/relationships/hyperlink" Target="http://www.boxofficemojo.com/movies/?id=isgenesishistory.htm" TargetMode="External"/><Relationship Id="rId521" Type="http://schemas.openxmlformats.org/officeDocument/2006/relationships/hyperlink" Target="http://www.boxofficemojo.com/studio/chart/?studio=fathom.htm" TargetMode="External"/><Relationship Id="rId522" Type="http://schemas.openxmlformats.org/officeDocument/2006/relationships/hyperlink" Target="http://www.boxofficemojo.com/schedule/?view=bydate&amp;release=theatrical&amp;date=2017-02-23&amp;p=.htm" TargetMode="External"/><Relationship Id="rId523" Type="http://schemas.openxmlformats.org/officeDocument/2006/relationships/hyperlink" Target="http://www.boxofficemojo.com/movies/?id=newsiesfathom.htm" TargetMode="External"/><Relationship Id="rId524" Type="http://schemas.openxmlformats.org/officeDocument/2006/relationships/hyperlink" Target="http://www.boxofficemojo.com/studio/chart/?studio=fathom.htm" TargetMode="External"/><Relationship Id="rId525" Type="http://schemas.openxmlformats.org/officeDocument/2006/relationships/hyperlink" Target="http://www.boxofficemojo.com/schedule/?view=bydate&amp;release=theatrical&amp;date=2017-02-18&amp;p=.htm" TargetMode="External"/><Relationship Id="rId526" Type="http://schemas.openxmlformats.org/officeDocument/2006/relationships/hyperlink" Target="http://www.boxofficemojo.com/movies/?id=inourhandsbattleforjerusalem.htm" TargetMode="External"/><Relationship Id="rId527" Type="http://schemas.openxmlformats.org/officeDocument/2006/relationships/hyperlink" Target="http://www.boxofficemojo.com/studio/chart/?studio=fathom.htm" TargetMode="External"/><Relationship Id="rId528" Type="http://schemas.openxmlformats.org/officeDocument/2006/relationships/hyperlink" Target="http://www.boxofficemojo.com/schedule/?view=bydate&amp;release=theatrical&amp;date=2017-05-23&amp;p=.htm" TargetMode="External"/><Relationship Id="rId529" Type="http://schemas.openxmlformats.org/officeDocument/2006/relationships/hyperlink" Target="http://www.boxofficemojo.com/movies/?id=untitledpantelionfilm.htm" TargetMode="External"/><Relationship Id="rId1780" Type="http://schemas.openxmlformats.org/officeDocument/2006/relationships/hyperlink" Target="http://www.boxofficemojo.com/schedule/?view=bydate&amp;release=theatrical&amp;date=2017-04-14&amp;p=.htm" TargetMode="External"/><Relationship Id="rId1781" Type="http://schemas.openxmlformats.org/officeDocument/2006/relationships/hyperlink" Target="http://www.boxofficemojo.com/movies/?id=4daysinfrance.htm" TargetMode="External"/><Relationship Id="rId1782" Type="http://schemas.openxmlformats.org/officeDocument/2006/relationships/hyperlink" Target="http://www.boxofficemojo.com/studio/chart/?studio=cinemaguild.htm" TargetMode="External"/><Relationship Id="rId1783" Type="http://schemas.openxmlformats.org/officeDocument/2006/relationships/hyperlink" Target="http://www.boxofficemojo.com/schedule/?view=bydate&amp;release=theatrical&amp;date=2017-08-04&amp;p=.htm" TargetMode="External"/><Relationship Id="rId1390" Type="http://schemas.openxmlformats.org/officeDocument/2006/relationships/hyperlink" Target="http://www.boxofficemojo.com/movies/?id=deathoflouisxiv.htm" TargetMode="External"/><Relationship Id="rId1391" Type="http://schemas.openxmlformats.org/officeDocument/2006/relationships/hyperlink" Target="http://www.boxofficemojo.com/studio/chart/?studio=cinemaguild.htm" TargetMode="External"/><Relationship Id="rId1392" Type="http://schemas.openxmlformats.org/officeDocument/2006/relationships/hyperlink" Target="http://www.boxofficemojo.com/schedule/?view=bydate&amp;release=theatrical&amp;date=2017-03-31&amp;p=.htm" TargetMode="External"/><Relationship Id="rId1393" Type="http://schemas.openxmlformats.org/officeDocument/2006/relationships/hyperlink" Target="http://www.boxofficemojo.com/movies/?id=woodshock.htm" TargetMode="External"/><Relationship Id="rId1394" Type="http://schemas.openxmlformats.org/officeDocument/2006/relationships/hyperlink" Target="http://www.boxofficemojo.com/studio/chart/?studio=a24.htm" TargetMode="External"/><Relationship Id="rId1395" Type="http://schemas.openxmlformats.org/officeDocument/2006/relationships/hyperlink" Target="http://www.boxofficemojo.com/schedule/?view=bydate&amp;release=theatrical&amp;date=2017-09-22&amp;p=.htm" TargetMode="External"/><Relationship Id="rId1396" Type="http://schemas.openxmlformats.org/officeDocument/2006/relationships/hyperlink" Target="http://www.boxofficemojo.com/movies/?id=oneweekandaday.htm" TargetMode="External"/><Relationship Id="rId1397" Type="http://schemas.openxmlformats.org/officeDocument/2006/relationships/hyperlink" Target="http://www.boxofficemojo.com/studio/chart/?studio=oscilloscopepictures.htm" TargetMode="External"/><Relationship Id="rId1398" Type="http://schemas.openxmlformats.org/officeDocument/2006/relationships/hyperlink" Target="http://www.boxofficemojo.com/schedule/?view=bydate&amp;release=theatrical&amp;date=2017-04-28&amp;p=.htm" TargetMode="External"/><Relationship Id="rId1399" Type="http://schemas.openxmlformats.org/officeDocument/2006/relationships/hyperlink" Target="http://www.boxofficemojo.com/movies/?id=thesettlers2017.htm" TargetMode="External"/><Relationship Id="rId1784" Type="http://schemas.openxmlformats.org/officeDocument/2006/relationships/hyperlink" Target="http://www.boxofficemojo.com/movies/?id=stayingvertical.htm" TargetMode="External"/><Relationship Id="rId1785" Type="http://schemas.openxmlformats.org/officeDocument/2006/relationships/hyperlink" Target="http://www.boxofficemojo.com/studio/chart/?studio=strand.htm" TargetMode="External"/><Relationship Id="rId1786" Type="http://schemas.openxmlformats.org/officeDocument/2006/relationships/hyperlink" Target="http://www.boxofficemojo.com/schedule/?view=bydate&amp;release=theatrical&amp;date=2017-01-20&amp;p=.htm" TargetMode="External"/><Relationship Id="rId1787" Type="http://schemas.openxmlformats.org/officeDocument/2006/relationships/hyperlink" Target="http://www.boxofficemojo.com/movies/?id=felicite.htm" TargetMode="External"/><Relationship Id="rId1788" Type="http://schemas.openxmlformats.org/officeDocument/2006/relationships/hyperlink" Target="http://www.boxofficemojo.com/studio/chart/?studio=strand.htm" TargetMode="External"/><Relationship Id="rId1789" Type="http://schemas.openxmlformats.org/officeDocument/2006/relationships/hyperlink" Target="http://www.boxofficemojo.com/schedule/?view=bydate&amp;release=theatrical&amp;date=2017-10-27&amp;p=.htm" TargetMode="External"/><Relationship Id="rId2080" Type="http://schemas.openxmlformats.org/officeDocument/2006/relationships/hyperlink" Target="http://www.boxofficemojo.com/schedule/?view=bydate&amp;release=theatrical&amp;date=2017-09-15&amp;p=.htm" TargetMode="External"/><Relationship Id="rId2081" Type="http://schemas.openxmlformats.org/officeDocument/2006/relationships/hyperlink" Target="http://www.boxofficemojo.com/movies/?id=healtheliving.htm" TargetMode="External"/><Relationship Id="rId2082" Type="http://schemas.openxmlformats.org/officeDocument/2006/relationships/hyperlink" Target="http://www.boxofficemojo.com/studio/chart/?studio=cohenmedia.htm" TargetMode="External"/><Relationship Id="rId2083" Type="http://schemas.openxmlformats.org/officeDocument/2006/relationships/hyperlink" Target="http://www.boxofficemojo.com/schedule/?view=bydate&amp;release=theatrical&amp;date=2017-04-14&amp;p=.htm" TargetMode="External"/><Relationship Id="rId2084" Type="http://schemas.openxmlformats.org/officeDocument/2006/relationships/hyperlink" Target="http://www.boxofficemojo.com/movies/?id=thelevelling.htm" TargetMode="External"/><Relationship Id="rId2085" Type="http://schemas.openxmlformats.org/officeDocument/2006/relationships/hyperlink" Target="http://www.boxofficemojo.com/studio/chart/?studio=montereymediainc.htm" TargetMode="External"/><Relationship Id="rId2086" Type="http://schemas.openxmlformats.org/officeDocument/2006/relationships/hyperlink" Target="http://www.boxofficemojo.com/schedule/?view=bydate&amp;release=theatrical&amp;date=2017-03-24&amp;p=.htm" TargetMode="External"/><Relationship Id="rId2087" Type="http://schemas.openxmlformats.org/officeDocument/2006/relationships/hyperlink" Target="http://www.boxofficemojo.com/movies/?id=keplersdream.htm" TargetMode="External"/><Relationship Id="rId2088" Type="http://schemas.openxmlformats.org/officeDocument/2006/relationships/hyperlink" Target="http://www.boxofficemojo.com/studio/chart/?studio=independent.htm" TargetMode="External"/><Relationship Id="rId2089" Type="http://schemas.openxmlformats.org/officeDocument/2006/relationships/hyperlink" Target="http://www.boxofficemojo.com/schedule/?view=bydate&amp;release=theatrical&amp;date=2017-12-01&amp;p=.htm" TargetMode="External"/><Relationship Id="rId1" Type="http://schemas.openxmlformats.org/officeDocument/2006/relationships/hyperlink" Target="http://www.boxofficemojo.com/movies/?id=starwars8.htm" TargetMode="External"/><Relationship Id="rId2" Type="http://schemas.openxmlformats.org/officeDocument/2006/relationships/hyperlink" Target="http://www.boxofficemojo.com/studio/chart/?studio=buenavista.htm" TargetMode="External"/><Relationship Id="rId3" Type="http://schemas.openxmlformats.org/officeDocument/2006/relationships/hyperlink" Target="http://www.boxofficemojo.com/schedule/?view=bydate&amp;release=theatrical&amp;date=2017-12-15&amp;p=.htm" TargetMode="External"/><Relationship Id="rId920" Type="http://schemas.openxmlformats.org/officeDocument/2006/relationships/hyperlink" Target="http://www.boxofficemojo.com/studio/chart/?studio=fathom.htm" TargetMode="External"/><Relationship Id="rId921" Type="http://schemas.openxmlformats.org/officeDocument/2006/relationships/hyperlink" Target="http://www.boxofficemojo.com/schedule/?view=bydate&amp;release=theatrical&amp;date=2017-05-06&amp;p=.htm" TargetMode="External"/><Relationship Id="rId922" Type="http://schemas.openxmlformats.org/officeDocument/2006/relationships/hyperlink" Target="http://www.boxofficemojo.com/movies/?id=thisisnotwhatiexpected.htm" TargetMode="External"/><Relationship Id="rId923" Type="http://schemas.openxmlformats.org/officeDocument/2006/relationships/hyperlink" Target="http://www.boxofficemojo.com/studio/chart/?studio=wellgo.htm" TargetMode="External"/><Relationship Id="rId924" Type="http://schemas.openxmlformats.org/officeDocument/2006/relationships/hyperlink" Target="http://www.boxofficemojo.com/schedule/?view=bydate&amp;release=theatrical&amp;date=2017-05-05&amp;p=.htm" TargetMode="External"/><Relationship Id="rId925" Type="http://schemas.openxmlformats.org/officeDocument/2006/relationships/hyperlink" Target="http://www.boxofficemojo.com/movies/?id=dunkirkreissue.htm" TargetMode="External"/><Relationship Id="rId926" Type="http://schemas.openxmlformats.org/officeDocument/2006/relationships/hyperlink" Target="http://www.boxofficemojo.com/studio/chart/?studio=warnerbros.htm" TargetMode="External"/><Relationship Id="rId927" Type="http://schemas.openxmlformats.org/officeDocument/2006/relationships/hyperlink" Target="http://www.boxofficemojo.com/schedule/?view=bydate&amp;release=theatrical&amp;date=2017-12-01&amp;p=.htm" TargetMode="External"/><Relationship Id="rId140" Type="http://schemas.openxmlformats.org/officeDocument/2006/relationships/hyperlink" Target="http://www.boxofficemojo.com/studio/chart/?studio=lionsgatesummit.htm" TargetMode="External"/><Relationship Id="rId141" Type="http://schemas.openxmlformats.org/officeDocument/2006/relationships/hyperlink" Target="http://www.boxofficemojo.com/schedule/?view=bydate&amp;release=theatrical&amp;date=2017-03-03&amp;p=.htm" TargetMode="External"/><Relationship Id="rId142" Type="http://schemas.openxmlformats.org/officeDocument/2006/relationships/hyperlink" Target="http://www.boxofficemojo.com/movies/?id=blumhousehorror2018.htm" TargetMode="External"/><Relationship Id="rId143" Type="http://schemas.openxmlformats.org/officeDocument/2006/relationships/hyperlink" Target="http://www.boxofficemojo.com/studio/chart/?studio=universal.htm" TargetMode="External"/><Relationship Id="rId144" Type="http://schemas.openxmlformats.org/officeDocument/2006/relationships/hyperlink" Target="http://www.boxofficemojo.com/schedule/?view=bydate&amp;release=theatrical&amp;date=2017-10-13&amp;p=.htm" TargetMode="External"/><Relationship Id="rId145" Type="http://schemas.openxmlformats.org/officeDocument/2006/relationships/hyperlink" Target="http://www.boxofficemojo.com/movies/?id=thecoldestcity.htm" TargetMode="External"/><Relationship Id="rId146" Type="http://schemas.openxmlformats.org/officeDocument/2006/relationships/hyperlink" Target="http://www.boxofficemojo.com/studio/chart/?studio=focus.htm" TargetMode="External"/><Relationship Id="rId147" Type="http://schemas.openxmlformats.org/officeDocument/2006/relationships/hyperlink" Target="http://www.boxofficemojo.com/schedule/?view=bydate&amp;release=theatrical&amp;date=2017-07-28&amp;p=.htm" TargetMode="External"/><Relationship Id="rId148" Type="http://schemas.openxmlformats.org/officeDocument/2006/relationships/hyperlink" Target="http://www.boxofficemojo.com/movies/?id=mena.htm" TargetMode="External"/><Relationship Id="rId149" Type="http://schemas.openxmlformats.org/officeDocument/2006/relationships/hyperlink" Target="http://www.boxofficemojo.com/studio/chart/?studio=universal.htm" TargetMode="External"/><Relationship Id="rId928" Type="http://schemas.openxmlformats.org/officeDocument/2006/relationships/hyperlink" Target="http://www.boxofficemojo.com/movies/?id=godsowncountry.htm" TargetMode="External"/><Relationship Id="rId929" Type="http://schemas.openxmlformats.org/officeDocument/2006/relationships/hyperlink" Target="http://www.boxofficemojo.com/studio/chart/?studio=orion.htm" TargetMode="External"/><Relationship Id="rId530" Type="http://schemas.openxmlformats.org/officeDocument/2006/relationships/hyperlink" Target="http://www.boxofficemojo.com/studio/chart/?studio=pantelion.htm" TargetMode="External"/><Relationship Id="rId531" Type="http://schemas.openxmlformats.org/officeDocument/2006/relationships/hyperlink" Target="http://www.boxofficemojo.com/schedule/?view=bydate&amp;release=theatrical&amp;date=2017-09-01&amp;p=.htm" TargetMode="External"/><Relationship Id="rId532" Type="http://schemas.openxmlformats.org/officeDocument/2006/relationships/hyperlink" Target="http://www.boxofficemojo.com/movies/?id=lbj.htm" TargetMode="External"/><Relationship Id="rId533" Type="http://schemas.openxmlformats.org/officeDocument/2006/relationships/hyperlink" Target="http://www.boxofficemojo.com/studio/chart/?studio=electric.htm" TargetMode="External"/><Relationship Id="rId534" Type="http://schemas.openxmlformats.org/officeDocument/2006/relationships/hyperlink" Target="http://www.boxofficemojo.com/schedule/?view=bydate&amp;release=theatrical&amp;date=2017-11-03&amp;p=.htm" TargetMode="External"/><Relationship Id="rId535" Type="http://schemas.openxmlformats.org/officeDocument/2006/relationships/hyperlink" Target="http://www.boxofficemojo.com/movies/?id=tulipfever.htm" TargetMode="External"/><Relationship Id="rId536" Type="http://schemas.openxmlformats.org/officeDocument/2006/relationships/hyperlink" Target="http://www.boxofficemojo.com/studio/chart/?studio=weinsteincompany.htm" TargetMode="External"/><Relationship Id="rId537" Type="http://schemas.openxmlformats.org/officeDocument/2006/relationships/hyperlink" Target="http://www.boxofficemojo.com/schedule/?view=bydate&amp;release=theatrical&amp;date=2017-09-01&amp;p=.htm" TargetMode="External"/><Relationship Id="rId538" Type="http://schemas.openxmlformats.org/officeDocument/2006/relationships/hyperlink" Target="http://www.boxofficemojo.com/movies/?id=thesalesman.htm" TargetMode="External"/><Relationship Id="rId539" Type="http://schemas.openxmlformats.org/officeDocument/2006/relationships/hyperlink" Target="http://www.boxofficemojo.com/studio/chart/?studio=cohenmedia.htm" TargetMode="External"/><Relationship Id="rId4" Type="http://schemas.openxmlformats.org/officeDocument/2006/relationships/hyperlink" Target="http://www.boxofficemojo.com/movies/?id=beautyandthebeast2017.htm" TargetMode="External"/><Relationship Id="rId5" Type="http://schemas.openxmlformats.org/officeDocument/2006/relationships/hyperlink" Target="http://www.boxofficemojo.com/studio/chart/?studio=buenavista.htm" TargetMode="External"/><Relationship Id="rId6" Type="http://schemas.openxmlformats.org/officeDocument/2006/relationships/hyperlink" Target="http://www.boxofficemojo.com/schedule/?view=bydate&amp;release=theatrical&amp;date=2017-03-17&amp;p=.htm" TargetMode="External"/><Relationship Id="rId7" Type="http://schemas.openxmlformats.org/officeDocument/2006/relationships/hyperlink" Target="http://www.boxofficemojo.com/movies/?id=wonderwoman.htm" TargetMode="External"/><Relationship Id="rId8" Type="http://schemas.openxmlformats.org/officeDocument/2006/relationships/hyperlink" Target="http://www.boxofficemojo.com/studio/chart/?studio=warnerbros.htm" TargetMode="External"/><Relationship Id="rId9" Type="http://schemas.openxmlformats.org/officeDocument/2006/relationships/hyperlink" Target="http://www.boxofficemojo.com/schedule/?view=bydate&amp;release=theatrical&amp;date=2017-06-02&amp;p=.htm" TargetMode="External"/><Relationship Id="rId1790" Type="http://schemas.openxmlformats.org/officeDocument/2006/relationships/hyperlink" Target="http://www.boxofficemojo.com/movies/?id=shadowman.htm" TargetMode="External"/><Relationship Id="rId1791" Type="http://schemas.openxmlformats.org/officeDocument/2006/relationships/hyperlink" Target="http://www.boxofficemojo.com/studio/chart/?studio=filmmovement.htm" TargetMode="External"/><Relationship Id="rId1792" Type="http://schemas.openxmlformats.org/officeDocument/2006/relationships/hyperlink" Target="http://www.boxofficemojo.com/schedule/?view=bydate&amp;release=theatrical&amp;date=2017-12-01&amp;p=.htm" TargetMode="External"/><Relationship Id="rId1793" Type="http://schemas.openxmlformats.org/officeDocument/2006/relationships/hyperlink" Target="http://www.boxofficemojo.com/movies/?id=deadawake2017.htm" TargetMode="External"/><Relationship Id="rId1794" Type="http://schemas.openxmlformats.org/officeDocument/2006/relationships/hyperlink" Target="http://www.boxofficemojo.com/studio/chart/?studio=filmrise.htm" TargetMode="External"/><Relationship Id="rId1795" Type="http://schemas.openxmlformats.org/officeDocument/2006/relationships/hyperlink" Target="http://www.boxofficemojo.com/schedule/?view=bydate&amp;release=theatrical&amp;date=2017-05-12&amp;p=.htm" TargetMode="External"/><Relationship Id="rId1796" Type="http://schemas.openxmlformats.org/officeDocument/2006/relationships/hyperlink" Target="http://www.boxofficemojo.com/movies/?id=besidebowie.htm" TargetMode="External"/><Relationship Id="rId1797" Type="http://schemas.openxmlformats.org/officeDocument/2006/relationships/hyperlink" Target="http://www.boxofficemojo.com/studio/chart/?studio=paradedeck.htm" TargetMode="External"/><Relationship Id="rId1798" Type="http://schemas.openxmlformats.org/officeDocument/2006/relationships/hyperlink" Target="http://www.boxofficemojo.com/schedule/?view=bydate&amp;release=theatrical&amp;date=2017-08-25&amp;p=.htm" TargetMode="External"/><Relationship Id="rId1799" Type="http://schemas.openxmlformats.org/officeDocument/2006/relationships/hyperlink" Target="http://www.boxofficemojo.com/movies/?id=saigonbodyguards.htm" TargetMode="External"/><Relationship Id="rId2090" Type="http://schemas.openxmlformats.org/officeDocument/2006/relationships/hyperlink" Target="http://www.boxofficemojo.com/movies/?id=demons2017.htm" TargetMode="External"/><Relationship Id="rId2091" Type="http://schemas.openxmlformats.org/officeDocument/2006/relationships/hyperlink" Target="http://www.boxofficemojo.com/studio/chart/?studio=uncorkd.htm" TargetMode="External"/><Relationship Id="rId2092" Type="http://schemas.openxmlformats.org/officeDocument/2006/relationships/hyperlink" Target="http://www.boxofficemojo.com/schedule/?view=bydate&amp;release=theatrical&amp;date=2017-10-05&amp;p=.htm" TargetMode="External"/><Relationship Id="rId2093" Type="http://schemas.openxmlformats.org/officeDocument/2006/relationships/hyperlink" Target="http://www.boxofficemojo.com/movies/?id=1898losultimosdefilipinas.htm" TargetMode="External"/><Relationship Id="rId2094" Type="http://schemas.openxmlformats.org/officeDocument/2006/relationships/hyperlink" Target="http://www.boxofficemojo.com/studio/chart/?studio=sony.htm" TargetMode="External"/><Relationship Id="rId2095" Type="http://schemas.openxmlformats.org/officeDocument/2006/relationships/hyperlink" Target="http://www.boxofficemojo.com/schedule/?view=bydate&amp;release=theatrical&amp;date=2017-03-03&amp;p=.htm" TargetMode="External"/><Relationship Id="rId2096" Type="http://schemas.openxmlformats.org/officeDocument/2006/relationships/hyperlink" Target="http://www.boxofficemojo.com/movies/?id=idreaminanotherlanguage.htm" TargetMode="External"/><Relationship Id="rId2097" Type="http://schemas.openxmlformats.org/officeDocument/2006/relationships/hyperlink" Target="http://www.boxofficemojo.com/studio/chart/?studio=filmrise.htm" TargetMode="External"/><Relationship Id="rId2098" Type="http://schemas.openxmlformats.org/officeDocument/2006/relationships/hyperlink" Target="http://www.boxofficemojo.com/schedule/?view=bydate&amp;release=theatrical&amp;date=2017-07-28&amp;p=.htm" TargetMode="External"/><Relationship Id="rId2099" Type="http://schemas.openxmlformats.org/officeDocument/2006/relationships/hyperlink" Target="http://www.boxofficemojo.com/movies/?id=santoalla.htm" TargetMode="External"/><Relationship Id="rId1000" Type="http://schemas.openxmlformats.org/officeDocument/2006/relationships/hyperlink" Target="http://www.boxofficemojo.com/movies/?id=crownheights.htm" TargetMode="External"/><Relationship Id="rId1001" Type="http://schemas.openxmlformats.org/officeDocument/2006/relationships/hyperlink" Target="http://www.boxofficemojo.com/studio/chart/?studio=ifc.htm" TargetMode="External"/><Relationship Id="rId1002" Type="http://schemas.openxmlformats.org/officeDocument/2006/relationships/hyperlink" Target="http://www.boxofficemojo.com/schedule/?view=bydate&amp;release=theatrical&amp;date=2017-08-18&amp;p=.htm" TargetMode="External"/><Relationship Id="rId1003" Type="http://schemas.openxmlformats.org/officeDocument/2006/relationships/hyperlink" Target="http://www.boxofficemojo.com/movies/?id=americansatan.htm" TargetMode="External"/><Relationship Id="rId930" Type="http://schemas.openxmlformats.org/officeDocument/2006/relationships/hyperlink" Target="http://www.boxofficemojo.com/schedule/?view=bydate&amp;release=theatrical&amp;date=2017-10-24&amp;p=.htm" TargetMode="External"/><Relationship Id="rId931" Type="http://schemas.openxmlformats.org/officeDocument/2006/relationships/hyperlink" Target="http://www.boxofficemojo.com/movies/?id=chuck.htm" TargetMode="External"/><Relationship Id="rId932" Type="http://schemas.openxmlformats.org/officeDocument/2006/relationships/hyperlink" Target="http://www.boxofficemojo.com/studio/chart/?studio=ifc.htm" TargetMode="External"/><Relationship Id="rId933" Type="http://schemas.openxmlformats.org/officeDocument/2006/relationships/hyperlink" Target="http://www.boxofficemojo.com/schedule/?view=bydate&amp;release=theatrical&amp;date=2017-05-05&amp;p=.htm" TargetMode="External"/><Relationship Id="rId934" Type="http://schemas.openxmlformats.org/officeDocument/2006/relationships/hyperlink" Target="http://www.boxofficemojo.com/movies/?id=obit.htm" TargetMode="External"/><Relationship Id="rId935" Type="http://schemas.openxmlformats.org/officeDocument/2006/relationships/hyperlink" Target="http://www.boxofficemojo.com/studio/chart/?studio=kinolorber.htm" TargetMode="External"/><Relationship Id="rId936" Type="http://schemas.openxmlformats.org/officeDocument/2006/relationships/hyperlink" Target="http://www.boxofficemojo.com/schedule/?view=bydate&amp;release=theatrical&amp;date=2017-01-05&amp;p=.htm" TargetMode="External"/><Relationship Id="rId937" Type="http://schemas.openxmlformats.org/officeDocument/2006/relationships/hyperlink" Target="http://www.boxofficemojo.com/movies/?id=citizenjane.htm" TargetMode="External"/><Relationship Id="rId150" Type="http://schemas.openxmlformats.org/officeDocument/2006/relationships/hyperlink" Target="http://www.boxofficemojo.com/schedule/?view=bydate&amp;release=theatrical&amp;date=2017-09-29&amp;p=.htm" TargetMode="External"/><Relationship Id="rId151" Type="http://schemas.openxmlformats.org/officeDocument/2006/relationships/hyperlink" Target="http://www.boxofficemojo.com/movies/?id=darktower.htm" TargetMode="External"/><Relationship Id="rId152" Type="http://schemas.openxmlformats.org/officeDocument/2006/relationships/hyperlink" Target="http://www.boxofficemojo.com/studio/chart/?studio=sony.htm" TargetMode="External"/><Relationship Id="rId153" Type="http://schemas.openxmlformats.org/officeDocument/2006/relationships/hyperlink" Target="http://www.boxofficemojo.com/schedule/?view=bydate&amp;release=theatrical&amp;date=2017-08-04&amp;p=.htm" TargetMode="External"/><Relationship Id="rId154" Type="http://schemas.openxmlformats.org/officeDocument/2006/relationships/hyperlink" Target="http://www.boxofficemojo.com/movies/?id=amadeahalloween2.htm" TargetMode="External"/><Relationship Id="rId155" Type="http://schemas.openxmlformats.org/officeDocument/2006/relationships/hyperlink" Target="http://www.boxofficemojo.com/studio/chart/?studio=lionsgate.htm" TargetMode="External"/><Relationship Id="rId156" Type="http://schemas.openxmlformats.org/officeDocument/2006/relationships/hyperlink" Target="http://www.boxofficemojo.com/schedule/?view=bydate&amp;release=theatrical&amp;date=2017-10-20&amp;p=.htm" TargetMode="External"/><Relationship Id="rId157" Type="http://schemas.openxmlformats.org/officeDocument/2006/relationships/hyperlink" Target="http://www.boxofficemojo.com/movies/?id=motherdaughter.htm" TargetMode="External"/><Relationship Id="rId158" Type="http://schemas.openxmlformats.org/officeDocument/2006/relationships/hyperlink" Target="http://www.boxofficemojo.com/studio/chart/?studio=fox.htm" TargetMode="External"/><Relationship Id="rId159" Type="http://schemas.openxmlformats.org/officeDocument/2006/relationships/hyperlink" Target="http://www.boxofficemojo.com/schedule/?view=bydate&amp;release=theatrical&amp;date=2017-05-12&amp;p=.htm" TargetMode="External"/><Relationship Id="rId938" Type="http://schemas.openxmlformats.org/officeDocument/2006/relationships/hyperlink" Target="http://www.boxofficemojo.com/studio/chart/?studio=ifc.htm" TargetMode="External"/><Relationship Id="rId939" Type="http://schemas.openxmlformats.org/officeDocument/2006/relationships/hyperlink" Target="http://www.boxofficemojo.com/schedule/?view=bydate&amp;release=theatrical&amp;date=2017-04-21&amp;p=.htm" TargetMode="External"/><Relationship Id="rId1004" Type="http://schemas.openxmlformats.org/officeDocument/2006/relationships/hyperlink" Target="http://www.boxofficemojo.com/studio/chart/?studio=sumerian.htm" TargetMode="External"/><Relationship Id="rId1005" Type="http://schemas.openxmlformats.org/officeDocument/2006/relationships/hyperlink" Target="http://www.boxofficemojo.com/schedule/?view=bydate&amp;release=theatrical&amp;date=2017-10-13&amp;p=.htm" TargetMode="External"/><Relationship Id="rId1006" Type="http://schemas.openxmlformats.org/officeDocument/2006/relationships/hyperlink" Target="http://www.boxofficemojo.com/movies/?id=littleshopofhorrorsdc.htm" TargetMode="External"/><Relationship Id="rId1007" Type="http://schemas.openxmlformats.org/officeDocument/2006/relationships/hyperlink" Target="http://www.boxofficemojo.com/studio/chart/?studio=fathom.htm" TargetMode="External"/><Relationship Id="rId1008" Type="http://schemas.openxmlformats.org/officeDocument/2006/relationships/hyperlink" Target="http://www.boxofficemojo.com/schedule/?view=bydate&amp;release=theatrical&amp;date=2017-10-27&amp;p=.htm" TargetMode="External"/><Relationship Id="rId1009" Type="http://schemas.openxmlformats.org/officeDocument/2006/relationships/hyperlink" Target="http://www.boxofficemojo.com/movies/?id=jeremiahtower.htm" TargetMode="External"/><Relationship Id="rId540" Type="http://schemas.openxmlformats.org/officeDocument/2006/relationships/hyperlink" Target="http://www.boxofficemojo.com/schedule/?view=bydate&amp;release=theatrical&amp;date=2017-01-27&amp;p=.htm" TargetMode="External"/><Relationship Id="rId541" Type="http://schemas.openxmlformats.org/officeDocument/2006/relationships/hyperlink" Target="http://www.boxofficemojo.com/movies/?id=trainspotting2.htm" TargetMode="External"/><Relationship Id="rId542" Type="http://schemas.openxmlformats.org/officeDocument/2006/relationships/hyperlink" Target="http://www.boxofficemojo.com/studio/chart/?studio=tristar.htm" TargetMode="External"/><Relationship Id="rId543" Type="http://schemas.openxmlformats.org/officeDocument/2006/relationships/hyperlink" Target="http://www.boxofficemojo.com/schedule/?view=bydate&amp;release=theatrical&amp;date=2017-03-17&amp;p=.htm" TargetMode="External"/><Relationship Id="rId544" Type="http://schemas.openxmlformats.org/officeDocument/2006/relationships/hyperlink" Target="http://www.boxofficemojo.com/movies/?id=pokemonichooseyou.htm" TargetMode="External"/><Relationship Id="rId545" Type="http://schemas.openxmlformats.org/officeDocument/2006/relationships/hyperlink" Target="http://www.boxofficemojo.com/studio/chart/?studio=fathom.htm" TargetMode="External"/><Relationship Id="rId546" Type="http://schemas.openxmlformats.org/officeDocument/2006/relationships/hyperlink" Target="http://www.boxofficemojo.com/schedule/?view=bydate&amp;release=theatrical&amp;date=2017-11-05&amp;p=.htm" TargetMode="External"/><Relationship Id="rId547" Type="http://schemas.openxmlformats.org/officeDocument/2006/relationships/hyperlink" Target="http://www.boxofficemojo.com/movies/?id=jeeperscreepers3.htm" TargetMode="External"/><Relationship Id="rId548" Type="http://schemas.openxmlformats.org/officeDocument/2006/relationships/hyperlink" Target="http://www.boxofficemojo.com/studio/chart/?studio=screenmedia.htm" TargetMode="External"/><Relationship Id="rId549" Type="http://schemas.openxmlformats.org/officeDocument/2006/relationships/hyperlink" Target="http://www.boxofficemojo.com/schedule/?view=bydate&amp;release=theatrical&amp;date=2017-09-26&amp;p=.htm" TargetMode="External"/><Relationship Id="rId1400" Type="http://schemas.openxmlformats.org/officeDocument/2006/relationships/hyperlink" Target="http://www.boxofficemojo.com/studio/chart/?studio=matson.htm" TargetMode="External"/><Relationship Id="rId1401" Type="http://schemas.openxmlformats.org/officeDocument/2006/relationships/hyperlink" Target="http://www.boxofficemojo.com/schedule/?view=bydate&amp;release=theatrical&amp;date=2017-03-03&amp;p=.htm" TargetMode="External"/><Relationship Id="rId1402" Type="http://schemas.openxmlformats.org/officeDocument/2006/relationships/hyperlink" Target="http://www.boxofficemojo.com/movies/?id=thesacrifice2017.htm" TargetMode="External"/><Relationship Id="rId1403" Type="http://schemas.openxmlformats.org/officeDocument/2006/relationships/hyperlink" Target="http://www.boxofficemojo.com/studio/chart/?studio=kinolorber.htm" TargetMode="External"/><Relationship Id="rId1404" Type="http://schemas.openxmlformats.org/officeDocument/2006/relationships/hyperlink" Target="http://www.boxofficemojo.com/schedule/?view=bydate&amp;release=theatrical&amp;date=2017-10-20&amp;p=.htm" TargetMode="External"/><Relationship Id="rId1405" Type="http://schemas.openxmlformats.org/officeDocument/2006/relationships/hyperlink" Target="http://www.boxofficemojo.com/movies/?id=karlmarxcity.htm" TargetMode="External"/><Relationship Id="rId1406" Type="http://schemas.openxmlformats.org/officeDocument/2006/relationships/hyperlink" Target="http://www.boxofficemojo.com/studio/chart/?studio=bond360.htm" TargetMode="External"/><Relationship Id="rId1407" Type="http://schemas.openxmlformats.org/officeDocument/2006/relationships/hyperlink" Target="http://www.boxofficemojo.com/schedule/?view=bydate&amp;release=theatrical&amp;date=2017-03-29&amp;p=.htm" TargetMode="External"/><Relationship Id="rId1408" Type="http://schemas.openxmlformats.org/officeDocument/2006/relationships/hyperlink" Target="http://www.boxofficemojo.com/movies/?id=unrest.htm" TargetMode="External"/><Relationship Id="rId1409" Type="http://schemas.openxmlformats.org/officeDocument/2006/relationships/hyperlink" Target="http://www.boxofficemojo.com/studio/chart/?studio=independent.htm" TargetMode="External"/><Relationship Id="rId940" Type="http://schemas.openxmlformats.org/officeDocument/2006/relationships/hyperlink" Target="http://www.boxofficemojo.com/movies/?id=cityofrock.htm" TargetMode="External"/><Relationship Id="rId941" Type="http://schemas.openxmlformats.org/officeDocument/2006/relationships/hyperlink" Target="http://www.boxofficemojo.com/studio/chart/?studio=wellgo.htm" TargetMode="External"/><Relationship Id="rId942" Type="http://schemas.openxmlformats.org/officeDocument/2006/relationships/hyperlink" Target="http://www.boxofficemojo.com/schedule/?view=bydate&amp;release=theatrical&amp;date=2017-10-06&amp;p=.htm" TargetMode="External"/><Relationship Id="rId943" Type="http://schemas.openxmlformats.org/officeDocument/2006/relationships/hyperlink" Target="http://www.boxofficemojo.com/movies/?id=mylifeasazucchini.htm" TargetMode="External"/><Relationship Id="rId944" Type="http://schemas.openxmlformats.org/officeDocument/2006/relationships/hyperlink" Target="http://www.boxofficemojo.com/studio/chart/?studio=gkids.htm" TargetMode="External"/><Relationship Id="rId945" Type="http://schemas.openxmlformats.org/officeDocument/2006/relationships/hyperlink" Target="http://www.boxofficemojo.com/schedule/?view=bydate&amp;release=theatrical&amp;date=2017-02-24&amp;p=.htm" TargetMode="External"/><Relationship Id="rId160" Type="http://schemas.openxmlformats.org/officeDocument/2006/relationships/hyperlink" Target="http://www.boxofficemojo.com/movies/?id=untitledstevenspielberg.htm" TargetMode="External"/><Relationship Id="rId161" Type="http://schemas.openxmlformats.org/officeDocument/2006/relationships/hyperlink" Target="http://www.boxofficemojo.com/studio/chart/?studio=fox.htm" TargetMode="External"/><Relationship Id="rId162" Type="http://schemas.openxmlformats.org/officeDocument/2006/relationships/hyperlink" Target="http://www.boxofficemojo.com/schedule/?view=bydate&amp;release=theatrical&amp;date=2017-12-22&amp;p=.htm" TargetMode="External"/><Relationship Id="rId163" Type="http://schemas.openxmlformats.org/officeDocument/2006/relationships/hyperlink" Target="http://www.boxofficemojo.com/movies/?id=greatwall.htm" TargetMode="External"/><Relationship Id="rId164" Type="http://schemas.openxmlformats.org/officeDocument/2006/relationships/hyperlink" Target="http://www.boxofficemojo.com/studio/chart/?studio=universal.htm" TargetMode="External"/><Relationship Id="rId165" Type="http://schemas.openxmlformats.org/officeDocument/2006/relationships/hyperlink" Target="http://www.boxofficemojo.com/schedule/?view=bydate&amp;release=theatrical&amp;date=2017-02-17&amp;p=.htm" TargetMode="External"/><Relationship Id="rId166" Type="http://schemas.openxmlformats.org/officeDocument/2006/relationships/hyperlink" Target="http://www.boxofficemojo.com/movies/?id=smurfs3.htm" TargetMode="External"/><Relationship Id="rId167" Type="http://schemas.openxmlformats.org/officeDocument/2006/relationships/hyperlink" Target="http://www.boxofficemojo.com/studio/chart/?studio=sony.htm" TargetMode="External"/><Relationship Id="rId168" Type="http://schemas.openxmlformats.org/officeDocument/2006/relationships/hyperlink" Target="http://www.boxofficemojo.com/schedule/?view=bydate&amp;release=theatrical&amp;date=2017-04-07&amp;p=.htm" TargetMode="External"/><Relationship Id="rId169" Type="http://schemas.openxmlformats.org/officeDocument/2006/relationships/hyperlink" Target="http://www.boxofficemojo.com/movies/?id=goinginsty2017.htm" TargetMode="External"/><Relationship Id="rId946" Type="http://schemas.openxmlformats.org/officeDocument/2006/relationships/hyperlink" Target="http://www.boxofficemojo.com/movies/?id=ittefaq.htm" TargetMode="External"/><Relationship Id="rId947" Type="http://schemas.openxmlformats.org/officeDocument/2006/relationships/hyperlink" Target="http://www.boxofficemojo.com/studio/chart/?studio=yashraj.htm" TargetMode="External"/><Relationship Id="rId948" Type="http://schemas.openxmlformats.org/officeDocument/2006/relationships/hyperlink" Target="http://www.boxofficemojo.com/schedule/?view=bydate&amp;release=theatrical&amp;date=2017-11-03&amp;p=.htm" TargetMode="External"/><Relationship Id="rId949" Type="http://schemas.openxmlformats.org/officeDocument/2006/relationships/hyperlink" Target="http://www.boxofficemojo.com/movies/?id=buddiesinindia.htm" TargetMode="External"/><Relationship Id="rId1010" Type="http://schemas.openxmlformats.org/officeDocument/2006/relationships/hyperlink" Target="http://www.boxofficemojo.com/studio/chart/?studio=orchard.htm" TargetMode="External"/><Relationship Id="rId1011" Type="http://schemas.openxmlformats.org/officeDocument/2006/relationships/hyperlink" Target="http://www.boxofficemojo.com/schedule/?view=bydate&amp;release=theatrical&amp;date=2017-04-21&amp;p=.htm" TargetMode="External"/><Relationship Id="rId1012" Type="http://schemas.openxmlformats.org/officeDocument/2006/relationships/hyperlink" Target="http://www.boxofficemojo.com/movies/?id=rumble.htm" TargetMode="External"/><Relationship Id="rId1013" Type="http://schemas.openxmlformats.org/officeDocument/2006/relationships/hyperlink" Target="http://www.boxofficemojo.com/studio/chart/?studio=kinolorber.htm" TargetMode="External"/><Relationship Id="rId1014" Type="http://schemas.openxmlformats.org/officeDocument/2006/relationships/hyperlink" Target="http://www.boxofficemojo.com/schedule/?view=bydate&amp;release=theatrical&amp;date=2017-05-18&amp;p=.htm" TargetMode="External"/><Relationship Id="rId1015" Type="http://schemas.openxmlformats.org/officeDocument/2006/relationships/hyperlink" Target="http://www.boxofficemojo.com/movies/?id=californiatypewriter.htm" TargetMode="External"/><Relationship Id="rId1016" Type="http://schemas.openxmlformats.org/officeDocument/2006/relationships/hyperlink" Target="http://www.boxofficemojo.com/studio/chart/?studio=gravitas.htm" TargetMode="External"/><Relationship Id="rId1017" Type="http://schemas.openxmlformats.org/officeDocument/2006/relationships/hyperlink" Target="http://www.boxofficemojo.com/schedule/?view=bydate&amp;release=theatrical&amp;date=2017-08-18&amp;p=.htm" TargetMode="External"/><Relationship Id="rId1018" Type="http://schemas.openxmlformats.org/officeDocument/2006/relationships/hyperlink" Target="http://www.boxofficemojo.com/movies/?id=railroadtigers.htm" TargetMode="External"/><Relationship Id="rId1019" Type="http://schemas.openxmlformats.org/officeDocument/2006/relationships/hyperlink" Target="http://www.boxofficemojo.com/studio/chart/?studio=wellgo.htm" TargetMode="External"/><Relationship Id="rId550" Type="http://schemas.openxmlformats.org/officeDocument/2006/relationships/hyperlink" Target="http://www.boxofficemojo.com/movies/?id=theresurrectionofgavinstone.htm" TargetMode="External"/><Relationship Id="rId551" Type="http://schemas.openxmlformats.org/officeDocument/2006/relationships/hyperlink" Target="http://www.boxofficemojo.com/studio/chart/?studio=bhtilt.htm" TargetMode="External"/><Relationship Id="rId552" Type="http://schemas.openxmlformats.org/officeDocument/2006/relationships/hyperlink" Target="http://www.boxofficemojo.com/schedule/?view=bydate&amp;release=theatrical&amp;date=2017-01-20&amp;p=.htm" TargetMode="External"/><Relationship Id="rId553" Type="http://schemas.openxmlformats.org/officeDocument/2006/relationships/hyperlink" Target="http://www.boxofficemojo.com/movies/?id=killingofasacreddeer.htm" TargetMode="External"/><Relationship Id="rId554" Type="http://schemas.openxmlformats.org/officeDocument/2006/relationships/hyperlink" Target="http://www.boxofficemojo.com/studio/chart/?studio=a24.htm" TargetMode="External"/><Relationship Id="rId555" Type="http://schemas.openxmlformats.org/officeDocument/2006/relationships/hyperlink" Target="http://www.boxofficemojo.com/schedule/?view=bydate&amp;release=theatrical&amp;date=2017-10-20&amp;p=.htm" TargetMode="External"/><Relationship Id="rId556" Type="http://schemas.openxmlformats.org/officeDocument/2006/relationships/hyperlink" Target="http://www.boxofficemojo.com/movies/?id=autobahn.htm" TargetMode="External"/><Relationship Id="rId557" Type="http://schemas.openxmlformats.org/officeDocument/2006/relationships/hyperlink" Target="http://www.boxofficemojo.com/studio/chart/?studio=openroads.htm" TargetMode="External"/><Relationship Id="rId558" Type="http://schemas.openxmlformats.org/officeDocument/2006/relationships/hyperlink" Target="http://www.boxofficemojo.com/schedule/?view=bydate&amp;release=theatrical&amp;date=2017-02-24&amp;p=.htm" TargetMode="External"/><Relationship Id="rId559" Type="http://schemas.openxmlformats.org/officeDocument/2006/relationships/hyperlink" Target="http://www.boxofficemojo.com/movies/?id=thelovers.htm" TargetMode="External"/><Relationship Id="rId1800" Type="http://schemas.openxmlformats.org/officeDocument/2006/relationships/hyperlink" Target="http://www.boxofficemojo.com/studio/chart/?studio=cjentertainment.htm" TargetMode="External"/><Relationship Id="rId1801" Type="http://schemas.openxmlformats.org/officeDocument/2006/relationships/hyperlink" Target="http://www.boxofficemojo.com/schedule/?view=bydate&amp;release=theatrical&amp;date=2017-02-03&amp;p=.htm" TargetMode="External"/><Relationship Id="rId1802" Type="http://schemas.openxmlformats.org/officeDocument/2006/relationships/hyperlink" Target="http://www.boxofficemojo.com/movies/?id=thepathologicaloptimist.htm" TargetMode="External"/><Relationship Id="rId1803" Type="http://schemas.openxmlformats.org/officeDocument/2006/relationships/hyperlink" Target="http://www.boxofficemojo.com/studio/chart/?studio=filmarcade.htm" TargetMode="External"/><Relationship Id="rId1410" Type="http://schemas.openxmlformats.org/officeDocument/2006/relationships/hyperlink" Target="http://www.boxofficemojo.com/schedule/?view=bydate&amp;release=theatrical&amp;date=2017-09-22&amp;p=.htm" TargetMode="External"/><Relationship Id="rId1411" Type="http://schemas.openxmlformats.org/officeDocument/2006/relationships/hyperlink" Target="http://www.boxofficemojo.com/movies/?id=thecommune.htm" TargetMode="External"/><Relationship Id="rId1412" Type="http://schemas.openxmlformats.org/officeDocument/2006/relationships/hyperlink" Target="http://www.boxofficemojo.com/studio/chart/?studio=magnolia.htm" TargetMode="External"/><Relationship Id="rId1413" Type="http://schemas.openxmlformats.org/officeDocument/2006/relationships/hyperlink" Target="http://www.boxofficemojo.com/schedule/?view=bydate&amp;release=theatrical&amp;date=2017-05-19&amp;p=.htm" TargetMode="External"/><Relationship Id="rId1414" Type="http://schemas.openxmlformats.org/officeDocument/2006/relationships/hyperlink" Target="http://www.boxofficemojo.com/movies/?id=iamtheblues.htm" TargetMode="External"/><Relationship Id="rId1415" Type="http://schemas.openxmlformats.org/officeDocument/2006/relationships/hyperlink" Target="http://www.boxofficemojo.com/studio/chart/?studio=filmmovement.htm" TargetMode="External"/><Relationship Id="rId1416" Type="http://schemas.openxmlformats.org/officeDocument/2006/relationships/hyperlink" Target="http://www.boxofficemojo.com/schedule/?view=bydate&amp;release=theatrical&amp;date=2017-07-12&amp;p=.htm" TargetMode="External"/><Relationship Id="rId1417" Type="http://schemas.openxmlformats.org/officeDocument/2006/relationships/hyperlink" Target="http://www.boxofficemojo.com/movies/?id=hitchcocksshowerscene.htm" TargetMode="External"/><Relationship Id="rId1418" Type="http://schemas.openxmlformats.org/officeDocument/2006/relationships/hyperlink" Target="http://www.boxofficemojo.com/studio/chart/?studio=ifc.htm" TargetMode="External"/><Relationship Id="rId1419" Type="http://schemas.openxmlformats.org/officeDocument/2006/relationships/hyperlink" Target="http://www.boxofficemojo.com/schedule/?view=bydate&amp;release=theatrical&amp;date=2017-10-13&amp;p=.htm" TargetMode="External"/><Relationship Id="rId950" Type="http://schemas.openxmlformats.org/officeDocument/2006/relationships/hyperlink" Target="http://www.boxofficemojo.com/studio/chart/?studio=chinalion.htm" TargetMode="External"/><Relationship Id="rId951" Type="http://schemas.openxmlformats.org/officeDocument/2006/relationships/hyperlink" Target="http://www.boxofficemojo.com/schedule/?view=bydate&amp;release=theatrical&amp;date=2017-01-27&amp;p=.htm" TargetMode="External"/><Relationship Id="rId952" Type="http://schemas.openxmlformats.org/officeDocument/2006/relationships/hyperlink" Target="http://www.boxofficemojo.com/movies/?id=idountilidont.htm" TargetMode="External"/><Relationship Id="rId953" Type="http://schemas.openxmlformats.org/officeDocument/2006/relationships/hyperlink" Target="http://www.boxofficemojo.com/studio/chart/?studio=filmarcade.htm" TargetMode="External"/><Relationship Id="rId954" Type="http://schemas.openxmlformats.org/officeDocument/2006/relationships/hyperlink" Target="http://www.boxofficemojo.com/schedule/?view=bydate&amp;release=theatrical&amp;date=2017-09-01&amp;p=.htm" TargetMode="External"/><Relationship Id="rId955" Type="http://schemas.openxmlformats.org/officeDocument/2006/relationships/hyperlink" Target="http://www.boxofficemojo.com/movies/?id=afterthestorm.htm" TargetMode="External"/><Relationship Id="rId170" Type="http://schemas.openxmlformats.org/officeDocument/2006/relationships/hyperlink" Target="http://www.boxofficemojo.com/studio/chart/?studio=wb-newline.htm" TargetMode="External"/><Relationship Id="rId171" Type="http://schemas.openxmlformats.org/officeDocument/2006/relationships/hyperlink" Target="http://www.boxofficemojo.com/schedule/?view=bydate&amp;release=theatrical&amp;date=2017-04-07&amp;p=.htm" TargetMode="External"/><Relationship Id="rId172" Type="http://schemas.openxmlformats.org/officeDocument/2006/relationships/hyperlink" Target="http://www.boxofficemojo.com/movies/?id=tupac.htm" TargetMode="External"/><Relationship Id="rId173" Type="http://schemas.openxmlformats.org/officeDocument/2006/relationships/hyperlink" Target="http://www.boxofficemojo.com/studio/chart/?studio=lionsgatesummit.htm" TargetMode="External"/><Relationship Id="rId174" Type="http://schemas.openxmlformats.org/officeDocument/2006/relationships/hyperlink" Target="http://www.boxofficemojo.com/schedule/?view=bydate&amp;release=theatrical&amp;date=2017-06-16&amp;p=.htm" TargetMode="External"/><Relationship Id="rId175" Type="http://schemas.openxmlformats.org/officeDocument/2006/relationships/hyperlink" Target="http://www.boxofficemojo.com/movies/?id=xxx3.htm" TargetMode="External"/><Relationship Id="rId176" Type="http://schemas.openxmlformats.org/officeDocument/2006/relationships/hyperlink" Target="http://www.boxofficemojo.com/studio/chart/?studio=paramount.htm" TargetMode="External"/><Relationship Id="rId177" Type="http://schemas.openxmlformats.org/officeDocument/2006/relationships/hyperlink" Target="http://www.boxofficemojo.com/schedule/?view=bydate&amp;release=theatrical&amp;date=2017-01-20&amp;p=.htm" TargetMode="External"/><Relationship Id="rId178" Type="http://schemas.openxmlformats.org/officeDocument/2006/relationships/hyperlink" Target="http://www.boxofficemojo.com/movies/?id=47metersdown.htm" TargetMode="External"/><Relationship Id="rId179" Type="http://schemas.openxmlformats.org/officeDocument/2006/relationships/hyperlink" Target="http://www.boxofficemojo.com/studio/chart/?studio=entertainmentstudios.htm" TargetMode="External"/><Relationship Id="rId956" Type="http://schemas.openxmlformats.org/officeDocument/2006/relationships/hyperlink" Target="http://www.boxofficemojo.com/studio/chart/?studio=filmmovement.htm" TargetMode="External"/><Relationship Id="rId957" Type="http://schemas.openxmlformats.org/officeDocument/2006/relationships/hyperlink" Target="http://www.boxofficemojo.com/schedule/?view=bydate&amp;release=theatrical&amp;date=2017-03-17&amp;p=.htm" TargetMode="External"/><Relationship Id="rId958" Type="http://schemas.openxmlformats.org/officeDocument/2006/relationships/hyperlink" Target="http://www.boxofficemojo.com/movies/?id=stalker2017.htm" TargetMode="External"/><Relationship Id="rId959" Type="http://schemas.openxmlformats.org/officeDocument/2006/relationships/hyperlink" Target="http://www.boxofficemojo.com/studio/chart/?studio=janusfilms.htm" TargetMode="External"/><Relationship Id="rId1020" Type="http://schemas.openxmlformats.org/officeDocument/2006/relationships/hyperlink" Target="http://www.boxofficemojo.com/schedule/?view=bydate&amp;release=theatrical&amp;date=2017-01-06&amp;p=.htm" TargetMode="External"/><Relationship Id="rId1021" Type="http://schemas.openxmlformats.org/officeDocument/2006/relationships/hyperlink" Target="http://www.boxofficemojo.com/movies/?id=alliseeisyou.htm" TargetMode="External"/><Relationship Id="rId1022" Type="http://schemas.openxmlformats.org/officeDocument/2006/relationships/hyperlink" Target="http://www.boxofficemojo.com/studio/chart/?studio=openroads.htm" TargetMode="External"/><Relationship Id="rId1023" Type="http://schemas.openxmlformats.org/officeDocument/2006/relationships/hyperlink" Target="http://www.boxofficemojo.com/schedule/?view=bydate&amp;release=theatrical&amp;date=2017-10-27&amp;p=.htm" TargetMode="External"/><Relationship Id="rId1024" Type="http://schemas.openxmlformats.org/officeDocument/2006/relationships/hyperlink" Target="http://www.boxofficemojo.com/movies/?id=bombshell.htm" TargetMode="External"/><Relationship Id="rId1025" Type="http://schemas.openxmlformats.org/officeDocument/2006/relationships/hyperlink" Target="http://www.boxofficemojo.com/studio/chart/?studio=zeitgeist.htm" TargetMode="External"/><Relationship Id="rId1026" Type="http://schemas.openxmlformats.org/officeDocument/2006/relationships/hyperlink" Target="http://www.boxofficemojo.com/schedule/?view=bydate&amp;release=theatrical&amp;date=2017-11-24&amp;p=.htm" TargetMode="External"/><Relationship Id="rId1027" Type="http://schemas.openxmlformats.org/officeDocument/2006/relationships/hyperlink" Target="http://www.boxofficemojo.com/movies/?id=theadventurers.htm" TargetMode="External"/><Relationship Id="rId1028" Type="http://schemas.openxmlformats.org/officeDocument/2006/relationships/hyperlink" Target="http://www.boxofficemojo.com/studio/chart/?studio=wellgo.htm" TargetMode="External"/><Relationship Id="rId1029" Type="http://schemas.openxmlformats.org/officeDocument/2006/relationships/hyperlink" Target="http://www.boxofficemojo.com/schedule/?view=bydate&amp;release=theatrical&amp;date=2017-08-18&amp;p=.htm" TargetMode="External"/><Relationship Id="rId560" Type="http://schemas.openxmlformats.org/officeDocument/2006/relationships/hyperlink" Target="http://www.boxofficemojo.com/studio/chart/?studio=a24.htm" TargetMode="External"/><Relationship Id="rId561" Type="http://schemas.openxmlformats.org/officeDocument/2006/relationships/hyperlink" Target="http://www.boxofficemojo.com/schedule/?view=bydate&amp;release=theatrical&amp;date=2017-05-05&amp;p=.htm" TargetMode="External"/><Relationship Id="rId562" Type="http://schemas.openxmlformats.org/officeDocument/2006/relationships/hyperlink" Target="http://www.boxofficemojo.com/movies/?id=padrenotanpadre.htm" TargetMode="External"/><Relationship Id="rId563" Type="http://schemas.openxmlformats.org/officeDocument/2006/relationships/hyperlink" Target="http://www.boxofficemojo.com/studio/chart/?studio=pantelion.htm" TargetMode="External"/><Relationship Id="rId564" Type="http://schemas.openxmlformats.org/officeDocument/2006/relationships/hyperlink" Target="http://www.boxofficemojo.com/schedule/?view=bydate&amp;release=theatrical&amp;date=2017-01-27&amp;p=.htm" TargetMode="External"/><Relationship Id="rId565" Type="http://schemas.openxmlformats.org/officeDocument/2006/relationships/hyperlink" Target="http://www.boxofficemojo.com/movies/?id=bradsstatus.htm" TargetMode="External"/><Relationship Id="rId566" Type="http://schemas.openxmlformats.org/officeDocument/2006/relationships/hyperlink" Target="http://www.boxofficemojo.com/studio/chart/?studio=annapurna.htm" TargetMode="External"/><Relationship Id="rId567" Type="http://schemas.openxmlformats.org/officeDocument/2006/relationships/hyperlink" Target="http://www.boxofficemojo.com/schedule/?view=bydate&amp;release=theatrical&amp;date=2017-09-15&amp;p=.htm" TargetMode="External"/><Relationship Id="rId568" Type="http://schemas.openxmlformats.org/officeDocument/2006/relationships/hyperlink" Target="http://www.boxofficemojo.com/movies/?id=goodtime.htm" TargetMode="External"/><Relationship Id="rId569" Type="http://schemas.openxmlformats.org/officeDocument/2006/relationships/hyperlink" Target="http://www.boxofficemojo.com/studio/chart/?studio=a24.htm" TargetMode="External"/><Relationship Id="rId1804" Type="http://schemas.openxmlformats.org/officeDocument/2006/relationships/hyperlink" Target="http://www.boxofficemojo.com/schedule/?view=bydate&amp;release=theatrical&amp;date=2017-09-29&amp;p=.htm" TargetMode="External"/><Relationship Id="rId1805" Type="http://schemas.openxmlformats.org/officeDocument/2006/relationships/hyperlink" Target="http://www.boxofficemojo.com/movies/?id=ugetsu2017.htm" TargetMode="External"/><Relationship Id="rId1806" Type="http://schemas.openxmlformats.org/officeDocument/2006/relationships/hyperlink" Target="http://www.boxofficemojo.com/studio/chart/?studio=janusfilms.htm" TargetMode="External"/><Relationship Id="rId1807" Type="http://schemas.openxmlformats.org/officeDocument/2006/relationships/hyperlink" Target="http://www.boxofficemojo.com/schedule/?view=bydate&amp;release=theatrical&amp;date=2017-03-01&amp;p=.htm" TargetMode="External"/><Relationship Id="rId1808" Type="http://schemas.openxmlformats.org/officeDocument/2006/relationships/hyperlink" Target="http://www.boxofficemojo.com/movies/?id=sweetvirginia.htm" TargetMode="External"/><Relationship Id="rId1809" Type="http://schemas.openxmlformats.org/officeDocument/2006/relationships/hyperlink" Target="http://www.boxofficemojo.com/studio/chart/?studio=ifc.htm" TargetMode="External"/><Relationship Id="rId2100" Type="http://schemas.openxmlformats.org/officeDocument/2006/relationships/hyperlink" Target="http://www.boxofficemojo.com/studio/chart/?studio=oscilloscopepictures.htm" TargetMode="External"/><Relationship Id="rId2101" Type="http://schemas.openxmlformats.org/officeDocument/2006/relationships/hyperlink" Target="http://www.boxofficemojo.com/schedule/?view=bydate&amp;release=theatrical&amp;date=2017-07-19&amp;p=.htm" TargetMode="External"/><Relationship Id="rId2102" Type="http://schemas.openxmlformats.org/officeDocument/2006/relationships/hyperlink" Target="http://www.boxofficemojo.com/movies/?id=daughterofthenile2017.htm" TargetMode="External"/><Relationship Id="rId2103" Type="http://schemas.openxmlformats.org/officeDocument/2006/relationships/hyperlink" Target="http://www.boxofficemojo.com/studio/chart/?studio=cohenmedia.htm" TargetMode="External"/><Relationship Id="rId2104" Type="http://schemas.openxmlformats.org/officeDocument/2006/relationships/hyperlink" Target="http://www.boxofficemojo.com/schedule/?view=bydate&amp;release=theatrical&amp;date=2017-10-27&amp;p=.htm" TargetMode="External"/><Relationship Id="rId2105" Type="http://schemas.openxmlformats.org/officeDocument/2006/relationships/hyperlink" Target="http://www.boxofficemojo.com/movies/?id=takeme.htm" TargetMode="External"/><Relationship Id="rId2106" Type="http://schemas.openxmlformats.org/officeDocument/2006/relationships/hyperlink" Target="http://www.boxofficemojo.com/studio/chart/?studio=orchard.htm" TargetMode="External"/><Relationship Id="rId2107" Type="http://schemas.openxmlformats.org/officeDocument/2006/relationships/hyperlink" Target="http://www.boxofficemojo.com/schedule/?view=bydate&amp;release=theatrical&amp;date=2017-05-05&amp;p=.htm" TargetMode="External"/><Relationship Id="rId2108" Type="http://schemas.openxmlformats.org/officeDocument/2006/relationships/hyperlink" Target="http://www.boxofficemojo.com/movies/?id=apprentice.htm" TargetMode="External"/><Relationship Id="rId2109" Type="http://schemas.openxmlformats.org/officeDocument/2006/relationships/hyperlink" Target="http://www.boxofficemojo.com/studio/chart/?studio=filmmovement.htm" TargetMode="External"/><Relationship Id="rId1810" Type="http://schemas.openxmlformats.org/officeDocument/2006/relationships/hyperlink" Target="http://www.boxofficemojo.com/schedule/?view=bydate&amp;release=theatrical&amp;date=2017-11-17&amp;p=.htm" TargetMode="External"/><Relationship Id="rId1811" Type="http://schemas.openxmlformats.org/officeDocument/2006/relationships/hyperlink" Target="http://www.boxofficemojo.com/movies/?id=challenge2017.htm" TargetMode="External"/><Relationship Id="rId1812" Type="http://schemas.openxmlformats.org/officeDocument/2006/relationships/hyperlink" Target="http://www.boxofficemojo.com/studio/chart/?studio=kinolorber.htm" TargetMode="External"/><Relationship Id="rId1813" Type="http://schemas.openxmlformats.org/officeDocument/2006/relationships/hyperlink" Target="http://www.boxofficemojo.com/schedule/?view=bydate&amp;release=theatrical&amp;date=2017-09-08&amp;p=.htm" TargetMode="External"/><Relationship Id="rId1420" Type="http://schemas.openxmlformats.org/officeDocument/2006/relationships/hyperlink" Target="http://www.boxofficemojo.com/movies/?id=awomanslife.htm" TargetMode="External"/><Relationship Id="rId1421" Type="http://schemas.openxmlformats.org/officeDocument/2006/relationships/hyperlink" Target="http://www.boxofficemojo.com/studio/chart/?studio=kinolorber.htm" TargetMode="External"/><Relationship Id="rId1422" Type="http://schemas.openxmlformats.org/officeDocument/2006/relationships/hyperlink" Target="http://www.boxofficemojo.com/schedule/?view=bydate&amp;release=theatrical&amp;date=2017-05-05&amp;p=.htm" TargetMode="External"/><Relationship Id="rId1423" Type="http://schemas.openxmlformats.org/officeDocument/2006/relationships/hyperlink" Target="http://www.boxofficemojo.com/movies/?id=schoollife.htm" TargetMode="External"/><Relationship Id="rId1424" Type="http://schemas.openxmlformats.org/officeDocument/2006/relationships/hyperlink" Target="http://www.boxofficemojo.com/studio/chart/?studio=magnolia.htm" TargetMode="External"/><Relationship Id="rId1425" Type="http://schemas.openxmlformats.org/officeDocument/2006/relationships/hyperlink" Target="http://www.boxofficemojo.com/schedule/?view=bydate&amp;release=theatrical&amp;date=2017-09-08&amp;p=.htm" TargetMode="External"/><Relationship Id="rId1426" Type="http://schemas.openxmlformats.org/officeDocument/2006/relationships/hyperlink" Target="http://www.boxofficemojo.com/movies/?id=heartblackened.htm" TargetMode="External"/><Relationship Id="rId1427" Type="http://schemas.openxmlformats.org/officeDocument/2006/relationships/hyperlink" Target="http://www.boxofficemojo.com/studio/chart/?studio=cjentertainment.htm" TargetMode="External"/><Relationship Id="rId1428" Type="http://schemas.openxmlformats.org/officeDocument/2006/relationships/hyperlink" Target="http://www.boxofficemojo.com/schedule/?view=bydate&amp;release=theatrical&amp;date=2017-11-10&amp;p=.htm" TargetMode="External"/><Relationship Id="rId1429" Type="http://schemas.openxmlformats.org/officeDocument/2006/relationships/hyperlink" Target="http://www.boxofficemojo.com/movies/?id=growingupsmith.htm" TargetMode="External"/><Relationship Id="rId960" Type="http://schemas.openxmlformats.org/officeDocument/2006/relationships/hyperlink" Target="http://www.boxofficemojo.com/schedule/?view=bydate&amp;release=theatrical&amp;date=2017-05-05&amp;p=.htm" TargetMode="External"/><Relationship Id="rId961" Type="http://schemas.openxmlformats.org/officeDocument/2006/relationships/hyperlink" Target="http://www.boxofficemojo.com/movies/?id=1945.htm" TargetMode="External"/><Relationship Id="rId962" Type="http://schemas.openxmlformats.org/officeDocument/2006/relationships/hyperlink" Target="http://www.boxofficemojo.com/studio/chart/?studio=menemsha.htm" TargetMode="External"/><Relationship Id="rId963" Type="http://schemas.openxmlformats.org/officeDocument/2006/relationships/hyperlink" Target="http://www.boxofficemojo.com/schedule/?view=bydate&amp;release=theatrical&amp;date=2017-11-01&amp;p=.htm" TargetMode="External"/><Relationship Id="rId964" Type="http://schemas.openxmlformats.org/officeDocument/2006/relationships/hyperlink" Target="http://www.boxofficemojo.com/movies/?id=wakefield.htm" TargetMode="External"/><Relationship Id="rId965" Type="http://schemas.openxmlformats.org/officeDocument/2006/relationships/hyperlink" Target="http://www.boxofficemojo.com/studio/chart/?studio=ifc.htm" TargetMode="External"/><Relationship Id="rId180" Type="http://schemas.openxmlformats.org/officeDocument/2006/relationships/hyperlink" Target="http://www.boxofficemojo.com/schedule/?view=bydate&amp;release=theatrical&amp;date=2017-06-16&amp;p=.htm" TargetMode="External"/><Relationship Id="rId181" Type="http://schemas.openxmlformats.org/officeDocument/2006/relationships/hyperlink" Target="http://www.boxofficemojo.com/movies/?id=thebigsick.htm" TargetMode="External"/><Relationship Id="rId182" Type="http://schemas.openxmlformats.org/officeDocument/2006/relationships/hyperlink" Target="http://www.boxofficemojo.com/studio/chart/?studio=lionsgate.htm" TargetMode="External"/><Relationship Id="rId183" Type="http://schemas.openxmlformats.org/officeDocument/2006/relationships/hyperlink" Target="http://www.boxofficemojo.com/schedule/?view=bydate&amp;release=theatrical&amp;date=2017-06-23&amp;p=.htm" TargetMode="External"/><Relationship Id="rId184" Type="http://schemas.openxmlformats.org/officeDocument/2006/relationships/hyperlink" Target="http://www.boxofficemojo.com/movies/?id=valerian.htm" TargetMode="External"/><Relationship Id="rId185" Type="http://schemas.openxmlformats.org/officeDocument/2006/relationships/hyperlink" Target="http://www.boxofficemojo.com/studio/chart/?studio=stx.htm" TargetMode="External"/><Relationship Id="rId186" Type="http://schemas.openxmlformats.org/officeDocument/2006/relationships/hyperlink" Target="http://www.boxofficemojo.com/schedule/?view=bydate&amp;release=theatrical&amp;date=2017-07-21&amp;p=.htm" TargetMode="External"/><Relationship Id="rId187" Type="http://schemas.openxmlformats.org/officeDocument/2006/relationships/hyperlink" Target="http://www.boxofficemojo.com/movies/?id=darkesthour2017.htm" TargetMode="External"/><Relationship Id="rId188" Type="http://schemas.openxmlformats.org/officeDocument/2006/relationships/hyperlink" Target="http://www.boxofficemojo.com/studio/chart/?studio=focus.htm" TargetMode="External"/><Relationship Id="rId189" Type="http://schemas.openxmlformats.org/officeDocument/2006/relationships/hyperlink" Target="http://www.boxofficemojo.com/schedule/?view=bydate&amp;release=theatrical&amp;date=2017-11-22&amp;p=.htm" TargetMode="External"/><Relationship Id="rId966" Type="http://schemas.openxmlformats.org/officeDocument/2006/relationships/hyperlink" Target="http://www.boxofficemojo.com/schedule/?view=bydate&amp;release=theatrical&amp;date=2017-05-19&amp;p=.htm" TargetMode="External"/><Relationship Id="rId967" Type="http://schemas.openxmlformats.org/officeDocument/2006/relationships/hyperlink" Target="http://www.boxofficemojo.com/movies/?id=i,danielblake.htm" TargetMode="External"/><Relationship Id="rId968" Type="http://schemas.openxmlformats.org/officeDocument/2006/relationships/hyperlink" Target="http://www.boxofficemojo.com/studio/chart/?studio=ifc.htm" TargetMode="External"/><Relationship Id="rId969" Type="http://schemas.openxmlformats.org/officeDocument/2006/relationships/hyperlink" Target="http://www.boxofficemojo.com/schedule/?view=bydate&amp;release=theatrical&amp;date=2017-06-02&amp;p=.htm" TargetMode="External"/><Relationship Id="rId1030" Type="http://schemas.openxmlformats.org/officeDocument/2006/relationships/hyperlink" Target="http://www.boxofficemojo.com/movies/?id=truman.htm" TargetMode="External"/><Relationship Id="rId1031" Type="http://schemas.openxmlformats.org/officeDocument/2006/relationships/hyperlink" Target="http://www.boxofficemojo.com/studio/chart/?studio=filmrise.htm" TargetMode="External"/><Relationship Id="rId1032" Type="http://schemas.openxmlformats.org/officeDocument/2006/relationships/hyperlink" Target="http://www.boxofficemojo.com/schedule/?view=bydate&amp;release=theatrical&amp;date=2017-04-07&amp;p=.htm" TargetMode="External"/><Relationship Id="rId1033" Type="http://schemas.openxmlformats.org/officeDocument/2006/relationships/hyperlink" Target="http://www.boxofficemojo.com/movies/?id=donniedarko2017.htm" TargetMode="External"/><Relationship Id="rId1034" Type="http://schemas.openxmlformats.org/officeDocument/2006/relationships/hyperlink" Target="http://www.boxofficemojo.com/studio/chart/?studio=arrowfilms.htm" TargetMode="External"/><Relationship Id="rId1035" Type="http://schemas.openxmlformats.org/officeDocument/2006/relationships/hyperlink" Target="http://www.boxofficemojo.com/schedule/?view=bydate&amp;release=theatrical&amp;date=2017-03-31&amp;p=.htm" TargetMode="External"/><Relationship Id="rId1036" Type="http://schemas.openxmlformats.org/officeDocument/2006/relationships/hyperlink" Target="http://www.boxofficemojo.com/movies/?id=theprison.htm" TargetMode="External"/><Relationship Id="rId1037" Type="http://schemas.openxmlformats.org/officeDocument/2006/relationships/hyperlink" Target="http://www.boxofficemojo.com/studio/chart/?studio=wellgo.htm" TargetMode="External"/><Relationship Id="rId1038" Type="http://schemas.openxmlformats.org/officeDocument/2006/relationships/hyperlink" Target="http://www.boxofficemojo.com/schedule/?view=bydate&amp;release=theatrical&amp;date=2017-03-31&amp;p=.htm" TargetMode="External"/><Relationship Id="rId1039" Type="http://schemas.openxmlformats.org/officeDocument/2006/relationships/hyperlink" Target="http://www.boxofficemojo.com/movies/?id=risk.htm" TargetMode="External"/><Relationship Id="rId570" Type="http://schemas.openxmlformats.org/officeDocument/2006/relationships/hyperlink" Target="http://www.boxofficemojo.com/schedule/?view=bydate&amp;release=theatrical&amp;date=2017-08-11&amp;p=.htm" TargetMode="External"/><Relationship Id="rId571" Type="http://schemas.openxmlformats.org/officeDocument/2006/relationships/hyperlink" Target="http://www.boxofficemojo.com/movies/?id=badrinathkidulhania.htm" TargetMode="External"/><Relationship Id="rId572" Type="http://schemas.openxmlformats.org/officeDocument/2006/relationships/hyperlink" Target="http://www.boxofficemojo.com/studio/chart/?studio=fip.htm" TargetMode="External"/><Relationship Id="rId573" Type="http://schemas.openxmlformats.org/officeDocument/2006/relationships/hyperlink" Target="http://www.boxofficemojo.com/schedule/?view=bydate&amp;release=theatrical&amp;date=2017-03-10&amp;p=.htm" TargetMode="External"/><Relationship Id="rId574" Type="http://schemas.openxmlformats.org/officeDocument/2006/relationships/hyperlink" Target="http://www.boxofficemojo.com/movies/?id=everybodylovessomebody.htm" TargetMode="External"/><Relationship Id="rId575" Type="http://schemas.openxmlformats.org/officeDocument/2006/relationships/hyperlink" Target="http://www.boxofficemojo.com/studio/chart/?studio=pantelion.htm" TargetMode="External"/><Relationship Id="rId576" Type="http://schemas.openxmlformats.org/officeDocument/2006/relationships/hyperlink" Target="http://www.boxofficemojo.com/schedule/?view=bydate&amp;release=theatrical&amp;date=2017-02-17&amp;p=.htm" TargetMode="External"/><Relationship Id="rId577" Type="http://schemas.openxmlformats.org/officeDocument/2006/relationships/hyperlink" Target="http://www.boxofficemojo.com/movies/?id=youth2017.htm" TargetMode="External"/><Relationship Id="rId578" Type="http://schemas.openxmlformats.org/officeDocument/2006/relationships/hyperlink" Target="http://www.boxofficemojo.com/studio/chart/?studio=chinalion.htm" TargetMode="External"/><Relationship Id="rId579" Type="http://schemas.openxmlformats.org/officeDocument/2006/relationships/hyperlink" Target="http://www.boxofficemojo.com/schedule/?view=bydate&amp;release=theatrical&amp;date=2017-12-15&amp;p=.htm" TargetMode="External"/><Relationship Id="rId1814" Type="http://schemas.openxmlformats.org/officeDocument/2006/relationships/hyperlink" Target="http://www.boxofficemojo.com/movies/?id=lovesong.htm" TargetMode="External"/><Relationship Id="rId1815" Type="http://schemas.openxmlformats.org/officeDocument/2006/relationships/hyperlink" Target="http://www.boxofficemojo.com/studio/chart/?studio=strand.htm" TargetMode="External"/><Relationship Id="rId1816" Type="http://schemas.openxmlformats.org/officeDocument/2006/relationships/hyperlink" Target="http://www.boxofficemojo.com/schedule/?view=bydate&amp;release=theatrical&amp;date=2017-02-17&amp;p=.htm" TargetMode="External"/><Relationship Id="rId1817" Type="http://schemas.openxmlformats.org/officeDocument/2006/relationships/hyperlink" Target="http://www.boxofficemojo.com/movies/?id=clarence2017.htm" TargetMode="External"/><Relationship Id="rId1818" Type="http://schemas.openxmlformats.org/officeDocument/2006/relationships/hyperlink" Target="http://www.boxofficemojo.com/studio/chart/?studio=indican.htm" TargetMode="External"/><Relationship Id="rId1819" Type="http://schemas.openxmlformats.org/officeDocument/2006/relationships/hyperlink" Target="http://www.boxofficemojo.com/schedule/?view=bydate&amp;release=theatrical&amp;date=2017-09-01&amp;p=.htm" TargetMode="External"/><Relationship Id="rId2110" Type="http://schemas.openxmlformats.org/officeDocument/2006/relationships/hyperlink" Target="http://www.boxofficemojo.com/schedule/?view=bydate&amp;release=theatrical&amp;date=2017-03-03&amp;p=.htm" TargetMode="External"/><Relationship Id="rId2111" Type="http://schemas.openxmlformats.org/officeDocument/2006/relationships/hyperlink" Target="http://www.boxofficemojo.com/movies/?id=miles.htm" TargetMode="External"/><Relationship Id="rId2112" Type="http://schemas.openxmlformats.org/officeDocument/2006/relationships/hyperlink" Target="http://www.boxofficemojo.com/studio/chart/?studio=fs.htm" TargetMode="External"/><Relationship Id="rId2113" Type="http://schemas.openxmlformats.org/officeDocument/2006/relationships/hyperlink" Target="http://www.boxofficemojo.com/schedule/?view=bydate&amp;release=theatrical&amp;date=2017-06-09&amp;p=.htm" TargetMode="External"/><Relationship Id="rId2114" Type="http://schemas.openxmlformats.org/officeDocument/2006/relationships/hyperlink" Target="http://www.boxofficemojo.com/movies/?id=misskietschildren.htm" TargetMode="External"/><Relationship Id="rId2115" Type="http://schemas.openxmlformats.org/officeDocument/2006/relationships/hyperlink" Target="http://www.boxofficemojo.com/studio/chart/?studio=icarus.htm" TargetMode="External"/><Relationship Id="rId2116" Type="http://schemas.openxmlformats.org/officeDocument/2006/relationships/hyperlink" Target="http://www.boxofficemojo.com/schedule/?view=bydate&amp;release=theatrical&amp;date=2017-12-13&amp;p=.htm" TargetMode="External"/><Relationship Id="rId2117" Type="http://schemas.openxmlformats.org/officeDocument/2006/relationships/hyperlink" Target="http://www.boxofficemojo.com/movies/?id=redchristmas.htm" TargetMode="External"/><Relationship Id="rId2118" Type="http://schemas.openxmlformats.org/officeDocument/2006/relationships/hyperlink" Target="http://www.boxofficemojo.com/studio/chart/?studio=" TargetMode="External"/><Relationship Id="rId2119" Type="http://schemas.openxmlformats.org/officeDocument/2006/relationships/hyperlink" Target="http://www.boxofficemojo.com/schedule/?view=bydate&amp;release=theatrical&amp;date=2017-08-25&amp;p=.htm" TargetMode="External"/><Relationship Id="rId1820" Type="http://schemas.openxmlformats.org/officeDocument/2006/relationships/hyperlink" Target="http://www.boxofficemojo.com/movies/?id=paintedwoman.htm" TargetMode="External"/><Relationship Id="rId1821" Type="http://schemas.openxmlformats.org/officeDocument/2006/relationships/hyperlink" Target="http://www.boxofficemojo.com/studio/chart/?studio=amormedia.htm" TargetMode="External"/><Relationship Id="rId1822" Type="http://schemas.openxmlformats.org/officeDocument/2006/relationships/hyperlink" Target="http://www.boxofficemojo.com/schedule/?view=bydate&amp;release=theatrical&amp;date=2017-11-10&amp;p=.htm" TargetMode="External"/><Relationship Id="rId1823" Type="http://schemas.openxmlformats.org/officeDocument/2006/relationships/hyperlink" Target="http://www.boxofficemojo.com/movies/?id=amelia2.htm" TargetMode="External"/><Relationship Id="rId1430" Type="http://schemas.openxmlformats.org/officeDocument/2006/relationships/hyperlink" Target="http://www.boxofficemojo.com/studio/chart/?studio=gooddeed.htm" TargetMode="External"/><Relationship Id="rId1431" Type="http://schemas.openxmlformats.org/officeDocument/2006/relationships/hyperlink" Target="http://www.boxofficemojo.com/schedule/?view=bydate&amp;release=theatrical&amp;date=2017-02-03&amp;p=.htm" TargetMode="External"/><Relationship Id="rId1432" Type="http://schemas.openxmlformats.org/officeDocument/2006/relationships/hyperlink" Target="http://www.boxofficemojo.com/movies/?id=ratfilm.htm" TargetMode="External"/><Relationship Id="rId1433" Type="http://schemas.openxmlformats.org/officeDocument/2006/relationships/hyperlink" Target="http://www.boxofficemojo.com/studio/chart/?studio=cinemaguild.htm" TargetMode="External"/><Relationship Id="rId1434" Type="http://schemas.openxmlformats.org/officeDocument/2006/relationships/hyperlink" Target="http://www.boxofficemojo.com/schedule/?view=bydate&amp;release=theatrical&amp;date=2017-09-15&amp;p=.htm" TargetMode="External"/><Relationship Id="rId1435" Type="http://schemas.openxmlformats.org/officeDocument/2006/relationships/hyperlink" Target="http://www.boxofficemojo.com/movies/?id=sophieandtherisingsun.htm" TargetMode="External"/><Relationship Id="rId1436" Type="http://schemas.openxmlformats.org/officeDocument/2006/relationships/hyperlink" Target="http://www.boxofficemojo.com/studio/chart/?studio=montereymediainc.htm" TargetMode="External"/><Relationship Id="rId1437" Type="http://schemas.openxmlformats.org/officeDocument/2006/relationships/hyperlink" Target="http://www.boxofficemojo.com/schedule/?view=bydate&amp;release=theatrical&amp;date=2017-01-20&amp;p=.htm" TargetMode="External"/><Relationship Id="rId1438" Type="http://schemas.openxmlformats.org/officeDocument/2006/relationships/hyperlink" Target="http://www.boxofficemojo.com/movies/?id=letrou(2017re-release).htm" TargetMode="External"/><Relationship Id="rId1439" Type="http://schemas.openxmlformats.org/officeDocument/2006/relationships/hyperlink" Target="http://www.boxofficemojo.com/studio/chart/?studio=rialto.htm" TargetMode="External"/><Relationship Id="rId970" Type="http://schemas.openxmlformats.org/officeDocument/2006/relationships/hyperlink" Target="http://www.boxofficemojo.com/movies/?id=cezanneetmoi.htm" TargetMode="External"/><Relationship Id="rId971" Type="http://schemas.openxmlformats.org/officeDocument/2006/relationships/hyperlink" Target="http://www.boxofficemojo.com/studio/chart/?studio=magnolia.htm" TargetMode="External"/><Relationship Id="rId972" Type="http://schemas.openxmlformats.org/officeDocument/2006/relationships/hyperlink" Target="http://www.boxofficemojo.com/schedule/?view=bydate&amp;release=theatrical&amp;date=2017-03-31&amp;p=.htm" TargetMode="External"/><Relationship Id="rId973" Type="http://schemas.openxmlformats.org/officeDocument/2006/relationships/hyperlink" Target="http://www.boxofficemojo.com/movies/?id=dean.htm" TargetMode="External"/><Relationship Id="rId974" Type="http://schemas.openxmlformats.org/officeDocument/2006/relationships/hyperlink" Target="http://www.boxofficemojo.com/studio/chart/?studio=cbsfilms.htm" TargetMode="External"/><Relationship Id="rId975" Type="http://schemas.openxmlformats.org/officeDocument/2006/relationships/hyperlink" Target="http://www.boxofficemojo.com/schedule/?view=bydate&amp;release=theatrical&amp;date=2017-06-02&amp;p=.htm" TargetMode="External"/><Relationship Id="rId190" Type="http://schemas.openxmlformats.org/officeDocument/2006/relationships/hyperlink" Target="http://www.boxofficemojo.com/movies/?id=thelamb.htm" TargetMode="External"/><Relationship Id="rId191" Type="http://schemas.openxmlformats.org/officeDocument/2006/relationships/hyperlink" Target="http://www.boxofficemojo.com/studio/chart/?studio=sony.htm" TargetMode="External"/><Relationship Id="rId192" Type="http://schemas.openxmlformats.org/officeDocument/2006/relationships/hyperlink" Target="http://www.boxofficemojo.com/schedule/?view=bydate&amp;release=theatrical&amp;date=2017-11-17&amp;p=.htm" TargetMode="External"/><Relationship Id="rId193" Type="http://schemas.openxmlformats.org/officeDocument/2006/relationships/hyperlink" Target="http://www.boxofficemojo.com/movies/?id=ghostintheshell2017.htm" TargetMode="External"/><Relationship Id="rId194" Type="http://schemas.openxmlformats.org/officeDocument/2006/relationships/hyperlink" Target="http://www.boxofficemojo.com/studio/chart/?studio=paramount.htm" TargetMode="External"/><Relationship Id="rId195" Type="http://schemas.openxmlformats.org/officeDocument/2006/relationships/hyperlink" Target="http://www.boxofficemojo.com/schedule/?view=bydate&amp;release=theatrical&amp;date=2017-03-31&amp;p=.htm" TargetMode="External"/><Relationship Id="rId196" Type="http://schemas.openxmlformats.org/officeDocument/2006/relationships/hyperlink" Target="http://www.boxofficemojo.com/movies/?id=kingarthur2016.htm" TargetMode="External"/><Relationship Id="rId197" Type="http://schemas.openxmlformats.org/officeDocument/2006/relationships/hyperlink" Target="http://www.boxofficemojo.com/studio/chart/?studio=warnerbros.htm" TargetMode="External"/><Relationship Id="rId198" Type="http://schemas.openxmlformats.org/officeDocument/2006/relationships/hyperlink" Target="http://www.boxofficemojo.com/schedule/?view=bydate&amp;release=theatrical&amp;date=2017-05-12&amp;p=.htm" TargetMode="External"/><Relationship Id="rId199" Type="http://schemas.openxmlformats.org/officeDocument/2006/relationships/hyperlink" Target="http://www.boxofficemojo.com/movies/?id=ladybird.htm" TargetMode="External"/><Relationship Id="rId976" Type="http://schemas.openxmlformats.org/officeDocument/2006/relationships/hyperlink" Target="http://www.boxofficemojo.com/movies/?id=thefortress.htm" TargetMode="External"/><Relationship Id="rId977" Type="http://schemas.openxmlformats.org/officeDocument/2006/relationships/hyperlink" Target="http://www.boxofficemojo.com/studio/chart/?studio=cjentertainment.htm" TargetMode="External"/><Relationship Id="rId978" Type="http://schemas.openxmlformats.org/officeDocument/2006/relationships/hyperlink" Target="http://www.boxofficemojo.com/schedule/?view=bydate&amp;release=theatrical&amp;date=2017-10-06&amp;p=.htm" TargetMode="External"/><Relationship Id="rId979" Type="http://schemas.openxmlformats.org/officeDocument/2006/relationships/hyperlink" Target="http://www.boxofficemojo.com/movies/?id=gook.htm" TargetMode="External"/><Relationship Id="rId1040" Type="http://schemas.openxmlformats.org/officeDocument/2006/relationships/hyperlink" Target="http://www.boxofficemojo.com/studio/chart/?studio=neon.htm" TargetMode="External"/><Relationship Id="rId1041" Type="http://schemas.openxmlformats.org/officeDocument/2006/relationships/hyperlink" Target="http://www.boxofficemojo.com/schedule/?view=bydate&amp;release=theatrical&amp;date=2017-05-05&amp;p=.htm" TargetMode="External"/><Relationship Id="rId1042" Type="http://schemas.openxmlformats.org/officeDocument/2006/relationships/hyperlink" Target="http://www.boxofficemojo.com/movies/?id=spark17.htm" TargetMode="External"/><Relationship Id="rId1043" Type="http://schemas.openxmlformats.org/officeDocument/2006/relationships/hyperlink" Target="http://www.boxofficemojo.com/studio/chart/?studio=openroads.htm" TargetMode="External"/><Relationship Id="rId1044" Type="http://schemas.openxmlformats.org/officeDocument/2006/relationships/hyperlink" Target="http://www.boxofficemojo.com/schedule/?view=bydate&amp;release=theatrical&amp;date=2017-04-14&amp;p=.htm" TargetMode="External"/><Relationship Id="rId1045" Type="http://schemas.openxmlformats.org/officeDocument/2006/relationships/hyperlink" Target="http://www.boxofficemojo.com/movies/?id=filmstarsdontdieinliverpool.htm" TargetMode="External"/><Relationship Id="rId1046" Type="http://schemas.openxmlformats.org/officeDocument/2006/relationships/hyperlink" Target="http://www.boxofficemojo.com/studio/chart/?studio=sonyclassics.htm" TargetMode="External"/><Relationship Id="rId1047" Type="http://schemas.openxmlformats.org/officeDocument/2006/relationships/hyperlink" Target="http://www.boxofficemojo.com/schedule/?view=bydate&amp;release=theatrical&amp;date=2017-12-29&amp;p=.htm" TargetMode="External"/><Relationship Id="rId1048" Type="http://schemas.openxmlformats.org/officeDocument/2006/relationships/hyperlink" Target="http://www.boxofficemojo.com/movies/?id=whosestreets?.htm" TargetMode="External"/><Relationship Id="rId1049" Type="http://schemas.openxmlformats.org/officeDocument/2006/relationships/hyperlink" Target="http://www.boxofficemojo.com/studio/chart/?studio=magnolia.htm" TargetMode="External"/><Relationship Id="rId580" Type="http://schemas.openxmlformats.org/officeDocument/2006/relationships/hyperlink" Target="http://www.boxofficemojo.com/movies/?id=aquietpassion.htm" TargetMode="External"/><Relationship Id="rId581" Type="http://schemas.openxmlformats.org/officeDocument/2006/relationships/hyperlink" Target="http://www.boxofficemojo.com/studio/chart/?studio=musicboxfilms.htm" TargetMode="External"/><Relationship Id="rId582" Type="http://schemas.openxmlformats.org/officeDocument/2006/relationships/hyperlink" Target="http://www.boxofficemojo.com/schedule/?view=bydate&amp;release=theatrical&amp;date=2017-04-14&amp;p=.htm" TargetMode="External"/><Relationship Id="rId583" Type="http://schemas.openxmlformats.org/officeDocument/2006/relationships/hyperlink" Target="http://www.boxofficemojo.com/movies/?id=toiletekpremkatha.htm" TargetMode="External"/><Relationship Id="rId584" Type="http://schemas.openxmlformats.org/officeDocument/2006/relationships/hyperlink" Target="http://www.boxofficemojo.com/studio/chart/?studio=reliancebigpictures.htm" TargetMode="External"/><Relationship Id="rId585" Type="http://schemas.openxmlformats.org/officeDocument/2006/relationships/hyperlink" Target="http://www.boxofficemojo.com/schedule/?view=bydate&amp;release=theatrical&amp;date=2017-08-11&amp;p=.htm" TargetMode="External"/><Relationship Id="rId586" Type="http://schemas.openxmlformats.org/officeDocument/2006/relationships/hyperlink" Target="http://www.boxofficemojo.com/movies/?id=thewall2016.htm" TargetMode="External"/><Relationship Id="rId587" Type="http://schemas.openxmlformats.org/officeDocument/2006/relationships/hyperlink" Target="http://www.boxofficemojo.com/studio/chart/?studio=roadsideattractions.htm" TargetMode="External"/><Relationship Id="rId588" Type="http://schemas.openxmlformats.org/officeDocument/2006/relationships/hyperlink" Target="http://www.boxofficemojo.com/schedule/?view=bydate&amp;release=theatrical&amp;date=2017-05-12&amp;p=.htm" TargetMode="External"/><Relationship Id="rId589" Type="http://schemas.openxmlformats.org/officeDocument/2006/relationships/hyperlink" Target="http://www.boxofficemojo.com/movies/?id=freefire.htm" TargetMode="External"/><Relationship Id="rId1824" Type="http://schemas.openxmlformats.org/officeDocument/2006/relationships/hyperlink" Target="http://www.boxofficemojo.com/studio/chart/?studio=tricoast.htm" TargetMode="External"/><Relationship Id="rId1825" Type="http://schemas.openxmlformats.org/officeDocument/2006/relationships/hyperlink" Target="http://www.boxofficemojo.com/schedule/?view=bydate&amp;release=theatrical&amp;date=2017-08-04&amp;p=.htm" TargetMode="External"/><Relationship Id="rId1826" Type="http://schemas.openxmlformats.org/officeDocument/2006/relationships/hyperlink" Target="http://www.boxofficemojo.com/movies/?id=sunshinemakers.htm" TargetMode="External"/><Relationship Id="rId1827" Type="http://schemas.openxmlformats.org/officeDocument/2006/relationships/hyperlink" Target="http://www.boxofficemojo.com/studio/chart/?studio=filmrise.htm" TargetMode="External"/><Relationship Id="rId1828" Type="http://schemas.openxmlformats.org/officeDocument/2006/relationships/hyperlink" Target="http://www.boxofficemojo.com/schedule/?view=bydate&amp;release=theatrical&amp;date=2017-01-20&amp;p=.htm" TargetMode="External"/><Relationship Id="rId1829" Type="http://schemas.openxmlformats.org/officeDocument/2006/relationships/hyperlink" Target="http://www.boxofficemojo.com/movies/?id=pelletheconqueror2017.htm" TargetMode="External"/><Relationship Id="rId2120" Type="http://schemas.openxmlformats.org/officeDocument/2006/relationships/hyperlink" Target="http://www.boxofficemojo.com/movies/?id=behindthewhiteglasses.htm" TargetMode="External"/><Relationship Id="rId2121" Type="http://schemas.openxmlformats.org/officeDocument/2006/relationships/hyperlink" Target="http://www.boxofficemojo.com/studio/chart/?studio=kinolorber.htm" TargetMode="External"/><Relationship Id="rId2122" Type="http://schemas.openxmlformats.org/officeDocument/2006/relationships/hyperlink" Target="http://www.boxofficemojo.com/schedule/?view=bydate&amp;release=theatrical&amp;date=2017-04-21&amp;p=.htm" TargetMode="External"/><Relationship Id="rId2123" Type="http://schemas.openxmlformats.org/officeDocument/2006/relationships/hyperlink" Target="http://www.boxofficemojo.com/movies/?id=7frometheria.htm" TargetMode="External"/><Relationship Id="rId2124" Type="http://schemas.openxmlformats.org/officeDocument/2006/relationships/hyperlink" Target="http://www.boxofficemojo.com/studio/chart/?studio=paradedeck.htm" TargetMode="External"/><Relationship Id="rId2125" Type="http://schemas.openxmlformats.org/officeDocument/2006/relationships/hyperlink" Target="http://www.boxofficemojo.com/schedule/?view=bydate&amp;release=theatrical&amp;date=2017-07-07&amp;p=.htm" TargetMode="External"/><Relationship Id="rId2126" Type="http://schemas.openxmlformats.org/officeDocument/2006/relationships/hyperlink" Target="http://www.boxofficemojo.com/movies/?id=dayveon.htm" TargetMode="External"/><Relationship Id="rId2127" Type="http://schemas.openxmlformats.org/officeDocument/2006/relationships/hyperlink" Target="http://www.boxofficemojo.com/studio/chart/?studio=filmrise.htm" TargetMode="External"/><Relationship Id="rId2128" Type="http://schemas.openxmlformats.org/officeDocument/2006/relationships/hyperlink" Target="http://www.boxofficemojo.com/schedule/?view=bydate&amp;release=theatrical&amp;date=2017-09-13&amp;p=.htm" TargetMode="External"/><Relationship Id="rId2129" Type="http://schemas.openxmlformats.org/officeDocument/2006/relationships/hyperlink" Target="http://www.boxofficemojo.com/movies/?id=theghoul.htm" TargetMode="External"/><Relationship Id="rId1830" Type="http://schemas.openxmlformats.org/officeDocument/2006/relationships/hyperlink" Target="http://www.boxofficemojo.com/studio/chart/?studio=filmmovement.htm" TargetMode="External"/><Relationship Id="rId1831" Type="http://schemas.openxmlformats.org/officeDocument/2006/relationships/hyperlink" Target="http://www.boxofficemojo.com/schedule/?view=bydate&amp;release=theatrical&amp;date=2017-02-24&amp;p=.htm" TargetMode="External"/><Relationship Id="rId1832" Type="http://schemas.openxmlformats.org/officeDocument/2006/relationships/hyperlink" Target="http://www.boxofficemojo.com/movies/?id=machines.htm" TargetMode="External"/><Relationship Id="rId1833" Type="http://schemas.openxmlformats.org/officeDocument/2006/relationships/hyperlink" Target="http://www.boxofficemojo.com/studio/chart/?studio=kinolorber.htm" TargetMode="External"/><Relationship Id="rId1440" Type="http://schemas.openxmlformats.org/officeDocument/2006/relationships/hyperlink" Target="http://www.boxofficemojo.com/schedule/?view=bydate&amp;release=theatrical&amp;date=2017-06-28&amp;p=.htm" TargetMode="External"/><Relationship Id="rId1441" Type="http://schemas.openxmlformats.org/officeDocument/2006/relationships/hyperlink" Target="http://www.boxofficemojo.com/movies/?id=davemadeamaze.htm" TargetMode="External"/><Relationship Id="rId1442" Type="http://schemas.openxmlformats.org/officeDocument/2006/relationships/hyperlink" Target="http://www.boxofficemojo.com/studio/chart/?studio=gravitas.htm" TargetMode="External"/><Relationship Id="rId1443" Type="http://schemas.openxmlformats.org/officeDocument/2006/relationships/hyperlink" Target="http://www.boxofficemojo.com/schedule/?view=bydate&amp;release=theatrical&amp;date=2017-08-18&amp;p=.htm" TargetMode="External"/><Relationship Id="rId1444" Type="http://schemas.openxmlformats.org/officeDocument/2006/relationships/hyperlink" Target="http://www.boxofficemojo.com/movies/?id=afterimage.htm" TargetMode="External"/><Relationship Id="rId1445" Type="http://schemas.openxmlformats.org/officeDocument/2006/relationships/hyperlink" Target="http://www.boxofficemojo.com/studio/chart/?studio=filmmovement.htm" TargetMode="External"/><Relationship Id="rId1446" Type="http://schemas.openxmlformats.org/officeDocument/2006/relationships/hyperlink" Target="http://www.boxofficemojo.com/schedule/?view=bydate&amp;release=theatrical&amp;date=2017-05-19&amp;p=.htm" TargetMode="External"/><Relationship Id="rId1447" Type="http://schemas.openxmlformats.org/officeDocument/2006/relationships/hyperlink" Target="http://www.boxofficemojo.com/movies/?id=wasted.htm" TargetMode="External"/><Relationship Id="rId1448" Type="http://schemas.openxmlformats.org/officeDocument/2006/relationships/hyperlink" Target="http://www.boxofficemojo.com/studio/chart/?studio=superltd.htm" TargetMode="External"/><Relationship Id="rId1449" Type="http://schemas.openxmlformats.org/officeDocument/2006/relationships/hyperlink" Target="http://www.boxofficemojo.com/schedule/?view=bydate&amp;release=theatrical&amp;date=2017-10-13&amp;p=.htm" TargetMode="External"/><Relationship Id="rId980" Type="http://schemas.openxmlformats.org/officeDocument/2006/relationships/hyperlink" Target="http://www.boxofficemojo.com/studio/chart/?studio=samuelgoldwyn.htm" TargetMode="External"/><Relationship Id="rId981" Type="http://schemas.openxmlformats.org/officeDocument/2006/relationships/hyperlink" Target="http://www.boxofficemojo.com/schedule/?view=bydate&amp;release=theatrical&amp;date=2017-08-18&amp;p=.htm" TargetMode="External"/><Relationship Id="rId982" Type="http://schemas.openxmlformats.org/officeDocument/2006/relationships/hyperlink" Target="http://www.boxofficemojo.com/movies/?id=sarkar3.htm" TargetMode="External"/><Relationship Id="rId983" Type="http://schemas.openxmlformats.org/officeDocument/2006/relationships/hyperlink" Target="http://www.boxofficemojo.com/studio/chart/?studio=eros.htm" TargetMode="External"/><Relationship Id="rId984" Type="http://schemas.openxmlformats.org/officeDocument/2006/relationships/hyperlink" Target="http://www.boxofficemojo.com/schedule/?view=bydate&amp;release=theatrical&amp;date=2017-05-12&amp;p=.htm" TargetMode="External"/><Relationship Id="rId985" Type="http://schemas.openxmlformats.org/officeDocument/2006/relationships/hyperlink" Target="http://www.boxofficemojo.com/movies/?id=bandaid.htm" TargetMode="External"/><Relationship Id="rId986" Type="http://schemas.openxmlformats.org/officeDocument/2006/relationships/hyperlink" Target="http://www.boxofficemojo.com/studio/chart/?studio=ifc.htm" TargetMode="External"/><Relationship Id="rId987" Type="http://schemas.openxmlformats.org/officeDocument/2006/relationships/hyperlink" Target="http://www.boxofficemojo.com/schedule/?view=bydate&amp;release=theatrical&amp;date=2017-06-02&amp;p=.htm" TargetMode="External"/><Relationship Id="rId988" Type="http://schemas.openxmlformats.org/officeDocument/2006/relationships/hyperlink" Target="http://www.boxofficemojo.com/movies/?id=blackbutler.htm" TargetMode="External"/><Relationship Id="rId989" Type="http://schemas.openxmlformats.org/officeDocument/2006/relationships/hyperlink" Target="http://www.boxofficemojo.com/studio/chart/?studio=funimation.htm" TargetMode="External"/><Relationship Id="rId1050" Type="http://schemas.openxmlformats.org/officeDocument/2006/relationships/hyperlink" Target="http://www.boxofficemojo.com/schedule/?view=bydate&amp;release=theatrical&amp;date=2017-08-11&amp;p=.htm" TargetMode="External"/><Relationship Id="rId1051" Type="http://schemas.openxmlformats.org/officeDocument/2006/relationships/hyperlink" Target="http://www.boxofficemojo.com/movies/?id=thebadbatch.htm" TargetMode="External"/><Relationship Id="rId1052" Type="http://schemas.openxmlformats.org/officeDocument/2006/relationships/hyperlink" Target="http://www.boxofficemojo.com/studio/chart/?studio=neon.htm" TargetMode="External"/><Relationship Id="rId1053" Type="http://schemas.openxmlformats.org/officeDocument/2006/relationships/hyperlink" Target="http://www.boxofficemojo.com/schedule/?view=bydate&amp;release=theatrical&amp;date=2017-06-23&amp;p=.htm" TargetMode="External"/><Relationship Id="rId1054" Type="http://schemas.openxmlformats.org/officeDocument/2006/relationships/hyperlink" Target="http://www.boxofficemojo.com/movies/?id=marjorieprime.htm" TargetMode="External"/><Relationship Id="rId1055" Type="http://schemas.openxmlformats.org/officeDocument/2006/relationships/hyperlink" Target="http://www.boxofficemojo.com/studio/chart/?studio=filmrise.htm" TargetMode="External"/><Relationship Id="rId1056" Type="http://schemas.openxmlformats.org/officeDocument/2006/relationships/hyperlink" Target="http://www.boxofficemojo.com/schedule/?view=bydate&amp;release=theatrical&amp;date=2017-08-18&amp;p=.htm" TargetMode="External"/><Relationship Id="rId1057" Type="http://schemas.openxmlformats.org/officeDocument/2006/relationships/hyperlink" Target="http://www.boxofficemojo.com/movies/?id=pastlife.htm" TargetMode="External"/><Relationship Id="rId1058" Type="http://schemas.openxmlformats.org/officeDocument/2006/relationships/hyperlink" Target="http://www.boxofficemojo.com/studio/chart/?studio=orion.htm" TargetMode="External"/><Relationship Id="rId1059" Type="http://schemas.openxmlformats.org/officeDocument/2006/relationships/hyperlink" Target="http://www.boxofficemojo.com/schedule/?view=bydate&amp;release=theatrical&amp;date=2017-06-02&amp;p=.htm" TargetMode="External"/><Relationship Id="rId590" Type="http://schemas.openxmlformats.org/officeDocument/2006/relationships/hyperlink" Target="http://www.boxofficemojo.com/studio/chart/?studio=a24.htm" TargetMode="External"/><Relationship Id="rId591" Type="http://schemas.openxmlformats.org/officeDocument/2006/relationships/hyperlink" Target="http://www.boxofficemojo.com/schedule/?view=bydate&amp;release=theatrical&amp;date=2017-04-21&amp;p=.htm" TargetMode="External"/><Relationship Id="rId592" Type="http://schemas.openxmlformats.org/officeDocument/2006/relationships/hyperlink" Target="http://www.boxofficemojo.com/movies/?id=thelastword.htm" TargetMode="External"/><Relationship Id="rId593" Type="http://schemas.openxmlformats.org/officeDocument/2006/relationships/hyperlink" Target="http://www.boxofficemojo.com/studio/chart/?studio=bleeckerstreet.htm" TargetMode="External"/><Relationship Id="rId594" Type="http://schemas.openxmlformats.org/officeDocument/2006/relationships/hyperlink" Target="http://www.boxofficemojo.com/schedule/?view=bydate&amp;release=theatrical&amp;date=2017-03-03&amp;p=.htm" TargetMode="External"/><Relationship Id="rId595" Type="http://schemas.openxmlformats.org/officeDocument/2006/relationships/hyperlink" Target="http://www.boxofficemojo.com/movies/?id=goodbyechristopherrobin.htm" TargetMode="External"/><Relationship Id="rId596" Type="http://schemas.openxmlformats.org/officeDocument/2006/relationships/hyperlink" Target="http://www.boxofficemojo.com/studio/chart/?studio=foxsearchlight.htm" TargetMode="External"/><Relationship Id="rId597" Type="http://schemas.openxmlformats.org/officeDocument/2006/relationships/hyperlink" Target="http://www.boxofficemojo.com/schedule/?view=bydate&amp;release=theatrical&amp;date=2017-10-13&amp;p=.htm" TargetMode="External"/><Relationship Id="rId598" Type="http://schemas.openxmlformats.org/officeDocument/2006/relationships/hyperlink" Target="http://www.boxofficemojo.com/movies/?id=menashe.htm" TargetMode="External"/><Relationship Id="rId599" Type="http://schemas.openxmlformats.org/officeDocument/2006/relationships/hyperlink" Target="http://www.boxofficemojo.com/studio/chart/?studio=a24.htm" TargetMode="External"/><Relationship Id="rId1834" Type="http://schemas.openxmlformats.org/officeDocument/2006/relationships/hyperlink" Target="http://www.boxofficemojo.com/schedule/?view=bydate&amp;release=theatrical&amp;date=2017-08-09&amp;p=.htm" TargetMode="External"/><Relationship Id="rId1835" Type="http://schemas.openxmlformats.org/officeDocument/2006/relationships/hyperlink" Target="http://www.boxofficemojo.com/movies/?id=thirststreet.htm" TargetMode="External"/><Relationship Id="rId1836" Type="http://schemas.openxmlformats.org/officeDocument/2006/relationships/hyperlink" Target="http://www.boxofficemojo.com/studio/chart/?studio=samuelgoldwyn.htm" TargetMode="External"/><Relationship Id="rId1837" Type="http://schemas.openxmlformats.org/officeDocument/2006/relationships/hyperlink" Target="http://www.boxofficemojo.com/schedule/?view=bydate&amp;release=theatrical&amp;date=2017-09-22&amp;p=.htm" TargetMode="External"/><Relationship Id="rId1838" Type="http://schemas.openxmlformats.org/officeDocument/2006/relationships/hyperlink" Target="http://www.boxofficemojo.com/movies/?id=lycan.htm" TargetMode="External"/><Relationship Id="rId1839" Type="http://schemas.openxmlformats.org/officeDocument/2006/relationships/hyperlink" Target="http://www.boxofficemojo.com/studio/chart/?studio=paradedeck.htm" TargetMode="External"/><Relationship Id="rId2130" Type="http://schemas.openxmlformats.org/officeDocument/2006/relationships/hyperlink" Target="http://www.boxofficemojo.com/studio/chart/?studio=arrowfilms.htm" TargetMode="External"/><Relationship Id="rId2131" Type="http://schemas.openxmlformats.org/officeDocument/2006/relationships/hyperlink" Target="http://www.boxofficemojo.com/schedule/?view=bydate&amp;release=theatrical&amp;date=2017-08-04&amp;p=.htm" TargetMode="External"/><Relationship Id="rId2132" Type="http://schemas.openxmlformats.org/officeDocument/2006/relationships/hyperlink" Target="http://www.boxofficemojo.com/movies/?id=accidentalcourtesy.htm" TargetMode="External"/><Relationship Id="rId2133" Type="http://schemas.openxmlformats.org/officeDocument/2006/relationships/hyperlink" Target="http://www.boxofficemojo.com/studio/chart/?studio=firstrun.htm" TargetMode="External"/><Relationship Id="rId2134" Type="http://schemas.openxmlformats.org/officeDocument/2006/relationships/hyperlink" Target="http://www.boxofficemojo.com/schedule/?view=bydate&amp;release=theatrical&amp;date=2017-01-06&amp;p=.htm" TargetMode="External"/><Relationship Id="rId2135" Type="http://schemas.openxmlformats.org/officeDocument/2006/relationships/hyperlink" Target="http://www.boxofficemojo.com/movies/?id=detour.htm" TargetMode="External"/><Relationship Id="rId2136" Type="http://schemas.openxmlformats.org/officeDocument/2006/relationships/hyperlink" Target="http://www.boxofficemojo.com/studio/chart/?studio=magnolia.htm" TargetMode="External"/><Relationship Id="rId2137" Type="http://schemas.openxmlformats.org/officeDocument/2006/relationships/hyperlink" Target="http://www.boxofficemojo.com/schedule/?view=bydate&amp;release=theatrical&amp;date=2017-01-20&amp;p=.htm" TargetMode="External"/><Relationship Id="rId2138" Type="http://schemas.openxmlformats.org/officeDocument/2006/relationships/hyperlink" Target="http://www.boxofficemojo.com/movies/?id=almostfriends.htm" TargetMode="External"/><Relationship Id="rId2139" Type="http://schemas.openxmlformats.org/officeDocument/2006/relationships/hyperlink" Target="http://www.boxofficemojo.com/studio/chart/?studio=orion.htm" TargetMode="External"/><Relationship Id="rId1840" Type="http://schemas.openxmlformats.org/officeDocument/2006/relationships/hyperlink" Target="http://www.boxofficemojo.com/schedule/?view=bydate&amp;release=theatrical&amp;date=2017-08-18&amp;p=.htm" TargetMode="External"/><Relationship Id="rId1841" Type="http://schemas.openxmlformats.org/officeDocument/2006/relationships/hyperlink" Target="http://www.boxofficemojo.com/movies/?id=theeyes.htm" TargetMode="External"/><Relationship Id="rId1842" Type="http://schemas.openxmlformats.org/officeDocument/2006/relationships/hyperlink" Target="http://www.boxofficemojo.com/studio/chart/?studio=paradedeck.htm" TargetMode="External"/><Relationship Id="rId1843" Type="http://schemas.openxmlformats.org/officeDocument/2006/relationships/hyperlink" Target="http://www.boxofficemojo.com/schedule/?view=bydate&amp;release=theatrical&amp;date=2017-04-07&amp;p=.htm" TargetMode="External"/><Relationship Id="rId1450" Type="http://schemas.openxmlformats.org/officeDocument/2006/relationships/hyperlink" Target="http://www.boxofficemojo.com/movies/?id=lovetaxes.htm" TargetMode="External"/><Relationship Id="rId1451" Type="http://schemas.openxmlformats.org/officeDocument/2006/relationships/hyperlink" Target="http://www.boxofficemojo.com/studio/chart/?studio=abramorama.htm" TargetMode="External"/><Relationship Id="rId1452" Type="http://schemas.openxmlformats.org/officeDocument/2006/relationships/hyperlink" Target="http://www.boxofficemojo.com/schedule/?view=bydate&amp;release=theatrical&amp;date=2017-03-03&amp;p=.htm" TargetMode="External"/><Relationship Id="rId1453" Type="http://schemas.openxmlformats.org/officeDocument/2006/relationships/hyperlink" Target="http://www.boxofficemojo.com/movies/?id=aloneinberlin.htm" TargetMode="External"/><Relationship Id="rId1454" Type="http://schemas.openxmlformats.org/officeDocument/2006/relationships/hyperlink" Target="http://www.boxofficemojo.com/studio/chart/?studio=ifc.htm" TargetMode="External"/><Relationship Id="rId1455" Type="http://schemas.openxmlformats.org/officeDocument/2006/relationships/hyperlink" Target="http://www.boxofficemojo.com/schedule/?view=bydate&amp;release=theatrical&amp;date=2017-01-13&amp;p=.htm" TargetMode="External"/><Relationship Id="rId1456" Type="http://schemas.openxmlformats.org/officeDocument/2006/relationships/hyperlink" Target="http://www.boxofficemojo.com/movies/?id=superdarktimes.htm" TargetMode="External"/><Relationship Id="rId1457" Type="http://schemas.openxmlformats.org/officeDocument/2006/relationships/hyperlink" Target="http://www.boxofficemojo.com/studio/chart/?studio=orchard.htm" TargetMode="External"/><Relationship Id="rId1458" Type="http://schemas.openxmlformats.org/officeDocument/2006/relationships/hyperlink" Target="http://www.boxofficemojo.com/schedule/?view=bydate&amp;release=theatrical&amp;date=2017-09-29&amp;p=.htm" TargetMode="External"/><Relationship Id="rId1459" Type="http://schemas.openxmlformats.org/officeDocument/2006/relationships/hyperlink" Target="http://www.boxofficemojo.com/movies/?id=brimstoneandglory.htm" TargetMode="External"/><Relationship Id="rId990" Type="http://schemas.openxmlformats.org/officeDocument/2006/relationships/hyperlink" Target="http://www.boxofficemojo.com/schedule/?view=bydate&amp;release=theatrical&amp;date=2017-06-12&amp;p=.htm" TargetMode="External"/><Relationship Id="rId991" Type="http://schemas.openxmlformats.org/officeDocument/2006/relationships/hyperlink" Target="http://www.boxofficemojo.com/movies/?id=thebreadwinner.htm" TargetMode="External"/><Relationship Id="rId992" Type="http://schemas.openxmlformats.org/officeDocument/2006/relationships/hyperlink" Target="http://www.boxofficemojo.com/studio/chart/?studio=gkids.htm" TargetMode="External"/><Relationship Id="rId993" Type="http://schemas.openxmlformats.org/officeDocument/2006/relationships/hyperlink" Target="http://www.boxofficemojo.com/schedule/?view=bydate&amp;release=theatrical&amp;date=2017-11-17&amp;p=.htm" TargetMode="External"/><Relationship Id="rId994" Type="http://schemas.openxmlformats.org/officeDocument/2006/relationships/hyperlink" Target="http://www.boxofficemojo.com/movies/?id=theswindlers.htm" TargetMode="External"/><Relationship Id="rId995" Type="http://schemas.openxmlformats.org/officeDocument/2006/relationships/hyperlink" Target="http://www.boxofficemojo.com/studio/chart/?studio=wellgo.htm" TargetMode="External"/><Relationship Id="rId996" Type="http://schemas.openxmlformats.org/officeDocument/2006/relationships/hyperlink" Target="http://www.boxofficemojo.com/schedule/?view=bydate&amp;release=theatrical&amp;date=2017-12-01&amp;p=.htm" TargetMode="External"/><Relationship Id="rId997" Type="http://schemas.openxmlformats.org/officeDocument/2006/relationships/hyperlink" Target="http://www.boxofficemojo.com/movies/?id=ottomanlieutenant.htm" TargetMode="External"/><Relationship Id="rId998" Type="http://schemas.openxmlformats.org/officeDocument/2006/relationships/hyperlink" Target="http://www.boxofficemojo.com/studio/chart/?studio=paladin.htm" TargetMode="External"/><Relationship Id="rId999" Type="http://schemas.openxmlformats.org/officeDocument/2006/relationships/hyperlink" Target="http://www.boxofficemojo.com/schedule/?view=bydate&amp;release=theatrical&amp;date=2017-03-10&amp;p=.htm" TargetMode="External"/><Relationship Id="rId1060" Type="http://schemas.openxmlformats.org/officeDocument/2006/relationships/hyperlink" Target="http://www.boxofficemojo.com/movies/?id=theothersideofhope.htm" TargetMode="External"/><Relationship Id="rId1061" Type="http://schemas.openxmlformats.org/officeDocument/2006/relationships/hyperlink" Target="http://www.boxofficemojo.com/studio/chart/?studio=janusfilms.htm" TargetMode="External"/><Relationship Id="rId1062" Type="http://schemas.openxmlformats.org/officeDocument/2006/relationships/hyperlink" Target="http://www.boxofficemojo.com/schedule/?view=bydate&amp;release=theatrical&amp;date=2017-12-01&amp;p=.htm" TargetMode="External"/><Relationship Id="rId1063" Type="http://schemas.openxmlformats.org/officeDocument/2006/relationships/hyperlink" Target="http://www.boxofficemojo.com/movies/?id=takeeverywavethelifeofliardhamilton.htm" TargetMode="External"/><Relationship Id="rId1064" Type="http://schemas.openxmlformats.org/officeDocument/2006/relationships/hyperlink" Target="http://www.boxofficemojo.com/studio/chart/?studio=ifc.htm" TargetMode="External"/><Relationship Id="rId1065" Type="http://schemas.openxmlformats.org/officeDocument/2006/relationships/hyperlink" Target="http://www.boxofficemojo.com/schedule/?view=bydate&amp;release=theatrical&amp;date=2017-09-29&amp;p=.htm" TargetMode="External"/><Relationship Id="rId1066" Type="http://schemas.openxmlformats.org/officeDocument/2006/relationships/hyperlink" Target="http://www.boxofficemojo.com/movies/?id=graduation.htm" TargetMode="External"/><Relationship Id="rId1067" Type="http://schemas.openxmlformats.org/officeDocument/2006/relationships/hyperlink" Target="http://www.boxofficemojo.com/studio/chart/?studio=ifc.htm" TargetMode="External"/><Relationship Id="rId1068" Type="http://schemas.openxmlformats.org/officeDocument/2006/relationships/hyperlink" Target="http://www.boxofficemojo.com/schedule/?view=bydate&amp;release=theatrical&amp;date=2017-04-07&amp;p=.htm" TargetMode="External"/><Relationship Id="rId1069" Type="http://schemas.openxmlformats.org/officeDocument/2006/relationships/hyperlink" Target="http://www.boxofficemojo.com/movies/?id=champion.htm" TargetMode="External"/><Relationship Id="rId1844" Type="http://schemas.openxmlformats.org/officeDocument/2006/relationships/hyperlink" Target="http://www.boxofficemojo.com/movies/?id=julianschnabel.htm" TargetMode="External"/><Relationship Id="rId1845" Type="http://schemas.openxmlformats.org/officeDocument/2006/relationships/hyperlink" Target="http://www.boxofficemojo.com/studio/chart/?studio=cohenmedia.htm" TargetMode="External"/><Relationship Id="rId1846" Type="http://schemas.openxmlformats.org/officeDocument/2006/relationships/hyperlink" Target="http://www.boxofficemojo.com/schedule/?view=bydate&amp;release=theatrical&amp;date=2017-05-05&amp;p=.htm" TargetMode="External"/><Relationship Id="rId1847" Type="http://schemas.openxmlformats.org/officeDocument/2006/relationships/hyperlink" Target="http://www.boxofficemojo.com/movies/?id=amnesia.htm" TargetMode="External"/><Relationship Id="rId1848" Type="http://schemas.openxmlformats.org/officeDocument/2006/relationships/hyperlink" Target="http://www.boxofficemojo.com/studio/chart/?studio=filmmovement.htm" TargetMode="External"/><Relationship Id="rId1849" Type="http://schemas.openxmlformats.org/officeDocument/2006/relationships/hyperlink" Target="http://www.boxofficemojo.com/schedule/?view=bydate&amp;release=theatrical&amp;date=2017-07-21&amp;p=.htm" TargetMode="External"/><Relationship Id="rId2140" Type="http://schemas.openxmlformats.org/officeDocument/2006/relationships/hyperlink" Target="http://www.boxofficemojo.com/schedule/?view=bydate&amp;release=theatrical&amp;date=2017-11-17&amp;p=.htm" TargetMode="External"/><Relationship Id="rId2141" Type="http://schemas.openxmlformats.org/officeDocument/2006/relationships/hyperlink" Target="http://www.boxofficemojo.com/movies/?id=theoutcasts.htm" TargetMode="External"/><Relationship Id="rId2142" Type="http://schemas.openxmlformats.org/officeDocument/2006/relationships/hyperlink" Target="http://www.boxofficemojo.com/studio/chart/?studio=swen.htm" TargetMode="External"/><Relationship Id="rId2143" Type="http://schemas.openxmlformats.org/officeDocument/2006/relationships/hyperlink" Target="http://www.boxofficemojo.com/schedule/?view=bydate&amp;release=theatrical&amp;date=2017-04-14&amp;p=.htm" TargetMode="External"/><Relationship Id="rId2144" Type="http://schemas.openxmlformats.org/officeDocument/2006/relationships/hyperlink" Target="http://www.boxofficemojo.com/movies/?id=forestforthetrees2017.htm" TargetMode="External"/><Relationship Id="rId2145" Type="http://schemas.openxmlformats.org/officeDocument/2006/relationships/hyperlink" Target="http://www.boxofficemojo.com/studio/chart/?studio=filmmovement.htm" TargetMode="External"/><Relationship Id="rId2146" Type="http://schemas.openxmlformats.org/officeDocument/2006/relationships/hyperlink" Target="http://www.boxofficemojo.com/schedule/?view=bydate&amp;release=theatrical&amp;date=2017-01-18&amp;p=.htm" TargetMode="External"/><Relationship Id="rId2147" Type="http://schemas.openxmlformats.org/officeDocument/2006/relationships/hyperlink" Target="http://www.boxofficemojo.com/movies/?id=itsnotyetdark.htm" TargetMode="External"/><Relationship Id="rId2148" Type="http://schemas.openxmlformats.org/officeDocument/2006/relationships/hyperlink" Target="http://www.boxofficemojo.com/studio/chart/?studio=filmrise.htm" TargetMode="External"/><Relationship Id="rId2149" Type="http://schemas.openxmlformats.org/officeDocument/2006/relationships/hyperlink" Target="http://www.boxofficemojo.com/schedule/?view=bydate&amp;release=theatrical&amp;date=2017-08-04&amp;p=.htm" TargetMode="External"/><Relationship Id="rId200" Type="http://schemas.openxmlformats.org/officeDocument/2006/relationships/hyperlink" Target="http://www.boxofficemojo.com/studio/chart/?studio=a24.htm" TargetMode="External"/><Relationship Id="rId201" Type="http://schemas.openxmlformats.org/officeDocument/2006/relationships/hyperlink" Target="http://www.boxofficemojo.com/schedule/?view=bydate&amp;release=theatrical&amp;date=2017-11-03&amp;p=.htm" TargetMode="External"/><Relationship Id="rId202" Type="http://schemas.openxmlformats.org/officeDocument/2006/relationships/hyperlink" Target="http://www.boxofficemojo.com/movies/?id=saw2017.htm" TargetMode="External"/><Relationship Id="rId203" Type="http://schemas.openxmlformats.org/officeDocument/2006/relationships/hyperlink" Target="http://www.boxofficemojo.com/studio/chart/?studio=lionsgate.htm" TargetMode="External"/><Relationship Id="rId204" Type="http://schemas.openxmlformats.org/officeDocument/2006/relationships/hyperlink" Target="http://www.boxofficemojo.com/schedule/?view=bydate&amp;release=theatrical&amp;date=2017-10-27&amp;p=.htm" TargetMode="External"/><Relationship Id="rId205" Type="http://schemas.openxmlformats.org/officeDocument/2006/relationships/hyperlink" Target="http://www.boxofficemojo.com/movies/?id=americanassassin.htm" TargetMode="External"/><Relationship Id="rId206" Type="http://schemas.openxmlformats.org/officeDocument/2006/relationships/hyperlink" Target="http://www.boxofficemojo.com/studio/chart/?studio=lionsgate.htm" TargetMode="External"/><Relationship Id="rId207" Type="http://schemas.openxmlformats.org/officeDocument/2006/relationships/hyperlink" Target="http://www.boxofficemojo.com/schedule/?view=bydate&amp;release=theatrical&amp;date=2017-09-15&amp;p=.htm" TargetMode="External"/><Relationship Id="rId208" Type="http://schemas.openxmlformats.org/officeDocument/2006/relationships/hyperlink" Target="http://www.boxofficemojo.com/movies/?id=theforeigner.htm" TargetMode="External"/><Relationship Id="rId209" Type="http://schemas.openxmlformats.org/officeDocument/2006/relationships/hyperlink" Target="http://www.boxofficemojo.com/studio/chart/?studio=stx.htm" TargetMode="External"/><Relationship Id="rId1850" Type="http://schemas.openxmlformats.org/officeDocument/2006/relationships/hyperlink" Target="http://www.boxofficemojo.com/movies/?id=maigretsetsatrap2017.htm" TargetMode="External"/><Relationship Id="rId1851" Type="http://schemas.openxmlformats.org/officeDocument/2006/relationships/hyperlink" Target="http://www.boxofficemojo.com/studio/chart/?studio=kinolorber.htm" TargetMode="External"/><Relationship Id="rId1852" Type="http://schemas.openxmlformats.org/officeDocument/2006/relationships/hyperlink" Target="http://www.boxofficemojo.com/schedule/?view=bydate&amp;release=theatrical&amp;date=2017-10-20&amp;p=.htm" TargetMode="External"/><Relationship Id="rId1853" Type="http://schemas.openxmlformats.org/officeDocument/2006/relationships/hyperlink" Target="http://www.boxofficemojo.com/movies/?id=wearetheflesh.htm" TargetMode="External"/><Relationship Id="rId1460" Type="http://schemas.openxmlformats.org/officeDocument/2006/relationships/hyperlink" Target="http://www.boxofficemojo.com/studio/chart/?studio=oscilloscopepictures.htm" TargetMode="External"/><Relationship Id="rId1461" Type="http://schemas.openxmlformats.org/officeDocument/2006/relationships/hyperlink" Target="http://www.boxofficemojo.com/schedule/?view=bydate&amp;release=theatrical&amp;date=2017-10-27&amp;p=.htm" TargetMode="External"/><Relationship Id="rId1462" Type="http://schemas.openxmlformats.org/officeDocument/2006/relationships/hyperlink" Target="http://www.boxofficemojo.com/movies/?id=onthebeachatnightalone.htm" TargetMode="External"/><Relationship Id="rId1463" Type="http://schemas.openxmlformats.org/officeDocument/2006/relationships/hyperlink" Target="http://www.boxofficemojo.com/studio/chart/?studio=cinemaguild.htm" TargetMode="External"/><Relationship Id="rId1464" Type="http://schemas.openxmlformats.org/officeDocument/2006/relationships/hyperlink" Target="http://www.boxofficemojo.com/schedule/?view=bydate&amp;release=theatrical&amp;date=2017-11-17&amp;p=.htm" TargetMode="External"/><Relationship Id="rId1465" Type="http://schemas.openxmlformats.org/officeDocument/2006/relationships/hyperlink" Target="http://www.boxofficemojo.com/movies/?id=sidemen.htm" TargetMode="External"/><Relationship Id="rId1466" Type="http://schemas.openxmlformats.org/officeDocument/2006/relationships/hyperlink" Target="http://www.boxofficemojo.com/studio/chart/?studio=abramorama.htm" TargetMode="External"/><Relationship Id="rId1467" Type="http://schemas.openxmlformats.org/officeDocument/2006/relationships/hyperlink" Target="http://www.boxofficemojo.com/schedule/?view=bydate&amp;release=theatrical&amp;date=2017-08-18&amp;p=.htm" TargetMode="External"/><Relationship Id="rId1468" Type="http://schemas.openxmlformats.org/officeDocument/2006/relationships/hyperlink" Target="http://www.boxofficemojo.com/movies/?id=7witches.htm" TargetMode="External"/><Relationship Id="rId1469" Type="http://schemas.openxmlformats.org/officeDocument/2006/relationships/hyperlink" Target="http://www.boxofficemojo.com/studio/chart/?studio=indican.htm" TargetMode="External"/><Relationship Id="rId1070" Type="http://schemas.openxmlformats.org/officeDocument/2006/relationships/hyperlink" Target="http://www.boxofficemojo.com/studio/chart/?studio=artaffects.htm" TargetMode="External"/><Relationship Id="rId1071" Type="http://schemas.openxmlformats.org/officeDocument/2006/relationships/hyperlink" Target="http://www.boxofficemojo.com/schedule/?view=bydate&amp;release=theatrical&amp;date=2017-05-19&amp;p=.htm" TargetMode="External"/><Relationship Id="rId1072" Type="http://schemas.openxmlformats.org/officeDocument/2006/relationships/hyperlink" Target="http://www.boxofficemojo.com/movies/?id=mrgaga.htm" TargetMode="External"/><Relationship Id="rId1073" Type="http://schemas.openxmlformats.org/officeDocument/2006/relationships/hyperlink" Target="http://www.boxofficemojo.com/studio/chart/?studio=abramorama.htm" TargetMode="External"/><Relationship Id="rId1074" Type="http://schemas.openxmlformats.org/officeDocument/2006/relationships/hyperlink" Target="http://www.boxofficemojo.com/schedule/?view=bydate&amp;release=theatrical&amp;date=2017-02-01&amp;p=.htm" TargetMode="External"/><Relationship Id="rId1075" Type="http://schemas.openxmlformats.org/officeDocument/2006/relationships/hyperlink" Target="http://www.boxofficemojo.com/movies/?id=inthiscorneroftheworld.htm" TargetMode="External"/><Relationship Id="rId1076" Type="http://schemas.openxmlformats.org/officeDocument/2006/relationships/hyperlink" Target="http://www.boxofficemojo.com/studio/chart/?studio=funimation.htm" TargetMode="External"/><Relationship Id="rId1077" Type="http://schemas.openxmlformats.org/officeDocument/2006/relationships/hyperlink" Target="http://www.boxofficemojo.com/schedule/?view=bydate&amp;release=theatrical&amp;date=2017-08-11&amp;p=.htm" TargetMode="External"/><Relationship Id="rId1078" Type="http://schemas.openxmlformats.org/officeDocument/2006/relationships/hyperlink" Target="http://www.boxofficemojo.com/movies/?id=davidlynchartlife.htm" TargetMode="External"/><Relationship Id="rId1079" Type="http://schemas.openxmlformats.org/officeDocument/2006/relationships/hyperlink" Target="http://www.boxofficemojo.com/studio/chart/?studio=janusfilms.htm" TargetMode="External"/><Relationship Id="rId1854" Type="http://schemas.openxmlformats.org/officeDocument/2006/relationships/hyperlink" Target="http://www.boxofficemojo.com/studio/chart/?studio=arrowfilms.htm" TargetMode="External"/><Relationship Id="rId1855" Type="http://schemas.openxmlformats.org/officeDocument/2006/relationships/hyperlink" Target="http://www.boxofficemojo.com/schedule/?view=bydate&amp;release=theatrical&amp;date=2017-01-13&amp;p=.htm" TargetMode="External"/><Relationship Id="rId1856" Type="http://schemas.openxmlformats.org/officeDocument/2006/relationships/hyperlink" Target="http://www.boxofficemojo.com/movies/?id=gilbert.htm" TargetMode="External"/><Relationship Id="rId1857" Type="http://schemas.openxmlformats.org/officeDocument/2006/relationships/hyperlink" Target="http://www.boxofficemojo.com/studio/chart/?studio=submarinedeluxe.htm" TargetMode="External"/><Relationship Id="rId1858" Type="http://schemas.openxmlformats.org/officeDocument/2006/relationships/hyperlink" Target="http://www.boxofficemojo.com/schedule/?view=bydate&amp;release=theatrical&amp;date=2017-11-03&amp;p=.htm" TargetMode="External"/><Relationship Id="rId1859" Type="http://schemas.openxmlformats.org/officeDocument/2006/relationships/hyperlink" Target="http://www.boxofficemojo.com/movies/?id=natasha.htm" TargetMode="External"/><Relationship Id="rId2150" Type="http://schemas.openxmlformats.org/officeDocument/2006/relationships/hyperlink" Target="http://www.boxofficemojo.com/movies/?id=adifferentamericandream.htm" TargetMode="External"/><Relationship Id="rId2151" Type="http://schemas.openxmlformats.org/officeDocument/2006/relationships/hyperlink" Target="http://www.boxofficemojo.com/studio/chart/?studio=firstrun.htm" TargetMode="External"/><Relationship Id="rId2152" Type="http://schemas.openxmlformats.org/officeDocument/2006/relationships/hyperlink" Target="http://www.boxofficemojo.com/schedule/?view=bydate&amp;release=theatrical&amp;date=2017-01-06&amp;p=.htm" TargetMode="External"/><Relationship Id="rId2153" Type="http://schemas.openxmlformats.org/officeDocument/2006/relationships/hyperlink" Target="http://www.boxofficemojo.com/movies/?id=thepenguincounters.htm" TargetMode="External"/><Relationship Id="rId2154" Type="http://schemas.openxmlformats.org/officeDocument/2006/relationships/hyperlink" Target="http://www.boxofficemojo.com/studio/chart/?studio=firstrun.htm" TargetMode="External"/><Relationship Id="rId2155" Type="http://schemas.openxmlformats.org/officeDocument/2006/relationships/hyperlink" Target="http://www.boxofficemojo.com/schedule/?view=bydate&amp;release=theatrical&amp;date=2017-04-21&amp;p=.htm" TargetMode="External"/><Relationship Id="rId2156" Type="http://schemas.openxmlformats.org/officeDocument/2006/relationships/hyperlink" Target="http://www.boxofficemojo.com/movies/?id=extraordinaryordinarypeople.htm" TargetMode="External"/><Relationship Id="rId2157" Type="http://schemas.openxmlformats.org/officeDocument/2006/relationships/hyperlink" Target="http://www.boxofficemojo.com/studio/chart/?studio=firstrun.htm" TargetMode="External"/><Relationship Id="rId2158" Type="http://schemas.openxmlformats.org/officeDocument/2006/relationships/hyperlink" Target="http://www.boxofficemojo.com/schedule/?view=bydate&amp;release=theatrical&amp;date=2017-09-15&amp;p=.htm" TargetMode="External"/><Relationship Id="rId2159" Type="http://schemas.openxmlformats.org/officeDocument/2006/relationships/hyperlink" Target="http://www.boxofficemojo.com/movies/?id=amityvillehorror12.htm" TargetMode="External"/><Relationship Id="rId600" Type="http://schemas.openxmlformats.org/officeDocument/2006/relationships/hyperlink" Target="http://www.boxofficemojo.com/schedule/?view=bydate&amp;release=theatrical&amp;date=2017-07-28&amp;p=.htm" TargetMode="External"/><Relationship Id="rId601" Type="http://schemas.openxmlformats.org/officeDocument/2006/relationships/hyperlink" Target="http://www.boxofficemojo.com/movies/?id=slammajamma.htm" TargetMode="External"/><Relationship Id="rId602" Type="http://schemas.openxmlformats.org/officeDocument/2006/relationships/hyperlink" Target="http://www.boxofficemojo.com/studio/chart/?studio=riverrain.htm" TargetMode="External"/><Relationship Id="rId603" Type="http://schemas.openxmlformats.org/officeDocument/2006/relationships/hyperlink" Target="http://www.boxofficemojo.com/schedule/?view=bydate&amp;release=theatrical&amp;date=2017-03-24&amp;p=.htm" TargetMode="External"/><Relationship Id="rId604" Type="http://schemas.openxmlformats.org/officeDocument/2006/relationships/hyperlink" Target="http://www.boxofficemojo.com/movies/?id=alongwiththegods.htm" TargetMode="External"/><Relationship Id="rId605" Type="http://schemas.openxmlformats.org/officeDocument/2006/relationships/hyperlink" Target="http://www.boxofficemojo.com/studio/chart/?studio=wellgo.htm" TargetMode="External"/><Relationship Id="rId606" Type="http://schemas.openxmlformats.org/officeDocument/2006/relationships/hyperlink" Target="http://www.boxofficemojo.com/schedule/?view=bydate&amp;release=theatrical&amp;date=2017-12-22&amp;p=.htm" TargetMode="External"/><Relationship Id="rId607" Type="http://schemas.openxmlformats.org/officeDocument/2006/relationships/hyperlink" Target="http://www.boxofficemojo.com/movies/?id=jabharrymetsejal.htm" TargetMode="External"/><Relationship Id="rId608" Type="http://schemas.openxmlformats.org/officeDocument/2006/relationships/hyperlink" Target="http://www.boxofficemojo.com/studio/chart/?studio=yashraj.htm" TargetMode="External"/><Relationship Id="rId609" Type="http://schemas.openxmlformats.org/officeDocument/2006/relationships/hyperlink" Target="http://www.boxofficemojo.com/schedule/?view=bydate&amp;release=theatrical&amp;date=2017-08-04&amp;p=.htm" TargetMode="External"/><Relationship Id="rId210" Type="http://schemas.openxmlformats.org/officeDocument/2006/relationships/hyperlink" Target="http://www.boxofficemojo.com/schedule/?view=bydate&amp;release=theatrical&amp;date=2017-10-13&amp;p=.htm" TargetMode="External"/><Relationship Id="rId211" Type="http://schemas.openxmlformats.org/officeDocument/2006/relationships/hyperlink" Target="http://www.boxofficemojo.com/movies/?id=everythingeverything.htm" TargetMode="External"/><Relationship Id="rId212" Type="http://schemas.openxmlformats.org/officeDocument/2006/relationships/hyperlink" Target="http://www.boxofficemojo.com/studio/chart/?studio=warnerbros.htm" TargetMode="External"/><Relationship Id="rId213" Type="http://schemas.openxmlformats.org/officeDocument/2006/relationships/hyperlink" Target="http://www.boxofficemojo.com/schedule/?view=bydate&amp;release=theatrical&amp;date=2017-05-19&amp;p=.htm" TargetMode="External"/><Relationship Id="rId214" Type="http://schemas.openxmlformats.org/officeDocument/2006/relationships/hyperlink" Target="http://www.boxofficemojo.com/movies/?id=windriver.htm" TargetMode="External"/><Relationship Id="rId215" Type="http://schemas.openxmlformats.org/officeDocument/2006/relationships/hyperlink" Target="http://www.boxofficemojo.com/studio/chart/?studio=weinsteincompany.htm" TargetMode="External"/><Relationship Id="rId216" Type="http://schemas.openxmlformats.org/officeDocument/2006/relationships/hyperlink" Target="http://www.boxofficemojo.com/schedule/?view=bydate&amp;release=theatrical&amp;date=2017-08-04&amp;p=.htm" TargetMode="External"/><Relationship Id="rId217" Type="http://schemas.openxmlformats.org/officeDocument/2006/relationships/hyperlink" Target="http://www.boxofficemojo.com/movies/?id=geostorm.htm" TargetMode="External"/><Relationship Id="rId218" Type="http://schemas.openxmlformats.org/officeDocument/2006/relationships/hyperlink" Target="http://www.boxofficemojo.com/studio/chart/?studio=warnerbros.htm" TargetMode="External"/><Relationship Id="rId219" Type="http://schemas.openxmlformats.org/officeDocument/2006/relationships/hyperlink" Target="http://www.boxofficemojo.com/schedule/?view=bydate&amp;release=theatrical&amp;date=2017-10-20&amp;p=.htm" TargetMode="External"/><Relationship Id="rId1860" Type="http://schemas.openxmlformats.org/officeDocument/2006/relationships/hyperlink" Target="http://www.boxofficemojo.com/studio/chart/?studio=menemsha.htm" TargetMode="External"/><Relationship Id="rId1861" Type="http://schemas.openxmlformats.org/officeDocument/2006/relationships/hyperlink" Target="http://www.boxofficemojo.com/schedule/?view=bydate&amp;release=theatrical&amp;date=2017-04-28&amp;p=.htm" TargetMode="External"/><Relationship Id="rId1862" Type="http://schemas.openxmlformats.org/officeDocument/2006/relationships/hyperlink" Target="http://www.boxofficemojo.com/movies/?id=mrchibbs.htm" TargetMode="External"/><Relationship Id="rId1863" Type="http://schemas.openxmlformats.org/officeDocument/2006/relationships/hyperlink" Target="http://www.boxofficemojo.com/studio/chart/?studio=abramorama.htm" TargetMode="External"/><Relationship Id="rId1470" Type="http://schemas.openxmlformats.org/officeDocument/2006/relationships/hyperlink" Target="http://www.boxofficemojo.com/schedule/?view=bydate&amp;release=theatrical&amp;date=2017-04-21&amp;p=.htm" TargetMode="External"/><Relationship Id="rId1471" Type="http://schemas.openxmlformats.org/officeDocument/2006/relationships/hyperlink" Target="http://www.boxofficemojo.com/movies/?id=xx2017.htm" TargetMode="External"/><Relationship Id="rId1472" Type="http://schemas.openxmlformats.org/officeDocument/2006/relationships/hyperlink" Target="http://www.boxofficemojo.com/studio/chart/?studio=magnolia.htm" TargetMode="External"/><Relationship Id="rId1473" Type="http://schemas.openxmlformats.org/officeDocument/2006/relationships/hyperlink" Target="http://www.boxofficemojo.com/schedule/?view=bydate&amp;release=theatrical&amp;date=2017-02-17&amp;p=.htm" TargetMode="External"/><Relationship Id="rId1474" Type="http://schemas.openxmlformats.org/officeDocument/2006/relationships/hyperlink" Target="http://www.boxofficemojo.com/movies/?id=thewound.htm" TargetMode="External"/><Relationship Id="rId1475" Type="http://schemas.openxmlformats.org/officeDocument/2006/relationships/hyperlink" Target="http://www.boxofficemojo.com/studio/chart/?studio=kinolorber.htm" TargetMode="External"/><Relationship Id="rId1476" Type="http://schemas.openxmlformats.org/officeDocument/2006/relationships/hyperlink" Target="http://www.boxofficemojo.com/schedule/?view=bydate&amp;release=theatrical&amp;date=2017-03-15&amp;p=.htm" TargetMode="External"/><Relationship Id="rId1477" Type="http://schemas.openxmlformats.org/officeDocument/2006/relationships/hyperlink" Target="http://www.boxofficemojo.com/movies/?id=dealt.htm" TargetMode="External"/><Relationship Id="rId1478" Type="http://schemas.openxmlformats.org/officeDocument/2006/relationships/hyperlink" Target="http://www.boxofficemojo.com/studio/chart/?studio=ifc.htm" TargetMode="External"/><Relationship Id="rId1479" Type="http://schemas.openxmlformats.org/officeDocument/2006/relationships/hyperlink" Target="http://www.boxofficemojo.com/schedule/?view=bydate&amp;release=theatrical&amp;date=2017-10-20&amp;p=.htm" TargetMode="External"/><Relationship Id="rId1080" Type="http://schemas.openxmlformats.org/officeDocument/2006/relationships/hyperlink" Target="http://www.boxofficemojo.com/schedule/?view=bydate&amp;release=theatrical&amp;date=2017-03-31&amp;p=.htm" TargetMode="External"/><Relationship Id="rId1081" Type="http://schemas.openxmlformats.org/officeDocument/2006/relationships/hyperlink" Target="http://www.boxofficemojo.com/movies/?id=9112017.htm" TargetMode="External"/><Relationship Id="rId1082" Type="http://schemas.openxmlformats.org/officeDocument/2006/relationships/hyperlink" Target="http://www.boxofficemojo.com/studio/chart/?studio=atlas.htm" TargetMode="External"/><Relationship Id="rId1083" Type="http://schemas.openxmlformats.org/officeDocument/2006/relationships/hyperlink" Target="http://www.boxofficemojo.com/schedule/?view=bydate&amp;release=theatrical&amp;date=2017-09-08&amp;p=.htm" TargetMode="External"/><Relationship Id="rId1084" Type="http://schemas.openxmlformats.org/officeDocument/2006/relationships/hyperlink" Target="http://www.boxofficemojo.com/movies/?id=valleyofbones.htm" TargetMode="External"/><Relationship Id="rId1085" Type="http://schemas.openxmlformats.org/officeDocument/2006/relationships/hyperlink" Target="http://www.boxofficemojo.com/studio/chart/?studio=smithglobal.htm" TargetMode="External"/><Relationship Id="rId1086" Type="http://schemas.openxmlformats.org/officeDocument/2006/relationships/hyperlink" Target="http://www.boxofficemojo.com/schedule/?view=bydate&amp;release=theatrical&amp;date=2017-09-01&amp;p=.htm" TargetMode="External"/><Relationship Id="rId1087" Type="http://schemas.openxmlformats.org/officeDocument/2006/relationships/hyperlink" Target="http://www.boxofficemojo.com/movies/?id=polina.htm" TargetMode="External"/><Relationship Id="rId1088" Type="http://schemas.openxmlformats.org/officeDocument/2006/relationships/hyperlink" Target="http://www.boxofficemojo.com/studio/chart/?studio=oscilloscopepictures.htm" TargetMode="External"/><Relationship Id="rId1089" Type="http://schemas.openxmlformats.org/officeDocument/2006/relationships/hyperlink" Target="http://www.boxofficemojo.com/schedule/?view=bydate&amp;release=theatrical&amp;date=2017-08-25&amp;p=.htm" TargetMode="External"/><Relationship Id="rId1864" Type="http://schemas.openxmlformats.org/officeDocument/2006/relationships/hyperlink" Target="http://www.boxofficemojo.com/schedule/?view=bydate&amp;release=theatrical&amp;date=2017-05-03&amp;p=.htm" TargetMode="External"/><Relationship Id="rId1865" Type="http://schemas.openxmlformats.org/officeDocument/2006/relationships/hyperlink" Target="http://www.boxofficemojo.com/movies/?id=servedlikeagirl.htm" TargetMode="External"/><Relationship Id="rId1866" Type="http://schemas.openxmlformats.org/officeDocument/2006/relationships/hyperlink" Target="http://www.boxofficemojo.com/studio/chart/?studio=entertainmentstudios.htm" TargetMode="External"/><Relationship Id="rId1867" Type="http://schemas.openxmlformats.org/officeDocument/2006/relationships/hyperlink" Target="http://www.boxofficemojo.com/schedule/?view=bydate&amp;release=theatrical&amp;date=2017-08-25&amp;p=.htm" TargetMode="External"/><Relationship Id="rId1868" Type="http://schemas.openxmlformats.org/officeDocument/2006/relationships/hyperlink" Target="http://www.boxofficemojo.com/movies/?id=anatahan2017.htm" TargetMode="External"/><Relationship Id="rId1869" Type="http://schemas.openxmlformats.org/officeDocument/2006/relationships/hyperlink" Target="http://www.boxofficemojo.com/studio/chart/?studio=kinolorber.htm" TargetMode="External"/><Relationship Id="rId2160" Type="http://schemas.openxmlformats.org/officeDocument/2006/relationships/hyperlink" Target="http://www.boxofficemojo.com/studio/chart/?studio=wdimension.htm" TargetMode="External"/><Relationship Id="rId2161" Type="http://schemas.openxmlformats.org/officeDocument/2006/relationships/hyperlink" Target="http://www.boxofficemojo.com/schedule/?view=bydate&amp;release=theatrical&amp;date=2017-10-28&amp;p=.htm" TargetMode="External"/><Relationship Id="rId2162" Type="http://schemas.openxmlformats.org/officeDocument/2006/relationships/hyperlink" Target="http://www.boxofficemojo.com/movies/?id=maxleon.htm" TargetMode="External"/><Relationship Id="rId2163" Type="http://schemas.openxmlformats.org/officeDocument/2006/relationships/hyperlink" Target="http://www.boxofficemojo.com/studio/chart/?studio=distribfilms.htm" TargetMode="External"/><Relationship Id="rId2164" Type="http://schemas.openxmlformats.org/officeDocument/2006/relationships/hyperlink" Target="http://www.boxofficemojo.com/schedule/?view=bydate&amp;release=theatrical&amp;date=2017-03-15&amp;p=.htm" TargetMode="External"/><Relationship Id="rId2165" Type="http://schemas.openxmlformats.org/officeDocument/2006/relationships/hyperlink" Target="http://www.boxofficemojo.com/movies/?id=thestudent.htm" TargetMode="External"/><Relationship Id="rId2166" Type="http://schemas.openxmlformats.org/officeDocument/2006/relationships/hyperlink" Target="http://www.boxofficemojo.com/studio/chart/?studio=milkyway.htm" TargetMode="External"/><Relationship Id="rId2167" Type="http://schemas.openxmlformats.org/officeDocument/2006/relationships/hyperlink" Target="http://www.boxofficemojo.com/schedule/?view=bydate&amp;release=theatrical&amp;date=2017-04-14&amp;p=.htm" TargetMode="External"/><Relationship Id="rId2168" Type="http://schemas.openxmlformats.org/officeDocument/2006/relationships/hyperlink" Target="http://www.boxofficemojo.com/movies/?id=222film.htm" TargetMode="External"/><Relationship Id="rId2169" Type="http://schemas.openxmlformats.org/officeDocument/2006/relationships/hyperlink" Target="http://www.boxofficemojo.com/studio/chart/?studio=magnolia.htm" TargetMode="External"/><Relationship Id="rId610" Type="http://schemas.openxmlformats.org/officeDocument/2006/relationships/hyperlink" Target="http://www.boxofficemojo.com/movies/?id=jollyllb2.htm" TargetMode="External"/><Relationship Id="rId611" Type="http://schemas.openxmlformats.org/officeDocument/2006/relationships/hyperlink" Target="http://www.boxofficemojo.com/studio/chart/?studio=fip.htm" TargetMode="External"/><Relationship Id="rId612" Type="http://schemas.openxmlformats.org/officeDocument/2006/relationships/hyperlink" Target="http://www.boxofficemojo.com/schedule/?view=bydate&amp;release=theatrical&amp;date=2017-02-10&amp;p=.htm" TargetMode="External"/><Relationship Id="rId613" Type="http://schemas.openxmlformats.org/officeDocument/2006/relationships/hyperlink" Target="http://www.boxofficemojo.com/movies/?id=thelittlehours.htm" TargetMode="External"/><Relationship Id="rId614" Type="http://schemas.openxmlformats.org/officeDocument/2006/relationships/hyperlink" Target="http://www.boxofficemojo.com/studio/chart/?studio=gunpowderandsky.htm" TargetMode="External"/><Relationship Id="rId615" Type="http://schemas.openxmlformats.org/officeDocument/2006/relationships/hyperlink" Target="http://www.boxofficemojo.com/schedule/?view=bydate&amp;release=theatrical&amp;date=2017-06-30&amp;p=.htm" TargetMode="External"/><Relationship Id="rId616" Type="http://schemas.openxmlformats.org/officeDocument/2006/relationships/hyperlink" Target="http://www.boxofficemojo.com/movies/?id=jane2017.htm" TargetMode="External"/><Relationship Id="rId617" Type="http://schemas.openxmlformats.org/officeDocument/2006/relationships/hyperlink" Target="http://www.boxofficemojo.com/studio/chart/?studio=abramorama.htm" TargetMode="External"/><Relationship Id="rId618" Type="http://schemas.openxmlformats.org/officeDocument/2006/relationships/hyperlink" Target="http://www.boxofficemojo.com/schedule/?view=bydate&amp;release=theatrical&amp;date=2017-10-20&amp;p=.htm" TargetMode="External"/><Relationship Id="rId619" Type="http://schemas.openxmlformats.org/officeDocument/2006/relationships/hyperlink" Target="http://www.boxofficemojo.com/movies/?id=hostiles.htm" TargetMode="External"/><Relationship Id="rId220" Type="http://schemas.openxmlformats.org/officeDocument/2006/relationships/hyperlink" Target="http://www.boxofficemojo.com/movies/?id=monstertrucks.htm" TargetMode="External"/><Relationship Id="rId221" Type="http://schemas.openxmlformats.org/officeDocument/2006/relationships/hyperlink" Target="http://www.boxofficemojo.com/studio/chart/?studio=paramount.htm" TargetMode="External"/><Relationship Id="rId222" Type="http://schemas.openxmlformats.org/officeDocument/2006/relationships/hyperlink" Target="http://www.boxofficemojo.com/schedule/?view=bydate&amp;release=theatrical&amp;date=2017-01-13&amp;p=.htm" TargetMode="External"/><Relationship Id="rId223" Type="http://schemas.openxmlformats.org/officeDocument/2006/relationships/hyperlink" Target="http://www.boxofficemojo.com/movies/?id=threebillboards.htm" TargetMode="External"/><Relationship Id="rId224" Type="http://schemas.openxmlformats.org/officeDocument/2006/relationships/hyperlink" Target="http://www.boxofficemojo.com/studio/chart/?studio=foxsearchlight.htm" TargetMode="External"/><Relationship Id="rId225" Type="http://schemas.openxmlformats.org/officeDocument/2006/relationships/hyperlink" Target="http://www.boxofficemojo.com/schedule/?view=bydate&amp;release=theatrical&amp;date=2017-11-10&amp;p=.htm" TargetMode="External"/><Relationship Id="rId226" Type="http://schemas.openxmlformats.org/officeDocument/2006/relationships/hyperlink" Target="http://www.boxofficemojo.com/movies/?id=fistfight.htm" TargetMode="External"/><Relationship Id="rId227" Type="http://schemas.openxmlformats.org/officeDocument/2006/relationships/hyperlink" Target="http://www.boxofficemojo.com/studio/chart/?studio=wb-newline.htm" TargetMode="External"/><Relationship Id="rId228" Type="http://schemas.openxmlformats.org/officeDocument/2006/relationships/hyperlink" Target="http://www.boxofficemojo.com/schedule/?view=bydate&amp;release=theatrical&amp;date=2017-02-17&amp;p=.htm" TargetMode="External"/><Relationship Id="rId229" Type="http://schemas.openxmlformats.org/officeDocument/2006/relationships/hyperlink" Target="http://www.boxofficemojo.com/movies/?id=howtobealatinlover.htm" TargetMode="External"/><Relationship Id="rId1870" Type="http://schemas.openxmlformats.org/officeDocument/2006/relationships/hyperlink" Target="http://www.boxofficemojo.com/schedule/?view=bydate&amp;release=theatrical&amp;date=2017-02-03&amp;p=.htm" TargetMode="External"/><Relationship Id="rId1871" Type="http://schemas.openxmlformats.org/officeDocument/2006/relationships/hyperlink" Target="http://www.boxofficemojo.com/movies/?id=fromnowhere.htm" TargetMode="External"/><Relationship Id="rId1872" Type="http://schemas.openxmlformats.org/officeDocument/2006/relationships/hyperlink" Target="http://www.boxofficemojo.com/studio/chart/?studio=filmrise.htm" TargetMode="External"/><Relationship Id="rId1873" Type="http://schemas.openxmlformats.org/officeDocument/2006/relationships/hyperlink" Target="http://www.boxofficemojo.com/schedule/?view=bydate&amp;release=theatrical&amp;date=2017-02-17&amp;p=.htm" TargetMode="External"/><Relationship Id="rId1480" Type="http://schemas.openxmlformats.org/officeDocument/2006/relationships/hyperlink" Target="http://www.boxofficemojo.com/movies/?id=nogreaterlove.htm" TargetMode="External"/><Relationship Id="rId1481" Type="http://schemas.openxmlformats.org/officeDocument/2006/relationships/hyperlink" Target="http://www.boxofficemojo.com/studio/chart/?studio=atlas.htm" TargetMode="External"/><Relationship Id="rId1482" Type="http://schemas.openxmlformats.org/officeDocument/2006/relationships/hyperlink" Target="http://www.boxofficemojo.com/schedule/?view=bydate&amp;release=theatrical&amp;date=2017-11-10&amp;p=.htm" TargetMode="External"/><Relationship Id="rId1483" Type="http://schemas.openxmlformats.org/officeDocument/2006/relationships/hyperlink" Target="http://www.boxofficemojo.com/movies/?id=inpursuitofsilence.htm" TargetMode="External"/><Relationship Id="rId1484" Type="http://schemas.openxmlformats.org/officeDocument/2006/relationships/hyperlink" Target="http://www.boxofficemojo.com/studio/chart/?studio=cinemaguild.htm" TargetMode="External"/><Relationship Id="rId1485" Type="http://schemas.openxmlformats.org/officeDocument/2006/relationships/hyperlink" Target="http://www.boxofficemojo.com/schedule/?view=bydate&amp;release=theatrical&amp;date=2017-06-23&amp;p=.htm" TargetMode="External"/><Relationship Id="rId1486" Type="http://schemas.openxmlformats.org/officeDocument/2006/relationships/hyperlink" Target="http://www.boxofficemojo.com/movies/?id=uncertain17.htm" TargetMode="External"/><Relationship Id="rId1487" Type="http://schemas.openxmlformats.org/officeDocument/2006/relationships/hyperlink" Target="http://www.boxofficemojo.com/studio/chart/?studio=luciddreaminginc.htm" TargetMode="External"/><Relationship Id="rId1488" Type="http://schemas.openxmlformats.org/officeDocument/2006/relationships/hyperlink" Target="http://www.boxofficemojo.com/schedule/?view=bydate&amp;release=theatrical&amp;date=2017-03-06&amp;p=.htm" TargetMode="External"/><Relationship Id="rId1489" Type="http://schemas.openxmlformats.org/officeDocument/2006/relationships/hyperlink" Target="http://www.boxofficemojo.com/movies/?id=signaturemove.htm" TargetMode="External"/><Relationship Id="rId1090" Type="http://schemas.openxmlformats.org/officeDocument/2006/relationships/hyperlink" Target="http://www.boxofficemojo.com/movies/?id=happyend.htm" TargetMode="External"/><Relationship Id="rId1091" Type="http://schemas.openxmlformats.org/officeDocument/2006/relationships/hyperlink" Target="http://www.boxofficemojo.com/studio/chart/?studio=sonyclassics.htm" TargetMode="External"/><Relationship Id="rId1092" Type="http://schemas.openxmlformats.org/officeDocument/2006/relationships/hyperlink" Target="http://www.boxofficemojo.com/schedule/?view=bydate&amp;release=theatrical&amp;date=2017-12-22&amp;p=.htm" TargetMode="External"/><Relationship Id="rId1093" Type="http://schemas.openxmlformats.org/officeDocument/2006/relationships/hyperlink" Target="http://www.boxofficemojo.com/movies/?id=13minutes.htm" TargetMode="External"/><Relationship Id="rId1094" Type="http://schemas.openxmlformats.org/officeDocument/2006/relationships/hyperlink" Target="http://www.boxofficemojo.com/studio/chart/?studio=sonyclassics.htm" TargetMode="External"/><Relationship Id="rId1095" Type="http://schemas.openxmlformats.org/officeDocument/2006/relationships/hyperlink" Target="http://www.boxofficemojo.com/schedule/?view=bydate&amp;release=theatrical&amp;date=2017-06-30&amp;p=.htm" TargetMode="External"/><Relationship Id="rId1096" Type="http://schemas.openxmlformats.org/officeDocument/2006/relationships/hyperlink" Target="http://www.boxofficemojo.com/movies/?id=manifesto2017.htm" TargetMode="External"/><Relationship Id="rId1097" Type="http://schemas.openxmlformats.org/officeDocument/2006/relationships/hyperlink" Target="http://www.boxofficemojo.com/studio/chart/?studio=filmrise.htm" TargetMode="External"/><Relationship Id="rId1098" Type="http://schemas.openxmlformats.org/officeDocument/2006/relationships/hyperlink" Target="http://www.boxofficemojo.com/schedule/?view=bydate&amp;release=theatrical&amp;date=2017-05-10&amp;p=.htm" TargetMode="External"/><Relationship Id="rId1099" Type="http://schemas.openxmlformats.org/officeDocument/2006/relationships/hyperlink" Target="http://www.boxofficemojo.com/movies/?id=aboutray.htm" TargetMode="External"/><Relationship Id="rId1874" Type="http://schemas.openxmlformats.org/officeDocument/2006/relationships/hyperlink" Target="http://www.boxofficemojo.com/movies/?id=sweptaway2017.htm" TargetMode="External"/><Relationship Id="rId1875" Type="http://schemas.openxmlformats.org/officeDocument/2006/relationships/hyperlink" Target="http://www.boxofficemojo.com/studio/chart/?studio=kinolorber.htm" TargetMode="External"/><Relationship Id="rId1876" Type="http://schemas.openxmlformats.org/officeDocument/2006/relationships/hyperlink" Target="http://www.boxofficemojo.com/schedule/?view=bydate&amp;release=theatrical&amp;date=2017-04-14&amp;p=.htm" TargetMode="External"/><Relationship Id="rId1877" Type="http://schemas.openxmlformats.org/officeDocument/2006/relationships/hyperlink" Target="http://www.boxofficemojo.com/movies/?id=theballadofleftybrown.htm" TargetMode="External"/><Relationship Id="rId1878" Type="http://schemas.openxmlformats.org/officeDocument/2006/relationships/hyperlink" Target="http://www.boxofficemojo.com/studio/chart/?studio=a24.htm" TargetMode="External"/><Relationship Id="rId1879" Type="http://schemas.openxmlformats.org/officeDocument/2006/relationships/hyperlink" Target="http://www.boxofficemojo.com/schedule/?view=bydate&amp;release=theatrical&amp;date=2017-12-15&amp;p=.htm" TargetMode="External"/><Relationship Id="rId2170" Type="http://schemas.openxmlformats.org/officeDocument/2006/relationships/hyperlink" Target="http://www.boxofficemojo.com/schedule/?view=bydate&amp;release=theatrical&amp;date=2017-06-30&amp;p=.htm" TargetMode="External"/><Relationship Id="rId620" Type="http://schemas.openxmlformats.org/officeDocument/2006/relationships/hyperlink" Target="http://www.boxofficemojo.com/studio/chart/?studio=entertainmentstudios.htm" TargetMode="External"/><Relationship Id="rId621" Type="http://schemas.openxmlformats.org/officeDocument/2006/relationships/hyperlink" Target="http://www.boxofficemojo.com/schedule/?view=bydate&amp;release=theatrical&amp;date=2017-12-22&amp;p=.htm" TargetMode="External"/><Relationship Id="rId622" Type="http://schemas.openxmlformats.org/officeDocument/2006/relationships/hyperlink" Target="http://www.boxofficemojo.com/movies/?id=aghoststory.htm" TargetMode="External"/><Relationship Id="rId623" Type="http://schemas.openxmlformats.org/officeDocument/2006/relationships/hyperlink" Target="http://www.boxofficemojo.com/studio/chart/?studio=a24.htm" TargetMode="External"/><Relationship Id="rId624" Type="http://schemas.openxmlformats.org/officeDocument/2006/relationships/hyperlink" Target="http://www.boxofficemojo.com/schedule/?view=bydate&amp;release=theatrical&amp;date=2017-07-07&amp;p=.htm" TargetMode="External"/><Relationship Id="rId625" Type="http://schemas.openxmlformats.org/officeDocument/2006/relationships/hyperlink" Target="http://www.boxofficemojo.com/movies/?id=professormarstonandthewonderwomen.htm" TargetMode="External"/><Relationship Id="rId626" Type="http://schemas.openxmlformats.org/officeDocument/2006/relationships/hyperlink" Target="http://www.boxofficemojo.com/studio/chart/?studio=annapurna.htm" TargetMode="External"/><Relationship Id="rId627" Type="http://schemas.openxmlformats.org/officeDocument/2006/relationships/hyperlink" Target="http://www.boxofficemojo.com/schedule/?view=bydate&amp;release=theatrical&amp;date=2017-10-13&amp;p=.htm" TargetMode="External"/><Relationship Id="rId628" Type="http://schemas.openxmlformats.org/officeDocument/2006/relationships/hyperlink" Target="http://www.boxofficemojo.com/movies/?id=thestray.htm" TargetMode="External"/><Relationship Id="rId629" Type="http://schemas.openxmlformats.org/officeDocument/2006/relationships/hyperlink" Target="http://www.boxofficemojo.com/studio/chart/?studio=purdie.htm" TargetMode="External"/><Relationship Id="rId230" Type="http://schemas.openxmlformats.org/officeDocument/2006/relationships/hyperlink" Target="http://www.boxofficemojo.com/studio/chart/?studio=pantelion.htm" TargetMode="External"/><Relationship Id="rId231" Type="http://schemas.openxmlformats.org/officeDocument/2006/relationships/hyperlink" Target="http://www.boxofficemojo.com/schedule/?view=bydate&amp;release=theatrical&amp;date=2017-04-28&amp;p=.htm" TargetMode="External"/><Relationship Id="rId232" Type="http://schemas.openxmlformats.org/officeDocument/2006/relationships/hyperlink" Target="http://www.boxofficemojo.com/movies/?id=kidnap2015.htm" TargetMode="External"/><Relationship Id="rId233" Type="http://schemas.openxmlformats.org/officeDocument/2006/relationships/hyperlink" Target="http://www.boxofficemojo.com/studio/chart/?studio=aviron.htm" TargetMode="External"/><Relationship Id="rId234" Type="http://schemas.openxmlformats.org/officeDocument/2006/relationships/hyperlink" Target="http://www.boxofficemojo.com/schedule/?view=bydate&amp;release=theatrical&amp;date=2017-08-04&amp;p=.htm" TargetMode="External"/><Relationship Id="rId235" Type="http://schemas.openxmlformats.org/officeDocument/2006/relationships/hyperlink" Target="http://www.boxofficemojo.com/movies/?id=theshapeofwater.htm" TargetMode="External"/><Relationship Id="rId236" Type="http://schemas.openxmlformats.org/officeDocument/2006/relationships/hyperlink" Target="http://www.boxofficemojo.com/studio/chart/?studio=foxsearchlight.htm" TargetMode="External"/><Relationship Id="rId237" Type="http://schemas.openxmlformats.org/officeDocument/2006/relationships/hyperlink" Target="http://www.boxofficemojo.com/schedule/?view=bydate&amp;release=theatrical&amp;date=2017-12-01&amp;p=.htm" TargetMode="External"/><Relationship Id="rId238" Type="http://schemas.openxmlformats.org/officeDocument/2006/relationships/hyperlink" Target="http://www.boxofficemojo.com/movies/?id=underworld5.htm" TargetMode="External"/><Relationship Id="rId239" Type="http://schemas.openxmlformats.org/officeDocument/2006/relationships/hyperlink" Target="http://www.boxofficemojo.com/studio/chart/?studio=screengems.htm" TargetMode="External"/><Relationship Id="rId1880" Type="http://schemas.openxmlformats.org/officeDocument/2006/relationships/hyperlink" Target="http://www.boxofficemojo.com/movies/?id=overdrive.htm" TargetMode="External"/><Relationship Id="rId1881" Type="http://schemas.openxmlformats.org/officeDocument/2006/relationships/hyperlink" Target="http://www.boxofficemojo.com/studio/chart/?studio=vertical.htm" TargetMode="External"/><Relationship Id="rId1882" Type="http://schemas.openxmlformats.org/officeDocument/2006/relationships/hyperlink" Target="http://www.boxofficemojo.com/schedule/?view=bydate&amp;release=theatrical&amp;date=2017-10-06&amp;p=.htm" TargetMode="External"/><Relationship Id="rId1883" Type="http://schemas.openxmlformats.org/officeDocument/2006/relationships/hyperlink" Target="http://www.boxofficemojo.com/movies/?id=mauriziocattelan.htm" TargetMode="External"/><Relationship Id="rId1490" Type="http://schemas.openxmlformats.org/officeDocument/2006/relationships/hyperlink" Target="http://www.boxofficemojo.com/studio/chart/?studio=newcity.htm" TargetMode="External"/><Relationship Id="rId1491" Type="http://schemas.openxmlformats.org/officeDocument/2006/relationships/hyperlink" Target="http://www.boxofficemojo.com/schedule/?view=bydate&amp;release=theatrical&amp;date=2017-09-29&amp;p=.htm" TargetMode="External"/><Relationship Id="rId1492" Type="http://schemas.openxmlformats.org/officeDocument/2006/relationships/hyperlink" Target="http://www.boxofficemojo.com/movies/?id=nocturama.htm" TargetMode="External"/><Relationship Id="rId1493" Type="http://schemas.openxmlformats.org/officeDocument/2006/relationships/hyperlink" Target="http://www.boxofficemojo.com/studio/chart/?studio=grasshopper.htm" TargetMode="External"/><Relationship Id="rId1494" Type="http://schemas.openxmlformats.org/officeDocument/2006/relationships/hyperlink" Target="http://www.boxofficemojo.com/schedule/?view=bydate&amp;release=theatrical&amp;date=2017-08-11&amp;p=.htm" TargetMode="External"/><Relationship Id="rId1495" Type="http://schemas.openxmlformats.org/officeDocument/2006/relationships/hyperlink" Target="http://www.boxofficemojo.com/movies/?id=lemon.htm" TargetMode="External"/><Relationship Id="rId1496" Type="http://schemas.openxmlformats.org/officeDocument/2006/relationships/hyperlink" Target="http://www.boxofficemojo.com/studio/chart/?studio=magnolia.htm" TargetMode="External"/><Relationship Id="rId1497" Type="http://schemas.openxmlformats.org/officeDocument/2006/relationships/hyperlink" Target="http://www.boxofficemojo.com/schedule/?view=bydate&amp;release=theatrical&amp;date=2017-08-18&amp;p=.htm" TargetMode="External"/><Relationship Id="rId1498" Type="http://schemas.openxmlformats.org/officeDocument/2006/relationships/hyperlink" Target="http://www.boxofficemojo.com/movies/?id=falseconfessions.htm" TargetMode="External"/><Relationship Id="rId1499" Type="http://schemas.openxmlformats.org/officeDocument/2006/relationships/hyperlink" Target="http://www.boxofficemojo.com/studio/chart/?studio=bigworld.htm" TargetMode="External"/><Relationship Id="rId1884" Type="http://schemas.openxmlformats.org/officeDocument/2006/relationships/hyperlink" Target="http://www.boxofficemojo.com/studio/chart/?studio=bond360.htm" TargetMode="External"/><Relationship Id="rId1885" Type="http://schemas.openxmlformats.org/officeDocument/2006/relationships/hyperlink" Target="http://www.boxofficemojo.com/schedule/?view=bydate&amp;release=theatrical&amp;date=2017-04-14&amp;p=.htm" TargetMode="External"/><Relationship Id="rId1886" Type="http://schemas.openxmlformats.org/officeDocument/2006/relationships/hyperlink" Target="http://www.boxofficemojo.com/movies/?id=thewronglight.htm" TargetMode="External"/><Relationship Id="rId1887" Type="http://schemas.openxmlformats.org/officeDocument/2006/relationships/hyperlink" Target="http://www.boxofficemojo.com/studio/chart/?studio=cinemaguild.htm" TargetMode="External"/><Relationship Id="rId1888" Type="http://schemas.openxmlformats.org/officeDocument/2006/relationships/hyperlink" Target="http://www.boxofficemojo.com/schedule/?view=bydate&amp;release=theatrical&amp;date=2017-07-14&amp;p=.htm" TargetMode="External"/><Relationship Id="rId1889" Type="http://schemas.openxmlformats.org/officeDocument/2006/relationships/hyperlink" Target="http://www.boxofficemojo.com/movies/?id=birthright.htm" TargetMode="External"/><Relationship Id="rId10" Type="http://schemas.openxmlformats.org/officeDocument/2006/relationships/hyperlink" Target="http://www.boxofficemojo.com/movies/?id=marvel17a.htm" TargetMode="External"/><Relationship Id="rId11" Type="http://schemas.openxmlformats.org/officeDocument/2006/relationships/hyperlink" Target="http://www.boxofficemojo.com/studio/chart/?studio=buenavista.htm" TargetMode="External"/><Relationship Id="rId12" Type="http://schemas.openxmlformats.org/officeDocument/2006/relationships/hyperlink" Target="http://www.boxofficemojo.com/schedule/?view=bydate&amp;release=theatrical&amp;date=2017-05-05&amp;p=.htm" TargetMode="External"/><Relationship Id="rId13" Type="http://schemas.openxmlformats.org/officeDocument/2006/relationships/hyperlink" Target="http://www.boxofficemojo.com/movies/?id=spiderman2017.htm" TargetMode="External"/><Relationship Id="rId14" Type="http://schemas.openxmlformats.org/officeDocument/2006/relationships/hyperlink" Target="http://www.boxofficemojo.com/studio/chart/?studio=sony.htm" TargetMode="External"/><Relationship Id="rId15" Type="http://schemas.openxmlformats.org/officeDocument/2006/relationships/hyperlink" Target="http://www.boxofficemojo.com/schedule/?view=bydate&amp;release=theatrical&amp;date=2017-07-07&amp;p=.htm" TargetMode="External"/><Relationship Id="rId16" Type="http://schemas.openxmlformats.org/officeDocument/2006/relationships/hyperlink" Target="http://www.boxofficemojo.com/movies/?id=it.htm" TargetMode="External"/><Relationship Id="rId17" Type="http://schemas.openxmlformats.org/officeDocument/2006/relationships/hyperlink" Target="http://www.boxofficemojo.com/studio/chart/?studio=wb-newline.htm" TargetMode="External"/><Relationship Id="rId18" Type="http://schemas.openxmlformats.org/officeDocument/2006/relationships/hyperlink" Target="http://www.boxofficemojo.com/schedule/?view=bydate&amp;release=theatrical&amp;date=2017-09-08&amp;p=.htm" TargetMode="External"/><Relationship Id="rId19" Type="http://schemas.openxmlformats.org/officeDocument/2006/relationships/hyperlink" Target="http://www.boxofficemojo.com/movies/?id=jumanji2016.htm" TargetMode="External"/><Relationship Id="rId630" Type="http://schemas.openxmlformats.org/officeDocument/2006/relationships/hyperlink" Target="http://www.boxofficemojo.com/schedule/?view=bydate&amp;release=theatrical&amp;date=2017-10-06&amp;p=.htm" TargetMode="External"/><Relationship Id="rId631" Type="http://schemas.openxmlformats.org/officeDocument/2006/relationships/hyperlink" Target="http://www.boxofficemojo.com/movies/?id=genesisparadiselost.htm" TargetMode="External"/><Relationship Id="rId632" Type="http://schemas.openxmlformats.org/officeDocument/2006/relationships/hyperlink" Target="http://www.boxofficemojo.com/studio/chart/?studio=fathom.htm" TargetMode="External"/><Relationship Id="rId633" Type="http://schemas.openxmlformats.org/officeDocument/2006/relationships/hyperlink" Target="http://www.boxofficemojo.com/schedule/?view=bydate&amp;release=theatrical&amp;date=2017-11-13&amp;p=.htm" TargetMode="External"/><Relationship Id="rId634" Type="http://schemas.openxmlformats.org/officeDocument/2006/relationships/hyperlink" Target="http://www.boxofficemojo.com/movies/?id=ataxidriver.htm" TargetMode="External"/><Relationship Id="rId635" Type="http://schemas.openxmlformats.org/officeDocument/2006/relationships/hyperlink" Target="http://www.boxofficemojo.com/studio/chart/?studio=wellgo.htm" TargetMode="External"/><Relationship Id="rId636" Type="http://schemas.openxmlformats.org/officeDocument/2006/relationships/hyperlink" Target="http://www.boxofficemojo.com/schedule/?view=bydate&amp;release=theatrical&amp;date=2017-08-11&amp;p=.htm" TargetMode="External"/><Relationship Id="rId637" Type="http://schemas.openxmlformats.org/officeDocument/2006/relationships/hyperlink" Target="http://www.boxofficemojo.com/movies/?id=swordartonline.htm" TargetMode="External"/><Relationship Id="rId638" Type="http://schemas.openxmlformats.org/officeDocument/2006/relationships/hyperlink" Target="http://www.boxofficemojo.com/studio/chart/?studio=elevenarts.htm" TargetMode="External"/><Relationship Id="rId639" Type="http://schemas.openxmlformats.org/officeDocument/2006/relationships/hyperlink" Target="http://www.boxofficemojo.com/schedule/?view=bydate&amp;release=theatrical&amp;date=2017-03-09&amp;p=.htm" TargetMode="External"/><Relationship Id="rId240" Type="http://schemas.openxmlformats.org/officeDocument/2006/relationships/hyperlink" Target="http://www.boxofficemojo.com/schedule/?view=bydate&amp;release=theatrical&amp;date=2017-01-06&amp;p=.htm" TargetMode="External"/><Relationship Id="rId241" Type="http://schemas.openxmlformats.org/officeDocument/2006/relationships/hyperlink" Target="http://www.boxofficemojo.com/movies/?id=mountainbetweenus.htm" TargetMode="External"/><Relationship Id="rId242" Type="http://schemas.openxmlformats.org/officeDocument/2006/relationships/hyperlink" Target="http://www.boxofficemojo.com/studio/chart/?studio=fox.htm" TargetMode="External"/><Relationship Id="rId243" Type="http://schemas.openxmlformats.org/officeDocument/2006/relationships/hyperlink" Target="http://www.boxofficemojo.com/schedule/?view=bydate&amp;release=theatrical&amp;date=2017-10-06&amp;p=.htm" TargetMode="External"/><Relationship Id="rId244" Type="http://schemas.openxmlformats.org/officeDocument/2006/relationships/hyperlink" Target="http://www.boxofficemojo.com/movies/?id=life2017.htm" TargetMode="External"/><Relationship Id="rId245" Type="http://schemas.openxmlformats.org/officeDocument/2006/relationships/hyperlink" Target="http://www.boxofficemojo.com/studio/chart/?studio=sony.htm" TargetMode="External"/><Relationship Id="rId246" Type="http://schemas.openxmlformats.org/officeDocument/2006/relationships/hyperlink" Target="http://www.boxofficemojo.com/schedule/?view=bydate&amp;release=theatrical&amp;date=2017-03-24&amp;p=.htm" TargetMode="External"/><Relationship Id="rId247" Type="http://schemas.openxmlformats.org/officeDocument/2006/relationships/hyperlink" Target="http://www.boxofficemojo.com/movies/?id=nutjob2.htm" TargetMode="External"/><Relationship Id="rId248" Type="http://schemas.openxmlformats.org/officeDocument/2006/relationships/hyperlink" Target="http://www.boxofficemojo.com/studio/chart/?studio=openroads.htm" TargetMode="External"/><Relationship Id="rId249" Type="http://schemas.openxmlformats.org/officeDocument/2006/relationships/hyperlink" Target="http://www.boxofficemojo.com/schedule/?view=bydate&amp;release=theatrical&amp;date=2017-08-11&amp;p=.htm" TargetMode="External"/><Relationship Id="rId1890" Type="http://schemas.openxmlformats.org/officeDocument/2006/relationships/hyperlink" Target="http://www.boxofficemojo.com/studio/chart/?studio=abramorama.htm" TargetMode="External"/><Relationship Id="rId1891" Type="http://schemas.openxmlformats.org/officeDocument/2006/relationships/hyperlink" Target="http://www.boxofficemojo.com/schedule/?view=bydate&amp;release=theatrical&amp;date=2017-07-14&amp;p=.htm" TargetMode="External"/><Relationship Id="rId1892" Type="http://schemas.openxmlformats.org/officeDocument/2006/relationships/hyperlink" Target="http://www.boxofficemojo.com/movies/?id=frankserpico.htm" TargetMode="External"/><Relationship Id="rId1893" Type="http://schemas.openxmlformats.org/officeDocument/2006/relationships/hyperlink" Target="http://www.boxofficemojo.com/studio/chart/?studio=ifc.htm" TargetMode="External"/><Relationship Id="rId1894" Type="http://schemas.openxmlformats.org/officeDocument/2006/relationships/hyperlink" Target="http://www.boxofficemojo.com/schedule/?view=bydate&amp;release=theatrical&amp;date=2017-11-01&amp;p=.htm" TargetMode="External"/><Relationship Id="rId1895" Type="http://schemas.openxmlformats.org/officeDocument/2006/relationships/hyperlink" Target="http://www.boxofficemojo.com/movies/?id=bigtime.htm" TargetMode="External"/><Relationship Id="rId1896" Type="http://schemas.openxmlformats.org/officeDocument/2006/relationships/hyperlink" Target="http://www.boxofficemojo.com/studio/chart/?studio=abramorama.htm" TargetMode="External"/><Relationship Id="rId1897" Type="http://schemas.openxmlformats.org/officeDocument/2006/relationships/hyperlink" Target="http://www.boxofficemojo.com/schedule/?view=bydate&amp;release=theatrical&amp;date=2017-12-01&amp;p=.htm" TargetMode="External"/><Relationship Id="rId1898" Type="http://schemas.openxmlformats.org/officeDocument/2006/relationships/hyperlink" Target="http://www.boxofficemojo.com/movies/?id=anotherwolfcop.htm" TargetMode="External"/><Relationship Id="rId1899" Type="http://schemas.openxmlformats.org/officeDocument/2006/relationships/hyperlink" Target="http://www.boxofficemojo.com/studio/chart/?studio=paradedeck.htm" TargetMode="External"/><Relationship Id="rId20" Type="http://schemas.openxmlformats.org/officeDocument/2006/relationships/hyperlink" Target="http://www.boxofficemojo.com/studio/chart/?studio=sony.htm" TargetMode="External"/><Relationship Id="rId21" Type="http://schemas.openxmlformats.org/officeDocument/2006/relationships/hyperlink" Target="http://www.boxofficemojo.com/schedule/?view=bydate&amp;release=theatrical&amp;date=2017-12-20&amp;p=.htm" TargetMode="External"/><Relationship Id="rId22" Type="http://schemas.openxmlformats.org/officeDocument/2006/relationships/hyperlink" Target="http://www.boxofficemojo.com/movies/?id=marvel2017.htm" TargetMode="External"/><Relationship Id="rId23" Type="http://schemas.openxmlformats.org/officeDocument/2006/relationships/hyperlink" Target="http://www.boxofficemojo.com/studio/chart/?studio=buenavista.htm" TargetMode="External"/><Relationship Id="rId24" Type="http://schemas.openxmlformats.org/officeDocument/2006/relationships/hyperlink" Target="http://www.boxofficemojo.com/schedule/?view=bydate&amp;release=theatrical&amp;date=2017-11-03&amp;p=.htm" TargetMode="External"/><Relationship Id="rId25" Type="http://schemas.openxmlformats.org/officeDocument/2006/relationships/hyperlink" Target="http://www.boxofficemojo.com/movies/?id=despicableme3.htm" TargetMode="External"/><Relationship Id="rId26" Type="http://schemas.openxmlformats.org/officeDocument/2006/relationships/hyperlink" Target="http://www.boxofficemojo.com/studio/chart/?studio=universal.htm" TargetMode="External"/><Relationship Id="rId27" Type="http://schemas.openxmlformats.org/officeDocument/2006/relationships/hyperlink" Target="http://www.boxofficemojo.com/schedule/?view=bydate&amp;release=theatrical&amp;date=2017-06-30&amp;p=.htm" TargetMode="External"/><Relationship Id="rId28" Type="http://schemas.openxmlformats.org/officeDocument/2006/relationships/hyperlink" Target="http://www.boxofficemojo.com/movies/?id=dcfilm1117.htm" TargetMode="External"/><Relationship Id="rId29" Type="http://schemas.openxmlformats.org/officeDocument/2006/relationships/hyperlink" Target="http://www.boxofficemojo.com/studio/chart/?studio=warnerbros.htm" TargetMode="External"/><Relationship Id="rId1100" Type="http://schemas.openxmlformats.org/officeDocument/2006/relationships/hyperlink" Target="http://www.boxofficemojo.com/studio/chart/?studio=weinsteincompany.htm" TargetMode="External"/><Relationship Id="rId1101" Type="http://schemas.openxmlformats.org/officeDocument/2006/relationships/hyperlink" Target="http://www.boxofficemojo.com/schedule/?view=bydate&amp;release=theatrical&amp;date=2017-05-05&amp;p=.htm" TargetMode="External"/><Relationship Id="rId1102" Type="http://schemas.openxmlformats.org/officeDocument/2006/relationships/hyperlink" Target="http://www.boxofficemojo.com/movies/?id=thejourney.htm" TargetMode="External"/><Relationship Id="rId1103" Type="http://schemas.openxmlformats.org/officeDocument/2006/relationships/hyperlink" Target="http://www.boxofficemojo.com/studio/chart/?studio=ifc.htm" TargetMode="External"/><Relationship Id="rId1104" Type="http://schemas.openxmlformats.org/officeDocument/2006/relationships/hyperlink" Target="http://www.boxofficemojo.com/schedule/?view=bydate&amp;release=theatrical&amp;date=2017-06-16&amp;p=.htm" TargetMode="External"/><Relationship Id="rId1105" Type="http://schemas.openxmlformats.org/officeDocument/2006/relationships/hyperlink" Target="http://www.boxofficemojo.com/movies/?id=endlesspoetry.htm" TargetMode="External"/><Relationship Id="rId1106" Type="http://schemas.openxmlformats.org/officeDocument/2006/relationships/hyperlink" Target="http://www.boxofficemojo.com/studio/chart/?studio=abkcofilms.htm" TargetMode="External"/><Relationship Id="rId1107" Type="http://schemas.openxmlformats.org/officeDocument/2006/relationships/hyperlink" Target="http://www.boxofficemojo.com/schedule/?view=bydate&amp;release=theatrical&amp;date=2017-07-14&amp;p=.htm" TargetMode="External"/><Relationship Id="rId1108" Type="http://schemas.openxmlformats.org/officeDocument/2006/relationships/hyperlink" Target="http://www.boxofficemojo.com/movies/?id=exlibris.htm" TargetMode="External"/><Relationship Id="rId1109" Type="http://schemas.openxmlformats.org/officeDocument/2006/relationships/hyperlink" Target="http://www.boxofficemojo.com/studio/chart/?studio=zipporahfilms.htm" TargetMode="External"/><Relationship Id="rId640" Type="http://schemas.openxmlformats.org/officeDocument/2006/relationships/hyperlink" Target="http://www.boxofficemojo.com/movies/?id=marvel2018b.htm" TargetMode="External"/><Relationship Id="rId641" Type="http://schemas.openxmlformats.org/officeDocument/2006/relationships/hyperlink" Target="http://www.boxofficemojo.com/studio/chart/?studio=imax.htm" TargetMode="External"/><Relationship Id="rId642" Type="http://schemas.openxmlformats.org/officeDocument/2006/relationships/hyperlink" Target="http://www.boxofficemojo.com/schedule/?view=bydate&amp;release=theatrical&amp;date=2017-09-01&amp;p=.htm" TargetMode="External"/><Relationship Id="rId643" Type="http://schemas.openxmlformats.org/officeDocument/2006/relationships/hyperlink" Target="http://www.boxofficemojo.com/movies/?id=mully.htm" TargetMode="External"/><Relationship Id="rId644" Type="http://schemas.openxmlformats.org/officeDocument/2006/relationships/hyperlink" Target="http://www.boxofficemojo.com/studio/chart/?studio=fathom.htm" TargetMode="External"/><Relationship Id="rId645" Type="http://schemas.openxmlformats.org/officeDocument/2006/relationships/hyperlink" Target="http://www.boxofficemojo.com/schedule/?view=bydate&amp;release=theatrical&amp;date=2017-10-03&amp;p=.htm" TargetMode="External"/><Relationship Id="rId646" Type="http://schemas.openxmlformats.org/officeDocument/2006/relationships/hyperlink" Target="http://www.boxofficemojo.com/movies/?id=judwaa2.htm" TargetMode="External"/><Relationship Id="rId647" Type="http://schemas.openxmlformats.org/officeDocument/2006/relationships/hyperlink" Target="http://www.boxofficemojo.com/studio/chart/?studio=fip.htm" TargetMode="External"/><Relationship Id="rId648" Type="http://schemas.openxmlformats.org/officeDocument/2006/relationships/hyperlink" Target="http://www.boxofficemojo.com/schedule/?view=bydate&amp;release=theatrical&amp;date=2017-09-29&amp;p=.htm" TargetMode="External"/><Relationship Id="rId649" Type="http://schemas.openxmlformats.org/officeDocument/2006/relationships/hyperlink" Target="http://www.boxofficemojo.com/movies/?id=theweddingplan.htm" TargetMode="External"/><Relationship Id="rId250" Type="http://schemas.openxmlformats.org/officeDocument/2006/relationships/hyperlink" Target="http://www.boxofficemojo.com/movies/?id=rings.htm" TargetMode="External"/><Relationship Id="rId251" Type="http://schemas.openxmlformats.org/officeDocument/2006/relationships/hyperlink" Target="http://www.boxofficemojo.com/studio/chart/?studio=paramount.htm" TargetMode="External"/><Relationship Id="rId252" Type="http://schemas.openxmlformats.org/officeDocument/2006/relationships/hyperlink" Target="http://www.boxofficemojo.com/schedule/?view=bydate&amp;release=theatrical&amp;date=2017-02-03&amp;p=.htm" TargetMode="External"/><Relationship Id="rId253" Type="http://schemas.openxmlformats.org/officeDocument/2006/relationships/hyperlink" Target="http://www.boxofficemojo.com/movies/?id=loganlucky.htm" TargetMode="External"/><Relationship Id="rId254" Type="http://schemas.openxmlformats.org/officeDocument/2006/relationships/hyperlink" Target="http://www.boxofficemojo.com/studio/chart/?studio=bleeckerstreet.htm" TargetMode="External"/><Relationship Id="rId255" Type="http://schemas.openxmlformats.org/officeDocument/2006/relationships/hyperlink" Target="http://www.boxofficemojo.com/schedule/?view=bydate&amp;release=theatrical&amp;date=2017-08-18&amp;p=.htm" TargetMode="External"/><Relationship Id="rId256" Type="http://schemas.openxmlformats.org/officeDocument/2006/relationships/hyperlink" Target="http://www.boxofficemojo.com/movies/?id=homeagain.htm" TargetMode="External"/><Relationship Id="rId257" Type="http://schemas.openxmlformats.org/officeDocument/2006/relationships/hyperlink" Target="http://www.boxofficemojo.com/studio/chart/?studio=openroads.htm" TargetMode="External"/><Relationship Id="rId258" Type="http://schemas.openxmlformats.org/officeDocument/2006/relationships/hyperlink" Target="http://www.boxofficemojo.com/schedule/?view=bydate&amp;release=theatrical&amp;date=2017-09-08&amp;p=.htm" TargetMode="External"/><Relationship Id="rId259" Type="http://schemas.openxmlformats.org/officeDocument/2006/relationships/hyperlink" Target="http://www.boxofficemojo.com/movies/?id=residentevil6.htm" TargetMode="External"/><Relationship Id="rId30" Type="http://schemas.openxmlformats.org/officeDocument/2006/relationships/hyperlink" Target="http://www.boxofficemojo.com/schedule/?view=bydate&amp;release=theatrical&amp;date=2017-11-17&amp;p=.htm" TargetMode="External"/><Relationship Id="rId31" Type="http://schemas.openxmlformats.org/officeDocument/2006/relationships/hyperlink" Target="http://www.boxofficemojo.com/movies/?id=wolverine2017.htm" TargetMode="External"/><Relationship Id="rId32" Type="http://schemas.openxmlformats.org/officeDocument/2006/relationships/hyperlink" Target="http://www.boxofficemojo.com/studio/chart/?studio=fox.htm" TargetMode="External"/><Relationship Id="rId33" Type="http://schemas.openxmlformats.org/officeDocument/2006/relationships/hyperlink" Target="http://www.boxofficemojo.com/schedule/?view=bydate&amp;release=theatrical&amp;date=2017-03-03&amp;p=.htm" TargetMode="External"/><Relationship Id="rId34" Type="http://schemas.openxmlformats.org/officeDocument/2006/relationships/hyperlink" Target="http://www.boxofficemojo.com/movies/?id=furious8.htm" TargetMode="External"/><Relationship Id="rId35" Type="http://schemas.openxmlformats.org/officeDocument/2006/relationships/hyperlink" Target="http://www.boxofficemojo.com/studio/chart/?studio=universal.htm" TargetMode="External"/><Relationship Id="rId36" Type="http://schemas.openxmlformats.org/officeDocument/2006/relationships/hyperlink" Target="http://www.boxofficemojo.com/schedule/?view=bydate&amp;release=theatrical&amp;date=2017-04-14&amp;p=.htm" TargetMode="External"/><Relationship Id="rId37" Type="http://schemas.openxmlformats.org/officeDocument/2006/relationships/hyperlink" Target="http://www.boxofficemojo.com/movies/?id=pixar1117.htm" TargetMode="External"/><Relationship Id="rId38" Type="http://schemas.openxmlformats.org/officeDocument/2006/relationships/hyperlink" Target="http://www.boxofficemojo.com/studio/chart/?studio=buenavista.htm" TargetMode="External"/><Relationship Id="rId39" Type="http://schemas.openxmlformats.org/officeDocument/2006/relationships/hyperlink" Target="http://www.boxofficemojo.com/schedule/?view=bydate&amp;release=theatrical&amp;date=2017-11-22&amp;p=.htm" TargetMode="External"/><Relationship Id="rId1500" Type="http://schemas.openxmlformats.org/officeDocument/2006/relationships/hyperlink" Target="http://www.boxofficemojo.com/schedule/?view=bydate&amp;release=theatrical&amp;date=2017-07-14&amp;p=.htm" TargetMode="External"/><Relationship Id="rId1501" Type="http://schemas.openxmlformats.org/officeDocument/2006/relationships/hyperlink" Target="http://www.boxofficemojo.com/movies/?id=spettacolo.htm" TargetMode="External"/><Relationship Id="rId1502" Type="http://schemas.openxmlformats.org/officeDocument/2006/relationships/hyperlink" Target="http://www.boxofficemojo.com/studio/chart/?studio=grasshopper.htm" TargetMode="External"/><Relationship Id="rId1503" Type="http://schemas.openxmlformats.org/officeDocument/2006/relationships/hyperlink" Target="http://www.boxofficemojo.com/schedule/?view=bydate&amp;release=theatrical&amp;date=2017-09-08&amp;p=.htm" TargetMode="External"/><Relationship Id="rId1110" Type="http://schemas.openxmlformats.org/officeDocument/2006/relationships/hyperlink" Target="http://www.boxofficemojo.com/schedule/?view=bydate&amp;release=theatrical&amp;date=2017-09-13&amp;p=.htm" TargetMode="External"/><Relationship Id="rId1111" Type="http://schemas.openxmlformats.org/officeDocument/2006/relationships/hyperlink" Target="http://www.boxofficemojo.com/movies/?id=thevoid.htm" TargetMode="External"/><Relationship Id="rId1112" Type="http://schemas.openxmlformats.org/officeDocument/2006/relationships/hyperlink" Target="http://www.boxofficemojo.com/studio/chart/?studio=screenmedia.htm" TargetMode="External"/><Relationship Id="rId1113" Type="http://schemas.openxmlformats.org/officeDocument/2006/relationships/hyperlink" Target="http://www.boxofficemojo.com/schedule/?view=bydate&amp;release=theatrical&amp;date=2017-04-07&amp;p=.htm" TargetMode="External"/><Relationship Id="rId1114" Type="http://schemas.openxmlformats.org/officeDocument/2006/relationships/hyperlink" Target="http://www.boxofficemojo.com/movies/?id=theunknowngirl.htm" TargetMode="External"/><Relationship Id="rId1115" Type="http://schemas.openxmlformats.org/officeDocument/2006/relationships/hyperlink" Target="http://www.boxofficemojo.com/studio/chart/?studio=ifc.htm" TargetMode="External"/><Relationship Id="rId1116" Type="http://schemas.openxmlformats.org/officeDocument/2006/relationships/hyperlink" Target="http://www.boxofficemojo.com/schedule/?view=bydate&amp;release=theatrical&amp;date=2017-09-08&amp;p=.htm" TargetMode="External"/><Relationship Id="rId1117" Type="http://schemas.openxmlformats.org/officeDocument/2006/relationships/hyperlink" Target="http://www.boxofficemojo.com/movies/?id=bladeoftheimmortal.htm" TargetMode="External"/><Relationship Id="rId1118" Type="http://schemas.openxmlformats.org/officeDocument/2006/relationships/hyperlink" Target="http://www.boxofficemojo.com/studio/chart/?studio=magnolia.htm" TargetMode="External"/><Relationship Id="rId1119" Type="http://schemas.openxmlformats.org/officeDocument/2006/relationships/hyperlink" Target="http://www.boxofficemojo.com/schedule/?view=bydate&amp;release=theatrical&amp;date=2017-11-03&amp;p=.htm" TargetMode="External"/><Relationship Id="rId650" Type="http://schemas.openxmlformats.org/officeDocument/2006/relationships/hyperlink" Target="http://www.boxofficemojo.com/studio/chart/?studio=roadsideattractions.htm" TargetMode="External"/><Relationship Id="rId651" Type="http://schemas.openxmlformats.org/officeDocument/2006/relationships/hyperlink" Target="http://www.boxofficemojo.com/schedule/?view=bydate&amp;release=theatrical&amp;date=2017-05-12&amp;p=.htm" TargetMode="External"/><Relationship Id="rId652" Type="http://schemas.openxmlformats.org/officeDocument/2006/relationships/hyperlink" Target="http://www.boxofficemojo.com/movies/?id=wonderwheel.htm" TargetMode="External"/><Relationship Id="rId653" Type="http://schemas.openxmlformats.org/officeDocument/2006/relationships/hyperlink" Target="http://www.boxofficemojo.com/studio/chart/?studio=amazon.htm" TargetMode="External"/><Relationship Id="rId654" Type="http://schemas.openxmlformats.org/officeDocument/2006/relationships/hyperlink" Target="http://www.boxofficemojo.com/schedule/?view=bydate&amp;release=theatrical&amp;date=2017-12-01&amp;p=.htm" TargetMode="External"/><Relationship Id="rId655" Type="http://schemas.openxmlformats.org/officeDocument/2006/relationships/hyperlink" Target="http://www.boxofficemojo.com/movies/?id=thesquare.htm" TargetMode="External"/><Relationship Id="rId656" Type="http://schemas.openxmlformats.org/officeDocument/2006/relationships/hyperlink" Target="http://www.boxofficemojo.com/studio/chart/?studio=magnolia.htm" TargetMode="External"/><Relationship Id="rId657" Type="http://schemas.openxmlformats.org/officeDocument/2006/relationships/hyperlink" Target="http://www.boxofficemojo.com/schedule/?view=bydate&amp;release=theatrical&amp;date=2017-10-27&amp;p=.htm" TargetMode="External"/><Relationship Id="rId658" Type="http://schemas.openxmlformats.org/officeDocument/2006/relationships/hyperlink" Target="http://www.boxofficemojo.com/movies/?id=myfrienddahmer.htm" TargetMode="External"/><Relationship Id="rId659" Type="http://schemas.openxmlformats.org/officeDocument/2006/relationships/hyperlink" Target="http://www.boxofficemojo.com/studio/chart/?studio=filmrise.htm" TargetMode="External"/><Relationship Id="rId1504" Type="http://schemas.openxmlformats.org/officeDocument/2006/relationships/hyperlink" Target="http://www.boxofficemojo.com/movies/?id=berlinsyndrome.htm" TargetMode="External"/><Relationship Id="rId1505" Type="http://schemas.openxmlformats.org/officeDocument/2006/relationships/hyperlink" Target="http://www.boxofficemojo.com/studio/chart/?studio=vertical.htm" TargetMode="External"/><Relationship Id="rId1506" Type="http://schemas.openxmlformats.org/officeDocument/2006/relationships/hyperlink" Target="http://www.boxofficemojo.com/schedule/?view=bydate&amp;release=theatrical&amp;date=2017-05-26&amp;p=.htm" TargetMode="External"/><Relationship Id="rId1507" Type="http://schemas.openxmlformats.org/officeDocument/2006/relationships/hyperlink" Target="http://www.boxofficemojo.com/movies/?id=waitforyourlaugh.htm" TargetMode="External"/><Relationship Id="rId1508" Type="http://schemas.openxmlformats.org/officeDocument/2006/relationships/hyperlink" Target="http://www.boxofficemojo.com/studio/chart/?studio=vitagraph.htm" TargetMode="External"/><Relationship Id="rId1509" Type="http://schemas.openxmlformats.org/officeDocument/2006/relationships/hyperlink" Target="http://www.boxofficemojo.com/schedule/?view=bydate&amp;release=theatrical&amp;date=2017-11-03&amp;p=.htm" TargetMode="External"/><Relationship Id="rId260" Type="http://schemas.openxmlformats.org/officeDocument/2006/relationships/hyperlink" Target="http://www.boxofficemojo.com/studio/chart/?studio=screengems.htm" TargetMode="External"/><Relationship Id="rId261" Type="http://schemas.openxmlformats.org/officeDocument/2006/relationships/hyperlink" Target="http://www.boxofficemojo.com/schedule/?view=bydate&amp;release=theatrical&amp;date=2017-01-27&amp;p=.htm" TargetMode="External"/><Relationship Id="rId262" Type="http://schemas.openxmlformats.org/officeDocument/2006/relationships/hyperlink" Target="http://www.boxofficemojo.com/movies/?id=thehouse.htm" TargetMode="External"/><Relationship Id="rId263" Type="http://schemas.openxmlformats.org/officeDocument/2006/relationships/hyperlink" Target="http://www.boxofficemojo.com/studio/chart/?studio=wb-newline.htm" TargetMode="External"/><Relationship Id="rId264" Type="http://schemas.openxmlformats.org/officeDocument/2006/relationships/hyperlink" Target="http://www.boxofficemojo.com/schedule/?view=bydate&amp;release=theatrical&amp;date=2017-06-30&amp;p=.htm" TargetMode="External"/><Relationship Id="rId265" Type="http://schemas.openxmlformats.org/officeDocument/2006/relationships/hyperlink" Target="http://www.boxofficemojo.com/movies/?id=gifted.htm" TargetMode="External"/><Relationship Id="rId266" Type="http://schemas.openxmlformats.org/officeDocument/2006/relationships/hyperlink" Target="http://www.boxofficemojo.com/studio/chart/?studio=foxsearchlight.htm" TargetMode="External"/><Relationship Id="rId267" Type="http://schemas.openxmlformats.org/officeDocument/2006/relationships/hyperlink" Target="http://www.boxofficemojo.com/schedule/?view=bydate&amp;release=theatrical&amp;date=2017-04-07&amp;p=.htm" TargetMode="External"/><Relationship Id="rId268" Type="http://schemas.openxmlformats.org/officeDocument/2006/relationships/hyperlink" Target="http://www.boxofficemojo.com/movies/?id=mollysgame.htm" TargetMode="External"/><Relationship Id="rId269" Type="http://schemas.openxmlformats.org/officeDocument/2006/relationships/hyperlink" Target="http://www.boxofficemojo.com/studio/chart/?studio=stx.htm" TargetMode="External"/><Relationship Id="rId40" Type="http://schemas.openxmlformats.org/officeDocument/2006/relationships/hyperlink" Target="http://www.boxofficemojo.com/movies/?id=chrisnolan2017.htm" TargetMode="External"/><Relationship Id="rId41" Type="http://schemas.openxmlformats.org/officeDocument/2006/relationships/hyperlink" Target="http://www.boxofficemojo.com/studio/chart/?studio=warnerbros.htm" TargetMode="External"/><Relationship Id="rId42" Type="http://schemas.openxmlformats.org/officeDocument/2006/relationships/hyperlink" Target="http://www.boxofficemojo.com/schedule/?view=bydate&amp;release=theatrical&amp;date=2017-07-21&amp;p=.htm" TargetMode="External"/><Relationship Id="rId43" Type="http://schemas.openxmlformats.org/officeDocument/2006/relationships/hyperlink" Target="http://www.boxofficemojo.com/movies/?id=lego2.htm" TargetMode="External"/><Relationship Id="rId44" Type="http://schemas.openxmlformats.org/officeDocument/2006/relationships/hyperlink" Target="http://www.boxofficemojo.com/studio/chart/?studio=warnerbros.htm" TargetMode="External"/><Relationship Id="rId45" Type="http://schemas.openxmlformats.org/officeDocument/2006/relationships/hyperlink" Target="http://www.boxofficemojo.com/schedule/?view=bydate&amp;release=theatrical&amp;date=2017-02-10&amp;p=.htm" TargetMode="External"/><Relationship Id="rId46" Type="http://schemas.openxmlformats.org/officeDocument/2006/relationships/hyperlink" Target="http://www.boxofficemojo.com/movies/?id=blumhouse2.htm" TargetMode="External"/><Relationship Id="rId47" Type="http://schemas.openxmlformats.org/officeDocument/2006/relationships/hyperlink" Target="http://www.boxofficemojo.com/studio/chart/?studio=universal.htm" TargetMode="External"/><Relationship Id="rId48" Type="http://schemas.openxmlformats.org/officeDocument/2006/relationships/hyperlink" Target="http://www.boxofficemojo.com/schedule/?view=bydate&amp;release=theatrical&amp;date=2017-02-24&amp;p=.htm" TargetMode="External"/><Relationship Id="rId49" Type="http://schemas.openxmlformats.org/officeDocument/2006/relationships/hyperlink" Target="http://www.boxofficemojo.com/movies/?id=bossbaby.htm" TargetMode="External"/><Relationship Id="rId1900" Type="http://schemas.openxmlformats.org/officeDocument/2006/relationships/hyperlink" Target="http://www.boxofficemojo.com/schedule/?view=bydate&amp;release=theatrical&amp;date=2017-12-01&amp;p=.htm" TargetMode="External"/><Relationship Id="rId1901" Type="http://schemas.openxmlformats.org/officeDocument/2006/relationships/hyperlink" Target="http://www.boxofficemojo.com/movies/?id=thejazzfuneral.htm" TargetMode="External"/><Relationship Id="rId1902" Type="http://schemas.openxmlformats.org/officeDocument/2006/relationships/hyperlink" Target="http://www.boxofficemojo.com/studio/chart/?studio=indican.htm" TargetMode="External"/><Relationship Id="rId1903" Type="http://schemas.openxmlformats.org/officeDocument/2006/relationships/hyperlink" Target="http://www.boxofficemojo.com/schedule/?view=bydate&amp;release=theatrical&amp;date=2017-03-10&amp;p=.htm" TargetMode="External"/><Relationship Id="rId1510" Type="http://schemas.openxmlformats.org/officeDocument/2006/relationships/hyperlink" Target="http://www.boxofficemojo.com/movies/?id=ribbons17.htm" TargetMode="External"/><Relationship Id="rId1511" Type="http://schemas.openxmlformats.org/officeDocument/2006/relationships/hyperlink" Target="http://www.boxofficemojo.com/studio/chart/?studio=indican.htm" TargetMode="External"/><Relationship Id="rId1512" Type="http://schemas.openxmlformats.org/officeDocument/2006/relationships/hyperlink" Target="http://www.boxofficemojo.com/schedule/?view=bydate&amp;release=theatrical&amp;date=2017-09-22&amp;p=.htm" TargetMode="External"/><Relationship Id="rId1513" Type="http://schemas.openxmlformats.org/officeDocument/2006/relationships/hyperlink" Target="http://www.boxofficemojo.com/movies/?id=radiodreams.htm" TargetMode="External"/><Relationship Id="rId1120" Type="http://schemas.openxmlformats.org/officeDocument/2006/relationships/hyperlink" Target="http://www.boxofficemojo.com/movies/?id=restlesscreaturewendywhelan.htm" TargetMode="External"/><Relationship Id="rId1121" Type="http://schemas.openxmlformats.org/officeDocument/2006/relationships/hyperlink" Target="http://www.boxofficemojo.com/studio/chart/?studio=abramorama.htm" TargetMode="External"/><Relationship Id="rId1122" Type="http://schemas.openxmlformats.org/officeDocument/2006/relationships/hyperlink" Target="http://www.boxofficemojo.com/schedule/?view=bydate&amp;release=theatrical&amp;date=2017-05-23&amp;p=.htm" TargetMode="External"/><Relationship Id="rId1123" Type="http://schemas.openxmlformats.org/officeDocument/2006/relationships/hyperlink" Target="http://www.boxofficemojo.com/movies/?id=bigsonia.htm" TargetMode="External"/><Relationship Id="rId1124" Type="http://schemas.openxmlformats.org/officeDocument/2006/relationships/hyperlink" Target="http://www.boxofficemojo.com/studio/chart/?studio=argotpictures.htm" TargetMode="External"/><Relationship Id="rId1125" Type="http://schemas.openxmlformats.org/officeDocument/2006/relationships/hyperlink" Target="http://www.boxofficemojo.com/schedule/?view=bydate&amp;release=theatrical&amp;date=2017-11-17&amp;p=.htm" TargetMode="External"/><Relationship Id="rId1126" Type="http://schemas.openxmlformats.org/officeDocument/2006/relationships/hyperlink" Target="http://www.boxofficemojo.com/movies/?id=chavela.htm" TargetMode="External"/><Relationship Id="rId1127" Type="http://schemas.openxmlformats.org/officeDocument/2006/relationships/hyperlink" Target="http://www.boxofficemojo.com/studio/chart/?studio=musicboxfilms.htm" TargetMode="External"/><Relationship Id="rId1128" Type="http://schemas.openxmlformats.org/officeDocument/2006/relationships/hyperlink" Target="http://www.boxofficemojo.com/schedule/?view=bydate&amp;release=theatrical&amp;date=2017-10-04&amp;p=.htm" TargetMode="External"/><Relationship Id="rId1129" Type="http://schemas.openxmlformats.org/officeDocument/2006/relationships/hyperlink" Target="http://www.boxofficemojo.com/movies/?id=thelastdalailama.htm" TargetMode="External"/><Relationship Id="rId660" Type="http://schemas.openxmlformats.org/officeDocument/2006/relationships/hyperlink" Target="http://www.boxofficemojo.com/schedule/?view=bydate&amp;release=theatrical&amp;date=2017-11-03&amp;p=.htm" TargetMode="External"/><Relationship Id="rId661" Type="http://schemas.openxmlformats.org/officeDocument/2006/relationships/hyperlink" Target="http://www.boxofficemojo.com/movies/?id=thedinner17.htm" TargetMode="External"/><Relationship Id="rId662" Type="http://schemas.openxmlformats.org/officeDocument/2006/relationships/hyperlink" Target="http://www.boxofficemojo.com/studio/chart/?studio=orchard.htm" TargetMode="External"/><Relationship Id="rId663" Type="http://schemas.openxmlformats.org/officeDocument/2006/relationships/hyperlink" Target="http://www.boxofficemojo.com/schedule/?view=bydate&amp;release=theatrical&amp;date=2017-05-05&amp;p=.htm" TargetMode="External"/><Relationship Id="rId664" Type="http://schemas.openxmlformats.org/officeDocument/2006/relationships/hyperlink" Target="http://www.boxofficemojo.com/movies/?id=personalshopper.htm" TargetMode="External"/><Relationship Id="rId665" Type="http://schemas.openxmlformats.org/officeDocument/2006/relationships/hyperlink" Target="http://www.boxofficemojo.com/studio/chart/?studio=ifc.htm" TargetMode="External"/><Relationship Id="rId666" Type="http://schemas.openxmlformats.org/officeDocument/2006/relationships/hyperlink" Target="http://www.boxofficemojo.com/schedule/?view=bydate&amp;release=theatrical&amp;date=2017-03-10&amp;p=.htm" TargetMode="External"/><Relationship Id="rId667" Type="http://schemas.openxmlformats.org/officeDocument/2006/relationships/hyperlink" Target="http://www.boxofficemojo.com/movies/?id=churchill.htm" TargetMode="External"/><Relationship Id="rId668" Type="http://schemas.openxmlformats.org/officeDocument/2006/relationships/hyperlink" Target="http://www.boxofficemojo.com/studio/chart/?studio=cohenmedia.htm" TargetMode="External"/><Relationship Id="rId669" Type="http://schemas.openxmlformats.org/officeDocument/2006/relationships/hyperlink" Target="http://www.boxofficemojo.com/schedule/?view=bydate&amp;release=theatrical&amp;date=2017-06-02&amp;p=.htm" TargetMode="External"/><Relationship Id="rId1514" Type="http://schemas.openxmlformats.org/officeDocument/2006/relationships/hyperlink" Target="http://www.boxofficemojo.com/studio/chart/?studio=matson.htm" TargetMode="External"/><Relationship Id="rId1515" Type="http://schemas.openxmlformats.org/officeDocument/2006/relationships/hyperlink" Target="http://www.boxofficemojo.com/schedule/?view=bydate&amp;release=theatrical&amp;date=2017-06-02&amp;p=.htm" TargetMode="External"/><Relationship Id="rId1516" Type="http://schemas.openxmlformats.org/officeDocument/2006/relationships/hyperlink" Target="http://www.boxofficemojo.com/movies/?id=thevillainess.htm" TargetMode="External"/><Relationship Id="rId1517" Type="http://schemas.openxmlformats.org/officeDocument/2006/relationships/hyperlink" Target="http://www.boxofficemojo.com/studio/chart/?studio=wellgo.htm" TargetMode="External"/><Relationship Id="rId1518" Type="http://schemas.openxmlformats.org/officeDocument/2006/relationships/hyperlink" Target="http://www.boxofficemojo.com/schedule/?view=bydate&amp;release=theatrical&amp;date=2017-08-25&amp;p=.htm" TargetMode="External"/><Relationship Id="rId1519" Type="http://schemas.openxmlformats.org/officeDocument/2006/relationships/hyperlink" Target="http://www.boxofficemojo.com/movies/?id=theuntamed.htm" TargetMode="External"/><Relationship Id="rId270" Type="http://schemas.openxmlformats.org/officeDocument/2006/relationships/hyperlink" Target="http://www.boxofficemojo.com/schedule/?view=bydate&amp;release=theatrical&amp;date=2017-12-25&amp;p=.htm" TargetMode="External"/><Relationship Id="rId271" Type="http://schemas.openxmlformats.org/officeDocument/2006/relationships/hyperlink" Target="http://www.boxofficemojo.com/movies/?id=downsizing.htm" TargetMode="External"/><Relationship Id="rId272" Type="http://schemas.openxmlformats.org/officeDocument/2006/relationships/hyperlink" Target="http://www.boxofficemojo.com/studio/chart/?studio=paramount.htm" TargetMode="External"/><Relationship Id="rId273" Type="http://schemas.openxmlformats.org/officeDocument/2006/relationships/hyperlink" Target="http://www.boxofficemojo.com/schedule/?view=bydate&amp;release=theatrical&amp;date=2017-12-22&amp;p=.htm" TargetMode="External"/><Relationship Id="rId274" Type="http://schemas.openxmlformats.org/officeDocument/2006/relationships/hyperlink" Target="http://www.boxofficemojo.com/movies/?id=allthemoneyintheworld.htm" TargetMode="External"/><Relationship Id="rId275" Type="http://schemas.openxmlformats.org/officeDocument/2006/relationships/hyperlink" Target="http://www.boxofficemojo.com/studio/chart/?studio=tristar.htm" TargetMode="External"/><Relationship Id="rId276" Type="http://schemas.openxmlformats.org/officeDocument/2006/relationships/hyperlink" Target="http://www.boxofficemojo.com/schedule/?view=bydate&amp;release=theatrical&amp;date=2017-12-25&amp;p=.htm" TargetMode="External"/><Relationship Id="rId277" Type="http://schemas.openxmlformats.org/officeDocument/2006/relationships/hyperlink" Target="http://www.boxofficemojo.com/movies/?id=thebyebyeman.htm" TargetMode="External"/><Relationship Id="rId278" Type="http://schemas.openxmlformats.org/officeDocument/2006/relationships/hyperlink" Target="http://www.boxofficemojo.com/studio/chart/?studio=stx.htm" TargetMode="External"/><Relationship Id="rId279" Type="http://schemas.openxmlformats.org/officeDocument/2006/relationships/hyperlink" Target="http://www.boxofficemojo.com/schedule/?view=bydate&amp;release=theatrical&amp;date=2017-01-13&amp;p=.htm" TargetMode="External"/><Relationship Id="rId1904" Type="http://schemas.openxmlformats.org/officeDocument/2006/relationships/hyperlink" Target="http://www.boxofficemojo.com/movies/?id=thedarkbelow.htm" TargetMode="External"/><Relationship Id="rId1905" Type="http://schemas.openxmlformats.org/officeDocument/2006/relationships/hyperlink" Target="http://www.boxofficemojo.com/studio/chart/?studio=paradedeck.htm" TargetMode="External"/><Relationship Id="rId1906" Type="http://schemas.openxmlformats.org/officeDocument/2006/relationships/hyperlink" Target="http://www.boxofficemojo.com/schedule/?view=bydate&amp;release=theatrical&amp;date=2017-03-10&amp;p=.htm" TargetMode="External"/><Relationship Id="rId1907" Type="http://schemas.openxmlformats.org/officeDocument/2006/relationships/hyperlink" Target="http://www.boxofficemojo.com/movies/?id=ichi.htm" TargetMode="External"/><Relationship Id="rId1908" Type="http://schemas.openxmlformats.org/officeDocument/2006/relationships/hyperlink" Target="http://www.boxofficemojo.com/studio/chart/?studio=wellgo.htm" TargetMode="External"/><Relationship Id="rId1909" Type="http://schemas.openxmlformats.org/officeDocument/2006/relationships/hyperlink" Target="http://www.boxofficemojo.com/schedule/?view=bydate&amp;release=theatrical&amp;date=2017-11-10&amp;p=.htm" TargetMode="External"/><Relationship Id="rId50" Type="http://schemas.openxmlformats.org/officeDocument/2006/relationships/hyperlink" Target="http://www.boxofficemojo.com/studio/chart/?studio=fox.htm" TargetMode="External"/><Relationship Id="rId51" Type="http://schemas.openxmlformats.org/officeDocument/2006/relationships/hyperlink" Target="http://www.boxofficemojo.com/schedule/?view=bydate&amp;release=theatrical&amp;date=2017-03-31&amp;p=.htm" TargetMode="External"/><Relationship Id="rId52" Type="http://schemas.openxmlformats.org/officeDocument/2006/relationships/hyperlink" Target="http://www.boxofficemojo.com/movies/?id=potc5.htm" TargetMode="External"/><Relationship Id="rId53" Type="http://schemas.openxmlformats.org/officeDocument/2006/relationships/hyperlink" Target="http://www.boxofficemojo.com/studio/chart/?studio=buenavista.htm" TargetMode="External"/><Relationship Id="rId54" Type="http://schemas.openxmlformats.org/officeDocument/2006/relationships/hyperlink" Target="http://www.boxofficemojo.com/schedule/?view=bydate&amp;release=theatrical&amp;date=2017-05-26&amp;p=.htm" TargetMode="External"/><Relationship Id="rId55" Type="http://schemas.openxmlformats.org/officeDocument/2006/relationships/hyperlink" Target="http://www.boxofficemojo.com/movies/?id=legendary2016.htm" TargetMode="External"/><Relationship Id="rId56" Type="http://schemas.openxmlformats.org/officeDocument/2006/relationships/hyperlink" Target="http://www.boxofficemojo.com/studio/chart/?studio=warnerbros.htm" TargetMode="External"/><Relationship Id="rId57" Type="http://schemas.openxmlformats.org/officeDocument/2006/relationships/hyperlink" Target="http://www.boxofficemojo.com/schedule/?view=bydate&amp;release=theatrical&amp;date=2017-03-10&amp;p=.htm" TargetMode="External"/><Relationship Id="rId58" Type="http://schemas.openxmlformats.org/officeDocument/2006/relationships/hyperlink" Target="http://www.boxofficemojo.com/movies/?id=cars3.htm" TargetMode="External"/><Relationship Id="rId59" Type="http://schemas.openxmlformats.org/officeDocument/2006/relationships/hyperlink" Target="http://www.boxofficemojo.com/studio/chart/?studio=buenavista.htm" TargetMode="External"/><Relationship Id="rId1910" Type="http://schemas.openxmlformats.org/officeDocument/2006/relationships/hyperlink" Target="http://www.boxofficemojo.com/movies/?id=akindofloving2017.htm" TargetMode="External"/><Relationship Id="rId1911" Type="http://schemas.openxmlformats.org/officeDocument/2006/relationships/hyperlink" Target="http://www.boxofficemojo.com/studio/chart/?studio=rialto.htm" TargetMode="External"/><Relationship Id="rId1912" Type="http://schemas.openxmlformats.org/officeDocument/2006/relationships/hyperlink" Target="http://www.boxofficemojo.com/schedule/?view=bydate&amp;release=theatrical&amp;date=2017-04-07&amp;p=.htm" TargetMode="External"/><Relationship Id="rId1913" Type="http://schemas.openxmlformats.org/officeDocument/2006/relationships/hyperlink" Target="http://www.boxofficemojo.com/movies/?id=footnotes.htm" TargetMode="External"/><Relationship Id="rId1520" Type="http://schemas.openxmlformats.org/officeDocument/2006/relationships/hyperlink" Target="http://www.boxofficemojo.com/studio/chart/?studio=strand.htm" TargetMode="External"/><Relationship Id="rId1521" Type="http://schemas.openxmlformats.org/officeDocument/2006/relationships/hyperlink" Target="http://www.boxofficemojo.com/schedule/?view=bydate&amp;release=theatrical&amp;date=2017-07-21&amp;p=.htm" TargetMode="External"/><Relationship Id="rId1522" Type="http://schemas.openxmlformats.org/officeDocument/2006/relationships/hyperlink" Target="http://www.boxofficemojo.com/movies/?id=crimeofmonsieurlange2017.htm" TargetMode="External"/><Relationship Id="rId1523" Type="http://schemas.openxmlformats.org/officeDocument/2006/relationships/hyperlink" Target="http://www.boxofficemojo.com/studio/chart/?studio=rialto.htm" TargetMode="External"/><Relationship Id="rId1130" Type="http://schemas.openxmlformats.org/officeDocument/2006/relationships/hyperlink" Target="http://www.boxofficemojo.com/studio/chart/?studio=matson.htm" TargetMode="External"/><Relationship Id="rId1131" Type="http://schemas.openxmlformats.org/officeDocument/2006/relationships/hyperlink" Target="http://www.boxofficemojo.com/schedule/?view=bydate&amp;release=theatrical&amp;date=2017-07-07&amp;p=.htm" TargetMode="External"/><Relationship Id="rId1132" Type="http://schemas.openxmlformats.org/officeDocument/2006/relationships/hyperlink" Target="http://www.boxofficemojo.com/movies/?id=irvingberlinsholidayinn.htm" TargetMode="External"/><Relationship Id="rId1133" Type="http://schemas.openxmlformats.org/officeDocument/2006/relationships/hyperlink" Target="http://www.boxofficemojo.com/studio/chart/?studio=fathom.htm" TargetMode="External"/><Relationship Id="rId1134" Type="http://schemas.openxmlformats.org/officeDocument/2006/relationships/hyperlink" Target="http://www.boxofficemojo.com/schedule/?view=bydate&amp;release=theatrical&amp;date=2017-11-16&amp;p=.htm" TargetMode="External"/><Relationship Id="rId1135" Type="http://schemas.openxmlformats.org/officeDocument/2006/relationships/hyperlink" Target="http://www.boxofficemojo.com/movies/?id=thelma.htm" TargetMode="External"/><Relationship Id="rId1136" Type="http://schemas.openxmlformats.org/officeDocument/2006/relationships/hyperlink" Target="http://www.boxofficemojo.com/studio/chart/?studio=orchard.htm" TargetMode="External"/><Relationship Id="rId1137" Type="http://schemas.openxmlformats.org/officeDocument/2006/relationships/hyperlink" Target="http://www.boxofficemojo.com/schedule/?view=bydate&amp;release=theatrical&amp;date=2017-11-10&amp;p=.htm" TargetMode="External"/><Relationship Id="rId1138" Type="http://schemas.openxmlformats.org/officeDocument/2006/relationships/hyperlink" Target="http://www.boxofficemojo.com/movies/?id=harekrishna.htm" TargetMode="External"/><Relationship Id="rId1139" Type="http://schemas.openxmlformats.org/officeDocument/2006/relationships/hyperlink" Target="http://www.boxofficemojo.com/studio/chart/?studio=abramorama.htm" TargetMode="External"/><Relationship Id="rId670" Type="http://schemas.openxmlformats.org/officeDocument/2006/relationships/hyperlink" Target="http://www.boxofficemojo.com/movies/?id=thesenseofanending.htm" TargetMode="External"/><Relationship Id="rId671" Type="http://schemas.openxmlformats.org/officeDocument/2006/relationships/hyperlink" Target="http://www.boxofficemojo.com/studio/chart/?studio=cbsfilms.htm" TargetMode="External"/><Relationship Id="rId280" Type="http://schemas.openxmlformats.org/officeDocument/2006/relationships/hyperlink" Target="http://www.boxofficemojo.com/movies/?id=victoriaandabdul.htm" TargetMode="External"/><Relationship Id="rId281" Type="http://schemas.openxmlformats.org/officeDocument/2006/relationships/hyperlink" Target="http://www.boxofficemojo.com/studio/chart/?studio=focus.htm" TargetMode="External"/><Relationship Id="rId282" Type="http://schemas.openxmlformats.org/officeDocument/2006/relationships/hyperlink" Target="http://www.boxofficemojo.com/schedule/?view=bydate&amp;release=theatrical&amp;date=2017-09-22&amp;p=.htm" TargetMode="External"/><Relationship Id="rId283" Type="http://schemas.openxmlformats.org/officeDocument/2006/relationships/hyperlink" Target="http://www.boxofficemojo.com/movies/?id=rockthatbody.htm" TargetMode="External"/><Relationship Id="rId284" Type="http://schemas.openxmlformats.org/officeDocument/2006/relationships/hyperlink" Target="http://www.boxofficemojo.com/studio/chart/?studio=sony.htm" TargetMode="External"/><Relationship Id="rId285" Type="http://schemas.openxmlformats.org/officeDocument/2006/relationships/hyperlink" Target="http://www.boxofficemojo.com/schedule/?view=bydate&amp;release=theatrical&amp;date=2017-06-16&amp;p=.htm" TargetMode="External"/><Relationship Id="rId286" Type="http://schemas.openxmlformats.org/officeDocument/2006/relationships/hyperlink" Target="http://www.boxofficemojo.com/movies/?id=mylittlepony2017.htm" TargetMode="External"/><Relationship Id="rId287" Type="http://schemas.openxmlformats.org/officeDocument/2006/relationships/hyperlink" Target="http://www.boxofficemojo.com/studio/chart/?studio=lionsgate.htm" TargetMode="External"/><Relationship Id="rId288" Type="http://schemas.openxmlformats.org/officeDocument/2006/relationships/hyperlink" Target="http://www.boxofficemojo.com/schedule/?view=bydate&amp;release=theatrical&amp;date=2017-10-06&amp;p=.htm" TargetMode="External"/><Relationship Id="rId289" Type="http://schemas.openxmlformats.org/officeDocument/2006/relationships/hyperlink" Target="http://www.boxofficemojo.com/movies/?id=leap.htm" TargetMode="External"/><Relationship Id="rId672" Type="http://schemas.openxmlformats.org/officeDocument/2006/relationships/hyperlink" Target="http://www.boxofficemojo.com/schedule/?view=bydate&amp;release=theatrical&amp;date=2017-03-10&amp;p=.htm" TargetMode="External"/><Relationship Id="rId673" Type="http://schemas.openxmlformats.org/officeDocument/2006/relationships/hyperlink" Target="http://www.boxofficemojo.com/movies/?id=chondapierceenough.htm" TargetMode="External"/><Relationship Id="rId674" Type="http://schemas.openxmlformats.org/officeDocument/2006/relationships/hyperlink" Target="http://www.boxofficemojo.com/studio/chart/?studio=fathom.htm" TargetMode="External"/><Relationship Id="rId675" Type="http://schemas.openxmlformats.org/officeDocument/2006/relationships/hyperlink" Target="http://www.boxofficemojo.com/schedule/?view=bydate&amp;release=theatrical&amp;date=2017-04-25&amp;p=.htm" TargetMode="External"/><Relationship Id="rId676" Type="http://schemas.openxmlformats.org/officeDocument/2006/relationships/hyperlink" Target="http://www.boxofficemojo.com/movies/?id=3idiotas.htm" TargetMode="External"/><Relationship Id="rId677" Type="http://schemas.openxmlformats.org/officeDocument/2006/relationships/hyperlink" Target="http://www.boxofficemojo.com/studio/chart/?studio=pantelion.htm" TargetMode="External"/><Relationship Id="rId678" Type="http://schemas.openxmlformats.org/officeDocument/2006/relationships/hyperlink" Target="http://www.boxofficemojo.com/schedule/?view=bydate&amp;release=theatrical&amp;date=2017-06-02&amp;p=.htm" TargetMode="External"/><Relationship Id="rId679" Type="http://schemas.openxmlformats.org/officeDocument/2006/relationships/hyperlink" Target="http://www.boxofficemojo.com/movies/?id=truetothegame.htm" TargetMode="External"/><Relationship Id="rId1524" Type="http://schemas.openxmlformats.org/officeDocument/2006/relationships/hyperlink" Target="http://www.boxofficemojo.com/schedule/?view=bydate&amp;release=theatrical&amp;date=2017-11-17&amp;p=.htm" TargetMode="External"/><Relationship Id="rId1525" Type="http://schemas.openxmlformats.org/officeDocument/2006/relationships/hyperlink" Target="http://www.boxofficemojo.com/movies/?id=30yearsofgarbage.htm" TargetMode="External"/><Relationship Id="rId1526" Type="http://schemas.openxmlformats.org/officeDocument/2006/relationships/hyperlink" Target="http://www.boxofficemojo.com/studio/chart/?studio=indican.htm" TargetMode="External"/><Relationship Id="rId1527" Type="http://schemas.openxmlformats.org/officeDocument/2006/relationships/hyperlink" Target="http://www.boxofficemojo.com/schedule/?view=bydate&amp;release=theatrical&amp;date=2017-08-11&amp;p=.htm" TargetMode="External"/><Relationship Id="rId1528" Type="http://schemas.openxmlformats.org/officeDocument/2006/relationships/hyperlink" Target="http://www.boxofficemojo.com/movies/?id=bronxgothic.htm" TargetMode="External"/><Relationship Id="rId1529" Type="http://schemas.openxmlformats.org/officeDocument/2006/relationships/hyperlink" Target="http://www.boxofficemojo.com/studio/chart/?studio=grasshopper.htm" TargetMode="External"/><Relationship Id="rId1914" Type="http://schemas.openxmlformats.org/officeDocument/2006/relationships/hyperlink" Target="http://www.boxofficemojo.com/studio/chart/?studio=monument.htm" TargetMode="External"/><Relationship Id="rId1915" Type="http://schemas.openxmlformats.org/officeDocument/2006/relationships/hyperlink" Target="http://www.boxofficemojo.com/schedule/?view=bydate&amp;release=theatrical&amp;date=2017-07-14&amp;p=.htm" TargetMode="External"/><Relationship Id="rId1916" Type="http://schemas.openxmlformats.org/officeDocument/2006/relationships/hyperlink" Target="http://www.boxofficemojo.com/movies/?id=suntan.htm" TargetMode="External"/><Relationship Id="rId1917" Type="http://schemas.openxmlformats.org/officeDocument/2006/relationships/hyperlink" Target="http://www.boxofficemojo.com/studio/chart/?studio=strand.htm" TargetMode="External"/><Relationship Id="rId1918" Type="http://schemas.openxmlformats.org/officeDocument/2006/relationships/hyperlink" Target="http://www.boxofficemojo.com/schedule/?view=bydate&amp;release=theatrical&amp;date=2017-03-10&amp;p=.htm" TargetMode="External"/><Relationship Id="rId1919" Type="http://schemas.openxmlformats.org/officeDocument/2006/relationships/hyperlink" Target="http://www.boxofficemojo.com/movies/?id=thepersianconnection.htm" TargetMode="External"/><Relationship Id="rId60" Type="http://schemas.openxmlformats.org/officeDocument/2006/relationships/hyperlink" Target="http://www.boxofficemojo.com/schedule/?view=bydate&amp;release=theatrical&amp;date=2017-06-16&amp;p=.htm" TargetMode="External"/><Relationship Id="rId61" Type="http://schemas.openxmlformats.org/officeDocument/2006/relationships/hyperlink" Target="http://www.boxofficemojo.com/movies/?id=planetoftheapes16.htm" TargetMode="External"/><Relationship Id="rId62" Type="http://schemas.openxmlformats.org/officeDocument/2006/relationships/hyperlink" Target="http://www.boxofficemojo.com/studio/chart/?studio=fox.htm" TargetMode="External"/><Relationship Id="rId63" Type="http://schemas.openxmlformats.org/officeDocument/2006/relationships/hyperlink" Target="http://www.boxofficemojo.com/schedule/?view=bydate&amp;release=theatrical&amp;date=2017-07-14&amp;p=.htm" TargetMode="External"/><Relationship Id="rId64" Type="http://schemas.openxmlformats.org/officeDocument/2006/relationships/hyperlink" Target="http://www.boxofficemojo.com/movies/?id=split2017.htm" TargetMode="External"/><Relationship Id="rId65" Type="http://schemas.openxmlformats.org/officeDocument/2006/relationships/hyperlink" Target="http://www.boxofficemojo.com/studio/chart/?studio=universal.htm" TargetMode="External"/><Relationship Id="rId66" Type="http://schemas.openxmlformats.org/officeDocument/2006/relationships/hyperlink" Target="http://www.boxofficemojo.com/schedule/?view=bydate&amp;release=theatrical&amp;date=2017-01-20&amp;p=.htm" TargetMode="External"/><Relationship Id="rId67" Type="http://schemas.openxmlformats.org/officeDocument/2006/relationships/hyperlink" Target="http://www.boxofficemojo.com/movies/?id=transformers5.htm" TargetMode="External"/><Relationship Id="rId68" Type="http://schemas.openxmlformats.org/officeDocument/2006/relationships/hyperlink" Target="http://www.boxofficemojo.com/studio/chart/?studio=paramount.htm" TargetMode="External"/><Relationship Id="rId69" Type="http://schemas.openxmlformats.org/officeDocument/2006/relationships/hyperlink" Target="http://www.boxofficemojo.com/schedule/?view=bydate&amp;release=theatrical&amp;date=2017-06-21&amp;p=.htm" TargetMode="External"/><Relationship Id="rId1920" Type="http://schemas.openxmlformats.org/officeDocument/2006/relationships/hyperlink" Target="http://www.boxofficemojo.com/studio/chart/?studio=samuelgoldwyn.htm" TargetMode="External"/><Relationship Id="rId1921" Type="http://schemas.openxmlformats.org/officeDocument/2006/relationships/hyperlink" Target="http://www.boxofficemojo.com/schedule/?view=bydate&amp;release=theatrical&amp;date=2017-07-14&amp;p=.htm" TargetMode="External"/><Relationship Id="rId1922" Type="http://schemas.openxmlformats.org/officeDocument/2006/relationships/hyperlink" Target="http://www.boxofficemojo.com/movies/?id=elizabethblue.htm" TargetMode="External"/><Relationship Id="rId1923" Type="http://schemas.openxmlformats.org/officeDocument/2006/relationships/hyperlink" Target="http://www.boxofficemojo.com/studio/chart/?studio=globaldigital.htm" TargetMode="External"/><Relationship Id="rId1530" Type="http://schemas.openxmlformats.org/officeDocument/2006/relationships/hyperlink" Target="http://www.boxofficemojo.com/schedule/?view=bydate&amp;release=theatrical&amp;date=2017-07-14&amp;p=.htm" TargetMode="External"/><Relationship Id="rId1531" Type="http://schemas.openxmlformats.org/officeDocument/2006/relationships/hyperlink" Target="http://www.boxofficemojo.com/movies/?id=maliblues.htm" TargetMode="External"/><Relationship Id="rId1532" Type="http://schemas.openxmlformats.org/officeDocument/2006/relationships/hyperlink" Target="http://www.boxofficemojo.com/studio/chart/?studio=icarus.htm" TargetMode="External"/><Relationship Id="rId1533" Type="http://schemas.openxmlformats.org/officeDocument/2006/relationships/hyperlink" Target="http://www.boxofficemojo.com/schedule/?view=bydate&amp;release=theatrical&amp;date=2017-02-13&amp;p=.htm" TargetMode="External"/><Relationship Id="rId1140" Type="http://schemas.openxmlformats.org/officeDocument/2006/relationships/hyperlink" Target="http://www.boxofficemojo.com/schedule/?view=bydate&amp;release=theatrical&amp;date=2017-06-16&amp;p=.htm" TargetMode="External"/><Relationship Id="rId1141" Type="http://schemas.openxmlformats.org/officeDocument/2006/relationships/hyperlink" Target="http://www.boxofficemojo.com/movies/?id=moka.htm" TargetMode="External"/><Relationship Id="rId1142" Type="http://schemas.openxmlformats.org/officeDocument/2006/relationships/hyperlink" Target="http://www.boxofficemojo.com/studio/chart/?studio=filmmovement.htm" TargetMode="External"/><Relationship Id="rId1143" Type="http://schemas.openxmlformats.org/officeDocument/2006/relationships/hyperlink" Target="http://www.boxofficemojo.com/schedule/?view=bydate&amp;release=theatrical&amp;date=2017-06-14&amp;p=.htm" TargetMode="External"/><Relationship Id="rId1144" Type="http://schemas.openxmlformats.org/officeDocument/2006/relationships/hyperlink" Target="http://www.boxofficemojo.com/movies/?id=icalledhimmorgan.htm" TargetMode="External"/><Relationship Id="rId1145" Type="http://schemas.openxmlformats.org/officeDocument/2006/relationships/hyperlink" Target="http://www.boxofficemojo.com/studio/chart/?studio=submarinedeluxe.htm" TargetMode="External"/><Relationship Id="rId1146" Type="http://schemas.openxmlformats.org/officeDocument/2006/relationships/hyperlink" Target="http://www.boxofficemojo.com/schedule/?view=bydate&amp;release=theatrical&amp;date=2017-03-24&amp;p=.htm" TargetMode="External"/><Relationship Id="rId1147" Type="http://schemas.openxmlformats.org/officeDocument/2006/relationships/hyperlink" Target="http://www.boxofficemojo.com/movies/?id=cityofghosts17.htm" TargetMode="External"/><Relationship Id="rId1148" Type="http://schemas.openxmlformats.org/officeDocument/2006/relationships/hyperlink" Target="http://www.boxofficemojo.com/studio/chart/?studio=ifc.htm" TargetMode="External"/><Relationship Id="rId1149" Type="http://schemas.openxmlformats.org/officeDocument/2006/relationships/hyperlink" Target="http://www.boxofficemojo.com/schedule/?view=bydate&amp;release=theatrical&amp;date=2017-07-07&amp;p=.htm" TargetMode="External"/><Relationship Id="rId680" Type="http://schemas.openxmlformats.org/officeDocument/2006/relationships/hyperlink" Target="http://www.boxofficemojo.com/studio/chart/?studio=faithmedia.htm" TargetMode="External"/><Relationship Id="rId681" Type="http://schemas.openxmlformats.org/officeDocument/2006/relationships/hyperlink" Target="http://www.boxofficemojo.com/schedule/?view=bydate&amp;release=theatrical&amp;date=2017-09-08&amp;p=.htm" TargetMode="External"/><Relationship Id="rId290" Type="http://schemas.openxmlformats.org/officeDocument/2006/relationships/hyperlink" Target="http://www.boxofficemojo.com/studio/chart/?studio=weinsteincompany.htm" TargetMode="External"/><Relationship Id="rId291" Type="http://schemas.openxmlformats.org/officeDocument/2006/relationships/hyperlink" Target="http://www.boxofficemojo.com/schedule/?view=bydate&amp;release=theatrical&amp;date=2017-08-25&amp;p=.htm" TargetMode="External"/><Relationship Id="rId292" Type="http://schemas.openxmlformats.org/officeDocument/2006/relationships/hyperlink" Target="http://www.boxofficemojo.com/movies/?id=sleepless.htm" TargetMode="External"/><Relationship Id="rId293" Type="http://schemas.openxmlformats.org/officeDocument/2006/relationships/hyperlink" Target="http://www.boxofficemojo.com/studio/chart/?studio=openroads.htm" TargetMode="External"/><Relationship Id="rId294" Type="http://schemas.openxmlformats.org/officeDocument/2006/relationships/hyperlink" Target="http://www.boxofficemojo.com/schedule/?view=bydate&amp;release=theatrical&amp;date=2017-01-13&amp;p=.htm" TargetMode="External"/><Relationship Id="rId295" Type="http://schemas.openxmlformats.org/officeDocument/2006/relationships/hyperlink" Target="http://www.boxofficemojo.com/movies/?id=thedisasterartist.htm" TargetMode="External"/><Relationship Id="rId296" Type="http://schemas.openxmlformats.org/officeDocument/2006/relationships/hyperlink" Target="http://www.boxofficemojo.com/studio/chart/?studio=a24.htm" TargetMode="External"/><Relationship Id="rId297" Type="http://schemas.openxmlformats.org/officeDocument/2006/relationships/hyperlink" Target="http://www.boxofficemojo.com/schedule/?view=bydate&amp;release=theatrical&amp;date=2017-12-01&amp;p=.htm" TargetMode="External"/><Relationship Id="rId298" Type="http://schemas.openxmlformats.org/officeDocument/2006/relationships/hyperlink" Target="http://www.boxofficemojo.com/movies/?id=diaryofawimpykid4.htm" TargetMode="External"/><Relationship Id="rId299" Type="http://schemas.openxmlformats.org/officeDocument/2006/relationships/hyperlink" Target="http://www.boxofficemojo.com/studio/chart/?studio=fox.htm" TargetMode="External"/><Relationship Id="rId682" Type="http://schemas.openxmlformats.org/officeDocument/2006/relationships/hyperlink" Target="http://www.boxofficemojo.com/movies/?id=stevemcqueenamericanicon.htm" TargetMode="External"/><Relationship Id="rId683" Type="http://schemas.openxmlformats.org/officeDocument/2006/relationships/hyperlink" Target="http://www.boxofficemojo.com/studio/chart/?studio=fathom.htm" TargetMode="External"/><Relationship Id="rId684" Type="http://schemas.openxmlformats.org/officeDocument/2006/relationships/hyperlink" Target="http://www.boxofficemojo.com/schedule/?view=bydate&amp;release=theatrical&amp;date=2017-09-28&amp;p=.htm" TargetMode="External"/><Relationship Id="rId685" Type="http://schemas.openxmlformats.org/officeDocument/2006/relationships/hyperlink" Target="http://www.boxofficemojo.com/movies/?id=thewomansbalcony.htm" TargetMode="External"/><Relationship Id="rId686" Type="http://schemas.openxmlformats.org/officeDocument/2006/relationships/hyperlink" Target="http://www.boxofficemojo.com/studio/chart/?studio=menemsha.htm" TargetMode="External"/><Relationship Id="rId687" Type="http://schemas.openxmlformats.org/officeDocument/2006/relationships/hyperlink" Target="http://www.boxofficemojo.com/schedule/?view=bydate&amp;release=theatrical&amp;date=2017-03-03&amp;p=.htm" TargetMode="External"/><Relationship Id="rId688" Type="http://schemas.openxmlformats.org/officeDocument/2006/relationships/hyperlink" Target="http://www.boxofficemojo.com/movies/?id=spiritedawayfathom.htm" TargetMode="External"/><Relationship Id="rId689" Type="http://schemas.openxmlformats.org/officeDocument/2006/relationships/hyperlink" Target="http://www.boxofficemojo.com/studio/chart/?studio=fathom.htm" TargetMode="External"/><Relationship Id="rId1534" Type="http://schemas.openxmlformats.org/officeDocument/2006/relationships/hyperlink" Target="http://www.boxofficemojo.com/movies/?id=thedaughter.htm" TargetMode="External"/><Relationship Id="rId1535" Type="http://schemas.openxmlformats.org/officeDocument/2006/relationships/hyperlink" Target="http://www.boxofficemojo.com/studio/chart/?studio=kinolorber.htm" TargetMode="External"/><Relationship Id="rId1536" Type="http://schemas.openxmlformats.org/officeDocument/2006/relationships/hyperlink" Target="http://www.boxofficemojo.com/schedule/?view=bydate&amp;release=theatrical&amp;date=2017-01-27&amp;p=.htm" TargetMode="External"/><Relationship Id="rId1537" Type="http://schemas.openxmlformats.org/officeDocument/2006/relationships/hyperlink" Target="http://www.boxofficemojo.com/movies/?id=theycallusmonsters.htm" TargetMode="External"/><Relationship Id="rId1538" Type="http://schemas.openxmlformats.org/officeDocument/2006/relationships/hyperlink" Target="http://www.boxofficemojo.com/studio/chart/?studio=matson.htm" TargetMode="External"/><Relationship Id="rId1539" Type="http://schemas.openxmlformats.org/officeDocument/2006/relationships/hyperlink" Target="http://www.boxofficemojo.com/schedule/?view=bydate&amp;release=theatrical&amp;date=2017-01-09&amp;p=.htm" TargetMode="External"/><Relationship Id="rId1924" Type="http://schemas.openxmlformats.org/officeDocument/2006/relationships/hyperlink" Target="http://www.boxofficemojo.com/schedule/?view=bydate&amp;release=theatrical&amp;date=2017-09-22&amp;p=.htm" TargetMode="External"/><Relationship Id="rId1925" Type="http://schemas.openxmlformats.org/officeDocument/2006/relationships/hyperlink" Target="http://www.boxofficemojo.com/movies/?id=scum17.htm" TargetMode="External"/><Relationship Id="rId1926" Type="http://schemas.openxmlformats.org/officeDocument/2006/relationships/hyperlink" Target="http://www.boxofficemojo.com/studio/chart/?studio=kinolorber.htm" TargetMode="External"/><Relationship Id="rId1927" Type="http://schemas.openxmlformats.org/officeDocument/2006/relationships/hyperlink" Target="http://www.boxofficemojo.com/schedule/?view=bydate&amp;release=theatrical&amp;date=2017-06-16&amp;p=.htm" TargetMode="External"/><Relationship Id="rId1928" Type="http://schemas.openxmlformats.org/officeDocument/2006/relationships/hyperlink" Target="http://www.boxofficemojo.com/movies/?id=lastrampage.htm" TargetMode="External"/><Relationship Id="rId1929" Type="http://schemas.openxmlformats.org/officeDocument/2006/relationships/hyperlink" Target="http://www.boxofficemojo.com/studio/chart/?studio=epicpics.htm" TargetMode="External"/><Relationship Id="rId70" Type="http://schemas.openxmlformats.org/officeDocument/2006/relationships/hyperlink" Target="http://www.boxofficemojo.com/movies/?id=wonder.htm" TargetMode="External"/><Relationship Id="rId71" Type="http://schemas.openxmlformats.org/officeDocument/2006/relationships/hyperlink" Target="http://www.boxofficemojo.com/studio/chart/?studio=lionsgate.htm" TargetMode="External"/><Relationship Id="rId72" Type="http://schemas.openxmlformats.org/officeDocument/2006/relationships/hyperlink" Target="http://www.boxofficemojo.com/schedule/?view=bydate&amp;release=theatrical&amp;date=2017-11-17&amp;p=.htm" TargetMode="External"/><Relationship Id="rId73" Type="http://schemas.openxmlformats.org/officeDocument/2006/relationships/hyperlink" Target="http://www.boxofficemojo.com/movies/?id=girltrip.htm" TargetMode="External"/><Relationship Id="rId74" Type="http://schemas.openxmlformats.org/officeDocument/2006/relationships/hyperlink" Target="http://www.boxofficemojo.com/studio/chart/?studio=universal.htm" TargetMode="External"/><Relationship Id="rId75" Type="http://schemas.openxmlformats.org/officeDocument/2006/relationships/hyperlink" Target="http://www.boxofficemojo.com/schedule/?view=bydate&amp;release=theatrical&amp;date=2017-07-21&amp;p=.htm" TargetMode="External"/><Relationship Id="rId76" Type="http://schemas.openxmlformats.org/officeDocument/2006/relationships/hyperlink" Target="http://www.boxofficemojo.com/movies/?id=fiftyshadesdarker.htm" TargetMode="External"/><Relationship Id="rId77" Type="http://schemas.openxmlformats.org/officeDocument/2006/relationships/hyperlink" Target="http://www.boxofficemojo.com/studio/chart/?studio=universal.htm" TargetMode="External"/><Relationship Id="rId78" Type="http://schemas.openxmlformats.org/officeDocument/2006/relationships/hyperlink" Target="http://www.boxofficemojo.com/schedule/?view=bydate&amp;release=theatrical&amp;date=2017-02-10&amp;p=.htm" TargetMode="External"/><Relationship Id="rId79" Type="http://schemas.openxmlformats.org/officeDocument/2006/relationships/hyperlink" Target="http://www.boxofficemojo.com/movies/?id=greatestshowman.htm" TargetMode="External"/><Relationship Id="rId1930" Type="http://schemas.openxmlformats.org/officeDocument/2006/relationships/hyperlink" Target="http://www.boxofficemojo.com/schedule/?view=bydate&amp;release=theatrical&amp;date=2017-09-22&amp;p=.htm" TargetMode="External"/><Relationship Id="rId1931" Type="http://schemas.openxmlformats.org/officeDocument/2006/relationships/hyperlink" Target="http://www.boxofficemojo.com/movies/?id=inseparables.htm" TargetMode="External"/><Relationship Id="rId1932" Type="http://schemas.openxmlformats.org/officeDocument/2006/relationships/hyperlink" Target="http://www.boxofficemojo.com/studio/chart/?studio=filmmovement.htm" TargetMode="External"/><Relationship Id="rId1933" Type="http://schemas.openxmlformats.org/officeDocument/2006/relationships/hyperlink" Target="http://www.boxofficemojo.com/schedule/?view=bydate&amp;release=theatrical&amp;date=2017-10-15&amp;p=.htm" TargetMode="External"/><Relationship Id="rId1540" Type="http://schemas.openxmlformats.org/officeDocument/2006/relationships/hyperlink" Target="http://www.boxofficemojo.com/movies/?id=olddarkhouse2017.htm" TargetMode="External"/><Relationship Id="rId1541" Type="http://schemas.openxmlformats.org/officeDocument/2006/relationships/hyperlink" Target="http://www.boxofficemojo.com/studio/chart/?studio=cohenmedia.htm" TargetMode="External"/><Relationship Id="rId1542" Type="http://schemas.openxmlformats.org/officeDocument/2006/relationships/hyperlink" Target="http://www.boxofficemojo.com/schedule/?view=bydate&amp;release=theatrical&amp;date=2017-10-27&amp;p=.htm" TargetMode="External"/><Relationship Id="rId1543" Type="http://schemas.openxmlformats.org/officeDocument/2006/relationships/hyperlink" Target="http://www.boxofficemojo.com/movies/?id=birdboy.htm" TargetMode="External"/><Relationship Id="rId1150" Type="http://schemas.openxmlformats.org/officeDocument/2006/relationships/hyperlink" Target="http://www.boxofficemojo.com/movies/?id=mariecuriethecourageofknowledge.htm" TargetMode="External"/><Relationship Id="rId1151" Type="http://schemas.openxmlformats.org/officeDocument/2006/relationships/hyperlink" Target="http://www.boxofficemojo.com/studio/chart/?studio=societyfilms.htm" TargetMode="External"/><Relationship Id="rId1152" Type="http://schemas.openxmlformats.org/officeDocument/2006/relationships/hyperlink" Target="http://www.boxofficemojo.com/schedule/?view=bydate&amp;release=theatrical&amp;date=2017-06-30&amp;p=.htm" TargetMode="External"/><Relationship Id="rId1153" Type="http://schemas.openxmlformats.org/officeDocument/2006/relationships/hyperlink" Target="http://www.boxofficemojo.com/movies/?id=thebside.htm" TargetMode="External"/><Relationship Id="rId1154" Type="http://schemas.openxmlformats.org/officeDocument/2006/relationships/hyperlink" Target="http://www.boxofficemojo.com/studio/chart/?studio=neon.htm" TargetMode="External"/><Relationship Id="rId1155" Type="http://schemas.openxmlformats.org/officeDocument/2006/relationships/hyperlink" Target="http://www.boxofficemojo.com/schedule/?view=bydate&amp;release=theatrical&amp;date=2017-06-30&amp;p=.htm" TargetMode="External"/><Relationship Id="rId1156" Type="http://schemas.openxmlformats.org/officeDocument/2006/relationships/hyperlink" Target="http://www.boxofficemojo.com/movies/?id=thethousandfacesofdunjia.htm" TargetMode="External"/><Relationship Id="rId1157" Type="http://schemas.openxmlformats.org/officeDocument/2006/relationships/hyperlink" Target="http://www.boxofficemojo.com/studio/chart/?studio=wellgo.htm" TargetMode="External"/><Relationship Id="rId1158" Type="http://schemas.openxmlformats.org/officeDocument/2006/relationships/hyperlink" Target="http://www.boxofficemojo.com/schedule/?view=bydate&amp;release=theatrical&amp;date=2017-12-15&amp;p=.htm" TargetMode="External"/><Relationship Id="rId1159" Type="http://schemas.openxmlformats.org/officeDocument/2006/relationships/hyperlink" Target="http://www.boxofficemojo.com/movies/?id=bvsocialclubadios.htm" TargetMode="External"/><Relationship Id="rId690" Type="http://schemas.openxmlformats.org/officeDocument/2006/relationships/hyperlink" Target="http://www.boxofficemojo.com/schedule/?view=bydate&amp;release=theatrical&amp;date=2017-10-27&amp;p=.htm" TargetMode="External"/><Relationship Id="rId691" Type="http://schemas.openxmlformats.org/officeDocument/2006/relationships/hyperlink" Target="http://www.boxofficemojo.com/movies/?id=thetriptospain.htm" TargetMode="External"/><Relationship Id="rId692" Type="http://schemas.openxmlformats.org/officeDocument/2006/relationships/hyperlink" Target="http://www.boxofficemojo.com/studio/chart/?studio=ifc.htm" TargetMode="External"/><Relationship Id="rId693" Type="http://schemas.openxmlformats.org/officeDocument/2006/relationships/hyperlink" Target="http://www.boxofficemojo.com/schedule/?view=bydate&amp;release=theatrical&amp;date=2017-08-11&amp;p=.htm" TargetMode="External"/><Relationship Id="rId694" Type="http://schemas.openxmlformats.org/officeDocument/2006/relationships/hyperlink" Target="http://www.boxofficemojo.com/movies/?id=step2017.htm" TargetMode="External"/><Relationship Id="rId695" Type="http://schemas.openxmlformats.org/officeDocument/2006/relationships/hyperlink" Target="http://www.boxofficemojo.com/studio/chart/?studio=foxsearchlight.htm" TargetMode="External"/><Relationship Id="rId696" Type="http://schemas.openxmlformats.org/officeDocument/2006/relationships/hyperlink" Target="http://www.boxofficemojo.com/schedule/?view=bydate&amp;release=theatrical&amp;date=2017-08-04&amp;p=.htm" TargetMode="External"/><Relationship Id="rId697" Type="http://schemas.openxmlformats.org/officeDocument/2006/relationships/hyperlink" Target="http://www.boxofficemojo.com/movies/?id=ladymacbeth.htm" TargetMode="External"/><Relationship Id="rId698" Type="http://schemas.openxmlformats.org/officeDocument/2006/relationships/hyperlink" Target="http://www.boxofficemojo.com/studio/chart/?studio=roadsideattractions.htm" TargetMode="External"/><Relationship Id="rId699" Type="http://schemas.openxmlformats.org/officeDocument/2006/relationships/hyperlink" Target="http://www.boxofficemojo.com/schedule/?view=bydate&amp;release=theatrical&amp;date=2017-07-14&amp;p=.htm" TargetMode="External"/><Relationship Id="rId1544" Type="http://schemas.openxmlformats.org/officeDocument/2006/relationships/hyperlink" Target="http://www.boxofficemojo.com/studio/chart/?studio=gkids.htm" TargetMode="External"/><Relationship Id="rId1545" Type="http://schemas.openxmlformats.org/officeDocument/2006/relationships/hyperlink" Target="http://www.boxofficemojo.com/schedule/?view=bydate&amp;release=theatrical&amp;date=2017-12-15&amp;p=.htm" TargetMode="External"/><Relationship Id="rId1546" Type="http://schemas.openxmlformats.org/officeDocument/2006/relationships/hyperlink" Target="http://www.boxofficemojo.com/movies/?id=savingbrinton.htm" TargetMode="External"/><Relationship Id="rId1547" Type="http://schemas.openxmlformats.org/officeDocument/2006/relationships/hyperlink" Target="http://www.boxofficemojo.com/studio/chart/?studio=barnowlpictures.htm" TargetMode="External"/><Relationship Id="rId1548" Type="http://schemas.openxmlformats.org/officeDocument/2006/relationships/hyperlink" Target="http://www.boxofficemojo.com/schedule/?view=bydate&amp;release=theatrical&amp;date=2017-09-17&amp;p=.htm" TargetMode="External"/><Relationship Id="rId1549" Type="http://schemas.openxmlformats.org/officeDocument/2006/relationships/hyperlink" Target="http://www.boxofficemojo.com/movies/?id=moscowneversleeps.htm" TargetMode="External"/><Relationship Id="rId1934" Type="http://schemas.openxmlformats.org/officeDocument/2006/relationships/hyperlink" Target="http://www.boxofficemojo.com/movies/?id=theskyjackerstale.htm" TargetMode="External"/><Relationship Id="rId1935" Type="http://schemas.openxmlformats.org/officeDocument/2006/relationships/hyperlink" Target="http://www.boxofficemojo.com/studio/chart/?studio=strand.htm" TargetMode="External"/><Relationship Id="rId1936" Type="http://schemas.openxmlformats.org/officeDocument/2006/relationships/hyperlink" Target="http://www.boxofficemojo.com/schedule/?view=bydate&amp;release=theatrical&amp;date=2017-06-30&amp;p=.htm" TargetMode="External"/><Relationship Id="rId1937" Type="http://schemas.openxmlformats.org/officeDocument/2006/relationships/hyperlink" Target="http://www.boxofficemojo.com/movies/?id=inthestepsoftrishabrown.htm" TargetMode="External"/><Relationship Id="rId1938" Type="http://schemas.openxmlformats.org/officeDocument/2006/relationships/hyperlink" Target="http://www.boxofficemojo.com/studio/chart/?studio=icarus.htm" TargetMode="External"/><Relationship Id="rId1939" Type="http://schemas.openxmlformats.org/officeDocument/2006/relationships/hyperlink" Target="http://www.boxofficemojo.com/schedule/?view=bydate&amp;release=theatrical&amp;date=2017-02-07&amp;p=.htm" TargetMode="External"/><Relationship Id="rId80" Type="http://schemas.openxmlformats.org/officeDocument/2006/relationships/hyperlink" Target="http://www.boxofficemojo.com/studio/chart/?studio=fox.htm" TargetMode="External"/><Relationship Id="rId81" Type="http://schemas.openxmlformats.org/officeDocument/2006/relationships/hyperlink" Target="http://www.boxofficemojo.com/schedule/?view=bydate&amp;release=theatrical&amp;date=2017-12-20&amp;p=.htm" TargetMode="External"/><Relationship Id="rId82" Type="http://schemas.openxmlformats.org/officeDocument/2006/relationships/hyperlink" Target="http://www.boxofficemojo.com/movies/?id=babydriver.htm" TargetMode="External"/><Relationship Id="rId83" Type="http://schemas.openxmlformats.org/officeDocument/2006/relationships/hyperlink" Target="http://www.boxofficemojo.com/studio/chart/?studio=tristar.htm" TargetMode="External"/><Relationship Id="rId84" Type="http://schemas.openxmlformats.org/officeDocument/2006/relationships/hyperlink" Target="http://www.boxofficemojo.com/schedule/?view=bydate&amp;release=theatrical&amp;date=2017-06-28&amp;p=.htm" TargetMode="External"/><Relationship Id="rId85" Type="http://schemas.openxmlformats.org/officeDocument/2006/relationships/hyperlink" Target="http://www.boxofficemojo.com/movies/?id=daddyshome2.htm" TargetMode="External"/><Relationship Id="rId86" Type="http://schemas.openxmlformats.org/officeDocument/2006/relationships/hyperlink" Target="http://www.boxofficemojo.com/studio/chart/?studio=paramount.htm" TargetMode="External"/><Relationship Id="rId87" Type="http://schemas.openxmlformats.org/officeDocument/2006/relationships/hyperlink" Target="http://www.boxofficemojo.com/schedule/?view=bydate&amp;release=theatrical&amp;date=2017-11-10&amp;p=.htm" TargetMode="External"/><Relationship Id="rId88" Type="http://schemas.openxmlformats.org/officeDocument/2006/relationships/hyperlink" Target="http://www.boxofficemojo.com/movies/?id=murderorientexpress17.htm" TargetMode="External"/><Relationship Id="rId89" Type="http://schemas.openxmlformats.org/officeDocument/2006/relationships/hyperlink" Target="http://www.boxofficemojo.com/studio/chart/?studio=fox.htm" TargetMode="External"/><Relationship Id="rId1940" Type="http://schemas.openxmlformats.org/officeDocument/2006/relationships/hyperlink" Target="http://www.boxofficemojo.com/movies/?id=arisefromdarkness.htm" TargetMode="External"/><Relationship Id="rId1941" Type="http://schemas.openxmlformats.org/officeDocument/2006/relationships/hyperlink" Target="http://www.boxofficemojo.com/studio/chart/?studio=indican.htm" TargetMode="External"/><Relationship Id="rId1942" Type="http://schemas.openxmlformats.org/officeDocument/2006/relationships/hyperlink" Target="http://www.boxofficemojo.com/schedule/?view=bydate&amp;release=theatrical&amp;date=2017-01-06&amp;p=.htm" TargetMode="External"/><Relationship Id="rId1943" Type="http://schemas.openxmlformats.org/officeDocument/2006/relationships/hyperlink" Target="http://www.boxofficemojo.com/movies/?id=thefuzz.htm" TargetMode="External"/><Relationship Id="rId1550" Type="http://schemas.openxmlformats.org/officeDocument/2006/relationships/hyperlink" Target="http://www.boxofficemojo.com/studio/chart/?studio=cavu.htm" TargetMode="External"/><Relationship Id="rId1551" Type="http://schemas.openxmlformats.org/officeDocument/2006/relationships/hyperlink" Target="http://www.boxofficemojo.com/schedule/?view=bydate&amp;release=theatrical&amp;date=2017-06-19&amp;p=.htm" TargetMode="External"/><Relationship Id="rId1552" Type="http://schemas.openxmlformats.org/officeDocument/2006/relationships/hyperlink" Target="http://www.boxofficemojo.com/movies/?id=themarseilletrilogy.htm" TargetMode="External"/><Relationship Id="rId1553" Type="http://schemas.openxmlformats.org/officeDocument/2006/relationships/hyperlink" Target="http://www.boxofficemojo.com/studio/chart/?studio=janusfilms.htm" TargetMode="External"/><Relationship Id="rId1160" Type="http://schemas.openxmlformats.org/officeDocument/2006/relationships/hyperlink" Target="http://www.boxofficemojo.com/studio/chart/?studio=broadgreen.htm" TargetMode="External"/><Relationship Id="rId1161" Type="http://schemas.openxmlformats.org/officeDocument/2006/relationships/hyperlink" Target="http://www.boxofficemojo.com/schedule/?view=bydate&amp;release=theatrical&amp;date=2017-05-26&amp;p=.htm" TargetMode="External"/><Relationship Id="rId1162" Type="http://schemas.openxmlformats.org/officeDocument/2006/relationships/hyperlink" Target="http://www.boxofficemojo.com/movies/?id=explosion.htm" TargetMode="External"/><Relationship Id="rId1163" Type="http://schemas.openxmlformats.org/officeDocument/2006/relationships/hyperlink" Target="http://www.boxofficemojo.com/studio/chart/?studio=chinalion.htm" TargetMode="External"/><Relationship Id="rId1164" Type="http://schemas.openxmlformats.org/officeDocument/2006/relationships/hyperlink" Target="http://www.boxofficemojo.com/schedule/?view=bydate&amp;release=theatrical&amp;date=2017-11-24&amp;p=.htm" TargetMode="External"/><Relationship Id="rId1165" Type="http://schemas.openxmlformats.org/officeDocument/2006/relationships/hyperlink" Target="http://www.boxofficemojo.com/movies/?id=ourtimewillcome.htm" TargetMode="External"/><Relationship Id="rId1166" Type="http://schemas.openxmlformats.org/officeDocument/2006/relationships/hyperlink" Target="http://www.boxofficemojo.com/studio/chart/?studio=chinalion.htm" TargetMode="External"/><Relationship Id="rId1167" Type="http://schemas.openxmlformats.org/officeDocument/2006/relationships/hyperlink" Target="http://www.boxofficemojo.com/schedule/?view=bydate&amp;release=theatrical&amp;date=2017-07-07&amp;p=.htm" TargetMode="External"/><Relationship Id="rId1168" Type="http://schemas.openxmlformats.org/officeDocument/2006/relationships/hyperlink" Target="http://www.boxofficemojo.com/movies/?id=sallycarmichael.htm" TargetMode="External"/><Relationship Id="rId1169" Type="http://schemas.openxmlformats.org/officeDocument/2006/relationships/hyperlink" Target="http://www.boxofficemojo.com/studio/chart/?studio=purdie.htm" TargetMode="External"/><Relationship Id="rId1554" Type="http://schemas.openxmlformats.org/officeDocument/2006/relationships/hyperlink" Target="http://www.boxofficemojo.com/schedule/?view=bydate&amp;release=theatrical&amp;date=2017-01-04&amp;p=.htm" TargetMode="External"/><Relationship Id="rId1555" Type="http://schemas.openxmlformats.org/officeDocument/2006/relationships/hyperlink" Target="http://www.boxofficemojo.com/movies/?id=paradise2017canada.htm" TargetMode="External"/><Relationship Id="rId1556" Type="http://schemas.openxmlformats.org/officeDocument/2006/relationships/hyperlink" Target="http://www.boxofficemojo.com/studio/chart/?studio=carusel.htm" TargetMode="External"/><Relationship Id="rId1557" Type="http://schemas.openxmlformats.org/officeDocument/2006/relationships/hyperlink" Target="http://www.boxofficemojo.com/schedule/?view=bydate&amp;release=theatrical&amp;date=2017-11-17&amp;p=.htm" TargetMode="External"/><Relationship Id="rId1558" Type="http://schemas.openxmlformats.org/officeDocument/2006/relationships/hyperlink" Target="http://www.boxofficemojo.com/movies/?id=thedeparture.htm" TargetMode="External"/><Relationship Id="rId1559" Type="http://schemas.openxmlformats.org/officeDocument/2006/relationships/hyperlink" Target="http://www.boxofficemojo.com/studio/chart/?studio=matson.htm" TargetMode="External"/><Relationship Id="rId1944" Type="http://schemas.openxmlformats.org/officeDocument/2006/relationships/hyperlink" Target="http://www.boxofficemojo.com/studio/chart/?studio=indican.htm" TargetMode="External"/><Relationship Id="rId1945" Type="http://schemas.openxmlformats.org/officeDocument/2006/relationships/hyperlink" Target="http://www.boxofficemojo.com/schedule/?view=bydate&amp;release=theatrical&amp;date=2017-07-21&amp;p=.htm" TargetMode="External"/><Relationship Id="rId1946" Type="http://schemas.openxmlformats.org/officeDocument/2006/relationships/hyperlink" Target="http://www.boxofficemojo.com/movies/?id=onwingsofeagles.htm" TargetMode="External"/><Relationship Id="rId1947" Type="http://schemas.openxmlformats.org/officeDocument/2006/relationships/hyperlink" Target="http://www.boxofficemojo.com/studio/chart/?studio=archstone.htm" TargetMode="External"/><Relationship Id="rId1948" Type="http://schemas.openxmlformats.org/officeDocument/2006/relationships/hyperlink" Target="http://www.boxofficemojo.com/schedule/?view=bydate&amp;release=theatrical&amp;date=2017-11-03&amp;p=.htm" TargetMode="External"/><Relationship Id="rId1949" Type="http://schemas.openxmlformats.org/officeDocument/2006/relationships/hyperlink" Target="http://www.boxofficemojo.com/movies/?id=tadeojones2.htm" TargetMode="External"/><Relationship Id="rId300" Type="http://schemas.openxmlformats.org/officeDocument/2006/relationships/hyperlink" Target="http://www.boxofficemojo.com/schedule/?view=bydate&amp;release=theatrical&amp;date=2017-05-19&amp;p=.htm" TargetMode="External"/><Relationship Id="rId301" Type="http://schemas.openxmlformats.org/officeDocument/2006/relationships/hyperlink" Target="http://www.boxofficemojo.com/movies/?id=thecircle2017.htm" TargetMode="External"/><Relationship Id="rId302" Type="http://schemas.openxmlformats.org/officeDocument/2006/relationships/hyperlink" Target="http://www.boxofficemojo.com/studio/chart/?studio=stx.htm" TargetMode="External"/><Relationship Id="rId303" Type="http://schemas.openxmlformats.org/officeDocument/2006/relationships/hyperlink" Target="http://www.boxofficemojo.com/schedule/?view=bydate&amp;release=theatrical&amp;date=2017-04-28&amp;p=.htm" TargetMode="External"/><Relationship Id="rId304" Type="http://schemas.openxmlformats.org/officeDocument/2006/relationships/hyperlink" Target="http://www.boxofficemojo.com/movies/?id=baahubali2.htm" TargetMode="External"/><Relationship Id="rId305" Type="http://schemas.openxmlformats.org/officeDocument/2006/relationships/hyperlink" Target="http://www.boxofficemojo.com/studio/chart/?studio=greatindiafilms.htm" TargetMode="External"/><Relationship Id="rId306" Type="http://schemas.openxmlformats.org/officeDocument/2006/relationships/hyperlink" Target="http://www.boxofficemojo.com/schedule/?view=bydate&amp;release=theatrical&amp;date=2017-04-28&amp;p=.htm" TargetMode="External"/><Relationship Id="rId307" Type="http://schemas.openxmlformats.org/officeDocument/2006/relationships/hyperlink" Target="http://www.boxofficemojo.com/movies/?id=chips.htm" TargetMode="External"/><Relationship Id="rId308" Type="http://schemas.openxmlformats.org/officeDocument/2006/relationships/hyperlink" Target="http://www.boxofficemojo.com/studio/chart/?studio=warnerbros.htm" TargetMode="External"/><Relationship Id="rId309" Type="http://schemas.openxmlformats.org/officeDocument/2006/relationships/hyperlink" Target="http://www.boxofficemojo.com/schedule/?view=bydate&amp;release=theatrical&amp;date=2017-03-24&amp;p=.htm" TargetMode="External"/><Relationship Id="rId90" Type="http://schemas.openxmlformats.org/officeDocument/2006/relationships/hyperlink" Target="http://www.boxofficemojo.com/schedule/?view=bydate&amp;release=theatrical&amp;date=2017-11-10&amp;p=.htm" TargetMode="External"/><Relationship Id="rId91" Type="http://schemas.openxmlformats.org/officeDocument/2006/relationships/hyperlink" Target="http://www.boxofficemojo.com/movies/?id=annabelle2.htm" TargetMode="External"/><Relationship Id="rId92" Type="http://schemas.openxmlformats.org/officeDocument/2006/relationships/hyperlink" Target="http://www.boxofficemojo.com/studio/chart/?studio=wb-newline.htm" TargetMode="External"/><Relationship Id="rId93" Type="http://schemas.openxmlformats.org/officeDocument/2006/relationships/hyperlink" Target="http://www.boxofficemojo.com/schedule/?view=bydate&amp;release=theatrical&amp;date=2017-08-11&amp;p=.htm" TargetMode="External"/><Relationship Id="rId94" Type="http://schemas.openxmlformats.org/officeDocument/2006/relationships/hyperlink" Target="http://www.boxofficemojo.com/movies/?id=pitchperfect3.htm" TargetMode="External"/><Relationship Id="rId95" Type="http://schemas.openxmlformats.org/officeDocument/2006/relationships/hyperlink" Target="http://www.boxofficemojo.com/studio/chart/?studio=universal.htm" TargetMode="External"/><Relationship Id="rId96" Type="http://schemas.openxmlformats.org/officeDocument/2006/relationships/hyperlink" Target="http://www.boxofficemojo.com/schedule/?view=bydate&amp;release=theatrical&amp;date=2017-12-22&amp;p=.htm" TargetMode="External"/><Relationship Id="rId97" Type="http://schemas.openxmlformats.org/officeDocument/2006/relationships/hyperlink" Target="http://www.boxofficemojo.com/movies/?id=kingsman2.htm" TargetMode="External"/><Relationship Id="rId98" Type="http://schemas.openxmlformats.org/officeDocument/2006/relationships/hyperlink" Target="http://www.boxofficemojo.com/studio/chart/?studio=fox.htm" TargetMode="External"/><Relationship Id="rId99" Type="http://schemas.openxmlformats.org/officeDocument/2006/relationships/hyperlink" Target="http://www.boxofficemojo.com/schedule/?view=bydate&amp;release=theatrical&amp;date=2017-09-22&amp;p=.htm" TargetMode="External"/><Relationship Id="rId1950" Type="http://schemas.openxmlformats.org/officeDocument/2006/relationships/hyperlink" Target="http://www.boxofficemojo.com/studio/chart/?studio=paramountclassics.htm" TargetMode="External"/><Relationship Id="rId1951" Type="http://schemas.openxmlformats.org/officeDocument/2006/relationships/hyperlink" Target="http://www.boxofficemojo.com/schedule/?view=bydate&amp;release=theatrical&amp;date=2017-12-01&amp;p=.htm" TargetMode="External"/><Relationship Id="rId1952" Type="http://schemas.openxmlformats.org/officeDocument/2006/relationships/hyperlink" Target="http://www.boxofficemojo.com/movies/?id=thework.htm" TargetMode="External"/><Relationship Id="rId1953" Type="http://schemas.openxmlformats.org/officeDocument/2006/relationships/hyperlink" Target="http://www.boxofficemojo.com/studio/chart/?studio=orchard.htm" TargetMode="External"/><Relationship Id="rId1560" Type="http://schemas.openxmlformats.org/officeDocument/2006/relationships/hyperlink" Target="http://www.boxofficemojo.com/schedule/?view=bydate&amp;release=theatrical&amp;date=2017-10-13&amp;p=.htm" TargetMode="External"/><Relationship Id="rId1561" Type="http://schemas.openxmlformats.org/officeDocument/2006/relationships/hyperlink" Target="http://www.boxofficemojo.com/movies/?id=naples44.htm" TargetMode="External"/><Relationship Id="rId1562" Type="http://schemas.openxmlformats.org/officeDocument/2006/relationships/hyperlink" Target="http://www.boxofficemojo.com/studio/chart/?studio=firstrun.htm" TargetMode="External"/><Relationship Id="rId1563" Type="http://schemas.openxmlformats.org/officeDocument/2006/relationships/hyperlink" Target="http://www.boxofficemojo.com/schedule/?view=bydate&amp;release=theatrical&amp;date=2017-11-29&amp;p=.htm" TargetMode="External"/><Relationship Id="rId1170" Type="http://schemas.openxmlformats.org/officeDocument/2006/relationships/hyperlink" Target="http://www.boxofficemojo.com/schedule/?view=bydate&amp;release=theatrical&amp;date=2017-08-04&amp;p=.htm" TargetMode="External"/><Relationship Id="rId1171" Type="http://schemas.openxmlformats.org/officeDocument/2006/relationships/hyperlink" Target="http://www.boxofficemojo.com/movies/?id=abacus.htm" TargetMode="External"/><Relationship Id="rId1172" Type="http://schemas.openxmlformats.org/officeDocument/2006/relationships/hyperlink" Target="http://www.boxofficemojo.com/studio/chart/?studio=pbs.htm" TargetMode="External"/><Relationship Id="rId1173" Type="http://schemas.openxmlformats.org/officeDocument/2006/relationships/hyperlink" Target="http://www.boxofficemojo.com/schedule/?view=bydate&amp;release=theatrical&amp;date=2017-05-19&amp;p=.htm" TargetMode="External"/><Relationship Id="rId1174" Type="http://schemas.openxmlformats.org/officeDocument/2006/relationships/hyperlink" Target="http://www.boxofficemojo.com/movies/?id=thekingschoice.htm" TargetMode="External"/><Relationship Id="rId1175" Type="http://schemas.openxmlformats.org/officeDocument/2006/relationships/hyperlink" Target="http://www.boxofficemojo.com/studio/chart/?studio=samuelgoldwyn.htm" TargetMode="External"/><Relationship Id="rId1176" Type="http://schemas.openxmlformats.org/officeDocument/2006/relationships/hyperlink" Target="http://www.boxofficemojo.com/schedule/?view=bydate&amp;release=theatrical&amp;date=2017-09-22&amp;p=.htm" TargetMode="External"/><Relationship Id="rId1177" Type="http://schemas.openxmlformats.org/officeDocument/2006/relationships/hyperlink" Target="http://www.boxofficemojo.com/movies/?id=slackbay.htm" TargetMode="External"/><Relationship Id="rId1178" Type="http://schemas.openxmlformats.org/officeDocument/2006/relationships/hyperlink" Target="http://www.boxofficemojo.com/studio/chart/?studio=kinolorber.htm" TargetMode="External"/><Relationship Id="rId1179" Type="http://schemas.openxmlformats.org/officeDocument/2006/relationships/hyperlink" Target="http://www.boxofficemojo.com/schedule/?view=bydate&amp;release=theatrical&amp;date=2017-03-10&amp;p=.htm" TargetMode="External"/><Relationship Id="rId1564" Type="http://schemas.openxmlformats.org/officeDocument/2006/relationships/hyperlink" Target="http://www.boxofficemojo.com/movies/?id=jasmine.htm" TargetMode="External"/><Relationship Id="rId1565" Type="http://schemas.openxmlformats.org/officeDocument/2006/relationships/hyperlink" Target="http://www.boxofficemojo.com/studio/chart/?studio=indican.htm" TargetMode="External"/><Relationship Id="rId1566" Type="http://schemas.openxmlformats.org/officeDocument/2006/relationships/hyperlink" Target="http://www.boxofficemojo.com/schedule/?view=bydate&amp;release=theatrical&amp;date=2017-06-16&amp;p=.htm" TargetMode="External"/><Relationship Id="rId1567" Type="http://schemas.openxmlformats.org/officeDocument/2006/relationships/hyperlink" Target="http://www.boxofficemojo.com/movies/?id=simplecreature.htm" TargetMode="External"/><Relationship Id="rId1568" Type="http://schemas.openxmlformats.org/officeDocument/2006/relationships/hyperlink" Target="http://www.boxofficemojo.com/studio/chart/?studio=indican.htm" TargetMode="External"/><Relationship Id="rId1569" Type="http://schemas.openxmlformats.org/officeDocument/2006/relationships/hyperlink" Target="http://www.boxofficemojo.com/schedule/?view=bydate&amp;release=theatrical&amp;date=2017-08-05&amp;p=.htm" TargetMode="External"/><Relationship Id="rId1954" Type="http://schemas.openxmlformats.org/officeDocument/2006/relationships/hyperlink" Target="http://www.boxofficemojo.com/schedule/?view=bydate&amp;release=theatrical&amp;date=2017-10-27&amp;p=.htm" TargetMode="External"/><Relationship Id="rId1955" Type="http://schemas.openxmlformats.org/officeDocument/2006/relationships/hyperlink" Target="http://www.boxofficemojo.com/movies/?id=thevault.htm" TargetMode="External"/><Relationship Id="rId1956" Type="http://schemas.openxmlformats.org/officeDocument/2006/relationships/hyperlink" Target="http://www.boxofficemojo.com/studio/chart/?studio=filmrise.htm" TargetMode="External"/><Relationship Id="rId1957" Type="http://schemas.openxmlformats.org/officeDocument/2006/relationships/hyperlink" Target="http://www.boxofficemojo.com/schedule/?view=bydate&amp;release=theatrical&amp;date=2017-09-01&amp;p=.htm" TargetMode="External"/><Relationship Id="rId1958" Type="http://schemas.openxmlformats.org/officeDocument/2006/relationships/hyperlink" Target="http://www.boxofficemojo.com/movies/?id=trespassagainstus.htm" TargetMode="External"/><Relationship Id="rId1959" Type="http://schemas.openxmlformats.org/officeDocument/2006/relationships/hyperlink" Target="http://www.boxofficemojo.com/studio/chart/?studio=a24.htm" TargetMode="External"/><Relationship Id="rId700" Type="http://schemas.openxmlformats.org/officeDocument/2006/relationships/hyperlink" Target="http://www.boxofficemojo.com/movies/?id=viceroyshouse.htm" TargetMode="External"/><Relationship Id="rId701" Type="http://schemas.openxmlformats.org/officeDocument/2006/relationships/hyperlink" Target="http://www.boxofficemojo.com/studio/chart/?studio=ifc.htm" TargetMode="External"/><Relationship Id="rId702" Type="http://schemas.openxmlformats.org/officeDocument/2006/relationships/hyperlink" Target="http://www.boxofficemojo.com/schedule/?view=bydate&amp;release=theatrical&amp;date=2017-09-01&amp;p=.htm" TargetMode="External"/><Relationship Id="rId703" Type="http://schemas.openxmlformats.org/officeDocument/2006/relationships/hyperlink" Target="http://www.boxofficemojo.com/movies/?id=thebattleshipisland.htm" TargetMode="External"/><Relationship Id="rId310" Type="http://schemas.openxmlformats.org/officeDocument/2006/relationships/hyperlink" Target="http://www.boxofficemojo.com/movies/?id=granitemountain.htm" TargetMode="External"/><Relationship Id="rId311" Type="http://schemas.openxmlformats.org/officeDocument/2006/relationships/hyperlink" Target="http://www.boxofficemojo.com/studio/chart/?studio=sony.htm" TargetMode="External"/><Relationship Id="rId312" Type="http://schemas.openxmlformats.org/officeDocument/2006/relationships/hyperlink" Target="http://www.boxofficemojo.com/schedule/?view=bydate&amp;release=theatrical&amp;date=2017-10-20&amp;p=.htm" TargetMode="External"/><Relationship Id="rId313" Type="http://schemas.openxmlformats.org/officeDocument/2006/relationships/hyperlink" Target="http://www.boxofficemojo.com/movies/?id=mother2017.htm" TargetMode="External"/><Relationship Id="rId314" Type="http://schemas.openxmlformats.org/officeDocument/2006/relationships/hyperlink" Target="http://www.boxofficemojo.com/studio/chart/?studio=paramount.htm" TargetMode="External"/><Relationship Id="rId315" Type="http://schemas.openxmlformats.org/officeDocument/2006/relationships/hyperlink" Target="http://www.boxofficemojo.com/schedule/?view=bydate&amp;release=theatrical&amp;date=2017-09-15&amp;p=.htm" TargetMode="External"/><Relationship Id="rId316" Type="http://schemas.openxmlformats.org/officeDocument/2006/relationships/hyperlink" Target="http://www.boxofficemojo.com/movies/?id=zookeeperswife.htm" TargetMode="External"/><Relationship Id="rId317" Type="http://schemas.openxmlformats.org/officeDocument/2006/relationships/hyperlink" Target="http://www.boxofficemojo.com/studio/chart/?studio=focus.htm" TargetMode="External"/><Relationship Id="rId318" Type="http://schemas.openxmlformats.org/officeDocument/2006/relationships/hyperlink" Target="http://www.boxofficemojo.com/schedule/?view=bydate&amp;release=theatrical&amp;date=2017-03-31&amp;p=.htm" TargetMode="External"/><Relationship Id="rId319" Type="http://schemas.openxmlformats.org/officeDocument/2006/relationships/hyperlink" Target="http://www.boxofficemojo.com/movies/?id=bastards2016.htm" TargetMode="External"/><Relationship Id="rId704" Type="http://schemas.openxmlformats.org/officeDocument/2006/relationships/hyperlink" Target="http://www.boxofficemojo.com/studio/chart/?studio=cjentertainment.htm" TargetMode="External"/><Relationship Id="rId705" Type="http://schemas.openxmlformats.org/officeDocument/2006/relationships/hyperlink" Target="http://www.boxofficemojo.com/schedule/?view=bydate&amp;release=theatrical&amp;date=2017-07-26&amp;p=.htm" TargetMode="External"/><Relationship Id="rId706" Type="http://schemas.openxmlformats.org/officeDocument/2006/relationships/hyperlink" Target="http://www.boxofficemojo.com/movies/?id=wonderstruck.htm" TargetMode="External"/><Relationship Id="rId707" Type="http://schemas.openxmlformats.org/officeDocument/2006/relationships/hyperlink" Target="http://www.boxofficemojo.com/studio/chart/?studio=roadsideattractions.htm" TargetMode="External"/><Relationship Id="rId708" Type="http://schemas.openxmlformats.org/officeDocument/2006/relationships/hyperlink" Target="http://www.boxofficemojo.com/schedule/?view=bydate&amp;release=theatrical&amp;date=2017-10-20&amp;p=.htm" TargetMode="External"/><Relationship Id="rId709" Type="http://schemas.openxmlformats.org/officeDocument/2006/relationships/hyperlink" Target="http://www.boxofficemojo.com/movies/?id=judgmentday3d.htm" TargetMode="External"/><Relationship Id="rId1960" Type="http://schemas.openxmlformats.org/officeDocument/2006/relationships/hyperlink" Target="http://www.boxofficemojo.com/schedule/?view=bydate&amp;release=theatrical&amp;date=2017-01-20&amp;p=.htm" TargetMode="External"/><Relationship Id="rId1961" Type="http://schemas.openxmlformats.org/officeDocument/2006/relationships/hyperlink" Target="http://www.boxofficemojo.com/movies/?id=theardennes.htm" TargetMode="External"/><Relationship Id="rId1962" Type="http://schemas.openxmlformats.org/officeDocument/2006/relationships/hyperlink" Target="http://www.boxofficemojo.com/studio/chart/?studio=filmmovement.htm" TargetMode="External"/><Relationship Id="rId1963" Type="http://schemas.openxmlformats.org/officeDocument/2006/relationships/hyperlink" Target="http://www.boxofficemojo.com/schedule/?view=bydate&amp;release=theatrical&amp;date=2017-01-06&amp;p=.htm" TargetMode="External"/><Relationship Id="rId1570" Type="http://schemas.openxmlformats.org/officeDocument/2006/relationships/hyperlink" Target="http://www.boxofficemojo.com/movies/?id=awomanapart.htm" TargetMode="External"/><Relationship Id="rId1571" Type="http://schemas.openxmlformats.org/officeDocument/2006/relationships/hyperlink" Target="http://www.boxofficemojo.com/studio/chart/?studio=strand.htm" TargetMode="External"/><Relationship Id="rId1572" Type="http://schemas.openxmlformats.org/officeDocument/2006/relationships/hyperlink" Target="http://www.boxofficemojo.com/schedule/?view=bydate&amp;release=theatrical&amp;date=2017-03-22&amp;p=.htm" TargetMode="External"/><Relationship Id="rId1573" Type="http://schemas.openxmlformats.org/officeDocument/2006/relationships/hyperlink" Target="http://www.boxofficemojo.com/movies/?id=forahkeem.htm" TargetMode="External"/><Relationship Id="rId1180" Type="http://schemas.openxmlformats.org/officeDocument/2006/relationships/hyperlink" Target="http://www.boxofficemojo.com/movies/?id=troublewithterkel2017.htm" TargetMode="External"/><Relationship Id="rId1181" Type="http://schemas.openxmlformats.org/officeDocument/2006/relationships/hyperlink" Target="http://www.boxofficemojo.com/studio/chart/?studio=indican.htm" TargetMode="External"/><Relationship Id="rId1182" Type="http://schemas.openxmlformats.org/officeDocument/2006/relationships/hyperlink" Target="http://www.boxofficemojo.com/schedule/?view=bydate&amp;release=theatrical&amp;date=2017-02-03&amp;p=.htm" TargetMode="External"/><Relationship Id="rId1183" Type="http://schemas.openxmlformats.org/officeDocument/2006/relationships/hyperlink" Target="http://www.boxofficemojo.com/movies/?id=resetnishiyingjiu.htm" TargetMode="External"/><Relationship Id="rId1184" Type="http://schemas.openxmlformats.org/officeDocument/2006/relationships/hyperlink" Target="http://www.boxofficemojo.com/studio/chart/?studio=wellgo.htm" TargetMode="External"/><Relationship Id="rId1185" Type="http://schemas.openxmlformats.org/officeDocument/2006/relationships/hyperlink" Target="http://www.boxofficemojo.com/schedule/?view=bydate&amp;release=theatrical&amp;date=2017-06-30&amp;p=.htm" TargetMode="External"/><Relationship Id="rId1186" Type="http://schemas.openxmlformats.org/officeDocument/2006/relationships/hyperlink" Target="http://www.boxofficemojo.com/movies/?id=likecrazy2017.htm" TargetMode="External"/><Relationship Id="rId1187" Type="http://schemas.openxmlformats.org/officeDocument/2006/relationships/hyperlink" Target="http://www.boxofficemojo.com/studio/chart/?studio=strand.htm" TargetMode="External"/><Relationship Id="rId1188" Type="http://schemas.openxmlformats.org/officeDocument/2006/relationships/hyperlink" Target="http://www.boxofficemojo.com/schedule/?view=bydate&amp;release=theatrical&amp;date=2017-05-05&amp;p=.htm" TargetMode="External"/><Relationship Id="rId1189" Type="http://schemas.openxmlformats.org/officeDocument/2006/relationships/hyperlink" Target="http://www.boxofficemojo.com/movies/?id=fabricatedcity.htm" TargetMode="External"/><Relationship Id="rId1574" Type="http://schemas.openxmlformats.org/officeDocument/2006/relationships/hyperlink" Target="http://www.boxofficemojo.com/studio/chart/?studio=vitagraph.htm" TargetMode="External"/><Relationship Id="rId1575" Type="http://schemas.openxmlformats.org/officeDocument/2006/relationships/hyperlink" Target="http://www.boxofficemojo.com/schedule/?view=bydate&amp;release=theatrical&amp;date=2017-10-13&amp;p=.htm" TargetMode="External"/><Relationship Id="rId1576" Type="http://schemas.openxmlformats.org/officeDocument/2006/relationships/hyperlink" Target="http://www.boxofficemojo.com/movies/?id=findingoscar.htm" TargetMode="External"/><Relationship Id="rId1577" Type="http://schemas.openxmlformats.org/officeDocument/2006/relationships/hyperlink" Target="http://www.boxofficemojo.com/studio/chart/?studio=filmrise.htm" TargetMode="External"/><Relationship Id="rId1578" Type="http://schemas.openxmlformats.org/officeDocument/2006/relationships/hyperlink" Target="http://www.boxofficemojo.com/schedule/?view=bydate&amp;release=theatrical&amp;date=2017-04-14&amp;p=.htm" TargetMode="External"/><Relationship Id="rId1579" Type="http://schemas.openxmlformats.org/officeDocument/2006/relationships/hyperlink" Target="http://www.boxofficemojo.com/movies/?id=graceofjake.htm" TargetMode="External"/><Relationship Id="rId1964" Type="http://schemas.openxmlformats.org/officeDocument/2006/relationships/hyperlink" Target="http://www.boxofficemojo.com/movies/?id=lachinoise2017.htm" TargetMode="External"/><Relationship Id="rId1965" Type="http://schemas.openxmlformats.org/officeDocument/2006/relationships/hyperlink" Target="http://www.boxofficemojo.com/studio/chart/?studio=kinolorber.htm" TargetMode="External"/><Relationship Id="rId1966" Type="http://schemas.openxmlformats.org/officeDocument/2006/relationships/hyperlink" Target="http://www.boxofficemojo.com/schedule/?view=bydate&amp;release=theatrical&amp;date=2017-07-21&amp;p=.htm" TargetMode="External"/><Relationship Id="rId1967" Type="http://schemas.openxmlformats.org/officeDocument/2006/relationships/hyperlink" Target="http://www.boxofficemojo.com/movies/?id=noculpesalkarma.htm" TargetMode="External"/><Relationship Id="rId1968" Type="http://schemas.openxmlformats.org/officeDocument/2006/relationships/hyperlink" Target="http://www.boxofficemojo.com/studio/chart/?studio=sony.htm" TargetMode="External"/><Relationship Id="rId1969" Type="http://schemas.openxmlformats.org/officeDocument/2006/relationships/hyperlink" Target="http://www.boxofficemojo.com/schedule/?view=bydate&amp;release=theatrical&amp;date=2017-03-24&amp;p=.htm" TargetMode="External"/><Relationship Id="rId710" Type="http://schemas.openxmlformats.org/officeDocument/2006/relationships/hyperlink" Target="http://www.boxofficemojo.com/studio/chart/?studio=distribfilms.htm" TargetMode="External"/><Relationship Id="rId711" Type="http://schemas.openxmlformats.org/officeDocument/2006/relationships/hyperlink" Target="http://www.boxofficemojo.com/schedule/?view=bydate&amp;release=theatrical&amp;date=2017-08-25&amp;p=.htm" TargetMode="External"/><Relationship Id="rId712" Type="http://schemas.openxmlformats.org/officeDocument/2006/relationships/hyperlink" Target="http://www.boxofficemojo.com/movies/?id=casablanca75.htm" TargetMode="External"/><Relationship Id="rId713" Type="http://schemas.openxmlformats.org/officeDocument/2006/relationships/hyperlink" Target="http://www.boxofficemojo.com/studio/chart/?studio=fathom.htm" TargetMode="External"/><Relationship Id="rId320" Type="http://schemas.openxmlformats.org/officeDocument/2006/relationships/hyperlink" Target="http://www.boxofficemojo.com/studio/chart/?studio=warnerbros.htm" TargetMode="External"/><Relationship Id="rId321" Type="http://schemas.openxmlformats.org/officeDocument/2006/relationships/hyperlink" Target="http://www.boxofficemojo.com/schedule/?view=bydate&amp;release=theatrical&amp;date=2017-12-22&amp;p=.htm" TargetMode="External"/><Relationship Id="rId322" Type="http://schemas.openxmlformats.org/officeDocument/2006/relationships/hyperlink" Target="http://www.boxofficemojo.com/movies/?id=theglasscastle.htm" TargetMode="External"/><Relationship Id="rId323" Type="http://schemas.openxmlformats.org/officeDocument/2006/relationships/hyperlink" Target="http://www.boxofficemojo.com/studio/chart/?studio=lionsgate.htm" TargetMode="External"/><Relationship Id="rId324" Type="http://schemas.openxmlformats.org/officeDocument/2006/relationships/hyperlink" Target="http://www.boxofficemojo.com/schedule/?view=bydate&amp;release=theatrical&amp;date=2017-08-11&amp;p=.htm" TargetMode="External"/><Relationship Id="rId325" Type="http://schemas.openxmlformats.org/officeDocument/2006/relationships/hyperlink" Target="http://www.boxofficemojo.com/movies/?id=flatliners2017.htm" TargetMode="External"/><Relationship Id="rId326" Type="http://schemas.openxmlformats.org/officeDocument/2006/relationships/hyperlink" Target="http://www.boxofficemojo.com/studio/chart/?studio=sony.htm" TargetMode="External"/><Relationship Id="rId327" Type="http://schemas.openxmlformats.org/officeDocument/2006/relationships/hyperlink" Target="http://www.boxofficemojo.com/schedule/?view=bydate&amp;release=theatrical&amp;date=2017-09-29&amp;p=.htm" TargetMode="External"/><Relationship Id="rId328" Type="http://schemas.openxmlformats.org/officeDocument/2006/relationships/hyperlink" Target="http://www.boxofficemojo.com/movies/?id=detroit.htm" TargetMode="External"/><Relationship Id="rId329" Type="http://schemas.openxmlformats.org/officeDocument/2006/relationships/hyperlink" Target="http://www.boxofficemojo.com/studio/chart/?studio=annapurna.htm" TargetMode="External"/><Relationship Id="rId714" Type="http://schemas.openxmlformats.org/officeDocument/2006/relationships/hyperlink" Target="http://www.boxofficemojo.com/schedule/?view=bydate&amp;release=theatrical&amp;date=2017-11-12&amp;p=.htm" TargetMode="External"/><Relationship Id="rId715" Type="http://schemas.openxmlformats.org/officeDocument/2006/relationships/hyperlink" Target="http://www.boxofficemojo.com/movies/?id=columbus.htm" TargetMode="External"/><Relationship Id="rId716" Type="http://schemas.openxmlformats.org/officeDocument/2006/relationships/hyperlink" Target="http://www.boxofficemojo.com/studio/chart/?studio=independent.htm" TargetMode="External"/><Relationship Id="rId717" Type="http://schemas.openxmlformats.org/officeDocument/2006/relationships/hyperlink" Target="http://www.boxofficemojo.com/schedule/?view=bydate&amp;release=theatrical&amp;date=2017-08-04&amp;p=.htm" TargetMode="External"/><Relationship Id="rId718" Type="http://schemas.openxmlformats.org/officeDocument/2006/relationships/hyperlink" Target="http://www.boxofficemojo.com/movies/?id=yugiohthedarkside.htm" TargetMode="External"/><Relationship Id="rId719" Type="http://schemas.openxmlformats.org/officeDocument/2006/relationships/hyperlink" Target="http://www.boxofficemojo.com/studio/chart/?studio=screenvision.htm" TargetMode="External"/><Relationship Id="rId1970" Type="http://schemas.openxmlformats.org/officeDocument/2006/relationships/hyperlink" Target="http://www.boxofficemojo.com/movies/?id=oro.htm" TargetMode="External"/><Relationship Id="rId1971" Type="http://schemas.openxmlformats.org/officeDocument/2006/relationships/hyperlink" Target="http://www.boxofficemojo.com/studio/chart/?studio=sony.htm" TargetMode="External"/><Relationship Id="rId1972" Type="http://schemas.openxmlformats.org/officeDocument/2006/relationships/hyperlink" Target="http://www.boxofficemojo.com/schedule/?view=bydate&amp;release=theatrical&amp;date=2017-12-01&amp;p=.htm" TargetMode="External"/><Relationship Id="rId1973" Type="http://schemas.openxmlformats.org/officeDocument/2006/relationships/hyperlink" Target="http://www.boxofficemojo.com/movies/?id=icaros.htm" TargetMode="External"/><Relationship Id="rId1580" Type="http://schemas.openxmlformats.org/officeDocument/2006/relationships/hyperlink" Target="http://www.boxofficemojo.com/studio/chart/?studio=indican.htm" TargetMode="External"/><Relationship Id="rId1581" Type="http://schemas.openxmlformats.org/officeDocument/2006/relationships/hyperlink" Target="http://www.boxofficemojo.com/schedule/?view=bydate&amp;release=theatrical&amp;date=2017-02-03&amp;p=.htm" TargetMode="External"/><Relationship Id="rId1582" Type="http://schemas.openxmlformats.org/officeDocument/2006/relationships/hyperlink" Target="http://www.boxofficemojo.com/movies/?id=therecall.htm" TargetMode="External"/><Relationship Id="rId1583" Type="http://schemas.openxmlformats.org/officeDocument/2006/relationships/hyperlink" Target="http://www.boxofficemojo.com/studio/chart/?studio=fs.htm" TargetMode="External"/><Relationship Id="rId1190" Type="http://schemas.openxmlformats.org/officeDocument/2006/relationships/hyperlink" Target="http://www.boxofficemojo.com/studio/chart/?studio=cjentertainment.htm" TargetMode="External"/><Relationship Id="rId1191" Type="http://schemas.openxmlformats.org/officeDocument/2006/relationships/hyperlink" Target="http://www.boxofficemojo.com/schedule/?view=bydate&amp;release=theatrical&amp;date=2017-02-24&amp;p=.htm" TargetMode="External"/><Relationship Id="rId1192" Type="http://schemas.openxmlformats.org/officeDocument/2006/relationships/hyperlink" Target="http://www.boxofficemojo.com/movies/?id=bolshoiballetheroofourtime.htm" TargetMode="External"/><Relationship Id="rId1193" Type="http://schemas.openxmlformats.org/officeDocument/2006/relationships/hyperlink" Target="http://www.boxofficemojo.com/studio/chart/?studio=fathom.htm" TargetMode="External"/><Relationship Id="rId1194" Type="http://schemas.openxmlformats.org/officeDocument/2006/relationships/hyperlink" Target="http://www.boxofficemojo.com/schedule/?view=bydate&amp;release=theatrical&amp;date=2017-04-09&amp;p=.htm" TargetMode="External"/><Relationship Id="rId1195" Type="http://schemas.openxmlformats.org/officeDocument/2006/relationships/hyperlink" Target="http://www.boxofficemojo.com/movies/?id=walkingout.htm" TargetMode="External"/><Relationship Id="rId1196" Type="http://schemas.openxmlformats.org/officeDocument/2006/relationships/hyperlink" Target="http://www.boxofficemojo.com/studio/chart/?studio=ifc.htm" TargetMode="External"/><Relationship Id="rId1197" Type="http://schemas.openxmlformats.org/officeDocument/2006/relationships/hyperlink" Target="http://www.boxofficemojo.com/schedule/?view=bydate&amp;release=theatrical&amp;date=2017-10-05&amp;p=.htm" TargetMode="External"/><Relationship Id="rId1198" Type="http://schemas.openxmlformats.org/officeDocument/2006/relationships/hyperlink" Target="http://www.boxofficemojo.com/movies/?id=thelure.htm" TargetMode="External"/><Relationship Id="rId1199" Type="http://schemas.openxmlformats.org/officeDocument/2006/relationships/hyperlink" Target="http://www.boxofficemojo.com/studio/chart/?studio=janusfilms.htm" TargetMode="External"/><Relationship Id="rId1584" Type="http://schemas.openxmlformats.org/officeDocument/2006/relationships/hyperlink" Target="http://www.boxofficemojo.com/schedule/?view=bydate&amp;release=theatrical&amp;date=2017-06-02&amp;p=.htm" TargetMode="External"/><Relationship Id="rId1585" Type="http://schemas.openxmlformats.org/officeDocument/2006/relationships/hyperlink" Target="http://www.boxofficemojo.com/movies/?id=myscientologymovie.htm" TargetMode="External"/><Relationship Id="rId1586" Type="http://schemas.openxmlformats.org/officeDocument/2006/relationships/hyperlink" Target="http://www.boxofficemojo.com/studio/chart/?studio=magnolia.htm" TargetMode="External"/><Relationship Id="rId1587" Type="http://schemas.openxmlformats.org/officeDocument/2006/relationships/hyperlink" Target="http://www.boxofficemojo.com/schedule/?view=bydate&amp;release=theatrical&amp;date=2017-03-10&amp;p=.htm" TargetMode="External"/><Relationship Id="rId1588" Type="http://schemas.openxmlformats.org/officeDocument/2006/relationships/hyperlink" Target="http://www.boxofficemojo.com/movies/?id=una.htm" TargetMode="External"/><Relationship Id="rId1589" Type="http://schemas.openxmlformats.org/officeDocument/2006/relationships/hyperlink" Target="http://www.boxofficemojo.com/studio/chart/?studio=eammonfilms.htm" TargetMode="External"/><Relationship Id="rId1974" Type="http://schemas.openxmlformats.org/officeDocument/2006/relationships/hyperlink" Target="http://www.boxofficemojo.com/studio/chart/?studio=factory25.htm" TargetMode="External"/><Relationship Id="rId1975" Type="http://schemas.openxmlformats.org/officeDocument/2006/relationships/hyperlink" Target="http://www.boxofficemojo.com/schedule/?view=bydate&amp;release=theatrical&amp;date=2017-05-19&amp;p=.htm" TargetMode="External"/><Relationship Id="rId1976" Type="http://schemas.openxmlformats.org/officeDocument/2006/relationships/hyperlink" Target="http://www.boxofficemojo.com/movies/?id=thereaganshow.htm" TargetMode="External"/><Relationship Id="rId1977" Type="http://schemas.openxmlformats.org/officeDocument/2006/relationships/hyperlink" Target="http://www.boxofficemojo.com/studio/chart/?studio=gravitas.htm" TargetMode="External"/><Relationship Id="rId1978" Type="http://schemas.openxmlformats.org/officeDocument/2006/relationships/hyperlink" Target="http://www.boxofficemojo.com/schedule/?view=bydate&amp;release=theatrical&amp;date=2017-06-30&amp;p=.htm" TargetMode="External"/><Relationship Id="rId1979" Type="http://schemas.openxmlformats.org/officeDocument/2006/relationships/hyperlink" Target="http://www.boxofficemojo.com/movies/?id=manfromearthholocene.htm" TargetMode="External"/><Relationship Id="rId720" Type="http://schemas.openxmlformats.org/officeDocument/2006/relationships/hyperlink" Target="http://www.boxofficemojo.com/schedule/?view=bydate&amp;release=theatrical&amp;date=2017-01-27&amp;p=.htm" TargetMode="External"/><Relationship Id="rId721" Type="http://schemas.openxmlformats.org/officeDocument/2006/relationships/hyperlink" Target="http://www.boxofficemojo.com/movies/?id=golmaalagain.htm" TargetMode="External"/><Relationship Id="rId722" Type="http://schemas.openxmlformats.org/officeDocument/2006/relationships/hyperlink" Target="http://www.boxofficemojo.com/studio/chart/?studio=reliance.htm" TargetMode="External"/><Relationship Id="rId723" Type="http://schemas.openxmlformats.org/officeDocument/2006/relationships/hyperlink" Target="http://www.boxofficemojo.com/schedule/?view=bydate&amp;release=theatrical&amp;date=2017-10-20&amp;p=.htm" TargetMode="External"/><Relationship Id="rId330" Type="http://schemas.openxmlformats.org/officeDocument/2006/relationships/hyperlink" Target="http://www.boxofficemojo.com/schedule/?view=bydate&amp;release=theatrical&amp;date=2017-07-28&amp;p=.htm" TargetMode="External"/><Relationship Id="rId331" Type="http://schemas.openxmlformats.org/officeDocument/2006/relationships/hyperlink" Target="http://www.boxofficemojo.com/movies/?id=itonya.htm" TargetMode="External"/><Relationship Id="rId332" Type="http://schemas.openxmlformats.org/officeDocument/2006/relationships/hyperlink" Target="http://www.boxofficemojo.com/studio/chart/?studio=neon.htm" TargetMode="External"/><Relationship Id="rId333" Type="http://schemas.openxmlformats.org/officeDocument/2006/relationships/hyperlink" Target="http://www.boxofficemojo.com/schedule/?view=bydate&amp;release=theatrical&amp;date=2017-12-08&amp;p=.htm" TargetMode="External"/><Relationship Id="rId334" Type="http://schemas.openxmlformats.org/officeDocument/2006/relationships/hyperlink" Target="http://www.boxofficemojo.com/movies/?id=thecaseforchrist.htm" TargetMode="External"/><Relationship Id="rId335" Type="http://schemas.openxmlformats.org/officeDocument/2006/relationships/hyperlink" Target="http://www.boxofficemojo.com/studio/chart/?studio=pureflix.htm" TargetMode="External"/><Relationship Id="rId336" Type="http://schemas.openxmlformats.org/officeDocument/2006/relationships/hyperlink" Target="http://www.boxofficemojo.com/schedule/?view=bydate&amp;release=theatrical&amp;date=2017-04-07&amp;p=.htm" TargetMode="External"/><Relationship Id="rId337" Type="http://schemas.openxmlformats.org/officeDocument/2006/relationships/hyperlink" Target="http://www.boxofficemojo.com/movies/?id=wishupon.htm" TargetMode="External"/><Relationship Id="rId338" Type="http://schemas.openxmlformats.org/officeDocument/2006/relationships/hyperlink" Target="http://www.boxofficemojo.com/studio/chart/?studio=broadgreen.htm" TargetMode="External"/><Relationship Id="rId339" Type="http://schemas.openxmlformats.org/officeDocument/2006/relationships/hyperlink" Target="http://www.boxofficemojo.com/schedule/?view=bydate&amp;release=theatrical&amp;date=2017-07-14&amp;p=.htm" TargetMode="External"/><Relationship Id="rId724" Type="http://schemas.openxmlformats.org/officeDocument/2006/relationships/hyperlink" Target="http://www.boxofficemojo.com/movies/?id=lastflagflying.htm" TargetMode="External"/><Relationship Id="rId725" Type="http://schemas.openxmlformats.org/officeDocument/2006/relationships/hyperlink" Target="http://www.boxofficemojo.com/studio/chart/?studio=lionsgate.htm" TargetMode="External"/><Relationship Id="rId726" Type="http://schemas.openxmlformats.org/officeDocument/2006/relationships/hyperlink" Target="http://www.boxofficemojo.com/schedule/?view=bydate&amp;release=theatrical&amp;date=2017-11-03&amp;p=.htm" TargetMode="External"/><Relationship Id="rId727" Type="http://schemas.openxmlformats.org/officeDocument/2006/relationships/hyperlink" Target="http://www.boxofficemojo.com/movies/?id=lucky2017.htm" TargetMode="External"/><Relationship Id="rId728" Type="http://schemas.openxmlformats.org/officeDocument/2006/relationships/hyperlink" Target="http://www.boxofficemojo.com/studio/chart/?studio=magnolia.htm" TargetMode="External"/><Relationship Id="rId729" Type="http://schemas.openxmlformats.org/officeDocument/2006/relationships/hyperlink" Target="http://www.boxofficemojo.com/schedule/?view=bydate&amp;release=theatrical&amp;date=2017-09-29&amp;p=.htm" TargetMode="External"/><Relationship Id="rId1980" Type="http://schemas.openxmlformats.org/officeDocument/2006/relationships/hyperlink" Target="http://www.boxofficemojo.com/studio/chart/?studio=paradedeck.htm" TargetMode="External"/><Relationship Id="rId1981" Type="http://schemas.openxmlformats.org/officeDocument/2006/relationships/hyperlink" Target="http://www.boxofficemojo.com/schedule/?view=bydate&amp;release=theatrical&amp;date=2017-10-13&amp;p=.htm" TargetMode="External"/><Relationship Id="rId1982" Type="http://schemas.openxmlformats.org/officeDocument/2006/relationships/hyperlink" Target="http://www.boxofficemojo.com/movies/?id=reset.htm" TargetMode="External"/><Relationship Id="rId1983" Type="http://schemas.openxmlformats.org/officeDocument/2006/relationships/hyperlink" Target="http://www.boxofficemojo.com/studio/chart/?studio=filmrise.htm" TargetMode="External"/><Relationship Id="rId1590" Type="http://schemas.openxmlformats.org/officeDocument/2006/relationships/hyperlink" Target="http://www.boxofficemojo.com/schedule/?view=bydate&amp;release=theatrical&amp;date=2017-10-06&amp;p=.htm" TargetMode="External"/><Relationship Id="rId1591" Type="http://schemas.openxmlformats.org/officeDocument/2006/relationships/hyperlink" Target="http://www.boxofficemojo.com/movies/?id=paradiseclub.htm" TargetMode="External"/><Relationship Id="rId1592" Type="http://schemas.openxmlformats.org/officeDocument/2006/relationships/hyperlink" Target="http://www.boxofficemojo.com/studio/chart/?studio=indican.htm" TargetMode="External"/><Relationship Id="rId1593" Type="http://schemas.openxmlformats.org/officeDocument/2006/relationships/hyperlink" Target="http://www.boxofficemojo.com/schedule/?view=bydate&amp;release=theatrical&amp;date=2017-09-08&amp;p=.htm" TargetMode="External"/><Relationship Id="rId1594" Type="http://schemas.openxmlformats.org/officeDocument/2006/relationships/hyperlink" Target="http://www.boxofficemojo.com/movies/?id=transfiguration.htm" TargetMode="External"/><Relationship Id="rId1595" Type="http://schemas.openxmlformats.org/officeDocument/2006/relationships/hyperlink" Target="http://www.boxofficemojo.com/studio/chart/?studio=strand.htm" TargetMode="External"/><Relationship Id="rId1596" Type="http://schemas.openxmlformats.org/officeDocument/2006/relationships/hyperlink" Target="http://www.boxofficemojo.com/schedule/?view=bydate&amp;release=theatrical&amp;date=2017-04-07&amp;p=.htm" TargetMode="External"/><Relationship Id="rId1597" Type="http://schemas.openxmlformats.org/officeDocument/2006/relationships/hyperlink" Target="http://www.boxofficemojo.com/movies/?id=bendingthearc.htm" TargetMode="External"/><Relationship Id="rId1598" Type="http://schemas.openxmlformats.org/officeDocument/2006/relationships/hyperlink" Target="http://www.boxofficemojo.com/studio/chart/?studio=abramorama.htm" TargetMode="External"/><Relationship Id="rId1599" Type="http://schemas.openxmlformats.org/officeDocument/2006/relationships/hyperlink" Target="http://www.boxofficemojo.com/schedule/?view=bydate&amp;release=theatrical&amp;date=2017-10-06&amp;p=.htm" TargetMode="External"/><Relationship Id="rId1984" Type="http://schemas.openxmlformats.org/officeDocument/2006/relationships/hyperlink" Target="http://www.boxofficemojo.com/schedule/?view=bydate&amp;release=theatrical&amp;date=2017-01-13&amp;p=.htm" TargetMode="External"/><Relationship Id="rId1985" Type="http://schemas.openxmlformats.org/officeDocument/2006/relationships/hyperlink" Target="http://www.boxofficemojo.com/movies/?id=badluckygoat.htm" TargetMode="External"/><Relationship Id="rId1986" Type="http://schemas.openxmlformats.org/officeDocument/2006/relationships/hyperlink" Target="http://www.boxofficemojo.com/studio/chart/?studio=filmmovement.htm" TargetMode="External"/><Relationship Id="rId1987" Type="http://schemas.openxmlformats.org/officeDocument/2006/relationships/hyperlink" Target="http://www.boxofficemojo.com/schedule/?view=bydate&amp;release=theatrical&amp;date=2017-10-13&amp;p=.htm" TargetMode="External"/><Relationship Id="rId1988" Type="http://schemas.openxmlformats.org/officeDocument/2006/relationships/hyperlink" Target="http://www.boxofficemojo.com/movies/?id=companytown.htm" TargetMode="External"/><Relationship Id="rId1989" Type="http://schemas.openxmlformats.org/officeDocument/2006/relationships/hyperlink" Target="http://www.boxofficemojo.com/studio/chart/?studio=firstrun.htm" TargetMode="External"/><Relationship Id="rId730" Type="http://schemas.openxmlformats.org/officeDocument/2006/relationships/hyperlink" Target="http://www.boxofficemojo.com/movies/?id=landline.htm" TargetMode="External"/><Relationship Id="rId731" Type="http://schemas.openxmlformats.org/officeDocument/2006/relationships/hyperlink" Target="http://www.boxofficemojo.com/studio/chart/?studio=magnolia.htm" TargetMode="External"/><Relationship Id="rId732" Type="http://schemas.openxmlformats.org/officeDocument/2006/relationships/hyperlink" Target="http://www.boxofficemojo.com/schedule/?view=bydate&amp;release=theatrical&amp;date=2017-07-21&amp;p=.htm" TargetMode="External"/><Relationship Id="rId733" Type="http://schemas.openxmlformats.org/officeDocument/2006/relationships/hyperlink" Target="http://www.boxofficemojo.com/movies/?id=tubelight.htm" TargetMode="External"/><Relationship Id="rId734" Type="http://schemas.openxmlformats.org/officeDocument/2006/relationships/hyperlink" Target="http://www.boxofficemojo.com/studio/chart/?studio=yashraj.htm" TargetMode="External"/><Relationship Id="rId735" Type="http://schemas.openxmlformats.org/officeDocument/2006/relationships/hyperlink" Target="http://www.boxofficemojo.com/schedule/?view=bydate&amp;release=theatrical&amp;date=2017-06-23&amp;p=.htm" TargetMode="External"/><Relationship Id="rId736" Type="http://schemas.openxmlformats.org/officeDocument/2006/relationships/hyperlink" Target="http://www.boxofficemojo.com/movies/?id=theredturtle.htm" TargetMode="External"/><Relationship Id="rId737" Type="http://schemas.openxmlformats.org/officeDocument/2006/relationships/hyperlink" Target="http://www.boxofficemojo.com/studio/chart/?studio=sonyclassics.htm" TargetMode="External"/><Relationship Id="rId738" Type="http://schemas.openxmlformats.org/officeDocument/2006/relationships/hyperlink" Target="http://www.boxofficemojo.com/schedule/?view=bydate&amp;release=theatrical&amp;date=2017-01-20&amp;p=.htm" TargetMode="External"/><Relationship Id="rId739" Type="http://schemas.openxmlformats.org/officeDocument/2006/relationships/hyperlink" Target="http://www.boxofficemojo.com/movies/?id=frantz.htm" TargetMode="External"/><Relationship Id="rId340" Type="http://schemas.openxmlformats.org/officeDocument/2006/relationships/hyperlink" Target="http://www.boxofficemojo.com/movies/?id=itcomesatnight.htm" TargetMode="External"/><Relationship Id="rId341" Type="http://schemas.openxmlformats.org/officeDocument/2006/relationships/hyperlink" Target="http://www.boxofficemojo.com/studio/chart/?studio=a24.htm" TargetMode="External"/><Relationship Id="rId342" Type="http://schemas.openxmlformats.org/officeDocument/2006/relationships/hyperlink" Target="http://www.boxofficemojo.com/schedule/?view=bydate&amp;release=theatrical&amp;date=2017-06-09&amp;p=.htm" TargetMode="External"/><Relationship Id="rId343" Type="http://schemas.openxmlformats.org/officeDocument/2006/relationships/hyperlink" Target="http://www.boxofficemojo.com/movies/?id=borninchina.htm" TargetMode="External"/><Relationship Id="rId344" Type="http://schemas.openxmlformats.org/officeDocument/2006/relationships/hyperlink" Target="http://www.boxofficemojo.com/studio/chart/?studio=buenavista.htm" TargetMode="External"/><Relationship Id="rId345" Type="http://schemas.openxmlformats.org/officeDocument/2006/relationships/hyperlink" Target="http://www.boxofficemojo.com/schedule/?view=bydate&amp;release=theatrical&amp;date=2017-04-21&amp;p=.htm" TargetMode="External"/><Relationship Id="rId346" Type="http://schemas.openxmlformats.org/officeDocument/2006/relationships/hyperlink" Target="http://www.boxofficemojo.com/movies/?id=meganleavey.htm" TargetMode="External"/><Relationship Id="rId347" Type="http://schemas.openxmlformats.org/officeDocument/2006/relationships/hyperlink" Target="http://www.boxofficemojo.com/studio/chart/?studio=bleeckerstreet.htm" TargetMode="External"/><Relationship Id="rId348" Type="http://schemas.openxmlformats.org/officeDocument/2006/relationships/hyperlink" Target="http://www.boxofficemojo.com/schedule/?view=bydate&amp;release=theatrical&amp;date=2017-06-09&amp;p=.htm" TargetMode="External"/><Relationship Id="rId349" Type="http://schemas.openxmlformats.org/officeDocument/2006/relationships/hyperlink" Target="http://www.boxofficemojo.com/movies/?id=founder.htm" TargetMode="External"/><Relationship Id="rId1990" Type="http://schemas.openxmlformats.org/officeDocument/2006/relationships/hyperlink" Target="http://www.boxofficemojo.com/schedule/?view=bydate&amp;release=theatrical&amp;date=2017-09-08&amp;p=.htm" TargetMode="External"/><Relationship Id="rId1991" Type="http://schemas.openxmlformats.org/officeDocument/2006/relationships/hyperlink" Target="http://www.boxofficemojo.com/movies/?id=starlessdreams.htm" TargetMode="External"/><Relationship Id="rId1992" Type="http://schemas.openxmlformats.org/officeDocument/2006/relationships/hyperlink" Target="http://www.boxofficemojo.com/studio/chart/?studio=cinemaguild.htm" TargetMode="External"/><Relationship Id="rId1993" Type="http://schemas.openxmlformats.org/officeDocument/2006/relationships/hyperlink" Target="http://www.boxofficemojo.com/schedule/?view=bydate&amp;release=theatrical&amp;date=2017-01-20&amp;p=.htm" TargetMode="External"/><Relationship Id="rId1994" Type="http://schemas.openxmlformats.org/officeDocument/2006/relationships/hyperlink" Target="http://www.boxofficemojo.com/movies/?id=shot17.htm" TargetMode="External"/><Relationship Id="rId1995" Type="http://schemas.openxmlformats.org/officeDocument/2006/relationships/hyperlink" Target="http://www.boxofficemojo.com/studio/chart/?studio=paladin.htm" TargetMode="External"/><Relationship Id="rId1996" Type="http://schemas.openxmlformats.org/officeDocument/2006/relationships/hyperlink" Target="http://www.boxofficemojo.com/schedule/?view=bydate&amp;release=theatrical&amp;date=2017-09-22&amp;p=.htm" TargetMode="External"/><Relationship Id="rId1997" Type="http://schemas.openxmlformats.org/officeDocument/2006/relationships/hyperlink" Target="http://www.boxofficemojo.com/movies/?id=nightschool2017.htm" TargetMode="External"/><Relationship Id="rId1998" Type="http://schemas.openxmlformats.org/officeDocument/2006/relationships/hyperlink" Target="http://www.boxofficemojo.com/studio/chart/?studio=oscilloscopepictures.htm" TargetMode="External"/><Relationship Id="rId1999" Type="http://schemas.openxmlformats.org/officeDocument/2006/relationships/hyperlink" Target="http://www.boxofficemojo.com/schedule/?view=bydate&amp;release=theatrical&amp;date=2017-06-09&amp;p=.htm" TargetMode="External"/><Relationship Id="rId1200" Type="http://schemas.openxmlformats.org/officeDocument/2006/relationships/hyperlink" Target="http://www.boxofficemojo.com/schedule/?view=bydate&amp;release=theatrical&amp;date=2017-02-01&amp;p=.htm" TargetMode="External"/><Relationship Id="rId1201" Type="http://schemas.openxmlformats.org/officeDocument/2006/relationships/hyperlink" Target="http://www.boxofficemojo.com/movies/?id=scorefilmmusicdocumentary.htm" TargetMode="External"/><Relationship Id="rId1202" Type="http://schemas.openxmlformats.org/officeDocument/2006/relationships/hyperlink" Target="http://www.boxofficemojo.com/studio/chart/?studio=gravitas.htm" TargetMode="External"/><Relationship Id="rId1203" Type="http://schemas.openxmlformats.org/officeDocument/2006/relationships/hyperlink" Target="http://www.boxofficemojo.com/schedule/?view=bydate&amp;release=theatrical&amp;date=2017-06-16&amp;p=.htm" TargetMode="External"/><Relationship Id="rId1204" Type="http://schemas.openxmlformats.org/officeDocument/2006/relationships/hyperlink" Target="http://www.boxofficemojo.com/movies/?id=inthefade.htm" TargetMode="External"/><Relationship Id="rId1205" Type="http://schemas.openxmlformats.org/officeDocument/2006/relationships/hyperlink" Target="http://www.boxofficemojo.com/studio/chart/?studio=magnolia.htm" TargetMode="External"/><Relationship Id="rId1206" Type="http://schemas.openxmlformats.org/officeDocument/2006/relationships/hyperlink" Target="http://www.boxofficemojo.com/schedule/?view=bydate&amp;release=theatrical&amp;date=2017-12-27&amp;p=.htm" TargetMode="External"/><Relationship Id="rId1207" Type="http://schemas.openxmlformats.org/officeDocument/2006/relationships/hyperlink" Target="http://www.boxofficemojo.com/movies/?id=qingshung.htm" TargetMode="External"/><Relationship Id="rId740" Type="http://schemas.openxmlformats.org/officeDocument/2006/relationships/hyperlink" Target="http://www.boxofficemojo.com/studio/chart/?studio=musicboxfilms.htm" TargetMode="External"/><Relationship Id="rId741" Type="http://schemas.openxmlformats.org/officeDocument/2006/relationships/hyperlink" Target="http://www.boxofficemojo.com/schedule/?view=bydate&amp;release=theatrical&amp;date=2017-03-15&amp;p=.htm" TargetMode="External"/><Relationship Id="rId742" Type="http://schemas.openxmlformats.org/officeDocument/2006/relationships/hyperlink" Target="http://www.boxofficemojo.com/movies/?id=journeytothewest2.htm" TargetMode="External"/><Relationship Id="rId743" Type="http://schemas.openxmlformats.org/officeDocument/2006/relationships/hyperlink" Target="http://www.boxofficemojo.com/studio/chart/?studio=sony.htm" TargetMode="External"/><Relationship Id="rId744" Type="http://schemas.openxmlformats.org/officeDocument/2006/relationships/hyperlink" Target="http://www.boxofficemojo.com/schedule/?view=bydate&amp;release=theatrical&amp;date=2017-02-03&amp;p=.htm" TargetMode="External"/><Relationship Id="rId745" Type="http://schemas.openxmlformats.org/officeDocument/2006/relationships/hyperlink" Target="http://www.boxofficemojo.com/movies/?id=thepolarexpress2017.htm" TargetMode="External"/><Relationship Id="rId746" Type="http://schemas.openxmlformats.org/officeDocument/2006/relationships/hyperlink" Target="http://www.boxofficemojo.com/studio/chart/?studio=warnerbros.htm" TargetMode="External"/><Relationship Id="rId747" Type="http://schemas.openxmlformats.org/officeDocument/2006/relationships/hyperlink" Target="http://www.boxofficemojo.com/schedule/?view=bydate&amp;release=theatrical&amp;date=2017-11-17&amp;p=.htm" TargetMode="External"/><Relationship Id="rId748" Type="http://schemas.openxmlformats.org/officeDocument/2006/relationships/hyperlink" Target="http://www.boxofficemojo.com/movies/?id=jaggajasoos.htm" TargetMode="External"/><Relationship Id="rId749" Type="http://schemas.openxmlformats.org/officeDocument/2006/relationships/hyperlink" Target="http://www.boxofficemojo.com/studio/chart/?studio=utv.htm" TargetMode="External"/><Relationship Id="rId350" Type="http://schemas.openxmlformats.org/officeDocument/2006/relationships/hyperlink" Target="http://www.boxofficemojo.com/studio/chart/?studio=weinsteincompany.htm" TargetMode="External"/><Relationship Id="rId351" Type="http://schemas.openxmlformats.org/officeDocument/2006/relationships/hyperlink" Target="http://www.boxofficemojo.com/schedule/?view=bydate&amp;release=theatrical&amp;date=2017-01-19&amp;p=.htm" TargetMode="External"/><Relationship Id="rId352" Type="http://schemas.openxmlformats.org/officeDocument/2006/relationships/hyperlink" Target="http://www.boxofficemojo.com/movies/?id=battleofthesexes.htm" TargetMode="External"/><Relationship Id="rId353" Type="http://schemas.openxmlformats.org/officeDocument/2006/relationships/hyperlink" Target="http://www.boxofficemojo.com/studio/chart/?studio=foxsearchlight.htm" TargetMode="External"/><Relationship Id="rId354" Type="http://schemas.openxmlformats.org/officeDocument/2006/relationships/hyperlink" Target="http://www.boxofficemojo.com/schedule/?view=bydate&amp;release=theatrical&amp;date=2017-09-22&amp;p=.htm" TargetMode="External"/><Relationship Id="rId355" Type="http://schemas.openxmlformats.org/officeDocument/2006/relationships/hyperlink" Target="http://www.boxofficemojo.com/movies/?id=beforeifall.htm" TargetMode="External"/><Relationship Id="rId356" Type="http://schemas.openxmlformats.org/officeDocument/2006/relationships/hyperlink" Target="http://www.boxofficemojo.com/studio/chart/?studio=openroads.htm" TargetMode="External"/><Relationship Id="rId357" Type="http://schemas.openxmlformats.org/officeDocument/2006/relationships/hyperlink" Target="http://www.boxofficemojo.com/schedule/?view=bydate&amp;release=theatrical&amp;date=2017-03-03&amp;p=.htm" TargetMode="External"/><Relationship Id="rId358" Type="http://schemas.openxmlformats.org/officeDocument/2006/relationships/hyperlink" Target="http://www.boxofficemojo.com/movies/?id=romanisrael.htm" TargetMode="External"/><Relationship Id="rId359" Type="http://schemas.openxmlformats.org/officeDocument/2006/relationships/hyperlink" Target="http://www.boxofficemojo.com/studio/chart/?studio=sony.htm" TargetMode="External"/><Relationship Id="rId1208" Type="http://schemas.openxmlformats.org/officeDocument/2006/relationships/hyperlink" Target="http://www.boxofficemojo.com/studio/chart/?studio=chinalion.htm" TargetMode="External"/><Relationship Id="rId1209" Type="http://schemas.openxmlformats.org/officeDocument/2006/relationships/hyperlink" Target="http://www.boxofficemojo.com/schedule/?view=bydate&amp;release=theatrical&amp;date=2017-01-13&amp;p=.htm" TargetMode="External"/><Relationship Id="rId1600" Type="http://schemas.openxmlformats.org/officeDocument/2006/relationships/hyperlink" Target="http://www.boxofficemojo.com/movies/?id=joanofarc2017re.htm" TargetMode="External"/><Relationship Id="rId1601" Type="http://schemas.openxmlformats.org/officeDocument/2006/relationships/hyperlink" Target="http://www.boxofficemojo.com/studio/chart/?studio=janusfilms.htm" TargetMode="External"/><Relationship Id="rId1602" Type="http://schemas.openxmlformats.org/officeDocument/2006/relationships/hyperlink" Target="http://www.boxofficemojo.com/schedule/?view=bydate&amp;release=theatrical&amp;date=2017-11-24&amp;p=.htm" TargetMode="External"/><Relationship Id="rId1603" Type="http://schemas.openxmlformats.org/officeDocument/2006/relationships/hyperlink" Target="http://www.boxofficemojo.com/movies/?id=thegirlwithouthands.htm" TargetMode="External"/><Relationship Id="rId1604" Type="http://schemas.openxmlformats.org/officeDocument/2006/relationships/hyperlink" Target="http://www.boxofficemojo.com/studio/chart/?studio=gkids.htm" TargetMode="External"/><Relationship Id="rId1605" Type="http://schemas.openxmlformats.org/officeDocument/2006/relationships/hyperlink" Target="http://www.boxofficemojo.com/schedule/?view=bydate&amp;release=theatrical&amp;date=2017-07-21&amp;p=.htm" TargetMode="External"/><Relationship Id="rId1606" Type="http://schemas.openxmlformats.org/officeDocument/2006/relationships/hyperlink" Target="http://www.boxofficemojo.com/movies/?id=trophy.htm" TargetMode="External"/><Relationship Id="rId1607" Type="http://schemas.openxmlformats.org/officeDocument/2006/relationships/hyperlink" Target="http://www.boxofficemojo.com/studio/chart/?studio=orchard.htm" TargetMode="External"/><Relationship Id="rId1608" Type="http://schemas.openxmlformats.org/officeDocument/2006/relationships/hyperlink" Target="http://www.boxofficemojo.com/schedule/?view=bydate&amp;release=theatrical&amp;date=2017-09-08&amp;p=.htm" TargetMode="External"/><Relationship Id="rId1609" Type="http://schemas.openxmlformats.org/officeDocument/2006/relationships/hyperlink" Target="http://www.boxofficemojo.com/movies/?id=godknowswhereiam.htm" TargetMode="External"/><Relationship Id="rId1210" Type="http://schemas.openxmlformats.org/officeDocument/2006/relationships/hyperlink" Target="http://www.boxofficemojo.com/movies/?id=munnamichael.htm" TargetMode="External"/><Relationship Id="rId1211" Type="http://schemas.openxmlformats.org/officeDocument/2006/relationships/hyperlink" Target="http://www.boxofficemojo.com/studio/chart/?studio=eros.htm" TargetMode="External"/><Relationship Id="rId750" Type="http://schemas.openxmlformats.org/officeDocument/2006/relationships/hyperlink" Target="http://www.boxofficemojo.com/schedule/?view=bydate&amp;release=theatrical&amp;date=2017-07-14&amp;p=.htm" TargetMode="External"/><Relationship Id="rId751" Type="http://schemas.openxmlformats.org/officeDocument/2006/relationships/hyperlink" Target="http://www.boxofficemojo.com/movies/?id=exfile3.htm" TargetMode="External"/><Relationship Id="rId752" Type="http://schemas.openxmlformats.org/officeDocument/2006/relationships/hyperlink" Target="http://www.boxofficemojo.com/studio/chart/?studio=chinalion.htm" TargetMode="External"/><Relationship Id="rId753" Type="http://schemas.openxmlformats.org/officeDocument/2006/relationships/hyperlink" Target="http://www.boxofficemojo.com/schedule/?view=bydate&amp;release=theatrical&amp;date=2017-12-29&amp;p=.htm" TargetMode="External"/><Relationship Id="rId754" Type="http://schemas.openxmlformats.org/officeDocument/2006/relationships/hyperlink" Target="http://www.boxofficemojo.com/movies/?id=patticakes.htm" TargetMode="External"/><Relationship Id="rId755" Type="http://schemas.openxmlformats.org/officeDocument/2006/relationships/hyperlink" Target="http://www.boxofficemojo.com/studio/chart/?studio=foxsearchlight.htm" TargetMode="External"/><Relationship Id="rId756" Type="http://schemas.openxmlformats.org/officeDocument/2006/relationships/hyperlink" Target="http://www.boxofficemojo.com/schedule/?view=bydate&amp;release=theatrical&amp;date=2017-08-18&amp;p=.htm" TargetMode="External"/><Relationship Id="rId757" Type="http://schemas.openxmlformats.org/officeDocument/2006/relationships/hyperlink" Target="http://www.boxofficemojo.com/movies/?id=georgetakeisallegiance.htm" TargetMode="External"/><Relationship Id="rId758" Type="http://schemas.openxmlformats.org/officeDocument/2006/relationships/hyperlink" Target="http://www.boxofficemojo.com/studio/chart/?studio=fathom.htm" TargetMode="External"/><Relationship Id="rId759" Type="http://schemas.openxmlformats.org/officeDocument/2006/relationships/hyperlink" Target="http://www.boxofficemojo.com/schedule/?view=bydate&amp;release=theatrical&amp;date=2017-02-19&amp;p=.htm" TargetMode="External"/><Relationship Id="rId360" Type="http://schemas.openxmlformats.org/officeDocument/2006/relationships/hyperlink" Target="http://www.boxofficemojo.com/schedule/?view=bydate&amp;release=theatrical&amp;date=2017-11-17&amp;p=.htm" TargetMode="External"/><Relationship Id="rId361" Type="http://schemas.openxmlformats.org/officeDocument/2006/relationships/hyperlink" Target="http://www.boxofficemojo.com/movies/?id=unforgettable2016.htm" TargetMode="External"/><Relationship Id="rId362" Type="http://schemas.openxmlformats.org/officeDocument/2006/relationships/hyperlink" Target="http://www.boxofficemojo.com/studio/chart/?studio=warnerbros.htm" TargetMode="External"/><Relationship Id="rId363" Type="http://schemas.openxmlformats.org/officeDocument/2006/relationships/hyperlink" Target="http://www.boxofficemojo.com/schedule/?view=bydate&amp;release=theatrical&amp;date=2017-04-21&amp;p=.htm" TargetMode="External"/><Relationship Id="rId364" Type="http://schemas.openxmlformats.org/officeDocument/2006/relationships/hyperlink" Target="http://www.boxofficemojo.com/movies/?id=thebeguiled2017.htm" TargetMode="External"/><Relationship Id="rId365" Type="http://schemas.openxmlformats.org/officeDocument/2006/relationships/hyperlink" Target="http://www.boxofficemojo.com/studio/chart/?studio=focus.htm" TargetMode="External"/><Relationship Id="rId366" Type="http://schemas.openxmlformats.org/officeDocument/2006/relationships/hyperlink" Target="http://www.boxofficemojo.com/schedule/?view=bydate&amp;release=theatrical&amp;date=2017-06-23&amp;p=.htm" TargetMode="External"/><Relationship Id="rId367" Type="http://schemas.openxmlformats.org/officeDocument/2006/relationships/hyperlink" Target="http://www.boxofficemojo.com/movies/?id=blumhousetilt2017.htm" TargetMode="External"/><Relationship Id="rId368" Type="http://schemas.openxmlformats.org/officeDocument/2006/relationships/hyperlink" Target="http://www.boxofficemojo.com/studio/chart/?studio=bhtilt.htm" TargetMode="External"/><Relationship Id="rId369" Type="http://schemas.openxmlformats.org/officeDocument/2006/relationships/hyperlink" Target="http://www.boxofficemojo.com/schedule/?view=bydate&amp;release=theatrical&amp;date=2017-03-17&amp;p=.htm" TargetMode="External"/><Relationship Id="rId1212" Type="http://schemas.openxmlformats.org/officeDocument/2006/relationships/hyperlink" Target="http://www.boxofficemojo.com/schedule/?view=bydate&amp;release=theatrical&amp;date=2017-07-21&amp;p=.htm" TargetMode="External"/><Relationship Id="rId1213" Type="http://schemas.openxmlformats.org/officeDocument/2006/relationships/hyperlink" Target="http://www.boxofficemojo.com/movies/?id=aidassecrets.htm" TargetMode="External"/><Relationship Id="rId1214" Type="http://schemas.openxmlformats.org/officeDocument/2006/relationships/hyperlink" Target="http://www.boxofficemojo.com/studio/chart/?studio=musicboxfilms.htm" TargetMode="External"/><Relationship Id="rId1215" Type="http://schemas.openxmlformats.org/officeDocument/2006/relationships/hyperlink" Target="http://www.boxofficemojo.com/schedule/?view=bydate&amp;release=theatrical&amp;date=2017-10-20&amp;p=.htm" TargetMode="External"/><Relationship Id="rId1216" Type="http://schemas.openxmlformats.org/officeDocument/2006/relationships/hyperlink" Target="http://www.boxofficemojo.com/movies/?id=timtimmerman,hopeofamerica.htm" TargetMode="External"/><Relationship Id="rId1217" Type="http://schemas.openxmlformats.org/officeDocument/2006/relationships/hyperlink" Target="http://www.boxofficemojo.com/studio/chart/?studio=purdie.htm" TargetMode="External"/><Relationship Id="rId1218" Type="http://schemas.openxmlformats.org/officeDocument/2006/relationships/hyperlink" Target="http://www.boxofficemojo.com/schedule/?view=bydate&amp;release=theatrical&amp;date=2017-03-02&amp;p=.htm" TargetMode="External"/><Relationship Id="rId1219" Type="http://schemas.openxmlformats.org/officeDocument/2006/relationships/hyperlink" Target="http://www.boxofficemojo.com/movies/?id=beatsperminute.htm" TargetMode="External"/><Relationship Id="rId1610" Type="http://schemas.openxmlformats.org/officeDocument/2006/relationships/hyperlink" Target="http://www.boxofficemojo.com/studio/chart/?studio=bond360.htm" TargetMode="External"/><Relationship Id="rId1611" Type="http://schemas.openxmlformats.org/officeDocument/2006/relationships/hyperlink" Target="http://www.boxofficemojo.com/schedule/?view=bydate&amp;release=theatrical&amp;date=2017-03-31&amp;p=.htm" TargetMode="External"/><Relationship Id="rId1612" Type="http://schemas.openxmlformats.org/officeDocument/2006/relationships/hyperlink" Target="http://www.boxofficemojo.com/movies/?id=massacreonaisle12.htm" TargetMode="External"/><Relationship Id="rId1613" Type="http://schemas.openxmlformats.org/officeDocument/2006/relationships/hyperlink" Target="http://www.boxofficemojo.com/studio/chart/?studio=indican.htm" TargetMode="External"/><Relationship Id="rId1614" Type="http://schemas.openxmlformats.org/officeDocument/2006/relationships/hyperlink" Target="http://www.boxofficemojo.com/schedule/?view=bydate&amp;release=theatrical&amp;date=2017-01-27&amp;p=.htm" TargetMode="External"/><Relationship Id="rId1615" Type="http://schemas.openxmlformats.org/officeDocument/2006/relationships/hyperlink" Target="http://www.boxofficemojo.com/movies/?id=abeginnersguidetosnuff.htm" TargetMode="External"/><Relationship Id="rId1616" Type="http://schemas.openxmlformats.org/officeDocument/2006/relationships/hyperlink" Target="http://www.boxofficemojo.com/studio/chart/?studio=indican.htm" TargetMode="External"/><Relationship Id="rId1617" Type="http://schemas.openxmlformats.org/officeDocument/2006/relationships/hyperlink" Target="http://www.boxofficemojo.com/schedule/?view=bydate&amp;release=theatrical&amp;date=2017-06-23&amp;p=.htm" TargetMode="External"/><Relationship Id="rId1618" Type="http://schemas.openxmlformats.org/officeDocument/2006/relationships/hyperlink" Target="http://www.boxofficemojo.com/movies/?id=whiskygalore.htm" TargetMode="External"/><Relationship Id="rId1619" Type="http://schemas.openxmlformats.org/officeDocument/2006/relationships/hyperlink" Target="http://www.boxofficemojo.com/studio/chart/?studio=arrowfilms.htm" TargetMode="External"/><Relationship Id="rId1220" Type="http://schemas.openxmlformats.org/officeDocument/2006/relationships/hyperlink" Target="http://www.boxofficemojo.com/studio/chart/?studio=orchard.htm" TargetMode="External"/><Relationship Id="rId1221" Type="http://schemas.openxmlformats.org/officeDocument/2006/relationships/hyperlink" Target="http://www.boxofficemojo.com/schedule/?view=bydate&amp;release=theatrical&amp;date=2017-10-20&amp;p=.htm" TargetMode="External"/><Relationship Id="rId760" Type="http://schemas.openxmlformats.org/officeDocument/2006/relationships/hyperlink" Target="http://www.boxofficemojo.com/movies/?id=markfelt.htm" TargetMode="External"/><Relationship Id="rId761" Type="http://schemas.openxmlformats.org/officeDocument/2006/relationships/hyperlink" Target="http://www.boxofficemojo.com/studio/chart/?studio=sonyclassics.htm" TargetMode="External"/><Relationship Id="rId762" Type="http://schemas.openxmlformats.org/officeDocument/2006/relationships/hyperlink" Target="http://www.boxofficemojo.com/schedule/?view=bydate&amp;release=theatrical&amp;date=2017-09-29&amp;p=.htm" TargetMode="External"/><Relationship Id="rId763" Type="http://schemas.openxmlformats.org/officeDocument/2006/relationships/hyperlink" Target="http://www.boxofficemojo.com/movies/?id=mubarakan.htm" TargetMode="External"/><Relationship Id="rId764" Type="http://schemas.openxmlformats.org/officeDocument/2006/relationships/hyperlink" Target="http://www.boxofficemojo.com/studio/chart/?studio=sony.htm" TargetMode="External"/><Relationship Id="rId765" Type="http://schemas.openxmlformats.org/officeDocument/2006/relationships/hyperlink" Target="http://www.boxofficemojo.com/schedule/?view=bydate&amp;release=theatrical&amp;date=2017-07-28&amp;p=.htm" TargetMode="External"/><Relationship Id="rId766" Type="http://schemas.openxmlformats.org/officeDocument/2006/relationships/hyperlink" Target="http://www.boxofficemojo.com/movies/?id=mayitlast:aportraitoftheavettbrothers.htm" TargetMode="External"/><Relationship Id="rId767" Type="http://schemas.openxmlformats.org/officeDocument/2006/relationships/hyperlink" Target="http://www.boxofficemojo.com/studio/chart/?studio=oscilloscopepictures.htm" TargetMode="External"/><Relationship Id="rId768" Type="http://schemas.openxmlformats.org/officeDocument/2006/relationships/hyperlink" Target="http://www.boxofficemojo.com/schedule/?view=bydate&amp;release=theatrical&amp;date=2017-09-12&amp;p=.htm" TargetMode="External"/><Relationship Id="rId769" Type="http://schemas.openxmlformats.org/officeDocument/2006/relationships/hyperlink" Target="http://www.boxofficemojo.com/movies/?id=kirkcameronreviveus2.htm" TargetMode="External"/><Relationship Id="rId370" Type="http://schemas.openxmlformats.org/officeDocument/2006/relationships/hyperlink" Target="http://www.boxofficemojo.com/movies/?id=marshall.htm" TargetMode="External"/><Relationship Id="rId371" Type="http://schemas.openxmlformats.org/officeDocument/2006/relationships/hyperlink" Target="http://www.boxofficemojo.com/studio/chart/?studio=openroads.htm" TargetMode="External"/><Relationship Id="rId372" Type="http://schemas.openxmlformats.org/officeDocument/2006/relationships/hyperlink" Target="http://www.boxofficemojo.com/schedule/?view=bydate&amp;release=theatrical&amp;date=2017-10-13&amp;p=.htm" TargetMode="External"/><Relationship Id="rId373" Type="http://schemas.openxmlformats.org/officeDocument/2006/relationships/hyperlink" Target="http://www.boxofficemojo.com/movies/?id=thankyou2017.htm" TargetMode="External"/><Relationship Id="rId374" Type="http://schemas.openxmlformats.org/officeDocument/2006/relationships/hyperlink" Target="http://www.boxofficemojo.com/studio/chart/?studio=universal.htm" TargetMode="External"/><Relationship Id="rId375" Type="http://schemas.openxmlformats.org/officeDocument/2006/relationships/hyperlink" Target="http://www.boxofficemojo.com/schedule/?view=bydate&amp;release=theatrical&amp;date=2017-10-27&amp;p=.htm" TargetMode="External"/><Relationship Id="rId376" Type="http://schemas.openxmlformats.org/officeDocument/2006/relationships/hyperlink" Target="http://www.boxofficemojo.com/movies/?id=rockdog.htm" TargetMode="External"/><Relationship Id="rId377" Type="http://schemas.openxmlformats.org/officeDocument/2006/relationships/hyperlink" Target="http://www.boxofficemojo.com/studio/chart/?studio=lionsgatesummit.htm" TargetMode="External"/><Relationship Id="rId378" Type="http://schemas.openxmlformats.org/officeDocument/2006/relationships/hyperlink" Target="http://www.boxofficemojo.com/schedule/?view=bydate&amp;release=theatrical&amp;date=2017-02-24&amp;p=.htm" TargetMode="External"/><Relationship Id="rId379" Type="http://schemas.openxmlformats.org/officeDocument/2006/relationships/hyperlink" Target="http://www.boxofficemojo.com/movies/?id=callmebyyourname.htm" TargetMode="External"/><Relationship Id="rId1222" Type="http://schemas.openxmlformats.org/officeDocument/2006/relationships/hyperlink" Target="http://www.boxofficemojo.com/movies/?id=posterboys.htm" TargetMode="External"/><Relationship Id="rId1223" Type="http://schemas.openxmlformats.org/officeDocument/2006/relationships/hyperlink" Target="http://www.boxofficemojo.com/studio/chart/?studio=sony.htm" TargetMode="External"/><Relationship Id="rId1224" Type="http://schemas.openxmlformats.org/officeDocument/2006/relationships/hyperlink" Target="http://www.boxofficemojo.com/schedule/?view=bydate&amp;release=theatrical&amp;date=2017-09-08&amp;p=.htm" TargetMode="External"/><Relationship Id="rId1225" Type="http://schemas.openxmlformats.org/officeDocument/2006/relationships/hyperlink" Target="http://www.boxofficemojo.com/movies/?id=themayor.htm" TargetMode="External"/><Relationship Id="rId1226" Type="http://schemas.openxmlformats.org/officeDocument/2006/relationships/hyperlink" Target="http://www.boxofficemojo.com/studio/chart/?studio=wellgo.htm" TargetMode="External"/><Relationship Id="rId1227" Type="http://schemas.openxmlformats.org/officeDocument/2006/relationships/hyperlink" Target="http://www.boxofficemojo.com/schedule/?view=bydate&amp;release=theatrical&amp;date=2017-04-28&amp;p=.htm" TargetMode="External"/><Relationship Id="rId1228" Type="http://schemas.openxmlformats.org/officeDocument/2006/relationships/hyperlink" Target="http://www.boxofficemojo.com/movies/?id=thefencer.htm" TargetMode="External"/><Relationship Id="rId1229" Type="http://schemas.openxmlformats.org/officeDocument/2006/relationships/hyperlink" Target="http://www.boxofficemojo.com/studio/chart/?studio=cfireleasing.htm" TargetMode="External"/><Relationship Id="rId1620" Type="http://schemas.openxmlformats.org/officeDocument/2006/relationships/hyperlink" Target="http://www.boxofficemojo.com/schedule/?view=bydate&amp;release=theatrical&amp;date=2017-05-12&amp;p=.htm" TargetMode="External"/><Relationship Id="rId1621" Type="http://schemas.openxmlformats.org/officeDocument/2006/relationships/hyperlink" Target="http://www.boxofficemojo.com/movies/?id=manunderground.htm" TargetMode="External"/><Relationship Id="rId1622" Type="http://schemas.openxmlformats.org/officeDocument/2006/relationships/hyperlink" Target="http://www.boxofficemojo.com/studio/chart/?studio=indican.htm" TargetMode="External"/><Relationship Id="rId1623" Type="http://schemas.openxmlformats.org/officeDocument/2006/relationships/hyperlink" Target="http://www.boxofficemojo.com/schedule/?view=bydate&amp;release=theatrical&amp;date=2017-07-14&amp;p=.htm" TargetMode="External"/><Relationship Id="rId1624" Type="http://schemas.openxmlformats.org/officeDocument/2006/relationships/hyperlink" Target="http://www.boxofficemojo.com/movies/?id=allthesesleeplessnights.htm" TargetMode="External"/><Relationship Id="rId1625" Type="http://schemas.openxmlformats.org/officeDocument/2006/relationships/hyperlink" Target="http://www.boxofficemojo.com/studio/chart/?studio=orchard.htm" TargetMode="External"/><Relationship Id="rId1626" Type="http://schemas.openxmlformats.org/officeDocument/2006/relationships/hyperlink" Target="http://www.boxofficemojo.com/schedule/?view=bydate&amp;release=theatrical&amp;date=2017-04-07&amp;p=.htm" TargetMode="External"/><Relationship Id="rId1627" Type="http://schemas.openxmlformats.org/officeDocument/2006/relationships/hyperlink" Target="http://www.boxofficemojo.com/movies/?id=blackcoatsdaughter.htm" TargetMode="External"/><Relationship Id="rId1628" Type="http://schemas.openxmlformats.org/officeDocument/2006/relationships/hyperlink" Target="http://www.boxofficemojo.com/studio/chart/?studio=a24.htm" TargetMode="External"/><Relationship Id="rId1629" Type="http://schemas.openxmlformats.org/officeDocument/2006/relationships/hyperlink" Target="http://www.boxofficemojo.com/schedule/?view=bydate&amp;release=theatrical&amp;date=2017-03-31&amp;p=.htm" TargetMode="External"/><Relationship Id="rId1230" Type="http://schemas.openxmlformats.org/officeDocument/2006/relationships/hyperlink" Target="http://www.boxofficemojo.com/schedule/?view=bydate&amp;release=theatrical&amp;date=2017-07-21&amp;p=.htm" TargetMode="External"/><Relationship Id="rId1231" Type="http://schemas.openxmlformats.org/officeDocument/2006/relationships/hyperlink" Target="http://www.boxofficemojo.com/movies/?id=keepwatching.htm" TargetMode="External"/><Relationship Id="rId770" Type="http://schemas.openxmlformats.org/officeDocument/2006/relationships/hyperlink" Target="http://www.boxofficemojo.com/studio/chart/?studio=fathom.htm" TargetMode="External"/><Relationship Id="rId771" Type="http://schemas.openxmlformats.org/officeDocument/2006/relationships/hyperlink" Target="http://www.boxofficemojo.com/schedule/?view=bydate&amp;release=theatrical&amp;date=2017-10-24&amp;p=.htm" TargetMode="External"/><Relationship Id="rId772" Type="http://schemas.openxmlformats.org/officeDocument/2006/relationships/hyperlink" Target="http://www.boxofficemojo.com/movies/?id=theexception.htm" TargetMode="External"/><Relationship Id="rId773" Type="http://schemas.openxmlformats.org/officeDocument/2006/relationships/hyperlink" Target="http://www.boxofficemojo.com/studio/chart/?studio=a24.htm" TargetMode="External"/><Relationship Id="rId774" Type="http://schemas.openxmlformats.org/officeDocument/2006/relationships/hyperlink" Target="http://www.boxofficemojo.com/schedule/?view=bydate&amp;release=theatrical&amp;date=2017-06-02&amp;p=.htm" TargetMode="External"/><Relationship Id="rId775" Type="http://schemas.openxmlformats.org/officeDocument/2006/relationships/hyperlink" Target="http://www.boxofficemojo.com/movies/?id=canelovsggg.htm" TargetMode="External"/><Relationship Id="rId776" Type="http://schemas.openxmlformats.org/officeDocument/2006/relationships/hyperlink" Target="http://www.boxofficemojo.com/studio/chart/?studio=fathom.htm" TargetMode="External"/><Relationship Id="rId777" Type="http://schemas.openxmlformats.org/officeDocument/2006/relationships/hyperlink" Target="http://www.boxofficemojo.com/schedule/?view=bydate&amp;release=theatrical&amp;date=2017-09-16&amp;p=.htm" TargetMode="External"/><Relationship Id="rId778" Type="http://schemas.openxmlformats.org/officeDocument/2006/relationships/hyperlink" Target="http://www.boxofficemojo.com/movies/?id=facesplaces.htm" TargetMode="External"/><Relationship Id="rId779" Type="http://schemas.openxmlformats.org/officeDocument/2006/relationships/hyperlink" Target="http://www.boxofficemojo.com/studio/chart/?studio=cohenmedia.htm" TargetMode="External"/><Relationship Id="rId380" Type="http://schemas.openxmlformats.org/officeDocument/2006/relationships/hyperlink" Target="http://www.boxofficemojo.com/studio/chart/?studio=sonyclassics.htm" TargetMode="External"/><Relationship Id="rId381" Type="http://schemas.openxmlformats.org/officeDocument/2006/relationships/hyperlink" Target="http://www.boxofficemojo.com/schedule/?view=bydate&amp;release=theatrical&amp;date=2017-11-24&amp;p=.htm" TargetMode="External"/><Relationship Id="rId382" Type="http://schemas.openxmlformats.org/officeDocument/2006/relationships/hyperlink" Target="http://www.boxofficemojo.com/movies/?id=thelostcityofz.htm" TargetMode="External"/><Relationship Id="rId383" Type="http://schemas.openxmlformats.org/officeDocument/2006/relationships/hyperlink" Target="http://www.boxofficemojo.com/studio/chart/?studio=bleeckerstreet.htm" TargetMode="External"/><Relationship Id="rId384" Type="http://schemas.openxmlformats.org/officeDocument/2006/relationships/hyperlink" Target="http://www.boxofficemojo.com/schedule/?view=bydate&amp;release=theatrical&amp;date=2017-04-14&amp;p=.htm" TargetMode="External"/><Relationship Id="rId385" Type="http://schemas.openxmlformats.org/officeDocument/2006/relationships/hyperlink" Target="http://www.boxofficemojo.com/movies/?id=thepromise2017.htm" TargetMode="External"/><Relationship Id="rId386" Type="http://schemas.openxmlformats.org/officeDocument/2006/relationships/hyperlink" Target="http://www.boxofficemojo.com/studio/chart/?studio=openroads.htm" TargetMode="External"/><Relationship Id="rId387" Type="http://schemas.openxmlformats.org/officeDocument/2006/relationships/hyperlink" Target="http://www.boxofficemojo.com/schedule/?view=bydate&amp;release=theatrical&amp;date=2017-04-21&amp;p=.htm" TargetMode="External"/><Relationship Id="rId388" Type="http://schemas.openxmlformats.org/officeDocument/2006/relationships/hyperlink" Target="http://www.boxofficemojo.com/movies/?id=acureforwellness.htm" TargetMode="External"/><Relationship Id="rId389" Type="http://schemas.openxmlformats.org/officeDocument/2006/relationships/hyperlink" Target="http://www.boxofficemojo.com/studio/chart/?studio=fox.htm" TargetMode="External"/><Relationship Id="rId1232" Type="http://schemas.openxmlformats.org/officeDocument/2006/relationships/hyperlink" Target="http://www.boxofficemojo.com/studio/chart/?studio=screengems.htm" TargetMode="External"/><Relationship Id="rId1233" Type="http://schemas.openxmlformats.org/officeDocument/2006/relationships/hyperlink" Target="http://www.boxofficemojo.com/schedule/?view=bydate&amp;release=theatrical&amp;date=2017-10-31&amp;p=.htm" TargetMode="External"/><Relationship Id="rId1234" Type="http://schemas.openxmlformats.org/officeDocument/2006/relationships/hyperlink" Target="http://www.boxofficemojo.com/movies/?id=memoirofamurder.htm" TargetMode="External"/><Relationship Id="rId1235" Type="http://schemas.openxmlformats.org/officeDocument/2006/relationships/hyperlink" Target="http://www.boxofficemojo.com/studio/chart/?studio=wellgo.htm" TargetMode="External"/><Relationship Id="rId1236" Type="http://schemas.openxmlformats.org/officeDocument/2006/relationships/hyperlink" Target="http://www.boxofficemojo.com/schedule/?view=bydate&amp;release=theatrical&amp;date=2017-09-08&amp;p=.htm" TargetMode="External"/><Relationship Id="rId1237" Type="http://schemas.openxmlformats.org/officeDocument/2006/relationships/hyperlink" Target="http://www.boxofficemojo.com/movies/?id=thekingscasenote.htm" TargetMode="External"/><Relationship Id="rId1238" Type="http://schemas.openxmlformats.org/officeDocument/2006/relationships/hyperlink" Target="http://www.boxofficemojo.com/studio/chart/?studio=cjentertainment.htm" TargetMode="External"/><Relationship Id="rId1239" Type="http://schemas.openxmlformats.org/officeDocument/2006/relationships/hyperlink" Target="http://www.boxofficemojo.com/schedule/?view=bydate&amp;release=theatrical&amp;date=2017-04-28&amp;p=.htm" TargetMode="External"/><Relationship Id="rId1630" Type="http://schemas.openxmlformats.org/officeDocument/2006/relationships/hyperlink" Target="http://www.boxofficemojo.com/movies/?id=resurrectedvictims.htm" TargetMode="External"/><Relationship Id="rId1631" Type="http://schemas.openxmlformats.org/officeDocument/2006/relationships/hyperlink" Target="http://www.boxofficemojo.com/studio/chart/?studio=wellgo.htm" TargetMode="External"/><Relationship Id="rId1632" Type="http://schemas.openxmlformats.org/officeDocument/2006/relationships/hyperlink" Target="http://www.boxofficemojo.com/schedule/?view=bydate&amp;release=theatrical&amp;date=2017-10-20&amp;p=.htm" TargetMode="External"/><Relationship Id="rId1633" Type="http://schemas.openxmlformats.org/officeDocument/2006/relationships/hyperlink" Target="http://www.boxofficemojo.com/movies/?id=betterwatchout.htm" TargetMode="External"/><Relationship Id="rId1634" Type="http://schemas.openxmlformats.org/officeDocument/2006/relationships/hyperlink" Target="http://www.boxofficemojo.com/studio/chart/?studio=wellgo.htm" TargetMode="External"/><Relationship Id="rId1635" Type="http://schemas.openxmlformats.org/officeDocument/2006/relationships/hyperlink" Target="http://www.boxofficemojo.com/schedule/?view=bydate&amp;release=theatrical&amp;date=2017-10-06&amp;p=.htm" TargetMode="External"/><Relationship Id="rId1636" Type="http://schemas.openxmlformats.org/officeDocument/2006/relationships/hyperlink" Target="http://www.boxofficemojo.com/movies/?id=manfromouterspace.htm" TargetMode="External"/><Relationship Id="rId1637" Type="http://schemas.openxmlformats.org/officeDocument/2006/relationships/hyperlink" Target="http://www.boxofficemojo.com/studio/chart/?studio=indican.htm" TargetMode="External"/><Relationship Id="rId1638" Type="http://schemas.openxmlformats.org/officeDocument/2006/relationships/hyperlink" Target="http://www.boxofficemojo.com/schedule/?view=bydate&amp;release=theatrical&amp;date=2017-09-08&amp;p=.htm" TargetMode="External"/><Relationship Id="rId1639" Type="http://schemas.openxmlformats.org/officeDocument/2006/relationships/hyperlink" Target="http://www.boxofficemojo.com/movies/?id=heatanddust2017.htm" TargetMode="External"/><Relationship Id="rId1240" Type="http://schemas.openxmlformats.org/officeDocument/2006/relationships/hyperlink" Target="http://www.boxofficemojo.com/movies/?id=becauseofgracia.htm" TargetMode="External"/><Relationship Id="rId1241" Type="http://schemas.openxmlformats.org/officeDocument/2006/relationships/hyperlink" Target="http://www.boxofficemojo.com/studio/chart/?studio=artaffects.htm" TargetMode="External"/><Relationship Id="rId780" Type="http://schemas.openxmlformats.org/officeDocument/2006/relationships/hyperlink" Target="http://www.boxofficemojo.com/schedule/?view=bydate&amp;release=theatrical&amp;date=2017-10-06&amp;p=.htm" TargetMode="External"/><Relationship Id="rId781" Type="http://schemas.openxmlformats.org/officeDocument/2006/relationships/hyperlink" Target="http://www.boxofficemojo.com/movies/?id=chrisbrownwelcome.htm" TargetMode="External"/><Relationship Id="rId782" Type="http://schemas.openxmlformats.org/officeDocument/2006/relationships/hyperlink" Target="http://www.boxofficemojo.com/studio/chart/?studio=fathom.htm" TargetMode="External"/><Relationship Id="rId783" Type="http://schemas.openxmlformats.org/officeDocument/2006/relationships/hyperlink" Target="http://www.boxofficemojo.com/schedule/?view=bydate&amp;release=theatrical&amp;date=2017-06-08&amp;p=.htm" TargetMode="External"/><Relationship Id="rId784" Type="http://schemas.openxmlformats.org/officeDocument/2006/relationships/hyperlink" Target="http://www.boxofficemojo.com/movies/?id=titanic20thanniversary.htm" TargetMode="External"/><Relationship Id="rId785" Type="http://schemas.openxmlformats.org/officeDocument/2006/relationships/hyperlink" Target="http://www.boxofficemojo.com/studio/chart/?studio=paramount.htm" TargetMode="External"/><Relationship Id="rId786" Type="http://schemas.openxmlformats.org/officeDocument/2006/relationships/hyperlink" Target="http://www.boxofficemojo.com/schedule/?view=bydate&amp;release=theatrical&amp;date=2017-12-01&amp;p=.htm" TargetMode="External"/><Relationship Id="rId787" Type="http://schemas.openxmlformats.org/officeDocument/2006/relationships/hyperlink" Target="http://www.boxofficemojo.com/movies/?id=lostinparis.htm" TargetMode="External"/><Relationship Id="rId788" Type="http://schemas.openxmlformats.org/officeDocument/2006/relationships/hyperlink" Target="http://www.boxofficemojo.com/studio/chart/?studio=oscilloscopepictures.htm" TargetMode="External"/><Relationship Id="rId789" Type="http://schemas.openxmlformats.org/officeDocument/2006/relationships/hyperlink" Target="http://www.boxofficemojo.com/schedule/?view=bydate&amp;release=theatrical&amp;date=2017-06-16&amp;p=.htm" TargetMode="External"/><Relationship Id="rId390" Type="http://schemas.openxmlformats.org/officeDocument/2006/relationships/hyperlink" Target="http://www.boxofficemojo.com/schedule/?view=bydate&amp;release=theatrical&amp;date=2017-02-17&amp;p=.htm" TargetMode="External"/><Relationship Id="rId391" Type="http://schemas.openxmlformats.org/officeDocument/2006/relationships/hyperlink" Target="http://www.boxofficemojo.com/movies/?id=thespacebetweenus.htm" TargetMode="External"/><Relationship Id="rId392" Type="http://schemas.openxmlformats.org/officeDocument/2006/relationships/hyperlink" Target="http://www.boxofficemojo.com/studio/chart/?studio=stx.htm" TargetMode="External"/><Relationship Id="rId393" Type="http://schemas.openxmlformats.org/officeDocument/2006/relationships/hyperlink" Target="http://www.boxofficemojo.com/schedule/?view=bydate&amp;release=theatrical&amp;date=2017-02-03&amp;p=.htm" TargetMode="External"/><Relationship Id="rId394" Type="http://schemas.openxmlformats.org/officeDocument/2006/relationships/hyperlink" Target="http://www.boxofficemojo.com/movies/?id=gold.htm" TargetMode="External"/><Relationship Id="rId395" Type="http://schemas.openxmlformats.org/officeDocument/2006/relationships/hyperlink" Target="http://www.boxofficemojo.com/studio/chart/?studio=weinsteincompany.htm" TargetMode="External"/><Relationship Id="rId396" Type="http://schemas.openxmlformats.org/officeDocument/2006/relationships/hyperlink" Target="http://www.boxofficemojo.com/schedule/?view=bydate&amp;release=theatrical&amp;date=2017-01-27&amp;p=.htm" TargetMode="External"/><Relationship Id="rId397" Type="http://schemas.openxmlformats.org/officeDocument/2006/relationships/hyperlink" Target="http://www.boxofficemojo.com/movies/?id=lettherebelight.htm" TargetMode="External"/><Relationship Id="rId398" Type="http://schemas.openxmlformats.org/officeDocument/2006/relationships/hyperlink" Target="http://www.boxofficemojo.com/studio/chart/?studio=atlas.htm" TargetMode="External"/><Relationship Id="rId399" Type="http://schemas.openxmlformats.org/officeDocument/2006/relationships/hyperlink" Target="http://www.boxofficemojo.com/schedule/?view=bydate&amp;release=theatrical&amp;date=2017-10-27&amp;p=.htm" TargetMode="External"/><Relationship Id="rId1242" Type="http://schemas.openxmlformats.org/officeDocument/2006/relationships/hyperlink" Target="http://www.boxofficemojo.com/schedule/?view=bydate&amp;release=theatrical&amp;date=2017-09-15&amp;p=.htm" TargetMode="External"/><Relationship Id="rId1243" Type="http://schemas.openxmlformats.org/officeDocument/2006/relationships/hyperlink" Target="http://www.boxofficemojo.com/movies/?id=dina.htm" TargetMode="External"/><Relationship Id="rId1244" Type="http://schemas.openxmlformats.org/officeDocument/2006/relationships/hyperlink" Target="http://www.boxofficemojo.com/studio/chart/?studio=orchard.htm" TargetMode="External"/><Relationship Id="rId1245" Type="http://schemas.openxmlformats.org/officeDocument/2006/relationships/hyperlink" Target="http://www.boxofficemojo.com/schedule/?view=bydate&amp;release=theatrical&amp;date=2017-10-06&amp;p=.htm" TargetMode="External"/><Relationship Id="rId1246" Type="http://schemas.openxmlformats.org/officeDocument/2006/relationships/hyperlink" Target="http://www.boxofficemojo.com/movies/?id=nightdead2017.htm" TargetMode="External"/><Relationship Id="rId1247" Type="http://schemas.openxmlformats.org/officeDocument/2006/relationships/hyperlink" Target="http://www.boxofficemojo.com/studio/chart/?studio=janusfilms.htm" TargetMode="External"/><Relationship Id="rId1248" Type="http://schemas.openxmlformats.org/officeDocument/2006/relationships/hyperlink" Target="http://www.boxofficemojo.com/schedule/?view=bydate&amp;release=theatrical&amp;date=2017-10-13&amp;p=.htm" TargetMode="External"/><Relationship Id="rId1249" Type="http://schemas.openxmlformats.org/officeDocument/2006/relationships/hyperlink" Target="http://www.boxofficemojo.com/movies/?id=warriorsofthedawn.htm" TargetMode="External"/><Relationship Id="rId1640" Type="http://schemas.openxmlformats.org/officeDocument/2006/relationships/hyperlink" Target="http://www.boxofficemojo.com/studio/chart/?studio=cohenmedia.htm" TargetMode="External"/><Relationship Id="rId1641" Type="http://schemas.openxmlformats.org/officeDocument/2006/relationships/hyperlink" Target="http://www.boxofficemojo.com/schedule/?view=bydate&amp;release=theatrical&amp;date=2017-09-01&amp;p=.htm" TargetMode="External"/><Relationship Id="rId1642" Type="http://schemas.openxmlformats.org/officeDocument/2006/relationships/hyperlink" Target="http://www.boxofficemojo.com/movies/?id=trafficked.htm" TargetMode="External"/><Relationship Id="rId1643" Type="http://schemas.openxmlformats.org/officeDocument/2006/relationships/hyperlink" Target="http://www.boxofficemojo.com/studio/chart/?studio=epicpics.htm" TargetMode="External"/><Relationship Id="rId1644" Type="http://schemas.openxmlformats.org/officeDocument/2006/relationships/hyperlink" Target="http://www.boxofficemojo.com/schedule/?view=bydate&amp;release=theatrical&amp;date=2017-10-06&amp;p=.htm" TargetMode="External"/><Relationship Id="rId1645" Type="http://schemas.openxmlformats.org/officeDocument/2006/relationships/hyperlink" Target="http://www.boxofficemojo.com/movies/?id=limportantcestdaimer.htm" TargetMode="External"/><Relationship Id="rId1646" Type="http://schemas.openxmlformats.org/officeDocument/2006/relationships/hyperlink" Target="http://www.boxofficemojo.com/studio/chart/?studio=rialto.htm" TargetMode="External"/><Relationship Id="rId1647" Type="http://schemas.openxmlformats.org/officeDocument/2006/relationships/hyperlink" Target="http://www.boxofficemojo.com/schedule/?view=bydate&amp;release=theatrical&amp;date=2017-07-14&amp;p=.htm" TargetMode="External"/><Relationship Id="rId1648" Type="http://schemas.openxmlformats.org/officeDocument/2006/relationships/hyperlink" Target="http://www.boxofficemojo.com/movies/?id=carriepilby.htm" TargetMode="External"/><Relationship Id="rId1649" Type="http://schemas.openxmlformats.org/officeDocument/2006/relationships/hyperlink" Target="http://www.boxofficemojo.com/studio/chart/?studio=orchard.htm" TargetMode="External"/><Relationship Id="rId1250" Type="http://schemas.openxmlformats.org/officeDocument/2006/relationships/hyperlink" Target="http://www.boxofficemojo.com/studio/chart/?studio=fip.htm" TargetMode="External"/><Relationship Id="rId1251" Type="http://schemas.openxmlformats.org/officeDocument/2006/relationships/hyperlink" Target="http://www.boxofficemojo.com/schedule/?view=bydate&amp;release=theatrical&amp;date=2017-06-16&amp;p=.htm" TargetMode="External"/><Relationship Id="rId790" Type="http://schemas.openxmlformats.org/officeDocument/2006/relationships/hyperlink" Target="http://www.boxofficemojo.com/movies/?id=subhmangalsavdhan.htm" TargetMode="External"/><Relationship Id="rId791" Type="http://schemas.openxmlformats.org/officeDocument/2006/relationships/hyperlink" Target="http://www.boxofficemojo.com/studio/chart/?studio=eros.htm" TargetMode="External"/><Relationship Id="rId792" Type="http://schemas.openxmlformats.org/officeDocument/2006/relationships/hyperlink" Target="http://www.boxofficemojo.com/schedule/?view=bydate&amp;release=theatrical&amp;date=2017-09-01&amp;p=.htm" TargetMode="External"/><Relationship Id="rId793" Type="http://schemas.openxmlformats.org/officeDocument/2006/relationships/hyperlink" Target="http://www.boxofficemojo.com/movies/?id=thedevotionofsuspectx.htm" TargetMode="External"/><Relationship Id="rId794" Type="http://schemas.openxmlformats.org/officeDocument/2006/relationships/hyperlink" Target="http://www.boxofficemojo.com/studio/chart/?studio=chinalion.htm" TargetMode="External"/><Relationship Id="rId795" Type="http://schemas.openxmlformats.org/officeDocument/2006/relationships/hyperlink" Target="http://www.boxofficemojo.com/schedule/?view=bydate&amp;release=theatrical&amp;date=2017-03-31&amp;p=.htm" TargetMode="External"/><Relationship Id="rId796" Type="http://schemas.openxmlformats.org/officeDocument/2006/relationships/hyperlink" Target="http://www.boxofficemojo.com/movies/?id=walkwithme.htm" TargetMode="External"/><Relationship Id="rId797" Type="http://schemas.openxmlformats.org/officeDocument/2006/relationships/hyperlink" Target="http://www.boxofficemojo.com/studio/chart/?studio=gathrfilms.htm" TargetMode="External"/><Relationship Id="rId798" Type="http://schemas.openxmlformats.org/officeDocument/2006/relationships/hyperlink" Target="http://www.boxofficemojo.com/schedule/?view=bydate&amp;release=theatrical&amp;date=2017-08-11&amp;p=.htm" TargetMode="External"/><Relationship Id="rId799" Type="http://schemas.openxmlformats.org/officeDocument/2006/relationships/hyperlink" Target="http://www.boxofficemojo.com/movies/?id=wilson2016.htm" TargetMode="External"/><Relationship Id="rId1252" Type="http://schemas.openxmlformats.org/officeDocument/2006/relationships/hyperlink" Target="http://www.boxofficemojo.com/movies/?id=chapterverse.htm" TargetMode="External"/><Relationship Id="rId1253" Type="http://schemas.openxmlformats.org/officeDocument/2006/relationships/hyperlink" Target="http://www.boxofficemojo.com/studio/chart/?studio=paladin.htm" TargetMode="External"/><Relationship Id="rId1254" Type="http://schemas.openxmlformats.org/officeDocument/2006/relationships/hyperlink" Target="http://www.boxofficemojo.com/schedule/?view=bydate&amp;release=theatrical&amp;date=2017-02-03&amp;p=.htm" TargetMode="External"/><Relationship Id="rId1255" Type="http://schemas.openxmlformats.org/officeDocument/2006/relationships/hyperlink" Target="http://www.boxofficemojo.com/movies/?id=earthoneamazingday.htm" TargetMode="External"/><Relationship Id="rId1256" Type="http://schemas.openxmlformats.org/officeDocument/2006/relationships/hyperlink" Target="http://www.boxofficemojo.com/studio/chart/?studio=bbcworldwide.htm" TargetMode="External"/><Relationship Id="rId1257" Type="http://schemas.openxmlformats.org/officeDocument/2006/relationships/hyperlink" Target="http://www.boxofficemojo.com/schedule/?view=bydate&amp;release=theatrical&amp;date=2017-10-06&amp;p=.htm" TargetMode="External"/><Relationship Id="rId1258" Type="http://schemas.openxmlformats.org/officeDocument/2006/relationships/hyperlink" Target="http://www.boxofficemojo.com/movies/?id=thenilehiltonincident.htm" TargetMode="External"/><Relationship Id="rId1259" Type="http://schemas.openxmlformats.org/officeDocument/2006/relationships/hyperlink" Target="http://www.boxofficemojo.com/studio/chart/?studio=strand.htm" TargetMode="External"/><Relationship Id="rId1650" Type="http://schemas.openxmlformats.org/officeDocument/2006/relationships/hyperlink" Target="http://www.boxofficemojo.com/schedule/?view=bydate&amp;release=theatrical&amp;date=2017-03-31&amp;p=.htm" TargetMode="External"/><Relationship Id="rId1651" Type="http://schemas.openxmlformats.org/officeDocument/2006/relationships/hyperlink" Target="http://www.boxofficemojo.com/movies/?id=theluckyman.htm" TargetMode="External"/><Relationship Id="rId1652" Type="http://schemas.openxmlformats.org/officeDocument/2006/relationships/hyperlink" Target="http://www.boxofficemojo.com/studio/chart/?studio=indican.htm" TargetMode="External"/><Relationship Id="rId1653" Type="http://schemas.openxmlformats.org/officeDocument/2006/relationships/hyperlink" Target="http://www.boxofficemojo.com/schedule/?view=bydate&amp;release=theatrical&amp;date=2017-12-21&amp;p=.htm" TargetMode="External"/><Relationship Id="rId1654" Type="http://schemas.openxmlformats.org/officeDocument/2006/relationships/hyperlink" Target="http://www.boxofficemojo.com/movies/?id=bobbijene.htm" TargetMode="External"/><Relationship Id="rId1655" Type="http://schemas.openxmlformats.org/officeDocument/2006/relationships/hyperlink" Target="http://www.boxofficemojo.com/studio/chart/?studio=oscilloscopepictures.htm" TargetMode="External"/><Relationship Id="rId1656" Type="http://schemas.openxmlformats.org/officeDocument/2006/relationships/hyperlink" Target="http://www.boxofficemojo.com/schedule/?view=bydate&amp;release=theatrical&amp;date=2017-09-22&amp;p=.htm" TargetMode="External"/><Relationship Id="rId1657" Type="http://schemas.openxmlformats.org/officeDocument/2006/relationships/hyperlink" Target="http://www.boxofficemojo.com/movies/?id=alltheragesavedbysarno.htm" TargetMode="External"/><Relationship Id="rId1658" Type="http://schemas.openxmlformats.org/officeDocument/2006/relationships/hyperlink" Target="http://www.boxofficemojo.com/studio/chart/?studio=filmcollaborative.htm" TargetMode="External"/><Relationship Id="rId1659" Type="http://schemas.openxmlformats.org/officeDocument/2006/relationships/hyperlink" Target="http://www.boxofficemojo.com/schedule/?view=bydate&amp;release=theatrical&amp;date=2017-06-23&amp;p=.htm" TargetMode="External"/><Relationship Id="rId1260" Type="http://schemas.openxmlformats.org/officeDocument/2006/relationships/hyperlink" Target="http://www.boxofficemojo.com/schedule/?view=bydate&amp;release=theatrical&amp;date=2017-08-11&amp;p=.htm" TargetMode="External"/><Relationship Id="rId1261" Type="http://schemas.openxmlformats.org/officeDocument/2006/relationships/hyperlink" Target="http://www.boxofficemojo.com/movies/?id=stefanzweig.htm" TargetMode="External"/><Relationship Id="rId1262" Type="http://schemas.openxmlformats.org/officeDocument/2006/relationships/hyperlink" Target="http://www.boxofficemojo.com/studio/chart/?studio=firstrun.htm" TargetMode="External"/><Relationship Id="rId1263" Type="http://schemas.openxmlformats.org/officeDocument/2006/relationships/hyperlink" Target="http://www.boxofficemojo.com/schedule/?view=bydate&amp;release=theatrical&amp;date=2017-05-12&amp;p=.htm" TargetMode="External"/><Relationship Id="rId1264" Type="http://schemas.openxmlformats.org/officeDocument/2006/relationships/hyperlink" Target="http://www.boxofficemojo.com/movies/?id=haroldandlillian.htm" TargetMode="External"/><Relationship Id="rId1265" Type="http://schemas.openxmlformats.org/officeDocument/2006/relationships/hyperlink" Target="http://www.boxofficemojo.com/studio/chart/?studio=zeitgeist.htm" TargetMode="External"/><Relationship Id="rId1266" Type="http://schemas.openxmlformats.org/officeDocument/2006/relationships/hyperlink" Target="http://www.boxofficemojo.com/schedule/?view=bydate&amp;release=theatrical&amp;date=2017-04-28&amp;p=.htm" TargetMode="External"/><Relationship Id="rId1267" Type="http://schemas.openxmlformats.org/officeDocument/2006/relationships/hyperlink" Target="http://www.boxofficemojo.com/movies/?id=popaye.htm" TargetMode="External"/><Relationship Id="rId1268" Type="http://schemas.openxmlformats.org/officeDocument/2006/relationships/hyperlink" Target="http://www.boxofficemojo.com/studio/chart/?studio=kinolorber.htm" TargetMode="External"/><Relationship Id="rId1269" Type="http://schemas.openxmlformats.org/officeDocument/2006/relationships/hyperlink" Target="http://www.boxofficemojo.com/schedule/?view=bydate&amp;release=theatrical&amp;date=2017-06-28&amp;p=.htm" TargetMode="External"/><Relationship Id="rId400" Type="http://schemas.openxmlformats.org/officeDocument/2006/relationships/hyperlink" Target="http://www.boxofficemojo.com/movies/?id=iamnotyournegro.htm" TargetMode="External"/><Relationship Id="rId401" Type="http://schemas.openxmlformats.org/officeDocument/2006/relationships/hyperlink" Target="http://www.boxofficemojo.com/studio/chart/?studio=magnolia.htm" TargetMode="External"/><Relationship Id="rId402" Type="http://schemas.openxmlformats.org/officeDocument/2006/relationships/hyperlink" Target="http://www.boxofficemojo.com/schedule/?view=bydate&amp;release=theatrical&amp;date=2017-02-03&amp;p=.htm" TargetMode="External"/><Relationship Id="rId403" Type="http://schemas.openxmlformats.org/officeDocument/2006/relationships/hyperlink" Target="http://www.boxofficemojo.com/movies/?id=beatrizatdinner.htm" TargetMode="External"/><Relationship Id="rId404" Type="http://schemas.openxmlformats.org/officeDocument/2006/relationships/hyperlink" Target="http://www.boxofficemojo.com/studio/chart/?studio=roadsideattractions.htm" TargetMode="External"/><Relationship Id="rId405" Type="http://schemas.openxmlformats.org/officeDocument/2006/relationships/hyperlink" Target="http://www.boxofficemojo.com/schedule/?view=bydate&amp;release=theatrical&amp;date=2017-06-09&amp;p=.htm" TargetMode="External"/><Relationship Id="rId406" Type="http://schemas.openxmlformats.org/officeDocument/2006/relationships/hyperlink" Target="http://www.boxofficemojo.com/movies/?id=birthofthedragon.htm" TargetMode="External"/><Relationship Id="rId407" Type="http://schemas.openxmlformats.org/officeDocument/2006/relationships/hyperlink" Target="http://www.boxofficemojo.com/studio/chart/?studio=bhtilt.htm" TargetMode="External"/><Relationship Id="rId408" Type="http://schemas.openxmlformats.org/officeDocument/2006/relationships/hyperlink" Target="http://www.boxofficemojo.com/schedule/?view=bydate&amp;release=theatrical&amp;date=2017-08-25&amp;p=.htm" TargetMode="External"/><Relationship Id="rId409" Type="http://schemas.openxmlformats.org/officeDocument/2006/relationships/hyperlink" Target="http://www.boxofficemojo.com/movies/?id=thesnowman.htm" TargetMode="External"/><Relationship Id="rId1660" Type="http://schemas.openxmlformats.org/officeDocument/2006/relationships/hyperlink" Target="http://www.boxofficemojo.com/movies/?id=burden.htm" TargetMode="External"/><Relationship Id="rId1661" Type="http://schemas.openxmlformats.org/officeDocument/2006/relationships/hyperlink" Target="http://www.boxofficemojo.com/studio/chart/?studio=magnolia.htm" TargetMode="External"/><Relationship Id="rId1662" Type="http://schemas.openxmlformats.org/officeDocument/2006/relationships/hyperlink" Target="http://www.boxofficemojo.com/schedule/?view=bydate&amp;release=theatrical&amp;date=2017-05-05&amp;p=.htm" TargetMode="External"/><Relationship Id="rId1663" Type="http://schemas.openxmlformats.org/officeDocument/2006/relationships/hyperlink" Target="http://www.boxofficemojo.com/movies/?id=glory2017.htm" TargetMode="External"/><Relationship Id="rId1664" Type="http://schemas.openxmlformats.org/officeDocument/2006/relationships/hyperlink" Target="http://www.boxofficemojo.com/studio/chart/?studio=filmmovement.htm" TargetMode="External"/><Relationship Id="rId1665" Type="http://schemas.openxmlformats.org/officeDocument/2006/relationships/hyperlink" Target="http://www.boxofficemojo.com/schedule/?view=bydate&amp;release=theatrical&amp;date=2017-04-12&amp;p=.htm" TargetMode="External"/><Relationship Id="rId1666" Type="http://schemas.openxmlformats.org/officeDocument/2006/relationships/hyperlink" Target="http://www.boxofficemojo.com/studio/chart/?studio=kinolorber.htm" TargetMode="External"/><Relationship Id="rId1667" Type="http://schemas.openxmlformats.org/officeDocument/2006/relationships/hyperlink" Target="http://www.boxofficemojo.com/schedule/?view=bydate&amp;release=theatrical&amp;date=2017-03-11&amp;p=.htm" TargetMode="External"/><Relationship Id="rId1668" Type="http://schemas.openxmlformats.org/officeDocument/2006/relationships/hyperlink" Target="http://www.boxofficemojo.com/movies/?id=mansfield6667.htm" TargetMode="External"/><Relationship Id="rId1669" Type="http://schemas.openxmlformats.org/officeDocument/2006/relationships/hyperlink" Target="http://www.boxofficemojo.com/studio/chart/?studio=filmbuff.htm" TargetMode="External"/><Relationship Id="rId1270" Type="http://schemas.openxmlformats.org/officeDocument/2006/relationships/hyperlink" Target="http://www.boxofficemojo.com/movies/?id=teata.htm" TargetMode="External"/><Relationship Id="rId1271" Type="http://schemas.openxmlformats.org/officeDocument/2006/relationships/hyperlink" Target="http://www.boxofficemojo.com/studio/chart/?studio=paladin.htm" TargetMode="External"/><Relationship Id="rId1272" Type="http://schemas.openxmlformats.org/officeDocument/2006/relationships/hyperlink" Target="http://www.boxofficemojo.com/schedule/?view=bydate&amp;release=theatrical&amp;date=2017-09-29&amp;p=.htm" TargetMode="External"/><Relationship Id="rId1273" Type="http://schemas.openxmlformats.org/officeDocument/2006/relationships/hyperlink" Target="http://www.boxofficemojo.com/movies/?id=bustersmalheart.htm" TargetMode="External"/><Relationship Id="rId1274" Type="http://schemas.openxmlformats.org/officeDocument/2006/relationships/hyperlink" Target="http://www.boxofficemojo.com/studio/chart/?studio=wellgo.htm" TargetMode="External"/><Relationship Id="rId1275" Type="http://schemas.openxmlformats.org/officeDocument/2006/relationships/hyperlink" Target="http://www.boxofficemojo.com/schedule/?view=bydate&amp;release=theatrical&amp;date=2017-04-28&amp;p=.htm" TargetMode="External"/><Relationship Id="rId1276" Type="http://schemas.openxmlformats.org/officeDocument/2006/relationships/hyperlink" Target="http://www.boxofficemojo.com/movies/?id=billnyescienceguy.htm" TargetMode="External"/><Relationship Id="rId1277" Type="http://schemas.openxmlformats.org/officeDocument/2006/relationships/hyperlink" Target="http://www.boxofficemojo.com/studio/chart/?studio=pbs.htm" TargetMode="External"/><Relationship Id="rId1278" Type="http://schemas.openxmlformats.org/officeDocument/2006/relationships/hyperlink" Target="http://www.boxofficemojo.com/schedule/?view=bydate&amp;release=theatrical&amp;date=2017-10-27&amp;p=.htm" TargetMode="External"/><Relationship Id="rId1279" Type="http://schemas.openxmlformats.org/officeDocument/2006/relationships/hyperlink" Target="http://www.boxofficemojo.com/movies/?id=turnitaround.htm" TargetMode="External"/><Relationship Id="rId800" Type="http://schemas.openxmlformats.org/officeDocument/2006/relationships/hyperlink" Target="http://www.boxofficemojo.com/studio/chart/?studio=foxsearchlight.htm" TargetMode="External"/><Relationship Id="rId801" Type="http://schemas.openxmlformats.org/officeDocument/2006/relationships/hyperlink" Target="http://www.boxofficemojo.com/schedule/?view=bydate&amp;release=theatrical&amp;date=2017-03-24&amp;p=.htm" TargetMode="External"/><Relationship Id="rId802" Type="http://schemas.openxmlformats.org/officeDocument/2006/relationships/hyperlink" Target="http://www.boxofficemojo.com/movies/?id=theonlylivingboyinnewyork.htm" TargetMode="External"/><Relationship Id="rId803" Type="http://schemas.openxmlformats.org/officeDocument/2006/relationships/hyperlink" Target="http://www.boxofficemojo.com/studio/chart/?studio=roadsideattractions.htm" TargetMode="External"/><Relationship Id="rId410" Type="http://schemas.openxmlformats.org/officeDocument/2006/relationships/hyperlink" Target="http://www.boxofficemojo.com/studio/chart/?studio=universal.htm" TargetMode="External"/><Relationship Id="rId411" Type="http://schemas.openxmlformats.org/officeDocument/2006/relationships/hyperlink" Target="http://www.boxofficemojo.com/schedule/?view=bydate&amp;release=theatrical&amp;date=2017-10-20&amp;p=.htm" TargetMode="External"/><Relationship Id="rId412" Type="http://schemas.openxmlformats.org/officeDocument/2006/relationships/hyperlink" Target="http://www.boxofficemojo.com/movies/?id=lovingvincent.htm" TargetMode="External"/><Relationship Id="rId413" Type="http://schemas.openxmlformats.org/officeDocument/2006/relationships/hyperlink" Target="http://www.boxofficemojo.com/studio/chart/?studio=gooddeed.htm" TargetMode="External"/><Relationship Id="rId414" Type="http://schemas.openxmlformats.org/officeDocument/2006/relationships/hyperlink" Target="http://www.boxofficemojo.com/schedule/?view=bydate&amp;release=theatrical&amp;date=2017-09-22&amp;p=.htm" TargetMode="External"/><Relationship Id="rId415" Type="http://schemas.openxmlformats.org/officeDocument/2006/relationships/hyperlink" Target="http://www.boxofficemojo.com/movies/?id=samekindofdifferent.htm" TargetMode="External"/><Relationship Id="rId416" Type="http://schemas.openxmlformats.org/officeDocument/2006/relationships/hyperlink" Target="http://www.boxofficemojo.com/studio/chart/?studio=pureflix.htm" TargetMode="External"/><Relationship Id="rId417" Type="http://schemas.openxmlformats.org/officeDocument/2006/relationships/hyperlink" Target="http://www.boxofficemojo.com/schedule/?view=bydate&amp;release=theatrical&amp;date=2017-10-20&amp;p=.htm" TargetMode="External"/><Relationship Id="rId418" Type="http://schemas.openxmlformats.org/officeDocument/2006/relationships/hyperlink" Target="http://www.boxofficemojo.com/movies/?id=paulthomasanderson2017.htm" TargetMode="External"/><Relationship Id="rId419" Type="http://schemas.openxmlformats.org/officeDocument/2006/relationships/hyperlink" Target="http://www.boxofficemojo.com/studio/chart/?studio=focus.htm" TargetMode="External"/><Relationship Id="rId804" Type="http://schemas.openxmlformats.org/officeDocument/2006/relationships/hyperlink" Target="http://www.boxofficemojo.com/schedule/?view=bydate&amp;release=theatrical&amp;date=2017-08-11&amp;p=.htm" TargetMode="External"/><Relationship Id="rId805" Type="http://schemas.openxmlformats.org/officeDocument/2006/relationships/hyperlink" Target="http://www.boxofficemojo.com/movies/?id=themidwife.htm" TargetMode="External"/><Relationship Id="rId806" Type="http://schemas.openxmlformats.org/officeDocument/2006/relationships/hyperlink" Target="http://www.boxofficemojo.com/studio/chart/?studio=musicboxfilms.htm" TargetMode="External"/><Relationship Id="rId807" Type="http://schemas.openxmlformats.org/officeDocument/2006/relationships/hyperlink" Target="http://www.boxofficemojo.com/schedule/?view=bydate&amp;release=theatrical&amp;date=2017-07-21&amp;p=.htm" TargetMode="External"/><Relationship Id="rId808" Type="http://schemas.openxmlformats.org/officeDocument/2006/relationships/hyperlink" Target="http://www.boxofficemojo.com/movies/?id=battleofmemories.htm" TargetMode="External"/><Relationship Id="rId809" Type="http://schemas.openxmlformats.org/officeDocument/2006/relationships/hyperlink" Target="http://www.boxofficemojo.com/studio/chart/?studio=chinalion.htm" TargetMode="External"/><Relationship Id="rId1670" Type="http://schemas.openxmlformats.org/officeDocument/2006/relationships/hyperlink" Target="http://www.boxofficemojo.com/schedule/?view=bydate&amp;release=theatrical&amp;date=2017-10-27&amp;p=.htm" TargetMode="External"/><Relationship Id="rId1671" Type="http://schemas.openxmlformats.org/officeDocument/2006/relationships/hyperlink" Target="http://www.boxofficemojo.com/movies/?id=thelastshaman.htm" TargetMode="External"/><Relationship Id="rId1672" Type="http://schemas.openxmlformats.org/officeDocument/2006/relationships/hyperlink" Target="http://www.boxofficemojo.com/studio/chart/?studio=abramorama.htm" TargetMode="External"/><Relationship Id="rId1673" Type="http://schemas.openxmlformats.org/officeDocument/2006/relationships/hyperlink" Target="http://www.boxofficemojo.com/schedule/?view=bydate&amp;release=theatrical&amp;date=2017-05-12&amp;p=.htm" TargetMode="External"/><Relationship Id="rId1280" Type="http://schemas.openxmlformats.org/officeDocument/2006/relationships/hyperlink" Target="http://www.boxofficemojo.com/studio/chart/?studio=abramorama.htm" TargetMode="External"/><Relationship Id="rId1281" Type="http://schemas.openxmlformats.org/officeDocument/2006/relationships/hyperlink" Target="http://www.boxofficemojo.com/schedule/?view=bydate&amp;release=theatrical&amp;date=2017-07-28&amp;p=.htm" TargetMode="External"/><Relationship Id="rId1282" Type="http://schemas.openxmlformats.org/officeDocument/2006/relationships/hyperlink" Target="http://www.boxofficemojo.com/movies/?id=myentirehighschool.htm" TargetMode="External"/><Relationship Id="rId1283" Type="http://schemas.openxmlformats.org/officeDocument/2006/relationships/hyperlink" Target="http://www.boxofficemojo.com/studio/chart/?studio=gkids.htm" TargetMode="External"/><Relationship Id="rId1284" Type="http://schemas.openxmlformats.org/officeDocument/2006/relationships/hyperlink" Target="http://www.boxofficemojo.com/schedule/?view=bydate&amp;release=theatrical&amp;date=2017-04-14&amp;p=.htm" TargetMode="External"/><Relationship Id="rId1285" Type="http://schemas.openxmlformats.org/officeDocument/2006/relationships/hyperlink" Target="http://www.boxofficemojo.com/movies/?id=aliveandkicking.htm" TargetMode="External"/><Relationship Id="rId1286" Type="http://schemas.openxmlformats.org/officeDocument/2006/relationships/hyperlink" Target="http://www.boxofficemojo.com/studio/chart/?studio=magnolia.htm" TargetMode="External"/><Relationship Id="rId1287" Type="http://schemas.openxmlformats.org/officeDocument/2006/relationships/hyperlink" Target="http://www.boxofficemojo.com/schedule/?view=bydate&amp;release=theatrical&amp;date=2017-04-07&amp;p=.htm" TargetMode="External"/><Relationship Id="rId1288" Type="http://schemas.openxmlformats.org/officeDocument/2006/relationships/hyperlink" Target="http://www.boxofficemojo.com/movies/?id=thedivineorder.htm" TargetMode="External"/><Relationship Id="rId1289" Type="http://schemas.openxmlformats.org/officeDocument/2006/relationships/hyperlink" Target="http://www.boxofficemojo.com/studio/chart/?studio=zeitgeist.htm" TargetMode="External"/><Relationship Id="rId1674" Type="http://schemas.openxmlformats.org/officeDocument/2006/relationships/hyperlink" Target="http://www.boxofficemojo.com/movies/?id=escapes.htm" TargetMode="External"/><Relationship Id="rId1675" Type="http://schemas.openxmlformats.org/officeDocument/2006/relationships/hyperlink" Target="http://www.boxofficemojo.com/studio/chart/?studio=grasshopper.htm" TargetMode="External"/><Relationship Id="rId1676" Type="http://schemas.openxmlformats.org/officeDocument/2006/relationships/hyperlink" Target="http://www.boxofficemojo.com/schedule/?view=bydate&amp;release=theatrical&amp;date=2017-07-28&amp;p=.htm" TargetMode="External"/><Relationship Id="rId1677" Type="http://schemas.openxmlformats.org/officeDocument/2006/relationships/hyperlink" Target="http://www.boxofficemojo.com/movies/?id=sacred.htm" TargetMode="External"/><Relationship Id="rId1678" Type="http://schemas.openxmlformats.org/officeDocument/2006/relationships/hyperlink" Target="http://www.boxofficemojo.com/studio/chart/?studio=argotpictures.htm" TargetMode="External"/><Relationship Id="rId1679" Type="http://schemas.openxmlformats.org/officeDocument/2006/relationships/hyperlink" Target="http://www.boxofficemojo.com/schedule/?view=bydate&amp;release=theatrical&amp;date=2017-05-05&amp;p=.htm" TargetMode="External"/><Relationship Id="rId810" Type="http://schemas.openxmlformats.org/officeDocument/2006/relationships/hyperlink" Target="http://www.boxofficemojo.com/schedule/?view=bydate&amp;release=theatrical&amp;date=2017-04-28&amp;p=.htm" TargetMode="External"/><Relationship Id="rId811" Type="http://schemas.openxmlformats.org/officeDocument/2006/relationships/hyperlink" Target="http://www.boxofficemojo.com/movies/?id=novitiate.htm" TargetMode="External"/><Relationship Id="rId812" Type="http://schemas.openxmlformats.org/officeDocument/2006/relationships/hyperlink" Target="http://www.boxofficemojo.com/studio/chart/?studio=sonyclassics.htm" TargetMode="External"/><Relationship Id="rId813" Type="http://schemas.openxmlformats.org/officeDocument/2006/relationships/hyperlink" Target="http://www.boxofficemojo.com/schedule/?view=bydate&amp;release=theatrical&amp;date=2017-10-27&amp;p=.htm" TargetMode="External"/><Relationship Id="rId420" Type="http://schemas.openxmlformats.org/officeDocument/2006/relationships/hyperlink" Target="http://www.boxofficemojo.com/schedule/?view=bydate&amp;release=theatrical&amp;date=2017-12-25&amp;p=.htm" TargetMode="External"/><Relationship Id="rId421" Type="http://schemas.openxmlformats.org/officeDocument/2006/relationships/hyperlink" Target="http://www.boxofficemojo.com/movies/?id=bhtilt2017.htm" TargetMode="External"/><Relationship Id="rId422" Type="http://schemas.openxmlformats.org/officeDocument/2006/relationships/hyperlink" Target="http://www.boxofficemojo.com/studio/chart/?studio=bhtilt.htm" TargetMode="External"/><Relationship Id="rId423" Type="http://schemas.openxmlformats.org/officeDocument/2006/relationships/hyperlink" Target="http://www.boxofficemojo.com/schedule/?view=bydate&amp;release=theatrical&amp;date=2017-05-12&amp;p=.htm" TargetMode="External"/><Relationship Id="rId424" Type="http://schemas.openxmlformats.org/officeDocument/2006/relationships/hyperlink" Target="http://www.boxofficemojo.com/movies/?id=maudie.htm" TargetMode="External"/><Relationship Id="rId425" Type="http://schemas.openxmlformats.org/officeDocument/2006/relationships/hyperlink" Target="http://www.boxofficemojo.com/studio/chart/?studio=sonyclassics.htm" TargetMode="External"/><Relationship Id="rId426" Type="http://schemas.openxmlformats.org/officeDocument/2006/relationships/hyperlink" Target="http://www.boxofficemojo.com/schedule/?view=bydate&amp;release=theatrical&amp;date=2017-04-14&amp;p=.htm" TargetMode="External"/><Relationship Id="rId427" Type="http://schemas.openxmlformats.org/officeDocument/2006/relationships/hyperlink" Target="http://www.boxofficemojo.com/movies/?id=villacapri.htm" TargetMode="External"/><Relationship Id="rId428" Type="http://schemas.openxmlformats.org/officeDocument/2006/relationships/hyperlink" Target="http://www.boxofficemojo.com/studio/chart/?studio=broadgreen.htm" TargetMode="External"/><Relationship Id="rId429" Type="http://schemas.openxmlformats.org/officeDocument/2006/relationships/hyperlink" Target="http://www.boxofficemojo.com/schedule/?view=bydate&amp;release=theatrical&amp;date=2017-12-08&amp;p=.htm" TargetMode="External"/><Relationship Id="rId814" Type="http://schemas.openxmlformats.org/officeDocument/2006/relationships/hyperlink" Target="http://www.boxofficemojo.com/movies/?id=tommyshonour.htm" TargetMode="External"/><Relationship Id="rId815" Type="http://schemas.openxmlformats.org/officeDocument/2006/relationships/hyperlink" Target="http://www.boxofficemojo.com/studio/chart/?studio=roadsideattractions.htm" TargetMode="External"/><Relationship Id="rId816" Type="http://schemas.openxmlformats.org/officeDocument/2006/relationships/hyperlink" Target="http://www.boxofficemojo.com/schedule/?view=bydate&amp;release=theatrical&amp;date=2017-04-14&amp;p=.htm" TargetMode="External"/><Relationship Id="rId817" Type="http://schemas.openxmlformats.org/officeDocument/2006/relationships/hyperlink" Target="http://www.boxofficemojo.com/movies/?id=bitterharvest.htm" TargetMode="External"/><Relationship Id="rId818" Type="http://schemas.openxmlformats.org/officeDocument/2006/relationships/hyperlink" Target="http://www.boxofficemojo.com/studio/chart/?studio=roadsideattractions.htm" TargetMode="External"/><Relationship Id="rId819" Type="http://schemas.openxmlformats.org/officeDocument/2006/relationships/hyperlink" Target="http://www.boxofficemojo.com/schedule/?view=bydate&amp;release=theatrical&amp;date=2017-02-24&amp;p=.htm" TargetMode="External"/><Relationship Id="rId1680" Type="http://schemas.openxmlformats.org/officeDocument/2006/relationships/hyperlink" Target="http://www.boxofficemojo.com/movies/?id=badgrandmas.htm" TargetMode="External"/><Relationship Id="rId1681" Type="http://schemas.openxmlformats.org/officeDocument/2006/relationships/hyperlink" Target="http://www.boxofficemojo.com/studio/chart/?studio=paradedeck.htm" TargetMode="External"/><Relationship Id="rId1682" Type="http://schemas.openxmlformats.org/officeDocument/2006/relationships/hyperlink" Target="http://www.boxofficemojo.com/schedule/?view=bydate&amp;release=theatrical&amp;date=2017-11-03&amp;p=.htm" TargetMode="External"/><Relationship Id="rId1683" Type="http://schemas.openxmlformats.org/officeDocument/2006/relationships/hyperlink" Target="http://www.boxofficemojo.com/movies/?id=harmonium.htm" TargetMode="External"/><Relationship Id="rId1290" Type="http://schemas.openxmlformats.org/officeDocument/2006/relationships/hyperlink" Target="http://www.boxofficemojo.com/schedule/?view=bydate&amp;release=theatrical&amp;date=2017-10-27&amp;p=.htm" TargetMode="External"/><Relationship Id="rId1291" Type="http://schemas.openxmlformats.org/officeDocument/2006/relationships/hyperlink" Target="http://www.boxofficemojo.com/movies/?id=architectsofdenial.htm" TargetMode="External"/><Relationship Id="rId1292" Type="http://schemas.openxmlformats.org/officeDocument/2006/relationships/hyperlink" Target="http://www.boxofficemojo.com/studio/chart/?studio=dada.htm" TargetMode="External"/><Relationship Id="rId1293" Type="http://schemas.openxmlformats.org/officeDocument/2006/relationships/hyperlink" Target="http://www.boxofficemojo.com/schedule/?view=bydate&amp;release=theatrical&amp;date=2017-10-06&amp;p=.htm" TargetMode="External"/><Relationship Id="rId1294" Type="http://schemas.openxmlformats.org/officeDocument/2006/relationships/hyperlink" Target="http://www.boxofficemojo.com/movies/?id=theteacher.htm" TargetMode="External"/><Relationship Id="rId1295" Type="http://schemas.openxmlformats.org/officeDocument/2006/relationships/hyperlink" Target="http://www.boxofficemojo.com/studio/chart/?studio=filmmovement.htm" TargetMode="External"/><Relationship Id="rId1296" Type="http://schemas.openxmlformats.org/officeDocument/2006/relationships/hyperlink" Target="http://www.boxofficemojo.com/schedule/?view=bydate&amp;release=theatrical&amp;date=2017-08-30&amp;p=.htm" TargetMode="External"/><Relationship Id="rId1297" Type="http://schemas.openxmlformats.org/officeDocument/2006/relationships/hyperlink" Target="http://www.boxofficemojo.com/movies/?id=icanspeak.htm" TargetMode="External"/><Relationship Id="rId1298" Type="http://schemas.openxmlformats.org/officeDocument/2006/relationships/hyperlink" Target="http://www.boxofficemojo.com/studio/chart/?studio=cjentertainment.htm" TargetMode="External"/><Relationship Id="rId1299" Type="http://schemas.openxmlformats.org/officeDocument/2006/relationships/hyperlink" Target="http://www.boxofficemojo.com/schedule/?view=bydate&amp;release=theatrical&amp;date=2017-09-22&amp;p=.htm" TargetMode="External"/><Relationship Id="rId1684" Type="http://schemas.openxmlformats.org/officeDocument/2006/relationships/hyperlink" Target="http://www.boxofficemojo.com/studio/chart/?studio=filmmovement.htm" TargetMode="External"/><Relationship Id="rId1685" Type="http://schemas.openxmlformats.org/officeDocument/2006/relationships/hyperlink" Target="http://www.boxofficemojo.com/schedule/?view=bydate&amp;release=theatrical&amp;date=2017-06-16&amp;p=.htm" TargetMode="External"/><Relationship Id="rId1686" Type="http://schemas.openxmlformats.org/officeDocument/2006/relationships/hyperlink" Target="http://www.boxofficemojo.com/movies/?id=foodevolution.htm" TargetMode="External"/><Relationship Id="rId1687" Type="http://schemas.openxmlformats.org/officeDocument/2006/relationships/hyperlink" Target="http://www.boxofficemojo.com/studio/chart/?studio=abramorama.htm" TargetMode="External"/><Relationship Id="rId1688" Type="http://schemas.openxmlformats.org/officeDocument/2006/relationships/hyperlink" Target="http://www.boxofficemojo.com/schedule/?view=bydate&amp;release=theatrical&amp;date=2017-06-23&amp;p=.htm" TargetMode="External"/><Relationship Id="rId1689" Type="http://schemas.openxmlformats.org/officeDocument/2006/relationships/hyperlink" Target="http://www.boxofficemojo.com/movies/?id=swimteam.htm" TargetMode="External"/><Relationship Id="rId820" Type="http://schemas.openxmlformats.org/officeDocument/2006/relationships/hyperlink" Target="http://www.boxofficemojo.com/movies/?id=samaritanspurse.htm" TargetMode="External"/><Relationship Id="rId821" Type="http://schemas.openxmlformats.org/officeDocument/2006/relationships/hyperlink" Target="http://www.boxofficemojo.com/studio/chart/?studio=fathom.htm" TargetMode="External"/><Relationship Id="rId822" Type="http://schemas.openxmlformats.org/officeDocument/2006/relationships/hyperlink" Target="http://www.boxofficemojo.com/schedule/?view=bydate&amp;release=theatrical&amp;date=2017-04-10&amp;p=.htm" TargetMode="External"/><Relationship Id="rId823" Type="http://schemas.openxmlformats.org/officeDocument/2006/relationships/hyperlink" Target="http://www.boxofficemojo.com/movies/?id=dolores.htm" TargetMode="External"/><Relationship Id="rId430" Type="http://schemas.openxmlformats.org/officeDocument/2006/relationships/hyperlink" Target="http://www.boxofficemojo.com/movies/?id=allsaints.htm" TargetMode="External"/><Relationship Id="rId431" Type="http://schemas.openxmlformats.org/officeDocument/2006/relationships/hyperlink" Target="http://www.boxofficemojo.com/studio/chart/?studio=sony.htm" TargetMode="External"/><Relationship Id="rId432" Type="http://schemas.openxmlformats.org/officeDocument/2006/relationships/hyperlink" Target="http://www.boxofficemojo.com/schedule/?view=bydate&amp;release=theatrical&amp;date=2017-08-25&amp;p=.htm" TargetMode="External"/><Relationship Id="rId433" Type="http://schemas.openxmlformats.org/officeDocument/2006/relationships/hyperlink" Target="http://www.boxofficemojo.com/movies/?id=suburbicon.htm" TargetMode="External"/><Relationship Id="rId434" Type="http://schemas.openxmlformats.org/officeDocument/2006/relationships/hyperlink" Target="http://www.boxofficemojo.com/studio/chart/?studio=paramount.htm" TargetMode="External"/><Relationship Id="rId435" Type="http://schemas.openxmlformats.org/officeDocument/2006/relationships/hyperlink" Target="http://www.boxofficemojo.com/schedule/?view=bydate&amp;release=theatrical&amp;date=2017-10-27&amp;p=.htm" TargetMode="External"/><Relationship Id="rId436" Type="http://schemas.openxmlformats.org/officeDocument/2006/relationships/hyperlink" Target="http://www.boxofficemojo.com/movies/?id=themanwhoinventedchristmas.htm" TargetMode="External"/><Relationship Id="rId437" Type="http://schemas.openxmlformats.org/officeDocument/2006/relationships/hyperlink" Target="http://www.boxofficemojo.com/studio/chart/?studio=bleeckerstreet.htm" TargetMode="External"/><Relationship Id="rId438" Type="http://schemas.openxmlformats.org/officeDocument/2006/relationships/hyperlink" Target="http://www.boxofficemojo.com/schedule/?view=bydate&amp;release=theatrical&amp;date=2017-11-22&amp;p=.htm" TargetMode="External"/><Relationship Id="rId439" Type="http://schemas.openxmlformats.org/officeDocument/2006/relationships/hyperlink" Target="http://www.boxofficemojo.com/movies/?id=pariscanwait.htm" TargetMode="External"/><Relationship Id="rId824" Type="http://schemas.openxmlformats.org/officeDocument/2006/relationships/hyperlink" Target="http://www.boxofficemojo.com/studio/chart/?studio=pbs.htm" TargetMode="External"/><Relationship Id="rId825" Type="http://schemas.openxmlformats.org/officeDocument/2006/relationships/hyperlink" Target="http://www.boxofficemojo.com/schedule/?view=bydate&amp;release=theatrical&amp;date=2017-09-01&amp;p=.htm" TargetMode="External"/><Relationship Id="rId826" Type="http://schemas.openxmlformats.org/officeDocument/2006/relationships/hyperlink" Target="http://www.boxofficemojo.com/movies/?id=brigsbybear.htm" TargetMode="External"/><Relationship Id="rId827" Type="http://schemas.openxmlformats.org/officeDocument/2006/relationships/hyperlink" Target="http://www.boxofficemojo.com/studio/chart/?studio=sonyclassics.htm" TargetMode="External"/><Relationship Id="rId828" Type="http://schemas.openxmlformats.org/officeDocument/2006/relationships/hyperlink" Target="http://www.boxofficemojo.com/schedule/?view=bydate&amp;release=theatrical&amp;date=2017-07-28&amp;p=.htm" TargetMode="External"/><Relationship Id="rId829" Type="http://schemas.openxmlformats.org/officeDocument/2006/relationships/hyperlink" Target="http://www.boxofficemojo.com/movies/?id=humanflow.htm" TargetMode="External"/><Relationship Id="rId1690" Type="http://schemas.openxmlformats.org/officeDocument/2006/relationships/hyperlink" Target="http://www.boxofficemojo.com/studio/chart/?studio=argotpictures.htm" TargetMode="External"/><Relationship Id="rId1691" Type="http://schemas.openxmlformats.org/officeDocument/2006/relationships/hyperlink" Target="http://www.boxofficemojo.com/schedule/?view=bydate&amp;release=theatrical&amp;date=2017-07-07&amp;p=.htm" TargetMode="External"/><Relationship Id="rId1692" Type="http://schemas.openxmlformats.org/officeDocument/2006/relationships/hyperlink" Target="http://www.boxofficemojo.com/movies/?id=thefreedomtomarry.htm" TargetMode="External"/><Relationship Id="rId1693" Type="http://schemas.openxmlformats.org/officeDocument/2006/relationships/hyperlink" Target="http://www.boxofficemojo.com/studio/chart/?studio=argotpictures.htm" TargetMode="External"/><Relationship Id="rId1694" Type="http://schemas.openxmlformats.org/officeDocument/2006/relationships/hyperlink" Target="http://www.boxofficemojo.com/schedule/?view=bydate&amp;release=theatrical&amp;date=2017-03-03&amp;p=.htm" TargetMode="External"/><Relationship Id="rId1695" Type="http://schemas.openxmlformats.org/officeDocument/2006/relationships/hyperlink" Target="http://www.boxofficemojo.com/movies/?id=bravenewjersey.htm" TargetMode="External"/><Relationship Id="rId1696" Type="http://schemas.openxmlformats.org/officeDocument/2006/relationships/hyperlink" Target="http://www.boxofficemojo.com/studio/chart/?studio=gravitas.htm" TargetMode="External"/><Relationship Id="rId1697" Type="http://schemas.openxmlformats.org/officeDocument/2006/relationships/hyperlink" Target="http://www.boxofficemojo.com/schedule/?view=bydate&amp;release=theatrical&amp;date=2017-08-04&amp;p=.htm" TargetMode="External"/><Relationship Id="rId1698" Type="http://schemas.openxmlformats.org/officeDocument/2006/relationships/hyperlink" Target="http://www.boxofficemojo.com/movies/?id=missioncontrol.htm" TargetMode="External"/><Relationship Id="rId1699" Type="http://schemas.openxmlformats.org/officeDocument/2006/relationships/hyperlink" Target="http://www.boxofficemojo.com/studio/chart/?studio=independent.htm" TargetMode="External"/><Relationship Id="rId830" Type="http://schemas.openxmlformats.org/officeDocument/2006/relationships/hyperlink" Target="http://www.boxofficemojo.com/studio/chart/?studio=magnolia.htm" TargetMode="External"/><Relationship Id="rId831" Type="http://schemas.openxmlformats.org/officeDocument/2006/relationships/hyperlink" Target="http://www.boxofficemojo.com/schedule/?view=bydate&amp;release=theatrical&amp;date=2017-10-13&amp;p=.htm" TargetMode="External"/><Relationship Id="rId832" Type="http://schemas.openxmlformats.org/officeDocument/2006/relationships/hyperlink" Target="http://www.boxofficemojo.com/movies/?id=jonahonstage.htm" TargetMode="External"/><Relationship Id="rId833" Type="http://schemas.openxmlformats.org/officeDocument/2006/relationships/hyperlink" Target="http://www.boxofficemojo.com/studio/chart/?studio=fathom.htm" TargetMode="External"/><Relationship Id="rId440" Type="http://schemas.openxmlformats.org/officeDocument/2006/relationships/hyperlink" Target="http://www.boxofficemojo.com/studio/chart/?studio=sonyclassics.htm" TargetMode="External"/><Relationship Id="rId441" Type="http://schemas.openxmlformats.org/officeDocument/2006/relationships/hyperlink" Target="http://www.boxofficemojo.com/schedule/?view=bydate&amp;release=theatrical&amp;date=2017-05-12&amp;p=.htm" TargetMode="External"/><Relationship Id="rId442" Type="http://schemas.openxmlformats.org/officeDocument/2006/relationships/hyperlink" Target="http://www.boxofficemojo.com/movies/?id=thefloridaproject.htm" TargetMode="External"/><Relationship Id="rId443" Type="http://schemas.openxmlformats.org/officeDocument/2006/relationships/hyperlink" Target="http://www.boxofficemojo.com/studio/chart/?studio=a24.htm" TargetMode="External"/><Relationship Id="rId444" Type="http://schemas.openxmlformats.org/officeDocument/2006/relationships/hyperlink" Target="http://www.boxofficemojo.com/schedule/?view=bydate&amp;release=theatrical&amp;date=2017-10-06&amp;p=.htm" TargetMode="External"/><Relationship Id="rId445" Type="http://schemas.openxmlformats.org/officeDocument/2006/relationships/hyperlink" Target="http://www.boxofficemojo.com/movies/?id=tigerzindahai.htm" TargetMode="External"/><Relationship Id="rId446" Type="http://schemas.openxmlformats.org/officeDocument/2006/relationships/hyperlink" Target="http://www.boxofficemojo.com/studio/chart/?studio=yashraj.htm" TargetMode="External"/><Relationship Id="rId447" Type="http://schemas.openxmlformats.org/officeDocument/2006/relationships/hyperlink" Target="http://www.boxofficemojo.com/schedule/?view=bydate&amp;release=theatrical&amp;date=2017-12-22&amp;p=.htm" TargetMode="External"/><Relationship Id="rId448" Type="http://schemas.openxmlformats.org/officeDocument/2006/relationships/hyperlink" Target="http://www.boxofficemojo.com/movies/?id=yourname.htm" TargetMode="External"/><Relationship Id="rId449" Type="http://schemas.openxmlformats.org/officeDocument/2006/relationships/hyperlink" Target="http://www.boxofficemojo.com/studio/chart/?studio=funimation.htm" TargetMode="External"/><Relationship Id="rId834" Type="http://schemas.openxmlformats.org/officeDocument/2006/relationships/hyperlink" Target="http://www.boxofficemojo.com/schedule/?view=bydate&amp;release=theatrical&amp;date=2017-05-02&amp;p=.htm" TargetMode="External"/><Relationship Id="rId835" Type="http://schemas.openxmlformats.org/officeDocument/2006/relationships/hyperlink" Target="http://www.boxofficemojo.com/movies/?id=fairytaildragoncry.htm" TargetMode="External"/><Relationship Id="rId836" Type="http://schemas.openxmlformats.org/officeDocument/2006/relationships/hyperlink" Target="http://www.boxofficemojo.com/studio/chart/?studio=funimation.htm" TargetMode="External"/><Relationship Id="rId837" Type="http://schemas.openxmlformats.org/officeDocument/2006/relationships/hyperlink" Target="http://www.boxofficemojo.com/schedule/?view=bydate&amp;release=theatrical&amp;date=2017-08-14&amp;p=.htm" TargetMode="External"/><Relationship Id="rId838" Type="http://schemas.openxmlformats.org/officeDocument/2006/relationships/hyperlink" Target="http://www.boxofficemojo.com/movies/?id=raw2017.htm" TargetMode="External"/><Relationship Id="rId839" Type="http://schemas.openxmlformats.org/officeDocument/2006/relationships/hyperlink" Target="http://www.boxofficemojo.com/studio/chart/?studio=focusworld.htm" TargetMode="External"/><Relationship Id="rId1300" Type="http://schemas.openxmlformats.org/officeDocument/2006/relationships/hyperlink" Target="http://www.boxofficemojo.com/movies/?id=tomorrow.htm" TargetMode="External"/><Relationship Id="rId1301" Type="http://schemas.openxmlformats.org/officeDocument/2006/relationships/hyperlink" Target="http://www.boxofficemojo.com/studio/chart/?studio=milkyway.htm" TargetMode="External"/><Relationship Id="rId1302" Type="http://schemas.openxmlformats.org/officeDocument/2006/relationships/hyperlink" Target="http://www.boxofficemojo.com/schedule/?view=bydate&amp;release=theatrical&amp;date=2017-03-10&amp;p=.htm" TargetMode="External"/><Relationship Id="rId1303" Type="http://schemas.openxmlformats.org/officeDocument/2006/relationships/hyperlink" Target="http://www.boxofficemojo.com/movies/?id=thetigerhunter.htm" TargetMode="External"/><Relationship Id="rId1304" Type="http://schemas.openxmlformats.org/officeDocument/2006/relationships/hyperlink" Target="http://www.boxofficemojo.com/studio/chart/?studio=shoutfactory.htm" TargetMode="External"/><Relationship Id="rId1305" Type="http://schemas.openxmlformats.org/officeDocument/2006/relationships/hyperlink" Target="http://www.boxofficemojo.com/schedule/?view=bydate&amp;release=theatrical&amp;date=2017-09-22&amp;p=.htm" TargetMode="External"/><Relationship Id="rId1306" Type="http://schemas.openxmlformats.org/officeDocument/2006/relationships/hyperlink" Target="http://www.boxofficemojo.com/movies/?id=tragedygirls.htm" TargetMode="External"/><Relationship Id="rId1307" Type="http://schemas.openxmlformats.org/officeDocument/2006/relationships/hyperlink" Target="http://www.boxofficemojo.com/studio/chart/?studio=gunpowderandsky.htm" TargetMode="External"/><Relationship Id="rId1308" Type="http://schemas.openxmlformats.org/officeDocument/2006/relationships/hyperlink" Target="http://www.boxofficemojo.com/schedule/?view=bydate&amp;release=theatrical&amp;date=2017-10-20&amp;p=.htm" TargetMode="External"/><Relationship Id="rId1309" Type="http://schemas.openxmlformats.org/officeDocument/2006/relationships/hyperlink" Target="http://www.boxofficemojo.com/movies/?id=donaldcried.htm" TargetMode="External"/><Relationship Id="rId840" Type="http://schemas.openxmlformats.org/officeDocument/2006/relationships/hyperlink" Target="http://www.boxofficemojo.com/schedule/?view=bydate&amp;release=theatrical&amp;date=2017-03-10&amp;p=.htm" TargetMode="External"/><Relationship Id="rId841" Type="http://schemas.openxmlformats.org/officeDocument/2006/relationships/hyperlink" Target="http://www.boxofficemojo.com/movies/?id=ourpresident.htm" TargetMode="External"/><Relationship Id="rId450" Type="http://schemas.openxmlformats.org/officeDocument/2006/relationships/hyperlink" Target="http://www.boxofficemojo.com/schedule/?view=bydate&amp;release=theatrical&amp;date=2017-04-07&amp;p=.htm" TargetMode="External"/><Relationship Id="rId451" Type="http://schemas.openxmlformats.org/officeDocument/2006/relationships/hyperlink" Target="http://www.boxofficemojo.com/movies/?id=thebookofhenry.htm" TargetMode="External"/><Relationship Id="rId452" Type="http://schemas.openxmlformats.org/officeDocument/2006/relationships/hyperlink" Target="http://www.boxofficemojo.com/studio/chart/?studio=focus.htm" TargetMode="External"/><Relationship Id="rId453" Type="http://schemas.openxmlformats.org/officeDocument/2006/relationships/hyperlink" Target="http://www.boxofficemojo.com/schedule/?view=bydate&amp;release=theatrical&amp;date=2017-06-16&amp;p=.htm" TargetMode="External"/><Relationship Id="rId454" Type="http://schemas.openxmlformats.org/officeDocument/2006/relationships/hyperlink" Target="http://www.boxofficemojo.com/movies/?id=stronger.htm" TargetMode="External"/><Relationship Id="rId455" Type="http://schemas.openxmlformats.org/officeDocument/2006/relationships/hyperlink" Target="http://www.boxofficemojo.com/studio/chart/?studio=roadsideattractions.htm" TargetMode="External"/><Relationship Id="rId456" Type="http://schemas.openxmlformats.org/officeDocument/2006/relationships/hyperlink" Target="http://www.boxofficemojo.com/schedule/?view=bydate&amp;release=theatrical&amp;date=2017-09-22&amp;p=.htm" TargetMode="External"/><Relationship Id="rId457" Type="http://schemas.openxmlformats.org/officeDocument/2006/relationships/hyperlink" Target="http://www.boxofficemojo.com/movies/?id=thehero.htm" TargetMode="External"/><Relationship Id="rId458" Type="http://schemas.openxmlformats.org/officeDocument/2006/relationships/hyperlink" Target="http://www.boxofficemojo.com/studio/chart/?studio=orchard.htm" TargetMode="External"/><Relationship Id="rId459" Type="http://schemas.openxmlformats.org/officeDocument/2006/relationships/hyperlink" Target="http://www.boxofficemojo.com/schedule/?view=bydate&amp;release=theatrical&amp;date=2017-06-09&amp;p=.htm" TargetMode="External"/><Relationship Id="rId842" Type="http://schemas.openxmlformats.org/officeDocument/2006/relationships/hyperlink" Target="http://www.boxofficemojo.com/studio/chart/?studio=cjentertainment.htm" TargetMode="External"/><Relationship Id="rId843" Type="http://schemas.openxmlformats.org/officeDocument/2006/relationships/hyperlink" Target="http://www.boxofficemojo.com/schedule/?view=bydate&amp;release=theatrical&amp;date=2017-06-02&amp;p=.htm" TargetMode="External"/><Relationship Id="rId844" Type="http://schemas.openxmlformats.org/officeDocument/2006/relationships/hyperlink" Target="http://www.boxofficemojo.com/movies/?id=breathe2017.htm" TargetMode="External"/><Relationship Id="rId845" Type="http://schemas.openxmlformats.org/officeDocument/2006/relationships/hyperlink" Target="http://www.boxofficemojo.com/studio/chart/?studio=bleeckerstreet.htm" TargetMode="External"/><Relationship Id="rId846" Type="http://schemas.openxmlformats.org/officeDocument/2006/relationships/hyperlink" Target="http://www.boxofficemojo.com/schedule/?view=bydate&amp;release=theatrical&amp;date=2017-10-13&amp;p=.htm" TargetMode="External"/><Relationship Id="rId847" Type="http://schemas.openxmlformats.org/officeDocument/2006/relationships/hyperlink" Target="http://www.boxofficemojo.com/movies/?id=onceuponatime.htm" TargetMode="External"/><Relationship Id="rId848" Type="http://schemas.openxmlformats.org/officeDocument/2006/relationships/hyperlink" Target="http://www.boxofficemojo.com/studio/chart/?studio=wellgo.htm" TargetMode="External"/><Relationship Id="rId849" Type="http://schemas.openxmlformats.org/officeDocument/2006/relationships/hyperlink" Target="http://www.boxofficemojo.com/schedule/?view=bydate&amp;release=theatrical&amp;date=2017-08-11&amp;p=.htm" TargetMode="External"/><Relationship Id="rId1700" Type="http://schemas.openxmlformats.org/officeDocument/2006/relationships/hyperlink" Target="http://www.boxofficemojo.com/schedule/?view=bydate&amp;release=theatrical&amp;date=2017-04-14&amp;p=.htm" TargetMode="External"/><Relationship Id="rId1701" Type="http://schemas.openxmlformats.org/officeDocument/2006/relationships/hyperlink" Target="http://www.boxofficemojo.com/movies/?id=allthequeenshorses.htm" TargetMode="External"/><Relationship Id="rId1702" Type="http://schemas.openxmlformats.org/officeDocument/2006/relationships/hyperlink" Target="http://www.boxofficemojo.com/studio/chart/?studio=argotpictures.htm" TargetMode="External"/><Relationship Id="rId1703" Type="http://schemas.openxmlformats.org/officeDocument/2006/relationships/hyperlink" Target="http://www.boxofficemojo.com/schedule/?view=bydate&amp;release=theatrical&amp;date=2017-11-10&amp;p=.htm" TargetMode="External"/><Relationship Id="rId1310" Type="http://schemas.openxmlformats.org/officeDocument/2006/relationships/hyperlink" Target="http://www.boxofficemojo.com/studio/chart/?studio=orchard.htm" TargetMode="External"/><Relationship Id="rId1311" Type="http://schemas.openxmlformats.org/officeDocument/2006/relationships/hyperlink" Target="http://www.boxofficemojo.com/schedule/?view=bydate&amp;release=theatrical&amp;date=2017-03-03&amp;p=.htm" TargetMode="External"/><Relationship Id="rId1312" Type="http://schemas.openxmlformats.org/officeDocument/2006/relationships/hyperlink" Target="http://www.boxofficemojo.com/movies/?id=worldsapart.htm" TargetMode="External"/><Relationship Id="rId1313" Type="http://schemas.openxmlformats.org/officeDocument/2006/relationships/hyperlink" Target="http://www.boxofficemojo.com/studio/chart/?studio=cls.htm" TargetMode="External"/><Relationship Id="rId1314" Type="http://schemas.openxmlformats.org/officeDocument/2006/relationships/hyperlink" Target="http://www.boxofficemojo.com/schedule/?view=bydate&amp;release=theatrical&amp;date=2017-01-13&amp;p=.htm" TargetMode="External"/><Relationship Id="rId1315" Type="http://schemas.openxmlformats.org/officeDocument/2006/relationships/hyperlink" Target="http://www.boxofficemojo.com/movies/?id=manolo.htm" TargetMode="External"/><Relationship Id="rId1316" Type="http://schemas.openxmlformats.org/officeDocument/2006/relationships/hyperlink" Target="http://www.boxofficemojo.com/studio/chart/?studio=musicboxfilms.htm" TargetMode="External"/><Relationship Id="rId1317" Type="http://schemas.openxmlformats.org/officeDocument/2006/relationships/hyperlink" Target="http://www.boxofficemojo.com/schedule/?view=bydate&amp;release=theatrical&amp;date=2017-09-15&amp;p=.htm" TargetMode="External"/><Relationship Id="rId1318" Type="http://schemas.openxmlformats.org/officeDocument/2006/relationships/hyperlink" Target="http://www.boxofficemojo.com/movies/?id=theforce2017.htm" TargetMode="External"/><Relationship Id="rId1319" Type="http://schemas.openxmlformats.org/officeDocument/2006/relationships/hyperlink" Target="http://www.boxofficemojo.com/studio/chart/?studio=kinolorber.htm" TargetMode="External"/><Relationship Id="rId850" Type="http://schemas.openxmlformats.org/officeDocument/2006/relationships/hyperlink" Target="http://www.boxofficemojo.com/movies/?id=confidentialassignment.htm" TargetMode="External"/><Relationship Id="rId851" Type="http://schemas.openxmlformats.org/officeDocument/2006/relationships/hyperlink" Target="http://www.boxofficemojo.com/studio/chart/?studio=cjentertainment.htm" TargetMode="External"/><Relationship Id="rId460" Type="http://schemas.openxmlformats.org/officeDocument/2006/relationships/hyperlink" Target="http://www.boxofficemojo.com/movies/?id=untitledbhtiltii2017.htm" TargetMode="External"/><Relationship Id="rId461" Type="http://schemas.openxmlformats.org/officeDocument/2006/relationships/hyperlink" Target="http://www.boxofficemojo.com/studio/chart/?studio=bhtilt.htm" TargetMode="External"/><Relationship Id="rId462" Type="http://schemas.openxmlformats.org/officeDocument/2006/relationships/hyperlink" Target="http://www.boxofficemojo.com/schedule/?view=bydate&amp;release=theatrical&amp;date=2017-04-28&amp;p=.htm" TargetMode="External"/><Relationship Id="rId463" Type="http://schemas.openxmlformats.org/officeDocument/2006/relationships/hyperlink" Target="http://www.boxofficemojo.com/movies/?id=aunitedkingdom.htm" TargetMode="External"/><Relationship Id="rId464" Type="http://schemas.openxmlformats.org/officeDocument/2006/relationships/hyperlink" Target="http://www.boxofficemojo.com/studio/chart/?studio=foxsearchlight.htm" TargetMode="External"/><Relationship Id="rId465" Type="http://schemas.openxmlformats.org/officeDocument/2006/relationships/hyperlink" Target="http://www.boxofficemojo.com/schedule/?view=bydate&amp;release=theatrical&amp;date=2017-02-10&amp;p=.htm" TargetMode="External"/><Relationship Id="rId466" Type="http://schemas.openxmlformats.org/officeDocument/2006/relationships/hyperlink" Target="http://www.boxofficemojo.com/movies/?id=norman2017.htm" TargetMode="External"/><Relationship Id="rId467" Type="http://schemas.openxmlformats.org/officeDocument/2006/relationships/hyperlink" Target="http://www.boxofficemojo.com/studio/chart/?studio=sonyclassics.htm" TargetMode="External"/><Relationship Id="rId468" Type="http://schemas.openxmlformats.org/officeDocument/2006/relationships/hyperlink" Target="http://www.boxofficemojo.com/schedule/?view=bydate&amp;release=theatrical&amp;date=2017-04-14&amp;p=.htm" TargetMode="External"/><Relationship Id="rId469" Type="http://schemas.openxmlformats.org/officeDocument/2006/relationships/hyperlink" Target="http://www.boxofficemojo.com/movies/?id=friendrequest.htm" TargetMode="External"/><Relationship Id="rId852" Type="http://schemas.openxmlformats.org/officeDocument/2006/relationships/hyperlink" Target="http://www.boxofficemojo.com/schedule/?view=bydate&amp;release=theatrical&amp;date=2017-01-27&amp;p=.htm" TargetMode="External"/><Relationship Id="rId853" Type="http://schemas.openxmlformats.org/officeDocument/2006/relationships/hyperlink" Target="http://www.boxofficemojo.com/movies/?id=beachrats.htm" TargetMode="External"/><Relationship Id="rId854" Type="http://schemas.openxmlformats.org/officeDocument/2006/relationships/hyperlink" Target="http://www.boxofficemojo.com/studio/chart/?studio=neon.htm" TargetMode="External"/><Relationship Id="rId855" Type="http://schemas.openxmlformats.org/officeDocument/2006/relationships/hyperlink" Target="http://www.boxofficemojo.com/schedule/?view=bydate&amp;release=theatrical&amp;date=2017-08-25&amp;p=.htm" TargetMode="External"/><Relationship Id="rId856" Type="http://schemas.openxmlformats.org/officeDocument/2006/relationships/hyperlink" Target="http://www.boxofficemojo.com/movies/?id=duckweed.htm" TargetMode="External"/><Relationship Id="rId857" Type="http://schemas.openxmlformats.org/officeDocument/2006/relationships/hyperlink" Target="http://www.boxofficemojo.com/studio/chart/?studio=chinalion.htm" TargetMode="External"/><Relationship Id="rId858" Type="http://schemas.openxmlformats.org/officeDocument/2006/relationships/hyperlink" Target="http://www.boxofficemojo.com/schedule/?view=bydate&amp;release=theatrical&amp;date=2017-02-10&amp;p=.htm" TargetMode="External"/><Relationship Id="rId859" Type="http://schemas.openxmlformats.org/officeDocument/2006/relationships/hyperlink" Target="http://www.boxofficemojo.com/movies/?id=dci2017tourpremeire.htm" TargetMode="External"/><Relationship Id="rId1704" Type="http://schemas.openxmlformats.org/officeDocument/2006/relationships/hyperlink" Target="http://www.boxofficemojo.com/movies/?id=killsonwheels.htm" TargetMode="External"/><Relationship Id="rId1705" Type="http://schemas.openxmlformats.org/officeDocument/2006/relationships/hyperlink" Target="http://www.boxofficemojo.com/studio/chart/?studio=kinolorber.htm" TargetMode="External"/><Relationship Id="rId1706" Type="http://schemas.openxmlformats.org/officeDocument/2006/relationships/hyperlink" Target="http://www.boxofficemojo.com/schedule/?view=bydate&amp;release=theatrical&amp;date=2017-10-20&amp;p=.htm" TargetMode="External"/><Relationship Id="rId1707" Type="http://schemas.openxmlformats.org/officeDocument/2006/relationships/hyperlink" Target="http://www.boxofficemojo.com/movies/?id=contemporarycolor.htm" TargetMode="External"/><Relationship Id="rId1708" Type="http://schemas.openxmlformats.org/officeDocument/2006/relationships/hyperlink" Target="http://www.boxofficemojo.com/studio/chart/?studio=oscilloscopepictures.htm" TargetMode="External"/><Relationship Id="rId1709" Type="http://schemas.openxmlformats.org/officeDocument/2006/relationships/hyperlink" Target="http://www.boxofficemojo.com/schedule/?view=bydate&amp;release=theatrical&amp;date=2017-03-01&amp;p=.htm" TargetMode="External"/><Relationship Id="rId2000" Type="http://schemas.openxmlformats.org/officeDocument/2006/relationships/hyperlink" Target="http://www.boxofficemojo.com/movies/?id=iloveyouboth.htm" TargetMode="External"/><Relationship Id="rId2001" Type="http://schemas.openxmlformats.org/officeDocument/2006/relationships/hyperlink" Target="http://www.boxofficemojo.com/studio/chart/?studio=magnolia.htm" TargetMode="External"/><Relationship Id="rId2002" Type="http://schemas.openxmlformats.org/officeDocument/2006/relationships/hyperlink" Target="http://www.boxofficemojo.com/schedule/?view=bydate&amp;release=theatrical&amp;date=2017-06-09&amp;p=.htm" TargetMode="External"/><Relationship Id="rId2003" Type="http://schemas.openxmlformats.org/officeDocument/2006/relationships/hyperlink" Target="http://www.boxofficemojo.com/movies/?id=tribesofpalosverdes.htm" TargetMode="External"/><Relationship Id="rId2004" Type="http://schemas.openxmlformats.org/officeDocument/2006/relationships/hyperlink" Target="http://www.boxofficemojo.com/studio/chart/?studio=ifc.htm" TargetMode="External"/><Relationship Id="rId2005" Type="http://schemas.openxmlformats.org/officeDocument/2006/relationships/hyperlink" Target="http://www.boxofficemojo.com/schedule/?view=bydate&amp;release=theatrical&amp;date=2017-12-01&amp;p=.htm" TargetMode="External"/><Relationship Id="rId2006" Type="http://schemas.openxmlformats.org/officeDocument/2006/relationships/hyperlink" Target="http://www.boxofficemojo.com/movies/?id=shakespearewallah2017.htm" TargetMode="External"/><Relationship Id="rId2007" Type="http://schemas.openxmlformats.org/officeDocument/2006/relationships/hyperlink" Target="http://www.boxofficemojo.com/studio/chart/?studio=cohenmedia.htm" TargetMode="External"/><Relationship Id="rId2008" Type="http://schemas.openxmlformats.org/officeDocument/2006/relationships/hyperlink" Target="http://www.boxofficemojo.com/schedule/?view=bydate&amp;release=theatrical&amp;date=2017-11-10&amp;p=.htm" TargetMode="External"/><Relationship Id="rId2009" Type="http://schemas.openxmlformats.org/officeDocument/2006/relationships/hyperlink" Target="http://www.boxofficemojo.com/movies/?id=aboycalledpo.htm" TargetMode="External"/><Relationship Id="rId1710" Type="http://schemas.openxmlformats.org/officeDocument/2006/relationships/hyperlink" Target="http://www.boxofficemojo.com/movies/?id=shotmantraofrock.htm" TargetMode="External"/><Relationship Id="rId1711" Type="http://schemas.openxmlformats.org/officeDocument/2006/relationships/hyperlink" Target="http://www.boxofficemojo.com/studio/chart/?studio=magnolia.htm" TargetMode="External"/><Relationship Id="rId1712" Type="http://schemas.openxmlformats.org/officeDocument/2006/relationships/hyperlink" Target="http://www.boxofficemojo.com/schedule/?view=bydate&amp;release=theatrical&amp;date=2017-04-07&amp;p=.htm" TargetMode="External"/><Relationship Id="rId1713" Type="http://schemas.openxmlformats.org/officeDocument/2006/relationships/hyperlink" Target="http://www.boxofficemojo.com/movies/?id=rebelsonpointe.htm" TargetMode="External"/><Relationship Id="rId1320" Type="http://schemas.openxmlformats.org/officeDocument/2006/relationships/hyperlink" Target="http://www.boxofficemojo.com/schedule/?view=bydate&amp;release=theatrical&amp;date=2017-07-14&amp;p=.htm" TargetMode="External"/><Relationship Id="rId1321" Type="http://schemas.openxmlformats.org/officeDocument/2006/relationships/hyperlink" Target="http://www.boxofficemojo.com/movies/?id=bangthebertbernsstory.htm" TargetMode="External"/><Relationship Id="rId1322" Type="http://schemas.openxmlformats.org/officeDocument/2006/relationships/hyperlink" Target="http://www.boxofficemojo.com/studio/chart/?studio=abramorama.htm" TargetMode="External"/><Relationship Id="rId1323" Type="http://schemas.openxmlformats.org/officeDocument/2006/relationships/hyperlink" Target="http://www.boxofficemojo.com/schedule/?view=bydate&amp;release=theatrical&amp;date=2017-04-26&amp;p=.htm" TargetMode="External"/><Relationship Id="rId1324" Type="http://schemas.openxmlformats.org/officeDocument/2006/relationships/hyperlink" Target="http://www.boxofficemojo.com/movies/?id=ilboom2017.htm" TargetMode="External"/><Relationship Id="rId1325" Type="http://schemas.openxmlformats.org/officeDocument/2006/relationships/hyperlink" Target="http://www.boxofficemojo.com/studio/chart/?studio=rialto.htm" TargetMode="External"/><Relationship Id="rId1326" Type="http://schemas.openxmlformats.org/officeDocument/2006/relationships/hyperlink" Target="http://www.boxofficemojo.com/schedule/?view=bydate&amp;release=theatrical&amp;date=2017-06-16&amp;p=.htm" TargetMode="External"/><Relationship Id="rId1327" Type="http://schemas.openxmlformats.org/officeDocument/2006/relationships/hyperlink" Target="http://www.boxofficemojo.com/movies/?id=theparisopera.htm" TargetMode="External"/><Relationship Id="rId1328" Type="http://schemas.openxmlformats.org/officeDocument/2006/relationships/hyperlink" Target="http://www.boxofficemojo.com/studio/chart/?studio=filmmovement.htm" TargetMode="External"/><Relationship Id="rId1329" Type="http://schemas.openxmlformats.org/officeDocument/2006/relationships/hyperlink" Target="http://www.boxofficemojo.com/schedule/?view=bydate&amp;release=theatrical&amp;date=2017-10-18&amp;p=.htm" TargetMode="External"/><Relationship Id="rId860" Type="http://schemas.openxmlformats.org/officeDocument/2006/relationships/hyperlink" Target="http://www.boxofficemojo.com/studio/chart/?studio=fathom.htm" TargetMode="External"/><Relationship Id="rId861" Type="http://schemas.openxmlformats.org/officeDocument/2006/relationships/hyperlink" Target="http://www.boxofficemojo.com/schedule/?view=bydate&amp;release=theatrical&amp;date=2017-06-22&amp;p=.htm" TargetMode="External"/><Relationship Id="rId470" Type="http://schemas.openxmlformats.org/officeDocument/2006/relationships/hyperlink" Target="http://www.boxofficemojo.com/studio/chart/?studio=entertainmentstudios.htm" TargetMode="External"/><Relationship Id="rId471" Type="http://schemas.openxmlformats.org/officeDocument/2006/relationships/hyperlink" Target="http://www.boxofficemojo.com/schedule/?view=bydate&amp;release=theatrical&amp;date=2017-09-22&amp;p=.htm" TargetMode="External"/><Relationship Id="rId472" Type="http://schemas.openxmlformats.org/officeDocument/2006/relationships/hyperlink" Target="http://www.boxofficemojo.com/movies/?id=table19.htm" TargetMode="External"/><Relationship Id="rId473" Type="http://schemas.openxmlformats.org/officeDocument/2006/relationships/hyperlink" Target="http://www.boxofficemojo.com/studio/chart/?studio=foxsearchlight.htm" TargetMode="External"/><Relationship Id="rId474" Type="http://schemas.openxmlformats.org/officeDocument/2006/relationships/hyperlink" Target="http://www.boxofficemojo.com/schedule/?view=bydate&amp;release=theatrical&amp;date=2017-03-03&amp;p=.htm" TargetMode="External"/><Relationship Id="rId475" Type="http://schemas.openxmlformats.org/officeDocument/2006/relationships/hyperlink" Target="http://www.boxofficemojo.com/movies/?id=theirfinest.htm" TargetMode="External"/><Relationship Id="rId476" Type="http://schemas.openxmlformats.org/officeDocument/2006/relationships/hyperlink" Target="http://www.boxofficemojo.com/studio/chart/?studio=stx.htm" TargetMode="External"/><Relationship Id="rId477" Type="http://schemas.openxmlformats.org/officeDocument/2006/relationships/hyperlink" Target="http://www.boxofficemojo.com/schedule/?view=bydate&amp;release=theatrical&amp;date=2017-04-07&amp;p=.htm" TargetMode="External"/><Relationship Id="rId478" Type="http://schemas.openxmlformats.org/officeDocument/2006/relationships/hyperlink" Target="http://www.boxofficemojo.com/movies/?id=phoenix2017.htm" TargetMode="External"/><Relationship Id="rId479" Type="http://schemas.openxmlformats.org/officeDocument/2006/relationships/hyperlink" Target="http://www.boxofficemojo.com/studio/chart/?studio=cinelou.htm" TargetMode="External"/><Relationship Id="rId862" Type="http://schemas.openxmlformats.org/officeDocument/2006/relationships/hyperlink" Target="http://www.boxofficemojo.com/movies/?id=phillauri.htm" TargetMode="External"/><Relationship Id="rId863" Type="http://schemas.openxmlformats.org/officeDocument/2006/relationships/hyperlink" Target="http://www.boxofficemojo.com/studio/chart/?studio=fip.htm" TargetMode="External"/><Relationship Id="rId864" Type="http://schemas.openxmlformats.org/officeDocument/2006/relationships/hyperlink" Target="http://www.boxofficemojo.com/schedule/?view=bydate&amp;release=theatrical&amp;date=2017-03-24&amp;p=.htm" TargetMode="External"/><Relationship Id="rId865" Type="http://schemas.openxmlformats.org/officeDocument/2006/relationships/hyperlink" Target="http://www.boxofficemojo.com/movies/?id=chasingthedragon.htm" TargetMode="External"/><Relationship Id="rId866" Type="http://schemas.openxmlformats.org/officeDocument/2006/relationships/hyperlink" Target="http://www.boxofficemojo.com/studio/chart/?studio=wellgo.htm" TargetMode="External"/><Relationship Id="rId867" Type="http://schemas.openxmlformats.org/officeDocument/2006/relationships/hyperlink" Target="http://www.boxofficemojo.com/schedule/?view=bydate&amp;release=theatrical&amp;date=2017-09-29&amp;p=.htm" TargetMode="External"/><Relationship Id="rId868" Type="http://schemas.openxmlformats.org/officeDocument/2006/relationships/hyperlink" Target="http://www.boxofficemojo.com/movies/?id=sailormoonrthemovie.htm" TargetMode="External"/><Relationship Id="rId869" Type="http://schemas.openxmlformats.org/officeDocument/2006/relationships/hyperlink" Target="http://www.boxofficemojo.com/studio/chart/?studio=elevenarts.htm" TargetMode="External"/><Relationship Id="rId1714" Type="http://schemas.openxmlformats.org/officeDocument/2006/relationships/hyperlink" Target="http://www.boxofficemojo.com/studio/chart/?studio=icarus.htm" TargetMode="External"/><Relationship Id="rId1715" Type="http://schemas.openxmlformats.org/officeDocument/2006/relationships/hyperlink" Target="http://www.boxofficemojo.com/schedule/?view=bydate&amp;release=theatrical&amp;date=2017-11-15&amp;p=.htm" TargetMode="External"/><Relationship Id="rId1716" Type="http://schemas.openxmlformats.org/officeDocument/2006/relationships/hyperlink" Target="http://www.boxofficemojo.com/movies/?id=paradise2017.htm" TargetMode="External"/><Relationship Id="rId1717" Type="http://schemas.openxmlformats.org/officeDocument/2006/relationships/hyperlink" Target="http://www.boxofficemojo.com/studio/chart/?studio=filmmovement.htm" TargetMode="External"/><Relationship Id="rId1718" Type="http://schemas.openxmlformats.org/officeDocument/2006/relationships/hyperlink" Target="http://www.boxofficemojo.com/schedule/?view=bydate&amp;release=theatrical&amp;date=2017-10-06&amp;p=.htm" TargetMode="External"/><Relationship Id="rId1719" Type="http://schemas.openxmlformats.org/officeDocument/2006/relationships/hyperlink" Target="http://www.boxofficemojo.com/movies/?id=vincegiordano.htm" TargetMode="External"/><Relationship Id="rId2010" Type="http://schemas.openxmlformats.org/officeDocument/2006/relationships/hyperlink" Target="http://www.boxofficemojo.com/studio/chart/?studio=fs.htm" TargetMode="External"/><Relationship Id="rId2011" Type="http://schemas.openxmlformats.org/officeDocument/2006/relationships/hyperlink" Target="http://www.boxofficemojo.com/schedule/?view=bydate&amp;release=theatrical&amp;date=2017-09-01&amp;p=.htm" TargetMode="External"/><Relationship Id="rId2012" Type="http://schemas.openxmlformats.org/officeDocument/2006/relationships/hyperlink" Target="http://www.boxofficemojo.com/movies/?id=vengeancelovestory.htm" TargetMode="External"/><Relationship Id="rId2013" Type="http://schemas.openxmlformats.org/officeDocument/2006/relationships/hyperlink" Target="http://www.boxofficemojo.com/studio/chart/?studio=filmrise.htm" TargetMode="External"/><Relationship Id="rId2014" Type="http://schemas.openxmlformats.org/officeDocument/2006/relationships/hyperlink" Target="http://www.boxofficemojo.com/schedule/?view=bydate&amp;release=theatrical&amp;date=2017-09-15&amp;p=.htm" TargetMode="External"/><Relationship Id="rId2015" Type="http://schemas.openxmlformats.org/officeDocument/2006/relationships/hyperlink" Target="http://www.boxofficemojo.com/movies/?id=thepulitzerat100.htm" TargetMode="External"/><Relationship Id="rId2016" Type="http://schemas.openxmlformats.org/officeDocument/2006/relationships/hyperlink" Target="http://www.boxofficemojo.com/studio/chart/?studio=firstrun.htm" TargetMode="External"/><Relationship Id="rId2017" Type="http://schemas.openxmlformats.org/officeDocument/2006/relationships/hyperlink" Target="http://www.boxofficemojo.com/schedule/?view=bydate&amp;release=theatrical&amp;date=2017-07-21&amp;p=.htm" TargetMode="External"/><Relationship Id="rId2018" Type="http://schemas.openxmlformats.org/officeDocument/2006/relationships/hyperlink" Target="http://www.boxofficemojo.com/movies/?id=germanconcentrationcamps.htm" TargetMode="External"/><Relationship Id="rId2019" Type="http://schemas.openxmlformats.org/officeDocument/2006/relationships/hyperlink" Target="http://www.boxofficemojo.com/studio/chart/?studio=firstrun.htm" TargetMode="External"/><Relationship Id="rId1720" Type="http://schemas.openxmlformats.org/officeDocument/2006/relationships/hyperlink" Target="http://www.boxofficemojo.com/studio/chart/?studio=firstrun.htm" TargetMode="External"/><Relationship Id="rId1721" Type="http://schemas.openxmlformats.org/officeDocument/2006/relationships/hyperlink" Target="http://www.boxofficemojo.com/schedule/?view=bydate&amp;release=theatrical&amp;date=2017-01-13&amp;p=.htm" TargetMode="External"/><Relationship Id="rId1722" Type="http://schemas.openxmlformats.org/officeDocument/2006/relationships/hyperlink" Target="http://www.boxofficemojo.com/movies/?id=thefarthest.htm" TargetMode="External"/><Relationship Id="rId1723" Type="http://schemas.openxmlformats.org/officeDocument/2006/relationships/hyperlink" Target="http://www.boxofficemojo.com/studio/chart/?studio=abramorama.htm" TargetMode="External"/><Relationship Id="rId1330" Type="http://schemas.openxmlformats.org/officeDocument/2006/relationships/hyperlink" Target="http://www.boxofficemojo.com/movies/?id=extraordinarymission.htm" TargetMode="External"/><Relationship Id="rId1331" Type="http://schemas.openxmlformats.org/officeDocument/2006/relationships/hyperlink" Target="http://www.boxofficemojo.com/studio/chart/?studio=crimsonforest.htm" TargetMode="External"/><Relationship Id="rId1332" Type="http://schemas.openxmlformats.org/officeDocument/2006/relationships/hyperlink" Target="http://www.boxofficemojo.com/schedule/?view=bydate&amp;release=theatrical&amp;date=2017-04-07&amp;p=.htm" TargetMode="External"/><Relationship Id="rId1333" Type="http://schemas.openxmlformats.org/officeDocument/2006/relationships/hyperlink" Target="http://www.boxofficemojo.com/movies/?id=godofwar.htm" TargetMode="External"/><Relationship Id="rId1334" Type="http://schemas.openxmlformats.org/officeDocument/2006/relationships/hyperlink" Target="http://www.boxofficemojo.com/studio/chart/?studio=wellgo.htm" TargetMode="External"/><Relationship Id="rId1335" Type="http://schemas.openxmlformats.org/officeDocument/2006/relationships/hyperlink" Target="http://www.boxofficemojo.com/schedule/?view=bydate&amp;release=theatrical&amp;date=2017-06-02&amp;p=.htm" TargetMode="External"/><Relationship Id="rId1336" Type="http://schemas.openxmlformats.org/officeDocument/2006/relationships/hyperlink" Target="http://www.boxofficemojo.com/movies/?id=myjourneythroughfrenchcinema.htm" TargetMode="External"/><Relationship Id="rId1337" Type="http://schemas.openxmlformats.org/officeDocument/2006/relationships/hyperlink" Target="http://www.boxofficemojo.com/studio/chart/?studio=cohenmedia.htm" TargetMode="External"/><Relationship Id="rId1338" Type="http://schemas.openxmlformats.org/officeDocument/2006/relationships/hyperlink" Target="http://www.boxofficemojo.com/schedule/?view=bydate&amp;release=theatrical&amp;date=2017-06-23&amp;p=.htm" TargetMode="External"/><Relationship Id="rId1339" Type="http://schemas.openxmlformats.org/officeDocument/2006/relationships/hyperlink" Target="http://www.boxofficemojo.com/movies/?id=beautifulaccident.htm" TargetMode="External"/><Relationship Id="rId870" Type="http://schemas.openxmlformats.org/officeDocument/2006/relationships/hyperlink" Target="http://www.boxofficemojo.com/schedule/?view=bydate&amp;release=theatrical&amp;date=2017-01-19&amp;p=.htm" TargetMode="External"/><Relationship Id="rId871" Type="http://schemas.openxmlformats.org/officeDocument/2006/relationships/hyperlink" Target="http://www.boxofficemojo.com/movies/?id=songtosong.htm" TargetMode="External"/><Relationship Id="rId480" Type="http://schemas.openxmlformats.org/officeDocument/2006/relationships/hyperlink" Target="http://www.boxofficemojo.com/schedule/?view=bydate&amp;release=theatrical&amp;date=2017-04-21&amp;p=.htm" TargetMode="External"/><Relationship Id="rId481" Type="http://schemas.openxmlformats.org/officeDocument/2006/relationships/hyperlink" Target="http://www.boxofficemojo.com/movies/?id=aninconvenientsequel.htm" TargetMode="External"/><Relationship Id="rId482" Type="http://schemas.openxmlformats.org/officeDocument/2006/relationships/hyperlink" Target="http://www.boxofficemojo.com/studio/chart/?studio=paramount.htm" TargetMode="External"/><Relationship Id="rId483" Type="http://schemas.openxmlformats.org/officeDocument/2006/relationships/hyperlink" Target="http://www.boxofficemojo.com/schedule/?view=bydate&amp;release=theatrical&amp;date=2017-07-28&amp;p=.htm" TargetMode="External"/><Relationship Id="rId484" Type="http://schemas.openxmlformats.org/officeDocument/2006/relationships/hyperlink" Target="http://www.boxofficemojo.com/movies/?id=tildeathdouspart.htm" TargetMode="External"/><Relationship Id="rId485" Type="http://schemas.openxmlformats.org/officeDocument/2006/relationships/hyperlink" Target="http://www.boxofficemojo.com/studio/chart/?studio=novus.htm" TargetMode="External"/><Relationship Id="rId486" Type="http://schemas.openxmlformats.org/officeDocument/2006/relationships/hyperlink" Target="http://www.boxofficemojo.com/schedule/?view=bydate&amp;release=theatrical&amp;date=2017-09-29&amp;p=.htm" TargetMode="External"/><Relationship Id="rId487" Type="http://schemas.openxmlformats.org/officeDocument/2006/relationships/hyperlink" Target="http://www.boxofficemojo.com/movies/?id=raees.htm" TargetMode="External"/><Relationship Id="rId488" Type="http://schemas.openxmlformats.org/officeDocument/2006/relationships/hyperlink" Target="http://www.boxofficemojo.com/studio/chart/?studio=zeetv.htm" TargetMode="External"/><Relationship Id="rId489" Type="http://schemas.openxmlformats.org/officeDocument/2006/relationships/hyperlink" Target="http://www.boxofficemojo.com/schedule/?view=bydate&amp;release=theatrical&amp;date=2017-01-25&amp;p=.htm" TargetMode="External"/><Relationship Id="rId872" Type="http://schemas.openxmlformats.org/officeDocument/2006/relationships/hyperlink" Target="http://www.boxofficemojo.com/studio/chart/?studio=broadgreen.htm" TargetMode="External"/><Relationship Id="rId873" Type="http://schemas.openxmlformats.org/officeDocument/2006/relationships/hyperlink" Target="http://www.boxofficemojo.com/schedule/?view=bydate&amp;release=theatrical&amp;date=2017-03-17&amp;p=.htm" TargetMode="External"/><Relationship Id="rId874" Type="http://schemas.openxmlformats.org/officeDocument/2006/relationships/hyperlink" Target="http://www.boxofficemojo.com/movies/?id=onepiecefilmgold.htm" TargetMode="External"/><Relationship Id="rId875" Type="http://schemas.openxmlformats.org/officeDocument/2006/relationships/hyperlink" Target="http://www.boxofficemojo.com/studio/chart/?studio=funimation.htm" TargetMode="External"/><Relationship Id="rId876" Type="http://schemas.openxmlformats.org/officeDocument/2006/relationships/hyperlink" Target="http://www.boxofficemojo.com/schedule/?view=bydate&amp;release=theatrical&amp;date=2017-01-10&amp;p=.htm" TargetMode="External"/><Relationship Id="rId877" Type="http://schemas.openxmlformats.org/officeDocument/2006/relationships/hyperlink" Target="http://www.boxofficemojo.com/movies/?id=agentleman.htm" TargetMode="External"/><Relationship Id="rId878" Type="http://schemas.openxmlformats.org/officeDocument/2006/relationships/hyperlink" Target="http://www.boxofficemojo.com/studio/chart/?studio=fip.htm" TargetMode="External"/><Relationship Id="rId879" Type="http://schemas.openxmlformats.org/officeDocument/2006/relationships/hyperlink" Target="http://www.boxofficemojo.com/schedule/?view=bydate&amp;release=theatrical&amp;date=2017-08-25&amp;p=.htm" TargetMode="External"/><Relationship Id="rId1724" Type="http://schemas.openxmlformats.org/officeDocument/2006/relationships/hyperlink" Target="http://www.boxofficemojo.com/schedule/?view=bydate&amp;release=theatrical&amp;date=2017-08-11&amp;p=.htm" TargetMode="External"/><Relationship Id="rId1725" Type="http://schemas.openxmlformats.org/officeDocument/2006/relationships/hyperlink" Target="http://www.boxofficemojo.com/movies/?id=antarcticaicesky.htm" TargetMode="External"/><Relationship Id="rId1726" Type="http://schemas.openxmlformats.org/officeDocument/2006/relationships/hyperlink" Target="http://www.boxofficemojo.com/studio/chart/?studio=musicboxfilms.htm" TargetMode="External"/><Relationship Id="rId1727" Type="http://schemas.openxmlformats.org/officeDocument/2006/relationships/hyperlink" Target="http://www.boxofficemojo.com/schedule/?view=bydate&amp;release=theatrical&amp;date=2017-01-20&amp;p=.htm" TargetMode="External"/><Relationship Id="rId1728" Type="http://schemas.openxmlformats.org/officeDocument/2006/relationships/hyperlink" Target="http://www.boxofficemojo.com/movies/?id=brotherhoodofblades2.htm" TargetMode="External"/><Relationship Id="rId1729" Type="http://schemas.openxmlformats.org/officeDocument/2006/relationships/hyperlink" Target="http://www.boxofficemojo.com/studio/chart/?studio=wellgo.htm" TargetMode="External"/><Relationship Id="rId2020" Type="http://schemas.openxmlformats.org/officeDocument/2006/relationships/hyperlink" Target="http://www.boxofficemojo.com/schedule/?view=bydate&amp;release=theatrical&amp;date=2017-01-06&amp;p=.htm" TargetMode="External"/><Relationship Id="rId2021" Type="http://schemas.openxmlformats.org/officeDocument/2006/relationships/hyperlink" Target="http://www.boxofficemojo.com/movies/?id=generationiron2.htm" TargetMode="External"/><Relationship Id="rId2022" Type="http://schemas.openxmlformats.org/officeDocument/2006/relationships/hyperlink" Target="http://www.boxofficemojo.com/studio/chart/?studio=vladar.htm" TargetMode="External"/><Relationship Id="rId2023" Type="http://schemas.openxmlformats.org/officeDocument/2006/relationships/hyperlink" Target="http://www.boxofficemojo.com/schedule/?view=bydate&amp;release=theatrical&amp;date=2017-05-12&amp;p=.htm" TargetMode="External"/><Relationship Id="rId2024" Type="http://schemas.openxmlformats.org/officeDocument/2006/relationships/hyperlink" Target="http://www.boxofficemojo.com/movies/?id=30love.htm" TargetMode="External"/><Relationship Id="rId2025" Type="http://schemas.openxmlformats.org/officeDocument/2006/relationships/hyperlink" Target="http://www.boxofficemojo.com/studio/chart/?studio=unknown.htm" TargetMode="External"/><Relationship Id="rId2026" Type="http://schemas.openxmlformats.org/officeDocument/2006/relationships/hyperlink" Target="http://www.boxofficemojo.com/schedule/?view=bydate&amp;release=theatrical&amp;date=2017-09-29&amp;p=.htm" TargetMode="External"/><Relationship Id="rId2027" Type="http://schemas.openxmlformats.org/officeDocument/2006/relationships/hyperlink" Target="http://www.boxofficemojo.com/movies/?id=myfatherdie.htm" TargetMode="External"/><Relationship Id="rId2028" Type="http://schemas.openxmlformats.org/officeDocument/2006/relationships/hyperlink" Target="http://www.boxofficemojo.com/studio/chart/?studio=filmrise.htm" TargetMode="External"/><Relationship Id="rId2029" Type="http://schemas.openxmlformats.org/officeDocument/2006/relationships/hyperlink" Target="http://www.boxofficemojo.com/schedule/?view=bydate&amp;release=theatrical&amp;date=2017-01-20&amp;p=.htm" TargetMode="External"/><Relationship Id="rId1730" Type="http://schemas.openxmlformats.org/officeDocument/2006/relationships/hyperlink" Target="http://www.boxofficemojo.com/schedule/?view=bydate&amp;release=theatrical&amp;date=2017-12-01&amp;p=.htm" TargetMode="External"/><Relationship Id="rId1731" Type="http://schemas.openxmlformats.org/officeDocument/2006/relationships/hyperlink" Target="http://www.boxofficemojo.com/movies/?id=abracadabra.htm" TargetMode="External"/><Relationship Id="rId1732" Type="http://schemas.openxmlformats.org/officeDocument/2006/relationships/hyperlink" Target="http://www.boxofficemojo.com/studio/chart/?studio=sony.htm" TargetMode="External"/><Relationship Id="rId1733" Type="http://schemas.openxmlformats.org/officeDocument/2006/relationships/hyperlink" Target="http://www.boxofficemojo.com/schedule/?view=bydate&amp;release=theatrical&amp;date=2017-09-15&amp;p=.htm" TargetMode="External"/><Relationship Id="rId1340" Type="http://schemas.openxmlformats.org/officeDocument/2006/relationships/hyperlink" Target="http://www.boxofficemojo.com/studio/chart/?studio=chinalion.htm" TargetMode="External"/><Relationship Id="rId1341" Type="http://schemas.openxmlformats.org/officeDocument/2006/relationships/hyperlink" Target="http://www.boxofficemojo.com/schedule/?view=bydate&amp;release=theatrical&amp;date=2017-06-02&amp;p=.htm" TargetMode="External"/><Relationship Id="rId1342" Type="http://schemas.openxmlformats.org/officeDocument/2006/relationships/hyperlink" Target="http://www.boxofficemojo.com/movies/?id=ticklinggiants.htm" TargetMode="External"/><Relationship Id="rId1343" Type="http://schemas.openxmlformats.org/officeDocument/2006/relationships/hyperlink" Target="http://www.boxofficemojo.com/studio/chart/?studio=sarkaskmos.htm" TargetMode="External"/><Relationship Id="rId1344" Type="http://schemas.openxmlformats.org/officeDocument/2006/relationships/hyperlink" Target="http://www.boxofficemojo.com/schedule/?view=bydate&amp;release=theatrical&amp;date=2017-03-17&amp;p=.htm" TargetMode="External"/><Relationship Id="rId1345" Type="http://schemas.openxmlformats.org/officeDocument/2006/relationships/hyperlink" Target="http://www.boxofficemojo.com/movies/?id=theornithologist.htm" TargetMode="External"/><Relationship Id="rId1346" Type="http://schemas.openxmlformats.org/officeDocument/2006/relationships/hyperlink" Target="http://www.boxofficemojo.com/studio/chart/?studio=strand.htm" TargetMode="External"/><Relationship Id="rId1347" Type="http://schemas.openxmlformats.org/officeDocument/2006/relationships/hyperlink" Target="http://www.boxofficemojo.com/schedule/?view=bydate&amp;release=theatrical&amp;date=2017-06-23&amp;p=.htm" TargetMode="External"/><Relationship Id="rId1348" Type="http://schemas.openxmlformats.org/officeDocument/2006/relationships/hyperlink" Target="http://www.boxofficemojo.com/movies/?id=keepquiet.htm" TargetMode="External"/><Relationship Id="rId1349" Type="http://schemas.openxmlformats.org/officeDocument/2006/relationships/hyperlink" Target="http://www.boxofficemojo.com/studio/chart/?studio=kinolorber.htm" TargetMode="External"/><Relationship Id="rId880" Type="http://schemas.openxmlformats.org/officeDocument/2006/relationships/hyperlink" Target="http://www.boxofficemojo.com/movies/?id=love,kennedy.htm" TargetMode="External"/><Relationship Id="rId881" Type="http://schemas.openxmlformats.org/officeDocument/2006/relationships/hyperlink" Target="http://www.boxofficemojo.com/studio/chart/?studio=purdie.htm" TargetMode="External"/><Relationship Id="rId490" Type="http://schemas.openxmlformats.org/officeDocument/2006/relationships/hyperlink" Target="http://www.boxofficemojo.com/movies/?id=closeencounters2017.htm" TargetMode="External"/><Relationship Id="rId491" Type="http://schemas.openxmlformats.org/officeDocument/2006/relationships/hyperlink" Target="http://www.boxofficemojo.com/studio/chart/?studio=sony.htm" TargetMode="External"/><Relationship Id="rId492" Type="http://schemas.openxmlformats.org/officeDocument/2006/relationships/hyperlink" Target="http://www.boxofficemojo.com/schedule/?view=bydate&amp;release=theatrical&amp;date=2017-09-01&amp;p=.htm" TargetMode="External"/><Relationship Id="rId493" Type="http://schemas.openxmlformats.org/officeDocument/2006/relationships/hyperlink" Target="http://www.boxofficemojo.com/movies/?id=colossal.htm" TargetMode="External"/><Relationship Id="rId494" Type="http://schemas.openxmlformats.org/officeDocument/2006/relationships/hyperlink" Target="http://www.boxofficemojo.com/studio/chart/?studio=neon.htm" TargetMode="External"/><Relationship Id="rId495" Type="http://schemas.openxmlformats.org/officeDocument/2006/relationships/hyperlink" Target="http://www.boxofficemojo.com/schedule/?view=bydate&amp;release=theatrical&amp;date=2017-04-07&amp;p=.htm" TargetMode="External"/><Relationship Id="rId496" Type="http://schemas.openxmlformats.org/officeDocument/2006/relationships/hyperlink" Target="http://www.boxofficemojo.com/movies/?id=ingridgoeswest.htm" TargetMode="External"/><Relationship Id="rId497" Type="http://schemas.openxmlformats.org/officeDocument/2006/relationships/hyperlink" Target="http://www.boxofficemojo.com/studio/chart/?studio=neon.htm" TargetMode="External"/><Relationship Id="rId498" Type="http://schemas.openxmlformats.org/officeDocument/2006/relationships/hyperlink" Target="http://www.boxofficemojo.com/schedule/?view=bydate&amp;release=theatrical&amp;date=2017-08-11&amp;p=.htm" TargetMode="External"/><Relationship Id="rId499" Type="http://schemas.openxmlformats.org/officeDocument/2006/relationships/hyperlink" Target="http://www.boxofficemojo.com/movies/?id=ballerina2017.htm" TargetMode="External"/><Relationship Id="rId882" Type="http://schemas.openxmlformats.org/officeDocument/2006/relationships/hyperlink" Target="http://www.boxofficemojo.com/schedule/?view=bydate&amp;release=theatrical&amp;date=2017-06-02&amp;p=.htm" TargetMode="External"/><Relationship Id="rId883" Type="http://schemas.openxmlformats.org/officeDocument/2006/relationships/hyperlink" Target="http://www.boxofficemojo.com/movies/?id=chasingtrane.htm" TargetMode="External"/><Relationship Id="rId884" Type="http://schemas.openxmlformats.org/officeDocument/2006/relationships/hyperlink" Target="http://www.boxofficemojo.com/studio/chart/?studio=abramorama.htm" TargetMode="External"/><Relationship Id="rId885" Type="http://schemas.openxmlformats.org/officeDocument/2006/relationships/hyperlink" Target="http://www.boxofficemojo.com/schedule/?view=bydate&amp;release=theatrical&amp;date=2017-04-14&amp;p=.htm" TargetMode="External"/><Relationship Id="rId886" Type="http://schemas.openxmlformats.org/officeDocument/2006/relationships/hyperlink" Target="http://www.boxofficemojo.com/movies/?id=rifftraxsamuraicop.htm" TargetMode="External"/><Relationship Id="rId887" Type="http://schemas.openxmlformats.org/officeDocument/2006/relationships/hyperlink" Target="http://www.boxofficemojo.com/studio/chart/?studio=fathom.htm" TargetMode="External"/><Relationship Id="rId888" Type="http://schemas.openxmlformats.org/officeDocument/2006/relationships/hyperlink" Target="http://www.boxofficemojo.com/schedule/?view=bydate&amp;release=theatrical&amp;date=2017-04-13&amp;p=.htm" TargetMode="External"/><Relationship Id="rId889" Type="http://schemas.openxmlformats.org/officeDocument/2006/relationships/hyperlink" Target="http://www.boxofficemojo.com/movies/?id=i'llpushyou.htm" TargetMode="External"/><Relationship Id="rId1734" Type="http://schemas.openxmlformats.org/officeDocument/2006/relationships/hyperlink" Target="http://www.boxofficemojo.com/movies/?id=porto.htm" TargetMode="External"/><Relationship Id="rId1735" Type="http://schemas.openxmlformats.org/officeDocument/2006/relationships/hyperlink" Target="http://www.boxofficemojo.com/studio/chart/?studio=kinolorber.htm" TargetMode="External"/><Relationship Id="rId1736" Type="http://schemas.openxmlformats.org/officeDocument/2006/relationships/hyperlink" Target="http://www.boxofficemojo.com/schedule/?view=bydate&amp;release=theatrical&amp;date=2017-11-17&amp;p=.htm" TargetMode="External"/><Relationship Id="rId1737" Type="http://schemas.openxmlformats.org/officeDocument/2006/relationships/hyperlink" Target="http://www.boxofficemojo.com/movies/?id=timetoday.htm" TargetMode="External"/><Relationship Id="rId1738" Type="http://schemas.openxmlformats.org/officeDocument/2006/relationships/hyperlink" Target="http://www.boxofficemojo.com/studio/chart/?studio=filmmovement.htm" TargetMode="External"/><Relationship Id="rId1739" Type="http://schemas.openxmlformats.org/officeDocument/2006/relationships/hyperlink" Target="http://www.boxofficemojo.com/schedule/?view=bydate&amp;release=theatrical&amp;date=2017-09-15&amp;p=.htm" TargetMode="External"/><Relationship Id="rId2030" Type="http://schemas.openxmlformats.org/officeDocument/2006/relationships/hyperlink" Target="http://www.boxofficemojo.com/movies/?id=singularity17.htm" TargetMode="External"/><Relationship Id="rId2031" Type="http://schemas.openxmlformats.org/officeDocument/2006/relationships/hyperlink" Target="http://www.boxofficemojo.com/studio/chart/?studio=vertical.htm" TargetMode="External"/><Relationship Id="rId2032" Type="http://schemas.openxmlformats.org/officeDocument/2006/relationships/hyperlink" Target="http://www.boxofficemojo.com/schedule/?view=bydate&amp;release=theatrical&amp;date=2017-11-03&amp;p=.htm" TargetMode="External"/><Relationship Id="rId2033" Type="http://schemas.openxmlformats.org/officeDocument/2006/relationships/hyperlink" Target="http://www.boxofficemojo.com/movies/?id=badsville.htm" TargetMode="External"/><Relationship Id="rId2034" Type="http://schemas.openxmlformats.org/officeDocument/2006/relationships/hyperlink" Target="http://www.boxofficemojo.com/studio/chart/?studio=epicpics.htm" TargetMode="External"/><Relationship Id="rId2035" Type="http://schemas.openxmlformats.org/officeDocument/2006/relationships/hyperlink" Target="http://www.boxofficemojo.com/schedule/?view=bydate&amp;release=theatrical&amp;date=2017-12-01&amp;p=.htm" TargetMode="External"/><Relationship Id="rId2036" Type="http://schemas.openxmlformats.org/officeDocument/2006/relationships/hyperlink" Target="http://www.boxofficemojo.com/movies/?id=dreamboat.htm" TargetMode="External"/><Relationship Id="rId2037" Type="http://schemas.openxmlformats.org/officeDocument/2006/relationships/hyperlink" Target="http://www.boxofficemojo.com/studio/chart/?studio=strand.htm" TargetMode="External"/><Relationship Id="rId2038" Type="http://schemas.openxmlformats.org/officeDocument/2006/relationships/hyperlink" Target="http://www.boxofficemojo.com/schedule/?view=bydate&amp;release=theatrical&amp;date=2017-11-03&amp;p=.htm" TargetMode="External"/><Relationship Id="rId2039" Type="http://schemas.openxmlformats.org/officeDocument/2006/relationships/hyperlink" Target="http://www.boxofficemojo.com/movies/?id=thewomanwholeft.htm" TargetMode="External"/><Relationship Id="rId1740" Type="http://schemas.openxmlformats.org/officeDocument/2006/relationships/hyperlink" Target="http://www.boxofficemojo.com/movies/?id=afterlove.htm" TargetMode="External"/><Relationship Id="rId1741" Type="http://schemas.openxmlformats.org/officeDocument/2006/relationships/hyperlink" Target="http://www.boxofficemojo.com/studio/chart/?studio=distribfilms.htm" TargetMode="External"/><Relationship Id="rId1742" Type="http://schemas.openxmlformats.org/officeDocument/2006/relationships/hyperlink" Target="http://www.boxofficemojo.com/schedule/?view=bydate&amp;release=theatrical&amp;date=2017-08-09&amp;p=.htm" TargetMode="External"/><Relationship Id="rId1743" Type="http://schemas.openxmlformats.org/officeDocument/2006/relationships/hyperlink" Target="http://www.boxofficemojo.com/movies/?id=redtrees.htm" TargetMode="External"/><Relationship Id="rId1350" Type="http://schemas.openxmlformats.org/officeDocument/2006/relationships/hyperlink" Target="http://www.boxofficemojo.com/schedule/?view=bydate&amp;release=theatrical&amp;date=2017-02-17&amp;p=.htm" TargetMode="External"/><Relationship Id="rId1351" Type="http://schemas.openxmlformats.org/officeDocument/2006/relationships/hyperlink" Target="http://www.boxofficemojo.com/movies/?id=persontoperson.htm" TargetMode="External"/><Relationship Id="rId1352" Type="http://schemas.openxmlformats.org/officeDocument/2006/relationships/hyperlink" Target="http://www.boxofficemojo.com/studio/chart/?studio=magnolia.htm" TargetMode="External"/><Relationship Id="rId1353" Type="http://schemas.openxmlformats.org/officeDocument/2006/relationships/hyperlink" Target="http://www.boxofficemojo.com/schedule/?view=bydate&amp;release=theatrical&amp;date=2017-07-28&amp;p=.htm" TargetMode="External"/><Relationship Id="rId1354" Type="http://schemas.openxmlformats.org/officeDocument/2006/relationships/hyperlink" Target="http://www.boxofficemojo.com/movies/?id=nappingprincess.htm" TargetMode="External"/><Relationship Id="rId1355" Type="http://schemas.openxmlformats.org/officeDocument/2006/relationships/hyperlink" Target="http://www.boxofficemojo.com/studio/chart/?studio=gkids.htm" TargetMode="External"/><Relationship Id="rId1356" Type="http://schemas.openxmlformats.org/officeDocument/2006/relationships/hyperlink" Target="http://www.boxofficemojo.com/schedule/?view=bydate&amp;release=theatrical&amp;date=2017-09-08&amp;p=.htm" TargetMode="External"/><Relationship Id="rId1357" Type="http://schemas.openxmlformats.org/officeDocument/2006/relationships/hyperlink" Target="http://www.boxofficemojo.com/movies/?id=savingbanksy.htm" TargetMode="External"/><Relationship Id="rId1358" Type="http://schemas.openxmlformats.org/officeDocument/2006/relationships/hyperlink" Target="http://www.boxofficemojo.com/studio/chart/?studio=paradedeck.htm" TargetMode="External"/><Relationship Id="rId1359" Type="http://schemas.openxmlformats.org/officeDocument/2006/relationships/hyperlink" Target="http://www.boxofficemojo.com/schedule/?view=bydate&amp;release=theatrical&amp;date=2017-01-13&amp;p=.htm" TargetMode="External"/><Relationship Id="rId890" Type="http://schemas.openxmlformats.org/officeDocument/2006/relationships/hyperlink" Target="http://www.boxofficemojo.com/studio/chart/?studio=fathom.htm" TargetMode="External"/><Relationship Id="rId891" Type="http://schemas.openxmlformats.org/officeDocument/2006/relationships/hyperlink" Target="http://www.boxofficemojo.com/schedule/?view=bydate&amp;release=theatrical&amp;date=2017-11-02&amp;p=.htm" TargetMode="External"/><Relationship Id="rId892" Type="http://schemas.openxmlformats.org/officeDocument/2006/relationships/hyperlink" Target="http://www.boxofficemojo.com/movies/?id=rebelintherye.htm" TargetMode="External"/><Relationship Id="rId893" Type="http://schemas.openxmlformats.org/officeDocument/2006/relationships/hyperlink" Target="http://www.boxofficemojo.com/studio/chart/?studio=ifc.htm" TargetMode="External"/><Relationship Id="rId894" Type="http://schemas.openxmlformats.org/officeDocument/2006/relationships/hyperlink" Target="http://www.boxofficemojo.com/schedule/?view=bydate&amp;release=theatrical&amp;date=2017-09-08&amp;p=.htm" TargetMode="External"/><Relationship Id="rId895" Type="http://schemas.openxmlformats.org/officeDocument/2006/relationships/hyperlink" Target="http://www.boxofficemojo.com/movies/?id=bostonrunning.htm" TargetMode="External"/><Relationship Id="rId896" Type="http://schemas.openxmlformats.org/officeDocument/2006/relationships/hyperlink" Target="http://www.boxofficemojo.com/studio/chart/?studio=fathom.htm" TargetMode="External"/><Relationship Id="rId897" Type="http://schemas.openxmlformats.org/officeDocument/2006/relationships/hyperlink" Target="http://www.boxofficemojo.com/schedule/?view=bydate&amp;release=theatrical&amp;date=2017-04-19&amp;p=.htm" TargetMode="External"/><Relationship Id="rId898" Type="http://schemas.openxmlformats.org/officeDocument/2006/relationships/hyperlink" Target="http://www.boxofficemojo.com/movies/?id=kungfuyoga.htm" TargetMode="External"/><Relationship Id="rId899" Type="http://schemas.openxmlformats.org/officeDocument/2006/relationships/hyperlink" Target="http://www.boxofficemojo.com/studio/chart/?studio=wellgo.htm" TargetMode="External"/><Relationship Id="rId1744" Type="http://schemas.openxmlformats.org/officeDocument/2006/relationships/hyperlink" Target="http://www.boxofficemojo.com/studio/chart/?studio=cohenmedia.htm" TargetMode="External"/><Relationship Id="rId1745" Type="http://schemas.openxmlformats.org/officeDocument/2006/relationships/hyperlink" Target="http://www.boxofficemojo.com/schedule/?view=bydate&amp;release=theatrical&amp;date=2017-09-15&amp;p=.htm" TargetMode="External"/><Relationship Id="rId1746" Type="http://schemas.openxmlformats.org/officeDocument/2006/relationships/hyperlink" Target="http://www.boxofficemojo.com/movies/?id=legendofthenagapearls.htm" TargetMode="External"/><Relationship Id="rId1747" Type="http://schemas.openxmlformats.org/officeDocument/2006/relationships/hyperlink" Target="http://www.boxofficemojo.com/studio/chart/?studio=wellgo.htm" TargetMode="External"/><Relationship Id="rId1748" Type="http://schemas.openxmlformats.org/officeDocument/2006/relationships/hyperlink" Target="http://www.boxofficemojo.com/schedule/?view=bydate&amp;release=theatrical&amp;date=2017-08-25&amp;p=.htm" TargetMode="External"/><Relationship Id="rId1749" Type="http://schemas.openxmlformats.org/officeDocument/2006/relationships/hyperlink" Target="http://www.boxofficemojo.com/movies/?id=charged.htm" TargetMode="External"/><Relationship Id="rId2040" Type="http://schemas.openxmlformats.org/officeDocument/2006/relationships/hyperlink" Target="http://www.boxofficemojo.com/studio/chart/?studio=kinolorber.htm" TargetMode="External"/><Relationship Id="rId2041" Type="http://schemas.openxmlformats.org/officeDocument/2006/relationships/hyperlink" Target="http://www.boxofficemojo.com/schedule/?view=bydate&amp;release=theatrical&amp;date=2017-05-19&amp;p=.htm" TargetMode="External"/><Relationship Id="rId2042" Type="http://schemas.openxmlformats.org/officeDocument/2006/relationships/hyperlink" Target="http://www.boxofficemojo.com/movies/?id=secondnature.htm" TargetMode="External"/><Relationship Id="rId2043" Type="http://schemas.openxmlformats.org/officeDocument/2006/relationships/hyperlink" Target="http://www.boxofficemojo.com/studio/chart/?studio=smarthouse.htm" TargetMode="External"/><Relationship Id="rId2044" Type="http://schemas.openxmlformats.org/officeDocument/2006/relationships/hyperlink" Target="http://www.boxofficemojo.com/schedule/?view=bydate&amp;release=theatrical&amp;date=2017-09-08&amp;p=.htm" TargetMode="External"/><Relationship Id="rId2045" Type="http://schemas.openxmlformats.org/officeDocument/2006/relationships/hyperlink" Target="http://www.boxofficemojo.com/movies/?id=bugs2017.htm" TargetMode="External"/><Relationship Id="rId2046" Type="http://schemas.openxmlformats.org/officeDocument/2006/relationships/hyperlink" Target="http://www.boxofficemojo.com/studio/chart/?studio=kinolorber.htm" TargetMode="External"/><Relationship Id="rId2047" Type="http://schemas.openxmlformats.org/officeDocument/2006/relationships/hyperlink" Target="http://www.boxofficemojo.com/schedule/?view=bydate&amp;release=theatrical&amp;date=2017-06-05&amp;p=.htm" TargetMode="External"/><Relationship Id="rId2048" Type="http://schemas.openxmlformats.org/officeDocument/2006/relationships/hyperlink" Target="http://www.boxofficemojo.com/movies/?id=soulonastring.htm" TargetMode="External"/><Relationship Id="rId2049" Type="http://schemas.openxmlformats.org/officeDocument/2006/relationships/hyperlink" Target="http://www.boxofficemojo.com/studio/chart/?studio=filmmovement.htm" TargetMode="External"/><Relationship Id="rId100" Type="http://schemas.openxmlformats.org/officeDocument/2006/relationships/hyperlink" Target="http://www.boxofficemojo.com/movies/?id=johnwick2.htm" TargetMode="External"/><Relationship Id="rId101" Type="http://schemas.openxmlformats.org/officeDocument/2006/relationships/hyperlink" Target="http://www.boxofficemojo.com/studio/chart/?studio=lionsgatesummit.htm" TargetMode="External"/><Relationship Id="rId102" Type="http://schemas.openxmlformats.org/officeDocument/2006/relationships/hyperlink" Target="http://www.boxofficemojo.com/schedule/?view=bydate&amp;release=theatrical&amp;date=2017-02-10&amp;p=.htm" TargetMode="External"/><Relationship Id="rId103" Type="http://schemas.openxmlformats.org/officeDocument/2006/relationships/hyperlink" Target="http://www.boxofficemojo.com/movies/?id=bladerunnersequel.htm" TargetMode="External"/><Relationship Id="rId104" Type="http://schemas.openxmlformats.org/officeDocument/2006/relationships/hyperlink" Target="http://www.boxofficemojo.com/studio/chart/?studio=warnerbros.htm" TargetMode="External"/><Relationship Id="rId105" Type="http://schemas.openxmlformats.org/officeDocument/2006/relationships/hyperlink" Target="http://www.boxofficemojo.com/schedule/?view=bydate&amp;release=theatrical&amp;date=2017-10-06&amp;p=.htm" TargetMode="External"/><Relationship Id="rId106" Type="http://schemas.openxmlformats.org/officeDocument/2006/relationships/hyperlink" Target="http://www.boxofficemojo.com/movies/?id=theemojimovie.htm" TargetMode="External"/><Relationship Id="rId107" Type="http://schemas.openxmlformats.org/officeDocument/2006/relationships/hyperlink" Target="http://www.boxofficemojo.com/studio/chart/?studio=sony.htm" TargetMode="External"/><Relationship Id="rId108" Type="http://schemas.openxmlformats.org/officeDocument/2006/relationships/hyperlink" Target="http://www.boxofficemojo.com/schedule/?view=bydate&amp;release=theatrical&amp;date=2017-07-28&amp;p=.htm" TargetMode="External"/><Relationship Id="rId109" Type="http://schemas.openxmlformats.org/officeDocument/2006/relationships/hyperlink" Target="http://www.boxofficemojo.com/movies/?id=powerrangers16.htm" TargetMode="External"/><Relationship Id="rId1750" Type="http://schemas.openxmlformats.org/officeDocument/2006/relationships/hyperlink" Target="http://www.boxofficemojo.com/studio/chart/?studio=gathrfilms.htm" TargetMode="External"/><Relationship Id="rId1751" Type="http://schemas.openxmlformats.org/officeDocument/2006/relationships/hyperlink" Target="http://www.boxofficemojo.com/schedule/?view=bydate&amp;release=theatrical&amp;date=2017-10-04&amp;p=.htm" TargetMode="External"/><Relationship Id="rId1752" Type="http://schemas.openxmlformats.org/officeDocument/2006/relationships/hyperlink" Target="http://www.boxofficemojo.com/studio/chart/?studio=abramorama.htm" TargetMode="External"/><Relationship Id="rId1753" Type="http://schemas.openxmlformats.org/officeDocument/2006/relationships/hyperlink" Target="http://www.boxofficemojo.com/schedule/?view=bydate&amp;release=theatrical&amp;date=2017-11-10&amp;p=.htm" TargetMode="External"/><Relationship Id="rId1360" Type="http://schemas.openxmlformats.org/officeDocument/2006/relationships/hyperlink" Target="http://www.boxofficemojo.com/movies/?id=quest2017.htm" TargetMode="External"/><Relationship Id="rId1361" Type="http://schemas.openxmlformats.org/officeDocument/2006/relationships/hyperlink" Target="http://www.boxofficemojo.com/studio/chart/?studio=firstrun.htm" TargetMode="External"/><Relationship Id="rId1362" Type="http://schemas.openxmlformats.org/officeDocument/2006/relationships/hyperlink" Target="http://www.boxofficemojo.com/schedule/?view=bydate&amp;release=theatrical&amp;date=2017-12-01&amp;p=.htm" TargetMode="External"/><Relationship Id="rId1363" Type="http://schemas.openxmlformats.org/officeDocument/2006/relationships/hyperlink" Target="http://www.boxofficemojo.com/movies/?id=fromthelandofthemoon.htm" TargetMode="External"/><Relationship Id="rId1364" Type="http://schemas.openxmlformats.org/officeDocument/2006/relationships/hyperlink" Target="http://www.boxofficemojo.com/studio/chart/?studio=ifc.htm" TargetMode="External"/><Relationship Id="rId1365" Type="http://schemas.openxmlformats.org/officeDocument/2006/relationships/hyperlink" Target="http://www.boxofficemojo.com/schedule/?view=bydate&amp;release=theatrical&amp;date=2017-07-28&amp;p=.htm" TargetMode="External"/><Relationship Id="rId1366" Type="http://schemas.openxmlformats.org/officeDocument/2006/relationships/hyperlink" Target="http://www.boxofficemojo.com/movies/?id=sob.it.htm" TargetMode="External"/><Relationship Id="rId1367" Type="http://schemas.openxmlformats.org/officeDocument/2006/relationships/hyperlink" Target="http://www.boxofficemojo.com/studio/chart/?studio=gooddeed.htm" TargetMode="External"/><Relationship Id="rId1368" Type="http://schemas.openxmlformats.org/officeDocument/2006/relationships/hyperlink" Target="http://www.boxofficemojo.com/schedule/?view=bydate&amp;release=theatrical&amp;date=2017-10-06&amp;p=.htm" TargetMode="External"/><Relationship Id="rId1369" Type="http://schemas.openxmlformats.org/officeDocument/2006/relationships/hyperlink" Target="http://www.boxofficemojo.com/movies/?id=twentytwo.htm" TargetMode="External"/><Relationship Id="rId1754" Type="http://schemas.openxmlformats.org/officeDocument/2006/relationships/hyperlink" Target="http://www.boxofficemojo.com/movies/?id=taipeistory2017.htm" TargetMode="External"/><Relationship Id="rId1755" Type="http://schemas.openxmlformats.org/officeDocument/2006/relationships/hyperlink" Target="http://www.boxofficemojo.com/studio/chart/?studio=janusfilms.htm" TargetMode="External"/><Relationship Id="rId1756" Type="http://schemas.openxmlformats.org/officeDocument/2006/relationships/hyperlink" Target="http://www.boxofficemojo.com/schedule/?view=bydate&amp;release=theatrical&amp;date=2017-03-17&amp;p=.htm" TargetMode="External"/><Relationship Id="rId1757" Type="http://schemas.openxmlformats.org/officeDocument/2006/relationships/hyperlink" Target="http://www.boxofficemojo.com/movies/?id=songofgranite.htm" TargetMode="External"/><Relationship Id="rId1758" Type="http://schemas.openxmlformats.org/officeDocument/2006/relationships/hyperlink" Target="http://www.boxofficemojo.com/studio/chart/?studio=oscilloscopepictures.htm" TargetMode="External"/><Relationship Id="rId1759" Type="http://schemas.openxmlformats.org/officeDocument/2006/relationships/hyperlink" Target="http://www.boxofficemojo.com/schedule/?view=bydate&amp;release=theatrical&amp;date=2017-11-15&amp;p=.htm" TargetMode="External"/><Relationship Id="rId2050" Type="http://schemas.openxmlformats.org/officeDocument/2006/relationships/hyperlink" Target="http://www.boxofficemojo.com/schedule/?view=bydate&amp;release=theatrical&amp;date=2017-05-19&amp;p=.htm" TargetMode="External"/><Relationship Id="rId2051" Type="http://schemas.openxmlformats.org/officeDocument/2006/relationships/hyperlink" Target="http://www.boxofficemojo.com/movies/?id=emily2017.htm" TargetMode="External"/><Relationship Id="rId2052" Type="http://schemas.openxmlformats.org/officeDocument/2006/relationships/hyperlink" Target="http://www.boxofficemojo.com/studio/chart/?studio=hibernation.htm" TargetMode="External"/><Relationship Id="rId2053" Type="http://schemas.openxmlformats.org/officeDocument/2006/relationships/hyperlink" Target="http://www.boxofficemojo.com/schedule/?view=bydate&amp;release=theatrical&amp;date=2017-01-27&amp;p=.htm" TargetMode="External"/><Relationship Id="rId2054" Type="http://schemas.openxmlformats.org/officeDocument/2006/relationships/hyperlink" Target="http://www.boxofficemojo.com/movies/?id=labellenoiseuse2017.htm" TargetMode="External"/><Relationship Id="rId2055" Type="http://schemas.openxmlformats.org/officeDocument/2006/relationships/hyperlink" Target="http://www.boxofficemojo.com/studio/chart/?studio=cohenmedia.htm" TargetMode="External"/><Relationship Id="rId2056" Type="http://schemas.openxmlformats.org/officeDocument/2006/relationships/hyperlink" Target="http://www.boxofficemojo.com/schedule/?view=bydate&amp;release=theatrical&amp;date=2017-11-24&amp;p=.htm" TargetMode="External"/><Relationship Id="rId2057" Type="http://schemas.openxmlformats.org/officeDocument/2006/relationships/hyperlink" Target="http://www.boxofficemojo.com/movies/?id=whoscrazy.htm" TargetMode="External"/><Relationship Id="rId2058" Type="http://schemas.openxmlformats.org/officeDocument/2006/relationships/hyperlink" Target="http://www.boxofficemojo.com/studio/chart/?studio=kinolorber.htm" TargetMode="External"/><Relationship Id="rId2059" Type="http://schemas.openxmlformats.org/officeDocument/2006/relationships/hyperlink" Target="http://www.boxofficemojo.com/schedule/?view=bydate&amp;release=theatrical&amp;date=2017-03-10&amp;p=.htm" TargetMode="External"/></Relationships>
</file>

<file path=xl/worksheets/_rels/sheet9.xml.rels><?xml version="1.0" encoding="UTF-8" standalone="yes"?>
<Relationships xmlns="http://schemas.openxmlformats.org/package/2006/relationships"><Relationship Id="rId20" Type="http://schemas.openxmlformats.org/officeDocument/2006/relationships/hyperlink" Target="https://en.wikipedia.org/wiki/Trespass_Against_Us" TargetMode="External"/><Relationship Id="rId21" Type="http://schemas.openxmlformats.org/officeDocument/2006/relationships/hyperlink" Target="https://en.wikipedia.org/wiki/A24_(company)" TargetMode="External"/><Relationship Id="rId22" Type="http://schemas.openxmlformats.org/officeDocument/2006/relationships/hyperlink" Target="https://en.wikipedia.org/wiki/Detour_(2016_film)" TargetMode="External"/><Relationship Id="rId23" Type="http://schemas.openxmlformats.org/officeDocument/2006/relationships/hyperlink" Target="https://en.wikipedia.org/wiki/Magnolia_Pictures" TargetMode="External"/><Relationship Id="rId24" Type="http://schemas.openxmlformats.org/officeDocument/2006/relationships/hyperlink" Target="https://en.wikipedia.org/wiki/South_Africa" TargetMode="External"/><Relationship Id="rId25" Type="http://schemas.openxmlformats.org/officeDocument/2006/relationships/hyperlink" Target="https://en.wikipedia.org/wiki/The_Red_Turtle" TargetMode="External"/><Relationship Id="rId26" Type="http://schemas.openxmlformats.org/officeDocument/2006/relationships/hyperlink" Target="https://en.wikipedia.org/wiki/Sony_Pictures_Classics" TargetMode="External"/><Relationship Id="rId27" Type="http://schemas.openxmlformats.org/officeDocument/2006/relationships/hyperlink" Target="https://en.wikipedia.org/wiki/Micha%C3%ABl_Dudok_de_Wit" TargetMode="External"/><Relationship Id="rId28" Type="http://schemas.openxmlformats.org/officeDocument/2006/relationships/hyperlink" Target="https://en.wikipedia.org/wiki/The_Big_Sick" TargetMode="External"/><Relationship Id="rId29" Type="http://schemas.openxmlformats.org/officeDocument/2006/relationships/hyperlink" Target="https://en.wikipedia.org/wiki/Lionsgate" TargetMode="External"/><Relationship Id="rId170" Type="http://schemas.openxmlformats.org/officeDocument/2006/relationships/hyperlink" Target="https://en.wikipedia.org/wiki/Baahubali_2:_The_Conclusion" TargetMode="External"/><Relationship Id="rId171" Type="http://schemas.openxmlformats.org/officeDocument/2006/relationships/hyperlink" Target="https://en.wikipedia.org/wiki/Arka_Media_Works" TargetMode="External"/><Relationship Id="rId172" Type="http://schemas.openxmlformats.org/officeDocument/2006/relationships/hyperlink" Target="https://en.wikipedia.org/wiki/Sleight" TargetMode="External"/><Relationship Id="rId173" Type="http://schemas.openxmlformats.org/officeDocument/2006/relationships/hyperlink" Target="https://en.wikipedia.org/wiki/Alien:_Covenant" TargetMode="External"/><Relationship Id="rId174" Type="http://schemas.openxmlformats.org/officeDocument/2006/relationships/hyperlink" Target="https://en.wikipedia.org/wiki/Dangal_(film)" TargetMode="External"/><Relationship Id="rId175" Type="http://schemas.openxmlformats.org/officeDocument/2006/relationships/hyperlink" Target="https://en.wikipedia.org/wiki/The_Lovers_(2017_film)" TargetMode="External"/><Relationship Id="rId176" Type="http://schemas.openxmlformats.org/officeDocument/2006/relationships/hyperlink" Target="https://en.wikipedia.org/wiki/A24_(company)" TargetMode="External"/><Relationship Id="rId177" Type="http://schemas.openxmlformats.org/officeDocument/2006/relationships/hyperlink" Target="https://en.wikipedia.org/wiki/3_Generations_(film)" TargetMode="External"/><Relationship Id="rId178" Type="http://schemas.openxmlformats.org/officeDocument/2006/relationships/hyperlink" Target="https://en.wikipedia.org/wiki/The_Weinstein_Company" TargetMode="External"/><Relationship Id="rId179" Type="http://schemas.openxmlformats.org/officeDocument/2006/relationships/hyperlink" Target="https://en.wikipedia.org/wiki/The_Dinner_(2017_film)" TargetMode="External"/><Relationship Id="rId230" Type="http://schemas.openxmlformats.org/officeDocument/2006/relationships/hyperlink" Target="https://en.wikipedia.org/wiki/Focus_Features" TargetMode="External"/><Relationship Id="rId231" Type="http://schemas.openxmlformats.org/officeDocument/2006/relationships/hyperlink" Target="https://en.wikipedia.org/wiki/The_Bad_Batch" TargetMode="External"/><Relationship Id="rId232" Type="http://schemas.openxmlformats.org/officeDocument/2006/relationships/hyperlink" Target="https://en.wikipedia.org/w/index.php?title=Neon_(distributor)&amp;action=edit&amp;redlink=1" TargetMode="External"/><Relationship Id="rId233" Type="http://schemas.openxmlformats.org/officeDocument/2006/relationships/hyperlink" Target="https://en.wikipedia.org/wiki/Okja" TargetMode="External"/><Relationship Id="rId234" Type="http://schemas.openxmlformats.org/officeDocument/2006/relationships/hyperlink" Target="https://en.wikipedia.org/wiki/Spider-Man:_Homecoming" TargetMode="External"/><Relationship Id="rId235" Type="http://schemas.openxmlformats.org/officeDocument/2006/relationships/hyperlink" Target="https://en.wikipedia.org/wiki/The_House_(2017_film)" TargetMode="External"/><Relationship Id="rId236" Type="http://schemas.openxmlformats.org/officeDocument/2006/relationships/hyperlink" Target="https://en.wikipedia.org/wiki/The_Little_Hours" TargetMode="External"/><Relationship Id="rId237" Type="http://schemas.openxmlformats.org/officeDocument/2006/relationships/hyperlink" Target="https://en.wikipedia.org/wiki/Gunpowder_%26_Sky" TargetMode="External"/><Relationship Id="rId238" Type="http://schemas.openxmlformats.org/officeDocument/2006/relationships/hyperlink" Target="https://en.wikipedia.org/wiki/Inconceivable_(2017_film)" TargetMode="External"/><Relationship Id="rId239" Type="http://schemas.openxmlformats.org/officeDocument/2006/relationships/hyperlink" Target="https://en.wikipedia.org/wiki/Lionsgate_Premiere" TargetMode="External"/><Relationship Id="rId30" Type="http://schemas.openxmlformats.org/officeDocument/2006/relationships/hyperlink" Target="https://en.wikipedia.org/wiki/Get_Out" TargetMode="External"/><Relationship Id="rId31" Type="http://schemas.openxmlformats.org/officeDocument/2006/relationships/hyperlink" Target="https://en.wikipedia.org/wiki/Universal_Pictures" TargetMode="External"/><Relationship Id="rId32" Type="http://schemas.openxmlformats.org/officeDocument/2006/relationships/hyperlink" Target="https://en.wikipedia.org/wiki/Sophie_and_the_Rising_Sun_(film)" TargetMode="External"/><Relationship Id="rId33" Type="http://schemas.openxmlformats.org/officeDocument/2006/relationships/hyperlink" Target="https://en.wikipedia.org/wiki/A_Dog%27s_Purpose_(film)" TargetMode="External"/><Relationship Id="rId34" Type="http://schemas.openxmlformats.org/officeDocument/2006/relationships/hyperlink" Target="https://en.wikipedia.org/wiki/Resident_Evil:_The_Final_Chapter" TargetMode="External"/><Relationship Id="rId35" Type="http://schemas.openxmlformats.org/officeDocument/2006/relationships/hyperlink" Target="https://en.wikipedia.org/wiki/Lost_in_Florence" TargetMode="External"/><Relationship Id="rId36" Type="http://schemas.openxmlformats.org/officeDocument/2006/relationships/hyperlink" Target="https://en.wikipedia.org/wiki/Orion_Pictures" TargetMode="External"/><Relationship Id="rId37" Type="http://schemas.openxmlformats.org/officeDocument/2006/relationships/hyperlink" Target="https://en.wikipedia.org/wiki/Italy" TargetMode="External"/><Relationship Id="rId38" Type="http://schemas.openxmlformats.org/officeDocument/2006/relationships/hyperlink" Target="https://en.wikipedia.org/wiki/I_Am_Michael" TargetMode="External"/><Relationship Id="rId39" Type="http://schemas.openxmlformats.org/officeDocument/2006/relationships/hyperlink" Target="https://en.wikipedia.org/wiki/Brainstorm_Media" TargetMode="External"/><Relationship Id="rId180" Type="http://schemas.openxmlformats.org/officeDocument/2006/relationships/hyperlink" Target="https://en.wikipedia.org/wiki/The_Orchard_(company)" TargetMode="External"/><Relationship Id="rId181" Type="http://schemas.openxmlformats.org/officeDocument/2006/relationships/hyperlink" Target="https://en.wikipedia.org/wiki/Pirates_of_the_Caribbean:_Dead_Men_Tell_No_Tales" TargetMode="External"/><Relationship Id="rId182" Type="http://schemas.openxmlformats.org/officeDocument/2006/relationships/hyperlink" Target="https://en.wikipedia.org/wiki/King_Arthur:_Legend_of_the_Sword" TargetMode="External"/><Relationship Id="rId183" Type="http://schemas.openxmlformats.org/officeDocument/2006/relationships/hyperlink" Target="https://en.wikipedia.org/wiki/Australia" TargetMode="External"/><Relationship Id="rId184" Type="http://schemas.openxmlformats.org/officeDocument/2006/relationships/hyperlink" Target="https://en.wikipedia.org/wiki/Snatched_(2017_film)" TargetMode="External"/><Relationship Id="rId185" Type="http://schemas.openxmlformats.org/officeDocument/2006/relationships/hyperlink" Target="https://en.wikipedia.org/wiki/Lowriders_(film)" TargetMode="External"/><Relationship Id="rId186" Type="http://schemas.openxmlformats.org/officeDocument/2006/relationships/hyperlink" Target="https://en.wikipedia.org/wiki/The_Wall_(2017_film)" TargetMode="External"/><Relationship Id="rId187" Type="http://schemas.openxmlformats.org/officeDocument/2006/relationships/hyperlink" Target="https://en.wikipedia.org/wiki/Roadside_Attractions" TargetMode="External"/><Relationship Id="rId188" Type="http://schemas.openxmlformats.org/officeDocument/2006/relationships/hyperlink" Target="https://en.wikipedia.org/wiki/Paris_Can_Wait" TargetMode="External"/><Relationship Id="rId189" Type="http://schemas.openxmlformats.org/officeDocument/2006/relationships/hyperlink" Target="https://en.wikipedia.org/wiki/Sony_Pictures_Classics" TargetMode="External"/><Relationship Id="rId240" Type="http://schemas.openxmlformats.org/officeDocument/2006/relationships/hyperlink" Target="https://en.wikipedia.org/wiki/2:22_(2017_film)" TargetMode="External"/><Relationship Id="rId241" Type="http://schemas.openxmlformats.org/officeDocument/2006/relationships/hyperlink" Target="https://en.wikipedia.org/wiki/Magnolia_Pictures" TargetMode="External"/><Relationship Id="rId242" Type="http://schemas.openxmlformats.org/officeDocument/2006/relationships/hyperlink" Target="https://en.wikipedia.org/wiki/A_Ghost_Story" TargetMode="External"/><Relationship Id="rId243" Type="http://schemas.openxmlformats.org/officeDocument/2006/relationships/hyperlink" Target="https://en.wikipedia.org/wiki/A24_(company)" TargetMode="External"/><Relationship Id="rId244" Type="http://schemas.openxmlformats.org/officeDocument/2006/relationships/hyperlink" Target="https://en.wikipedia.org/wiki/War_for_the_Planet_of_the_Apes" TargetMode="External"/><Relationship Id="rId245" Type="http://schemas.openxmlformats.org/officeDocument/2006/relationships/hyperlink" Target="https://en.wikipedia.org/wiki/Dunkirk_(2017_film)" TargetMode="External"/><Relationship Id="rId246" Type="http://schemas.openxmlformats.org/officeDocument/2006/relationships/hyperlink" Target="https://en.wikipedia.org/wiki/Wish_Upon" TargetMode="External"/><Relationship Id="rId247" Type="http://schemas.openxmlformats.org/officeDocument/2006/relationships/hyperlink" Target="https://en.wikipedia.org/wiki/Lady_Macbeth_(film)" TargetMode="External"/><Relationship Id="rId248" Type="http://schemas.openxmlformats.org/officeDocument/2006/relationships/hyperlink" Target="https://en.wikipedia.org/wiki/Roadside_Attractions" TargetMode="External"/><Relationship Id="rId249" Type="http://schemas.openxmlformats.org/officeDocument/2006/relationships/hyperlink" Target="https://en.wikipedia.org/wiki/Valerian_and_the_City_of_a_Thousand_Planets" TargetMode="External"/><Relationship Id="rId300" Type="http://schemas.openxmlformats.org/officeDocument/2006/relationships/hyperlink" Target="https://en.wikipedia.org/wiki/Lionsgate_Premiere" TargetMode="External"/><Relationship Id="rId301" Type="http://schemas.openxmlformats.org/officeDocument/2006/relationships/hyperlink" Target="https://en.wikipedia.org/wiki/Film_Stars_Don%27t_Die_in_Liverpool" TargetMode="External"/><Relationship Id="rId302" Type="http://schemas.openxmlformats.org/officeDocument/2006/relationships/hyperlink" Target="https://en.wikipedia.org/wiki/Darkest_Hour_(film)" TargetMode="External"/><Relationship Id="rId303" Type="http://schemas.openxmlformats.org/officeDocument/2006/relationships/hyperlink" Target="https://en.wikipedia.org/wiki/Lady_Bird_(film)" TargetMode="External"/><Relationship Id="rId304" Type="http://schemas.openxmlformats.org/officeDocument/2006/relationships/hyperlink" Target="https://en.wikipedia.org/wiki/A24_(company)" TargetMode="External"/><Relationship Id="rId305" Type="http://schemas.openxmlformats.org/officeDocument/2006/relationships/hyperlink" Target="https://en.wikipedia.org/wiki/Battle_of_the_Sexes_(film)" TargetMode="External"/><Relationship Id="rId306" Type="http://schemas.openxmlformats.org/officeDocument/2006/relationships/hyperlink" Target="https://en.wikipedia.org/wiki/Three_Billboards_Outside_Ebbing,_Missouri" TargetMode="External"/><Relationship Id="rId307" Type="http://schemas.openxmlformats.org/officeDocument/2006/relationships/hyperlink" Target="https://en.wikipedia.org/wiki/Fox_Searchlight_Pictures" TargetMode="External"/><Relationship Id="rId308" Type="http://schemas.openxmlformats.org/officeDocument/2006/relationships/hyperlink" Target="https://en.wikipedia.org/wiki/It_(2017_film)" TargetMode="External"/><Relationship Id="rId309" Type="http://schemas.openxmlformats.org/officeDocument/2006/relationships/hyperlink" Target="https://en.wikipedia.org/wiki/Los_Buscadores" TargetMode="External"/><Relationship Id="rId40" Type="http://schemas.openxmlformats.org/officeDocument/2006/relationships/hyperlink" Target="https://en.wikipedia.org/wiki/IBoy" TargetMode="External"/><Relationship Id="rId41" Type="http://schemas.openxmlformats.org/officeDocument/2006/relationships/hyperlink" Target="https://en.wikipedia.org/wiki/Netflix" TargetMode="External"/><Relationship Id="rId42" Type="http://schemas.openxmlformats.org/officeDocument/2006/relationships/hyperlink" Target="https://en.wikipedia.org/wiki/The_Lego_Batman_Movie" TargetMode="External"/><Relationship Id="rId43" Type="http://schemas.openxmlformats.org/officeDocument/2006/relationships/hyperlink" Target="https://en.wikipedia.org/wiki/Denmark" TargetMode="External"/><Relationship Id="rId44" Type="http://schemas.openxmlformats.org/officeDocument/2006/relationships/hyperlink" Target="https://en.wikipedia.org/wiki/Rings_(2017_film)" TargetMode="External"/><Relationship Id="rId45" Type="http://schemas.openxmlformats.org/officeDocument/2006/relationships/hyperlink" Target="https://en.wikipedia.org/wiki/Paramount_Pictures" TargetMode="External"/><Relationship Id="rId46" Type="http://schemas.openxmlformats.org/officeDocument/2006/relationships/hyperlink" Target="https://en.wikipedia.org/wiki/The_Space_Between_Us_(film)" TargetMode="External"/><Relationship Id="rId47" Type="http://schemas.openxmlformats.org/officeDocument/2006/relationships/hyperlink" Target="https://en.wikipedia.org/wiki/Youth_in_Oregon" TargetMode="External"/><Relationship Id="rId48" Type="http://schemas.openxmlformats.org/officeDocument/2006/relationships/hyperlink" Target="https://en.wikipedia.org/wiki/War_on_Everyone" TargetMode="External"/><Relationship Id="rId49" Type="http://schemas.openxmlformats.org/officeDocument/2006/relationships/hyperlink" Target="https://en.wikipedia.org/wiki/Saban_Capital_Group" TargetMode="External"/><Relationship Id="rId1" Type="http://schemas.openxmlformats.org/officeDocument/2006/relationships/hyperlink" Target="https://en.wikipedia.org/wiki/Underworld:_Blood_Wars" TargetMode="External"/><Relationship Id="rId2" Type="http://schemas.openxmlformats.org/officeDocument/2006/relationships/hyperlink" Target="https://en.wikipedia.org/wiki/Arsenal_(2017_film)" TargetMode="External"/><Relationship Id="rId3" Type="http://schemas.openxmlformats.org/officeDocument/2006/relationships/hyperlink" Target="https://en.wikipedia.org/wiki/Between_Us_(2016_film)" TargetMode="External"/><Relationship Id="rId4" Type="http://schemas.openxmlformats.org/officeDocument/2006/relationships/hyperlink" Target="https://en.wikipedia.org/wiki/IFC_Films" TargetMode="External"/><Relationship Id="rId5" Type="http://schemas.openxmlformats.org/officeDocument/2006/relationships/hyperlink" Target="https://en.wikipedia.org/wiki/Railroad_Tigers" TargetMode="External"/><Relationship Id="rId6" Type="http://schemas.openxmlformats.org/officeDocument/2006/relationships/hyperlink" Target="https://en.wikipedia.org/wiki/China" TargetMode="External"/><Relationship Id="rId7" Type="http://schemas.openxmlformats.org/officeDocument/2006/relationships/hyperlink" Target="https://en.wikipedia.org/wiki/Monster_Trucks_(film)" TargetMode="External"/><Relationship Id="rId8" Type="http://schemas.openxmlformats.org/officeDocument/2006/relationships/hyperlink" Target="https://en.wikipedia.org/wiki/The_Bye_Bye_Man" TargetMode="External"/><Relationship Id="rId9" Type="http://schemas.openxmlformats.org/officeDocument/2006/relationships/hyperlink" Target="https://en.wikipedia.org/wiki/Sleepless_(2017_film)" TargetMode="External"/><Relationship Id="rId190" Type="http://schemas.openxmlformats.org/officeDocument/2006/relationships/hyperlink" Target="https://en.wikipedia.org/wiki/The_Wedding_Plan" TargetMode="External"/><Relationship Id="rId191" Type="http://schemas.openxmlformats.org/officeDocument/2006/relationships/hyperlink" Target="https://en.wikipedia.org/wiki/Roadside_Attractions" TargetMode="External"/><Relationship Id="rId192" Type="http://schemas.openxmlformats.org/officeDocument/2006/relationships/hyperlink" Target="https://en.wikipedia.org/wiki/Rama_Burshtein" TargetMode="External"/><Relationship Id="rId193" Type="http://schemas.openxmlformats.org/officeDocument/2006/relationships/hyperlink" Target="https://en.wikipedia.org/wiki/Baywatch_(film)" TargetMode="External"/><Relationship Id="rId194" Type="http://schemas.openxmlformats.org/officeDocument/2006/relationships/hyperlink" Target="https://en.wikipedia.org/wiki/Wonder_Woman_(2017_film)" TargetMode="External"/><Relationship Id="rId195" Type="http://schemas.openxmlformats.org/officeDocument/2006/relationships/hyperlink" Target="https://en.wikipedia.org/wiki/Wonderstruck_(film)" TargetMode="External"/><Relationship Id="rId196" Type="http://schemas.openxmlformats.org/officeDocument/2006/relationships/hyperlink" Target="https://en.wikipedia.org/wiki/Diary_of_a_Wimpy_Kid:_The_Long_Haul_(film)" TargetMode="External"/><Relationship Id="rId197" Type="http://schemas.openxmlformats.org/officeDocument/2006/relationships/hyperlink" Target="https://en.wikipedia.org/wiki/20th_Century_Fox" TargetMode="External"/><Relationship Id="rId198" Type="http://schemas.openxmlformats.org/officeDocument/2006/relationships/hyperlink" Target="https://en.wikipedia.org/wiki/Everything,_Everything_(film)" TargetMode="External"/><Relationship Id="rId199" Type="http://schemas.openxmlformats.org/officeDocument/2006/relationships/hyperlink" Target="https://en.wikipedia.org/wiki/Wakefield_(film)" TargetMode="External"/><Relationship Id="rId250" Type="http://schemas.openxmlformats.org/officeDocument/2006/relationships/hyperlink" Target="https://en.wikipedia.org/wiki/Girls_Trip" TargetMode="External"/><Relationship Id="rId251" Type="http://schemas.openxmlformats.org/officeDocument/2006/relationships/hyperlink" Target="https://en.wikipedia.org/wiki/First_Kill_(2017_film)" TargetMode="External"/><Relationship Id="rId252" Type="http://schemas.openxmlformats.org/officeDocument/2006/relationships/hyperlink" Target="https://en.wikipedia.org/wiki/Lionsgate_Premiere" TargetMode="External"/><Relationship Id="rId253" Type="http://schemas.openxmlformats.org/officeDocument/2006/relationships/hyperlink" Target="https://en.wikipedia.org/wiki/Atomic_Blonde" TargetMode="External"/><Relationship Id="rId254" Type="http://schemas.openxmlformats.org/officeDocument/2006/relationships/hyperlink" Target="https://en.wikipedia.org/wiki/Focus_Features" TargetMode="External"/><Relationship Id="rId255" Type="http://schemas.openxmlformats.org/officeDocument/2006/relationships/hyperlink" Target="https://en.wikipedia.org/wiki/The_Emoji_Movie" TargetMode="External"/><Relationship Id="rId256" Type="http://schemas.openxmlformats.org/officeDocument/2006/relationships/hyperlink" Target="https://en.wikipedia.org/wiki/An_Inconvenient_Sequel:_Truth_to_Power" TargetMode="External"/><Relationship Id="rId257" Type="http://schemas.openxmlformats.org/officeDocument/2006/relationships/hyperlink" Target="https://en.wikipedia.org/wiki/Al_Gore" TargetMode="External"/><Relationship Id="rId258" Type="http://schemas.openxmlformats.org/officeDocument/2006/relationships/hyperlink" Target="https://en.wikipedia.org/wiki/Detroit_(film)" TargetMode="External"/><Relationship Id="rId259" Type="http://schemas.openxmlformats.org/officeDocument/2006/relationships/hyperlink" Target="https://en.wikipedia.org/wiki/Annapurna_Pictures" TargetMode="External"/><Relationship Id="rId310" Type="http://schemas.openxmlformats.org/officeDocument/2006/relationships/hyperlink" Target="https://en.wikipedia.org/wiki/Paraguay" TargetMode="External"/><Relationship Id="rId311" Type="http://schemas.openxmlformats.org/officeDocument/2006/relationships/hyperlink" Target="https://en.wikipedia.org/wiki/9/11_(2017_film)" TargetMode="External"/><Relationship Id="rId312" Type="http://schemas.openxmlformats.org/officeDocument/2006/relationships/hyperlink" Target="https://en.wikipedia.org/wiki/Napping_Princess" TargetMode="External"/><Relationship Id="rId313" Type="http://schemas.openxmlformats.org/officeDocument/2006/relationships/hyperlink" Target="https://en.wikipedia.org/wiki/GKIDS" TargetMode="External"/><Relationship Id="rId314" Type="http://schemas.openxmlformats.org/officeDocument/2006/relationships/hyperlink" Target="https://en.wikipedia.org/wiki/Kenji_Kamiyama" TargetMode="External"/><Relationship Id="rId315" Type="http://schemas.openxmlformats.org/officeDocument/2006/relationships/hyperlink" Target="https://en.wikipedia.org/wiki/The_Good_Catholic" TargetMode="External"/><Relationship Id="rId316" Type="http://schemas.openxmlformats.org/officeDocument/2006/relationships/hyperlink" Target="https://en.wikipedia.org/wiki/Broad_Green_Pictures" TargetMode="External"/><Relationship Id="rId317" Type="http://schemas.openxmlformats.org/officeDocument/2006/relationships/hyperlink" Target="https://en.wikipedia.org/wiki/Gun_Shy_(2017_film)" TargetMode="External"/><Relationship Id="rId318" Type="http://schemas.openxmlformats.org/officeDocument/2006/relationships/hyperlink" Target="https://en.wikipedia.org/wiki/Saban_Capital_Group" TargetMode="External"/><Relationship Id="rId319" Type="http://schemas.openxmlformats.org/officeDocument/2006/relationships/hyperlink" Target="https://en.wikipedia.org/wiki/I,_Tonya" TargetMode="External"/><Relationship Id="rId50" Type="http://schemas.openxmlformats.org/officeDocument/2006/relationships/hyperlink" Target="https://en.wikipedia.org/wiki/Ireland" TargetMode="External"/><Relationship Id="rId51" Type="http://schemas.openxmlformats.org/officeDocument/2006/relationships/hyperlink" Target="https://en.wikipedia.org/wiki/I_Am_Not_Your_Negro" TargetMode="External"/><Relationship Id="rId52" Type="http://schemas.openxmlformats.org/officeDocument/2006/relationships/hyperlink" Target="https://en.wikipedia.org/wiki/Don%27t_Knock_Twice_(film)" TargetMode="External"/><Relationship Id="rId53" Type="http://schemas.openxmlformats.org/officeDocument/2006/relationships/hyperlink" Target="https://en.wikipedia.org/wiki/IFC_Films" TargetMode="External"/><Relationship Id="rId54" Type="http://schemas.openxmlformats.org/officeDocument/2006/relationships/hyperlink" Target="https://en.wikipedia.org/wiki/Growing_Up_Smith" TargetMode="External"/><Relationship Id="rId55" Type="http://schemas.openxmlformats.org/officeDocument/2006/relationships/hyperlink" Target="https://en.wikipedia.org/wiki/Fifty_Shades_Darker_(film)" TargetMode="External"/><Relationship Id="rId56" Type="http://schemas.openxmlformats.org/officeDocument/2006/relationships/hyperlink" Target="https://en.wikipedia.org/wiki/Universal_Pictures" TargetMode="External"/><Relationship Id="rId57" Type="http://schemas.openxmlformats.org/officeDocument/2006/relationships/hyperlink" Target="https://en.wikipedia.org/wiki/John_Wick:_Chapter_2" TargetMode="External"/><Relationship Id="rId58" Type="http://schemas.openxmlformats.org/officeDocument/2006/relationships/hyperlink" Target="https://en.wikipedia.org/wiki/Summit_Entertainment" TargetMode="External"/><Relationship Id="rId59" Type="http://schemas.openxmlformats.org/officeDocument/2006/relationships/hyperlink" Target="https://en.wikipedia.org/wiki/A_United_Kingdom" TargetMode="External"/><Relationship Id="rId260" Type="http://schemas.openxmlformats.org/officeDocument/2006/relationships/hyperlink" Target="https://en.wikipedia.org/wiki/Brigsby_Bear" TargetMode="External"/><Relationship Id="rId261" Type="http://schemas.openxmlformats.org/officeDocument/2006/relationships/hyperlink" Target="https://en.wikipedia.org/wiki/Sony_Pictures_Classics" TargetMode="External"/><Relationship Id="rId262" Type="http://schemas.openxmlformats.org/officeDocument/2006/relationships/hyperlink" Target="https://en.wikipedia.org/wiki/Menashe_(film)" TargetMode="External"/><Relationship Id="rId263" Type="http://schemas.openxmlformats.org/officeDocument/2006/relationships/hyperlink" Target="https://en.wikipedia.org/wiki/A24_(company)" TargetMode="External"/><Relationship Id="rId264" Type="http://schemas.openxmlformats.org/officeDocument/2006/relationships/hyperlink" Target="https://en.wikipedia.org/wiki/The_Dark_Tower_(2017_film)" TargetMode="External"/><Relationship Id="rId265" Type="http://schemas.openxmlformats.org/officeDocument/2006/relationships/hyperlink" Target="https://en.wikipedia.org/wiki/Kidnap_(2017_film)" TargetMode="External"/><Relationship Id="rId266" Type="http://schemas.openxmlformats.org/officeDocument/2006/relationships/hyperlink" Target="https://en.wikipedia.org/wiki/Step_(film)" TargetMode="External"/><Relationship Id="rId267" Type="http://schemas.openxmlformats.org/officeDocument/2006/relationships/hyperlink" Target="https://en.wikipedia.org/wiki/Fox_Searchlight_Pictures" TargetMode="External"/><Relationship Id="rId268" Type="http://schemas.openxmlformats.org/officeDocument/2006/relationships/hyperlink" Target="https://en.wikipedia.org/w/index.php?title=Amanda_Lipitz&amp;action=edit&amp;redlink=1" TargetMode="External"/><Relationship Id="rId269" Type="http://schemas.openxmlformats.org/officeDocument/2006/relationships/hyperlink" Target="https://en.wikipedia.org/wiki/Wind_River_(film)" TargetMode="External"/><Relationship Id="rId320" Type="http://schemas.openxmlformats.org/officeDocument/2006/relationships/hyperlink" Target="https://en.wikipedia.org/w/index.php?title=Neon_(distributor)&amp;action=edit&amp;redlink=1" TargetMode="External"/><Relationship Id="rId321" Type="http://schemas.openxmlformats.org/officeDocument/2006/relationships/hyperlink" Target="https://en.wikipedia.org/wiki/Molly%27s_Game" TargetMode="External"/><Relationship Id="rId322" Type="http://schemas.openxmlformats.org/officeDocument/2006/relationships/hyperlink" Target="https://en.wikipedia.org/wiki/STX_Entertainment" TargetMode="External"/><Relationship Id="rId323" Type="http://schemas.openxmlformats.org/officeDocument/2006/relationships/hyperlink" Target="https://en.wikipedia.org/wiki/American_Assassin" TargetMode="External"/><Relationship Id="rId324" Type="http://schemas.openxmlformats.org/officeDocument/2006/relationships/hyperlink" Target="https://en.wikipedia.org/wiki/CBS_Films" TargetMode="External"/><Relationship Id="rId325" Type="http://schemas.openxmlformats.org/officeDocument/2006/relationships/hyperlink" Target="https://en.wikipedia.org/wiki/Mother!" TargetMode="External"/><Relationship Id="rId326" Type="http://schemas.openxmlformats.org/officeDocument/2006/relationships/hyperlink" Target="https://en.wikipedia.org/wiki/Paramount_Pictures" TargetMode="External"/><Relationship Id="rId327" Type="http://schemas.openxmlformats.org/officeDocument/2006/relationships/hyperlink" Target="https://en.wikipedia.org/wiki/Brad%27s_Status" TargetMode="External"/><Relationship Id="rId328" Type="http://schemas.openxmlformats.org/officeDocument/2006/relationships/hyperlink" Target="https://en.wikipedia.org/wiki/Amazon_Studios" TargetMode="External"/><Relationship Id="rId329" Type="http://schemas.openxmlformats.org/officeDocument/2006/relationships/hyperlink" Target="https://en.wikipedia.org/wiki/The_Lego_Ninjago_Movie" TargetMode="External"/><Relationship Id="rId100" Type="http://schemas.openxmlformats.org/officeDocument/2006/relationships/hyperlink" Target="https://en.wikipedia.org/wiki/Sword_Art_Online_The_Movie:_Ordinal_Scale" TargetMode="External"/><Relationship Id="rId101" Type="http://schemas.openxmlformats.org/officeDocument/2006/relationships/hyperlink" Target="https://en.wikipedia.org/wiki/A-1_Pictures" TargetMode="External"/><Relationship Id="rId102" Type="http://schemas.openxmlformats.org/officeDocument/2006/relationships/hyperlink" Target="https://en.wikipedia.org/wiki/The_Sense_of_an_Ending_(film)" TargetMode="External"/><Relationship Id="rId103" Type="http://schemas.openxmlformats.org/officeDocument/2006/relationships/hyperlink" Target="https://en.wikipedia.org/wiki/Raw_(film)" TargetMode="External"/><Relationship Id="rId104" Type="http://schemas.openxmlformats.org/officeDocument/2006/relationships/hyperlink" Target="https://en.wikipedia.org/wiki/Focus_Features" TargetMode="External"/><Relationship Id="rId105" Type="http://schemas.openxmlformats.org/officeDocument/2006/relationships/hyperlink" Target="https://en.wikipedia.org/wiki/Personal_Shopper" TargetMode="External"/><Relationship Id="rId106" Type="http://schemas.openxmlformats.org/officeDocument/2006/relationships/hyperlink" Target="https://en.wikipedia.org/wiki/IFC_Films" TargetMode="External"/><Relationship Id="rId107" Type="http://schemas.openxmlformats.org/officeDocument/2006/relationships/hyperlink" Target="https://en.wikipedia.org/wiki/Burning_Sands_(2017_film)" TargetMode="External"/><Relationship Id="rId108" Type="http://schemas.openxmlformats.org/officeDocument/2006/relationships/hyperlink" Target="https://en.wikipedia.org/wiki/Netflix" TargetMode="External"/><Relationship Id="rId109" Type="http://schemas.openxmlformats.org/officeDocument/2006/relationships/hyperlink" Target="https://en.wikipedia.org/wiki/Baby_Driver" TargetMode="External"/><Relationship Id="rId60" Type="http://schemas.openxmlformats.org/officeDocument/2006/relationships/hyperlink" Target="https://en.wikipedia.org/wiki/Fox_Searchlight_Pictures" TargetMode="External"/><Relationship Id="rId61" Type="http://schemas.openxmlformats.org/officeDocument/2006/relationships/hyperlink" Target="https://en.wikipedia.org/wiki/Czech_Republic" TargetMode="External"/><Relationship Id="rId62" Type="http://schemas.openxmlformats.org/officeDocument/2006/relationships/hyperlink" Target="https://en.wikipedia.org/wiki/Kedi_(2016_film)" TargetMode="External"/><Relationship Id="rId63" Type="http://schemas.openxmlformats.org/officeDocument/2006/relationships/hyperlink" Target="https://en.wikipedia.org/wiki/Oscilloscope_Laboratories" TargetMode="External"/><Relationship Id="rId64" Type="http://schemas.openxmlformats.org/officeDocument/2006/relationships/hyperlink" Target="https://en.wikipedia.org/wiki/Turkey" TargetMode="External"/><Relationship Id="rId65" Type="http://schemas.openxmlformats.org/officeDocument/2006/relationships/hyperlink" Target="https://en.wikipedia.org/wiki/The_Great_Wall_(film)" TargetMode="External"/><Relationship Id="rId66" Type="http://schemas.openxmlformats.org/officeDocument/2006/relationships/hyperlink" Target="https://en.wikipedia.org/wiki/A_Cure_for_Wellness" TargetMode="External"/><Relationship Id="rId67" Type="http://schemas.openxmlformats.org/officeDocument/2006/relationships/hyperlink" Target="https://en.wikipedia.org/wiki/Fist_Fight" TargetMode="External"/><Relationship Id="rId68" Type="http://schemas.openxmlformats.org/officeDocument/2006/relationships/hyperlink" Target="https://en.wikipedia.org/wiki/American_Fable" TargetMode="External"/><Relationship Id="rId69" Type="http://schemas.openxmlformats.org/officeDocument/2006/relationships/hyperlink" Target="https://en.wikipedia.org/wiki/IFC_Films" TargetMode="External"/><Relationship Id="rId270" Type="http://schemas.openxmlformats.org/officeDocument/2006/relationships/hyperlink" Target="https://en.wikipedia.org/wiki/The_Weinstein_Company" TargetMode="External"/><Relationship Id="rId271" Type="http://schemas.openxmlformats.org/officeDocument/2006/relationships/hyperlink" Target="https://en.wikipedia.org/wiki/Armed_Response_(2017_film)" TargetMode="External"/><Relationship Id="rId272" Type="http://schemas.openxmlformats.org/officeDocument/2006/relationships/hyperlink" Target="https://en.wikipedia.org/wiki/Annabelle:_Creation" TargetMode="External"/><Relationship Id="rId273" Type="http://schemas.openxmlformats.org/officeDocument/2006/relationships/hyperlink" Target="https://en.wikipedia.org/wiki/The_Glass_Castle_(film)" TargetMode="External"/><Relationship Id="rId274" Type="http://schemas.openxmlformats.org/officeDocument/2006/relationships/hyperlink" Target="https://en.wikipedia.org/wiki/Lionsgate_Films" TargetMode="External"/><Relationship Id="rId275" Type="http://schemas.openxmlformats.org/officeDocument/2006/relationships/hyperlink" Target="https://en.wikipedia.org/wiki/The_Nut_Job_2:_Nutty_by_Nature" TargetMode="External"/><Relationship Id="rId276" Type="http://schemas.openxmlformats.org/officeDocument/2006/relationships/hyperlink" Target="https://en.wikipedia.org/wiki/Good_Time_(film)" TargetMode="External"/><Relationship Id="rId277" Type="http://schemas.openxmlformats.org/officeDocument/2006/relationships/hyperlink" Target="https://en.wikipedia.org/wiki/A24_(company)" TargetMode="External"/><Relationship Id="rId278" Type="http://schemas.openxmlformats.org/officeDocument/2006/relationships/hyperlink" Target="https://en.wikipedia.org/wiki/Ingrid_Goes_West" TargetMode="External"/><Relationship Id="rId279" Type="http://schemas.openxmlformats.org/officeDocument/2006/relationships/hyperlink" Target="https://en.wikipedia.org/w/index.php?title=Neon_(distributor)&amp;action=edit&amp;redlink=1" TargetMode="External"/><Relationship Id="rId330" Type="http://schemas.openxmlformats.org/officeDocument/2006/relationships/hyperlink" Target="https://en.wikipedia.org/wiki/Kingsman:_The_Golden_Circle" TargetMode="External"/><Relationship Id="rId331" Type="http://schemas.openxmlformats.org/officeDocument/2006/relationships/hyperlink" Target="https://en.wikipedia.org/wiki/20th_Century_Fox" TargetMode="External"/><Relationship Id="rId332" Type="http://schemas.openxmlformats.org/officeDocument/2006/relationships/hyperlink" Target="https://en.wikipedia.org/wiki/Marshall_(film)" TargetMode="External"/><Relationship Id="rId333" Type="http://schemas.openxmlformats.org/officeDocument/2006/relationships/hyperlink" Target="https://en.wikipedia.org/wiki/Open_Road_Films" TargetMode="External"/><Relationship Id="rId334" Type="http://schemas.openxmlformats.org/officeDocument/2006/relationships/hyperlink" Target="https://en.wikipedia.org/wiki/Goodbye_Christopher_Robin" TargetMode="External"/><Relationship Id="rId335" Type="http://schemas.openxmlformats.org/officeDocument/2006/relationships/hyperlink" Target="https://en.wikipedia.org/wiki/Fox_Searchlight_Pictures" TargetMode="External"/><Relationship Id="rId336" Type="http://schemas.openxmlformats.org/officeDocument/2006/relationships/hyperlink" Target="https://en.wikipedia.org/wiki/Stronger_(film)" TargetMode="External"/><Relationship Id="rId337" Type="http://schemas.openxmlformats.org/officeDocument/2006/relationships/hyperlink" Target="https://en.wikipedia.org/wiki/Loving_Vincent" TargetMode="External"/><Relationship Id="rId338" Type="http://schemas.openxmlformats.org/officeDocument/2006/relationships/hyperlink" Target="https://en.wikipedia.org/wiki/Poland" TargetMode="External"/><Relationship Id="rId339" Type="http://schemas.openxmlformats.org/officeDocument/2006/relationships/hyperlink" Target="https://en.wikipedia.org/wiki/Woodshock" TargetMode="External"/><Relationship Id="rId110" Type="http://schemas.openxmlformats.org/officeDocument/2006/relationships/hyperlink" Target="https://en.wikipedia.org/wiki/The_Boss_Baby" TargetMode="External"/><Relationship Id="rId111" Type="http://schemas.openxmlformats.org/officeDocument/2006/relationships/hyperlink" Target="https://en.wikipedia.org/wiki/The_Belko_Experiment" TargetMode="External"/><Relationship Id="rId112" Type="http://schemas.openxmlformats.org/officeDocument/2006/relationships/hyperlink" Target="https://en.wikipedia.org/wiki/T2_Trainspotting" TargetMode="External"/><Relationship Id="rId113" Type="http://schemas.openxmlformats.org/officeDocument/2006/relationships/hyperlink" Target="https://en.wikipedia.org/wiki/Song_to_Song" TargetMode="External"/><Relationship Id="rId114" Type="http://schemas.openxmlformats.org/officeDocument/2006/relationships/hyperlink" Target="https://en.wikipedia.org/wiki/Broad_Green_Pictures" TargetMode="External"/><Relationship Id="rId115" Type="http://schemas.openxmlformats.org/officeDocument/2006/relationships/hyperlink" Target="https://en.wikipedia.org/wiki/Atomica_(film)" TargetMode="External"/><Relationship Id="rId70" Type="http://schemas.openxmlformats.org/officeDocument/2006/relationships/hyperlink" Target="https://en.wikipedia.org/wiki/XX_(film)" TargetMode="External"/><Relationship Id="rId71" Type="http://schemas.openxmlformats.org/officeDocument/2006/relationships/hyperlink" Target="https://en.wikipedia.org/wiki/Magnet_Releasing" TargetMode="External"/><Relationship Id="rId72" Type="http://schemas.openxmlformats.org/officeDocument/2006/relationships/hyperlink" Target="https://en.wikipedia.org/wiki/Everybody_Loves_Somebody_(film)" TargetMode="External"/><Relationship Id="rId73" Type="http://schemas.openxmlformats.org/officeDocument/2006/relationships/hyperlink" Target="https://en.wikipedia.org/wiki/Pantelion_Films" TargetMode="External"/><Relationship Id="rId74" Type="http://schemas.openxmlformats.org/officeDocument/2006/relationships/hyperlink" Target="https://en.wikipedia.org/wiki/Land_of_Mine" TargetMode="External"/><Relationship Id="rId75" Type="http://schemas.openxmlformats.org/officeDocument/2006/relationships/hyperlink" Target="https://en.wikipedia.org/wiki/Sony_Pictures_Classics" TargetMode="External"/><Relationship Id="rId76" Type="http://schemas.openxmlformats.org/officeDocument/2006/relationships/hyperlink" Target="https://en.wikipedia.org/wiki/Logan_(film)" TargetMode="External"/><Relationship Id="rId77" Type="http://schemas.openxmlformats.org/officeDocument/2006/relationships/hyperlink" Target="https://en.wikipedia.org/wiki/Lovesong" TargetMode="External"/><Relationship Id="rId78" Type="http://schemas.openxmlformats.org/officeDocument/2006/relationships/hyperlink" Target="https://en.wikipedia.org/wiki/Strand_Releasing" TargetMode="External"/><Relationship Id="rId79" Type="http://schemas.openxmlformats.org/officeDocument/2006/relationships/hyperlink" Target="https://en.wikipedia.org/wiki/Beauty_and_the_Beast_(2017_film)" TargetMode="External"/><Relationship Id="rId116" Type="http://schemas.openxmlformats.org/officeDocument/2006/relationships/hyperlink" Target="https://en.wikipedia.org/wiki/Syfy" TargetMode="External"/><Relationship Id="rId117" Type="http://schemas.openxmlformats.org/officeDocument/2006/relationships/hyperlink" Target="https://en.wikipedia.org/wiki/All_Nighter_(film)" TargetMode="External"/><Relationship Id="rId118" Type="http://schemas.openxmlformats.org/officeDocument/2006/relationships/hyperlink" Target="https://en.wikipedia.org/wiki/Power_Rangers_(film)" TargetMode="External"/><Relationship Id="rId119" Type="http://schemas.openxmlformats.org/officeDocument/2006/relationships/hyperlink" Target="https://en.wikipedia.org/wiki/Life_(2017_film)" TargetMode="External"/><Relationship Id="rId280" Type="http://schemas.openxmlformats.org/officeDocument/2006/relationships/hyperlink" Target="https://en.wikipedia.org/wiki/The_Only_Living_Boy_in_New_York_(film)" TargetMode="External"/><Relationship Id="rId281" Type="http://schemas.openxmlformats.org/officeDocument/2006/relationships/hyperlink" Target="https://en.wikipedia.org/wiki/The_Hitman%27s_Bodyguard" TargetMode="External"/><Relationship Id="rId282" Type="http://schemas.openxmlformats.org/officeDocument/2006/relationships/hyperlink" Target="https://en.wikipedia.org/wiki/Logan_Lucky" TargetMode="External"/><Relationship Id="rId283" Type="http://schemas.openxmlformats.org/officeDocument/2006/relationships/hyperlink" Target="https://en.wikipedia.org/wiki/Patti_Cake$" TargetMode="External"/><Relationship Id="rId284" Type="http://schemas.openxmlformats.org/officeDocument/2006/relationships/hyperlink" Target="https://en.wikipedia.org/wiki/Fox_Searchlight_Pictures" TargetMode="External"/><Relationship Id="rId285" Type="http://schemas.openxmlformats.org/officeDocument/2006/relationships/hyperlink" Target="https://en.wikipedia.org/wiki/Lemon_(2017_film)" TargetMode="External"/><Relationship Id="rId286" Type="http://schemas.openxmlformats.org/officeDocument/2006/relationships/hyperlink" Target="https://en.wikipedia.org/wiki/Magnolia_Pictures" TargetMode="External"/><Relationship Id="rId287" Type="http://schemas.openxmlformats.org/officeDocument/2006/relationships/hyperlink" Target="https://en.wikipedia.org/wiki/Ballerina_(2016_film)" TargetMode="External"/><Relationship Id="rId288" Type="http://schemas.openxmlformats.org/officeDocument/2006/relationships/hyperlink" Target="https://en.wikipedia.org/wiki/The_Weinstein_Company" TargetMode="External"/><Relationship Id="rId289" Type="http://schemas.openxmlformats.org/officeDocument/2006/relationships/hyperlink" Target="https://en.wikipedia.org/wiki/All_Saints_(film)" TargetMode="External"/><Relationship Id="rId340" Type="http://schemas.openxmlformats.org/officeDocument/2006/relationships/hyperlink" Target="https://en.wikipedia.org/wiki/A24_(company)" TargetMode="External"/><Relationship Id="rId341" Type="http://schemas.openxmlformats.org/officeDocument/2006/relationships/hyperlink" Target="https://en.wikipedia.org/wiki/Victoria_%26_Abdul" TargetMode="External"/><Relationship Id="rId342" Type="http://schemas.openxmlformats.org/officeDocument/2006/relationships/hyperlink" Target="https://en.wikipedia.org/wiki/My_Little_Pony:_The_Movie_(2017_film)" TargetMode="External"/><Relationship Id="rId343" Type="http://schemas.openxmlformats.org/officeDocument/2006/relationships/hyperlink" Target="https://en.wikipedia.org/wiki/Jeepers_Creepers_3" TargetMode="External"/><Relationship Id="rId344" Type="http://schemas.openxmlformats.org/officeDocument/2006/relationships/hyperlink" Target="https://en.wikipedia.org/wiki/American_Made_(film)" TargetMode="External"/><Relationship Id="rId345" Type="http://schemas.openxmlformats.org/officeDocument/2006/relationships/hyperlink" Target="https://en.wikipedia.org/wiki/Flatliners_(2017_film)" TargetMode="External"/><Relationship Id="rId346" Type="http://schemas.openxmlformats.org/officeDocument/2006/relationships/hyperlink" Target="https://en.wikipedia.org/wiki/Mark_Felt:_The_Man_Who_Brought_Down_the_White_House" TargetMode="External"/><Relationship Id="rId347" Type="http://schemas.openxmlformats.org/officeDocument/2006/relationships/hyperlink" Target="https://en.wikipedia.org/wiki/Blade_Runner_2049" TargetMode="External"/><Relationship Id="rId348" Type="http://schemas.openxmlformats.org/officeDocument/2006/relationships/hyperlink" Target="https://en.wikipedia.org/wiki/The_Mountain_Between_Us_(film)" TargetMode="External"/><Relationship Id="rId349" Type="http://schemas.openxmlformats.org/officeDocument/2006/relationships/hyperlink" Target="https://en.wikipedia.org/wiki/The_Florida_Project" TargetMode="External"/><Relationship Id="rId400" Type="http://schemas.openxmlformats.org/officeDocument/2006/relationships/hyperlink" Target="https://en.wikipedia.org/wiki/Bleecker_Street_(company)" TargetMode="External"/><Relationship Id="rId401" Type="http://schemas.openxmlformats.org/officeDocument/2006/relationships/hyperlink" Target="https://en.wikipedia.org/wiki/The_Star_(2017_film)" TargetMode="External"/><Relationship Id="rId402" Type="http://schemas.openxmlformats.org/officeDocument/2006/relationships/hyperlink" Target="https://en.wikipedia.org/wiki/Wonder_(film)" TargetMode="External"/><Relationship Id="rId403" Type="http://schemas.openxmlformats.org/officeDocument/2006/relationships/hyperlink" Target="https://en.wikipedia.org/wiki/Cook_Off!" TargetMode="External"/><Relationship Id="rId404" Type="http://schemas.openxmlformats.org/officeDocument/2006/relationships/hyperlink" Target="https://en.wikipedia.org/wiki/Lionsgate_Premiere" TargetMode="External"/><Relationship Id="rId405" Type="http://schemas.openxmlformats.org/officeDocument/2006/relationships/hyperlink" Target="https://en.wikipedia.org/wiki/Mr._Roosevelt" TargetMode="External"/><Relationship Id="rId406" Type="http://schemas.openxmlformats.org/officeDocument/2006/relationships/hyperlink" Target="https://en.wikipedia.org/wiki/Roman_J._Israel,_Esq." TargetMode="External"/><Relationship Id="rId407" Type="http://schemas.openxmlformats.org/officeDocument/2006/relationships/hyperlink" Target="https://en.wikipedia.org/wiki/Call_Me_by_Your_Name_(film)" TargetMode="External"/><Relationship Id="rId408" Type="http://schemas.openxmlformats.org/officeDocument/2006/relationships/hyperlink" Target="https://en.wikipedia.org/wiki/Sony_Pictures_Classics" TargetMode="External"/><Relationship Id="rId409" Type="http://schemas.openxmlformats.org/officeDocument/2006/relationships/hyperlink" Target="https://en.wikipedia.org/wiki/Pitch_Perfect_3" TargetMode="External"/><Relationship Id="rId120" Type="http://schemas.openxmlformats.org/officeDocument/2006/relationships/hyperlink" Target="https://en.wikipedia.org/wiki/CHiPs_(film)" TargetMode="External"/><Relationship Id="rId121" Type="http://schemas.openxmlformats.org/officeDocument/2006/relationships/hyperlink" Target="https://en.wikipedia.org/wiki/Wilson_(2017_film)" TargetMode="External"/><Relationship Id="rId122" Type="http://schemas.openxmlformats.org/officeDocument/2006/relationships/hyperlink" Target="https://en.wikipedia.org/wiki/Fox_Searchlight_Pictures" TargetMode="External"/><Relationship Id="rId123" Type="http://schemas.openxmlformats.org/officeDocument/2006/relationships/hyperlink" Target="https://en.wikipedia.org/wiki/Ghost_in_the_Shell_(2017_film)" TargetMode="External"/><Relationship Id="rId124" Type="http://schemas.openxmlformats.org/officeDocument/2006/relationships/hyperlink" Target="https://en.wikipedia.org/wiki/The_Zookeeper%27s_Wife_(film)" TargetMode="External"/><Relationship Id="rId125" Type="http://schemas.openxmlformats.org/officeDocument/2006/relationships/hyperlink" Target="https://en.wikipedia.org/wiki/Focus_Features" TargetMode="External"/><Relationship Id="rId80" Type="http://schemas.openxmlformats.org/officeDocument/2006/relationships/hyperlink" Target="https://en.wikipedia.org/wiki/Walt_Disney_Pictures" TargetMode="External"/><Relationship Id="rId81" Type="http://schemas.openxmlformats.org/officeDocument/2006/relationships/hyperlink" Target="https://en.wikipedia.org/wiki/Collide_(film)" TargetMode="External"/><Relationship Id="rId82" Type="http://schemas.openxmlformats.org/officeDocument/2006/relationships/hyperlink" Target="https://en.wikipedia.org/wiki/Open_Road_Films" TargetMode="External"/><Relationship Id="rId83" Type="http://schemas.openxmlformats.org/officeDocument/2006/relationships/hyperlink" Target="https://en.wikipedia.org/wiki/The_Girl_with_All_the_Gifts_(film)" TargetMode="External"/><Relationship Id="rId84" Type="http://schemas.openxmlformats.org/officeDocument/2006/relationships/hyperlink" Target="https://en.wikipedia.org/wiki/I_Don%27t_Feel_at_Home_in_This_World_Anymore" TargetMode="External"/><Relationship Id="rId85" Type="http://schemas.openxmlformats.org/officeDocument/2006/relationships/hyperlink" Target="https://en.wikipedia.org/wiki/Bitter_Harvest_(2017_film)" TargetMode="External"/><Relationship Id="rId86" Type="http://schemas.openxmlformats.org/officeDocument/2006/relationships/hyperlink" Target="https://en.wikipedia.org/wiki/Roadside_Attractions" TargetMode="External"/><Relationship Id="rId87" Type="http://schemas.openxmlformats.org/officeDocument/2006/relationships/hyperlink" Target="https://en.wikipedia.org/wiki/Kong:_Skull_Island" TargetMode="External"/><Relationship Id="rId88" Type="http://schemas.openxmlformats.org/officeDocument/2006/relationships/hyperlink" Target="https://en.wikipedia.org/wiki/The_Shack_(2017_film)" TargetMode="External"/><Relationship Id="rId89" Type="http://schemas.openxmlformats.org/officeDocument/2006/relationships/hyperlink" Target="https://en.wikipedia.org/wiki/Summit_Entertainment" TargetMode="External"/><Relationship Id="rId126" Type="http://schemas.openxmlformats.org/officeDocument/2006/relationships/hyperlink" Target="https://en.wikipedia.org/wiki/The_Blackcoat%27s_Daughter" TargetMode="External"/><Relationship Id="rId127" Type="http://schemas.openxmlformats.org/officeDocument/2006/relationships/hyperlink" Target="https://en.wikipedia.org/wiki/A24_(company)" TargetMode="External"/><Relationship Id="rId128" Type="http://schemas.openxmlformats.org/officeDocument/2006/relationships/hyperlink" Target="https://en.wikipedia.org/wiki/Canada" TargetMode="External"/><Relationship Id="rId129" Type="http://schemas.openxmlformats.org/officeDocument/2006/relationships/hyperlink" Target="https://en.wikipedia.org/wiki/The_Discovery_(film)" TargetMode="External"/><Relationship Id="rId290" Type="http://schemas.openxmlformats.org/officeDocument/2006/relationships/hyperlink" Target="https://en.wikipedia.org/wiki/Entertainment_Studios" TargetMode="External"/><Relationship Id="rId291" Type="http://schemas.openxmlformats.org/officeDocument/2006/relationships/hyperlink" Target="https://en.wikipedia.org/wiki/Beach_Rats" TargetMode="External"/><Relationship Id="rId292" Type="http://schemas.openxmlformats.org/officeDocument/2006/relationships/hyperlink" Target="https://en.wikipedia.org/w/index.php?title=Neon_(distributor)&amp;action=edit&amp;redlink=1" TargetMode="External"/><Relationship Id="rId293" Type="http://schemas.openxmlformats.org/officeDocument/2006/relationships/hyperlink" Target="https://en.wikipedia.org/wiki/Home_Again_(2017_film)" TargetMode="External"/><Relationship Id="rId294" Type="http://schemas.openxmlformats.org/officeDocument/2006/relationships/hyperlink" Target="https://en.wikipedia.org/wiki/Open_Road_Films" TargetMode="External"/><Relationship Id="rId295" Type="http://schemas.openxmlformats.org/officeDocument/2006/relationships/hyperlink" Target="https://en.wikipedia.org/wiki/Downsizing_(film)" TargetMode="External"/><Relationship Id="rId296" Type="http://schemas.openxmlformats.org/officeDocument/2006/relationships/hyperlink" Target="https://en.wikipedia.org/wiki/Paramount_Pictures" TargetMode="External"/><Relationship Id="rId297" Type="http://schemas.openxmlformats.org/officeDocument/2006/relationships/hyperlink" Target="https://en.wikipedia.org/wiki/Tulip_Fever" TargetMode="External"/><Relationship Id="rId298" Type="http://schemas.openxmlformats.org/officeDocument/2006/relationships/hyperlink" Target="https://en.wikipedia.org/wiki/The_Weinstein_Company" TargetMode="External"/><Relationship Id="rId299" Type="http://schemas.openxmlformats.org/officeDocument/2006/relationships/hyperlink" Target="https://en.wikipedia.org/wiki/Unlocked_(2017_film)" TargetMode="External"/><Relationship Id="rId350" Type="http://schemas.openxmlformats.org/officeDocument/2006/relationships/hyperlink" Target="https://en.wikipedia.org/wiki/A24_(company)" TargetMode="External"/><Relationship Id="rId351" Type="http://schemas.openxmlformats.org/officeDocument/2006/relationships/hyperlink" Target="https://en.wikipedia.org/wiki/Brawl_in_Cell_Block_99" TargetMode="External"/><Relationship Id="rId352" Type="http://schemas.openxmlformats.org/officeDocument/2006/relationships/hyperlink" Target="https://en.wikipedia.org/wiki/RLJ_Entertainment" TargetMode="External"/><Relationship Id="rId353" Type="http://schemas.openxmlformats.org/officeDocument/2006/relationships/hyperlink" Target="https://en.wikipedia.org/wiki/Outrage_Coda" TargetMode="External"/><Relationship Id="rId354" Type="http://schemas.openxmlformats.org/officeDocument/2006/relationships/hyperlink" Target="https://en.wikipedia.org/wiki/Warner_Bros." TargetMode="External"/><Relationship Id="rId355" Type="http://schemas.openxmlformats.org/officeDocument/2006/relationships/hyperlink" Target="https://en.wikipedia.org/wiki/Takeshi_Kitano" TargetMode="External"/><Relationship Id="rId356" Type="http://schemas.openxmlformats.org/officeDocument/2006/relationships/hyperlink" Target="https://en.wikipedia.org/wiki/Thor:_Ragnarok" TargetMode="External"/><Relationship Id="rId357" Type="http://schemas.openxmlformats.org/officeDocument/2006/relationships/hyperlink" Target="https://en.wikipedia.org/wiki/Marvel_Studios" TargetMode="External"/><Relationship Id="rId358" Type="http://schemas.openxmlformats.org/officeDocument/2006/relationships/hyperlink" Target="https://en.wikipedia.org/wiki/Happy_Death_Day" TargetMode="External"/><Relationship Id="rId359" Type="http://schemas.openxmlformats.org/officeDocument/2006/relationships/hyperlink" Target="https://en.wikipedia.org/wiki/The_Foreigner_(2017_film)" TargetMode="External"/><Relationship Id="rId410" Type="http://schemas.openxmlformats.org/officeDocument/2006/relationships/hyperlink" Target="https://en.wikipedia.org/wiki/Universal_Pictures" TargetMode="External"/><Relationship Id="rId411" Type="http://schemas.openxmlformats.org/officeDocument/2006/relationships/hyperlink" Target="https://en.wikipedia.org/wiki/The_Disaster_Artist_(film)" TargetMode="External"/><Relationship Id="rId412" Type="http://schemas.openxmlformats.org/officeDocument/2006/relationships/hyperlink" Target="https://en.wikipedia.org/wiki/The_Shape_of_Water_(film)" TargetMode="External"/><Relationship Id="rId413" Type="http://schemas.openxmlformats.org/officeDocument/2006/relationships/hyperlink" Target="https://en.wikipedia.org/wiki/Fox_Searchlight_Pictures" TargetMode="External"/><Relationship Id="rId414" Type="http://schemas.openxmlformats.org/officeDocument/2006/relationships/hyperlink" Target="https://en.wikipedia.org/wiki/Jumanji:_Welcome_to_the_Jungle" TargetMode="External"/><Relationship Id="rId415" Type="http://schemas.openxmlformats.org/officeDocument/2006/relationships/hyperlink" Target="https://en.wikipedia.org/wiki/Columbia_Pictures" TargetMode="External"/><Relationship Id="rId416" Type="http://schemas.openxmlformats.org/officeDocument/2006/relationships/hyperlink" Target="https://en.wikipedia.org/wiki/Just_Getting_Started_(film)" TargetMode="External"/><Relationship Id="rId417" Type="http://schemas.openxmlformats.org/officeDocument/2006/relationships/hyperlink" Target="https://en.wikipedia.org/wiki/Broad_Green_Pictures" TargetMode="External"/><Relationship Id="rId418" Type="http://schemas.openxmlformats.org/officeDocument/2006/relationships/hyperlink" Target="https://en.wikipedia.org/wiki/The_Greatest_Showman" TargetMode="External"/><Relationship Id="rId419" Type="http://schemas.openxmlformats.org/officeDocument/2006/relationships/hyperlink" Target="https://en.wikipedia.org/wiki/Star_Wars:_The_Last_Jedi" TargetMode="External"/><Relationship Id="rId130" Type="http://schemas.openxmlformats.org/officeDocument/2006/relationships/hyperlink" Target="https://en.wikipedia.org/wiki/Netflix" TargetMode="External"/><Relationship Id="rId131" Type="http://schemas.openxmlformats.org/officeDocument/2006/relationships/hyperlink" Target="https://en.wikipedia.org/wiki/The_Fate_of_the_Furious" TargetMode="External"/><Relationship Id="rId132" Type="http://schemas.openxmlformats.org/officeDocument/2006/relationships/hyperlink" Target="https://en.wikipedia.org/wiki/Smurfs:_The_Lost_Village" TargetMode="External"/><Relationship Id="rId133" Type="http://schemas.openxmlformats.org/officeDocument/2006/relationships/hyperlink" Target="https://en.wikipedia.org/wiki/The_Case_for_Christ" TargetMode="External"/><Relationship Id="rId134" Type="http://schemas.openxmlformats.org/officeDocument/2006/relationships/hyperlink" Target="https://en.wikipedia.org/wiki/Pure_Flix_Entertainment" TargetMode="External"/><Relationship Id="rId135" Type="http://schemas.openxmlformats.org/officeDocument/2006/relationships/hyperlink" Target="https://en.wikipedia.org/wiki/Going_in_Style_(2017_film)" TargetMode="External"/><Relationship Id="rId90" Type="http://schemas.openxmlformats.org/officeDocument/2006/relationships/hyperlink" Target="https://en.wikipedia.org/wiki/Before_I_Fall_(film)" TargetMode="External"/><Relationship Id="rId91" Type="http://schemas.openxmlformats.org/officeDocument/2006/relationships/hyperlink" Target="https://en.wikipedia.org/wiki/Open_Road_Films" TargetMode="External"/><Relationship Id="rId92" Type="http://schemas.openxmlformats.org/officeDocument/2006/relationships/hyperlink" Target="https://en.wikipedia.org/wiki/Table_19" TargetMode="External"/><Relationship Id="rId93" Type="http://schemas.openxmlformats.org/officeDocument/2006/relationships/hyperlink" Target="https://en.wikipedia.org/wiki/Fox_Searchlight_Pictures" TargetMode="External"/><Relationship Id="rId94" Type="http://schemas.openxmlformats.org/officeDocument/2006/relationships/hyperlink" Target="https://en.wikipedia.org/wiki/The_Last_Word_(2017_film)" TargetMode="External"/><Relationship Id="rId95" Type="http://schemas.openxmlformats.org/officeDocument/2006/relationships/hyperlink" Target="https://en.wikipedia.org/wiki/Bleecker_Street_(company)" TargetMode="External"/><Relationship Id="rId96" Type="http://schemas.openxmlformats.org/officeDocument/2006/relationships/hyperlink" Target="https://en.wikipedia.org/wiki/Catfight_(film)" TargetMode="External"/><Relationship Id="rId97" Type="http://schemas.openxmlformats.org/officeDocument/2006/relationships/hyperlink" Target="https://en.wikipedia.org/wiki/Dark_Sky_Films" TargetMode="External"/><Relationship Id="rId98" Type="http://schemas.openxmlformats.org/officeDocument/2006/relationships/hyperlink" Target="https://en.wikipedia.org/wiki/Donald_Cried" TargetMode="External"/><Relationship Id="rId99" Type="http://schemas.openxmlformats.org/officeDocument/2006/relationships/hyperlink" Target="https://en.wikipedia.org/wiki/The_Orchard_(company)" TargetMode="External"/><Relationship Id="rId136" Type="http://schemas.openxmlformats.org/officeDocument/2006/relationships/hyperlink" Target="https://en.wikipedia.org/wiki/Colossal_(film)" TargetMode="External"/><Relationship Id="rId137" Type="http://schemas.openxmlformats.org/officeDocument/2006/relationships/hyperlink" Target="https://en.wikipedia.org/w/index.php?title=Neon_(distributor)&amp;action=edit&amp;redlink=1" TargetMode="External"/><Relationship Id="rId138" Type="http://schemas.openxmlformats.org/officeDocument/2006/relationships/hyperlink" Target="https://en.wikipedia.org/wiki/Gifted_(film)" TargetMode="External"/><Relationship Id="rId139" Type="http://schemas.openxmlformats.org/officeDocument/2006/relationships/hyperlink" Target="https://en.wikipedia.org/wiki/Aftermath_(2017_film)" TargetMode="External"/><Relationship Id="rId360" Type="http://schemas.openxmlformats.org/officeDocument/2006/relationships/hyperlink" Target="https://en.wikipedia.org/wiki/Breathe_(2017_film)" TargetMode="External"/><Relationship Id="rId361" Type="http://schemas.openxmlformats.org/officeDocument/2006/relationships/hyperlink" Target="https://en.wikipedia.org/wiki/Professor_Marston_and_the_Wonder_Women" TargetMode="External"/><Relationship Id="rId362" Type="http://schemas.openxmlformats.org/officeDocument/2006/relationships/hyperlink" Target="https://en.wikipedia.org/wiki/Annapurna_Pictures" TargetMode="External"/><Relationship Id="rId363" Type="http://schemas.openxmlformats.org/officeDocument/2006/relationships/hyperlink" Target="https://en.wikipedia.org/wiki/Blood_Money_(2017_film)" TargetMode="External"/><Relationship Id="rId364" Type="http://schemas.openxmlformats.org/officeDocument/2006/relationships/hyperlink" Target="https://en.wikipedia.org/wiki/Saban_Capital_Group" TargetMode="External"/><Relationship Id="rId365" Type="http://schemas.openxmlformats.org/officeDocument/2006/relationships/hyperlink" Target="https://en.wikipedia.org/wiki/Wonder_Wheel_(film)" TargetMode="External"/><Relationship Id="rId366" Type="http://schemas.openxmlformats.org/officeDocument/2006/relationships/hyperlink" Target="https://en.wikipedia.org/wiki/Amazon_Studios" TargetMode="External"/><Relationship Id="rId367" Type="http://schemas.openxmlformats.org/officeDocument/2006/relationships/hyperlink" Target="https://en.wikipedia.org/wiki/The_Snowman_(2017_film)" TargetMode="External"/><Relationship Id="rId368" Type="http://schemas.openxmlformats.org/officeDocument/2006/relationships/hyperlink" Target="https://en.wikipedia.org/wiki/Geostorm" TargetMode="External"/><Relationship Id="rId369" Type="http://schemas.openxmlformats.org/officeDocument/2006/relationships/hyperlink" Target="https://en.wikipedia.org/wiki/Only_the_Brave_(2017_film)" TargetMode="External"/><Relationship Id="rId420" Type="http://schemas.openxmlformats.org/officeDocument/2006/relationships/hyperlink" Target="https://en.wikipedia.org/wiki/Lucasfilm_Ltd." TargetMode="External"/><Relationship Id="rId421" Type="http://schemas.openxmlformats.org/officeDocument/2006/relationships/hyperlink" Target="https://en.wikipedia.org/wiki/Ferdinand_(film)" TargetMode="External"/><Relationship Id="rId422" Type="http://schemas.openxmlformats.org/officeDocument/2006/relationships/hyperlink" Target="https://en.wikipedia.org/wiki/Phantom_Thread" TargetMode="External"/><Relationship Id="rId423" Type="http://schemas.openxmlformats.org/officeDocument/2006/relationships/hyperlink" Target="https://en.wikipedia.org/wiki/The_Post_(film)" TargetMode="External"/><Relationship Id="rId424" Type="http://schemas.openxmlformats.org/officeDocument/2006/relationships/hyperlink" Target="https://en.wikipedia.org/wiki/Beyond_Skyline" TargetMode="External"/><Relationship Id="rId425" Type="http://schemas.openxmlformats.org/officeDocument/2006/relationships/hyperlink" Target="https://en.wikipedia.org/wiki/Vertical_Entertainment" TargetMode="External"/><Relationship Id="rId426" Type="http://schemas.openxmlformats.org/officeDocument/2006/relationships/hyperlink" Target="https://en.wikipedia.org/wiki/Magnolia_Pictures" TargetMode="External"/><Relationship Id="rId427" Type="http://schemas.openxmlformats.org/officeDocument/2006/relationships/hyperlink" Target="https://en.wikipedia.org/wiki/All_the_Money_in_the_World" TargetMode="External"/><Relationship Id="rId428" Type="http://schemas.openxmlformats.org/officeDocument/2006/relationships/hyperlink" Target="https://en.wikipedia.org/wiki/TriStar_Pictures" TargetMode="External"/><Relationship Id="rId429" Type="http://schemas.openxmlformats.org/officeDocument/2006/relationships/hyperlink" Target="https://en.wikipedia.org/wiki/Father_Figures" TargetMode="External"/><Relationship Id="rId140" Type="http://schemas.openxmlformats.org/officeDocument/2006/relationships/hyperlink" Target="https://en.wikipedia.org/wiki/Lionsgate_Premiere" TargetMode="External"/><Relationship Id="rId141" Type="http://schemas.openxmlformats.org/officeDocument/2006/relationships/hyperlink" Target="https://en.wikipedia.org/wiki/Your_Name" TargetMode="External"/><Relationship Id="rId142" Type="http://schemas.openxmlformats.org/officeDocument/2006/relationships/hyperlink" Target="https://en.wikipedia.org/wiki/Funimation" TargetMode="External"/><Relationship Id="rId143" Type="http://schemas.openxmlformats.org/officeDocument/2006/relationships/hyperlink" Target="https://en.wikipedia.org/wiki/Makoto_Shinkai" TargetMode="External"/><Relationship Id="rId144" Type="http://schemas.openxmlformats.org/officeDocument/2006/relationships/hyperlink" Target="https://en.wikipedia.org/wiki/Guardians_of_the_Galaxy_Vol._2" TargetMode="External"/><Relationship Id="rId145" Type="http://schemas.openxmlformats.org/officeDocument/2006/relationships/hyperlink" Target="https://en.wikipedia.org/wiki/Marvel_Studios" TargetMode="External"/><Relationship Id="rId146" Type="http://schemas.openxmlformats.org/officeDocument/2006/relationships/hyperlink" Target="https://en.wikipedia.org/wiki/Spark_(2016_film)" TargetMode="External"/><Relationship Id="rId147" Type="http://schemas.openxmlformats.org/officeDocument/2006/relationships/hyperlink" Target="https://en.wikipedia.org/wiki/South_Korea" TargetMode="External"/><Relationship Id="rId148" Type="http://schemas.openxmlformats.org/officeDocument/2006/relationships/hyperlink" Target="https://en.wikipedia.org/wiki/The_Lost_City_of_Z_(film)" TargetMode="External"/><Relationship Id="rId149" Type="http://schemas.openxmlformats.org/officeDocument/2006/relationships/hyperlink" Target="https://en.wikipedia.org/wiki/Plan_B_Entertainment" TargetMode="External"/><Relationship Id="rId200" Type="http://schemas.openxmlformats.org/officeDocument/2006/relationships/hyperlink" Target="https://en.wikipedia.org/wiki/IFC_Films" TargetMode="External"/><Relationship Id="rId201" Type="http://schemas.openxmlformats.org/officeDocument/2006/relationships/hyperlink" Target="https://en.wikipedia.org/wiki/Captain_Underpants:_The_First_Epic_Movie" TargetMode="External"/><Relationship Id="rId202" Type="http://schemas.openxmlformats.org/officeDocument/2006/relationships/hyperlink" Target="https://en.wikipedia.org/wiki/The_Mummy_(2017_film)" TargetMode="External"/><Relationship Id="rId203" Type="http://schemas.openxmlformats.org/officeDocument/2006/relationships/hyperlink" Target="https://en.wikipedia.org/wiki/Cars_3" TargetMode="External"/><Relationship Id="rId204" Type="http://schemas.openxmlformats.org/officeDocument/2006/relationships/hyperlink" Target="https://en.wikipedia.org/wiki/Buena_Vista_Social_Club:_Adios" TargetMode="External"/><Relationship Id="rId205" Type="http://schemas.openxmlformats.org/officeDocument/2006/relationships/hyperlink" Target="https://en.wikipedia.org/wiki/Broad_Green_Pictures" TargetMode="External"/><Relationship Id="rId206" Type="http://schemas.openxmlformats.org/officeDocument/2006/relationships/hyperlink" Target="https://en.wikipedia.org/wiki/Lucy_Walker_(director)" TargetMode="External"/><Relationship Id="rId207" Type="http://schemas.openxmlformats.org/officeDocument/2006/relationships/hyperlink" Target="https://en.wikipedia.org/wiki/War_Machine_(film)" TargetMode="External"/><Relationship Id="rId208" Type="http://schemas.openxmlformats.org/officeDocument/2006/relationships/hyperlink" Target="https://en.wikipedia.org/wiki/Dean_(film)" TargetMode="External"/><Relationship Id="rId209" Type="http://schemas.openxmlformats.org/officeDocument/2006/relationships/hyperlink" Target="https://en.wikipedia.org/wiki/The_Recall" TargetMode="External"/><Relationship Id="rId370" Type="http://schemas.openxmlformats.org/officeDocument/2006/relationships/hyperlink" Target="https://en.wikipedia.org/wiki/Columbia_Pictures" TargetMode="External"/><Relationship Id="rId371" Type="http://schemas.openxmlformats.org/officeDocument/2006/relationships/hyperlink" Target="https://en.wikipedia.org/wiki/Boo_2!_A_Madea_Halloween" TargetMode="External"/><Relationship Id="rId372" Type="http://schemas.openxmlformats.org/officeDocument/2006/relationships/hyperlink" Target="https://en.wikipedia.org/wiki/Same_Kind_of_Different_as_Me_(film)" TargetMode="External"/><Relationship Id="rId373" Type="http://schemas.openxmlformats.org/officeDocument/2006/relationships/hyperlink" Target="https://en.wikipedia.org/wiki/Leatherface_(2017_film)" TargetMode="External"/><Relationship Id="rId374" Type="http://schemas.openxmlformats.org/officeDocument/2006/relationships/hyperlink" Target="https://en.wikipedia.org/wiki/The_Killing_of_a_Sacred_Deer" TargetMode="External"/><Relationship Id="rId375" Type="http://schemas.openxmlformats.org/officeDocument/2006/relationships/hyperlink" Target="https://en.wikipedia.org/wiki/A24_(company)" TargetMode="External"/><Relationship Id="rId376" Type="http://schemas.openxmlformats.org/officeDocument/2006/relationships/hyperlink" Target="https://en.wikipedia.org/wiki/Coco_(2017_film)" TargetMode="External"/><Relationship Id="rId377" Type="http://schemas.openxmlformats.org/officeDocument/2006/relationships/hyperlink" Target="https://en.wikipedia.org/wiki/Justice_League_(film)" TargetMode="External"/><Relationship Id="rId378" Type="http://schemas.openxmlformats.org/officeDocument/2006/relationships/hyperlink" Target="https://en.wikipedia.org/wiki/Thank_You_for_Your_Service_(2017_film)" TargetMode="External"/><Relationship Id="rId379" Type="http://schemas.openxmlformats.org/officeDocument/2006/relationships/hyperlink" Target="https://en.wikipedia.org/wiki/Suburbicon" TargetMode="External"/><Relationship Id="rId430" Type="http://schemas.openxmlformats.org/officeDocument/2006/relationships/hyperlink" Target="https://en.wikipedia.org/wiki/Bright_(film)" TargetMode="External"/><Relationship Id="rId431" Type="http://schemas.openxmlformats.org/officeDocument/2006/relationships/hyperlink" Target="https://en.wikipedia.org/wiki/Netflix" TargetMode="External"/><Relationship Id="rId432" Type="http://schemas.openxmlformats.org/officeDocument/2006/relationships/hyperlink" Target="https://en.wikipedia.org/wiki/Crooked_House_(film)" TargetMode="External"/><Relationship Id="rId433" Type="http://schemas.openxmlformats.org/officeDocument/2006/relationships/hyperlink" Target="https://en.wikipedia.org/wiki/Hostiles_(film)" TargetMode="External"/><Relationship Id="rId434" Type="http://schemas.openxmlformats.org/officeDocument/2006/relationships/hyperlink" Target="https://en.wikipedia.org/wiki/Entertainment_Studios" TargetMode="External"/><Relationship Id="rId150" Type="http://schemas.openxmlformats.org/officeDocument/2006/relationships/hyperlink" Target="https://en.wikipedia.org/wiki/My_Entire_High_School_Sinking_Into_the_Sea" TargetMode="External"/><Relationship Id="rId151" Type="http://schemas.openxmlformats.org/officeDocument/2006/relationships/hyperlink" Target="https://en.wikipedia.org/wiki/GKIDS" TargetMode="External"/><Relationship Id="rId152" Type="http://schemas.openxmlformats.org/officeDocument/2006/relationships/hyperlink" Target="https://en.wikipedia.org/wiki/The_Outcasts_(2017_film)" TargetMode="External"/><Relationship Id="rId153" Type="http://schemas.openxmlformats.org/officeDocument/2006/relationships/hyperlink" Target="https://en.wikipedia.org/wiki/Norman:_The_Moderate_Rise_and_Tragic_Fall_of_a_New_York_Fixer" TargetMode="External"/><Relationship Id="rId154" Type="http://schemas.openxmlformats.org/officeDocument/2006/relationships/hyperlink" Target="https://en.wikipedia.org/wiki/Sony_Pictures_Classics" TargetMode="External"/><Relationship Id="rId155" Type="http://schemas.openxmlformats.org/officeDocument/2006/relationships/hyperlink" Target="https://en.wikipedia.org/wiki/A_Quiet_Passion" TargetMode="External"/><Relationship Id="rId156" Type="http://schemas.openxmlformats.org/officeDocument/2006/relationships/hyperlink" Target="https://en.wikipedia.org/wiki/Music_Box_Films" TargetMode="External"/><Relationship Id="rId157" Type="http://schemas.openxmlformats.org/officeDocument/2006/relationships/hyperlink" Target="https://en.wikipedia.org/wiki/Born_in_China" TargetMode="External"/><Relationship Id="rId158" Type="http://schemas.openxmlformats.org/officeDocument/2006/relationships/hyperlink" Target="https://en.wikipedia.org/wiki/Disneynature" TargetMode="External"/><Relationship Id="rId159" Type="http://schemas.openxmlformats.org/officeDocument/2006/relationships/hyperlink" Target="https://en.wikipedia.org/wiki/Unforgettable_(2017_film)" TargetMode="External"/><Relationship Id="rId210" Type="http://schemas.openxmlformats.org/officeDocument/2006/relationships/hyperlink" Target="https://en.wikipedia.org/wiki/Churchill_(film)" TargetMode="External"/><Relationship Id="rId211" Type="http://schemas.openxmlformats.org/officeDocument/2006/relationships/hyperlink" Target="https://en.wikipedia.org/wiki/It_Comes_at_Night" TargetMode="External"/><Relationship Id="rId212" Type="http://schemas.openxmlformats.org/officeDocument/2006/relationships/hyperlink" Target="https://en.wikipedia.org/wiki/A24_(company)" TargetMode="External"/><Relationship Id="rId213" Type="http://schemas.openxmlformats.org/officeDocument/2006/relationships/hyperlink" Target="https://en.wikipedia.org/wiki/My_Cousin_Rachel_(2017_film)" TargetMode="External"/><Relationship Id="rId214" Type="http://schemas.openxmlformats.org/officeDocument/2006/relationships/hyperlink" Target="https://en.wikipedia.org/wiki/Fox_Searchlight_Pictures" TargetMode="External"/><Relationship Id="rId215" Type="http://schemas.openxmlformats.org/officeDocument/2006/relationships/hyperlink" Target="https://en.wikipedia.org/wiki/Megan_Leavey_(film)" TargetMode="External"/><Relationship Id="rId216" Type="http://schemas.openxmlformats.org/officeDocument/2006/relationships/hyperlink" Target="https://en.wikipedia.org/wiki/Bleecker_Street_(company)" TargetMode="External"/><Relationship Id="rId217" Type="http://schemas.openxmlformats.org/officeDocument/2006/relationships/hyperlink" Target="https://en.wikipedia.org/wiki/Beatriz_at_Dinner" TargetMode="External"/><Relationship Id="rId218" Type="http://schemas.openxmlformats.org/officeDocument/2006/relationships/hyperlink" Target="https://en.wikipedia.org/wiki/Roadside_Attractions" TargetMode="External"/><Relationship Id="rId219" Type="http://schemas.openxmlformats.org/officeDocument/2006/relationships/hyperlink" Target="https://en.wikipedia.org/wiki/Despicable_Me_3" TargetMode="External"/><Relationship Id="rId380" Type="http://schemas.openxmlformats.org/officeDocument/2006/relationships/hyperlink" Target="https://en.wikipedia.org/wiki/Paramount_Pictures" TargetMode="External"/><Relationship Id="rId381" Type="http://schemas.openxmlformats.org/officeDocument/2006/relationships/hyperlink" Target="https://en.wikipedia.org/wiki/Jigsaw_(2017_film)" TargetMode="External"/><Relationship Id="rId382" Type="http://schemas.openxmlformats.org/officeDocument/2006/relationships/hyperlink" Target="https://en.wikipedia.org/wiki/Novitiate_(film)" TargetMode="External"/><Relationship Id="rId383" Type="http://schemas.openxmlformats.org/officeDocument/2006/relationships/hyperlink" Target="https://en.wikipedia.org/wiki/Sony_Pictures_Classics" TargetMode="External"/><Relationship Id="rId384" Type="http://schemas.openxmlformats.org/officeDocument/2006/relationships/hyperlink" Target="https://en.wikipedia.org/wiki/All_I_See_Is_You_(film)" TargetMode="External"/><Relationship Id="rId385" Type="http://schemas.openxmlformats.org/officeDocument/2006/relationships/hyperlink" Target="https://en.wikipedia.org/wiki/Open_Road_Films" TargetMode="External"/><Relationship Id="rId386" Type="http://schemas.openxmlformats.org/officeDocument/2006/relationships/hyperlink" Target="https://en.wikipedia.org/wiki/The_Unknown_Soldier_(2017_film)" TargetMode="External"/><Relationship Id="rId387" Type="http://schemas.openxmlformats.org/officeDocument/2006/relationships/hyperlink" Target="https://en.wikipedia.org/wiki/SF_Studios" TargetMode="External"/><Relationship Id="rId388" Type="http://schemas.openxmlformats.org/officeDocument/2006/relationships/hyperlink" Target="https://en.wikipedia.org/wiki/Finland" TargetMode="External"/><Relationship Id="rId389" Type="http://schemas.openxmlformats.org/officeDocument/2006/relationships/hyperlink" Target="https://en.wikipedia.org/wiki/Amityville:_The_Awakening" TargetMode="External"/><Relationship Id="rId10" Type="http://schemas.openxmlformats.org/officeDocument/2006/relationships/hyperlink" Target="https://en.wikipedia.org/wiki/100_Streets" TargetMode="External"/><Relationship Id="rId11" Type="http://schemas.openxmlformats.org/officeDocument/2006/relationships/hyperlink" Target="https://en.wikipedia.org/wiki/Samuel_Goldwyn_Films" TargetMode="External"/><Relationship Id="rId12" Type="http://schemas.openxmlformats.org/officeDocument/2006/relationships/hyperlink" Target="https://en.wikipedia.org/wiki/The_Book_of_Love_(film)" TargetMode="External"/><Relationship Id="rId13" Type="http://schemas.openxmlformats.org/officeDocument/2006/relationships/hyperlink" Target="https://en.wikipedia.org/wiki/Electric_Entertainment" TargetMode="External"/><Relationship Id="rId14" Type="http://schemas.openxmlformats.org/officeDocument/2006/relationships/hyperlink" Target="https://en.wikipedia.org/wiki/Alone_in_Berlin_(film)" TargetMode="External"/><Relationship Id="rId15" Type="http://schemas.openxmlformats.org/officeDocument/2006/relationships/hyperlink" Target="https://en.wikipedia.org/wiki/IFC_Films" TargetMode="External"/><Relationship Id="rId16" Type="http://schemas.openxmlformats.org/officeDocument/2006/relationships/hyperlink" Target="https://en.wikipedia.org/wiki/Split_(2016_American_film)" TargetMode="External"/><Relationship Id="rId17" Type="http://schemas.openxmlformats.org/officeDocument/2006/relationships/hyperlink" Target="https://en.wikipedia.org/wiki/XXx:_Return_of_Xander_Cage" TargetMode="External"/><Relationship Id="rId18" Type="http://schemas.openxmlformats.org/officeDocument/2006/relationships/hyperlink" Target="https://en.wikipedia.org/wiki/Dominican_Republic" TargetMode="External"/><Relationship Id="rId19" Type="http://schemas.openxmlformats.org/officeDocument/2006/relationships/hyperlink" Target="https://en.wikipedia.org/wiki/The_Resurrection_of_Gavin_Stone" TargetMode="External"/><Relationship Id="rId160" Type="http://schemas.openxmlformats.org/officeDocument/2006/relationships/hyperlink" Target="https://en.wikipedia.org/wiki/Free_Fire" TargetMode="External"/><Relationship Id="rId161" Type="http://schemas.openxmlformats.org/officeDocument/2006/relationships/hyperlink" Target="https://en.wikipedia.org/wiki/StudioCanal_UK" TargetMode="External"/><Relationship Id="rId162" Type="http://schemas.openxmlformats.org/officeDocument/2006/relationships/hyperlink" Target="https://en.wikipedia.org/wiki/The_Promise_(2016_American_film)" TargetMode="External"/><Relationship Id="rId163" Type="http://schemas.openxmlformats.org/officeDocument/2006/relationships/hyperlink" Target="https://en.wikipedia.org/wiki/Open_Road_Films" TargetMode="External"/><Relationship Id="rId164" Type="http://schemas.openxmlformats.org/officeDocument/2006/relationships/hyperlink" Target="https://en.wikipedia.org/wiki/Spain" TargetMode="External"/><Relationship Id="rId165" Type="http://schemas.openxmlformats.org/officeDocument/2006/relationships/hyperlink" Target="https://en.wikipedia.org/wiki/Phoenix_Forgotten" TargetMode="External"/><Relationship Id="rId166" Type="http://schemas.openxmlformats.org/officeDocument/2006/relationships/hyperlink" Target="https://en.wikipedia.org/wiki/Cinelou_Films" TargetMode="External"/><Relationship Id="rId167" Type="http://schemas.openxmlformats.org/officeDocument/2006/relationships/hyperlink" Target="https://en.wikipedia.org/wiki/The_Circle_(2017_film)" TargetMode="External"/><Relationship Id="rId168" Type="http://schemas.openxmlformats.org/officeDocument/2006/relationships/hyperlink" Target="https://en.wikipedia.org/wiki/How_to_Be_a_Latin_Lover" TargetMode="External"/><Relationship Id="rId169" Type="http://schemas.openxmlformats.org/officeDocument/2006/relationships/hyperlink" Target="https://en.wikipedia.org/wiki/Pantelion_Films" TargetMode="External"/><Relationship Id="rId220" Type="http://schemas.openxmlformats.org/officeDocument/2006/relationships/hyperlink" Target="https://en.wikipedia.org/wiki/Rough_Night" TargetMode="External"/><Relationship Id="rId221" Type="http://schemas.openxmlformats.org/officeDocument/2006/relationships/hyperlink" Target="https://en.wikipedia.org/wiki/Columbia_Pictures" TargetMode="External"/><Relationship Id="rId222" Type="http://schemas.openxmlformats.org/officeDocument/2006/relationships/hyperlink" Target="https://en.wikipedia.org/wiki/All_Eyez_on_Me_(film)" TargetMode="External"/><Relationship Id="rId223" Type="http://schemas.openxmlformats.org/officeDocument/2006/relationships/hyperlink" Target="https://en.wikipedia.org/wiki/47_Meters_Down" TargetMode="External"/><Relationship Id="rId224" Type="http://schemas.openxmlformats.org/officeDocument/2006/relationships/hyperlink" Target="https://en.wikipedia.org/wiki/Entertainment_Studios" TargetMode="External"/><Relationship Id="rId225" Type="http://schemas.openxmlformats.org/officeDocument/2006/relationships/hyperlink" Target="https://en.wikipedia.org/wiki/The_Book_of_Henry" TargetMode="External"/><Relationship Id="rId226" Type="http://schemas.openxmlformats.org/officeDocument/2006/relationships/hyperlink" Target="https://en.wikipedia.org/wiki/Focus_Features" TargetMode="External"/><Relationship Id="rId227" Type="http://schemas.openxmlformats.org/officeDocument/2006/relationships/hyperlink" Target="https://en.wikipedia.org/wiki/Transformers:_The_Last_Knight" TargetMode="External"/><Relationship Id="rId228" Type="http://schemas.openxmlformats.org/officeDocument/2006/relationships/hyperlink" Target="https://en.wikipedia.org/wiki/Paramount_Pictures" TargetMode="External"/><Relationship Id="rId229" Type="http://schemas.openxmlformats.org/officeDocument/2006/relationships/hyperlink" Target="https://en.wikipedia.org/wiki/The_Beguiled_(2017_film)" TargetMode="External"/><Relationship Id="rId390" Type="http://schemas.openxmlformats.org/officeDocument/2006/relationships/hyperlink" Target="https://en.wikipedia.org/wiki/Murder_on_the_Orient_Express_(2017_film)" TargetMode="External"/><Relationship Id="rId391" Type="http://schemas.openxmlformats.org/officeDocument/2006/relationships/hyperlink" Target="https://en.wikipedia.org/wiki/A_Bad_Moms_Christmas" TargetMode="External"/><Relationship Id="rId392" Type="http://schemas.openxmlformats.org/officeDocument/2006/relationships/hyperlink" Target="https://en.wikipedia.org/wiki/Last_Flag_Flying" TargetMode="External"/><Relationship Id="rId393" Type="http://schemas.openxmlformats.org/officeDocument/2006/relationships/hyperlink" Target="https://en.wikipedia.org/wiki/Amazon_Studios" TargetMode="External"/><Relationship Id="rId394" Type="http://schemas.openxmlformats.org/officeDocument/2006/relationships/hyperlink" Target="https://en.wikipedia.org/wiki/Pok%C3%A9mon_the_Movie:_I_Choose_You!" TargetMode="External"/><Relationship Id="rId395" Type="http://schemas.openxmlformats.org/officeDocument/2006/relationships/hyperlink" Target="https://en.wikipedia.org/wiki/Daddy%27s_Home_2" TargetMode="External"/><Relationship Id="rId396" Type="http://schemas.openxmlformats.org/officeDocument/2006/relationships/hyperlink" Target="https://en.wikipedia.org/wiki/Paddington_2" TargetMode="External"/><Relationship Id="rId397" Type="http://schemas.openxmlformats.org/officeDocument/2006/relationships/hyperlink" Target="https://en.wikipedia.org/wiki/UK" TargetMode="External"/><Relationship Id="rId398" Type="http://schemas.openxmlformats.org/officeDocument/2006/relationships/hyperlink" Target="https://en.wikipedia.org/wiki/Mayhem_(film)" TargetMode="External"/><Relationship Id="rId399" Type="http://schemas.openxmlformats.org/officeDocument/2006/relationships/hyperlink" Target="https://en.wikipedia.org/wiki/The_Man_Who_Invented_Christmas_(film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672"/>
  <sheetViews>
    <sheetView tabSelected="1" topLeftCell="A197" workbookViewId="0">
      <selection activeCell="L210" sqref="L210"/>
    </sheetView>
  </sheetViews>
  <sheetFormatPr baseColWidth="10" defaultRowHeight="16" x14ac:dyDescent="0.2"/>
  <sheetData>
    <row r="3" spans="2:10" x14ac:dyDescent="0.2">
      <c r="B3" s="26" t="s">
        <v>550</v>
      </c>
      <c r="C3" s="26" t="s">
        <v>551</v>
      </c>
      <c r="D3" s="23" t="s">
        <v>0</v>
      </c>
    </row>
    <row r="4" spans="2:10" x14ac:dyDescent="0.2">
      <c r="B4" s="26"/>
      <c r="C4" s="26"/>
    </row>
    <row r="5" spans="2:10" x14ac:dyDescent="0.2">
      <c r="B5" s="22"/>
      <c r="C5" s="20" t="s">
        <v>7639</v>
      </c>
      <c r="D5" s="22" t="s">
        <v>5303</v>
      </c>
      <c r="E5" s="23" t="s">
        <v>552</v>
      </c>
      <c r="F5" s="23" t="s">
        <v>553</v>
      </c>
    </row>
    <row r="6" spans="2:10" x14ac:dyDescent="0.2">
      <c r="B6" s="22">
        <v>1</v>
      </c>
      <c r="C6" s="23" t="s">
        <v>11338</v>
      </c>
      <c r="D6" s="23" t="s">
        <v>554</v>
      </c>
      <c r="E6" s="20" t="s">
        <v>11339</v>
      </c>
      <c r="F6" s="22">
        <v>4.3490000000000002</v>
      </c>
      <c r="G6" s="22" t="s">
        <v>11340</v>
      </c>
      <c r="H6" s="22">
        <v>4.3490000000000002</v>
      </c>
      <c r="I6" s="25">
        <v>43224</v>
      </c>
      <c r="J6" s="24">
        <v>43377</v>
      </c>
    </row>
    <row r="7" spans="2:10" x14ac:dyDescent="0.2">
      <c r="B7" s="22">
        <v>2</v>
      </c>
      <c r="C7" s="23" t="s">
        <v>11341</v>
      </c>
      <c r="D7" s="23" t="s">
        <v>563</v>
      </c>
      <c r="E7" s="20" t="s">
        <v>11342</v>
      </c>
      <c r="F7" s="22">
        <v>4.4039999999999999</v>
      </c>
      <c r="G7" s="22" t="s">
        <v>11343</v>
      </c>
      <c r="H7" s="22">
        <v>4.4039999999999999</v>
      </c>
      <c r="I7" s="25">
        <v>43301</v>
      </c>
      <c r="J7" s="24">
        <v>43447</v>
      </c>
    </row>
    <row r="8" spans="2:10" x14ac:dyDescent="0.2">
      <c r="B8" s="22">
        <v>3</v>
      </c>
      <c r="C8" s="23" t="s">
        <v>11344</v>
      </c>
      <c r="D8" s="23" t="s">
        <v>643</v>
      </c>
      <c r="E8" s="20" t="s">
        <v>11345</v>
      </c>
      <c r="F8" s="22">
        <v>4.1369999999999996</v>
      </c>
      <c r="G8" s="22" t="s">
        <v>11346</v>
      </c>
      <c r="H8" s="22">
        <v>4.1369999999999996</v>
      </c>
      <c r="I8" s="25">
        <v>43182</v>
      </c>
      <c r="J8" s="24">
        <v>43349</v>
      </c>
    </row>
    <row r="9" spans="2:10" x14ac:dyDescent="0.2">
      <c r="B9" s="22">
        <v>4</v>
      </c>
      <c r="C9" s="23" t="s">
        <v>11347</v>
      </c>
      <c r="D9" s="23" t="s">
        <v>570</v>
      </c>
      <c r="E9" s="20" t="s">
        <v>11348</v>
      </c>
      <c r="F9" s="22">
        <v>3.5259999999999998</v>
      </c>
      <c r="G9" s="22" t="s">
        <v>11349</v>
      </c>
      <c r="H9" s="22">
        <v>3.5049999999999999</v>
      </c>
      <c r="I9" s="25">
        <v>43413</v>
      </c>
      <c r="J9" s="24">
        <v>43169</v>
      </c>
    </row>
    <row r="10" spans="2:10" x14ac:dyDescent="0.2">
      <c r="B10" s="22">
        <v>5</v>
      </c>
      <c r="C10" s="23" t="s">
        <v>11350</v>
      </c>
      <c r="D10" s="23" t="s">
        <v>574</v>
      </c>
      <c r="E10" s="20" t="s">
        <v>11351</v>
      </c>
      <c r="F10" s="22">
        <v>4.0999999999999996</v>
      </c>
      <c r="G10" s="22" t="s">
        <v>11352</v>
      </c>
      <c r="H10" s="22">
        <v>4.0449999999999999</v>
      </c>
      <c r="I10" s="25">
        <v>43448</v>
      </c>
      <c r="J10" s="24">
        <v>43215</v>
      </c>
    </row>
    <row r="11" spans="2:10" x14ac:dyDescent="0.2">
      <c r="B11" s="22">
        <v>6</v>
      </c>
      <c r="C11" s="23" t="s">
        <v>11353</v>
      </c>
      <c r="D11" s="23" t="s">
        <v>685</v>
      </c>
      <c r="E11" s="20" t="s">
        <v>11354</v>
      </c>
      <c r="F11" s="22">
        <v>4.07</v>
      </c>
      <c r="G11" s="22" t="s">
        <v>11355</v>
      </c>
      <c r="H11" s="22">
        <v>4.07</v>
      </c>
      <c r="I11" s="25">
        <v>43420</v>
      </c>
      <c r="J11" s="24">
        <v>43166</v>
      </c>
    </row>
    <row r="12" spans="2:10" x14ac:dyDescent="0.2">
      <c r="B12" s="22">
        <v>7</v>
      </c>
      <c r="C12" s="23" t="s">
        <v>11356</v>
      </c>
      <c r="D12" s="23" t="s">
        <v>570</v>
      </c>
      <c r="E12" s="20" t="s">
        <v>11357</v>
      </c>
      <c r="F12" s="22">
        <v>4.3179999999999996</v>
      </c>
      <c r="G12" s="22" t="s">
        <v>11358</v>
      </c>
      <c r="H12" s="22">
        <v>4.3179999999999996</v>
      </c>
      <c r="I12" s="25">
        <v>43284</v>
      </c>
      <c r="J12" s="24">
        <v>43387</v>
      </c>
    </row>
    <row r="13" spans="2:10" x14ac:dyDescent="0.2">
      <c r="B13" s="22">
        <v>8</v>
      </c>
      <c r="C13" s="23" t="s">
        <v>11359</v>
      </c>
      <c r="D13" s="23" t="s">
        <v>554</v>
      </c>
      <c r="E13" s="20" t="s">
        <v>11360</v>
      </c>
      <c r="F13" s="22">
        <v>4.1639999999999997</v>
      </c>
      <c r="G13" s="22" t="s">
        <v>11361</v>
      </c>
      <c r="H13" s="22">
        <v>4.1639999999999997</v>
      </c>
      <c r="I13" s="25">
        <v>43273</v>
      </c>
      <c r="J13" s="24">
        <v>43117</v>
      </c>
    </row>
    <row r="14" spans="2:10" x14ac:dyDescent="0.2">
      <c r="B14" s="22">
        <v>9</v>
      </c>
      <c r="C14" s="23" t="s">
        <v>11362</v>
      </c>
      <c r="D14" s="23" t="s">
        <v>586</v>
      </c>
      <c r="E14" s="20" t="s">
        <v>11363</v>
      </c>
      <c r="F14" s="22">
        <v>3.3029999999999999</v>
      </c>
      <c r="G14" s="22" t="s">
        <v>11364</v>
      </c>
      <c r="H14" s="22">
        <v>3.2389999999999999</v>
      </c>
      <c r="I14" s="25">
        <v>43280</v>
      </c>
      <c r="J14" s="24">
        <v>43398</v>
      </c>
    </row>
    <row r="15" spans="2:10" x14ac:dyDescent="0.2">
      <c r="B15" s="22">
        <v>10</v>
      </c>
      <c r="C15" s="23" t="s">
        <v>11365</v>
      </c>
      <c r="D15" s="23" t="s">
        <v>11366</v>
      </c>
      <c r="E15" s="20" t="s">
        <v>11367</v>
      </c>
      <c r="F15" s="22">
        <v>4.2629999999999999</v>
      </c>
      <c r="G15" s="22" t="s">
        <v>11368</v>
      </c>
      <c r="H15" s="22">
        <v>4.258</v>
      </c>
      <c r="I15" s="25">
        <v>43259</v>
      </c>
      <c r="J15" s="24">
        <v>43391</v>
      </c>
    </row>
    <row r="16" spans="2:10" x14ac:dyDescent="0.2">
      <c r="B16" s="22">
        <v>11</v>
      </c>
      <c r="C16" s="23" t="s">
        <v>11369</v>
      </c>
      <c r="D16" s="23" t="s">
        <v>586</v>
      </c>
      <c r="E16" s="20" t="s">
        <v>11370</v>
      </c>
      <c r="F16" s="22">
        <v>3.7690000000000001</v>
      </c>
      <c r="G16" s="22" t="s">
        <v>11371</v>
      </c>
      <c r="H16" s="22">
        <v>3.7290000000000001</v>
      </c>
      <c r="I16" s="25">
        <v>43161</v>
      </c>
      <c r="J16" s="24">
        <v>43307</v>
      </c>
    </row>
    <row r="17" spans="2:10" x14ac:dyDescent="0.2">
      <c r="B17" s="22">
        <v>12</v>
      </c>
      <c r="C17" s="23" t="s">
        <v>11372</v>
      </c>
      <c r="D17" s="23" t="s">
        <v>554</v>
      </c>
      <c r="E17" s="20" t="s">
        <v>11373</v>
      </c>
      <c r="F17" s="22">
        <v>3.7519999999999998</v>
      </c>
      <c r="G17" s="22" t="s">
        <v>11374</v>
      </c>
      <c r="H17" s="22">
        <v>3.7519999999999998</v>
      </c>
      <c r="I17" s="25">
        <v>43406</v>
      </c>
      <c r="J17" s="24">
        <v>43222</v>
      </c>
    </row>
    <row r="18" spans="2:10" x14ac:dyDescent="0.2">
      <c r="B18" s="22">
        <v>13</v>
      </c>
      <c r="C18" s="23" t="s">
        <v>11375</v>
      </c>
      <c r="D18" s="23" t="s">
        <v>554</v>
      </c>
      <c r="E18" s="20" t="s">
        <v>11376</v>
      </c>
      <c r="F18" s="22">
        <v>2.2930000000000001</v>
      </c>
      <c r="G18" s="22" t="s">
        <v>11377</v>
      </c>
      <c r="H18" s="22">
        <v>11</v>
      </c>
      <c r="I18" s="25">
        <v>43413</v>
      </c>
      <c r="J18" s="24">
        <v>43215</v>
      </c>
    </row>
    <row r="19" spans="2:10" x14ac:dyDescent="0.2">
      <c r="B19" s="22">
        <v>14</v>
      </c>
      <c r="C19" s="23" t="s">
        <v>11378</v>
      </c>
      <c r="D19" s="23" t="s">
        <v>570</v>
      </c>
      <c r="E19" s="20" t="s">
        <v>11379</v>
      </c>
      <c r="F19" s="22">
        <v>4.2480000000000002</v>
      </c>
      <c r="G19" s="22" t="s">
        <v>11380</v>
      </c>
      <c r="H19" s="22">
        <v>4.2480000000000002</v>
      </c>
      <c r="I19" s="25">
        <v>43245</v>
      </c>
      <c r="J19" s="24">
        <v>43352</v>
      </c>
    </row>
    <row r="20" spans="2:10" x14ac:dyDescent="0.2">
      <c r="B20" s="22">
        <v>15</v>
      </c>
      <c r="C20" s="23" t="s">
        <v>11381</v>
      </c>
      <c r="D20" s="23" t="s">
        <v>820</v>
      </c>
      <c r="E20" s="20" t="s">
        <v>11382</v>
      </c>
      <c r="F20" s="22">
        <v>3.012</v>
      </c>
      <c r="G20" s="22" t="s">
        <v>11383</v>
      </c>
      <c r="H20" s="22">
        <v>3.01</v>
      </c>
      <c r="I20" s="25">
        <v>43459</v>
      </c>
      <c r="J20" s="24">
        <v>43236</v>
      </c>
    </row>
    <row r="21" spans="2:10" x14ac:dyDescent="0.2">
      <c r="B21" s="22">
        <v>16</v>
      </c>
      <c r="C21" s="23" t="s">
        <v>11384</v>
      </c>
      <c r="D21" s="23" t="s">
        <v>594</v>
      </c>
      <c r="E21" s="20" t="s">
        <v>11385</v>
      </c>
      <c r="F21" s="22">
        <v>3.8860000000000001</v>
      </c>
      <c r="G21" s="22" t="s">
        <v>11386</v>
      </c>
      <c r="H21" s="22">
        <v>3.8809999999999998</v>
      </c>
      <c r="I21" s="25">
        <v>43294</v>
      </c>
      <c r="J21" s="24">
        <v>43138</v>
      </c>
    </row>
    <row r="22" spans="2:10" x14ac:dyDescent="0.2">
      <c r="B22" s="22">
        <v>17</v>
      </c>
      <c r="C22" s="23" t="s">
        <v>11387</v>
      </c>
      <c r="D22" s="23" t="s">
        <v>586</v>
      </c>
      <c r="E22" s="20" t="s">
        <v>11388</v>
      </c>
      <c r="F22" s="22">
        <v>3.7770000000000001</v>
      </c>
      <c r="G22" s="22" t="s">
        <v>11389</v>
      </c>
      <c r="H22" s="22">
        <v>3.7730000000000001</v>
      </c>
      <c r="I22" s="25">
        <v>43252</v>
      </c>
      <c r="J22" s="24">
        <v>43349</v>
      </c>
    </row>
    <row r="23" spans="2:10" x14ac:dyDescent="0.2">
      <c r="B23" s="22">
        <v>18</v>
      </c>
      <c r="C23" s="23" t="s">
        <v>11390</v>
      </c>
      <c r="D23" s="23" t="s">
        <v>586</v>
      </c>
      <c r="E23" s="20" t="s">
        <v>11391</v>
      </c>
      <c r="F23" s="22">
        <v>2.927</v>
      </c>
      <c r="G23" s="22" t="s">
        <v>11392</v>
      </c>
      <c r="H23" s="22">
        <v>2.8140000000000001</v>
      </c>
      <c r="I23" s="25">
        <v>43459</v>
      </c>
      <c r="J23" s="24">
        <v>43194</v>
      </c>
    </row>
    <row r="24" spans="2:10" x14ac:dyDescent="0.2">
      <c r="B24" s="22">
        <v>19</v>
      </c>
      <c r="C24" s="23" t="s">
        <v>11393</v>
      </c>
      <c r="D24" s="23" t="s">
        <v>570</v>
      </c>
      <c r="E24" s="20" t="s">
        <v>11394</v>
      </c>
      <c r="F24" s="22">
        <v>3.375</v>
      </c>
      <c r="G24" s="22" t="s">
        <v>11395</v>
      </c>
      <c r="H24" s="22">
        <v>3.3490000000000002</v>
      </c>
      <c r="I24" s="25">
        <v>43371</v>
      </c>
      <c r="J24" s="24">
        <v>43159</v>
      </c>
    </row>
    <row r="25" spans="2:10" x14ac:dyDescent="0.2">
      <c r="B25" s="22">
        <v>20</v>
      </c>
      <c r="C25" s="23" t="s">
        <v>11396</v>
      </c>
      <c r="D25" s="23" t="s">
        <v>594</v>
      </c>
      <c r="E25" s="20" t="s">
        <v>11397</v>
      </c>
      <c r="F25" s="22">
        <v>3.706</v>
      </c>
      <c r="G25" s="22" t="s">
        <v>11398</v>
      </c>
      <c r="H25" s="22">
        <v>3.661</v>
      </c>
      <c r="I25" s="25">
        <v>43378</v>
      </c>
      <c r="J25" s="24">
        <v>43152</v>
      </c>
    </row>
    <row r="26" spans="2:10" x14ac:dyDescent="0.2">
      <c r="B26" s="22">
        <v>21</v>
      </c>
      <c r="C26" s="23" t="s">
        <v>11399</v>
      </c>
      <c r="D26" s="23" t="s">
        <v>570</v>
      </c>
      <c r="E26" s="20" t="s">
        <v>11400</v>
      </c>
      <c r="F26" s="22">
        <v>3.1480000000000001</v>
      </c>
      <c r="G26" s="22" t="s">
        <v>11401</v>
      </c>
      <c r="H26" s="22">
        <v>3.121</v>
      </c>
      <c r="I26" s="25">
        <v>43175</v>
      </c>
      <c r="J26" s="24">
        <v>43282</v>
      </c>
    </row>
    <row r="27" spans="2:10" x14ac:dyDescent="0.2">
      <c r="B27" s="22">
        <v>22</v>
      </c>
      <c r="C27" s="23" t="s">
        <v>11402</v>
      </c>
      <c r="D27" s="23" t="s">
        <v>563</v>
      </c>
      <c r="E27" s="20" t="s">
        <v>11403</v>
      </c>
      <c r="F27" s="22">
        <v>3.2469999999999999</v>
      </c>
      <c r="G27" s="22" t="s">
        <v>11404</v>
      </c>
      <c r="H27" s="22">
        <v>3.2320000000000002</v>
      </c>
      <c r="I27" s="25">
        <v>43385</v>
      </c>
      <c r="J27" s="24">
        <v>43214</v>
      </c>
    </row>
    <row r="28" spans="2:10" x14ac:dyDescent="0.2">
      <c r="B28" s="22">
        <v>23</v>
      </c>
      <c r="C28" s="23" t="s">
        <v>11405</v>
      </c>
      <c r="D28" s="23" t="s">
        <v>820</v>
      </c>
      <c r="E28" s="20" t="s">
        <v>11406</v>
      </c>
      <c r="F28" s="22">
        <v>2.8090000000000002</v>
      </c>
      <c r="G28" s="22" t="s">
        <v>11407</v>
      </c>
      <c r="H28" s="22">
        <v>16</v>
      </c>
      <c r="I28" s="25">
        <v>43420</v>
      </c>
      <c r="J28" s="24">
        <v>43257</v>
      </c>
    </row>
    <row r="29" spans="2:10" x14ac:dyDescent="0.2">
      <c r="B29" s="22">
        <v>24</v>
      </c>
      <c r="C29" s="23" t="s">
        <v>11408</v>
      </c>
      <c r="D29" s="23" t="s">
        <v>594</v>
      </c>
      <c r="E29" s="20" t="s">
        <v>11409</v>
      </c>
      <c r="F29" s="22">
        <v>3.4420000000000002</v>
      </c>
      <c r="G29" s="22" t="s">
        <v>11410</v>
      </c>
      <c r="H29" s="22">
        <v>3.3959999999999999</v>
      </c>
      <c r="I29" s="25">
        <v>43259</v>
      </c>
      <c r="J29" s="24">
        <v>43363</v>
      </c>
    </row>
    <row r="30" spans="2:10" x14ac:dyDescent="0.2">
      <c r="B30" s="22">
        <v>25</v>
      </c>
      <c r="C30" s="23" t="s">
        <v>11411</v>
      </c>
      <c r="D30" s="23" t="s">
        <v>586</v>
      </c>
      <c r="E30" s="20" t="s">
        <v>11412</v>
      </c>
      <c r="F30" s="22">
        <v>3.121</v>
      </c>
      <c r="G30" s="22" t="s">
        <v>11413</v>
      </c>
      <c r="H30" s="22">
        <v>3.1190000000000002</v>
      </c>
      <c r="I30" s="25">
        <v>43141</v>
      </c>
      <c r="J30" s="24">
        <v>43237</v>
      </c>
    </row>
    <row r="31" spans="2:10" x14ac:dyDescent="0.2">
      <c r="B31" s="22">
        <v>26</v>
      </c>
      <c r="C31" s="23" t="s">
        <v>11414</v>
      </c>
      <c r="D31" s="23" t="s">
        <v>851</v>
      </c>
      <c r="E31" s="20" t="s">
        <v>11415</v>
      </c>
      <c r="F31" s="22">
        <v>3.0379999999999998</v>
      </c>
      <c r="G31" s="22" t="s">
        <v>11416</v>
      </c>
      <c r="H31" s="22">
        <v>2.9580000000000002</v>
      </c>
      <c r="I31" s="25">
        <v>43141</v>
      </c>
      <c r="J31" s="24">
        <v>43237</v>
      </c>
    </row>
    <row r="32" spans="2:10" x14ac:dyDescent="0.2">
      <c r="B32" s="22">
        <v>27</v>
      </c>
      <c r="C32" s="23" t="s">
        <v>11417</v>
      </c>
      <c r="D32" s="23" t="s">
        <v>594</v>
      </c>
      <c r="E32" s="20" t="s">
        <v>11418</v>
      </c>
      <c r="F32" s="22">
        <v>2.9460000000000002</v>
      </c>
      <c r="G32" s="22" t="s">
        <v>11419</v>
      </c>
      <c r="H32" s="22">
        <v>2.927</v>
      </c>
      <c r="I32" s="25">
        <v>43425</v>
      </c>
      <c r="J32" s="24">
        <v>43306</v>
      </c>
    </row>
    <row r="33" spans="2:10" x14ac:dyDescent="0.2">
      <c r="B33" s="22">
        <v>28</v>
      </c>
      <c r="C33" s="23" t="s">
        <v>11420</v>
      </c>
      <c r="D33" s="23" t="s">
        <v>563</v>
      </c>
      <c r="E33" s="20" t="s">
        <v>11421</v>
      </c>
      <c r="F33" s="22">
        <v>3.12</v>
      </c>
      <c r="G33" s="22" t="s">
        <v>11422</v>
      </c>
      <c r="H33" s="22">
        <v>2.93</v>
      </c>
      <c r="I33" s="25">
        <v>43280</v>
      </c>
      <c r="J33" s="24">
        <v>43370</v>
      </c>
    </row>
    <row r="34" spans="2:10" x14ac:dyDescent="0.2">
      <c r="B34" s="22">
        <v>29</v>
      </c>
      <c r="C34" s="23" t="s">
        <v>11423</v>
      </c>
      <c r="D34" s="23" t="s">
        <v>586</v>
      </c>
      <c r="E34" s="20" t="s">
        <v>11424</v>
      </c>
      <c r="F34" s="22">
        <v>3.7530000000000001</v>
      </c>
      <c r="G34" s="22" t="s">
        <v>11425</v>
      </c>
      <c r="H34" s="22">
        <v>3.7450000000000001</v>
      </c>
      <c r="I34" s="25">
        <v>43322</v>
      </c>
      <c r="J34" s="24">
        <v>43412</v>
      </c>
    </row>
    <row r="35" spans="2:10" x14ac:dyDescent="0.2">
      <c r="B35" s="22">
        <v>30</v>
      </c>
      <c r="C35" s="23" t="s">
        <v>11426</v>
      </c>
      <c r="D35" s="23" t="s">
        <v>574</v>
      </c>
      <c r="E35" s="20" t="s">
        <v>11427</v>
      </c>
      <c r="F35" s="22">
        <v>3.5</v>
      </c>
      <c r="G35" s="22" t="s">
        <v>11428</v>
      </c>
      <c r="H35" s="22">
        <v>3.47</v>
      </c>
      <c r="I35" s="25">
        <v>43141</v>
      </c>
      <c r="J35" s="24">
        <v>43279</v>
      </c>
    </row>
    <row r="36" spans="2:10" x14ac:dyDescent="0.2">
      <c r="B36" s="22">
        <v>31</v>
      </c>
      <c r="C36" s="23" t="s">
        <v>11429</v>
      </c>
      <c r="D36" s="23" t="s">
        <v>11366</v>
      </c>
      <c r="E36" s="20" t="s">
        <v>11430</v>
      </c>
      <c r="F36" s="22">
        <v>3.6720000000000002</v>
      </c>
      <c r="G36" s="22" t="s">
        <v>11431</v>
      </c>
      <c r="H36" s="22">
        <v>3.653</v>
      </c>
      <c r="I36" s="25">
        <v>43425</v>
      </c>
      <c r="J36" s="24">
        <v>43201</v>
      </c>
    </row>
    <row r="37" spans="2:10" x14ac:dyDescent="0.2">
      <c r="B37" s="22">
        <v>32</v>
      </c>
      <c r="C37" s="23" t="s">
        <v>11432</v>
      </c>
      <c r="D37" s="23" t="s">
        <v>570</v>
      </c>
      <c r="E37" s="20" t="s">
        <v>11433</v>
      </c>
      <c r="F37" s="22">
        <v>2.9460000000000002</v>
      </c>
      <c r="G37" s="22" t="s">
        <v>11434</v>
      </c>
      <c r="H37" s="22">
        <v>5</v>
      </c>
      <c r="I37" s="25">
        <v>43453</v>
      </c>
      <c r="J37" s="24">
        <v>43190</v>
      </c>
    </row>
    <row r="38" spans="2:10" x14ac:dyDescent="0.2">
      <c r="B38" s="22">
        <v>33</v>
      </c>
      <c r="C38" s="23" t="s">
        <v>11435</v>
      </c>
      <c r="D38" s="23" t="s">
        <v>638</v>
      </c>
      <c r="E38" s="20" t="s">
        <v>11436</v>
      </c>
      <c r="F38" s="22">
        <v>2.6379999999999999</v>
      </c>
      <c r="G38" s="22" t="s">
        <v>11437</v>
      </c>
      <c r="H38" s="22">
        <v>1.8839999999999999</v>
      </c>
      <c r="I38" s="25">
        <v>43406</v>
      </c>
      <c r="J38" s="24">
        <v>43145</v>
      </c>
    </row>
    <row r="39" spans="2:10" x14ac:dyDescent="0.2">
      <c r="B39" s="22">
        <v>34</v>
      </c>
      <c r="C39" s="23" t="s">
        <v>11438</v>
      </c>
      <c r="D39" s="23" t="s">
        <v>851</v>
      </c>
      <c r="E39" s="20" t="s">
        <v>11439</v>
      </c>
      <c r="F39" s="22">
        <v>2.052</v>
      </c>
      <c r="G39" s="22" t="s">
        <v>11440</v>
      </c>
      <c r="H39" s="22">
        <v>2.0150000000000001</v>
      </c>
      <c r="I39" s="25">
        <v>43210</v>
      </c>
      <c r="J39" s="24">
        <v>43289</v>
      </c>
    </row>
    <row r="40" spans="2:10" x14ac:dyDescent="0.2">
      <c r="B40" s="22">
        <v>35</v>
      </c>
      <c r="C40" s="23" t="s">
        <v>11441</v>
      </c>
      <c r="D40" s="23" t="s">
        <v>563</v>
      </c>
      <c r="E40" s="20" t="s">
        <v>11442</v>
      </c>
      <c r="F40" s="22">
        <v>3.302</v>
      </c>
      <c r="G40" s="22" t="s">
        <v>11443</v>
      </c>
      <c r="H40" s="22">
        <v>3.2050000000000001</v>
      </c>
      <c r="I40" s="25">
        <v>43322</v>
      </c>
      <c r="J40" s="24">
        <v>43426</v>
      </c>
    </row>
    <row r="41" spans="2:10" x14ac:dyDescent="0.2">
      <c r="B41" s="22">
        <v>36</v>
      </c>
      <c r="C41" s="23" t="s">
        <v>11444</v>
      </c>
      <c r="D41" s="23" t="s">
        <v>643</v>
      </c>
      <c r="E41" s="20" t="s">
        <v>11445</v>
      </c>
      <c r="F41" s="22">
        <v>3.355</v>
      </c>
      <c r="G41" s="22" t="s">
        <v>11446</v>
      </c>
      <c r="H41" s="22">
        <v>3.3159999999999998</v>
      </c>
      <c r="I41" s="25">
        <v>43329</v>
      </c>
      <c r="J41" s="24">
        <v>43426</v>
      </c>
    </row>
    <row r="42" spans="2:10" x14ac:dyDescent="0.2">
      <c r="B42" s="22">
        <v>37</v>
      </c>
      <c r="C42" s="23" t="s">
        <v>11447</v>
      </c>
      <c r="D42" s="23" t="s">
        <v>563</v>
      </c>
      <c r="E42" s="20" t="s">
        <v>11448</v>
      </c>
      <c r="F42" s="22">
        <v>3.5449999999999999</v>
      </c>
      <c r="G42" s="22" t="s">
        <v>11449</v>
      </c>
      <c r="H42" s="22">
        <v>3.5449999999999999</v>
      </c>
      <c r="I42" s="25">
        <v>43189</v>
      </c>
      <c r="J42" s="24">
        <v>43279</v>
      </c>
    </row>
    <row r="43" spans="2:10" x14ac:dyDescent="0.2">
      <c r="B43" s="22">
        <v>38</v>
      </c>
      <c r="C43" s="23" t="s">
        <v>11450</v>
      </c>
      <c r="D43" s="23" t="s">
        <v>638</v>
      </c>
      <c r="E43" s="20" t="s">
        <v>11451</v>
      </c>
      <c r="F43" s="22">
        <v>3.3519999999999999</v>
      </c>
      <c r="G43" s="22" t="s">
        <v>11452</v>
      </c>
      <c r="H43" s="22">
        <v>3.3519999999999999</v>
      </c>
      <c r="I43" s="25">
        <v>43455</v>
      </c>
      <c r="J43" s="24">
        <v>43180</v>
      </c>
    </row>
    <row r="44" spans="2:10" x14ac:dyDescent="0.2">
      <c r="B44" s="22">
        <v>39</v>
      </c>
      <c r="C44" s="23" t="s">
        <v>11453</v>
      </c>
      <c r="D44" s="23" t="s">
        <v>563</v>
      </c>
      <c r="E44" s="20" t="s">
        <v>11454</v>
      </c>
      <c r="F44" s="22">
        <v>3.7549999999999999</v>
      </c>
      <c r="G44" s="22" t="s">
        <v>11455</v>
      </c>
      <c r="H44" s="22">
        <v>3.7549999999999999</v>
      </c>
      <c r="I44" s="25">
        <v>43231</v>
      </c>
      <c r="J44" s="24">
        <v>43328</v>
      </c>
    </row>
    <row r="45" spans="2:10" x14ac:dyDescent="0.2">
      <c r="B45" s="22">
        <v>40</v>
      </c>
      <c r="C45" s="23" t="s">
        <v>11456</v>
      </c>
      <c r="D45" s="23" t="s">
        <v>594</v>
      </c>
      <c r="E45" s="20" t="s">
        <v>11457</v>
      </c>
      <c r="F45" s="22">
        <v>3.3679999999999999</v>
      </c>
      <c r="G45" s="22" t="s">
        <v>11458</v>
      </c>
      <c r="H45" s="22">
        <v>3.367</v>
      </c>
      <c r="I45" s="25">
        <v>43459</v>
      </c>
      <c r="J45" s="24">
        <v>43243</v>
      </c>
    </row>
    <row r="46" spans="2:10" x14ac:dyDescent="0.2">
      <c r="B46" s="22">
        <v>41</v>
      </c>
      <c r="C46" s="23" t="s">
        <v>11459</v>
      </c>
      <c r="D46" s="23" t="s">
        <v>554</v>
      </c>
      <c r="E46" s="20" t="s">
        <v>11460</v>
      </c>
      <c r="F46" s="22">
        <v>3.7490000000000001</v>
      </c>
      <c r="G46" s="22" t="s">
        <v>11461</v>
      </c>
      <c r="H46" s="22">
        <v>3.7490000000000001</v>
      </c>
      <c r="I46" s="25">
        <v>43168</v>
      </c>
      <c r="J46" s="24">
        <v>43279</v>
      </c>
    </row>
    <row r="47" spans="2:10" x14ac:dyDescent="0.2">
      <c r="B47" s="22">
        <v>42</v>
      </c>
      <c r="C47" s="23" t="s">
        <v>11462</v>
      </c>
      <c r="D47" s="23" t="s">
        <v>3464</v>
      </c>
      <c r="E47" s="20" t="s">
        <v>11463</v>
      </c>
      <c r="F47" s="22">
        <v>3.0529999999999999</v>
      </c>
      <c r="G47" s="22" t="s">
        <v>11464</v>
      </c>
      <c r="H47" s="22">
        <v>3.0390000000000001</v>
      </c>
      <c r="I47" s="25">
        <v>43155</v>
      </c>
      <c r="J47" s="24">
        <v>43258</v>
      </c>
    </row>
    <row r="48" spans="2:10" x14ac:dyDescent="0.2">
      <c r="B48" s="22">
        <v>43</v>
      </c>
      <c r="C48" s="23" t="s">
        <v>11465</v>
      </c>
      <c r="D48" s="23" t="s">
        <v>586</v>
      </c>
      <c r="E48" s="20" t="s">
        <v>11466</v>
      </c>
      <c r="F48" s="22">
        <v>2.931</v>
      </c>
      <c r="G48" s="22" t="s">
        <v>11467</v>
      </c>
      <c r="H48" s="22">
        <v>2.9119999999999999</v>
      </c>
      <c r="I48" s="25">
        <v>43455</v>
      </c>
      <c r="J48" s="24">
        <v>43159</v>
      </c>
    </row>
    <row r="49" spans="2:10" x14ac:dyDescent="0.2">
      <c r="B49" s="22">
        <v>44</v>
      </c>
      <c r="C49" s="23" t="s">
        <v>11468</v>
      </c>
      <c r="D49" s="23" t="s">
        <v>586</v>
      </c>
      <c r="E49" s="20" t="s">
        <v>11469</v>
      </c>
      <c r="F49" s="22">
        <v>2.87</v>
      </c>
      <c r="G49" s="22" t="s">
        <v>11470</v>
      </c>
      <c r="H49" s="22">
        <v>2.863</v>
      </c>
      <c r="I49" s="25">
        <v>43113</v>
      </c>
      <c r="J49" s="24">
        <v>43174</v>
      </c>
    </row>
    <row r="50" spans="2:10" x14ac:dyDescent="0.2">
      <c r="B50" s="22">
        <v>45</v>
      </c>
      <c r="C50" s="23" t="s">
        <v>11471</v>
      </c>
      <c r="D50" s="23" t="s">
        <v>660</v>
      </c>
      <c r="E50" s="20" t="s">
        <v>11472</v>
      </c>
      <c r="F50" s="22">
        <v>2.9929999999999999</v>
      </c>
      <c r="G50" s="22" t="s">
        <v>11473</v>
      </c>
      <c r="H50" s="22">
        <v>2.992</v>
      </c>
      <c r="I50" s="25">
        <v>43371</v>
      </c>
      <c r="J50" s="24">
        <v>43101</v>
      </c>
    </row>
    <row r="51" spans="2:10" x14ac:dyDescent="0.2">
      <c r="B51" s="22">
        <v>46</v>
      </c>
      <c r="C51" s="23" t="s">
        <v>11474</v>
      </c>
      <c r="D51" s="23" t="s">
        <v>643</v>
      </c>
      <c r="E51" s="20" t="s">
        <v>11475</v>
      </c>
      <c r="F51" s="22">
        <v>2.161</v>
      </c>
      <c r="G51" s="22" t="s">
        <v>11476</v>
      </c>
      <c r="H51" s="22">
        <v>2.161</v>
      </c>
      <c r="I51" s="25">
        <v>43280</v>
      </c>
      <c r="J51" s="24">
        <v>43363</v>
      </c>
    </row>
    <row r="52" spans="2:10" x14ac:dyDescent="0.2">
      <c r="B52" s="22">
        <v>47</v>
      </c>
      <c r="C52" s="23" t="s">
        <v>11477</v>
      </c>
      <c r="D52" s="23" t="s">
        <v>586</v>
      </c>
      <c r="E52" s="20" t="s">
        <v>11478</v>
      </c>
      <c r="F52" s="22">
        <v>3.702</v>
      </c>
      <c r="G52" s="22" t="s">
        <v>11479</v>
      </c>
      <c r="H52" s="22">
        <v>3.69</v>
      </c>
      <c r="I52" s="25">
        <v>43238</v>
      </c>
      <c r="J52" s="24">
        <v>43314</v>
      </c>
    </row>
    <row r="53" spans="2:10" x14ac:dyDescent="0.2">
      <c r="B53" s="22">
        <v>48</v>
      </c>
      <c r="C53" s="23" t="s">
        <v>11480</v>
      </c>
      <c r="D53" s="23" t="s">
        <v>586</v>
      </c>
      <c r="E53" s="20" t="s">
        <v>11481</v>
      </c>
      <c r="F53" s="22">
        <v>2.7869999999999999</v>
      </c>
      <c r="G53" s="22" t="s">
        <v>11482</v>
      </c>
      <c r="H53" s="22">
        <v>335</v>
      </c>
      <c r="I53" s="25">
        <v>43371</v>
      </c>
      <c r="J53" s="24">
        <v>43145</v>
      </c>
    </row>
    <row r="54" spans="2:10" x14ac:dyDescent="0.2">
      <c r="B54" s="22">
        <v>49</v>
      </c>
      <c r="C54" s="23" t="s">
        <v>11483</v>
      </c>
      <c r="D54" s="23" t="s">
        <v>3464</v>
      </c>
      <c r="E54" s="20" t="s">
        <v>11484</v>
      </c>
      <c r="F54" s="22">
        <v>3.6179999999999999</v>
      </c>
      <c r="G54" s="22" t="s">
        <v>11485</v>
      </c>
      <c r="H54" s="22">
        <v>3.6030000000000002</v>
      </c>
      <c r="I54" s="25">
        <v>43189</v>
      </c>
      <c r="J54" s="24">
        <v>43328</v>
      </c>
    </row>
    <row r="55" spans="2:10" x14ac:dyDescent="0.2">
      <c r="B55" s="22">
        <v>50</v>
      </c>
      <c r="C55" s="23" t="s">
        <v>11486</v>
      </c>
      <c r="D55" s="23" t="s">
        <v>594</v>
      </c>
      <c r="E55" s="20" t="s">
        <v>11487</v>
      </c>
      <c r="F55" s="22">
        <v>2.9079999999999999</v>
      </c>
      <c r="G55" s="22" t="s">
        <v>11488</v>
      </c>
      <c r="H55" s="22">
        <v>2.907</v>
      </c>
      <c r="I55" s="25">
        <v>43134</v>
      </c>
      <c r="J55" s="24">
        <v>43258</v>
      </c>
    </row>
    <row r="56" spans="2:10" x14ac:dyDescent="0.2">
      <c r="B56" s="22">
        <v>51</v>
      </c>
      <c r="C56" s="23" t="s">
        <v>11489</v>
      </c>
      <c r="D56" s="23" t="s">
        <v>570</v>
      </c>
      <c r="E56" s="20" t="s">
        <v>11490</v>
      </c>
      <c r="F56" s="22">
        <v>2.4409999999999998</v>
      </c>
      <c r="G56" s="22" t="s">
        <v>11491</v>
      </c>
      <c r="H56" s="22">
        <v>2.3610000000000002</v>
      </c>
      <c r="I56" s="25">
        <v>43320</v>
      </c>
      <c r="J56" s="24">
        <v>43394</v>
      </c>
    </row>
    <row r="57" spans="2:10" x14ac:dyDescent="0.2">
      <c r="B57" s="22">
        <v>52</v>
      </c>
      <c r="C57" s="23" t="s">
        <v>11492</v>
      </c>
      <c r="D57" s="23" t="s">
        <v>851</v>
      </c>
      <c r="E57" s="20" t="s">
        <v>11493</v>
      </c>
      <c r="F57" s="22">
        <v>3.0779999999999998</v>
      </c>
      <c r="G57" s="22" t="s">
        <v>11494</v>
      </c>
      <c r="H57" s="22">
        <v>3.0779999999999998</v>
      </c>
      <c r="I57" s="25">
        <v>43120</v>
      </c>
      <c r="J57" s="24">
        <v>43167</v>
      </c>
    </row>
    <row r="58" spans="2:10" x14ac:dyDescent="0.2">
      <c r="B58" s="22">
        <v>53</v>
      </c>
      <c r="C58" s="23" t="s">
        <v>11495</v>
      </c>
      <c r="D58" s="23" t="s">
        <v>563</v>
      </c>
      <c r="E58" s="20" t="s">
        <v>11496</v>
      </c>
      <c r="F58" s="22">
        <v>3.1749999999999998</v>
      </c>
      <c r="G58" s="22" t="s">
        <v>11497</v>
      </c>
      <c r="H58" s="22">
        <v>3.1549999999999998</v>
      </c>
      <c r="I58" s="25">
        <v>43210</v>
      </c>
      <c r="J58" s="24">
        <v>43300</v>
      </c>
    </row>
    <row r="59" spans="2:10" x14ac:dyDescent="0.2">
      <c r="B59" s="22">
        <v>54</v>
      </c>
      <c r="C59" s="23" t="s">
        <v>11498</v>
      </c>
      <c r="D59" s="23" t="s">
        <v>638</v>
      </c>
      <c r="E59" s="20" t="s">
        <v>11499</v>
      </c>
      <c r="F59" s="22">
        <v>3.0139999999999998</v>
      </c>
      <c r="G59" s="22" t="s">
        <v>11500</v>
      </c>
      <c r="H59" s="22">
        <v>3.008</v>
      </c>
      <c r="I59" s="25">
        <v>43236</v>
      </c>
      <c r="J59" s="24">
        <v>43307</v>
      </c>
    </row>
    <row r="60" spans="2:10" x14ac:dyDescent="0.2">
      <c r="B60" s="22">
        <v>55</v>
      </c>
      <c r="C60" s="23" t="s">
        <v>11501</v>
      </c>
      <c r="D60" s="23" t="s">
        <v>570</v>
      </c>
      <c r="E60" s="20" t="s">
        <v>11502</v>
      </c>
      <c r="F60" s="22">
        <v>3.601</v>
      </c>
      <c r="G60" s="22" t="s">
        <v>11503</v>
      </c>
      <c r="H60" s="22">
        <v>3.601</v>
      </c>
      <c r="I60" s="25">
        <v>43315</v>
      </c>
      <c r="J60" s="24">
        <v>43380</v>
      </c>
    </row>
    <row r="61" spans="2:10" x14ac:dyDescent="0.2">
      <c r="B61" s="22">
        <v>56</v>
      </c>
      <c r="C61" s="23" t="s">
        <v>11504</v>
      </c>
      <c r="D61" s="23" t="s">
        <v>638</v>
      </c>
      <c r="E61" s="20" t="s">
        <v>11505</v>
      </c>
      <c r="F61" s="22">
        <v>3.6739999999999999</v>
      </c>
      <c r="G61" s="22" t="s">
        <v>11506</v>
      </c>
      <c r="H61" s="22">
        <v>2.6739999999999999</v>
      </c>
      <c r="I61" s="25">
        <v>43194</v>
      </c>
      <c r="J61" s="24">
        <v>43258</v>
      </c>
    </row>
    <row r="62" spans="2:10" x14ac:dyDescent="0.2">
      <c r="B62" s="22">
        <v>57</v>
      </c>
      <c r="C62" s="23" t="s">
        <v>11507</v>
      </c>
      <c r="D62" s="23" t="s">
        <v>586</v>
      </c>
      <c r="E62" s="20" t="s">
        <v>11508</v>
      </c>
      <c r="F62" s="22">
        <v>3.2029999999999998</v>
      </c>
      <c r="G62" s="22" t="s">
        <v>11509</v>
      </c>
      <c r="H62" s="22">
        <v>3.1920000000000002</v>
      </c>
      <c r="I62" s="25">
        <v>43196</v>
      </c>
      <c r="J62" s="24">
        <v>43251</v>
      </c>
    </row>
    <row r="63" spans="2:10" x14ac:dyDescent="0.2">
      <c r="B63" s="22">
        <v>58</v>
      </c>
      <c r="C63" s="23" t="s">
        <v>11510</v>
      </c>
      <c r="D63" s="23" t="s">
        <v>740</v>
      </c>
      <c r="E63" s="20" t="s">
        <v>11511</v>
      </c>
      <c r="F63" s="22">
        <v>3.4550000000000001</v>
      </c>
      <c r="G63" s="22" t="s">
        <v>11512</v>
      </c>
      <c r="H63" s="22">
        <v>3.4289999999999998</v>
      </c>
      <c r="I63" s="25">
        <v>43329</v>
      </c>
      <c r="J63" s="24">
        <v>43103</v>
      </c>
    </row>
    <row r="64" spans="2:10" x14ac:dyDescent="0.2">
      <c r="B64" s="22">
        <v>59</v>
      </c>
      <c r="C64" s="23" t="s">
        <v>11513</v>
      </c>
      <c r="D64" s="23" t="s">
        <v>594</v>
      </c>
      <c r="E64" s="20" t="s">
        <v>11514</v>
      </c>
      <c r="F64" s="22">
        <v>3.1890000000000001</v>
      </c>
      <c r="G64" s="22" t="s">
        <v>11515</v>
      </c>
      <c r="H64" s="22">
        <v>3.1890000000000001</v>
      </c>
      <c r="I64" s="25">
        <v>43148</v>
      </c>
      <c r="J64" s="24">
        <v>43265</v>
      </c>
    </row>
    <row r="65" spans="2:10" x14ac:dyDescent="0.2">
      <c r="B65" s="22">
        <v>60</v>
      </c>
      <c r="C65" s="23" t="s">
        <v>11516</v>
      </c>
      <c r="D65" s="23" t="s">
        <v>563</v>
      </c>
      <c r="E65" s="20" t="s">
        <v>11517</v>
      </c>
      <c r="F65" s="22">
        <v>3.0550000000000002</v>
      </c>
      <c r="G65" s="22" t="s">
        <v>11518</v>
      </c>
      <c r="H65" s="22">
        <v>3.0550000000000002</v>
      </c>
      <c r="I65" s="25">
        <v>43161</v>
      </c>
      <c r="J65" s="24">
        <v>43237</v>
      </c>
    </row>
    <row r="66" spans="2:10" x14ac:dyDescent="0.2">
      <c r="B66" s="22">
        <v>61</v>
      </c>
      <c r="C66" s="23" t="s">
        <v>11519</v>
      </c>
      <c r="D66" s="23" t="s">
        <v>1299</v>
      </c>
      <c r="E66" s="20" t="s">
        <v>11520</v>
      </c>
      <c r="F66" s="22">
        <v>2.8559999999999999</v>
      </c>
      <c r="G66" s="22" t="s">
        <v>11521</v>
      </c>
      <c r="H66" s="22">
        <v>2.855</v>
      </c>
      <c r="I66" s="25">
        <v>43134</v>
      </c>
      <c r="J66" s="24">
        <v>43223</v>
      </c>
    </row>
    <row r="67" spans="2:10" x14ac:dyDescent="0.2">
      <c r="B67" s="22">
        <v>62</v>
      </c>
      <c r="C67" s="23" t="s">
        <v>11522</v>
      </c>
      <c r="D67" s="23" t="s">
        <v>638</v>
      </c>
      <c r="E67" s="20" t="s">
        <v>11523</v>
      </c>
      <c r="F67" s="22">
        <v>3.4119999999999999</v>
      </c>
      <c r="G67" s="22" t="s">
        <v>11524</v>
      </c>
      <c r="H67" s="22">
        <v>3.4119999999999999</v>
      </c>
      <c r="I67" s="25">
        <v>43392</v>
      </c>
      <c r="J67" s="24">
        <v>43103</v>
      </c>
    </row>
    <row r="68" spans="2:10" x14ac:dyDescent="0.2">
      <c r="B68" s="22">
        <v>63</v>
      </c>
      <c r="C68" s="23" t="s">
        <v>11525</v>
      </c>
      <c r="D68" s="23" t="s">
        <v>638</v>
      </c>
      <c r="E68" s="20" t="s">
        <v>11526</v>
      </c>
      <c r="F68" s="22">
        <v>2.5510000000000002</v>
      </c>
      <c r="G68" s="22" t="s">
        <v>11527</v>
      </c>
      <c r="H68" s="22">
        <v>2.2850000000000001</v>
      </c>
      <c r="I68" s="25">
        <v>43106</v>
      </c>
      <c r="J68" s="24">
        <v>43181</v>
      </c>
    </row>
    <row r="69" spans="2:10" x14ac:dyDescent="0.2">
      <c r="B69" s="22">
        <v>64</v>
      </c>
      <c r="C69" s="23" t="s">
        <v>11528</v>
      </c>
      <c r="D69" s="23" t="s">
        <v>554</v>
      </c>
      <c r="E69" s="20" t="s">
        <v>11529</v>
      </c>
      <c r="F69" s="22">
        <v>2.7170000000000001</v>
      </c>
      <c r="G69" s="22" t="s">
        <v>11530</v>
      </c>
      <c r="H69" s="22">
        <v>2.5979999999999999</v>
      </c>
      <c r="I69" s="25">
        <v>43327</v>
      </c>
      <c r="J69" s="24">
        <v>43117</v>
      </c>
    </row>
    <row r="70" spans="2:10" x14ac:dyDescent="0.2">
      <c r="B70" s="22">
        <v>65</v>
      </c>
      <c r="C70" s="23" t="s">
        <v>11531</v>
      </c>
      <c r="D70" s="23" t="s">
        <v>570</v>
      </c>
      <c r="E70" s="20" t="s">
        <v>11532</v>
      </c>
      <c r="F70" s="22">
        <v>3.1739999999999999</v>
      </c>
      <c r="G70" s="22" t="s">
        <v>11533</v>
      </c>
      <c r="H70" s="22">
        <v>3.1739999999999999</v>
      </c>
      <c r="I70" s="25">
        <v>43148</v>
      </c>
      <c r="J70" s="24">
        <v>43230</v>
      </c>
    </row>
    <row r="71" spans="2:10" x14ac:dyDescent="0.2">
      <c r="B71" s="22">
        <v>66</v>
      </c>
      <c r="C71" s="23" t="s">
        <v>11534</v>
      </c>
      <c r="D71" s="23" t="s">
        <v>863</v>
      </c>
      <c r="E71" s="20" t="s">
        <v>11535</v>
      </c>
      <c r="F71" s="22">
        <v>3.2080000000000002</v>
      </c>
      <c r="G71" s="22" t="s">
        <v>11536</v>
      </c>
      <c r="H71" s="22">
        <v>3.1850000000000001</v>
      </c>
      <c r="I71" s="25">
        <v>43127</v>
      </c>
      <c r="J71" s="24">
        <v>43209</v>
      </c>
    </row>
    <row r="72" spans="2:10" x14ac:dyDescent="0.2">
      <c r="B72" s="22">
        <v>67</v>
      </c>
      <c r="C72" s="23" t="s">
        <v>11537</v>
      </c>
      <c r="D72" s="23" t="s">
        <v>594</v>
      </c>
      <c r="E72" s="20" t="s">
        <v>11538</v>
      </c>
      <c r="F72" s="22">
        <v>2.573</v>
      </c>
      <c r="G72" s="22" t="s">
        <v>11539</v>
      </c>
      <c r="H72" s="22">
        <v>2.512</v>
      </c>
      <c r="I72" s="25">
        <v>43120</v>
      </c>
      <c r="J72" s="24">
        <v>43258</v>
      </c>
    </row>
    <row r="73" spans="2:10" x14ac:dyDescent="0.2">
      <c r="B73" s="22">
        <v>68</v>
      </c>
      <c r="C73" s="23" t="s">
        <v>11540</v>
      </c>
      <c r="D73" s="23" t="s">
        <v>643</v>
      </c>
      <c r="E73" s="20" t="s">
        <v>11541</v>
      </c>
      <c r="F73" s="22">
        <v>2.86</v>
      </c>
      <c r="G73" s="22" t="s">
        <v>11542</v>
      </c>
      <c r="H73" s="22">
        <v>2.8159999999999998</v>
      </c>
      <c r="I73" s="25">
        <v>43343</v>
      </c>
      <c r="J73" s="24">
        <v>43426</v>
      </c>
    </row>
    <row r="74" spans="2:10" x14ac:dyDescent="0.2">
      <c r="B74" s="22">
        <v>69</v>
      </c>
      <c r="C74" s="23" t="s">
        <v>11543</v>
      </c>
      <c r="D74" s="23" t="s">
        <v>594</v>
      </c>
      <c r="E74" s="20" t="s">
        <v>11544</v>
      </c>
      <c r="F74" s="22">
        <v>3.4009999999999998</v>
      </c>
      <c r="G74" s="22" t="s">
        <v>11545</v>
      </c>
      <c r="H74" s="22">
        <v>3.391</v>
      </c>
      <c r="I74" s="25">
        <v>43315</v>
      </c>
      <c r="J74" s="24">
        <v>43454</v>
      </c>
    </row>
    <row r="75" spans="2:10" x14ac:dyDescent="0.2">
      <c r="B75" s="22">
        <v>70</v>
      </c>
      <c r="C75" s="23" t="s">
        <v>11546</v>
      </c>
      <c r="D75" s="23" t="s">
        <v>685</v>
      </c>
      <c r="E75" s="20" t="s">
        <v>11547</v>
      </c>
      <c r="F75" s="22">
        <v>2.5419999999999998</v>
      </c>
      <c r="G75" s="22" t="s">
        <v>11548</v>
      </c>
      <c r="H75" s="22">
        <v>2.5270000000000001</v>
      </c>
      <c r="I75" s="25">
        <v>43385</v>
      </c>
      <c r="J75" s="24">
        <v>43103</v>
      </c>
    </row>
    <row r="76" spans="2:10" x14ac:dyDescent="0.2">
      <c r="B76" s="22">
        <v>71</v>
      </c>
      <c r="C76" s="23" t="s">
        <v>11549</v>
      </c>
      <c r="D76" s="23" t="s">
        <v>554</v>
      </c>
      <c r="E76" s="20" t="s">
        <v>11550</v>
      </c>
      <c r="F76" s="22">
        <v>2.625</v>
      </c>
      <c r="G76" s="22" t="s">
        <v>11551</v>
      </c>
      <c r="H76" s="22">
        <v>2.625</v>
      </c>
      <c r="I76" s="25">
        <v>43113</v>
      </c>
      <c r="J76" s="24">
        <v>43223</v>
      </c>
    </row>
    <row r="77" spans="2:10" x14ac:dyDescent="0.2">
      <c r="B77" s="22">
        <v>72</v>
      </c>
      <c r="C77" s="23" t="s">
        <v>11552</v>
      </c>
      <c r="D77" s="23" t="s">
        <v>586</v>
      </c>
      <c r="E77" s="20" t="s">
        <v>11553</v>
      </c>
      <c r="F77" s="22">
        <v>2.6349999999999998</v>
      </c>
      <c r="G77" s="22" t="s">
        <v>11554</v>
      </c>
      <c r="H77" s="22">
        <v>2.6280000000000001</v>
      </c>
      <c r="I77" s="25">
        <v>43287</v>
      </c>
      <c r="J77" s="24">
        <v>43349</v>
      </c>
    </row>
    <row r="78" spans="2:10" x14ac:dyDescent="0.2">
      <c r="B78" s="22">
        <v>73</v>
      </c>
      <c r="C78" s="23" t="s">
        <v>11555</v>
      </c>
      <c r="D78" s="23" t="s">
        <v>830</v>
      </c>
      <c r="E78" s="20" t="s">
        <v>11556</v>
      </c>
      <c r="F78" s="22">
        <v>1.298</v>
      </c>
      <c r="G78" s="22" t="s">
        <v>11557</v>
      </c>
      <c r="H78" s="22">
        <v>27</v>
      </c>
      <c r="I78" s="25">
        <v>43224</v>
      </c>
      <c r="J78" s="24">
        <v>43398</v>
      </c>
    </row>
    <row r="79" spans="2:10" x14ac:dyDescent="0.2">
      <c r="B79" s="22">
        <v>74</v>
      </c>
      <c r="C79" s="23" t="s">
        <v>11558</v>
      </c>
      <c r="D79" s="23" t="s">
        <v>740</v>
      </c>
      <c r="E79" s="20" t="s">
        <v>11559</v>
      </c>
      <c r="F79" s="22">
        <v>924</v>
      </c>
      <c r="G79" s="22" t="s">
        <v>11560</v>
      </c>
      <c r="H79" s="22">
        <v>4</v>
      </c>
      <c r="I79" s="25">
        <v>43245</v>
      </c>
      <c r="J79" s="24">
        <v>43405</v>
      </c>
    </row>
    <row r="80" spans="2:10" x14ac:dyDescent="0.2">
      <c r="B80" s="22">
        <v>75</v>
      </c>
      <c r="C80" s="23" t="s">
        <v>11561</v>
      </c>
      <c r="D80" s="23" t="s">
        <v>570</v>
      </c>
      <c r="E80" s="20" t="s">
        <v>11562</v>
      </c>
      <c r="F80" s="22">
        <v>3.0139999999999998</v>
      </c>
      <c r="G80" s="22" t="s">
        <v>11563</v>
      </c>
      <c r="H80" s="22">
        <v>3.0139999999999998</v>
      </c>
      <c r="I80" s="25">
        <v>43385</v>
      </c>
      <c r="J80" s="24">
        <v>43149</v>
      </c>
    </row>
    <row r="81" spans="2:10" x14ac:dyDescent="0.2">
      <c r="B81" s="22">
        <v>76</v>
      </c>
      <c r="C81" s="23" t="s">
        <v>11564</v>
      </c>
      <c r="D81" s="23" t="s">
        <v>9487</v>
      </c>
      <c r="E81" s="20" t="s">
        <v>11565</v>
      </c>
      <c r="F81" s="22">
        <v>2.7810000000000001</v>
      </c>
      <c r="G81" s="22" t="s">
        <v>11566</v>
      </c>
      <c r="H81" s="22">
        <v>2.7240000000000002</v>
      </c>
      <c r="I81" s="25">
        <v>43425</v>
      </c>
      <c r="J81" s="24">
        <v>43152</v>
      </c>
    </row>
    <row r="82" spans="2:10" x14ac:dyDescent="0.2">
      <c r="B82" s="22">
        <v>77</v>
      </c>
      <c r="C82" s="23" t="s">
        <v>11567</v>
      </c>
      <c r="D82" s="23" t="s">
        <v>594</v>
      </c>
      <c r="E82" s="20" t="s">
        <v>11568</v>
      </c>
      <c r="F82" s="22">
        <v>3.4820000000000002</v>
      </c>
      <c r="G82" s="22" t="s">
        <v>11569</v>
      </c>
      <c r="H82" s="22">
        <v>3.4769999999999999</v>
      </c>
      <c r="I82" s="25">
        <v>43203</v>
      </c>
      <c r="J82" s="24">
        <v>43328</v>
      </c>
    </row>
    <row r="83" spans="2:10" x14ac:dyDescent="0.2">
      <c r="B83" s="22">
        <v>78</v>
      </c>
      <c r="C83" s="23" t="s">
        <v>11570</v>
      </c>
      <c r="D83" s="23" t="s">
        <v>594</v>
      </c>
      <c r="E83" s="20" t="s">
        <v>11571</v>
      </c>
      <c r="F83" s="22">
        <v>2.6549999999999998</v>
      </c>
      <c r="G83" s="22" t="s">
        <v>11572</v>
      </c>
      <c r="H83" s="22">
        <v>2.6549999999999998</v>
      </c>
      <c r="I83" s="25">
        <v>43141</v>
      </c>
      <c r="J83" s="24">
        <v>43248</v>
      </c>
    </row>
    <row r="84" spans="2:10" x14ac:dyDescent="0.2">
      <c r="B84" s="22">
        <v>79</v>
      </c>
      <c r="C84" s="23" t="s">
        <v>11573</v>
      </c>
      <c r="D84" s="23" t="s">
        <v>851</v>
      </c>
      <c r="E84" s="20" t="s">
        <v>11574</v>
      </c>
      <c r="F84" s="22">
        <v>3.016</v>
      </c>
      <c r="G84" s="22" t="s">
        <v>11575</v>
      </c>
      <c r="H84" s="22">
        <v>3.012</v>
      </c>
      <c r="I84" s="25">
        <v>43357</v>
      </c>
      <c r="J84" s="24">
        <v>43415</v>
      </c>
    </row>
    <row r="85" spans="2:10" x14ac:dyDescent="0.2">
      <c r="B85" s="22">
        <v>80</v>
      </c>
      <c r="C85" s="23" t="s">
        <v>11576</v>
      </c>
      <c r="D85" s="23" t="s">
        <v>643</v>
      </c>
      <c r="E85" s="20" t="s">
        <v>11577</v>
      </c>
      <c r="F85" s="22">
        <v>2.8109999999999999</v>
      </c>
      <c r="G85" s="22" t="s">
        <v>11578</v>
      </c>
      <c r="H85" s="22">
        <v>2.8109999999999999</v>
      </c>
      <c r="I85" s="25">
        <v>43203</v>
      </c>
      <c r="J85" s="24">
        <v>43293</v>
      </c>
    </row>
    <row r="86" spans="2:10" x14ac:dyDescent="0.2">
      <c r="B86" s="22">
        <v>81</v>
      </c>
      <c r="C86" s="23" t="s">
        <v>11579</v>
      </c>
      <c r="D86" s="23" t="s">
        <v>643</v>
      </c>
      <c r="E86" s="20" t="s">
        <v>11580</v>
      </c>
      <c r="F86" s="22">
        <v>3.0209999999999999</v>
      </c>
      <c r="G86" s="22" t="s">
        <v>11581</v>
      </c>
      <c r="H86" s="22">
        <v>3.0209999999999999</v>
      </c>
      <c r="I86" s="25">
        <v>43238</v>
      </c>
      <c r="J86" s="24">
        <v>43314</v>
      </c>
    </row>
    <row r="87" spans="2:10" x14ac:dyDescent="0.2">
      <c r="B87" s="22">
        <v>82</v>
      </c>
      <c r="C87" s="23" t="s">
        <v>11582</v>
      </c>
      <c r="D87" s="23" t="s">
        <v>554</v>
      </c>
      <c r="E87" s="20" t="s">
        <v>11583</v>
      </c>
      <c r="F87" s="22">
        <v>2.9039999999999999</v>
      </c>
      <c r="G87" s="22" t="s">
        <v>11584</v>
      </c>
      <c r="H87" s="22">
        <v>2.9039999999999999</v>
      </c>
      <c r="I87" s="25">
        <v>43357</v>
      </c>
      <c r="J87" s="24">
        <v>43117</v>
      </c>
    </row>
    <row r="88" spans="2:10" x14ac:dyDescent="0.2">
      <c r="B88" s="22">
        <v>83</v>
      </c>
      <c r="C88" s="23" t="s">
        <v>11585</v>
      </c>
      <c r="D88" s="23" t="s">
        <v>863</v>
      </c>
      <c r="E88" s="20" t="s">
        <v>11586</v>
      </c>
      <c r="F88" s="22">
        <v>2.78</v>
      </c>
      <c r="G88" s="22" t="s">
        <v>11587</v>
      </c>
      <c r="H88" s="22">
        <v>2.73</v>
      </c>
      <c r="I88" s="25">
        <v>43364</v>
      </c>
      <c r="J88" s="24">
        <v>43117</v>
      </c>
    </row>
    <row r="89" spans="2:10" x14ac:dyDescent="0.2">
      <c r="B89" s="22">
        <v>84</v>
      </c>
      <c r="C89" s="23" t="s">
        <v>11588</v>
      </c>
      <c r="D89" s="23" t="s">
        <v>574</v>
      </c>
      <c r="E89" s="20" t="s">
        <v>11589</v>
      </c>
      <c r="F89" s="22">
        <v>3.47</v>
      </c>
      <c r="G89" s="22" t="s">
        <v>11590</v>
      </c>
      <c r="H89" s="22">
        <v>3.47</v>
      </c>
      <c r="I89" s="25">
        <v>43266</v>
      </c>
      <c r="J89" s="24">
        <v>43328</v>
      </c>
    </row>
    <row r="90" spans="2:10" x14ac:dyDescent="0.2">
      <c r="B90" s="22">
        <v>85</v>
      </c>
      <c r="C90" s="23" t="s">
        <v>11591</v>
      </c>
      <c r="D90" s="23" t="s">
        <v>594</v>
      </c>
      <c r="E90" s="20" t="s">
        <v>11592</v>
      </c>
      <c r="F90" s="22">
        <v>3.109</v>
      </c>
      <c r="G90" s="22" t="s">
        <v>11593</v>
      </c>
      <c r="H90" s="22">
        <v>3.1080000000000001</v>
      </c>
      <c r="I90" s="25">
        <v>43273</v>
      </c>
      <c r="J90" s="24">
        <v>43363</v>
      </c>
    </row>
    <row r="91" spans="2:10" x14ac:dyDescent="0.2">
      <c r="B91" s="22">
        <v>86</v>
      </c>
      <c r="C91" s="23" t="s">
        <v>11594</v>
      </c>
      <c r="D91" s="23" t="s">
        <v>820</v>
      </c>
      <c r="E91" s="20" t="s">
        <v>11595</v>
      </c>
      <c r="F91" s="22">
        <v>3.1379999999999999</v>
      </c>
      <c r="G91" s="22" t="s">
        <v>11596</v>
      </c>
      <c r="H91" s="22">
        <v>2.8879999999999999</v>
      </c>
      <c r="I91" s="25">
        <v>43341</v>
      </c>
      <c r="J91" s="24">
        <v>43433</v>
      </c>
    </row>
    <row r="92" spans="2:10" x14ac:dyDescent="0.2">
      <c r="B92" s="22">
        <v>87</v>
      </c>
      <c r="C92" s="23" t="s">
        <v>11597</v>
      </c>
      <c r="D92" s="23" t="s">
        <v>638</v>
      </c>
      <c r="E92" s="20" t="s">
        <v>11598</v>
      </c>
      <c r="F92" s="22">
        <v>2.431</v>
      </c>
      <c r="G92" s="22" t="s">
        <v>11599</v>
      </c>
      <c r="H92" s="22">
        <v>2.431</v>
      </c>
      <c r="I92" s="25">
        <v>43453</v>
      </c>
      <c r="J92" s="24">
        <v>43166</v>
      </c>
    </row>
    <row r="93" spans="2:10" x14ac:dyDescent="0.2">
      <c r="B93" s="22">
        <v>88</v>
      </c>
      <c r="C93" s="23" t="s">
        <v>11600</v>
      </c>
      <c r="D93" s="23" t="s">
        <v>570</v>
      </c>
      <c r="E93" s="20" t="s">
        <v>11601</v>
      </c>
      <c r="F93" s="22">
        <v>3.03</v>
      </c>
      <c r="G93" s="22" t="s">
        <v>11602</v>
      </c>
      <c r="H93" s="22">
        <v>3.03</v>
      </c>
      <c r="I93" s="25">
        <v>43266</v>
      </c>
      <c r="J93" s="24">
        <v>43303</v>
      </c>
    </row>
    <row r="94" spans="2:10" x14ac:dyDescent="0.2">
      <c r="B94" s="22">
        <v>89</v>
      </c>
      <c r="C94" s="23" t="s">
        <v>11603</v>
      </c>
      <c r="D94" s="23" t="s">
        <v>563</v>
      </c>
      <c r="E94" s="20" t="s">
        <v>11604</v>
      </c>
      <c r="F94" s="22">
        <v>3.2120000000000002</v>
      </c>
      <c r="G94" s="22" t="s">
        <v>11605</v>
      </c>
      <c r="H94" s="22">
        <v>3.2120000000000002</v>
      </c>
      <c r="I94" s="25">
        <v>43364</v>
      </c>
      <c r="J94" s="24">
        <v>43447</v>
      </c>
    </row>
    <row r="95" spans="2:10" x14ac:dyDescent="0.2">
      <c r="B95" s="22">
        <v>90</v>
      </c>
      <c r="C95" s="23" t="s">
        <v>11606</v>
      </c>
      <c r="D95" s="23" t="s">
        <v>594</v>
      </c>
      <c r="E95" s="20" t="s">
        <v>11607</v>
      </c>
      <c r="F95" s="22">
        <v>3.1680000000000001</v>
      </c>
      <c r="G95" s="22" t="s">
        <v>11608</v>
      </c>
      <c r="H95" s="22">
        <v>3.1680000000000001</v>
      </c>
      <c r="I95" s="25">
        <v>43308</v>
      </c>
      <c r="J95" s="24">
        <v>43391</v>
      </c>
    </row>
    <row r="96" spans="2:10" x14ac:dyDescent="0.2">
      <c r="B96" s="22">
        <v>91</v>
      </c>
      <c r="C96" s="23" t="s">
        <v>11609</v>
      </c>
      <c r="D96" s="23" t="s">
        <v>554</v>
      </c>
      <c r="E96" s="20" t="s">
        <v>11610</v>
      </c>
      <c r="F96" s="22">
        <v>3.0049999999999999</v>
      </c>
      <c r="G96" s="22" t="s">
        <v>11611</v>
      </c>
      <c r="H96" s="22">
        <v>3.0049999999999999</v>
      </c>
      <c r="I96" s="25">
        <v>43378</v>
      </c>
      <c r="J96" s="24">
        <v>43159</v>
      </c>
    </row>
    <row r="97" spans="2:10" x14ac:dyDescent="0.2">
      <c r="B97" s="22">
        <v>92</v>
      </c>
      <c r="C97" s="23" t="s">
        <v>11612</v>
      </c>
      <c r="D97" s="23" t="s">
        <v>685</v>
      </c>
      <c r="E97" s="20" t="s">
        <v>11613</v>
      </c>
      <c r="F97" s="22">
        <v>2.6059999999999999</v>
      </c>
      <c r="G97" s="22" t="s">
        <v>11614</v>
      </c>
      <c r="H97" s="22">
        <v>2.5670000000000002</v>
      </c>
      <c r="I97" s="25">
        <v>43308</v>
      </c>
      <c r="J97" s="24">
        <v>43377</v>
      </c>
    </row>
    <row r="98" spans="2:10" x14ac:dyDescent="0.2">
      <c r="B98" s="22">
        <v>93</v>
      </c>
      <c r="C98" s="23" t="s">
        <v>11615</v>
      </c>
      <c r="D98" s="23" t="s">
        <v>643</v>
      </c>
      <c r="E98" s="20" t="s">
        <v>11616</v>
      </c>
      <c r="F98" s="22">
        <v>2.1320000000000001</v>
      </c>
      <c r="G98" s="22" t="s">
        <v>11617</v>
      </c>
      <c r="H98" s="22">
        <v>2.1320000000000001</v>
      </c>
      <c r="I98" s="25">
        <v>43155</v>
      </c>
      <c r="J98" s="24">
        <v>43237</v>
      </c>
    </row>
    <row r="99" spans="2:10" x14ac:dyDescent="0.2">
      <c r="B99" s="22">
        <v>94</v>
      </c>
      <c r="C99" s="23" t="s">
        <v>11618</v>
      </c>
      <c r="D99" s="23" t="s">
        <v>554</v>
      </c>
      <c r="E99" s="20" t="s">
        <v>11619</v>
      </c>
      <c r="F99" s="22">
        <v>2.6179999999999999</v>
      </c>
      <c r="G99" s="22" t="s">
        <v>11620</v>
      </c>
      <c r="H99" s="22">
        <v>2.6179999999999999</v>
      </c>
      <c r="I99" s="25">
        <v>43453</v>
      </c>
      <c r="J99" s="24">
        <v>43222</v>
      </c>
    </row>
    <row r="100" spans="2:10" x14ac:dyDescent="0.2">
      <c r="B100" s="22">
        <v>95</v>
      </c>
      <c r="C100" s="23" t="s">
        <v>11621</v>
      </c>
      <c r="D100" s="23" t="s">
        <v>4860</v>
      </c>
      <c r="E100" s="20" t="s">
        <v>11622</v>
      </c>
      <c r="F100" s="22">
        <v>2.0169999999999999</v>
      </c>
      <c r="G100" s="22" t="s">
        <v>11623</v>
      </c>
      <c r="H100" s="22">
        <v>1</v>
      </c>
      <c r="I100" s="25">
        <v>43294</v>
      </c>
      <c r="J100" s="24">
        <v>43384</v>
      </c>
    </row>
    <row r="101" spans="2:10" x14ac:dyDescent="0.2">
      <c r="B101" s="22">
        <v>96</v>
      </c>
      <c r="C101" s="23" t="s">
        <v>11624</v>
      </c>
      <c r="D101" s="23" t="s">
        <v>3464</v>
      </c>
      <c r="E101" s="20" t="s">
        <v>11625</v>
      </c>
      <c r="F101" s="22">
        <v>3.0830000000000002</v>
      </c>
      <c r="G101" s="22" t="s">
        <v>11626</v>
      </c>
      <c r="H101" s="22">
        <v>3.0830000000000002</v>
      </c>
      <c r="I101" s="25">
        <v>43364</v>
      </c>
      <c r="J101" s="24">
        <v>43454</v>
      </c>
    </row>
    <row r="102" spans="2:10" x14ac:dyDescent="0.2">
      <c r="B102" s="22">
        <v>97</v>
      </c>
      <c r="C102" s="23" t="s">
        <v>11627</v>
      </c>
      <c r="D102" s="23" t="s">
        <v>570</v>
      </c>
      <c r="E102" s="20" t="s">
        <v>11628</v>
      </c>
      <c r="F102" s="22">
        <v>3.3580000000000001</v>
      </c>
      <c r="G102" s="22" t="s">
        <v>11629</v>
      </c>
      <c r="H102" s="22">
        <v>3.3580000000000001</v>
      </c>
      <c r="I102" s="25">
        <v>43217</v>
      </c>
      <c r="J102" s="24">
        <v>43317</v>
      </c>
    </row>
    <row r="103" spans="2:10" x14ac:dyDescent="0.2">
      <c r="B103" s="22">
        <v>98</v>
      </c>
      <c r="C103" s="23" t="s">
        <v>11630</v>
      </c>
      <c r="D103" s="23" t="s">
        <v>563</v>
      </c>
      <c r="E103" s="20" t="s">
        <v>11631</v>
      </c>
      <c r="F103" s="22">
        <v>2.7349999999999999</v>
      </c>
      <c r="G103" s="22" t="s">
        <v>11632</v>
      </c>
      <c r="H103" s="22">
        <v>2.7349999999999999</v>
      </c>
      <c r="I103" s="25">
        <v>43113</v>
      </c>
      <c r="J103" s="24">
        <v>43181</v>
      </c>
    </row>
    <row r="104" spans="2:10" x14ac:dyDescent="0.2">
      <c r="B104" s="22">
        <v>99</v>
      </c>
      <c r="C104" s="23" t="s">
        <v>11633</v>
      </c>
      <c r="D104" s="23" t="s">
        <v>554</v>
      </c>
      <c r="E104" s="20" t="s">
        <v>11634</v>
      </c>
      <c r="F104" s="22">
        <v>1.5669999999999999</v>
      </c>
      <c r="G104" s="22" t="s">
        <v>11635</v>
      </c>
      <c r="H104" s="22">
        <v>1.5629999999999999</v>
      </c>
      <c r="I104" s="25">
        <v>43210</v>
      </c>
      <c r="J104" s="24">
        <v>43321</v>
      </c>
    </row>
    <row r="105" spans="2:10" x14ac:dyDescent="0.2">
      <c r="B105" s="22">
        <v>100</v>
      </c>
      <c r="C105" s="23" t="s">
        <v>11636</v>
      </c>
      <c r="D105" s="23" t="s">
        <v>586</v>
      </c>
      <c r="E105" s="20" t="s">
        <v>11637</v>
      </c>
      <c r="F105" s="22">
        <v>2.9409999999999998</v>
      </c>
      <c r="G105" s="22" t="s">
        <v>11638</v>
      </c>
      <c r="H105" s="22">
        <v>2.9359999999999999</v>
      </c>
      <c r="I105" s="25">
        <v>43217</v>
      </c>
      <c r="J105" s="24">
        <v>43272</v>
      </c>
    </row>
    <row r="106" spans="2:10" x14ac:dyDescent="0.2">
      <c r="B106" s="22">
        <v>101</v>
      </c>
      <c r="C106" s="23" t="s">
        <v>11639</v>
      </c>
      <c r="D106" s="23" t="s">
        <v>563</v>
      </c>
      <c r="E106" s="20" t="s">
        <v>11640</v>
      </c>
      <c r="F106" s="22">
        <v>2.0230000000000001</v>
      </c>
      <c r="G106" s="22" t="s">
        <v>11641</v>
      </c>
      <c r="H106" s="22">
        <v>2.008</v>
      </c>
      <c r="I106" s="25">
        <v>43399</v>
      </c>
      <c r="J106" s="24">
        <v>43124</v>
      </c>
    </row>
    <row r="107" spans="2:10" x14ac:dyDescent="0.2">
      <c r="B107" s="22">
        <v>102</v>
      </c>
      <c r="C107" s="23" t="s">
        <v>11642</v>
      </c>
      <c r="D107" s="23" t="s">
        <v>643</v>
      </c>
      <c r="E107" s="20" t="s">
        <v>11643</v>
      </c>
      <c r="F107" s="22">
        <v>2.7370000000000001</v>
      </c>
      <c r="G107" s="22" t="s">
        <v>11644</v>
      </c>
      <c r="H107" s="22">
        <v>2.7370000000000001</v>
      </c>
      <c r="I107" s="25">
        <v>43127</v>
      </c>
      <c r="J107" s="24">
        <v>43202</v>
      </c>
    </row>
    <row r="108" spans="2:10" x14ac:dyDescent="0.2">
      <c r="B108" s="22">
        <v>103</v>
      </c>
      <c r="C108" s="23" t="s">
        <v>11645</v>
      </c>
      <c r="D108" s="23" t="s">
        <v>685</v>
      </c>
      <c r="E108" s="20" t="s">
        <v>11646</v>
      </c>
      <c r="F108" s="22">
        <v>2.5409999999999999</v>
      </c>
      <c r="G108" s="22" t="s">
        <v>11647</v>
      </c>
      <c r="H108" s="22">
        <v>2.5390000000000001</v>
      </c>
      <c r="I108" s="25">
        <v>43392</v>
      </c>
      <c r="J108" s="24">
        <v>43103</v>
      </c>
    </row>
    <row r="109" spans="2:10" x14ac:dyDescent="0.2">
      <c r="B109" s="22">
        <v>104</v>
      </c>
      <c r="C109" s="23" t="s">
        <v>11648</v>
      </c>
      <c r="D109" s="23" t="s">
        <v>638</v>
      </c>
      <c r="E109" s="20" t="s">
        <v>11649</v>
      </c>
      <c r="F109" s="22">
        <v>2.7320000000000002</v>
      </c>
      <c r="G109" s="22" t="s">
        <v>11650</v>
      </c>
      <c r="H109" s="22">
        <v>2.73</v>
      </c>
      <c r="I109" s="25">
        <v>43286</v>
      </c>
      <c r="J109" s="24">
        <v>43342</v>
      </c>
    </row>
    <row r="110" spans="2:10" x14ac:dyDescent="0.2">
      <c r="B110" s="22">
        <v>105</v>
      </c>
      <c r="C110" s="23" t="s">
        <v>11651</v>
      </c>
      <c r="D110" s="23" t="s">
        <v>660</v>
      </c>
      <c r="E110" s="20" t="s">
        <v>11652</v>
      </c>
      <c r="F110" s="22">
        <v>2.2440000000000002</v>
      </c>
      <c r="G110" s="22" t="s">
        <v>11653</v>
      </c>
      <c r="H110" s="22">
        <v>2.2440000000000002</v>
      </c>
      <c r="I110" s="25">
        <v>43329</v>
      </c>
      <c r="J110" s="24">
        <v>43373</v>
      </c>
    </row>
    <row r="111" spans="2:10" x14ac:dyDescent="0.2">
      <c r="B111" s="22">
        <v>106</v>
      </c>
      <c r="C111" s="23" t="s">
        <v>11654</v>
      </c>
      <c r="D111" s="23" t="s">
        <v>570</v>
      </c>
      <c r="E111" s="20" t="s">
        <v>11655</v>
      </c>
      <c r="F111" s="22">
        <v>2.2549999999999999</v>
      </c>
      <c r="G111" s="22" t="s">
        <v>11656</v>
      </c>
      <c r="H111" s="22">
        <v>2.2549999999999999</v>
      </c>
      <c r="I111" s="25">
        <v>43336</v>
      </c>
      <c r="J111" s="24">
        <v>43394</v>
      </c>
    </row>
    <row r="112" spans="2:10" x14ac:dyDescent="0.2">
      <c r="B112" s="22">
        <v>107</v>
      </c>
      <c r="C112" s="23" t="s">
        <v>11657</v>
      </c>
      <c r="D112" s="23" t="s">
        <v>586</v>
      </c>
      <c r="E112" s="20" t="s">
        <v>11658</v>
      </c>
      <c r="F112" s="22">
        <v>2.133</v>
      </c>
      <c r="G112" s="22" t="s">
        <v>11659</v>
      </c>
      <c r="H112" s="22">
        <v>2.129</v>
      </c>
      <c r="I112" s="25">
        <v>43134</v>
      </c>
      <c r="J112" s="24">
        <v>43195</v>
      </c>
    </row>
    <row r="113" spans="2:10" x14ac:dyDescent="0.2">
      <c r="B113" s="22">
        <v>108</v>
      </c>
      <c r="C113" s="23" t="s">
        <v>11660</v>
      </c>
      <c r="D113" s="23" t="s">
        <v>554</v>
      </c>
      <c r="E113" s="20" t="s">
        <v>11661</v>
      </c>
      <c r="F113" s="22">
        <v>1.522</v>
      </c>
      <c r="G113" s="22" t="s">
        <v>11662</v>
      </c>
      <c r="H113" s="22">
        <v>1.522</v>
      </c>
      <c r="I113" s="25">
        <v>43148</v>
      </c>
      <c r="J113" s="24">
        <v>43258</v>
      </c>
    </row>
    <row r="114" spans="2:10" x14ac:dyDescent="0.2">
      <c r="B114" s="22">
        <v>109</v>
      </c>
      <c r="C114" s="23" t="s">
        <v>11663</v>
      </c>
      <c r="D114" s="23" t="s">
        <v>685</v>
      </c>
      <c r="E114" s="20" t="s">
        <v>11664</v>
      </c>
      <c r="F114" s="22">
        <v>886</v>
      </c>
      <c r="G114" s="22" t="s">
        <v>11665</v>
      </c>
      <c r="H114" s="22">
        <v>15</v>
      </c>
      <c r="I114" s="25">
        <v>43455</v>
      </c>
      <c r="J114" s="24">
        <v>43208</v>
      </c>
    </row>
    <row r="115" spans="2:10" x14ac:dyDescent="0.2">
      <c r="B115" s="22">
        <v>110</v>
      </c>
      <c r="C115" s="23" t="s">
        <v>11666</v>
      </c>
      <c r="D115" s="23" t="s">
        <v>3464</v>
      </c>
      <c r="E115" s="20" t="s">
        <v>11667</v>
      </c>
      <c r="F115" s="22">
        <v>2.4409999999999998</v>
      </c>
      <c r="G115" s="22" t="s">
        <v>11668</v>
      </c>
      <c r="H115" s="22">
        <v>2.4390000000000001</v>
      </c>
      <c r="I115" s="25">
        <v>43120</v>
      </c>
      <c r="J115" s="24">
        <v>43181</v>
      </c>
    </row>
    <row r="116" spans="2:10" x14ac:dyDescent="0.2">
      <c r="B116" s="22">
        <v>111</v>
      </c>
      <c r="C116" s="23" t="s">
        <v>11669</v>
      </c>
      <c r="D116" s="23" t="s">
        <v>685</v>
      </c>
      <c r="E116" s="20" t="s">
        <v>11670</v>
      </c>
      <c r="F116" s="22">
        <v>2.9980000000000002</v>
      </c>
      <c r="G116" s="22" t="s">
        <v>11671</v>
      </c>
      <c r="H116" s="22">
        <v>2.9980000000000002</v>
      </c>
      <c r="I116" s="25">
        <v>43127</v>
      </c>
      <c r="J116" s="24">
        <v>43160</v>
      </c>
    </row>
    <row r="117" spans="2:10" x14ac:dyDescent="0.2">
      <c r="B117" s="22">
        <v>112</v>
      </c>
      <c r="C117" s="23" t="s">
        <v>11672</v>
      </c>
      <c r="D117" s="23" t="s">
        <v>11366</v>
      </c>
      <c r="E117" s="20" t="s">
        <v>11673</v>
      </c>
      <c r="F117" s="22">
        <v>1.895</v>
      </c>
      <c r="G117" s="22" t="s">
        <v>11674</v>
      </c>
      <c r="H117" s="22">
        <v>1.89</v>
      </c>
      <c r="I117" s="25">
        <v>43168</v>
      </c>
      <c r="J117" s="24">
        <v>43251</v>
      </c>
    </row>
    <row r="118" spans="2:10" x14ac:dyDescent="0.2">
      <c r="B118" s="22">
        <v>113</v>
      </c>
      <c r="C118" s="23" t="s">
        <v>11675</v>
      </c>
      <c r="D118" s="23" t="s">
        <v>563</v>
      </c>
      <c r="E118" s="20" t="s">
        <v>11676</v>
      </c>
      <c r="F118" s="22">
        <v>2.4329999999999998</v>
      </c>
      <c r="G118" s="22" t="s">
        <v>11677</v>
      </c>
      <c r="H118" s="22">
        <v>2.4329999999999998</v>
      </c>
      <c r="I118" s="25">
        <v>43245</v>
      </c>
      <c r="J118" s="24">
        <v>43300</v>
      </c>
    </row>
    <row r="119" spans="2:10" x14ac:dyDescent="0.2">
      <c r="B119" s="22">
        <v>114</v>
      </c>
      <c r="C119" s="23" t="s">
        <v>11678</v>
      </c>
      <c r="D119" s="23" t="s">
        <v>685</v>
      </c>
      <c r="E119" s="20" t="s">
        <v>11679</v>
      </c>
      <c r="F119" s="22">
        <v>745</v>
      </c>
      <c r="G119" s="22" t="s">
        <v>11680</v>
      </c>
      <c r="H119" s="22">
        <v>4</v>
      </c>
      <c r="I119" s="25">
        <v>43364</v>
      </c>
      <c r="J119" s="24">
        <v>43138</v>
      </c>
    </row>
    <row r="120" spans="2:10" x14ac:dyDescent="0.2">
      <c r="B120" s="22">
        <v>115</v>
      </c>
      <c r="C120" s="23" t="s">
        <v>11681</v>
      </c>
      <c r="D120" s="23" t="s">
        <v>863</v>
      </c>
      <c r="E120" s="20" t="s">
        <v>11682</v>
      </c>
      <c r="F120" s="22">
        <v>2.9329999999999998</v>
      </c>
      <c r="G120" s="22" t="s">
        <v>11683</v>
      </c>
      <c r="H120" s="22">
        <v>2.9329999999999998</v>
      </c>
      <c r="I120" s="25">
        <v>43399</v>
      </c>
      <c r="J120" s="24">
        <v>43450</v>
      </c>
    </row>
    <row r="121" spans="2:10" x14ac:dyDescent="0.2">
      <c r="B121" s="22">
        <v>116</v>
      </c>
      <c r="C121" s="23" t="s">
        <v>11684</v>
      </c>
      <c r="D121" s="23" t="s">
        <v>586</v>
      </c>
      <c r="E121" s="20" t="s">
        <v>11685</v>
      </c>
      <c r="F121" s="22">
        <v>2.0019999999999998</v>
      </c>
      <c r="G121" s="22" t="s">
        <v>11686</v>
      </c>
      <c r="H121" s="22">
        <v>2.0019999999999998</v>
      </c>
      <c r="I121" s="25">
        <v>43155</v>
      </c>
      <c r="J121" s="24">
        <v>43195</v>
      </c>
    </row>
    <row r="122" spans="2:10" x14ac:dyDescent="0.2">
      <c r="B122" s="22">
        <v>117</v>
      </c>
      <c r="C122" s="23" t="s">
        <v>11687</v>
      </c>
      <c r="D122" s="23" t="s">
        <v>643</v>
      </c>
      <c r="E122" s="20" t="s">
        <v>11688</v>
      </c>
      <c r="F122" s="22">
        <v>2.2709999999999999</v>
      </c>
      <c r="G122" s="22" t="s">
        <v>11689</v>
      </c>
      <c r="H122" s="22">
        <v>2.266</v>
      </c>
      <c r="I122" s="25">
        <v>43217</v>
      </c>
      <c r="J122" s="24">
        <v>43272</v>
      </c>
    </row>
    <row r="123" spans="2:10" x14ac:dyDescent="0.2">
      <c r="B123" s="22">
        <v>118</v>
      </c>
      <c r="C123" s="23" t="s">
        <v>11690</v>
      </c>
      <c r="D123" s="23" t="s">
        <v>1015</v>
      </c>
      <c r="E123" s="20" t="s">
        <v>11691</v>
      </c>
      <c r="F123" s="22">
        <v>806</v>
      </c>
      <c r="G123" s="22" t="s">
        <v>11692</v>
      </c>
      <c r="H123" s="22">
        <v>5</v>
      </c>
      <c r="I123" s="25">
        <v>43273</v>
      </c>
      <c r="J123" s="24">
        <v>43419</v>
      </c>
    </row>
    <row r="124" spans="2:10" x14ac:dyDescent="0.2">
      <c r="B124" s="22">
        <v>119</v>
      </c>
      <c r="C124" s="23" t="s">
        <v>11693</v>
      </c>
      <c r="D124" s="23" t="s">
        <v>820</v>
      </c>
      <c r="E124" s="20" t="s">
        <v>11694</v>
      </c>
      <c r="F124" s="22">
        <v>864</v>
      </c>
      <c r="G124" s="22" t="s">
        <v>11695</v>
      </c>
      <c r="H124" s="22">
        <v>5</v>
      </c>
      <c r="I124" s="25">
        <v>43357</v>
      </c>
      <c r="J124" s="24">
        <v>43173</v>
      </c>
    </row>
    <row r="125" spans="2:10" x14ac:dyDescent="0.2">
      <c r="B125" s="22">
        <v>120</v>
      </c>
      <c r="C125" s="23" t="s">
        <v>11696</v>
      </c>
      <c r="D125" s="23" t="s">
        <v>3464</v>
      </c>
      <c r="E125" s="20" t="s">
        <v>11697</v>
      </c>
      <c r="F125" s="22">
        <v>2.2090000000000001</v>
      </c>
      <c r="G125" s="22" t="s">
        <v>11698</v>
      </c>
      <c r="H125" s="22">
        <v>2.2029999999999998</v>
      </c>
      <c r="I125" s="25">
        <v>43217</v>
      </c>
      <c r="J125" s="24">
        <v>43293</v>
      </c>
    </row>
    <row r="126" spans="2:10" x14ac:dyDescent="0.2">
      <c r="B126" s="22">
        <v>121</v>
      </c>
      <c r="C126" s="23" t="s">
        <v>11699</v>
      </c>
      <c r="D126" s="23" t="s">
        <v>586</v>
      </c>
      <c r="E126" s="20" t="s">
        <v>11700</v>
      </c>
      <c r="F126" s="22">
        <v>1.8720000000000001</v>
      </c>
      <c r="G126" s="22" t="s">
        <v>11701</v>
      </c>
      <c r="H126" s="22">
        <v>1.8680000000000001</v>
      </c>
      <c r="I126" s="25">
        <v>43406</v>
      </c>
      <c r="J126" s="24">
        <v>43454</v>
      </c>
    </row>
    <row r="127" spans="2:10" x14ac:dyDescent="0.2">
      <c r="B127" s="22">
        <v>122</v>
      </c>
      <c r="C127" s="23" t="s">
        <v>11702</v>
      </c>
      <c r="D127" s="23" t="s">
        <v>820</v>
      </c>
      <c r="E127" s="20" t="s">
        <v>11703</v>
      </c>
      <c r="F127" s="22">
        <v>2.4239999999999999</v>
      </c>
      <c r="G127" s="22" t="s">
        <v>11704</v>
      </c>
      <c r="H127" s="22">
        <v>2.4239999999999999</v>
      </c>
      <c r="I127" s="25">
        <v>43434</v>
      </c>
      <c r="J127" s="24">
        <v>43152</v>
      </c>
    </row>
    <row r="128" spans="2:10" x14ac:dyDescent="0.2">
      <c r="B128" s="22">
        <v>123</v>
      </c>
      <c r="C128" s="23" t="s">
        <v>11705</v>
      </c>
      <c r="D128" s="23" t="s">
        <v>1299</v>
      </c>
      <c r="E128" s="20" t="s">
        <v>11706</v>
      </c>
      <c r="F128" s="22">
        <v>1.48</v>
      </c>
      <c r="G128" s="22" t="s">
        <v>11707</v>
      </c>
      <c r="H128" s="22">
        <v>1.48</v>
      </c>
      <c r="I128" s="25">
        <v>43385</v>
      </c>
      <c r="J128" s="24">
        <v>43454</v>
      </c>
    </row>
    <row r="129" spans="2:10" x14ac:dyDescent="0.2">
      <c r="B129" s="22">
        <v>124</v>
      </c>
      <c r="C129" s="23" t="s">
        <v>11708</v>
      </c>
      <c r="D129" s="23" t="s">
        <v>563</v>
      </c>
      <c r="E129" s="20" t="s">
        <v>11709</v>
      </c>
      <c r="F129" s="22">
        <v>52</v>
      </c>
      <c r="G129" s="22" t="s">
        <v>11710</v>
      </c>
      <c r="H129" s="22">
        <v>50</v>
      </c>
      <c r="I129" s="25">
        <v>43210</v>
      </c>
      <c r="J129" s="22" t="s">
        <v>558</v>
      </c>
    </row>
    <row r="130" spans="2:10" x14ac:dyDescent="0.2">
      <c r="B130" s="22">
        <v>125</v>
      </c>
      <c r="C130" s="23" t="s">
        <v>11711</v>
      </c>
      <c r="D130" s="23" t="s">
        <v>9487</v>
      </c>
      <c r="E130" s="20" t="s">
        <v>11712</v>
      </c>
      <c r="F130" s="22">
        <v>2.335</v>
      </c>
      <c r="G130" s="22" t="s">
        <v>11713</v>
      </c>
      <c r="H130" s="22">
        <v>2.3079999999999998</v>
      </c>
      <c r="I130" s="25">
        <v>43203</v>
      </c>
      <c r="J130" s="24">
        <v>43244</v>
      </c>
    </row>
    <row r="131" spans="2:10" x14ac:dyDescent="0.2">
      <c r="B131" s="22">
        <v>126</v>
      </c>
      <c r="C131" s="23" t="s">
        <v>11714</v>
      </c>
      <c r="D131" s="23" t="s">
        <v>863</v>
      </c>
      <c r="E131" s="20" t="s">
        <v>11715</v>
      </c>
      <c r="F131" s="22">
        <v>2.87</v>
      </c>
      <c r="G131" s="22" t="s">
        <v>11716</v>
      </c>
      <c r="H131" s="22">
        <v>2.87</v>
      </c>
      <c r="I131" s="25">
        <v>43334</v>
      </c>
      <c r="J131" s="24">
        <v>43384</v>
      </c>
    </row>
    <row r="132" spans="2:10" x14ac:dyDescent="0.2">
      <c r="B132" s="22">
        <v>127</v>
      </c>
      <c r="C132" s="23" t="s">
        <v>11717</v>
      </c>
      <c r="D132" s="23" t="s">
        <v>643</v>
      </c>
      <c r="E132" s="20" t="s">
        <v>11718</v>
      </c>
      <c r="F132" s="22">
        <v>2.5569999999999999</v>
      </c>
      <c r="G132" s="22" t="s">
        <v>11719</v>
      </c>
      <c r="H132" s="22">
        <v>2.5059999999999998</v>
      </c>
      <c r="I132" s="25">
        <v>43364</v>
      </c>
      <c r="J132" s="24">
        <v>43405</v>
      </c>
    </row>
    <row r="133" spans="2:10" x14ac:dyDescent="0.2">
      <c r="B133" s="22">
        <v>128</v>
      </c>
      <c r="C133" s="23" t="s">
        <v>11720</v>
      </c>
      <c r="D133" s="23" t="s">
        <v>9487</v>
      </c>
      <c r="E133" s="20" t="s">
        <v>11721</v>
      </c>
      <c r="F133" s="22">
        <v>2.84</v>
      </c>
      <c r="G133" s="22" t="s">
        <v>11722</v>
      </c>
      <c r="H133" s="22">
        <v>2.8370000000000002</v>
      </c>
      <c r="I133" s="25">
        <v>43441</v>
      </c>
      <c r="J133" s="24">
        <v>43152</v>
      </c>
    </row>
    <row r="134" spans="2:10" x14ac:dyDescent="0.2">
      <c r="B134" s="22">
        <v>129</v>
      </c>
      <c r="C134" s="23" t="s">
        <v>11723</v>
      </c>
      <c r="D134" s="23" t="s">
        <v>740</v>
      </c>
      <c r="E134" s="20" t="s">
        <v>11724</v>
      </c>
      <c r="F134" s="22">
        <v>422</v>
      </c>
      <c r="G134" s="22" t="s">
        <v>11725</v>
      </c>
      <c r="H134" s="22">
        <v>16</v>
      </c>
      <c r="I134" s="25">
        <v>43420</v>
      </c>
      <c r="J134" s="24">
        <v>43159</v>
      </c>
    </row>
    <row r="135" spans="2:10" x14ac:dyDescent="0.2">
      <c r="B135" s="22">
        <v>130</v>
      </c>
      <c r="C135" s="23" t="s">
        <v>11726</v>
      </c>
      <c r="D135" s="23" t="s">
        <v>830</v>
      </c>
      <c r="E135" s="20" t="s">
        <v>11727</v>
      </c>
      <c r="F135" s="22">
        <v>318</v>
      </c>
      <c r="G135" s="22" t="s">
        <v>11728</v>
      </c>
      <c r="H135" s="22">
        <v>4</v>
      </c>
      <c r="I135" s="25">
        <v>43278</v>
      </c>
      <c r="J135" s="24">
        <v>43180</v>
      </c>
    </row>
    <row r="136" spans="2:10" x14ac:dyDescent="0.2">
      <c r="B136" s="22">
        <v>131</v>
      </c>
      <c r="C136" s="23" t="s">
        <v>11729</v>
      </c>
      <c r="D136" s="23" t="s">
        <v>863</v>
      </c>
      <c r="E136" s="20" t="s">
        <v>11730</v>
      </c>
      <c r="F136" s="22">
        <v>2.1240000000000001</v>
      </c>
      <c r="G136" s="22" t="s">
        <v>11731</v>
      </c>
      <c r="H136" s="22">
        <v>2.1240000000000001</v>
      </c>
      <c r="I136" s="25">
        <v>43168</v>
      </c>
      <c r="J136" s="24">
        <v>43223</v>
      </c>
    </row>
    <row r="137" spans="2:10" x14ac:dyDescent="0.2">
      <c r="B137" s="22">
        <v>132</v>
      </c>
      <c r="C137" s="23" t="s">
        <v>11732</v>
      </c>
      <c r="D137" s="23" t="s">
        <v>638</v>
      </c>
      <c r="E137" s="20" t="s">
        <v>11733</v>
      </c>
      <c r="F137" s="22">
        <v>840</v>
      </c>
      <c r="G137" s="22" t="s">
        <v>11734</v>
      </c>
      <c r="H137" s="22">
        <v>840</v>
      </c>
      <c r="I137" s="25">
        <v>43455</v>
      </c>
      <c r="J137" s="24">
        <v>43145</v>
      </c>
    </row>
    <row r="138" spans="2:10" x14ac:dyDescent="0.2">
      <c r="B138" s="22">
        <v>133</v>
      </c>
      <c r="C138" s="23" t="s">
        <v>11735</v>
      </c>
      <c r="D138" s="23" t="s">
        <v>554</v>
      </c>
      <c r="E138" s="20" t="s">
        <v>11736</v>
      </c>
      <c r="F138" s="22">
        <v>2.0550000000000002</v>
      </c>
      <c r="G138" s="22" t="s">
        <v>11737</v>
      </c>
      <c r="H138" s="22">
        <v>2.0550000000000002</v>
      </c>
      <c r="I138" s="25">
        <v>43280</v>
      </c>
      <c r="J138" s="24">
        <v>43342</v>
      </c>
    </row>
    <row r="139" spans="2:10" x14ac:dyDescent="0.2">
      <c r="B139" s="22">
        <v>134</v>
      </c>
      <c r="C139" s="23" t="s">
        <v>11738</v>
      </c>
      <c r="D139" s="23" t="s">
        <v>685</v>
      </c>
      <c r="E139" s="20" t="s">
        <v>11739</v>
      </c>
      <c r="F139" s="22">
        <v>2.1859999999999999</v>
      </c>
      <c r="G139" s="22" t="s">
        <v>11740</v>
      </c>
      <c r="H139" s="22">
        <v>2.1859999999999999</v>
      </c>
      <c r="I139" s="25">
        <v>43155</v>
      </c>
      <c r="J139" s="24">
        <v>43202</v>
      </c>
    </row>
    <row r="140" spans="2:10" x14ac:dyDescent="0.2">
      <c r="B140" s="22">
        <v>135</v>
      </c>
      <c r="C140" s="23" t="s">
        <v>11741</v>
      </c>
      <c r="D140" s="23" t="s">
        <v>1299</v>
      </c>
      <c r="E140" s="20" t="s">
        <v>11742</v>
      </c>
      <c r="F140" s="22">
        <v>2.8010000000000002</v>
      </c>
      <c r="G140" s="22" t="s">
        <v>11743</v>
      </c>
      <c r="H140" s="22">
        <v>2.8010000000000002</v>
      </c>
      <c r="I140" s="25">
        <v>43350</v>
      </c>
      <c r="J140" s="24">
        <v>43377</v>
      </c>
    </row>
    <row r="141" spans="2:10" x14ac:dyDescent="0.2">
      <c r="B141" s="22">
        <v>136</v>
      </c>
      <c r="C141" s="23" t="s">
        <v>11744</v>
      </c>
      <c r="D141" s="23" t="s">
        <v>820</v>
      </c>
      <c r="E141" s="20" t="s">
        <v>11745</v>
      </c>
      <c r="F141" s="22">
        <v>194</v>
      </c>
      <c r="G141" s="22" t="s">
        <v>11746</v>
      </c>
      <c r="H141" s="22">
        <v>4</v>
      </c>
      <c r="I141" s="25">
        <v>43245</v>
      </c>
      <c r="J141" s="24">
        <v>43117</v>
      </c>
    </row>
    <row r="142" spans="2:10" x14ac:dyDescent="0.2">
      <c r="B142" s="22">
        <v>137</v>
      </c>
      <c r="C142" s="23" t="s">
        <v>11747</v>
      </c>
      <c r="D142" s="23" t="s">
        <v>638</v>
      </c>
      <c r="E142" s="20" t="s">
        <v>11748</v>
      </c>
      <c r="F142" s="22">
        <v>3.016</v>
      </c>
      <c r="G142" s="22" t="s">
        <v>11749</v>
      </c>
      <c r="H142" s="22">
        <v>3.0139999999999998</v>
      </c>
      <c r="I142" s="25">
        <v>43399</v>
      </c>
      <c r="J142" s="24">
        <v>43447</v>
      </c>
    </row>
    <row r="143" spans="2:10" x14ac:dyDescent="0.2">
      <c r="B143" s="22">
        <v>138</v>
      </c>
      <c r="C143" s="23" t="s">
        <v>11750</v>
      </c>
      <c r="D143" s="23" t="s">
        <v>7800</v>
      </c>
      <c r="E143" s="20" t="s">
        <v>11751</v>
      </c>
      <c r="F143" s="22">
        <v>332</v>
      </c>
      <c r="G143" s="22" t="s">
        <v>11752</v>
      </c>
      <c r="H143" s="22">
        <v>3</v>
      </c>
      <c r="I143" s="25">
        <v>43217</v>
      </c>
      <c r="J143" s="24">
        <v>43363</v>
      </c>
    </row>
    <row r="144" spans="2:10" x14ac:dyDescent="0.2">
      <c r="B144" s="22">
        <v>139</v>
      </c>
      <c r="C144" s="23" t="s">
        <v>11753</v>
      </c>
      <c r="D144" s="23" t="s">
        <v>1299</v>
      </c>
      <c r="E144" s="20" t="s">
        <v>11754</v>
      </c>
      <c r="F144" s="22">
        <v>524</v>
      </c>
      <c r="G144" s="22" t="s">
        <v>11755</v>
      </c>
      <c r="H144" s="22">
        <v>18</v>
      </c>
      <c r="I144" s="25">
        <v>43168</v>
      </c>
      <c r="J144" s="24">
        <v>43258</v>
      </c>
    </row>
    <row r="145" spans="2:10" x14ac:dyDescent="0.2">
      <c r="B145" s="22">
        <v>140</v>
      </c>
      <c r="C145" s="23" t="s">
        <v>11756</v>
      </c>
      <c r="D145" s="23" t="s">
        <v>1043</v>
      </c>
      <c r="E145" s="20" t="s">
        <v>11757</v>
      </c>
      <c r="F145" s="22">
        <v>256</v>
      </c>
      <c r="G145" s="22" t="s">
        <v>11758</v>
      </c>
      <c r="H145" s="22">
        <v>197</v>
      </c>
      <c r="I145" s="25">
        <v>43357</v>
      </c>
      <c r="J145" s="24">
        <v>43117</v>
      </c>
    </row>
    <row r="146" spans="2:10" x14ac:dyDescent="0.2">
      <c r="B146" s="22">
        <v>141</v>
      </c>
      <c r="C146" s="23" t="s">
        <v>11759</v>
      </c>
      <c r="D146" s="23" t="s">
        <v>740</v>
      </c>
      <c r="E146" s="20" t="s">
        <v>11760</v>
      </c>
      <c r="F146" s="22">
        <v>1.6759999999999999</v>
      </c>
      <c r="G146" s="22" t="s">
        <v>11761</v>
      </c>
      <c r="H146" s="22">
        <v>25</v>
      </c>
      <c r="I146" s="25">
        <v>43462</v>
      </c>
      <c r="J146" s="24">
        <v>43124</v>
      </c>
    </row>
    <row r="147" spans="2:10" x14ac:dyDescent="0.2">
      <c r="B147" s="22">
        <v>142</v>
      </c>
      <c r="C147" s="23" t="s">
        <v>11762</v>
      </c>
      <c r="D147" s="23" t="s">
        <v>1043</v>
      </c>
      <c r="E147" s="20" t="s">
        <v>11763</v>
      </c>
      <c r="F147" s="22">
        <v>640</v>
      </c>
      <c r="G147" s="22" t="s">
        <v>11764</v>
      </c>
      <c r="H147" s="22">
        <v>369</v>
      </c>
      <c r="I147" s="25">
        <v>43168</v>
      </c>
      <c r="J147" s="24">
        <v>43265</v>
      </c>
    </row>
    <row r="148" spans="2:10" x14ac:dyDescent="0.2">
      <c r="B148" s="22">
        <v>143</v>
      </c>
      <c r="C148" s="23" t="s">
        <v>11765</v>
      </c>
      <c r="D148" s="23" t="s">
        <v>740</v>
      </c>
      <c r="E148" s="20" t="s">
        <v>11766</v>
      </c>
      <c r="F148" s="22">
        <v>1.625</v>
      </c>
      <c r="G148" s="22" t="s">
        <v>11767</v>
      </c>
      <c r="H148" s="22">
        <v>1.625</v>
      </c>
      <c r="I148" s="25">
        <v>43273</v>
      </c>
      <c r="J148" s="24">
        <v>43286</v>
      </c>
    </row>
    <row r="149" spans="2:10" x14ac:dyDescent="0.2">
      <c r="B149" s="22">
        <v>144</v>
      </c>
      <c r="C149" s="23" t="s">
        <v>11768</v>
      </c>
      <c r="D149" s="23" t="s">
        <v>9971</v>
      </c>
      <c r="E149" s="20" t="s">
        <v>11769</v>
      </c>
      <c r="F149" s="22">
        <v>1.403</v>
      </c>
      <c r="G149" s="22" t="s">
        <v>11770</v>
      </c>
      <c r="H149" s="22">
        <v>1.403</v>
      </c>
      <c r="I149" s="25">
        <v>43434</v>
      </c>
      <c r="J149" s="24">
        <v>43464</v>
      </c>
    </row>
    <row r="150" spans="2:10" x14ac:dyDescent="0.2">
      <c r="B150" s="22">
        <v>145</v>
      </c>
      <c r="C150" s="23" t="s">
        <v>11771</v>
      </c>
      <c r="D150" s="23" t="s">
        <v>1015</v>
      </c>
      <c r="E150" s="20" t="s">
        <v>11772</v>
      </c>
      <c r="F150" s="22">
        <v>333</v>
      </c>
      <c r="G150" s="22" t="s">
        <v>11773</v>
      </c>
      <c r="H150" s="22">
        <v>3</v>
      </c>
      <c r="I150" s="25">
        <v>43453</v>
      </c>
      <c r="J150" s="24">
        <v>43236</v>
      </c>
    </row>
    <row r="151" spans="2:10" x14ac:dyDescent="0.2">
      <c r="B151" s="22">
        <v>146</v>
      </c>
      <c r="C151" s="23" t="s">
        <v>11774</v>
      </c>
      <c r="D151" s="23" t="s">
        <v>740</v>
      </c>
      <c r="E151" s="20" t="s">
        <v>11775</v>
      </c>
      <c r="F151" s="22">
        <v>246</v>
      </c>
      <c r="G151" s="22" t="s">
        <v>11776</v>
      </c>
      <c r="H151" s="22">
        <v>4</v>
      </c>
      <c r="I151" s="25">
        <v>43441</v>
      </c>
      <c r="J151" s="24">
        <v>43187</v>
      </c>
    </row>
    <row r="152" spans="2:10" x14ac:dyDescent="0.2">
      <c r="B152" s="22">
        <v>147</v>
      </c>
      <c r="C152" s="23" t="s">
        <v>11777</v>
      </c>
      <c r="D152" s="23" t="s">
        <v>830</v>
      </c>
      <c r="E152" s="20" t="s">
        <v>11778</v>
      </c>
      <c r="F152" s="22">
        <v>561</v>
      </c>
      <c r="G152" s="22" t="s">
        <v>11779</v>
      </c>
      <c r="H152" s="22">
        <v>17</v>
      </c>
      <c r="I152" s="25">
        <v>43427</v>
      </c>
      <c r="J152" s="24">
        <v>43173</v>
      </c>
    </row>
    <row r="153" spans="2:10" x14ac:dyDescent="0.2">
      <c r="B153" s="22">
        <v>148</v>
      </c>
      <c r="C153" s="23" t="s">
        <v>11780</v>
      </c>
      <c r="D153" s="23" t="s">
        <v>594</v>
      </c>
      <c r="E153" s="20" t="s">
        <v>11781</v>
      </c>
      <c r="F153" s="22">
        <v>2.0299999999999998</v>
      </c>
      <c r="G153" s="22" t="s">
        <v>11782</v>
      </c>
      <c r="H153" s="22">
        <v>2.0019999999999998</v>
      </c>
      <c r="I153" s="25">
        <v>43399</v>
      </c>
      <c r="J153" s="24">
        <v>43113</v>
      </c>
    </row>
    <row r="154" spans="2:10" x14ac:dyDescent="0.2">
      <c r="B154" s="22">
        <v>149</v>
      </c>
      <c r="C154" s="23" t="s">
        <v>11783</v>
      </c>
      <c r="D154" s="23" t="s">
        <v>830</v>
      </c>
      <c r="E154" s="20" t="s">
        <v>11784</v>
      </c>
      <c r="F154" s="22">
        <v>516</v>
      </c>
      <c r="G154" s="22" t="s">
        <v>11785</v>
      </c>
      <c r="H154" s="22">
        <v>4</v>
      </c>
      <c r="I154" s="25">
        <v>43392</v>
      </c>
      <c r="J154" s="24">
        <v>43173</v>
      </c>
    </row>
    <row r="155" spans="2:10" x14ac:dyDescent="0.2">
      <c r="B155" s="22">
        <v>150</v>
      </c>
      <c r="C155" s="23" t="s">
        <v>11786</v>
      </c>
      <c r="D155" s="23" t="s">
        <v>643</v>
      </c>
      <c r="E155" s="20" t="s">
        <v>11787</v>
      </c>
      <c r="F155" s="22">
        <v>475</v>
      </c>
      <c r="G155" s="22" t="s">
        <v>11788</v>
      </c>
      <c r="H155" s="22">
        <v>382</v>
      </c>
      <c r="I155" s="25">
        <v>43175</v>
      </c>
      <c r="J155" s="24">
        <v>43237</v>
      </c>
    </row>
    <row r="156" spans="2:10" x14ac:dyDescent="0.2">
      <c r="B156" s="22">
        <v>151</v>
      </c>
      <c r="C156" s="23" t="s">
        <v>11789</v>
      </c>
      <c r="D156" s="23" t="s">
        <v>11790</v>
      </c>
      <c r="E156" s="20" t="s">
        <v>11791</v>
      </c>
      <c r="F156" s="22">
        <v>757</v>
      </c>
      <c r="G156" s="22" t="s">
        <v>11792</v>
      </c>
      <c r="H156" s="22">
        <v>757</v>
      </c>
      <c r="I156" s="25">
        <v>43252</v>
      </c>
      <c r="J156" s="24">
        <v>43328</v>
      </c>
    </row>
    <row r="157" spans="2:10" x14ac:dyDescent="0.2">
      <c r="B157" s="22">
        <v>152</v>
      </c>
      <c r="C157" s="23" t="s">
        <v>11793</v>
      </c>
      <c r="D157" s="23" t="s">
        <v>594</v>
      </c>
      <c r="E157" s="20" t="s">
        <v>11794</v>
      </c>
      <c r="F157" s="22">
        <v>2.5169999999999999</v>
      </c>
      <c r="G157" s="22" t="s">
        <v>11795</v>
      </c>
      <c r="H157" s="22">
        <v>2.5150000000000001</v>
      </c>
      <c r="I157" s="25">
        <v>43371</v>
      </c>
      <c r="J157" s="24">
        <v>43426</v>
      </c>
    </row>
    <row r="158" spans="2:10" x14ac:dyDescent="0.2">
      <c r="B158" s="22">
        <v>153</v>
      </c>
      <c r="C158" s="23" t="s">
        <v>11796</v>
      </c>
      <c r="D158" s="23" t="s">
        <v>1594</v>
      </c>
      <c r="E158" s="20" t="s">
        <v>11797</v>
      </c>
      <c r="F158" s="22">
        <v>390</v>
      </c>
      <c r="G158" s="22" t="s">
        <v>11798</v>
      </c>
      <c r="H158" s="22">
        <v>390</v>
      </c>
      <c r="I158" s="25">
        <v>43182</v>
      </c>
      <c r="J158" s="24">
        <v>43265</v>
      </c>
    </row>
    <row r="159" spans="2:10" x14ac:dyDescent="0.2">
      <c r="B159" s="22">
        <v>154</v>
      </c>
      <c r="C159" s="23" t="s">
        <v>11799</v>
      </c>
      <c r="D159" s="23" t="s">
        <v>563</v>
      </c>
      <c r="E159" s="20" t="s">
        <v>11800</v>
      </c>
      <c r="F159" s="22">
        <v>810</v>
      </c>
      <c r="G159" s="22" t="s">
        <v>11801</v>
      </c>
      <c r="H159" s="22">
        <v>810</v>
      </c>
      <c r="I159" s="25">
        <v>43336</v>
      </c>
      <c r="J159" s="24">
        <v>43384</v>
      </c>
    </row>
    <row r="160" spans="2:10" x14ac:dyDescent="0.2">
      <c r="B160" s="22">
        <v>155</v>
      </c>
      <c r="C160" s="23" t="s">
        <v>11802</v>
      </c>
      <c r="D160" s="23" t="s">
        <v>11803</v>
      </c>
      <c r="E160" s="20" t="s">
        <v>11804</v>
      </c>
      <c r="F160" s="22">
        <v>513</v>
      </c>
      <c r="G160" s="22" t="s">
        <v>11805</v>
      </c>
      <c r="H160" s="22">
        <v>254</v>
      </c>
      <c r="I160" s="25">
        <v>43175</v>
      </c>
      <c r="J160" s="24">
        <v>43237</v>
      </c>
    </row>
    <row r="161" spans="2:10" x14ac:dyDescent="0.2">
      <c r="B161" s="22">
        <v>156</v>
      </c>
      <c r="C161" s="23" t="s">
        <v>11806</v>
      </c>
      <c r="D161" s="23" t="s">
        <v>1039</v>
      </c>
      <c r="E161" s="20" t="s">
        <v>11807</v>
      </c>
      <c r="F161" s="22">
        <v>242</v>
      </c>
      <c r="G161" s="22" t="s">
        <v>11808</v>
      </c>
      <c r="H161" s="22">
        <v>241</v>
      </c>
      <c r="I161" s="25">
        <v>43155</v>
      </c>
      <c r="J161" s="24">
        <v>43251</v>
      </c>
    </row>
    <row r="162" spans="2:10" x14ac:dyDescent="0.2">
      <c r="B162" s="22">
        <v>157</v>
      </c>
      <c r="C162" s="23" t="s">
        <v>11809</v>
      </c>
      <c r="D162" s="23" t="s">
        <v>1015</v>
      </c>
      <c r="E162" s="20" t="s">
        <v>11810</v>
      </c>
      <c r="F162" s="22">
        <v>881</v>
      </c>
      <c r="G162" s="22" t="s">
        <v>11811</v>
      </c>
      <c r="H162" s="22">
        <v>14</v>
      </c>
      <c r="I162" s="25">
        <v>43182</v>
      </c>
      <c r="J162" s="24">
        <v>43293</v>
      </c>
    </row>
    <row r="163" spans="2:10" x14ac:dyDescent="0.2">
      <c r="B163" s="22">
        <v>158</v>
      </c>
      <c r="C163" s="23" t="s">
        <v>11812</v>
      </c>
      <c r="D163" s="23" t="s">
        <v>9487</v>
      </c>
      <c r="E163" s="20" t="s">
        <v>11813</v>
      </c>
      <c r="F163" s="22">
        <v>182</v>
      </c>
      <c r="G163" s="22" t="s">
        <v>11814</v>
      </c>
      <c r="H163" s="22">
        <v>9</v>
      </c>
      <c r="I163" s="25">
        <v>43259</v>
      </c>
      <c r="J163" s="24">
        <v>43391</v>
      </c>
    </row>
    <row r="164" spans="2:10" x14ac:dyDescent="0.2">
      <c r="B164" s="22">
        <v>159</v>
      </c>
      <c r="C164" s="23" t="s">
        <v>11815</v>
      </c>
      <c r="D164" s="23" t="s">
        <v>820</v>
      </c>
      <c r="E164" s="20" t="s">
        <v>11816</v>
      </c>
      <c r="F164" s="22">
        <v>263</v>
      </c>
      <c r="G164" s="22" t="s">
        <v>11817</v>
      </c>
      <c r="H164" s="22">
        <v>158</v>
      </c>
      <c r="I164" s="25">
        <v>43203</v>
      </c>
      <c r="J164" s="24">
        <v>43272</v>
      </c>
    </row>
    <row r="165" spans="2:10" x14ac:dyDescent="0.2">
      <c r="B165" s="22">
        <v>160</v>
      </c>
      <c r="C165" s="23" t="s">
        <v>11818</v>
      </c>
      <c r="D165" s="23" t="s">
        <v>685</v>
      </c>
      <c r="E165" s="20" t="s">
        <v>11819</v>
      </c>
      <c r="F165" s="22">
        <v>1.5109999999999999</v>
      </c>
      <c r="G165" s="22" t="s">
        <v>11820</v>
      </c>
      <c r="H165" s="22">
        <v>1.5109999999999999</v>
      </c>
      <c r="I165" s="25">
        <v>43350</v>
      </c>
      <c r="J165" s="24">
        <v>43377</v>
      </c>
    </row>
    <row r="166" spans="2:10" x14ac:dyDescent="0.2">
      <c r="B166" s="22">
        <v>161</v>
      </c>
      <c r="C166" s="23" t="s">
        <v>11821</v>
      </c>
      <c r="D166" s="23" t="s">
        <v>1015</v>
      </c>
      <c r="E166" s="20" t="s">
        <v>11822</v>
      </c>
      <c r="F166" s="22">
        <v>157</v>
      </c>
      <c r="G166" s="22" t="s">
        <v>11823</v>
      </c>
      <c r="H166" s="22">
        <v>3</v>
      </c>
      <c r="I166" s="25">
        <v>43308</v>
      </c>
      <c r="J166" s="24">
        <v>43334</v>
      </c>
    </row>
    <row r="167" spans="2:10" x14ac:dyDescent="0.2">
      <c r="B167" s="22">
        <v>162</v>
      </c>
      <c r="C167" s="23" t="s">
        <v>11824</v>
      </c>
      <c r="D167" s="23" t="s">
        <v>11790</v>
      </c>
      <c r="E167" s="20" t="s">
        <v>11825</v>
      </c>
      <c r="F167" s="22">
        <v>800</v>
      </c>
      <c r="G167" s="22" t="s">
        <v>11826</v>
      </c>
      <c r="H167" s="22">
        <v>800</v>
      </c>
      <c r="I167" s="25">
        <v>43320</v>
      </c>
      <c r="J167" s="24">
        <v>43384</v>
      </c>
    </row>
    <row r="168" spans="2:10" x14ac:dyDescent="0.2">
      <c r="B168" s="22">
        <v>163</v>
      </c>
      <c r="C168" s="23" t="s">
        <v>11827</v>
      </c>
      <c r="D168" s="23" t="s">
        <v>1035</v>
      </c>
      <c r="E168" s="20" t="s">
        <v>11828</v>
      </c>
      <c r="F168" s="22">
        <v>1.012</v>
      </c>
      <c r="G168" s="22" t="s">
        <v>11829</v>
      </c>
      <c r="H168" s="22">
        <v>1.012</v>
      </c>
      <c r="I168" s="25">
        <v>43385</v>
      </c>
      <c r="J168" s="24">
        <v>43433</v>
      </c>
    </row>
    <row r="169" spans="2:10" x14ac:dyDescent="0.2">
      <c r="B169" s="22">
        <v>164</v>
      </c>
      <c r="C169" s="23" t="s">
        <v>11830</v>
      </c>
      <c r="D169" s="23" t="s">
        <v>4860</v>
      </c>
      <c r="E169" s="20" t="s">
        <v>11831</v>
      </c>
      <c r="F169" s="22">
        <v>1.407</v>
      </c>
      <c r="G169" s="22" t="s">
        <v>11832</v>
      </c>
      <c r="H169" s="22">
        <v>1.407</v>
      </c>
      <c r="I169" s="25">
        <v>43357</v>
      </c>
      <c r="J169" s="24">
        <v>43384</v>
      </c>
    </row>
    <row r="170" spans="2:10" x14ac:dyDescent="0.2">
      <c r="B170" s="22">
        <v>165</v>
      </c>
      <c r="C170" s="23" t="s">
        <v>11833</v>
      </c>
      <c r="D170" s="23" t="s">
        <v>1594</v>
      </c>
      <c r="E170" s="20" t="s">
        <v>11834</v>
      </c>
      <c r="F170" s="22">
        <v>209</v>
      </c>
      <c r="G170" s="22" t="s">
        <v>11835</v>
      </c>
      <c r="H170" s="22">
        <v>2</v>
      </c>
      <c r="I170" s="25">
        <v>43329</v>
      </c>
      <c r="J170" s="24">
        <v>43121</v>
      </c>
    </row>
    <row r="171" spans="2:10" x14ac:dyDescent="0.2">
      <c r="B171" s="22">
        <v>166</v>
      </c>
      <c r="C171" s="23" t="s">
        <v>11836</v>
      </c>
      <c r="D171" s="23" t="s">
        <v>638</v>
      </c>
      <c r="E171" s="20" t="s">
        <v>11837</v>
      </c>
      <c r="F171" s="22">
        <v>322</v>
      </c>
      <c r="G171" s="22" t="s">
        <v>11838</v>
      </c>
      <c r="H171" s="22">
        <v>267</v>
      </c>
      <c r="I171" s="25">
        <v>43350</v>
      </c>
      <c r="J171" s="24">
        <v>43377</v>
      </c>
    </row>
    <row r="172" spans="2:10" x14ac:dyDescent="0.2">
      <c r="B172" s="22">
        <v>167</v>
      </c>
      <c r="C172" s="23" t="s">
        <v>11839</v>
      </c>
      <c r="D172" s="23" t="s">
        <v>1015</v>
      </c>
      <c r="E172" s="20" t="s">
        <v>11840</v>
      </c>
      <c r="F172" s="22">
        <v>586</v>
      </c>
      <c r="G172" s="22" t="s">
        <v>11841</v>
      </c>
      <c r="H172" s="22">
        <v>4</v>
      </c>
      <c r="I172" s="25">
        <v>43315</v>
      </c>
      <c r="J172" s="24">
        <v>43447</v>
      </c>
    </row>
    <row r="173" spans="2:10" x14ac:dyDescent="0.2">
      <c r="B173" s="22">
        <v>168</v>
      </c>
      <c r="C173" s="23" t="s">
        <v>11842</v>
      </c>
      <c r="D173" s="23" t="s">
        <v>1083</v>
      </c>
      <c r="E173" s="20" t="s">
        <v>11843</v>
      </c>
      <c r="F173" s="22">
        <v>164</v>
      </c>
      <c r="G173" s="22" t="s">
        <v>11844</v>
      </c>
      <c r="H173" s="22">
        <v>161</v>
      </c>
      <c r="I173" s="25">
        <v>43417</v>
      </c>
      <c r="J173" s="24">
        <v>43429</v>
      </c>
    </row>
    <row r="174" spans="2:10" x14ac:dyDescent="0.2">
      <c r="B174" s="22">
        <v>169</v>
      </c>
      <c r="C174" s="23" t="s">
        <v>11845</v>
      </c>
      <c r="D174" s="23" t="s">
        <v>1043</v>
      </c>
      <c r="E174" s="20" t="s">
        <v>11846</v>
      </c>
      <c r="F174" s="22">
        <v>245</v>
      </c>
      <c r="G174" s="22" t="s">
        <v>11847</v>
      </c>
      <c r="H174" s="22">
        <v>245</v>
      </c>
      <c r="I174" s="25">
        <v>43127</v>
      </c>
      <c r="J174" s="24">
        <v>43237</v>
      </c>
    </row>
    <row r="175" spans="2:10" x14ac:dyDescent="0.2">
      <c r="B175" s="22">
        <v>170</v>
      </c>
      <c r="C175" s="23" t="s">
        <v>11848</v>
      </c>
      <c r="D175" s="23" t="s">
        <v>1217</v>
      </c>
      <c r="E175" s="20" t="s">
        <v>11849</v>
      </c>
      <c r="F175" s="22">
        <v>172</v>
      </c>
      <c r="G175" s="22" t="s">
        <v>11850</v>
      </c>
      <c r="H175" s="22">
        <v>172</v>
      </c>
      <c r="I175" s="25">
        <v>43434</v>
      </c>
      <c r="J175" s="24">
        <v>43110</v>
      </c>
    </row>
    <row r="176" spans="2:10" x14ac:dyDescent="0.2">
      <c r="B176" s="22">
        <v>171</v>
      </c>
      <c r="C176" s="23" t="s">
        <v>11851</v>
      </c>
      <c r="D176" s="23" t="s">
        <v>1377</v>
      </c>
      <c r="E176" s="20" t="s">
        <v>11852</v>
      </c>
      <c r="F176" s="22">
        <v>132</v>
      </c>
      <c r="G176" s="22" t="s">
        <v>11853</v>
      </c>
      <c r="H176" s="22">
        <v>132</v>
      </c>
      <c r="I176" s="25">
        <v>43357</v>
      </c>
      <c r="J176" s="24">
        <v>43401</v>
      </c>
    </row>
    <row r="177" spans="2:10" x14ac:dyDescent="0.2">
      <c r="B177" s="22">
        <v>172</v>
      </c>
      <c r="C177" s="23" t="s">
        <v>11854</v>
      </c>
      <c r="D177" s="23" t="s">
        <v>1142</v>
      </c>
      <c r="E177" s="20" t="s">
        <v>11855</v>
      </c>
      <c r="F177" s="22">
        <v>70</v>
      </c>
      <c r="G177" s="22" t="s">
        <v>11856</v>
      </c>
      <c r="H177" s="22">
        <v>2</v>
      </c>
      <c r="I177" s="25">
        <v>43336</v>
      </c>
      <c r="J177" s="24">
        <v>43215</v>
      </c>
    </row>
    <row r="178" spans="2:10" x14ac:dyDescent="0.2">
      <c r="B178" s="22">
        <v>173</v>
      </c>
      <c r="C178" s="23" t="s">
        <v>11857</v>
      </c>
      <c r="D178" s="23" t="s">
        <v>643</v>
      </c>
      <c r="E178" s="20" t="s">
        <v>11858</v>
      </c>
      <c r="F178" s="22">
        <v>322</v>
      </c>
      <c r="G178" s="22" t="s">
        <v>11859</v>
      </c>
      <c r="H178" s="22">
        <v>322</v>
      </c>
      <c r="I178" s="25">
        <v>43231</v>
      </c>
      <c r="J178" s="24">
        <v>43272</v>
      </c>
    </row>
    <row r="179" spans="2:10" x14ac:dyDescent="0.2">
      <c r="B179" s="22">
        <v>174</v>
      </c>
      <c r="C179" s="23" t="s">
        <v>11860</v>
      </c>
      <c r="D179" s="23" t="s">
        <v>1039</v>
      </c>
      <c r="E179" s="20" t="s">
        <v>11861</v>
      </c>
      <c r="F179" s="22">
        <v>80</v>
      </c>
      <c r="G179" s="22" t="s">
        <v>11862</v>
      </c>
      <c r="H179" s="22">
        <v>2</v>
      </c>
      <c r="I179" s="25">
        <v>43168</v>
      </c>
      <c r="J179" s="24">
        <v>43335</v>
      </c>
    </row>
    <row r="180" spans="2:10" x14ac:dyDescent="0.2">
      <c r="B180" s="22">
        <v>175</v>
      </c>
      <c r="C180" s="23" t="s">
        <v>11863</v>
      </c>
      <c r="D180" s="23" t="s">
        <v>830</v>
      </c>
      <c r="E180" s="20" t="s">
        <v>11864</v>
      </c>
      <c r="F180" s="22">
        <v>261</v>
      </c>
      <c r="G180" s="22" t="s">
        <v>11865</v>
      </c>
      <c r="H180" s="22">
        <v>13</v>
      </c>
      <c r="I180" s="25">
        <v>43306</v>
      </c>
      <c r="J180" s="24">
        <v>43398</v>
      </c>
    </row>
    <row r="181" spans="2:10" x14ac:dyDescent="0.2">
      <c r="B181" s="22">
        <v>176</v>
      </c>
      <c r="C181" s="23" t="s">
        <v>11866</v>
      </c>
      <c r="D181" s="23" t="s">
        <v>1415</v>
      </c>
      <c r="E181" s="20" t="s">
        <v>11867</v>
      </c>
      <c r="F181" s="22">
        <v>166</v>
      </c>
      <c r="G181" s="22" t="s">
        <v>11868</v>
      </c>
      <c r="H181" s="22">
        <v>166</v>
      </c>
      <c r="I181" s="25">
        <v>43455</v>
      </c>
      <c r="J181" s="24">
        <v>43124</v>
      </c>
    </row>
    <row r="182" spans="2:10" x14ac:dyDescent="0.2">
      <c r="B182" s="22">
        <v>177</v>
      </c>
      <c r="C182" s="23" t="s">
        <v>11869</v>
      </c>
      <c r="D182" s="23" t="s">
        <v>1039</v>
      </c>
      <c r="E182" s="20" t="s">
        <v>11870</v>
      </c>
      <c r="F182" s="22">
        <v>89</v>
      </c>
      <c r="G182" s="22" t="s">
        <v>11871</v>
      </c>
      <c r="H182" s="22">
        <v>3</v>
      </c>
      <c r="I182" s="25">
        <v>43301</v>
      </c>
      <c r="J182" s="24">
        <v>43426</v>
      </c>
    </row>
    <row r="183" spans="2:10" x14ac:dyDescent="0.2">
      <c r="B183" s="22">
        <v>178</v>
      </c>
      <c r="C183" s="23" t="s">
        <v>11872</v>
      </c>
      <c r="D183" s="23" t="s">
        <v>1083</v>
      </c>
      <c r="E183" s="20" t="s">
        <v>11873</v>
      </c>
      <c r="F183" s="22">
        <v>120</v>
      </c>
      <c r="G183" s="22" t="s">
        <v>11874</v>
      </c>
      <c r="H183" s="22">
        <v>120</v>
      </c>
      <c r="I183" s="25">
        <v>43327</v>
      </c>
      <c r="J183" s="24">
        <v>43338</v>
      </c>
    </row>
    <row r="184" spans="2:10" x14ac:dyDescent="0.2">
      <c r="B184" s="22">
        <v>179</v>
      </c>
      <c r="C184" s="23" t="s">
        <v>11875</v>
      </c>
      <c r="D184" s="23" t="s">
        <v>1294</v>
      </c>
      <c r="E184" s="20" t="s">
        <v>11876</v>
      </c>
      <c r="F184" s="22">
        <v>135</v>
      </c>
      <c r="G184" s="22" t="s">
        <v>11877</v>
      </c>
      <c r="H184" s="22">
        <v>1</v>
      </c>
      <c r="I184" s="25">
        <v>43336</v>
      </c>
      <c r="J184" s="24">
        <v>43426</v>
      </c>
    </row>
    <row r="185" spans="2:10" x14ac:dyDescent="0.2">
      <c r="B185" s="22">
        <v>180</v>
      </c>
      <c r="C185" s="23" t="s">
        <v>11878</v>
      </c>
      <c r="D185" s="23" t="s">
        <v>1015</v>
      </c>
      <c r="E185" s="20" t="s">
        <v>11879</v>
      </c>
      <c r="F185" s="22">
        <v>168</v>
      </c>
      <c r="G185" s="22" t="s">
        <v>11880</v>
      </c>
      <c r="H185" s="22">
        <v>2</v>
      </c>
      <c r="I185" s="25">
        <v>43427</v>
      </c>
      <c r="J185" s="24">
        <v>43194</v>
      </c>
    </row>
    <row r="186" spans="2:10" x14ac:dyDescent="0.2">
      <c r="B186" s="22">
        <v>181</v>
      </c>
      <c r="C186" s="23" t="s">
        <v>11881</v>
      </c>
      <c r="D186" s="23" t="s">
        <v>1213</v>
      </c>
      <c r="E186" s="20" t="s">
        <v>11882</v>
      </c>
      <c r="F186" s="22">
        <v>86</v>
      </c>
      <c r="G186" s="22" t="s">
        <v>11883</v>
      </c>
      <c r="H186" s="22">
        <v>19</v>
      </c>
      <c r="I186" s="25">
        <v>43203</v>
      </c>
      <c r="J186" s="24">
        <v>43384</v>
      </c>
    </row>
    <row r="187" spans="2:10" x14ac:dyDescent="0.2">
      <c r="B187" s="22">
        <v>182</v>
      </c>
      <c r="C187" s="23" t="s">
        <v>11884</v>
      </c>
      <c r="D187" s="23" t="s">
        <v>1015</v>
      </c>
      <c r="E187" s="20" t="s">
        <v>11885</v>
      </c>
      <c r="F187" s="22">
        <v>101</v>
      </c>
      <c r="G187" s="22" t="s">
        <v>11886</v>
      </c>
      <c r="H187" s="22">
        <v>2</v>
      </c>
      <c r="I187" s="25">
        <v>43168</v>
      </c>
      <c r="J187" s="24">
        <v>43293</v>
      </c>
    </row>
    <row r="188" spans="2:10" x14ac:dyDescent="0.2">
      <c r="B188" s="22">
        <v>183</v>
      </c>
      <c r="C188" s="23" t="s">
        <v>11887</v>
      </c>
      <c r="D188" s="23" t="s">
        <v>9971</v>
      </c>
      <c r="E188" s="20" t="s">
        <v>11888</v>
      </c>
      <c r="F188" s="22">
        <v>75</v>
      </c>
      <c r="G188" s="22" t="s">
        <v>11889</v>
      </c>
      <c r="H188" s="22">
        <v>3</v>
      </c>
      <c r="I188" s="25">
        <v>43308</v>
      </c>
      <c r="J188" s="24">
        <v>43387</v>
      </c>
    </row>
    <row r="189" spans="2:10" x14ac:dyDescent="0.2">
      <c r="B189" s="22">
        <v>184</v>
      </c>
      <c r="C189" s="23" t="s">
        <v>11890</v>
      </c>
      <c r="D189" s="23" t="s">
        <v>1415</v>
      </c>
      <c r="E189" s="20" t="s">
        <v>11891</v>
      </c>
      <c r="F189" s="22">
        <v>132</v>
      </c>
      <c r="G189" s="22" t="s">
        <v>11892</v>
      </c>
      <c r="H189" s="22">
        <v>132</v>
      </c>
      <c r="I189" s="25">
        <v>43126</v>
      </c>
      <c r="J189" s="24">
        <v>43154</v>
      </c>
    </row>
    <row r="190" spans="2:10" x14ac:dyDescent="0.2">
      <c r="B190" s="22">
        <v>185</v>
      </c>
      <c r="C190" s="23" t="s">
        <v>11893</v>
      </c>
      <c r="D190" s="23" t="s">
        <v>1415</v>
      </c>
      <c r="E190" s="20" t="s">
        <v>11894</v>
      </c>
      <c r="F190" s="22">
        <v>88</v>
      </c>
      <c r="G190" s="22" t="s">
        <v>11895</v>
      </c>
      <c r="H190" s="22">
        <v>88</v>
      </c>
      <c r="I190" s="25">
        <v>43378</v>
      </c>
      <c r="J190" s="24">
        <v>43429</v>
      </c>
    </row>
    <row r="191" spans="2:10" x14ac:dyDescent="0.2">
      <c r="B191" s="22">
        <v>186</v>
      </c>
      <c r="C191" s="23" t="s">
        <v>11896</v>
      </c>
      <c r="D191" s="23" t="s">
        <v>11897</v>
      </c>
      <c r="E191" s="20" t="s">
        <v>11898</v>
      </c>
      <c r="F191" s="22">
        <v>327</v>
      </c>
      <c r="G191" s="22" t="s">
        <v>11899</v>
      </c>
      <c r="H191" s="22">
        <v>55</v>
      </c>
      <c r="I191" s="25">
        <v>43238</v>
      </c>
      <c r="J191" s="24">
        <v>43300</v>
      </c>
    </row>
    <row r="192" spans="2:10" x14ac:dyDescent="0.2">
      <c r="B192" s="22">
        <v>187</v>
      </c>
      <c r="C192" s="23" t="s">
        <v>11900</v>
      </c>
      <c r="D192" s="23" t="s">
        <v>1015</v>
      </c>
      <c r="E192" s="20" t="s">
        <v>11901</v>
      </c>
      <c r="F192" s="22">
        <v>218</v>
      </c>
      <c r="G192" s="22" t="s">
        <v>11902</v>
      </c>
      <c r="H192" s="22">
        <v>5</v>
      </c>
      <c r="I192" s="25">
        <v>43238</v>
      </c>
      <c r="J192" s="24">
        <v>43370</v>
      </c>
    </row>
    <row r="193" spans="2:10" x14ac:dyDescent="0.2">
      <c r="B193" s="22">
        <v>188</v>
      </c>
      <c r="C193" s="23" t="s">
        <v>11903</v>
      </c>
      <c r="D193" s="23" t="s">
        <v>1415</v>
      </c>
      <c r="E193" s="20" t="s">
        <v>11904</v>
      </c>
      <c r="F193" s="22">
        <v>121</v>
      </c>
      <c r="G193" s="22" t="s">
        <v>11905</v>
      </c>
      <c r="H193" s="22">
        <v>121</v>
      </c>
      <c r="I193" s="25">
        <v>43196</v>
      </c>
      <c r="J193" s="24">
        <v>43237</v>
      </c>
    </row>
    <row r="194" spans="2:10" x14ac:dyDescent="0.2">
      <c r="B194" s="22">
        <v>189</v>
      </c>
      <c r="C194" s="23" t="s">
        <v>11906</v>
      </c>
      <c r="D194" s="23" t="s">
        <v>1139</v>
      </c>
      <c r="E194" s="20" t="s">
        <v>11907</v>
      </c>
      <c r="F194" s="22">
        <v>146</v>
      </c>
      <c r="G194" s="22" t="s">
        <v>11908</v>
      </c>
      <c r="H194" s="22">
        <v>120</v>
      </c>
      <c r="I194" s="25">
        <v>43141</v>
      </c>
      <c r="J194" s="24">
        <v>43188</v>
      </c>
    </row>
    <row r="195" spans="2:10" x14ac:dyDescent="0.2">
      <c r="B195" s="22">
        <v>190</v>
      </c>
      <c r="C195" s="23" t="s">
        <v>11909</v>
      </c>
      <c r="D195" s="23" t="s">
        <v>1294</v>
      </c>
      <c r="E195" s="20" t="s">
        <v>11910</v>
      </c>
      <c r="F195" s="22">
        <v>101</v>
      </c>
      <c r="G195" s="22" t="s">
        <v>11911</v>
      </c>
      <c r="H195" s="22">
        <v>13</v>
      </c>
      <c r="I195" s="25">
        <v>43266</v>
      </c>
      <c r="J195" s="24">
        <v>43338</v>
      </c>
    </row>
    <row r="196" spans="2:10" x14ac:dyDescent="0.2">
      <c r="B196" s="22">
        <v>191</v>
      </c>
      <c r="C196" s="23" t="s">
        <v>11912</v>
      </c>
      <c r="D196" s="23" t="s">
        <v>563</v>
      </c>
      <c r="E196" s="20" t="s">
        <v>11913</v>
      </c>
      <c r="F196" s="22">
        <v>561</v>
      </c>
      <c r="G196" s="22" t="s">
        <v>11914</v>
      </c>
      <c r="H196" s="22">
        <v>561</v>
      </c>
      <c r="I196" s="25">
        <v>43293</v>
      </c>
      <c r="J196" s="24">
        <v>43338</v>
      </c>
    </row>
    <row r="197" spans="2:10" x14ac:dyDescent="0.2">
      <c r="B197" s="22">
        <v>192</v>
      </c>
      <c r="C197" s="23" t="s">
        <v>11915</v>
      </c>
      <c r="D197" s="23" t="s">
        <v>1175</v>
      </c>
      <c r="E197" s="20" t="s">
        <v>11916</v>
      </c>
      <c r="F197" s="22">
        <v>64</v>
      </c>
      <c r="G197" s="22" t="s">
        <v>11917</v>
      </c>
      <c r="H197" s="22">
        <v>4</v>
      </c>
      <c r="I197" s="25">
        <v>43294</v>
      </c>
      <c r="J197" s="24">
        <v>43391</v>
      </c>
    </row>
    <row r="198" spans="2:10" x14ac:dyDescent="0.2">
      <c r="B198" s="22">
        <v>193</v>
      </c>
      <c r="C198" s="23" t="s">
        <v>11918</v>
      </c>
      <c r="D198" s="23" t="s">
        <v>1135</v>
      </c>
      <c r="E198" s="20" t="s">
        <v>11919</v>
      </c>
      <c r="F198" s="22">
        <v>100</v>
      </c>
      <c r="G198" s="22" t="s">
        <v>11920</v>
      </c>
      <c r="H198" s="22">
        <v>9</v>
      </c>
      <c r="I198" s="25">
        <v>43406</v>
      </c>
      <c r="J198" s="24">
        <v>43173</v>
      </c>
    </row>
    <row r="199" spans="2:10" x14ac:dyDescent="0.2">
      <c r="B199" s="22">
        <v>194</v>
      </c>
      <c r="C199" s="23" t="s">
        <v>11921</v>
      </c>
      <c r="D199" s="23" t="s">
        <v>1039</v>
      </c>
      <c r="E199" s="20" t="s">
        <v>11922</v>
      </c>
      <c r="F199" s="22">
        <v>56</v>
      </c>
      <c r="G199" s="22" t="s">
        <v>11923</v>
      </c>
      <c r="H199" s="22">
        <v>7</v>
      </c>
      <c r="I199" s="25">
        <v>43413</v>
      </c>
      <c r="J199" s="24">
        <v>43222</v>
      </c>
    </row>
    <row r="200" spans="2:10" x14ac:dyDescent="0.2">
      <c r="B200" s="22">
        <v>195</v>
      </c>
      <c r="C200" s="23" t="s">
        <v>11924</v>
      </c>
      <c r="D200" s="23" t="s">
        <v>563</v>
      </c>
      <c r="E200" s="20" t="s">
        <v>11925</v>
      </c>
      <c r="F200" s="22" t="s">
        <v>1159</v>
      </c>
      <c r="G200" s="22" t="s">
        <v>1159</v>
      </c>
      <c r="H200" s="22" t="s">
        <v>1159</v>
      </c>
      <c r="I200" s="25">
        <v>43300</v>
      </c>
      <c r="J200" s="24">
        <v>43300</v>
      </c>
    </row>
    <row r="201" spans="2:10" x14ac:dyDescent="0.2">
      <c r="B201" s="22">
        <v>196</v>
      </c>
      <c r="C201" s="23" t="s">
        <v>11926</v>
      </c>
      <c r="D201" s="23" t="s">
        <v>563</v>
      </c>
      <c r="E201" s="20" t="s">
        <v>11927</v>
      </c>
      <c r="F201" s="22" t="s">
        <v>1159</v>
      </c>
      <c r="G201" s="22" t="s">
        <v>1159</v>
      </c>
      <c r="H201" s="22" t="s">
        <v>1159</v>
      </c>
      <c r="I201" s="25">
        <v>43300</v>
      </c>
      <c r="J201" s="24">
        <v>43300</v>
      </c>
    </row>
    <row r="202" spans="2:10" x14ac:dyDescent="0.2">
      <c r="B202" s="22">
        <v>197</v>
      </c>
      <c r="C202" s="23" t="s">
        <v>11928</v>
      </c>
      <c r="D202" s="23" t="s">
        <v>1294</v>
      </c>
      <c r="E202" s="20" t="s">
        <v>11929</v>
      </c>
      <c r="F202" s="22">
        <v>86</v>
      </c>
      <c r="G202" s="22" t="s">
        <v>11930</v>
      </c>
      <c r="H202" s="22">
        <v>3</v>
      </c>
      <c r="I202" s="25">
        <v>43175</v>
      </c>
      <c r="J202" s="24">
        <v>43265</v>
      </c>
    </row>
    <row r="203" spans="2:10" x14ac:dyDescent="0.2">
      <c r="B203" s="22">
        <v>198</v>
      </c>
      <c r="C203" s="23" t="s">
        <v>11931</v>
      </c>
      <c r="D203" s="23" t="s">
        <v>1039</v>
      </c>
      <c r="E203" s="20" t="s">
        <v>11932</v>
      </c>
      <c r="F203" s="22">
        <v>73</v>
      </c>
      <c r="G203" s="22" t="s">
        <v>11933</v>
      </c>
      <c r="H203" s="22">
        <v>42</v>
      </c>
      <c r="I203" s="25">
        <v>43210</v>
      </c>
      <c r="J203" s="24">
        <v>43328</v>
      </c>
    </row>
    <row r="204" spans="2:10" x14ac:dyDescent="0.2">
      <c r="B204" s="22">
        <v>199</v>
      </c>
      <c r="C204" s="23" t="s">
        <v>11934</v>
      </c>
      <c r="D204" s="23" t="s">
        <v>1761</v>
      </c>
      <c r="E204" s="20" t="s">
        <v>11935</v>
      </c>
      <c r="F204" s="22">
        <v>53</v>
      </c>
      <c r="G204" s="22" t="s">
        <v>1159</v>
      </c>
      <c r="H204" s="22" t="s">
        <v>1159</v>
      </c>
      <c r="I204" s="25">
        <v>43413</v>
      </c>
      <c r="J204" s="24">
        <v>43222</v>
      </c>
    </row>
    <row r="205" spans="2:10" x14ac:dyDescent="0.2">
      <c r="B205" s="22">
        <v>200</v>
      </c>
      <c r="C205" s="23" t="s">
        <v>11936</v>
      </c>
      <c r="D205" s="23" t="s">
        <v>11937</v>
      </c>
      <c r="E205" s="20" t="s">
        <v>11938</v>
      </c>
      <c r="F205" s="22">
        <v>10</v>
      </c>
      <c r="G205" s="22" t="s">
        <v>1159</v>
      </c>
      <c r="H205" s="22" t="s">
        <v>1159</v>
      </c>
      <c r="I205" s="25">
        <v>43196</v>
      </c>
      <c r="J205" s="24">
        <v>43352</v>
      </c>
    </row>
    <row r="206" spans="2:10" x14ac:dyDescent="0.2">
      <c r="B206" s="22">
        <v>201</v>
      </c>
      <c r="C206" s="23" t="s">
        <v>11939</v>
      </c>
      <c r="D206" s="23" t="s">
        <v>1175</v>
      </c>
      <c r="E206" s="20" t="s">
        <v>11940</v>
      </c>
      <c r="F206" s="22">
        <v>53</v>
      </c>
      <c r="G206" s="22" t="s">
        <v>11941</v>
      </c>
      <c r="H206" s="22">
        <v>41</v>
      </c>
      <c r="I206" s="25">
        <v>43399</v>
      </c>
      <c r="J206" s="24">
        <v>43141</v>
      </c>
    </row>
    <row r="207" spans="2:10" x14ac:dyDescent="0.2">
      <c r="B207" s="22">
        <v>202</v>
      </c>
      <c r="C207" s="23" t="s">
        <v>11942</v>
      </c>
      <c r="D207" s="23" t="s">
        <v>740</v>
      </c>
      <c r="E207" s="20" t="s">
        <v>11943</v>
      </c>
      <c r="F207" s="22">
        <v>107</v>
      </c>
      <c r="G207" s="22" t="s">
        <v>11944</v>
      </c>
      <c r="H207" s="22">
        <v>23</v>
      </c>
      <c r="I207" s="25">
        <v>43343</v>
      </c>
      <c r="J207" s="24">
        <v>43384</v>
      </c>
    </row>
    <row r="208" spans="2:10" x14ac:dyDescent="0.2">
      <c r="B208" s="22">
        <v>203</v>
      </c>
      <c r="C208" s="23" t="s">
        <v>11945</v>
      </c>
      <c r="D208" s="23" t="s">
        <v>1039</v>
      </c>
      <c r="E208" s="20" t="s">
        <v>11946</v>
      </c>
      <c r="F208" s="22">
        <v>64</v>
      </c>
      <c r="G208" s="22" t="s">
        <v>11947</v>
      </c>
      <c r="H208" s="22">
        <v>30</v>
      </c>
      <c r="I208" s="25">
        <v>43280</v>
      </c>
      <c r="J208" s="24">
        <v>43370</v>
      </c>
    </row>
    <row r="209" spans="2:10" x14ac:dyDescent="0.2">
      <c r="B209" s="22">
        <v>204</v>
      </c>
      <c r="C209" s="23" t="s">
        <v>11948</v>
      </c>
      <c r="D209" s="23" t="s">
        <v>1415</v>
      </c>
      <c r="E209" s="20" t="s">
        <v>11949</v>
      </c>
      <c r="F209" s="22">
        <v>96</v>
      </c>
      <c r="G209" s="22" t="s">
        <v>11950</v>
      </c>
      <c r="H209" s="22">
        <v>96</v>
      </c>
      <c r="I209" s="25">
        <v>43294</v>
      </c>
      <c r="J209" s="24">
        <v>43321</v>
      </c>
    </row>
    <row r="210" spans="2:10" x14ac:dyDescent="0.2">
      <c r="B210" s="22">
        <v>205</v>
      </c>
      <c r="C210" s="23" t="s">
        <v>11951</v>
      </c>
      <c r="D210" s="23" t="s">
        <v>1204</v>
      </c>
      <c r="E210" s="20" t="s">
        <v>11952</v>
      </c>
      <c r="F210" s="22">
        <v>98</v>
      </c>
      <c r="G210" s="22" t="s">
        <v>11953</v>
      </c>
      <c r="H210" s="22">
        <v>98</v>
      </c>
      <c r="I210" s="25">
        <v>43287</v>
      </c>
      <c r="J210" s="24">
        <v>43310</v>
      </c>
    </row>
    <row r="211" spans="2:10" x14ac:dyDescent="0.2">
      <c r="B211" s="22">
        <v>206</v>
      </c>
      <c r="C211" s="23" t="s">
        <v>11954</v>
      </c>
      <c r="D211" s="23" t="s">
        <v>10258</v>
      </c>
      <c r="E211" s="20" t="s">
        <v>11955</v>
      </c>
      <c r="F211" s="22">
        <v>106</v>
      </c>
      <c r="G211" s="22" t="s">
        <v>11956</v>
      </c>
      <c r="H211" s="22">
        <v>102</v>
      </c>
      <c r="I211" s="25">
        <v>43203</v>
      </c>
      <c r="J211" s="24">
        <v>43251</v>
      </c>
    </row>
    <row r="212" spans="2:10" x14ac:dyDescent="0.2">
      <c r="B212" s="22">
        <v>207</v>
      </c>
      <c r="C212" s="23" t="s">
        <v>11957</v>
      </c>
      <c r="D212" s="23" t="s">
        <v>1039</v>
      </c>
      <c r="E212" s="20" t="s">
        <v>11958</v>
      </c>
      <c r="F212" s="22">
        <v>60</v>
      </c>
      <c r="G212" s="22" t="s">
        <v>11959</v>
      </c>
      <c r="H212" s="22">
        <v>4</v>
      </c>
      <c r="I212" s="25">
        <v>43217</v>
      </c>
      <c r="J212" s="24">
        <v>43328</v>
      </c>
    </row>
    <row r="213" spans="2:10" x14ac:dyDescent="0.2">
      <c r="B213" s="22">
        <v>209</v>
      </c>
      <c r="C213" s="23" t="s">
        <v>11960</v>
      </c>
      <c r="D213" s="23" t="s">
        <v>563</v>
      </c>
      <c r="E213" s="20" t="s">
        <v>11961</v>
      </c>
      <c r="F213" s="22">
        <v>507</v>
      </c>
      <c r="G213" s="22" t="s">
        <v>1159</v>
      </c>
      <c r="H213" s="22" t="s">
        <v>1159</v>
      </c>
      <c r="I213" s="25">
        <v>43180</v>
      </c>
      <c r="J213" s="24">
        <v>43216</v>
      </c>
    </row>
    <row r="214" spans="2:10" x14ac:dyDescent="0.2">
      <c r="B214" s="22">
        <v>210</v>
      </c>
      <c r="C214" s="23" t="s">
        <v>11962</v>
      </c>
      <c r="D214" s="23" t="s">
        <v>1213</v>
      </c>
      <c r="E214" s="20" t="s">
        <v>11963</v>
      </c>
      <c r="F214" s="22">
        <v>61</v>
      </c>
      <c r="G214" s="22" t="s">
        <v>11964</v>
      </c>
      <c r="H214" s="22">
        <v>31</v>
      </c>
      <c r="I214" s="25">
        <v>43182</v>
      </c>
      <c r="J214" s="24">
        <v>43342</v>
      </c>
    </row>
    <row r="215" spans="2:10" x14ac:dyDescent="0.2">
      <c r="B215" s="22">
        <v>211</v>
      </c>
      <c r="C215" s="23" t="s">
        <v>11965</v>
      </c>
      <c r="D215" s="23" t="s">
        <v>11966</v>
      </c>
      <c r="E215" s="20" t="s">
        <v>11967</v>
      </c>
      <c r="F215" s="22">
        <v>2.16</v>
      </c>
      <c r="G215" s="22" t="s">
        <v>11968</v>
      </c>
      <c r="H215" s="22">
        <v>2.16</v>
      </c>
      <c r="I215" s="25">
        <v>43341</v>
      </c>
      <c r="J215" s="24">
        <v>43363</v>
      </c>
    </row>
    <row r="216" spans="2:10" x14ac:dyDescent="0.2">
      <c r="B216" s="22">
        <v>212</v>
      </c>
      <c r="C216" s="23" t="s">
        <v>11969</v>
      </c>
      <c r="D216" s="23" t="s">
        <v>1015</v>
      </c>
      <c r="E216" s="20" t="s">
        <v>11970</v>
      </c>
      <c r="F216" s="22">
        <v>52</v>
      </c>
      <c r="G216" s="22" t="s">
        <v>11971</v>
      </c>
      <c r="H216" s="22">
        <v>3</v>
      </c>
      <c r="I216" s="25">
        <v>43141</v>
      </c>
      <c r="J216" s="24">
        <v>43237</v>
      </c>
    </row>
    <row r="217" spans="2:10" x14ac:dyDescent="0.2">
      <c r="B217" s="22">
        <v>213</v>
      </c>
      <c r="C217" s="23" t="s">
        <v>11972</v>
      </c>
      <c r="D217" s="23" t="s">
        <v>1594</v>
      </c>
      <c r="E217" s="20" t="s">
        <v>11973</v>
      </c>
      <c r="F217" s="22">
        <v>27</v>
      </c>
      <c r="G217" s="22" t="s">
        <v>11974</v>
      </c>
      <c r="H217" s="22">
        <v>3</v>
      </c>
      <c r="I217" s="25">
        <v>43364</v>
      </c>
      <c r="J217" s="24">
        <v>43152</v>
      </c>
    </row>
    <row r="218" spans="2:10" x14ac:dyDescent="0.2">
      <c r="B218" s="22">
        <v>214</v>
      </c>
      <c r="C218" s="23" t="s">
        <v>11975</v>
      </c>
      <c r="D218" s="23" t="s">
        <v>1294</v>
      </c>
      <c r="E218" s="20" t="s">
        <v>11976</v>
      </c>
      <c r="F218" s="22">
        <v>58</v>
      </c>
      <c r="G218" s="22" t="s">
        <v>8046</v>
      </c>
      <c r="H218" s="22">
        <v>5</v>
      </c>
      <c r="I218" s="25">
        <v>43224</v>
      </c>
      <c r="J218" s="24">
        <v>43279</v>
      </c>
    </row>
    <row r="219" spans="2:10" x14ac:dyDescent="0.2">
      <c r="B219" s="22">
        <v>215</v>
      </c>
      <c r="C219" s="23" t="s">
        <v>11977</v>
      </c>
      <c r="D219" s="23" t="s">
        <v>6165</v>
      </c>
      <c r="E219" s="20" t="s">
        <v>11978</v>
      </c>
      <c r="F219" s="22">
        <v>23</v>
      </c>
      <c r="G219" s="22" t="s">
        <v>11979</v>
      </c>
      <c r="H219" s="22">
        <v>15</v>
      </c>
      <c r="I219" s="25">
        <v>43455</v>
      </c>
      <c r="J219" s="24">
        <v>43292</v>
      </c>
    </row>
    <row r="220" spans="2:10" x14ac:dyDescent="0.2">
      <c r="B220" s="22">
        <v>216</v>
      </c>
      <c r="C220" s="23" t="s">
        <v>11980</v>
      </c>
      <c r="D220" s="23" t="s">
        <v>1015</v>
      </c>
      <c r="E220" s="20" t="s">
        <v>11981</v>
      </c>
      <c r="F220" s="22">
        <v>205</v>
      </c>
      <c r="G220" s="22" t="s">
        <v>11982</v>
      </c>
      <c r="H220" s="22">
        <v>4</v>
      </c>
      <c r="I220" s="25">
        <v>43196</v>
      </c>
      <c r="J220" s="24">
        <v>43335</v>
      </c>
    </row>
    <row r="221" spans="2:10" x14ac:dyDescent="0.2">
      <c r="B221" s="22">
        <v>217</v>
      </c>
      <c r="C221" s="23" t="s">
        <v>11983</v>
      </c>
      <c r="D221" s="23" t="s">
        <v>11984</v>
      </c>
      <c r="E221" s="20" t="s">
        <v>11985</v>
      </c>
      <c r="F221" s="22">
        <v>312</v>
      </c>
      <c r="G221" s="22" t="s">
        <v>11986</v>
      </c>
      <c r="H221" s="22">
        <v>312</v>
      </c>
      <c r="I221" s="25">
        <v>43364</v>
      </c>
      <c r="J221" s="24">
        <v>43380</v>
      </c>
    </row>
    <row r="222" spans="2:10" x14ac:dyDescent="0.2">
      <c r="B222" s="22">
        <v>218</v>
      </c>
      <c r="C222" s="23" t="s">
        <v>11987</v>
      </c>
      <c r="D222" s="23" t="s">
        <v>11988</v>
      </c>
      <c r="E222" s="20" t="s">
        <v>11989</v>
      </c>
      <c r="F222" s="22">
        <v>14</v>
      </c>
      <c r="G222" s="22" t="s">
        <v>1159</v>
      </c>
      <c r="H222" s="22" t="s">
        <v>1159</v>
      </c>
      <c r="I222" s="25">
        <v>43305</v>
      </c>
      <c r="J222" s="22" t="s">
        <v>558</v>
      </c>
    </row>
    <row r="223" spans="2:10" x14ac:dyDescent="0.2">
      <c r="B223" s="22">
        <v>219</v>
      </c>
      <c r="C223" s="23" t="s">
        <v>11990</v>
      </c>
      <c r="D223" s="23" t="s">
        <v>7800</v>
      </c>
      <c r="E223" s="20" t="s">
        <v>11991</v>
      </c>
      <c r="F223" s="22">
        <v>106</v>
      </c>
      <c r="G223" s="22" t="s">
        <v>11992</v>
      </c>
      <c r="H223" s="22">
        <v>5</v>
      </c>
      <c r="I223" s="25">
        <v>43141</v>
      </c>
      <c r="J223" s="24">
        <v>43230</v>
      </c>
    </row>
    <row r="224" spans="2:10" x14ac:dyDescent="0.2">
      <c r="B224" s="22">
        <v>220</v>
      </c>
      <c r="C224" s="23" t="s">
        <v>11993</v>
      </c>
      <c r="D224" s="23" t="s">
        <v>1332</v>
      </c>
      <c r="E224" s="20" t="s">
        <v>11994</v>
      </c>
      <c r="F224" s="22">
        <v>15</v>
      </c>
      <c r="G224" s="22" t="s">
        <v>1159</v>
      </c>
      <c r="H224" s="22" t="s">
        <v>1159</v>
      </c>
      <c r="I224" s="25">
        <v>43364</v>
      </c>
      <c r="J224" s="24">
        <v>43208</v>
      </c>
    </row>
    <row r="225" spans="2:10" x14ac:dyDescent="0.2">
      <c r="B225" s="22">
        <v>221</v>
      </c>
      <c r="C225" s="23" t="s">
        <v>11995</v>
      </c>
      <c r="D225" s="23" t="s">
        <v>10305</v>
      </c>
      <c r="E225" s="20" t="s">
        <v>11996</v>
      </c>
      <c r="F225" s="22">
        <v>31</v>
      </c>
      <c r="G225" s="22" t="s">
        <v>11997</v>
      </c>
      <c r="H225" s="22">
        <v>1</v>
      </c>
      <c r="I225" s="25">
        <v>43294</v>
      </c>
      <c r="J225" s="24">
        <v>43436</v>
      </c>
    </row>
    <row r="226" spans="2:10" x14ac:dyDescent="0.2">
      <c r="B226" s="22">
        <v>222</v>
      </c>
      <c r="C226" s="23" t="s">
        <v>11998</v>
      </c>
      <c r="D226" s="23" t="s">
        <v>11999</v>
      </c>
      <c r="E226" s="20" t="s">
        <v>12000</v>
      </c>
      <c r="F226" s="22">
        <v>31</v>
      </c>
      <c r="G226" s="22" t="s">
        <v>1159</v>
      </c>
      <c r="H226" s="22" t="s">
        <v>1159</v>
      </c>
      <c r="I226" s="25">
        <v>43238</v>
      </c>
      <c r="J226" s="22" t="s">
        <v>558</v>
      </c>
    </row>
    <row r="227" spans="2:10" x14ac:dyDescent="0.2">
      <c r="B227" s="22">
        <v>223</v>
      </c>
      <c r="C227" s="23" t="s">
        <v>12001</v>
      </c>
      <c r="D227" s="23" t="s">
        <v>1015</v>
      </c>
      <c r="E227" s="20" t="s">
        <v>12002</v>
      </c>
      <c r="F227" s="22">
        <v>64</v>
      </c>
      <c r="G227" s="22" t="s">
        <v>12003</v>
      </c>
      <c r="H227" s="22">
        <v>4</v>
      </c>
      <c r="I227" s="25">
        <v>43210</v>
      </c>
      <c r="J227" s="24">
        <v>43335</v>
      </c>
    </row>
    <row r="228" spans="2:10" x14ac:dyDescent="0.2">
      <c r="B228" s="22">
        <v>224</v>
      </c>
      <c r="C228" s="23" t="s">
        <v>12004</v>
      </c>
      <c r="D228" s="23" t="s">
        <v>10952</v>
      </c>
      <c r="E228" s="20" t="s">
        <v>12005</v>
      </c>
      <c r="F228" s="22">
        <v>53</v>
      </c>
      <c r="G228" s="22" t="s">
        <v>12006</v>
      </c>
      <c r="H228" s="22">
        <v>53</v>
      </c>
      <c r="I228" s="25">
        <v>43148</v>
      </c>
      <c r="J228" s="24">
        <v>43244</v>
      </c>
    </row>
    <row r="229" spans="2:10" x14ac:dyDescent="0.2">
      <c r="B229" s="22">
        <v>225</v>
      </c>
      <c r="C229" s="23" t="s">
        <v>12007</v>
      </c>
      <c r="D229" s="23" t="s">
        <v>1415</v>
      </c>
      <c r="E229" s="20" t="s">
        <v>12008</v>
      </c>
      <c r="F229" s="22">
        <v>94</v>
      </c>
      <c r="G229" s="22" t="s">
        <v>12009</v>
      </c>
      <c r="H229" s="22">
        <v>94</v>
      </c>
      <c r="I229" s="25">
        <v>43273</v>
      </c>
      <c r="J229" s="24">
        <v>43296</v>
      </c>
    </row>
    <row r="230" spans="2:10" x14ac:dyDescent="0.2">
      <c r="B230" s="22">
        <v>226</v>
      </c>
      <c r="C230" s="23" t="s">
        <v>12010</v>
      </c>
      <c r="D230" s="23" t="s">
        <v>9796</v>
      </c>
      <c r="E230" s="20" t="s">
        <v>12011</v>
      </c>
      <c r="F230" s="22">
        <v>8</v>
      </c>
      <c r="G230" s="22" t="s">
        <v>1159</v>
      </c>
      <c r="H230" s="22" t="s">
        <v>1159</v>
      </c>
      <c r="I230" s="25">
        <v>43246</v>
      </c>
      <c r="J230" s="24">
        <v>43411</v>
      </c>
    </row>
    <row r="231" spans="2:10" x14ac:dyDescent="0.2">
      <c r="B231" s="22">
        <v>227</v>
      </c>
      <c r="C231" s="23" t="s">
        <v>12012</v>
      </c>
      <c r="D231" s="23" t="s">
        <v>1377</v>
      </c>
      <c r="E231" s="20" t="s">
        <v>12013</v>
      </c>
      <c r="F231" s="22">
        <v>120</v>
      </c>
      <c r="G231" s="22" t="s">
        <v>12014</v>
      </c>
      <c r="H231" s="22">
        <v>120</v>
      </c>
      <c r="I231" s="25">
        <v>43252</v>
      </c>
      <c r="J231" s="24">
        <v>43286</v>
      </c>
    </row>
    <row r="232" spans="2:10" x14ac:dyDescent="0.2">
      <c r="B232" s="22">
        <v>228</v>
      </c>
      <c r="C232" s="23" t="s">
        <v>12015</v>
      </c>
      <c r="D232" s="23" t="s">
        <v>1415</v>
      </c>
      <c r="E232" s="20" t="s">
        <v>12016</v>
      </c>
      <c r="F232" s="22">
        <v>109</v>
      </c>
      <c r="G232" s="22" t="s">
        <v>12017</v>
      </c>
      <c r="H232" s="22">
        <v>109</v>
      </c>
      <c r="I232" s="25">
        <v>43417</v>
      </c>
      <c r="J232" s="24">
        <v>43447</v>
      </c>
    </row>
    <row r="233" spans="2:10" x14ac:dyDescent="0.2">
      <c r="B233" s="22">
        <v>229</v>
      </c>
      <c r="C233" s="23" t="s">
        <v>12018</v>
      </c>
      <c r="D233" s="23" t="s">
        <v>1135</v>
      </c>
      <c r="E233" s="20" t="s">
        <v>12019</v>
      </c>
      <c r="F233" s="22">
        <v>65</v>
      </c>
      <c r="G233" s="22" t="s">
        <v>12020</v>
      </c>
      <c r="H233" s="22">
        <v>3</v>
      </c>
      <c r="I233" s="25">
        <v>43329</v>
      </c>
      <c r="J233" s="24">
        <v>43377</v>
      </c>
    </row>
    <row r="234" spans="2:10" x14ac:dyDescent="0.2">
      <c r="B234" s="22">
        <v>230</v>
      </c>
      <c r="C234" s="23" t="s">
        <v>12021</v>
      </c>
      <c r="D234" s="23" t="s">
        <v>820</v>
      </c>
      <c r="E234" s="20" t="s">
        <v>12022</v>
      </c>
      <c r="F234" s="22">
        <v>21</v>
      </c>
      <c r="G234" s="22" t="s">
        <v>12023</v>
      </c>
      <c r="H234" s="22">
        <v>9</v>
      </c>
      <c r="I234" s="25">
        <v>43120</v>
      </c>
      <c r="J234" s="24">
        <v>43251</v>
      </c>
    </row>
    <row r="235" spans="2:10" x14ac:dyDescent="0.2">
      <c r="B235" s="22">
        <v>231</v>
      </c>
      <c r="C235" s="23" t="s">
        <v>12024</v>
      </c>
      <c r="D235" s="23" t="s">
        <v>1294</v>
      </c>
      <c r="E235" s="20" t="s">
        <v>12025</v>
      </c>
      <c r="F235" s="22">
        <v>107</v>
      </c>
      <c r="G235" s="22" t="s">
        <v>12026</v>
      </c>
      <c r="H235" s="22">
        <v>4</v>
      </c>
      <c r="I235" s="25">
        <v>43455</v>
      </c>
      <c r="J235" s="24">
        <v>43222</v>
      </c>
    </row>
    <row r="236" spans="2:10" x14ac:dyDescent="0.2">
      <c r="B236" s="22">
        <v>232</v>
      </c>
      <c r="C236" s="23" t="s">
        <v>12027</v>
      </c>
      <c r="D236" s="23" t="s">
        <v>1415</v>
      </c>
      <c r="E236" s="20" t="s">
        <v>12028</v>
      </c>
      <c r="F236" s="22">
        <v>122</v>
      </c>
      <c r="G236" s="22" t="s">
        <v>12029</v>
      </c>
      <c r="H236" s="22">
        <v>122</v>
      </c>
      <c r="I236" s="25">
        <v>43182</v>
      </c>
      <c r="J236" s="24">
        <v>43205</v>
      </c>
    </row>
    <row r="237" spans="2:10" x14ac:dyDescent="0.2">
      <c r="B237" s="22">
        <v>233</v>
      </c>
      <c r="C237" s="23" t="s">
        <v>12030</v>
      </c>
      <c r="D237" s="23" t="s">
        <v>7800</v>
      </c>
      <c r="E237" s="20" t="s">
        <v>12031</v>
      </c>
      <c r="F237" s="22">
        <v>76</v>
      </c>
      <c r="G237" s="22" t="s">
        <v>12032</v>
      </c>
      <c r="H237" s="22">
        <v>11</v>
      </c>
      <c r="I237" s="25">
        <v>43378</v>
      </c>
      <c r="J237" s="24">
        <v>43426</v>
      </c>
    </row>
    <row r="238" spans="2:10" x14ac:dyDescent="0.2">
      <c r="B238" s="22">
        <v>234</v>
      </c>
      <c r="C238" s="23" t="s">
        <v>12033</v>
      </c>
      <c r="D238" s="23" t="s">
        <v>1235</v>
      </c>
      <c r="E238" s="20" t="s">
        <v>12034</v>
      </c>
      <c r="F238" s="22">
        <v>22</v>
      </c>
      <c r="G238" s="22" t="s">
        <v>12035</v>
      </c>
      <c r="H238" s="22">
        <v>11</v>
      </c>
      <c r="I238" s="25">
        <v>43385</v>
      </c>
      <c r="J238" s="24">
        <v>43454</v>
      </c>
    </row>
    <row r="239" spans="2:10" x14ac:dyDescent="0.2">
      <c r="B239" s="22">
        <v>235</v>
      </c>
      <c r="C239" s="23" t="s">
        <v>12036</v>
      </c>
      <c r="D239" s="23" t="s">
        <v>1415</v>
      </c>
      <c r="E239" s="20" t="s">
        <v>12037</v>
      </c>
      <c r="F239" s="22">
        <v>106</v>
      </c>
      <c r="G239" s="22" t="s">
        <v>12038</v>
      </c>
      <c r="H239" s="22">
        <v>106</v>
      </c>
      <c r="I239" s="25">
        <v>43392</v>
      </c>
      <c r="J239" s="24">
        <v>43415</v>
      </c>
    </row>
    <row r="240" spans="2:10" x14ac:dyDescent="0.2">
      <c r="B240" s="22">
        <v>236</v>
      </c>
      <c r="C240" s="23" t="s">
        <v>12039</v>
      </c>
      <c r="D240" s="23" t="s">
        <v>563</v>
      </c>
      <c r="E240" s="20" t="s">
        <v>12040</v>
      </c>
      <c r="F240" s="22">
        <v>17</v>
      </c>
      <c r="G240" s="22" t="s">
        <v>12041</v>
      </c>
      <c r="H240" s="22">
        <v>15</v>
      </c>
      <c r="I240" s="25">
        <v>43425</v>
      </c>
      <c r="J240" s="24">
        <v>43103</v>
      </c>
    </row>
    <row r="241" spans="2:10" x14ac:dyDescent="0.2">
      <c r="B241" s="22">
        <v>237</v>
      </c>
      <c r="C241" s="23" t="s">
        <v>12042</v>
      </c>
      <c r="D241" s="23" t="s">
        <v>10305</v>
      </c>
      <c r="E241" s="20" t="s">
        <v>12043</v>
      </c>
      <c r="F241" s="22">
        <v>29</v>
      </c>
      <c r="G241" s="22" t="s">
        <v>12044</v>
      </c>
      <c r="H241" s="22">
        <v>2</v>
      </c>
      <c r="I241" s="25">
        <v>43390</v>
      </c>
      <c r="J241" s="24">
        <v>43127</v>
      </c>
    </row>
    <row r="242" spans="2:10" x14ac:dyDescent="0.2">
      <c r="B242" s="22">
        <v>238</v>
      </c>
      <c r="C242" s="23" t="s">
        <v>12045</v>
      </c>
      <c r="D242" s="23" t="s">
        <v>1039</v>
      </c>
      <c r="E242" s="20" t="s">
        <v>12046</v>
      </c>
      <c r="F242" s="22">
        <v>42</v>
      </c>
      <c r="G242" s="22" t="s">
        <v>12047</v>
      </c>
      <c r="H242" s="22">
        <v>2</v>
      </c>
      <c r="I242" s="25">
        <v>43322</v>
      </c>
      <c r="J242" s="24">
        <v>43419</v>
      </c>
    </row>
    <row r="243" spans="2:10" x14ac:dyDescent="0.2">
      <c r="B243" s="22">
        <v>239</v>
      </c>
      <c r="C243" s="23" t="s">
        <v>12048</v>
      </c>
      <c r="D243" s="23" t="s">
        <v>11803</v>
      </c>
      <c r="E243" s="20" t="s">
        <v>12049</v>
      </c>
      <c r="F243" s="22">
        <v>565</v>
      </c>
      <c r="G243" s="22" t="s">
        <v>12050</v>
      </c>
      <c r="H243" s="22">
        <v>3</v>
      </c>
      <c r="I243" s="25">
        <v>43455</v>
      </c>
      <c r="J243" s="24">
        <v>43124</v>
      </c>
    </row>
    <row r="244" spans="2:10" x14ac:dyDescent="0.2">
      <c r="B244" s="22">
        <v>240</v>
      </c>
      <c r="C244" s="23" t="s">
        <v>12051</v>
      </c>
      <c r="D244" s="23" t="s">
        <v>1377</v>
      </c>
      <c r="E244" s="20" t="s">
        <v>12052</v>
      </c>
      <c r="F244" s="22">
        <v>114</v>
      </c>
      <c r="G244" s="22" t="s">
        <v>12053</v>
      </c>
      <c r="H244" s="22">
        <v>114</v>
      </c>
      <c r="I244" s="25">
        <v>43364</v>
      </c>
      <c r="J244" s="24">
        <v>43384</v>
      </c>
    </row>
    <row r="245" spans="2:10" x14ac:dyDescent="0.2">
      <c r="B245" s="22">
        <v>241</v>
      </c>
      <c r="C245" s="23" t="s">
        <v>12054</v>
      </c>
      <c r="D245" s="23" t="s">
        <v>1043</v>
      </c>
      <c r="E245" s="20" t="s">
        <v>12055</v>
      </c>
      <c r="F245" s="22">
        <v>136</v>
      </c>
      <c r="G245" s="22" t="s">
        <v>12056</v>
      </c>
      <c r="H245" s="22">
        <v>136</v>
      </c>
      <c r="I245" s="25">
        <v>43203</v>
      </c>
      <c r="J245" s="24">
        <v>43258</v>
      </c>
    </row>
    <row r="246" spans="2:10" x14ac:dyDescent="0.2">
      <c r="B246" s="22">
        <v>242</v>
      </c>
      <c r="C246" s="23" t="s">
        <v>12057</v>
      </c>
      <c r="D246" s="23" t="s">
        <v>1294</v>
      </c>
      <c r="E246" s="20" t="s">
        <v>12058</v>
      </c>
      <c r="F246" s="22">
        <v>76</v>
      </c>
      <c r="G246" s="22" t="s">
        <v>12059</v>
      </c>
      <c r="H246" s="22">
        <v>31</v>
      </c>
      <c r="I246" s="25">
        <v>43259</v>
      </c>
      <c r="J246" s="24">
        <v>43293</v>
      </c>
    </row>
    <row r="247" spans="2:10" x14ac:dyDescent="0.2">
      <c r="B247" s="22">
        <v>243</v>
      </c>
      <c r="C247" s="23" t="s">
        <v>12060</v>
      </c>
      <c r="D247" s="23" t="s">
        <v>563</v>
      </c>
      <c r="E247" s="20" t="s">
        <v>11914</v>
      </c>
      <c r="F247" s="22">
        <v>250</v>
      </c>
      <c r="G247" s="22" t="s">
        <v>1159</v>
      </c>
      <c r="H247" s="22" t="s">
        <v>1159</v>
      </c>
      <c r="I247" s="25">
        <v>43336</v>
      </c>
      <c r="J247" s="24">
        <v>43342</v>
      </c>
    </row>
    <row r="248" spans="2:10" x14ac:dyDescent="0.2">
      <c r="B248" s="22">
        <v>244</v>
      </c>
      <c r="C248" s="23" t="s">
        <v>12061</v>
      </c>
      <c r="D248" s="23" t="s">
        <v>820</v>
      </c>
      <c r="E248" s="20" t="s">
        <v>12062</v>
      </c>
      <c r="F248" s="22">
        <v>24</v>
      </c>
      <c r="G248" s="22" t="s">
        <v>12063</v>
      </c>
      <c r="H248" s="22">
        <v>4</v>
      </c>
      <c r="I248" s="25">
        <v>43134</v>
      </c>
      <c r="J248" s="24">
        <v>43230</v>
      </c>
    </row>
    <row r="249" spans="2:10" x14ac:dyDescent="0.2">
      <c r="B249" s="22">
        <v>245</v>
      </c>
      <c r="C249" s="23" t="s">
        <v>12064</v>
      </c>
      <c r="D249" s="23" t="s">
        <v>820</v>
      </c>
      <c r="E249" s="20" t="s">
        <v>12065</v>
      </c>
      <c r="F249" s="22">
        <v>21</v>
      </c>
      <c r="G249" s="22" t="s">
        <v>12066</v>
      </c>
      <c r="H249" s="22">
        <v>5</v>
      </c>
      <c r="I249" s="25">
        <v>43148</v>
      </c>
      <c r="J249" s="24">
        <v>43258</v>
      </c>
    </row>
    <row r="250" spans="2:10" x14ac:dyDescent="0.2">
      <c r="B250" s="22">
        <v>246</v>
      </c>
      <c r="C250" s="23" t="s">
        <v>12067</v>
      </c>
      <c r="D250" s="23" t="s">
        <v>1415</v>
      </c>
      <c r="E250" s="20" t="s">
        <v>12068</v>
      </c>
      <c r="F250" s="22">
        <v>50</v>
      </c>
      <c r="G250" s="22" t="s">
        <v>12069</v>
      </c>
      <c r="H250" s="22">
        <v>50</v>
      </c>
      <c r="I250" s="25">
        <v>43210</v>
      </c>
      <c r="J250" s="24">
        <v>43237</v>
      </c>
    </row>
    <row r="251" spans="2:10" x14ac:dyDescent="0.2">
      <c r="B251" s="22">
        <v>247</v>
      </c>
      <c r="C251" s="23" t="s">
        <v>12070</v>
      </c>
      <c r="D251" s="23" t="s">
        <v>1294</v>
      </c>
      <c r="E251" s="20" t="s">
        <v>12071</v>
      </c>
      <c r="F251" s="22">
        <v>27</v>
      </c>
      <c r="G251" s="22" t="s">
        <v>12072</v>
      </c>
      <c r="H251" s="22">
        <v>3</v>
      </c>
      <c r="I251" s="25">
        <v>43196</v>
      </c>
      <c r="J251" s="24">
        <v>43265</v>
      </c>
    </row>
    <row r="252" spans="2:10" x14ac:dyDescent="0.2">
      <c r="B252" s="22">
        <v>248</v>
      </c>
      <c r="C252" s="23" t="s">
        <v>12073</v>
      </c>
      <c r="D252" s="23" t="s">
        <v>740</v>
      </c>
      <c r="E252" s="20" t="s">
        <v>12074</v>
      </c>
      <c r="F252" s="22">
        <v>88</v>
      </c>
      <c r="G252" s="22" t="s">
        <v>12075</v>
      </c>
      <c r="H252" s="22">
        <v>4</v>
      </c>
      <c r="I252" s="25">
        <v>43161</v>
      </c>
      <c r="J252" s="24">
        <v>43202</v>
      </c>
    </row>
    <row r="253" spans="2:10" x14ac:dyDescent="0.2">
      <c r="B253" s="22">
        <v>249</v>
      </c>
      <c r="C253" s="23" t="s">
        <v>12076</v>
      </c>
      <c r="D253" s="23" t="s">
        <v>1294</v>
      </c>
      <c r="E253" s="20" t="s">
        <v>12077</v>
      </c>
      <c r="F253" s="22">
        <v>37</v>
      </c>
      <c r="G253" s="22" t="s">
        <v>12078</v>
      </c>
      <c r="H253" s="22">
        <v>5</v>
      </c>
      <c r="I253" s="25">
        <v>43308</v>
      </c>
      <c r="J253" s="24">
        <v>43370</v>
      </c>
    </row>
    <row r="254" spans="2:10" x14ac:dyDescent="0.2">
      <c r="B254" s="22">
        <v>250</v>
      </c>
      <c r="C254" s="23" t="s">
        <v>12079</v>
      </c>
      <c r="D254" s="23" t="s">
        <v>1015</v>
      </c>
      <c r="E254" s="20" t="s">
        <v>12080</v>
      </c>
      <c r="F254" s="22">
        <v>37</v>
      </c>
      <c r="G254" s="22" t="s">
        <v>12081</v>
      </c>
      <c r="H254" s="22">
        <v>3</v>
      </c>
      <c r="I254" s="25">
        <v>43231</v>
      </c>
      <c r="J254" s="24">
        <v>43356</v>
      </c>
    </row>
    <row r="255" spans="2:10" x14ac:dyDescent="0.2">
      <c r="B255" s="22">
        <v>251</v>
      </c>
      <c r="C255" s="23" t="s">
        <v>12082</v>
      </c>
      <c r="D255" s="23" t="s">
        <v>1142</v>
      </c>
      <c r="E255" s="20" t="s">
        <v>12083</v>
      </c>
      <c r="F255" s="22">
        <v>161</v>
      </c>
      <c r="G255" s="22" t="s">
        <v>1159</v>
      </c>
      <c r="H255" s="22" t="s">
        <v>1159</v>
      </c>
      <c r="I255" s="25">
        <v>43299</v>
      </c>
      <c r="J255" s="24">
        <v>43328</v>
      </c>
    </row>
    <row r="256" spans="2:10" x14ac:dyDescent="0.2">
      <c r="B256" s="22">
        <v>252</v>
      </c>
      <c r="C256" s="23" t="s">
        <v>12084</v>
      </c>
      <c r="D256" s="23" t="s">
        <v>1175</v>
      </c>
      <c r="E256" s="20" t="s">
        <v>12085</v>
      </c>
      <c r="F256" s="22" t="s">
        <v>1159</v>
      </c>
      <c r="G256" s="22" t="s">
        <v>1159</v>
      </c>
      <c r="H256" s="22" t="s">
        <v>1159</v>
      </c>
      <c r="I256" s="25">
        <v>43175</v>
      </c>
      <c r="J256" s="22" t="s">
        <v>558</v>
      </c>
    </row>
    <row r="257" spans="2:10" x14ac:dyDescent="0.2">
      <c r="B257" s="22">
        <v>253</v>
      </c>
      <c r="C257" s="23" t="s">
        <v>12086</v>
      </c>
      <c r="D257" s="23" t="s">
        <v>1294</v>
      </c>
      <c r="E257" s="20" t="s">
        <v>12087</v>
      </c>
      <c r="F257" s="22">
        <v>27</v>
      </c>
      <c r="G257" s="22" t="s">
        <v>12088</v>
      </c>
      <c r="H257" s="22">
        <v>3</v>
      </c>
      <c r="I257" s="25">
        <v>43392</v>
      </c>
      <c r="J257" s="24">
        <v>43110</v>
      </c>
    </row>
    <row r="258" spans="2:10" x14ac:dyDescent="0.2">
      <c r="B258" s="22">
        <v>254</v>
      </c>
      <c r="C258" s="23" t="s">
        <v>12089</v>
      </c>
      <c r="D258" s="23" t="s">
        <v>5638</v>
      </c>
      <c r="E258" s="20" t="s">
        <v>12090</v>
      </c>
      <c r="F258" s="22">
        <v>60</v>
      </c>
      <c r="G258" s="22" t="s">
        <v>12091</v>
      </c>
      <c r="H258" s="22">
        <v>47</v>
      </c>
      <c r="I258" s="25">
        <v>43350</v>
      </c>
      <c r="J258" s="24">
        <v>43384</v>
      </c>
    </row>
    <row r="259" spans="2:10" x14ac:dyDescent="0.2">
      <c r="B259" s="22">
        <v>255</v>
      </c>
      <c r="C259" s="23" t="s">
        <v>12092</v>
      </c>
      <c r="D259" s="23" t="s">
        <v>1415</v>
      </c>
      <c r="E259" s="20" t="s">
        <v>12093</v>
      </c>
      <c r="F259" s="22">
        <v>99</v>
      </c>
      <c r="G259" s="22" t="s">
        <v>12094</v>
      </c>
      <c r="H259" s="22">
        <v>99</v>
      </c>
      <c r="I259" s="25">
        <v>43266</v>
      </c>
      <c r="J259" s="22" t="s">
        <v>558</v>
      </c>
    </row>
    <row r="260" spans="2:10" x14ac:dyDescent="0.2">
      <c r="B260" s="22">
        <v>256</v>
      </c>
      <c r="C260" s="23" t="s">
        <v>12095</v>
      </c>
      <c r="D260" s="23" t="s">
        <v>5254</v>
      </c>
      <c r="E260" s="20" t="s">
        <v>12096</v>
      </c>
      <c r="F260" s="22">
        <v>231</v>
      </c>
      <c r="G260" s="22" t="s">
        <v>12097</v>
      </c>
      <c r="H260" s="22">
        <v>231</v>
      </c>
      <c r="I260" s="25">
        <v>43175</v>
      </c>
      <c r="J260" s="24">
        <v>43195</v>
      </c>
    </row>
    <row r="261" spans="2:10" x14ac:dyDescent="0.2">
      <c r="B261" s="22">
        <v>257</v>
      </c>
      <c r="C261" s="23" t="s">
        <v>12098</v>
      </c>
      <c r="D261" s="23" t="s">
        <v>830</v>
      </c>
      <c r="E261" s="20" t="s">
        <v>12099</v>
      </c>
      <c r="F261" s="22">
        <v>48</v>
      </c>
      <c r="G261" s="22" t="s">
        <v>12100</v>
      </c>
      <c r="H261" s="22">
        <v>5</v>
      </c>
      <c r="I261" s="25">
        <v>43217</v>
      </c>
      <c r="J261" s="24">
        <v>43279</v>
      </c>
    </row>
    <row r="262" spans="2:10" x14ac:dyDescent="0.2">
      <c r="B262" s="22">
        <v>258</v>
      </c>
      <c r="C262" s="23" t="s">
        <v>12101</v>
      </c>
      <c r="D262" s="23" t="s">
        <v>12102</v>
      </c>
      <c r="E262" s="20" t="s">
        <v>12103</v>
      </c>
      <c r="F262" s="22">
        <v>24</v>
      </c>
      <c r="G262" s="22" t="s">
        <v>12104</v>
      </c>
      <c r="H262" s="22">
        <v>1</v>
      </c>
      <c r="I262" s="25">
        <v>43350</v>
      </c>
      <c r="J262" s="24">
        <v>43159</v>
      </c>
    </row>
    <row r="263" spans="2:10" x14ac:dyDescent="0.2">
      <c r="B263" s="22">
        <v>259</v>
      </c>
      <c r="C263" s="23" t="s">
        <v>12105</v>
      </c>
      <c r="D263" s="23" t="s">
        <v>1532</v>
      </c>
      <c r="E263" s="20" t="s">
        <v>12106</v>
      </c>
      <c r="F263" s="22">
        <v>16</v>
      </c>
      <c r="G263" s="22" t="s">
        <v>12107</v>
      </c>
      <c r="H263" s="22">
        <v>3</v>
      </c>
      <c r="I263" s="25">
        <v>43301</v>
      </c>
      <c r="J263" s="22" t="s">
        <v>558</v>
      </c>
    </row>
    <row r="264" spans="2:10" x14ac:dyDescent="0.2">
      <c r="B264" s="22">
        <v>260</v>
      </c>
      <c r="C264" s="23" t="s">
        <v>12108</v>
      </c>
      <c r="D264" s="23" t="s">
        <v>1415</v>
      </c>
      <c r="E264" s="20" t="s">
        <v>12109</v>
      </c>
      <c r="F264" s="22">
        <v>115</v>
      </c>
      <c r="G264" s="22" t="s">
        <v>12110</v>
      </c>
      <c r="H264" s="22">
        <v>115</v>
      </c>
      <c r="I264" s="25">
        <v>43441</v>
      </c>
      <c r="J264" s="22" t="s">
        <v>558</v>
      </c>
    </row>
    <row r="265" spans="2:10" x14ac:dyDescent="0.2">
      <c r="B265" s="22">
        <v>261</v>
      </c>
      <c r="C265" s="23" t="s">
        <v>12111</v>
      </c>
      <c r="D265" s="23" t="s">
        <v>1015</v>
      </c>
      <c r="E265" s="20" t="s">
        <v>12112</v>
      </c>
      <c r="F265" s="22">
        <v>50</v>
      </c>
      <c r="G265" s="22" t="s">
        <v>12113</v>
      </c>
      <c r="H265" s="22">
        <v>4</v>
      </c>
      <c r="I265" s="25">
        <v>43385</v>
      </c>
      <c r="J265" s="24">
        <v>43110</v>
      </c>
    </row>
    <row r="266" spans="2:10" x14ac:dyDescent="0.2">
      <c r="B266" s="22">
        <v>262</v>
      </c>
      <c r="C266" s="23" t="s">
        <v>12114</v>
      </c>
      <c r="D266" s="23" t="s">
        <v>2742</v>
      </c>
      <c r="E266" s="20" t="s">
        <v>12115</v>
      </c>
      <c r="F266" s="22">
        <v>86</v>
      </c>
      <c r="G266" s="22" t="s">
        <v>12116</v>
      </c>
      <c r="H266" s="22">
        <v>86</v>
      </c>
      <c r="I266" s="25">
        <v>43252</v>
      </c>
      <c r="J266" s="24">
        <v>43272</v>
      </c>
    </row>
    <row r="267" spans="2:10" x14ac:dyDescent="0.2">
      <c r="B267" s="22">
        <v>263</v>
      </c>
      <c r="C267" s="23" t="s">
        <v>12117</v>
      </c>
      <c r="D267" s="23" t="s">
        <v>10952</v>
      </c>
      <c r="E267" s="20" t="s">
        <v>12118</v>
      </c>
      <c r="F267" s="22">
        <v>110</v>
      </c>
      <c r="G267" s="22" t="s">
        <v>12119</v>
      </c>
      <c r="H267" s="22">
        <v>110</v>
      </c>
      <c r="I267" s="25">
        <v>43378</v>
      </c>
      <c r="J267" s="24">
        <v>43405</v>
      </c>
    </row>
    <row r="268" spans="2:10" x14ac:dyDescent="0.2">
      <c r="B268" s="22">
        <v>264</v>
      </c>
      <c r="C268" s="23" t="s">
        <v>12120</v>
      </c>
      <c r="D268" s="23" t="s">
        <v>1175</v>
      </c>
      <c r="E268" s="20" t="s">
        <v>12121</v>
      </c>
      <c r="F268" s="22">
        <v>19</v>
      </c>
      <c r="G268" s="22" t="s">
        <v>1159</v>
      </c>
      <c r="H268" s="22">
        <v>19</v>
      </c>
      <c r="I268" s="25">
        <v>43203</v>
      </c>
      <c r="J268" s="22" t="s">
        <v>558</v>
      </c>
    </row>
    <row r="269" spans="2:10" x14ac:dyDescent="0.2">
      <c r="B269" s="22">
        <v>265</v>
      </c>
      <c r="C269" s="23" t="s">
        <v>12122</v>
      </c>
      <c r="D269" s="23" t="s">
        <v>1043</v>
      </c>
      <c r="E269" s="20" t="s">
        <v>12123</v>
      </c>
      <c r="F269" s="22">
        <v>307</v>
      </c>
      <c r="G269" s="22" t="s">
        <v>12124</v>
      </c>
      <c r="H269" s="22">
        <v>307</v>
      </c>
      <c r="I269" s="25">
        <v>43350</v>
      </c>
      <c r="J269" s="24">
        <v>43377</v>
      </c>
    </row>
    <row r="270" spans="2:10" x14ac:dyDescent="0.2">
      <c r="B270" s="22">
        <v>266</v>
      </c>
      <c r="C270" s="23" t="s">
        <v>12125</v>
      </c>
      <c r="D270" s="23" t="s">
        <v>1559</v>
      </c>
      <c r="E270" s="20" t="s">
        <v>12126</v>
      </c>
      <c r="F270" s="22">
        <v>23</v>
      </c>
      <c r="G270" s="22" t="s">
        <v>12127</v>
      </c>
      <c r="H270" s="22">
        <v>1</v>
      </c>
      <c r="I270" s="25">
        <v>43141</v>
      </c>
      <c r="J270" s="24">
        <v>43202</v>
      </c>
    </row>
    <row r="271" spans="2:10" x14ac:dyDescent="0.2">
      <c r="B271" s="22">
        <v>267</v>
      </c>
      <c r="C271" s="23" t="s">
        <v>12128</v>
      </c>
      <c r="D271" s="23" t="s">
        <v>1332</v>
      </c>
      <c r="E271" s="20" t="s">
        <v>12129</v>
      </c>
      <c r="F271" s="22">
        <v>20</v>
      </c>
      <c r="G271" s="22" t="s">
        <v>1159</v>
      </c>
      <c r="H271" s="22">
        <v>20</v>
      </c>
      <c r="I271" s="25">
        <v>43434</v>
      </c>
      <c r="J271" s="24">
        <v>43110</v>
      </c>
    </row>
    <row r="272" spans="2:10" x14ac:dyDescent="0.2">
      <c r="B272" s="22">
        <v>268</v>
      </c>
      <c r="C272" s="23" t="s">
        <v>12130</v>
      </c>
      <c r="D272" s="23" t="s">
        <v>8353</v>
      </c>
      <c r="E272" s="20" t="s">
        <v>12131</v>
      </c>
      <c r="F272" s="22">
        <v>41</v>
      </c>
      <c r="G272" s="22" t="s">
        <v>12132</v>
      </c>
      <c r="H272" s="22">
        <v>4</v>
      </c>
      <c r="I272" s="25">
        <v>43322</v>
      </c>
      <c r="J272" s="24">
        <v>43426</v>
      </c>
    </row>
    <row r="273" spans="2:10" x14ac:dyDescent="0.2">
      <c r="B273" s="22">
        <v>269</v>
      </c>
      <c r="C273" s="23" t="s">
        <v>12133</v>
      </c>
      <c r="D273" s="23" t="s">
        <v>1294</v>
      </c>
      <c r="E273" s="20" t="s">
        <v>12134</v>
      </c>
      <c r="F273" s="22">
        <v>31</v>
      </c>
      <c r="G273" s="22" t="s">
        <v>6163</v>
      </c>
      <c r="H273" s="22">
        <v>4</v>
      </c>
      <c r="I273" s="25">
        <v>43357</v>
      </c>
      <c r="J273" s="24">
        <v>43426</v>
      </c>
    </row>
    <row r="274" spans="2:10" x14ac:dyDescent="0.2">
      <c r="B274" s="22">
        <v>270</v>
      </c>
      <c r="C274" s="23" t="s">
        <v>12135</v>
      </c>
      <c r="D274" s="23" t="s">
        <v>1294</v>
      </c>
      <c r="E274" s="20" t="s">
        <v>12136</v>
      </c>
      <c r="F274" s="22">
        <v>22</v>
      </c>
      <c r="G274" s="22" t="s">
        <v>12137</v>
      </c>
      <c r="H274" s="22">
        <v>3</v>
      </c>
      <c r="I274" s="25">
        <v>43427</v>
      </c>
      <c r="J274" s="24">
        <v>43131</v>
      </c>
    </row>
    <row r="275" spans="2:10" x14ac:dyDescent="0.2">
      <c r="B275" s="22">
        <v>271</v>
      </c>
      <c r="C275" s="23" t="s">
        <v>12138</v>
      </c>
      <c r="D275" s="23" t="s">
        <v>1039</v>
      </c>
      <c r="E275" s="20" t="s">
        <v>12139</v>
      </c>
      <c r="F275" s="22">
        <v>21</v>
      </c>
      <c r="G275" s="22" t="s">
        <v>12140</v>
      </c>
      <c r="H275" s="22">
        <v>1</v>
      </c>
      <c r="I275" s="25">
        <v>43329</v>
      </c>
      <c r="J275" s="24">
        <v>43405</v>
      </c>
    </row>
    <row r="276" spans="2:10" x14ac:dyDescent="0.2">
      <c r="B276" s="22">
        <v>272</v>
      </c>
      <c r="C276" s="23" t="s">
        <v>12141</v>
      </c>
      <c r="D276" s="23" t="s">
        <v>1640</v>
      </c>
      <c r="E276" s="20" t="s">
        <v>12142</v>
      </c>
      <c r="F276" s="22">
        <v>19</v>
      </c>
      <c r="G276" s="22" t="s">
        <v>12143</v>
      </c>
      <c r="H276" s="22">
        <v>2</v>
      </c>
      <c r="I276" s="25">
        <v>43161</v>
      </c>
      <c r="J276" s="24">
        <v>43335</v>
      </c>
    </row>
    <row r="277" spans="2:10" x14ac:dyDescent="0.2">
      <c r="B277" s="22">
        <v>273</v>
      </c>
      <c r="C277" s="23" t="s">
        <v>12144</v>
      </c>
      <c r="D277" s="23" t="s">
        <v>1210</v>
      </c>
      <c r="E277" s="20" t="s">
        <v>12145</v>
      </c>
      <c r="F277" s="22">
        <v>20</v>
      </c>
      <c r="G277" s="22" t="s">
        <v>12146</v>
      </c>
      <c r="H277" s="22">
        <v>20</v>
      </c>
      <c r="I277" s="25">
        <v>43434</v>
      </c>
      <c r="J277" s="24">
        <v>43110</v>
      </c>
    </row>
    <row r="278" spans="2:10" x14ac:dyDescent="0.2">
      <c r="B278" s="22">
        <v>274</v>
      </c>
      <c r="C278" s="23" t="s">
        <v>12147</v>
      </c>
      <c r="D278" s="23" t="s">
        <v>12148</v>
      </c>
      <c r="E278" s="20" t="s">
        <v>12149</v>
      </c>
      <c r="F278" s="22">
        <v>30</v>
      </c>
      <c r="G278" s="22" t="s">
        <v>12150</v>
      </c>
      <c r="H278" s="22">
        <v>30</v>
      </c>
      <c r="I278" s="25">
        <v>43120</v>
      </c>
      <c r="J278" s="24">
        <v>43216</v>
      </c>
    </row>
    <row r="279" spans="2:10" x14ac:dyDescent="0.2">
      <c r="B279" s="22">
        <v>275</v>
      </c>
      <c r="C279" s="23" t="s">
        <v>12151</v>
      </c>
      <c r="D279" s="23" t="s">
        <v>1015</v>
      </c>
      <c r="E279" s="20" t="s">
        <v>12152</v>
      </c>
      <c r="F279" s="22">
        <v>40</v>
      </c>
      <c r="G279" s="22" t="s">
        <v>12153</v>
      </c>
      <c r="H279" s="22">
        <v>5</v>
      </c>
      <c r="I279" s="25">
        <v>43459</v>
      </c>
      <c r="J279" s="24">
        <v>43215</v>
      </c>
    </row>
    <row r="280" spans="2:10" x14ac:dyDescent="0.2">
      <c r="B280" s="22">
        <v>276</v>
      </c>
      <c r="C280" s="23" t="s">
        <v>12154</v>
      </c>
      <c r="D280" s="23" t="s">
        <v>1559</v>
      </c>
      <c r="E280" s="20" t="s">
        <v>12155</v>
      </c>
      <c r="F280" s="22">
        <v>18</v>
      </c>
      <c r="G280" s="22" t="s">
        <v>12156</v>
      </c>
      <c r="H280" s="22">
        <v>6</v>
      </c>
      <c r="I280" s="25">
        <v>43252</v>
      </c>
      <c r="J280" s="24">
        <v>43356</v>
      </c>
    </row>
    <row r="281" spans="2:10" x14ac:dyDescent="0.2">
      <c r="B281" s="22">
        <v>277</v>
      </c>
      <c r="C281" s="23" t="s">
        <v>12157</v>
      </c>
      <c r="D281" s="23" t="s">
        <v>1210</v>
      </c>
      <c r="E281" s="20" t="s">
        <v>12158</v>
      </c>
      <c r="F281" s="22">
        <v>15</v>
      </c>
      <c r="G281" s="22" t="s">
        <v>12159</v>
      </c>
      <c r="H281" s="22">
        <v>7</v>
      </c>
      <c r="I281" s="25">
        <v>43148</v>
      </c>
      <c r="J281" s="24">
        <v>43202</v>
      </c>
    </row>
    <row r="282" spans="2:10" x14ac:dyDescent="0.2">
      <c r="B282" s="22">
        <v>278</v>
      </c>
      <c r="C282" s="23" t="s">
        <v>12160</v>
      </c>
      <c r="D282" s="23" t="s">
        <v>7800</v>
      </c>
      <c r="E282" s="20" t="s">
        <v>12161</v>
      </c>
      <c r="F282" s="22">
        <v>141</v>
      </c>
      <c r="G282" s="22" t="s">
        <v>12162</v>
      </c>
      <c r="H282" s="22">
        <v>141</v>
      </c>
      <c r="I282" s="25">
        <v>43357</v>
      </c>
      <c r="J282" s="24">
        <v>43370</v>
      </c>
    </row>
    <row r="283" spans="2:10" x14ac:dyDescent="0.2">
      <c r="B283" s="22">
        <v>279</v>
      </c>
      <c r="C283" s="23" t="s">
        <v>12163</v>
      </c>
      <c r="D283" s="23" t="s">
        <v>10305</v>
      </c>
      <c r="E283" s="20" t="s">
        <v>12164</v>
      </c>
      <c r="F283" s="22">
        <v>157</v>
      </c>
      <c r="G283" s="22" t="s">
        <v>12165</v>
      </c>
      <c r="H283" s="22">
        <v>157</v>
      </c>
      <c r="I283" s="25">
        <v>43266</v>
      </c>
      <c r="J283" s="24">
        <v>43286</v>
      </c>
    </row>
    <row r="284" spans="2:10" x14ac:dyDescent="0.2">
      <c r="B284" s="22">
        <v>280</v>
      </c>
      <c r="C284" s="23" t="s">
        <v>12166</v>
      </c>
      <c r="D284" s="23" t="s">
        <v>820</v>
      </c>
      <c r="E284" s="20" t="s">
        <v>12167</v>
      </c>
      <c r="F284" s="22">
        <v>6</v>
      </c>
      <c r="G284" s="22" t="s">
        <v>12168</v>
      </c>
      <c r="H284" s="22">
        <v>5</v>
      </c>
      <c r="I284" s="25">
        <v>43189</v>
      </c>
      <c r="J284" s="24">
        <v>43202</v>
      </c>
    </row>
    <row r="285" spans="2:10" x14ac:dyDescent="0.2">
      <c r="B285" s="22">
        <v>281</v>
      </c>
      <c r="C285" s="23" t="s">
        <v>12169</v>
      </c>
      <c r="D285" s="23" t="s">
        <v>1210</v>
      </c>
      <c r="E285" s="20" t="s">
        <v>12170</v>
      </c>
      <c r="F285" s="22">
        <v>14</v>
      </c>
      <c r="G285" s="22" t="s">
        <v>12171</v>
      </c>
      <c r="H285" s="22">
        <v>10</v>
      </c>
      <c r="I285" s="25">
        <v>43189</v>
      </c>
      <c r="J285" s="24">
        <v>43230</v>
      </c>
    </row>
    <row r="286" spans="2:10" x14ac:dyDescent="0.2">
      <c r="B286" s="22">
        <v>282</v>
      </c>
      <c r="C286" s="23" t="s">
        <v>12172</v>
      </c>
      <c r="D286" s="23" t="s">
        <v>12173</v>
      </c>
      <c r="E286" s="20" t="s">
        <v>12174</v>
      </c>
      <c r="F286" s="22">
        <v>18</v>
      </c>
      <c r="G286" s="22" t="s">
        <v>12175</v>
      </c>
      <c r="H286" s="22">
        <v>2</v>
      </c>
      <c r="I286" s="25">
        <v>43161</v>
      </c>
      <c r="J286" s="22" t="s">
        <v>558</v>
      </c>
    </row>
    <row r="287" spans="2:10" x14ac:dyDescent="0.2">
      <c r="B287" s="22">
        <v>283</v>
      </c>
      <c r="C287" s="23" t="s">
        <v>12176</v>
      </c>
      <c r="D287" s="23" t="s">
        <v>1015</v>
      </c>
      <c r="E287" s="20" t="s">
        <v>12177</v>
      </c>
      <c r="F287" s="22">
        <v>24</v>
      </c>
      <c r="G287" s="22" t="s">
        <v>12178</v>
      </c>
      <c r="H287" s="22">
        <v>2</v>
      </c>
      <c r="I287" s="25">
        <v>43329</v>
      </c>
      <c r="J287" s="22" t="s">
        <v>558</v>
      </c>
    </row>
    <row r="288" spans="2:10" x14ac:dyDescent="0.2">
      <c r="B288" s="22">
        <v>284</v>
      </c>
      <c r="C288" s="23" t="s">
        <v>12179</v>
      </c>
      <c r="D288" s="23" t="s">
        <v>830</v>
      </c>
      <c r="E288" s="20" t="s">
        <v>12180</v>
      </c>
      <c r="F288" s="22">
        <v>52</v>
      </c>
      <c r="G288" s="22" t="s">
        <v>12181</v>
      </c>
      <c r="H288" s="22">
        <v>4</v>
      </c>
      <c r="I288" s="25">
        <v>43259</v>
      </c>
      <c r="J288" s="24">
        <v>43293</v>
      </c>
    </row>
    <row r="289" spans="2:10" x14ac:dyDescent="0.2">
      <c r="B289" s="22">
        <v>285</v>
      </c>
      <c r="C289" s="23" t="s">
        <v>12182</v>
      </c>
      <c r="D289" s="23" t="s">
        <v>1213</v>
      </c>
      <c r="E289" s="20" t="s">
        <v>12183</v>
      </c>
      <c r="F289" s="22">
        <v>10</v>
      </c>
      <c r="G289" s="22" t="s">
        <v>12184</v>
      </c>
      <c r="H289" s="22">
        <v>5</v>
      </c>
      <c r="I289" s="25">
        <v>43350</v>
      </c>
      <c r="J289" s="24">
        <v>43461</v>
      </c>
    </row>
    <row r="290" spans="2:10" x14ac:dyDescent="0.2">
      <c r="B290" s="22">
        <v>286</v>
      </c>
      <c r="C290" s="23" t="s">
        <v>12185</v>
      </c>
      <c r="D290" s="23" t="s">
        <v>4383</v>
      </c>
      <c r="E290" s="20" t="s">
        <v>12186</v>
      </c>
      <c r="F290" s="22">
        <v>8</v>
      </c>
      <c r="G290" s="22" t="s">
        <v>12187</v>
      </c>
      <c r="H290" s="22">
        <v>4</v>
      </c>
      <c r="I290" s="25">
        <v>43369</v>
      </c>
      <c r="J290" s="24">
        <v>43236</v>
      </c>
    </row>
    <row r="291" spans="2:10" x14ac:dyDescent="0.2">
      <c r="B291" s="22">
        <v>287</v>
      </c>
      <c r="C291" s="23" t="s">
        <v>12188</v>
      </c>
      <c r="D291" s="23" t="s">
        <v>4860</v>
      </c>
      <c r="E291" s="20" t="s">
        <v>12189</v>
      </c>
      <c r="F291" s="22">
        <v>14</v>
      </c>
      <c r="G291" s="22" t="s">
        <v>12190</v>
      </c>
      <c r="H291" s="22">
        <v>14</v>
      </c>
      <c r="I291" s="25">
        <v>43364</v>
      </c>
      <c r="J291" s="24">
        <v>43415</v>
      </c>
    </row>
    <row r="292" spans="2:10" x14ac:dyDescent="0.2">
      <c r="B292" s="22">
        <v>288</v>
      </c>
      <c r="C292" s="23" t="s">
        <v>12191</v>
      </c>
      <c r="D292" s="23" t="s">
        <v>1532</v>
      </c>
      <c r="E292" s="20" t="s">
        <v>12192</v>
      </c>
      <c r="F292" s="22">
        <v>9</v>
      </c>
      <c r="G292" s="22" t="s">
        <v>12193</v>
      </c>
      <c r="H292" s="22">
        <v>1</v>
      </c>
      <c r="I292" s="25">
        <v>43173</v>
      </c>
      <c r="J292" s="24">
        <v>43321</v>
      </c>
    </row>
    <row r="293" spans="2:10" x14ac:dyDescent="0.2">
      <c r="B293" s="22">
        <v>289</v>
      </c>
      <c r="C293" s="23" t="s">
        <v>12194</v>
      </c>
      <c r="D293" s="23" t="s">
        <v>1294</v>
      </c>
      <c r="E293" s="20" t="s">
        <v>12195</v>
      </c>
      <c r="F293" s="22">
        <v>38</v>
      </c>
      <c r="G293" s="22" t="s">
        <v>12196</v>
      </c>
      <c r="H293" s="22">
        <v>3</v>
      </c>
      <c r="I293" s="25">
        <v>43294</v>
      </c>
      <c r="J293" s="24">
        <v>43338</v>
      </c>
    </row>
    <row r="294" spans="2:10" x14ac:dyDescent="0.2">
      <c r="B294" s="22">
        <v>290</v>
      </c>
      <c r="C294" s="23" t="s">
        <v>12197</v>
      </c>
      <c r="D294" s="23" t="s">
        <v>11038</v>
      </c>
      <c r="E294" s="20" t="s">
        <v>12198</v>
      </c>
      <c r="F294" s="22">
        <v>25</v>
      </c>
      <c r="G294" s="22" t="s">
        <v>12199</v>
      </c>
      <c r="H294" s="22">
        <v>6</v>
      </c>
      <c r="I294" s="25">
        <v>43385</v>
      </c>
      <c r="J294" s="24">
        <v>43447</v>
      </c>
    </row>
    <row r="295" spans="2:10" x14ac:dyDescent="0.2">
      <c r="B295" s="22">
        <v>291</v>
      </c>
      <c r="C295" s="23" t="s">
        <v>12200</v>
      </c>
      <c r="D295" s="23" t="s">
        <v>1640</v>
      </c>
      <c r="E295" s="20" t="s">
        <v>12201</v>
      </c>
      <c r="F295" s="22">
        <v>13</v>
      </c>
      <c r="G295" s="22" t="s">
        <v>12202</v>
      </c>
      <c r="H295" s="22">
        <v>1</v>
      </c>
      <c r="I295" s="25">
        <v>43236</v>
      </c>
      <c r="J295" s="24">
        <v>43398</v>
      </c>
    </row>
    <row r="296" spans="2:10" x14ac:dyDescent="0.2">
      <c r="B296" s="22">
        <v>292</v>
      </c>
      <c r="C296" s="23" t="s">
        <v>12203</v>
      </c>
      <c r="D296" s="23" t="s">
        <v>1415</v>
      </c>
      <c r="E296" s="20" t="s">
        <v>12204</v>
      </c>
      <c r="F296" s="22">
        <v>97</v>
      </c>
      <c r="G296" s="22" t="s">
        <v>12205</v>
      </c>
      <c r="H296" s="22">
        <v>97</v>
      </c>
      <c r="I296" s="25">
        <v>43217</v>
      </c>
      <c r="J296" s="24">
        <v>43237</v>
      </c>
    </row>
    <row r="297" spans="2:10" x14ac:dyDescent="0.2">
      <c r="B297" s="22">
        <v>293</v>
      </c>
      <c r="C297" s="23" t="s">
        <v>12206</v>
      </c>
      <c r="D297" s="23" t="s">
        <v>1210</v>
      </c>
      <c r="E297" s="20" t="s">
        <v>12207</v>
      </c>
      <c r="F297" s="22">
        <v>22</v>
      </c>
      <c r="G297" s="22" t="s">
        <v>12208</v>
      </c>
      <c r="H297" s="22">
        <v>22</v>
      </c>
      <c r="I297" s="25">
        <v>43120</v>
      </c>
      <c r="J297" s="24">
        <v>43188</v>
      </c>
    </row>
    <row r="298" spans="2:10" x14ac:dyDescent="0.2">
      <c r="B298" s="22">
        <v>294</v>
      </c>
      <c r="C298" s="23" t="s">
        <v>12209</v>
      </c>
      <c r="D298" s="23" t="s">
        <v>10283</v>
      </c>
      <c r="E298" s="20" t="s">
        <v>12210</v>
      </c>
      <c r="F298" s="22">
        <v>13</v>
      </c>
      <c r="G298" s="22" t="s">
        <v>12211</v>
      </c>
      <c r="H298" s="22">
        <v>2</v>
      </c>
      <c r="I298" s="25">
        <v>43392</v>
      </c>
      <c r="J298" s="24">
        <v>43166</v>
      </c>
    </row>
    <row r="299" spans="2:10" x14ac:dyDescent="0.2">
      <c r="B299" s="22">
        <v>295</v>
      </c>
      <c r="C299" s="23" t="s">
        <v>12212</v>
      </c>
      <c r="D299" s="23" t="s">
        <v>1015</v>
      </c>
      <c r="E299" s="20" t="s">
        <v>12213</v>
      </c>
      <c r="F299" s="22">
        <v>23</v>
      </c>
      <c r="G299" s="22" t="s">
        <v>12214</v>
      </c>
      <c r="H299" s="22">
        <v>3</v>
      </c>
      <c r="I299" s="25">
        <v>43280</v>
      </c>
      <c r="J299" s="24">
        <v>43391</v>
      </c>
    </row>
    <row r="300" spans="2:10" x14ac:dyDescent="0.2">
      <c r="B300" s="22">
        <v>296</v>
      </c>
      <c r="C300" s="23" t="s">
        <v>12215</v>
      </c>
      <c r="D300" s="23" t="s">
        <v>1377</v>
      </c>
      <c r="E300" s="20" t="s">
        <v>12216</v>
      </c>
      <c r="F300" s="22">
        <v>45</v>
      </c>
      <c r="G300" s="22" t="s">
        <v>12217</v>
      </c>
      <c r="H300" s="22">
        <v>45</v>
      </c>
      <c r="I300" s="25">
        <v>43371</v>
      </c>
      <c r="J300" s="24">
        <v>43398</v>
      </c>
    </row>
    <row r="301" spans="2:10" x14ac:dyDescent="0.2">
      <c r="B301" s="22">
        <v>297</v>
      </c>
      <c r="C301" s="23" t="s">
        <v>12218</v>
      </c>
      <c r="D301" s="23" t="s">
        <v>8353</v>
      </c>
      <c r="E301" s="20" t="s">
        <v>12219</v>
      </c>
      <c r="F301" s="22">
        <v>31</v>
      </c>
      <c r="G301" s="22" t="s">
        <v>12220</v>
      </c>
      <c r="H301" s="22">
        <v>31</v>
      </c>
      <c r="I301" s="25">
        <v>43392</v>
      </c>
      <c r="J301" s="24">
        <v>43433</v>
      </c>
    </row>
    <row r="302" spans="2:10" x14ac:dyDescent="0.2">
      <c r="B302" s="22">
        <v>298</v>
      </c>
      <c r="C302" s="23" t="s">
        <v>12221</v>
      </c>
      <c r="D302" s="23" t="s">
        <v>1294</v>
      </c>
      <c r="E302" s="20" t="s">
        <v>12222</v>
      </c>
      <c r="F302" s="22">
        <v>21</v>
      </c>
      <c r="G302" s="22" t="s">
        <v>12223</v>
      </c>
      <c r="H302" s="22">
        <v>3</v>
      </c>
      <c r="I302" s="25">
        <v>43238</v>
      </c>
      <c r="J302" s="24">
        <v>43272</v>
      </c>
    </row>
    <row r="303" spans="2:10" x14ac:dyDescent="0.2">
      <c r="B303" s="22">
        <v>299</v>
      </c>
      <c r="C303" s="23" t="s">
        <v>12224</v>
      </c>
      <c r="D303" s="23" t="s">
        <v>4805</v>
      </c>
      <c r="E303" s="20" t="s">
        <v>12225</v>
      </c>
      <c r="F303" s="22">
        <v>6</v>
      </c>
      <c r="G303" s="22" t="s">
        <v>12226</v>
      </c>
      <c r="H303" s="22">
        <v>1</v>
      </c>
      <c r="I303" s="25">
        <v>43336</v>
      </c>
      <c r="J303" s="24">
        <v>43131</v>
      </c>
    </row>
    <row r="304" spans="2:10" x14ac:dyDescent="0.2">
      <c r="B304" s="22">
        <v>300</v>
      </c>
      <c r="C304" s="23" t="s">
        <v>12227</v>
      </c>
      <c r="D304" s="23" t="s">
        <v>1248</v>
      </c>
      <c r="E304" s="20" t="s">
        <v>12228</v>
      </c>
      <c r="F304" s="22">
        <v>12</v>
      </c>
      <c r="G304" s="22" t="s">
        <v>12229</v>
      </c>
      <c r="H304" s="22">
        <v>2</v>
      </c>
      <c r="I304" s="25">
        <v>43378</v>
      </c>
      <c r="J304" s="24">
        <v>43145</v>
      </c>
    </row>
    <row r="305" spans="2:10" x14ac:dyDescent="0.2">
      <c r="B305" s="22">
        <v>301</v>
      </c>
      <c r="C305" s="23" t="s">
        <v>12230</v>
      </c>
      <c r="D305" s="23" t="s">
        <v>1175</v>
      </c>
      <c r="E305" s="20" t="s">
        <v>12231</v>
      </c>
      <c r="F305" s="22">
        <v>70</v>
      </c>
      <c r="G305" s="22" t="s">
        <v>12232</v>
      </c>
      <c r="H305" s="22">
        <v>70</v>
      </c>
      <c r="I305" s="25">
        <v>43329</v>
      </c>
      <c r="J305" s="22" t="s">
        <v>558</v>
      </c>
    </row>
    <row r="306" spans="2:10" x14ac:dyDescent="0.2">
      <c r="B306" s="22">
        <v>302</v>
      </c>
      <c r="C306" s="23" t="s">
        <v>12233</v>
      </c>
      <c r="D306" s="23" t="s">
        <v>10416</v>
      </c>
      <c r="E306" s="20" t="s">
        <v>12234</v>
      </c>
      <c r="F306" s="22">
        <v>14</v>
      </c>
      <c r="G306" s="22" t="s">
        <v>12235</v>
      </c>
      <c r="H306" s="22">
        <v>3</v>
      </c>
      <c r="I306" s="25">
        <v>43336</v>
      </c>
      <c r="J306" s="24">
        <v>43405</v>
      </c>
    </row>
    <row r="307" spans="2:10" x14ac:dyDescent="0.2">
      <c r="B307" s="22">
        <v>303</v>
      </c>
      <c r="C307" s="23" t="s">
        <v>12236</v>
      </c>
      <c r="D307" s="23" t="s">
        <v>820</v>
      </c>
      <c r="E307" s="20" t="s">
        <v>12237</v>
      </c>
      <c r="F307" s="22">
        <v>7</v>
      </c>
      <c r="G307" s="22" t="s">
        <v>12238</v>
      </c>
      <c r="H307" s="22">
        <v>2</v>
      </c>
      <c r="I307" s="25">
        <v>43292</v>
      </c>
      <c r="J307" s="24">
        <v>43356</v>
      </c>
    </row>
    <row r="308" spans="2:10" x14ac:dyDescent="0.2">
      <c r="B308" s="22">
        <v>304</v>
      </c>
      <c r="C308" s="23" t="s">
        <v>12239</v>
      </c>
      <c r="D308" s="23" t="s">
        <v>1377</v>
      </c>
      <c r="E308" s="20" t="s">
        <v>12240</v>
      </c>
      <c r="F308" s="22">
        <v>34</v>
      </c>
      <c r="G308" s="22" t="s">
        <v>12241</v>
      </c>
      <c r="H308" s="22">
        <v>34</v>
      </c>
      <c r="I308" s="25">
        <v>43113</v>
      </c>
      <c r="J308" s="24">
        <v>43154</v>
      </c>
    </row>
    <row r="309" spans="2:10" x14ac:dyDescent="0.2">
      <c r="B309" s="22">
        <v>305</v>
      </c>
      <c r="C309" s="23" t="s">
        <v>12242</v>
      </c>
      <c r="D309" s="23" t="s">
        <v>5254</v>
      </c>
      <c r="E309" s="20" t="s">
        <v>12243</v>
      </c>
      <c r="F309" s="22">
        <v>69</v>
      </c>
      <c r="G309" s="22" t="s">
        <v>12244</v>
      </c>
      <c r="H309" s="22">
        <v>50</v>
      </c>
      <c r="I309" s="25">
        <v>43203</v>
      </c>
      <c r="J309" s="24">
        <v>43243</v>
      </c>
    </row>
    <row r="310" spans="2:10" x14ac:dyDescent="0.2">
      <c r="B310" s="22">
        <v>306</v>
      </c>
      <c r="C310" s="23" t="s">
        <v>12245</v>
      </c>
      <c r="D310" s="23" t="s">
        <v>5254</v>
      </c>
      <c r="E310" s="20" t="s">
        <v>12246</v>
      </c>
      <c r="F310" s="22">
        <v>63</v>
      </c>
      <c r="G310" s="22" t="s">
        <v>12247</v>
      </c>
      <c r="H310" s="22">
        <v>3</v>
      </c>
      <c r="I310" s="25">
        <v>43357</v>
      </c>
      <c r="J310" s="24">
        <v>43384</v>
      </c>
    </row>
    <row r="311" spans="2:10" x14ac:dyDescent="0.2">
      <c r="B311" s="22">
        <v>307</v>
      </c>
      <c r="C311" s="23" t="s">
        <v>12248</v>
      </c>
      <c r="D311" s="23" t="s">
        <v>1039</v>
      </c>
      <c r="E311" s="20" t="s">
        <v>12249</v>
      </c>
      <c r="F311" s="22">
        <v>33</v>
      </c>
      <c r="G311" s="22" t="s">
        <v>12250</v>
      </c>
      <c r="H311" s="22">
        <v>24</v>
      </c>
      <c r="I311" s="25">
        <v>43161</v>
      </c>
      <c r="J311" s="22" t="s">
        <v>558</v>
      </c>
    </row>
    <row r="312" spans="2:10" x14ac:dyDescent="0.2">
      <c r="B312" s="22">
        <v>308</v>
      </c>
      <c r="C312" s="23" t="s">
        <v>12251</v>
      </c>
      <c r="D312" s="23" t="s">
        <v>1213</v>
      </c>
      <c r="E312" s="20" t="s">
        <v>12252</v>
      </c>
      <c r="F312" s="22">
        <v>19</v>
      </c>
      <c r="G312" s="22" t="s">
        <v>12253</v>
      </c>
      <c r="H312" s="22">
        <v>16</v>
      </c>
      <c r="I312" s="25">
        <v>43448</v>
      </c>
      <c r="J312" s="24">
        <v>43194</v>
      </c>
    </row>
    <row r="313" spans="2:10" x14ac:dyDescent="0.2">
      <c r="B313" s="22">
        <v>309</v>
      </c>
      <c r="C313" s="23" t="s">
        <v>12254</v>
      </c>
      <c r="D313" s="23" t="s">
        <v>1210</v>
      </c>
      <c r="E313" s="20" t="s">
        <v>12255</v>
      </c>
      <c r="F313" s="22">
        <v>13</v>
      </c>
      <c r="G313" s="22" t="s">
        <v>12256</v>
      </c>
      <c r="H313" s="22">
        <v>9</v>
      </c>
      <c r="I313" s="25">
        <v>43203</v>
      </c>
      <c r="J313" s="24">
        <v>43377</v>
      </c>
    </row>
    <row r="314" spans="2:10" x14ac:dyDescent="0.2">
      <c r="B314" s="22">
        <v>310</v>
      </c>
      <c r="C314" s="23" t="s">
        <v>12257</v>
      </c>
      <c r="D314" s="23" t="s">
        <v>1269</v>
      </c>
      <c r="E314" s="20" t="s">
        <v>12258</v>
      </c>
      <c r="F314" s="22">
        <v>5</v>
      </c>
      <c r="G314" s="22" t="s">
        <v>12259</v>
      </c>
      <c r="H314" s="22">
        <v>5</v>
      </c>
      <c r="I314" s="25">
        <v>43392</v>
      </c>
      <c r="J314" s="24">
        <v>43215</v>
      </c>
    </row>
    <row r="315" spans="2:10" x14ac:dyDescent="0.2">
      <c r="B315" s="22">
        <v>311</v>
      </c>
      <c r="C315" s="23" t="s">
        <v>12260</v>
      </c>
      <c r="D315" s="23" t="s">
        <v>12261</v>
      </c>
      <c r="E315" s="20" t="s">
        <v>12262</v>
      </c>
      <c r="F315" s="22">
        <v>13</v>
      </c>
      <c r="G315" s="22" t="s">
        <v>12263</v>
      </c>
      <c r="H315" s="22">
        <v>13</v>
      </c>
      <c r="I315" s="25">
        <v>43161</v>
      </c>
      <c r="J315" s="24">
        <v>43174</v>
      </c>
    </row>
    <row r="316" spans="2:10" x14ac:dyDescent="0.2">
      <c r="B316" s="22">
        <v>312</v>
      </c>
      <c r="C316" s="23" t="s">
        <v>12264</v>
      </c>
      <c r="D316" s="23" t="s">
        <v>1269</v>
      </c>
      <c r="E316" s="20" t="s">
        <v>12265</v>
      </c>
      <c r="F316" s="22">
        <v>42</v>
      </c>
      <c r="G316" s="22" t="s">
        <v>12266</v>
      </c>
      <c r="H316" s="22">
        <v>42</v>
      </c>
      <c r="I316" s="25">
        <v>43120</v>
      </c>
      <c r="J316" s="24">
        <v>43167</v>
      </c>
    </row>
    <row r="317" spans="2:10" x14ac:dyDescent="0.2">
      <c r="B317" s="22">
        <v>313</v>
      </c>
      <c r="C317" s="23" t="s">
        <v>12267</v>
      </c>
      <c r="D317" s="23" t="s">
        <v>1377</v>
      </c>
      <c r="E317" s="20" t="s">
        <v>12268</v>
      </c>
      <c r="F317" s="22">
        <v>49</v>
      </c>
      <c r="G317" s="22" t="s">
        <v>12269</v>
      </c>
      <c r="H317" s="22">
        <v>49</v>
      </c>
      <c r="I317" s="25">
        <v>43155</v>
      </c>
      <c r="J317" s="24">
        <v>43181</v>
      </c>
    </row>
    <row r="318" spans="2:10" x14ac:dyDescent="0.2">
      <c r="B318" s="22">
        <v>314</v>
      </c>
      <c r="C318" s="23" t="s">
        <v>12270</v>
      </c>
      <c r="D318" s="23" t="s">
        <v>1684</v>
      </c>
      <c r="E318" s="20" t="s">
        <v>12271</v>
      </c>
      <c r="F318" s="22">
        <v>27</v>
      </c>
      <c r="G318" s="22" t="s">
        <v>12272</v>
      </c>
      <c r="H318" s="22">
        <v>6</v>
      </c>
      <c r="I318" s="25">
        <v>43189</v>
      </c>
      <c r="J318" s="24">
        <v>43240</v>
      </c>
    </row>
    <row r="319" spans="2:10" x14ac:dyDescent="0.2">
      <c r="B319" s="22">
        <v>315</v>
      </c>
      <c r="C319" s="23" t="s">
        <v>12273</v>
      </c>
      <c r="D319" s="23" t="s">
        <v>1039</v>
      </c>
      <c r="E319" s="20" t="s">
        <v>12274</v>
      </c>
      <c r="F319" s="22">
        <v>17</v>
      </c>
      <c r="G319" s="22" t="s">
        <v>12275</v>
      </c>
      <c r="H319" s="22">
        <v>4</v>
      </c>
      <c r="I319" s="25">
        <v>43196</v>
      </c>
      <c r="J319" s="22" t="s">
        <v>558</v>
      </c>
    </row>
    <row r="320" spans="2:10" x14ac:dyDescent="0.2">
      <c r="B320" s="22">
        <v>316</v>
      </c>
      <c r="C320" s="23" t="s">
        <v>12276</v>
      </c>
      <c r="D320" s="23" t="s">
        <v>1942</v>
      </c>
      <c r="E320" s="20" t="s">
        <v>12277</v>
      </c>
      <c r="F320" s="22">
        <v>4</v>
      </c>
      <c r="G320" s="22" t="s">
        <v>4552</v>
      </c>
      <c r="H320" s="22">
        <v>1</v>
      </c>
      <c r="I320" s="25">
        <v>43231</v>
      </c>
      <c r="J320" s="24">
        <v>43454</v>
      </c>
    </row>
    <row r="321" spans="2:10" x14ac:dyDescent="0.2">
      <c r="B321" s="22">
        <v>317</v>
      </c>
      <c r="C321" s="23" t="s">
        <v>12278</v>
      </c>
      <c r="D321" s="23" t="s">
        <v>12279</v>
      </c>
      <c r="E321" s="20" t="s">
        <v>12280</v>
      </c>
      <c r="F321" s="22">
        <v>188</v>
      </c>
      <c r="G321" s="22" t="s">
        <v>12281</v>
      </c>
      <c r="H321" s="22">
        <v>188</v>
      </c>
      <c r="I321" s="25">
        <v>43252</v>
      </c>
      <c r="J321" s="24">
        <v>43265</v>
      </c>
    </row>
    <row r="322" spans="2:10" x14ac:dyDescent="0.2">
      <c r="B322" s="22">
        <v>318</v>
      </c>
      <c r="C322" s="23" t="s">
        <v>12282</v>
      </c>
      <c r="D322" s="23" t="s">
        <v>10305</v>
      </c>
      <c r="E322" s="20" t="s">
        <v>12283</v>
      </c>
      <c r="F322" s="22">
        <v>15</v>
      </c>
      <c r="G322" s="22" t="s">
        <v>12284</v>
      </c>
      <c r="H322" s="22">
        <v>15</v>
      </c>
      <c r="I322" s="25">
        <v>43343</v>
      </c>
      <c r="J322" s="22" t="s">
        <v>558</v>
      </c>
    </row>
    <row r="323" spans="2:10" x14ac:dyDescent="0.2">
      <c r="B323" s="22">
        <v>319</v>
      </c>
      <c r="C323" s="23" t="s">
        <v>12285</v>
      </c>
      <c r="D323" s="23" t="s">
        <v>1377</v>
      </c>
      <c r="E323" s="20" t="s">
        <v>12286</v>
      </c>
      <c r="F323" s="22">
        <v>74</v>
      </c>
      <c r="G323" s="22" t="s">
        <v>12287</v>
      </c>
      <c r="H323" s="22">
        <v>74</v>
      </c>
      <c r="I323" s="25">
        <v>43343</v>
      </c>
      <c r="J323" s="24">
        <v>43363</v>
      </c>
    </row>
    <row r="324" spans="2:10" x14ac:dyDescent="0.2">
      <c r="B324" s="22">
        <v>320</v>
      </c>
      <c r="C324" s="23" t="s">
        <v>12288</v>
      </c>
      <c r="D324" s="23" t="s">
        <v>12289</v>
      </c>
      <c r="E324" s="20" t="s">
        <v>12290</v>
      </c>
      <c r="F324" s="22">
        <v>10</v>
      </c>
      <c r="G324" s="22" t="s">
        <v>12291</v>
      </c>
      <c r="H324" s="22">
        <v>1</v>
      </c>
      <c r="I324" s="25">
        <v>43259</v>
      </c>
      <c r="J324" s="24">
        <v>43338</v>
      </c>
    </row>
    <row r="325" spans="2:10" x14ac:dyDescent="0.2">
      <c r="B325" s="22">
        <v>321</v>
      </c>
      <c r="C325" s="23" t="s">
        <v>12292</v>
      </c>
      <c r="D325" s="23" t="s">
        <v>10416</v>
      </c>
      <c r="E325" s="20" t="s">
        <v>12293</v>
      </c>
      <c r="F325" s="22">
        <v>8</v>
      </c>
      <c r="G325" s="22" t="s">
        <v>12294</v>
      </c>
      <c r="H325" s="22">
        <v>2</v>
      </c>
      <c r="I325" s="25">
        <v>43385</v>
      </c>
      <c r="J325" s="24">
        <v>43454</v>
      </c>
    </row>
    <row r="326" spans="2:10" x14ac:dyDescent="0.2">
      <c r="B326" s="22">
        <v>322</v>
      </c>
      <c r="C326" s="23" t="s">
        <v>12295</v>
      </c>
      <c r="D326" s="23" t="s">
        <v>1723</v>
      </c>
      <c r="E326" s="20" t="s">
        <v>12296</v>
      </c>
      <c r="F326" s="22">
        <v>14</v>
      </c>
      <c r="G326" s="22" t="s">
        <v>12297</v>
      </c>
      <c r="H326" s="22">
        <v>1</v>
      </c>
      <c r="I326" s="25">
        <v>43118</v>
      </c>
      <c r="J326" s="24">
        <v>43223</v>
      </c>
    </row>
    <row r="327" spans="2:10" x14ac:dyDescent="0.2">
      <c r="B327" s="22">
        <v>323</v>
      </c>
      <c r="C327" s="23" t="s">
        <v>12298</v>
      </c>
      <c r="D327" s="23" t="s">
        <v>1532</v>
      </c>
      <c r="E327" s="20" t="s">
        <v>12299</v>
      </c>
      <c r="F327" s="22">
        <v>13</v>
      </c>
      <c r="G327" s="22" t="s">
        <v>12300</v>
      </c>
      <c r="H327" s="22">
        <v>6</v>
      </c>
      <c r="I327" s="25">
        <v>43217</v>
      </c>
      <c r="J327" s="24">
        <v>43356</v>
      </c>
    </row>
    <row r="328" spans="2:10" x14ac:dyDescent="0.2">
      <c r="B328" s="22">
        <v>324</v>
      </c>
      <c r="C328" s="23" t="s">
        <v>12301</v>
      </c>
      <c r="D328" s="23" t="s">
        <v>12261</v>
      </c>
      <c r="E328" s="20" t="s">
        <v>12302</v>
      </c>
      <c r="F328" s="22">
        <v>18</v>
      </c>
      <c r="G328" s="22" t="s">
        <v>12303</v>
      </c>
      <c r="H328" s="22">
        <v>18</v>
      </c>
      <c r="I328" s="25">
        <v>43231</v>
      </c>
      <c r="J328" s="24">
        <v>43248</v>
      </c>
    </row>
    <row r="329" spans="2:10" x14ac:dyDescent="0.2">
      <c r="B329" s="22">
        <v>325</v>
      </c>
      <c r="C329" s="23" t="s">
        <v>12304</v>
      </c>
      <c r="D329" s="23" t="s">
        <v>1415</v>
      </c>
      <c r="E329" s="20" t="s">
        <v>12305</v>
      </c>
      <c r="F329" s="22">
        <v>54</v>
      </c>
      <c r="G329" s="22" t="s">
        <v>12306</v>
      </c>
      <c r="H329" s="22">
        <v>54</v>
      </c>
      <c r="I329" s="25">
        <v>43336</v>
      </c>
      <c r="J329" s="24">
        <v>43342</v>
      </c>
    </row>
    <row r="330" spans="2:10" x14ac:dyDescent="0.2">
      <c r="B330" s="22">
        <v>326</v>
      </c>
      <c r="C330" s="23" t="s">
        <v>12307</v>
      </c>
      <c r="D330" s="23" t="s">
        <v>6165</v>
      </c>
      <c r="E330" s="20" t="s">
        <v>12308</v>
      </c>
      <c r="F330" s="22">
        <v>14</v>
      </c>
      <c r="G330" s="22" t="s">
        <v>12309</v>
      </c>
      <c r="H330" s="22">
        <v>3</v>
      </c>
      <c r="I330" s="25">
        <v>43378</v>
      </c>
      <c r="J330" s="22" t="s">
        <v>558</v>
      </c>
    </row>
    <row r="331" spans="2:10" x14ac:dyDescent="0.2">
      <c r="B331" s="22">
        <v>327</v>
      </c>
      <c r="C331" s="23" t="s">
        <v>12310</v>
      </c>
      <c r="D331" s="23" t="s">
        <v>1804</v>
      </c>
      <c r="E331" s="20" t="s">
        <v>12311</v>
      </c>
      <c r="F331" s="22">
        <v>6</v>
      </c>
      <c r="G331" s="22" t="s">
        <v>12312</v>
      </c>
      <c r="H331" s="22">
        <v>5</v>
      </c>
      <c r="I331" s="25">
        <v>43280</v>
      </c>
      <c r="J331" s="24">
        <v>43405</v>
      </c>
    </row>
    <row r="332" spans="2:10" x14ac:dyDescent="0.2">
      <c r="B332" s="22">
        <v>328</v>
      </c>
      <c r="C332" s="23" t="s">
        <v>12313</v>
      </c>
      <c r="D332" s="23" t="s">
        <v>2010</v>
      </c>
      <c r="E332" s="20" t="s">
        <v>12314</v>
      </c>
      <c r="F332" s="22">
        <v>6</v>
      </c>
      <c r="G332" s="22" t="s">
        <v>12315</v>
      </c>
      <c r="H332" s="22">
        <v>1</v>
      </c>
      <c r="I332" s="25">
        <v>43104</v>
      </c>
      <c r="J332" s="22" t="s">
        <v>558</v>
      </c>
    </row>
    <row r="333" spans="2:10" x14ac:dyDescent="0.2">
      <c r="B333" s="22">
        <v>329</v>
      </c>
      <c r="C333" s="23" t="s">
        <v>12316</v>
      </c>
      <c r="D333" s="23" t="s">
        <v>3627</v>
      </c>
      <c r="E333" s="20" t="s">
        <v>12317</v>
      </c>
      <c r="F333" s="22">
        <v>34</v>
      </c>
      <c r="G333" s="22" t="s">
        <v>12318</v>
      </c>
      <c r="H333" s="22">
        <v>7</v>
      </c>
      <c r="I333" s="25">
        <v>43148</v>
      </c>
      <c r="J333" s="24">
        <v>43223</v>
      </c>
    </row>
    <row r="334" spans="2:10" x14ac:dyDescent="0.2">
      <c r="B334" s="22">
        <v>330</v>
      </c>
      <c r="C334" s="23" t="s">
        <v>12319</v>
      </c>
      <c r="D334" s="23" t="s">
        <v>1415</v>
      </c>
      <c r="E334" s="20" t="s">
        <v>12320</v>
      </c>
      <c r="F334" s="22">
        <v>79</v>
      </c>
      <c r="G334" s="22" t="s">
        <v>12321</v>
      </c>
      <c r="H334" s="22">
        <v>79</v>
      </c>
      <c r="I334" s="25">
        <v>43397</v>
      </c>
      <c r="J334" s="24">
        <v>43419</v>
      </c>
    </row>
    <row r="335" spans="2:10" x14ac:dyDescent="0.2">
      <c r="B335" s="22">
        <v>331</v>
      </c>
      <c r="C335" s="23" t="s">
        <v>12322</v>
      </c>
      <c r="D335" s="23" t="s">
        <v>643</v>
      </c>
      <c r="E335" s="20" t="s">
        <v>12323</v>
      </c>
      <c r="F335" s="22">
        <v>26</v>
      </c>
      <c r="G335" s="22" t="s">
        <v>12324</v>
      </c>
      <c r="H335" s="22">
        <v>12</v>
      </c>
      <c r="I335" s="25">
        <v>43434</v>
      </c>
      <c r="J335" s="24">
        <v>43454</v>
      </c>
    </row>
    <row r="336" spans="2:10" x14ac:dyDescent="0.2">
      <c r="B336" s="22">
        <v>332</v>
      </c>
      <c r="C336" s="23" t="s">
        <v>12325</v>
      </c>
      <c r="D336" s="23" t="s">
        <v>1568</v>
      </c>
      <c r="E336" s="20" t="s">
        <v>12326</v>
      </c>
      <c r="F336" s="22">
        <v>17</v>
      </c>
      <c r="G336" s="22" t="s">
        <v>12327</v>
      </c>
      <c r="H336" s="22">
        <v>1</v>
      </c>
      <c r="I336" s="25">
        <v>43385</v>
      </c>
      <c r="J336" s="24">
        <v>43426</v>
      </c>
    </row>
    <row r="337" spans="2:10" x14ac:dyDescent="0.2">
      <c r="B337" s="22">
        <v>333</v>
      </c>
      <c r="C337" s="23" t="s">
        <v>12328</v>
      </c>
      <c r="D337" s="23" t="s">
        <v>12261</v>
      </c>
      <c r="E337" s="20" t="s">
        <v>12329</v>
      </c>
      <c r="F337" s="22">
        <v>13</v>
      </c>
      <c r="G337" s="22" t="s">
        <v>12330</v>
      </c>
      <c r="H337" s="22">
        <v>13</v>
      </c>
      <c r="I337" s="25">
        <v>43259</v>
      </c>
      <c r="J337" s="24">
        <v>43279</v>
      </c>
    </row>
    <row r="338" spans="2:10" x14ac:dyDescent="0.2">
      <c r="B338" s="22">
        <v>334</v>
      </c>
      <c r="C338" s="23" t="s">
        <v>12331</v>
      </c>
      <c r="D338" s="23" t="s">
        <v>1039</v>
      </c>
      <c r="E338" s="20" t="s">
        <v>12332</v>
      </c>
      <c r="F338" s="22">
        <v>12</v>
      </c>
      <c r="G338" s="22" t="s">
        <v>12333</v>
      </c>
      <c r="H338" s="22">
        <v>5</v>
      </c>
      <c r="I338" s="25">
        <v>43231</v>
      </c>
      <c r="J338" s="24">
        <v>43335</v>
      </c>
    </row>
    <row r="339" spans="2:10" x14ac:dyDescent="0.2">
      <c r="B339" s="22">
        <v>335</v>
      </c>
      <c r="C339" s="23" t="s">
        <v>12334</v>
      </c>
      <c r="D339" s="23" t="s">
        <v>12261</v>
      </c>
      <c r="E339" s="20" t="s">
        <v>12335</v>
      </c>
      <c r="F339" s="22">
        <v>18</v>
      </c>
      <c r="G339" s="22" t="s">
        <v>12336</v>
      </c>
      <c r="H339" s="22">
        <v>18</v>
      </c>
      <c r="I339" s="25">
        <v>43322</v>
      </c>
      <c r="J339" s="24">
        <v>43335</v>
      </c>
    </row>
    <row r="340" spans="2:10" x14ac:dyDescent="0.2">
      <c r="B340" s="22">
        <v>336</v>
      </c>
      <c r="C340" s="23" t="s">
        <v>12337</v>
      </c>
      <c r="D340" s="23" t="s">
        <v>820</v>
      </c>
      <c r="E340" s="20" t="s">
        <v>12338</v>
      </c>
      <c r="F340" s="22">
        <v>15</v>
      </c>
      <c r="G340" s="22" t="s">
        <v>12339</v>
      </c>
      <c r="H340" s="22">
        <v>2</v>
      </c>
      <c r="I340" s="25">
        <v>43406</v>
      </c>
      <c r="J340" s="24">
        <v>43454</v>
      </c>
    </row>
    <row r="341" spans="2:10" x14ac:dyDescent="0.2">
      <c r="B341" s="22">
        <v>337</v>
      </c>
      <c r="C341" s="23" t="s">
        <v>12340</v>
      </c>
      <c r="D341" s="23" t="s">
        <v>1377</v>
      </c>
      <c r="E341" s="20" t="s">
        <v>12341</v>
      </c>
      <c r="F341" s="22">
        <v>60</v>
      </c>
      <c r="G341" s="22" t="s">
        <v>12342</v>
      </c>
      <c r="H341" s="22">
        <v>60</v>
      </c>
      <c r="I341" s="25">
        <v>43406</v>
      </c>
      <c r="J341" s="24">
        <v>43419</v>
      </c>
    </row>
    <row r="342" spans="2:10" x14ac:dyDescent="0.2">
      <c r="B342" s="22">
        <v>338</v>
      </c>
      <c r="C342" s="23" t="s">
        <v>12343</v>
      </c>
      <c r="D342" s="23" t="s">
        <v>5254</v>
      </c>
      <c r="E342" s="20" t="s">
        <v>12344</v>
      </c>
      <c r="F342" s="22">
        <v>200</v>
      </c>
      <c r="G342" s="22" t="s">
        <v>12345</v>
      </c>
      <c r="H342" s="22">
        <v>200</v>
      </c>
      <c r="I342" s="25">
        <v>43252</v>
      </c>
      <c r="J342" s="24">
        <v>43265</v>
      </c>
    </row>
    <row r="343" spans="2:10" x14ac:dyDescent="0.2">
      <c r="B343" s="22">
        <v>339</v>
      </c>
      <c r="C343" s="23" t="s">
        <v>12346</v>
      </c>
      <c r="D343" s="23" t="s">
        <v>1294</v>
      </c>
      <c r="E343" s="20" t="s">
        <v>12347</v>
      </c>
      <c r="F343" s="22">
        <v>7</v>
      </c>
      <c r="G343" s="22" t="s">
        <v>12348</v>
      </c>
      <c r="H343" s="22">
        <v>5</v>
      </c>
      <c r="I343" s="25">
        <v>43329</v>
      </c>
      <c r="J343" s="24">
        <v>43363</v>
      </c>
    </row>
    <row r="344" spans="2:10" x14ac:dyDescent="0.2">
      <c r="B344" s="22">
        <v>340</v>
      </c>
      <c r="C344" s="23" t="s">
        <v>12349</v>
      </c>
      <c r="D344" s="23" t="s">
        <v>12261</v>
      </c>
      <c r="E344" s="20" t="s">
        <v>12350</v>
      </c>
      <c r="F344" s="22">
        <v>16</v>
      </c>
      <c r="G344" s="22" t="s">
        <v>12351</v>
      </c>
      <c r="H344" s="22">
        <v>16</v>
      </c>
      <c r="I344" s="25">
        <v>43357</v>
      </c>
      <c r="J344" s="24">
        <v>43370</v>
      </c>
    </row>
    <row r="345" spans="2:10" x14ac:dyDescent="0.2">
      <c r="B345" s="22">
        <v>341</v>
      </c>
      <c r="C345" s="23" t="s">
        <v>12352</v>
      </c>
      <c r="D345" s="23" t="s">
        <v>1235</v>
      </c>
      <c r="E345" s="20" t="s">
        <v>12353</v>
      </c>
      <c r="F345" s="22">
        <v>13</v>
      </c>
      <c r="G345" s="22" t="s">
        <v>12354</v>
      </c>
      <c r="H345" s="22">
        <v>12</v>
      </c>
      <c r="I345" s="25">
        <v>43217</v>
      </c>
      <c r="J345" s="22" t="s">
        <v>558</v>
      </c>
    </row>
    <row r="346" spans="2:10" x14ac:dyDescent="0.2">
      <c r="B346" s="22">
        <v>342</v>
      </c>
      <c r="C346" s="23" t="s">
        <v>12355</v>
      </c>
      <c r="D346" s="23" t="s">
        <v>1568</v>
      </c>
      <c r="E346" s="20" t="s">
        <v>12356</v>
      </c>
      <c r="F346" s="22">
        <v>14</v>
      </c>
      <c r="G346" s="22" t="s">
        <v>12357</v>
      </c>
      <c r="H346" s="22">
        <v>2</v>
      </c>
      <c r="I346" s="25">
        <v>43371</v>
      </c>
      <c r="J346" s="24">
        <v>43419</v>
      </c>
    </row>
    <row r="347" spans="2:10" x14ac:dyDescent="0.2">
      <c r="B347" s="22">
        <v>343</v>
      </c>
      <c r="C347" s="23" t="s">
        <v>12358</v>
      </c>
      <c r="D347" s="23" t="s">
        <v>1532</v>
      </c>
      <c r="E347" s="20" t="s">
        <v>12359</v>
      </c>
      <c r="F347" s="22">
        <v>9</v>
      </c>
      <c r="G347" s="22" t="s">
        <v>12360</v>
      </c>
      <c r="H347" s="22">
        <v>1</v>
      </c>
      <c r="I347" s="25">
        <v>43271</v>
      </c>
      <c r="J347" s="22" t="s">
        <v>558</v>
      </c>
    </row>
    <row r="348" spans="2:10" x14ac:dyDescent="0.2">
      <c r="B348" s="22">
        <v>344</v>
      </c>
      <c r="C348" s="23" t="s">
        <v>12361</v>
      </c>
      <c r="D348" s="23" t="s">
        <v>1294</v>
      </c>
      <c r="E348" s="20" t="s">
        <v>12362</v>
      </c>
      <c r="F348" s="22">
        <v>15</v>
      </c>
      <c r="G348" s="22" t="s">
        <v>12363</v>
      </c>
      <c r="H348" s="22">
        <v>4</v>
      </c>
      <c r="I348" s="25">
        <v>43364</v>
      </c>
      <c r="J348" s="24">
        <v>43419</v>
      </c>
    </row>
    <row r="349" spans="2:10" x14ac:dyDescent="0.2">
      <c r="B349" s="22">
        <v>345</v>
      </c>
      <c r="C349" s="23" t="s">
        <v>12364</v>
      </c>
      <c r="D349" s="23" t="s">
        <v>1294</v>
      </c>
      <c r="E349" s="20" t="s">
        <v>12365</v>
      </c>
      <c r="F349" s="22">
        <v>13</v>
      </c>
      <c r="G349" s="22" t="s">
        <v>12366</v>
      </c>
      <c r="H349" s="22">
        <v>2</v>
      </c>
      <c r="I349" s="25">
        <v>43399</v>
      </c>
      <c r="J349" s="24">
        <v>43454</v>
      </c>
    </row>
    <row r="350" spans="2:10" x14ac:dyDescent="0.2">
      <c r="B350" s="22">
        <v>346</v>
      </c>
      <c r="C350" s="23" t="s">
        <v>12367</v>
      </c>
      <c r="D350" s="23" t="s">
        <v>1294</v>
      </c>
      <c r="E350" s="20" t="s">
        <v>12368</v>
      </c>
      <c r="F350" s="22">
        <v>12</v>
      </c>
      <c r="G350" s="22" t="s">
        <v>12369</v>
      </c>
      <c r="H350" s="22">
        <v>3</v>
      </c>
      <c r="I350" s="25">
        <v>43155</v>
      </c>
      <c r="J350" s="24">
        <v>43209</v>
      </c>
    </row>
    <row r="351" spans="2:10" x14ac:dyDescent="0.2">
      <c r="B351" s="22">
        <v>347</v>
      </c>
      <c r="C351" s="23" t="s">
        <v>12370</v>
      </c>
      <c r="D351" s="23" t="s">
        <v>1043</v>
      </c>
      <c r="E351" s="20" t="s">
        <v>12371</v>
      </c>
      <c r="F351" s="22">
        <v>12</v>
      </c>
      <c r="G351" s="22" t="s">
        <v>12372</v>
      </c>
      <c r="H351" s="22">
        <v>12</v>
      </c>
      <c r="I351" s="25">
        <v>43378</v>
      </c>
      <c r="J351" s="24">
        <v>43187</v>
      </c>
    </row>
    <row r="352" spans="2:10" x14ac:dyDescent="0.2">
      <c r="B352" s="22">
        <v>348</v>
      </c>
      <c r="C352" s="23" t="s">
        <v>12373</v>
      </c>
      <c r="D352" s="23" t="s">
        <v>12374</v>
      </c>
      <c r="E352" s="20" t="s">
        <v>12375</v>
      </c>
      <c r="F352" s="22">
        <v>5</v>
      </c>
      <c r="G352" s="22" t="s">
        <v>12376</v>
      </c>
      <c r="H352" s="22">
        <v>2</v>
      </c>
      <c r="I352" s="25">
        <v>43189</v>
      </c>
      <c r="J352" s="22" t="s">
        <v>558</v>
      </c>
    </row>
    <row r="353" spans="2:10" x14ac:dyDescent="0.2">
      <c r="B353" s="22">
        <v>349</v>
      </c>
      <c r="C353" s="23" t="s">
        <v>12377</v>
      </c>
      <c r="D353" s="23" t="s">
        <v>1039</v>
      </c>
      <c r="E353" s="20" t="s">
        <v>12378</v>
      </c>
      <c r="F353" s="22">
        <v>15</v>
      </c>
      <c r="G353" s="22" t="s">
        <v>12379</v>
      </c>
      <c r="H353" s="22">
        <v>14</v>
      </c>
      <c r="I353" s="25">
        <v>43231</v>
      </c>
      <c r="J353" s="24">
        <v>43293</v>
      </c>
    </row>
    <row r="354" spans="2:10" x14ac:dyDescent="0.2">
      <c r="B354" s="22">
        <v>350</v>
      </c>
      <c r="C354" s="23" t="s">
        <v>12380</v>
      </c>
      <c r="D354" s="23" t="s">
        <v>1135</v>
      </c>
      <c r="E354" s="20" t="s">
        <v>12381</v>
      </c>
      <c r="F354" s="22">
        <v>8</v>
      </c>
      <c r="G354" s="22" t="s">
        <v>1159</v>
      </c>
      <c r="H354" s="22" t="s">
        <v>1159</v>
      </c>
      <c r="I354" s="25">
        <v>43306</v>
      </c>
      <c r="J354" s="24">
        <v>43377</v>
      </c>
    </row>
    <row r="355" spans="2:10" x14ac:dyDescent="0.2">
      <c r="B355" s="22">
        <v>351</v>
      </c>
      <c r="C355" s="23" t="s">
        <v>12382</v>
      </c>
      <c r="D355" s="23" t="s">
        <v>1594</v>
      </c>
      <c r="E355" s="20" t="s">
        <v>12383</v>
      </c>
      <c r="F355" s="22">
        <v>50</v>
      </c>
      <c r="G355" s="22" t="s">
        <v>12384</v>
      </c>
      <c r="H355" s="22">
        <v>50</v>
      </c>
      <c r="I355" s="25">
        <v>43245</v>
      </c>
      <c r="J355" s="24">
        <v>43265</v>
      </c>
    </row>
    <row r="356" spans="2:10" x14ac:dyDescent="0.2">
      <c r="B356" s="22">
        <v>352</v>
      </c>
      <c r="C356" s="23" t="s">
        <v>12385</v>
      </c>
      <c r="D356" s="23" t="s">
        <v>1039</v>
      </c>
      <c r="E356" s="20" t="s">
        <v>12386</v>
      </c>
      <c r="F356" s="22">
        <v>15</v>
      </c>
      <c r="G356" s="22" t="s">
        <v>12387</v>
      </c>
      <c r="H356" s="22">
        <v>15</v>
      </c>
      <c r="I356" s="25">
        <v>43259</v>
      </c>
      <c r="J356" s="24">
        <v>43314</v>
      </c>
    </row>
    <row r="357" spans="2:10" x14ac:dyDescent="0.2">
      <c r="B357" s="22">
        <v>353</v>
      </c>
      <c r="C357" s="23" t="s">
        <v>12388</v>
      </c>
      <c r="D357" s="23" t="s">
        <v>1210</v>
      </c>
      <c r="E357" s="20" t="s">
        <v>12389</v>
      </c>
      <c r="F357" s="22">
        <v>14</v>
      </c>
      <c r="G357" s="22" t="s">
        <v>12390</v>
      </c>
      <c r="H357" s="22">
        <v>14</v>
      </c>
      <c r="I357" s="25">
        <v>43343</v>
      </c>
      <c r="J357" s="24">
        <v>43370</v>
      </c>
    </row>
    <row r="358" spans="2:10" x14ac:dyDescent="0.2">
      <c r="B358" s="22">
        <v>354</v>
      </c>
      <c r="C358" s="23" t="s">
        <v>12391</v>
      </c>
      <c r="D358" s="23" t="s">
        <v>12392</v>
      </c>
      <c r="E358" s="20" t="s">
        <v>12393</v>
      </c>
      <c r="F358" s="22">
        <v>15</v>
      </c>
      <c r="G358" s="22" t="s">
        <v>12394</v>
      </c>
      <c r="H358" s="22">
        <v>1</v>
      </c>
      <c r="I358" s="25">
        <v>43432</v>
      </c>
      <c r="J358" s="24">
        <v>43173</v>
      </c>
    </row>
    <row r="359" spans="2:10" x14ac:dyDescent="0.2">
      <c r="B359" s="22">
        <v>355</v>
      </c>
      <c r="C359" s="23" t="s">
        <v>12395</v>
      </c>
      <c r="D359" s="23" t="s">
        <v>10952</v>
      </c>
      <c r="E359" s="20" t="s">
        <v>12396</v>
      </c>
      <c r="F359" s="22">
        <v>14</v>
      </c>
      <c r="G359" s="22" t="s">
        <v>12397</v>
      </c>
      <c r="H359" s="22">
        <v>9</v>
      </c>
      <c r="I359" s="25">
        <v>43266</v>
      </c>
      <c r="J359" s="22" t="s">
        <v>558</v>
      </c>
    </row>
    <row r="360" spans="2:10" x14ac:dyDescent="0.2">
      <c r="B360" s="22">
        <v>356</v>
      </c>
      <c r="C360" s="23" t="s">
        <v>12398</v>
      </c>
      <c r="D360" s="23" t="s">
        <v>4580</v>
      </c>
      <c r="E360" s="20" t="s">
        <v>12399</v>
      </c>
      <c r="F360" s="22">
        <v>4</v>
      </c>
      <c r="G360" s="22" t="s">
        <v>12400</v>
      </c>
      <c r="H360" s="22">
        <v>1</v>
      </c>
      <c r="I360" s="25">
        <v>43413</v>
      </c>
      <c r="J360" s="24">
        <v>43457</v>
      </c>
    </row>
    <row r="361" spans="2:10" x14ac:dyDescent="0.2">
      <c r="B361" s="22">
        <v>357</v>
      </c>
      <c r="C361" s="23" t="s">
        <v>12401</v>
      </c>
      <c r="D361" s="23" t="s">
        <v>4383</v>
      </c>
      <c r="E361" s="20" t="s">
        <v>12402</v>
      </c>
      <c r="F361" s="22">
        <v>19</v>
      </c>
      <c r="G361" s="22" t="s">
        <v>12403</v>
      </c>
      <c r="H361" s="22">
        <v>1</v>
      </c>
      <c r="I361" s="25">
        <v>43224</v>
      </c>
      <c r="J361" s="24">
        <v>43321</v>
      </c>
    </row>
    <row r="362" spans="2:10" x14ac:dyDescent="0.2">
      <c r="B362" s="22">
        <v>358</v>
      </c>
      <c r="C362" s="23" t="s">
        <v>12404</v>
      </c>
      <c r="D362" s="23" t="s">
        <v>1183</v>
      </c>
      <c r="E362" s="20" t="s">
        <v>12405</v>
      </c>
      <c r="F362" s="22">
        <v>21</v>
      </c>
      <c r="G362" s="22" t="s">
        <v>12406</v>
      </c>
      <c r="H362" s="22">
        <v>1</v>
      </c>
      <c r="I362" s="25">
        <v>43336</v>
      </c>
      <c r="J362" s="24">
        <v>43391</v>
      </c>
    </row>
    <row r="363" spans="2:10" x14ac:dyDescent="0.2">
      <c r="B363" s="22">
        <v>359</v>
      </c>
      <c r="C363" s="23" t="s">
        <v>12407</v>
      </c>
      <c r="D363" s="23" t="s">
        <v>11790</v>
      </c>
      <c r="E363" s="20" t="s">
        <v>12408</v>
      </c>
      <c r="F363" s="22">
        <v>25</v>
      </c>
      <c r="G363" s="22" t="s">
        <v>12409</v>
      </c>
      <c r="H363" s="22">
        <v>25</v>
      </c>
      <c r="I363" s="25">
        <v>43294</v>
      </c>
      <c r="J363" s="24">
        <v>43314</v>
      </c>
    </row>
    <row r="364" spans="2:10" x14ac:dyDescent="0.2">
      <c r="B364" s="22">
        <v>360</v>
      </c>
      <c r="C364" s="23" t="s">
        <v>12410</v>
      </c>
      <c r="D364" s="23" t="s">
        <v>8353</v>
      </c>
      <c r="E364" s="20" t="s">
        <v>12411</v>
      </c>
      <c r="F364" s="22">
        <v>25</v>
      </c>
      <c r="G364" s="22" t="s">
        <v>12412</v>
      </c>
      <c r="H364" s="22">
        <v>5</v>
      </c>
      <c r="I364" s="25">
        <v>43224</v>
      </c>
      <c r="J364" s="24">
        <v>43272</v>
      </c>
    </row>
    <row r="365" spans="2:10" x14ac:dyDescent="0.2">
      <c r="B365" s="22">
        <v>361</v>
      </c>
      <c r="C365" s="23" t="s">
        <v>12413</v>
      </c>
      <c r="D365" s="23" t="s">
        <v>1532</v>
      </c>
      <c r="E365" s="20" t="s">
        <v>12414</v>
      </c>
      <c r="F365" s="22">
        <v>9</v>
      </c>
      <c r="G365" s="22" t="s">
        <v>9047</v>
      </c>
      <c r="H365" s="22">
        <v>1</v>
      </c>
      <c r="I365" s="25">
        <v>43250</v>
      </c>
      <c r="J365" s="22" t="s">
        <v>558</v>
      </c>
    </row>
    <row r="366" spans="2:10" x14ac:dyDescent="0.2">
      <c r="B366" s="22">
        <v>362</v>
      </c>
      <c r="C366" s="23" t="s">
        <v>12415</v>
      </c>
      <c r="D366" s="23" t="s">
        <v>1142</v>
      </c>
      <c r="E366" s="20" t="s">
        <v>12416</v>
      </c>
      <c r="F366" s="22">
        <v>15</v>
      </c>
      <c r="G366" s="22" t="s">
        <v>12417</v>
      </c>
      <c r="H366" s="22">
        <v>2</v>
      </c>
      <c r="I366" s="25">
        <v>43350</v>
      </c>
      <c r="J366" s="24">
        <v>43426</v>
      </c>
    </row>
    <row r="367" spans="2:10" x14ac:dyDescent="0.2">
      <c r="B367" s="22">
        <v>363</v>
      </c>
      <c r="C367" s="23" t="s">
        <v>12418</v>
      </c>
      <c r="D367" s="23" t="s">
        <v>5638</v>
      </c>
      <c r="E367" s="20" t="s">
        <v>12419</v>
      </c>
      <c r="F367" s="22">
        <v>90</v>
      </c>
      <c r="G367" s="22" t="s">
        <v>12420</v>
      </c>
      <c r="H367" s="22">
        <v>90</v>
      </c>
      <c r="I367" s="25">
        <v>43378</v>
      </c>
      <c r="J367" s="24">
        <v>43384</v>
      </c>
    </row>
    <row r="368" spans="2:10" x14ac:dyDescent="0.2">
      <c r="B368" s="22">
        <v>364</v>
      </c>
      <c r="C368" s="23" t="s">
        <v>12421</v>
      </c>
      <c r="D368" s="23" t="s">
        <v>1039</v>
      </c>
      <c r="E368" s="20" t="s">
        <v>12422</v>
      </c>
      <c r="F368" s="22">
        <v>10</v>
      </c>
      <c r="G368" s="22" t="s">
        <v>12423</v>
      </c>
      <c r="H368" s="22">
        <v>4</v>
      </c>
      <c r="I368" s="25">
        <v>43287</v>
      </c>
      <c r="J368" s="24">
        <v>43349</v>
      </c>
    </row>
    <row r="369" spans="2:10" x14ac:dyDescent="0.2">
      <c r="B369" s="22">
        <v>365</v>
      </c>
      <c r="C369" s="23" t="s">
        <v>12424</v>
      </c>
      <c r="D369" s="23" t="s">
        <v>1804</v>
      </c>
      <c r="E369" s="20" t="s">
        <v>12425</v>
      </c>
      <c r="F369" s="22">
        <v>7</v>
      </c>
      <c r="G369" s="22" t="s">
        <v>12426</v>
      </c>
      <c r="H369" s="22">
        <v>2</v>
      </c>
      <c r="I369" s="25">
        <v>43245</v>
      </c>
      <c r="J369" s="24">
        <v>43363</v>
      </c>
    </row>
    <row r="370" spans="2:10" x14ac:dyDescent="0.2">
      <c r="B370" s="22">
        <v>366</v>
      </c>
      <c r="C370" s="23" t="s">
        <v>12427</v>
      </c>
      <c r="D370" s="23" t="s">
        <v>1142</v>
      </c>
      <c r="E370" s="20" t="s">
        <v>12428</v>
      </c>
      <c r="F370" s="22">
        <v>12</v>
      </c>
      <c r="G370" s="22" t="s">
        <v>12429</v>
      </c>
      <c r="H370" s="22">
        <v>1</v>
      </c>
      <c r="I370" s="25">
        <v>43378</v>
      </c>
      <c r="J370" s="24">
        <v>43440</v>
      </c>
    </row>
    <row r="371" spans="2:10" x14ac:dyDescent="0.2">
      <c r="B371" s="22">
        <v>367</v>
      </c>
      <c r="C371" s="23" t="s">
        <v>12430</v>
      </c>
      <c r="D371" s="23" t="s">
        <v>1377</v>
      </c>
      <c r="E371" s="20" t="s">
        <v>12431</v>
      </c>
      <c r="F371" s="22">
        <v>21</v>
      </c>
      <c r="G371" s="22" t="s">
        <v>12432</v>
      </c>
      <c r="H371" s="22">
        <v>21</v>
      </c>
      <c r="I371" s="25">
        <v>43343</v>
      </c>
      <c r="J371" s="24">
        <v>43370</v>
      </c>
    </row>
    <row r="372" spans="2:10" x14ac:dyDescent="0.2">
      <c r="B372" s="22">
        <v>368</v>
      </c>
      <c r="C372" s="23" t="s">
        <v>12433</v>
      </c>
      <c r="D372" s="23" t="s">
        <v>1039</v>
      </c>
      <c r="E372" s="20" t="s">
        <v>12434</v>
      </c>
      <c r="F372" s="22">
        <v>19</v>
      </c>
      <c r="G372" s="22" t="s">
        <v>12435</v>
      </c>
      <c r="H372" s="22">
        <v>16</v>
      </c>
      <c r="I372" s="25">
        <v>43378</v>
      </c>
      <c r="J372" s="24">
        <v>43419</v>
      </c>
    </row>
    <row r="373" spans="2:10" x14ac:dyDescent="0.2">
      <c r="B373" s="22">
        <v>369</v>
      </c>
      <c r="C373" s="23">
        <v>360</v>
      </c>
      <c r="D373" s="23" t="s">
        <v>1039</v>
      </c>
      <c r="E373" s="20" t="s">
        <v>12436</v>
      </c>
      <c r="F373" s="22">
        <v>12</v>
      </c>
      <c r="G373" s="22" t="s">
        <v>12437</v>
      </c>
      <c r="H373" s="22">
        <v>2</v>
      </c>
      <c r="I373" s="25">
        <v>43315</v>
      </c>
      <c r="J373" s="24">
        <v>43370</v>
      </c>
    </row>
    <row r="374" spans="2:10" x14ac:dyDescent="0.2">
      <c r="B374" s="22">
        <v>370</v>
      </c>
      <c r="C374" s="23" t="s">
        <v>12438</v>
      </c>
      <c r="D374" s="23" t="s">
        <v>4860</v>
      </c>
      <c r="E374" s="20" t="s">
        <v>12439</v>
      </c>
      <c r="F374" s="22">
        <v>22</v>
      </c>
      <c r="G374" s="22" t="s">
        <v>12440</v>
      </c>
      <c r="H374" s="22">
        <v>22</v>
      </c>
      <c r="I374" s="25">
        <v>43252</v>
      </c>
      <c r="J374" s="24">
        <v>43275</v>
      </c>
    </row>
    <row r="375" spans="2:10" x14ac:dyDescent="0.2">
      <c r="B375" s="22">
        <v>371</v>
      </c>
      <c r="C375" s="23" t="s">
        <v>12441</v>
      </c>
      <c r="D375" s="23" t="s">
        <v>1294</v>
      </c>
      <c r="E375" s="20" t="s">
        <v>12442</v>
      </c>
      <c r="F375" s="22">
        <v>5</v>
      </c>
      <c r="G375" s="22" t="s">
        <v>12443</v>
      </c>
      <c r="H375" s="22">
        <v>4</v>
      </c>
      <c r="I375" s="25">
        <v>43210</v>
      </c>
      <c r="J375" s="24">
        <v>43237</v>
      </c>
    </row>
    <row r="376" spans="2:10" x14ac:dyDescent="0.2">
      <c r="B376" s="22">
        <v>372</v>
      </c>
      <c r="C376" s="23" t="s">
        <v>12444</v>
      </c>
      <c r="D376" s="23" t="s">
        <v>2197</v>
      </c>
      <c r="E376" s="20" t="s">
        <v>12445</v>
      </c>
      <c r="F376" s="22">
        <v>50</v>
      </c>
      <c r="G376" s="22" t="s">
        <v>12446</v>
      </c>
      <c r="H376" s="22">
        <v>50</v>
      </c>
      <c r="I376" s="25">
        <v>43231</v>
      </c>
      <c r="J376" s="24">
        <v>43244</v>
      </c>
    </row>
    <row r="377" spans="2:10" x14ac:dyDescent="0.2">
      <c r="B377" s="22">
        <v>373</v>
      </c>
      <c r="C377" s="23" t="s">
        <v>12447</v>
      </c>
      <c r="D377" s="23" t="s">
        <v>1213</v>
      </c>
      <c r="E377" s="20" t="s">
        <v>12448</v>
      </c>
      <c r="F377" s="22">
        <v>10</v>
      </c>
      <c r="G377" s="22" t="s">
        <v>12449</v>
      </c>
      <c r="H377" s="22">
        <v>6</v>
      </c>
      <c r="I377" s="25">
        <v>43413</v>
      </c>
      <c r="J377" s="24">
        <v>43152</v>
      </c>
    </row>
    <row r="378" spans="2:10" x14ac:dyDescent="0.2">
      <c r="B378" s="22">
        <v>374</v>
      </c>
      <c r="C378" s="23" t="s">
        <v>12450</v>
      </c>
      <c r="D378" s="23" t="s">
        <v>1213</v>
      </c>
      <c r="E378" s="20" t="s">
        <v>12451</v>
      </c>
      <c r="F378" s="22">
        <v>5</v>
      </c>
      <c r="G378" s="22" t="s">
        <v>12452</v>
      </c>
      <c r="H378" s="22">
        <v>2</v>
      </c>
      <c r="I378" s="25">
        <v>43264</v>
      </c>
      <c r="J378" s="24">
        <v>43384</v>
      </c>
    </row>
    <row r="379" spans="2:10" x14ac:dyDescent="0.2">
      <c r="B379" s="22">
        <v>375</v>
      </c>
      <c r="C379" s="23" t="s">
        <v>12453</v>
      </c>
      <c r="D379" s="23" t="s">
        <v>12454</v>
      </c>
      <c r="E379" s="20" t="s">
        <v>12455</v>
      </c>
      <c r="F379" s="22">
        <v>9</v>
      </c>
      <c r="G379" s="22" t="s">
        <v>12456</v>
      </c>
      <c r="H379" s="22">
        <v>7</v>
      </c>
      <c r="I379" s="25">
        <v>43350</v>
      </c>
      <c r="J379" s="24">
        <v>43412</v>
      </c>
    </row>
    <row r="380" spans="2:10" x14ac:dyDescent="0.2">
      <c r="B380" s="22">
        <v>376</v>
      </c>
      <c r="C380" s="23" t="s">
        <v>12457</v>
      </c>
      <c r="D380" s="23" t="s">
        <v>4860</v>
      </c>
      <c r="E380" s="20" t="s">
        <v>12458</v>
      </c>
      <c r="F380" s="22">
        <v>8</v>
      </c>
      <c r="G380" s="22" t="s">
        <v>12459</v>
      </c>
      <c r="H380" s="22">
        <v>4</v>
      </c>
      <c r="I380" s="25">
        <v>43392</v>
      </c>
      <c r="J380" s="24">
        <v>43412</v>
      </c>
    </row>
    <row r="381" spans="2:10" x14ac:dyDescent="0.2">
      <c r="B381" s="22">
        <v>377</v>
      </c>
      <c r="C381" s="23" t="s">
        <v>12460</v>
      </c>
      <c r="D381" s="23" t="s">
        <v>12461</v>
      </c>
      <c r="E381" s="20" t="s">
        <v>12462</v>
      </c>
      <c r="F381" s="22">
        <v>2</v>
      </c>
      <c r="G381" s="22" t="s">
        <v>1159</v>
      </c>
      <c r="H381" s="22" t="s">
        <v>1159</v>
      </c>
      <c r="I381" s="25">
        <v>43371</v>
      </c>
      <c r="J381" s="24">
        <v>43236</v>
      </c>
    </row>
    <row r="382" spans="2:10" x14ac:dyDescent="0.2">
      <c r="B382" s="22">
        <v>378</v>
      </c>
      <c r="C382" s="23" t="s">
        <v>12463</v>
      </c>
      <c r="D382" s="23" t="s">
        <v>1039</v>
      </c>
      <c r="E382" s="20" t="s">
        <v>12464</v>
      </c>
      <c r="F382" s="22">
        <v>25</v>
      </c>
      <c r="G382" s="22" t="s">
        <v>12465</v>
      </c>
      <c r="H382" s="22">
        <v>25</v>
      </c>
      <c r="I382" s="25">
        <v>43134</v>
      </c>
      <c r="J382" s="24">
        <v>43160</v>
      </c>
    </row>
    <row r="383" spans="2:10" x14ac:dyDescent="0.2">
      <c r="B383" s="22">
        <v>379</v>
      </c>
      <c r="C383" s="23" t="s">
        <v>12466</v>
      </c>
      <c r="D383" s="23" t="s">
        <v>12467</v>
      </c>
      <c r="E383" s="20" t="s">
        <v>12468</v>
      </c>
      <c r="F383" s="22">
        <v>5</v>
      </c>
      <c r="G383" s="22" t="s">
        <v>12469</v>
      </c>
      <c r="H383" s="22">
        <v>5</v>
      </c>
      <c r="I383" s="23" t="s">
        <v>12470</v>
      </c>
      <c r="J383" s="24">
        <v>43117</v>
      </c>
    </row>
    <row r="384" spans="2:10" x14ac:dyDescent="0.2">
      <c r="B384" s="22">
        <v>380</v>
      </c>
      <c r="C384" s="23" t="s">
        <v>12471</v>
      </c>
      <c r="D384" s="23" t="s">
        <v>1594</v>
      </c>
      <c r="E384" s="20" t="s">
        <v>12472</v>
      </c>
      <c r="F384" s="22">
        <v>5</v>
      </c>
      <c r="G384" s="22" t="s">
        <v>12473</v>
      </c>
      <c r="H384" s="22">
        <v>2</v>
      </c>
      <c r="I384" s="25">
        <v>43187</v>
      </c>
      <c r="J384" s="22" t="s">
        <v>558</v>
      </c>
    </row>
    <row r="385" spans="2:10" x14ac:dyDescent="0.2">
      <c r="B385" s="22">
        <v>381</v>
      </c>
      <c r="C385" s="23" t="s">
        <v>12474</v>
      </c>
      <c r="D385" s="23" t="s">
        <v>6537</v>
      </c>
      <c r="E385" s="20" t="s">
        <v>12475</v>
      </c>
      <c r="F385" s="22">
        <v>5</v>
      </c>
      <c r="G385" s="22" t="s">
        <v>12476</v>
      </c>
      <c r="H385" s="22">
        <v>2</v>
      </c>
      <c r="I385" s="25">
        <v>43301</v>
      </c>
      <c r="J385" s="24">
        <v>43405</v>
      </c>
    </row>
    <row r="386" spans="2:10" x14ac:dyDescent="0.2">
      <c r="B386" s="22">
        <v>382</v>
      </c>
      <c r="C386" s="23" t="s">
        <v>12477</v>
      </c>
      <c r="D386" s="23" t="s">
        <v>12478</v>
      </c>
      <c r="E386" s="20" t="s">
        <v>12479</v>
      </c>
      <c r="F386" s="22">
        <v>5</v>
      </c>
      <c r="G386" s="22" t="s">
        <v>12480</v>
      </c>
      <c r="H386" s="22">
        <v>4</v>
      </c>
      <c r="I386" s="25">
        <v>43148</v>
      </c>
      <c r="J386" s="24">
        <v>43223</v>
      </c>
    </row>
    <row r="387" spans="2:10" x14ac:dyDescent="0.2">
      <c r="B387" s="22">
        <v>383</v>
      </c>
      <c r="C387" s="23" t="s">
        <v>12481</v>
      </c>
      <c r="D387" s="23" t="s">
        <v>6537</v>
      </c>
      <c r="E387" s="20" t="s">
        <v>12482</v>
      </c>
      <c r="F387" s="22">
        <v>15</v>
      </c>
      <c r="G387" s="22" t="s">
        <v>12483</v>
      </c>
      <c r="H387" s="22">
        <v>2</v>
      </c>
      <c r="I387" s="25">
        <v>43175</v>
      </c>
      <c r="J387" s="22" t="s">
        <v>558</v>
      </c>
    </row>
    <row r="388" spans="2:10" x14ac:dyDescent="0.2">
      <c r="B388" s="22">
        <v>384</v>
      </c>
      <c r="C388" s="23" t="s">
        <v>12484</v>
      </c>
      <c r="D388" s="23" t="s">
        <v>8234</v>
      </c>
      <c r="E388" s="20" t="s">
        <v>12485</v>
      </c>
      <c r="F388" s="22">
        <v>19</v>
      </c>
      <c r="G388" s="22" t="s">
        <v>12486</v>
      </c>
      <c r="H388" s="22">
        <v>4</v>
      </c>
      <c r="I388" s="25">
        <v>43273</v>
      </c>
      <c r="J388" s="22" t="s">
        <v>558</v>
      </c>
    </row>
    <row r="389" spans="2:10" x14ac:dyDescent="0.2">
      <c r="B389" s="22">
        <v>385</v>
      </c>
      <c r="C389" s="23" t="s">
        <v>12487</v>
      </c>
      <c r="D389" s="23" t="s">
        <v>4860</v>
      </c>
      <c r="E389" s="20" t="s">
        <v>12488</v>
      </c>
      <c r="F389" s="22">
        <v>6</v>
      </c>
      <c r="G389" s="22" t="s">
        <v>10838</v>
      </c>
      <c r="H389" s="22">
        <v>1</v>
      </c>
      <c r="I389" s="25">
        <v>43287</v>
      </c>
      <c r="J389" s="24">
        <v>43321</v>
      </c>
    </row>
    <row r="390" spans="2:10" x14ac:dyDescent="0.2">
      <c r="B390" s="22">
        <v>386</v>
      </c>
      <c r="C390" s="23" t="s">
        <v>12489</v>
      </c>
      <c r="D390" s="23" t="s">
        <v>1332</v>
      </c>
      <c r="E390" s="20" t="s">
        <v>12490</v>
      </c>
      <c r="F390" s="22">
        <v>22</v>
      </c>
      <c r="G390" s="22" t="s">
        <v>12491</v>
      </c>
      <c r="H390" s="22">
        <v>22</v>
      </c>
      <c r="I390" s="25">
        <v>43210</v>
      </c>
      <c r="J390" s="24">
        <v>43254</v>
      </c>
    </row>
    <row r="391" spans="2:10" x14ac:dyDescent="0.2">
      <c r="B391" s="22">
        <v>387</v>
      </c>
      <c r="C391" s="23" t="s">
        <v>12492</v>
      </c>
      <c r="D391" s="23" t="s">
        <v>1415</v>
      </c>
      <c r="E391" s="20" t="s">
        <v>12493</v>
      </c>
      <c r="F391" s="22">
        <v>24</v>
      </c>
      <c r="G391" s="22" t="s">
        <v>12494</v>
      </c>
      <c r="H391" s="22">
        <v>24</v>
      </c>
      <c r="I391" s="25">
        <v>43231</v>
      </c>
      <c r="J391" s="22" t="s">
        <v>558</v>
      </c>
    </row>
    <row r="392" spans="2:10" x14ac:dyDescent="0.2">
      <c r="B392" s="22">
        <v>388</v>
      </c>
      <c r="C392" s="23" t="s">
        <v>12495</v>
      </c>
      <c r="D392" s="23" t="s">
        <v>4860</v>
      </c>
      <c r="E392" s="20" t="s">
        <v>12496</v>
      </c>
      <c r="F392" s="22">
        <v>3</v>
      </c>
      <c r="G392" s="22" t="s">
        <v>12497</v>
      </c>
      <c r="H392" s="22">
        <v>1</v>
      </c>
      <c r="I392" s="25">
        <v>43127</v>
      </c>
      <c r="J392" s="24">
        <v>43174</v>
      </c>
    </row>
    <row r="393" spans="2:10" x14ac:dyDescent="0.2">
      <c r="B393" s="22">
        <v>389</v>
      </c>
      <c r="C393" s="23" t="s">
        <v>12498</v>
      </c>
      <c r="D393" s="23" t="s">
        <v>7800</v>
      </c>
      <c r="E393" s="20" t="s">
        <v>12499</v>
      </c>
      <c r="F393" s="22">
        <v>33</v>
      </c>
      <c r="G393" s="22" t="s">
        <v>12500</v>
      </c>
      <c r="H393" s="22">
        <v>33</v>
      </c>
      <c r="I393" s="25">
        <v>43189</v>
      </c>
      <c r="J393" s="24">
        <v>43202</v>
      </c>
    </row>
    <row r="394" spans="2:10" x14ac:dyDescent="0.2">
      <c r="B394" s="22">
        <v>390</v>
      </c>
      <c r="C394" s="23" t="s">
        <v>12501</v>
      </c>
      <c r="D394" s="23" t="s">
        <v>3627</v>
      </c>
      <c r="E394" s="20" t="s">
        <v>12502</v>
      </c>
      <c r="F394" s="22">
        <v>16</v>
      </c>
      <c r="G394" s="22" t="s">
        <v>12503</v>
      </c>
      <c r="H394" s="22">
        <v>3</v>
      </c>
      <c r="I394" s="25">
        <v>43308</v>
      </c>
      <c r="J394" s="24">
        <v>43363</v>
      </c>
    </row>
    <row r="395" spans="2:10" x14ac:dyDescent="0.2">
      <c r="B395" s="22">
        <v>391</v>
      </c>
      <c r="C395" s="23" t="s">
        <v>12504</v>
      </c>
      <c r="D395" s="23" t="s">
        <v>1039</v>
      </c>
      <c r="E395" s="20" t="s">
        <v>12505</v>
      </c>
      <c r="F395" s="22">
        <v>17</v>
      </c>
      <c r="G395" s="22" t="s">
        <v>12506</v>
      </c>
      <c r="H395" s="22">
        <v>11</v>
      </c>
      <c r="I395" s="25">
        <v>43441</v>
      </c>
      <c r="J395" s="24">
        <v>43124</v>
      </c>
    </row>
    <row r="396" spans="2:10" x14ac:dyDescent="0.2">
      <c r="B396" s="22">
        <v>392</v>
      </c>
      <c r="C396" s="23" t="s">
        <v>12507</v>
      </c>
      <c r="D396" s="23" t="s">
        <v>4583</v>
      </c>
      <c r="E396" s="20" t="s">
        <v>12508</v>
      </c>
      <c r="F396" s="22">
        <v>27</v>
      </c>
      <c r="G396" s="22" t="s">
        <v>12509</v>
      </c>
      <c r="H396" s="22">
        <v>27</v>
      </c>
      <c r="I396" s="25">
        <v>43350</v>
      </c>
      <c r="J396" s="24">
        <v>43391</v>
      </c>
    </row>
    <row r="397" spans="2:10" x14ac:dyDescent="0.2">
      <c r="B397" s="22">
        <v>393</v>
      </c>
      <c r="C397" s="23" t="s">
        <v>12510</v>
      </c>
      <c r="D397" s="23" t="s">
        <v>1210</v>
      </c>
      <c r="E397" s="20" t="s">
        <v>12511</v>
      </c>
      <c r="F397" s="22">
        <v>16</v>
      </c>
      <c r="G397" s="22" t="s">
        <v>12512</v>
      </c>
      <c r="H397" s="22">
        <v>16</v>
      </c>
      <c r="I397" s="25">
        <v>43315</v>
      </c>
      <c r="J397" s="24">
        <v>43328</v>
      </c>
    </row>
    <row r="398" spans="2:10" x14ac:dyDescent="0.2">
      <c r="B398" s="22">
        <v>394</v>
      </c>
      <c r="C398" s="23" t="s">
        <v>12513</v>
      </c>
      <c r="D398" s="23" t="s">
        <v>5638</v>
      </c>
      <c r="E398" s="20" t="s">
        <v>12514</v>
      </c>
      <c r="F398" s="22">
        <v>73</v>
      </c>
      <c r="G398" s="22" t="s">
        <v>12515</v>
      </c>
      <c r="H398" s="22">
        <v>14</v>
      </c>
      <c r="I398" s="25">
        <v>43406</v>
      </c>
      <c r="J398" s="24">
        <v>43415</v>
      </c>
    </row>
    <row r="399" spans="2:10" x14ac:dyDescent="0.2">
      <c r="B399" s="22">
        <v>395</v>
      </c>
      <c r="C399" s="23" t="s">
        <v>12516</v>
      </c>
      <c r="D399" s="23" t="s">
        <v>8353</v>
      </c>
      <c r="E399" s="20" t="s">
        <v>12517</v>
      </c>
      <c r="F399" s="22">
        <v>10</v>
      </c>
      <c r="G399" s="22" t="s">
        <v>5030</v>
      </c>
      <c r="H399" s="22">
        <v>5</v>
      </c>
      <c r="I399" s="25">
        <v>43161</v>
      </c>
      <c r="J399" s="24">
        <v>43216</v>
      </c>
    </row>
    <row r="400" spans="2:10" x14ac:dyDescent="0.2">
      <c r="B400" s="22">
        <v>396</v>
      </c>
      <c r="C400" s="23" t="s">
        <v>12518</v>
      </c>
      <c r="D400" s="23" t="s">
        <v>1909</v>
      </c>
      <c r="E400" s="20" t="s">
        <v>12519</v>
      </c>
      <c r="F400" s="22">
        <v>9</v>
      </c>
      <c r="G400" s="22" t="s">
        <v>12520</v>
      </c>
      <c r="H400" s="22">
        <v>5</v>
      </c>
      <c r="I400" s="25">
        <v>43364</v>
      </c>
      <c r="J400" s="22" t="s">
        <v>558</v>
      </c>
    </row>
    <row r="401" spans="2:10" x14ac:dyDescent="0.2">
      <c r="B401" s="22">
        <v>397</v>
      </c>
      <c r="C401" s="23" t="s">
        <v>12521</v>
      </c>
      <c r="D401" s="23" t="s">
        <v>563</v>
      </c>
      <c r="E401" s="20" t="s">
        <v>12522</v>
      </c>
      <c r="F401" s="22">
        <v>484</v>
      </c>
      <c r="G401" s="22" t="s">
        <v>1159</v>
      </c>
      <c r="H401" s="22" t="s">
        <v>1159</v>
      </c>
      <c r="I401" s="25">
        <v>43187</v>
      </c>
      <c r="J401" s="22" t="s">
        <v>558</v>
      </c>
    </row>
    <row r="402" spans="2:10" x14ac:dyDescent="0.2">
      <c r="B402" s="22">
        <v>398</v>
      </c>
      <c r="C402" s="23" t="s">
        <v>12523</v>
      </c>
      <c r="D402" s="23" t="s">
        <v>2010</v>
      </c>
      <c r="E402" s="20" t="s">
        <v>12524</v>
      </c>
      <c r="F402" s="22">
        <v>3</v>
      </c>
      <c r="G402" s="22" t="s">
        <v>8992</v>
      </c>
      <c r="H402" s="22">
        <v>2</v>
      </c>
      <c r="I402" s="25">
        <v>43336</v>
      </c>
      <c r="J402" s="24">
        <v>43264</v>
      </c>
    </row>
    <row r="403" spans="2:10" x14ac:dyDescent="0.2">
      <c r="B403" s="22">
        <v>399</v>
      </c>
      <c r="C403" s="23" t="s">
        <v>12525</v>
      </c>
      <c r="D403" s="23" t="s">
        <v>1640</v>
      </c>
      <c r="E403" s="20" t="s">
        <v>12526</v>
      </c>
      <c r="F403" s="22">
        <v>3</v>
      </c>
      <c r="G403" s="22" t="s">
        <v>12527</v>
      </c>
      <c r="H403" s="22">
        <v>1</v>
      </c>
      <c r="I403" s="25">
        <v>43406</v>
      </c>
      <c r="J403" s="24">
        <v>43173</v>
      </c>
    </row>
    <row r="404" spans="2:10" x14ac:dyDescent="0.2">
      <c r="B404" s="22">
        <v>400</v>
      </c>
      <c r="C404" s="23" t="s">
        <v>12528</v>
      </c>
      <c r="D404" s="23" t="s">
        <v>1294</v>
      </c>
      <c r="E404" s="20" t="s">
        <v>12529</v>
      </c>
      <c r="F404" s="22">
        <v>11</v>
      </c>
      <c r="G404" s="22" t="s">
        <v>12530</v>
      </c>
      <c r="H404" s="22">
        <v>6</v>
      </c>
      <c r="I404" s="25">
        <v>43127</v>
      </c>
      <c r="J404" s="24">
        <v>43174</v>
      </c>
    </row>
    <row r="405" spans="2:10" x14ac:dyDescent="0.2">
      <c r="B405" s="22">
        <v>401</v>
      </c>
      <c r="C405" s="23" t="s">
        <v>12531</v>
      </c>
      <c r="D405" s="23" t="s">
        <v>1210</v>
      </c>
      <c r="E405" s="20" t="s">
        <v>12532</v>
      </c>
      <c r="F405" s="22">
        <v>16</v>
      </c>
      <c r="G405" s="22" t="s">
        <v>12533</v>
      </c>
      <c r="H405" s="22">
        <v>16</v>
      </c>
      <c r="I405" s="25">
        <v>43371</v>
      </c>
      <c r="J405" s="24">
        <v>43391</v>
      </c>
    </row>
    <row r="406" spans="2:10" x14ac:dyDescent="0.2">
      <c r="B406" s="22">
        <v>402</v>
      </c>
      <c r="C406" s="23" t="s">
        <v>12534</v>
      </c>
      <c r="D406" s="23" t="s">
        <v>6537</v>
      </c>
      <c r="E406" s="20" t="s">
        <v>12535</v>
      </c>
      <c r="F406" s="22">
        <v>9</v>
      </c>
      <c r="G406" s="22" t="s">
        <v>12536</v>
      </c>
      <c r="H406" s="22">
        <v>1</v>
      </c>
      <c r="I406" s="25">
        <v>43329</v>
      </c>
      <c r="J406" s="24">
        <v>43419</v>
      </c>
    </row>
    <row r="407" spans="2:10" x14ac:dyDescent="0.2">
      <c r="B407" s="22">
        <v>403</v>
      </c>
      <c r="C407" s="23" t="s">
        <v>12537</v>
      </c>
      <c r="D407" s="23" t="s">
        <v>1039</v>
      </c>
      <c r="E407" s="20" t="s">
        <v>12538</v>
      </c>
      <c r="F407" s="22">
        <v>5</v>
      </c>
      <c r="G407" s="22" t="s">
        <v>12539</v>
      </c>
      <c r="H407" s="22">
        <v>2</v>
      </c>
      <c r="I407" s="25">
        <v>43238</v>
      </c>
      <c r="J407" s="24">
        <v>43314</v>
      </c>
    </row>
    <row r="408" spans="2:10" x14ac:dyDescent="0.2">
      <c r="B408" s="22">
        <v>404</v>
      </c>
      <c r="C408" s="23" t="s">
        <v>12540</v>
      </c>
      <c r="D408" s="23" t="s">
        <v>2010</v>
      </c>
      <c r="E408" s="20" t="s">
        <v>12541</v>
      </c>
      <c r="F408" s="22">
        <v>3</v>
      </c>
      <c r="G408" s="22" t="s">
        <v>12542</v>
      </c>
      <c r="H408" s="22">
        <v>1</v>
      </c>
      <c r="I408" s="25">
        <v>43141</v>
      </c>
      <c r="J408" s="24">
        <v>43215</v>
      </c>
    </row>
    <row r="409" spans="2:10" x14ac:dyDescent="0.2">
      <c r="B409" s="22">
        <v>405</v>
      </c>
      <c r="C409" s="23" t="s">
        <v>12543</v>
      </c>
      <c r="D409" s="23" t="s">
        <v>2010</v>
      </c>
      <c r="E409" s="20" t="s">
        <v>12544</v>
      </c>
      <c r="F409" s="22">
        <v>3</v>
      </c>
      <c r="G409" s="22" t="s">
        <v>12545</v>
      </c>
      <c r="H409" s="22">
        <v>1</v>
      </c>
      <c r="I409" s="25">
        <v>43175</v>
      </c>
      <c r="J409" s="22" t="s">
        <v>558</v>
      </c>
    </row>
    <row r="410" spans="2:10" x14ac:dyDescent="0.2">
      <c r="B410" s="22">
        <v>406</v>
      </c>
      <c r="C410" s="23" t="s">
        <v>12546</v>
      </c>
      <c r="D410" s="23" t="s">
        <v>12547</v>
      </c>
      <c r="E410" s="20" t="s">
        <v>12548</v>
      </c>
      <c r="F410" s="22">
        <v>20</v>
      </c>
      <c r="G410" s="22" t="s">
        <v>12549</v>
      </c>
      <c r="H410" s="22">
        <v>20</v>
      </c>
      <c r="I410" s="25">
        <v>43224</v>
      </c>
      <c r="J410" s="24">
        <v>43233</v>
      </c>
    </row>
    <row r="411" spans="2:10" x14ac:dyDescent="0.2">
      <c r="B411" s="22">
        <v>407</v>
      </c>
      <c r="C411" s="23" t="s">
        <v>12550</v>
      </c>
      <c r="D411" s="23" t="s">
        <v>1235</v>
      </c>
      <c r="E411" s="20" t="s">
        <v>12551</v>
      </c>
      <c r="F411" s="22">
        <v>6</v>
      </c>
      <c r="G411" s="22" t="s">
        <v>12552</v>
      </c>
      <c r="H411" s="22">
        <v>6</v>
      </c>
      <c r="I411" s="25">
        <v>43413</v>
      </c>
      <c r="J411" s="24">
        <v>43440</v>
      </c>
    </row>
    <row r="412" spans="2:10" x14ac:dyDescent="0.2">
      <c r="B412" s="22">
        <v>408</v>
      </c>
      <c r="C412" s="23" t="s">
        <v>12553</v>
      </c>
      <c r="D412" s="23" t="s">
        <v>1880</v>
      </c>
      <c r="E412" s="20" t="s">
        <v>12554</v>
      </c>
      <c r="F412" s="22">
        <v>6</v>
      </c>
      <c r="G412" s="22" t="s">
        <v>12555</v>
      </c>
      <c r="H412" s="22">
        <v>2</v>
      </c>
      <c r="I412" s="25">
        <v>43196</v>
      </c>
      <c r="J412" s="24">
        <v>43363</v>
      </c>
    </row>
    <row r="413" spans="2:10" x14ac:dyDescent="0.2">
      <c r="B413" s="22">
        <v>409</v>
      </c>
      <c r="C413" s="23" t="s">
        <v>12556</v>
      </c>
      <c r="D413" s="23" t="s">
        <v>1572</v>
      </c>
      <c r="E413" s="20" t="s">
        <v>12557</v>
      </c>
      <c r="F413" s="22">
        <v>4</v>
      </c>
      <c r="G413" s="22" t="s">
        <v>1159</v>
      </c>
      <c r="H413" s="22" t="s">
        <v>1159</v>
      </c>
      <c r="I413" s="25">
        <v>43175</v>
      </c>
      <c r="J413" s="22" t="s">
        <v>558</v>
      </c>
    </row>
    <row r="414" spans="2:10" x14ac:dyDescent="0.2">
      <c r="B414" s="22">
        <v>410</v>
      </c>
      <c r="C414" s="23" t="s">
        <v>12558</v>
      </c>
      <c r="D414" s="23" t="s">
        <v>12559</v>
      </c>
      <c r="E414" s="20" t="s">
        <v>12560</v>
      </c>
      <c r="F414" s="22">
        <v>6</v>
      </c>
      <c r="G414" s="22" t="s">
        <v>5229</v>
      </c>
      <c r="H414" s="22">
        <v>3</v>
      </c>
      <c r="I414" s="25">
        <v>43141</v>
      </c>
      <c r="J414" s="24">
        <v>43342</v>
      </c>
    </row>
    <row r="415" spans="2:10" x14ac:dyDescent="0.2">
      <c r="B415" s="22">
        <v>411</v>
      </c>
      <c r="C415" s="23" t="s">
        <v>12561</v>
      </c>
      <c r="D415" s="23" t="s">
        <v>1039</v>
      </c>
      <c r="E415" s="20" t="s">
        <v>12562</v>
      </c>
      <c r="F415" s="22">
        <v>4</v>
      </c>
      <c r="G415" s="22" t="s">
        <v>12563</v>
      </c>
      <c r="H415" s="22">
        <v>4</v>
      </c>
      <c r="I415" s="25">
        <v>43364</v>
      </c>
      <c r="J415" s="24">
        <v>43377</v>
      </c>
    </row>
    <row r="416" spans="2:10" x14ac:dyDescent="0.2">
      <c r="B416" s="22">
        <v>412</v>
      </c>
      <c r="C416" s="23" t="s">
        <v>12564</v>
      </c>
      <c r="D416" s="23" t="s">
        <v>7800</v>
      </c>
      <c r="E416" s="20" t="s">
        <v>12565</v>
      </c>
      <c r="F416" s="22">
        <v>18</v>
      </c>
      <c r="G416" s="22" t="s">
        <v>12566</v>
      </c>
      <c r="H416" s="22">
        <v>2</v>
      </c>
      <c r="I416" s="25">
        <v>43294</v>
      </c>
      <c r="J416" s="24">
        <v>43328</v>
      </c>
    </row>
    <row r="417" spans="2:10" x14ac:dyDescent="0.2">
      <c r="B417" s="22">
        <v>413</v>
      </c>
      <c r="C417" s="23" t="s">
        <v>12567</v>
      </c>
      <c r="D417" s="23" t="s">
        <v>1083</v>
      </c>
      <c r="E417" s="20" t="s">
        <v>12568</v>
      </c>
      <c r="F417" s="22">
        <v>45</v>
      </c>
      <c r="G417" s="22" t="s">
        <v>12568</v>
      </c>
      <c r="H417" s="22">
        <v>45</v>
      </c>
      <c r="I417" s="25">
        <v>43155</v>
      </c>
      <c r="J417" s="24">
        <v>43157</v>
      </c>
    </row>
    <row r="418" spans="2:10" x14ac:dyDescent="0.2">
      <c r="B418" s="22">
        <v>414</v>
      </c>
      <c r="C418" s="23" t="s">
        <v>12569</v>
      </c>
      <c r="D418" s="23" t="s">
        <v>1235</v>
      </c>
      <c r="E418" s="20" t="s">
        <v>12570</v>
      </c>
      <c r="F418" s="22">
        <v>6</v>
      </c>
      <c r="G418" s="22" t="s">
        <v>12571</v>
      </c>
      <c r="H418" s="22">
        <v>6</v>
      </c>
      <c r="I418" s="25">
        <v>43329</v>
      </c>
      <c r="J418" s="22" t="s">
        <v>558</v>
      </c>
    </row>
    <row r="419" spans="2:10" x14ac:dyDescent="0.2">
      <c r="B419" s="22">
        <v>415</v>
      </c>
      <c r="C419" s="23" t="s">
        <v>12572</v>
      </c>
      <c r="D419" s="23" t="s">
        <v>3627</v>
      </c>
      <c r="E419" s="20" t="s">
        <v>12573</v>
      </c>
      <c r="F419" s="22">
        <v>12</v>
      </c>
      <c r="G419" s="22" t="s">
        <v>12574</v>
      </c>
      <c r="H419" s="22">
        <v>1</v>
      </c>
      <c r="I419" s="25">
        <v>43378</v>
      </c>
      <c r="J419" s="24">
        <v>43461</v>
      </c>
    </row>
    <row r="420" spans="2:10" x14ac:dyDescent="0.2">
      <c r="B420" s="22">
        <v>416</v>
      </c>
      <c r="C420" s="23" t="s">
        <v>12575</v>
      </c>
      <c r="D420" s="23" t="s">
        <v>6537</v>
      </c>
      <c r="E420" s="20" t="s">
        <v>12576</v>
      </c>
      <c r="F420" s="22">
        <v>21</v>
      </c>
      <c r="G420" s="22" t="s">
        <v>12577</v>
      </c>
      <c r="H420" s="22">
        <v>4</v>
      </c>
      <c r="I420" s="25">
        <v>43441</v>
      </c>
      <c r="J420" s="24">
        <v>43103</v>
      </c>
    </row>
    <row r="421" spans="2:10" x14ac:dyDescent="0.2">
      <c r="B421" s="22">
        <v>417</v>
      </c>
      <c r="C421" s="23" t="s">
        <v>12578</v>
      </c>
      <c r="D421" s="23" t="s">
        <v>1210</v>
      </c>
      <c r="E421" s="20" t="s">
        <v>12579</v>
      </c>
      <c r="F421" s="22">
        <v>20</v>
      </c>
      <c r="G421" s="22" t="s">
        <v>12580</v>
      </c>
      <c r="H421" s="22">
        <v>20</v>
      </c>
      <c r="I421" s="25">
        <v>43127</v>
      </c>
      <c r="J421" s="24">
        <v>43147</v>
      </c>
    </row>
    <row r="422" spans="2:10" x14ac:dyDescent="0.2">
      <c r="B422" s="22">
        <v>418</v>
      </c>
      <c r="C422" s="23" t="s">
        <v>12581</v>
      </c>
      <c r="D422" s="23" t="s">
        <v>820</v>
      </c>
      <c r="E422" s="20" t="s">
        <v>12582</v>
      </c>
      <c r="F422" s="22">
        <v>35</v>
      </c>
      <c r="G422" s="22" t="s">
        <v>12583</v>
      </c>
      <c r="H422" s="22">
        <v>5</v>
      </c>
      <c r="I422" s="25">
        <v>43385</v>
      </c>
      <c r="J422" s="24">
        <v>43412</v>
      </c>
    </row>
    <row r="423" spans="2:10" x14ac:dyDescent="0.2">
      <c r="B423" s="22">
        <v>419</v>
      </c>
      <c r="C423" s="23" t="s">
        <v>12584</v>
      </c>
      <c r="D423" s="23" t="s">
        <v>12585</v>
      </c>
      <c r="E423" s="20" t="s">
        <v>12586</v>
      </c>
      <c r="F423" s="22">
        <v>4</v>
      </c>
      <c r="G423" s="22" t="s">
        <v>12587</v>
      </c>
      <c r="H423" s="22">
        <v>2</v>
      </c>
      <c r="I423" s="25">
        <v>43113</v>
      </c>
      <c r="J423" s="24">
        <v>43254</v>
      </c>
    </row>
    <row r="424" spans="2:10" x14ac:dyDescent="0.2">
      <c r="B424" s="22">
        <v>420</v>
      </c>
      <c r="C424" s="23" t="s">
        <v>12588</v>
      </c>
      <c r="D424" s="23" t="s">
        <v>2010</v>
      </c>
      <c r="E424" s="20" t="s">
        <v>12589</v>
      </c>
      <c r="F424" s="22">
        <v>6</v>
      </c>
      <c r="G424" s="22" t="s">
        <v>12590</v>
      </c>
      <c r="H424" s="22">
        <v>2</v>
      </c>
      <c r="I424" s="25">
        <v>43357</v>
      </c>
      <c r="J424" s="24">
        <v>43166</v>
      </c>
    </row>
    <row r="425" spans="2:10" x14ac:dyDescent="0.2">
      <c r="B425" s="22">
        <v>421</v>
      </c>
      <c r="C425" s="23" t="s">
        <v>12591</v>
      </c>
      <c r="D425" s="23" t="s">
        <v>1804</v>
      </c>
      <c r="E425" s="20" t="s">
        <v>12592</v>
      </c>
      <c r="F425" s="22">
        <v>10</v>
      </c>
      <c r="G425" s="22" t="s">
        <v>12593</v>
      </c>
      <c r="H425" s="22">
        <v>10</v>
      </c>
      <c r="I425" s="25">
        <v>43294</v>
      </c>
      <c r="J425" s="24">
        <v>43356</v>
      </c>
    </row>
    <row r="426" spans="2:10" x14ac:dyDescent="0.2">
      <c r="B426" s="22">
        <v>422</v>
      </c>
      <c r="C426" s="23" t="s">
        <v>12594</v>
      </c>
      <c r="D426" s="23" t="s">
        <v>1880</v>
      </c>
      <c r="E426" s="20" t="s">
        <v>12595</v>
      </c>
      <c r="F426" s="22">
        <v>6</v>
      </c>
      <c r="G426" s="22" t="s">
        <v>12596</v>
      </c>
      <c r="H426" s="22">
        <v>1</v>
      </c>
      <c r="I426" s="25">
        <v>43120</v>
      </c>
      <c r="J426" s="24">
        <v>43223</v>
      </c>
    </row>
    <row r="427" spans="2:10" x14ac:dyDescent="0.2">
      <c r="B427" s="22">
        <v>423</v>
      </c>
      <c r="C427" s="23" t="s">
        <v>12597</v>
      </c>
      <c r="D427" s="23" t="s">
        <v>1909</v>
      </c>
      <c r="E427" s="20" t="s">
        <v>12598</v>
      </c>
      <c r="F427" s="22">
        <v>4</v>
      </c>
      <c r="G427" s="22" t="s">
        <v>12599</v>
      </c>
      <c r="H427" s="22">
        <v>4</v>
      </c>
      <c r="I427" s="25">
        <v>43294</v>
      </c>
      <c r="J427" s="24">
        <v>43346</v>
      </c>
    </row>
    <row r="428" spans="2:10" x14ac:dyDescent="0.2">
      <c r="B428" s="22">
        <v>424</v>
      </c>
      <c r="C428" s="23" t="s">
        <v>12600</v>
      </c>
      <c r="D428" s="23" t="s">
        <v>1210</v>
      </c>
      <c r="E428" s="20" t="s">
        <v>12601</v>
      </c>
      <c r="F428" s="22">
        <v>12</v>
      </c>
      <c r="G428" s="22" t="s">
        <v>12602</v>
      </c>
      <c r="H428" s="22">
        <v>12</v>
      </c>
      <c r="I428" s="25">
        <v>43259</v>
      </c>
      <c r="J428" s="24">
        <v>43272</v>
      </c>
    </row>
    <row r="429" spans="2:10" x14ac:dyDescent="0.2">
      <c r="B429" s="22">
        <v>425</v>
      </c>
      <c r="C429" s="23" t="s">
        <v>12603</v>
      </c>
      <c r="D429" s="23" t="s">
        <v>12604</v>
      </c>
      <c r="E429" s="20" t="s">
        <v>12605</v>
      </c>
      <c r="F429" s="22">
        <v>6</v>
      </c>
      <c r="G429" s="22" t="s">
        <v>12606</v>
      </c>
      <c r="H429" s="22">
        <v>1</v>
      </c>
      <c r="I429" s="25">
        <v>43245</v>
      </c>
      <c r="J429" s="22" t="s">
        <v>558</v>
      </c>
    </row>
    <row r="430" spans="2:10" x14ac:dyDescent="0.2">
      <c r="B430" s="22">
        <v>426</v>
      </c>
      <c r="C430" s="23" t="s">
        <v>12607</v>
      </c>
      <c r="D430" s="23" t="s">
        <v>1942</v>
      </c>
      <c r="E430" s="20" t="s">
        <v>12608</v>
      </c>
      <c r="F430" s="22">
        <v>2</v>
      </c>
      <c r="G430" s="22" t="s">
        <v>5054</v>
      </c>
      <c r="H430" s="22">
        <v>1</v>
      </c>
      <c r="I430" s="25">
        <v>43201</v>
      </c>
      <c r="J430" s="24">
        <v>43335</v>
      </c>
    </row>
    <row r="431" spans="2:10" x14ac:dyDescent="0.2">
      <c r="B431" s="22">
        <v>427</v>
      </c>
      <c r="C431" s="23" t="s">
        <v>12609</v>
      </c>
      <c r="D431" s="23" t="s">
        <v>1532</v>
      </c>
      <c r="E431" s="20" t="s">
        <v>12610</v>
      </c>
      <c r="F431" s="22">
        <v>10</v>
      </c>
      <c r="G431" s="22" t="s">
        <v>12611</v>
      </c>
      <c r="H431" s="22">
        <v>10</v>
      </c>
      <c r="I431" s="25">
        <v>43392</v>
      </c>
      <c r="J431" s="24">
        <v>43239</v>
      </c>
    </row>
    <row r="432" spans="2:10" x14ac:dyDescent="0.2">
      <c r="B432" s="22">
        <v>428</v>
      </c>
      <c r="C432" s="23" t="s">
        <v>12612</v>
      </c>
      <c r="D432" s="23" t="s">
        <v>1880</v>
      </c>
      <c r="E432" s="20" t="s">
        <v>12613</v>
      </c>
      <c r="F432" s="22">
        <v>4</v>
      </c>
      <c r="G432" s="22" t="s">
        <v>12614</v>
      </c>
      <c r="H432" s="22">
        <v>2</v>
      </c>
      <c r="I432" s="25">
        <v>43231</v>
      </c>
      <c r="J432" s="24">
        <v>43391</v>
      </c>
    </row>
    <row r="433" spans="2:10" x14ac:dyDescent="0.2">
      <c r="B433" s="22">
        <v>429</v>
      </c>
      <c r="C433" s="23" t="s">
        <v>12615</v>
      </c>
      <c r="D433" s="23" t="s">
        <v>10952</v>
      </c>
      <c r="E433" s="20" t="s">
        <v>12616</v>
      </c>
      <c r="F433" s="22">
        <v>6</v>
      </c>
      <c r="G433" s="22" t="s">
        <v>12617</v>
      </c>
      <c r="H433" s="22">
        <v>3</v>
      </c>
      <c r="I433" s="25">
        <v>43224</v>
      </c>
      <c r="J433" s="24">
        <v>43244</v>
      </c>
    </row>
    <row r="434" spans="2:10" x14ac:dyDescent="0.2">
      <c r="B434" s="22">
        <v>430</v>
      </c>
      <c r="C434" s="23" t="s">
        <v>12618</v>
      </c>
      <c r="D434" s="23" t="s">
        <v>4580</v>
      </c>
      <c r="E434" s="20" t="s">
        <v>12619</v>
      </c>
      <c r="F434" s="22" t="s">
        <v>1159</v>
      </c>
      <c r="G434" s="22" t="s">
        <v>1159</v>
      </c>
      <c r="H434" s="22" t="s">
        <v>1159</v>
      </c>
      <c r="I434" s="25">
        <v>43299</v>
      </c>
      <c r="J434" s="22" t="s">
        <v>558</v>
      </c>
    </row>
    <row r="435" spans="2:10" x14ac:dyDescent="0.2">
      <c r="B435" s="22">
        <v>431</v>
      </c>
      <c r="C435" s="23" t="s">
        <v>12620</v>
      </c>
      <c r="D435" s="23" t="s">
        <v>12621</v>
      </c>
      <c r="E435" s="20" t="s">
        <v>12622</v>
      </c>
      <c r="F435" s="22">
        <v>1</v>
      </c>
      <c r="G435" s="22" t="s">
        <v>12623</v>
      </c>
      <c r="H435" s="22">
        <v>1</v>
      </c>
      <c r="I435" s="25">
        <v>43378</v>
      </c>
      <c r="J435" s="24">
        <v>43384</v>
      </c>
    </row>
    <row r="436" spans="2:10" x14ac:dyDescent="0.2">
      <c r="B436" s="22">
        <v>432</v>
      </c>
      <c r="C436" s="23" t="s">
        <v>12624</v>
      </c>
      <c r="D436" s="23" t="s">
        <v>6537</v>
      </c>
      <c r="E436" s="20" t="s">
        <v>12625</v>
      </c>
      <c r="F436" s="22">
        <v>4</v>
      </c>
      <c r="G436" s="22" t="s">
        <v>6690</v>
      </c>
      <c r="H436" s="22">
        <v>1</v>
      </c>
      <c r="I436" s="25">
        <v>43413</v>
      </c>
      <c r="J436" s="24">
        <v>43103</v>
      </c>
    </row>
    <row r="437" spans="2:10" x14ac:dyDescent="0.2">
      <c r="B437" s="22">
        <v>433</v>
      </c>
      <c r="C437" s="23" t="s">
        <v>12626</v>
      </c>
      <c r="D437" s="23" t="s">
        <v>3627</v>
      </c>
      <c r="E437" s="20" t="s">
        <v>12627</v>
      </c>
      <c r="F437" s="22">
        <v>28</v>
      </c>
      <c r="G437" s="22" t="s">
        <v>12628</v>
      </c>
      <c r="H437" s="22">
        <v>28</v>
      </c>
      <c r="I437" s="25">
        <v>43175</v>
      </c>
      <c r="J437" s="24">
        <v>43226</v>
      </c>
    </row>
    <row r="438" spans="2:10" x14ac:dyDescent="0.2">
      <c r="B438" s="22">
        <v>434</v>
      </c>
      <c r="C438" s="23" t="s">
        <v>12629</v>
      </c>
      <c r="D438" s="23" t="s">
        <v>1377</v>
      </c>
      <c r="E438" s="20" t="s">
        <v>12630</v>
      </c>
      <c r="F438" s="22">
        <v>10</v>
      </c>
      <c r="G438" s="22" t="s">
        <v>12631</v>
      </c>
      <c r="H438" s="22">
        <v>10</v>
      </c>
      <c r="I438" s="25">
        <v>43161</v>
      </c>
      <c r="J438" s="24">
        <v>43181</v>
      </c>
    </row>
    <row r="439" spans="2:10" x14ac:dyDescent="0.2">
      <c r="B439" s="22">
        <v>435</v>
      </c>
      <c r="C439" s="23" t="s">
        <v>12632</v>
      </c>
      <c r="D439" s="23" t="s">
        <v>1043</v>
      </c>
      <c r="E439" s="20" t="s">
        <v>12633</v>
      </c>
      <c r="F439" s="22">
        <v>50</v>
      </c>
      <c r="G439" s="22" t="s">
        <v>12634</v>
      </c>
      <c r="H439" s="22">
        <v>50</v>
      </c>
      <c r="I439" s="25">
        <v>43315</v>
      </c>
      <c r="J439" s="24">
        <v>43328</v>
      </c>
    </row>
    <row r="440" spans="2:10" x14ac:dyDescent="0.2">
      <c r="B440" s="22">
        <v>436</v>
      </c>
      <c r="C440" s="23" t="s">
        <v>12635</v>
      </c>
      <c r="D440" s="23" t="s">
        <v>1248</v>
      </c>
      <c r="E440" s="20" t="s">
        <v>12636</v>
      </c>
      <c r="F440" s="22">
        <v>2</v>
      </c>
      <c r="G440" s="22" t="s">
        <v>12637</v>
      </c>
      <c r="H440" s="22">
        <v>1</v>
      </c>
      <c r="I440" s="25">
        <v>43259</v>
      </c>
      <c r="J440" s="24">
        <v>43314</v>
      </c>
    </row>
    <row r="441" spans="2:10" x14ac:dyDescent="0.2">
      <c r="B441" s="22">
        <v>437</v>
      </c>
      <c r="C441" s="23" t="s">
        <v>12638</v>
      </c>
      <c r="D441" s="23" t="s">
        <v>4580</v>
      </c>
      <c r="E441" s="20" t="s">
        <v>12639</v>
      </c>
      <c r="F441" s="22">
        <v>3</v>
      </c>
      <c r="G441" s="22" t="s">
        <v>12640</v>
      </c>
      <c r="H441" s="22">
        <v>1</v>
      </c>
      <c r="I441" s="25">
        <v>43329</v>
      </c>
      <c r="J441" s="24">
        <v>43419</v>
      </c>
    </row>
    <row r="442" spans="2:10" x14ac:dyDescent="0.2">
      <c r="B442" s="22">
        <v>438</v>
      </c>
      <c r="C442" s="23" t="s">
        <v>12641</v>
      </c>
      <c r="D442" s="23" t="s">
        <v>1532</v>
      </c>
      <c r="E442" s="20" t="s">
        <v>12642</v>
      </c>
      <c r="F442" s="22">
        <v>6</v>
      </c>
      <c r="G442" s="22" t="s">
        <v>12643</v>
      </c>
      <c r="H442" s="22">
        <v>2</v>
      </c>
      <c r="I442" s="25">
        <v>43155</v>
      </c>
      <c r="J442" s="24">
        <v>43314</v>
      </c>
    </row>
    <row r="443" spans="2:10" x14ac:dyDescent="0.2">
      <c r="B443" s="22">
        <v>439</v>
      </c>
      <c r="C443" s="23" t="s">
        <v>12644</v>
      </c>
      <c r="D443" s="23" t="s">
        <v>1880</v>
      </c>
      <c r="E443" s="20" t="s">
        <v>12645</v>
      </c>
      <c r="F443" s="22">
        <v>4</v>
      </c>
      <c r="G443" s="22" t="s">
        <v>12646</v>
      </c>
      <c r="H443" s="22">
        <v>2</v>
      </c>
      <c r="I443" s="25">
        <v>43441</v>
      </c>
      <c r="J443" s="22" t="s">
        <v>558</v>
      </c>
    </row>
    <row r="444" spans="2:10" x14ac:dyDescent="0.2">
      <c r="B444" s="22">
        <v>440</v>
      </c>
      <c r="C444" s="23" t="s">
        <v>12647</v>
      </c>
      <c r="D444" s="23" t="s">
        <v>1576</v>
      </c>
      <c r="E444" s="20" t="s">
        <v>12648</v>
      </c>
      <c r="F444" s="22">
        <v>2</v>
      </c>
      <c r="G444" s="22" t="s">
        <v>12649</v>
      </c>
      <c r="H444" s="22">
        <v>2</v>
      </c>
      <c r="I444" s="25">
        <v>43168</v>
      </c>
      <c r="J444" s="24">
        <v>43188</v>
      </c>
    </row>
    <row r="445" spans="2:10" x14ac:dyDescent="0.2">
      <c r="B445" s="22">
        <v>441</v>
      </c>
      <c r="C445" s="23" t="s">
        <v>12650</v>
      </c>
      <c r="D445" s="23" t="s">
        <v>1612</v>
      </c>
      <c r="E445" s="20" t="s">
        <v>12651</v>
      </c>
      <c r="F445" s="22">
        <v>20</v>
      </c>
      <c r="G445" s="22" t="s">
        <v>12652</v>
      </c>
      <c r="H445" s="22">
        <v>20</v>
      </c>
      <c r="I445" s="25">
        <v>43238</v>
      </c>
      <c r="J445" s="24">
        <v>43251</v>
      </c>
    </row>
    <row r="446" spans="2:10" x14ac:dyDescent="0.2">
      <c r="B446" s="22">
        <v>442</v>
      </c>
      <c r="C446" s="23" t="s">
        <v>12653</v>
      </c>
      <c r="D446" s="23" t="s">
        <v>12148</v>
      </c>
      <c r="E446" s="20" t="s">
        <v>6121</v>
      </c>
      <c r="F446" s="22">
        <v>10</v>
      </c>
      <c r="G446" s="22" t="s">
        <v>6121</v>
      </c>
      <c r="H446" s="22">
        <v>10</v>
      </c>
      <c r="I446" s="25">
        <v>43350</v>
      </c>
      <c r="J446" s="22" t="s">
        <v>558</v>
      </c>
    </row>
    <row r="447" spans="2:10" x14ac:dyDescent="0.2">
      <c r="B447" s="22">
        <v>443</v>
      </c>
      <c r="C447" s="23" t="s">
        <v>12654</v>
      </c>
      <c r="D447" s="23" t="s">
        <v>1210</v>
      </c>
      <c r="E447" s="20" t="s">
        <v>12655</v>
      </c>
      <c r="F447" s="22">
        <v>22</v>
      </c>
      <c r="G447" s="22" t="s">
        <v>12656</v>
      </c>
      <c r="H447" s="22">
        <v>22</v>
      </c>
      <c r="I447" s="25">
        <v>43357</v>
      </c>
      <c r="J447" s="24">
        <v>43370</v>
      </c>
    </row>
    <row r="448" spans="2:10" x14ac:dyDescent="0.2">
      <c r="B448" s="22">
        <v>444</v>
      </c>
      <c r="C448" s="23" t="s">
        <v>12657</v>
      </c>
      <c r="D448" s="23" t="s">
        <v>12658</v>
      </c>
      <c r="E448" s="20" t="s">
        <v>12659</v>
      </c>
      <c r="F448" s="22">
        <v>4</v>
      </c>
      <c r="G448" s="22" t="s">
        <v>12659</v>
      </c>
      <c r="H448" s="22">
        <v>4</v>
      </c>
      <c r="I448" s="25">
        <v>43196</v>
      </c>
      <c r="J448" s="24">
        <v>43198</v>
      </c>
    </row>
    <row r="449" spans="2:10" x14ac:dyDescent="0.2">
      <c r="B449" s="22">
        <v>445</v>
      </c>
      <c r="C449" s="23" t="s">
        <v>12660</v>
      </c>
      <c r="D449" s="23" t="s">
        <v>1942</v>
      </c>
      <c r="E449" s="20" t="s">
        <v>12661</v>
      </c>
      <c r="F449" s="22">
        <v>2</v>
      </c>
      <c r="G449" s="22" t="s">
        <v>12662</v>
      </c>
      <c r="H449" s="22">
        <v>1</v>
      </c>
      <c r="I449" s="25">
        <v>43322</v>
      </c>
      <c r="J449" s="22" t="s">
        <v>558</v>
      </c>
    </row>
    <row r="450" spans="2:10" x14ac:dyDescent="0.2">
      <c r="B450" s="22">
        <v>446</v>
      </c>
      <c r="C450" s="23" t="s">
        <v>12663</v>
      </c>
      <c r="D450" s="23" t="s">
        <v>12148</v>
      </c>
      <c r="E450" s="20" t="s">
        <v>12664</v>
      </c>
      <c r="F450" s="22">
        <v>6</v>
      </c>
      <c r="G450" s="22" t="s">
        <v>12665</v>
      </c>
      <c r="H450" s="22">
        <v>3</v>
      </c>
      <c r="I450" s="25">
        <v>43196</v>
      </c>
      <c r="J450" s="24">
        <v>43219</v>
      </c>
    </row>
    <row r="451" spans="2:10" x14ac:dyDescent="0.2">
      <c r="B451" s="22">
        <v>447</v>
      </c>
      <c r="C451" s="23" t="s">
        <v>12666</v>
      </c>
      <c r="D451" s="23" t="s">
        <v>1880</v>
      </c>
      <c r="E451" s="20" t="s">
        <v>12667</v>
      </c>
      <c r="F451" s="22">
        <v>5</v>
      </c>
      <c r="G451" s="22" t="s">
        <v>12668</v>
      </c>
      <c r="H451" s="22">
        <v>1</v>
      </c>
      <c r="I451" s="25">
        <v>43399</v>
      </c>
      <c r="J451" s="24">
        <v>43208</v>
      </c>
    </row>
    <row r="452" spans="2:10" x14ac:dyDescent="0.2">
      <c r="B452" s="22">
        <v>448</v>
      </c>
      <c r="C452" s="23" t="s">
        <v>12669</v>
      </c>
      <c r="D452" s="23" t="s">
        <v>8353</v>
      </c>
      <c r="E452" s="20" t="s">
        <v>12670</v>
      </c>
      <c r="F452" s="22">
        <v>4</v>
      </c>
      <c r="G452" s="22" t="s">
        <v>1970</v>
      </c>
      <c r="H452" s="22">
        <v>1</v>
      </c>
      <c r="I452" s="25">
        <v>43203</v>
      </c>
      <c r="J452" s="22" t="s">
        <v>558</v>
      </c>
    </row>
    <row r="453" spans="2:10" x14ac:dyDescent="0.2">
      <c r="B453" s="22">
        <v>449</v>
      </c>
      <c r="C453" s="23" t="s">
        <v>12671</v>
      </c>
      <c r="D453" s="23" t="s">
        <v>4860</v>
      </c>
      <c r="E453" s="20" t="s">
        <v>12672</v>
      </c>
      <c r="F453" s="22">
        <v>3</v>
      </c>
      <c r="G453" s="22" t="s">
        <v>12673</v>
      </c>
      <c r="H453" s="22">
        <v>3</v>
      </c>
      <c r="I453" s="25">
        <v>43399</v>
      </c>
      <c r="J453" s="24">
        <v>43412</v>
      </c>
    </row>
    <row r="454" spans="2:10" x14ac:dyDescent="0.2">
      <c r="B454" s="22">
        <v>450</v>
      </c>
      <c r="C454" s="23" t="s">
        <v>12674</v>
      </c>
      <c r="D454" s="23" t="s">
        <v>1612</v>
      </c>
      <c r="E454" s="20" t="s">
        <v>12675</v>
      </c>
      <c r="F454" s="22">
        <v>12</v>
      </c>
      <c r="G454" s="22" t="s">
        <v>12676</v>
      </c>
      <c r="H454" s="22">
        <v>9</v>
      </c>
      <c r="I454" s="25">
        <v>43182</v>
      </c>
      <c r="J454" s="22" t="s">
        <v>558</v>
      </c>
    </row>
    <row r="455" spans="2:10" x14ac:dyDescent="0.2">
      <c r="B455" s="22">
        <v>451</v>
      </c>
      <c r="C455" s="23" t="s">
        <v>12677</v>
      </c>
      <c r="D455" s="23" t="s">
        <v>12374</v>
      </c>
      <c r="E455" s="20" t="s">
        <v>12678</v>
      </c>
      <c r="F455" s="22">
        <v>1</v>
      </c>
      <c r="G455" s="22" t="s">
        <v>12679</v>
      </c>
      <c r="H455" s="22">
        <v>1</v>
      </c>
      <c r="I455" s="25">
        <v>43224</v>
      </c>
      <c r="J455" s="22" t="s">
        <v>558</v>
      </c>
    </row>
    <row r="456" spans="2:10" x14ac:dyDescent="0.2">
      <c r="B456" s="22">
        <v>452</v>
      </c>
      <c r="C456" s="23" t="s">
        <v>12680</v>
      </c>
      <c r="D456" s="23" t="s">
        <v>1532</v>
      </c>
      <c r="E456" s="20" t="s">
        <v>12681</v>
      </c>
      <c r="F456" s="22">
        <v>3</v>
      </c>
      <c r="G456" s="22" t="s">
        <v>12682</v>
      </c>
      <c r="H456" s="22">
        <v>3</v>
      </c>
      <c r="I456" s="25">
        <v>43217</v>
      </c>
      <c r="J456" s="22" t="s">
        <v>558</v>
      </c>
    </row>
    <row r="457" spans="2:10" x14ac:dyDescent="0.2">
      <c r="B457" s="22">
        <v>453</v>
      </c>
      <c r="C457" s="23" t="s">
        <v>12683</v>
      </c>
      <c r="D457" s="23" t="s">
        <v>1377</v>
      </c>
      <c r="E457" s="20" t="s">
        <v>12684</v>
      </c>
      <c r="F457" s="22">
        <v>10</v>
      </c>
      <c r="G457" s="22" t="s">
        <v>12685</v>
      </c>
      <c r="H457" s="22">
        <v>10</v>
      </c>
      <c r="I457" s="25">
        <v>43231</v>
      </c>
      <c r="J457" s="22" t="s">
        <v>558</v>
      </c>
    </row>
    <row r="458" spans="2:10" x14ac:dyDescent="0.2">
      <c r="B458" s="22">
        <v>454</v>
      </c>
      <c r="C458" s="23" t="s">
        <v>12686</v>
      </c>
      <c r="D458" s="23" t="s">
        <v>12478</v>
      </c>
      <c r="E458" s="20" t="s">
        <v>12687</v>
      </c>
      <c r="F458" s="22">
        <v>16</v>
      </c>
      <c r="G458" s="22" t="s">
        <v>12688</v>
      </c>
      <c r="H458" s="22">
        <v>16</v>
      </c>
      <c r="I458" s="25">
        <v>43203</v>
      </c>
      <c r="J458" s="24">
        <v>43223</v>
      </c>
    </row>
    <row r="459" spans="2:10" x14ac:dyDescent="0.2">
      <c r="B459" s="22">
        <v>455</v>
      </c>
      <c r="C459" s="23" t="s">
        <v>12689</v>
      </c>
      <c r="D459" s="23" t="s">
        <v>1532</v>
      </c>
      <c r="E459" s="20" t="s">
        <v>12690</v>
      </c>
      <c r="F459" s="22">
        <v>1</v>
      </c>
      <c r="G459" s="22" t="s">
        <v>12691</v>
      </c>
      <c r="H459" s="22">
        <v>1</v>
      </c>
      <c r="I459" s="25">
        <v>43320</v>
      </c>
      <c r="J459" s="22" t="s">
        <v>558</v>
      </c>
    </row>
    <row r="460" spans="2:10" x14ac:dyDescent="0.2">
      <c r="B460" s="22">
        <v>456</v>
      </c>
      <c r="C460" s="23" t="s">
        <v>12692</v>
      </c>
      <c r="D460" s="23" t="s">
        <v>1043</v>
      </c>
      <c r="E460" s="20" t="s">
        <v>12693</v>
      </c>
      <c r="F460" s="22">
        <v>23</v>
      </c>
      <c r="G460" s="22" t="s">
        <v>12694</v>
      </c>
      <c r="H460" s="22">
        <v>23</v>
      </c>
      <c r="I460" s="25">
        <v>43406</v>
      </c>
      <c r="J460" s="24">
        <v>43419</v>
      </c>
    </row>
    <row r="461" spans="2:10" x14ac:dyDescent="0.2">
      <c r="B461" s="22">
        <v>457</v>
      </c>
      <c r="C461" s="23" t="s">
        <v>12695</v>
      </c>
      <c r="D461" s="23" t="s">
        <v>12696</v>
      </c>
      <c r="E461" s="20" t="s">
        <v>12697</v>
      </c>
      <c r="F461" s="22">
        <v>5</v>
      </c>
      <c r="G461" s="22" t="s">
        <v>12698</v>
      </c>
      <c r="H461" s="22">
        <v>1</v>
      </c>
      <c r="I461" s="25">
        <v>43245</v>
      </c>
      <c r="J461" s="24">
        <v>43307</v>
      </c>
    </row>
    <row r="462" spans="2:10" x14ac:dyDescent="0.2">
      <c r="B462" s="22">
        <v>458</v>
      </c>
      <c r="C462" s="23" t="s">
        <v>12699</v>
      </c>
      <c r="D462" s="23" t="s">
        <v>1213</v>
      </c>
      <c r="E462" s="20" t="s">
        <v>12700</v>
      </c>
      <c r="F462" s="22">
        <v>49</v>
      </c>
      <c r="G462" s="22" t="s">
        <v>12701</v>
      </c>
      <c r="H462" s="22">
        <v>49</v>
      </c>
      <c r="I462" s="25">
        <v>43336</v>
      </c>
      <c r="J462" s="24">
        <v>43363</v>
      </c>
    </row>
    <row r="463" spans="2:10" x14ac:dyDescent="0.2">
      <c r="B463" s="22">
        <v>459</v>
      </c>
      <c r="C463" s="23" t="s">
        <v>12702</v>
      </c>
      <c r="D463" s="23" t="s">
        <v>1594</v>
      </c>
      <c r="E463" s="20" t="s">
        <v>12703</v>
      </c>
      <c r="F463" s="22">
        <v>11</v>
      </c>
      <c r="G463" s="22" t="s">
        <v>12704</v>
      </c>
      <c r="H463" s="22">
        <v>11</v>
      </c>
      <c r="I463" s="25">
        <v>43308</v>
      </c>
      <c r="J463" s="24">
        <v>43321</v>
      </c>
    </row>
    <row r="464" spans="2:10" x14ac:dyDescent="0.2">
      <c r="B464" s="22">
        <v>460</v>
      </c>
      <c r="C464" s="23" t="s">
        <v>12705</v>
      </c>
      <c r="D464" s="23" t="s">
        <v>4383</v>
      </c>
      <c r="E464" s="20" t="s">
        <v>12706</v>
      </c>
      <c r="F464" s="22">
        <v>5</v>
      </c>
      <c r="G464" s="22" t="s">
        <v>12707</v>
      </c>
      <c r="H464" s="22">
        <v>1</v>
      </c>
      <c r="I464" s="25">
        <v>43315</v>
      </c>
      <c r="J464" s="24">
        <v>43426</v>
      </c>
    </row>
    <row r="465" spans="2:10" x14ac:dyDescent="0.2">
      <c r="B465" s="22">
        <v>461</v>
      </c>
      <c r="C465" s="23" t="s">
        <v>12708</v>
      </c>
      <c r="D465" s="23" t="s">
        <v>1294</v>
      </c>
      <c r="E465" s="20" t="s">
        <v>12709</v>
      </c>
      <c r="F465" s="22">
        <v>10</v>
      </c>
      <c r="G465" s="22" t="s">
        <v>12710</v>
      </c>
      <c r="H465" s="22">
        <v>2</v>
      </c>
      <c r="I465" s="25">
        <v>43134</v>
      </c>
      <c r="J465" s="24">
        <v>43167</v>
      </c>
    </row>
    <row r="466" spans="2:10" x14ac:dyDescent="0.2">
      <c r="B466" s="22">
        <v>462</v>
      </c>
      <c r="C466" s="23" t="s">
        <v>12711</v>
      </c>
      <c r="D466" s="23" t="s">
        <v>1572</v>
      </c>
      <c r="E466" s="20" t="s">
        <v>12712</v>
      </c>
      <c r="F466" s="22">
        <v>3</v>
      </c>
      <c r="G466" s="22" t="s">
        <v>12713</v>
      </c>
      <c r="H466" s="22">
        <v>1</v>
      </c>
      <c r="I466" s="25">
        <v>43420</v>
      </c>
      <c r="J466" s="24">
        <v>43372</v>
      </c>
    </row>
    <row r="467" spans="2:10" x14ac:dyDescent="0.2">
      <c r="B467" s="22">
        <v>463</v>
      </c>
      <c r="C467" s="23" t="s">
        <v>12714</v>
      </c>
      <c r="D467" s="23" t="s">
        <v>1804</v>
      </c>
      <c r="E467" s="20" t="s">
        <v>12715</v>
      </c>
      <c r="F467" s="22">
        <v>3</v>
      </c>
      <c r="G467" s="22" t="s">
        <v>12716</v>
      </c>
      <c r="H467" s="22">
        <v>3</v>
      </c>
      <c r="I467" s="25">
        <v>43406</v>
      </c>
      <c r="J467" s="24">
        <v>43152</v>
      </c>
    </row>
    <row r="468" spans="2:10" x14ac:dyDescent="0.2">
      <c r="B468" s="22">
        <v>464</v>
      </c>
      <c r="C468" s="23" t="s">
        <v>12717</v>
      </c>
      <c r="D468" s="23" t="s">
        <v>3627</v>
      </c>
      <c r="E468" s="20" t="s">
        <v>12718</v>
      </c>
      <c r="F468" s="22">
        <v>8</v>
      </c>
      <c r="G468" s="22" t="s">
        <v>12719</v>
      </c>
      <c r="H468" s="22">
        <v>4</v>
      </c>
      <c r="I468" s="25">
        <v>43341</v>
      </c>
      <c r="J468" s="22" t="s">
        <v>558</v>
      </c>
    </row>
    <row r="469" spans="2:10" x14ac:dyDescent="0.2">
      <c r="B469" s="22">
        <v>465</v>
      </c>
      <c r="C469" s="23" t="s">
        <v>12720</v>
      </c>
      <c r="D469" s="23" t="s">
        <v>5137</v>
      </c>
      <c r="E469" s="20" t="s">
        <v>12721</v>
      </c>
      <c r="F469" s="22">
        <v>8</v>
      </c>
      <c r="G469" s="22" t="s">
        <v>12722</v>
      </c>
      <c r="H469" s="22">
        <v>3</v>
      </c>
      <c r="I469" s="25">
        <v>43385</v>
      </c>
      <c r="J469" s="24">
        <v>43412</v>
      </c>
    </row>
    <row r="470" spans="2:10" x14ac:dyDescent="0.2">
      <c r="B470" s="22">
        <v>466</v>
      </c>
      <c r="C470" s="23" t="s">
        <v>12723</v>
      </c>
      <c r="D470" s="23" t="s">
        <v>1942</v>
      </c>
      <c r="E470" s="20" t="s">
        <v>12724</v>
      </c>
      <c r="F470" s="22">
        <v>2</v>
      </c>
      <c r="G470" s="22" t="s">
        <v>12725</v>
      </c>
      <c r="H470" s="22">
        <v>1</v>
      </c>
      <c r="I470" s="25">
        <v>43357</v>
      </c>
      <c r="J470" s="24">
        <v>43145</v>
      </c>
    </row>
    <row r="471" spans="2:10" x14ac:dyDescent="0.2">
      <c r="B471" s="22">
        <v>467</v>
      </c>
      <c r="C471" s="23" t="s">
        <v>12726</v>
      </c>
      <c r="D471" s="23" t="s">
        <v>7161</v>
      </c>
      <c r="E471" s="20" t="s">
        <v>12727</v>
      </c>
      <c r="F471" s="22">
        <v>2</v>
      </c>
      <c r="G471" s="22" t="s">
        <v>12728</v>
      </c>
      <c r="H471" s="22">
        <v>1</v>
      </c>
      <c r="I471" s="25">
        <v>43113</v>
      </c>
      <c r="J471" s="24">
        <v>43285</v>
      </c>
    </row>
    <row r="472" spans="2:10" x14ac:dyDescent="0.2">
      <c r="B472" s="22">
        <v>468</v>
      </c>
      <c r="C472" s="23" t="s">
        <v>12729</v>
      </c>
      <c r="D472" s="23" t="s">
        <v>1804</v>
      </c>
      <c r="E472" s="20" t="s">
        <v>12730</v>
      </c>
      <c r="F472" s="22">
        <v>2</v>
      </c>
      <c r="G472" s="22" t="s">
        <v>12731</v>
      </c>
      <c r="H472" s="22">
        <v>1</v>
      </c>
      <c r="I472" s="25">
        <v>43203</v>
      </c>
      <c r="J472" s="24">
        <v>43286</v>
      </c>
    </row>
    <row r="473" spans="2:10" x14ac:dyDescent="0.2">
      <c r="B473" s="22">
        <v>469</v>
      </c>
      <c r="C473" s="23" t="s">
        <v>12732</v>
      </c>
      <c r="D473" s="23" t="s">
        <v>1880</v>
      </c>
      <c r="E473" s="20" t="s">
        <v>12733</v>
      </c>
      <c r="F473" s="22">
        <v>4</v>
      </c>
      <c r="G473" s="22" t="s">
        <v>12734</v>
      </c>
      <c r="H473" s="22">
        <v>3</v>
      </c>
      <c r="I473" s="25">
        <v>43252</v>
      </c>
      <c r="J473" s="24">
        <v>43356</v>
      </c>
    </row>
    <row r="474" spans="2:10" x14ac:dyDescent="0.2">
      <c r="B474" s="22">
        <v>470</v>
      </c>
      <c r="C474" s="23" t="s">
        <v>12735</v>
      </c>
      <c r="D474" s="23" t="s">
        <v>1942</v>
      </c>
      <c r="E474" s="20" t="s">
        <v>12736</v>
      </c>
      <c r="F474" s="22">
        <v>10</v>
      </c>
      <c r="G474" s="22" t="s">
        <v>12737</v>
      </c>
      <c r="H474" s="22">
        <v>8</v>
      </c>
      <c r="I474" s="25">
        <v>43455</v>
      </c>
      <c r="J474" s="22" t="s">
        <v>558</v>
      </c>
    </row>
    <row r="475" spans="2:10" x14ac:dyDescent="0.2">
      <c r="B475" s="22">
        <v>471</v>
      </c>
      <c r="C475" s="23" t="s">
        <v>12738</v>
      </c>
      <c r="D475" s="23" t="s">
        <v>1039</v>
      </c>
      <c r="E475" s="20" t="s">
        <v>12739</v>
      </c>
      <c r="F475" s="22">
        <v>7</v>
      </c>
      <c r="G475" s="22" t="s">
        <v>12740</v>
      </c>
      <c r="H475" s="22">
        <v>2</v>
      </c>
      <c r="I475" s="25">
        <v>43392</v>
      </c>
      <c r="J475" s="24">
        <v>43426</v>
      </c>
    </row>
    <row r="476" spans="2:10" x14ac:dyDescent="0.2">
      <c r="B476" s="22">
        <v>472</v>
      </c>
      <c r="C476" s="23" t="s">
        <v>12741</v>
      </c>
      <c r="D476" s="23" t="s">
        <v>1797</v>
      </c>
      <c r="E476" s="20" t="s">
        <v>12742</v>
      </c>
      <c r="F476" s="22">
        <v>3</v>
      </c>
      <c r="G476" s="22" t="s">
        <v>12743</v>
      </c>
      <c r="H476" s="22">
        <v>3</v>
      </c>
      <c r="I476" s="25">
        <v>43141</v>
      </c>
      <c r="J476" s="24">
        <v>43181</v>
      </c>
    </row>
    <row r="477" spans="2:10" x14ac:dyDescent="0.2">
      <c r="B477" s="22">
        <v>473</v>
      </c>
      <c r="C477" s="23" t="s">
        <v>12744</v>
      </c>
      <c r="D477" s="23" t="s">
        <v>1532</v>
      </c>
      <c r="E477" s="20" t="s">
        <v>12745</v>
      </c>
      <c r="F477" s="22">
        <v>6</v>
      </c>
      <c r="G477" s="22" t="s">
        <v>12746</v>
      </c>
      <c r="H477" s="22">
        <v>1</v>
      </c>
      <c r="I477" s="25">
        <v>43413</v>
      </c>
      <c r="J477" s="24">
        <v>43173</v>
      </c>
    </row>
    <row r="478" spans="2:10" x14ac:dyDescent="0.2">
      <c r="B478" s="22">
        <v>474</v>
      </c>
      <c r="C478" s="23" t="s">
        <v>12747</v>
      </c>
      <c r="D478" s="23" t="s">
        <v>1039</v>
      </c>
      <c r="E478" s="20" t="s">
        <v>12748</v>
      </c>
      <c r="F478" s="22">
        <v>5</v>
      </c>
      <c r="G478" s="22" t="s">
        <v>12749</v>
      </c>
      <c r="H478" s="22">
        <v>3</v>
      </c>
      <c r="I478" s="25">
        <v>43168</v>
      </c>
      <c r="J478" s="22" t="s">
        <v>558</v>
      </c>
    </row>
    <row r="479" spans="2:10" x14ac:dyDescent="0.2">
      <c r="B479" s="22">
        <v>475</v>
      </c>
      <c r="C479" s="23" t="s">
        <v>12750</v>
      </c>
      <c r="D479" s="23" t="s">
        <v>1612</v>
      </c>
      <c r="E479" s="20" t="s">
        <v>12751</v>
      </c>
      <c r="F479" s="22">
        <v>4</v>
      </c>
      <c r="G479" s="22" t="s">
        <v>12752</v>
      </c>
      <c r="H479" s="22">
        <v>3</v>
      </c>
      <c r="I479" s="25">
        <v>43231</v>
      </c>
      <c r="J479" s="24">
        <v>43279</v>
      </c>
    </row>
    <row r="480" spans="2:10" x14ac:dyDescent="0.2">
      <c r="B480" s="22">
        <v>476</v>
      </c>
      <c r="C480" s="23" t="s">
        <v>12753</v>
      </c>
      <c r="D480" s="23" t="s">
        <v>1532</v>
      </c>
      <c r="E480" s="20" t="s">
        <v>12754</v>
      </c>
      <c r="F480" s="22">
        <v>2</v>
      </c>
      <c r="G480" s="22" t="s">
        <v>12755</v>
      </c>
      <c r="H480" s="22">
        <v>1</v>
      </c>
      <c r="I480" s="25">
        <v>43362</v>
      </c>
      <c r="J480" s="22" t="s">
        <v>558</v>
      </c>
    </row>
    <row r="481" spans="2:10" x14ac:dyDescent="0.2">
      <c r="B481" s="22">
        <v>477</v>
      </c>
      <c r="C481" s="23" t="s">
        <v>12756</v>
      </c>
      <c r="D481" s="23" t="s">
        <v>1804</v>
      </c>
      <c r="E481" s="20" t="s">
        <v>12757</v>
      </c>
      <c r="F481" s="22">
        <v>2</v>
      </c>
      <c r="G481" s="22" t="s">
        <v>12758</v>
      </c>
      <c r="H481" s="22">
        <v>1</v>
      </c>
      <c r="I481" s="25">
        <v>43168</v>
      </c>
      <c r="J481" s="24">
        <v>43279</v>
      </c>
    </row>
    <row r="482" spans="2:10" x14ac:dyDescent="0.2">
      <c r="B482" s="22">
        <v>478</v>
      </c>
      <c r="C482" s="23" t="s">
        <v>12759</v>
      </c>
      <c r="D482" s="23" t="s">
        <v>1559</v>
      </c>
      <c r="E482" s="20" t="s">
        <v>12760</v>
      </c>
      <c r="F482" s="22">
        <v>6</v>
      </c>
      <c r="G482" s="22" t="s">
        <v>12761</v>
      </c>
      <c r="H482" s="22">
        <v>1</v>
      </c>
      <c r="I482" s="25">
        <v>43441</v>
      </c>
      <c r="J482" s="24">
        <v>43124</v>
      </c>
    </row>
    <row r="483" spans="2:10" x14ac:dyDescent="0.2">
      <c r="B483" s="22">
        <v>479</v>
      </c>
      <c r="C483" s="23" t="s">
        <v>12762</v>
      </c>
      <c r="D483" s="23" t="s">
        <v>4580</v>
      </c>
      <c r="E483" s="20" t="s">
        <v>12763</v>
      </c>
      <c r="F483" s="22">
        <v>5</v>
      </c>
      <c r="G483" s="22" t="s">
        <v>12764</v>
      </c>
      <c r="H483" s="22">
        <v>4</v>
      </c>
      <c r="I483" s="25">
        <v>43364</v>
      </c>
      <c r="J483" s="24">
        <v>43398</v>
      </c>
    </row>
    <row r="484" spans="2:10" x14ac:dyDescent="0.2">
      <c r="B484" s="22">
        <v>480</v>
      </c>
      <c r="C484" s="23" t="s">
        <v>12765</v>
      </c>
      <c r="D484" s="23" t="s">
        <v>1594</v>
      </c>
      <c r="E484" s="20" t="s">
        <v>12766</v>
      </c>
      <c r="F484" s="22">
        <v>19</v>
      </c>
      <c r="G484" s="22" t="s">
        <v>12767</v>
      </c>
      <c r="H484" s="22">
        <v>19</v>
      </c>
      <c r="I484" s="25">
        <v>43392</v>
      </c>
      <c r="J484" s="24">
        <v>43398</v>
      </c>
    </row>
    <row r="485" spans="2:10" x14ac:dyDescent="0.2">
      <c r="B485" s="22">
        <v>481</v>
      </c>
      <c r="C485" s="23" t="s">
        <v>12768</v>
      </c>
      <c r="D485" s="23" t="s">
        <v>2051</v>
      </c>
      <c r="E485" s="20" t="s">
        <v>12769</v>
      </c>
      <c r="F485" s="22">
        <v>7</v>
      </c>
      <c r="G485" s="22" t="s">
        <v>12770</v>
      </c>
      <c r="H485" s="22">
        <v>1</v>
      </c>
      <c r="I485" s="25">
        <v>43196</v>
      </c>
      <c r="J485" s="24">
        <v>43272</v>
      </c>
    </row>
    <row r="486" spans="2:10" x14ac:dyDescent="0.2">
      <c r="B486" s="22">
        <v>482</v>
      </c>
      <c r="C486" s="23" t="s">
        <v>12771</v>
      </c>
      <c r="D486" s="23" t="s">
        <v>7161</v>
      </c>
      <c r="E486" s="20" t="s">
        <v>12772</v>
      </c>
      <c r="F486" s="22">
        <v>2</v>
      </c>
      <c r="G486" s="22" t="s">
        <v>12773</v>
      </c>
      <c r="H486" s="22">
        <v>1</v>
      </c>
      <c r="I486" s="25">
        <v>43164</v>
      </c>
      <c r="J486" s="24">
        <v>43257</v>
      </c>
    </row>
    <row r="487" spans="2:10" x14ac:dyDescent="0.2">
      <c r="B487" s="22">
        <v>483</v>
      </c>
      <c r="C487" s="23" t="s">
        <v>12774</v>
      </c>
      <c r="D487" s="23" t="s">
        <v>1135</v>
      </c>
      <c r="E487" s="20" t="s">
        <v>12775</v>
      </c>
      <c r="F487" s="22">
        <v>3</v>
      </c>
      <c r="G487" s="22" t="s">
        <v>6684</v>
      </c>
      <c r="H487" s="22">
        <v>2</v>
      </c>
      <c r="I487" s="25">
        <v>43120</v>
      </c>
      <c r="J487" s="24">
        <v>43150</v>
      </c>
    </row>
    <row r="488" spans="2:10" x14ac:dyDescent="0.2">
      <c r="B488" s="22">
        <v>484</v>
      </c>
      <c r="C488" s="23" t="s">
        <v>12776</v>
      </c>
      <c r="D488" s="23" t="s">
        <v>1532</v>
      </c>
      <c r="E488" s="20" t="s">
        <v>12777</v>
      </c>
      <c r="F488" s="22">
        <v>5</v>
      </c>
      <c r="G488" s="22" t="s">
        <v>12778</v>
      </c>
      <c r="H488" s="22">
        <v>1</v>
      </c>
      <c r="I488" s="25">
        <v>43378</v>
      </c>
      <c r="J488" s="24">
        <v>43159</v>
      </c>
    </row>
    <row r="489" spans="2:10" x14ac:dyDescent="0.2">
      <c r="B489" s="22">
        <v>485</v>
      </c>
      <c r="C489" s="23" t="s">
        <v>12779</v>
      </c>
      <c r="D489" s="23" t="s">
        <v>10648</v>
      </c>
      <c r="E489" s="20" t="s">
        <v>12780</v>
      </c>
      <c r="F489" s="22">
        <v>3</v>
      </c>
      <c r="G489" s="22" t="s">
        <v>9065</v>
      </c>
      <c r="H489" s="22">
        <v>1</v>
      </c>
      <c r="I489" s="25">
        <v>43182</v>
      </c>
      <c r="J489" s="22" t="s">
        <v>558</v>
      </c>
    </row>
    <row r="490" spans="2:10" x14ac:dyDescent="0.2">
      <c r="B490" s="22">
        <v>486</v>
      </c>
      <c r="C490" s="23" t="s">
        <v>12781</v>
      </c>
      <c r="D490" s="23" t="s">
        <v>1804</v>
      </c>
      <c r="E490" s="20" t="s">
        <v>12782</v>
      </c>
      <c r="F490" s="22">
        <v>4</v>
      </c>
      <c r="G490" s="22" t="s">
        <v>12783</v>
      </c>
      <c r="H490" s="22">
        <v>1</v>
      </c>
      <c r="I490" s="25">
        <v>43392</v>
      </c>
      <c r="J490" s="22" t="s">
        <v>558</v>
      </c>
    </row>
    <row r="491" spans="2:10" x14ac:dyDescent="0.2">
      <c r="B491" s="22">
        <v>487</v>
      </c>
      <c r="C491" s="23" t="s">
        <v>12784</v>
      </c>
      <c r="D491" s="23" t="s">
        <v>12785</v>
      </c>
      <c r="E491" s="20" t="s">
        <v>12786</v>
      </c>
      <c r="F491" s="22">
        <v>4</v>
      </c>
      <c r="G491" s="22" t="s">
        <v>8907</v>
      </c>
      <c r="H491" s="22">
        <v>4</v>
      </c>
      <c r="I491" s="25">
        <v>43161</v>
      </c>
      <c r="J491" s="22" t="s">
        <v>558</v>
      </c>
    </row>
    <row r="492" spans="2:10" x14ac:dyDescent="0.2">
      <c r="B492" s="22">
        <v>488</v>
      </c>
      <c r="C492" s="23" t="s">
        <v>12787</v>
      </c>
      <c r="D492" s="23" t="s">
        <v>12788</v>
      </c>
      <c r="E492" s="20" t="s">
        <v>12789</v>
      </c>
      <c r="F492" s="22">
        <v>3</v>
      </c>
      <c r="G492" s="22" t="s">
        <v>1159</v>
      </c>
      <c r="H492" s="22" t="s">
        <v>1159</v>
      </c>
      <c r="I492" s="25">
        <v>43175</v>
      </c>
      <c r="J492" s="22" t="s">
        <v>558</v>
      </c>
    </row>
    <row r="493" spans="2:10" x14ac:dyDescent="0.2">
      <c r="B493" s="22">
        <v>489</v>
      </c>
      <c r="C493" s="23" t="s">
        <v>12790</v>
      </c>
      <c r="D493" s="23" t="s">
        <v>1594</v>
      </c>
      <c r="E493" s="20" t="s">
        <v>12791</v>
      </c>
      <c r="F493" s="22">
        <v>11</v>
      </c>
      <c r="G493" s="22" t="s">
        <v>12792</v>
      </c>
      <c r="H493" s="22">
        <v>11</v>
      </c>
      <c r="I493" s="25">
        <v>43441</v>
      </c>
      <c r="J493" s="24">
        <v>43447</v>
      </c>
    </row>
    <row r="494" spans="2:10" x14ac:dyDescent="0.2">
      <c r="B494" s="22">
        <v>490</v>
      </c>
      <c r="C494" s="23" t="s">
        <v>12793</v>
      </c>
      <c r="D494" s="23" t="s">
        <v>1804</v>
      </c>
      <c r="E494" s="20" t="s">
        <v>12794</v>
      </c>
      <c r="F494" s="22">
        <v>3</v>
      </c>
      <c r="G494" s="22" t="s">
        <v>12795</v>
      </c>
      <c r="H494" s="22">
        <v>1</v>
      </c>
      <c r="I494" s="25">
        <v>43231</v>
      </c>
      <c r="J494" s="24">
        <v>43328</v>
      </c>
    </row>
    <row r="495" spans="2:10" x14ac:dyDescent="0.2">
      <c r="B495" s="22">
        <v>491</v>
      </c>
      <c r="C495" s="23" t="s">
        <v>12796</v>
      </c>
      <c r="D495" s="23" t="s">
        <v>1880</v>
      </c>
      <c r="E495" s="20" t="s">
        <v>12797</v>
      </c>
      <c r="F495" s="22">
        <v>5</v>
      </c>
      <c r="G495" s="22" t="s">
        <v>5132</v>
      </c>
      <c r="H495" s="22">
        <v>1</v>
      </c>
      <c r="I495" s="25">
        <v>43348</v>
      </c>
      <c r="J495" s="24">
        <v>43440</v>
      </c>
    </row>
    <row r="496" spans="2:10" x14ac:dyDescent="0.2">
      <c r="B496" s="22">
        <v>492</v>
      </c>
      <c r="C496" s="23" t="s">
        <v>12798</v>
      </c>
      <c r="D496" s="23" t="s">
        <v>5638</v>
      </c>
      <c r="E496" s="20" t="s">
        <v>12799</v>
      </c>
      <c r="F496" s="22">
        <v>61</v>
      </c>
      <c r="G496" s="22" t="s">
        <v>12799</v>
      </c>
      <c r="H496" s="22">
        <v>61</v>
      </c>
      <c r="I496" s="25">
        <v>43441</v>
      </c>
      <c r="J496" s="24">
        <v>43447</v>
      </c>
    </row>
    <row r="497" spans="2:10" x14ac:dyDescent="0.2">
      <c r="B497" s="22">
        <v>493</v>
      </c>
      <c r="C497" s="23" t="s">
        <v>12800</v>
      </c>
      <c r="D497" s="23" t="s">
        <v>5254</v>
      </c>
      <c r="E497" s="20" t="s">
        <v>12801</v>
      </c>
      <c r="F497" s="22">
        <v>12</v>
      </c>
      <c r="G497" s="22" t="s">
        <v>12802</v>
      </c>
      <c r="H497" s="22">
        <v>12</v>
      </c>
      <c r="I497" s="25">
        <v>43341</v>
      </c>
      <c r="J497" s="24">
        <v>43356</v>
      </c>
    </row>
    <row r="498" spans="2:10" x14ac:dyDescent="0.2">
      <c r="B498" s="22">
        <v>494</v>
      </c>
      <c r="C498" s="23" t="s">
        <v>12803</v>
      </c>
      <c r="D498" s="23" t="s">
        <v>1930</v>
      </c>
      <c r="E498" s="20" t="s">
        <v>12804</v>
      </c>
      <c r="F498" s="22">
        <v>2</v>
      </c>
      <c r="G498" s="22" t="s">
        <v>12805</v>
      </c>
      <c r="H498" s="22">
        <v>2</v>
      </c>
      <c r="I498" s="25">
        <v>43217</v>
      </c>
      <c r="J498" s="24">
        <v>43268</v>
      </c>
    </row>
    <row r="499" spans="2:10" x14ac:dyDescent="0.2">
      <c r="B499" s="22">
        <v>495</v>
      </c>
      <c r="C499" s="23" t="s">
        <v>12806</v>
      </c>
      <c r="D499" s="23" t="s">
        <v>1135</v>
      </c>
      <c r="E499" s="20" t="s">
        <v>12807</v>
      </c>
      <c r="F499" s="22">
        <v>3</v>
      </c>
      <c r="G499" s="22" t="s">
        <v>12808</v>
      </c>
      <c r="H499" s="22">
        <v>3</v>
      </c>
      <c r="I499" s="25">
        <v>43210</v>
      </c>
      <c r="J499" s="24">
        <v>43254</v>
      </c>
    </row>
    <row r="500" spans="2:10" x14ac:dyDescent="0.2">
      <c r="B500" s="22">
        <v>496</v>
      </c>
      <c r="C500" s="23" t="s">
        <v>12809</v>
      </c>
      <c r="D500" s="23" t="s">
        <v>4383</v>
      </c>
      <c r="E500" s="20" t="s">
        <v>12810</v>
      </c>
      <c r="F500" s="22">
        <v>2</v>
      </c>
      <c r="G500" s="22" t="s">
        <v>12811</v>
      </c>
      <c r="H500" s="22">
        <v>1</v>
      </c>
      <c r="I500" s="25">
        <v>43203</v>
      </c>
      <c r="J500" s="24">
        <v>43377</v>
      </c>
    </row>
    <row r="501" spans="2:10" x14ac:dyDescent="0.2">
      <c r="B501" s="22">
        <v>497</v>
      </c>
      <c r="C501" s="23" t="s">
        <v>12812</v>
      </c>
      <c r="D501" s="23" t="s">
        <v>12813</v>
      </c>
      <c r="E501" s="20" t="s">
        <v>12814</v>
      </c>
      <c r="F501" s="22">
        <v>1</v>
      </c>
      <c r="G501" s="22" t="s">
        <v>5123</v>
      </c>
      <c r="H501" s="22">
        <v>1</v>
      </c>
      <c r="I501" s="25">
        <v>43399</v>
      </c>
      <c r="J501" s="22" t="s">
        <v>558</v>
      </c>
    </row>
    <row r="502" spans="2:10" x14ac:dyDescent="0.2">
      <c r="B502" s="22">
        <v>498</v>
      </c>
      <c r="C502" s="23" t="s">
        <v>12815</v>
      </c>
      <c r="D502" s="23" t="s">
        <v>1142</v>
      </c>
      <c r="E502" s="20" t="s">
        <v>12816</v>
      </c>
      <c r="F502" s="22">
        <v>6</v>
      </c>
      <c r="G502" s="22" t="s">
        <v>12817</v>
      </c>
      <c r="H502" s="22">
        <v>1</v>
      </c>
      <c r="I502" s="25">
        <v>43441</v>
      </c>
      <c r="J502" s="24">
        <v>43124</v>
      </c>
    </row>
    <row r="503" spans="2:10" x14ac:dyDescent="0.2">
      <c r="B503" s="22">
        <v>499</v>
      </c>
      <c r="C503" s="23" t="s">
        <v>12818</v>
      </c>
      <c r="D503" s="23" t="s">
        <v>8799</v>
      </c>
      <c r="E503" s="20" t="s">
        <v>6317</v>
      </c>
      <c r="F503" s="22">
        <v>3</v>
      </c>
      <c r="G503" s="22" t="s">
        <v>12819</v>
      </c>
      <c r="H503" s="22">
        <v>2</v>
      </c>
      <c r="I503" s="25">
        <v>43238</v>
      </c>
      <c r="J503" s="24">
        <v>43368</v>
      </c>
    </row>
    <row r="504" spans="2:10" x14ac:dyDescent="0.2">
      <c r="B504" s="22">
        <v>500</v>
      </c>
      <c r="C504" s="23" t="s">
        <v>12820</v>
      </c>
      <c r="D504" s="23" t="s">
        <v>1159</v>
      </c>
      <c r="E504" s="20" t="s">
        <v>12821</v>
      </c>
      <c r="F504" s="22">
        <v>1</v>
      </c>
      <c r="G504" s="22" t="s">
        <v>12822</v>
      </c>
      <c r="H504" s="22">
        <v>1</v>
      </c>
      <c r="I504" s="25">
        <v>43113</v>
      </c>
      <c r="J504" s="24">
        <v>43133</v>
      </c>
    </row>
    <row r="505" spans="2:10" x14ac:dyDescent="0.2">
      <c r="B505" s="22">
        <v>501</v>
      </c>
      <c r="C505" s="23" t="s">
        <v>12823</v>
      </c>
      <c r="D505" s="23" t="s">
        <v>1142</v>
      </c>
      <c r="E505" s="20" t="s">
        <v>8733</v>
      </c>
      <c r="F505" s="22">
        <v>5</v>
      </c>
      <c r="G505" s="22" t="s">
        <v>7091</v>
      </c>
      <c r="H505" s="22">
        <v>1</v>
      </c>
      <c r="I505" s="25">
        <v>43413</v>
      </c>
      <c r="J505" s="24">
        <v>43447</v>
      </c>
    </row>
    <row r="506" spans="2:10" x14ac:dyDescent="0.2">
      <c r="B506" s="22">
        <v>502</v>
      </c>
      <c r="C506" s="23" t="s">
        <v>12824</v>
      </c>
      <c r="D506" s="23" t="s">
        <v>1880</v>
      </c>
      <c r="E506" s="20" t="s">
        <v>12825</v>
      </c>
      <c r="F506" s="22">
        <v>4</v>
      </c>
      <c r="G506" s="22" t="s">
        <v>12826</v>
      </c>
      <c r="H506" s="22">
        <v>3</v>
      </c>
      <c r="I506" s="25">
        <v>43252</v>
      </c>
      <c r="J506" s="24">
        <v>43370</v>
      </c>
    </row>
    <row r="507" spans="2:10" x14ac:dyDescent="0.2">
      <c r="B507" s="22">
        <v>503</v>
      </c>
      <c r="C507" s="23" t="s">
        <v>12827</v>
      </c>
      <c r="D507" s="23" t="s">
        <v>6519</v>
      </c>
      <c r="E507" s="20" t="s">
        <v>12828</v>
      </c>
      <c r="F507" s="22">
        <v>5</v>
      </c>
      <c r="G507" s="22" t="s">
        <v>12829</v>
      </c>
      <c r="H507" s="22">
        <v>5</v>
      </c>
      <c r="I507" s="25">
        <v>43238</v>
      </c>
      <c r="J507" s="22" t="s">
        <v>558</v>
      </c>
    </row>
    <row r="508" spans="2:10" x14ac:dyDescent="0.2">
      <c r="B508" s="22">
        <v>504</v>
      </c>
      <c r="C508" s="23" t="s">
        <v>12830</v>
      </c>
      <c r="D508" s="23" t="s">
        <v>12831</v>
      </c>
      <c r="E508" s="20" t="s">
        <v>12832</v>
      </c>
      <c r="F508" s="22">
        <v>1</v>
      </c>
      <c r="G508" s="22" t="s">
        <v>12833</v>
      </c>
      <c r="H508" s="22">
        <v>1</v>
      </c>
      <c r="I508" s="25">
        <v>43399</v>
      </c>
      <c r="J508" s="24">
        <v>43405</v>
      </c>
    </row>
    <row r="509" spans="2:10" x14ac:dyDescent="0.2">
      <c r="B509" s="22">
        <v>505</v>
      </c>
      <c r="C509" s="23" t="s">
        <v>12834</v>
      </c>
      <c r="D509" s="23" t="s">
        <v>1942</v>
      </c>
      <c r="E509" s="20" t="s">
        <v>12835</v>
      </c>
      <c r="F509" s="22">
        <v>2</v>
      </c>
      <c r="G509" s="22" t="s">
        <v>11148</v>
      </c>
      <c r="H509" s="22">
        <v>1</v>
      </c>
      <c r="I509" s="25">
        <v>43322</v>
      </c>
      <c r="J509" s="24">
        <v>43338</v>
      </c>
    </row>
    <row r="510" spans="2:10" x14ac:dyDescent="0.2">
      <c r="B510" s="22">
        <v>506</v>
      </c>
      <c r="C510" s="23" t="s">
        <v>12836</v>
      </c>
      <c r="D510" s="23" t="s">
        <v>9023</v>
      </c>
      <c r="E510" s="20" t="s">
        <v>12837</v>
      </c>
      <c r="F510" s="22">
        <v>1</v>
      </c>
      <c r="G510" s="22" t="s">
        <v>10617</v>
      </c>
      <c r="H510" s="22">
        <v>1</v>
      </c>
      <c r="I510" s="25">
        <v>43175</v>
      </c>
      <c r="J510" s="24">
        <v>43177</v>
      </c>
    </row>
    <row r="511" spans="2:10" x14ac:dyDescent="0.2">
      <c r="B511" s="22">
        <v>507</v>
      </c>
      <c r="C511" s="23" t="s">
        <v>12838</v>
      </c>
      <c r="D511" s="23" t="s">
        <v>1640</v>
      </c>
      <c r="E511" s="20" t="s">
        <v>12839</v>
      </c>
      <c r="F511" s="22">
        <v>3</v>
      </c>
      <c r="G511" s="22" t="s">
        <v>12840</v>
      </c>
      <c r="H511" s="22">
        <v>1</v>
      </c>
      <c r="I511" s="25">
        <v>43215</v>
      </c>
      <c r="J511" s="24">
        <v>43314</v>
      </c>
    </row>
    <row r="512" spans="2:10" x14ac:dyDescent="0.2">
      <c r="B512" s="22">
        <v>508</v>
      </c>
      <c r="C512" s="23" t="s">
        <v>12841</v>
      </c>
      <c r="D512" s="23" t="s">
        <v>1294</v>
      </c>
      <c r="E512" s="20" t="s">
        <v>12842</v>
      </c>
      <c r="F512" s="22">
        <v>3</v>
      </c>
      <c r="G512" s="22" t="s">
        <v>6383</v>
      </c>
      <c r="H512" s="22">
        <v>3</v>
      </c>
      <c r="I512" s="25">
        <v>43182</v>
      </c>
      <c r="J512" s="24">
        <v>43195</v>
      </c>
    </row>
    <row r="513" spans="2:10" x14ac:dyDescent="0.2">
      <c r="B513" s="22">
        <v>509</v>
      </c>
      <c r="C513" s="23" t="s">
        <v>12843</v>
      </c>
      <c r="D513" s="23" t="s">
        <v>7800</v>
      </c>
      <c r="E513" s="20" t="s">
        <v>12844</v>
      </c>
      <c r="F513" s="22">
        <v>2</v>
      </c>
      <c r="G513" s="22" t="s">
        <v>12845</v>
      </c>
      <c r="H513" s="22">
        <v>1</v>
      </c>
      <c r="I513" s="25">
        <v>43341</v>
      </c>
      <c r="J513" s="24">
        <v>43363</v>
      </c>
    </row>
    <row r="514" spans="2:10" x14ac:dyDescent="0.2">
      <c r="B514" s="22">
        <v>510</v>
      </c>
      <c r="C514" s="23" t="s">
        <v>12846</v>
      </c>
      <c r="D514" s="23" t="s">
        <v>1377</v>
      </c>
      <c r="E514" s="20" t="s">
        <v>12847</v>
      </c>
      <c r="F514" s="22">
        <v>9</v>
      </c>
      <c r="G514" s="22" t="s">
        <v>12848</v>
      </c>
      <c r="H514" s="22">
        <v>9</v>
      </c>
      <c r="I514" s="25">
        <v>43224</v>
      </c>
      <c r="J514" s="24">
        <v>43240</v>
      </c>
    </row>
    <row r="515" spans="2:10" x14ac:dyDescent="0.2">
      <c r="B515" s="22">
        <v>511</v>
      </c>
      <c r="C515" s="23" t="s">
        <v>12849</v>
      </c>
      <c r="D515" s="23" t="s">
        <v>1797</v>
      </c>
      <c r="E515" s="20" t="s">
        <v>12850</v>
      </c>
      <c r="F515" s="22">
        <v>2</v>
      </c>
      <c r="G515" s="22" t="s">
        <v>1159</v>
      </c>
      <c r="H515" s="22" t="s">
        <v>1159</v>
      </c>
      <c r="I515" s="25">
        <v>43175</v>
      </c>
      <c r="J515" s="22" t="s">
        <v>558</v>
      </c>
    </row>
    <row r="516" spans="2:10" x14ac:dyDescent="0.2">
      <c r="B516" s="22">
        <v>512</v>
      </c>
      <c r="C516" s="23" t="s">
        <v>12851</v>
      </c>
      <c r="D516" s="23" t="s">
        <v>12813</v>
      </c>
      <c r="E516" s="20" t="s">
        <v>12852</v>
      </c>
      <c r="F516" s="22">
        <v>1</v>
      </c>
      <c r="G516" s="22" t="s">
        <v>12853</v>
      </c>
      <c r="H516" s="22">
        <v>1</v>
      </c>
      <c r="I516" s="25">
        <v>43372</v>
      </c>
      <c r="J516" s="24">
        <v>43377</v>
      </c>
    </row>
    <row r="517" spans="2:10" x14ac:dyDescent="0.2">
      <c r="B517" s="22">
        <v>513</v>
      </c>
      <c r="C517" s="23" t="s">
        <v>12854</v>
      </c>
      <c r="D517" s="23" t="s">
        <v>1880</v>
      </c>
      <c r="E517" s="20" t="s">
        <v>12855</v>
      </c>
      <c r="F517" s="22">
        <v>3</v>
      </c>
      <c r="G517" s="22" t="s">
        <v>5086</v>
      </c>
      <c r="H517" s="22">
        <v>1</v>
      </c>
      <c r="I517" s="25">
        <v>43217</v>
      </c>
      <c r="J517" s="22" t="s">
        <v>558</v>
      </c>
    </row>
    <row r="518" spans="2:10" x14ac:dyDescent="0.2">
      <c r="B518" s="22">
        <v>514</v>
      </c>
      <c r="C518" s="23" t="s">
        <v>12856</v>
      </c>
      <c r="D518" s="23" t="s">
        <v>1572</v>
      </c>
      <c r="E518" s="20" t="s">
        <v>12857</v>
      </c>
      <c r="F518" s="22">
        <v>2</v>
      </c>
      <c r="G518" s="22" t="s">
        <v>12858</v>
      </c>
      <c r="H518" s="22">
        <v>2</v>
      </c>
      <c r="I518" s="25">
        <v>43334</v>
      </c>
      <c r="J518" s="24">
        <v>43349</v>
      </c>
    </row>
    <row r="519" spans="2:10" x14ac:dyDescent="0.2">
      <c r="B519" s="22">
        <v>515</v>
      </c>
      <c r="C519" s="23" t="s">
        <v>12859</v>
      </c>
      <c r="D519" s="23" t="s">
        <v>1909</v>
      </c>
      <c r="E519" s="20" t="s">
        <v>12860</v>
      </c>
      <c r="F519" s="22">
        <v>3</v>
      </c>
      <c r="G519" s="22" t="s">
        <v>9166</v>
      </c>
      <c r="H519" s="22">
        <v>3</v>
      </c>
      <c r="I519" s="25">
        <v>43141</v>
      </c>
      <c r="J519" s="24">
        <v>43181</v>
      </c>
    </row>
    <row r="520" spans="2:10" x14ac:dyDescent="0.2">
      <c r="B520" s="22">
        <v>516</v>
      </c>
      <c r="C520" s="23" t="s">
        <v>12861</v>
      </c>
      <c r="D520" s="23" t="s">
        <v>1532</v>
      </c>
      <c r="E520" s="20" t="s">
        <v>12862</v>
      </c>
      <c r="F520" s="22">
        <v>3</v>
      </c>
      <c r="G520" s="22" t="s">
        <v>12863</v>
      </c>
      <c r="H520" s="22">
        <v>2</v>
      </c>
      <c r="I520" s="25">
        <v>43294</v>
      </c>
      <c r="J520" s="24">
        <v>43103</v>
      </c>
    </row>
    <row r="521" spans="2:10" x14ac:dyDescent="0.2">
      <c r="B521" s="22">
        <v>517</v>
      </c>
      <c r="C521" s="23" t="s">
        <v>12864</v>
      </c>
      <c r="D521" s="23" t="s">
        <v>12865</v>
      </c>
      <c r="E521" s="20" t="s">
        <v>12866</v>
      </c>
      <c r="F521" s="22">
        <v>1</v>
      </c>
      <c r="G521" s="22" t="s">
        <v>12866</v>
      </c>
      <c r="H521" s="22">
        <v>1</v>
      </c>
      <c r="I521" s="25">
        <v>43399</v>
      </c>
      <c r="J521" s="24">
        <v>43405</v>
      </c>
    </row>
    <row r="522" spans="2:10" x14ac:dyDescent="0.2">
      <c r="B522" s="22">
        <v>518</v>
      </c>
      <c r="C522" s="23" t="s">
        <v>12867</v>
      </c>
      <c r="D522" s="23" t="s">
        <v>2010</v>
      </c>
      <c r="E522" s="20" t="s">
        <v>12868</v>
      </c>
      <c r="F522" s="22">
        <v>1</v>
      </c>
      <c r="G522" s="22" t="s">
        <v>5129</v>
      </c>
      <c r="H522" s="22">
        <v>1</v>
      </c>
      <c r="I522" s="25">
        <v>43229</v>
      </c>
      <c r="J522" s="22" t="s">
        <v>558</v>
      </c>
    </row>
    <row r="523" spans="2:10" x14ac:dyDescent="0.2">
      <c r="B523" s="22">
        <v>519</v>
      </c>
      <c r="C523" s="23" t="s">
        <v>12869</v>
      </c>
      <c r="D523" s="23" t="s">
        <v>12870</v>
      </c>
      <c r="E523" s="20" t="s">
        <v>12871</v>
      </c>
      <c r="F523" s="22">
        <v>1</v>
      </c>
      <c r="G523" s="22" t="s">
        <v>12872</v>
      </c>
      <c r="H523" s="22">
        <v>1</v>
      </c>
      <c r="I523" s="25">
        <v>43322</v>
      </c>
      <c r="J523" s="24">
        <v>43342</v>
      </c>
    </row>
    <row r="524" spans="2:10" x14ac:dyDescent="0.2">
      <c r="B524" s="22">
        <v>520</v>
      </c>
      <c r="C524" s="23" t="s">
        <v>12873</v>
      </c>
      <c r="D524" s="23" t="s">
        <v>1797</v>
      </c>
      <c r="E524" s="20" t="s">
        <v>12874</v>
      </c>
      <c r="F524" s="22">
        <v>2</v>
      </c>
      <c r="G524" s="22" t="s">
        <v>12875</v>
      </c>
      <c r="H524" s="22">
        <v>2</v>
      </c>
      <c r="I524" s="25">
        <v>43224</v>
      </c>
      <c r="J524" s="24">
        <v>43254</v>
      </c>
    </row>
    <row r="525" spans="2:10" x14ac:dyDescent="0.2">
      <c r="B525" s="22">
        <v>521</v>
      </c>
      <c r="C525" s="23" t="s">
        <v>12876</v>
      </c>
      <c r="D525" s="23" t="s">
        <v>2051</v>
      </c>
      <c r="E525" s="20" t="s">
        <v>12877</v>
      </c>
      <c r="F525" s="22">
        <v>6</v>
      </c>
      <c r="G525" s="22" t="s">
        <v>12878</v>
      </c>
      <c r="H525" s="22">
        <v>1</v>
      </c>
      <c r="I525" s="25">
        <v>43168</v>
      </c>
      <c r="J525" s="24">
        <v>43258</v>
      </c>
    </row>
    <row r="526" spans="2:10" x14ac:dyDescent="0.2">
      <c r="B526" s="22">
        <v>522</v>
      </c>
      <c r="C526" s="23" t="s">
        <v>12879</v>
      </c>
      <c r="D526" s="23" t="s">
        <v>1804</v>
      </c>
      <c r="E526" s="20" t="s">
        <v>12880</v>
      </c>
      <c r="F526" s="22">
        <v>2</v>
      </c>
      <c r="G526" s="22" t="s">
        <v>12881</v>
      </c>
      <c r="H526" s="22">
        <v>1</v>
      </c>
      <c r="I526" s="25">
        <v>43146</v>
      </c>
      <c r="J526" s="22" t="s">
        <v>558</v>
      </c>
    </row>
    <row r="527" spans="2:10" x14ac:dyDescent="0.2">
      <c r="B527" s="22">
        <v>523</v>
      </c>
      <c r="C527" s="23" t="s">
        <v>12882</v>
      </c>
      <c r="D527" s="23" t="s">
        <v>1213</v>
      </c>
      <c r="E527" s="20" t="s">
        <v>12883</v>
      </c>
      <c r="F527" s="22">
        <v>5</v>
      </c>
      <c r="G527" s="22" t="s">
        <v>11266</v>
      </c>
      <c r="H527" s="22">
        <v>2</v>
      </c>
      <c r="I527" s="25">
        <v>43238</v>
      </c>
      <c r="J527" s="24">
        <v>43307</v>
      </c>
    </row>
    <row r="528" spans="2:10" x14ac:dyDescent="0.2">
      <c r="B528" s="22">
        <v>524</v>
      </c>
      <c r="C528" s="23" t="s">
        <v>12884</v>
      </c>
      <c r="D528" s="23" t="s">
        <v>1804</v>
      </c>
      <c r="E528" s="20" t="s">
        <v>12885</v>
      </c>
      <c r="F528" s="22">
        <v>2</v>
      </c>
      <c r="G528" s="22" t="s">
        <v>12886</v>
      </c>
      <c r="H528" s="22">
        <v>1</v>
      </c>
      <c r="I528" s="25">
        <v>43434</v>
      </c>
      <c r="J528" s="24">
        <v>43124</v>
      </c>
    </row>
    <row r="529" spans="2:10" x14ac:dyDescent="0.2">
      <c r="B529" s="22">
        <v>525</v>
      </c>
      <c r="C529" s="23" t="s">
        <v>12887</v>
      </c>
      <c r="D529" s="23" t="s">
        <v>7800</v>
      </c>
      <c r="E529" s="20" t="s">
        <v>12888</v>
      </c>
      <c r="F529" s="22">
        <v>11</v>
      </c>
      <c r="G529" s="22" t="s">
        <v>4274</v>
      </c>
      <c r="H529" s="22">
        <v>11</v>
      </c>
      <c r="I529" s="25">
        <v>43224</v>
      </c>
      <c r="J529" s="24">
        <v>43230</v>
      </c>
    </row>
    <row r="530" spans="2:10" x14ac:dyDescent="0.2">
      <c r="B530" s="22">
        <v>526</v>
      </c>
      <c r="C530" s="23" t="s">
        <v>12889</v>
      </c>
      <c r="D530" s="23" t="s">
        <v>1142</v>
      </c>
      <c r="E530" s="20" t="s">
        <v>12890</v>
      </c>
      <c r="F530" s="22">
        <v>2</v>
      </c>
      <c r="G530" s="22" t="s">
        <v>12891</v>
      </c>
      <c r="H530" s="22">
        <v>1</v>
      </c>
      <c r="I530" s="25">
        <v>43441</v>
      </c>
      <c r="J530" s="24">
        <v>43159</v>
      </c>
    </row>
    <row r="531" spans="2:10" x14ac:dyDescent="0.2">
      <c r="B531" s="22">
        <v>527</v>
      </c>
      <c r="C531" s="23" t="s">
        <v>12892</v>
      </c>
      <c r="D531" s="23" t="s">
        <v>1804</v>
      </c>
      <c r="E531" s="20" t="s">
        <v>12893</v>
      </c>
      <c r="F531" s="22">
        <v>10</v>
      </c>
      <c r="G531" s="22" t="s">
        <v>12894</v>
      </c>
      <c r="H531" s="22">
        <v>10</v>
      </c>
      <c r="I531" s="25">
        <v>43364</v>
      </c>
      <c r="J531" s="22" t="s">
        <v>558</v>
      </c>
    </row>
    <row r="532" spans="2:10" x14ac:dyDescent="0.2">
      <c r="B532" s="22">
        <v>528</v>
      </c>
      <c r="C532" s="23" t="s">
        <v>12895</v>
      </c>
      <c r="D532" s="23" t="s">
        <v>1797</v>
      </c>
      <c r="E532" s="20" t="s">
        <v>12896</v>
      </c>
      <c r="F532" s="22">
        <v>2</v>
      </c>
      <c r="G532" s="22" t="s">
        <v>12897</v>
      </c>
      <c r="H532" s="22">
        <v>2</v>
      </c>
      <c r="I532" s="25">
        <v>43141</v>
      </c>
      <c r="J532" s="24">
        <v>43195</v>
      </c>
    </row>
    <row r="533" spans="2:10" x14ac:dyDescent="0.2">
      <c r="B533" s="22">
        <v>529</v>
      </c>
      <c r="C533" s="23" t="s">
        <v>12898</v>
      </c>
      <c r="D533" s="23" t="s">
        <v>2051</v>
      </c>
      <c r="E533" s="20" t="s">
        <v>1914</v>
      </c>
      <c r="F533" s="22">
        <v>3</v>
      </c>
      <c r="G533" s="22" t="s">
        <v>12899</v>
      </c>
      <c r="H533" s="22">
        <v>1</v>
      </c>
      <c r="I533" s="25">
        <v>43378</v>
      </c>
      <c r="J533" s="24">
        <v>43412</v>
      </c>
    </row>
    <row r="534" spans="2:10" x14ac:dyDescent="0.2">
      <c r="B534" s="22">
        <v>530</v>
      </c>
      <c r="C534" s="23" t="s">
        <v>12900</v>
      </c>
      <c r="D534" s="23" t="s">
        <v>1043</v>
      </c>
      <c r="E534" s="20" t="s">
        <v>12901</v>
      </c>
      <c r="F534" s="22">
        <v>15</v>
      </c>
      <c r="G534" s="22" t="s">
        <v>12902</v>
      </c>
      <c r="H534" s="22">
        <v>15</v>
      </c>
      <c r="I534" s="25">
        <v>43301</v>
      </c>
      <c r="J534" s="24">
        <v>43314</v>
      </c>
    </row>
    <row r="535" spans="2:10" x14ac:dyDescent="0.2">
      <c r="B535" s="22">
        <v>531</v>
      </c>
      <c r="C535" s="23" t="s">
        <v>12903</v>
      </c>
      <c r="D535" s="23" t="s">
        <v>12904</v>
      </c>
      <c r="E535" s="20" t="s">
        <v>12905</v>
      </c>
      <c r="F535" s="22">
        <v>2</v>
      </c>
      <c r="G535" s="22" t="s">
        <v>12906</v>
      </c>
      <c r="H535" s="22">
        <v>2</v>
      </c>
      <c r="I535" s="25">
        <v>43203</v>
      </c>
      <c r="J535" s="22" t="s">
        <v>558</v>
      </c>
    </row>
    <row r="536" spans="2:10" x14ac:dyDescent="0.2">
      <c r="B536" s="22">
        <v>532</v>
      </c>
      <c r="C536" s="23" t="s">
        <v>12907</v>
      </c>
      <c r="D536" s="23" t="s">
        <v>1175</v>
      </c>
      <c r="E536" s="20" t="s">
        <v>12908</v>
      </c>
      <c r="F536" s="22">
        <v>2</v>
      </c>
      <c r="G536" s="22" t="s">
        <v>12909</v>
      </c>
      <c r="H536" s="22">
        <v>1</v>
      </c>
      <c r="I536" s="25">
        <v>43385</v>
      </c>
      <c r="J536" s="24">
        <v>43433</v>
      </c>
    </row>
    <row r="537" spans="2:10" x14ac:dyDescent="0.2">
      <c r="B537" s="22">
        <v>533</v>
      </c>
      <c r="C537" s="23" t="s">
        <v>12910</v>
      </c>
      <c r="D537" s="23" t="s">
        <v>5254</v>
      </c>
      <c r="E537" s="20" t="s">
        <v>12911</v>
      </c>
      <c r="F537" s="22">
        <v>11</v>
      </c>
      <c r="G537" s="22" t="s">
        <v>12912</v>
      </c>
      <c r="H537" s="22">
        <v>11</v>
      </c>
      <c r="I537" s="25">
        <v>43434</v>
      </c>
      <c r="J537" s="24">
        <v>43440</v>
      </c>
    </row>
    <row r="538" spans="2:10" x14ac:dyDescent="0.2">
      <c r="B538" s="22">
        <v>534</v>
      </c>
      <c r="C538" s="23" t="s">
        <v>12913</v>
      </c>
      <c r="D538" s="23" t="s">
        <v>2254</v>
      </c>
      <c r="E538" s="20" t="s">
        <v>12914</v>
      </c>
      <c r="F538" s="22">
        <v>5</v>
      </c>
      <c r="G538" s="22" t="s">
        <v>12914</v>
      </c>
      <c r="H538" s="22">
        <v>5</v>
      </c>
      <c r="I538" s="25">
        <v>43238</v>
      </c>
      <c r="J538" s="24">
        <v>43240</v>
      </c>
    </row>
    <row r="539" spans="2:10" x14ac:dyDescent="0.2">
      <c r="B539" s="22">
        <v>535</v>
      </c>
      <c r="C539" s="23" t="s">
        <v>12915</v>
      </c>
      <c r="D539" s="23" t="s">
        <v>1880</v>
      </c>
      <c r="E539" s="20" t="s">
        <v>12916</v>
      </c>
      <c r="F539" s="22">
        <v>2</v>
      </c>
      <c r="G539" s="22" t="s">
        <v>12917</v>
      </c>
      <c r="H539" s="22">
        <v>1</v>
      </c>
      <c r="I539" s="25">
        <v>43238</v>
      </c>
      <c r="J539" s="24">
        <v>43293</v>
      </c>
    </row>
    <row r="540" spans="2:10" x14ac:dyDescent="0.2">
      <c r="B540" s="22">
        <v>536</v>
      </c>
      <c r="C540" s="23" t="s">
        <v>12918</v>
      </c>
      <c r="D540" s="23" t="s">
        <v>7161</v>
      </c>
      <c r="E540" s="20" t="s">
        <v>12919</v>
      </c>
      <c r="F540" s="22">
        <v>1</v>
      </c>
      <c r="G540" s="22" t="s">
        <v>9338</v>
      </c>
      <c r="H540" s="22">
        <v>1</v>
      </c>
      <c r="I540" s="25">
        <v>43259</v>
      </c>
      <c r="J540" s="22" t="s">
        <v>558</v>
      </c>
    </row>
    <row r="541" spans="2:10" x14ac:dyDescent="0.2">
      <c r="B541" s="22">
        <v>537</v>
      </c>
      <c r="C541" s="23" t="s">
        <v>12920</v>
      </c>
      <c r="D541" s="23" t="s">
        <v>2270</v>
      </c>
      <c r="E541" s="20" t="s">
        <v>12921</v>
      </c>
      <c r="F541" s="22">
        <v>1</v>
      </c>
      <c r="G541" s="22" t="s">
        <v>12922</v>
      </c>
      <c r="H541" s="22">
        <v>1</v>
      </c>
      <c r="I541" s="25">
        <v>43385</v>
      </c>
      <c r="J541" s="24">
        <v>43419</v>
      </c>
    </row>
    <row r="542" spans="2:10" x14ac:dyDescent="0.2">
      <c r="B542" s="22">
        <v>538</v>
      </c>
      <c r="C542" s="23" t="s">
        <v>12923</v>
      </c>
      <c r="D542" s="23" t="s">
        <v>12924</v>
      </c>
      <c r="E542" s="20" t="s">
        <v>12925</v>
      </c>
      <c r="F542" s="22">
        <v>3</v>
      </c>
      <c r="G542" s="22" t="s">
        <v>12926</v>
      </c>
      <c r="H542" s="22">
        <v>1</v>
      </c>
      <c r="I542" s="25">
        <v>43252</v>
      </c>
      <c r="J542" s="24">
        <v>43279</v>
      </c>
    </row>
    <row r="543" spans="2:10" x14ac:dyDescent="0.2">
      <c r="B543" s="22">
        <v>539</v>
      </c>
      <c r="C543" s="23" t="s">
        <v>12927</v>
      </c>
      <c r="D543" s="23" t="s">
        <v>8353</v>
      </c>
      <c r="E543" s="20" t="s">
        <v>12928</v>
      </c>
      <c r="F543" s="22">
        <v>5</v>
      </c>
      <c r="G543" s="22" t="s">
        <v>12929</v>
      </c>
      <c r="H543" s="22">
        <v>2</v>
      </c>
      <c r="I543" s="25">
        <v>43364</v>
      </c>
      <c r="J543" s="24">
        <v>43426</v>
      </c>
    </row>
    <row r="544" spans="2:10" x14ac:dyDescent="0.2">
      <c r="B544" s="22">
        <v>540</v>
      </c>
      <c r="C544" s="23" t="s">
        <v>12930</v>
      </c>
      <c r="D544" s="23" t="s">
        <v>2010</v>
      </c>
      <c r="E544" s="20" t="s">
        <v>12931</v>
      </c>
      <c r="F544" s="22">
        <v>2</v>
      </c>
      <c r="G544" s="22" t="s">
        <v>12932</v>
      </c>
      <c r="H544" s="22">
        <v>1</v>
      </c>
      <c r="I544" s="25">
        <v>43306</v>
      </c>
      <c r="J544" s="24">
        <v>43173</v>
      </c>
    </row>
    <row r="545" spans="2:10" x14ac:dyDescent="0.2">
      <c r="B545" s="22">
        <v>541</v>
      </c>
      <c r="C545" s="23" t="s">
        <v>12933</v>
      </c>
      <c r="D545" s="23" t="s">
        <v>1797</v>
      </c>
      <c r="E545" s="20" t="s">
        <v>12934</v>
      </c>
      <c r="F545" s="22">
        <v>2</v>
      </c>
      <c r="G545" s="22" t="s">
        <v>12935</v>
      </c>
      <c r="H545" s="22">
        <v>2</v>
      </c>
      <c r="I545" s="25">
        <v>43161</v>
      </c>
      <c r="J545" s="22" t="s">
        <v>558</v>
      </c>
    </row>
    <row r="546" spans="2:10" x14ac:dyDescent="0.2">
      <c r="B546" s="22">
        <v>542</v>
      </c>
      <c r="C546" s="23" t="s">
        <v>12936</v>
      </c>
      <c r="D546" s="23" t="s">
        <v>2010</v>
      </c>
      <c r="E546" s="20" t="s">
        <v>12937</v>
      </c>
      <c r="F546" s="22">
        <v>2</v>
      </c>
      <c r="G546" s="22" t="s">
        <v>12938</v>
      </c>
      <c r="H546" s="22">
        <v>1</v>
      </c>
      <c r="I546" s="25">
        <v>43210</v>
      </c>
      <c r="J546" s="24">
        <v>43215</v>
      </c>
    </row>
    <row r="547" spans="2:10" x14ac:dyDescent="0.2">
      <c r="B547" s="22">
        <v>543</v>
      </c>
      <c r="C547" s="23" t="s">
        <v>12939</v>
      </c>
      <c r="D547" s="23" t="s">
        <v>1576</v>
      </c>
      <c r="E547" s="20" t="s">
        <v>12940</v>
      </c>
      <c r="F547" s="22">
        <v>1</v>
      </c>
      <c r="G547" s="22" t="s">
        <v>12941</v>
      </c>
      <c r="H547" s="22">
        <v>1</v>
      </c>
      <c r="I547" s="25">
        <v>43287</v>
      </c>
      <c r="J547" s="24">
        <v>43293</v>
      </c>
    </row>
    <row r="548" spans="2:10" x14ac:dyDescent="0.2">
      <c r="B548" s="22">
        <v>544</v>
      </c>
      <c r="C548" s="23" t="s">
        <v>12942</v>
      </c>
      <c r="D548" s="23" t="s">
        <v>2010</v>
      </c>
      <c r="E548" s="20" t="s">
        <v>4254</v>
      </c>
      <c r="F548" s="22">
        <v>1</v>
      </c>
      <c r="G548" s="22" t="s">
        <v>12943</v>
      </c>
      <c r="H548" s="22">
        <v>1</v>
      </c>
      <c r="I548" s="25">
        <v>43420</v>
      </c>
      <c r="J548" s="22" t="s">
        <v>558</v>
      </c>
    </row>
    <row r="549" spans="2:10" x14ac:dyDescent="0.2">
      <c r="B549" s="22">
        <v>545</v>
      </c>
      <c r="C549" s="23" t="s">
        <v>12944</v>
      </c>
      <c r="D549" s="23" t="s">
        <v>10203</v>
      </c>
      <c r="E549" s="20" t="s">
        <v>12945</v>
      </c>
      <c r="F549" s="22">
        <v>1</v>
      </c>
      <c r="G549" s="22" t="s">
        <v>1159</v>
      </c>
      <c r="H549" s="22" t="s">
        <v>1159</v>
      </c>
      <c r="I549" s="25">
        <v>43392</v>
      </c>
      <c r="J549" s="24">
        <v>43334</v>
      </c>
    </row>
    <row r="550" spans="2:10" x14ac:dyDescent="0.2">
      <c r="B550" s="22">
        <v>546</v>
      </c>
      <c r="C550" s="23" t="s">
        <v>12946</v>
      </c>
      <c r="D550" s="23" t="s">
        <v>2051</v>
      </c>
      <c r="E550" s="20" t="s">
        <v>12947</v>
      </c>
      <c r="F550" s="22">
        <v>4</v>
      </c>
      <c r="G550" s="22" t="s">
        <v>12948</v>
      </c>
      <c r="H550" s="22">
        <v>2</v>
      </c>
      <c r="I550" s="25">
        <v>43175</v>
      </c>
      <c r="J550" s="24">
        <v>43237</v>
      </c>
    </row>
    <row r="551" spans="2:10" x14ac:dyDescent="0.2">
      <c r="B551" s="22">
        <v>547</v>
      </c>
      <c r="C551" s="23" t="s">
        <v>12949</v>
      </c>
      <c r="D551" s="23" t="s">
        <v>12950</v>
      </c>
      <c r="E551" s="20" t="s">
        <v>12951</v>
      </c>
      <c r="F551" s="22">
        <v>2</v>
      </c>
      <c r="G551" s="22" t="s">
        <v>12952</v>
      </c>
      <c r="H551" s="22">
        <v>2</v>
      </c>
      <c r="I551" s="25">
        <v>43134</v>
      </c>
      <c r="J551" s="24">
        <v>43188</v>
      </c>
    </row>
    <row r="552" spans="2:10" x14ac:dyDescent="0.2">
      <c r="B552" s="22">
        <v>548</v>
      </c>
      <c r="C552" s="23" t="s">
        <v>12953</v>
      </c>
      <c r="D552" s="23" t="s">
        <v>8234</v>
      </c>
      <c r="E552" s="20" t="s">
        <v>12954</v>
      </c>
      <c r="F552" s="22">
        <v>7</v>
      </c>
      <c r="G552" s="22" t="s">
        <v>2129</v>
      </c>
      <c r="H552" s="22">
        <v>1</v>
      </c>
      <c r="I552" s="25">
        <v>43413</v>
      </c>
      <c r="J552" s="24">
        <v>43117</v>
      </c>
    </row>
    <row r="553" spans="2:10" x14ac:dyDescent="0.2">
      <c r="B553" s="22">
        <v>549</v>
      </c>
      <c r="C553" s="23" t="s">
        <v>12955</v>
      </c>
      <c r="D553" s="23" t="s">
        <v>12956</v>
      </c>
      <c r="E553" s="20" t="s">
        <v>12957</v>
      </c>
      <c r="F553" s="22">
        <v>4</v>
      </c>
      <c r="G553" s="22" t="s">
        <v>12958</v>
      </c>
      <c r="H553" s="22">
        <v>1</v>
      </c>
      <c r="I553" s="25">
        <v>43182</v>
      </c>
      <c r="J553" s="24">
        <v>43216</v>
      </c>
    </row>
    <row r="554" spans="2:10" x14ac:dyDescent="0.2">
      <c r="B554" s="22">
        <v>550</v>
      </c>
      <c r="C554" s="23" t="s">
        <v>12959</v>
      </c>
      <c r="D554" s="23" t="s">
        <v>8799</v>
      </c>
      <c r="E554" s="20" t="s">
        <v>12960</v>
      </c>
      <c r="F554" s="22">
        <v>2</v>
      </c>
      <c r="G554" s="22" t="s">
        <v>12961</v>
      </c>
      <c r="H554" s="22">
        <v>1</v>
      </c>
      <c r="I554" s="25">
        <v>43413</v>
      </c>
      <c r="J554" s="22" t="s">
        <v>558</v>
      </c>
    </row>
    <row r="555" spans="2:10" x14ac:dyDescent="0.2">
      <c r="B555" s="22">
        <v>551</v>
      </c>
      <c r="C555" s="23" t="s">
        <v>12962</v>
      </c>
      <c r="D555" s="23" t="s">
        <v>1880</v>
      </c>
      <c r="E555" s="20" t="s">
        <v>12963</v>
      </c>
      <c r="F555" s="22">
        <v>4</v>
      </c>
      <c r="G555" s="22" t="s">
        <v>12964</v>
      </c>
      <c r="H555" s="22">
        <v>1</v>
      </c>
      <c r="I555" s="25">
        <v>43125</v>
      </c>
      <c r="J555" s="22" t="s">
        <v>558</v>
      </c>
    </row>
    <row r="556" spans="2:10" x14ac:dyDescent="0.2">
      <c r="B556" s="22">
        <v>552</v>
      </c>
      <c r="C556" s="23" t="s">
        <v>12965</v>
      </c>
      <c r="D556" s="23" t="s">
        <v>12966</v>
      </c>
      <c r="E556" s="20" t="s">
        <v>12967</v>
      </c>
      <c r="F556" s="22">
        <v>3</v>
      </c>
      <c r="G556" s="22" t="s">
        <v>12967</v>
      </c>
      <c r="H556" s="22">
        <v>3</v>
      </c>
      <c r="I556" s="25">
        <v>43106</v>
      </c>
      <c r="J556" s="22" t="s">
        <v>558</v>
      </c>
    </row>
    <row r="557" spans="2:10" x14ac:dyDescent="0.2">
      <c r="B557" s="22">
        <v>553</v>
      </c>
      <c r="C557" s="23" t="s">
        <v>12968</v>
      </c>
      <c r="D557" s="23" t="s">
        <v>1135</v>
      </c>
      <c r="E557" s="20" t="s">
        <v>12969</v>
      </c>
      <c r="F557" s="22">
        <v>5</v>
      </c>
      <c r="G557" s="22" t="s">
        <v>12970</v>
      </c>
      <c r="H557" s="22">
        <v>5</v>
      </c>
      <c r="I557" s="25">
        <v>43238</v>
      </c>
      <c r="J557" s="24">
        <v>43254</v>
      </c>
    </row>
    <row r="558" spans="2:10" x14ac:dyDescent="0.2">
      <c r="B558" s="22">
        <v>554</v>
      </c>
      <c r="C558" s="23" t="s">
        <v>12971</v>
      </c>
      <c r="D558" s="23" t="s">
        <v>1797</v>
      </c>
      <c r="E558" s="20" t="s">
        <v>12972</v>
      </c>
      <c r="F558" s="22">
        <v>2</v>
      </c>
      <c r="G558" s="22" t="s">
        <v>1159</v>
      </c>
      <c r="H558" s="22">
        <v>2</v>
      </c>
      <c r="I558" s="25">
        <v>43155</v>
      </c>
      <c r="J558" s="24">
        <v>43251</v>
      </c>
    </row>
    <row r="559" spans="2:10" x14ac:dyDescent="0.2">
      <c r="B559" s="22">
        <v>555</v>
      </c>
      <c r="C559" s="23" t="s">
        <v>12973</v>
      </c>
      <c r="D559" s="23" t="s">
        <v>6537</v>
      </c>
      <c r="E559" s="20" t="s">
        <v>12974</v>
      </c>
      <c r="F559" s="22">
        <v>3</v>
      </c>
      <c r="G559" s="22" t="s">
        <v>12975</v>
      </c>
      <c r="H559" s="22">
        <v>1</v>
      </c>
      <c r="I559" s="25">
        <v>43348</v>
      </c>
      <c r="J559" s="24">
        <v>43405</v>
      </c>
    </row>
    <row r="560" spans="2:10" x14ac:dyDescent="0.2">
      <c r="B560" s="22">
        <v>556</v>
      </c>
      <c r="C560" s="23" t="s">
        <v>12976</v>
      </c>
      <c r="D560" s="23" t="s">
        <v>1594</v>
      </c>
      <c r="E560" s="20" t="s">
        <v>12977</v>
      </c>
      <c r="F560" s="22">
        <v>2</v>
      </c>
      <c r="G560" s="22" t="s">
        <v>12978</v>
      </c>
      <c r="H560" s="22">
        <v>1</v>
      </c>
      <c r="I560" s="25">
        <v>43273</v>
      </c>
      <c r="J560" s="22" t="s">
        <v>558</v>
      </c>
    </row>
    <row r="561" spans="2:10" x14ac:dyDescent="0.2">
      <c r="B561" s="22">
        <v>557</v>
      </c>
      <c r="C561" s="23" t="s">
        <v>12979</v>
      </c>
      <c r="D561" s="23" t="s">
        <v>1930</v>
      </c>
      <c r="E561" s="20" t="s">
        <v>12214</v>
      </c>
      <c r="F561" s="22">
        <v>1</v>
      </c>
      <c r="G561" s="22" t="s">
        <v>12980</v>
      </c>
      <c r="H561" s="22">
        <v>1</v>
      </c>
      <c r="I561" s="25">
        <v>43441</v>
      </c>
      <c r="J561" s="22" t="s">
        <v>558</v>
      </c>
    </row>
    <row r="562" spans="2:10" x14ac:dyDescent="0.2">
      <c r="B562" s="22">
        <v>558</v>
      </c>
      <c r="C562" s="23" t="s">
        <v>12981</v>
      </c>
      <c r="D562" s="23" t="s">
        <v>6537</v>
      </c>
      <c r="E562" s="20" t="s">
        <v>12982</v>
      </c>
      <c r="F562" s="22">
        <v>1</v>
      </c>
      <c r="G562" s="22" t="s">
        <v>12983</v>
      </c>
      <c r="H562" s="22">
        <v>1</v>
      </c>
      <c r="I562" s="25">
        <v>43120</v>
      </c>
      <c r="J562" s="22" t="s">
        <v>558</v>
      </c>
    </row>
    <row r="563" spans="2:10" x14ac:dyDescent="0.2">
      <c r="B563" s="22">
        <v>559</v>
      </c>
      <c r="C563" s="23" t="s">
        <v>12984</v>
      </c>
      <c r="D563" s="23" t="s">
        <v>1739</v>
      </c>
      <c r="E563" s="20" t="s">
        <v>12985</v>
      </c>
      <c r="F563" s="22">
        <v>4</v>
      </c>
      <c r="G563" s="22" t="s">
        <v>12986</v>
      </c>
      <c r="H563" s="22">
        <v>1</v>
      </c>
      <c r="I563" s="25">
        <v>43376</v>
      </c>
      <c r="J563" s="24">
        <v>43110</v>
      </c>
    </row>
    <row r="564" spans="2:10" x14ac:dyDescent="0.2">
      <c r="B564" s="22">
        <v>560</v>
      </c>
      <c r="C564" s="23" t="s">
        <v>12987</v>
      </c>
      <c r="D564" s="23" t="s">
        <v>5638</v>
      </c>
      <c r="E564" s="20" t="s">
        <v>12988</v>
      </c>
      <c r="F564" s="22">
        <v>14</v>
      </c>
      <c r="G564" s="22" t="s">
        <v>12988</v>
      </c>
      <c r="H564" s="22">
        <v>14</v>
      </c>
      <c r="I564" s="25">
        <v>43434</v>
      </c>
      <c r="J564" s="24">
        <v>43436</v>
      </c>
    </row>
    <row r="565" spans="2:10" x14ac:dyDescent="0.2">
      <c r="B565" s="22">
        <v>561</v>
      </c>
      <c r="C565" s="23" t="s">
        <v>12989</v>
      </c>
      <c r="D565" s="23" t="s">
        <v>1235</v>
      </c>
      <c r="E565" s="20" t="s">
        <v>12990</v>
      </c>
      <c r="F565" s="22">
        <v>6</v>
      </c>
      <c r="G565" s="22" t="s">
        <v>12991</v>
      </c>
      <c r="H565" s="22">
        <v>6</v>
      </c>
      <c r="I565" s="25">
        <v>43120</v>
      </c>
      <c r="J565" s="24">
        <v>43126</v>
      </c>
    </row>
    <row r="566" spans="2:10" x14ac:dyDescent="0.2">
      <c r="B566" s="22">
        <v>562</v>
      </c>
      <c r="C566" s="23" t="s">
        <v>12992</v>
      </c>
      <c r="D566" s="23" t="s">
        <v>1559</v>
      </c>
      <c r="E566" s="20" t="s">
        <v>12993</v>
      </c>
      <c r="F566" s="22">
        <v>1</v>
      </c>
      <c r="G566" s="22" t="s">
        <v>12994</v>
      </c>
      <c r="H566" s="22">
        <v>1</v>
      </c>
      <c r="I566" s="25">
        <v>43369</v>
      </c>
      <c r="J566" s="24">
        <v>43377</v>
      </c>
    </row>
    <row r="567" spans="2:10" x14ac:dyDescent="0.2">
      <c r="B567" s="22">
        <v>563</v>
      </c>
      <c r="C567" s="23" t="s">
        <v>12995</v>
      </c>
      <c r="D567" s="23" t="s">
        <v>1213</v>
      </c>
      <c r="E567" s="20" t="s">
        <v>12996</v>
      </c>
      <c r="F567" s="22">
        <v>2</v>
      </c>
      <c r="G567" s="22" t="s">
        <v>6993</v>
      </c>
      <c r="H567" s="22">
        <v>1</v>
      </c>
      <c r="I567" s="25">
        <v>43245</v>
      </c>
      <c r="J567" s="24">
        <v>43272</v>
      </c>
    </row>
    <row r="568" spans="2:10" x14ac:dyDescent="0.2">
      <c r="B568" s="22">
        <v>564</v>
      </c>
      <c r="C568" s="23" t="s">
        <v>12997</v>
      </c>
      <c r="D568" s="23" t="s">
        <v>1797</v>
      </c>
      <c r="E568" s="20" t="s">
        <v>12998</v>
      </c>
      <c r="F568" s="22">
        <v>2</v>
      </c>
      <c r="G568" s="22" t="s">
        <v>12999</v>
      </c>
      <c r="H568" s="22">
        <v>1</v>
      </c>
      <c r="I568" s="25">
        <v>43441</v>
      </c>
      <c r="J568" s="22" t="s">
        <v>558</v>
      </c>
    </row>
    <row r="569" spans="2:10" x14ac:dyDescent="0.2">
      <c r="B569" s="22">
        <v>565</v>
      </c>
      <c r="C569" s="23" t="s">
        <v>13000</v>
      </c>
      <c r="D569" s="23" t="s">
        <v>1135</v>
      </c>
      <c r="E569" s="20" t="s">
        <v>13001</v>
      </c>
      <c r="F569" s="22">
        <v>5</v>
      </c>
      <c r="G569" s="22" t="s">
        <v>13001</v>
      </c>
      <c r="H569" s="22">
        <v>5</v>
      </c>
      <c r="I569" s="25">
        <v>43385</v>
      </c>
      <c r="J569" s="22" t="s">
        <v>558</v>
      </c>
    </row>
    <row r="570" spans="2:10" x14ac:dyDescent="0.2">
      <c r="B570" s="22">
        <v>566</v>
      </c>
      <c r="C570" s="23" t="s">
        <v>13002</v>
      </c>
      <c r="D570" s="23" t="s">
        <v>1572</v>
      </c>
      <c r="E570" s="20" t="s">
        <v>13003</v>
      </c>
      <c r="F570" s="22">
        <v>1</v>
      </c>
      <c r="G570" s="22" t="s">
        <v>13004</v>
      </c>
      <c r="H570" s="22">
        <v>1</v>
      </c>
      <c r="I570" s="25">
        <v>43252</v>
      </c>
      <c r="J570" s="24">
        <v>43279</v>
      </c>
    </row>
    <row r="571" spans="2:10" x14ac:dyDescent="0.2">
      <c r="B571" s="22">
        <v>567</v>
      </c>
      <c r="C571" s="23" t="s">
        <v>13005</v>
      </c>
      <c r="D571" s="23" t="s">
        <v>1640</v>
      </c>
      <c r="E571" s="20" t="s">
        <v>13006</v>
      </c>
      <c r="F571" s="22">
        <v>4</v>
      </c>
      <c r="G571" s="22" t="s">
        <v>2505</v>
      </c>
      <c r="H571" s="22">
        <v>1</v>
      </c>
      <c r="I571" s="25">
        <v>43287</v>
      </c>
      <c r="J571" s="24">
        <v>43363</v>
      </c>
    </row>
    <row r="572" spans="2:10" x14ac:dyDescent="0.2">
      <c r="B572" s="22">
        <v>568</v>
      </c>
      <c r="C572" s="23" t="s">
        <v>13007</v>
      </c>
      <c r="D572" s="23" t="s">
        <v>1797</v>
      </c>
      <c r="E572" s="20" t="s">
        <v>13008</v>
      </c>
      <c r="F572" s="22">
        <v>3</v>
      </c>
      <c r="G572" s="22" t="s">
        <v>13009</v>
      </c>
      <c r="H572" s="22">
        <v>3</v>
      </c>
      <c r="I572" s="25">
        <v>43113</v>
      </c>
      <c r="J572" s="24">
        <v>43133</v>
      </c>
    </row>
    <row r="573" spans="2:10" x14ac:dyDescent="0.2">
      <c r="B573" s="22">
        <v>569</v>
      </c>
      <c r="C573" s="23" t="s">
        <v>13010</v>
      </c>
      <c r="D573" s="23" t="s">
        <v>1377</v>
      </c>
      <c r="E573" s="20" t="s">
        <v>13011</v>
      </c>
      <c r="F573" s="22">
        <v>7</v>
      </c>
      <c r="G573" s="22" t="s">
        <v>13012</v>
      </c>
      <c r="H573" s="22">
        <v>7</v>
      </c>
      <c r="I573" s="25">
        <v>43364</v>
      </c>
      <c r="J573" s="24">
        <v>43405</v>
      </c>
    </row>
    <row r="574" spans="2:10" x14ac:dyDescent="0.2">
      <c r="B574" s="22">
        <v>570</v>
      </c>
      <c r="C574" s="23" t="s">
        <v>13013</v>
      </c>
      <c r="D574" s="23" t="s">
        <v>1532</v>
      </c>
      <c r="E574" s="20" t="s">
        <v>13014</v>
      </c>
      <c r="F574" s="22">
        <v>1</v>
      </c>
      <c r="G574" s="22" t="s">
        <v>13015</v>
      </c>
      <c r="H574" s="22">
        <v>1</v>
      </c>
      <c r="I574" s="25">
        <v>43148</v>
      </c>
      <c r="J574" s="22" t="s">
        <v>558</v>
      </c>
    </row>
    <row r="575" spans="2:10" x14ac:dyDescent="0.2">
      <c r="B575" s="22">
        <v>571</v>
      </c>
      <c r="C575" s="23" t="s">
        <v>13016</v>
      </c>
      <c r="D575" s="23" t="s">
        <v>1210</v>
      </c>
      <c r="E575" s="20" t="s">
        <v>13017</v>
      </c>
      <c r="F575" s="22">
        <v>2</v>
      </c>
      <c r="G575" s="22" t="s">
        <v>13018</v>
      </c>
      <c r="H575" s="22">
        <v>2</v>
      </c>
      <c r="I575" s="25">
        <v>43182</v>
      </c>
      <c r="J575" s="24">
        <v>43363</v>
      </c>
    </row>
    <row r="576" spans="2:10" x14ac:dyDescent="0.2">
      <c r="B576" s="22">
        <v>572</v>
      </c>
      <c r="C576" s="23" t="s">
        <v>13019</v>
      </c>
      <c r="D576" s="23" t="s">
        <v>1377</v>
      </c>
      <c r="E576" s="20" t="s">
        <v>13020</v>
      </c>
      <c r="F576" s="22">
        <v>10</v>
      </c>
      <c r="G576" s="22" t="s">
        <v>13021</v>
      </c>
      <c r="H576" s="22">
        <v>10</v>
      </c>
      <c r="I576" s="25">
        <v>43245</v>
      </c>
      <c r="J576" s="24">
        <v>43254</v>
      </c>
    </row>
    <row r="577" spans="2:10" x14ac:dyDescent="0.2">
      <c r="B577" s="22">
        <v>573</v>
      </c>
      <c r="C577" s="23" t="s">
        <v>13022</v>
      </c>
      <c r="D577" s="23" t="s">
        <v>12966</v>
      </c>
      <c r="E577" s="20" t="s">
        <v>6539</v>
      </c>
      <c r="F577" s="22">
        <v>8</v>
      </c>
      <c r="G577" s="22" t="s">
        <v>6539</v>
      </c>
      <c r="H577" s="22">
        <v>8</v>
      </c>
      <c r="I577" s="25">
        <v>43287</v>
      </c>
      <c r="J577" s="24">
        <v>43293</v>
      </c>
    </row>
    <row r="578" spans="2:10" x14ac:dyDescent="0.2">
      <c r="B578" s="22">
        <v>574</v>
      </c>
      <c r="C578" s="23" t="s">
        <v>13023</v>
      </c>
      <c r="D578" s="23" t="s">
        <v>1532</v>
      </c>
      <c r="E578" s="20" t="s">
        <v>13024</v>
      </c>
      <c r="F578" s="22">
        <v>1</v>
      </c>
      <c r="G578" s="22" t="s">
        <v>13025</v>
      </c>
      <c r="H578" s="22">
        <v>1</v>
      </c>
      <c r="I578" s="25">
        <v>43201</v>
      </c>
      <c r="J578" s="22" t="s">
        <v>558</v>
      </c>
    </row>
    <row r="579" spans="2:10" x14ac:dyDescent="0.2">
      <c r="B579" s="22">
        <v>575</v>
      </c>
      <c r="C579" s="23" t="s">
        <v>13026</v>
      </c>
      <c r="D579" s="23" t="s">
        <v>1039</v>
      </c>
      <c r="E579" s="20" t="s">
        <v>13027</v>
      </c>
      <c r="F579" s="22">
        <v>8</v>
      </c>
      <c r="G579" s="22" t="s">
        <v>13028</v>
      </c>
      <c r="H579" s="22">
        <v>8</v>
      </c>
      <c r="I579" s="25">
        <v>43350</v>
      </c>
      <c r="J579" s="24">
        <v>43377</v>
      </c>
    </row>
    <row r="580" spans="2:10" x14ac:dyDescent="0.2">
      <c r="B580" s="22">
        <v>576</v>
      </c>
      <c r="C580" s="23" t="s">
        <v>13029</v>
      </c>
      <c r="D580" s="23" t="s">
        <v>1739</v>
      </c>
      <c r="E580" s="20" t="s">
        <v>13030</v>
      </c>
      <c r="F580" s="22">
        <v>2</v>
      </c>
      <c r="G580" s="22" t="s">
        <v>13031</v>
      </c>
      <c r="H580" s="22">
        <v>1</v>
      </c>
      <c r="I580" s="25">
        <v>43118</v>
      </c>
      <c r="J580" s="24">
        <v>43140</v>
      </c>
    </row>
    <row r="581" spans="2:10" x14ac:dyDescent="0.2">
      <c r="B581" s="22">
        <v>577</v>
      </c>
      <c r="C581" s="23" t="s">
        <v>13032</v>
      </c>
      <c r="D581" s="23" t="s">
        <v>12392</v>
      </c>
      <c r="E581" s="20" t="s">
        <v>13033</v>
      </c>
      <c r="F581" s="22">
        <v>3</v>
      </c>
      <c r="G581" s="22" t="s">
        <v>13033</v>
      </c>
      <c r="H581" s="22">
        <v>3</v>
      </c>
      <c r="I581" s="25">
        <v>43378</v>
      </c>
      <c r="J581" s="22" t="s">
        <v>558</v>
      </c>
    </row>
    <row r="582" spans="2:10" x14ac:dyDescent="0.2">
      <c r="B582" s="22">
        <v>578</v>
      </c>
      <c r="C582" s="23" t="s">
        <v>13034</v>
      </c>
      <c r="D582" s="23" t="s">
        <v>13035</v>
      </c>
      <c r="E582" s="20" t="s">
        <v>13036</v>
      </c>
      <c r="F582" s="22">
        <v>1</v>
      </c>
      <c r="G582" s="22" t="s">
        <v>13037</v>
      </c>
      <c r="H582" s="22">
        <v>1</v>
      </c>
      <c r="I582" s="25">
        <v>43364</v>
      </c>
      <c r="J582" s="24">
        <v>43370</v>
      </c>
    </row>
    <row r="583" spans="2:10" x14ac:dyDescent="0.2">
      <c r="B583" s="22">
        <v>579</v>
      </c>
      <c r="C583" s="23" t="s">
        <v>13038</v>
      </c>
      <c r="D583" s="23" t="s">
        <v>1880</v>
      </c>
      <c r="E583" s="20" t="s">
        <v>13039</v>
      </c>
      <c r="F583" s="22">
        <v>1</v>
      </c>
      <c r="G583" s="22" t="s">
        <v>13040</v>
      </c>
      <c r="H583" s="22">
        <v>1</v>
      </c>
      <c r="I583" s="25">
        <v>43364</v>
      </c>
      <c r="J583" s="22" t="s">
        <v>558</v>
      </c>
    </row>
    <row r="584" spans="2:10" x14ac:dyDescent="0.2">
      <c r="B584" s="22">
        <v>580</v>
      </c>
      <c r="C584" s="23" t="s">
        <v>13041</v>
      </c>
      <c r="D584" s="23" t="s">
        <v>1572</v>
      </c>
      <c r="E584" s="20" t="s">
        <v>13042</v>
      </c>
      <c r="F584" s="22">
        <v>1</v>
      </c>
      <c r="G584" s="22" t="s">
        <v>13043</v>
      </c>
      <c r="H584" s="22">
        <v>1</v>
      </c>
      <c r="I584" s="25">
        <v>43259</v>
      </c>
      <c r="J584" s="24">
        <v>43286</v>
      </c>
    </row>
    <row r="585" spans="2:10" x14ac:dyDescent="0.2">
      <c r="B585" s="22">
        <v>581</v>
      </c>
      <c r="C585" s="23" t="s">
        <v>13044</v>
      </c>
      <c r="D585" s="23" t="s">
        <v>6519</v>
      </c>
      <c r="E585" s="20" t="s">
        <v>13045</v>
      </c>
      <c r="F585" s="22">
        <v>1</v>
      </c>
      <c r="G585" s="22" t="s">
        <v>13045</v>
      </c>
      <c r="H585" s="22">
        <v>1</v>
      </c>
      <c r="I585" s="25">
        <v>43308</v>
      </c>
      <c r="J585" s="22" t="s">
        <v>558</v>
      </c>
    </row>
    <row r="586" spans="2:10" x14ac:dyDescent="0.2">
      <c r="B586" s="22">
        <v>582</v>
      </c>
      <c r="C586" s="23" t="s">
        <v>13046</v>
      </c>
      <c r="D586" s="23" t="s">
        <v>1942</v>
      </c>
      <c r="E586" s="20" t="s">
        <v>13047</v>
      </c>
      <c r="F586" s="22">
        <v>1</v>
      </c>
      <c r="G586" s="22" t="s">
        <v>13004</v>
      </c>
      <c r="H586" s="22">
        <v>1</v>
      </c>
      <c r="I586" s="25">
        <v>43420</v>
      </c>
      <c r="J586" s="24">
        <v>43131</v>
      </c>
    </row>
    <row r="587" spans="2:10" x14ac:dyDescent="0.2">
      <c r="B587" s="22">
        <v>583</v>
      </c>
      <c r="C587" s="23" t="s">
        <v>13048</v>
      </c>
      <c r="D587" s="23" t="s">
        <v>1880</v>
      </c>
      <c r="E587" s="20" t="s">
        <v>13049</v>
      </c>
      <c r="F587" s="22">
        <v>5</v>
      </c>
      <c r="G587" s="22" t="s">
        <v>4623</v>
      </c>
      <c r="H587" s="22">
        <v>4</v>
      </c>
      <c r="I587" s="25">
        <v>43113</v>
      </c>
      <c r="J587" s="24">
        <v>43154</v>
      </c>
    </row>
    <row r="588" spans="2:10" x14ac:dyDescent="0.2">
      <c r="B588" s="22">
        <v>584</v>
      </c>
      <c r="C588" s="23" t="s">
        <v>13050</v>
      </c>
      <c r="D588" s="23" t="s">
        <v>4805</v>
      </c>
      <c r="E588" s="20" t="s">
        <v>13051</v>
      </c>
      <c r="F588" s="22">
        <v>1</v>
      </c>
      <c r="G588" s="22" t="s">
        <v>13052</v>
      </c>
      <c r="H588" s="22">
        <v>1</v>
      </c>
      <c r="I588" s="25">
        <v>43231</v>
      </c>
      <c r="J588" s="24">
        <v>43279</v>
      </c>
    </row>
    <row r="589" spans="2:10" x14ac:dyDescent="0.2">
      <c r="B589" s="22">
        <v>585</v>
      </c>
      <c r="C589" s="23" t="s">
        <v>13053</v>
      </c>
      <c r="D589" s="23" t="s">
        <v>2270</v>
      </c>
      <c r="E589" s="20" t="s">
        <v>13054</v>
      </c>
      <c r="F589" s="22">
        <v>1</v>
      </c>
      <c r="G589" s="22" t="s">
        <v>4465</v>
      </c>
      <c r="H589" s="22">
        <v>1</v>
      </c>
      <c r="I589" s="25">
        <v>43315</v>
      </c>
      <c r="J589" s="24">
        <v>43328</v>
      </c>
    </row>
    <row r="590" spans="2:10" x14ac:dyDescent="0.2">
      <c r="B590" s="22">
        <v>586</v>
      </c>
      <c r="C590" s="23" t="s">
        <v>13055</v>
      </c>
      <c r="D590" s="23" t="s">
        <v>13056</v>
      </c>
      <c r="E590" s="20" t="s">
        <v>7039</v>
      </c>
      <c r="F590" s="22">
        <v>4</v>
      </c>
      <c r="G590" s="22" t="s">
        <v>13057</v>
      </c>
      <c r="H590" s="22">
        <v>1</v>
      </c>
      <c r="I590" s="25">
        <v>43336</v>
      </c>
      <c r="J590" s="22" t="s">
        <v>558</v>
      </c>
    </row>
    <row r="591" spans="2:10" x14ac:dyDescent="0.2">
      <c r="B591" s="22">
        <v>587</v>
      </c>
      <c r="C591" s="23" t="s">
        <v>13058</v>
      </c>
      <c r="D591" s="23" t="s">
        <v>2197</v>
      </c>
      <c r="E591" s="20" t="s">
        <v>13059</v>
      </c>
      <c r="F591" s="22">
        <v>12</v>
      </c>
      <c r="G591" s="22" t="s">
        <v>13060</v>
      </c>
      <c r="H591" s="22">
        <v>12</v>
      </c>
      <c r="I591" s="25">
        <v>43259</v>
      </c>
      <c r="J591" s="24">
        <v>43262</v>
      </c>
    </row>
    <row r="592" spans="2:10" x14ac:dyDescent="0.2">
      <c r="B592" s="22">
        <v>588</v>
      </c>
      <c r="C592" s="23" t="s">
        <v>13061</v>
      </c>
      <c r="D592" s="23" t="s">
        <v>1294</v>
      </c>
      <c r="E592" s="20" t="s">
        <v>13062</v>
      </c>
      <c r="F592" s="22">
        <v>3</v>
      </c>
      <c r="G592" s="22" t="s">
        <v>13063</v>
      </c>
      <c r="H592" s="22">
        <v>1</v>
      </c>
      <c r="I592" s="25">
        <v>43161</v>
      </c>
      <c r="J592" s="24">
        <v>43181</v>
      </c>
    </row>
    <row r="593" spans="2:10" x14ac:dyDescent="0.2">
      <c r="B593" s="22">
        <v>589</v>
      </c>
      <c r="C593" s="23" t="s">
        <v>13064</v>
      </c>
      <c r="D593" s="23" t="s">
        <v>1804</v>
      </c>
      <c r="E593" s="20" t="s">
        <v>13065</v>
      </c>
      <c r="F593" s="22">
        <v>1</v>
      </c>
      <c r="G593" s="22" t="s">
        <v>11082</v>
      </c>
      <c r="H593" s="22">
        <v>1</v>
      </c>
      <c r="I593" s="25">
        <v>43315</v>
      </c>
      <c r="J593" s="24">
        <v>43328</v>
      </c>
    </row>
    <row r="594" spans="2:10" x14ac:dyDescent="0.2">
      <c r="B594" s="22">
        <v>590</v>
      </c>
      <c r="C594" s="23" t="s">
        <v>13066</v>
      </c>
      <c r="D594" s="23" t="s">
        <v>11038</v>
      </c>
      <c r="E594" s="20" t="s">
        <v>13067</v>
      </c>
      <c r="F594" s="22">
        <v>3</v>
      </c>
      <c r="G594" s="22" t="s">
        <v>13067</v>
      </c>
      <c r="H594" s="22">
        <v>3</v>
      </c>
      <c r="I594" s="25">
        <v>43217</v>
      </c>
      <c r="J594" s="24">
        <v>43219</v>
      </c>
    </row>
    <row r="595" spans="2:10" x14ac:dyDescent="0.2">
      <c r="B595" s="22">
        <v>591</v>
      </c>
      <c r="C595" s="23" t="s">
        <v>13068</v>
      </c>
      <c r="D595" s="23" t="s">
        <v>7800</v>
      </c>
      <c r="E595" s="20" t="s">
        <v>13069</v>
      </c>
      <c r="F595" s="22">
        <v>11</v>
      </c>
      <c r="G595" s="22" t="s">
        <v>13070</v>
      </c>
      <c r="H595" s="22">
        <v>11</v>
      </c>
      <c r="I595" s="25">
        <v>43315</v>
      </c>
      <c r="J595" s="24">
        <v>43321</v>
      </c>
    </row>
    <row r="596" spans="2:10" x14ac:dyDescent="0.2">
      <c r="B596" s="22">
        <v>592</v>
      </c>
      <c r="C596" s="23" t="s">
        <v>13071</v>
      </c>
      <c r="D596" s="23" t="s">
        <v>1039</v>
      </c>
      <c r="E596" s="20" t="s">
        <v>13072</v>
      </c>
      <c r="F596" s="22">
        <v>1</v>
      </c>
      <c r="G596" s="22" t="s">
        <v>8813</v>
      </c>
      <c r="H596" s="22">
        <v>1</v>
      </c>
      <c r="I596" s="25">
        <v>43106</v>
      </c>
      <c r="J596" s="22" t="s">
        <v>558</v>
      </c>
    </row>
    <row r="597" spans="2:10" x14ac:dyDescent="0.2">
      <c r="B597" s="22">
        <v>593</v>
      </c>
      <c r="C597" s="23" t="s">
        <v>13073</v>
      </c>
      <c r="D597" s="23" t="s">
        <v>1880</v>
      </c>
      <c r="E597" s="20" t="s">
        <v>13074</v>
      </c>
      <c r="F597" s="22">
        <v>2</v>
      </c>
      <c r="G597" s="22" t="s">
        <v>2184</v>
      </c>
      <c r="H597" s="22">
        <v>2</v>
      </c>
      <c r="I597" s="25">
        <v>43385</v>
      </c>
      <c r="J597" s="24">
        <v>43426</v>
      </c>
    </row>
    <row r="598" spans="2:10" x14ac:dyDescent="0.2">
      <c r="B598" s="22">
        <v>594</v>
      </c>
      <c r="C598" s="23" t="s">
        <v>13075</v>
      </c>
      <c r="D598" s="23" t="s">
        <v>1294</v>
      </c>
      <c r="E598" s="20" t="s">
        <v>13076</v>
      </c>
      <c r="F598" s="22">
        <v>1</v>
      </c>
      <c r="G598" s="22" t="s">
        <v>13077</v>
      </c>
      <c r="H598" s="22">
        <v>1</v>
      </c>
      <c r="I598" s="25">
        <v>43161</v>
      </c>
      <c r="J598" s="24">
        <v>43174</v>
      </c>
    </row>
    <row r="599" spans="2:10" x14ac:dyDescent="0.2">
      <c r="B599" s="22">
        <v>595</v>
      </c>
      <c r="C599" s="23" t="s">
        <v>13078</v>
      </c>
      <c r="D599" s="23" t="s">
        <v>1142</v>
      </c>
      <c r="E599" s="20" t="s">
        <v>13079</v>
      </c>
      <c r="F599" s="22">
        <v>3</v>
      </c>
      <c r="G599" s="22" t="s">
        <v>13080</v>
      </c>
      <c r="H599" s="22">
        <v>1</v>
      </c>
      <c r="I599" s="25">
        <v>43364</v>
      </c>
      <c r="J599" s="24">
        <v>43377</v>
      </c>
    </row>
    <row r="600" spans="2:10" x14ac:dyDescent="0.2">
      <c r="B600" s="22">
        <v>596</v>
      </c>
      <c r="C600" s="23" t="s">
        <v>13081</v>
      </c>
      <c r="D600" s="23" t="s">
        <v>10283</v>
      </c>
      <c r="E600" s="20" t="s">
        <v>13082</v>
      </c>
      <c r="F600" s="22">
        <v>2</v>
      </c>
      <c r="G600" s="22" t="s">
        <v>7091</v>
      </c>
      <c r="H600" s="22">
        <v>1</v>
      </c>
      <c r="I600" s="25">
        <v>43376</v>
      </c>
      <c r="J600" s="24">
        <v>43398</v>
      </c>
    </row>
    <row r="601" spans="2:10" x14ac:dyDescent="0.2">
      <c r="B601" s="22">
        <v>597</v>
      </c>
      <c r="C601" s="23" t="s">
        <v>13083</v>
      </c>
      <c r="D601" s="23" t="s">
        <v>1294</v>
      </c>
      <c r="E601" s="20" t="s">
        <v>13084</v>
      </c>
      <c r="F601" s="22">
        <v>2</v>
      </c>
      <c r="G601" s="22" t="s">
        <v>13085</v>
      </c>
      <c r="H601" s="22">
        <v>1</v>
      </c>
      <c r="I601" s="25">
        <v>43420</v>
      </c>
      <c r="J601" s="24">
        <v>43433</v>
      </c>
    </row>
    <row r="602" spans="2:10" x14ac:dyDescent="0.2">
      <c r="B602" s="22">
        <v>598</v>
      </c>
      <c r="C602" s="23" t="s">
        <v>13086</v>
      </c>
      <c r="D602" s="23" t="s">
        <v>6537</v>
      </c>
      <c r="E602" s="20" t="s">
        <v>13087</v>
      </c>
      <c r="F602" s="22">
        <v>1</v>
      </c>
      <c r="G602" s="22" t="s">
        <v>13088</v>
      </c>
      <c r="H602" s="22">
        <v>1</v>
      </c>
      <c r="I602" s="25">
        <v>43217</v>
      </c>
      <c r="J602" s="24">
        <v>43237</v>
      </c>
    </row>
    <row r="603" spans="2:10" x14ac:dyDescent="0.2">
      <c r="B603" s="22">
        <v>599</v>
      </c>
      <c r="C603" s="23" t="s">
        <v>13089</v>
      </c>
      <c r="D603" s="23" t="s">
        <v>1804</v>
      </c>
      <c r="E603" s="20" t="s">
        <v>10895</v>
      </c>
      <c r="F603" s="22">
        <v>1</v>
      </c>
      <c r="G603" s="22" t="s">
        <v>13090</v>
      </c>
      <c r="H603" s="22">
        <v>1</v>
      </c>
      <c r="I603" s="25">
        <v>43113</v>
      </c>
      <c r="J603" s="24">
        <v>43181</v>
      </c>
    </row>
    <row r="604" spans="2:10" x14ac:dyDescent="0.2">
      <c r="B604" s="22">
        <v>600</v>
      </c>
      <c r="C604" s="23" t="s">
        <v>13091</v>
      </c>
      <c r="D604" s="23" t="s">
        <v>1761</v>
      </c>
      <c r="E604" s="20" t="s">
        <v>13092</v>
      </c>
      <c r="F604" s="22">
        <v>1</v>
      </c>
      <c r="G604" s="22" t="s">
        <v>4422</v>
      </c>
      <c r="H604" s="22">
        <v>1</v>
      </c>
      <c r="I604" s="25">
        <v>43434</v>
      </c>
      <c r="J604" s="24">
        <v>43447</v>
      </c>
    </row>
    <row r="605" spans="2:10" x14ac:dyDescent="0.2">
      <c r="B605" s="22">
        <v>601</v>
      </c>
      <c r="C605" s="23" t="s">
        <v>13093</v>
      </c>
      <c r="D605" s="23" t="s">
        <v>1213</v>
      </c>
      <c r="E605" s="20" t="s">
        <v>13094</v>
      </c>
      <c r="F605" s="22">
        <v>2</v>
      </c>
      <c r="G605" s="22" t="s">
        <v>13095</v>
      </c>
      <c r="H605" s="22">
        <v>1</v>
      </c>
      <c r="I605" s="25">
        <v>43280</v>
      </c>
      <c r="J605" s="24">
        <v>43384</v>
      </c>
    </row>
    <row r="606" spans="2:10" x14ac:dyDescent="0.2">
      <c r="B606" s="22">
        <v>602</v>
      </c>
      <c r="C606" s="23" t="s">
        <v>13096</v>
      </c>
      <c r="D606" s="23" t="s">
        <v>8234</v>
      </c>
      <c r="E606" s="20" t="s">
        <v>13097</v>
      </c>
      <c r="F606" s="22">
        <v>1</v>
      </c>
      <c r="G606" s="22" t="s">
        <v>13098</v>
      </c>
      <c r="H606" s="22">
        <v>1</v>
      </c>
      <c r="I606" s="25">
        <v>43441</v>
      </c>
      <c r="J606" s="24">
        <v>43454</v>
      </c>
    </row>
    <row r="607" spans="2:10" x14ac:dyDescent="0.2">
      <c r="B607" s="22">
        <v>603</v>
      </c>
      <c r="C607" s="23" t="s">
        <v>13099</v>
      </c>
      <c r="D607" s="23" t="s">
        <v>1880</v>
      </c>
      <c r="E607" s="20" t="s">
        <v>13100</v>
      </c>
      <c r="F607" s="22">
        <v>1</v>
      </c>
      <c r="G607" s="22" t="s">
        <v>13101</v>
      </c>
      <c r="H607" s="22">
        <v>1</v>
      </c>
      <c r="I607" s="25">
        <v>43134</v>
      </c>
      <c r="J607" s="24">
        <v>43230</v>
      </c>
    </row>
    <row r="608" spans="2:10" x14ac:dyDescent="0.2">
      <c r="B608" s="22">
        <v>604</v>
      </c>
      <c r="C608" s="23" t="s">
        <v>13102</v>
      </c>
      <c r="D608" s="23" t="s">
        <v>1880</v>
      </c>
      <c r="E608" s="20" t="s">
        <v>13103</v>
      </c>
      <c r="F608" s="22">
        <v>1</v>
      </c>
      <c r="G608" s="22" t="s">
        <v>13104</v>
      </c>
      <c r="H608" s="22">
        <v>1</v>
      </c>
      <c r="I608" s="25">
        <v>43189</v>
      </c>
      <c r="J608" s="24">
        <v>43300</v>
      </c>
    </row>
    <row r="609" spans="2:10" x14ac:dyDescent="0.2">
      <c r="B609" s="22">
        <v>605</v>
      </c>
      <c r="C609" s="23" t="s">
        <v>13105</v>
      </c>
      <c r="D609" s="23" t="s">
        <v>1043</v>
      </c>
      <c r="E609" s="20" t="s">
        <v>13106</v>
      </c>
      <c r="F609" s="22">
        <v>3</v>
      </c>
      <c r="G609" s="22" t="s">
        <v>13107</v>
      </c>
      <c r="H609" s="22">
        <v>2</v>
      </c>
      <c r="I609" s="25">
        <v>43231</v>
      </c>
      <c r="J609" s="24">
        <v>43251</v>
      </c>
    </row>
    <row r="610" spans="2:10" x14ac:dyDescent="0.2">
      <c r="B610" s="22">
        <v>606</v>
      </c>
      <c r="C610" s="23" t="s">
        <v>13108</v>
      </c>
      <c r="D610" s="23" t="s">
        <v>1804</v>
      </c>
      <c r="E610" s="20" t="s">
        <v>13109</v>
      </c>
      <c r="F610" s="22">
        <v>2</v>
      </c>
      <c r="G610" s="22" t="s">
        <v>2673</v>
      </c>
      <c r="H610" s="22">
        <v>2</v>
      </c>
      <c r="I610" s="25">
        <v>43287</v>
      </c>
      <c r="J610" s="24">
        <v>43307</v>
      </c>
    </row>
    <row r="611" spans="2:10" x14ac:dyDescent="0.2">
      <c r="B611" s="22">
        <v>607</v>
      </c>
      <c r="C611" s="23" t="s">
        <v>13110</v>
      </c>
      <c r="D611" s="23" t="s">
        <v>13111</v>
      </c>
      <c r="E611" s="20" t="s">
        <v>9007</v>
      </c>
      <c r="F611" s="22">
        <v>1</v>
      </c>
      <c r="G611" s="22" t="s">
        <v>9007</v>
      </c>
      <c r="H611" s="22">
        <v>1</v>
      </c>
      <c r="I611" s="25">
        <v>43399</v>
      </c>
      <c r="J611" s="24">
        <v>43405</v>
      </c>
    </row>
    <row r="612" spans="2:10" x14ac:dyDescent="0.2">
      <c r="B612" s="22">
        <v>608</v>
      </c>
      <c r="C612" s="23" t="s">
        <v>13112</v>
      </c>
      <c r="D612" s="23" t="s">
        <v>2148</v>
      </c>
      <c r="E612" s="20" t="s">
        <v>13113</v>
      </c>
      <c r="F612" s="22">
        <v>1</v>
      </c>
      <c r="G612" s="22" t="s">
        <v>13114</v>
      </c>
      <c r="H612" s="22">
        <v>1</v>
      </c>
      <c r="I612" s="25">
        <v>43139</v>
      </c>
      <c r="J612" s="22" t="s">
        <v>558</v>
      </c>
    </row>
    <row r="613" spans="2:10" x14ac:dyDescent="0.2">
      <c r="B613" s="22">
        <v>609</v>
      </c>
      <c r="C613" s="23" t="s">
        <v>13115</v>
      </c>
      <c r="D613" s="23" t="s">
        <v>12621</v>
      </c>
      <c r="E613" s="20" t="s">
        <v>6690</v>
      </c>
      <c r="F613" s="22">
        <v>1</v>
      </c>
      <c r="G613" s="22" t="s">
        <v>6690</v>
      </c>
      <c r="H613" s="22">
        <v>1</v>
      </c>
      <c r="I613" s="25">
        <v>43350</v>
      </c>
      <c r="J613" s="24">
        <v>43356</v>
      </c>
    </row>
    <row r="614" spans="2:10" x14ac:dyDescent="0.2">
      <c r="B614" s="22">
        <v>610</v>
      </c>
      <c r="C614" s="23" t="s">
        <v>13116</v>
      </c>
      <c r="D614" s="23" t="s">
        <v>1183</v>
      </c>
      <c r="E614" s="20" t="s">
        <v>13117</v>
      </c>
      <c r="F614" s="22">
        <v>1</v>
      </c>
      <c r="G614" s="22" t="s">
        <v>13117</v>
      </c>
      <c r="H614" s="22">
        <v>1</v>
      </c>
      <c r="I614" s="25">
        <v>43238</v>
      </c>
      <c r="J614" s="24">
        <v>43240</v>
      </c>
    </row>
    <row r="615" spans="2:10" x14ac:dyDescent="0.2">
      <c r="B615" s="22">
        <v>611</v>
      </c>
      <c r="C615" s="23" t="s">
        <v>13118</v>
      </c>
      <c r="D615" s="23" t="s">
        <v>1797</v>
      </c>
      <c r="E615" s="20" t="s">
        <v>13119</v>
      </c>
      <c r="F615" s="22">
        <v>1</v>
      </c>
      <c r="G615" s="22" t="s">
        <v>1159</v>
      </c>
      <c r="H615" s="22">
        <v>1</v>
      </c>
      <c r="I615" s="25">
        <v>43120</v>
      </c>
      <c r="J615" s="22" t="s">
        <v>558</v>
      </c>
    </row>
    <row r="616" spans="2:10" x14ac:dyDescent="0.2">
      <c r="B616" s="22">
        <v>612</v>
      </c>
      <c r="C616" s="23" t="s">
        <v>13120</v>
      </c>
      <c r="D616" s="23" t="s">
        <v>10203</v>
      </c>
      <c r="E616" s="20" t="s">
        <v>13121</v>
      </c>
      <c r="F616" s="22">
        <v>1</v>
      </c>
      <c r="G616" s="22" t="s">
        <v>13122</v>
      </c>
      <c r="H616" s="22">
        <v>1</v>
      </c>
      <c r="I616" s="25">
        <v>43315</v>
      </c>
      <c r="J616" s="24">
        <v>43138</v>
      </c>
    </row>
    <row r="617" spans="2:10" x14ac:dyDescent="0.2">
      <c r="B617" s="22">
        <v>613</v>
      </c>
      <c r="C617" s="23" t="s">
        <v>13123</v>
      </c>
      <c r="D617" s="23" t="s">
        <v>1294</v>
      </c>
      <c r="E617" s="20" t="s">
        <v>13124</v>
      </c>
      <c r="F617" s="22">
        <v>2</v>
      </c>
      <c r="G617" s="22" t="s">
        <v>5208</v>
      </c>
      <c r="H617" s="22">
        <v>2</v>
      </c>
      <c r="I617" s="25">
        <v>43448</v>
      </c>
      <c r="J617" s="24">
        <v>43454</v>
      </c>
    </row>
    <row r="618" spans="2:10" x14ac:dyDescent="0.2">
      <c r="B618" s="22">
        <v>614</v>
      </c>
      <c r="C618" s="23" t="s">
        <v>13125</v>
      </c>
      <c r="D618" s="23" t="s">
        <v>6537</v>
      </c>
      <c r="E618" s="20" t="s">
        <v>13126</v>
      </c>
      <c r="F618" s="22">
        <v>2</v>
      </c>
      <c r="G618" s="22" t="s">
        <v>13127</v>
      </c>
      <c r="H618" s="22">
        <v>2</v>
      </c>
      <c r="I618" s="25">
        <v>43215</v>
      </c>
      <c r="J618" s="24">
        <v>43230</v>
      </c>
    </row>
    <row r="619" spans="2:10" x14ac:dyDescent="0.2">
      <c r="B619" s="22">
        <v>615</v>
      </c>
      <c r="C619" s="23" t="s">
        <v>13128</v>
      </c>
      <c r="D619" s="23" t="s">
        <v>1294</v>
      </c>
      <c r="E619" s="20" t="s">
        <v>7154</v>
      </c>
      <c r="F619" s="22">
        <v>2</v>
      </c>
      <c r="G619" s="22" t="s">
        <v>13129</v>
      </c>
      <c r="H619" s="22">
        <v>2</v>
      </c>
      <c r="I619" s="25">
        <v>43434</v>
      </c>
      <c r="J619" s="24">
        <v>43440</v>
      </c>
    </row>
    <row r="620" spans="2:10" x14ac:dyDescent="0.2">
      <c r="B620" s="22">
        <v>616</v>
      </c>
      <c r="C620" s="23" t="s">
        <v>13130</v>
      </c>
      <c r="D620" s="23" t="s">
        <v>1039</v>
      </c>
      <c r="E620" s="20" t="s">
        <v>13131</v>
      </c>
      <c r="F620" s="22">
        <v>3</v>
      </c>
      <c r="G620" s="22" t="s">
        <v>7247</v>
      </c>
      <c r="H620" s="22">
        <v>3</v>
      </c>
      <c r="I620" s="25">
        <v>43434</v>
      </c>
      <c r="J620" s="24">
        <v>43454</v>
      </c>
    </row>
    <row r="621" spans="2:10" x14ac:dyDescent="0.2">
      <c r="B621" s="22">
        <v>617</v>
      </c>
      <c r="C621" s="23" t="s">
        <v>13132</v>
      </c>
      <c r="D621" s="23" t="s">
        <v>1039</v>
      </c>
      <c r="E621" s="20" t="s">
        <v>13133</v>
      </c>
      <c r="F621" s="22">
        <v>2</v>
      </c>
      <c r="G621" s="22" t="s">
        <v>13134</v>
      </c>
      <c r="H621" s="22">
        <v>2</v>
      </c>
      <c r="I621" s="25">
        <v>43343</v>
      </c>
      <c r="J621" s="24">
        <v>43349</v>
      </c>
    </row>
    <row r="622" spans="2:10" x14ac:dyDescent="0.2">
      <c r="B622" s="22">
        <v>618</v>
      </c>
      <c r="C622" s="23" t="s">
        <v>13135</v>
      </c>
      <c r="D622" s="23" t="s">
        <v>5137</v>
      </c>
      <c r="E622" s="20" t="s">
        <v>5156</v>
      </c>
      <c r="F622" s="22">
        <v>4</v>
      </c>
      <c r="G622" s="22" t="s">
        <v>5156</v>
      </c>
      <c r="H622" s="22">
        <v>4</v>
      </c>
      <c r="I622" s="25">
        <v>43406</v>
      </c>
      <c r="J622" s="22" t="s">
        <v>558</v>
      </c>
    </row>
    <row r="623" spans="2:10" x14ac:dyDescent="0.2">
      <c r="B623" s="22">
        <v>619</v>
      </c>
      <c r="C623" s="23" t="s">
        <v>13136</v>
      </c>
      <c r="D623" s="23" t="s">
        <v>4383</v>
      </c>
      <c r="E623" s="20" t="s">
        <v>7037</v>
      </c>
      <c r="F623" s="22">
        <v>1</v>
      </c>
      <c r="G623" s="22" t="s">
        <v>13137</v>
      </c>
      <c r="H623" s="22">
        <v>1</v>
      </c>
      <c r="I623" s="25">
        <v>43210</v>
      </c>
      <c r="J623" s="24">
        <v>43216</v>
      </c>
    </row>
    <row r="624" spans="2:10" x14ac:dyDescent="0.2">
      <c r="B624" s="22">
        <v>620</v>
      </c>
      <c r="C624" s="23" t="s">
        <v>13138</v>
      </c>
      <c r="D624" s="23" t="s">
        <v>2051</v>
      </c>
      <c r="E624" s="20" t="s">
        <v>13139</v>
      </c>
      <c r="F624" s="22">
        <v>4</v>
      </c>
      <c r="G624" s="22" t="s">
        <v>6939</v>
      </c>
      <c r="H624" s="22">
        <v>1</v>
      </c>
      <c r="I624" s="25">
        <v>43371</v>
      </c>
      <c r="J624" s="22" t="s">
        <v>558</v>
      </c>
    </row>
    <row r="625" spans="2:10" x14ac:dyDescent="0.2">
      <c r="B625" s="22">
        <v>621</v>
      </c>
      <c r="C625" s="23" t="s">
        <v>13140</v>
      </c>
      <c r="D625" s="23" t="s">
        <v>2197</v>
      </c>
      <c r="E625" s="20" t="s">
        <v>13141</v>
      </c>
      <c r="F625" s="22">
        <v>10</v>
      </c>
      <c r="G625" s="22" t="s">
        <v>13142</v>
      </c>
      <c r="H625" s="22">
        <v>10</v>
      </c>
      <c r="I625" s="25">
        <v>43155</v>
      </c>
      <c r="J625" s="22" t="s">
        <v>12470</v>
      </c>
    </row>
    <row r="626" spans="2:10" x14ac:dyDescent="0.2">
      <c r="B626" s="22">
        <v>622</v>
      </c>
      <c r="C626" s="23" t="s">
        <v>13143</v>
      </c>
      <c r="D626" s="23" t="s">
        <v>1294</v>
      </c>
      <c r="E626" s="20" t="s">
        <v>13144</v>
      </c>
      <c r="F626" s="22">
        <v>2</v>
      </c>
      <c r="G626" s="22" t="s">
        <v>13145</v>
      </c>
      <c r="H626" s="22">
        <v>2</v>
      </c>
      <c r="I626" s="25">
        <v>43180</v>
      </c>
      <c r="J626" s="24">
        <v>43188</v>
      </c>
    </row>
    <row r="627" spans="2:10" x14ac:dyDescent="0.2">
      <c r="B627" s="22">
        <v>623</v>
      </c>
      <c r="C627" s="23" t="s">
        <v>13146</v>
      </c>
      <c r="D627" s="23" t="s">
        <v>2148</v>
      </c>
      <c r="E627" s="20" t="s">
        <v>13147</v>
      </c>
      <c r="F627" s="22">
        <v>2</v>
      </c>
      <c r="G627" s="22" t="s">
        <v>13148</v>
      </c>
      <c r="H627" s="22">
        <v>2</v>
      </c>
      <c r="I627" s="25">
        <v>43419</v>
      </c>
      <c r="J627" s="24">
        <v>43207</v>
      </c>
    </row>
    <row r="628" spans="2:10" x14ac:dyDescent="0.2">
      <c r="B628" s="22">
        <v>624</v>
      </c>
      <c r="C628" s="23" t="s">
        <v>13149</v>
      </c>
      <c r="D628" s="23" t="s">
        <v>1532</v>
      </c>
      <c r="E628" s="20" t="s">
        <v>4242</v>
      </c>
      <c r="F628" s="22">
        <v>2</v>
      </c>
      <c r="G628" s="22" t="s">
        <v>13150</v>
      </c>
      <c r="H628" s="22">
        <v>1</v>
      </c>
      <c r="I628" s="25">
        <v>43343</v>
      </c>
      <c r="J628" s="24">
        <v>43159</v>
      </c>
    </row>
    <row r="629" spans="2:10" x14ac:dyDescent="0.2">
      <c r="B629" s="22">
        <v>625</v>
      </c>
      <c r="C629" s="23" t="s">
        <v>13151</v>
      </c>
      <c r="D629" s="23" t="s">
        <v>6537</v>
      </c>
      <c r="E629" s="20" t="s">
        <v>13152</v>
      </c>
      <c r="F629" s="22">
        <v>1</v>
      </c>
      <c r="G629" s="22" t="s">
        <v>13152</v>
      </c>
      <c r="H629" s="22">
        <v>1</v>
      </c>
      <c r="I629" s="25">
        <v>43113</v>
      </c>
      <c r="J629" s="24">
        <v>43119</v>
      </c>
    </row>
    <row r="630" spans="2:10" x14ac:dyDescent="0.2">
      <c r="B630" s="22">
        <v>626</v>
      </c>
      <c r="C630" s="23" t="s">
        <v>13153</v>
      </c>
      <c r="D630" s="23" t="s">
        <v>1880</v>
      </c>
      <c r="E630" s="20" t="s">
        <v>13154</v>
      </c>
      <c r="F630" s="22">
        <v>1</v>
      </c>
      <c r="G630" s="22" t="s">
        <v>2138</v>
      </c>
      <c r="H630" s="22">
        <v>1</v>
      </c>
      <c r="I630" s="25">
        <v>43161</v>
      </c>
      <c r="J630" s="24">
        <v>43237</v>
      </c>
    </row>
    <row r="631" spans="2:10" x14ac:dyDescent="0.2">
      <c r="B631" s="22">
        <v>627</v>
      </c>
      <c r="C631" s="23" t="s">
        <v>13155</v>
      </c>
      <c r="D631" s="23" t="s">
        <v>1532</v>
      </c>
      <c r="E631" s="20" t="s">
        <v>13156</v>
      </c>
      <c r="F631" s="22">
        <v>1</v>
      </c>
      <c r="G631" s="22" t="s">
        <v>1159</v>
      </c>
      <c r="H631" s="22" t="s">
        <v>1159</v>
      </c>
      <c r="I631" s="25">
        <v>43441</v>
      </c>
      <c r="J631" s="22" t="s">
        <v>558</v>
      </c>
    </row>
    <row r="632" spans="2:10" x14ac:dyDescent="0.2">
      <c r="B632" s="22">
        <v>628</v>
      </c>
      <c r="C632" s="23" t="s">
        <v>13157</v>
      </c>
      <c r="D632" s="23" t="s">
        <v>1294</v>
      </c>
      <c r="E632" s="20" t="s">
        <v>13158</v>
      </c>
      <c r="F632" s="22">
        <v>2</v>
      </c>
      <c r="G632" s="22" t="s">
        <v>13159</v>
      </c>
      <c r="H632" s="22">
        <v>2</v>
      </c>
      <c r="I632" s="25">
        <v>43210</v>
      </c>
      <c r="J632" s="24">
        <v>43219</v>
      </c>
    </row>
    <row r="633" spans="2:10" x14ac:dyDescent="0.2">
      <c r="B633" s="22">
        <v>629</v>
      </c>
      <c r="C633" s="23" t="s">
        <v>13160</v>
      </c>
      <c r="D633" s="23" t="s">
        <v>1532</v>
      </c>
      <c r="E633" s="20" t="s">
        <v>13161</v>
      </c>
      <c r="F633" s="22">
        <v>1</v>
      </c>
      <c r="G633" s="22" t="s">
        <v>13162</v>
      </c>
      <c r="H633" s="22">
        <v>1</v>
      </c>
      <c r="I633" s="25">
        <v>43315</v>
      </c>
      <c r="J633" s="24">
        <v>43208</v>
      </c>
    </row>
    <row r="634" spans="2:10" x14ac:dyDescent="0.2">
      <c r="B634" s="22">
        <v>630</v>
      </c>
      <c r="C634" s="23" t="s">
        <v>13163</v>
      </c>
      <c r="D634" s="23" t="s">
        <v>13164</v>
      </c>
      <c r="E634" s="20" t="s">
        <v>13165</v>
      </c>
      <c r="F634" s="22">
        <v>1</v>
      </c>
      <c r="G634" s="22" t="s">
        <v>13165</v>
      </c>
      <c r="H634" s="22">
        <v>1</v>
      </c>
      <c r="I634" s="25">
        <v>43190</v>
      </c>
      <c r="J634" s="24">
        <v>43191</v>
      </c>
    </row>
    <row r="635" spans="2:10" x14ac:dyDescent="0.2">
      <c r="B635" s="22">
        <v>631</v>
      </c>
      <c r="C635" s="23" t="s">
        <v>13166</v>
      </c>
      <c r="D635" s="23" t="s">
        <v>13167</v>
      </c>
      <c r="E635" s="20" t="s">
        <v>13168</v>
      </c>
      <c r="F635" s="22">
        <v>10</v>
      </c>
      <c r="G635" s="22" t="s">
        <v>9093</v>
      </c>
      <c r="H635" s="22">
        <v>10</v>
      </c>
      <c r="I635" s="25">
        <v>43399</v>
      </c>
      <c r="J635" s="24">
        <v>43405</v>
      </c>
    </row>
    <row r="636" spans="2:10" x14ac:dyDescent="0.2">
      <c r="B636" s="22">
        <v>632</v>
      </c>
      <c r="C636" s="23" t="s">
        <v>13169</v>
      </c>
      <c r="D636" s="23" t="s">
        <v>10648</v>
      </c>
      <c r="E636" s="20" t="s">
        <v>13170</v>
      </c>
      <c r="F636" s="22">
        <v>1</v>
      </c>
      <c r="G636" s="22" t="s">
        <v>13171</v>
      </c>
      <c r="H636" s="22">
        <v>1</v>
      </c>
      <c r="I636" s="25">
        <v>43350</v>
      </c>
      <c r="J636" s="24">
        <v>43356</v>
      </c>
    </row>
    <row r="637" spans="2:10" x14ac:dyDescent="0.2">
      <c r="B637" s="22">
        <v>633</v>
      </c>
      <c r="C637" s="23" t="s">
        <v>13172</v>
      </c>
      <c r="D637" s="23" t="s">
        <v>1572</v>
      </c>
      <c r="E637" s="20" t="s">
        <v>13173</v>
      </c>
      <c r="F637" s="22">
        <v>1</v>
      </c>
      <c r="G637" s="22" t="s">
        <v>13090</v>
      </c>
      <c r="H637" s="22">
        <v>1</v>
      </c>
      <c r="I637" s="25">
        <v>43336</v>
      </c>
      <c r="J637" s="24">
        <v>43342</v>
      </c>
    </row>
    <row r="638" spans="2:10" x14ac:dyDescent="0.2">
      <c r="B638" s="22">
        <v>634</v>
      </c>
      <c r="C638" s="23" t="s">
        <v>13174</v>
      </c>
      <c r="D638" s="23" t="s">
        <v>1294</v>
      </c>
      <c r="E638" s="20" t="s">
        <v>13175</v>
      </c>
      <c r="F638" s="22">
        <v>3</v>
      </c>
      <c r="G638" s="22" t="s">
        <v>13176</v>
      </c>
      <c r="H638" s="22">
        <v>1</v>
      </c>
      <c r="I638" s="25">
        <v>43111</v>
      </c>
      <c r="J638" s="24">
        <v>43126</v>
      </c>
    </row>
    <row r="639" spans="2:10" x14ac:dyDescent="0.2">
      <c r="B639" s="22">
        <v>635</v>
      </c>
      <c r="C639" s="23" t="s">
        <v>13177</v>
      </c>
      <c r="D639" s="23" t="s">
        <v>1804</v>
      </c>
      <c r="E639" s="20" t="s">
        <v>13178</v>
      </c>
      <c r="F639" s="22">
        <v>1</v>
      </c>
      <c r="G639" s="22" t="s">
        <v>12935</v>
      </c>
      <c r="H639" s="22">
        <v>1</v>
      </c>
      <c r="I639" s="25">
        <v>43148</v>
      </c>
      <c r="J639" s="24">
        <v>43174</v>
      </c>
    </row>
    <row r="640" spans="2:10" x14ac:dyDescent="0.2">
      <c r="B640" s="22">
        <v>636</v>
      </c>
      <c r="C640" s="23" t="s">
        <v>13179</v>
      </c>
      <c r="D640" s="23" t="s">
        <v>5254</v>
      </c>
      <c r="E640" s="20" t="s">
        <v>4690</v>
      </c>
      <c r="F640" s="22">
        <v>1</v>
      </c>
      <c r="G640" s="22" t="s">
        <v>13180</v>
      </c>
      <c r="H640" s="22">
        <v>1</v>
      </c>
      <c r="I640" s="25">
        <v>43406</v>
      </c>
      <c r="J640" s="24">
        <v>43419</v>
      </c>
    </row>
    <row r="641" spans="2:10" x14ac:dyDescent="0.2">
      <c r="B641" s="22">
        <v>637</v>
      </c>
      <c r="C641" s="23" t="s">
        <v>13181</v>
      </c>
      <c r="D641" s="23" t="s">
        <v>6537</v>
      </c>
      <c r="E641" s="20" t="s">
        <v>13182</v>
      </c>
      <c r="F641" s="22">
        <v>2</v>
      </c>
      <c r="G641" s="22" t="s">
        <v>13183</v>
      </c>
      <c r="H641" s="22">
        <v>2</v>
      </c>
      <c r="I641" s="25">
        <v>43231</v>
      </c>
      <c r="J641" s="22" t="s">
        <v>558</v>
      </c>
    </row>
    <row r="642" spans="2:10" x14ac:dyDescent="0.2">
      <c r="B642" s="22">
        <v>638</v>
      </c>
      <c r="C642" s="23" t="s">
        <v>13184</v>
      </c>
      <c r="D642" s="23" t="s">
        <v>8711</v>
      </c>
      <c r="E642" s="20" t="s">
        <v>5178</v>
      </c>
      <c r="F642" s="22">
        <v>2</v>
      </c>
      <c r="G642" s="22" t="s">
        <v>13185</v>
      </c>
      <c r="H642" s="22">
        <v>2</v>
      </c>
      <c r="I642" s="25">
        <v>43322</v>
      </c>
      <c r="J642" s="22" t="s">
        <v>558</v>
      </c>
    </row>
    <row r="643" spans="2:10" x14ac:dyDescent="0.2">
      <c r="B643" s="22">
        <v>639</v>
      </c>
      <c r="C643" s="23" t="s">
        <v>13186</v>
      </c>
      <c r="D643" s="23" t="s">
        <v>12870</v>
      </c>
      <c r="E643" s="20" t="s">
        <v>13187</v>
      </c>
      <c r="F643" s="22">
        <v>2</v>
      </c>
      <c r="G643" s="22" t="s">
        <v>13187</v>
      </c>
      <c r="H643" s="22">
        <v>2</v>
      </c>
      <c r="I643" s="25">
        <v>43168</v>
      </c>
      <c r="J643" s="24">
        <v>43170</v>
      </c>
    </row>
    <row r="644" spans="2:10" x14ac:dyDescent="0.2">
      <c r="B644" s="22">
        <v>640</v>
      </c>
      <c r="C644" s="23" t="s">
        <v>13188</v>
      </c>
      <c r="D644" s="23" t="s">
        <v>1294</v>
      </c>
      <c r="E644" s="20" t="s">
        <v>13189</v>
      </c>
      <c r="F644" s="22">
        <v>2</v>
      </c>
      <c r="G644" s="22" t="s">
        <v>13190</v>
      </c>
      <c r="H644" s="22">
        <v>2</v>
      </c>
      <c r="I644" s="25">
        <v>43196</v>
      </c>
      <c r="J644" s="24">
        <v>43202</v>
      </c>
    </row>
    <row r="645" spans="2:10" x14ac:dyDescent="0.2">
      <c r="B645" s="22">
        <v>641</v>
      </c>
      <c r="C645" s="23" t="s">
        <v>13191</v>
      </c>
      <c r="D645" s="23" t="s">
        <v>1294</v>
      </c>
      <c r="E645" s="20" t="s">
        <v>13171</v>
      </c>
      <c r="F645" s="22">
        <v>3</v>
      </c>
      <c r="G645" s="22" t="s">
        <v>5236</v>
      </c>
      <c r="H645" s="22">
        <v>3</v>
      </c>
      <c r="I645" s="25">
        <v>43364</v>
      </c>
      <c r="J645" s="24">
        <v>43370</v>
      </c>
    </row>
    <row r="646" spans="2:10" x14ac:dyDescent="0.2">
      <c r="B646" s="22">
        <v>642</v>
      </c>
      <c r="C646" s="23" t="s">
        <v>13192</v>
      </c>
      <c r="D646" s="23" t="s">
        <v>1294</v>
      </c>
      <c r="E646" s="20" t="s">
        <v>13193</v>
      </c>
      <c r="F646" s="22">
        <v>1</v>
      </c>
      <c r="G646" s="22" t="s">
        <v>8810</v>
      </c>
      <c r="H646" s="22">
        <v>1</v>
      </c>
      <c r="I646" s="25">
        <v>43134</v>
      </c>
      <c r="J646" s="24">
        <v>43140</v>
      </c>
    </row>
    <row r="647" spans="2:10" x14ac:dyDescent="0.2">
      <c r="B647" s="22">
        <v>643</v>
      </c>
      <c r="C647" s="23" t="s">
        <v>13194</v>
      </c>
      <c r="D647" s="23" t="s">
        <v>1294</v>
      </c>
      <c r="E647" s="20" t="s">
        <v>13195</v>
      </c>
      <c r="F647" s="22">
        <v>2</v>
      </c>
      <c r="G647" s="22" t="s">
        <v>13196</v>
      </c>
      <c r="H647" s="22">
        <v>1</v>
      </c>
      <c r="I647" s="25">
        <v>43441</v>
      </c>
      <c r="J647" s="24">
        <v>43454</v>
      </c>
    </row>
    <row r="648" spans="2:10" x14ac:dyDescent="0.2">
      <c r="B648" s="22">
        <v>644</v>
      </c>
      <c r="C648" s="23" t="s">
        <v>13197</v>
      </c>
      <c r="D648" s="23" t="s">
        <v>11303</v>
      </c>
      <c r="E648" s="20" t="s">
        <v>9305</v>
      </c>
      <c r="F648" s="22">
        <v>1</v>
      </c>
      <c r="G648" s="22" t="s">
        <v>9305</v>
      </c>
      <c r="H648" s="22">
        <v>1</v>
      </c>
      <c r="I648" s="25">
        <v>43217</v>
      </c>
      <c r="J648" s="24">
        <v>43219</v>
      </c>
    </row>
    <row r="649" spans="2:10" x14ac:dyDescent="0.2">
      <c r="B649" s="22">
        <v>645</v>
      </c>
      <c r="C649" s="23" t="s">
        <v>13198</v>
      </c>
      <c r="D649" s="23" t="s">
        <v>1294</v>
      </c>
      <c r="E649" s="20" t="s">
        <v>13199</v>
      </c>
      <c r="F649" s="22">
        <v>3</v>
      </c>
      <c r="G649" s="22" t="s">
        <v>5233</v>
      </c>
      <c r="H649" s="22">
        <v>3</v>
      </c>
      <c r="I649" s="25">
        <v>43238</v>
      </c>
      <c r="J649" s="24">
        <v>43244</v>
      </c>
    </row>
    <row r="650" spans="2:10" x14ac:dyDescent="0.2">
      <c r="B650" s="22">
        <v>646</v>
      </c>
      <c r="C650" s="23" t="s">
        <v>13200</v>
      </c>
      <c r="D650" s="23" t="s">
        <v>1804</v>
      </c>
      <c r="E650" s="20" t="s">
        <v>5245</v>
      </c>
      <c r="F650" s="22">
        <v>2</v>
      </c>
      <c r="G650" s="22" t="s">
        <v>13201</v>
      </c>
      <c r="H650" s="22">
        <v>1</v>
      </c>
      <c r="I650" s="25">
        <v>43399</v>
      </c>
      <c r="J650" s="24">
        <v>43250</v>
      </c>
    </row>
    <row r="651" spans="2:10" x14ac:dyDescent="0.2">
      <c r="B651" s="22">
        <v>647</v>
      </c>
      <c r="C651" s="23" t="s">
        <v>13202</v>
      </c>
      <c r="D651" s="23" t="s">
        <v>1294</v>
      </c>
      <c r="E651" s="20" t="s">
        <v>13203</v>
      </c>
      <c r="F651" s="22">
        <v>3</v>
      </c>
      <c r="G651" s="22" t="s">
        <v>13204</v>
      </c>
      <c r="H651" s="22">
        <v>3</v>
      </c>
      <c r="I651" s="25">
        <v>43329</v>
      </c>
      <c r="J651" s="24">
        <v>43335</v>
      </c>
    </row>
    <row r="652" spans="2:10" x14ac:dyDescent="0.2">
      <c r="B652" s="22">
        <v>648</v>
      </c>
      <c r="C652" s="23" t="s">
        <v>13205</v>
      </c>
      <c r="D652" s="23" t="s">
        <v>13206</v>
      </c>
      <c r="E652" s="20" t="s">
        <v>13207</v>
      </c>
      <c r="F652" s="22">
        <v>1</v>
      </c>
      <c r="G652" s="22" t="s">
        <v>13207</v>
      </c>
      <c r="H652" s="22">
        <v>1</v>
      </c>
      <c r="I652" s="25">
        <v>43385</v>
      </c>
      <c r="J652" s="24">
        <v>43391</v>
      </c>
    </row>
    <row r="653" spans="2:10" x14ac:dyDescent="0.2">
      <c r="B653" s="22">
        <v>649</v>
      </c>
      <c r="C653" s="23" t="s">
        <v>13208</v>
      </c>
      <c r="D653" s="23" t="s">
        <v>13209</v>
      </c>
      <c r="E653" s="20" t="s">
        <v>4944</v>
      </c>
      <c r="F653" s="22">
        <v>1</v>
      </c>
      <c r="G653" s="22" t="s">
        <v>1159</v>
      </c>
      <c r="H653" s="22" t="s">
        <v>1159</v>
      </c>
      <c r="I653" s="25">
        <v>43160</v>
      </c>
      <c r="J653" s="24">
        <v>43195</v>
      </c>
    </row>
    <row r="654" spans="2:10" x14ac:dyDescent="0.2">
      <c r="B654" s="22">
        <v>650</v>
      </c>
      <c r="C654" s="23" t="s">
        <v>13210</v>
      </c>
      <c r="D654" s="23" t="s">
        <v>1880</v>
      </c>
      <c r="E654" s="20" t="s">
        <v>9031</v>
      </c>
      <c r="F654" s="22">
        <v>1</v>
      </c>
      <c r="G654" s="22" t="s">
        <v>13211</v>
      </c>
      <c r="H654" s="22">
        <v>1</v>
      </c>
      <c r="I654" s="25">
        <v>43259</v>
      </c>
      <c r="J654" s="24">
        <v>43272</v>
      </c>
    </row>
    <row r="655" spans="2:10" x14ac:dyDescent="0.2">
      <c r="B655" s="22">
        <v>651</v>
      </c>
      <c r="C655" s="23" t="s">
        <v>13212</v>
      </c>
      <c r="D655" s="23" t="s">
        <v>2051</v>
      </c>
      <c r="E655" s="20" t="s">
        <v>12875</v>
      </c>
      <c r="F655" s="22">
        <v>11</v>
      </c>
      <c r="G655" s="22" t="s">
        <v>13213</v>
      </c>
      <c r="H655" s="22">
        <v>11</v>
      </c>
      <c r="I655" s="25">
        <v>43189</v>
      </c>
      <c r="J655" s="22" t="s">
        <v>558</v>
      </c>
    </row>
    <row r="656" spans="2:10" x14ac:dyDescent="0.2">
      <c r="B656" s="22">
        <v>652</v>
      </c>
      <c r="C656" s="23" t="s">
        <v>13214</v>
      </c>
      <c r="D656" s="23" t="s">
        <v>13215</v>
      </c>
      <c r="E656" s="20" t="s">
        <v>13216</v>
      </c>
      <c r="F656" s="22">
        <v>1</v>
      </c>
      <c r="G656" s="22" t="s">
        <v>2482</v>
      </c>
      <c r="H656" s="22">
        <v>1</v>
      </c>
      <c r="I656" s="25">
        <v>43113</v>
      </c>
      <c r="J656" s="24">
        <v>43174</v>
      </c>
    </row>
    <row r="657" spans="2:10" x14ac:dyDescent="0.2">
      <c r="B657" s="22">
        <v>653</v>
      </c>
      <c r="C657" s="23" t="s">
        <v>13217</v>
      </c>
      <c r="D657" s="23" t="s">
        <v>2148</v>
      </c>
      <c r="E657" s="20" t="s">
        <v>11275</v>
      </c>
      <c r="F657" s="22">
        <v>2</v>
      </c>
      <c r="G657" s="22" t="s">
        <v>13218</v>
      </c>
      <c r="H657" s="22">
        <v>2</v>
      </c>
      <c r="I657" s="25">
        <v>43287</v>
      </c>
      <c r="J657" s="24">
        <v>43405</v>
      </c>
    </row>
    <row r="658" spans="2:10" x14ac:dyDescent="0.2">
      <c r="B658" s="22">
        <v>654</v>
      </c>
      <c r="C658" s="23" t="s">
        <v>13219</v>
      </c>
      <c r="D658" s="23" t="s">
        <v>2148</v>
      </c>
      <c r="E658" s="20" t="s">
        <v>12527</v>
      </c>
      <c r="F658" s="22">
        <v>1</v>
      </c>
      <c r="G658" s="22" t="s">
        <v>13220</v>
      </c>
      <c r="H658" s="22">
        <v>1</v>
      </c>
      <c r="I658" s="25">
        <v>43161</v>
      </c>
      <c r="J658" s="24">
        <v>43167</v>
      </c>
    </row>
    <row r="659" spans="2:10" x14ac:dyDescent="0.2">
      <c r="B659" s="22">
        <v>655</v>
      </c>
      <c r="C659" s="23" t="s">
        <v>13221</v>
      </c>
      <c r="D659" s="23" t="s">
        <v>13222</v>
      </c>
      <c r="E659" s="20" t="s">
        <v>7010</v>
      </c>
      <c r="F659" s="22">
        <v>2</v>
      </c>
      <c r="G659" s="22" t="s">
        <v>1159</v>
      </c>
      <c r="H659" s="22" t="s">
        <v>1159</v>
      </c>
      <c r="I659" s="25">
        <v>43392</v>
      </c>
      <c r="J659" s="22" t="s">
        <v>558</v>
      </c>
    </row>
    <row r="660" spans="2:10" x14ac:dyDescent="0.2">
      <c r="B660" s="22">
        <v>656</v>
      </c>
      <c r="C660" s="23" t="s">
        <v>13223</v>
      </c>
      <c r="D660" s="23" t="s">
        <v>1532</v>
      </c>
      <c r="E660" s="20" t="s">
        <v>13224</v>
      </c>
      <c r="F660" s="22">
        <v>1</v>
      </c>
      <c r="G660" s="22" t="s">
        <v>13225</v>
      </c>
      <c r="H660" s="22">
        <v>1</v>
      </c>
      <c r="I660" s="25">
        <v>43371</v>
      </c>
      <c r="J660" s="24">
        <v>43412</v>
      </c>
    </row>
    <row r="661" spans="2:10" x14ac:dyDescent="0.2">
      <c r="B661" s="22">
        <v>657</v>
      </c>
      <c r="C661" s="23" t="s">
        <v>13226</v>
      </c>
      <c r="D661" s="23" t="s">
        <v>1532</v>
      </c>
      <c r="E661" s="20" t="s">
        <v>13227</v>
      </c>
      <c r="F661" s="22">
        <v>2</v>
      </c>
      <c r="G661" s="22" t="s">
        <v>13228</v>
      </c>
      <c r="H661" s="22">
        <v>2</v>
      </c>
      <c r="I661" s="25">
        <v>43446</v>
      </c>
      <c r="J661" s="24">
        <v>43110</v>
      </c>
    </row>
    <row r="662" spans="2:10" x14ac:dyDescent="0.2">
      <c r="B662" s="22">
        <v>658</v>
      </c>
      <c r="C662" s="23" t="s">
        <v>13229</v>
      </c>
      <c r="D662" s="23" t="s">
        <v>1213</v>
      </c>
      <c r="E662" s="20" t="s">
        <v>13230</v>
      </c>
      <c r="F662" s="22">
        <v>1</v>
      </c>
      <c r="G662" s="22" t="s">
        <v>13231</v>
      </c>
      <c r="H662" s="22">
        <v>1</v>
      </c>
      <c r="I662" s="25">
        <v>43357</v>
      </c>
      <c r="J662" s="24">
        <v>43377</v>
      </c>
    </row>
    <row r="663" spans="2:10" x14ac:dyDescent="0.2">
      <c r="B663" s="22">
        <v>659</v>
      </c>
      <c r="C663" s="23" t="s">
        <v>13232</v>
      </c>
      <c r="D663" s="23" t="s">
        <v>1039</v>
      </c>
      <c r="E663" s="20" t="s">
        <v>12783</v>
      </c>
      <c r="F663" s="22">
        <v>2</v>
      </c>
      <c r="G663" s="22" t="s">
        <v>2748</v>
      </c>
      <c r="H663" s="22">
        <v>2</v>
      </c>
      <c r="I663" s="25">
        <v>43406</v>
      </c>
      <c r="J663" s="22" t="s">
        <v>558</v>
      </c>
    </row>
    <row r="664" spans="2:10" x14ac:dyDescent="0.2">
      <c r="B664" s="22">
        <v>660</v>
      </c>
      <c r="C664" s="23" t="s">
        <v>13233</v>
      </c>
      <c r="D664" s="23" t="s">
        <v>1294</v>
      </c>
      <c r="E664" s="20" t="s">
        <v>13234</v>
      </c>
      <c r="F664" s="22">
        <v>1</v>
      </c>
      <c r="G664" s="22" t="s">
        <v>13235</v>
      </c>
      <c r="H664" s="22">
        <v>1</v>
      </c>
      <c r="I664" s="25">
        <v>43168</v>
      </c>
      <c r="J664" s="24">
        <v>43174</v>
      </c>
    </row>
    <row r="665" spans="2:10" x14ac:dyDescent="0.2">
      <c r="B665" s="22">
        <v>661</v>
      </c>
      <c r="C665" s="23" t="s">
        <v>13236</v>
      </c>
      <c r="D665" s="23" t="s">
        <v>2148</v>
      </c>
      <c r="E665" s="20" t="s">
        <v>13237</v>
      </c>
      <c r="F665" s="22">
        <v>1</v>
      </c>
      <c r="G665" s="22" t="s">
        <v>13238</v>
      </c>
      <c r="H665" s="22">
        <v>1</v>
      </c>
      <c r="I665" s="25">
        <v>43259</v>
      </c>
      <c r="J665" s="24">
        <v>43265</v>
      </c>
    </row>
    <row r="666" spans="2:10" x14ac:dyDescent="0.2">
      <c r="B666" s="22">
        <v>662</v>
      </c>
      <c r="C666" s="23" t="s">
        <v>13239</v>
      </c>
      <c r="D666" s="23" t="s">
        <v>1039</v>
      </c>
      <c r="E666" s="20" t="s">
        <v>13240</v>
      </c>
      <c r="F666" s="22">
        <v>2</v>
      </c>
      <c r="G666" s="22" t="s">
        <v>9097</v>
      </c>
      <c r="H666" s="22">
        <v>2</v>
      </c>
      <c r="I666" s="25">
        <v>43413</v>
      </c>
      <c r="J666" s="24">
        <v>43419</v>
      </c>
    </row>
    <row r="667" spans="2:10" x14ac:dyDescent="0.2">
      <c r="B667" s="22">
        <v>663</v>
      </c>
      <c r="C667" s="23" t="s">
        <v>13241</v>
      </c>
      <c r="D667" s="23" t="s">
        <v>1294</v>
      </c>
      <c r="E667" s="20" t="s">
        <v>2671</v>
      </c>
      <c r="F667" s="22">
        <v>1</v>
      </c>
      <c r="G667" s="22" t="s">
        <v>2671</v>
      </c>
      <c r="H667" s="22">
        <v>1</v>
      </c>
      <c r="I667" s="25">
        <v>43217</v>
      </c>
      <c r="J667" s="24">
        <v>43219</v>
      </c>
    </row>
    <row r="668" spans="2:10" x14ac:dyDescent="0.2">
      <c r="B668" s="22">
        <v>664</v>
      </c>
      <c r="C668" s="23" t="s">
        <v>13242</v>
      </c>
      <c r="D668" s="23" t="s">
        <v>6537</v>
      </c>
      <c r="E668" s="20" t="s">
        <v>7328</v>
      </c>
      <c r="F668" s="22">
        <v>1</v>
      </c>
      <c r="G668" s="22" t="s">
        <v>13243</v>
      </c>
      <c r="H668" s="22">
        <v>1</v>
      </c>
      <c r="I668" s="25">
        <v>43224</v>
      </c>
      <c r="J668" s="24">
        <v>43230</v>
      </c>
    </row>
    <row r="669" spans="2:10" x14ac:dyDescent="0.2">
      <c r="B669" s="22">
        <v>665</v>
      </c>
      <c r="C669" s="23" t="s">
        <v>13244</v>
      </c>
      <c r="D669" s="23" t="s">
        <v>1880</v>
      </c>
      <c r="E669" s="20" t="s">
        <v>13245</v>
      </c>
      <c r="F669" s="22">
        <v>1</v>
      </c>
      <c r="G669" s="22" t="s">
        <v>13246</v>
      </c>
      <c r="H669" s="22">
        <v>1</v>
      </c>
      <c r="I669" s="25">
        <v>43427</v>
      </c>
      <c r="J669" s="22" t="s">
        <v>558</v>
      </c>
    </row>
    <row r="670" spans="2:10" x14ac:dyDescent="0.2">
      <c r="B670" s="22">
        <v>666</v>
      </c>
      <c r="C670" s="23" t="s">
        <v>13247</v>
      </c>
      <c r="D670" s="23" t="s">
        <v>1039</v>
      </c>
      <c r="E670" s="20" t="s">
        <v>13248</v>
      </c>
      <c r="F670" s="22">
        <v>1</v>
      </c>
      <c r="G670" s="22" t="s">
        <v>13249</v>
      </c>
      <c r="H670" s="22">
        <v>1</v>
      </c>
      <c r="I670" s="25">
        <v>43224</v>
      </c>
      <c r="J670" s="24">
        <v>43230</v>
      </c>
    </row>
    <row r="671" spans="2:10" x14ac:dyDescent="0.2">
      <c r="B671" s="22">
        <v>667</v>
      </c>
      <c r="C671" s="23" t="s">
        <v>13250</v>
      </c>
      <c r="D671" s="23" t="s">
        <v>1039</v>
      </c>
      <c r="E671" s="20" t="s">
        <v>13251</v>
      </c>
      <c r="F671" s="22">
        <v>1</v>
      </c>
      <c r="G671" s="22" t="s">
        <v>13252</v>
      </c>
      <c r="H671" s="22">
        <v>1</v>
      </c>
      <c r="I671" s="25">
        <v>43252</v>
      </c>
      <c r="J671" s="24">
        <v>43258</v>
      </c>
    </row>
    <row r="672" spans="2:10" x14ac:dyDescent="0.2">
      <c r="B672" s="22">
        <v>668</v>
      </c>
      <c r="C672" s="23" t="s">
        <v>13253</v>
      </c>
      <c r="D672" s="23" t="s">
        <v>1039</v>
      </c>
      <c r="E672" s="20" t="s">
        <v>13254</v>
      </c>
      <c r="F672" s="22">
        <v>1</v>
      </c>
      <c r="G672" s="22" t="s">
        <v>5301</v>
      </c>
      <c r="H672" s="22">
        <v>1</v>
      </c>
      <c r="I672" s="25">
        <v>43175</v>
      </c>
      <c r="J672" s="24">
        <v>43181</v>
      </c>
    </row>
  </sheetData>
  <mergeCells count="2">
    <mergeCell ref="C3:C4"/>
    <mergeCell ref="B3:B4"/>
  </mergeCells>
  <hyperlinks>
    <hyperlink ref="B3" r:id="rId1"/>
    <hyperlink ref="C3" r:id="rId2"/>
    <hyperlink ref="D3" r:id="rId3"/>
    <hyperlink ref="E5" r:id="rId4"/>
    <hyperlink ref="F5" r:id="rId5"/>
    <hyperlink ref="C6" r:id="rId6"/>
    <hyperlink ref="D6" r:id="rId7"/>
    <hyperlink ref="I6" r:id="rId8" display="http://www.boxofficemojo.com/schedule/?view=bydate&amp;release=theatrical&amp;date=2012-05-04&amp;p=.htm"/>
    <hyperlink ref="C7" r:id="rId9"/>
    <hyperlink ref="D7" r:id="rId10"/>
    <hyperlink ref="I7" r:id="rId11" display="http://www.boxofficemojo.com/schedule/?view=bydate&amp;release=theatrical&amp;date=2012-07-20&amp;p=.htm"/>
    <hyperlink ref="C8" r:id="rId12"/>
    <hyperlink ref="D8" r:id="rId13"/>
    <hyperlink ref="I8" r:id="rId14" display="http://www.boxofficemojo.com/schedule/?view=bydate&amp;release=theatrical&amp;date=2012-03-23&amp;p=.htm"/>
    <hyperlink ref="C9" r:id="rId15"/>
    <hyperlink ref="D9" r:id="rId16"/>
    <hyperlink ref="I9" r:id="rId17" display="http://www.boxofficemojo.com/schedule/?view=bydate&amp;release=theatrical&amp;date=2012-11-09&amp;p=.htm"/>
    <hyperlink ref="C10" r:id="rId18"/>
    <hyperlink ref="D10" r:id="rId19"/>
    <hyperlink ref="I10" r:id="rId20" display="http://www.boxofficemojo.com/schedule/?view=bydate&amp;release=theatrical&amp;date=2012-12-14&amp;p=.htm"/>
    <hyperlink ref="C11" r:id="rId21"/>
    <hyperlink ref="D11" r:id="rId22"/>
    <hyperlink ref="I11" r:id="rId23" display="http://www.boxofficemojo.com/schedule/?view=bydate&amp;release=theatrical&amp;date=2012-11-16&amp;p=.htm"/>
    <hyperlink ref="C12" r:id="rId24"/>
    <hyperlink ref="D12" r:id="rId25"/>
    <hyperlink ref="I12" r:id="rId26" display="http://www.boxofficemojo.com/schedule/?view=bydate&amp;release=theatrical&amp;date=2012-07-03&amp;p=.htm"/>
    <hyperlink ref="C13" r:id="rId27"/>
    <hyperlink ref="D13" r:id="rId28"/>
    <hyperlink ref="I13" r:id="rId29" display="http://www.boxofficemojo.com/schedule/?view=bydate&amp;release=theatrical&amp;date=2012-06-22&amp;p=.htm"/>
    <hyperlink ref="C14" r:id="rId30"/>
    <hyperlink ref="D14" r:id="rId31"/>
    <hyperlink ref="I14" r:id="rId32" display="http://www.boxofficemojo.com/schedule/?view=bydate&amp;release=theatrical&amp;date=2012-06-29&amp;p=.htm"/>
    <hyperlink ref="C15" r:id="rId33"/>
    <hyperlink ref="D15" r:id="rId34"/>
    <hyperlink ref="I15" r:id="rId35" display="http://www.boxofficemojo.com/schedule/?view=bydate&amp;release=theatrical&amp;date=2012-06-08&amp;p=.htm"/>
    <hyperlink ref="C16" r:id="rId36"/>
    <hyperlink ref="D16" r:id="rId37"/>
    <hyperlink ref="I16" r:id="rId38" display="http://www.boxofficemojo.com/schedule/?view=bydate&amp;release=theatrical&amp;date=2012-03-02&amp;p=.htm"/>
    <hyperlink ref="C17" r:id="rId39"/>
    <hyperlink ref="D17" r:id="rId40"/>
    <hyperlink ref="I17" r:id="rId41" display="http://www.boxofficemojo.com/schedule/?view=bydate&amp;release=theatrical&amp;date=2012-11-02&amp;p=.htm"/>
    <hyperlink ref="C18" r:id="rId42"/>
    <hyperlink ref="D18" r:id="rId43"/>
    <hyperlink ref="I18" r:id="rId44" display="http://www.boxofficemojo.com/schedule/?view=bydate&amp;release=theatrical&amp;date=2012-11-09&amp;p=.htm"/>
    <hyperlink ref="C19" r:id="rId45"/>
    <hyperlink ref="D19" r:id="rId46"/>
    <hyperlink ref="I19" r:id="rId47" display="http://www.boxofficemojo.com/schedule/?view=bydate&amp;release=theatrical&amp;date=2012-05-25&amp;p=.htm"/>
    <hyperlink ref="C20" r:id="rId48"/>
    <hyperlink ref="D20" r:id="rId49"/>
    <hyperlink ref="I20" r:id="rId50" display="http://www.boxofficemojo.com/schedule/?view=bydate&amp;release=theatrical&amp;date=2012-12-25&amp;p=.htm"/>
    <hyperlink ref="C21" r:id="rId51"/>
    <hyperlink ref="D21" r:id="rId52"/>
    <hyperlink ref="I21" r:id="rId53" display="http://www.boxofficemojo.com/schedule/?view=bydate&amp;release=theatrical&amp;date=2012-07-13&amp;p=.htm"/>
    <hyperlink ref="C22" r:id="rId54"/>
    <hyperlink ref="D22" r:id="rId55"/>
    <hyperlink ref="I22" r:id="rId56" display="http://www.boxofficemojo.com/schedule/?view=bydate&amp;release=theatrical&amp;date=2012-06-01&amp;p=.htm"/>
    <hyperlink ref="C23" r:id="rId57"/>
    <hyperlink ref="D23" r:id="rId58"/>
    <hyperlink ref="I23" r:id="rId59" display="http://www.boxofficemojo.com/schedule/?view=bydate&amp;release=theatrical&amp;date=2012-12-25&amp;p=.htm"/>
    <hyperlink ref="C24" r:id="rId60"/>
    <hyperlink ref="D24" r:id="rId61"/>
    <hyperlink ref="I24" r:id="rId62" display="http://www.boxofficemojo.com/schedule/?view=bydate&amp;release=theatrical&amp;date=2012-09-28&amp;p=.htm"/>
    <hyperlink ref="C25" r:id="rId63"/>
    <hyperlink ref="D25" r:id="rId64"/>
    <hyperlink ref="I25" r:id="rId65" display="http://www.boxofficemojo.com/schedule/?view=bydate&amp;release=theatrical&amp;date=2012-10-05&amp;p=.htm"/>
    <hyperlink ref="C26" r:id="rId66"/>
    <hyperlink ref="D26" r:id="rId67"/>
    <hyperlink ref="I26" r:id="rId68" display="http://www.boxofficemojo.com/schedule/?view=bydate&amp;release=theatrical&amp;date=2012-03-16&amp;p=.htm"/>
    <hyperlink ref="C27" r:id="rId69"/>
    <hyperlink ref="D27" r:id="rId70"/>
    <hyperlink ref="I27" r:id="rId71" display="http://www.boxofficemojo.com/schedule/?view=bydate&amp;release=theatrical&amp;date=2012-10-12&amp;p=.htm"/>
    <hyperlink ref="C28" r:id="rId72"/>
    <hyperlink ref="D28" r:id="rId73"/>
    <hyperlink ref="I28" r:id="rId74" display="http://www.boxofficemojo.com/schedule/?view=bydate&amp;release=theatrical&amp;date=2012-11-16&amp;p=.htm"/>
    <hyperlink ref="C29" r:id="rId75"/>
    <hyperlink ref="D29" r:id="rId76"/>
    <hyperlink ref="I29" r:id="rId77" display="http://www.boxofficemojo.com/schedule/?view=bydate&amp;release=theatrical&amp;date=2012-06-08&amp;p=.htm"/>
    <hyperlink ref="C30" r:id="rId78"/>
    <hyperlink ref="D30" r:id="rId79"/>
    <hyperlink ref="I30" r:id="rId80" display="http://www.boxofficemojo.com/schedule/?view=bydate&amp;release=theatrical&amp;date=2012-02-10&amp;p=.htm"/>
    <hyperlink ref="C31" r:id="rId81"/>
    <hyperlink ref="D31" r:id="rId82"/>
    <hyperlink ref="I31" r:id="rId83" display="http://www.boxofficemojo.com/schedule/?view=bydate&amp;release=theatrical&amp;date=2012-02-10&amp;p=.htm"/>
    <hyperlink ref="C32" r:id="rId84"/>
    <hyperlink ref="D32" r:id="rId85"/>
    <hyperlink ref="I32" r:id="rId86" display="http://www.boxofficemojo.com/schedule/?view=bydate&amp;release=theatrical&amp;date=2012-11-21&amp;p=.htm"/>
    <hyperlink ref="C33" r:id="rId87"/>
    <hyperlink ref="D33" r:id="rId88"/>
    <hyperlink ref="I33" r:id="rId89" display="http://www.boxofficemojo.com/schedule/?view=bydate&amp;release=theatrical&amp;date=2012-06-29&amp;p=.htm"/>
    <hyperlink ref="C34" r:id="rId90"/>
    <hyperlink ref="D34" r:id="rId91"/>
    <hyperlink ref="I34" r:id="rId92" display="http://www.boxofficemojo.com/schedule/?view=bydate&amp;release=theatrical&amp;date=2012-08-10&amp;p=.htm"/>
    <hyperlink ref="C35" r:id="rId93"/>
    <hyperlink ref="D35" r:id="rId94"/>
    <hyperlink ref="I35" r:id="rId95" display="http://www.boxofficemojo.com/schedule/?view=bydate&amp;release=theatrical&amp;date=2012-02-10&amp;p=.htm"/>
    <hyperlink ref="C36" r:id="rId96"/>
    <hyperlink ref="D36" r:id="rId97"/>
    <hyperlink ref="I36" r:id="rId98" display="http://www.boxofficemojo.com/schedule/?view=bydate&amp;release=theatrical&amp;date=2012-11-21&amp;p=.htm"/>
    <hyperlink ref="C37" r:id="rId99"/>
    <hyperlink ref="D37" r:id="rId100"/>
    <hyperlink ref="I37" r:id="rId101" display="http://www.boxofficemojo.com/schedule/?view=bydate&amp;release=theatrical&amp;date=2012-12-19&amp;p=.htm"/>
    <hyperlink ref="C38" r:id="rId102"/>
    <hyperlink ref="D38" r:id="rId103"/>
    <hyperlink ref="I38" r:id="rId104" display="http://www.boxofficemojo.com/schedule/?view=bydate&amp;release=theatrical&amp;date=2012-11-02&amp;p=.htm"/>
    <hyperlink ref="C39" r:id="rId105"/>
    <hyperlink ref="D39" r:id="rId106"/>
    <hyperlink ref="I39" r:id="rId107" display="http://www.boxofficemojo.com/schedule/?view=bydate&amp;release=theatrical&amp;date=2012-04-20&amp;p=.htm"/>
    <hyperlink ref="C40" r:id="rId108"/>
    <hyperlink ref="D40" r:id="rId109"/>
    <hyperlink ref="I40" r:id="rId110" display="http://www.boxofficemojo.com/schedule/?view=bydate&amp;release=theatrical&amp;date=2012-08-10&amp;p=.htm"/>
    <hyperlink ref="C41" r:id="rId111"/>
    <hyperlink ref="D41" r:id="rId112"/>
    <hyperlink ref="I41" r:id="rId113" display="http://www.boxofficemojo.com/schedule/?view=bydate&amp;release=theatrical&amp;date=2012-08-17&amp;p=.htm"/>
    <hyperlink ref="C42" r:id="rId114"/>
    <hyperlink ref="D42" r:id="rId115"/>
    <hyperlink ref="I42" r:id="rId116" display="http://www.boxofficemojo.com/schedule/?view=bydate&amp;release=theatrical&amp;date=2012-03-30&amp;p=.htm"/>
    <hyperlink ref="C43" r:id="rId117"/>
    <hyperlink ref="D43" r:id="rId118"/>
    <hyperlink ref="I43" r:id="rId119" display="http://www.boxofficemojo.com/schedule/?view=bydate&amp;release=theatrical&amp;date=2012-12-21&amp;p=.htm"/>
    <hyperlink ref="C44" r:id="rId120"/>
    <hyperlink ref="D44" r:id="rId121"/>
    <hyperlink ref="I44" r:id="rId122" display="http://www.boxofficemojo.com/schedule/?view=bydate&amp;release=theatrical&amp;date=2012-05-11&amp;p=.htm"/>
    <hyperlink ref="C45" r:id="rId123"/>
    <hyperlink ref="D45" r:id="rId124"/>
    <hyperlink ref="I45" r:id="rId125" display="http://www.boxofficemojo.com/schedule/?view=bydate&amp;release=theatrical&amp;date=2012-12-25&amp;p=.htm"/>
    <hyperlink ref="C46" r:id="rId126"/>
    <hyperlink ref="D46" r:id="rId127"/>
    <hyperlink ref="I46" r:id="rId128" display="http://www.boxofficemojo.com/schedule/?view=bydate&amp;release=theatrical&amp;date=2012-03-09&amp;p=.htm"/>
    <hyperlink ref="C47" r:id="rId129"/>
    <hyperlink ref="D47" r:id="rId130"/>
    <hyperlink ref="I47" r:id="rId131" display="http://www.boxofficemojo.com/schedule/?view=bydate&amp;release=theatrical&amp;date=2012-02-24&amp;p=.htm"/>
    <hyperlink ref="C48" r:id="rId132"/>
    <hyperlink ref="D48" r:id="rId133"/>
    <hyperlink ref="I48" r:id="rId134" display="http://www.boxofficemojo.com/schedule/?view=bydate&amp;release=theatrical&amp;date=2012-12-21&amp;p=.htm"/>
    <hyperlink ref="C49" r:id="rId135"/>
    <hyperlink ref="D49" r:id="rId136"/>
    <hyperlink ref="I49" r:id="rId137" display="http://www.boxofficemojo.com/schedule/?view=bydate&amp;release=theatrical&amp;date=2012-01-13&amp;p=.htm"/>
    <hyperlink ref="C50" r:id="rId138"/>
    <hyperlink ref="D50" r:id="rId139"/>
    <hyperlink ref="I50" r:id="rId140" display="http://www.boxofficemojo.com/schedule/?view=bydate&amp;release=theatrical&amp;date=2012-09-28&amp;p=.htm"/>
    <hyperlink ref="C51" r:id="rId141"/>
    <hyperlink ref="D51" r:id="rId142"/>
    <hyperlink ref="I51" r:id="rId143" display="http://www.boxofficemojo.com/schedule/?view=bydate&amp;release=theatrical&amp;date=2012-06-29&amp;p=.htm"/>
    <hyperlink ref="C52" r:id="rId144"/>
    <hyperlink ref="D52" r:id="rId145"/>
    <hyperlink ref="I52" r:id="rId146" display="http://www.boxofficemojo.com/schedule/?view=bydate&amp;release=theatrical&amp;date=2012-05-18&amp;p=.htm"/>
    <hyperlink ref="C53" r:id="rId147"/>
    <hyperlink ref="D53" r:id="rId148"/>
    <hyperlink ref="I53" r:id="rId149" display="http://www.boxofficemojo.com/schedule/?view=bydate&amp;release=theatrical&amp;date=2012-09-28&amp;p=.htm"/>
    <hyperlink ref="C54" r:id="rId150"/>
    <hyperlink ref="D54" r:id="rId151"/>
    <hyperlink ref="I54" r:id="rId152" display="http://www.boxofficemojo.com/schedule/?view=bydate&amp;release=theatrical&amp;date=2012-03-30&amp;p=.htm"/>
    <hyperlink ref="C55" r:id="rId153"/>
    <hyperlink ref="D55" r:id="rId154"/>
    <hyperlink ref="I55" r:id="rId155" display="http://www.boxofficemojo.com/schedule/?view=bydate&amp;release=theatrical&amp;date=2012-02-03&amp;p=.htm"/>
    <hyperlink ref="C56" r:id="rId156"/>
    <hyperlink ref="D56" r:id="rId157"/>
    <hyperlink ref="I56" r:id="rId158" display="http://www.boxofficemojo.com/schedule/?view=bydate&amp;release=theatrical&amp;date=2012-08-08&amp;p=.htm"/>
    <hyperlink ref="C57" r:id="rId159"/>
    <hyperlink ref="D57" r:id="rId160"/>
    <hyperlink ref="I57" r:id="rId161" display="http://www.boxofficemojo.com/schedule/?view=bydate&amp;release=theatrical&amp;date=2012-01-20&amp;p=.htm"/>
    <hyperlink ref="C58" r:id="rId162"/>
    <hyperlink ref="D58" r:id="rId163"/>
    <hyperlink ref="I58" r:id="rId164" display="http://www.boxofficemojo.com/schedule/?view=bydate&amp;release=theatrical&amp;date=2012-04-20&amp;p=.htm"/>
    <hyperlink ref="C59" r:id="rId165"/>
    <hyperlink ref="D59" r:id="rId166"/>
    <hyperlink ref="I59" r:id="rId167" display="http://www.boxofficemojo.com/schedule/?view=bydate&amp;release=theatrical&amp;date=2012-05-16&amp;p=.htm"/>
    <hyperlink ref="C60" r:id="rId168"/>
    <hyperlink ref="D60" r:id="rId169"/>
    <hyperlink ref="I60" r:id="rId170" display="http://www.boxofficemojo.com/schedule/?view=bydate&amp;release=theatrical&amp;date=2012-08-03&amp;p=.htm"/>
    <hyperlink ref="C61" r:id="rId171"/>
    <hyperlink ref="D61" r:id="rId172"/>
    <hyperlink ref="I61" r:id="rId173" display="http://www.boxofficemojo.com/schedule/?view=bydate&amp;release=theatrical&amp;date=2012-04-04&amp;p=.htm"/>
    <hyperlink ref="C62" r:id="rId174"/>
    <hyperlink ref="D62" r:id="rId175"/>
    <hyperlink ref="I62" r:id="rId176" display="http://www.boxofficemojo.com/schedule/?view=bydate&amp;release=theatrical&amp;date=2012-04-06&amp;p=.htm"/>
    <hyperlink ref="C63" r:id="rId177"/>
    <hyperlink ref="D63" r:id="rId178"/>
    <hyperlink ref="I63" r:id="rId179" display="http://www.boxofficemojo.com/schedule/?view=bydate&amp;release=theatrical&amp;date=2012-08-17&amp;p=.htm"/>
    <hyperlink ref="C64" r:id="rId180"/>
    <hyperlink ref="D64" r:id="rId181"/>
    <hyperlink ref="I64" r:id="rId182" display="http://www.boxofficemojo.com/schedule/?view=bydate&amp;release=theatrical&amp;date=2012-02-17&amp;p=.htm"/>
    <hyperlink ref="C65" r:id="rId183"/>
    <hyperlink ref="D65" r:id="rId184"/>
    <hyperlink ref="I65" r:id="rId185" display="http://www.boxofficemojo.com/schedule/?view=bydate&amp;release=theatrical&amp;date=2012-03-02&amp;p=.htm"/>
    <hyperlink ref="C66" r:id="rId186"/>
    <hyperlink ref="D66" r:id="rId187"/>
    <hyperlink ref="I66" r:id="rId188" display="http://www.boxofficemojo.com/schedule/?view=bydate&amp;release=theatrical&amp;date=2012-02-03&amp;p=.htm"/>
    <hyperlink ref="C67" r:id="rId189"/>
    <hyperlink ref="D67" r:id="rId190"/>
    <hyperlink ref="I67" r:id="rId191" display="http://www.boxofficemojo.com/schedule/?view=bydate&amp;release=theatrical&amp;date=2012-10-19&amp;p=.htm"/>
    <hyperlink ref="C68" r:id="rId192"/>
    <hyperlink ref="D68" r:id="rId193"/>
    <hyperlink ref="I68" r:id="rId194" display="http://www.boxofficemojo.com/schedule/?view=bydate&amp;release=theatrical&amp;date=2012-01-06&amp;p=.htm"/>
    <hyperlink ref="C69" r:id="rId195"/>
    <hyperlink ref="D69" r:id="rId196"/>
    <hyperlink ref="I69" r:id="rId197" display="http://www.boxofficemojo.com/schedule/?view=bydate&amp;release=theatrical&amp;date=2012-08-15&amp;p=.htm"/>
    <hyperlink ref="C70" r:id="rId198"/>
    <hyperlink ref="D70" r:id="rId199"/>
    <hyperlink ref="I70" r:id="rId200" display="http://www.boxofficemojo.com/schedule/?view=bydate&amp;release=theatrical&amp;date=2012-02-17&amp;p=.htm"/>
    <hyperlink ref="C71" r:id="rId201"/>
    <hyperlink ref="D71" r:id="rId202"/>
    <hyperlink ref="I71" r:id="rId203" display="http://www.boxofficemojo.com/schedule/?view=bydate&amp;release=theatrical&amp;date=2012-01-27&amp;p=.htm"/>
    <hyperlink ref="C72" r:id="rId204"/>
    <hyperlink ref="D72" r:id="rId205"/>
    <hyperlink ref="I72" r:id="rId206" display="http://www.boxofficemojo.com/schedule/?view=bydate&amp;release=theatrical&amp;date=2012-01-20&amp;p=.htm"/>
    <hyperlink ref="C73" r:id="rId207"/>
    <hyperlink ref="D73" r:id="rId208"/>
    <hyperlink ref="I73" r:id="rId209" display="http://www.boxofficemojo.com/schedule/?view=bydate&amp;release=theatrical&amp;date=2012-08-31&amp;p=.htm"/>
    <hyperlink ref="C74" r:id="rId210"/>
    <hyperlink ref="D74" r:id="rId211"/>
    <hyperlink ref="I74" r:id="rId212" display="http://www.boxofficemojo.com/schedule/?view=bydate&amp;release=theatrical&amp;date=2012-08-03&amp;p=.htm"/>
    <hyperlink ref="C75" r:id="rId213"/>
    <hyperlink ref="D75" r:id="rId214"/>
    <hyperlink ref="I75" r:id="rId215" display="http://www.boxofficemojo.com/schedule/?view=bydate&amp;release=theatrical&amp;date=2012-10-12&amp;p=.htm"/>
    <hyperlink ref="C76" r:id="rId216"/>
    <hyperlink ref="D76" r:id="rId217"/>
    <hyperlink ref="I76" r:id="rId218" display="http://www.boxofficemojo.com/schedule/?view=bydate&amp;release=theatrical&amp;date=2012-01-13&amp;p=.htm"/>
    <hyperlink ref="C77" r:id="rId219"/>
    <hyperlink ref="D77" r:id="rId220"/>
    <hyperlink ref="I77" r:id="rId221" display="http://www.boxofficemojo.com/schedule/?view=bydate&amp;release=theatrical&amp;date=2012-07-06&amp;p=.htm"/>
    <hyperlink ref="C78" r:id="rId222"/>
    <hyperlink ref="D78" r:id="rId223"/>
    <hyperlink ref="I78" r:id="rId224" display="http://www.boxofficemojo.com/schedule/?view=bydate&amp;release=theatrical&amp;date=2012-05-04&amp;p=.htm"/>
    <hyperlink ref="C79" r:id="rId225"/>
    <hyperlink ref="D79" r:id="rId226"/>
    <hyperlink ref="I79" r:id="rId227" display="http://www.boxofficemojo.com/schedule/?view=bydate&amp;release=theatrical&amp;date=2012-05-25&amp;p=.htm"/>
    <hyperlink ref="C80" r:id="rId228"/>
    <hyperlink ref="D80" r:id="rId229"/>
    <hyperlink ref="I80" r:id="rId230" display="http://www.boxofficemojo.com/schedule/?view=bydate&amp;release=theatrical&amp;date=2012-10-12&amp;p=.htm"/>
    <hyperlink ref="C81" r:id="rId231"/>
    <hyperlink ref="D81" r:id="rId232"/>
    <hyperlink ref="I81" r:id="rId233" display="http://www.boxofficemojo.com/schedule/?view=bydate&amp;release=theatrical&amp;date=2012-11-21&amp;p=.htm"/>
    <hyperlink ref="C82" r:id="rId234"/>
    <hyperlink ref="D82" r:id="rId235"/>
    <hyperlink ref="I82" r:id="rId236" display="http://www.boxofficemojo.com/schedule/?view=bydate&amp;release=theatrical&amp;date=2012-04-13&amp;p=.htm"/>
    <hyperlink ref="C83" r:id="rId237"/>
    <hyperlink ref="D83" r:id="rId238"/>
    <hyperlink ref="I83" r:id="rId239" display="http://www.boxofficemojo.com/schedule/?view=bydate&amp;release=theatrical&amp;date=2012-02-10&amp;p=.htm"/>
    <hyperlink ref="C84" r:id="rId240"/>
    <hyperlink ref="D84" r:id="rId241"/>
    <hyperlink ref="I84" r:id="rId242" display="http://www.boxofficemojo.com/schedule/?view=bydate&amp;release=theatrical&amp;date=2012-09-14&amp;p=.htm"/>
    <hyperlink ref="C85" r:id="rId243"/>
    <hyperlink ref="D85" r:id="rId244"/>
    <hyperlink ref="I85" r:id="rId245" display="http://www.boxofficemojo.com/schedule/?view=bydate&amp;release=theatrical&amp;date=2012-04-13&amp;p=.htm"/>
    <hyperlink ref="C86" r:id="rId246"/>
    <hyperlink ref="D86" r:id="rId247"/>
    <hyperlink ref="I86" r:id="rId248" display="http://www.boxofficemojo.com/schedule/?view=bydate&amp;release=theatrical&amp;date=2012-05-18&amp;p=.htm"/>
    <hyperlink ref="C87" r:id="rId249"/>
    <hyperlink ref="D87" r:id="rId250"/>
    <hyperlink ref="I87" r:id="rId251" display="http://www.boxofficemojo.com/schedule/?view=bydate&amp;release=theatrical&amp;date=2012-09-14&amp;p=.htm"/>
    <hyperlink ref="C88" r:id="rId252"/>
    <hyperlink ref="D88" r:id="rId253"/>
    <hyperlink ref="I88" r:id="rId254" display="http://www.boxofficemojo.com/schedule/?view=bydate&amp;release=theatrical&amp;date=2012-09-21&amp;p=.htm"/>
    <hyperlink ref="C89" r:id="rId255"/>
    <hyperlink ref="D89" r:id="rId256"/>
    <hyperlink ref="I89" r:id="rId257" display="http://www.boxofficemojo.com/schedule/?view=bydate&amp;release=theatrical&amp;date=2012-06-15&amp;p=.htm"/>
    <hyperlink ref="C90" r:id="rId258"/>
    <hyperlink ref="D90" r:id="rId259"/>
    <hyperlink ref="I90" r:id="rId260" display="http://www.boxofficemojo.com/schedule/?view=bydate&amp;release=theatrical&amp;date=2012-06-22&amp;p=.htm"/>
    <hyperlink ref="C91" r:id="rId261"/>
    <hyperlink ref="D91" r:id="rId262"/>
    <hyperlink ref="I91" r:id="rId263" display="http://www.boxofficemojo.com/schedule/?view=bydate&amp;release=theatrical&amp;date=2012-08-29&amp;p=.htm"/>
    <hyperlink ref="C92" r:id="rId264"/>
    <hyperlink ref="D92" r:id="rId265"/>
    <hyperlink ref="I92" r:id="rId266" display="http://www.boxofficemojo.com/schedule/?view=bydate&amp;release=theatrical&amp;date=2012-12-19&amp;p=.htm"/>
    <hyperlink ref="C93" r:id="rId267"/>
    <hyperlink ref="D93" r:id="rId268"/>
    <hyperlink ref="I93" r:id="rId269" display="http://www.boxofficemojo.com/schedule/?view=bydate&amp;release=theatrical&amp;date=2012-06-15&amp;p=.htm"/>
    <hyperlink ref="C94" r:id="rId270"/>
    <hyperlink ref="D94" r:id="rId271"/>
    <hyperlink ref="I94" r:id="rId272" display="http://www.boxofficemojo.com/schedule/?view=bydate&amp;release=theatrical&amp;date=2012-09-21&amp;p=.htm"/>
    <hyperlink ref="C95" r:id="rId273"/>
    <hyperlink ref="D95" r:id="rId274"/>
    <hyperlink ref="I95" r:id="rId275" display="http://www.boxofficemojo.com/schedule/?view=bydate&amp;release=theatrical&amp;date=2012-07-27&amp;p=.htm"/>
    <hyperlink ref="C96" r:id="rId276"/>
    <hyperlink ref="D96" r:id="rId277"/>
    <hyperlink ref="I96" r:id="rId278" display="http://www.boxofficemojo.com/schedule/?view=bydate&amp;release=theatrical&amp;date=2012-10-05&amp;p=.htm"/>
    <hyperlink ref="C97" r:id="rId279"/>
    <hyperlink ref="D97" r:id="rId280"/>
    <hyperlink ref="I97" r:id="rId281" display="http://www.boxofficemojo.com/schedule/?view=bydate&amp;release=theatrical&amp;date=2012-07-27&amp;p=.htm"/>
    <hyperlink ref="C98" r:id="rId282"/>
    <hyperlink ref="D98" r:id="rId283"/>
    <hyperlink ref="I98" r:id="rId284" display="http://www.boxofficemojo.com/schedule/?view=bydate&amp;release=theatrical&amp;date=2012-02-24&amp;p=.htm"/>
    <hyperlink ref="C99" r:id="rId285"/>
    <hyperlink ref="D99" r:id="rId286"/>
    <hyperlink ref="I99" r:id="rId287" display="http://www.boxofficemojo.com/schedule/?view=bydate&amp;release=theatrical&amp;date=2012-12-19&amp;p=.htm"/>
    <hyperlink ref="C100" r:id="rId288"/>
    <hyperlink ref="D100" r:id="rId289"/>
    <hyperlink ref="I100" r:id="rId290" display="http://www.boxofficemojo.com/schedule/?view=bydate&amp;release=theatrical&amp;date=2012-07-13&amp;p=.htm"/>
    <hyperlink ref="C101" r:id="rId291"/>
    <hyperlink ref="D101" r:id="rId292"/>
    <hyperlink ref="I101" r:id="rId293" display="http://www.boxofficemojo.com/schedule/?view=bydate&amp;release=theatrical&amp;date=2012-09-21&amp;p=.htm"/>
    <hyperlink ref="C102" r:id="rId294"/>
    <hyperlink ref="D102" r:id="rId295"/>
    <hyperlink ref="I102" r:id="rId296" display="http://www.boxofficemojo.com/schedule/?view=bydate&amp;release=theatrical&amp;date=2012-04-27&amp;p=.htm"/>
    <hyperlink ref="C103" r:id="rId297"/>
    <hyperlink ref="D103" r:id="rId298"/>
    <hyperlink ref="I103" r:id="rId299" display="http://www.boxofficemojo.com/schedule/?view=bydate&amp;release=theatrical&amp;date=2012-01-13&amp;p=.htm"/>
    <hyperlink ref="C104" r:id="rId300"/>
    <hyperlink ref="D104" r:id="rId301"/>
    <hyperlink ref="I104" r:id="rId302" display="http://www.boxofficemojo.com/schedule/?view=bydate&amp;release=theatrical&amp;date=2012-04-20&amp;p=.htm"/>
    <hyperlink ref="C105" r:id="rId303"/>
    <hyperlink ref="D105" r:id="rId304"/>
    <hyperlink ref="I105" r:id="rId305" display="http://www.boxofficemojo.com/schedule/?view=bydate&amp;release=theatrical&amp;date=2012-04-27&amp;p=.htm"/>
    <hyperlink ref="C106" r:id="rId306"/>
    <hyperlink ref="D106" r:id="rId307"/>
    <hyperlink ref="I106" r:id="rId308" display="http://www.boxofficemojo.com/schedule/?view=bydate&amp;release=theatrical&amp;date=2012-10-26&amp;p=.htm"/>
    <hyperlink ref="C107" r:id="rId309"/>
    <hyperlink ref="D107" r:id="rId310"/>
    <hyperlink ref="I107" r:id="rId311" display="http://www.boxofficemojo.com/schedule/?view=bydate&amp;release=theatrical&amp;date=2012-01-27&amp;p=.htm"/>
    <hyperlink ref="C108" r:id="rId312"/>
    <hyperlink ref="D108" r:id="rId313"/>
    <hyperlink ref="I108" r:id="rId314" display="http://www.boxofficemojo.com/schedule/?view=bydate&amp;release=theatrical&amp;date=2012-10-19&amp;p=.htm"/>
    <hyperlink ref="C109" r:id="rId315"/>
    <hyperlink ref="D109" r:id="rId316"/>
    <hyperlink ref="I109" r:id="rId317" display="http://www.boxofficemojo.com/schedule/?view=bydate&amp;release=theatrical&amp;date=2012-07-05&amp;p=.htm"/>
    <hyperlink ref="C110" r:id="rId318"/>
    <hyperlink ref="D110" r:id="rId319"/>
    <hyperlink ref="I110" r:id="rId320" display="http://www.boxofficemojo.com/schedule/?view=bydate&amp;release=theatrical&amp;date=2012-08-17&amp;p=.htm"/>
    <hyperlink ref="C111" r:id="rId321"/>
    <hyperlink ref="D111" r:id="rId322"/>
    <hyperlink ref="I111" r:id="rId323" display="http://www.boxofficemojo.com/schedule/?view=bydate&amp;release=theatrical&amp;date=2012-08-24&amp;p=.htm"/>
    <hyperlink ref="C112" r:id="rId324"/>
    <hyperlink ref="D112" r:id="rId325"/>
    <hyperlink ref="I112" r:id="rId326" display="http://www.boxofficemojo.com/schedule/?view=bydate&amp;release=theatrical&amp;date=2012-02-03&amp;p=.htm"/>
    <hyperlink ref="C113" r:id="rId327"/>
    <hyperlink ref="D113" r:id="rId328"/>
    <hyperlink ref="I113" r:id="rId329" display="http://www.boxofficemojo.com/schedule/?view=bydate&amp;release=theatrical&amp;date=2012-02-17&amp;p=.htm"/>
    <hyperlink ref="C114" r:id="rId330"/>
    <hyperlink ref="D114" r:id="rId331"/>
    <hyperlink ref="I114" r:id="rId332" display="http://www.boxofficemojo.com/schedule/?view=bydate&amp;release=theatrical&amp;date=2012-12-21&amp;p=.htm"/>
    <hyperlink ref="C115" r:id="rId333"/>
    <hyperlink ref="D115" r:id="rId334"/>
    <hyperlink ref="I115" r:id="rId335" display="http://www.boxofficemojo.com/schedule/?view=bydate&amp;release=theatrical&amp;date=2012-01-20&amp;p=.htm"/>
    <hyperlink ref="C116" r:id="rId336"/>
    <hyperlink ref="D116" r:id="rId337"/>
    <hyperlink ref="I116" r:id="rId338" display="http://www.boxofficemojo.com/schedule/?view=bydate&amp;release=theatrical&amp;date=2012-01-27&amp;p=.htm"/>
    <hyperlink ref="C117" r:id="rId339"/>
    <hyperlink ref="D117" r:id="rId340"/>
    <hyperlink ref="I117" r:id="rId341" display="http://www.boxofficemojo.com/schedule/?view=bydate&amp;release=theatrical&amp;date=2012-03-09&amp;p=.htm"/>
    <hyperlink ref="C118" r:id="rId342"/>
    <hyperlink ref="D118" r:id="rId343"/>
    <hyperlink ref="I118" r:id="rId344" display="http://www.boxofficemojo.com/schedule/?view=bydate&amp;release=theatrical&amp;date=2012-05-25&amp;p=.htm"/>
    <hyperlink ref="C119" r:id="rId345"/>
    <hyperlink ref="D119" r:id="rId346"/>
    <hyperlink ref="I119" r:id="rId347" display="http://www.boxofficemojo.com/schedule/?view=bydate&amp;release=theatrical&amp;date=2012-09-21&amp;p=.htm"/>
    <hyperlink ref="C120" r:id="rId348"/>
    <hyperlink ref="D120" r:id="rId349"/>
    <hyperlink ref="I120" r:id="rId350" display="http://www.boxofficemojo.com/schedule/?view=bydate&amp;release=theatrical&amp;date=2012-10-26&amp;p=.htm"/>
    <hyperlink ref="C121" r:id="rId351"/>
    <hyperlink ref="D121" r:id="rId352"/>
    <hyperlink ref="I121" r:id="rId353" display="http://www.boxofficemojo.com/schedule/?view=bydate&amp;release=theatrical&amp;date=2012-02-24&amp;p=.htm"/>
    <hyperlink ref="C122" r:id="rId354"/>
    <hyperlink ref="D122" r:id="rId355"/>
    <hyperlink ref="I122" r:id="rId356" display="http://www.boxofficemojo.com/schedule/?view=bydate&amp;release=theatrical&amp;date=2012-04-27&amp;p=.htm"/>
    <hyperlink ref="C123" r:id="rId357"/>
    <hyperlink ref="D123" r:id="rId358"/>
    <hyperlink ref="I123" r:id="rId359" display="http://www.boxofficemojo.com/schedule/?view=bydate&amp;release=theatrical&amp;date=2012-06-22&amp;p=.htm"/>
    <hyperlink ref="C124" r:id="rId360"/>
    <hyperlink ref="D124" r:id="rId361"/>
    <hyperlink ref="I124" r:id="rId362" display="http://www.boxofficemojo.com/schedule/?view=bydate&amp;release=theatrical&amp;date=2012-09-14&amp;p=.htm"/>
    <hyperlink ref="C125" r:id="rId363"/>
    <hyperlink ref="D125" r:id="rId364"/>
    <hyperlink ref="I125" r:id="rId365" display="http://www.boxofficemojo.com/schedule/?view=bydate&amp;release=theatrical&amp;date=2012-04-27&amp;p=.htm"/>
    <hyperlink ref="C126" r:id="rId366"/>
    <hyperlink ref="D126" r:id="rId367"/>
    <hyperlink ref="I126" r:id="rId368" display="http://www.boxofficemojo.com/schedule/?view=bydate&amp;release=theatrical&amp;date=2012-11-02&amp;p=.htm"/>
    <hyperlink ref="C127" r:id="rId369"/>
    <hyperlink ref="D127" r:id="rId370"/>
    <hyperlink ref="I127" r:id="rId371" display="http://www.boxofficemojo.com/schedule/?view=bydate&amp;release=theatrical&amp;date=2012-11-30&amp;p=.htm"/>
    <hyperlink ref="C128" r:id="rId372"/>
    <hyperlink ref="D128" r:id="rId373"/>
    <hyperlink ref="I128" r:id="rId374" display="http://www.boxofficemojo.com/schedule/?view=bydate&amp;release=theatrical&amp;date=2012-10-12&amp;p=.htm"/>
    <hyperlink ref="C129" r:id="rId375"/>
    <hyperlink ref="D129" r:id="rId376"/>
    <hyperlink ref="I129" r:id="rId377" display="http://www.boxofficemojo.com/schedule/?view=bydate&amp;release=theatrical&amp;date=2012-04-20&amp;p=.htm"/>
    <hyperlink ref="C130" r:id="rId378"/>
    <hyperlink ref="D130" r:id="rId379"/>
    <hyperlink ref="I130" r:id="rId380" display="http://www.boxofficemojo.com/schedule/?view=bydate&amp;release=theatrical&amp;date=2012-04-13&amp;p=.htm"/>
    <hyperlink ref="C131" r:id="rId381"/>
    <hyperlink ref="D131" r:id="rId382"/>
    <hyperlink ref="I131" r:id="rId383" display="http://www.boxofficemojo.com/schedule/?view=bydate&amp;release=theatrical&amp;date=2012-08-22&amp;p=.htm"/>
    <hyperlink ref="C132" r:id="rId384"/>
    <hyperlink ref="D132" r:id="rId385"/>
    <hyperlink ref="I132" r:id="rId386" display="http://www.boxofficemojo.com/schedule/?view=bydate&amp;release=theatrical&amp;date=2012-09-21&amp;p=.htm"/>
    <hyperlink ref="C133" r:id="rId387"/>
    <hyperlink ref="D133" r:id="rId388"/>
    <hyperlink ref="I133" r:id="rId389" display="http://www.boxofficemojo.com/schedule/?view=bydate&amp;release=theatrical&amp;date=2012-12-07&amp;p=.htm"/>
    <hyperlink ref="C134" r:id="rId390"/>
    <hyperlink ref="D134" r:id="rId391"/>
    <hyperlink ref="I134" r:id="rId392" display="http://www.boxofficemojo.com/schedule/?view=bydate&amp;release=theatrical&amp;date=2012-11-16&amp;p=.htm"/>
    <hyperlink ref="C135" r:id="rId393"/>
    <hyperlink ref="D135" r:id="rId394"/>
    <hyperlink ref="I135" r:id="rId395" display="http://www.boxofficemojo.com/schedule/?view=bydate&amp;release=theatrical&amp;date=2012-06-27&amp;p=.htm"/>
    <hyperlink ref="C136" r:id="rId396"/>
    <hyperlink ref="D136" r:id="rId397"/>
    <hyperlink ref="I136" r:id="rId398" display="http://www.boxofficemojo.com/schedule/?view=bydate&amp;release=theatrical&amp;date=2012-03-09&amp;p=.htm"/>
    <hyperlink ref="C137" r:id="rId399"/>
    <hyperlink ref="D137" r:id="rId400"/>
    <hyperlink ref="I137" r:id="rId401" display="http://www.boxofficemojo.com/schedule/?view=bydate&amp;release=theatrical&amp;date=2012-12-21&amp;p=.htm"/>
    <hyperlink ref="C138" r:id="rId402"/>
    <hyperlink ref="D138" r:id="rId403"/>
    <hyperlink ref="I138" r:id="rId404" display="http://www.boxofficemojo.com/schedule/?view=bydate&amp;release=theatrical&amp;date=2012-06-29&amp;p=.htm"/>
    <hyperlink ref="C139" r:id="rId405"/>
    <hyperlink ref="D139" r:id="rId406"/>
    <hyperlink ref="I139" r:id="rId407" display="http://www.boxofficemojo.com/schedule/?view=bydate&amp;release=theatrical&amp;date=2012-02-24&amp;p=.htm"/>
    <hyperlink ref="C140" r:id="rId408"/>
    <hyperlink ref="D140" r:id="rId409"/>
    <hyperlink ref="I140" r:id="rId410" display="http://www.boxofficemojo.com/schedule/?view=bydate&amp;release=theatrical&amp;date=2012-09-07&amp;p=.htm"/>
    <hyperlink ref="C141" r:id="rId411"/>
    <hyperlink ref="D141" r:id="rId412"/>
    <hyperlink ref="I141" r:id="rId413" display="http://www.boxofficemojo.com/schedule/?view=bydate&amp;release=theatrical&amp;date=2012-05-25&amp;p=.htm"/>
    <hyperlink ref="C142" r:id="rId414"/>
    <hyperlink ref="D142" r:id="rId415"/>
    <hyperlink ref="I142" r:id="rId416" display="http://www.boxofficemojo.com/schedule/?view=bydate&amp;release=theatrical&amp;date=2012-10-26&amp;p=.htm"/>
    <hyperlink ref="C143" r:id="rId417"/>
    <hyperlink ref="D143" r:id="rId418"/>
    <hyperlink ref="I143" r:id="rId419" display="http://www.boxofficemojo.com/schedule/?view=bydate&amp;release=theatrical&amp;date=2012-04-27&amp;p=.htm"/>
    <hyperlink ref="C144" r:id="rId420"/>
    <hyperlink ref="D144" r:id="rId421"/>
    <hyperlink ref="I144" r:id="rId422" display="http://www.boxofficemojo.com/schedule/?view=bydate&amp;release=theatrical&amp;date=2012-03-09&amp;p=.htm"/>
    <hyperlink ref="C145" r:id="rId423"/>
    <hyperlink ref="D145" r:id="rId424"/>
    <hyperlink ref="I145" r:id="rId425" display="http://www.boxofficemojo.com/schedule/?view=bydate&amp;release=theatrical&amp;date=2012-09-14&amp;p=.htm"/>
    <hyperlink ref="C146" r:id="rId426"/>
    <hyperlink ref="D146" r:id="rId427"/>
    <hyperlink ref="I146" r:id="rId428" display="http://www.boxofficemojo.com/schedule/?view=bydate&amp;release=theatrical&amp;date=2012-12-28&amp;p=.htm"/>
    <hyperlink ref="C147" r:id="rId429"/>
    <hyperlink ref="D147" r:id="rId430"/>
    <hyperlink ref="I147" r:id="rId431" display="http://www.boxofficemojo.com/schedule/?view=bydate&amp;release=theatrical&amp;date=2012-03-09&amp;p=.htm"/>
    <hyperlink ref="C148" r:id="rId432"/>
    <hyperlink ref="D148" r:id="rId433"/>
    <hyperlink ref="I148" r:id="rId434" display="http://www.boxofficemojo.com/schedule/?view=bydate&amp;release=theatrical&amp;date=2012-06-22&amp;p=.htm"/>
    <hyperlink ref="C149" r:id="rId435"/>
    <hyperlink ref="D149" r:id="rId436"/>
    <hyperlink ref="I149" r:id="rId437" display="http://www.boxofficemojo.com/schedule/?view=bydate&amp;release=theatrical&amp;date=2012-11-30&amp;p=.htm"/>
    <hyperlink ref="C150" r:id="rId438"/>
    <hyperlink ref="D150" r:id="rId439"/>
    <hyperlink ref="I150" r:id="rId440" display="http://www.boxofficemojo.com/schedule/?view=bydate&amp;release=theatrical&amp;date=2012-12-19&amp;p=.htm"/>
    <hyperlink ref="C151" r:id="rId441"/>
    <hyperlink ref="D151" r:id="rId442"/>
    <hyperlink ref="I151" r:id="rId443" display="http://www.boxofficemojo.com/schedule/?view=bydate&amp;release=theatrical&amp;date=2012-12-07&amp;p=.htm"/>
    <hyperlink ref="C152" r:id="rId444"/>
    <hyperlink ref="D152" r:id="rId445"/>
    <hyperlink ref="I152" r:id="rId446" display="http://www.boxofficemojo.com/schedule/?view=bydate&amp;release=theatrical&amp;date=2012-11-23&amp;p=.htm"/>
    <hyperlink ref="C153" r:id="rId447"/>
    <hyperlink ref="D153" r:id="rId448"/>
    <hyperlink ref="I153" r:id="rId449" display="http://www.boxofficemojo.com/schedule/?view=bydate&amp;release=theatrical&amp;date=2012-10-26&amp;p=.htm"/>
    <hyperlink ref="C154" r:id="rId450"/>
    <hyperlink ref="D154" r:id="rId451"/>
    <hyperlink ref="I154" r:id="rId452" display="http://www.boxofficemojo.com/schedule/?view=bydate&amp;release=theatrical&amp;date=2012-10-19&amp;p=.htm"/>
    <hyperlink ref="C155" r:id="rId453"/>
    <hyperlink ref="D155" r:id="rId454"/>
    <hyperlink ref="I155" r:id="rId455" display="http://www.boxofficemojo.com/schedule/?view=bydate&amp;release=theatrical&amp;date=2012-03-16&amp;p=.htm"/>
    <hyperlink ref="C156" r:id="rId456"/>
    <hyperlink ref="D156" r:id="rId457"/>
    <hyperlink ref="I156" r:id="rId458" display="http://www.boxofficemojo.com/schedule/?view=bydate&amp;release=theatrical&amp;date=2012-06-01&amp;p=.htm"/>
    <hyperlink ref="C157" r:id="rId459"/>
    <hyperlink ref="D157" r:id="rId460"/>
    <hyperlink ref="I157" r:id="rId461" display="http://www.boxofficemojo.com/schedule/?view=bydate&amp;release=theatrical&amp;date=2012-09-28&amp;p=.htm"/>
    <hyperlink ref="C158" r:id="rId462"/>
    <hyperlink ref="D158" r:id="rId463"/>
    <hyperlink ref="I158" r:id="rId464" display="http://www.boxofficemojo.com/schedule/?view=bydate&amp;release=theatrical&amp;date=2012-03-23&amp;p=.htm"/>
    <hyperlink ref="C159" r:id="rId465"/>
    <hyperlink ref="D159" r:id="rId466"/>
    <hyperlink ref="I159" r:id="rId467" display="http://www.boxofficemojo.com/schedule/?view=bydate&amp;release=theatrical&amp;date=2012-08-24&amp;p=.htm"/>
    <hyperlink ref="C160" r:id="rId468"/>
    <hyperlink ref="D160" r:id="rId469"/>
    <hyperlink ref="I160" r:id="rId470" display="http://www.boxofficemojo.com/schedule/?view=bydate&amp;release=theatrical&amp;date=2012-03-16&amp;p=.htm"/>
    <hyperlink ref="C161" r:id="rId471"/>
    <hyperlink ref="D161" r:id="rId472"/>
    <hyperlink ref="I161" r:id="rId473" display="http://www.boxofficemojo.com/schedule/?view=bydate&amp;release=theatrical&amp;date=2012-02-24&amp;p=.htm"/>
    <hyperlink ref="C162" r:id="rId474"/>
    <hyperlink ref="D162" r:id="rId475"/>
    <hyperlink ref="I162" r:id="rId476" display="http://www.boxofficemojo.com/schedule/?view=bydate&amp;release=theatrical&amp;date=2012-03-23&amp;p=.htm"/>
    <hyperlink ref="C163" r:id="rId477"/>
    <hyperlink ref="D163" r:id="rId478"/>
    <hyperlink ref="I163" r:id="rId479" display="http://www.boxofficemojo.com/schedule/?view=bydate&amp;release=theatrical&amp;date=2012-06-08&amp;p=.htm"/>
    <hyperlink ref="C164" r:id="rId480"/>
    <hyperlink ref="D164" r:id="rId481"/>
    <hyperlink ref="I164" r:id="rId482" display="http://www.boxofficemojo.com/schedule/?view=bydate&amp;release=theatrical&amp;date=2012-04-13&amp;p=.htm"/>
    <hyperlink ref="C165" r:id="rId483"/>
    <hyperlink ref="D165" r:id="rId484"/>
    <hyperlink ref="I165" r:id="rId485" display="http://www.boxofficemojo.com/schedule/?view=bydate&amp;release=theatrical&amp;date=2012-09-07&amp;p=.htm"/>
    <hyperlink ref="C166" r:id="rId486"/>
    <hyperlink ref="D166" r:id="rId487"/>
    <hyperlink ref="I166" r:id="rId488" display="http://www.boxofficemojo.com/schedule/?view=bydate&amp;release=theatrical&amp;date=2012-07-27&amp;p=.htm"/>
    <hyperlink ref="C167" r:id="rId489"/>
    <hyperlink ref="D167" r:id="rId490"/>
    <hyperlink ref="I167" r:id="rId491" display="http://www.boxofficemojo.com/schedule/?view=bydate&amp;release=theatrical&amp;date=2012-08-08&amp;p=.htm"/>
    <hyperlink ref="C168" r:id="rId492"/>
    <hyperlink ref="D168" r:id="rId493"/>
    <hyperlink ref="I168" r:id="rId494" display="http://www.boxofficemojo.com/schedule/?view=bydate&amp;release=theatrical&amp;date=2012-10-12&amp;p=.htm"/>
    <hyperlink ref="C169" r:id="rId495"/>
    <hyperlink ref="D169" r:id="rId496"/>
    <hyperlink ref="I169" r:id="rId497" display="http://www.boxofficemojo.com/schedule/?view=bydate&amp;release=theatrical&amp;date=2012-09-14&amp;p=.htm"/>
    <hyperlink ref="C170" r:id="rId498"/>
    <hyperlink ref="D170" r:id="rId499"/>
    <hyperlink ref="I170" r:id="rId500" display="http://www.boxofficemojo.com/schedule/?view=bydate&amp;release=theatrical&amp;date=2012-08-17&amp;p=.htm"/>
    <hyperlink ref="C171" r:id="rId501"/>
    <hyperlink ref="D171" r:id="rId502"/>
    <hyperlink ref="I171" r:id="rId503" display="http://www.boxofficemojo.com/schedule/?view=bydate&amp;release=theatrical&amp;date=2012-09-07&amp;p=.htm"/>
    <hyperlink ref="C172" r:id="rId504"/>
    <hyperlink ref="D172" r:id="rId505"/>
    <hyperlink ref="I172" r:id="rId506" display="http://www.boxofficemojo.com/schedule/?view=bydate&amp;release=theatrical&amp;date=2012-08-03&amp;p=.htm"/>
    <hyperlink ref="C173" r:id="rId507"/>
    <hyperlink ref="D173" r:id="rId508"/>
    <hyperlink ref="I173" r:id="rId509" display="http://www.boxofficemojo.com/schedule/?view=bydate&amp;release=theatrical&amp;date=2012-11-13&amp;p=.htm"/>
    <hyperlink ref="C174" r:id="rId510"/>
    <hyperlink ref="D174" r:id="rId511"/>
    <hyperlink ref="I174" r:id="rId512" display="http://www.boxofficemojo.com/schedule/?view=bydate&amp;release=theatrical&amp;date=2012-01-27&amp;p=.htm"/>
    <hyperlink ref="C175" r:id="rId513"/>
    <hyperlink ref="D175" r:id="rId514"/>
    <hyperlink ref="I175" r:id="rId515" display="http://www.boxofficemojo.com/schedule/?view=bydate&amp;release=theatrical&amp;date=2012-11-30&amp;p=.htm"/>
    <hyperlink ref="C176" r:id="rId516"/>
    <hyperlink ref="D176" r:id="rId517"/>
    <hyperlink ref="I176" r:id="rId518" display="http://www.boxofficemojo.com/schedule/?view=bydate&amp;release=theatrical&amp;date=2012-09-14&amp;p=.htm"/>
    <hyperlink ref="C177" r:id="rId519"/>
    <hyperlink ref="D177" r:id="rId520"/>
    <hyperlink ref="I177" r:id="rId521" display="http://www.boxofficemojo.com/schedule/?view=bydate&amp;release=theatrical&amp;date=2012-08-24&amp;p=.htm"/>
    <hyperlink ref="C178" r:id="rId522"/>
    <hyperlink ref="D178" r:id="rId523"/>
    <hyperlink ref="I178" r:id="rId524" display="http://www.boxofficemojo.com/schedule/?view=bydate&amp;release=theatrical&amp;date=2012-05-11&amp;p=.htm"/>
    <hyperlink ref="C179" r:id="rId525"/>
    <hyperlink ref="D179" r:id="rId526"/>
    <hyperlink ref="I179" r:id="rId527" display="http://www.boxofficemojo.com/schedule/?view=bydate&amp;release=theatrical&amp;date=2012-03-09&amp;p=.htm"/>
    <hyperlink ref="C180" r:id="rId528"/>
    <hyperlink ref="D180" r:id="rId529"/>
    <hyperlink ref="I180" r:id="rId530" display="http://www.boxofficemojo.com/schedule/?view=bydate&amp;release=theatrical&amp;date=2012-07-25&amp;p=.htm"/>
    <hyperlink ref="C181" r:id="rId531"/>
    <hyperlink ref="D181" r:id="rId532"/>
    <hyperlink ref="I181" r:id="rId533" display="http://www.boxofficemojo.com/schedule/?view=bydate&amp;release=theatrical&amp;date=2012-12-21&amp;p=.htm"/>
    <hyperlink ref="C182" r:id="rId534"/>
    <hyperlink ref="D182" r:id="rId535"/>
    <hyperlink ref="I182" r:id="rId536" display="http://www.boxofficemojo.com/schedule/?view=bydate&amp;release=theatrical&amp;date=2012-07-20&amp;p=.htm"/>
    <hyperlink ref="C183" r:id="rId537"/>
    <hyperlink ref="D183" r:id="rId538"/>
    <hyperlink ref="I183" r:id="rId539" display="http://www.boxofficemojo.com/schedule/?view=bydate&amp;release=theatrical&amp;date=2012-08-15&amp;p=.htm"/>
    <hyperlink ref="C184" r:id="rId540"/>
    <hyperlink ref="D184" r:id="rId541"/>
    <hyperlink ref="I184" r:id="rId542" display="http://www.boxofficemojo.com/schedule/?view=bydate&amp;release=theatrical&amp;date=2012-08-24&amp;p=.htm"/>
    <hyperlink ref="C185" r:id="rId543"/>
    <hyperlink ref="D185" r:id="rId544"/>
    <hyperlink ref="I185" r:id="rId545" display="http://www.boxofficemojo.com/schedule/?view=bydate&amp;release=theatrical&amp;date=2012-11-23&amp;p=.htm"/>
    <hyperlink ref="C186" r:id="rId546"/>
    <hyperlink ref="D186" r:id="rId547"/>
    <hyperlink ref="I186" r:id="rId548" display="http://www.boxofficemojo.com/schedule/?view=bydate&amp;release=theatrical&amp;date=2012-04-13&amp;p=.htm"/>
    <hyperlink ref="C187" r:id="rId549"/>
    <hyperlink ref="D187" r:id="rId550"/>
    <hyperlink ref="I187" r:id="rId551" display="http://www.boxofficemojo.com/schedule/?view=bydate&amp;release=theatrical&amp;date=2012-03-09&amp;p=.htm"/>
    <hyperlink ref="C188" r:id="rId552"/>
    <hyperlink ref="D188" r:id="rId553"/>
    <hyperlink ref="I188" r:id="rId554" display="http://www.boxofficemojo.com/schedule/?view=bydate&amp;release=theatrical&amp;date=2012-07-27&amp;p=.htm"/>
    <hyperlink ref="C189" r:id="rId555"/>
    <hyperlink ref="D189" r:id="rId556"/>
    <hyperlink ref="I189" r:id="rId557" display="http://www.boxofficemojo.com/schedule/?view=bydate&amp;release=theatrical&amp;date=2012-01-26&amp;p=.htm"/>
    <hyperlink ref="C190" r:id="rId558"/>
    <hyperlink ref="D190" r:id="rId559"/>
    <hyperlink ref="I190" r:id="rId560" display="http://www.boxofficemojo.com/schedule/?view=bydate&amp;release=theatrical&amp;date=2012-10-05&amp;p=.htm"/>
    <hyperlink ref="C191" r:id="rId561"/>
    <hyperlink ref="D191" r:id="rId562"/>
    <hyperlink ref="I191" r:id="rId563" display="http://www.boxofficemojo.com/schedule/?view=bydate&amp;release=theatrical&amp;date=2012-05-18&amp;p=.htm"/>
    <hyperlink ref="C192" r:id="rId564"/>
    <hyperlink ref="D192" r:id="rId565"/>
    <hyperlink ref="I192" r:id="rId566" display="http://www.boxofficemojo.com/schedule/?view=bydate&amp;release=theatrical&amp;date=2012-05-18&amp;p=.htm"/>
    <hyperlink ref="C193" r:id="rId567"/>
    <hyperlink ref="D193" r:id="rId568"/>
    <hyperlink ref="I193" r:id="rId569" display="http://www.boxofficemojo.com/schedule/?view=bydate&amp;release=theatrical&amp;date=2012-04-06&amp;p=.htm"/>
    <hyperlink ref="C194" r:id="rId570"/>
    <hyperlink ref="D194" r:id="rId571"/>
    <hyperlink ref="I194" r:id="rId572" display="http://www.boxofficemojo.com/schedule/?view=bydate&amp;release=theatrical&amp;date=2012-02-10&amp;p=.htm"/>
    <hyperlink ref="C195" r:id="rId573"/>
    <hyperlink ref="D195" r:id="rId574"/>
    <hyperlink ref="I195" r:id="rId575" display="http://www.boxofficemojo.com/schedule/?view=bydate&amp;release=theatrical&amp;date=2012-06-15&amp;p=.htm"/>
    <hyperlink ref="C196" r:id="rId576"/>
    <hyperlink ref="D196" r:id="rId577"/>
    <hyperlink ref="I196" r:id="rId578" display="http://www.boxofficemojo.com/schedule/?view=bydate&amp;release=theatrical&amp;date=2012-07-12&amp;p=.htm"/>
    <hyperlink ref="C197" r:id="rId579"/>
    <hyperlink ref="D197" r:id="rId580"/>
    <hyperlink ref="I197" r:id="rId581" display="http://www.boxofficemojo.com/schedule/?view=bydate&amp;release=theatrical&amp;date=2012-07-13&amp;p=.htm"/>
    <hyperlink ref="C198" r:id="rId582"/>
    <hyperlink ref="D198" r:id="rId583"/>
    <hyperlink ref="I198" r:id="rId584" display="http://www.boxofficemojo.com/schedule/?view=bydate&amp;release=theatrical&amp;date=2012-11-02&amp;p=.htm"/>
    <hyperlink ref="C199" r:id="rId585"/>
    <hyperlink ref="D199" r:id="rId586"/>
    <hyperlink ref="I199" r:id="rId587" display="http://www.boxofficemojo.com/schedule/?view=bydate&amp;release=theatrical&amp;date=2012-11-09&amp;p=.htm"/>
    <hyperlink ref="C200" r:id="rId588"/>
    <hyperlink ref="D200" r:id="rId589"/>
    <hyperlink ref="I200" r:id="rId590" display="http://www.boxofficemojo.com/schedule/?view=bydate&amp;release=theatrical&amp;date=2012-07-19&amp;p=.htm"/>
    <hyperlink ref="C201" r:id="rId591"/>
    <hyperlink ref="D201" r:id="rId592"/>
    <hyperlink ref="I201" r:id="rId593" display="http://www.boxofficemojo.com/schedule/?view=bydate&amp;release=theatrical&amp;date=2012-07-19&amp;p=.htm"/>
    <hyperlink ref="C202" r:id="rId594"/>
    <hyperlink ref="D202" r:id="rId595"/>
    <hyperlink ref="I202" r:id="rId596" display="http://www.boxofficemojo.com/schedule/?view=bydate&amp;release=theatrical&amp;date=2012-03-16&amp;p=.htm"/>
    <hyperlink ref="C203" r:id="rId597"/>
    <hyperlink ref="D203" r:id="rId598"/>
    <hyperlink ref="I203" r:id="rId599" display="http://www.boxofficemojo.com/schedule/?view=bydate&amp;release=theatrical&amp;date=2012-04-20&amp;p=.htm"/>
    <hyperlink ref="C204" r:id="rId600"/>
    <hyperlink ref="D204" r:id="rId601"/>
    <hyperlink ref="I204" r:id="rId602" display="http://www.boxofficemojo.com/schedule/?view=bydate&amp;release=theatrical&amp;date=2012-11-09&amp;p=.htm"/>
    <hyperlink ref="C205" r:id="rId603"/>
    <hyperlink ref="D205" r:id="rId604"/>
    <hyperlink ref="I205" r:id="rId605" display="http://www.boxofficemojo.com/schedule/?view=bydate&amp;release=theatrical&amp;date=2012-04-06&amp;p=.htm"/>
    <hyperlink ref="C206" r:id="rId606"/>
    <hyperlink ref="D206" r:id="rId607"/>
    <hyperlink ref="I206" r:id="rId608" display="http://www.boxofficemojo.com/schedule/?view=bydate&amp;release=theatrical&amp;date=2012-10-26&amp;p=.htm"/>
    <hyperlink ref="C207" r:id="rId609"/>
    <hyperlink ref="D207" r:id="rId610"/>
    <hyperlink ref="I207" r:id="rId611" display="http://www.boxofficemojo.com/schedule/?view=bydate&amp;release=theatrical&amp;date=2012-08-31&amp;p=.htm"/>
    <hyperlink ref="C208" r:id="rId612"/>
    <hyperlink ref="D208" r:id="rId613"/>
    <hyperlink ref="I208" r:id="rId614" display="http://www.boxofficemojo.com/schedule/?view=bydate&amp;release=theatrical&amp;date=2012-06-29&amp;p=.htm"/>
    <hyperlink ref="C209" r:id="rId615"/>
    <hyperlink ref="D209" r:id="rId616"/>
    <hyperlink ref="I209" r:id="rId617" display="http://www.boxofficemojo.com/schedule/?view=bydate&amp;release=theatrical&amp;date=2012-07-13&amp;p=.htm"/>
    <hyperlink ref="C210" r:id="rId618"/>
    <hyperlink ref="D210" r:id="rId619"/>
    <hyperlink ref="I210" r:id="rId620" display="http://www.boxofficemojo.com/schedule/?view=bydate&amp;release=theatrical&amp;date=2012-07-06&amp;p=.htm"/>
    <hyperlink ref="C211" r:id="rId621"/>
    <hyperlink ref="D211" r:id="rId622"/>
    <hyperlink ref="I211" r:id="rId623" display="http://www.boxofficemojo.com/schedule/?view=bydate&amp;release=theatrical&amp;date=2012-04-13&amp;p=.htm"/>
    <hyperlink ref="C212" r:id="rId624"/>
    <hyperlink ref="D212" r:id="rId625"/>
    <hyperlink ref="I212" r:id="rId626" display="http://www.boxofficemojo.com/schedule/?view=bydate&amp;release=theatrical&amp;date=2012-04-27&amp;p=.htm"/>
    <hyperlink ref="C213" r:id="rId627"/>
    <hyperlink ref="D213" r:id="rId628"/>
    <hyperlink ref="I213" r:id="rId629" display="http://www.boxofficemojo.com/schedule/?view=bydate&amp;release=theatrical&amp;date=2012-03-21&amp;p=.htm"/>
    <hyperlink ref="C214" r:id="rId630"/>
    <hyperlink ref="D214" r:id="rId631"/>
    <hyperlink ref="I214" r:id="rId632" display="http://www.boxofficemojo.com/schedule/?view=bydate&amp;release=theatrical&amp;date=2012-03-23&amp;p=.htm"/>
    <hyperlink ref="C215" r:id="rId633"/>
    <hyperlink ref="D215" r:id="rId634"/>
    <hyperlink ref="I215" r:id="rId635" display="http://www.boxofficemojo.com/schedule/?view=bydate&amp;release=theatrical&amp;date=2012-08-29&amp;p=.htm"/>
    <hyperlink ref="C216" r:id="rId636"/>
    <hyperlink ref="D216" r:id="rId637"/>
    <hyperlink ref="I216" r:id="rId638" display="http://www.boxofficemojo.com/schedule/?view=bydate&amp;release=theatrical&amp;date=2012-02-10&amp;p=.htm"/>
    <hyperlink ref="C217" r:id="rId639"/>
    <hyperlink ref="D217" r:id="rId640"/>
    <hyperlink ref="I217" r:id="rId641" display="http://www.boxofficemojo.com/schedule/?view=bydate&amp;release=theatrical&amp;date=2012-09-21&amp;p=.htm"/>
    <hyperlink ref="C218" r:id="rId642"/>
    <hyperlink ref="D218" r:id="rId643"/>
    <hyperlink ref="I218" r:id="rId644" display="http://www.boxofficemojo.com/schedule/?view=bydate&amp;release=theatrical&amp;date=2012-05-04&amp;p=.htm"/>
    <hyperlink ref="C219" r:id="rId645"/>
    <hyperlink ref="D219" r:id="rId646"/>
    <hyperlink ref="I219" r:id="rId647" display="http://www.boxofficemojo.com/schedule/?view=bydate&amp;release=theatrical&amp;date=2012-12-21&amp;p=.htm"/>
    <hyperlink ref="C220" r:id="rId648"/>
    <hyperlink ref="D220" r:id="rId649"/>
    <hyperlink ref="I220" r:id="rId650" display="http://www.boxofficemojo.com/schedule/?view=bydate&amp;release=theatrical&amp;date=2012-04-06&amp;p=.htm"/>
    <hyperlink ref="C221" r:id="rId651"/>
    <hyperlink ref="D221" r:id="rId652"/>
    <hyperlink ref="I221" r:id="rId653" display="http://www.boxofficemojo.com/schedule/?view=bydate&amp;release=theatrical&amp;date=2012-09-21&amp;p=.htm"/>
    <hyperlink ref="C222" r:id="rId654"/>
    <hyperlink ref="D222" r:id="rId655"/>
    <hyperlink ref="I222" r:id="rId656" display="http://www.boxofficemojo.com/schedule/?view=bydate&amp;release=theatrical&amp;date=2012-07-24&amp;p=.htm"/>
    <hyperlink ref="C223" r:id="rId657"/>
    <hyperlink ref="D223" r:id="rId658"/>
    <hyperlink ref="I223" r:id="rId659" display="http://www.boxofficemojo.com/schedule/?view=bydate&amp;release=theatrical&amp;date=2012-02-10&amp;p=.htm"/>
    <hyperlink ref="C224" r:id="rId660"/>
    <hyperlink ref="D224" r:id="rId661"/>
    <hyperlink ref="I224" r:id="rId662" display="http://www.boxofficemojo.com/schedule/?view=bydate&amp;release=theatrical&amp;date=2012-09-21&amp;p=.htm"/>
    <hyperlink ref="C225" r:id="rId663"/>
    <hyperlink ref="D225" r:id="rId664"/>
    <hyperlink ref="I225" r:id="rId665" display="http://www.boxofficemojo.com/schedule/?view=bydate&amp;release=theatrical&amp;date=2012-07-13&amp;p=.htm"/>
    <hyperlink ref="C226" r:id="rId666"/>
    <hyperlink ref="D226" r:id="rId667"/>
    <hyperlink ref="I226" r:id="rId668" display="http://www.boxofficemojo.com/schedule/?view=bydate&amp;release=theatrical&amp;date=2012-05-18&amp;p=.htm"/>
    <hyperlink ref="C227" r:id="rId669"/>
    <hyperlink ref="D227" r:id="rId670"/>
    <hyperlink ref="I227" r:id="rId671" display="http://www.boxofficemojo.com/schedule/?view=bydate&amp;release=theatrical&amp;date=2012-04-20&amp;p=.htm"/>
    <hyperlink ref="C228" r:id="rId672"/>
    <hyperlink ref="D228" r:id="rId673"/>
    <hyperlink ref="I228" r:id="rId674" display="http://www.boxofficemojo.com/schedule/?view=bydate&amp;release=theatrical&amp;date=2012-02-17&amp;p=.htm"/>
    <hyperlink ref="C229" r:id="rId675"/>
    <hyperlink ref="D229" r:id="rId676"/>
    <hyperlink ref="I229" r:id="rId677" display="http://www.boxofficemojo.com/schedule/?view=bydate&amp;release=theatrical&amp;date=2012-06-22&amp;p=.htm"/>
    <hyperlink ref="C230" r:id="rId678"/>
    <hyperlink ref="D230" r:id="rId679"/>
    <hyperlink ref="I230" r:id="rId680" display="http://www.boxofficemojo.com/schedule/?view=bydate&amp;release=theatrical&amp;date=2012-05-26&amp;p=.htm"/>
    <hyperlink ref="C231" r:id="rId681"/>
    <hyperlink ref="D231" r:id="rId682"/>
    <hyperlink ref="I231" r:id="rId683" display="http://www.boxofficemojo.com/schedule/?view=bydate&amp;release=theatrical&amp;date=2012-06-01&amp;p=.htm"/>
    <hyperlink ref="C232" r:id="rId684"/>
    <hyperlink ref="D232" r:id="rId685"/>
    <hyperlink ref="I232" r:id="rId686" display="http://www.boxofficemojo.com/schedule/?view=bydate&amp;release=theatrical&amp;date=2012-11-13&amp;p=.htm"/>
    <hyperlink ref="C233" r:id="rId687"/>
    <hyperlink ref="D233" r:id="rId688"/>
    <hyperlink ref="I233" r:id="rId689" display="http://www.boxofficemojo.com/schedule/?view=bydate&amp;release=theatrical&amp;date=2012-08-17&amp;p=.htm"/>
    <hyperlink ref="C234" r:id="rId690"/>
    <hyperlink ref="D234" r:id="rId691"/>
    <hyperlink ref="I234" r:id="rId692" display="http://www.boxofficemojo.com/schedule/?view=bydate&amp;release=theatrical&amp;date=2012-01-20&amp;p=.htm"/>
    <hyperlink ref="C235" r:id="rId693"/>
    <hyperlink ref="D235" r:id="rId694"/>
    <hyperlink ref="I235" r:id="rId695" display="http://www.boxofficemojo.com/schedule/?view=bydate&amp;release=theatrical&amp;date=2012-12-21&amp;p=.htm"/>
    <hyperlink ref="C236" r:id="rId696"/>
    <hyperlink ref="D236" r:id="rId697"/>
    <hyperlink ref="I236" r:id="rId698" display="http://www.boxofficemojo.com/schedule/?view=bydate&amp;release=theatrical&amp;date=2012-03-23&amp;p=.htm"/>
    <hyperlink ref="C237" r:id="rId699"/>
    <hyperlink ref="D237" r:id="rId700"/>
    <hyperlink ref="I237" r:id="rId701" display="http://www.boxofficemojo.com/schedule/?view=bydate&amp;release=theatrical&amp;date=2012-10-05&amp;p=.htm"/>
    <hyperlink ref="C238" r:id="rId702"/>
    <hyperlink ref="D238" r:id="rId703"/>
    <hyperlink ref="I238" r:id="rId704" display="http://www.boxofficemojo.com/schedule/?view=bydate&amp;release=theatrical&amp;date=2012-10-12&amp;p=.htm"/>
    <hyperlink ref="C239" r:id="rId705"/>
    <hyperlink ref="D239" r:id="rId706"/>
    <hyperlink ref="I239" r:id="rId707" display="http://www.boxofficemojo.com/schedule/?view=bydate&amp;release=theatrical&amp;date=2012-10-19&amp;p=.htm"/>
    <hyperlink ref="C240" r:id="rId708"/>
    <hyperlink ref="D240" r:id="rId709"/>
    <hyperlink ref="I240" r:id="rId710" display="http://www.boxofficemojo.com/schedule/?view=bydate&amp;release=theatrical&amp;date=2012-11-21&amp;p=.htm"/>
    <hyperlink ref="C241" r:id="rId711"/>
    <hyperlink ref="D241" r:id="rId712"/>
    <hyperlink ref="I241" r:id="rId713" display="http://www.boxofficemojo.com/schedule/?view=bydate&amp;release=theatrical&amp;date=2012-10-17&amp;p=.htm"/>
    <hyperlink ref="C242" r:id="rId714"/>
    <hyperlink ref="D242" r:id="rId715"/>
    <hyperlink ref="I242" r:id="rId716" display="http://www.boxofficemojo.com/schedule/?view=bydate&amp;release=theatrical&amp;date=2012-08-10&amp;p=.htm"/>
    <hyperlink ref="C243" r:id="rId717"/>
    <hyperlink ref="D243" r:id="rId718"/>
    <hyperlink ref="I243" r:id="rId719" display="http://www.boxofficemojo.com/schedule/?view=bydate&amp;release=theatrical&amp;date=2012-12-21&amp;p=.htm"/>
    <hyperlink ref="C244" r:id="rId720"/>
    <hyperlink ref="D244" r:id="rId721"/>
    <hyperlink ref="I244" r:id="rId722" display="http://www.boxofficemojo.com/schedule/?view=bydate&amp;release=theatrical&amp;date=2012-09-21&amp;p=.htm"/>
    <hyperlink ref="C245" r:id="rId723"/>
    <hyperlink ref="D245" r:id="rId724"/>
    <hyperlink ref="I245" r:id="rId725" display="http://www.boxofficemojo.com/schedule/?view=bydate&amp;release=theatrical&amp;date=2012-04-13&amp;p=.htm"/>
    <hyperlink ref="C246" r:id="rId726"/>
    <hyperlink ref="D246" r:id="rId727"/>
    <hyperlink ref="I246" r:id="rId728" display="http://www.boxofficemojo.com/schedule/?view=bydate&amp;release=theatrical&amp;date=2012-06-08&amp;p=.htm"/>
    <hyperlink ref="C247" r:id="rId729"/>
    <hyperlink ref="D247" r:id="rId730"/>
    <hyperlink ref="I247" r:id="rId731" display="http://www.boxofficemojo.com/schedule/?view=bydate&amp;release=theatrical&amp;date=2012-08-24&amp;p=.htm"/>
    <hyperlink ref="C248" r:id="rId732"/>
    <hyperlink ref="D248" r:id="rId733"/>
    <hyperlink ref="I248" r:id="rId734" display="http://www.boxofficemojo.com/schedule/?view=bydate&amp;release=theatrical&amp;date=2012-02-03&amp;p=.htm"/>
    <hyperlink ref="C249" r:id="rId735"/>
    <hyperlink ref="D249" r:id="rId736"/>
    <hyperlink ref="I249" r:id="rId737" display="http://www.boxofficemojo.com/schedule/?view=bydate&amp;release=theatrical&amp;date=2012-02-17&amp;p=.htm"/>
    <hyperlink ref="C250" r:id="rId738"/>
    <hyperlink ref="D250" r:id="rId739"/>
    <hyperlink ref="I250" r:id="rId740" display="http://www.boxofficemojo.com/schedule/?view=bydate&amp;release=theatrical&amp;date=2012-04-20&amp;p=.htm"/>
    <hyperlink ref="C251" r:id="rId741"/>
    <hyperlink ref="D251" r:id="rId742"/>
    <hyperlink ref="I251" r:id="rId743" display="http://www.boxofficemojo.com/schedule/?view=bydate&amp;release=theatrical&amp;date=2012-04-06&amp;p=.htm"/>
    <hyperlink ref="C252" r:id="rId744"/>
    <hyperlink ref="D252" r:id="rId745"/>
    <hyperlink ref="I252" r:id="rId746" display="http://www.boxofficemojo.com/schedule/?view=bydate&amp;release=theatrical&amp;date=2012-03-02&amp;p=.htm"/>
    <hyperlink ref="C253" r:id="rId747"/>
    <hyperlink ref="D253" r:id="rId748"/>
    <hyperlink ref="I253" r:id="rId749" display="http://www.boxofficemojo.com/schedule/?view=bydate&amp;release=theatrical&amp;date=2012-07-27&amp;p=.htm"/>
    <hyperlink ref="C254" r:id="rId750"/>
    <hyperlink ref="D254" r:id="rId751"/>
    <hyperlink ref="I254" r:id="rId752" display="http://www.boxofficemojo.com/schedule/?view=bydate&amp;release=theatrical&amp;date=2012-05-11&amp;p=.htm"/>
    <hyperlink ref="C255" r:id="rId753"/>
    <hyperlink ref="D255" r:id="rId754"/>
    <hyperlink ref="I255" r:id="rId755" display="http://www.boxofficemojo.com/schedule/?view=bydate&amp;release=theatrical&amp;date=2012-07-18&amp;p=.htm"/>
    <hyperlink ref="C256" r:id="rId756"/>
    <hyperlink ref="D256" r:id="rId757"/>
    <hyperlink ref="I256" r:id="rId758" display="http://www.boxofficemojo.com/schedule/?view=bydate&amp;release=theatrical&amp;date=2012-03-16&amp;p=.htm"/>
    <hyperlink ref="C257" r:id="rId759"/>
    <hyperlink ref="D257" r:id="rId760"/>
    <hyperlink ref="I257" r:id="rId761" display="http://www.boxofficemojo.com/schedule/?view=bydate&amp;release=theatrical&amp;date=2012-10-19&amp;p=.htm"/>
    <hyperlink ref="C258" r:id="rId762"/>
    <hyperlink ref="D258" r:id="rId763"/>
    <hyperlink ref="I258" r:id="rId764" display="http://www.boxofficemojo.com/schedule/?view=bydate&amp;release=theatrical&amp;date=2012-09-07&amp;p=.htm"/>
    <hyperlink ref="C259" r:id="rId765"/>
    <hyperlink ref="D259" r:id="rId766"/>
    <hyperlink ref="I259" r:id="rId767" display="http://www.boxofficemojo.com/schedule/?view=bydate&amp;release=theatrical&amp;date=2012-06-15&amp;p=.htm"/>
    <hyperlink ref="C260" r:id="rId768"/>
    <hyperlink ref="D260" r:id="rId769"/>
    <hyperlink ref="I260" r:id="rId770" display="http://www.boxofficemojo.com/schedule/?view=bydate&amp;release=theatrical&amp;date=2012-03-16&amp;p=.htm"/>
    <hyperlink ref="C261" r:id="rId771"/>
    <hyperlink ref="D261" r:id="rId772"/>
    <hyperlink ref="I261" r:id="rId773" display="http://www.boxofficemojo.com/schedule/?view=bydate&amp;release=theatrical&amp;date=2012-04-27&amp;p=.htm"/>
    <hyperlink ref="C262" r:id="rId774"/>
    <hyperlink ref="D262" r:id="rId775"/>
    <hyperlink ref="I262" r:id="rId776" display="http://www.boxofficemojo.com/schedule/?view=bydate&amp;release=theatrical&amp;date=2012-09-07&amp;p=.htm"/>
    <hyperlink ref="C263" r:id="rId777"/>
    <hyperlink ref="D263" r:id="rId778"/>
    <hyperlink ref="I263" r:id="rId779" display="http://www.boxofficemojo.com/schedule/?view=bydate&amp;release=theatrical&amp;date=2012-07-20&amp;p=.htm"/>
    <hyperlink ref="C264" r:id="rId780"/>
    <hyperlink ref="D264" r:id="rId781"/>
    <hyperlink ref="I264" r:id="rId782" display="http://www.boxofficemojo.com/schedule/?view=bydate&amp;release=theatrical&amp;date=2012-12-07&amp;p=.htm"/>
    <hyperlink ref="C265" r:id="rId783"/>
    <hyperlink ref="D265" r:id="rId784"/>
    <hyperlink ref="I265" r:id="rId785" display="http://www.boxofficemojo.com/schedule/?view=bydate&amp;release=theatrical&amp;date=2012-10-12&amp;p=.htm"/>
    <hyperlink ref="C266" r:id="rId786"/>
    <hyperlink ref="D266" r:id="rId787"/>
    <hyperlink ref="I266" r:id="rId788" display="http://www.boxofficemojo.com/schedule/?view=bydate&amp;release=theatrical&amp;date=2012-06-01&amp;p=.htm"/>
    <hyperlink ref="C267" r:id="rId789"/>
    <hyperlink ref="D267" r:id="rId790"/>
    <hyperlink ref="I267" r:id="rId791" display="http://www.boxofficemojo.com/schedule/?view=bydate&amp;release=theatrical&amp;date=2012-10-05&amp;p=.htm"/>
    <hyperlink ref="C268" r:id="rId792"/>
    <hyperlink ref="D268" r:id="rId793"/>
    <hyperlink ref="I268" r:id="rId794" display="http://www.boxofficemojo.com/schedule/?view=bydate&amp;release=theatrical&amp;date=2012-04-13&amp;p=.htm"/>
    <hyperlink ref="C269" r:id="rId795"/>
    <hyperlink ref="D269" r:id="rId796"/>
    <hyperlink ref="I269" r:id="rId797" display="http://www.boxofficemojo.com/schedule/?view=bydate&amp;release=theatrical&amp;date=2012-09-07&amp;p=.htm"/>
    <hyperlink ref="C270" r:id="rId798"/>
    <hyperlink ref="D270" r:id="rId799"/>
    <hyperlink ref="I270" r:id="rId800" display="http://www.boxofficemojo.com/schedule/?view=bydate&amp;release=theatrical&amp;date=2012-02-10&amp;p=.htm"/>
    <hyperlink ref="C271" r:id="rId801"/>
    <hyperlink ref="D271" r:id="rId802"/>
    <hyperlink ref="I271" r:id="rId803" display="http://www.boxofficemojo.com/schedule/?view=bydate&amp;release=theatrical&amp;date=2012-11-30&amp;p=.htm"/>
    <hyperlink ref="C272" r:id="rId804"/>
    <hyperlink ref="D272" r:id="rId805"/>
    <hyperlink ref="I272" r:id="rId806" display="http://www.boxofficemojo.com/schedule/?view=bydate&amp;release=theatrical&amp;date=2012-08-10&amp;p=.htm"/>
    <hyperlink ref="C273" r:id="rId807"/>
    <hyperlink ref="D273" r:id="rId808"/>
    <hyperlink ref="I273" r:id="rId809" display="http://www.boxofficemojo.com/schedule/?view=bydate&amp;release=theatrical&amp;date=2012-09-14&amp;p=.htm"/>
    <hyperlink ref="C274" r:id="rId810"/>
    <hyperlink ref="D274" r:id="rId811"/>
    <hyperlink ref="I274" r:id="rId812" display="http://www.boxofficemojo.com/schedule/?view=bydate&amp;release=theatrical&amp;date=2012-11-23&amp;p=.htm"/>
    <hyperlink ref="C275" r:id="rId813"/>
    <hyperlink ref="D275" r:id="rId814"/>
    <hyperlink ref="I275" r:id="rId815" display="http://www.boxofficemojo.com/schedule/?view=bydate&amp;release=theatrical&amp;date=2012-08-17&amp;p=.htm"/>
    <hyperlink ref="C276" r:id="rId816"/>
    <hyperlink ref="D276" r:id="rId817"/>
    <hyperlink ref="I276" r:id="rId818" display="http://www.boxofficemojo.com/schedule/?view=bydate&amp;release=theatrical&amp;date=2012-03-02&amp;p=.htm"/>
    <hyperlink ref="C277" r:id="rId819"/>
    <hyperlink ref="D277" r:id="rId820"/>
    <hyperlink ref="I277" r:id="rId821" display="http://www.boxofficemojo.com/schedule/?view=bydate&amp;release=theatrical&amp;date=2012-11-30&amp;p=.htm"/>
    <hyperlink ref="C278" r:id="rId822"/>
    <hyperlink ref="D278" r:id="rId823"/>
    <hyperlink ref="I278" r:id="rId824" display="http://www.boxofficemojo.com/schedule/?view=bydate&amp;release=theatrical&amp;date=2012-01-20&amp;p=.htm"/>
    <hyperlink ref="C279" r:id="rId825"/>
    <hyperlink ref="D279" r:id="rId826"/>
    <hyperlink ref="I279" r:id="rId827" display="http://www.boxofficemojo.com/schedule/?view=bydate&amp;release=theatrical&amp;date=2012-12-25&amp;p=.htm"/>
    <hyperlink ref="C280" r:id="rId828"/>
    <hyperlink ref="D280" r:id="rId829"/>
    <hyperlink ref="I280" r:id="rId830" display="http://www.boxofficemojo.com/schedule/?view=bydate&amp;release=theatrical&amp;date=2012-06-01&amp;p=.htm"/>
    <hyperlink ref="C281" r:id="rId831"/>
    <hyperlink ref="D281" r:id="rId832"/>
    <hyperlink ref="I281" r:id="rId833" display="http://www.boxofficemojo.com/schedule/?view=bydate&amp;release=theatrical&amp;date=2012-02-17&amp;p=.htm"/>
    <hyperlink ref="C282" r:id="rId834"/>
    <hyperlink ref="D282" r:id="rId835"/>
    <hyperlink ref="I282" r:id="rId836" display="http://www.boxofficemojo.com/schedule/?view=bydate&amp;release=theatrical&amp;date=2012-09-14&amp;p=.htm"/>
    <hyperlink ref="C283" r:id="rId837"/>
    <hyperlink ref="D283" r:id="rId838"/>
    <hyperlink ref="I283" r:id="rId839" display="http://www.boxofficemojo.com/schedule/?view=bydate&amp;release=theatrical&amp;date=2012-06-15&amp;p=.htm"/>
    <hyperlink ref="C284" r:id="rId840"/>
    <hyperlink ref="D284" r:id="rId841"/>
    <hyperlink ref="I284" r:id="rId842" display="http://www.boxofficemojo.com/schedule/?view=bydate&amp;release=theatrical&amp;date=2012-03-30&amp;p=.htm"/>
    <hyperlink ref="C285" r:id="rId843"/>
    <hyperlink ref="D285" r:id="rId844"/>
    <hyperlink ref="I285" r:id="rId845" display="http://www.boxofficemojo.com/schedule/?view=bydate&amp;release=theatrical&amp;date=2012-03-30&amp;p=.htm"/>
    <hyperlink ref="C286" r:id="rId846"/>
    <hyperlink ref="D286" r:id="rId847"/>
    <hyperlink ref="I286" r:id="rId848" display="http://www.boxofficemojo.com/schedule/?view=bydate&amp;release=theatrical&amp;date=2012-03-02&amp;p=.htm"/>
    <hyperlink ref="C287" r:id="rId849"/>
    <hyperlink ref="D287" r:id="rId850"/>
    <hyperlink ref="I287" r:id="rId851" display="http://www.boxofficemojo.com/schedule/?view=bydate&amp;release=theatrical&amp;date=2012-08-17&amp;p=.htm"/>
    <hyperlink ref="C288" r:id="rId852"/>
    <hyperlink ref="D288" r:id="rId853"/>
    <hyperlink ref="I288" r:id="rId854" display="http://www.boxofficemojo.com/schedule/?view=bydate&amp;release=theatrical&amp;date=2012-06-08&amp;p=.htm"/>
    <hyperlink ref="C289" r:id="rId855"/>
    <hyperlink ref="D289" r:id="rId856"/>
    <hyperlink ref="I289" r:id="rId857" display="http://www.boxofficemojo.com/schedule/?view=bydate&amp;release=theatrical&amp;date=2012-09-07&amp;p=.htm"/>
    <hyperlink ref="C290" r:id="rId858"/>
    <hyperlink ref="D290" r:id="rId859"/>
    <hyperlink ref="I290" r:id="rId860" display="http://www.boxofficemojo.com/schedule/?view=bydate&amp;release=theatrical&amp;date=2012-09-26&amp;p=.htm"/>
    <hyperlink ref="C291" r:id="rId861"/>
    <hyperlink ref="D291" r:id="rId862"/>
    <hyperlink ref="I291" r:id="rId863" display="http://www.boxofficemojo.com/schedule/?view=bydate&amp;release=theatrical&amp;date=2012-09-21&amp;p=.htm"/>
    <hyperlink ref="C292" r:id="rId864"/>
    <hyperlink ref="D292" r:id="rId865"/>
    <hyperlink ref="I292" r:id="rId866" display="http://www.boxofficemojo.com/schedule/?view=bydate&amp;release=theatrical&amp;date=2012-03-14&amp;p=.htm"/>
    <hyperlink ref="C293" r:id="rId867"/>
    <hyperlink ref="D293" r:id="rId868"/>
    <hyperlink ref="I293" r:id="rId869" display="http://www.boxofficemojo.com/schedule/?view=bydate&amp;release=theatrical&amp;date=2012-07-13&amp;p=.htm"/>
    <hyperlink ref="C294" r:id="rId870"/>
    <hyperlink ref="D294" r:id="rId871"/>
    <hyperlink ref="I294" r:id="rId872" display="http://www.boxofficemojo.com/schedule/?view=bydate&amp;release=theatrical&amp;date=2012-10-12&amp;p=.htm"/>
    <hyperlink ref="C295" r:id="rId873"/>
    <hyperlink ref="D295" r:id="rId874"/>
    <hyperlink ref="I295" r:id="rId875" display="http://www.boxofficemojo.com/schedule/?view=bydate&amp;release=theatrical&amp;date=2012-05-16&amp;p=.htm"/>
    <hyperlink ref="C296" r:id="rId876"/>
    <hyperlink ref="D296" r:id="rId877"/>
    <hyperlink ref="I296" r:id="rId878" display="http://www.boxofficemojo.com/schedule/?view=bydate&amp;release=theatrical&amp;date=2012-04-27&amp;p=.htm"/>
    <hyperlink ref="C297" r:id="rId879"/>
    <hyperlink ref="D297" r:id="rId880"/>
    <hyperlink ref="I297" r:id="rId881" display="http://www.boxofficemojo.com/schedule/?view=bydate&amp;release=theatrical&amp;date=2012-01-20&amp;p=.htm"/>
    <hyperlink ref="C298" r:id="rId882"/>
    <hyperlink ref="D298" r:id="rId883"/>
    <hyperlink ref="I298" r:id="rId884" display="http://www.boxofficemojo.com/schedule/?view=bydate&amp;release=theatrical&amp;date=2012-10-19&amp;p=.htm"/>
    <hyperlink ref="C299" r:id="rId885"/>
    <hyperlink ref="D299" r:id="rId886"/>
    <hyperlink ref="I299" r:id="rId887" display="http://www.boxofficemojo.com/schedule/?view=bydate&amp;release=theatrical&amp;date=2012-06-29&amp;p=.htm"/>
    <hyperlink ref="C300" r:id="rId888"/>
    <hyperlink ref="D300" r:id="rId889"/>
    <hyperlink ref="I300" r:id="rId890" display="http://www.boxofficemojo.com/schedule/?view=bydate&amp;release=theatrical&amp;date=2012-09-28&amp;p=.htm"/>
    <hyperlink ref="C301" r:id="rId891"/>
    <hyperlink ref="D301" r:id="rId892"/>
    <hyperlink ref="I301" r:id="rId893" display="http://www.boxofficemojo.com/schedule/?view=bydate&amp;release=theatrical&amp;date=2012-10-19&amp;p=.htm"/>
    <hyperlink ref="C302" r:id="rId894"/>
    <hyperlink ref="D302" r:id="rId895"/>
    <hyperlink ref="I302" r:id="rId896" display="http://www.boxofficemojo.com/schedule/?view=bydate&amp;release=theatrical&amp;date=2012-05-18&amp;p=.htm"/>
    <hyperlink ref="C303" r:id="rId897"/>
    <hyperlink ref="D303" r:id="rId898"/>
    <hyperlink ref="I303" r:id="rId899" display="http://www.boxofficemojo.com/schedule/?view=bydate&amp;release=theatrical&amp;date=2012-08-24&amp;p=.htm"/>
    <hyperlink ref="C304" r:id="rId900"/>
    <hyperlink ref="D304" r:id="rId901"/>
    <hyperlink ref="I304" r:id="rId902" display="http://www.boxofficemojo.com/schedule/?view=bydate&amp;release=theatrical&amp;date=2012-10-05&amp;p=.htm"/>
    <hyperlink ref="C305" r:id="rId903"/>
    <hyperlink ref="D305" r:id="rId904"/>
    <hyperlink ref="I305" r:id="rId905" display="http://www.boxofficemojo.com/schedule/?view=bydate&amp;release=theatrical&amp;date=2012-08-17&amp;p=.htm"/>
    <hyperlink ref="C306" r:id="rId906"/>
    <hyperlink ref="D306" r:id="rId907"/>
    <hyperlink ref="I306" r:id="rId908" display="http://www.boxofficemojo.com/schedule/?view=bydate&amp;release=theatrical&amp;date=2012-08-24&amp;p=.htm"/>
    <hyperlink ref="C307" r:id="rId909"/>
    <hyperlink ref="D307" r:id="rId910"/>
    <hyperlink ref="I307" r:id="rId911" display="http://www.boxofficemojo.com/schedule/?view=bydate&amp;release=theatrical&amp;date=2012-07-11&amp;p=.htm"/>
    <hyperlink ref="C308" r:id="rId912"/>
    <hyperlink ref="D308" r:id="rId913"/>
    <hyperlink ref="I308" r:id="rId914" display="http://www.boxofficemojo.com/schedule/?view=bydate&amp;release=theatrical&amp;date=2012-01-13&amp;p=.htm"/>
    <hyperlink ref="C309" r:id="rId915"/>
    <hyperlink ref="D309" r:id="rId916"/>
    <hyperlink ref="I309" r:id="rId917" display="http://www.boxofficemojo.com/schedule/?view=bydate&amp;release=theatrical&amp;date=2012-04-13&amp;p=.htm"/>
    <hyperlink ref="C310" r:id="rId918"/>
    <hyperlink ref="D310" r:id="rId919"/>
    <hyperlink ref="I310" r:id="rId920" display="http://www.boxofficemojo.com/schedule/?view=bydate&amp;release=theatrical&amp;date=2012-09-14&amp;p=.htm"/>
    <hyperlink ref="C311" r:id="rId921"/>
    <hyperlink ref="D311" r:id="rId922"/>
    <hyperlink ref="I311" r:id="rId923" display="http://www.boxofficemojo.com/schedule/?view=bydate&amp;release=theatrical&amp;date=2012-03-02&amp;p=.htm"/>
    <hyperlink ref="C312" r:id="rId924"/>
    <hyperlink ref="D312" r:id="rId925"/>
    <hyperlink ref="I312" r:id="rId926" display="http://www.boxofficemojo.com/schedule/?view=bydate&amp;release=theatrical&amp;date=2012-12-14&amp;p=.htm"/>
    <hyperlink ref="C313" r:id="rId927"/>
    <hyperlink ref="D313" r:id="rId928"/>
    <hyperlink ref="I313" r:id="rId929" display="http://www.boxofficemojo.com/schedule/?view=bydate&amp;release=theatrical&amp;date=2012-04-13&amp;p=.htm"/>
    <hyperlink ref="C314" r:id="rId930"/>
    <hyperlink ref="D314" r:id="rId931"/>
    <hyperlink ref="I314" r:id="rId932" display="http://www.boxofficemojo.com/schedule/?view=bydate&amp;release=theatrical&amp;date=2012-10-19&amp;p=.htm"/>
    <hyperlink ref="C315" r:id="rId933"/>
    <hyperlink ref="D315" r:id="rId934"/>
    <hyperlink ref="I315" r:id="rId935" display="http://www.boxofficemojo.com/schedule/?view=bydate&amp;release=theatrical&amp;date=2012-03-02&amp;p=.htm"/>
    <hyperlink ref="C316" r:id="rId936"/>
    <hyperlink ref="D316" r:id="rId937"/>
    <hyperlink ref="I316" r:id="rId938" display="http://www.boxofficemojo.com/schedule/?view=bydate&amp;release=theatrical&amp;date=2012-01-20&amp;p=.htm"/>
    <hyperlink ref="C317" r:id="rId939"/>
    <hyperlink ref="D317" r:id="rId940"/>
    <hyperlink ref="I317" r:id="rId941" display="http://www.boxofficemojo.com/schedule/?view=bydate&amp;release=theatrical&amp;date=2012-02-24&amp;p=.htm"/>
    <hyperlink ref="C318" r:id="rId942"/>
    <hyperlink ref="D318" r:id="rId943"/>
    <hyperlink ref="I318" r:id="rId944" display="http://www.boxofficemojo.com/schedule/?view=bydate&amp;release=theatrical&amp;date=2012-03-30&amp;p=.htm"/>
    <hyperlink ref="C319" r:id="rId945"/>
    <hyperlink ref="D319" r:id="rId946"/>
    <hyperlink ref="I319" r:id="rId947" display="http://www.boxofficemojo.com/schedule/?view=bydate&amp;release=theatrical&amp;date=2012-04-06&amp;p=.htm"/>
    <hyperlink ref="C320" r:id="rId948"/>
    <hyperlink ref="D320" r:id="rId949"/>
    <hyperlink ref="I320" r:id="rId950" display="http://www.boxofficemojo.com/schedule/?view=bydate&amp;release=theatrical&amp;date=2012-05-11&amp;p=.htm"/>
    <hyperlink ref="C321" r:id="rId951"/>
    <hyperlink ref="D321" r:id="rId952"/>
    <hyperlink ref="I321" r:id="rId953" display="http://www.boxofficemojo.com/schedule/?view=bydate&amp;release=theatrical&amp;date=2012-06-01&amp;p=.htm"/>
    <hyperlink ref="C322" r:id="rId954"/>
    <hyperlink ref="D322" r:id="rId955"/>
    <hyperlink ref="I322" r:id="rId956" display="http://www.boxofficemojo.com/schedule/?view=bydate&amp;release=theatrical&amp;date=2012-08-31&amp;p=.htm"/>
    <hyperlink ref="C323" r:id="rId957"/>
    <hyperlink ref="D323" r:id="rId958"/>
    <hyperlink ref="I323" r:id="rId959" display="http://www.boxofficemojo.com/schedule/?view=bydate&amp;release=theatrical&amp;date=2012-08-31&amp;p=.htm"/>
    <hyperlink ref="C324" r:id="rId960"/>
    <hyperlink ref="D324" r:id="rId961"/>
    <hyperlink ref="I324" r:id="rId962" display="http://www.boxofficemojo.com/schedule/?view=bydate&amp;release=theatrical&amp;date=2012-06-08&amp;p=.htm"/>
    <hyperlink ref="C325" r:id="rId963"/>
    <hyperlink ref="D325" r:id="rId964"/>
    <hyperlink ref="I325" r:id="rId965" display="http://www.boxofficemojo.com/schedule/?view=bydate&amp;release=theatrical&amp;date=2012-10-12&amp;p=.htm"/>
    <hyperlink ref="C326" r:id="rId966"/>
    <hyperlink ref="D326" r:id="rId967"/>
    <hyperlink ref="I326" r:id="rId968" display="http://www.boxofficemojo.com/schedule/?view=bydate&amp;release=theatrical&amp;date=2012-01-18&amp;p=.htm"/>
    <hyperlink ref="C327" r:id="rId969"/>
    <hyperlink ref="D327" r:id="rId970"/>
    <hyperlink ref="I327" r:id="rId971" display="http://www.boxofficemojo.com/schedule/?view=bydate&amp;release=theatrical&amp;date=2012-04-27&amp;p=.htm"/>
    <hyperlink ref="C328" r:id="rId972"/>
    <hyperlink ref="D328" r:id="rId973"/>
    <hyperlink ref="I328" r:id="rId974" display="http://www.boxofficemojo.com/schedule/?view=bydate&amp;release=theatrical&amp;date=2012-05-11&amp;p=.htm"/>
    <hyperlink ref="C329" r:id="rId975"/>
    <hyperlink ref="D329" r:id="rId976"/>
    <hyperlink ref="I329" r:id="rId977" display="http://www.boxofficemojo.com/schedule/?view=bydate&amp;release=theatrical&amp;date=2012-08-24&amp;p=.htm"/>
    <hyperlink ref="C330" r:id="rId978"/>
    <hyperlink ref="D330" r:id="rId979"/>
    <hyperlink ref="I330" r:id="rId980" display="http://www.boxofficemojo.com/schedule/?view=bydate&amp;release=theatrical&amp;date=2012-10-05&amp;p=.htm"/>
    <hyperlink ref="C331" r:id="rId981"/>
    <hyperlink ref="D331" r:id="rId982"/>
    <hyperlink ref="I331" r:id="rId983" display="http://www.boxofficemojo.com/schedule/?view=bydate&amp;release=theatrical&amp;date=2012-06-29&amp;p=.htm"/>
    <hyperlink ref="C332" r:id="rId984"/>
    <hyperlink ref="D332" r:id="rId985"/>
    <hyperlink ref="I332" r:id="rId986" display="http://www.boxofficemojo.com/schedule/?view=bydate&amp;release=theatrical&amp;date=2012-01-04&amp;p=.htm"/>
    <hyperlink ref="C333" r:id="rId987"/>
    <hyperlink ref="D333" r:id="rId988"/>
    <hyperlink ref="I333" r:id="rId989" display="http://www.boxofficemojo.com/schedule/?view=bydate&amp;release=theatrical&amp;date=2012-02-17&amp;p=.htm"/>
    <hyperlink ref="C334" r:id="rId990"/>
    <hyperlink ref="D334" r:id="rId991"/>
    <hyperlink ref="I334" r:id="rId992" display="http://www.boxofficemojo.com/schedule/?view=bydate&amp;release=theatrical&amp;date=2012-10-24&amp;p=.htm"/>
    <hyperlink ref="C335" r:id="rId993"/>
    <hyperlink ref="D335" r:id="rId994"/>
    <hyperlink ref="I335" r:id="rId995" display="http://www.boxofficemojo.com/schedule/?view=bydate&amp;release=theatrical&amp;date=2012-11-30&amp;p=.htm"/>
    <hyperlink ref="C336" r:id="rId996"/>
    <hyperlink ref="D336" r:id="rId997"/>
    <hyperlink ref="I336" r:id="rId998" display="http://www.boxofficemojo.com/schedule/?view=bydate&amp;release=theatrical&amp;date=2012-10-12&amp;p=.htm"/>
    <hyperlink ref="C337" r:id="rId999"/>
    <hyperlink ref="D337" r:id="rId1000"/>
    <hyperlink ref="I337" r:id="rId1001" display="http://www.boxofficemojo.com/schedule/?view=bydate&amp;release=theatrical&amp;date=2012-06-08&amp;p=.htm"/>
    <hyperlink ref="C338" r:id="rId1002"/>
    <hyperlink ref="D338" r:id="rId1003"/>
    <hyperlink ref="I338" r:id="rId1004" display="http://www.boxofficemojo.com/schedule/?view=bydate&amp;release=theatrical&amp;date=2012-05-11&amp;p=.htm"/>
    <hyperlink ref="C339" r:id="rId1005"/>
    <hyperlink ref="D339" r:id="rId1006"/>
    <hyperlink ref="I339" r:id="rId1007" display="http://www.boxofficemojo.com/schedule/?view=bydate&amp;release=theatrical&amp;date=2012-08-10&amp;p=.htm"/>
    <hyperlink ref="C340" r:id="rId1008"/>
    <hyperlink ref="D340" r:id="rId1009"/>
    <hyperlink ref="I340" r:id="rId1010" display="http://www.boxofficemojo.com/schedule/?view=bydate&amp;release=theatrical&amp;date=2012-11-02&amp;p=.htm"/>
    <hyperlink ref="C341" r:id="rId1011"/>
    <hyperlink ref="D341" r:id="rId1012"/>
    <hyperlink ref="I341" r:id="rId1013" display="http://www.boxofficemojo.com/schedule/?view=bydate&amp;release=theatrical&amp;date=2012-11-02&amp;p=.htm"/>
    <hyperlink ref="C342" r:id="rId1014"/>
    <hyperlink ref="D342" r:id="rId1015"/>
    <hyperlink ref="I342" r:id="rId1016" display="http://www.boxofficemojo.com/schedule/?view=bydate&amp;release=theatrical&amp;date=2012-06-01&amp;p=.htm"/>
    <hyperlink ref="C343" r:id="rId1017"/>
    <hyperlink ref="D343" r:id="rId1018"/>
    <hyperlink ref="I343" r:id="rId1019" display="http://www.boxofficemojo.com/schedule/?view=bydate&amp;release=theatrical&amp;date=2012-08-17&amp;p=.htm"/>
    <hyperlink ref="C344" r:id="rId1020"/>
    <hyperlink ref="D344" r:id="rId1021"/>
    <hyperlink ref="I344" r:id="rId1022" display="http://www.boxofficemojo.com/schedule/?view=bydate&amp;release=theatrical&amp;date=2012-09-14&amp;p=.htm"/>
    <hyperlink ref="C345" r:id="rId1023"/>
    <hyperlink ref="D345" r:id="rId1024"/>
    <hyperlink ref="I345" r:id="rId1025" display="http://www.boxofficemojo.com/schedule/?view=bydate&amp;release=theatrical&amp;date=2012-04-27&amp;p=.htm"/>
    <hyperlink ref="C346" r:id="rId1026"/>
    <hyperlink ref="D346" r:id="rId1027"/>
    <hyperlink ref="I346" r:id="rId1028" display="http://www.boxofficemojo.com/schedule/?view=bydate&amp;release=theatrical&amp;date=2012-09-28&amp;p=.htm"/>
    <hyperlink ref="C347" r:id="rId1029"/>
    <hyperlink ref="D347" r:id="rId1030"/>
    <hyperlink ref="I347" r:id="rId1031" display="http://www.boxofficemojo.com/schedule/?view=bydate&amp;release=theatrical&amp;date=2012-06-20&amp;p=.htm"/>
    <hyperlink ref="C348" r:id="rId1032"/>
    <hyperlink ref="D348" r:id="rId1033"/>
    <hyperlink ref="I348" r:id="rId1034" display="http://www.boxofficemojo.com/schedule/?view=bydate&amp;release=theatrical&amp;date=2012-09-21&amp;p=.htm"/>
    <hyperlink ref="C349" r:id="rId1035"/>
    <hyperlink ref="D349" r:id="rId1036"/>
    <hyperlink ref="I349" r:id="rId1037" display="http://www.boxofficemojo.com/schedule/?view=bydate&amp;release=theatrical&amp;date=2012-10-26&amp;p=.htm"/>
    <hyperlink ref="C350" r:id="rId1038"/>
    <hyperlink ref="D350" r:id="rId1039"/>
    <hyperlink ref="I350" r:id="rId1040" display="http://www.boxofficemojo.com/schedule/?view=bydate&amp;release=theatrical&amp;date=2012-02-24&amp;p=.htm"/>
    <hyperlink ref="C351" r:id="rId1041"/>
    <hyperlink ref="D351" r:id="rId1042"/>
    <hyperlink ref="I351" r:id="rId1043" display="http://www.boxofficemojo.com/schedule/?view=bydate&amp;release=theatrical&amp;date=2012-10-05&amp;p=.htm"/>
    <hyperlink ref="C352" r:id="rId1044"/>
    <hyperlink ref="D352" r:id="rId1045"/>
    <hyperlink ref="I352" r:id="rId1046" display="http://www.boxofficemojo.com/schedule/?view=bydate&amp;release=theatrical&amp;date=2012-03-30&amp;p=.htm"/>
    <hyperlink ref="C353" r:id="rId1047"/>
    <hyperlink ref="D353" r:id="rId1048"/>
    <hyperlink ref="I353" r:id="rId1049" display="http://www.boxofficemojo.com/schedule/?view=bydate&amp;release=theatrical&amp;date=2012-05-11&amp;p=.htm"/>
    <hyperlink ref="C354" r:id="rId1050"/>
    <hyperlink ref="D354" r:id="rId1051"/>
    <hyperlink ref="I354" r:id="rId1052" display="http://www.boxofficemojo.com/schedule/?view=bydate&amp;release=theatrical&amp;date=2012-07-25&amp;p=.htm"/>
    <hyperlink ref="C355" r:id="rId1053"/>
    <hyperlink ref="D355" r:id="rId1054"/>
    <hyperlink ref="I355" r:id="rId1055" display="http://www.boxofficemojo.com/schedule/?view=bydate&amp;release=theatrical&amp;date=2012-05-25&amp;p=.htm"/>
    <hyperlink ref="C356" r:id="rId1056"/>
    <hyperlink ref="D356" r:id="rId1057"/>
    <hyperlink ref="I356" r:id="rId1058" display="http://www.boxofficemojo.com/schedule/?view=bydate&amp;release=theatrical&amp;date=2012-06-08&amp;p=.htm"/>
    <hyperlink ref="C357" r:id="rId1059"/>
    <hyperlink ref="D357" r:id="rId1060"/>
    <hyperlink ref="I357" r:id="rId1061" display="http://www.boxofficemojo.com/schedule/?view=bydate&amp;release=theatrical&amp;date=2012-08-31&amp;p=.htm"/>
    <hyperlink ref="C358" r:id="rId1062"/>
    <hyperlink ref="D358" r:id="rId1063"/>
    <hyperlink ref="I358" r:id="rId1064" display="http://www.boxofficemojo.com/schedule/?view=bydate&amp;release=theatrical&amp;date=2012-11-28&amp;p=.htm"/>
    <hyperlink ref="C359" r:id="rId1065"/>
    <hyperlink ref="D359" r:id="rId1066"/>
    <hyperlink ref="I359" r:id="rId1067" display="http://www.boxofficemojo.com/schedule/?view=bydate&amp;release=theatrical&amp;date=2012-06-15&amp;p=.htm"/>
    <hyperlink ref="C360" r:id="rId1068"/>
    <hyperlink ref="D360" r:id="rId1069"/>
    <hyperlink ref="I360" r:id="rId1070" display="http://www.boxofficemojo.com/schedule/?view=bydate&amp;release=theatrical&amp;date=2012-11-09&amp;p=.htm"/>
    <hyperlink ref="C361" r:id="rId1071"/>
    <hyperlink ref="D361" r:id="rId1072"/>
    <hyperlink ref="I361" r:id="rId1073" display="http://www.boxofficemojo.com/schedule/?view=bydate&amp;release=theatrical&amp;date=2012-05-04&amp;p=.htm"/>
    <hyperlink ref="C362" r:id="rId1074"/>
    <hyperlink ref="D362" r:id="rId1075"/>
    <hyperlink ref="I362" r:id="rId1076" display="http://www.boxofficemojo.com/schedule/?view=bydate&amp;release=theatrical&amp;date=2012-08-24&amp;p=.htm"/>
    <hyperlink ref="C363" r:id="rId1077"/>
    <hyperlink ref="D363" r:id="rId1078"/>
    <hyperlink ref="I363" r:id="rId1079" display="http://www.boxofficemojo.com/schedule/?view=bydate&amp;release=theatrical&amp;date=2012-07-13&amp;p=.htm"/>
    <hyperlink ref="C364" r:id="rId1080"/>
    <hyperlink ref="D364" r:id="rId1081"/>
    <hyperlink ref="I364" r:id="rId1082" display="http://www.boxofficemojo.com/schedule/?view=bydate&amp;release=theatrical&amp;date=2012-05-04&amp;p=.htm"/>
    <hyperlink ref="C365" r:id="rId1083"/>
    <hyperlink ref="D365" r:id="rId1084"/>
    <hyperlink ref="I365" r:id="rId1085" display="http://www.boxofficemojo.com/schedule/?view=bydate&amp;release=theatrical&amp;date=2012-05-30&amp;p=.htm"/>
    <hyperlink ref="C366" r:id="rId1086"/>
    <hyperlink ref="D366" r:id="rId1087"/>
    <hyperlink ref="I366" r:id="rId1088" display="http://www.boxofficemojo.com/schedule/?view=bydate&amp;release=theatrical&amp;date=2012-09-07&amp;p=.htm"/>
    <hyperlink ref="C367" r:id="rId1089"/>
    <hyperlink ref="D367" r:id="rId1090"/>
    <hyperlink ref="I367" r:id="rId1091" display="http://www.boxofficemojo.com/schedule/?view=bydate&amp;release=theatrical&amp;date=2012-10-05&amp;p=.htm"/>
    <hyperlink ref="C368" r:id="rId1092"/>
    <hyperlink ref="D368" r:id="rId1093"/>
    <hyperlink ref="I368" r:id="rId1094" display="http://www.boxofficemojo.com/schedule/?view=bydate&amp;release=theatrical&amp;date=2012-07-06&amp;p=.htm"/>
    <hyperlink ref="C369" r:id="rId1095"/>
    <hyperlink ref="D369" r:id="rId1096"/>
    <hyperlink ref="I369" r:id="rId1097" display="http://www.boxofficemojo.com/schedule/?view=bydate&amp;release=theatrical&amp;date=2012-05-25&amp;p=.htm"/>
    <hyperlink ref="C370" r:id="rId1098"/>
    <hyperlink ref="D370" r:id="rId1099"/>
    <hyperlink ref="I370" r:id="rId1100" display="http://www.boxofficemojo.com/schedule/?view=bydate&amp;release=theatrical&amp;date=2012-10-05&amp;p=.htm"/>
    <hyperlink ref="C371" r:id="rId1101"/>
    <hyperlink ref="D371" r:id="rId1102"/>
    <hyperlink ref="I371" r:id="rId1103" display="http://www.boxofficemojo.com/schedule/?view=bydate&amp;release=theatrical&amp;date=2012-08-31&amp;p=.htm"/>
    <hyperlink ref="C372" r:id="rId1104"/>
    <hyperlink ref="D372" r:id="rId1105"/>
    <hyperlink ref="I372" r:id="rId1106" display="http://www.boxofficemojo.com/schedule/?view=bydate&amp;release=theatrical&amp;date=2012-10-05&amp;p=.htm"/>
    <hyperlink ref="C373" r:id="rId1107" display="http://www.boxofficemojo.com/movies/?id=360.htm"/>
    <hyperlink ref="D373" r:id="rId1108"/>
    <hyperlink ref="I373" r:id="rId1109" display="http://www.boxofficemojo.com/schedule/?view=bydate&amp;release=theatrical&amp;date=2012-08-03&amp;p=.htm"/>
    <hyperlink ref="C374" r:id="rId1110"/>
    <hyperlink ref="D374" r:id="rId1111"/>
    <hyperlink ref="I374" r:id="rId1112" display="http://www.boxofficemojo.com/schedule/?view=bydate&amp;release=theatrical&amp;date=2012-06-01&amp;p=.htm"/>
    <hyperlink ref="C375" r:id="rId1113"/>
    <hyperlink ref="D375" r:id="rId1114"/>
    <hyperlink ref="I375" r:id="rId1115" display="http://www.boxofficemojo.com/schedule/?view=bydate&amp;release=theatrical&amp;date=2012-04-20&amp;p=.htm"/>
    <hyperlink ref="C376" r:id="rId1116"/>
    <hyperlink ref="D376" r:id="rId1117"/>
    <hyperlink ref="I376" r:id="rId1118" display="http://www.boxofficemojo.com/schedule/?view=bydate&amp;release=theatrical&amp;date=2012-05-11&amp;p=.htm"/>
    <hyperlink ref="C377" r:id="rId1119"/>
    <hyperlink ref="D377" r:id="rId1120"/>
    <hyperlink ref="I377" r:id="rId1121" display="http://www.boxofficemojo.com/schedule/?view=bydate&amp;release=theatrical&amp;date=2012-11-09&amp;p=.htm"/>
    <hyperlink ref="C378" r:id="rId1122"/>
    <hyperlink ref="D378" r:id="rId1123"/>
    <hyperlink ref="I378" r:id="rId1124" display="http://www.boxofficemojo.com/schedule/?view=bydate&amp;release=theatrical&amp;date=2012-06-13&amp;p=.htm"/>
    <hyperlink ref="C379" r:id="rId1125"/>
    <hyperlink ref="D379" r:id="rId1126"/>
    <hyperlink ref="I379" r:id="rId1127" display="http://www.boxofficemojo.com/schedule/?view=bydate&amp;release=theatrical&amp;date=2012-09-07&amp;p=.htm"/>
    <hyperlink ref="C380" r:id="rId1128"/>
    <hyperlink ref="D380" r:id="rId1129"/>
    <hyperlink ref="I380" r:id="rId1130" display="http://www.boxofficemojo.com/schedule/?view=bydate&amp;release=theatrical&amp;date=2012-10-19&amp;p=.htm"/>
    <hyperlink ref="C381" r:id="rId1131"/>
    <hyperlink ref="D381" r:id="rId1132"/>
    <hyperlink ref="I381" r:id="rId1133" display="http://www.boxofficemojo.com/schedule/?view=bydate&amp;release=theatrical&amp;date=2012-09-28&amp;p=.htm"/>
    <hyperlink ref="C382" r:id="rId1134"/>
    <hyperlink ref="D382" r:id="rId1135"/>
    <hyperlink ref="I382" r:id="rId1136" display="http://www.boxofficemojo.com/schedule/?view=bydate&amp;release=theatrical&amp;date=2012-02-03&amp;p=.htm"/>
    <hyperlink ref="C383" r:id="rId1137"/>
    <hyperlink ref="D383" r:id="rId1138"/>
    <hyperlink ref="I383" r:id="rId1139"/>
    <hyperlink ref="C384" r:id="rId1140"/>
    <hyperlink ref="D384" r:id="rId1141"/>
    <hyperlink ref="I384" r:id="rId1142" display="http://www.boxofficemojo.com/schedule/?view=bydate&amp;release=theatrical&amp;date=2012-03-28&amp;p=.htm"/>
    <hyperlink ref="C385" r:id="rId1143"/>
    <hyperlink ref="D385" r:id="rId1144"/>
    <hyperlink ref="I385" r:id="rId1145" display="http://www.boxofficemojo.com/schedule/?view=bydate&amp;release=theatrical&amp;date=2012-07-20&amp;p=.htm"/>
    <hyperlink ref="C386" r:id="rId1146"/>
    <hyperlink ref="D386" r:id="rId1147"/>
    <hyperlink ref="I386" r:id="rId1148" display="http://www.boxofficemojo.com/schedule/?view=bydate&amp;release=theatrical&amp;date=2012-02-17&amp;p=.htm"/>
    <hyperlink ref="C387" r:id="rId1149"/>
    <hyperlink ref="D387" r:id="rId1150"/>
    <hyperlink ref="I387" r:id="rId1151" display="http://www.boxofficemojo.com/schedule/?view=bydate&amp;release=theatrical&amp;date=2012-03-16&amp;p=.htm"/>
    <hyperlink ref="C388" r:id="rId1152"/>
    <hyperlink ref="D388" r:id="rId1153"/>
    <hyperlink ref="I388" r:id="rId1154" display="http://www.boxofficemojo.com/schedule/?view=bydate&amp;release=theatrical&amp;date=2012-06-22&amp;p=.htm"/>
    <hyperlink ref="C389" r:id="rId1155"/>
    <hyperlink ref="D389" r:id="rId1156"/>
    <hyperlink ref="I389" r:id="rId1157" display="http://www.boxofficemojo.com/schedule/?view=bydate&amp;release=theatrical&amp;date=2012-07-06&amp;p=.htm"/>
    <hyperlink ref="C390" r:id="rId1158"/>
    <hyperlink ref="D390" r:id="rId1159"/>
    <hyperlink ref="I390" r:id="rId1160" display="http://www.boxofficemojo.com/schedule/?view=bydate&amp;release=theatrical&amp;date=2012-04-20&amp;p=.htm"/>
    <hyperlink ref="C391" r:id="rId1161"/>
    <hyperlink ref="D391" r:id="rId1162"/>
    <hyperlink ref="I391" r:id="rId1163" display="http://www.boxofficemojo.com/schedule/?view=bydate&amp;release=theatrical&amp;date=2012-05-11&amp;p=.htm"/>
    <hyperlink ref="C392" r:id="rId1164"/>
    <hyperlink ref="D392" r:id="rId1165"/>
    <hyperlink ref="I392" r:id="rId1166" display="http://www.boxofficemojo.com/schedule/?view=bydate&amp;release=theatrical&amp;date=2012-01-27&amp;p=.htm"/>
    <hyperlink ref="C393" r:id="rId1167"/>
    <hyperlink ref="D393" r:id="rId1168"/>
    <hyperlink ref="I393" r:id="rId1169" display="http://www.boxofficemojo.com/schedule/?view=bydate&amp;release=theatrical&amp;date=2012-03-30&amp;p=.htm"/>
    <hyperlink ref="C394" r:id="rId1170"/>
    <hyperlink ref="D394" r:id="rId1171"/>
    <hyperlink ref="I394" r:id="rId1172" display="http://www.boxofficemojo.com/schedule/?view=bydate&amp;release=theatrical&amp;date=2012-07-27&amp;p=.htm"/>
    <hyperlink ref="C395" r:id="rId1173"/>
    <hyperlink ref="D395" r:id="rId1174"/>
    <hyperlink ref="I395" r:id="rId1175" display="http://www.boxofficemojo.com/schedule/?view=bydate&amp;release=theatrical&amp;date=2012-12-07&amp;p=.htm"/>
    <hyperlink ref="C396" r:id="rId1176"/>
    <hyperlink ref="D396" r:id="rId1177"/>
    <hyperlink ref="I396" r:id="rId1178" display="http://www.boxofficemojo.com/schedule/?view=bydate&amp;release=theatrical&amp;date=2012-09-07&amp;p=.htm"/>
    <hyperlink ref="C397" r:id="rId1179"/>
    <hyperlink ref="D397" r:id="rId1180"/>
    <hyperlink ref="I397" r:id="rId1181" display="http://www.boxofficemojo.com/schedule/?view=bydate&amp;release=theatrical&amp;date=2012-08-03&amp;p=.htm"/>
    <hyperlink ref="C398" r:id="rId1182"/>
    <hyperlink ref="D398" r:id="rId1183"/>
    <hyperlink ref="I398" r:id="rId1184" display="http://www.boxofficemojo.com/schedule/?view=bydate&amp;release=theatrical&amp;date=2012-11-02&amp;p=.htm"/>
    <hyperlink ref="C399" r:id="rId1185"/>
    <hyperlink ref="D399" r:id="rId1186"/>
    <hyperlink ref="I399" r:id="rId1187" display="http://www.boxofficemojo.com/schedule/?view=bydate&amp;release=theatrical&amp;date=2012-03-02&amp;p=.htm"/>
    <hyperlink ref="C400" r:id="rId1188"/>
    <hyperlink ref="D400" r:id="rId1189"/>
    <hyperlink ref="I400" r:id="rId1190" display="http://www.boxofficemojo.com/schedule/?view=bydate&amp;release=theatrical&amp;date=2012-09-21&amp;p=.htm"/>
    <hyperlink ref="C401" r:id="rId1191"/>
    <hyperlink ref="D401" r:id="rId1192"/>
    <hyperlink ref="I401" r:id="rId1193" display="http://www.boxofficemojo.com/schedule/?view=bydate&amp;release=theatrical&amp;date=2012-03-28&amp;p=.htm"/>
    <hyperlink ref="C402" r:id="rId1194"/>
    <hyperlink ref="D402" r:id="rId1195"/>
    <hyperlink ref="I402" r:id="rId1196" display="http://www.boxofficemojo.com/schedule/?view=bydate&amp;release=theatrical&amp;date=2012-08-24&amp;p=.htm"/>
    <hyperlink ref="C403" r:id="rId1197"/>
    <hyperlink ref="D403" r:id="rId1198"/>
    <hyperlink ref="I403" r:id="rId1199" display="http://www.boxofficemojo.com/schedule/?view=bydate&amp;release=theatrical&amp;date=2012-11-02&amp;p=.htm"/>
    <hyperlink ref="C404" r:id="rId1200"/>
    <hyperlink ref="D404" r:id="rId1201"/>
    <hyperlink ref="I404" r:id="rId1202" display="http://www.boxofficemojo.com/schedule/?view=bydate&amp;release=theatrical&amp;date=2012-01-27&amp;p=.htm"/>
    <hyperlink ref="C405" r:id="rId1203"/>
    <hyperlink ref="D405" r:id="rId1204"/>
    <hyperlink ref="I405" r:id="rId1205" display="http://www.boxofficemojo.com/schedule/?view=bydate&amp;release=theatrical&amp;date=2012-09-28&amp;p=.htm"/>
    <hyperlink ref="C406" r:id="rId1206"/>
    <hyperlink ref="D406" r:id="rId1207"/>
    <hyperlink ref="I406" r:id="rId1208" display="http://www.boxofficemojo.com/schedule/?view=bydate&amp;release=theatrical&amp;date=2012-08-17&amp;p=.htm"/>
    <hyperlink ref="C407" r:id="rId1209"/>
    <hyperlink ref="D407" r:id="rId1210"/>
    <hyperlink ref="I407" r:id="rId1211" display="http://www.boxofficemojo.com/schedule/?view=bydate&amp;release=theatrical&amp;date=2012-05-18&amp;p=.htm"/>
    <hyperlink ref="C408" r:id="rId1212"/>
    <hyperlink ref="D408" r:id="rId1213"/>
    <hyperlink ref="I408" r:id="rId1214" display="http://www.boxofficemojo.com/schedule/?view=bydate&amp;release=theatrical&amp;date=2012-02-10&amp;p=.htm"/>
    <hyperlink ref="C409" r:id="rId1215"/>
    <hyperlink ref="D409" r:id="rId1216"/>
    <hyperlink ref="I409" r:id="rId1217" display="http://www.boxofficemojo.com/schedule/?view=bydate&amp;release=theatrical&amp;date=2012-03-16&amp;p=.htm"/>
    <hyperlink ref="C410" r:id="rId1218"/>
    <hyperlink ref="D410" r:id="rId1219"/>
    <hyperlink ref="I410" r:id="rId1220" display="http://www.boxofficemojo.com/schedule/?view=bydate&amp;release=theatrical&amp;date=2012-05-04&amp;p=.htm"/>
    <hyperlink ref="C411" r:id="rId1221"/>
    <hyperlink ref="D411" r:id="rId1222"/>
    <hyperlink ref="I411" r:id="rId1223" display="http://www.boxofficemojo.com/schedule/?view=bydate&amp;release=theatrical&amp;date=2012-11-09&amp;p=.htm"/>
    <hyperlink ref="C412" r:id="rId1224"/>
    <hyperlink ref="D412" r:id="rId1225"/>
    <hyperlink ref="I412" r:id="rId1226" display="http://www.boxofficemojo.com/schedule/?view=bydate&amp;release=theatrical&amp;date=2012-04-06&amp;p=.htm"/>
    <hyperlink ref="C413" r:id="rId1227"/>
    <hyperlink ref="D413" r:id="rId1228"/>
    <hyperlink ref="I413" r:id="rId1229" display="http://www.boxofficemojo.com/schedule/?view=bydate&amp;release=theatrical&amp;date=2012-03-16&amp;p=.htm"/>
    <hyperlink ref="C414" r:id="rId1230"/>
    <hyperlink ref="D414" r:id="rId1231"/>
    <hyperlink ref="I414" r:id="rId1232" display="http://www.boxofficemojo.com/schedule/?view=bydate&amp;release=theatrical&amp;date=2012-02-10&amp;p=.htm"/>
    <hyperlink ref="C415" r:id="rId1233"/>
    <hyperlink ref="D415" r:id="rId1234"/>
    <hyperlink ref="I415" r:id="rId1235" display="http://www.boxofficemojo.com/schedule/?view=bydate&amp;release=theatrical&amp;date=2012-09-21&amp;p=.htm"/>
    <hyperlink ref="C416" r:id="rId1236"/>
    <hyperlink ref="D416" r:id="rId1237"/>
    <hyperlink ref="I416" r:id="rId1238" display="http://www.boxofficemojo.com/schedule/?view=bydate&amp;release=theatrical&amp;date=2012-07-13&amp;p=.htm"/>
    <hyperlink ref="C417" r:id="rId1239"/>
    <hyperlink ref="D417" r:id="rId1240"/>
    <hyperlink ref="I417" r:id="rId1241" display="http://www.boxofficemojo.com/schedule/?view=bydate&amp;release=theatrical&amp;date=2012-02-24&amp;p=.htm"/>
    <hyperlink ref="C418" r:id="rId1242"/>
    <hyperlink ref="D418" r:id="rId1243"/>
    <hyperlink ref="I418" r:id="rId1244" display="http://www.boxofficemojo.com/schedule/?view=bydate&amp;release=theatrical&amp;date=2012-08-17&amp;p=.htm"/>
    <hyperlink ref="C419" r:id="rId1245"/>
    <hyperlink ref="D419" r:id="rId1246"/>
    <hyperlink ref="I419" r:id="rId1247" display="http://www.boxofficemojo.com/schedule/?view=bydate&amp;release=theatrical&amp;date=2012-10-05&amp;p=.htm"/>
    <hyperlink ref="C420" r:id="rId1248"/>
    <hyperlink ref="D420" r:id="rId1249"/>
    <hyperlink ref="I420" r:id="rId1250" display="http://www.boxofficemojo.com/schedule/?view=bydate&amp;release=theatrical&amp;date=2012-12-07&amp;p=.htm"/>
    <hyperlink ref="C421" r:id="rId1251"/>
    <hyperlink ref="D421" r:id="rId1252"/>
    <hyperlink ref="I421" r:id="rId1253" display="http://www.boxofficemojo.com/schedule/?view=bydate&amp;release=theatrical&amp;date=2012-01-27&amp;p=.htm"/>
    <hyperlink ref="C422" r:id="rId1254"/>
    <hyperlink ref="D422" r:id="rId1255"/>
    <hyperlink ref="I422" r:id="rId1256" display="http://www.boxofficemojo.com/schedule/?view=bydate&amp;release=theatrical&amp;date=2012-10-12&amp;p=.htm"/>
    <hyperlink ref="C423" r:id="rId1257"/>
    <hyperlink ref="D423" r:id="rId1258"/>
    <hyperlink ref="I423" r:id="rId1259" display="http://www.boxofficemojo.com/schedule/?view=bydate&amp;release=theatrical&amp;date=2012-01-13&amp;p=.htm"/>
    <hyperlink ref="C424" r:id="rId1260"/>
    <hyperlink ref="D424" r:id="rId1261"/>
    <hyperlink ref="I424" r:id="rId1262" display="http://www.boxofficemojo.com/schedule/?view=bydate&amp;release=theatrical&amp;date=2012-09-14&amp;p=.htm"/>
    <hyperlink ref="C425" r:id="rId1263"/>
    <hyperlink ref="D425" r:id="rId1264"/>
    <hyperlink ref="I425" r:id="rId1265" display="http://www.boxofficemojo.com/schedule/?view=bydate&amp;release=theatrical&amp;date=2012-07-13&amp;p=.htm"/>
    <hyperlink ref="C426" r:id="rId1266"/>
    <hyperlink ref="D426" r:id="rId1267"/>
    <hyperlink ref="I426" r:id="rId1268" display="http://www.boxofficemojo.com/schedule/?view=bydate&amp;release=theatrical&amp;date=2012-01-20&amp;p=.htm"/>
    <hyperlink ref="C427" r:id="rId1269"/>
    <hyperlink ref="D427" r:id="rId1270"/>
    <hyperlink ref="I427" r:id="rId1271" display="http://www.boxofficemojo.com/schedule/?view=bydate&amp;release=theatrical&amp;date=2012-07-13&amp;p=.htm"/>
    <hyperlink ref="C428" r:id="rId1272"/>
    <hyperlink ref="D428" r:id="rId1273"/>
    <hyperlink ref="I428" r:id="rId1274" display="http://www.boxofficemojo.com/schedule/?view=bydate&amp;release=theatrical&amp;date=2012-06-08&amp;p=.htm"/>
    <hyperlink ref="C429" r:id="rId1275"/>
    <hyperlink ref="D429" r:id="rId1276"/>
    <hyperlink ref="I429" r:id="rId1277" display="http://www.boxofficemojo.com/schedule/?view=bydate&amp;release=theatrical&amp;date=2012-05-25&amp;p=.htm"/>
    <hyperlink ref="C430" r:id="rId1278"/>
    <hyperlink ref="D430" r:id="rId1279"/>
    <hyperlink ref="I430" r:id="rId1280" display="http://www.boxofficemojo.com/schedule/?view=bydate&amp;release=theatrical&amp;date=2012-04-11&amp;p=.htm"/>
    <hyperlink ref="C431" r:id="rId1281"/>
    <hyperlink ref="D431" r:id="rId1282"/>
    <hyperlink ref="I431" r:id="rId1283" display="http://www.boxofficemojo.com/schedule/?view=bydate&amp;release=theatrical&amp;date=2012-10-19&amp;p=.htm"/>
    <hyperlink ref="C432" r:id="rId1284"/>
    <hyperlink ref="D432" r:id="rId1285"/>
    <hyperlink ref="I432" r:id="rId1286" display="http://www.boxofficemojo.com/schedule/?view=bydate&amp;release=theatrical&amp;date=2012-05-11&amp;p=.htm"/>
    <hyperlink ref="C433" r:id="rId1287"/>
    <hyperlink ref="D433" r:id="rId1288"/>
    <hyperlink ref="I433" r:id="rId1289" display="http://www.boxofficemojo.com/schedule/?view=bydate&amp;release=theatrical&amp;date=2012-05-04&amp;p=.htm"/>
    <hyperlink ref="C434" r:id="rId1290"/>
    <hyperlink ref="D434" r:id="rId1291"/>
    <hyperlink ref="I434" r:id="rId1292" display="http://www.boxofficemojo.com/schedule/?view=bydate&amp;release=theatrical&amp;date=2012-07-18&amp;p=.htm"/>
    <hyperlink ref="C435" r:id="rId1293"/>
    <hyperlink ref="D435" r:id="rId1294"/>
    <hyperlink ref="I435" r:id="rId1295" display="http://www.boxofficemojo.com/schedule/?view=bydate&amp;release=theatrical&amp;date=2012-10-05&amp;p=.htm"/>
    <hyperlink ref="C436" r:id="rId1296"/>
    <hyperlink ref="D436" r:id="rId1297"/>
    <hyperlink ref="I436" r:id="rId1298" display="http://www.boxofficemojo.com/schedule/?view=bydate&amp;release=theatrical&amp;date=2012-11-09&amp;p=.htm"/>
    <hyperlink ref="C437" r:id="rId1299"/>
    <hyperlink ref="D437" r:id="rId1300"/>
    <hyperlink ref="I437" r:id="rId1301" display="http://www.boxofficemojo.com/schedule/?view=bydate&amp;release=theatrical&amp;date=2012-03-16&amp;p=.htm"/>
    <hyperlink ref="C438" r:id="rId1302"/>
    <hyperlink ref="D438" r:id="rId1303"/>
    <hyperlink ref="I438" r:id="rId1304" display="http://www.boxofficemojo.com/schedule/?view=bydate&amp;release=theatrical&amp;date=2012-03-02&amp;p=.htm"/>
    <hyperlink ref="C439" r:id="rId1305"/>
    <hyperlink ref="D439" r:id="rId1306"/>
    <hyperlink ref="I439" r:id="rId1307" display="http://www.boxofficemojo.com/schedule/?view=bydate&amp;release=theatrical&amp;date=2012-08-03&amp;p=.htm"/>
    <hyperlink ref="C440" r:id="rId1308"/>
    <hyperlink ref="D440" r:id="rId1309"/>
    <hyperlink ref="I440" r:id="rId1310" display="http://www.boxofficemojo.com/schedule/?view=bydate&amp;release=theatrical&amp;date=2012-06-08&amp;p=.htm"/>
    <hyperlink ref="C441" r:id="rId1311"/>
    <hyperlink ref="D441" r:id="rId1312"/>
    <hyperlink ref="I441" r:id="rId1313" display="http://www.boxofficemojo.com/schedule/?view=bydate&amp;release=theatrical&amp;date=2012-08-17&amp;p=.htm"/>
    <hyperlink ref="C442" r:id="rId1314"/>
    <hyperlink ref="D442" r:id="rId1315"/>
    <hyperlink ref="I442" r:id="rId1316" display="http://www.boxofficemojo.com/schedule/?view=bydate&amp;release=theatrical&amp;date=2012-02-24&amp;p=.htm"/>
    <hyperlink ref="C443" r:id="rId1317"/>
    <hyperlink ref="D443" r:id="rId1318"/>
    <hyperlink ref="I443" r:id="rId1319" display="http://www.boxofficemojo.com/schedule/?view=bydate&amp;release=theatrical&amp;date=2012-12-07&amp;p=.htm"/>
    <hyperlink ref="C444" r:id="rId1320"/>
    <hyperlink ref="D444" r:id="rId1321"/>
    <hyperlink ref="I444" r:id="rId1322" display="http://www.boxofficemojo.com/schedule/?view=bydate&amp;release=theatrical&amp;date=2012-03-09&amp;p=.htm"/>
    <hyperlink ref="C445" r:id="rId1323"/>
    <hyperlink ref="D445" r:id="rId1324"/>
    <hyperlink ref="I445" r:id="rId1325" display="http://www.boxofficemojo.com/schedule/?view=bydate&amp;release=theatrical&amp;date=2012-05-18&amp;p=.htm"/>
    <hyperlink ref="C446" r:id="rId1326"/>
    <hyperlink ref="D446" r:id="rId1327"/>
    <hyperlink ref="I446" r:id="rId1328" display="http://www.boxofficemojo.com/schedule/?view=bydate&amp;release=theatrical&amp;date=2012-09-07&amp;p=.htm"/>
    <hyperlink ref="C447" r:id="rId1329"/>
    <hyperlink ref="D447" r:id="rId1330"/>
    <hyperlink ref="I447" r:id="rId1331" display="http://www.boxofficemojo.com/schedule/?view=bydate&amp;release=theatrical&amp;date=2012-09-14&amp;p=.htm"/>
    <hyperlink ref="C448" r:id="rId1332"/>
    <hyperlink ref="D448" r:id="rId1333"/>
    <hyperlink ref="I448" r:id="rId1334" display="http://www.boxofficemojo.com/schedule/?view=bydate&amp;release=theatrical&amp;date=2012-04-06&amp;p=.htm"/>
    <hyperlink ref="C449" r:id="rId1335"/>
    <hyperlink ref="D449" r:id="rId1336"/>
    <hyperlink ref="I449" r:id="rId1337" display="http://www.boxofficemojo.com/schedule/?view=bydate&amp;release=theatrical&amp;date=2012-08-10&amp;p=.htm"/>
    <hyperlink ref="C450" r:id="rId1338"/>
    <hyperlink ref="D450" r:id="rId1339"/>
    <hyperlink ref="I450" r:id="rId1340" display="http://www.boxofficemojo.com/schedule/?view=bydate&amp;release=theatrical&amp;date=2012-04-06&amp;p=.htm"/>
    <hyperlink ref="C451" r:id="rId1341"/>
    <hyperlink ref="D451" r:id="rId1342"/>
    <hyperlink ref="I451" r:id="rId1343" display="http://www.boxofficemojo.com/schedule/?view=bydate&amp;release=theatrical&amp;date=2012-10-26&amp;p=.htm"/>
    <hyperlink ref="C452" r:id="rId1344"/>
    <hyperlink ref="D452" r:id="rId1345"/>
    <hyperlink ref="I452" r:id="rId1346" display="http://www.boxofficemojo.com/schedule/?view=bydate&amp;release=theatrical&amp;date=2012-04-13&amp;p=.htm"/>
    <hyperlink ref="C453" r:id="rId1347"/>
    <hyperlink ref="D453" r:id="rId1348"/>
    <hyperlink ref="I453" r:id="rId1349" display="http://www.boxofficemojo.com/schedule/?view=bydate&amp;release=theatrical&amp;date=2012-10-26&amp;p=.htm"/>
    <hyperlink ref="C454" r:id="rId1350"/>
    <hyperlink ref="D454" r:id="rId1351"/>
    <hyperlink ref="I454" r:id="rId1352" display="http://www.boxofficemojo.com/schedule/?view=bydate&amp;release=theatrical&amp;date=2012-03-23&amp;p=.htm"/>
    <hyperlink ref="C455" r:id="rId1353"/>
    <hyperlink ref="D455" r:id="rId1354"/>
    <hyperlink ref="I455" r:id="rId1355" display="http://www.boxofficemojo.com/schedule/?view=bydate&amp;release=theatrical&amp;date=2012-05-04&amp;p=.htm"/>
    <hyperlink ref="C456" r:id="rId1356"/>
    <hyperlink ref="D456" r:id="rId1357"/>
    <hyperlink ref="I456" r:id="rId1358" display="http://www.boxofficemojo.com/schedule/?view=bydate&amp;release=theatrical&amp;date=2012-04-27&amp;p=.htm"/>
    <hyperlink ref="C457" r:id="rId1359"/>
    <hyperlink ref="D457" r:id="rId1360"/>
    <hyperlink ref="I457" r:id="rId1361" display="http://www.boxofficemojo.com/schedule/?view=bydate&amp;release=theatrical&amp;date=2012-05-11&amp;p=.htm"/>
    <hyperlink ref="C458" r:id="rId1362"/>
    <hyperlink ref="D458" r:id="rId1363"/>
    <hyperlink ref="I458" r:id="rId1364" display="http://www.boxofficemojo.com/schedule/?view=bydate&amp;release=theatrical&amp;date=2012-04-13&amp;p=.htm"/>
    <hyperlink ref="C459" r:id="rId1365"/>
    <hyperlink ref="D459" r:id="rId1366"/>
    <hyperlink ref="I459" r:id="rId1367" display="http://www.boxofficemojo.com/schedule/?view=bydate&amp;release=theatrical&amp;date=2012-08-08&amp;p=.htm"/>
    <hyperlink ref="C460" r:id="rId1368"/>
    <hyperlink ref="D460" r:id="rId1369"/>
    <hyperlink ref="I460" r:id="rId1370" display="http://www.boxofficemojo.com/schedule/?view=bydate&amp;release=theatrical&amp;date=2012-11-02&amp;p=.htm"/>
    <hyperlink ref="C461" r:id="rId1371"/>
    <hyperlink ref="D461" r:id="rId1372"/>
    <hyperlink ref="I461" r:id="rId1373" display="http://www.boxofficemojo.com/schedule/?view=bydate&amp;release=theatrical&amp;date=2012-05-25&amp;p=.htm"/>
    <hyperlink ref="C462" r:id="rId1374"/>
    <hyperlink ref="D462" r:id="rId1375"/>
    <hyperlink ref="I462" r:id="rId1376" display="http://www.boxofficemojo.com/schedule/?view=bydate&amp;release=theatrical&amp;date=2012-08-24&amp;p=.htm"/>
    <hyperlink ref="C463" r:id="rId1377"/>
    <hyperlink ref="D463" r:id="rId1378"/>
    <hyperlink ref="I463" r:id="rId1379" display="http://www.boxofficemojo.com/schedule/?view=bydate&amp;release=theatrical&amp;date=2012-07-27&amp;p=.htm"/>
    <hyperlink ref="C464" r:id="rId1380"/>
    <hyperlink ref="D464" r:id="rId1381"/>
    <hyperlink ref="I464" r:id="rId1382" display="http://www.boxofficemojo.com/schedule/?view=bydate&amp;release=theatrical&amp;date=2012-08-03&amp;p=.htm"/>
    <hyperlink ref="C465" r:id="rId1383"/>
    <hyperlink ref="D465" r:id="rId1384"/>
    <hyperlink ref="I465" r:id="rId1385" display="http://www.boxofficemojo.com/schedule/?view=bydate&amp;release=theatrical&amp;date=2012-02-03&amp;p=.htm"/>
    <hyperlink ref="C466" r:id="rId1386"/>
    <hyperlink ref="D466" r:id="rId1387"/>
    <hyperlink ref="I466" r:id="rId1388" display="http://www.boxofficemojo.com/schedule/?view=bydate&amp;release=theatrical&amp;date=2012-11-16&amp;p=.htm"/>
    <hyperlink ref="C467" r:id="rId1389"/>
    <hyperlink ref="D467" r:id="rId1390"/>
    <hyperlink ref="I467" r:id="rId1391" display="http://www.boxofficemojo.com/schedule/?view=bydate&amp;release=theatrical&amp;date=2012-11-02&amp;p=.htm"/>
    <hyperlink ref="C468" r:id="rId1392"/>
    <hyperlink ref="D468" r:id="rId1393"/>
    <hyperlink ref="I468" r:id="rId1394" display="http://www.boxofficemojo.com/schedule/?view=bydate&amp;release=theatrical&amp;date=2012-08-29&amp;p=.htm"/>
    <hyperlink ref="C469" r:id="rId1395"/>
    <hyperlink ref="D469" r:id="rId1396"/>
    <hyperlink ref="I469" r:id="rId1397" display="http://www.boxofficemojo.com/schedule/?view=bydate&amp;release=theatrical&amp;date=2012-10-12&amp;p=.htm"/>
    <hyperlink ref="C470" r:id="rId1398"/>
    <hyperlink ref="D470" r:id="rId1399"/>
    <hyperlink ref="I470" r:id="rId1400" display="http://www.boxofficemojo.com/schedule/?view=bydate&amp;release=theatrical&amp;date=2012-09-14&amp;p=.htm"/>
    <hyperlink ref="C471" r:id="rId1401"/>
    <hyperlink ref="D471" r:id="rId1402"/>
    <hyperlink ref="I471" r:id="rId1403" display="http://www.boxofficemojo.com/schedule/?view=bydate&amp;release=theatrical&amp;date=2012-01-13&amp;p=.htm"/>
    <hyperlink ref="C472" r:id="rId1404"/>
    <hyperlink ref="D472" r:id="rId1405"/>
    <hyperlink ref="I472" r:id="rId1406" display="http://www.boxofficemojo.com/schedule/?view=bydate&amp;release=theatrical&amp;date=2012-04-13&amp;p=.htm"/>
    <hyperlink ref="C473" r:id="rId1407"/>
    <hyperlink ref="D473" r:id="rId1408"/>
    <hyperlink ref="I473" r:id="rId1409" display="http://www.boxofficemojo.com/schedule/?view=bydate&amp;release=theatrical&amp;date=2012-06-01&amp;p=.htm"/>
    <hyperlink ref="C474" r:id="rId1410"/>
    <hyperlink ref="D474" r:id="rId1411"/>
    <hyperlink ref="I474" r:id="rId1412" display="http://www.boxofficemojo.com/schedule/?view=bydate&amp;release=theatrical&amp;date=2012-12-21&amp;p=.htm"/>
    <hyperlink ref="C475" r:id="rId1413"/>
    <hyperlink ref="D475" r:id="rId1414"/>
    <hyperlink ref="I475" r:id="rId1415" display="http://www.boxofficemojo.com/schedule/?view=bydate&amp;release=theatrical&amp;date=2012-10-19&amp;p=.htm"/>
    <hyperlink ref="C476" r:id="rId1416"/>
    <hyperlink ref="D476" r:id="rId1417"/>
    <hyperlink ref="I476" r:id="rId1418" display="http://www.boxofficemojo.com/schedule/?view=bydate&amp;release=theatrical&amp;date=2012-02-10&amp;p=.htm"/>
    <hyperlink ref="C477" r:id="rId1419"/>
    <hyperlink ref="D477" r:id="rId1420"/>
    <hyperlink ref="I477" r:id="rId1421" display="http://www.boxofficemojo.com/schedule/?view=bydate&amp;release=theatrical&amp;date=2012-11-09&amp;p=.htm"/>
    <hyperlink ref="C478" r:id="rId1422"/>
    <hyperlink ref="D478" r:id="rId1423"/>
    <hyperlink ref="I478" r:id="rId1424" display="http://www.boxofficemojo.com/schedule/?view=bydate&amp;release=theatrical&amp;date=2012-03-09&amp;p=.htm"/>
    <hyperlink ref="C479" r:id="rId1425"/>
    <hyperlink ref="D479" r:id="rId1426"/>
    <hyperlink ref="I479" r:id="rId1427" display="http://www.boxofficemojo.com/schedule/?view=bydate&amp;release=theatrical&amp;date=2012-05-11&amp;p=.htm"/>
    <hyperlink ref="C480" r:id="rId1428"/>
    <hyperlink ref="D480" r:id="rId1429"/>
    <hyperlink ref="I480" r:id="rId1430" display="http://www.boxofficemojo.com/schedule/?view=bydate&amp;release=theatrical&amp;date=2012-09-19&amp;p=.htm"/>
    <hyperlink ref="C481" r:id="rId1431"/>
    <hyperlink ref="D481" r:id="rId1432"/>
    <hyperlink ref="I481" r:id="rId1433" display="http://www.boxofficemojo.com/schedule/?view=bydate&amp;release=theatrical&amp;date=2012-03-09&amp;p=.htm"/>
    <hyperlink ref="C482" r:id="rId1434"/>
    <hyperlink ref="D482" r:id="rId1435"/>
    <hyperlink ref="I482" r:id="rId1436" display="http://www.boxofficemojo.com/schedule/?view=bydate&amp;release=theatrical&amp;date=2012-12-07&amp;p=.htm"/>
    <hyperlink ref="C483" r:id="rId1437"/>
    <hyperlink ref="D483" r:id="rId1438"/>
    <hyperlink ref="I483" r:id="rId1439" display="http://www.boxofficemojo.com/schedule/?view=bydate&amp;release=theatrical&amp;date=2012-09-21&amp;p=.htm"/>
    <hyperlink ref="C484" r:id="rId1440"/>
    <hyperlink ref="D484" r:id="rId1441"/>
    <hyperlink ref="I484" r:id="rId1442" display="http://www.boxofficemojo.com/schedule/?view=bydate&amp;release=theatrical&amp;date=2012-10-19&amp;p=.htm"/>
    <hyperlink ref="C485" r:id="rId1443"/>
    <hyperlink ref="D485" r:id="rId1444"/>
    <hyperlink ref="I485" r:id="rId1445" display="http://www.boxofficemojo.com/schedule/?view=bydate&amp;release=theatrical&amp;date=2012-04-06&amp;p=.htm"/>
    <hyperlink ref="C486" r:id="rId1446"/>
    <hyperlink ref="D486" r:id="rId1447"/>
    <hyperlink ref="I486" r:id="rId1448" display="http://www.boxofficemojo.com/schedule/?view=bydate&amp;release=theatrical&amp;date=2012-03-05&amp;p=.htm"/>
    <hyperlink ref="C487" r:id="rId1449"/>
    <hyperlink ref="D487" r:id="rId1450"/>
    <hyperlink ref="I487" r:id="rId1451" display="http://www.boxofficemojo.com/schedule/?view=bydate&amp;release=theatrical&amp;date=2012-01-20&amp;p=.htm"/>
    <hyperlink ref="C488" r:id="rId1452"/>
    <hyperlink ref="D488" r:id="rId1453"/>
    <hyperlink ref="I488" r:id="rId1454" display="http://www.boxofficemojo.com/schedule/?view=bydate&amp;release=theatrical&amp;date=2012-10-05&amp;p=.htm"/>
    <hyperlink ref="C489" r:id="rId1455"/>
    <hyperlink ref="D489" r:id="rId1456"/>
    <hyperlink ref="I489" r:id="rId1457" display="http://www.boxofficemojo.com/schedule/?view=bydate&amp;release=theatrical&amp;date=2012-03-23&amp;p=.htm"/>
    <hyperlink ref="C490" r:id="rId1458"/>
    <hyperlink ref="D490" r:id="rId1459"/>
    <hyperlink ref="I490" r:id="rId1460" display="http://www.boxofficemojo.com/schedule/?view=bydate&amp;release=theatrical&amp;date=2012-10-19&amp;p=.htm"/>
    <hyperlink ref="C491" r:id="rId1461"/>
    <hyperlink ref="D491" r:id="rId1462"/>
    <hyperlink ref="I491" r:id="rId1463" display="http://www.boxofficemojo.com/schedule/?view=bydate&amp;release=theatrical&amp;date=2012-03-02&amp;p=.htm"/>
    <hyperlink ref="C492" r:id="rId1464"/>
    <hyperlink ref="D492" r:id="rId1465"/>
    <hyperlink ref="I492" r:id="rId1466" display="http://www.boxofficemojo.com/schedule/?view=bydate&amp;release=theatrical&amp;date=2012-03-16&amp;p=.htm"/>
    <hyperlink ref="C493" r:id="rId1467"/>
    <hyperlink ref="D493" r:id="rId1468"/>
    <hyperlink ref="I493" r:id="rId1469" display="http://www.boxofficemojo.com/schedule/?view=bydate&amp;release=theatrical&amp;date=2012-12-07&amp;p=.htm"/>
    <hyperlink ref="C494" r:id="rId1470"/>
    <hyperlink ref="D494" r:id="rId1471"/>
    <hyperlink ref="I494" r:id="rId1472" display="http://www.boxofficemojo.com/schedule/?view=bydate&amp;release=theatrical&amp;date=2012-05-11&amp;p=.htm"/>
    <hyperlink ref="C495" r:id="rId1473"/>
    <hyperlink ref="D495" r:id="rId1474"/>
    <hyperlink ref="I495" r:id="rId1475" display="http://www.boxofficemojo.com/schedule/?view=bydate&amp;release=theatrical&amp;date=2012-09-05&amp;p=.htm"/>
    <hyperlink ref="C496" r:id="rId1476"/>
    <hyperlink ref="D496" r:id="rId1477"/>
    <hyperlink ref="I496" r:id="rId1478" display="http://www.boxofficemojo.com/schedule/?view=bydate&amp;release=theatrical&amp;date=2012-12-07&amp;p=.htm"/>
    <hyperlink ref="C497" r:id="rId1479"/>
    <hyperlink ref="D497" r:id="rId1480"/>
    <hyperlink ref="I497" r:id="rId1481" display="http://www.boxofficemojo.com/schedule/?view=bydate&amp;release=theatrical&amp;date=2012-08-29&amp;p=.htm"/>
    <hyperlink ref="C498" r:id="rId1482"/>
    <hyperlink ref="D498" r:id="rId1483"/>
    <hyperlink ref="I498" r:id="rId1484" display="http://www.boxofficemojo.com/schedule/?view=bydate&amp;release=theatrical&amp;date=2012-04-27&amp;p=.htm"/>
    <hyperlink ref="C499" r:id="rId1485"/>
    <hyperlink ref="D499" r:id="rId1486"/>
    <hyperlink ref="I499" r:id="rId1487" display="http://www.boxofficemojo.com/schedule/?view=bydate&amp;release=theatrical&amp;date=2012-04-20&amp;p=.htm"/>
    <hyperlink ref="C500" r:id="rId1488"/>
    <hyperlink ref="D500" r:id="rId1489"/>
    <hyperlink ref="I500" r:id="rId1490" display="http://www.boxofficemojo.com/schedule/?view=bydate&amp;release=theatrical&amp;date=2012-04-13&amp;p=.htm"/>
    <hyperlink ref="C501" r:id="rId1491"/>
    <hyperlink ref="D501" r:id="rId1492"/>
    <hyperlink ref="I501" r:id="rId1493" display="http://www.boxofficemojo.com/schedule/?view=bydate&amp;release=theatrical&amp;date=2012-10-26&amp;p=.htm"/>
    <hyperlink ref="C502" r:id="rId1494"/>
    <hyperlink ref="D502" r:id="rId1495"/>
    <hyperlink ref="I502" r:id="rId1496" display="http://www.boxofficemojo.com/schedule/?view=bydate&amp;release=theatrical&amp;date=2012-12-07&amp;p=.htm"/>
    <hyperlink ref="C503" r:id="rId1497"/>
    <hyperlink ref="D503" r:id="rId1498"/>
    <hyperlink ref="I503" r:id="rId1499" display="http://www.boxofficemojo.com/schedule/?view=bydate&amp;release=theatrical&amp;date=2012-05-18&amp;p=.htm"/>
    <hyperlink ref="C504" r:id="rId1500"/>
    <hyperlink ref="D504" r:id="rId1501"/>
    <hyperlink ref="I504" r:id="rId1502" display="http://www.boxofficemojo.com/schedule/?view=bydate&amp;release=theatrical&amp;date=2012-01-13&amp;p=.htm"/>
    <hyperlink ref="C505" r:id="rId1503"/>
    <hyperlink ref="D505" r:id="rId1504"/>
    <hyperlink ref="I505" r:id="rId1505" display="http://www.boxofficemojo.com/schedule/?view=bydate&amp;release=theatrical&amp;date=2012-11-09&amp;p=.htm"/>
    <hyperlink ref="C506" r:id="rId1506"/>
    <hyperlink ref="D506" r:id="rId1507"/>
    <hyperlink ref="I506" r:id="rId1508" display="http://www.boxofficemojo.com/schedule/?view=bydate&amp;release=theatrical&amp;date=2012-06-01&amp;p=.htm"/>
    <hyperlink ref="C507" r:id="rId1509"/>
    <hyperlink ref="D507" r:id="rId1510"/>
    <hyperlink ref="I507" r:id="rId1511" display="http://www.boxofficemojo.com/schedule/?view=bydate&amp;release=theatrical&amp;date=2012-05-18&amp;p=.htm"/>
    <hyperlink ref="C508" r:id="rId1512"/>
    <hyperlink ref="D508" r:id="rId1513"/>
    <hyperlink ref="I508" r:id="rId1514" display="http://www.boxofficemojo.com/schedule/?view=bydate&amp;release=theatrical&amp;date=2012-10-26&amp;p=.htm"/>
    <hyperlink ref="C509" r:id="rId1515"/>
    <hyperlink ref="D509" r:id="rId1516"/>
    <hyperlink ref="I509" r:id="rId1517" display="http://www.boxofficemojo.com/schedule/?view=bydate&amp;release=theatrical&amp;date=2012-08-10&amp;p=.htm"/>
    <hyperlink ref="C510" r:id="rId1518"/>
    <hyperlink ref="D510" r:id="rId1519"/>
    <hyperlink ref="I510" r:id="rId1520" display="http://www.boxofficemojo.com/schedule/?view=bydate&amp;release=theatrical&amp;date=2012-03-16&amp;p=.htm"/>
    <hyperlink ref="C511" r:id="rId1521"/>
    <hyperlink ref="D511" r:id="rId1522"/>
    <hyperlink ref="I511" r:id="rId1523" display="http://www.boxofficemojo.com/schedule/?view=bydate&amp;release=theatrical&amp;date=2012-04-25&amp;p=.htm"/>
    <hyperlink ref="C512" r:id="rId1524"/>
    <hyperlink ref="D512" r:id="rId1525"/>
    <hyperlink ref="I512" r:id="rId1526" display="http://www.boxofficemojo.com/schedule/?view=bydate&amp;release=theatrical&amp;date=2012-03-23&amp;p=.htm"/>
    <hyperlink ref="C513" r:id="rId1527"/>
    <hyperlink ref="D513" r:id="rId1528"/>
    <hyperlink ref="I513" r:id="rId1529" display="http://www.boxofficemojo.com/schedule/?view=bydate&amp;release=theatrical&amp;date=2012-08-29&amp;p=.htm"/>
    <hyperlink ref="C514" r:id="rId1530"/>
    <hyperlink ref="D514" r:id="rId1531"/>
    <hyperlink ref="I514" r:id="rId1532" display="http://www.boxofficemojo.com/schedule/?view=bydate&amp;release=theatrical&amp;date=2012-05-04&amp;p=.htm"/>
    <hyperlink ref="C515" r:id="rId1533"/>
    <hyperlink ref="D515" r:id="rId1534"/>
    <hyperlink ref="I515" r:id="rId1535" display="http://www.boxofficemojo.com/schedule/?view=bydate&amp;release=theatrical&amp;date=2012-03-16&amp;p=.htm"/>
    <hyperlink ref="C516" r:id="rId1536"/>
    <hyperlink ref="D516" r:id="rId1537"/>
    <hyperlink ref="I516" r:id="rId1538" display="http://www.boxofficemojo.com/schedule/?view=bydate&amp;release=theatrical&amp;date=2012-09-29&amp;p=.htm"/>
    <hyperlink ref="C517" r:id="rId1539"/>
    <hyperlink ref="D517" r:id="rId1540"/>
    <hyperlink ref="I517" r:id="rId1541" display="http://www.boxofficemojo.com/schedule/?view=bydate&amp;release=theatrical&amp;date=2012-04-27&amp;p=.htm"/>
    <hyperlink ref="C518" r:id="rId1542"/>
    <hyperlink ref="D518" r:id="rId1543"/>
    <hyperlink ref="I518" r:id="rId1544" display="http://www.boxofficemojo.com/schedule/?view=bydate&amp;release=theatrical&amp;date=2012-08-22&amp;p=.htm"/>
    <hyperlink ref="C519" r:id="rId1545"/>
    <hyperlink ref="D519" r:id="rId1546"/>
    <hyperlink ref="I519" r:id="rId1547" display="http://www.boxofficemojo.com/schedule/?view=bydate&amp;release=theatrical&amp;date=2012-02-10&amp;p=.htm"/>
    <hyperlink ref="C520" r:id="rId1548"/>
    <hyperlink ref="D520" r:id="rId1549"/>
    <hyperlink ref="I520" r:id="rId1550" display="http://www.boxofficemojo.com/schedule/?view=bydate&amp;release=theatrical&amp;date=2012-07-13&amp;p=.htm"/>
    <hyperlink ref="C521" r:id="rId1551"/>
    <hyperlink ref="D521" r:id="rId1552"/>
    <hyperlink ref="I521" r:id="rId1553" display="http://www.boxofficemojo.com/schedule/?view=bydate&amp;release=theatrical&amp;date=2012-10-26&amp;p=.htm"/>
    <hyperlink ref="C522" r:id="rId1554"/>
    <hyperlink ref="D522" r:id="rId1555"/>
    <hyperlink ref="I522" r:id="rId1556" display="http://www.boxofficemojo.com/schedule/?view=bydate&amp;release=theatrical&amp;date=2012-05-09&amp;p=.htm"/>
    <hyperlink ref="C523" r:id="rId1557"/>
    <hyperlink ref="D523" r:id="rId1558"/>
    <hyperlink ref="I523" r:id="rId1559" display="http://www.boxofficemojo.com/schedule/?view=bydate&amp;release=theatrical&amp;date=2012-08-10&amp;p=.htm"/>
    <hyperlink ref="C524" r:id="rId1560"/>
    <hyperlink ref="D524" r:id="rId1561"/>
    <hyperlink ref="I524" r:id="rId1562" display="http://www.boxofficemojo.com/schedule/?view=bydate&amp;release=theatrical&amp;date=2012-05-04&amp;p=.htm"/>
    <hyperlink ref="C525" r:id="rId1563"/>
    <hyperlink ref="D525" r:id="rId1564"/>
    <hyperlink ref="I525" r:id="rId1565" display="http://www.boxofficemojo.com/schedule/?view=bydate&amp;release=theatrical&amp;date=2012-03-09&amp;p=.htm"/>
    <hyperlink ref="C526" r:id="rId1566"/>
    <hyperlink ref="D526" r:id="rId1567"/>
    <hyperlink ref="I526" r:id="rId1568" display="http://www.boxofficemojo.com/schedule/?view=bydate&amp;release=theatrical&amp;date=2012-02-15&amp;p=.htm"/>
    <hyperlink ref="C527" r:id="rId1569"/>
    <hyperlink ref="D527" r:id="rId1570"/>
    <hyperlink ref="I527" r:id="rId1571" display="http://www.boxofficemojo.com/schedule/?view=bydate&amp;release=theatrical&amp;date=2012-05-18&amp;p=.htm"/>
    <hyperlink ref="C528" r:id="rId1572"/>
    <hyperlink ref="D528" r:id="rId1573"/>
    <hyperlink ref="I528" r:id="rId1574" display="http://www.boxofficemojo.com/schedule/?view=bydate&amp;release=theatrical&amp;date=2012-11-30&amp;p=.htm"/>
    <hyperlink ref="C529" r:id="rId1575"/>
    <hyperlink ref="D529" r:id="rId1576"/>
    <hyperlink ref="I529" r:id="rId1577" display="http://www.boxofficemojo.com/schedule/?view=bydate&amp;release=theatrical&amp;date=2012-05-04&amp;p=.htm"/>
    <hyperlink ref="C530" r:id="rId1578"/>
    <hyperlink ref="D530" r:id="rId1579"/>
    <hyperlink ref="I530" r:id="rId1580" display="http://www.boxofficemojo.com/schedule/?view=bydate&amp;release=theatrical&amp;date=2012-12-07&amp;p=.htm"/>
    <hyperlink ref="C531" r:id="rId1581"/>
    <hyperlink ref="D531" r:id="rId1582"/>
    <hyperlink ref="I531" r:id="rId1583" display="http://www.boxofficemojo.com/schedule/?view=bydate&amp;release=theatrical&amp;date=2012-09-21&amp;p=.htm"/>
    <hyperlink ref="C532" r:id="rId1584"/>
    <hyperlink ref="D532" r:id="rId1585"/>
    <hyperlink ref="I532" r:id="rId1586" display="http://www.boxofficemojo.com/schedule/?view=bydate&amp;release=theatrical&amp;date=2012-02-10&amp;p=.htm"/>
    <hyperlink ref="C533" r:id="rId1587"/>
    <hyperlink ref="D533" r:id="rId1588"/>
    <hyperlink ref="I533" r:id="rId1589" display="http://www.boxofficemojo.com/schedule/?view=bydate&amp;release=theatrical&amp;date=2012-10-05&amp;p=.htm"/>
    <hyperlink ref="C534" r:id="rId1590"/>
    <hyperlink ref="D534" r:id="rId1591"/>
    <hyperlink ref="I534" r:id="rId1592" display="http://www.boxofficemojo.com/schedule/?view=bydate&amp;release=theatrical&amp;date=2012-07-20&amp;p=.htm"/>
    <hyperlink ref="C535" r:id="rId1593"/>
    <hyperlink ref="D535" r:id="rId1594"/>
    <hyperlink ref="I535" r:id="rId1595" display="http://www.boxofficemojo.com/schedule/?view=bydate&amp;release=theatrical&amp;date=2012-04-13&amp;p=.htm"/>
    <hyperlink ref="C536" r:id="rId1596"/>
    <hyperlink ref="D536" r:id="rId1597"/>
    <hyperlink ref="I536" r:id="rId1598" display="http://www.boxofficemojo.com/schedule/?view=bydate&amp;release=theatrical&amp;date=2012-10-12&amp;p=.htm"/>
    <hyperlink ref="C537" r:id="rId1599"/>
    <hyperlink ref="D537" r:id="rId1600"/>
    <hyperlink ref="I537" r:id="rId1601" display="http://www.boxofficemojo.com/schedule/?view=bydate&amp;release=theatrical&amp;date=2012-11-30&amp;p=.htm"/>
    <hyperlink ref="C538" r:id="rId1602"/>
    <hyperlink ref="D538" r:id="rId1603"/>
    <hyperlink ref="I538" r:id="rId1604" display="http://www.boxofficemojo.com/schedule/?view=bydate&amp;release=theatrical&amp;date=2012-05-18&amp;p=.htm"/>
    <hyperlink ref="C539" r:id="rId1605"/>
    <hyperlink ref="D539" r:id="rId1606"/>
    <hyperlink ref="I539" r:id="rId1607" display="http://www.boxofficemojo.com/schedule/?view=bydate&amp;release=theatrical&amp;date=2012-05-18&amp;p=.htm"/>
    <hyperlink ref="C540" r:id="rId1608"/>
    <hyperlink ref="D540" r:id="rId1609"/>
    <hyperlink ref="I540" r:id="rId1610" display="http://www.boxofficemojo.com/schedule/?view=bydate&amp;release=theatrical&amp;date=2012-06-08&amp;p=.htm"/>
    <hyperlink ref="C541" r:id="rId1611"/>
    <hyperlink ref="D541" r:id="rId1612"/>
    <hyperlink ref="I541" r:id="rId1613" display="http://www.boxofficemojo.com/schedule/?view=bydate&amp;release=theatrical&amp;date=2012-10-12&amp;p=.htm"/>
    <hyperlink ref="C542" r:id="rId1614"/>
    <hyperlink ref="D542" r:id="rId1615"/>
    <hyperlink ref="I542" r:id="rId1616" display="http://www.boxofficemojo.com/schedule/?view=bydate&amp;release=theatrical&amp;date=2012-06-01&amp;p=.htm"/>
    <hyperlink ref="C543" r:id="rId1617"/>
    <hyperlink ref="D543" r:id="rId1618"/>
    <hyperlink ref="I543" r:id="rId1619" display="http://www.boxofficemojo.com/schedule/?view=bydate&amp;release=theatrical&amp;date=2012-09-21&amp;p=.htm"/>
    <hyperlink ref="C544" r:id="rId1620"/>
    <hyperlink ref="D544" r:id="rId1621"/>
    <hyperlink ref="I544" r:id="rId1622" display="http://www.boxofficemojo.com/schedule/?view=bydate&amp;release=theatrical&amp;date=2012-07-25&amp;p=.htm"/>
    <hyperlink ref="C545" r:id="rId1623"/>
    <hyperlink ref="D545" r:id="rId1624"/>
    <hyperlink ref="I545" r:id="rId1625" display="http://www.boxofficemojo.com/schedule/?view=bydate&amp;release=theatrical&amp;date=2012-03-02&amp;p=.htm"/>
    <hyperlink ref="C546" r:id="rId1626"/>
    <hyperlink ref="D546" r:id="rId1627"/>
    <hyperlink ref="I546" r:id="rId1628" display="http://www.boxofficemojo.com/schedule/?view=bydate&amp;release=theatrical&amp;date=2012-04-20&amp;p=.htm"/>
    <hyperlink ref="C547" r:id="rId1629"/>
    <hyperlink ref="D547" r:id="rId1630"/>
    <hyperlink ref="I547" r:id="rId1631" display="http://www.boxofficemojo.com/schedule/?view=bydate&amp;release=theatrical&amp;date=2012-07-06&amp;p=.htm"/>
    <hyperlink ref="C548" r:id="rId1632"/>
    <hyperlink ref="D548" r:id="rId1633"/>
    <hyperlink ref="I548" r:id="rId1634" display="http://www.boxofficemojo.com/schedule/?view=bydate&amp;release=theatrical&amp;date=2012-11-16&amp;p=.htm"/>
    <hyperlink ref="C549" r:id="rId1635"/>
    <hyperlink ref="D549" r:id="rId1636"/>
    <hyperlink ref="I549" r:id="rId1637" display="http://www.boxofficemojo.com/schedule/?view=bydate&amp;release=theatrical&amp;date=2012-10-19&amp;p=.htm"/>
    <hyperlink ref="C550" r:id="rId1638"/>
    <hyperlink ref="D550" r:id="rId1639"/>
    <hyperlink ref="I550" r:id="rId1640" display="http://www.boxofficemojo.com/schedule/?view=bydate&amp;release=theatrical&amp;date=2012-03-16&amp;p=.htm"/>
    <hyperlink ref="C551" r:id="rId1641"/>
    <hyperlink ref="D551" r:id="rId1642"/>
    <hyperlink ref="I551" r:id="rId1643" display="http://www.boxofficemojo.com/schedule/?view=bydate&amp;release=theatrical&amp;date=2012-02-03&amp;p=.htm"/>
    <hyperlink ref="C552" r:id="rId1644"/>
    <hyperlink ref="D552" r:id="rId1645"/>
    <hyperlink ref="I552" r:id="rId1646" display="http://www.boxofficemojo.com/schedule/?view=bydate&amp;release=theatrical&amp;date=2012-11-09&amp;p=.htm"/>
    <hyperlink ref="C553" r:id="rId1647"/>
    <hyperlink ref="D553" r:id="rId1648"/>
    <hyperlink ref="I553" r:id="rId1649" display="http://www.boxofficemojo.com/schedule/?view=bydate&amp;release=theatrical&amp;date=2012-03-23&amp;p=.htm"/>
    <hyperlink ref="C554" r:id="rId1650"/>
    <hyperlink ref="D554" r:id="rId1651"/>
    <hyperlink ref="I554" r:id="rId1652" display="http://www.boxofficemojo.com/schedule/?view=bydate&amp;release=theatrical&amp;date=2012-11-09&amp;p=.htm"/>
    <hyperlink ref="C555" r:id="rId1653"/>
    <hyperlink ref="D555" r:id="rId1654"/>
    <hyperlink ref="I555" r:id="rId1655" display="http://www.boxofficemojo.com/schedule/?view=bydate&amp;release=theatrical&amp;date=2012-01-25&amp;p=.htm"/>
    <hyperlink ref="C556" r:id="rId1656"/>
    <hyperlink ref="D556" r:id="rId1657"/>
    <hyperlink ref="I556" r:id="rId1658" display="http://www.boxofficemojo.com/schedule/?view=bydate&amp;release=theatrical&amp;date=2012-01-06&amp;p=.htm"/>
    <hyperlink ref="C557" r:id="rId1659"/>
    <hyperlink ref="D557" r:id="rId1660"/>
    <hyperlink ref="I557" r:id="rId1661" display="http://www.boxofficemojo.com/schedule/?view=bydate&amp;release=theatrical&amp;date=2012-05-18&amp;p=.htm"/>
    <hyperlink ref="C558" r:id="rId1662"/>
    <hyperlink ref="D558" r:id="rId1663"/>
    <hyperlink ref="I558" r:id="rId1664" display="http://www.boxofficemojo.com/schedule/?view=bydate&amp;release=theatrical&amp;date=2012-02-24&amp;p=.htm"/>
    <hyperlink ref="C559" r:id="rId1665"/>
    <hyperlink ref="D559" r:id="rId1666"/>
    <hyperlink ref="I559" r:id="rId1667" display="http://www.boxofficemojo.com/schedule/?view=bydate&amp;release=theatrical&amp;date=2012-09-05&amp;p=.htm"/>
    <hyperlink ref="C560" r:id="rId1668"/>
    <hyperlink ref="D560" r:id="rId1669"/>
    <hyperlink ref="I560" r:id="rId1670" display="http://www.boxofficemojo.com/schedule/?view=bydate&amp;release=theatrical&amp;date=2012-06-22&amp;p=.htm"/>
    <hyperlink ref="C561" r:id="rId1671"/>
    <hyperlink ref="D561" r:id="rId1672"/>
    <hyperlink ref="I561" r:id="rId1673" display="http://www.boxofficemojo.com/schedule/?view=bydate&amp;release=theatrical&amp;date=2012-12-07&amp;p=.htm"/>
    <hyperlink ref="C562" r:id="rId1674"/>
    <hyperlink ref="D562" r:id="rId1675"/>
    <hyperlink ref="I562" r:id="rId1676" display="http://www.boxofficemojo.com/schedule/?view=bydate&amp;release=theatrical&amp;date=2012-01-20&amp;p=.htm"/>
    <hyperlink ref="C563" r:id="rId1677"/>
    <hyperlink ref="D563" r:id="rId1678"/>
    <hyperlink ref="I563" r:id="rId1679" display="http://www.boxofficemojo.com/schedule/?view=bydate&amp;release=theatrical&amp;date=2012-10-03&amp;p=.htm"/>
    <hyperlink ref="C564" r:id="rId1680"/>
    <hyperlink ref="D564" r:id="rId1681"/>
    <hyperlink ref="I564" r:id="rId1682" display="http://www.boxofficemojo.com/schedule/?view=bydate&amp;release=theatrical&amp;date=2012-11-30&amp;p=.htm"/>
    <hyperlink ref="C565" r:id="rId1683"/>
    <hyperlink ref="D565" r:id="rId1684"/>
    <hyperlink ref="I565" r:id="rId1685" display="http://www.boxofficemojo.com/schedule/?view=bydate&amp;release=theatrical&amp;date=2012-01-20&amp;p=.htm"/>
    <hyperlink ref="C566" r:id="rId1686"/>
    <hyperlink ref="D566" r:id="rId1687"/>
    <hyperlink ref="I566" r:id="rId1688" display="http://www.boxofficemojo.com/schedule/?view=bydate&amp;release=theatrical&amp;date=2012-09-26&amp;p=.htm"/>
    <hyperlink ref="C567" r:id="rId1689"/>
    <hyperlink ref="D567" r:id="rId1690"/>
    <hyperlink ref="I567" r:id="rId1691" display="http://www.boxofficemojo.com/schedule/?view=bydate&amp;release=theatrical&amp;date=2012-05-25&amp;p=.htm"/>
    <hyperlink ref="C568" r:id="rId1692"/>
    <hyperlink ref="D568" r:id="rId1693"/>
    <hyperlink ref="I568" r:id="rId1694" display="http://www.boxofficemojo.com/schedule/?view=bydate&amp;release=theatrical&amp;date=2012-12-07&amp;p=.htm"/>
    <hyperlink ref="C569" r:id="rId1695"/>
    <hyperlink ref="D569" r:id="rId1696"/>
    <hyperlink ref="I569" r:id="rId1697" display="http://www.boxofficemojo.com/schedule/?view=bydate&amp;release=theatrical&amp;date=2012-10-12&amp;p=.htm"/>
    <hyperlink ref="C570" r:id="rId1698"/>
    <hyperlink ref="D570" r:id="rId1699"/>
    <hyperlink ref="I570" r:id="rId1700" display="http://www.boxofficemojo.com/schedule/?view=bydate&amp;release=theatrical&amp;date=2012-06-01&amp;p=.htm"/>
    <hyperlink ref="C571" r:id="rId1701"/>
    <hyperlink ref="D571" r:id="rId1702"/>
    <hyperlink ref="I571" r:id="rId1703" display="http://www.boxofficemojo.com/schedule/?view=bydate&amp;release=theatrical&amp;date=2012-07-06&amp;p=.htm"/>
    <hyperlink ref="C572" r:id="rId1704"/>
    <hyperlink ref="D572" r:id="rId1705"/>
    <hyperlink ref="I572" r:id="rId1706" display="http://www.boxofficemojo.com/schedule/?view=bydate&amp;release=theatrical&amp;date=2012-01-13&amp;p=.htm"/>
    <hyperlink ref="C573" r:id="rId1707"/>
    <hyperlink ref="D573" r:id="rId1708"/>
    <hyperlink ref="I573" r:id="rId1709" display="http://www.boxofficemojo.com/schedule/?view=bydate&amp;release=theatrical&amp;date=2012-09-21&amp;p=.htm"/>
    <hyperlink ref="C574" r:id="rId1710"/>
    <hyperlink ref="D574" r:id="rId1711"/>
    <hyperlink ref="I574" r:id="rId1712" display="http://www.boxofficemojo.com/schedule/?view=bydate&amp;release=theatrical&amp;date=2012-02-17&amp;p=.htm"/>
    <hyperlink ref="C575" r:id="rId1713"/>
    <hyperlink ref="D575" r:id="rId1714"/>
    <hyperlink ref="I575" r:id="rId1715" display="http://www.boxofficemojo.com/schedule/?view=bydate&amp;release=theatrical&amp;date=2012-03-23&amp;p=.htm"/>
    <hyperlink ref="C576" r:id="rId1716"/>
    <hyperlink ref="D576" r:id="rId1717"/>
    <hyperlink ref="I576" r:id="rId1718" display="http://www.boxofficemojo.com/schedule/?view=bydate&amp;release=theatrical&amp;date=2012-05-25&amp;p=.htm"/>
    <hyperlink ref="C577" r:id="rId1719"/>
    <hyperlink ref="D577" r:id="rId1720"/>
    <hyperlink ref="I577" r:id="rId1721" display="http://www.boxofficemojo.com/schedule/?view=bydate&amp;release=theatrical&amp;date=2012-07-06&amp;p=.htm"/>
    <hyperlink ref="C578" r:id="rId1722"/>
    <hyperlink ref="D578" r:id="rId1723"/>
    <hyperlink ref="I578" r:id="rId1724" display="http://www.boxofficemojo.com/schedule/?view=bydate&amp;release=theatrical&amp;date=2012-04-11&amp;p=.htm"/>
    <hyperlink ref="C579" r:id="rId1725"/>
    <hyperlink ref="D579" r:id="rId1726"/>
    <hyperlink ref="I579" r:id="rId1727" display="http://www.boxofficemojo.com/schedule/?view=bydate&amp;release=theatrical&amp;date=2012-09-07&amp;p=.htm"/>
    <hyperlink ref="C580" r:id="rId1728"/>
    <hyperlink ref="D580" r:id="rId1729"/>
    <hyperlink ref="I580" r:id="rId1730" display="http://www.boxofficemojo.com/schedule/?view=bydate&amp;release=theatrical&amp;date=2012-01-18&amp;p=.htm"/>
    <hyperlink ref="C581" r:id="rId1731"/>
    <hyperlink ref="D581" r:id="rId1732"/>
    <hyperlink ref="I581" r:id="rId1733" display="http://www.boxofficemojo.com/schedule/?view=bydate&amp;release=theatrical&amp;date=2012-10-05&amp;p=.htm"/>
    <hyperlink ref="C582" r:id="rId1734"/>
    <hyperlink ref="D582" r:id="rId1735"/>
    <hyperlink ref="I582" r:id="rId1736" display="http://www.boxofficemojo.com/schedule/?view=bydate&amp;release=theatrical&amp;date=2012-09-21&amp;p=.htm"/>
    <hyperlink ref="C583" r:id="rId1737"/>
    <hyperlink ref="D583" r:id="rId1738"/>
    <hyperlink ref="I583" r:id="rId1739" display="http://www.boxofficemojo.com/schedule/?view=bydate&amp;release=theatrical&amp;date=2012-09-21&amp;p=.htm"/>
    <hyperlink ref="C584" r:id="rId1740"/>
    <hyperlink ref="D584" r:id="rId1741"/>
    <hyperlink ref="I584" r:id="rId1742" display="http://www.boxofficemojo.com/schedule/?view=bydate&amp;release=theatrical&amp;date=2012-06-08&amp;p=.htm"/>
    <hyperlink ref="C585" r:id="rId1743"/>
    <hyperlink ref="D585" r:id="rId1744"/>
    <hyperlink ref="I585" r:id="rId1745" display="http://www.boxofficemojo.com/schedule/?view=bydate&amp;release=theatrical&amp;date=2012-07-27&amp;p=.htm"/>
    <hyperlink ref="C586" r:id="rId1746"/>
    <hyperlink ref="D586" r:id="rId1747"/>
    <hyperlink ref="I586" r:id="rId1748" display="http://www.boxofficemojo.com/schedule/?view=bydate&amp;release=theatrical&amp;date=2012-11-16&amp;p=.htm"/>
    <hyperlink ref="C587" r:id="rId1749"/>
    <hyperlink ref="D587" r:id="rId1750"/>
    <hyperlink ref="I587" r:id="rId1751" display="http://www.boxofficemojo.com/schedule/?view=bydate&amp;release=theatrical&amp;date=2012-01-13&amp;p=.htm"/>
    <hyperlink ref="C588" r:id="rId1752"/>
    <hyperlink ref="D588" r:id="rId1753"/>
    <hyperlink ref="I588" r:id="rId1754" display="http://www.boxofficemojo.com/schedule/?view=bydate&amp;release=theatrical&amp;date=2012-05-11&amp;p=.htm"/>
    <hyperlink ref="C589" r:id="rId1755"/>
    <hyperlink ref="D589" r:id="rId1756"/>
    <hyperlink ref="I589" r:id="rId1757" display="http://www.boxofficemojo.com/schedule/?view=bydate&amp;release=theatrical&amp;date=2012-08-03&amp;p=.htm"/>
    <hyperlink ref="C590" r:id="rId1758"/>
    <hyperlink ref="D590" r:id="rId1759"/>
    <hyperlink ref="I590" r:id="rId1760" display="http://www.boxofficemojo.com/schedule/?view=bydate&amp;release=theatrical&amp;date=2012-08-24&amp;p=.htm"/>
    <hyperlink ref="C591" r:id="rId1761"/>
    <hyperlink ref="D591" r:id="rId1762"/>
    <hyperlink ref="I591" r:id="rId1763" display="http://www.boxofficemojo.com/schedule/?view=bydate&amp;release=theatrical&amp;date=2012-06-08&amp;p=.htm"/>
    <hyperlink ref="C592" r:id="rId1764"/>
    <hyperlink ref="D592" r:id="rId1765"/>
    <hyperlink ref="I592" r:id="rId1766" display="http://www.boxofficemojo.com/schedule/?view=bydate&amp;release=theatrical&amp;date=2012-03-02&amp;p=.htm"/>
    <hyperlink ref="C593" r:id="rId1767"/>
    <hyperlink ref="D593" r:id="rId1768"/>
    <hyperlink ref="I593" r:id="rId1769" display="http://www.boxofficemojo.com/schedule/?view=bydate&amp;release=theatrical&amp;date=2012-08-03&amp;p=.htm"/>
    <hyperlink ref="C594" r:id="rId1770"/>
    <hyperlink ref="D594" r:id="rId1771"/>
    <hyperlink ref="I594" r:id="rId1772" display="http://www.boxofficemojo.com/schedule/?view=bydate&amp;release=theatrical&amp;date=2012-04-27&amp;p=.htm"/>
    <hyperlink ref="C595" r:id="rId1773"/>
    <hyperlink ref="D595" r:id="rId1774"/>
    <hyperlink ref="I595" r:id="rId1775" display="http://www.boxofficemojo.com/schedule/?view=bydate&amp;release=theatrical&amp;date=2012-08-03&amp;p=.htm"/>
    <hyperlink ref="C596" r:id="rId1776"/>
    <hyperlink ref="D596" r:id="rId1777"/>
    <hyperlink ref="I596" r:id="rId1778" display="http://www.boxofficemojo.com/schedule/?view=bydate&amp;release=theatrical&amp;date=2012-01-06&amp;p=.htm"/>
    <hyperlink ref="C597" r:id="rId1779"/>
    <hyperlink ref="D597" r:id="rId1780"/>
    <hyperlink ref="I597" r:id="rId1781" display="http://www.boxofficemojo.com/schedule/?view=bydate&amp;release=theatrical&amp;date=2012-10-12&amp;p=.htm"/>
    <hyperlink ref="C598" r:id="rId1782"/>
    <hyperlink ref="D598" r:id="rId1783"/>
    <hyperlink ref="I598" r:id="rId1784" display="http://www.boxofficemojo.com/schedule/?view=bydate&amp;release=theatrical&amp;date=2012-03-02&amp;p=.htm"/>
    <hyperlink ref="C599" r:id="rId1785"/>
    <hyperlink ref="D599" r:id="rId1786"/>
    <hyperlink ref="I599" r:id="rId1787" display="http://www.boxofficemojo.com/schedule/?view=bydate&amp;release=theatrical&amp;date=2012-09-21&amp;p=.htm"/>
    <hyperlink ref="C600" r:id="rId1788"/>
    <hyperlink ref="D600" r:id="rId1789"/>
    <hyperlink ref="I600" r:id="rId1790" display="http://www.boxofficemojo.com/schedule/?view=bydate&amp;release=theatrical&amp;date=2012-10-03&amp;p=.htm"/>
    <hyperlink ref="C601" r:id="rId1791"/>
    <hyperlink ref="D601" r:id="rId1792"/>
    <hyperlink ref="I601" r:id="rId1793" display="http://www.boxofficemojo.com/schedule/?view=bydate&amp;release=theatrical&amp;date=2012-11-16&amp;p=.htm"/>
    <hyperlink ref="C602" r:id="rId1794"/>
    <hyperlink ref="D602" r:id="rId1795"/>
    <hyperlink ref="I602" r:id="rId1796" display="http://www.boxofficemojo.com/schedule/?view=bydate&amp;release=theatrical&amp;date=2012-04-27&amp;p=.htm"/>
    <hyperlink ref="C603" r:id="rId1797"/>
    <hyperlink ref="D603" r:id="rId1798"/>
    <hyperlink ref="I603" r:id="rId1799" display="http://www.boxofficemojo.com/schedule/?view=bydate&amp;release=theatrical&amp;date=2012-01-13&amp;p=.htm"/>
    <hyperlink ref="C604" r:id="rId1800"/>
    <hyperlink ref="D604" r:id="rId1801"/>
    <hyperlink ref="I604" r:id="rId1802" display="http://www.boxofficemojo.com/schedule/?view=bydate&amp;release=theatrical&amp;date=2012-11-30&amp;p=.htm"/>
    <hyperlink ref="C605" r:id="rId1803"/>
    <hyperlink ref="D605" r:id="rId1804"/>
    <hyperlink ref="I605" r:id="rId1805" display="http://www.boxofficemojo.com/schedule/?view=bydate&amp;release=theatrical&amp;date=2012-06-29&amp;p=.htm"/>
    <hyperlink ref="C606" r:id="rId1806"/>
    <hyperlink ref="D606" r:id="rId1807"/>
    <hyperlink ref="I606" r:id="rId1808" display="http://www.boxofficemojo.com/schedule/?view=bydate&amp;release=theatrical&amp;date=2012-12-07&amp;p=.htm"/>
    <hyperlink ref="C607" r:id="rId1809"/>
    <hyperlink ref="D607" r:id="rId1810"/>
    <hyperlink ref="I607" r:id="rId1811" display="http://www.boxofficemojo.com/schedule/?view=bydate&amp;release=theatrical&amp;date=2012-02-03&amp;p=.htm"/>
    <hyperlink ref="C608" r:id="rId1812"/>
    <hyperlink ref="D608" r:id="rId1813"/>
    <hyperlink ref="I608" r:id="rId1814" display="http://www.boxofficemojo.com/schedule/?view=bydate&amp;release=theatrical&amp;date=2012-03-30&amp;p=.htm"/>
    <hyperlink ref="C609" r:id="rId1815"/>
    <hyperlink ref="D609" r:id="rId1816"/>
    <hyperlink ref="I609" r:id="rId1817" display="http://www.boxofficemojo.com/schedule/?view=bydate&amp;release=theatrical&amp;date=2012-05-11&amp;p=.htm"/>
    <hyperlink ref="C610" r:id="rId1818"/>
    <hyperlink ref="D610" r:id="rId1819"/>
    <hyperlink ref="I610" r:id="rId1820" display="http://www.boxofficemojo.com/schedule/?view=bydate&amp;release=theatrical&amp;date=2012-07-06&amp;p=.htm"/>
    <hyperlink ref="C611" r:id="rId1821"/>
    <hyperlink ref="D611" r:id="rId1822"/>
    <hyperlink ref="I611" r:id="rId1823" display="http://www.boxofficemojo.com/schedule/?view=bydate&amp;release=theatrical&amp;date=2012-10-26&amp;p=.htm"/>
    <hyperlink ref="C612" r:id="rId1824"/>
    <hyperlink ref="D612" r:id="rId1825"/>
    <hyperlink ref="I612" r:id="rId1826" display="http://www.boxofficemojo.com/schedule/?view=bydate&amp;release=theatrical&amp;date=2012-02-08&amp;p=.htm"/>
    <hyperlink ref="C613" r:id="rId1827"/>
    <hyperlink ref="D613" r:id="rId1828"/>
    <hyperlink ref="I613" r:id="rId1829" display="http://www.boxofficemojo.com/schedule/?view=bydate&amp;release=theatrical&amp;date=2012-09-07&amp;p=.htm"/>
    <hyperlink ref="C614" r:id="rId1830"/>
    <hyperlink ref="D614" r:id="rId1831"/>
    <hyperlink ref="I614" r:id="rId1832" display="http://www.boxofficemojo.com/schedule/?view=bydate&amp;release=theatrical&amp;date=2012-05-18&amp;p=.htm"/>
    <hyperlink ref="C615" r:id="rId1833"/>
    <hyperlink ref="D615" r:id="rId1834"/>
    <hyperlink ref="I615" r:id="rId1835" display="http://www.boxofficemojo.com/schedule/?view=bydate&amp;release=theatrical&amp;date=2012-01-20&amp;p=.htm"/>
    <hyperlink ref="C616" r:id="rId1836"/>
    <hyperlink ref="D616" r:id="rId1837"/>
    <hyperlink ref="I616" r:id="rId1838" display="http://www.boxofficemojo.com/schedule/?view=bydate&amp;release=theatrical&amp;date=2012-08-03&amp;p=.htm"/>
    <hyperlink ref="C617" r:id="rId1839"/>
    <hyperlink ref="D617" r:id="rId1840"/>
    <hyperlink ref="I617" r:id="rId1841" display="http://www.boxofficemojo.com/schedule/?view=bydate&amp;release=theatrical&amp;date=2012-12-14&amp;p=.htm"/>
    <hyperlink ref="C618" r:id="rId1842"/>
    <hyperlink ref="D618" r:id="rId1843"/>
    <hyperlink ref="I618" r:id="rId1844" display="http://www.boxofficemojo.com/schedule/?view=bydate&amp;release=theatrical&amp;date=2012-04-25&amp;p=.htm"/>
    <hyperlink ref="C619" r:id="rId1845"/>
    <hyperlink ref="D619" r:id="rId1846"/>
    <hyperlink ref="I619" r:id="rId1847" display="http://www.boxofficemojo.com/schedule/?view=bydate&amp;release=theatrical&amp;date=2012-11-30&amp;p=.htm"/>
    <hyperlink ref="C620" r:id="rId1848"/>
    <hyperlink ref="D620" r:id="rId1849"/>
    <hyperlink ref="I620" r:id="rId1850" display="http://www.boxofficemojo.com/schedule/?view=bydate&amp;release=theatrical&amp;date=2012-11-30&amp;p=.htm"/>
    <hyperlink ref="C621" r:id="rId1851"/>
    <hyperlink ref="D621" r:id="rId1852"/>
    <hyperlink ref="I621" r:id="rId1853" display="http://www.boxofficemojo.com/schedule/?view=bydate&amp;release=theatrical&amp;date=2012-08-31&amp;p=.htm"/>
    <hyperlink ref="C622" r:id="rId1854"/>
    <hyperlink ref="D622" r:id="rId1855"/>
    <hyperlink ref="I622" r:id="rId1856" display="http://www.boxofficemojo.com/schedule/?view=bydate&amp;release=theatrical&amp;date=2012-11-02&amp;p=.htm"/>
    <hyperlink ref="C623" r:id="rId1857"/>
    <hyperlink ref="D623" r:id="rId1858"/>
    <hyperlink ref="I623" r:id="rId1859" display="http://www.boxofficemojo.com/schedule/?view=bydate&amp;release=theatrical&amp;date=2012-04-20&amp;p=.htm"/>
    <hyperlink ref="C624" r:id="rId1860"/>
    <hyperlink ref="D624" r:id="rId1861"/>
    <hyperlink ref="I624" r:id="rId1862" display="http://www.boxofficemojo.com/schedule/?view=bydate&amp;release=theatrical&amp;date=2012-09-28&amp;p=.htm"/>
    <hyperlink ref="C625" r:id="rId1863"/>
    <hyperlink ref="D625" r:id="rId1864"/>
    <hyperlink ref="I625" r:id="rId1865" display="http://www.boxofficemojo.com/schedule/?view=bydate&amp;release=theatrical&amp;date=2012-02-24&amp;p=.htm"/>
    <hyperlink ref="C626" r:id="rId1866"/>
    <hyperlink ref="D626" r:id="rId1867"/>
    <hyperlink ref="I626" r:id="rId1868" display="http://www.boxofficemojo.com/schedule/?view=bydate&amp;release=theatrical&amp;date=2012-03-21&amp;p=.htm"/>
    <hyperlink ref="C627" r:id="rId1869"/>
    <hyperlink ref="D627" r:id="rId1870"/>
    <hyperlink ref="I627" r:id="rId1871" display="http://www.boxofficemojo.com/schedule/?view=bydate&amp;release=theatrical&amp;date=2012-11-15&amp;p=.htm"/>
    <hyperlink ref="C628" r:id="rId1872"/>
    <hyperlink ref="D628" r:id="rId1873"/>
    <hyperlink ref="I628" r:id="rId1874" display="http://www.boxofficemojo.com/schedule/?view=bydate&amp;release=theatrical&amp;date=2012-08-31&amp;p=.htm"/>
    <hyperlink ref="C629" r:id="rId1875"/>
    <hyperlink ref="D629" r:id="rId1876"/>
    <hyperlink ref="I629" r:id="rId1877" display="http://www.boxofficemojo.com/schedule/?view=bydate&amp;release=theatrical&amp;date=2012-01-13&amp;p=.htm"/>
    <hyperlink ref="C630" r:id="rId1878"/>
    <hyperlink ref="D630" r:id="rId1879"/>
    <hyperlink ref="I630" r:id="rId1880" display="http://www.boxofficemojo.com/schedule/?view=bydate&amp;release=theatrical&amp;date=2012-03-02&amp;p=.htm"/>
    <hyperlink ref="C631" r:id="rId1881"/>
    <hyperlink ref="D631" r:id="rId1882"/>
    <hyperlink ref="I631" r:id="rId1883" display="http://www.boxofficemojo.com/schedule/?view=bydate&amp;release=theatrical&amp;date=2012-12-07&amp;p=.htm"/>
    <hyperlink ref="C632" r:id="rId1884"/>
    <hyperlink ref="D632" r:id="rId1885"/>
    <hyperlink ref="I632" r:id="rId1886" display="http://www.boxofficemojo.com/schedule/?view=bydate&amp;release=theatrical&amp;date=2012-04-20&amp;p=.htm"/>
    <hyperlink ref="C633" r:id="rId1887"/>
    <hyperlink ref="D633" r:id="rId1888"/>
    <hyperlink ref="I633" r:id="rId1889" display="http://www.boxofficemojo.com/schedule/?view=bydate&amp;release=theatrical&amp;date=2012-08-03&amp;p=.htm"/>
    <hyperlink ref="C634" r:id="rId1890"/>
    <hyperlink ref="D634" r:id="rId1891"/>
    <hyperlink ref="I634" r:id="rId1892" display="http://www.boxofficemojo.com/schedule/?view=bydate&amp;release=theatrical&amp;date=2012-03-31&amp;p=.htm"/>
    <hyperlink ref="C635" r:id="rId1893"/>
    <hyperlink ref="D635" r:id="rId1894"/>
    <hyperlink ref="I635" r:id="rId1895" display="http://www.boxofficemojo.com/schedule/?view=bydate&amp;release=theatrical&amp;date=2012-10-26&amp;p=.htm"/>
    <hyperlink ref="C636" r:id="rId1896"/>
    <hyperlink ref="D636" r:id="rId1897"/>
    <hyperlink ref="I636" r:id="rId1898" display="http://www.boxofficemojo.com/schedule/?view=bydate&amp;release=theatrical&amp;date=2012-09-07&amp;p=.htm"/>
    <hyperlink ref="C637" r:id="rId1899"/>
    <hyperlink ref="D637" r:id="rId1900"/>
    <hyperlink ref="I637" r:id="rId1901" display="http://www.boxofficemojo.com/schedule/?view=bydate&amp;release=theatrical&amp;date=2012-08-24&amp;p=.htm"/>
    <hyperlink ref="C638" r:id="rId1902"/>
    <hyperlink ref="D638" r:id="rId1903"/>
    <hyperlink ref="I638" r:id="rId1904" display="http://www.boxofficemojo.com/schedule/?view=bydate&amp;release=theatrical&amp;date=2012-01-11&amp;p=.htm"/>
    <hyperlink ref="C639" r:id="rId1905"/>
    <hyperlink ref="D639" r:id="rId1906"/>
    <hyperlink ref="I639" r:id="rId1907" display="http://www.boxofficemojo.com/schedule/?view=bydate&amp;release=theatrical&amp;date=2012-02-17&amp;p=.htm"/>
    <hyperlink ref="C640" r:id="rId1908"/>
    <hyperlink ref="D640" r:id="rId1909"/>
    <hyperlink ref="I640" r:id="rId1910" display="http://www.boxofficemojo.com/schedule/?view=bydate&amp;release=theatrical&amp;date=2012-11-02&amp;p=.htm"/>
    <hyperlink ref="C641" r:id="rId1911"/>
    <hyperlink ref="D641" r:id="rId1912"/>
    <hyperlink ref="I641" r:id="rId1913" display="http://www.boxofficemojo.com/schedule/?view=bydate&amp;release=theatrical&amp;date=2012-05-11&amp;p=.htm"/>
    <hyperlink ref="C642" r:id="rId1914"/>
    <hyperlink ref="D642" r:id="rId1915"/>
    <hyperlink ref="I642" r:id="rId1916" display="http://www.boxofficemojo.com/schedule/?view=bydate&amp;release=theatrical&amp;date=2012-08-10&amp;p=.htm"/>
    <hyperlink ref="C643" r:id="rId1917"/>
    <hyperlink ref="D643" r:id="rId1918"/>
    <hyperlink ref="I643" r:id="rId1919" display="http://www.boxofficemojo.com/schedule/?view=bydate&amp;release=theatrical&amp;date=2012-03-09&amp;p=.htm"/>
    <hyperlink ref="C644" r:id="rId1920"/>
    <hyperlink ref="D644" r:id="rId1921"/>
    <hyperlink ref="I644" r:id="rId1922" display="http://www.boxofficemojo.com/schedule/?view=bydate&amp;release=theatrical&amp;date=2012-04-06&amp;p=.htm"/>
    <hyperlink ref="C645" r:id="rId1923"/>
    <hyperlink ref="D645" r:id="rId1924"/>
    <hyperlink ref="I645" r:id="rId1925" display="http://www.boxofficemojo.com/schedule/?view=bydate&amp;release=theatrical&amp;date=2012-09-21&amp;p=.htm"/>
    <hyperlink ref="C646" r:id="rId1926"/>
    <hyperlink ref="D646" r:id="rId1927"/>
    <hyperlink ref="I646" r:id="rId1928" display="http://www.boxofficemojo.com/schedule/?view=bydate&amp;release=theatrical&amp;date=2012-02-03&amp;p=.htm"/>
    <hyperlink ref="C647" r:id="rId1929"/>
    <hyperlink ref="D647" r:id="rId1930"/>
    <hyperlink ref="I647" r:id="rId1931" display="http://www.boxofficemojo.com/schedule/?view=bydate&amp;release=theatrical&amp;date=2012-12-07&amp;p=.htm"/>
    <hyperlink ref="C648" r:id="rId1932"/>
    <hyperlink ref="D648" r:id="rId1933"/>
    <hyperlink ref="I648" r:id="rId1934" display="http://www.boxofficemojo.com/schedule/?view=bydate&amp;release=theatrical&amp;date=2012-04-27&amp;p=.htm"/>
    <hyperlink ref="C649" r:id="rId1935"/>
    <hyperlink ref="D649" r:id="rId1936"/>
    <hyperlink ref="I649" r:id="rId1937" display="http://www.boxofficemojo.com/schedule/?view=bydate&amp;release=theatrical&amp;date=2012-05-18&amp;p=.htm"/>
    <hyperlink ref="C650" r:id="rId1938"/>
    <hyperlink ref="D650" r:id="rId1939"/>
    <hyperlink ref="I650" r:id="rId1940" display="http://www.boxofficemojo.com/schedule/?view=bydate&amp;release=theatrical&amp;date=2012-10-26&amp;p=.htm"/>
    <hyperlink ref="C651" r:id="rId1941"/>
    <hyperlink ref="D651" r:id="rId1942"/>
    <hyperlink ref="I651" r:id="rId1943" display="http://www.boxofficemojo.com/schedule/?view=bydate&amp;release=theatrical&amp;date=2012-08-17&amp;p=.htm"/>
    <hyperlink ref="C652" r:id="rId1944"/>
    <hyperlink ref="D652" r:id="rId1945"/>
    <hyperlink ref="I652" r:id="rId1946" display="http://www.boxofficemojo.com/schedule/?view=bydate&amp;release=theatrical&amp;date=2012-10-12&amp;p=.htm"/>
    <hyperlink ref="C653" r:id="rId1947"/>
    <hyperlink ref="D653" r:id="rId1948"/>
    <hyperlink ref="I653" r:id="rId1949" display="http://www.boxofficemojo.com/schedule/?view=bydate&amp;release=theatrical&amp;date=2012-03-01&amp;p=.htm"/>
    <hyperlink ref="C654" r:id="rId1950"/>
    <hyperlink ref="D654" r:id="rId1951"/>
    <hyperlink ref="I654" r:id="rId1952" display="http://www.boxofficemojo.com/schedule/?view=bydate&amp;release=theatrical&amp;date=2012-06-08&amp;p=.htm"/>
    <hyperlink ref="C655" r:id="rId1953"/>
    <hyperlink ref="D655" r:id="rId1954"/>
    <hyperlink ref="I655" r:id="rId1955" display="http://www.boxofficemojo.com/schedule/?view=bydate&amp;release=theatrical&amp;date=2012-03-30&amp;p=.htm"/>
    <hyperlink ref="C656" r:id="rId1956"/>
    <hyperlink ref="D656" r:id="rId1957"/>
    <hyperlink ref="I656" r:id="rId1958" display="http://www.boxofficemojo.com/schedule/?view=bydate&amp;release=theatrical&amp;date=2012-01-13&amp;p=.htm"/>
    <hyperlink ref="C657" r:id="rId1959"/>
    <hyperlink ref="D657" r:id="rId1960"/>
    <hyperlink ref="I657" r:id="rId1961" display="http://www.boxofficemojo.com/schedule/?view=bydate&amp;release=theatrical&amp;date=2012-07-06&amp;p=.htm"/>
    <hyperlink ref="C658" r:id="rId1962"/>
    <hyperlink ref="D658" r:id="rId1963"/>
    <hyperlink ref="I658" r:id="rId1964" display="http://www.boxofficemojo.com/schedule/?view=bydate&amp;release=theatrical&amp;date=2012-03-02&amp;p=.htm"/>
    <hyperlink ref="C659" r:id="rId1965"/>
    <hyperlink ref="D659" r:id="rId1966"/>
    <hyperlink ref="I659" r:id="rId1967" display="http://www.boxofficemojo.com/schedule/?view=bydate&amp;release=theatrical&amp;date=2012-10-19&amp;p=.htm"/>
    <hyperlink ref="C660" r:id="rId1968"/>
    <hyperlink ref="D660" r:id="rId1969"/>
    <hyperlink ref="I660" r:id="rId1970" display="http://www.boxofficemojo.com/schedule/?view=bydate&amp;release=theatrical&amp;date=2012-09-28&amp;p=.htm"/>
    <hyperlink ref="C661" r:id="rId1971"/>
    <hyperlink ref="D661" r:id="rId1972"/>
    <hyperlink ref="I661" r:id="rId1973" display="http://www.boxofficemojo.com/schedule/?view=bydate&amp;release=theatrical&amp;date=2012-12-12&amp;p=.htm"/>
    <hyperlink ref="C662" r:id="rId1974"/>
    <hyperlink ref="D662" r:id="rId1975"/>
    <hyperlink ref="I662" r:id="rId1976" display="http://www.boxofficemojo.com/schedule/?view=bydate&amp;release=theatrical&amp;date=2012-09-14&amp;p=.htm"/>
    <hyperlink ref="C663" r:id="rId1977"/>
    <hyperlink ref="D663" r:id="rId1978"/>
    <hyperlink ref="I663" r:id="rId1979" display="http://www.boxofficemojo.com/schedule/?view=bydate&amp;release=theatrical&amp;date=2012-11-02&amp;p=.htm"/>
    <hyperlink ref="C664" r:id="rId1980"/>
    <hyperlink ref="D664" r:id="rId1981"/>
    <hyperlink ref="I664" r:id="rId1982" display="http://www.boxofficemojo.com/schedule/?view=bydate&amp;release=theatrical&amp;date=2012-03-09&amp;p=.htm"/>
    <hyperlink ref="C665" r:id="rId1983"/>
    <hyperlink ref="D665" r:id="rId1984"/>
    <hyperlink ref="I665" r:id="rId1985" display="http://www.boxofficemojo.com/schedule/?view=bydate&amp;release=theatrical&amp;date=2012-06-08&amp;p=.htm"/>
    <hyperlink ref="C666" r:id="rId1986"/>
    <hyperlink ref="D666" r:id="rId1987"/>
    <hyperlink ref="I666" r:id="rId1988" display="http://www.boxofficemojo.com/schedule/?view=bydate&amp;release=theatrical&amp;date=2012-11-09&amp;p=.htm"/>
    <hyperlink ref="C667" r:id="rId1989"/>
    <hyperlink ref="D667" r:id="rId1990"/>
    <hyperlink ref="I667" r:id="rId1991" display="http://www.boxofficemojo.com/schedule/?view=bydate&amp;release=theatrical&amp;date=2012-04-27&amp;p=.htm"/>
    <hyperlink ref="C668" r:id="rId1992"/>
    <hyperlink ref="D668" r:id="rId1993"/>
    <hyperlink ref="I668" r:id="rId1994" display="http://www.boxofficemojo.com/schedule/?view=bydate&amp;release=theatrical&amp;date=2012-05-04&amp;p=.htm"/>
    <hyperlink ref="C669" r:id="rId1995"/>
    <hyperlink ref="D669" r:id="rId1996"/>
    <hyperlink ref="I669" r:id="rId1997" display="http://www.boxofficemojo.com/schedule/?view=bydate&amp;release=theatrical&amp;date=2012-11-23&amp;p=.htm"/>
    <hyperlink ref="C670" r:id="rId1998"/>
    <hyperlink ref="D670" r:id="rId1999"/>
    <hyperlink ref="I670" r:id="rId2000" display="http://www.boxofficemojo.com/schedule/?view=bydate&amp;release=theatrical&amp;date=2012-05-04&amp;p=.htm"/>
    <hyperlink ref="C671" r:id="rId2001"/>
    <hyperlink ref="D671" r:id="rId2002"/>
    <hyperlink ref="I671" r:id="rId2003" display="http://www.boxofficemojo.com/schedule/?view=bydate&amp;release=theatrical&amp;date=2012-06-01&amp;p=.htm"/>
    <hyperlink ref="C672" r:id="rId2004"/>
    <hyperlink ref="D672" r:id="rId2005"/>
    <hyperlink ref="I672" r:id="rId2006" display="http://www.boxofficemojo.com/schedule/?view=bydate&amp;release=theatrical&amp;date=2012-03-16&amp;p=.htm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687"/>
  <sheetViews>
    <sheetView workbookViewId="0">
      <selection activeCell="M351" sqref="M351"/>
    </sheetView>
  </sheetViews>
  <sheetFormatPr baseColWidth="10" defaultRowHeight="16" x14ac:dyDescent="0.2"/>
  <sheetData>
    <row r="3" spans="2:10" x14ac:dyDescent="0.2">
      <c r="B3" s="26" t="s">
        <v>550</v>
      </c>
      <c r="C3" s="26" t="s">
        <v>551</v>
      </c>
      <c r="D3" s="23" t="s">
        <v>0</v>
      </c>
    </row>
    <row r="4" spans="2:10" x14ac:dyDescent="0.2">
      <c r="B4" s="26"/>
      <c r="C4" s="26"/>
    </row>
    <row r="5" spans="2:10" x14ac:dyDescent="0.2">
      <c r="B5" s="22"/>
      <c r="C5" s="20" t="s">
        <v>7639</v>
      </c>
      <c r="D5" s="22" t="s">
        <v>5303</v>
      </c>
      <c r="E5" s="23" t="s">
        <v>552</v>
      </c>
      <c r="F5" s="23" t="s">
        <v>553</v>
      </c>
    </row>
    <row r="6" spans="2:10" x14ac:dyDescent="0.2">
      <c r="B6" s="22">
        <v>1</v>
      </c>
      <c r="C6" s="23" t="s">
        <v>9381</v>
      </c>
      <c r="D6" s="23" t="s">
        <v>643</v>
      </c>
      <c r="E6" s="20" t="s">
        <v>9382</v>
      </c>
      <c r="F6" s="22">
        <v>4.1630000000000003</v>
      </c>
      <c r="G6" s="22" t="s">
        <v>9383</v>
      </c>
      <c r="H6" s="22">
        <v>4.1630000000000003</v>
      </c>
      <c r="I6" s="25">
        <v>43426</v>
      </c>
      <c r="J6" s="24">
        <v>43193</v>
      </c>
    </row>
    <row r="7" spans="2:10" x14ac:dyDescent="0.2">
      <c r="B7" s="22">
        <v>2</v>
      </c>
      <c r="C7" s="23" t="s">
        <v>9384</v>
      </c>
      <c r="D7" s="23" t="s">
        <v>554</v>
      </c>
      <c r="E7" s="20" t="s">
        <v>9385</v>
      </c>
      <c r="F7" s="22">
        <v>4.2530000000000001</v>
      </c>
      <c r="G7" s="22" t="s">
        <v>9386</v>
      </c>
      <c r="H7" s="22">
        <v>4.2530000000000001</v>
      </c>
      <c r="I7" s="25">
        <v>43223</v>
      </c>
      <c r="J7" s="24">
        <v>43355</v>
      </c>
    </row>
    <row r="8" spans="2:10" x14ac:dyDescent="0.2">
      <c r="B8" s="22">
        <v>3</v>
      </c>
      <c r="C8" s="23" t="s">
        <v>9387</v>
      </c>
      <c r="D8" s="23" t="s">
        <v>554</v>
      </c>
      <c r="E8" s="20" t="s">
        <v>9388</v>
      </c>
      <c r="F8" s="22">
        <v>3.742</v>
      </c>
      <c r="G8" s="22" t="s">
        <v>9389</v>
      </c>
      <c r="H8" s="22">
        <v>1</v>
      </c>
      <c r="I8" s="25">
        <v>43426</v>
      </c>
      <c r="J8" s="24">
        <v>43298</v>
      </c>
    </row>
    <row r="9" spans="2:10" x14ac:dyDescent="0.2">
      <c r="B9" s="22">
        <v>4</v>
      </c>
      <c r="C9" s="23" t="s">
        <v>9390</v>
      </c>
      <c r="D9" s="23" t="s">
        <v>586</v>
      </c>
      <c r="E9" s="20" t="s">
        <v>9391</v>
      </c>
      <c r="F9" s="22">
        <v>4.0030000000000001</v>
      </c>
      <c r="G9" s="22" t="s">
        <v>9392</v>
      </c>
      <c r="H9" s="22">
        <v>3.9969999999999999</v>
      </c>
      <c r="I9" s="25">
        <v>43284</v>
      </c>
      <c r="J9" s="24">
        <v>43116</v>
      </c>
    </row>
    <row r="10" spans="2:10" x14ac:dyDescent="0.2">
      <c r="B10" s="22">
        <v>5</v>
      </c>
      <c r="C10" s="23" t="s">
        <v>9393</v>
      </c>
      <c r="D10" s="23" t="s">
        <v>563</v>
      </c>
      <c r="E10" s="20" t="s">
        <v>9394</v>
      </c>
      <c r="F10" s="22">
        <v>4.2069999999999999</v>
      </c>
      <c r="G10" s="22" t="s">
        <v>9395</v>
      </c>
      <c r="H10" s="22">
        <v>4.2069999999999999</v>
      </c>
      <c r="I10" s="25">
        <v>43265</v>
      </c>
      <c r="J10" s="24">
        <v>43362</v>
      </c>
    </row>
    <row r="11" spans="2:10" x14ac:dyDescent="0.2">
      <c r="B11" s="22">
        <v>6</v>
      </c>
      <c r="C11" s="23" t="s">
        <v>9396</v>
      </c>
      <c r="D11" s="23" t="s">
        <v>563</v>
      </c>
      <c r="E11" s="20" t="s">
        <v>9397</v>
      </c>
      <c r="F11" s="22">
        <v>3.82</v>
      </c>
      <c r="G11" s="22" t="s">
        <v>9398</v>
      </c>
      <c r="H11" s="22">
        <v>3.5750000000000002</v>
      </c>
      <c r="I11" s="25">
        <v>43377</v>
      </c>
      <c r="J11" s="24">
        <v>43228</v>
      </c>
    </row>
    <row r="12" spans="2:10" x14ac:dyDescent="0.2">
      <c r="B12" s="22">
        <v>7</v>
      </c>
      <c r="C12" s="23" t="s">
        <v>9399</v>
      </c>
      <c r="D12" s="23" t="s">
        <v>554</v>
      </c>
      <c r="E12" s="20" t="s">
        <v>9400</v>
      </c>
      <c r="F12" s="22">
        <v>4.0039999999999996</v>
      </c>
      <c r="G12" s="22" t="s">
        <v>9401</v>
      </c>
      <c r="H12" s="22">
        <v>4.0039999999999996</v>
      </c>
      <c r="I12" s="25">
        <v>43272</v>
      </c>
      <c r="J12" s="24">
        <v>43453</v>
      </c>
    </row>
    <row r="13" spans="2:10" x14ac:dyDescent="0.2">
      <c r="B13" s="22">
        <v>8</v>
      </c>
      <c r="C13" s="23" t="s">
        <v>9402</v>
      </c>
      <c r="D13" s="23" t="s">
        <v>574</v>
      </c>
      <c r="E13" s="20" t="s">
        <v>9403</v>
      </c>
      <c r="F13" s="22">
        <v>3.9279999999999999</v>
      </c>
      <c r="G13" s="22" t="s">
        <v>9404</v>
      </c>
      <c r="H13" s="22">
        <v>3.903</v>
      </c>
      <c r="I13" s="25">
        <v>43447</v>
      </c>
      <c r="J13" s="24">
        <v>43207</v>
      </c>
    </row>
    <row r="14" spans="2:10" x14ac:dyDescent="0.2">
      <c r="B14" s="22">
        <v>9</v>
      </c>
      <c r="C14" s="23" t="s">
        <v>9405</v>
      </c>
      <c r="D14" s="23" t="s">
        <v>586</v>
      </c>
      <c r="E14" s="20" t="s">
        <v>9406</v>
      </c>
      <c r="F14" s="22">
        <v>3.7709999999999999</v>
      </c>
      <c r="G14" s="22" t="s">
        <v>9407</v>
      </c>
      <c r="H14" s="22">
        <v>3.6579999999999999</v>
      </c>
      <c r="I14" s="25">
        <v>43244</v>
      </c>
      <c r="J14" s="24">
        <v>43348</v>
      </c>
    </row>
    <row r="15" spans="2:10" x14ac:dyDescent="0.2">
      <c r="B15" s="22">
        <v>10</v>
      </c>
      <c r="C15" s="23" t="s">
        <v>9408</v>
      </c>
      <c r="D15" s="23" t="s">
        <v>554</v>
      </c>
      <c r="E15" s="20" t="s">
        <v>9409</v>
      </c>
      <c r="F15" s="22">
        <v>3.9119999999999999</v>
      </c>
      <c r="G15" s="22" t="s">
        <v>9410</v>
      </c>
      <c r="H15" s="22">
        <v>3.9119999999999999</v>
      </c>
      <c r="I15" s="25">
        <v>43167</v>
      </c>
      <c r="J15" s="24">
        <v>43299</v>
      </c>
    </row>
    <row r="16" spans="2:10" x14ac:dyDescent="0.2">
      <c r="B16" s="22">
        <v>11</v>
      </c>
      <c r="C16" s="23" t="s">
        <v>9411</v>
      </c>
      <c r="D16" s="23" t="s">
        <v>638</v>
      </c>
      <c r="E16" s="20" t="s">
        <v>9412</v>
      </c>
      <c r="F16" s="22">
        <v>3.907</v>
      </c>
      <c r="G16" s="22" t="s">
        <v>9413</v>
      </c>
      <c r="H16" s="22">
        <v>3.8679999999999999</v>
      </c>
      <c r="I16" s="25">
        <v>43236</v>
      </c>
      <c r="J16" s="24">
        <v>43355</v>
      </c>
    </row>
    <row r="17" spans="2:10" x14ac:dyDescent="0.2">
      <c r="B17" s="22">
        <v>12</v>
      </c>
      <c r="C17" s="23" t="s">
        <v>9414</v>
      </c>
      <c r="D17" s="23" t="s">
        <v>554</v>
      </c>
      <c r="E17" s="20" t="s">
        <v>9415</v>
      </c>
      <c r="F17" s="22">
        <v>3.8410000000000002</v>
      </c>
      <c r="G17" s="22" t="s">
        <v>9416</v>
      </c>
      <c r="H17" s="22">
        <v>3.8410000000000002</v>
      </c>
      <c r="I17" s="25">
        <v>43412</v>
      </c>
      <c r="J17" s="24">
        <v>43207</v>
      </c>
    </row>
    <row r="18" spans="2:10" x14ac:dyDescent="0.2">
      <c r="B18" s="22">
        <v>13</v>
      </c>
      <c r="C18" s="23" t="s">
        <v>9417</v>
      </c>
      <c r="D18" s="23" t="s">
        <v>638</v>
      </c>
      <c r="E18" s="20" t="s">
        <v>9418</v>
      </c>
      <c r="F18" s="22">
        <v>3.6070000000000002</v>
      </c>
      <c r="G18" s="22" t="s">
        <v>9419</v>
      </c>
      <c r="H18" s="22">
        <v>3.6070000000000002</v>
      </c>
      <c r="I18" s="25">
        <v>43272</v>
      </c>
      <c r="J18" s="24">
        <v>43383</v>
      </c>
    </row>
    <row r="19" spans="2:10" x14ac:dyDescent="0.2">
      <c r="B19" s="22">
        <v>14</v>
      </c>
      <c r="C19" s="23" t="s">
        <v>9420</v>
      </c>
      <c r="D19" s="23" t="s">
        <v>594</v>
      </c>
      <c r="E19" s="20" t="s">
        <v>9421</v>
      </c>
      <c r="F19" s="22">
        <v>4.0650000000000004</v>
      </c>
      <c r="G19" s="22" t="s">
        <v>9422</v>
      </c>
      <c r="H19" s="22">
        <v>4.0460000000000003</v>
      </c>
      <c r="I19" s="25">
        <v>43181</v>
      </c>
      <c r="J19" s="24">
        <v>43362</v>
      </c>
    </row>
    <row r="20" spans="2:10" x14ac:dyDescent="0.2">
      <c r="B20" s="22">
        <v>15</v>
      </c>
      <c r="C20" s="23" t="s">
        <v>9423</v>
      </c>
      <c r="D20" s="23" t="s">
        <v>594</v>
      </c>
      <c r="E20" s="20" t="s">
        <v>9424</v>
      </c>
      <c r="F20" s="22">
        <v>3.1840000000000002</v>
      </c>
      <c r="G20" s="22" t="s">
        <v>9425</v>
      </c>
      <c r="H20" s="22">
        <v>3.181</v>
      </c>
      <c r="I20" s="25">
        <v>43279</v>
      </c>
      <c r="J20" s="24">
        <v>43446</v>
      </c>
    </row>
    <row r="21" spans="2:10" x14ac:dyDescent="0.2">
      <c r="B21" s="22">
        <v>16</v>
      </c>
      <c r="C21" s="23" t="s">
        <v>9426</v>
      </c>
      <c r="D21" s="23" t="s">
        <v>574</v>
      </c>
      <c r="E21" s="20" t="s">
        <v>9427</v>
      </c>
      <c r="F21" s="22">
        <v>3.4449999999999998</v>
      </c>
      <c r="G21" s="22" t="s">
        <v>9428</v>
      </c>
      <c r="H21" s="22">
        <v>3.26</v>
      </c>
      <c r="I21" s="25">
        <v>43319</v>
      </c>
      <c r="J21" s="24">
        <v>43439</v>
      </c>
    </row>
    <row r="22" spans="2:10" x14ac:dyDescent="0.2">
      <c r="B22" s="22">
        <v>17</v>
      </c>
      <c r="C22" s="23" t="s">
        <v>9429</v>
      </c>
      <c r="D22" s="23" t="s">
        <v>570</v>
      </c>
      <c r="E22" s="20" t="s">
        <v>9430</v>
      </c>
      <c r="F22" s="22">
        <v>2.629</v>
      </c>
      <c r="G22" s="22" t="s">
        <v>9431</v>
      </c>
      <c r="H22" s="22">
        <v>6</v>
      </c>
      <c r="I22" s="25">
        <v>43447</v>
      </c>
      <c r="J22" s="24">
        <v>43196</v>
      </c>
    </row>
    <row r="23" spans="2:10" x14ac:dyDescent="0.2">
      <c r="B23" s="22">
        <v>18</v>
      </c>
      <c r="C23" s="23" t="s">
        <v>9432</v>
      </c>
      <c r="D23" s="23" t="s">
        <v>563</v>
      </c>
      <c r="E23" s="20" t="s">
        <v>9433</v>
      </c>
      <c r="F23" s="22">
        <v>3.55</v>
      </c>
      <c r="G23" s="22" t="s">
        <v>9434</v>
      </c>
      <c r="H23" s="22">
        <v>3.5350000000000001</v>
      </c>
      <c r="I23" s="25">
        <v>43230</v>
      </c>
      <c r="J23" s="24">
        <v>43334</v>
      </c>
    </row>
    <row r="24" spans="2:10" x14ac:dyDescent="0.2">
      <c r="B24" s="22">
        <v>19</v>
      </c>
      <c r="C24" s="23" t="s">
        <v>9435</v>
      </c>
      <c r="D24" s="23" t="s">
        <v>574</v>
      </c>
      <c r="E24" s="20" t="s">
        <v>9436</v>
      </c>
      <c r="F24" s="22">
        <v>3.1150000000000002</v>
      </c>
      <c r="G24" s="22" t="s">
        <v>9437</v>
      </c>
      <c r="H24" s="22">
        <v>2.903</v>
      </c>
      <c r="I24" s="25">
        <v>43300</v>
      </c>
      <c r="J24" s="24">
        <v>43404</v>
      </c>
    </row>
    <row r="25" spans="2:10" x14ac:dyDescent="0.2">
      <c r="B25" s="22">
        <v>20</v>
      </c>
      <c r="C25" s="23" t="s">
        <v>9438</v>
      </c>
      <c r="D25" s="23" t="s">
        <v>586</v>
      </c>
      <c r="E25" s="20" t="s">
        <v>9439</v>
      </c>
      <c r="F25" s="22">
        <v>3.23</v>
      </c>
      <c r="G25" s="22" t="s">
        <v>9440</v>
      </c>
      <c r="H25" s="22">
        <v>3.141</v>
      </c>
      <c r="I25" s="25">
        <v>43139</v>
      </c>
      <c r="J25" s="24">
        <v>43257</v>
      </c>
    </row>
    <row r="26" spans="2:10" x14ac:dyDescent="0.2">
      <c r="B26" s="22">
        <v>21</v>
      </c>
      <c r="C26" s="23" t="s">
        <v>9441</v>
      </c>
      <c r="D26" s="23" t="s">
        <v>570</v>
      </c>
      <c r="E26" s="20" t="s">
        <v>9442</v>
      </c>
      <c r="F26" s="22">
        <v>3.4910000000000001</v>
      </c>
      <c r="G26" s="22" t="s">
        <v>9443</v>
      </c>
      <c r="H26" s="22">
        <v>3.4910000000000001</v>
      </c>
      <c r="I26" s="25">
        <v>43293</v>
      </c>
      <c r="J26" s="24">
        <v>43421</v>
      </c>
    </row>
    <row r="27" spans="2:10" x14ac:dyDescent="0.2">
      <c r="B27" s="22">
        <v>22</v>
      </c>
      <c r="C27" s="23" t="s">
        <v>9444</v>
      </c>
      <c r="D27" s="23" t="s">
        <v>594</v>
      </c>
      <c r="E27" s="20" t="s">
        <v>9445</v>
      </c>
      <c r="F27" s="22">
        <v>3.9239999999999999</v>
      </c>
      <c r="G27" s="22" t="s">
        <v>9446</v>
      </c>
      <c r="H27" s="22">
        <v>3.9239999999999999</v>
      </c>
      <c r="I27" s="25">
        <v>43307</v>
      </c>
      <c r="J27" s="24">
        <v>43439</v>
      </c>
    </row>
    <row r="28" spans="2:10" x14ac:dyDescent="0.2">
      <c r="B28" s="22">
        <v>23</v>
      </c>
      <c r="C28" s="23" t="s">
        <v>9447</v>
      </c>
      <c r="D28" s="23" t="s">
        <v>638</v>
      </c>
      <c r="E28" s="20" t="s">
        <v>9448</v>
      </c>
      <c r="F28" s="22">
        <v>3.5070000000000001</v>
      </c>
      <c r="G28" s="22" t="s">
        <v>9449</v>
      </c>
      <c r="H28" s="22">
        <v>3.5070000000000001</v>
      </c>
      <c r="I28" s="25">
        <v>43452</v>
      </c>
      <c r="J28" s="24">
        <v>43151</v>
      </c>
    </row>
    <row r="29" spans="2:10" x14ac:dyDescent="0.2">
      <c r="B29" s="22">
        <v>24</v>
      </c>
      <c r="C29" s="23" t="s">
        <v>9450</v>
      </c>
      <c r="D29" s="23" t="s">
        <v>586</v>
      </c>
      <c r="E29" s="20" t="s">
        <v>9451</v>
      </c>
      <c r="F29" s="22">
        <v>3.2850000000000001</v>
      </c>
      <c r="G29" s="22" t="s">
        <v>9452</v>
      </c>
      <c r="H29" s="22">
        <v>2</v>
      </c>
      <c r="I29" s="25">
        <v>43459</v>
      </c>
      <c r="J29" s="24">
        <v>43200</v>
      </c>
    </row>
    <row r="30" spans="2:10" x14ac:dyDescent="0.2">
      <c r="B30" s="22">
        <v>25</v>
      </c>
      <c r="C30" s="23" t="s">
        <v>9453</v>
      </c>
      <c r="D30" s="23" t="s">
        <v>638</v>
      </c>
      <c r="E30" s="20" t="s">
        <v>9454</v>
      </c>
      <c r="F30" s="22">
        <v>3.734</v>
      </c>
      <c r="G30" s="22" t="s">
        <v>9455</v>
      </c>
      <c r="H30" s="22">
        <v>3.7189999999999999</v>
      </c>
      <c r="I30" s="25">
        <v>43187</v>
      </c>
      <c r="J30" s="24">
        <v>43299</v>
      </c>
    </row>
    <row r="31" spans="2:10" x14ac:dyDescent="0.2">
      <c r="B31" s="22">
        <v>26</v>
      </c>
      <c r="C31" s="23" t="s">
        <v>9456</v>
      </c>
      <c r="D31" s="23" t="s">
        <v>570</v>
      </c>
      <c r="E31" s="20" t="s">
        <v>9457</v>
      </c>
      <c r="F31" s="22">
        <v>4.0010000000000003</v>
      </c>
      <c r="G31" s="22" t="s">
        <v>9458</v>
      </c>
      <c r="H31" s="22">
        <v>4.0010000000000003</v>
      </c>
      <c r="I31" s="25">
        <v>43370</v>
      </c>
      <c r="J31" s="24">
        <v>43175</v>
      </c>
    </row>
    <row r="32" spans="2:10" x14ac:dyDescent="0.2">
      <c r="B32" s="22">
        <v>27</v>
      </c>
      <c r="C32" s="23" t="s">
        <v>9459</v>
      </c>
      <c r="D32" s="23" t="s">
        <v>685</v>
      </c>
      <c r="E32" s="20" t="s">
        <v>9460</v>
      </c>
      <c r="F32" s="22">
        <v>3.0819999999999999</v>
      </c>
      <c r="G32" s="22" t="s">
        <v>9461</v>
      </c>
      <c r="H32" s="22">
        <v>2.9249999999999998</v>
      </c>
      <c r="I32" s="25">
        <v>43251</v>
      </c>
      <c r="J32" s="24">
        <v>43369</v>
      </c>
    </row>
    <row r="33" spans="2:10" x14ac:dyDescent="0.2">
      <c r="B33" s="22">
        <v>28</v>
      </c>
      <c r="C33" s="23" t="s">
        <v>9462</v>
      </c>
      <c r="D33" s="23" t="s">
        <v>638</v>
      </c>
      <c r="E33" s="20" t="s">
        <v>9463</v>
      </c>
      <c r="F33" s="22">
        <v>2.5569999999999999</v>
      </c>
      <c r="G33" s="22" t="s">
        <v>9464</v>
      </c>
      <c r="H33" s="22">
        <v>2.5369999999999999</v>
      </c>
      <c r="I33" s="25">
        <v>43459</v>
      </c>
      <c r="J33" s="24">
        <v>43193</v>
      </c>
    </row>
    <row r="34" spans="2:10" x14ac:dyDescent="0.2">
      <c r="B34" s="22">
        <v>29</v>
      </c>
      <c r="C34" s="23" t="s">
        <v>9465</v>
      </c>
      <c r="D34" s="23" t="s">
        <v>820</v>
      </c>
      <c r="E34" s="20" t="s">
        <v>9466</v>
      </c>
      <c r="F34" s="22">
        <v>3.33</v>
      </c>
      <c r="G34" s="22" t="s">
        <v>9467</v>
      </c>
      <c r="H34" s="22">
        <v>2.9329999999999998</v>
      </c>
      <c r="I34" s="25">
        <v>43328</v>
      </c>
      <c r="J34" s="24">
        <v>43144</v>
      </c>
    </row>
    <row r="35" spans="2:10" x14ac:dyDescent="0.2">
      <c r="B35" s="22">
        <v>30</v>
      </c>
      <c r="C35" s="23" t="s">
        <v>9468</v>
      </c>
      <c r="D35" s="23" t="s">
        <v>563</v>
      </c>
      <c r="E35" s="20" t="s">
        <v>9469</v>
      </c>
      <c r="F35" s="22">
        <v>3.5649999999999999</v>
      </c>
      <c r="G35" s="22" t="s">
        <v>9470</v>
      </c>
      <c r="H35" s="22">
        <v>3.5550000000000002</v>
      </c>
      <c r="I35" s="25">
        <v>43243</v>
      </c>
      <c r="J35" s="24">
        <v>43327</v>
      </c>
    </row>
    <row r="36" spans="2:10" x14ac:dyDescent="0.2">
      <c r="B36" s="22">
        <v>31</v>
      </c>
      <c r="C36" s="23" t="s">
        <v>9471</v>
      </c>
      <c r="D36" s="23" t="s">
        <v>594</v>
      </c>
      <c r="E36" s="20" t="s">
        <v>9472</v>
      </c>
      <c r="F36" s="22">
        <v>3.8940000000000001</v>
      </c>
      <c r="G36" s="22" t="s">
        <v>9473</v>
      </c>
      <c r="H36" s="22">
        <v>3.8820000000000001</v>
      </c>
      <c r="I36" s="25">
        <v>43244</v>
      </c>
      <c r="J36" s="24">
        <v>43362</v>
      </c>
    </row>
    <row r="37" spans="2:10" x14ac:dyDescent="0.2">
      <c r="B37" s="22">
        <v>32</v>
      </c>
      <c r="C37" s="23" t="s">
        <v>9474</v>
      </c>
      <c r="D37" s="23" t="s">
        <v>570</v>
      </c>
      <c r="E37" s="20" t="s">
        <v>9475</v>
      </c>
      <c r="F37" s="22">
        <v>3.1429999999999998</v>
      </c>
      <c r="G37" s="22" t="s">
        <v>9476</v>
      </c>
      <c r="H37" s="22">
        <v>3.02</v>
      </c>
      <c r="I37" s="25">
        <v>43384</v>
      </c>
      <c r="J37" s="24">
        <v>43161</v>
      </c>
    </row>
    <row r="38" spans="2:10" x14ac:dyDescent="0.2">
      <c r="B38" s="22">
        <v>33</v>
      </c>
      <c r="C38" s="23" t="s">
        <v>9477</v>
      </c>
      <c r="D38" s="23" t="s">
        <v>638</v>
      </c>
      <c r="E38" s="20" t="s">
        <v>9478</v>
      </c>
      <c r="F38" s="22">
        <v>3.3450000000000002</v>
      </c>
      <c r="G38" s="22" t="s">
        <v>9479</v>
      </c>
      <c r="H38" s="22">
        <v>3.3359999999999999</v>
      </c>
      <c r="I38" s="25">
        <v>43398</v>
      </c>
      <c r="J38" s="24">
        <v>43123</v>
      </c>
    </row>
    <row r="39" spans="2:10" x14ac:dyDescent="0.2">
      <c r="B39" s="22">
        <v>34</v>
      </c>
      <c r="C39" s="23" t="s">
        <v>9480</v>
      </c>
      <c r="D39" s="23" t="s">
        <v>563</v>
      </c>
      <c r="E39" s="20" t="s">
        <v>9481</v>
      </c>
      <c r="F39" s="22">
        <v>3.2850000000000001</v>
      </c>
      <c r="G39" s="22" t="s">
        <v>9482</v>
      </c>
      <c r="H39" s="22">
        <v>3.2749999999999999</v>
      </c>
      <c r="I39" s="25">
        <v>43293</v>
      </c>
      <c r="J39" s="24">
        <v>43390</v>
      </c>
    </row>
    <row r="40" spans="2:10" x14ac:dyDescent="0.2">
      <c r="B40" s="22">
        <v>35</v>
      </c>
      <c r="C40" s="23" t="s">
        <v>9483</v>
      </c>
      <c r="D40" s="23" t="s">
        <v>570</v>
      </c>
      <c r="E40" s="20" t="s">
        <v>9484</v>
      </c>
      <c r="F40" s="22">
        <v>3.0550000000000002</v>
      </c>
      <c r="G40" s="22" t="s">
        <v>9485</v>
      </c>
      <c r="H40" s="22">
        <v>3.0550000000000002</v>
      </c>
      <c r="I40" s="25">
        <v>43263</v>
      </c>
      <c r="J40" s="24">
        <v>43379</v>
      </c>
    </row>
    <row r="41" spans="2:10" x14ac:dyDescent="0.2">
      <c r="B41" s="22">
        <v>36</v>
      </c>
      <c r="C41" s="23" t="s">
        <v>9486</v>
      </c>
      <c r="D41" s="23" t="s">
        <v>9487</v>
      </c>
      <c r="E41" s="20" t="s">
        <v>9488</v>
      </c>
      <c r="F41" s="22">
        <v>3.1059999999999999</v>
      </c>
      <c r="G41" s="22" t="s">
        <v>9489</v>
      </c>
      <c r="H41" s="22">
        <v>3.0979999999999999</v>
      </c>
      <c r="I41" s="25">
        <v>43181</v>
      </c>
      <c r="J41" s="24">
        <v>43292</v>
      </c>
    </row>
    <row r="42" spans="2:10" x14ac:dyDescent="0.2">
      <c r="B42" s="22">
        <v>37</v>
      </c>
      <c r="C42" s="23">
        <v>42</v>
      </c>
      <c r="D42" s="23" t="s">
        <v>563</v>
      </c>
      <c r="E42" s="20" t="s">
        <v>9490</v>
      </c>
      <c r="F42" s="22">
        <v>3.4049999999999998</v>
      </c>
      <c r="G42" s="22" t="s">
        <v>9491</v>
      </c>
      <c r="H42" s="22">
        <v>3.0030000000000001</v>
      </c>
      <c r="I42" s="25">
        <v>43202</v>
      </c>
      <c r="J42" s="24">
        <v>43306</v>
      </c>
    </row>
    <row r="43" spans="2:10" x14ac:dyDescent="0.2">
      <c r="B43" s="22">
        <v>38</v>
      </c>
      <c r="C43" s="23" t="s">
        <v>9492</v>
      </c>
      <c r="D43" s="23" t="s">
        <v>660</v>
      </c>
      <c r="E43" s="20" t="s">
        <v>9493</v>
      </c>
      <c r="F43" s="22">
        <v>3.2839999999999998</v>
      </c>
      <c r="G43" s="22" t="s">
        <v>9494</v>
      </c>
      <c r="H43" s="22">
        <v>3.2839999999999998</v>
      </c>
      <c r="I43" s="25">
        <v>43321</v>
      </c>
      <c r="J43" s="24">
        <v>43428</v>
      </c>
    </row>
    <row r="44" spans="2:10" x14ac:dyDescent="0.2">
      <c r="B44" s="22">
        <v>39</v>
      </c>
      <c r="C44" s="23" t="s">
        <v>9495</v>
      </c>
      <c r="D44" s="23" t="s">
        <v>554</v>
      </c>
      <c r="E44" s="20" t="s">
        <v>9496</v>
      </c>
      <c r="F44" s="22">
        <v>3.7160000000000002</v>
      </c>
      <c r="G44" s="22" t="s">
        <v>9497</v>
      </c>
      <c r="H44" s="22">
        <v>3.702</v>
      </c>
      <c r="I44" s="25">
        <v>43321</v>
      </c>
      <c r="J44" s="24">
        <v>43453</v>
      </c>
    </row>
    <row r="45" spans="2:10" x14ac:dyDescent="0.2">
      <c r="B45" s="22">
        <v>40</v>
      </c>
      <c r="C45" s="23" t="s">
        <v>9498</v>
      </c>
      <c r="D45" s="23" t="s">
        <v>554</v>
      </c>
      <c r="E45" s="20" t="s">
        <v>9499</v>
      </c>
      <c r="F45" s="22">
        <v>3.9039999999999999</v>
      </c>
      <c r="G45" s="22" t="s">
        <v>9500</v>
      </c>
      <c r="H45" s="22">
        <v>3.9039999999999999</v>
      </c>
      <c r="I45" s="25">
        <v>43284</v>
      </c>
      <c r="J45" s="24">
        <v>43383</v>
      </c>
    </row>
    <row r="46" spans="2:10" x14ac:dyDescent="0.2">
      <c r="B46" s="22">
        <v>41</v>
      </c>
      <c r="C46" s="23" t="s">
        <v>9501</v>
      </c>
      <c r="D46" s="23" t="s">
        <v>586</v>
      </c>
      <c r="E46" s="20" t="s">
        <v>9502</v>
      </c>
      <c r="F46" s="22">
        <v>3.7919999999999998</v>
      </c>
      <c r="G46" s="22" t="s">
        <v>9503</v>
      </c>
      <c r="H46" s="22">
        <v>3.7829999999999999</v>
      </c>
      <c r="I46" s="25">
        <v>43209</v>
      </c>
      <c r="J46" s="24">
        <v>43278</v>
      </c>
    </row>
    <row r="47" spans="2:10" x14ac:dyDescent="0.2">
      <c r="B47" s="22">
        <v>42</v>
      </c>
      <c r="C47" s="23" t="s">
        <v>9504</v>
      </c>
      <c r="D47" s="23" t="s">
        <v>9487</v>
      </c>
      <c r="E47" s="20" t="s">
        <v>9505</v>
      </c>
      <c r="F47" s="22">
        <v>3.1549999999999998</v>
      </c>
      <c r="G47" s="22" t="s">
        <v>9506</v>
      </c>
      <c r="H47" s="22">
        <v>3.0489999999999999</v>
      </c>
      <c r="I47" s="25">
        <v>43356</v>
      </c>
      <c r="J47" s="24">
        <v>43453</v>
      </c>
    </row>
    <row r="48" spans="2:10" x14ac:dyDescent="0.2">
      <c r="B48" s="22">
        <v>43</v>
      </c>
      <c r="C48" s="23" t="s">
        <v>9507</v>
      </c>
      <c r="D48" s="23" t="s">
        <v>554</v>
      </c>
      <c r="E48" s="20" t="s">
        <v>9508</v>
      </c>
      <c r="F48" s="22">
        <v>2.6709999999999998</v>
      </c>
      <c r="G48" s="22" t="s">
        <v>9509</v>
      </c>
      <c r="H48" s="22">
        <v>15</v>
      </c>
      <c r="I48" s="25">
        <v>43447</v>
      </c>
      <c r="J48" s="24">
        <v>43207</v>
      </c>
    </row>
    <row r="49" spans="2:10" x14ac:dyDescent="0.2">
      <c r="B49" s="22">
        <v>44</v>
      </c>
      <c r="C49" s="23" t="s">
        <v>9510</v>
      </c>
      <c r="D49" s="23" t="s">
        <v>594</v>
      </c>
      <c r="E49" s="20" t="s">
        <v>9511</v>
      </c>
      <c r="F49" s="22">
        <v>3.8090000000000002</v>
      </c>
      <c r="G49" s="22" t="s">
        <v>9512</v>
      </c>
      <c r="H49" s="22">
        <v>3.806</v>
      </c>
      <c r="I49" s="25">
        <v>43298</v>
      </c>
      <c r="J49" s="24">
        <v>43446</v>
      </c>
    </row>
    <row r="50" spans="2:10" x14ac:dyDescent="0.2">
      <c r="B50" s="22">
        <v>45</v>
      </c>
      <c r="C50" s="23" t="s">
        <v>9513</v>
      </c>
      <c r="D50" s="23" t="s">
        <v>586</v>
      </c>
      <c r="E50" s="20" t="s">
        <v>9514</v>
      </c>
      <c r="F50" s="22">
        <v>3.028</v>
      </c>
      <c r="G50" s="22" t="s">
        <v>9515</v>
      </c>
      <c r="H50" s="22">
        <v>3.0249999999999999</v>
      </c>
      <c r="I50" s="25">
        <v>43314</v>
      </c>
      <c r="J50" s="24">
        <v>43397</v>
      </c>
    </row>
    <row r="51" spans="2:10" x14ac:dyDescent="0.2">
      <c r="B51" s="22">
        <v>46</v>
      </c>
      <c r="C51" s="23" t="s">
        <v>9516</v>
      </c>
      <c r="D51" s="23" t="s">
        <v>570</v>
      </c>
      <c r="E51" s="20" t="s">
        <v>9517</v>
      </c>
      <c r="F51" s="22">
        <v>3.222</v>
      </c>
      <c r="G51" s="22" t="s">
        <v>9518</v>
      </c>
      <c r="H51" s="22">
        <v>3.222</v>
      </c>
      <c r="I51" s="25">
        <v>43279</v>
      </c>
      <c r="J51" s="24">
        <v>43358</v>
      </c>
    </row>
    <row r="52" spans="2:10" x14ac:dyDescent="0.2">
      <c r="B52" s="22">
        <v>47</v>
      </c>
      <c r="C52" s="23" t="s">
        <v>9519</v>
      </c>
      <c r="D52" s="23" t="s">
        <v>586</v>
      </c>
      <c r="E52" s="20" t="s">
        <v>9520</v>
      </c>
      <c r="F52" s="22">
        <v>2.7810000000000001</v>
      </c>
      <c r="G52" s="22" t="s">
        <v>9521</v>
      </c>
      <c r="H52" s="22">
        <v>2.6469999999999998</v>
      </c>
      <c r="I52" s="25">
        <v>43118</v>
      </c>
      <c r="J52" s="24">
        <v>43194</v>
      </c>
    </row>
    <row r="53" spans="2:10" x14ac:dyDescent="0.2">
      <c r="B53" s="22">
        <v>48</v>
      </c>
      <c r="C53" s="23" t="s">
        <v>9522</v>
      </c>
      <c r="D53" s="23" t="s">
        <v>3464</v>
      </c>
      <c r="E53" s="20" t="s">
        <v>9523</v>
      </c>
      <c r="F53" s="22">
        <v>3.2229999999999999</v>
      </c>
      <c r="G53" s="22" t="s">
        <v>9524</v>
      </c>
      <c r="H53" s="22">
        <v>3.2229999999999999</v>
      </c>
      <c r="I53" s="25">
        <v>43145</v>
      </c>
      <c r="J53" s="24">
        <v>43250</v>
      </c>
    </row>
    <row r="54" spans="2:10" x14ac:dyDescent="0.2">
      <c r="B54" s="22">
        <v>49</v>
      </c>
      <c r="C54" s="23" t="s">
        <v>9525</v>
      </c>
      <c r="D54" s="23" t="s">
        <v>570</v>
      </c>
      <c r="E54" s="20" t="s">
        <v>9526</v>
      </c>
      <c r="F54" s="22">
        <v>3.867</v>
      </c>
      <c r="G54" s="22" t="s">
        <v>9527</v>
      </c>
      <c r="H54" s="22">
        <v>3.8660000000000001</v>
      </c>
      <c r="I54" s="25">
        <v>43312</v>
      </c>
      <c r="J54" s="24">
        <v>43421</v>
      </c>
    </row>
    <row r="55" spans="2:10" x14ac:dyDescent="0.2">
      <c r="B55" s="22">
        <v>50</v>
      </c>
      <c r="C55" s="23" t="s">
        <v>9528</v>
      </c>
      <c r="D55" s="23" t="s">
        <v>586</v>
      </c>
      <c r="E55" s="20" t="s">
        <v>9529</v>
      </c>
      <c r="F55" s="22">
        <v>2.0409999999999999</v>
      </c>
      <c r="G55" s="22" t="s">
        <v>9530</v>
      </c>
      <c r="H55" s="22">
        <v>2.024</v>
      </c>
      <c r="I55" s="25">
        <v>43419</v>
      </c>
      <c r="J55" s="24">
        <v>43109</v>
      </c>
    </row>
    <row r="56" spans="2:10" x14ac:dyDescent="0.2">
      <c r="B56" s="22">
        <v>51</v>
      </c>
      <c r="C56" s="23" t="s">
        <v>9531</v>
      </c>
      <c r="D56" s="23" t="s">
        <v>594</v>
      </c>
      <c r="E56" s="20" t="s">
        <v>9532</v>
      </c>
      <c r="F56" s="22">
        <v>3.08</v>
      </c>
      <c r="G56" s="22" t="s">
        <v>9533</v>
      </c>
      <c r="H56" s="22">
        <v>3.0310000000000001</v>
      </c>
      <c r="I56" s="25">
        <v>43319</v>
      </c>
      <c r="J56" s="24">
        <v>43130</v>
      </c>
    </row>
    <row r="57" spans="2:10" x14ac:dyDescent="0.2">
      <c r="B57" s="22">
        <v>52</v>
      </c>
      <c r="C57" s="23" t="s">
        <v>9534</v>
      </c>
      <c r="D57" s="23" t="s">
        <v>594</v>
      </c>
      <c r="E57" s="20" t="s">
        <v>9535</v>
      </c>
      <c r="F57" s="22">
        <v>3.5550000000000002</v>
      </c>
      <c r="G57" s="22" t="s">
        <v>9536</v>
      </c>
      <c r="H57" s="22">
        <v>3.5529999999999999</v>
      </c>
      <c r="I57" s="25">
        <v>43145</v>
      </c>
      <c r="J57" s="24">
        <v>43243</v>
      </c>
    </row>
    <row r="58" spans="2:10" x14ac:dyDescent="0.2">
      <c r="B58" s="22">
        <v>53</v>
      </c>
      <c r="C58" s="23" t="s">
        <v>9537</v>
      </c>
      <c r="D58" s="23" t="s">
        <v>685</v>
      </c>
      <c r="E58" s="20" t="s">
        <v>9538</v>
      </c>
      <c r="F58" s="22">
        <v>3.0089999999999999</v>
      </c>
      <c r="G58" s="22" t="s">
        <v>9539</v>
      </c>
      <c r="H58" s="22">
        <v>3.0089999999999999</v>
      </c>
      <c r="I58" s="25">
        <v>43132</v>
      </c>
      <c r="J58" s="24">
        <v>43229</v>
      </c>
    </row>
    <row r="59" spans="2:10" x14ac:dyDescent="0.2">
      <c r="B59" s="22">
        <v>54</v>
      </c>
      <c r="C59" s="23" t="s">
        <v>9540</v>
      </c>
      <c r="D59" s="23" t="s">
        <v>574</v>
      </c>
      <c r="E59" s="20" t="s">
        <v>9541</v>
      </c>
      <c r="F59" s="22">
        <v>3.5249999999999999</v>
      </c>
      <c r="G59" s="22" t="s">
        <v>9542</v>
      </c>
      <c r="H59" s="22">
        <v>3.5249999999999999</v>
      </c>
      <c r="I59" s="25">
        <v>43160</v>
      </c>
      <c r="J59" s="24">
        <v>43264</v>
      </c>
    </row>
    <row r="60" spans="2:10" x14ac:dyDescent="0.2">
      <c r="B60" s="22">
        <v>55</v>
      </c>
      <c r="C60" s="23" t="s">
        <v>9543</v>
      </c>
      <c r="D60" s="23" t="s">
        <v>586</v>
      </c>
      <c r="E60" s="20" t="s">
        <v>9544</v>
      </c>
      <c r="F60" s="22">
        <v>2.5910000000000002</v>
      </c>
      <c r="G60" s="22" t="s">
        <v>9545</v>
      </c>
      <c r="H60" s="22">
        <v>2.536</v>
      </c>
      <c r="I60" s="25">
        <v>43258</v>
      </c>
      <c r="J60" s="24">
        <v>43320</v>
      </c>
    </row>
    <row r="61" spans="2:10" x14ac:dyDescent="0.2">
      <c r="B61" s="22">
        <v>56</v>
      </c>
      <c r="C61" s="23" t="s">
        <v>9546</v>
      </c>
      <c r="D61" s="23" t="s">
        <v>1299</v>
      </c>
      <c r="E61" s="20" t="s">
        <v>9547</v>
      </c>
      <c r="F61" s="22">
        <v>3.2370000000000001</v>
      </c>
      <c r="G61" s="22" t="s">
        <v>9548</v>
      </c>
      <c r="H61" s="22">
        <v>3.0649999999999999</v>
      </c>
      <c r="I61" s="25">
        <v>43405</v>
      </c>
      <c r="J61" s="24">
        <v>43151</v>
      </c>
    </row>
    <row r="62" spans="2:10" x14ac:dyDescent="0.2">
      <c r="B62" s="22">
        <v>57</v>
      </c>
      <c r="C62" s="23" t="s">
        <v>9549</v>
      </c>
      <c r="D62" s="23" t="s">
        <v>685</v>
      </c>
      <c r="E62" s="20" t="s">
        <v>9550</v>
      </c>
      <c r="F62" s="22">
        <v>3.407</v>
      </c>
      <c r="G62" s="22" t="s">
        <v>9551</v>
      </c>
      <c r="H62" s="22">
        <v>3.407</v>
      </c>
      <c r="I62" s="25">
        <v>43405</v>
      </c>
      <c r="J62" s="24">
        <v>43109</v>
      </c>
    </row>
    <row r="63" spans="2:10" x14ac:dyDescent="0.2">
      <c r="B63" s="22">
        <v>58</v>
      </c>
      <c r="C63" s="23" t="s">
        <v>9552</v>
      </c>
      <c r="D63" s="23" t="s">
        <v>563</v>
      </c>
      <c r="E63" s="20" t="s">
        <v>9553</v>
      </c>
      <c r="F63" s="22">
        <v>3.29</v>
      </c>
      <c r="G63" s="22" t="s">
        <v>9554</v>
      </c>
      <c r="H63" s="22">
        <v>3.26</v>
      </c>
      <c r="I63" s="25">
        <v>43363</v>
      </c>
      <c r="J63" s="24">
        <v>43439</v>
      </c>
    </row>
    <row r="64" spans="2:10" x14ac:dyDescent="0.2">
      <c r="B64" s="22">
        <v>59</v>
      </c>
      <c r="C64" s="23" t="s">
        <v>9555</v>
      </c>
      <c r="D64" s="23" t="s">
        <v>570</v>
      </c>
      <c r="E64" s="20" t="s">
        <v>9556</v>
      </c>
      <c r="F64" s="22">
        <v>3.4009999999999998</v>
      </c>
      <c r="G64" s="22" t="s">
        <v>9557</v>
      </c>
      <c r="H64" s="22">
        <v>3.4009999999999998</v>
      </c>
      <c r="I64" s="25">
        <v>43251</v>
      </c>
      <c r="J64" s="24">
        <v>43330</v>
      </c>
    </row>
    <row r="65" spans="2:10" x14ac:dyDescent="0.2">
      <c r="B65" s="22">
        <v>60</v>
      </c>
      <c r="C65" s="23" t="s">
        <v>9558</v>
      </c>
      <c r="D65" s="23" t="s">
        <v>594</v>
      </c>
      <c r="E65" s="20" t="s">
        <v>9559</v>
      </c>
      <c r="F65" s="22">
        <v>2.9220000000000002</v>
      </c>
      <c r="G65" s="22" t="s">
        <v>9560</v>
      </c>
      <c r="H65" s="22">
        <v>2.9089999999999998</v>
      </c>
      <c r="I65" s="25">
        <v>43459</v>
      </c>
      <c r="J65" s="24">
        <v>43200</v>
      </c>
    </row>
    <row r="66" spans="2:10" x14ac:dyDescent="0.2">
      <c r="B66" s="22">
        <v>61</v>
      </c>
      <c r="C66" s="23" t="s">
        <v>9561</v>
      </c>
      <c r="D66" s="23" t="s">
        <v>820</v>
      </c>
      <c r="E66" s="20" t="s">
        <v>9562</v>
      </c>
      <c r="F66" s="22">
        <v>3.3530000000000002</v>
      </c>
      <c r="G66" s="22" t="s">
        <v>9563</v>
      </c>
      <c r="H66" s="22">
        <v>3.2879999999999998</v>
      </c>
      <c r="I66" s="25">
        <v>43146</v>
      </c>
      <c r="J66" s="24">
        <v>43306</v>
      </c>
    </row>
    <row r="67" spans="2:10" x14ac:dyDescent="0.2">
      <c r="B67" s="22">
        <v>62</v>
      </c>
      <c r="C67" s="23" t="s">
        <v>9564</v>
      </c>
      <c r="D67" s="23" t="s">
        <v>830</v>
      </c>
      <c r="E67" s="20" t="s">
        <v>9565</v>
      </c>
      <c r="F67" s="22">
        <v>1.474</v>
      </c>
      <c r="G67" s="22" t="s">
        <v>9566</v>
      </c>
      <c r="H67" s="22">
        <v>19</v>
      </c>
      <c r="I67" s="25">
        <v>43391</v>
      </c>
      <c r="J67" s="24">
        <v>43228</v>
      </c>
    </row>
    <row r="68" spans="2:10" x14ac:dyDescent="0.2">
      <c r="B68" s="22">
        <v>63</v>
      </c>
      <c r="C68" s="23" t="s">
        <v>9567</v>
      </c>
      <c r="D68" s="23" t="s">
        <v>3464</v>
      </c>
      <c r="E68" s="20" t="s">
        <v>9568</v>
      </c>
      <c r="F68" s="22">
        <v>3.7360000000000002</v>
      </c>
      <c r="G68" s="22" t="s">
        <v>9569</v>
      </c>
      <c r="H68" s="22">
        <v>3.7360000000000002</v>
      </c>
      <c r="I68" s="25">
        <v>43405</v>
      </c>
      <c r="J68" s="24">
        <v>43179</v>
      </c>
    </row>
    <row r="69" spans="2:10" x14ac:dyDescent="0.2">
      <c r="B69" s="22">
        <v>64</v>
      </c>
      <c r="C69" s="23" t="s">
        <v>9570</v>
      </c>
      <c r="D69" s="23" t="s">
        <v>638</v>
      </c>
      <c r="E69" s="20" t="s">
        <v>9571</v>
      </c>
      <c r="F69" s="22">
        <v>3.375</v>
      </c>
      <c r="G69" s="22" t="s">
        <v>9572</v>
      </c>
      <c r="H69" s="22">
        <v>3.3719999999999999</v>
      </c>
      <c r="I69" s="25">
        <v>43125</v>
      </c>
      <c r="J69" s="24">
        <v>43215</v>
      </c>
    </row>
    <row r="70" spans="2:10" x14ac:dyDescent="0.2">
      <c r="B70" s="22">
        <v>65</v>
      </c>
      <c r="C70" s="23" t="s">
        <v>9573</v>
      </c>
      <c r="D70" s="23" t="s">
        <v>660</v>
      </c>
      <c r="E70" s="20" t="s">
        <v>9574</v>
      </c>
      <c r="F70" s="22">
        <v>3.0249999999999999</v>
      </c>
      <c r="G70" s="22" t="s">
        <v>9575</v>
      </c>
      <c r="H70" s="22">
        <v>3.0249999999999999</v>
      </c>
      <c r="I70" s="25">
        <v>43195</v>
      </c>
      <c r="J70" s="24">
        <v>43260</v>
      </c>
    </row>
    <row r="71" spans="2:10" x14ac:dyDescent="0.2">
      <c r="B71" s="22">
        <v>66</v>
      </c>
      <c r="C71" s="23" t="s">
        <v>9576</v>
      </c>
      <c r="D71" s="23" t="s">
        <v>685</v>
      </c>
      <c r="E71" s="20" t="s">
        <v>9577</v>
      </c>
      <c r="F71" s="22">
        <v>3.016</v>
      </c>
      <c r="G71" s="22" t="s">
        <v>9578</v>
      </c>
      <c r="H71" s="22">
        <v>3.016</v>
      </c>
      <c r="I71" s="25">
        <v>43300</v>
      </c>
      <c r="J71" s="24">
        <v>43390</v>
      </c>
    </row>
    <row r="72" spans="2:10" x14ac:dyDescent="0.2">
      <c r="B72" s="22">
        <v>67</v>
      </c>
      <c r="C72" s="23" t="s">
        <v>9579</v>
      </c>
      <c r="D72" s="23" t="s">
        <v>643</v>
      </c>
      <c r="E72" s="20" t="s">
        <v>9580</v>
      </c>
      <c r="F72" s="22">
        <v>2.194</v>
      </c>
      <c r="G72" s="22" t="s">
        <v>9581</v>
      </c>
      <c r="H72" s="22">
        <v>2.194</v>
      </c>
      <c r="I72" s="25">
        <v>43447</v>
      </c>
      <c r="J72" s="24">
        <v>43144</v>
      </c>
    </row>
    <row r="73" spans="2:10" x14ac:dyDescent="0.2">
      <c r="B73" s="22">
        <v>68</v>
      </c>
      <c r="C73" s="23" t="s">
        <v>9582</v>
      </c>
      <c r="D73" s="23" t="s">
        <v>643</v>
      </c>
      <c r="E73" s="20" t="s">
        <v>9583</v>
      </c>
      <c r="F73" s="22">
        <v>2.0470000000000002</v>
      </c>
      <c r="G73" s="22" t="s">
        <v>9584</v>
      </c>
      <c r="H73" s="22">
        <v>2.0470000000000002</v>
      </c>
      <c r="I73" s="25">
        <v>43188</v>
      </c>
      <c r="J73" s="24">
        <v>43250</v>
      </c>
    </row>
    <row r="74" spans="2:10" x14ac:dyDescent="0.2">
      <c r="B74" s="22">
        <v>69</v>
      </c>
      <c r="C74" s="23" t="s">
        <v>9585</v>
      </c>
      <c r="D74" s="23" t="s">
        <v>660</v>
      </c>
      <c r="E74" s="20" t="s">
        <v>9586</v>
      </c>
      <c r="F74" s="22">
        <v>2.5070000000000001</v>
      </c>
      <c r="G74" s="22" t="s">
        <v>9587</v>
      </c>
      <c r="H74" s="22">
        <v>2.5070000000000001</v>
      </c>
      <c r="I74" s="25">
        <v>43174</v>
      </c>
      <c r="J74" s="24">
        <v>43260</v>
      </c>
    </row>
    <row r="75" spans="2:10" x14ac:dyDescent="0.2">
      <c r="B75" s="22">
        <v>70</v>
      </c>
      <c r="C75" s="23" t="s">
        <v>9588</v>
      </c>
      <c r="D75" s="23" t="s">
        <v>638</v>
      </c>
      <c r="E75" s="20" t="s">
        <v>9589</v>
      </c>
      <c r="F75" s="22">
        <v>3.3029999999999999</v>
      </c>
      <c r="G75" s="22" t="s">
        <v>9590</v>
      </c>
      <c r="H75" s="22">
        <v>3.2770000000000001</v>
      </c>
      <c r="I75" s="25">
        <v>43216</v>
      </c>
      <c r="J75" s="24">
        <v>43341</v>
      </c>
    </row>
    <row r="76" spans="2:10" x14ac:dyDescent="0.2">
      <c r="B76" s="22">
        <v>71</v>
      </c>
      <c r="C76" s="23" t="s">
        <v>9591</v>
      </c>
      <c r="D76" s="23" t="s">
        <v>563</v>
      </c>
      <c r="E76" s="20" t="s">
        <v>9592</v>
      </c>
      <c r="F76" s="22">
        <v>3.1030000000000002</v>
      </c>
      <c r="G76" s="22" t="s">
        <v>9593</v>
      </c>
      <c r="H76" s="22">
        <v>3.1030000000000002</v>
      </c>
      <c r="I76" s="25">
        <v>43111</v>
      </c>
      <c r="J76" s="24">
        <v>43194</v>
      </c>
    </row>
    <row r="77" spans="2:10" x14ac:dyDescent="0.2">
      <c r="B77" s="22">
        <v>72</v>
      </c>
      <c r="C77" s="23" t="s">
        <v>9594</v>
      </c>
      <c r="D77" s="23" t="s">
        <v>586</v>
      </c>
      <c r="E77" s="20" t="s">
        <v>9595</v>
      </c>
      <c r="F77" s="22">
        <v>2.778</v>
      </c>
      <c r="G77" s="22" t="s">
        <v>9596</v>
      </c>
      <c r="H77" s="22">
        <v>2.7709999999999999</v>
      </c>
      <c r="I77" s="25">
        <v>43195</v>
      </c>
      <c r="J77" s="24">
        <v>43243</v>
      </c>
    </row>
    <row r="78" spans="2:10" x14ac:dyDescent="0.2">
      <c r="B78" s="22">
        <v>73</v>
      </c>
      <c r="C78" s="23" t="s">
        <v>9597</v>
      </c>
      <c r="D78" s="23" t="s">
        <v>594</v>
      </c>
      <c r="E78" s="20" t="s">
        <v>9598</v>
      </c>
      <c r="F78" s="22">
        <v>3.399</v>
      </c>
      <c r="G78" s="22" t="s">
        <v>9599</v>
      </c>
      <c r="H78" s="22">
        <v>3.3660000000000001</v>
      </c>
      <c r="I78" s="25">
        <v>43258</v>
      </c>
      <c r="J78" s="24">
        <v>43355</v>
      </c>
    </row>
    <row r="79" spans="2:10" x14ac:dyDescent="0.2">
      <c r="B79" s="22">
        <v>74</v>
      </c>
      <c r="C79" s="23" t="s">
        <v>9600</v>
      </c>
      <c r="D79" s="23" t="s">
        <v>643</v>
      </c>
      <c r="E79" s="20" t="s">
        <v>9601</v>
      </c>
      <c r="F79" s="22">
        <v>978</v>
      </c>
      <c r="G79" s="22" t="s">
        <v>9602</v>
      </c>
      <c r="H79" s="22">
        <v>348</v>
      </c>
      <c r="I79" s="25">
        <v>43342</v>
      </c>
      <c r="J79" s="24">
        <v>43446</v>
      </c>
    </row>
    <row r="80" spans="2:10" x14ac:dyDescent="0.2">
      <c r="B80" s="22">
        <v>75</v>
      </c>
      <c r="C80" s="23" t="s">
        <v>9603</v>
      </c>
      <c r="D80" s="23" t="s">
        <v>685</v>
      </c>
      <c r="E80" s="20" t="s">
        <v>9604</v>
      </c>
      <c r="F80" s="22">
        <v>2.5110000000000001</v>
      </c>
      <c r="G80" s="22" t="s">
        <v>9605</v>
      </c>
      <c r="H80" s="22">
        <v>2.5110000000000001</v>
      </c>
      <c r="I80" s="25">
        <v>43153</v>
      </c>
      <c r="J80" s="24">
        <v>43250</v>
      </c>
    </row>
    <row r="81" spans="2:10" x14ac:dyDescent="0.2">
      <c r="B81" s="22">
        <v>76</v>
      </c>
      <c r="C81" s="23" t="s">
        <v>9606</v>
      </c>
      <c r="D81" s="23" t="s">
        <v>586</v>
      </c>
      <c r="E81" s="20" t="s">
        <v>9607</v>
      </c>
      <c r="F81" s="22">
        <v>3.117</v>
      </c>
      <c r="G81" s="22" t="s">
        <v>9608</v>
      </c>
      <c r="H81" s="22">
        <v>3.1070000000000002</v>
      </c>
      <c r="I81" s="25">
        <v>43349</v>
      </c>
      <c r="J81" s="24">
        <v>43404</v>
      </c>
    </row>
    <row r="82" spans="2:10" x14ac:dyDescent="0.2">
      <c r="B82" s="22">
        <v>77</v>
      </c>
      <c r="C82" s="23" t="s">
        <v>9609</v>
      </c>
      <c r="D82" s="23" t="s">
        <v>863</v>
      </c>
      <c r="E82" s="20" t="s">
        <v>9610</v>
      </c>
      <c r="F82" s="22">
        <v>2.16</v>
      </c>
      <c r="G82" s="22" t="s">
        <v>9611</v>
      </c>
      <c r="H82" s="22">
        <v>2.16</v>
      </c>
      <c r="I82" s="25">
        <v>43111</v>
      </c>
      <c r="J82" s="24">
        <v>43162</v>
      </c>
    </row>
    <row r="83" spans="2:10" x14ac:dyDescent="0.2">
      <c r="B83" s="22">
        <v>78</v>
      </c>
      <c r="C83" s="23" t="s">
        <v>9612</v>
      </c>
      <c r="D83" s="23" t="s">
        <v>586</v>
      </c>
      <c r="E83" s="20" t="s">
        <v>9613</v>
      </c>
      <c r="F83" s="22">
        <v>2.69</v>
      </c>
      <c r="G83" s="22" t="s">
        <v>9614</v>
      </c>
      <c r="H83" s="22">
        <v>2.6890000000000001</v>
      </c>
      <c r="I83" s="25">
        <v>43459</v>
      </c>
      <c r="J83" s="24">
        <v>43137</v>
      </c>
    </row>
    <row r="84" spans="2:10" x14ac:dyDescent="0.2">
      <c r="B84" s="22">
        <v>79</v>
      </c>
      <c r="C84" s="23" t="s">
        <v>9615</v>
      </c>
      <c r="D84" s="23" t="s">
        <v>820</v>
      </c>
      <c r="E84" s="20" t="s">
        <v>9616</v>
      </c>
      <c r="F84" s="22">
        <v>2.411</v>
      </c>
      <c r="G84" s="22" t="s">
        <v>9617</v>
      </c>
      <c r="H84" s="22">
        <v>5</v>
      </c>
      <c r="I84" s="25">
        <v>43461</v>
      </c>
      <c r="J84" s="24">
        <v>43228</v>
      </c>
    </row>
    <row r="85" spans="2:10" x14ac:dyDescent="0.2">
      <c r="B85" s="22">
        <v>80</v>
      </c>
      <c r="C85" s="23" t="s">
        <v>9618</v>
      </c>
      <c r="D85" s="23" t="s">
        <v>820</v>
      </c>
      <c r="E85" s="20" t="s">
        <v>9619</v>
      </c>
      <c r="F85" s="22">
        <v>1.2250000000000001</v>
      </c>
      <c r="G85" s="22" t="s">
        <v>9620</v>
      </c>
      <c r="H85" s="22">
        <v>4</v>
      </c>
      <c r="I85" s="25">
        <v>43426</v>
      </c>
      <c r="J85" s="24">
        <v>43242</v>
      </c>
    </row>
    <row r="86" spans="2:10" x14ac:dyDescent="0.2">
      <c r="B86" s="22">
        <v>81</v>
      </c>
      <c r="C86" s="23" t="s">
        <v>9621</v>
      </c>
      <c r="D86" s="23" t="s">
        <v>3464</v>
      </c>
      <c r="E86" s="20" t="s">
        <v>9622</v>
      </c>
      <c r="F86" s="22">
        <v>3.0910000000000002</v>
      </c>
      <c r="G86" s="22" t="s">
        <v>9623</v>
      </c>
      <c r="H86" s="22">
        <v>3.0910000000000002</v>
      </c>
      <c r="I86" s="25">
        <v>43356</v>
      </c>
      <c r="J86" s="24">
        <v>43109</v>
      </c>
    </row>
    <row r="87" spans="2:10" x14ac:dyDescent="0.2">
      <c r="B87" s="22">
        <v>82</v>
      </c>
      <c r="C87" s="23" t="s">
        <v>9624</v>
      </c>
      <c r="D87" s="23" t="s">
        <v>594</v>
      </c>
      <c r="E87" s="20" t="s">
        <v>9625</v>
      </c>
      <c r="F87" s="22">
        <v>3.2429999999999999</v>
      </c>
      <c r="G87" s="22" t="s">
        <v>9626</v>
      </c>
      <c r="H87" s="22">
        <v>3.2309999999999999</v>
      </c>
      <c r="I87" s="25">
        <v>43454</v>
      </c>
      <c r="J87" s="24">
        <v>43200</v>
      </c>
    </row>
    <row r="88" spans="2:10" x14ac:dyDescent="0.2">
      <c r="B88" s="22">
        <v>83</v>
      </c>
      <c r="C88" s="23" t="s">
        <v>9627</v>
      </c>
      <c r="D88" s="23" t="s">
        <v>851</v>
      </c>
      <c r="E88" s="20" t="s">
        <v>9628</v>
      </c>
      <c r="F88" s="22">
        <v>3.157</v>
      </c>
      <c r="G88" s="22" t="s">
        <v>9629</v>
      </c>
      <c r="H88" s="22">
        <v>3.157</v>
      </c>
      <c r="I88" s="25">
        <v>43391</v>
      </c>
      <c r="J88" s="24">
        <v>43428</v>
      </c>
    </row>
    <row r="89" spans="2:10" x14ac:dyDescent="0.2">
      <c r="B89" s="22">
        <v>84</v>
      </c>
      <c r="C89" s="23" t="s">
        <v>9630</v>
      </c>
      <c r="D89" s="23" t="s">
        <v>643</v>
      </c>
      <c r="E89" s="20" t="s">
        <v>9631</v>
      </c>
      <c r="F89" s="22">
        <v>2.6589999999999998</v>
      </c>
      <c r="G89" s="22" t="s">
        <v>9632</v>
      </c>
      <c r="H89" s="22">
        <v>2.6539999999999999</v>
      </c>
      <c r="I89" s="25">
        <v>43104</v>
      </c>
      <c r="J89" s="24">
        <v>43159</v>
      </c>
    </row>
    <row r="90" spans="2:10" x14ac:dyDescent="0.2">
      <c r="B90" s="22">
        <v>85</v>
      </c>
      <c r="C90" s="23" t="s">
        <v>9633</v>
      </c>
      <c r="D90" s="23" t="s">
        <v>586</v>
      </c>
      <c r="E90" s="20" t="s">
        <v>9634</v>
      </c>
      <c r="F90" s="22">
        <v>2.8519999999999999</v>
      </c>
      <c r="G90" s="22" t="s">
        <v>9635</v>
      </c>
      <c r="H90" s="22">
        <v>2.8519999999999999</v>
      </c>
      <c r="I90" s="25">
        <v>43300</v>
      </c>
      <c r="J90" s="24">
        <v>43369</v>
      </c>
    </row>
    <row r="91" spans="2:10" x14ac:dyDescent="0.2">
      <c r="B91" s="22">
        <v>86</v>
      </c>
      <c r="C91" s="23" t="s">
        <v>9636</v>
      </c>
      <c r="D91" s="23" t="s">
        <v>1015</v>
      </c>
      <c r="E91" s="20" t="s">
        <v>9637</v>
      </c>
      <c r="F91" s="22">
        <v>1.2829999999999999</v>
      </c>
      <c r="G91" s="22" t="s">
        <v>9638</v>
      </c>
      <c r="H91" s="22">
        <v>6</v>
      </c>
      <c r="I91" s="25">
        <v>43307</v>
      </c>
      <c r="J91" s="24">
        <v>43193</v>
      </c>
    </row>
    <row r="92" spans="2:10" x14ac:dyDescent="0.2">
      <c r="B92" s="22">
        <v>87</v>
      </c>
      <c r="C92" s="23" t="s">
        <v>9639</v>
      </c>
      <c r="D92" s="23" t="s">
        <v>685</v>
      </c>
      <c r="E92" s="20" t="s">
        <v>9640</v>
      </c>
      <c r="F92" s="22">
        <v>892</v>
      </c>
      <c r="G92" s="22" t="s">
        <v>9641</v>
      </c>
      <c r="H92" s="22">
        <v>876</v>
      </c>
      <c r="I92" s="25">
        <v>43284</v>
      </c>
      <c r="J92" s="24">
        <v>43334</v>
      </c>
    </row>
    <row r="93" spans="2:10" x14ac:dyDescent="0.2">
      <c r="B93" s="22">
        <v>88</v>
      </c>
      <c r="C93" s="23" t="s">
        <v>9642</v>
      </c>
      <c r="D93" s="23" t="s">
        <v>863</v>
      </c>
      <c r="E93" s="20" t="s">
        <v>9643</v>
      </c>
      <c r="F93" s="22">
        <v>2.605</v>
      </c>
      <c r="G93" s="22" t="s">
        <v>9644</v>
      </c>
      <c r="H93" s="22">
        <v>2.605</v>
      </c>
      <c r="I93" s="25">
        <v>43139</v>
      </c>
      <c r="J93" s="24">
        <v>43236</v>
      </c>
    </row>
    <row r="94" spans="2:10" x14ac:dyDescent="0.2">
      <c r="B94" s="22">
        <v>89</v>
      </c>
      <c r="C94" s="23" t="s">
        <v>9645</v>
      </c>
      <c r="D94" s="23" t="s">
        <v>2742</v>
      </c>
      <c r="E94" s="20" t="s">
        <v>9646</v>
      </c>
      <c r="F94" s="22">
        <v>3.4020000000000001</v>
      </c>
      <c r="G94" s="22" t="s">
        <v>9647</v>
      </c>
      <c r="H94" s="22">
        <v>3.4020000000000001</v>
      </c>
      <c r="I94" s="25">
        <v>43202</v>
      </c>
      <c r="J94" s="24">
        <v>43306</v>
      </c>
    </row>
    <row r="95" spans="2:10" x14ac:dyDescent="0.2">
      <c r="B95" s="22">
        <v>90</v>
      </c>
      <c r="C95" s="23" t="s">
        <v>9648</v>
      </c>
      <c r="D95" s="23" t="s">
        <v>851</v>
      </c>
      <c r="E95" s="20" t="s">
        <v>9649</v>
      </c>
      <c r="F95" s="22">
        <v>3.1179999999999999</v>
      </c>
      <c r="G95" s="22" t="s">
        <v>9650</v>
      </c>
      <c r="H95" s="22">
        <v>3.1179999999999999</v>
      </c>
      <c r="I95" s="25">
        <v>43333</v>
      </c>
      <c r="J95" s="24">
        <v>43379</v>
      </c>
    </row>
    <row r="96" spans="2:10" x14ac:dyDescent="0.2">
      <c r="B96" s="22">
        <v>91</v>
      </c>
      <c r="C96" s="23" t="s">
        <v>9651</v>
      </c>
      <c r="D96" s="23" t="s">
        <v>554</v>
      </c>
      <c r="E96" s="20" t="s">
        <v>9652</v>
      </c>
      <c r="F96" s="22">
        <v>3.036</v>
      </c>
      <c r="G96" s="22" t="s">
        <v>9653</v>
      </c>
      <c r="H96" s="22">
        <v>3.036</v>
      </c>
      <c r="I96" s="25">
        <v>43426</v>
      </c>
      <c r="J96" s="24">
        <v>43179</v>
      </c>
    </row>
    <row r="97" spans="2:10" x14ac:dyDescent="0.2">
      <c r="B97" s="22">
        <v>92</v>
      </c>
      <c r="C97" s="23" t="s">
        <v>9654</v>
      </c>
      <c r="D97" s="23" t="s">
        <v>563</v>
      </c>
      <c r="E97" s="20" t="s">
        <v>9655</v>
      </c>
      <c r="F97" s="22">
        <v>2.8559999999999999</v>
      </c>
      <c r="G97" s="22" t="s">
        <v>9656</v>
      </c>
      <c r="H97" s="22">
        <v>2.8380000000000001</v>
      </c>
      <c r="I97" s="25">
        <v>43459</v>
      </c>
      <c r="J97" s="24">
        <v>43172</v>
      </c>
    </row>
    <row r="98" spans="2:10" x14ac:dyDescent="0.2">
      <c r="B98" s="22">
        <v>93</v>
      </c>
      <c r="C98" s="23" t="s">
        <v>9657</v>
      </c>
      <c r="D98" s="23" t="s">
        <v>660</v>
      </c>
      <c r="E98" s="20" t="s">
        <v>9658</v>
      </c>
      <c r="F98" s="22">
        <v>2.7349999999999999</v>
      </c>
      <c r="G98" s="22" t="s">
        <v>9659</v>
      </c>
      <c r="H98" s="22">
        <v>2.7349999999999999</v>
      </c>
      <c r="I98" s="25">
        <v>43342</v>
      </c>
      <c r="J98" s="24">
        <v>43379</v>
      </c>
    </row>
    <row r="99" spans="2:10" x14ac:dyDescent="0.2">
      <c r="B99" s="22">
        <v>94</v>
      </c>
      <c r="C99" s="23" t="s">
        <v>9660</v>
      </c>
      <c r="D99" s="23" t="s">
        <v>586</v>
      </c>
      <c r="E99" s="20" t="s">
        <v>9661</v>
      </c>
      <c r="F99" s="22">
        <v>2.9449999999999998</v>
      </c>
      <c r="G99" s="22" t="s">
        <v>9662</v>
      </c>
      <c r="H99" s="22">
        <v>2.94</v>
      </c>
      <c r="I99" s="25">
        <v>43328</v>
      </c>
      <c r="J99" s="24">
        <v>43369</v>
      </c>
    </row>
    <row r="100" spans="2:10" x14ac:dyDescent="0.2">
      <c r="B100" s="22">
        <v>95</v>
      </c>
      <c r="C100" s="23" t="s">
        <v>9663</v>
      </c>
      <c r="D100" s="23" t="s">
        <v>740</v>
      </c>
      <c r="E100" s="20" t="s">
        <v>9664</v>
      </c>
      <c r="F100" s="22">
        <v>1.1100000000000001</v>
      </c>
      <c r="G100" s="22" t="s">
        <v>9665</v>
      </c>
      <c r="H100" s="22">
        <v>9</v>
      </c>
      <c r="I100" s="25">
        <v>43405</v>
      </c>
      <c r="J100" s="24">
        <v>43221</v>
      </c>
    </row>
    <row r="101" spans="2:10" x14ac:dyDescent="0.2">
      <c r="B101" s="22">
        <v>96</v>
      </c>
      <c r="C101" s="23" t="s">
        <v>9666</v>
      </c>
      <c r="D101" s="23" t="s">
        <v>586</v>
      </c>
      <c r="E101" s="20" t="s">
        <v>9667</v>
      </c>
      <c r="F101" s="22">
        <v>2.3079999999999998</v>
      </c>
      <c r="G101" s="22" t="s">
        <v>9668</v>
      </c>
      <c r="H101" s="22">
        <v>5</v>
      </c>
      <c r="I101" s="25">
        <v>43363</v>
      </c>
      <c r="J101" s="24">
        <v>43425</v>
      </c>
    </row>
    <row r="102" spans="2:10" x14ac:dyDescent="0.2">
      <c r="B102" s="22">
        <v>97</v>
      </c>
      <c r="C102" s="23" t="s">
        <v>9669</v>
      </c>
      <c r="D102" s="23" t="s">
        <v>863</v>
      </c>
      <c r="E102" s="20" t="s">
        <v>9670</v>
      </c>
      <c r="F102" s="22">
        <v>3.202</v>
      </c>
      <c r="G102" s="22" t="s">
        <v>9671</v>
      </c>
      <c r="H102" s="22">
        <v>3.202</v>
      </c>
      <c r="I102" s="25">
        <v>43188</v>
      </c>
      <c r="J102" s="24">
        <v>43250</v>
      </c>
    </row>
    <row r="103" spans="2:10" x14ac:dyDescent="0.2">
      <c r="B103" s="22">
        <v>98</v>
      </c>
      <c r="C103" s="23" t="s">
        <v>9672</v>
      </c>
      <c r="D103" s="23" t="s">
        <v>740</v>
      </c>
      <c r="E103" s="20" t="s">
        <v>9673</v>
      </c>
      <c r="F103" s="22">
        <v>1.5529999999999999</v>
      </c>
      <c r="G103" s="22" t="s">
        <v>9674</v>
      </c>
      <c r="H103" s="22">
        <v>1.5509999999999999</v>
      </c>
      <c r="I103" s="25">
        <v>43335</v>
      </c>
      <c r="J103" s="24">
        <v>43439</v>
      </c>
    </row>
    <row r="104" spans="2:10" x14ac:dyDescent="0.2">
      <c r="B104" s="22">
        <v>99</v>
      </c>
      <c r="C104" s="23" t="s">
        <v>9675</v>
      </c>
      <c r="D104" s="23" t="s">
        <v>3464</v>
      </c>
      <c r="E104" s="20" t="s">
        <v>9676</v>
      </c>
      <c r="F104" s="22">
        <v>2.7709999999999999</v>
      </c>
      <c r="G104" s="22" t="s">
        <v>9677</v>
      </c>
      <c r="H104" s="22">
        <v>2.7709999999999999</v>
      </c>
      <c r="I104" s="25">
        <v>43160</v>
      </c>
      <c r="J104" s="24">
        <v>43236</v>
      </c>
    </row>
    <row r="105" spans="2:10" x14ac:dyDescent="0.2">
      <c r="B105" s="22">
        <v>100</v>
      </c>
      <c r="C105" s="23" t="s">
        <v>9678</v>
      </c>
      <c r="D105" s="23" t="s">
        <v>563</v>
      </c>
      <c r="E105" s="20" t="s">
        <v>9679</v>
      </c>
      <c r="F105" s="22">
        <v>1.7290000000000001</v>
      </c>
      <c r="G105" s="22" t="s">
        <v>9680</v>
      </c>
      <c r="H105" s="22">
        <v>6</v>
      </c>
      <c r="I105" s="25">
        <v>43452</v>
      </c>
      <c r="J105" s="24">
        <v>43207</v>
      </c>
    </row>
    <row r="106" spans="2:10" x14ac:dyDescent="0.2">
      <c r="B106" s="22">
        <v>101</v>
      </c>
      <c r="C106" s="23" t="s">
        <v>9681</v>
      </c>
      <c r="D106" s="23" t="s">
        <v>685</v>
      </c>
      <c r="E106" s="20" t="s">
        <v>9682</v>
      </c>
      <c r="F106" s="22">
        <v>2.883</v>
      </c>
      <c r="G106" s="22" t="s">
        <v>9683</v>
      </c>
      <c r="H106" s="22">
        <v>2.883</v>
      </c>
      <c r="I106" s="25">
        <v>43391</v>
      </c>
      <c r="J106" s="24">
        <v>43116</v>
      </c>
    </row>
    <row r="107" spans="2:10" x14ac:dyDescent="0.2">
      <c r="B107" s="22">
        <v>102</v>
      </c>
      <c r="C107" s="23" t="s">
        <v>9684</v>
      </c>
      <c r="D107" s="23" t="s">
        <v>3464</v>
      </c>
      <c r="E107" s="20" t="s">
        <v>9685</v>
      </c>
      <c r="F107" s="22">
        <v>2.4220000000000002</v>
      </c>
      <c r="G107" s="22" t="s">
        <v>9686</v>
      </c>
      <c r="H107" s="22">
        <v>2.4220000000000002</v>
      </c>
      <c r="I107" s="25">
        <v>43370</v>
      </c>
      <c r="J107" s="24">
        <v>43109</v>
      </c>
    </row>
    <row r="108" spans="2:10" x14ac:dyDescent="0.2">
      <c r="B108" s="22">
        <v>103</v>
      </c>
      <c r="C108" s="23" t="s">
        <v>9687</v>
      </c>
      <c r="D108" s="23" t="s">
        <v>574</v>
      </c>
      <c r="E108" s="20" t="s">
        <v>9688</v>
      </c>
      <c r="F108" s="22">
        <v>3.16</v>
      </c>
      <c r="G108" s="22" t="s">
        <v>9689</v>
      </c>
      <c r="H108" s="22">
        <v>3.16</v>
      </c>
      <c r="I108" s="25">
        <v>43174</v>
      </c>
      <c r="J108" s="24">
        <v>43229</v>
      </c>
    </row>
    <row r="109" spans="2:10" x14ac:dyDescent="0.2">
      <c r="B109" s="22">
        <v>104</v>
      </c>
      <c r="C109" s="23" t="s">
        <v>9690</v>
      </c>
      <c r="D109" s="23" t="s">
        <v>643</v>
      </c>
      <c r="E109" s="20" t="s">
        <v>9691</v>
      </c>
      <c r="F109" s="22">
        <v>2.633</v>
      </c>
      <c r="G109" s="22" t="s">
        <v>9692</v>
      </c>
      <c r="H109" s="22">
        <v>2.633</v>
      </c>
      <c r="I109" s="25">
        <v>43216</v>
      </c>
      <c r="J109" s="24">
        <v>43285</v>
      </c>
    </row>
    <row r="110" spans="2:10" x14ac:dyDescent="0.2">
      <c r="B110" s="22">
        <v>105</v>
      </c>
      <c r="C110" s="23" t="s">
        <v>9693</v>
      </c>
      <c r="D110" s="23" t="s">
        <v>1043</v>
      </c>
      <c r="E110" s="20" t="s">
        <v>9694</v>
      </c>
      <c r="F110" s="22">
        <v>960</v>
      </c>
      <c r="G110" s="22" t="s">
        <v>9695</v>
      </c>
      <c r="H110" s="22">
        <v>363</v>
      </c>
      <c r="I110" s="25">
        <v>43216</v>
      </c>
      <c r="J110" s="24">
        <v>43355</v>
      </c>
    </row>
    <row r="111" spans="2:10" x14ac:dyDescent="0.2">
      <c r="B111" s="22">
        <v>106</v>
      </c>
      <c r="C111" s="23" t="s">
        <v>9696</v>
      </c>
      <c r="D111" s="23" t="s">
        <v>830</v>
      </c>
      <c r="E111" s="20" t="s">
        <v>9697</v>
      </c>
      <c r="F111" s="22">
        <v>2.23</v>
      </c>
      <c r="G111" s="22" t="s">
        <v>9698</v>
      </c>
      <c r="H111" s="22">
        <v>2.0270000000000001</v>
      </c>
      <c r="I111" s="25">
        <v>43370</v>
      </c>
      <c r="J111" s="24">
        <v>43453</v>
      </c>
    </row>
    <row r="112" spans="2:10" x14ac:dyDescent="0.2">
      <c r="B112" s="22">
        <v>107</v>
      </c>
      <c r="C112" s="23" t="s">
        <v>9699</v>
      </c>
      <c r="D112" s="23" t="s">
        <v>830</v>
      </c>
      <c r="E112" s="20" t="s">
        <v>9700</v>
      </c>
      <c r="F112" s="22">
        <v>1.0009999999999999</v>
      </c>
      <c r="G112" s="22" t="s">
        <v>9701</v>
      </c>
      <c r="H112" s="22">
        <v>19</v>
      </c>
      <c r="I112" s="25">
        <v>43286</v>
      </c>
      <c r="J112" s="24">
        <v>43425</v>
      </c>
    </row>
    <row r="113" spans="2:10" x14ac:dyDescent="0.2">
      <c r="B113" s="22">
        <v>108</v>
      </c>
      <c r="C113" s="23" t="s">
        <v>9702</v>
      </c>
      <c r="D113" s="23" t="s">
        <v>594</v>
      </c>
      <c r="E113" s="20" t="s">
        <v>9703</v>
      </c>
      <c r="F113" s="22">
        <v>1.3160000000000001</v>
      </c>
      <c r="G113" s="22" t="s">
        <v>9704</v>
      </c>
      <c r="H113" s="22">
        <v>4</v>
      </c>
      <c r="I113" s="25">
        <v>43412</v>
      </c>
      <c r="J113" s="24">
        <v>43200</v>
      </c>
    </row>
    <row r="114" spans="2:10" x14ac:dyDescent="0.2">
      <c r="B114" s="22">
        <v>109</v>
      </c>
      <c r="C114" s="23" t="s">
        <v>9705</v>
      </c>
      <c r="D114" s="23" t="s">
        <v>740</v>
      </c>
      <c r="E114" s="20" t="s">
        <v>9706</v>
      </c>
      <c r="F114" s="22">
        <v>1.5840000000000001</v>
      </c>
      <c r="G114" s="22" t="s">
        <v>9707</v>
      </c>
      <c r="H114" s="22">
        <v>4</v>
      </c>
      <c r="I114" s="25">
        <v>43188</v>
      </c>
      <c r="J114" s="24">
        <v>43278</v>
      </c>
    </row>
    <row r="115" spans="2:10" x14ac:dyDescent="0.2">
      <c r="B115" s="22">
        <v>110</v>
      </c>
      <c r="C115" s="23" t="s">
        <v>9708</v>
      </c>
      <c r="D115" s="23" t="s">
        <v>863</v>
      </c>
      <c r="E115" s="20" t="s">
        <v>9709</v>
      </c>
      <c r="F115" s="22">
        <v>2.57</v>
      </c>
      <c r="G115" s="22" t="s">
        <v>9710</v>
      </c>
      <c r="H115" s="22">
        <v>2.57</v>
      </c>
      <c r="I115" s="25">
        <v>43431</v>
      </c>
      <c r="J115" s="24">
        <v>43102</v>
      </c>
    </row>
    <row r="116" spans="2:10" x14ac:dyDescent="0.2">
      <c r="B116" s="22">
        <v>111</v>
      </c>
      <c r="C116" s="23" t="s">
        <v>9711</v>
      </c>
      <c r="D116" s="23" t="s">
        <v>594</v>
      </c>
      <c r="E116" s="20" t="s">
        <v>9712</v>
      </c>
      <c r="F116" s="22">
        <v>2.6219999999999999</v>
      </c>
      <c r="G116" s="22" t="s">
        <v>9713</v>
      </c>
      <c r="H116" s="22">
        <v>2.62</v>
      </c>
      <c r="I116" s="25">
        <v>43118</v>
      </c>
      <c r="J116" s="24">
        <v>43194</v>
      </c>
    </row>
    <row r="117" spans="2:10" x14ac:dyDescent="0.2">
      <c r="B117" s="22">
        <v>112</v>
      </c>
      <c r="C117" s="23" t="s">
        <v>9714</v>
      </c>
      <c r="D117" s="23" t="s">
        <v>563</v>
      </c>
      <c r="E117" s="20" t="s">
        <v>9715</v>
      </c>
      <c r="F117" s="22">
        <v>2.95</v>
      </c>
      <c r="G117" s="22" t="s">
        <v>9716</v>
      </c>
      <c r="H117" s="22">
        <v>2.95</v>
      </c>
      <c r="I117" s="25">
        <v>43145</v>
      </c>
      <c r="J117" s="24">
        <v>43201</v>
      </c>
    </row>
    <row r="118" spans="2:10" x14ac:dyDescent="0.2">
      <c r="B118" s="22">
        <v>113</v>
      </c>
      <c r="C118" s="23" t="s">
        <v>9717</v>
      </c>
      <c r="D118" s="23" t="s">
        <v>594</v>
      </c>
      <c r="E118" s="20" t="s">
        <v>9718</v>
      </c>
      <c r="F118" s="22">
        <v>3.0259999999999998</v>
      </c>
      <c r="G118" s="22" t="s">
        <v>9719</v>
      </c>
      <c r="H118" s="22">
        <v>3.0259999999999998</v>
      </c>
      <c r="I118" s="25">
        <v>43377</v>
      </c>
      <c r="J118" s="24">
        <v>43442</v>
      </c>
    </row>
    <row r="119" spans="2:10" x14ac:dyDescent="0.2">
      <c r="B119" s="22">
        <v>114</v>
      </c>
      <c r="C119" s="23" t="s">
        <v>9720</v>
      </c>
      <c r="D119" s="23" t="s">
        <v>643</v>
      </c>
      <c r="E119" s="20" t="s">
        <v>9721</v>
      </c>
      <c r="F119" s="22">
        <v>2.4369999999999998</v>
      </c>
      <c r="G119" s="22" t="s">
        <v>9722</v>
      </c>
      <c r="H119" s="22">
        <v>2.4369999999999998</v>
      </c>
      <c r="I119" s="25">
        <v>43335</v>
      </c>
      <c r="J119" s="24">
        <v>43390</v>
      </c>
    </row>
    <row r="120" spans="2:10" x14ac:dyDescent="0.2">
      <c r="B120" s="22">
        <v>115</v>
      </c>
      <c r="C120" s="23" t="s">
        <v>9723</v>
      </c>
      <c r="D120" s="23" t="s">
        <v>820</v>
      </c>
      <c r="E120" s="20" t="s">
        <v>9724</v>
      </c>
      <c r="F120" s="22">
        <v>725</v>
      </c>
      <c r="G120" s="22" t="s">
        <v>9725</v>
      </c>
      <c r="H120" s="22">
        <v>2</v>
      </c>
      <c r="I120" s="25">
        <v>43111</v>
      </c>
      <c r="J120" s="24">
        <v>43278</v>
      </c>
    </row>
    <row r="121" spans="2:10" x14ac:dyDescent="0.2">
      <c r="B121" s="22">
        <v>116</v>
      </c>
      <c r="C121" s="23" t="s">
        <v>9726</v>
      </c>
      <c r="D121" s="23" t="s">
        <v>740</v>
      </c>
      <c r="E121" s="20" t="s">
        <v>9727</v>
      </c>
      <c r="F121" s="22">
        <v>2.161</v>
      </c>
      <c r="G121" s="22" t="s">
        <v>9728</v>
      </c>
      <c r="H121" s="22">
        <v>2.16</v>
      </c>
      <c r="I121" s="25">
        <v>43181</v>
      </c>
      <c r="J121" s="24">
        <v>43257</v>
      </c>
    </row>
    <row r="122" spans="2:10" x14ac:dyDescent="0.2">
      <c r="B122" s="22">
        <v>117</v>
      </c>
      <c r="C122" s="23" t="s">
        <v>9729</v>
      </c>
      <c r="D122" s="23" t="s">
        <v>638</v>
      </c>
      <c r="E122" s="20" t="s">
        <v>9730</v>
      </c>
      <c r="F122" s="22">
        <v>968</v>
      </c>
      <c r="G122" s="22" t="s">
        <v>9731</v>
      </c>
      <c r="H122" s="22">
        <v>4</v>
      </c>
      <c r="I122" s="25">
        <v>43419</v>
      </c>
      <c r="J122" s="24">
        <v>43179</v>
      </c>
    </row>
    <row r="123" spans="2:10" x14ac:dyDescent="0.2">
      <c r="B123" s="22">
        <v>118</v>
      </c>
      <c r="C123" s="23" t="s">
        <v>9732</v>
      </c>
      <c r="D123" s="23" t="s">
        <v>9487</v>
      </c>
      <c r="E123" s="20" t="s">
        <v>9733</v>
      </c>
      <c r="F123" s="22">
        <v>2.238</v>
      </c>
      <c r="G123" s="22" t="s">
        <v>9734</v>
      </c>
      <c r="H123" s="22">
        <v>2.2240000000000002</v>
      </c>
      <c r="I123" s="25">
        <v>43125</v>
      </c>
      <c r="J123" s="24">
        <v>43194</v>
      </c>
    </row>
    <row r="124" spans="2:10" x14ac:dyDescent="0.2">
      <c r="B124" s="22">
        <v>119</v>
      </c>
      <c r="C124" s="23" t="s">
        <v>9735</v>
      </c>
      <c r="D124" s="23" t="s">
        <v>830</v>
      </c>
      <c r="E124" s="20" t="s">
        <v>9736</v>
      </c>
      <c r="F124" s="22">
        <v>835</v>
      </c>
      <c r="G124" s="22" t="s">
        <v>9737</v>
      </c>
      <c r="H124" s="22">
        <v>4</v>
      </c>
      <c r="I124" s="25">
        <v>43361</v>
      </c>
      <c r="J124" s="24">
        <v>43116</v>
      </c>
    </row>
    <row r="125" spans="2:10" x14ac:dyDescent="0.2">
      <c r="B125" s="22">
        <v>120</v>
      </c>
      <c r="C125" s="23" t="s">
        <v>9738</v>
      </c>
      <c r="D125" s="23" t="s">
        <v>2742</v>
      </c>
      <c r="E125" s="20" t="s">
        <v>9739</v>
      </c>
      <c r="F125" s="22">
        <v>2.3130000000000002</v>
      </c>
      <c r="G125" s="22" t="s">
        <v>9740</v>
      </c>
      <c r="H125" s="22">
        <v>2.3130000000000002</v>
      </c>
      <c r="I125" s="25">
        <v>43153</v>
      </c>
      <c r="J125" s="24">
        <v>43243</v>
      </c>
    </row>
    <row r="126" spans="2:10" x14ac:dyDescent="0.2">
      <c r="B126" s="22">
        <v>121</v>
      </c>
      <c r="C126" s="23" t="s">
        <v>9741</v>
      </c>
      <c r="D126" s="23" t="s">
        <v>594</v>
      </c>
      <c r="E126" s="20" t="s">
        <v>9742</v>
      </c>
      <c r="F126" s="22">
        <v>3.044</v>
      </c>
      <c r="G126" s="22" t="s">
        <v>9743</v>
      </c>
      <c r="H126" s="22">
        <v>3.044</v>
      </c>
      <c r="I126" s="25">
        <v>43398</v>
      </c>
      <c r="J126" s="24">
        <v>43116</v>
      </c>
    </row>
    <row r="127" spans="2:10" x14ac:dyDescent="0.2">
      <c r="B127" s="22">
        <v>122</v>
      </c>
      <c r="C127" s="23" t="s">
        <v>9744</v>
      </c>
      <c r="D127" s="23" t="s">
        <v>863</v>
      </c>
      <c r="E127" s="20" t="s">
        <v>9745</v>
      </c>
      <c r="F127" s="22">
        <v>2.3809999999999998</v>
      </c>
      <c r="G127" s="22" t="s">
        <v>9746</v>
      </c>
      <c r="H127" s="22">
        <v>2.3809999999999998</v>
      </c>
      <c r="I127" s="25">
        <v>43328</v>
      </c>
      <c r="J127" s="24">
        <v>43376</v>
      </c>
    </row>
    <row r="128" spans="2:10" x14ac:dyDescent="0.2">
      <c r="B128" s="22">
        <v>123</v>
      </c>
      <c r="C128" s="23" t="s">
        <v>9747</v>
      </c>
      <c r="D128" s="23" t="s">
        <v>820</v>
      </c>
      <c r="E128" s="20" t="s">
        <v>9748</v>
      </c>
      <c r="F128" s="22">
        <v>1.0860000000000001</v>
      </c>
      <c r="G128" s="22" t="s">
        <v>9749</v>
      </c>
      <c r="H128" s="22">
        <v>7</v>
      </c>
      <c r="I128" s="25">
        <v>43293</v>
      </c>
      <c r="J128" s="24">
        <v>43404</v>
      </c>
    </row>
    <row r="129" spans="2:10" x14ac:dyDescent="0.2">
      <c r="B129" s="22">
        <v>124</v>
      </c>
      <c r="C129" s="23" t="s">
        <v>9750</v>
      </c>
      <c r="D129" s="23" t="s">
        <v>586</v>
      </c>
      <c r="E129" s="20" t="s">
        <v>9751</v>
      </c>
      <c r="F129" s="22">
        <v>1.28</v>
      </c>
      <c r="G129" s="22" t="s">
        <v>9752</v>
      </c>
      <c r="H129" s="22">
        <v>175</v>
      </c>
      <c r="I129" s="25">
        <v>43405</v>
      </c>
      <c r="J129" s="24">
        <v>43460</v>
      </c>
    </row>
    <row r="130" spans="2:10" x14ac:dyDescent="0.2">
      <c r="B130" s="22">
        <v>125</v>
      </c>
      <c r="C130" s="23" t="s">
        <v>9753</v>
      </c>
      <c r="D130" s="23" t="s">
        <v>1299</v>
      </c>
      <c r="E130" s="20" t="s">
        <v>9754</v>
      </c>
      <c r="F130" s="22">
        <v>2.7</v>
      </c>
      <c r="G130" s="22" t="s">
        <v>9755</v>
      </c>
      <c r="H130" s="22">
        <v>2.7</v>
      </c>
      <c r="I130" s="25">
        <v>43160</v>
      </c>
      <c r="J130" s="24">
        <v>43194</v>
      </c>
    </row>
    <row r="131" spans="2:10" x14ac:dyDescent="0.2">
      <c r="B131" s="22">
        <v>126</v>
      </c>
      <c r="C131" s="23" t="s">
        <v>9756</v>
      </c>
      <c r="D131" s="23" t="s">
        <v>38</v>
      </c>
      <c r="E131" s="20" t="s">
        <v>9757</v>
      </c>
      <c r="F131" s="22">
        <v>1.379</v>
      </c>
      <c r="G131" s="22" t="s">
        <v>9758</v>
      </c>
      <c r="H131" s="22">
        <v>3</v>
      </c>
      <c r="I131" s="25">
        <v>43174</v>
      </c>
      <c r="J131" s="24">
        <v>43262</v>
      </c>
    </row>
    <row r="132" spans="2:10" x14ac:dyDescent="0.2">
      <c r="B132" s="22">
        <v>127</v>
      </c>
      <c r="C132" s="23" t="s">
        <v>9759</v>
      </c>
      <c r="D132" s="23" t="s">
        <v>1299</v>
      </c>
      <c r="E132" s="20" t="s">
        <v>9760</v>
      </c>
      <c r="F132" s="22">
        <v>729</v>
      </c>
      <c r="G132" s="22" t="s">
        <v>9761</v>
      </c>
      <c r="H132" s="22">
        <v>4</v>
      </c>
      <c r="I132" s="25">
        <v>43440</v>
      </c>
      <c r="J132" s="24">
        <v>43172</v>
      </c>
    </row>
    <row r="133" spans="2:10" x14ac:dyDescent="0.2">
      <c r="B133" s="22">
        <v>128</v>
      </c>
      <c r="C133" s="23" t="s">
        <v>9762</v>
      </c>
      <c r="D133" s="23" t="s">
        <v>643</v>
      </c>
      <c r="E133" s="20" t="s">
        <v>9763</v>
      </c>
      <c r="F133" s="22">
        <v>2.9129999999999998</v>
      </c>
      <c r="G133" s="22" t="s">
        <v>9764</v>
      </c>
      <c r="H133" s="22">
        <v>2.9129999999999998</v>
      </c>
      <c r="I133" s="25">
        <v>43118</v>
      </c>
      <c r="J133" s="24">
        <v>43159</v>
      </c>
    </row>
    <row r="134" spans="2:10" x14ac:dyDescent="0.2">
      <c r="B134" s="22">
        <v>129</v>
      </c>
      <c r="C134" s="23" t="s">
        <v>9765</v>
      </c>
      <c r="D134" s="23" t="s">
        <v>3464</v>
      </c>
      <c r="E134" s="20" t="s">
        <v>9766</v>
      </c>
      <c r="F134" s="22">
        <v>2.101</v>
      </c>
      <c r="G134" s="22" t="s">
        <v>9767</v>
      </c>
      <c r="H134" s="22">
        <v>2.101</v>
      </c>
      <c r="I134" s="25">
        <v>43438</v>
      </c>
      <c r="J134" s="24">
        <v>43137</v>
      </c>
    </row>
    <row r="135" spans="2:10" x14ac:dyDescent="0.2">
      <c r="B135" s="22">
        <v>130</v>
      </c>
      <c r="C135" s="23" t="s">
        <v>9768</v>
      </c>
      <c r="D135" s="23" t="s">
        <v>9487</v>
      </c>
      <c r="E135" s="20" t="s">
        <v>9769</v>
      </c>
      <c r="F135" s="22">
        <v>2.1880000000000002</v>
      </c>
      <c r="G135" s="22" t="s">
        <v>9770</v>
      </c>
      <c r="H135" s="22">
        <v>2.1880000000000002</v>
      </c>
      <c r="I135" s="25">
        <v>43167</v>
      </c>
      <c r="J135" s="24">
        <v>43208</v>
      </c>
    </row>
    <row r="136" spans="2:10" x14ac:dyDescent="0.2">
      <c r="B136" s="22">
        <v>131</v>
      </c>
      <c r="C136" s="23" t="s">
        <v>9771</v>
      </c>
      <c r="D136" s="23" t="s">
        <v>563</v>
      </c>
      <c r="E136" s="20" t="s">
        <v>9772</v>
      </c>
      <c r="F136" s="22">
        <v>2.1349999999999998</v>
      </c>
      <c r="G136" s="22" t="s">
        <v>9773</v>
      </c>
      <c r="H136" s="22">
        <v>2.13</v>
      </c>
      <c r="I136" s="25">
        <v>43342</v>
      </c>
      <c r="J136" s="24">
        <v>43376</v>
      </c>
    </row>
    <row r="137" spans="2:10" x14ac:dyDescent="0.2">
      <c r="B137" s="22">
        <v>132</v>
      </c>
      <c r="C137" s="23" t="s">
        <v>9774</v>
      </c>
      <c r="D137" s="23" t="s">
        <v>563</v>
      </c>
      <c r="E137" s="20" t="s">
        <v>9775</v>
      </c>
      <c r="F137" s="22">
        <v>2.4039999999999999</v>
      </c>
      <c r="G137" s="22" t="s">
        <v>9776</v>
      </c>
      <c r="H137" s="22">
        <v>2.4039999999999999</v>
      </c>
      <c r="I137" s="25">
        <v>43132</v>
      </c>
      <c r="J137" s="24">
        <v>43173</v>
      </c>
    </row>
    <row r="138" spans="2:10" x14ac:dyDescent="0.2">
      <c r="B138" s="22">
        <v>133</v>
      </c>
      <c r="C138" s="23" t="s">
        <v>9777</v>
      </c>
      <c r="D138" s="23" t="s">
        <v>643</v>
      </c>
      <c r="E138" s="20" t="s">
        <v>9778</v>
      </c>
      <c r="F138" s="22">
        <v>2.0409999999999999</v>
      </c>
      <c r="G138" s="22" t="s">
        <v>9779</v>
      </c>
      <c r="H138" s="22">
        <v>2.0409999999999999</v>
      </c>
      <c r="I138" s="25">
        <v>43230</v>
      </c>
      <c r="J138" s="24">
        <v>43264</v>
      </c>
    </row>
    <row r="139" spans="2:10" x14ac:dyDescent="0.2">
      <c r="B139" s="22">
        <v>134</v>
      </c>
      <c r="C139" s="23" t="s">
        <v>9780</v>
      </c>
      <c r="D139" s="23" t="s">
        <v>851</v>
      </c>
      <c r="E139" s="20" t="s">
        <v>9781</v>
      </c>
      <c r="F139" s="22">
        <v>2.008</v>
      </c>
      <c r="G139" s="22" t="s">
        <v>9782</v>
      </c>
      <c r="H139" s="22">
        <v>2.008</v>
      </c>
      <c r="I139" s="25">
        <v>43363</v>
      </c>
      <c r="J139" s="24">
        <v>43393</v>
      </c>
    </row>
    <row r="140" spans="2:10" x14ac:dyDescent="0.2">
      <c r="B140" s="22">
        <v>135</v>
      </c>
      <c r="C140" s="23" t="s">
        <v>9783</v>
      </c>
      <c r="D140" s="23" t="s">
        <v>3464</v>
      </c>
      <c r="E140" s="20" t="s">
        <v>9784</v>
      </c>
      <c r="F140" s="22">
        <v>2.0230000000000001</v>
      </c>
      <c r="G140" s="22" t="s">
        <v>9785</v>
      </c>
      <c r="H140" s="22">
        <v>2.0230000000000001</v>
      </c>
      <c r="I140" s="25">
        <v>43125</v>
      </c>
      <c r="J140" s="24">
        <v>43173</v>
      </c>
    </row>
    <row r="141" spans="2:10" x14ac:dyDescent="0.2">
      <c r="B141" s="22">
        <v>136</v>
      </c>
      <c r="C141" s="23" t="s">
        <v>9786</v>
      </c>
      <c r="D141" s="23" t="s">
        <v>820</v>
      </c>
      <c r="E141" s="20" t="s">
        <v>9787</v>
      </c>
      <c r="F141" s="22">
        <v>1.01</v>
      </c>
      <c r="G141" s="22" t="s">
        <v>9788</v>
      </c>
      <c r="H141" s="22">
        <v>4</v>
      </c>
      <c r="I141" s="25">
        <v>43433</v>
      </c>
      <c r="J141" s="24">
        <v>43186</v>
      </c>
    </row>
    <row r="142" spans="2:10" x14ac:dyDescent="0.2">
      <c r="B142" s="22">
        <v>137</v>
      </c>
      <c r="C142" s="23" t="s">
        <v>9789</v>
      </c>
      <c r="D142" s="23" t="s">
        <v>1015</v>
      </c>
      <c r="E142" s="20" t="s">
        <v>9790</v>
      </c>
      <c r="F142" s="22">
        <v>897</v>
      </c>
      <c r="G142" s="22" t="s">
        <v>9791</v>
      </c>
      <c r="H142" s="22">
        <v>5</v>
      </c>
      <c r="I142" s="25">
        <v>43244</v>
      </c>
      <c r="J142" s="24">
        <v>43411</v>
      </c>
    </row>
    <row r="143" spans="2:10" x14ac:dyDescent="0.2">
      <c r="B143" s="22">
        <v>138</v>
      </c>
      <c r="C143" s="23" t="s">
        <v>9792</v>
      </c>
      <c r="D143" s="23" t="s">
        <v>1083</v>
      </c>
      <c r="E143" s="20" t="s">
        <v>9793</v>
      </c>
      <c r="F143" s="22">
        <v>239</v>
      </c>
      <c r="G143" s="22" t="s">
        <v>9794</v>
      </c>
      <c r="H143" s="22">
        <v>239</v>
      </c>
      <c r="I143" s="25">
        <v>43454</v>
      </c>
      <c r="J143" s="24">
        <v>43112</v>
      </c>
    </row>
    <row r="144" spans="2:10" x14ac:dyDescent="0.2">
      <c r="B144" s="22">
        <v>139</v>
      </c>
      <c r="C144" s="23" t="s">
        <v>9795</v>
      </c>
      <c r="D144" s="23" t="s">
        <v>9796</v>
      </c>
      <c r="E144" s="20" t="s">
        <v>9797</v>
      </c>
      <c r="F144" s="22">
        <v>33</v>
      </c>
      <c r="G144" s="22" t="s">
        <v>1159</v>
      </c>
      <c r="H144" s="22" t="s">
        <v>1159</v>
      </c>
      <c r="I144" s="25">
        <v>43356</v>
      </c>
      <c r="J144" s="22" t="s">
        <v>558</v>
      </c>
    </row>
    <row r="145" spans="2:10" x14ac:dyDescent="0.2">
      <c r="B145" s="22">
        <v>140</v>
      </c>
      <c r="C145" s="23" t="s">
        <v>9798</v>
      </c>
      <c r="D145" s="23" t="s">
        <v>863</v>
      </c>
      <c r="E145" s="20" t="s">
        <v>9799</v>
      </c>
      <c r="F145" s="22">
        <v>2.5379999999999998</v>
      </c>
      <c r="G145" s="22" t="s">
        <v>9800</v>
      </c>
      <c r="H145" s="22">
        <v>2.5379999999999998</v>
      </c>
      <c r="I145" s="25">
        <v>43384</v>
      </c>
      <c r="J145" s="24">
        <v>43418</v>
      </c>
    </row>
    <row r="146" spans="2:10" x14ac:dyDescent="0.2">
      <c r="B146" s="22">
        <v>141</v>
      </c>
      <c r="C146" s="23" t="s">
        <v>9801</v>
      </c>
      <c r="D146" s="23" t="s">
        <v>1273</v>
      </c>
      <c r="E146" s="20" t="s">
        <v>9802</v>
      </c>
      <c r="F146" s="22">
        <v>19</v>
      </c>
      <c r="G146" s="22" t="s">
        <v>9803</v>
      </c>
      <c r="H146" s="22">
        <v>1</v>
      </c>
      <c r="I146" s="25">
        <v>43431</v>
      </c>
      <c r="J146" s="22" t="s">
        <v>558</v>
      </c>
    </row>
    <row r="147" spans="2:10" x14ac:dyDescent="0.2">
      <c r="B147" s="22">
        <v>142</v>
      </c>
      <c r="C147" s="23" t="s">
        <v>9804</v>
      </c>
      <c r="D147" s="23" t="s">
        <v>3464</v>
      </c>
      <c r="E147" s="20" t="s">
        <v>9805</v>
      </c>
      <c r="F147" s="22">
        <v>2.4590000000000001</v>
      </c>
      <c r="G147" s="22" t="s">
        <v>9806</v>
      </c>
      <c r="H147" s="22">
        <v>2.4590000000000001</v>
      </c>
      <c r="I147" s="25">
        <v>43328</v>
      </c>
      <c r="J147" s="24">
        <v>43376</v>
      </c>
    </row>
    <row r="148" spans="2:10" x14ac:dyDescent="0.2">
      <c r="B148" s="22">
        <v>143</v>
      </c>
      <c r="C148" s="23" t="s">
        <v>9807</v>
      </c>
      <c r="D148" s="23" t="s">
        <v>830</v>
      </c>
      <c r="E148" s="20" t="s">
        <v>9808</v>
      </c>
      <c r="F148" s="22">
        <v>1.5249999999999999</v>
      </c>
      <c r="G148" s="22" t="s">
        <v>9809</v>
      </c>
      <c r="H148" s="22">
        <v>1.516</v>
      </c>
      <c r="I148" s="25">
        <v>43431</v>
      </c>
      <c r="J148" s="24">
        <v>43116</v>
      </c>
    </row>
    <row r="149" spans="2:10" x14ac:dyDescent="0.2">
      <c r="B149" s="22">
        <v>144</v>
      </c>
      <c r="C149" s="23" t="s">
        <v>9810</v>
      </c>
      <c r="D149" s="23" t="s">
        <v>38</v>
      </c>
      <c r="E149" s="20" t="s">
        <v>9811</v>
      </c>
      <c r="F149" s="22">
        <v>770</v>
      </c>
      <c r="G149" s="22" t="s">
        <v>9812</v>
      </c>
      <c r="H149" s="22">
        <v>4</v>
      </c>
      <c r="I149" s="25">
        <v>43314</v>
      </c>
      <c r="J149" s="24">
        <v>43446</v>
      </c>
    </row>
    <row r="150" spans="2:10" x14ac:dyDescent="0.2">
      <c r="B150" s="22">
        <v>145</v>
      </c>
      <c r="C150" s="23" t="s">
        <v>9813</v>
      </c>
      <c r="D150" s="23" t="s">
        <v>820</v>
      </c>
      <c r="E150" s="20" t="s">
        <v>9814</v>
      </c>
      <c r="F150" s="22">
        <v>804</v>
      </c>
      <c r="G150" s="22" t="s">
        <v>9815</v>
      </c>
      <c r="H150" s="22">
        <v>7</v>
      </c>
      <c r="I150" s="25">
        <v>43335</v>
      </c>
      <c r="J150" s="24">
        <v>43397</v>
      </c>
    </row>
    <row r="151" spans="2:10" x14ac:dyDescent="0.2">
      <c r="B151" s="22">
        <v>146</v>
      </c>
      <c r="C151" s="23" t="s">
        <v>9816</v>
      </c>
      <c r="D151" s="23" t="s">
        <v>1043</v>
      </c>
      <c r="E151" s="20" t="s">
        <v>9817</v>
      </c>
      <c r="F151" s="22">
        <v>483</v>
      </c>
      <c r="G151" s="22" t="s">
        <v>9818</v>
      </c>
      <c r="H151" s="22">
        <v>6</v>
      </c>
      <c r="I151" s="25">
        <v>43391</v>
      </c>
      <c r="J151" s="24">
        <v>43158</v>
      </c>
    </row>
    <row r="152" spans="2:10" x14ac:dyDescent="0.2">
      <c r="B152" s="22">
        <v>147</v>
      </c>
      <c r="C152" s="23" t="s">
        <v>9819</v>
      </c>
      <c r="D152" s="23" t="s">
        <v>863</v>
      </c>
      <c r="E152" s="20" t="s">
        <v>9820</v>
      </c>
      <c r="F152" s="22">
        <v>1.0369999999999999</v>
      </c>
      <c r="G152" s="22" t="s">
        <v>9821</v>
      </c>
      <c r="H152" s="22">
        <v>1.0369999999999999</v>
      </c>
      <c r="I152" s="25">
        <v>43459</v>
      </c>
      <c r="J152" s="24">
        <v>43116</v>
      </c>
    </row>
    <row r="153" spans="2:10" x14ac:dyDescent="0.2">
      <c r="B153" s="22">
        <v>148</v>
      </c>
      <c r="C153" s="23" t="s">
        <v>9822</v>
      </c>
      <c r="D153" s="23" t="s">
        <v>38</v>
      </c>
      <c r="E153" s="20" t="s">
        <v>9823</v>
      </c>
      <c r="F153" s="22">
        <v>650</v>
      </c>
      <c r="G153" s="22" t="s">
        <v>9824</v>
      </c>
      <c r="H153" s="22">
        <v>5</v>
      </c>
      <c r="I153" s="25">
        <v>43265</v>
      </c>
      <c r="J153" s="24">
        <v>43355</v>
      </c>
    </row>
    <row r="154" spans="2:10" x14ac:dyDescent="0.2">
      <c r="B154" s="22">
        <v>149</v>
      </c>
      <c r="C154" s="23" t="s">
        <v>9825</v>
      </c>
      <c r="D154" s="23" t="s">
        <v>643</v>
      </c>
      <c r="E154" s="20" t="s">
        <v>9826</v>
      </c>
      <c r="F154" s="22">
        <v>438</v>
      </c>
      <c r="G154" s="22" t="s">
        <v>9827</v>
      </c>
      <c r="H154" s="22">
        <v>387</v>
      </c>
      <c r="I154" s="25">
        <v>43377</v>
      </c>
      <c r="J154" s="24">
        <v>43425</v>
      </c>
    </row>
    <row r="155" spans="2:10" x14ac:dyDescent="0.2">
      <c r="B155" s="22">
        <v>150</v>
      </c>
      <c r="C155" s="23" t="s">
        <v>9828</v>
      </c>
      <c r="D155" s="23" t="s">
        <v>740</v>
      </c>
      <c r="E155" s="20" t="s">
        <v>9829</v>
      </c>
      <c r="F155" s="22">
        <v>870</v>
      </c>
      <c r="G155" s="22" t="s">
        <v>9830</v>
      </c>
      <c r="H155" s="22">
        <v>870</v>
      </c>
      <c r="I155" s="25">
        <v>43340</v>
      </c>
      <c r="J155" s="24">
        <v>43369</v>
      </c>
    </row>
    <row r="156" spans="2:10" x14ac:dyDescent="0.2">
      <c r="B156" s="22">
        <v>151</v>
      </c>
      <c r="C156" s="23" t="s">
        <v>9831</v>
      </c>
      <c r="D156" s="23" t="s">
        <v>563</v>
      </c>
      <c r="E156" s="20" t="s">
        <v>9832</v>
      </c>
      <c r="F156" s="22">
        <v>318</v>
      </c>
      <c r="G156" s="22" t="s">
        <v>9833</v>
      </c>
      <c r="H156" s="22">
        <v>318</v>
      </c>
      <c r="I156" s="25">
        <v>43363</v>
      </c>
      <c r="J156" s="24">
        <v>43390</v>
      </c>
    </row>
    <row r="157" spans="2:10" x14ac:dyDescent="0.2">
      <c r="B157" s="22">
        <v>152</v>
      </c>
      <c r="C157" s="23" t="s">
        <v>9834</v>
      </c>
      <c r="D157" s="23" t="s">
        <v>1377</v>
      </c>
      <c r="E157" s="20" t="s">
        <v>9835</v>
      </c>
      <c r="F157" s="22">
        <v>196</v>
      </c>
      <c r="G157" s="22" t="s">
        <v>9836</v>
      </c>
      <c r="H157" s="22">
        <v>196</v>
      </c>
      <c r="I157" s="25">
        <v>43320</v>
      </c>
      <c r="J157" s="24">
        <v>43376</v>
      </c>
    </row>
    <row r="158" spans="2:10" x14ac:dyDescent="0.2">
      <c r="B158" s="22">
        <v>153</v>
      </c>
      <c r="C158" s="23" t="s">
        <v>9837</v>
      </c>
      <c r="D158" s="23" t="s">
        <v>1015</v>
      </c>
      <c r="E158" s="20" t="s">
        <v>9838</v>
      </c>
      <c r="F158" s="22">
        <v>807</v>
      </c>
      <c r="G158" s="22" t="s">
        <v>9839</v>
      </c>
      <c r="H158" s="22">
        <v>5</v>
      </c>
      <c r="I158" s="25">
        <v>43195</v>
      </c>
      <c r="J158" s="24">
        <v>43313</v>
      </c>
    </row>
    <row r="159" spans="2:10" x14ac:dyDescent="0.2">
      <c r="B159" s="22">
        <v>154</v>
      </c>
      <c r="C159" s="23" t="s">
        <v>9840</v>
      </c>
      <c r="D159" s="23" t="s">
        <v>5638</v>
      </c>
      <c r="E159" s="20" t="s">
        <v>9841</v>
      </c>
      <c r="F159" s="22">
        <v>147</v>
      </c>
      <c r="G159" s="22" t="s">
        <v>9842</v>
      </c>
      <c r="H159" s="22">
        <v>3</v>
      </c>
      <c r="I159" s="25">
        <v>43265</v>
      </c>
      <c r="J159" s="24">
        <v>43270</v>
      </c>
    </row>
    <row r="160" spans="2:10" x14ac:dyDescent="0.2">
      <c r="B160" s="22">
        <v>155</v>
      </c>
      <c r="C160" s="23" t="s">
        <v>9843</v>
      </c>
      <c r="D160" s="23" t="s">
        <v>1043</v>
      </c>
      <c r="E160" s="20" t="s">
        <v>9844</v>
      </c>
      <c r="F160" s="22">
        <v>222</v>
      </c>
      <c r="G160" s="22" t="s">
        <v>9845</v>
      </c>
      <c r="H160" s="22">
        <v>5</v>
      </c>
      <c r="I160" s="25">
        <v>43258</v>
      </c>
      <c r="J160" s="24">
        <v>43383</v>
      </c>
    </row>
    <row r="161" spans="2:10" x14ac:dyDescent="0.2">
      <c r="B161" s="22">
        <v>156</v>
      </c>
      <c r="C161" s="23" t="s">
        <v>9846</v>
      </c>
      <c r="D161" s="23" t="s">
        <v>1294</v>
      </c>
      <c r="E161" s="20" t="s">
        <v>9847</v>
      </c>
      <c r="F161" s="22">
        <v>233</v>
      </c>
      <c r="G161" s="22" t="s">
        <v>9848</v>
      </c>
      <c r="H161" s="22">
        <v>4</v>
      </c>
      <c r="I161" s="25">
        <v>43237</v>
      </c>
      <c r="J161" s="24">
        <v>43355</v>
      </c>
    </row>
    <row r="162" spans="2:10" x14ac:dyDescent="0.2">
      <c r="B162" s="22">
        <v>157</v>
      </c>
      <c r="C162" s="23" t="s">
        <v>9849</v>
      </c>
      <c r="D162" s="23" t="s">
        <v>1415</v>
      </c>
      <c r="E162" s="20" t="s">
        <v>9850</v>
      </c>
      <c r="F162" s="22">
        <v>161</v>
      </c>
      <c r="G162" s="22" t="s">
        <v>9851</v>
      </c>
      <c r="H162" s="22">
        <v>161</v>
      </c>
      <c r="I162" s="25">
        <v>43251</v>
      </c>
      <c r="J162" s="24">
        <v>43302</v>
      </c>
    </row>
    <row r="163" spans="2:10" x14ac:dyDescent="0.2">
      <c r="B163" s="22">
        <v>158</v>
      </c>
      <c r="C163" s="23" t="s">
        <v>9852</v>
      </c>
      <c r="D163" s="23" t="s">
        <v>1299</v>
      </c>
      <c r="E163" s="20" t="s">
        <v>9853</v>
      </c>
      <c r="F163" s="22">
        <v>591</v>
      </c>
      <c r="G163" s="22" t="s">
        <v>9854</v>
      </c>
      <c r="H163" s="22">
        <v>591</v>
      </c>
      <c r="I163" s="25">
        <v>43307</v>
      </c>
      <c r="J163" s="24">
        <v>43327</v>
      </c>
    </row>
    <row r="164" spans="2:10" x14ac:dyDescent="0.2">
      <c r="B164" s="22">
        <v>159</v>
      </c>
      <c r="C164" s="23" t="s">
        <v>9855</v>
      </c>
      <c r="D164" s="23" t="s">
        <v>5974</v>
      </c>
      <c r="E164" s="20" t="s">
        <v>9856</v>
      </c>
      <c r="F164" s="22">
        <v>589</v>
      </c>
      <c r="G164" s="22" t="s">
        <v>9857</v>
      </c>
      <c r="H164" s="22">
        <v>305</v>
      </c>
      <c r="I164" s="25">
        <v>43370</v>
      </c>
      <c r="J164" s="24">
        <v>43400</v>
      </c>
    </row>
    <row r="165" spans="2:10" x14ac:dyDescent="0.2">
      <c r="B165" s="22">
        <v>160</v>
      </c>
      <c r="C165" s="23" t="s">
        <v>9858</v>
      </c>
      <c r="D165" s="23" t="s">
        <v>1043</v>
      </c>
      <c r="E165" s="20" t="s">
        <v>9859</v>
      </c>
      <c r="F165" s="22">
        <v>311</v>
      </c>
      <c r="G165" s="22" t="s">
        <v>9860</v>
      </c>
      <c r="H165" s="22">
        <v>260</v>
      </c>
      <c r="I165" s="25">
        <v>43167</v>
      </c>
      <c r="J165" s="24">
        <v>43264</v>
      </c>
    </row>
    <row r="166" spans="2:10" x14ac:dyDescent="0.2">
      <c r="B166" s="22">
        <v>161</v>
      </c>
      <c r="C166" s="23" t="s">
        <v>9861</v>
      </c>
      <c r="D166" s="23" t="s">
        <v>643</v>
      </c>
      <c r="E166" s="20" t="s">
        <v>9862</v>
      </c>
      <c r="F166" s="22">
        <v>670</v>
      </c>
      <c r="G166" s="22" t="s">
        <v>9863</v>
      </c>
      <c r="H166" s="22">
        <v>659</v>
      </c>
      <c r="I166" s="25">
        <v>43132</v>
      </c>
      <c r="J166" s="24">
        <v>43166</v>
      </c>
    </row>
    <row r="167" spans="2:10" x14ac:dyDescent="0.2">
      <c r="B167" s="22">
        <v>162</v>
      </c>
      <c r="C167" s="23" t="s">
        <v>9864</v>
      </c>
      <c r="D167" s="23" t="s">
        <v>554</v>
      </c>
      <c r="E167" s="20" t="s">
        <v>9865</v>
      </c>
      <c r="F167" s="22">
        <v>1.7689999999999999</v>
      </c>
      <c r="G167" s="22" t="s">
        <v>9866</v>
      </c>
      <c r="H167" s="22">
        <v>1.7689999999999999</v>
      </c>
      <c r="I167" s="25">
        <v>43391</v>
      </c>
      <c r="J167" s="24">
        <v>43439</v>
      </c>
    </row>
    <row r="168" spans="2:10" x14ac:dyDescent="0.2">
      <c r="B168" s="22">
        <v>163</v>
      </c>
      <c r="C168" s="23" t="s">
        <v>9867</v>
      </c>
      <c r="D168" s="23" t="s">
        <v>638</v>
      </c>
      <c r="E168" s="20" t="s">
        <v>9868</v>
      </c>
      <c r="F168" s="22">
        <v>300</v>
      </c>
      <c r="G168" s="22" t="s">
        <v>9869</v>
      </c>
      <c r="H168" s="22">
        <v>300</v>
      </c>
      <c r="I168" s="25">
        <v>43139</v>
      </c>
      <c r="J168" s="24">
        <v>43152</v>
      </c>
    </row>
    <row r="169" spans="2:10" x14ac:dyDescent="0.2">
      <c r="B169" s="22">
        <v>164</v>
      </c>
      <c r="C169" s="23" t="s">
        <v>9870</v>
      </c>
      <c r="D169" s="23" t="s">
        <v>1043</v>
      </c>
      <c r="E169" s="20" t="s">
        <v>9871</v>
      </c>
      <c r="F169" s="22">
        <v>144</v>
      </c>
      <c r="G169" s="22" t="s">
        <v>9872</v>
      </c>
      <c r="H169" s="22">
        <v>3</v>
      </c>
      <c r="I169" s="25">
        <v>43321</v>
      </c>
      <c r="J169" s="24">
        <v>43439</v>
      </c>
    </row>
    <row r="170" spans="2:10" x14ac:dyDescent="0.2">
      <c r="B170" s="22">
        <v>165</v>
      </c>
      <c r="C170" s="23" t="s">
        <v>9873</v>
      </c>
      <c r="D170" s="23" t="s">
        <v>1594</v>
      </c>
      <c r="E170" s="20" t="s">
        <v>9874</v>
      </c>
      <c r="F170" s="22">
        <v>381</v>
      </c>
      <c r="G170" s="22" t="s">
        <v>9875</v>
      </c>
      <c r="H170" s="22">
        <v>381</v>
      </c>
      <c r="I170" s="25">
        <v>43209</v>
      </c>
      <c r="J170" s="24">
        <v>43264</v>
      </c>
    </row>
    <row r="171" spans="2:10" x14ac:dyDescent="0.2">
      <c r="B171" s="22">
        <v>166</v>
      </c>
      <c r="C171" s="23" t="s">
        <v>9876</v>
      </c>
      <c r="D171" s="23" t="s">
        <v>1576</v>
      </c>
      <c r="E171" s="20" t="s">
        <v>9877</v>
      </c>
      <c r="F171" s="22">
        <v>77</v>
      </c>
      <c r="G171" s="22" t="s">
        <v>9878</v>
      </c>
      <c r="H171" s="22">
        <v>1</v>
      </c>
      <c r="I171" s="25">
        <v>43419</v>
      </c>
      <c r="J171" s="24">
        <v>43210</v>
      </c>
    </row>
    <row r="172" spans="2:10" x14ac:dyDescent="0.2">
      <c r="B172" s="22">
        <v>167</v>
      </c>
      <c r="C172" s="23" t="s">
        <v>9879</v>
      </c>
      <c r="D172" s="23" t="s">
        <v>643</v>
      </c>
      <c r="E172" s="20" t="s">
        <v>9880</v>
      </c>
      <c r="F172" s="22">
        <v>259</v>
      </c>
      <c r="G172" s="22" t="s">
        <v>9881</v>
      </c>
      <c r="H172" s="22">
        <v>188</v>
      </c>
      <c r="I172" s="25">
        <v>43209</v>
      </c>
      <c r="J172" s="24">
        <v>43250</v>
      </c>
    </row>
    <row r="173" spans="2:10" x14ac:dyDescent="0.2">
      <c r="B173" s="22">
        <v>168</v>
      </c>
      <c r="C173" s="23" t="s">
        <v>9882</v>
      </c>
      <c r="D173" s="23" t="s">
        <v>1415</v>
      </c>
      <c r="E173" s="20" t="s">
        <v>9883</v>
      </c>
      <c r="F173" s="22">
        <v>204</v>
      </c>
      <c r="G173" s="22" t="s">
        <v>9884</v>
      </c>
      <c r="H173" s="22">
        <v>204</v>
      </c>
      <c r="I173" s="25">
        <v>43419</v>
      </c>
      <c r="J173" s="24">
        <v>43446</v>
      </c>
    </row>
    <row r="174" spans="2:10" x14ac:dyDescent="0.2">
      <c r="B174" s="22">
        <v>169</v>
      </c>
      <c r="C174" s="23" t="s">
        <v>9885</v>
      </c>
      <c r="D174" s="23" t="s">
        <v>1043</v>
      </c>
      <c r="E174" s="20" t="s">
        <v>9886</v>
      </c>
      <c r="F174" s="22">
        <v>511</v>
      </c>
      <c r="G174" s="22" t="s">
        <v>9887</v>
      </c>
      <c r="H174" s="22">
        <v>511</v>
      </c>
      <c r="I174" s="25">
        <v>43377</v>
      </c>
      <c r="J174" s="24">
        <v>43439</v>
      </c>
    </row>
    <row r="175" spans="2:10" x14ac:dyDescent="0.2">
      <c r="B175" s="22">
        <v>170</v>
      </c>
      <c r="C175" s="23" t="s">
        <v>9888</v>
      </c>
      <c r="D175" s="23" t="s">
        <v>820</v>
      </c>
      <c r="E175" s="20" t="s">
        <v>9889</v>
      </c>
      <c r="F175" s="22">
        <v>126</v>
      </c>
      <c r="G175" s="22" t="s">
        <v>9890</v>
      </c>
      <c r="H175" s="22">
        <v>4</v>
      </c>
      <c r="I175" s="25">
        <v>43181</v>
      </c>
      <c r="J175" s="24">
        <v>43306</v>
      </c>
    </row>
    <row r="176" spans="2:10" x14ac:dyDescent="0.2">
      <c r="B176" s="22">
        <v>171</v>
      </c>
      <c r="C176" s="23" t="s">
        <v>9891</v>
      </c>
      <c r="D176" s="23" t="s">
        <v>1015</v>
      </c>
      <c r="E176" s="20" t="s">
        <v>9892</v>
      </c>
      <c r="F176" s="22">
        <v>131</v>
      </c>
      <c r="G176" s="22" t="s">
        <v>9893</v>
      </c>
      <c r="H176" s="22">
        <v>3</v>
      </c>
      <c r="I176" s="25">
        <v>43132</v>
      </c>
      <c r="J176" s="24">
        <v>43271</v>
      </c>
    </row>
    <row r="177" spans="2:10" x14ac:dyDescent="0.2">
      <c r="B177" s="22">
        <v>172</v>
      </c>
      <c r="C177" s="23" t="s">
        <v>9894</v>
      </c>
      <c r="D177" s="23" t="s">
        <v>4525</v>
      </c>
      <c r="E177" s="20" t="s">
        <v>9895</v>
      </c>
      <c r="F177" s="22">
        <v>458</v>
      </c>
      <c r="G177" s="22" t="s">
        <v>9896</v>
      </c>
      <c r="H177" s="22">
        <v>457</v>
      </c>
      <c r="I177" s="25">
        <v>43391</v>
      </c>
      <c r="J177" s="24">
        <v>43430</v>
      </c>
    </row>
    <row r="178" spans="2:10" x14ac:dyDescent="0.2">
      <c r="B178" s="22">
        <v>173</v>
      </c>
      <c r="C178" s="23" t="s">
        <v>9897</v>
      </c>
      <c r="D178" s="23" t="s">
        <v>1015</v>
      </c>
      <c r="E178" s="20" t="s">
        <v>9898</v>
      </c>
      <c r="F178" s="22">
        <v>99</v>
      </c>
      <c r="G178" s="22" t="s">
        <v>9899</v>
      </c>
      <c r="H178" s="22">
        <v>4</v>
      </c>
      <c r="I178" s="25">
        <v>43146</v>
      </c>
      <c r="J178" s="24">
        <v>43271</v>
      </c>
    </row>
    <row r="179" spans="2:10" x14ac:dyDescent="0.2">
      <c r="B179" s="22">
        <v>174</v>
      </c>
      <c r="C179" s="23" t="s">
        <v>9900</v>
      </c>
      <c r="D179" s="23" t="s">
        <v>830</v>
      </c>
      <c r="E179" s="20" t="s">
        <v>9901</v>
      </c>
      <c r="F179" s="22">
        <v>443</v>
      </c>
      <c r="G179" s="22" t="s">
        <v>9902</v>
      </c>
      <c r="H179" s="22">
        <v>4</v>
      </c>
      <c r="I179" s="25">
        <v>43195</v>
      </c>
      <c r="J179" s="24">
        <v>43257</v>
      </c>
    </row>
    <row r="180" spans="2:10" x14ac:dyDescent="0.2">
      <c r="B180" s="22">
        <v>175</v>
      </c>
      <c r="C180" s="23" t="s">
        <v>9903</v>
      </c>
      <c r="D180" s="23" t="s">
        <v>830</v>
      </c>
      <c r="E180" s="20" t="s">
        <v>9904</v>
      </c>
      <c r="F180" s="22">
        <v>195</v>
      </c>
      <c r="G180" s="22" t="s">
        <v>9905</v>
      </c>
      <c r="H180" s="22">
        <v>4</v>
      </c>
      <c r="I180" s="25">
        <v>43251</v>
      </c>
      <c r="J180" s="24">
        <v>43320</v>
      </c>
    </row>
    <row r="181" spans="2:10" x14ac:dyDescent="0.2">
      <c r="B181" s="22">
        <v>176</v>
      </c>
      <c r="C181" s="23" t="s">
        <v>9906</v>
      </c>
      <c r="D181" s="23" t="s">
        <v>1594</v>
      </c>
      <c r="E181" s="20" t="s">
        <v>9907</v>
      </c>
      <c r="F181" s="22">
        <v>86</v>
      </c>
      <c r="G181" s="22" t="s">
        <v>9908</v>
      </c>
      <c r="H181" s="22">
        <v>6</v>
      </c>
      <c r="I181" s="25">
        <v>43188</v>
      </c>
      <c r="J181" s="24">
        <v>43369</v>
      </c>
    </row>
    <row r="182" spans="2:10" x14ac:dyDescent="0.2">
      <c r="B182" s="22">
        <v>177</v>
      </c>
      <c r="C182" s="23" t="s">
        <v>9909</v>
      </c>
      <c r="D182" s="23" t="s">
        <v>9910</v>
      </c>
      <c r="E182" s="20" t="s">
        <v>9911</v>
      </c>
      <c r="F182" s="22">
        <v>392</v>
      </c>
      <c r="G182" s="22" t="s">
        <v>9912</v>
      </c>
      <c r="H182" s="22">
        <v>5</v>
      </c>
      <c r="I182" s="25">
        <v>43419</v>
      </c>
      <c r="J182" s="24">
        <v>43102</v>
      </c>
    </row>
    <row r="183" spans="2:10" x14ac:dyDescent="0.2">
      <c r="B183" s="22">
        <v>178</v>
      </c>
      <c r="C183" s="23" t="s">
        <v>9913</v>
      </c>
      <c r="D183" s="23" t="s">
        <v>1294</v>
      </c>
      <c r="E183" s="20" t="s">
        <v>9914</v>
      </c>
      <c r="F183" s="22">
        <v>142</v>
      </c>
      <c r="G183" s="22" t="s">
        <v>9915</v>
      </c>
      <c r="H183" s="22">
        <v>4</v>
      </c>
      <c r="I183" s="25">
        <v>43398</v>
      </c>
      <c r="J183" s="24">
        <v>43172</v>
      </c>
    </row>
    <row r="184" spans="2:10" x14ac:dyDescent="0.2">
      <c r="B184" s="22">
        <v>179</v>
      </c>
      <c r="C184" s="23" t="s">
        <v>9916</v>
      </c>
      <c r="D184" s="23" t="s">
        <v>9487</v>
      </c>
      <c r="E184" s="20" t="s">
        <v>9917</v>
      </c>
      <c r="F184" s="22">
        <v>583</v>
      </c>
      <c r="G184" s="22" t="s">
        <v>9918</v>
      </c>
      <c r="H184" s="22">
        <v>583</v>
      </c>
      <c r="I184" s="25">
        <v>43431</v>
      </c>
      <c r="J184" s="24">
        <v>43102</v>
      </c>
    </row>
    <row r="185" spans="2:10" x14ac:dyDescent="0.2">
      <c r="B185" s="22">
        <v>180</v>
      </c>
      <c r="C185" s="23" t="s">
        <v>9919</v>
      </c>
      <c r="D185" s="23" t="s">
        <v>1415</v>
      </c>
      <c r="E185" s="20" t="s">
        <v>9920</v>
      </c>
      <c r="F185" s="22">
        <v>208</v>
      </c>
      <c r="G185" s="22" t="s">
        <v>9921</v>
      </c>
      <c r="H185" s="22">
        <v>208</v>
      </c>
      <c r="I185" s="25">
        <v>43405</v>
      </c>
      <c r="J185" s="24">
        <v>43439</v>
      </c>
    </row>
    <row r="186" spans="2:10" x14ac:dyDescent="0.2">
      <c r="B186" s="22">
        <v>181</v>
      </c>
      <c r="C186" s="23" t="s">
        <v>9922</v>
      </c>
      <c r="D186" s="23" t="s">
        <v>1015</v>
      </c>
      <c r="E186" s="20" t="s">
        <v>9923</v>
      </c>
      <c r="F186" s="22">
        <v>274</v>
      </c>
      <c r="G186" s="22" t="s">
        <v>9924</v>
      </c>
      <c r="H186" s="22">
        <v>4</v>
      </c>
      <c r="I186" s="25">
        <v>43328</v>
      </c>
      <c r="J186" s="24">
        <v>43102</v>
      </c>
    </row>
    <row r="187" spans="2:10" x14ac:dyDescent="0.2">
      <c r="B187" s="22">
        <v>182</v>
      </c>
      <c r="C187" s="23" t="s">
        <v>9925</v>
      </c>
      <c r="D187" s="23" t="s">
        <v>1260</v>
      </c>
      <c r="E187" s="20" t="s">
        <v>9926</v>
      </c>
      <c r="F187" s="22">
        <v>84</v>
      </c>
      <c r="G187" s="22" t="s">
        <v>9927</v>
      </c>
      <c r="H187" s="22">
        <v>23</v>
      </c>
      <c r="I187" s="25">
        <v>43382</v>
      </c>
      <c r="J187" s="24">
        <v>43168</v>
      </c>
    </row>
    <row r="188" spans="2:10" x14ac:dyDescent="0.2">
      <c r="B188" s="22">
        <v>183</v>
      </c>
      <c r="C188" s="23" t="s">
        <v>9928</v>
      </c>
      <c r="D188" s="23" t="s">
        <v>1139</v>
      </c>
      <c r="E188" s="20" t="s">
        <v>9929</v>
      </c>
      <c r="F188" s="22">
        <v>266</v>
      </c>
      <c r="G188" s="22" t="s">
        <v>9930</v>
      </c>
      <c r="H188" s="22">
        <v>105</v>
      </c>
      <c r="I188" s="25">
        <v>43132</v>
      </c>
      <c r="J188" s="24">
        <v>43180</v>
      </c>
    </row>
    <row r="189" spans="2:10" x14ac:dyDescent="0.2">
      <c r="B189" s="22">
        <v>184</v>
      </c>
      <c r="C189" s="23" t="s">
        <v>9931</v>
      </c>
      <c r="D189" s="23" t="s">
        <v>1039</v>
      </c>
      <c r="E189" s="20" t="s">
        <v>9932</v>
      </c>
      <c r="F189" s="22">
        <v>99</v>
      </c>
      <c r="G189" s="22" t="s">
        <v>9933</v>
      </c>
      <c r="H189" s="22">
        <v>5</v>
      </c>
      <c r="I189" s="25">
        <v>43300</v>
      </c>
      <c r="J189" s="24">
        <v>43397</v>
      </c>
    </row>
    <row r="190" spans="2:10" x14ac:dyDescent="0.2">
      <c r="B190" s="22">
        <v>185</v>
      </c>
      <c r="C190" s="23" t="s">
        <v>9934</v>
      </c>
      <c r="D190" s="23" t="s">
        <v>7800</v>
      </c>
      <c r="E190" s="20" t="s">
        <v>9935</v>
      </c>
      <c r="F190" s="22">
        <v>258</v>
      </c>
      <c r="G190" s="22" t="s">
        <v>9936</v>
      </c>
      <c r="H190" s="22">
        <v>4</v>
      </c>
      <c r="I190" s="25">
        <v>43223</v>
      </c>
      <c r="J190" s="24">
        <v>43313</v>
      </c>
    </row>
    <row r="191" spans="2:10" x14ac:dyDescent="0.2">
      <c r="B191" s="22">
        <v>186</v>
      </c>
      <c r="C191" s="23" t="s">
        <v>9937</v>
      </c>
      <c r="D191" s="23" t="s">
        <v>1015</v>
      </c>
      <c r="E191" s="20" t="s">
        <v>9938</v>
      </c>
      <c r="F191" s="22">
        <v>64</v>
      </c>
      <c r="G191" s="22" t="s">
        <v>9939</v>
      </c>
      <c r="H191" s="22">
        <v>3</v>
      </c>
      <c r="I191" s="25">
        <v>43244</v>
      </c>
      <c r="J191" s="24">
        <v>43376</v>
      </c>
    </row>
    <row r="192" spans="2:10" x14ac:dyDescent="0.2">
      <c r="B192" s="22">
        <v>187</v>
      </c>
      <c r="C192" s="23" t="s">
        <v>9940</v>
      </c>
      <c r="D192" s="23" t="s">
        <v>1422</v>
      </c>
      <c r="E192" s="20" t="s">
        <v>9941</v>
      </c>
      <c r="F192" s="22">
        <v>170</v>
      </c>
      <c r="G192" s="22" t="s">
        <v>9942</v>
      </c>
      <c r="H192" s="22">
        <v>34</v>
      </c>
      <c r="I192" s="25">
        <v>43166</v>
      </c>
      <c r="J192" s="24">
        <v>43179</v>
      </c>
    </row>
    <row r="193" spans="2:10" x14ac:dyDescent="0.2">
      <c r="B193" s="22">
        <v>188</v>
      </c>
      <c r="C193" s="23" t="s">
        <v>9943</v>
      </c>
      <c r="D193" s="23" t="s">
        <v>1175</v>
      </c>
      <c r="E193" s="20" t="s">
        <v>9944</v>
      </c>
      <c r="F193" s="22">
        <v>55</v>
      </c>
      <c r="G193" s="22" t="s">
        <v>9945</v>
      </c>
      <c r="H193" s="22">
        <v>3</v>
      </c>
      <c r="I193" s="25">
        <v>43272</v>
      </c>
      <c r="J193" s="24">
        <v>43376</v>
      </c>
    </row>
    <row r="194" spans="2:10" x14ac:dyDescent="0.2">
      <c r="B194" s="22">
        <v>189</v>
      </c>
      <c r="C194" s="23" t="s">
        <v>9946</v>
      </c>
      <c r="D194" s="23" t="s">
        <v>830</v>
      </c>
      <c r="E194" s="20" t="s">
        <v>9947</v>
      </c>
      <c r="F194" s="22">
        <v>275</v>
      </c>
      <c r="G194" s="22" t="s">
        <v>9948</v>
      </c>
      <c r="H194" s="22">
        <v>7</v>
      </c>
      <c r="I194" s="25">
        <v>43160</v>
      </c>
      <c r="J194" s="24">
        <v>43229</v>
      </c>
    </row>
    <row r="195" spans="2:10" x14ac:dyDescent="0.2">
      <c r="B195" s="22">
        <v>190</v>
      </c>
      <c r="C195" s="23" t="s">
        <v>9949</v>
      </c>
      <c r="D195" s="23" t="s">
        <v>820</v>
      </c>
      <c r="E195" s="20" t="s">
        <v>9950</v>
      </c>
      <c r="F195" s="22">
        <v>91</v>
      </c>
      <c r="G195" s="22" t="s">
        <v>9951</v>
      </c>
      <c r="H195" s="22">
        <v>2</v>
      </c>
      <c r="I195" s="25">
        <v>43272</v>
      </c>
      <c r="J195" s="24">
        <v>43376</v>
      </c>
    </row>
    <row r="196" spans="2:10" x14ac:dyDescent="0.2">
      <c r="B196" s="22">
        <v>191</v>
      </c>
      <c r="C196" s="23" t="s">
        <v>9952</v>
      </c>
      <c r="D196" s="23" t="s">
        <v>1217</v>
      </c>
      <c r="E196" s="20" t="s">
        <v>9953</v>
      </c>
      <c r="F196" s="22">
        <v>140</v>
      </c>
      <c r="G196" s="22" t="s">
        <v>9954</v>
      </c>
      <c r="H196" s="22">
        <v>140</v>
      </c>
      <c r="I196" s="25">
        <v>43293</v>
      </c>
      <c r="J196" s="24">
        <v>43334</v>
      </c>
    </row>
    <row r="197" spans="2:10" x14ac:dyDescent="0.2">
      <c r="B197" s="22">
        <v>192</v>
      </c>
      <c r="C197" s="23" t="s">
        <v>9955</v>
      </c>
      <c r="D197" s="23" t="s">
        <v>1015</v>
      </c>
      <c r="E197" s="20" t="s">
        <v>9956</v>
      </c>
      <c r="F197" s="22">
        <v>101</v>
      </c>
      <c r="G197" s="22" t="s">
        <v>9957</v>
      </c>
      <c r="H197" s="22">
        <v>4</v>
      </c>
      <c r="I197" s="25">
        <v>43223</v>
      </c>
      <c r="J197" s="24">
        <v>43376</v>
      </c>
    </row>
    <row r="198" spans="2:10" x14ac:dyDescent="0.2">
      <c r="B198" s="22">
        <v>193</v>
      </c>
      <c r="C198" s="23" t="s">
        <v>9958</v>
      </c>
      <c r="D198" s="23" t="s">
        <v>1043</v>
      </c>
      <c r="E198" s="20" t="s">
        <v>9959</v>
      </c>
      <c r="F198" s="22">
        <v>70</v>
      </c>
      <c r="G198" s="22" t="s">
        <v>8812</v>
      </c>
      <c r="H198" s="22">
        <v>2</v>
      </c>
      <c r="I198" s="25">
        <v>43230</v>
      </c>
      <c r="J198" s="24">
        <v>43383</v>
      </c>
    </row>
    <row r="199" spans="2:10" x14ac:dyDescent="0.2">
      <c r="B199" s="22">
        <v>194</v>
      </c>
      <c r="C199" s="23" t="s">
        <v>9960</v>
      </c>
      <c r="D199" s="23" t="s">
        <v>1377</v>
      </c>
      <c r="E199" s="20" t="s">
        <v>9961</v>
      </c>
      <c r="F199" s="22">
        <v>153</v>
      </c>
      <c r="G199" s="22" t="s">
        <v>9962</v>
      </c>
      <c r="H199" s="22">
        <v>153</v>
      </c>
      <c r="I199" s="25">
        <v>43125</v>
      </c>
      <c r="J199" s="24">
        <v>43159</v>
      </c>
    </row>
    <row r="200" spans="2:10" x14ac:dyDescent="0.2">
      <c r="B200" s="22">
        <v>195</v>
      </c>
      <c r="C200" s="23" t="s">
        <v>9963</v>
      </c>
      <c r="D200" s="23" t="s">
        <v>9964</v>
      </c>
      <c r="E200" s="20" t="s">
        <v>9965</v>
      </c>
      <c r="F200" s="22">
        <v>263</v>
      </c>
      <c r="G200" s="22" t="s">
        <v>9966</v>
      </c>
      <c r="H200" s="22">
        <v>263</v>
      </c>
      <c r="I200" s="25">
        <v>43153</v>
      </c>
      <c r="J200" s="24">
        <v>43201</v>
      </c>
    </row>
    <row r="201" spans="2:10" x14ac:dyDescent="0.2">
      <c r="B201" s="22">
        <v>196</v>
      </c>
      <c r="C201" s="23" t="s">
        <v>9967</v>
      </c>
      <c r="D201" s="23" t="s">
        <v>820</v>
      </c>
      <c r="E201" s="20" t="s">
        <v>9968</v>
      </c>
      <c r="F201" s="22">
        <v>75</v>
      </c>
      <c r="G201" s="22" t="s">
        <v>9969</v>
      </c>
      <c r="H201" s="22">
        <v>2</v>
      </c>
      <c r="I201" s="25">
        <v>43216</v>
      </c>
      <c r="J201" s="24">
        <v>43320</v>
      </c>
    </row>
    <row r="202" spans="2:10" x14ac:dyDescent="0.2">
      <c r="B202" s="22">
        <v>197</v>
      </c>
      <c r="C202" s="23" t="s">
        <v>9970</v>
      </c>
      <c r="D202" s="23" t="s">
        <v>9971</v>
      </c>
      <c r="E202" s="20" t="s">
        <v>9972</v>
      </c>
      <c r="F202" s="22">
        <v>180</v>
      </c>
      <c r="G202" s="22" t="s">
        <v>9973</v>
      </c>
      <c r="H202" s="22">
        <v>15</v>
      </c>
      <c r="I202" s="25">
        <v>43202</v>
      </c>
      <c r="J202" s="24">
        <v>43243</v>
      </c>
    </row>
    <row r="203" spans="2:10" x14ac:dyDescent="0.2">
      <c r="B203" s="22">
        <v>198</v>
      </c>
      <c r="C203" s="23" t="s">
        <v>9974</v>
      </c>
      <c r="D203" s="23" t="s">
        <v>1043</v>
      </c>
      <c r="E203" s="20" t="s">
        <v>9975</v>
      </c>
      <c r="F203" s="22">
        <v>351</v>
      </c>
      <c r="G203" s="22" t="s">
        <v>9976</v>
      </c>
      <c r="H203" s="22">
        <v>351</v>
      </c>
      <c r="I203" s="25">
        <v>43300</v>
      </c>
      <c r="J203" s="24">
        <v>43355</v>
      </c>
    </row>
    <row r="204" spans="2:10" x14ac:dyDescent="0.2">
      <c r="B204" s="22">
        <v>199</v>
      </c>
      <c r="C204" s="23" t="s">
        <v>9977</v>
      </c>
      <c r="D204" s="23" t="s">
        <v>1015</v>
      </c>
      <c r="E204" s="20" t="s">
        <v>9978</v>
      </c>
      <c r="F204" s="22">
        <v>99</v>
      </c>
      <c r="G204" s="22" t="s">
        <v>9979</v>
      </c>
      <c r="H204" s="22">
        <v>5</v>
      </c>
      <c r="I204" s="25">
        <v>43279</v>
      </c>
      <c r="J204" s="24">
        <v>43411</v>
      </c>
    </row>
    <row r="205" spans="2:10" x14ac:dyDescent="0.2">
      <c r="B205" s="22">
        <v>200</v>
      </c>
      <c r="C205" s="23" t="s">
        <v>9980</v>
      </c>
      <c r="D205" s="23" t="s">
        <v>1015</v>
      </c>
      <c r="E205" s="20" t="s">
        <v>9981</v>
      </c>
      <c r="F205" s="22">
        <v>87</v>
      </c>
      <c r="G205" s="22" t="s">
        <v>9982</v>
      </c>
      <c r="H205" s="22">
        <v>3</v>
      </c>
      <c r="I205" s="25">
        <v>43356</v>
      </c>
      <c r="J205" s="24">
        <v>43130</v>
      </c>
    </row>
    <row r="206" spans="2:10" x14ac:dyDescent="0.2">
      <c r="B206" s="22">
        <v>201</v>
      </c>
      <c r="C206" s="23" t="s">
        <v>9983</v>
      </c>
      <c r="D206" s="23" t="s">
        <v>1015</v>
      </c>
      <c r="E206" s="20" t="s">
        <v>9984</v>
      </c>
      <c r="F206" s="22">
        <v>77</v>
      </c>
      <c r="G206" s="22" t="s">
        <v>9985</v>
      </c>
      <c r="H206" s="22">
        <v>3</v>
      </c>
      <c r="I206" s="25">
        <v>43454</v>
      </c>
      <c r="J206" s="24">
        <v>43207</v>
      </c>
    </row>
    <row r="207" spans="2:10" x14ac:dyDescent="0.2">
      <c r="B207" s="22">
        <v>202</v>
      </c>
      <c r="C207" s="23" t="s">
        <v>9986</v>
      </c>
      <c r="D207" s="23" t="s">
        <v>4525</v>
      </c>
      <c r="E207" s="20" t="s">
        <v>9987</v>
      </c>
      <c r="F207" s="22">
        <v>412</v>
      </c>
      <c r="G207" s="22" t="s">
        <v>9988</v>
      </c>
      <c r="H207" s="22">
        <v>412</v>
      </c>
      <c r="I207" s="25">
        <v>43349</v>
      </c>
      <c r="J207" s="24">
        <v>43383</v>
      </c>
    </row>
    <row r="208" spans="2:10" x14ac:dyDescent="0.2">
      <c r="B208" s="22">
        <v>203</v>
      </c>
      <c r="C208" s="23" t="s">
        <v>9989</v>
      </c>
      <c r="D208" s="23" t="s">
        <v>1299</v>
      </c>
      <c r="E208" s="20" t="s">
        <v>9990</v>
      </c>
      <c r="F208" s="22">
        <v>65</v>
      </c>
      <c r="G208" s="22" t="s">
        <v>9991</v>
      </c>
      <c r="H208" s="22">
        <v>4</v>
      </c>
      <c r="I208" s="25">
        <v>43251</v>
      </c>
      <c r="J208" s="24">
        <v>43306</v>
      </c>
    </row>
    <row r="209" spans="2:10" x14ac:dyDescent="0.2">
      <c r="B209" s="22">
        <v>204</v>
      </c>
      <c r="C209" s="23" t="s">
        <v>9992</v>
      </c>
      <c r="D209" s="23" t="s">
        <v>1015</v>
      </c>
      <c r="E209" s="20" t="s">
        <v>9993</v>
      </c>
      <c r="F209" s="22">
        <v>153</v>
      </c>
      <c r="G209" s="22" t="s">
        <v>9994</v>
      </c>
      <c r="H209" s="22">
        <v>3</v>
      </c>
      <c r="I209" s="25">
        <v>43459</v>
      </c>
      <c r="J209" s="24">
        <v>43235</v>
      </c>
    </row>
    <row r="210" spans="2:10" x14ac:dyDescent="0.2">
      <c r="B210" s="22">
        <v>205</v>
      </c>
      <c r="C210" s="23" t="s">
        <v>9995</v>
      </c>
      <c r="D210" s="23" t="s">
        <v>5638</v>
      </c>
      <c r="E210" s="20" t="s">
        <v>9996</v>
      </c>
      <c r="F210" s="22">
        <v>103</v>
      </c>
      <c r="G210" s="22" t="s">
        <v>9997</v>
      </c>
      <c r="H210" s="22">
        <v>28</v>
      </c>
      <c r="I210" s="25">
        <v>43370</v>
      </c>
      <c r="J210" s="24">
        <v>43158</v>
      </c>
    </row>
    <row r="211" spans="2:10" x14ac:dyDescent="0.2">
      <c r="B211" s="22">
        <v>206</v>
      </c>
      <c r="C211" s="23" t="s">
        <v>9998</v>
      </c>
      <c r="D211" s="23" t="s">
        <v>5254</v>
      </c>
      <c r="E211" s="20" t="s">
        <v>9999</v>
      </c>
      <c r="F211" s="22">
        <v>354</v>
      </c>
      <c r="G211" s="22" t="s">
        <v>10000</v>
      </c>
      <c r="H211" s="22">
        <v>354</v>
      </c>
      <c r="I211" s="25">
        <v>43209</v>
      </c>
      <c r="J211" s="24">
        <v>43246</v>
      </c>
    </row>
    <row r="212" spans="2:10" x14ac:dyDescent="0.2">
      <c r="B212" s="22">
        <v>207</v>
      </c>
      <c r="C212" s="23" t="s">
        <v>10001</v>
      </c>
      <c r="D212" s="23" t="s">
        <v>3464</v>
      </c>
      <c r="E212" s="20" t="s">
        <v>10002</v>
      </c>
      <c r="F212" s="22">
        <v>461</v>
      </c>
      <c r="G212" s="22" t="s">
        <v>10003</v>
      </c>
      <c r="H212" s="22">
        <v>461</v>
      </c>
      <c r="I212" s="25">
        <v>43384</v>
      </c>
      <c r="J212" s="24">
        <v>43439</v>
      </c>
    </row>
    <row r="213" spans="2:10" x14ac:dyDescent="0.2">
      <c r="B213" s="22">
        <v>208</v>
      </c>
      <c r="C213" s="23" t="s">
        <v>10004</v>
      </c>
      <c r="D213" s="23" t="s">
        <v>1594</v>
      </c>
      <c r="E213" s="20" t="s">
        <v>10005</v>
      </c>
      <c r="F213" s="22">
        <v>41</v>
      </c>
      <c r="G213" s="22" t="s">
        <v>10006</v>
      </c>
      <c r="H213" s="22">
        <v>4</v>
      </c>
      <c r="I213" s="25">
        <v>43223</v>
      </c>
      <c r="J213" s="24">
        <v>43390</v>
      </c>
    </row>
    <row r="214" spans="2:10" x14ac:dyDescent="0.2">
      <c r="B214" s="22">
        <v>209</v>
      </c>
      <c r="C214" s="23" t="s">
        <v>10007</v>
      </c>
      <c r="D214" s="23" t="s">
        <v>1377</v>
      </c>
      <c r="E214" s="20" t="s">
        <v>10008</v>
      </c>
      <c r="F214" s="22">
        <v>110</v>
      </c>
      <c r="G214" s="22" t="s">
        <v>10009</v>
      </c>
      <c r="H214" s="22">
        <v>110</v>
      </c>
      <c r="I214" s="25">
        <v>43153</v>
      </c>
      <c r="J214" s="24">
        <v>43218</v>
      </c>
    </row>
    <row r="215" spans="2:10" x14ac:dyDescent="0.2">
      <c r="B215" s="22">
        <v>210</v>
      </c>
      <c r="C215" s="23" t="s">
        <v>10010</v>
      </c>
      <c r="D215" s="23" t="s">
        <v>7800</v>
      </c>
      <c r="E215" s="20" t="s">
        <v>10011</v>
      </c>
      <c r="F215" s="22">
        <v>122</v>
      </c>
      <c r="G215" s="22" t="s">
        <v>10012</v>
      </c>
      <c r="H215" s="22">
        <v>1</v>
      </c>
      <c r="I215" s="25">
        <v>43223</v>
      </c>
      <c r="J215" s="24">
        <v>43313</v>
      </c>
    </row>
    <row r="216" spans="2:10" x14ac:dyDescent="0.2">
      <c r="B216" s="22">
        <v>211</v>
      </c>
      <c r="C216" s="23" t="s">
        <v>10013</v>
      </c>
      <c r="D216" s="23" t="s">
        <v>1043</v>
      </c>
      <c r="E216" s="20" t="s">
        <v>10014</v>
      </c>
      <c r="F216" s="22">
        <v>269</v>
      </c>
      <c r="G216" s="22" t="s">
        <v>10015</v>
      </c>
      <c r="H216" s="22">
        <v>269</v>
      </c>
      <c r="I216" s="25">
        <v>43363</v>
      </c>
      <c r="J216" s="24">
        <v>43404</v>
      </c>
    </row>
    <row r="217" spans="2:10" x14ac:dyDescent="0.2">
      <c r="B217" s="22">
        <v>212</v>
      </c>
      <c r="C217" s="23" t="s">
        <v>10016</v>
      </c>
      <c r="D217" s="23" t="s">
        <v>10017</v>
      </c>
      <c r="E217" s="20" t="s">
        <v>10018</v>
      </c>
      <c r="F217" s="22">
        <v>1.1180000000000001</v>
      </c>
      <c r="G217" s="22" t="s">
        <v>10019</v>
      </c>
      <c r="H217" s="22">
        <v>1.1180000000000001</v>
      </c>
      <c r="I217" s="25">
        <v>43160</v>
      </c>
      <c r="J217" s="24">
        <v>43176</v>
      </c>
    </row>
    <row r="218" spans="2:10" x14ac:dyDescent="0.2">
      <c r="B218" s="22">
        <v>213</v>
      </c>
      <c r="C218" s="23" t="s">
        <v>10020</v>
      </c>
      <c r="D218" s="23" t="s">
        <v>1015</v>
      </c>
      <c r="E218" s="20" t="s">
        <v>10021</v>
      </c>
      <c r="F218" s="22">
        <v>78</v>
      </c>
      <c r="G218" s="22" t="s">
        <v>10022</v>
      </c>
      <c r="H218" s="22">
        <v>4</v>
      </c>
      <c r="I218" s="25">
        <v>43389</v>
      </c>
      <c r="J218" s="24">
        <v>43158</v>
      </c>
    </row>
    <row r="219" spans="2:10" x14ac:dyDescent="0.2">
      <c r="B219" s="22">
        <v>214</v>
      </c>
      <c r="C219" s="23" t="s">
        <v>10023</v>
      </c>
      <c r="D219" s="23" t="s">
        <v>8234</v>
      </c>
      <c r="E219" s="20" t="s">
        <v>10024</v>
      </c>
      <c r="F219" s="22">
        <v>75</v>
      </c>
      <c r="G219" s="22" t="s">
        <v>10025</v>
      </c>
      <c r="H219" s="22">
        <v>4</v>
      </c>
      <c r="I219" s="25">
        <v>43335</v>
      </c>
      <c r="J219" s="24">
        <v>43151</v>
      </c>
    </row>
    <row r="220" spans="2:10" x14ac:dyDescent="0.2">
      <c r="B220" s="22">
        <v>215</v>
      </c>
      <c r="C220" s="23" t="s">
        <v>10026</v>
      </c>
      <c r="D220" s="23" t="s">
        <v>38</v>
      </c>
      <c r="E220" s="20" t="s">
        <v>10027</v>
      </c>
      <c r="F220" s="22">
        <v>99</v>
      </c>
      <c r="G220" s="22" t="s">
        <v>10028</v>
      </c>
      <c r="H220" s="22">
        <v>3</v>
      </c>
      <c r="I220" s="25">
        <v>43174</v>
      </c>
      <c r="J220" s="24">
        <v>43257</v>
      </c>
    </row>
    <row r="221" spans="2:10" x14ac:dyDescent="0.2">
      <c r="B221" s="22">
        <v>216</v>
      </c>
      <c r="C221" s="23" t="s">
        <v>10029</v>
      </c>
      <c r="D221" s="23" t="s">
        <v>1559</v>
      </c>
      <c r="E221" s="20" t="s">
        <v>10030</v>
      </c>
      <c r="F221" s="22">
        <v>49</v>
      </c>
      <c r="G221" s="22" t="s">
        <v>10031</v>
      </c>
      <c r="H221" s="22">
        <v>2</v>
      </c>
      <c r="I221" s="25">
        <v>43174</v>
      </c>
      <c r="J221" s="24">
        <v>43271</v>
      </c>
    </row>
    <row r="222" spans="2:10" x14ac:dyDescent="0.2">
      <c r="B222" s="22">
        <v>217</v>
      </c>
      <c r="C222" s="23" t="s">
        <v>10032</v>
      </c>
      <c r="D222" s="23" t="s">
        <v>1213</v>
      </c>
      <c r="E222" s="20" t="s">
        <v>10033</v>
      </c>
      <c r="F222" s="22">
        <v>54</v>
      </c>
      <c r="G222" s="22" t="s">
        <v>10034</v>
      </c>
      <c r="H222" s="22">
        <v>6</v>
      </c>
      <c r="I222" s="25">
        <v>43139</v>
      </c>
      <c r="J222" s="24">
        <v>43285</v>
      </c>
    </row>
    <row r="223" spans="2:10" x14ac:dyDescent="0.2">
      <c r="B223" s="22">
        <v>218</v>
      </c>
      <c r="C223" s="23" t="s">
        <v>10035</v>
      </c>
      <c r="D223" s="23" t="s">
        <v>1415</v>
      </c>
      <c r="E223" s="20" t="s">
        <v>10036</v>
      </c>
      <c r="F223" s="22">
        <v>102</v>
      </c>
      <c r="G223" s="22" t="s">
        <v>10037</v>
      </c>
      <c r="H223" s="22">
        <v>102</v>
      </c>
      <c r="I223" s="25">
        <v>43272</v>
      </c>
      <c r="J223" s="24">
        <v>43299</v>
      </c>
    </row>
    <row r="224" spans="2:10" x14ac:dyDescent="0.2">
      <c r="B224" s="22">
        <v>219</v>
      </c>
      <c r="C224" s="23" t="s">
        <v>10038</v>
      </c>
      <c r="D224" s="23" t="s">
        <v>10039</v>
      </c>
      <c r="E224" s="20" t="s">
        <v>10040</v>
      </c>
      <c r="F224" s="22">
        <v>103</v>
      </c>
      <c r="G224" s="22" t="s">
        <v>10041</v>
      </c>
      <c r="H224" s="22">
        <v>11</v>
      </c>
      <c r="I224" s="25">
        <v>43370</v>
      </c>
      <c r="J224" s="24">
        <v>43284</v>
      </c>
    </row>
    <row r="225" spans="2:10" x14ac:dyDescent="0.2">
      <c r="B225" s="22">
        <v>220</v>
      </c>
      <c r="C225" s="23" t="s">
        <v>10042</v>
      </c>
      <c r="D225" s="23" t="s">
        <v>7125</v>
      </c>
      <c r="E225" s="20" t="s">
        <v>10043</v>
      </c>
      <c r="F225" s="22">
        <v>84</v>
      </c>
      <c r="G225" s="22" t="s">
        <v>10044</v>
      </c>
      <c r="H225" s="22">
        <v>53</v>
      </c>
      <c r="I225" s="25">
        <v>43363</v>
      </c>
      <c r="J225" s="24">
        <v>43449</v>
      </c>
    </row>
    <row r="226" spans="2:10" x14ac:dyDescent="0.2">
      <c r="B226" s="22">
        <v>221</v>
      </c>
      <c r="C226" s="23" t="s">
        <v>10045</v>
      </c>
      <c r="D226" s="23" t="s">
        <v>5638</v>
      </c>
      <c r="E226" s="20" t="s">
        <v>10046</v>
      </c>
      <c r="F226" s="22">
        <v>81</v>
      </c>
      <c r="G226" s="22" t="s">
        <v>10047</v>
      </c>
      <c r="H226" s="22">
        <v>78</v>
      </c>
      <c r="I226" s="25">
        <v>43300</v>
      </c>
      <c r="J226" s="24">
        <v>43348</v>
      </c>
    </row>
    <row r="227" spans="2:10" x14ac:dyDescent="0.2">
      <c r="B227" s="22">
        <v>222</v>
      </c>
      <c r="C227" s="23" t="s">
        <v>10048</v>
      </c>
      <c r="D227" s="23" t="s">
        <v>1377</v>
      </c>
      <c r="E227" s="20" t="s">
        <v>10049</v>
      </c>
      <c r="F227" s="22">
        <v>83</v>
      </c>
      <c r="G227" s="22" t="s">
        <v>10050</v>
      </c>
      <c r="H227" s="22">
        <v>83</v>
      </c>
      <c r="I227" s="25">
        <v>43342</v>
      </c>
      <c r="J227" s="24">
        <v>43372</v>
      </c>
    </row>
    <row r="228" spans="2:10" x14ac:dyDescent="0.2">
      <c r="B228" s="22">
        <v>223</v>
      </c>
      <c r="C228" s="23" t="s">
        <v>10051</v>
      </c>
      <c r="D228" s="23" t="s">
        <v>1640</v>
      </c>
      <c r="E228" s="20" t="s">
        <v>10052</v>
      </c>
      <c r="F228" s="22">
        <v>21</v>
      </c>
      <c r="G228" s="22" t="s">
        <v>10053</v>
      </c>
      <c r="H228" s="22">
        <v>1</v>
      </c>
      <c r="I228" s="25">
        <v>43249</v>
      </c>
      <c r="J228" s="24">
        <v>43411</v>
      </c>
    </row>
    <row r="229" spans="2:10" x14ac:dyDescent="0.2">
      <c r="B229" s="22">
        <v>224</v>
      </c>
      <c r="C229" s="23" t="s">
        <v>10054</v>
      </c>
      <c r="D229" s="23" t="s">
        <v>1880</v>
      </c>
      <c r="E229" s="20" t="s">
        <v>10055</v>
      </c>
      <c r="F229" s="22">
        <v>33</v>
      </c>
      <c r="G229" s="22" t="s">
        <v>10056</v>
      </c>
      <c r="H229" s="22">
        <v>1</v>
      </c>
      <c r="I229" s="25">
        <v>43104</v>
      </c>
      <c r="J229" s="24">
        <v>43299</v>
      </c>
    </row>
    <row r="230" spans="2:10" x14ac:dyDescent="0.2">
      <c r="B230" s="22">
        <v>225</v>
      </c>
      <c r="C230" s="23" t="s">
        <v>10057</v>
      </c>
      <c r="D230" s="23" t="s">
        <v>1039</v>
      </c>
      <c r="E230" s="20" t="s">
        <v>10058</v>
      </c>
      <c r="F230" s="22">
        <v>56</v>
      </c>
      <c r="G230" s="22" t="s">
        <v>10059</v>
      </c>
      <c r="H230" s="22">
        <v>1</v>
      </c>
      <c r="I230" s="25">
        <v>43370</v>
      </c>
      <c r="J230" s="24">
        <v>43172</v>
      </c>
    </row>
    <row r="231" spans="2:10" x14ac:dyDescent="0.2">
      <c r="B231" s="22">
        <v>226</v>
      </c>
      <c r="C231" s="23" t="s">
        <v>10060</v>
      </c>
      <c r="D231" s="23" t="s">
        <v>1217</v>
      </c>
      <c r="E231" s="20" t="s">
        <v>10061</v>
      </c>
      <c r="F231" s="22">
        <v>217</v>
      </c>
      <c r="G231" s="22" t="s">
        <v>10062</v>
      </c>
      <c r="H231" s="22">
        <v>217</v>
      </c>
      <c r="I231" s="25">
        <v>43375</v>
      </c>
      <c r="J231" s="24">
        <v>43390</v>
      </c>
    </row>
    <row r="232" spans="2:10" x14ac:dyDescent="0.2">
      <c r="B232" s="22">
        <v>227</v>
      </c>
      <c r="C232" s="23" t="s">
        <v>10063</v>
      </c>
      <c r="D232" s="23" t="s">
        <v>1332</v>
      </c>
      <c r="E232" s="20" t="s">
        <v>10064</v>
      </c>
      <c r="F232" s="22" t="s">
        <v>1159</v>
      </c>
      <c r="G232" s="22" t="s">
        <v>1159</v>
      </c>
      <c r="H232" s="22" t="s">
        <v>1159</v>
      </c>
      <c r="I232" s="25">
        <v>43146</v>
      </c>
      <c r="J232" s="22" t="s">
        <v>558</v>
      </c>
    </row>
    <row r="233" spans="2:10" x14ac:dyDescent="0.2">
      <c r="B233" s="22">
        <v>228</v>
      </c>
      <c r="C233" s="23" t="s">
        <v>10065</v>
      </c>
      <c r="D233" s="23" t="s">
        <v>10066</v>
      </c>
      <c r="E233" s="20" t="s">
        <v>10067</v>
      </c>
      <c r="F233" s="22">
        <v>257</v>
      </c>
      <c r="G233" s="22" t="s">
        <v>10068</v>
      </c>
      <c r="H233" s="22">
        <v>257</v>
      </c>
      <c r="I233" s="25">
        <v>43377</v>
      </c>
      <c r="J233" s="24">
        <v>43411</v>
      </c>
    </row>
    <row r="234" spans="2:10" x14ac:dyDescent="0.2">
      <c r="B234" s="22">
        <v>229</v>
      </c>
      <c r="C234" s="23" t="s">
        <v>10069</v>
      </c>
      <c r="D234" s="23" t="s">
        <v>1039</v>
      </c>
      <c r="E234" s="20" t="s">
        <v>10070</v>
      </c>
      <c r="F234" s="22">
        <v>47</v>
      </c>
      <c r="G234" s="22" t="s">
        <v>10071</v>
      </c>
      <c r="H234" s="22">
        <v>4</v>
      </c>
      <c r="I234" s="25">
        <v>43293</v>
      </c>
      <c r="J234" s="24">
        <v>43376</v>
      </c>
    </row>
    <row r="235" spans="2:10" x14ac:dyDescent="0.2">
      <c r="B235" s="22">
        <v>230</v>
      </c>
      <c r="C235" s="23" t="s">
        <v>10072</v>
      </c>
      <c r="D235" s="23" t="s">
        <v>10073</v>
      </c>
      <c r="E235" s="20" t="s">
        <v>10074</v>
      </c>
      <c r="F235" s="22">
        <v>11</v>
      </c>
      <c r="G235" s="22" t="s">
        <v>1159</v>
      </c>
      <c r="H235" s="22" t="s">
        <v>1159</v>
      </c>
      <c r="I235" s="25">
        <v>43349</v>
      </c>
      <c r="J235" s="22" t="s">
        <v>558</v>
      </c>
    </row>
    <row r="236" spans="2:10" x14ac:dyDescent="0.2">
      <c r="B236" s="22">
        <v>231</v>
      </c>
      <c r="C236" s="23" t="s">
        <v>10075</v>
      </c>
      <c r="D236" s="23" t="s">
        <v>1039</v>
      </c>
      <c r="E236" s="20" t="s">
        <v>10076</v>
      </c>
      <c r="F236" s="22">
        <v>60</v>
      </c>
      <c r="G236" s="22" t="s">
        <v>10077</v>
      </c>
      <c r="H236" s="22">
        <v>17</v>
      </c>
      <c r="I236" s="25">
        <v>43202</v>
      </c>
      <c r="J236" s="24">
        <v>43292</v>
      </c>
    </row>
    <row r="237" spans="2:10" x14ac:dyDescent="0.2">
      <c r="B237" s="22">
        <v>232</v>
      </c>
      <c r="C237" s="23" t="s">
        <v>10078</v>
      </c>
      <c r="D237" s="23" t="s">
        <v>820</v>
      </c>
      <c r="E237" s="20" t="s">
        <v>10079</v>
      </c>
      <c r="F237" s="22">
        <v>138</v>
      </c>
      <c r="G237" s="22" t="s">
        <v>10080</v>
      </c>
      <c r="H237" s="22">
        <v>4</v>
      </c>
      <c r="I237" s="25">
        <v>43349</v>
      </c>
      <c r="J237" s="24">
        <v>43390</v>
      </c>
    </row>
    <row r="238" spans="2:10" x14ac:dyDescent="0.2">
      <c r="B238" s="22">
        <v>233</v>
      </c>
      <c r="C238" s="23" t="s">
        <v>10081</v>
      </c>
      <c r="D238" s="23" t="s">
        <v>1415</v>
      </c>
      <c r="E238" s="20" t="s">
        <v>10082</v>
      </c>
      <c r="F238" s="22">
        <v>100</v>
      </c>
      <c r="G238" s="22" t="s">
        <v>10083</v>
      </c>
      <c r="H238" s="22">
        <v>100</v>
      </c>
      <c r="I238" s="25">
        <v>43284</v>
      </c>
      <c r="J238" s="24">
        <v>43299</v>
      </c>
    </row>
    <row r="239" spans="2:10" x14ac:dyDescent="0.2">
      <c r="B239" s="22">
        <v>234</v>
      </c>
      <c r="C239" s="23" t="s">
        <v>10084</v>
      </c>
      <c r="D239" s="23" t="s">
        <v>2010</v>
      </c>
      <c r="E239" s="20" t="s">
        <v>10085</v>
      </c>
      <c r="F239" s="22">
        <v>19</v>
      </c>
      <c r="G239" s="22" t="s">
        <v>10086</v>
      </c>
      <c r="H239" s="22">
        <v>2</v>
      </c>
      <c r="I239" s="25">
        <v>43279</v>
      </c>
      <c r="J239" s="24">
        <v>43165</v>
      </c>
    </row>
    <row r="240" spans="2:10" x14ac:dyDescent="0.2">
      <c r="B240" s="22">
        <v>235</v>
      </c>
      <c r="C240" s="23" t="s">
        <v>10087</v>
      </c>
      <c r="D240" s="23" t="s">
        <v>1294</v>
      </c>
      <c r="E240" s="20" t="s">
        <v>10088</v>
      </c>
      <c r="F240" s="22">
        <v>58</v>
      </c>
      <c r="G240" s="22" t="s">
        <v>10089</v>
      </c>
      <c r="H240" s="22">
        <v>3</v>
      </c>
      <c r="I240" s="25">
        <v>43216</v>
      </c>
      <c r="J240" s="24">
        <v>43264</v>
      </c>
    </row>
    <row r="241" spans="2:10" x14ac:dyDescent="0.2">
      <c r="B241" s="22">
        <v>236</v>
      </c>
      <c r="C241" s="23" t="s">
        <v>10090</v>
      </c>
      <c r="D241" s="23" t="s">
        <v>10091</v>
      </c>
      <c r="E241" s="20" t="s">
        <v>10092</v>
      </c>
      <c r="F241" s="22">
        <v>68</v>
      </c>
      <c r="G241" s="22" t="s">
        <v>10093</v>
      </c>
      <c r="H241" s="22">
        <v>68</v>
      </c>
      <c r="I241" s="25">
        <v>43160</v>
      </c>
      <c r="J241" s="24">
        <v>43236</v>
      </c>
    </row>
    <row r="242" spans="2:10" x14ac:dyDescent="0.2">
      <c r="B242" s="22">
        <v>237</v>
      </c>
      <c r="C242" s="23" t="s">
        <v>10094</v>
      </c>
      <c r="D242" s="23" t="s">
        <v>1135</v>
      </c>
      <c r="E242" s="20" t="s">
        <v>10095</v>
      </c>
      <c r="F242" s="22">
        <v>38</v>
      </c>
      <c r="G242" s="22" t="s">
        <v>10096</v>
      </c>
      <c r="H242" s="22">
        <v>4</v>
      </c>
      <c r="I242" s="25">
        <v>43223</v>
      </c>
      <c r="J242" s="24">
        <v>43306</v>
      </c>
    </row>
    <row r="243" spans="2:10" x14ac:dyDescent="0.2">
      <c r="B243" s="22">
        <v>238</v>
      </c>
      <c r="C243" s="23" t="s">
        <v>10097</v>
      </c>
      <c r="D243" s="23" t="s">
        <v>4237</v>
      </c>
      <c r="E243" s="20" t="s">
        <v>10098</v>
      </c>
      <c r="F243" s="22">
        <v>19</v>
      </c>
      <c r="G243" s="22" t="s">
        <v>10099</v>
      </c>
      <c r="H243" s="22">
        <v>19</v>
      </c>
      <c r="I243" s="25">
        <v>43377</v>
      </c>
      <c r="J243" s="24">
        <v>43397</v>
      </c>
    </row>
    <row r="244" spans="2:10" x14ac:dyDescent="0.2">
      <c r="B244" s="22">
        <v>239</v>
      </c>
      <c r="C244" s="23" t="s">
        <v>10100</v>
      </c>
      <c r="D244" s="23" t="s">
        <v>643</v>
      </c>
      <c r="E244" s="20" t="s">
        <v>10101</v>
      </c>
      <c r="F244" s="22">
        <v>147</v>
      </c>
      <c r="G244" s="22" t="s">
        <v>10102</v>
      </c>
      <c r="H244" s="22">
        <v>147</v>
      </c>
      <c r="I244" s="25">
        <v>43384</v>
      </c>
      <c r="J244" s="24">
        <v>43404</v>
      </c>
    </row>
    <row r="245" spans="2:10" x14ac:dyDescent="0.2">
      <c r="B245" s="22">
        <v>241</v>
      </c>
      <c r="C245" s="23" t="s">
        <v>10103</v>
      </c>
      <c r="D245" s="23" t="s">
        <v>3627</v>
      </c>
      <c r="E245" s="20" t="s">
        <v>10104</v>
      </c>
      <c r="F245" s="22">
        <v>29</v>
      </c>
      <c r="G245" s="22" t="s">
        <v>10105</v>
      </c>
      <c r="H245" s="22">
        <v>1</v>
      </c>
      <c r="I245" s="25">
        <v>43300</v>
      </c>
      <c r="J245" s="24">
        <v>43179</v>
      </c>
    </row>
    <row r="246" spans="2:10" x14ac:dyDescent="0.2">
      <c r="B246" s="22">
        <v>242</v>
      </c>
      <c r="C246" s="23" t="s">
        <v>10106</v>
      </c>
      <c r="D246" s="23" t="s">
        <v>1235</v>
      </c>
      <c r="E246" s="20" t="s">
        <v>10107</v>
      </c>
      <c r="F246" s="22">
        <v>24</v>
      </c>
      <c r="G246" s="22" t="s">
        <v>10108</v>
      </c>
      <c r="H246" s="22">
        <v>24</v>
      </c>
      <c r="I246" s="25">
        <v>43181</v>
      </c>
      <c r="J246" s="24">
        <v>43208</v>
      </c>
    </row>
    <row r="247" spans="2:10" x14ac:dyDescent="0.2">
      <c r="B247" s="22">
        <v>243</v>
      </c>
      <c r="C247" s="23" t="s">
        <v>10109</v>
      </c>
      <c r="D247" s="23" t="s">
        <v>10110</v>
      </c>
      <c r="E247" s="20" t="s">
        <v>10111</v>
      </c>
      <c r="F247" s="22">
        <v>43</v>
      </c>
      <c r="G247" s="22" t="s">
        <v>1951</v>
      </c>
      <c r="H247" s="22">
        <v>1</v>
      </c>
      <c r="I247" s="25">
        <v>43195</v>
      </c>
      <c r="J247" s="24">
        <v>43278</v>
      </c>
    </row>
    <row r="248" spans="2:10" x14ac:dyDescent="0.2">
      <c r="B248" s="22">
        <v>244</v>
      </c>
      <c r="C248" s="23" t="s">
        <v>10112</v>
      </c>
      <c r="D248" s="23" t="s">
        <v>8353</v>
      </c>
      <c r="E248" s="20" t="s">
        <v>10113</v>
      </c>
      <c r="F248" s="22">
        <v>50</v>
      </c>
      <c r="G248" s="22" t="s">
        <v>10114</v>
      </c>
      <c r="H248" s="22">
        <v>16</v>
      </c>
      <c r="I248" s="25">
        <v>43132</v>
      </c>
      <c r="J248" s="24">
        <v>43102</v>
      </c>
    </row>
    <row r="249" spans="2:10" x14ac:dyDescent="0.2">
      <c r="B249" s="22">
        <v>245</v>
      </c>
      <c r="C249" s="23" t="s">
        <v>10115</v>
      </c>
      <c r="D249" s="23" t="s">
        <v>1039</v>
      </c>
      <c r="E249" s="20" t="s">
        <v>10116</v>
      </c>
      <c r="F249" s="22">
        <v>32</v>
      </c>
      <c r="G249" s="22" t="s">
        <v>10117</v>
      </c>
      <c r="H249" s="22">
        <v>7</v>
      </c>
      <c r="I249" s="25">
        <v>43272</v>
      </c>
      <c r="J249" s="24">
        <v>43376</v>
      </c>
    </row>
    <row r="250" spans="2:10" x14ac:dyDescent="0.2">
      <c r="B250" s="22">
        <v>246</v>
      </c>
      <c r="C250" s="23" t="s">
        <v>10118</v>
      </c>
      <c r="D250" s="23" t="s">
        <v>1415</v>
      </c>
      <c r="E250" s="20" t="s">
        <v>10119</v>
      </c>
      <c r="F250" s="22">
        <v>64</v>
      </c>
      <c r="G250" s="22" t="s">
        <v>10120</v>
      </c>
      <c r="H250" s="22">
        <v>64</v>
      </c>
      <c r="I250" s="25">
        <v>43356</v>
      </c>
      <c r="J250" s="24">
        <v>43383</v>
      </c>
    </row>
    <row r="251" spans="2:10" x14ac:dyDescent="0.2">
      <c r="B251" s="22">
        <v>247</v>
      </c>
      <c r="C251" s="23" t="s">
        <v>10121</v>
      </c>
      <c r="D251" s="23" t="s">
        <v>1415</v>
      </c>
      <c r="E251" s="20" t="s">
        <v>10122</v>
      </c>
      <c r="F251" s="22">
        <v>94</v>
      </c>
      <c r="G251" s="22" t="s">
        <v>10123</v>
      </c>
      <c r="H251" s="22">
        <v>94</v>
      </c>
      <c r="I251" s="25">
        <v>43363</v>
      </c>
      <c r="J251" s="24">
        <v>43383</v>
      </c>
    </row>
    <row r="252" spans="2:10" x14ac:dyDescent="0.2">
      <c r="B252" s="22">
        <v>248</v>
      </c>
      <c r="C252" s="23" t="s">
        <v>10124</v>
      </c>
      <c r="D252" s="23" t="s">
        <v>1294</v>
      </c>
      <c r="E252" s="20" t="s">
        <v>10125</v>
      </c>
      <c r="F252" s="22">
        <v>44</v>
      </c>
      <c r="G252" s="22" t="s">
        <v>10126</v>
      </c>
      <c r="H252" s="22">
        <v>3</v>
      </c>
      <c r="I252" s="25">
        <v>43328</v>
      </c>
      <c r="J252" s="24">
        <v>43376</v>
      </c>
    </row>
    <row r="253" spans="2:10" x14ac:dyDescent="0.2">
      <c r="B253" s="22">
        <v>249</v>
      </c>
      <c r="C253" s="23" t="s">
        <v>10127</v>
      </c>
      <c r="D253" s="23" t="s">
        <v>1175</v>
      </c>
      <c r="E253" s="20" t="s">
        <v>10128</v>
      </c>
      <c r="F253" s="22">
        <v>36</v>
      </c>
      <c r="G253" s="22" t="s">
        <v>10129</v>
      </c>
      <c r="H253" s="22">
        <v>3</v>
      </c>
      <c r="I253" s="25">
        <v>43209</v>
      </c>
      <c r="J253" s="24">
        <v>43264</v>
      </c>
    </row>
    <row r="254" spans="2:10" x14ac:dyDescent="0.2">
      <c r="B254" s="22">
        <v>250</v>
      </c>
      <c r="C254" s="23" t="s">
        <v>10130</v>
      </c>
      <c r="D254" s="23" t="s">
        <v>1294</v>
      </c>
      <c r="E254" s="20" t="s">
        <v>10131</v>
      </c>
      <c r="F254" s="22">
        <v>31</v>
      </c>
      <c r="G254" s="22" t="s">
        <v>10132</v>
      </c>
      <c r="H254" s="22">
        <v>4</v>
      </c>
      <c r="I254" s="25">
        <v>43258</v>
      </c>
      <c r="J254" s="24">
        <v>43320</v>
      </c>
    </row>
    <row r="255" spans="2:10" x14ac:dyDescent="0.2">
      <c r="B255" s="22">
        <v>251</v>
      </c>
      <c r="C255" s="23" t="s">
        <v>10133</v>
      </c>
      <c r="D255" s="23" t="s">
        <v>1015</v>
      </c>
      <c r="E255" s="20" t="s">
        <v>10134</v>
      </c>
      <c r="F255" s="22">
        <v>77</v>
      </c>
      <c r="G255" s="22" t="s">
        <v>10135</v>
      </c>
      <c r="H255" s="22">
        <v>5</v>
      </c>
      <c r="I255" s="25">
        <v>43412</v>
      </c>
      <c r="J255" s="24">
        <v>43151</v>
      </c>
    </row>
    <row r="256" spans="2:10" x14ac:dyDescent="0.2">
      <c r="B256" s="22">
        <v>252</v>
      </c>
      <c r="C256" s="23" t="s">
        <v>10136</v>
      </c>
      <c r="D256" s="23" t="s">
        <v>1015</v>
      </c>
      <c r="E256" s="20" t="s">
        <v>10137</v>
      </c>
      <c r="F256" s="22">
        <v>81</v>
      </c>
      <c r="G256" s="22" t="s">
        <v>10138</v>
      </c>
      <c r="H256" s="22">
        <v>4</v>
      </c>
      <c r="I256" s="25">
        <v>43214</v>
      </c>
      <c r="J256" s="24">
        <v>43313</v>
      </c>
    </row>
    <row r="257" spans="2:10" x14ac:dyDescent="0.2">
      <c r="B257" s="22">
        <v>253</v>
      </c>
      <c r="C257" s="23" t="s">
        <v>10139</v>
      </c>
      <c r="D257" s="23" t="s">
        <v>1210</v>
      </c>
      <c r="E257" s="20" t="s">
        <v>10140</v>
      </c>
      <c r="F257" s="22">
        <v>9</v>
      </c>
      <c r="G257" s="22" t="s">
        <v>10141</v>
      </c>
      <c r="H257" s="22">
        <v>9</v>
      </c>
      <c r="I257" s="25">
        <v>43454</v>
      </c>
      <c r="J257" s="24">
        <v>43130</v>
      </c>
    </row>
    <row r="258" spans="2:10" x14ac:dyDescent="0.2">
      <c r="B258" s="22">
        <v>254</v>
      </c>
      <c r="C258" s="23" t="s">
        <v>10142</v>
      </c>
      <c r="D258" s="23" t="s">
        <v>1269</v>
      </c>
      <c r="E258" s="20" t="s">
        <v>10143</v>
      </c>
      <c r="F258" s="22">
        <v>76</v>
      </c>
      <c r="G258" s="22" t="s">
        <v>10144</v>
      </c>
      <c r="H258" s="22">
        <v>37</v>
      </c>
      <c r="I258" s="25">
        <v>43437</v>
      </c>
      <c r="J258" s="24">
        <v>43109</v>
      </c>
    </row>
    <row r="259" spans="2:10" x14ac:dyDescent="0.2">
      <c r="B259" s="22">
        <v>255</v>
      </c>
      <c r="C259" s="23" t="s">
        <v>10145</v>
      </c>
      <c r="D259" s="23" t="s">
        <v>4383</v>
      </c>
      <c r="E259" s="20" t="s">
        <v>10146</v>
      </c>
      <c r="F259" s="22">
        <v>24</v>
      </c>
      <c r="G259" s="22" t="s">
        <v>10147</v>
      </c>
      <c r="H259" s="22">
        <v>1</v>
      </c>
      <c r="I259" s="25">
        <v>43160</v>
      </c>
      <c r="J259" s="24">
        <v>43411</v>
      </c>
    </row>
    <row r="260" spans="2:10" x14ac:dyDescent="0.2">
      <c r="B260" s="22">
        <v>256</v>
      </c>
      <c r="C260" s="23" t="s">
        <v>10148</v>
      </c>
      <c r="D260" s="23" t="s">
        <v>1415</v>
      </c>
      <c r="E260" s="20" t="s">
        <v>10149</v>
      </c>
      <c r="F260" s="22">
        <v>89</v>
      </c>
      <c r="G260" s="22" t="s">
        <v>10150</v>
      </c>
      <c r="H260" s="22">
        <v>89</v>
      </c>
      <c r="I260" s="25">
        <v>43223</v>
      </c>
      <c r="J260" s="24">
        <v>43250</v>
      </c>
    </row>
    <row r="261" spans="2:10" x14ac:dyDescent="0.2">
      <c r="B261" s="22">
        <v>257</v>
      </c>
      <c r="C261" s="23" t="s">
        <v>10151</v>
      </c>
      <c r="D261" s="23" t="s">
        <v>4383</v>
      </c>
      <c r="E261" s="20" t="s">
        <v>10152</v>
      </c>
      <c r="F261" s="22">
        <v>13</v>
      </c>
      <c r="G261" s="22" t="s">
        <v>10153</v>
      </c>
      <c r="H261" s="22">
        <v>5</v>
      </c>
      <c r="I261" s="25">
        <v>43312</v>
      </c>
      <c r="J261" s="24">
        <v>43214</v>
      </c>
    </row>
    <row r="262" spans="2:10" x14ac:dyDescent="0.2">
      <c r="B262" s="22">
        <v>258</v>
      </c>
      <c r="C262" s="23" t="s">
        <v>10154</v>
      </c>
      <c r="D262" s="23" t="s">
        <v>5638</v>
      </c>
      <c r="E262" s="20" t="s">
        <v>10155</v>
      </c>
      <c r="F262" s="22">
        <v>118</v>
      </c>
      <c r="G262" s="22" t="s">
        <v>10156</v>
      </c>
      <c r="H262" s="22">
        <v>118</v>
      </c>
      <c r="I262" s="25">
        <v>43321</v>
      </c>
      <c r="J262" s="24">
        <v>43348</v>
      </c>
    </row>
    <row r="263" spans="2:10" x14ac:dyDescent="0.2">
      <c r="B263" s="22">
        <v>259</v>
      </c>
      <c r="C263" s="23" t="s">
        <v>10157</v>
      </c>
      <c r="D263" s="23" t="s">
        <v>1294</v>
      </c>
      <c r="E263" s="20" t="s">
        <v>10158</v>
      </c>
      <c r="F263" s="22">
        <v>38</v>
      </c>
      <c r="G263" s="22" t="s">
        <v>10159</v>
      </c>
      <c r="H263" s="22">
        <v>3</v>
      </c>
      <c r="I263" s="25">
        <v>43202</v>
      </c>
      <c r="J263" s="24">
        <v>43257</v>
      </c>
    </row>
    <row r="264" spans="2:10" x14ac:dyDescent="0.2">
      <c r="B264" s="22">
        <v>260</v>
      </c>
      <c r="C264" s="23" t="s">
        <v>10160</v>
      </c>
      <c r="D264" s="23" t="s">
        <v>1039</v>
      </c>
      <c r="E264" s="20" t="s">
        <v>10161</v>
      </c>
      <c r="F264" s="22">
        <v>33</v>
      </c>
      <c r="G264" s="22" t="s">
        <v>10162</v>
      </c>
      <c r="H264" s="22">
        <v>2</v>
      </c>
      <c r="I264" s="25">
        <v>43335</v>
      </c>
      <c r="J264" s="24">
        <v>43425</v>
      </c>
    </row>
    <row r="265" spans="2:10" x14ac:dyDescent="0.2">
      <c r="B265" s="22">
        <v>261</v>
      </c>
      <c r="C265" s="23" t="s">
        <v>10163</v>
      </c>
      <c r="D265" s="23" t="s">
        <v>1640</v>
      </c>
      <c r="E265" s="20" t="s">
        <v>10164</v>
      </c>
      <c r="F265" s="22">
        <v>16</v>
      </c>
      <c r="G265" s="22" t="s">
        <v>10165</v>
      </c>
      <c r="H265" s="22">
        <v>2</v>
      </c>
      <c r="I265" s="25">
        <v>43132</v>
      </c>
      <c r="J265" s="24">
        <v>43243</v>
      </c>
    </row>
    <row r="266" spans="2:10" x14ac:dyDescent="0.2">
      <c r="B266" s="22">
        <v>262</v>
      </c>
      <c r="C266" s="23" t="s">
        <v>10166</v>
      </c>
      <c r="D266" s="23" t="s">
        <v>563</v>
      </c>
      <c r="E266" s="20" t="s">
        <v>10167</v>
      </c>
      <c r="F266" s="22" t="s">
        <v>1159</v>
      </c>
      <c r="G266" s="22" t="s">
        <v>1159</v>
      </c>
      <c r="H266" s="22" t="s">
        <v>1159</v>
      </c>
      <c r="I266" s="25">
        <v>43380</v>
      </c>
      <c r="J266" s="24">
        <v>43380</v>
      </c>
    </row>
    <row r="267" spans="2:10" x14ac:dyDescent="0.2">
      <c r="B267" s="22">
        <v>263</v>
      </c>
      <c r="C267" s="23" t="s">
        <v>10168</v>
      </c>
      <c r="D267" s="23" t="s">
        <v>1217</v>
      </c>
      <c r="E267" s="20" t="s">
        <v>10169</v>
      </c>
      <c r="F267" s="22">
        <v>112</v>
      </c>
      <c r="G267" s="22" t="s">
        <v>10170</v>
      </c>
      <c r="H267" s="22">
        <v>112</v>
      </c>
      <c r="I267" s="25">
        <v>43426</v>
      </c>
      <c r="J267" s="24">
        <v>43446</v>
      </c>
    </row>
    <row r="268" spans="2:10" x14ac:dyDescent="0.2">
      <c r="B268" s="22">
        <v>264</v>
      </c>
      <c r="C268" s="23" t="s">
        <v>10171</v>
      </c>
      <c r="D268" s="23" t="s">
        <v>10172</v>
      </c>
      <c r="E268" s="20" t="s">
        <v>10173</v>
      </c>
      <c r="F268" s="22">
        <v>32</v>
      </c>
      <c r="G268" s="22" t="s">
        <v>10174</v>
      </c>
      <c r="H268" s="22">
        <v>3</v>
      </c>
      <c r="I268" s="25">
        <v>43181</v>
      </c>
      <c r="J268" s="24">
        <v>43243</v>
      </c>
    </row>
    <row r="269" spans="2:10" x14ac:dyDescent="0.2">
      <c r="B269" s="22">
        <v>265</v>
      </c>
      <c r="C269" s="23" t="s">
        <v>10175</v>
      </c>
      <c r="D269" s="23" t="s">
        <v>1213</v>
      </c>
      <c r="E269" s="20" t="s">
        <v>10176</v>
      </c>
      <c r="F269" s="22">
        <v>23</v>
      </c>
      <c r="G269" s="22" t="s">
        <v>10177</v>
      </c>
      <c r="H269" s="22">
        <v>1</v>
      </c>
      <c r="I269" s="25">
        <v>43125</v>
      </c>
      <c r="J269" s="24">
        <v>43264</v>
      </c>
    </row>
    <row r="270" spans="2:10" x14ac:dyDescent="0.2">
      <c r="B270" s="22">
        <v>266</v>
      </c>
      <c r="C270" s="23" t="s">
        <v>10178</v>
      </c>
      <c r="D270" s="23" t="s">
        <v>1135</v>
      </c>
      <c r="E270" s="20" t="s">
        <v>10179</v>
      </c>
      <c r="F270" s="22">
        <v>100</v>
      </c>
      <c r="G270" s="22" t="s">
        <v>10180</v>
      </c>
      <c r="H270" s="22">
        <v>38</v>
      </c>
      <c r="I270" s="25">
        <v>43405</v>
      </c>
      <c r="J270" s="24">
        <v>43432</v>
      </c>
    </row>
    <row r="271" spans="2:10" x14ac:dyDescent="0.2">
      <c r="B271" s="22">
        <v>267</v>
      </c>
      <c r="C271" s="23" t="s">
        <v>10181</v>
      </c>
      <c r="D271" s="23" t="s">
        <v>2197</v>
      </c>
      <c r="E271" s="20" t="s">
        <v>10182</v>
      </c>
      <c r="F271" s="22">
        <v>32</v>
      </c>
      <c r="G271" s="22" t="s">
        <v>10183</v>
      </c>
      <c r="H271" s="22">
        <v>1</v>
      </c>
      <c r="I271" s="25">
        <v>43153</v>
      </c>
      <c r="J271" s="24">
        <v>43274</v>
      </c>
    </row>
    <row r="272" spans="2:10" x14ac:dyDescent="0.2">
      <c r="B272" s="22">
        <v>268</v>
      </c>
      <c r="C272" s="23" t="s">
        <v>10184</v>
      </c>
      <c r="D272" s="23" t="s">
        <v>10066</v>
      </c>
      <c r="E272" s="20" t="s">
        <v>10185</v>
      </c>
      <c r="F272" s="22">
        <v>57</v>
      </c>
      <c r="G272" s="22" t="s">
        <v>10186</v>
      </c>
      <c r="H272" s="22">
        <v>57</v>
      </c>
      <c r="I272" s="25">
        <v>43349</v>
      </c>
      <c r="J272" s="24">
        <v>43376</v>
      </c>
    </row>
    <row r="273" spans="2:10" x14ac:dyDescent="0.2">
      <c r="B273" s="22">
        <v>269</v>
      </c>
      <c r="C273" s="23" t="s">
        <v>10187</v>
      </c>
      <c r="D273" s="23" t="s">
        <v>2197</v>
      </c>
      <c r="E273" s="20" t="s">
        <v>10188</v>
      </c>
      <c r="F273" s="22">
        <v>41</v>
      </c>
      <c r="G273" s="22" t="s">
        <v>10189</v>
      </c>
      <c r="H273" s="22">
        <v>41</v>
      </c>
      <c r="I273" s="25">
        <v>43202</v>
      </c>
      <c r="J273" s="24">
        <v>43306</v>
      </c>
    </row>
    <row r="274" spans="2:10" x14ac:dyDescent="0.2">
      <c r="B274" s="22">
        <v>270</v>
      </c>
      <c r="C274" s="23" t="s">
        <v>10190</v>
      </c>
      <c r="D274" s="23" t="s">
        <v>8241</v>
      </c>
      <c r="E274" s="20" t="s">
        <v>10191</v>
      </c>
      <c r="F274" s="22">
        <v>16</v>
      </c>
      <c r="G274" s="22" t="s">
        <v>10192</v>
      </c>
      <c r="H274" s="22">
        <v>9</v>
      </c>
      <c r="I274" s="25">
        <v>43377</v>
      </c>
      <c r="J274" s="24">
        <v>43123</v>
      </c>
    </row>
    <row r="275" spans="2:10" x14ac:dyDescent="0.2">
      <c r="B275" s="22">
        <v>271</v>
      </c>
      <c r="C275" s="23" t="s">
        <v>10193</v>
      </c>
      <c r="D275" s="23" t="s">
        <v>1415</v>
      </c>
      <c r="E275" s="20" t="s">
        <v>10194</v>
      </c>
      <c r="F275" s="22">
        <v>92</v>
      </c>
      <c r="G275" s="22" t="s">
        <v>10195</v>
      </c>
      <c r="H275" s="22">
        <v>92</v>
      </c>
      <c r="I275" s="25">
        <v>43230</v>
      </c>
      <c r="J275" s="24">
        <v>43250</v>
      </c>
    </row>
    <row r="276" spans="2:10" x14ac:dyDescent="0.2">
      <c r="B276" s="22">
        <v>272</v>
      </c>
      <c r="C276" s="23" t="s">
        <v>10196</v>
      </c>
      <c r="D276" s="23" t="s">
        <v>1294</v>
      </c>
      <c r="E276" s="20" t="s">
        <v>10197</v>
      </c>
      <c r="F276" s="22">
        <v>28</v>
      </c>
      <c r="G276" s="22" t="s">
        <v>10198</v>
      </c>
      <c r="H276" s="22">
        <v>2</v>
      </c>
      <c r="I276" s="25">
        <v>43188</v>
      </c>
      <c r="J276" s="24">
        <v>43236</v>
      </c>
    </row>
    <row r="277" spans="2:10" x14ac:dyDescent="0.2">
      <c r="B277" s="22">
        <v>273</v>
      </c>
      <c r="C277" s="23" t="s">
        <v>10199</v>
      </c>
      <c r="D277" s="23" t="s">
        <v>1175</v>
      </c>
      <c r="E277" s="20" t="s">
        <v>10200</v>
      </c>
      <c r="F277" s="22">
        <v>21</v>
      </c>
      <c r="G277" s="22" t="s">
        <v>10201</v>
      </c>
      <c r="H277" s="22">
        <v>1</v>
      </c>
      <c r="I277" s="25">
        <v>43328</v>
      </c>
      <c r="J277" s="24">
        <v>43404</v>
      </c>
    </row>
    <row r="278" spans="2:10" x14ac:dyDescent="0.2">
      <c r="B278" s="22">
        <v>274</v>
      </c>
      <c r="C278" s="23" t="s">
        <v>10202</v>
      </c>
      <c r="D278" s="23" t="s">
        <v>10203</v>
      </c>
      <c r="E278" s="20" t="s">
        <v>10204</v>
      </c>
      <c r="F278" s="22">
        <v>13</v>
      </c>
      <c r="G278" s="22" t="s">
        <v>1159</v>
      </c>
      <c r="H278" s="22" t="s">
        <v>1159</v>
      </c>
      <c r="I278" s="25">
        <v>43328</v>
      </c>
      <c r="J278" s="24">
        <v>43186</v>
      </c>
    </row>
    <row r="279" spans="2:10" x14ac:dyDescent="0.2">
      <c r="B279" s="22">
        <v>275</v>
      </c>
      <c r="C279" s="23" t="s">
        <v>10205</v>
      </c>
      <c r="D279" s="23" t="s">
        <v>1175</v>
      </c>
      <c r="E279" s="20" t="s">
        <v>10206</v>
      </c>
      <c r="F279" s="22">
        <v>27</v>
      </c>
      <c r="G279" s="22" t="s">
        <v>10207</v>
      </c>
      <c r="H279" s="22">
        <v>4</v>
      </c>
      <c r="I279" s="25">
        <v>43188</v>
      </c>
      <c r="J279" s="24">
        <v>43236</v>
      </c>
    </row>
    <row r="280" spans="2:10" x14ac:dyDescent="0.2">
      <c r="B280" s="22">
        <v>276</v>
      </c>
      <c r="C280" s="23" t="s">
        <v>10208</v>
      </c>
      <c r="D280" s="23" t="s">
        <v>1377</v>
      </c>
      <c r="E280" s="20" t="s">
        <v>10209</v>
      </c>
      <c r="F280" s="22">
        <v>99</v>
      </c>
      <c r="G280" s="22" t="s">
        <v>10210</v>
      </c>
      <c r="H280" s="22">
        <v>99</v>
      </c>
      <c r="I280" s="25">
        <v>43188</v>
      </c>
      <c r="J280" s="24">
        <v>43211</v>
      </c>
    </row>
    <row r="281" spans="2:10" x14ac:dyDescent="0.2">
      <c r="B281" s="22">
        <v>277</v>
      </c>
      <c r="C281" s="23" t="s">
        <v>10211</v>
      </c>
      <c r="D281" s="23" t="s">
        <v>10212</v>
      </c>
      <c r="E281" s="20" t="s">
        <v>10213</v>
      </c>
      <c r="F281" s="22">
        <v>86</v>
      </c>
      <c r="G281" s="22" t="s">
        <v>10214</v>
      </c>
      <c r="H281" s="22">
        <v>86</v>
      </c>
      <c r="I281" s="25">
        <v>43412</v>
      </c>
      <c r="J281" s="24">
        <v>43428</v>
      </c>
    </row>
    <row r="282" spans="2:10" x14ac:dyDescent="0.2">
      <c r="B282" s="22">
        <v>278</v>
      </c>
      <c r="C282" s="23" t="s">
        <v>10215</v>
      </c>
      <c r="D282" s="23" t="s">
        <v>1415</v>
      </c>
      <c r="E282" s="20" t="s">
        <v>10216</v>
      </c>
      <c r="F282" s="22">
        <v>51</v>
      </c>
      <c r="G282" s="22" t="s">
        <v>10217</v>
      </c>
      <c r="H282" s="22">
        <v>51</v>
      </c>
      <c r="I282" s="25">
        <v>43160</v>
      </c>
      <c r="J282" s="24">
        <v>43183</v>
      </c>
    </row>
    <row r="283" spans="2:10" x14ac:dyDescent="0.2">
      <c r="B283" s="22">
        <v>279</v>
      </c>
      <c r="C283" s="23" t="s">
        <v>10218</v>
      </c>
      <c r="D283" s="23" t="s">
        <v>1294</v>
      </c>
      <c r="E283" s="20" t="s">
        <v>10219</v>
      </c>
      <c r="F283" s="22">
        <v>70</v>
      </c>
      <c r="G283" s="22" t="s">
        <v>10220</v>
      </c>
      <c r="H283" s="22">
        <v>8</v>
      </c>
      <c r="I283" s="25">
        <v>43377</v>
      </c>
      <c r="J283" s="24">
        <v>43418</v>
      </c>
    </row>
    <row r="284" spans="2:10" x14ac:dyDescent="0.2">
      <c r="B284" s="22">
        <v>280</v>
      </c>
      <c r="C284" s="23" t="s">
        <v>10221</v>
      </c>
      <c r="D284" s="23" t="s">
        <v>1294</v>
      </c>
      <c r="E284" s="20" t="s">
        <v>10222</v>
      </c>
      <c r="F284" s="22">
        <v>23</v>
      </c>
      <c r="G284" s="22" t="s">
        <v>10223</v>
      </c>
      <c r="H284" s="22">
        <v>3</v>
      </c>
      <c r="I284" s="25">
        <v>43146</v>
      </c>
      <c r="J284" s="24">
        <v>43215</v>
      </c>
    </row>
    <row r="285" spans="2:10" x14ac:dyDescent="0.2">
      <c r="B285" s="22">
        <v>281</v>
      </c>
      <c r="C285" s="23" t="s">
        <v>10224</v>
      </c>
      <c r="D285" s="23" t="s">
        <v>1039</v>
      </c>
      <c r="E285" s="20" t="s">
        <v>10225</v>
      </c>
      <c r="F285" s="22">
        <v>35</v>
      </c>
      <c r="G285" s="22" t="s">
        <v>10226</v>
      </c>
      <c r="H285" s="22">
        <v>35</v>
      </c>
      <c r="I285" s="25">
        <v>43160</v>
      </c>
      <c r="J285" s="24">
        <v>43236</v>
      </c>
    </row>
    <row r="286" spans="2:10" x14ac:dyDescent="0.2">
      <c r="B286" s="22">
        <v>282</v>
      </c>
      <c r="C286" s="23" t="s">
        <v>10227</v>
      </c>
      <c r="D286" s="23" t="s">
        <v>2197</v>
      </c>
      <c r="E286" s="20" t="s">
        <v>10228</v>
      </c>
      <c r="F286" s="22">
        <v>275</v>
      </c>
      <c r="G286" s="22" t="s">
        <v>10229</v>
      </c>
      <c r="H286" s="22">
        <v>275</v>
      </c>
      <c r="I286" s="25">
        <v>43181</v>
      </c>
      <c r="J286" s="24">
        <v>43187</v>
      </c>
    </row>
    <row r="287" spans="2:10" x14ac:dyDescent="0.2">
      <c r="B287" s="22">
        <v>283</v>
      </c>
      <c r="C287" s="23" t="s">
        <v>10230</v>
      </c>
      <c r="D287" s="23" t="s">
        <v>1415</v>
      </c>
      <c r="E287" s="20" t="s">
        <v>10231</v>
      </c>
      <c r="F287" s="22">
        <v>54</v>
      </c>
      <c r="G287" s="22" t="s">
        <v>10232</v>
      </c>
      <c r="H287" s="22">
        <v>54</v>
      </c>
      <c r="I287" s="25">
        <v>43426</v>
      </c>
      <c r="J287" s="24">
        <v>43446</v>
      </c>
    </row>
    <row r="288" spans="2:10" x14ac:dyDescent="0.2">
      <c r="B288" s="22">
        <v>284</v>
      </c>
      <c r="C288" s="23" t="s">
        <v>10233</v>
      </c>
      <c r="D288" s="23" t="s">
        <v>1377</v>
      </c>
      <c r="E288" s="20" t="s">
        <v>10234</v>
      </c>
      <c r="F288" s="22">
        <v>25</v>
      </c>
      <c r="G288" s="22" t="s">
        <v>10235</v>
      </c>
      <c r="H288" s="22">
        <v>25</v>
      </c>
      <c r="I288" s="25">
        <v>43139</v>
      </c>
      <c r="J288" s="24">
        <v>43166</v>
      </c>
    </row>
    <row r="289" spans="2:10" x14ac:dyDescent="0.2">
      <c r="B289" s="22">
        <v>285</v>
      </c>
      <c r="C289" s="23" t="s">
        <v>10236</v>
      </c>
      <c r="D289" s="23" t="s">
        <v>820</v>
      </c>
      <c r="E289" s="20" t="s">
        <v>10237</v>
      </c>
      <c r="F289" s="22">
        <v>60</v>
      </c>
      <c r="G289" s="22" t="s">
        <v>10238</v>
      </c>
      <c r="H289" s="22">
        <v>3</v>
      </c>
      <c r="I289" s="25">
        <v>43363</v>
      </c>
      <c r="J289" s="24">
        <v>43404</v>
      </c>
    </row>
    <row r="290" spans="2:10" x14ac:dyDescent="0.2">
      <c r="B290" s="22">
        <v>288</v>
      </c>
      <c r="C290" s="23" t="s">
        <v>10239</v>
      </c>
      <c r="D290" s="23" t="s">
        <v>8234</v>
      </c>
      <c r="E290" s="20" t="s">
        <v>10240</v>
      </c>
      <c r="F290" s="22">
        <v>248</v>
      </c>
      <c r="G290" s="22" t="s">
        <v>10241</v>
      </c>
      <c r="H290" s="22">
        <v>248</v>
      </c>
      <c r="I290" s="25">
        <v>43216</v>
      </c>
      <c r="J290" s="24">
        <v>43257</v>
      </c>
    </row>
    <row r="291" spans="2:10" x14ac:dyDescent="0.2">
      <c r="B291" s="22">
        <v>289</v>
      </c>
      <c r="C291" s="23" t="s">
        <v>10242</v>
      </c>
      <c r="D291" s="23" t="s">
        <v>1039</v>
      </c>
      <c r="E291" s="20" t="s">
        <v>10243</v>
      </c>
      <c r="F291" s="22">
        <v>23</v>
      </c>
      <c r="G291" s="22" t="s">
        <v>10244</v>
      </c>
      <c r="H291" s="22">
        <v>14</v>
      </c>
      <c r="I291" s="25">
        <v>43321</v>
      </c>
      <c r="J291" s="24">
        <v>43425</v>
      </c>
    </row>
    <row r="292" spans="2:10" x14ac:dyDescent="0.2">
      <c r="B292" s="22">
        <v>290</v>
      </c>
      <c r="C292" s="23" t="s">
        <v>10245</v>
      </c>
      <c r="D292" s="23" t="s">
        <v>1377</v>
      </c>
      <c r="E292" s="20" t="s">
        <v>10246</v>
      </c>
      <c r="F292" s="22">
        <v>89</v>
      </c>
      <c r="G292" s="22" t="s">
        <v>10247</v>
      </c>
      <c r="H292" s="22">
        <v>89</v>
      </c>
      <c r="I292" s="25">
        <v>43279</v>
      </c>
      <c r="J292" s="24">
        <v>43288</v>
      </c>
    </row>
    <row r="293" spans="2:10" x14ac:dyDescent="0.2">
      <c r="B293" s="22">
        <v>291</v>
      </c>
      <c r="C293" s="23" t="s">
        <v>10248</v>
      </c>
      <c r="D293" s="23" t="s">
        <v>1294</v>
      </c>
      <c r="E293" s="20" t="s">
        <v>10249</v>
      </c>
      <c r="F293" s="22">
        <v>20</v>
      </c>
      <c r="G293" s="22" t="s">
        <v>10250</v>
      </c>
      <c r="H293" s="22">
        <v>2</v>
      </c>
      <c r="I293" s="25">
        <v>43293</v>
      </c>
      <c r="J293" s="24">
        <v>43355</v>
      </c>
    </row>
    <row r="294" spans="2:10" x14ac:dyDescent="0.2">
      <c r="B294" s="22">
        <v>292</v>
      </c>
      <c r="C294" s="23" t="s">
        <v>10251</v>
      </c>
      <c r="D294" s="23" t="s">
        <v>1039</v>
      </c>
      <c r="E294" s="20" t="s">
        <v>10252</v>
      </c>
      <c r="F294" s="22">
        <v>27</v>
      </c>
      <c r="G294" s="22" t="s">
        <v>10253</v>
      </c>
      <c r="H294" s="22">
        <v>2</v>
      </c>
      <c r="I294" s="25">
        <v>43195</v>
      </c>
      <c r="J294" s="24">
        <v>43320</v>
      </c>
    </row>
    <row r="295" spans="2:10" x14ac:dyDescent="0.2">
      <c r="B295" s="22">
        <v>293</v>
      </c>
      <c r="C295" s="23" t="s">
        <v>10254</v>
      </c>
      <c r="D295" s="23" t="s">
        <v>5638</v>
      </c>
      <c r="E295" s="20" t="s">
        <v>10255</v>
      </c>
      <c r="F295" s="22">
        <v>16</v>
      </c>
      <c r="G295" s="22" t="s">
        <v>10256</v>
      </c>
      <c r="H295" s="22">
        <v>3</v>
      </c>
      <c r="I295" s="25">
        <v>43328</v>
      </c>
      <c r="J295" s="24">
        <v>43179</v>
      </c>
    </row>
    <row r="296" spans="2:10" x14ac:dyDescent="0.2">
      <c r="B296" s="22">
        <v>294</v>
      </c>
      <c r="C296" s="23" t="s">
        <v>10257</v>
      </c>
      <c r="D296" s="23" t="s">
        <v>10258</v>
      </c>
      <c r="E296" s="20" t="s">
        <v>10259</v>
      </c>
      <c r="F296" s="22">
        <v>16</v>
      </c>
      <c r="G296" s="22" t="s">
        <v>10260</v>
      </c>
      <c r="H296" s="22">
        <v>16</v>
      </c>
      <c r="I296" s="25">
        <v>43195</v>
      </c>
      <c r="J296" s="24">
        <v>43299</v>
      </c>
    </row>
    <row r="297" spans="2:10" x14ac:dyDescent="0.2">
      <c r="B297" s="22">
        <v>295</v>
      </c>
      <c r="C297" s="23" t="s">
        <v>10261</v>
      </c>
      <c r="D297" s="23" t="s">
        <v>10262</v>
      </c>
      <c r="E297" s="20" t="s">
        <v>10263</v>
      </c>
      <c r="F297" s="22">
        <v>17</v>
      </c>
      <c r="G297" s="22" t="s">
        <v>10264</v>
      </c>
      <c r="H297" s="22">
        <v>2</v>
      </c>
      <c r="I297" s="25">
        <v>43216</v>
      </c>
      <c r="J297" s="24">
        <v>43306</v>
      </c>
    </row>
    <row r="298" spans="2:10" x14ac:dyDescent="0.2">
      <c r="B298" s="22">
        <v>296</v>
      </c>
      <c r="C298" s="23" t="s">
        <v>10265</v>
      </c>
      <c r="D298" s="23" t="s">
        <v>820</v>
      </c>
      <c r="E298" s="20" t="s">
        <v>10266</v>
      </c>
      <c r="F298" s="22">
        <v>58</v>
      </c>
      <c r="G298" s="22" t="s">
        <v>10267</v>
      </c>
      <c r="H298" s="22">
        <v>3</v>
      </c>
      <c r="I298" s="25">
        <v>43349</v>
      </c>
      <c r="J298" s="24">
        <v>43397</v>
      </c>
    </row>
    <row r="299" spans="2:10" x14ac:dyDescent="0.2">
      <c r="B299" s="22">
        <v>297</v>
      </c>
      <c r="C299" s="23" t="s">
        <v>10268</v>
      </c>
      <c r="D299" s="23" t="s">
        <v>1568</v>
      </c>
      <c r="E299" s="20" t="s">
        <v>10269</v>
      </c>
      <c r="F299" s="22">
        <v>42</v>
      </c>
      <c r="G299" s="22" t="s">
        <v>6317</v>
      </c>
      <c r="H299" s="22">
        <v>3</v>
      </c>
      <c r="I299" s="25">
        <v>43377</v>
      </c>
      <c r="J299" s="24">
        <v>43411</v>
      </c>
    </row>
    <row r="300" spans="2:10" x14ac:dyDescent="0.2">
      <c r="B300" s="22">
        <v>298</v>
      </c>
      <c r="C300" s="23" t="s">
        <v>10270</v>
      </c>
      <c r="D300" s="23" t="s">
        <v>6537</v>
      </c>
      <c r="E300" s="20" t="s">
        <v>10271</v>
      </c>
      <c r="F300" s="22">
        <v>21</v>
      </c>
      <c r="G300" s="22" t="s">
        <v>10272</v>
      </c>
      <c r="H300" s="22">
        <v>1</v>
      </c>
      <c r="I300" s="25">
        <v>43405</v>
      </c>
      <c r="J300" s="24">
        <v>43200</v>
      </c>
    </row>
    <row r="301" spans="2:10" x14ac:dyDescent="0.2">
      <c r="B301" s="22">
        <v>299</v>
      </c>
      <c r="C301" s="23" t="s">
        <v>10273</v>
      </c>
      <c r="D301" s="23" t="s">
        <v>1568</v>
      </c>
      <c r="E301" s="20" t="s">
        <v>10274</v>
      </c>
      <c r="F301" s="22">
        <v>39</v>
      </c>
      <c r="G301" s="22" t="s">
        <v>10275</v>
      </c>
      <c r="H301" s="22">
        <v>2</v>
      </c>
      <c r="I301" s="25">
        <v>43342</v>
      </c>
      <c r="J301" s="24">
        <v>43365</v>
      </c>
    </row>
    <row r="302" spans="2:10" x14ac:dyDescent="0.2">
      <c r="B302" s="22">
        <v>300</v>
      </c>
      <c r="C302" s="23" t="s">
        <v>10276</v>
      </c>
      <c r="D302" s="23" t="s">
        <v>1594</v>
      </c>
      <c r="E302" s="20" t="s">
        <v>10277</v>
      </c>
      <c r="F302" s="22">
        <v>9</v>
      </c>
      <c r="G302" s="22" t="s">
        <v>10278</v>
      </c>
      <c r="H302" s="22">
        <v>5</v>
      </c>
      <c r="I302" s="25">
        <v>43272</v>
      </c>
      <c r="J302" s="24">
        <v>43292</v>
      </c>
    </row>
    <row r="303" spans="2:10" x14ac:dyDescent="0.2">
      <c r="B303" s="22">
        <v>301</v>
      </c>
      <c r="C303" s="23" t="s">
        <v>10279</v>
      </c>
      <c r="D303" s="23" t="s">
        <v>643</v>
      </c>
      <c r="E303" s="20" t="s">
        <v>10280</v>
      </c>
      <c r="F303" s="22">
        <v>43</v>
      </c>
      <c r="G303" s="22" t="s">
        <v>10281</v>
      </c>
      <c r="H303" s="22">
        <v>20</v>
      </c>
      <c r="I303" s="25">
        <v>43223</v>
      </c>
      <c r="J303" s="24">
        <v>43243</v>
      </c>
    </row>
    <row r="304" spans="2:10" x14ac:dyDescent="0.2">
      <c r="B304" s="22">
        <v>302</v>
      </c>
      <c r="C304" s="23" t="s">
        <v>10282</v>
      </c>
      <c r="D304" s="23" t="s">
        <v>10283</v>
      </c>
      <c r="E304" s="20" t="s">
        <v>10284</v>
      </c>
      <c r="F304" s="22">
        <v>30</v>
      </c>
      <c r="G304" s="22" t="s">
        <v>10285</v>
      </c>
      <c r="H304" s="22">
        <v>30</v>
      </c>
      <c r="I304" s="25">
        <v>43384</v>
      </c>
      <c r="J304" s="24">
        <v>43425</v>
      </c>
    </row>
    <row r="305" spans="2:10" x14ac:dyDescent="0.2">
      <c r="B305" s="22">
        <v>303</v>
      </c>
      <c r="C305" s="23" t="s">
        <v>10286</v>
      </c>
      <c r="D305" s="23" t="s">
        <v>10287</v>
      </c>
      <c r="E305" s="20" t="s">
        <v>10288</v>
      </c>
      <c r="F305" s="22">
        <v>59</v>
      </c>
      <c r="G305" s="22" t="s">
        <v>10289</v>
      </c>
      <c r="H305" s="22">
        <v>59</v>
      </c>
      <c r="I305" s="25">
        <v>43279</v>
      </c>
      <c r="J305" s="24">
        <v>43323</v>
      </c>
    </row>
    <row r="306" spans="2:10" x14ac:dyDescent="0.2">
      <c r="B306" s="22">
        <v>304</v>
      </c>
      <c r="C306" s="23" t="s">
        <v>10290</v>
      </c>
      <c r="D306" s="23" t="s">
        <v>1415</v>
      </c>
      <c r="E306" s="20" t="s">
        <v>10291</v>
      </c>
      <c r="F306" s="22">
        <v>91</v>
      </c>
      <c r="G306" s="22" t="s">
        <v>10292</v>
      </c>
      <c r="H306" s="22">
        <v>91</v>
      </c>
      <c r="I306" s="25">
        <v>43440</v>
      </c>
      <c r="J306" s="24">
        <v>43446</v>
      </c>
    </row>
    <row r="307" spans="2:10" x14ac:dyDescent="0.2">
      <c r="B307" s="22">
        <v>305</v>
      </c>
      <c r="C307" s="23" t="s">
        <v>10293</v>
      </c>
      <c r="D307" s="23" t="s">
        <v>740</v>
      </c>
      <c r="E307" s="20" t="s">
        <v>10294</v>
      </c>
      <c r="F307" s="22">
        <v>25</v>
      </c>
      <c r="G307" s="22" t="s">
        <v>10295</v>
      </c>
      <c r="H307" s="22">
        <v>4</v>
      </c>
      <c r="I307" s="25">
        <v>43244</v>
      </c>
      <c r="J307" s="24">
        <v>43271</v>
      </c>
    </row>
    <row r="308" spans="2:10" x14ac:dyDescent="0.2">
      <c r="B308" s="22">
        <v>306</v>
      </c>
      <c r="C308" s="23" t="s">
        <v>10296</v>
      </c>
      <c r="D308" s="23" t="s">
        <v>1235</v>
      </c>
      <c r="E308" s="20" t="s">
        <v>10297</v>
      </c>
      <c r="F308" s="22">
        <v>29</v>
      </c>
      <c r="G308" s="22" t="s">
        <v>10298</v>
      </c>
      <c r="H308" s="22">
        <v>29</v>
      </c>
      <c r="I308" s="25">
        <v>43370</v>
      </c>
      <c r="J308" s="24">
        <v>43393</v>
      </c>
    </row>
    <row r="309" spans="2:10" x14ac:dyDescent="0.2">
      <c r="B309" s="22">
        <v>307</v>
      </c>
      <c r="C309" s="23" t="s">
        <v>10299</v>
      </c>
      <c r="D309" s="23" t="s">
        <v>1142</v>
      </c>
      <c r="E309" s="20" t="s">
        <v>10300</v>
      </c>
      <c r="F309" s="22">
        <v>8</v>
      </c>
      <c r="G309" s="22" t="s">
        <v>4546</v>
      </c>
      <c r="H309" s="22">
        <v>1</v>
      </c>
      <c r="I309" s="25">
        <v>43356</v>
      </c>
      <c r="J309" s="24">
        <v>43439</v>
      </c>
    </row>
    <row r="310" spans="2:10" x14ac:dyDescent="0.2">
      <c r="B310" s="22">
        <v>308</v>
      </c>
      <c r="C310" s="23" t="s">
        <v>10301</v>
      </c>
      <c r="D310" s="23" t="s">
        <v>4383</v>
      </c>
      <c r="E310" s="20" t="s">
        <v>10302</v>
      </c>
      <c r="F310" s="22">
        <v>6</v>
      </c>
      <c r="G310" s="22" t="s">
        <v>10303</v>
      </c>
      <c r="H310" s="22">
        <v>1</v>
      </c>
      <c r="I310" s="25">
        <v>43223</v>
      </c>
      <c r="J310" s="24">
        <v>43193</v>
      </c>
    </row>
    <row r="311" spans="2:10" x14ac:dyDescent="0.2">
      <c r="B311" s="22">
        <v>309</v>
      </c>
      <c r="C311" s="23" t="s">
        <v>10304</v>
      </c>
      <c r="D311" s="23" t="s">
        <v>10305</v>
      </c>
      <c r="E311" s="20" t="s">
        <v>10306</v>
      </c>
      <c r="F311" s="22">
        <v>45</v>
      </c>
      <c r="G311" s="22" t="s">
        <v>10307</v>
      </c>
      <c r="H311" s="22">
        <v>45</v>
      </c>
      <c r="I311" s="25">
        <v>43118</v>
      </c>
      <c r="J311" s="24">
        <v>43145</v>
      </c>
    </row>
    <row r="312" spans="2:10" x14ac:dyDescent="0.2">
      <c r="B312" s="22">
        <v>310</v>
      </c>
      <c r="C312" s="23" t="s">
        <v>10308</v>
      </c>
      <c r="D312" s="23" t="s">
        <v>1532</v>
      </c>
      <c r="E312" s="20" t="s">
        <v>10309</v>
      </c>
      <c r="F312" s="22">
        <v>7</v>
      </c>
      <c r="G312" s="22" t="s">
        <v>10310</v>
      </c>
      <c r="H312" s="22">
        <v>2</v>
      </c>
      <c r="I312" s="25">
        <v>43377</v>
      </c>
      <c r="J312" s="24">
        <v>43403</v>
      </c>
    </row>
    <row r="313" spans="2:10" x14ac:dyDescent="0.2">
      <c r="B313" s="22">
        <v>311</v>
      </c>
      <c r="C313" s="23" t="s">
        <v>10311</v>
      </c>
      <c r="D313" s="23" t="s">
        <v>1532</v>
      </c>
      <c r="E313" s="20" t="s">
        <v>10312</v>
      </c>
      <c r="F313" s="22">
        <v>7</v>
      </c>
      <c r="G313" s="22" t="s">
        <v>10313</v>
      </c>
      <c r="H313" s="22">
        <v>1</v>
      </c>
      <c r="I313" s="25">
        <v>43207</v>
      </c>
      <c r="J313" s="24">
        <v>43404</v>
      </c>
    </row>
    <row r="314" spans="2:10" x14ac:dyDescent="0.2">
      <c r="B314" s="22">
        <v>312</v>
      </c>
      <c r="C314" s="23" t="s">
        <v>10314</v>
      </c>
      <c r="D314" s="23" t="s">
        <v>4860</v>
      </c>
      <c r="E314" s="20" t="s">
        <v>10315</v>
      </c>
      <c r="F314" s="22">
        <v>14</v>
      </c>
      <c r="G314" s="22" t="s">
        <v>10316</v>
      </c>
      <c r="H314" s="22">
        <v>1</v>
      </c>
      <c r="I314" s="25">
        <v>43321</v>
      </c>
      <c r="J314" s="24">
        <v>43372</v>
      </c>
    </row>
    <row r="315" spans="2:10" x14ac:dyDescent="0.2">
      <c r="B315" s="22">
        <v>313</v>
      </c>
      <c r="C315" s="23" t="s">
        <v>10317</v>
      </c>
      <c r="D315" s="23" t="s">
        <v>1015</v>
      </c>
      <c r="E315" s="20" t="s">
        <v>10318</v>
      </c>
      <c r="F315" s="22">
        <v>20</v>
      </c>
      <c r="G315" s="22" t="s">
        <v>10319</v>
      </c>
      <c r="H315" s="22">
        <v>2</v>
      </c>
      <c r="I315" s="25">
        <v>43326</v>
      </c>
      <c r="J315" s="24">
        <v>43432</v>
      </c>
    </row>
    <row r="316" spans="2:10" x14ac:dyDescent="0.2">
      <c r="B316" s="22">
        <v>314</v>
      </c>
      <c r="C316" s="23" t="s">
        <v>10320</v>
      </c>
      <c r="D316" s="23" t="s">
        <v>1415</v>
      </c>
      <c r="E316" s="20" t="s">
        <v>10321</v>
      </c>
      <c r="F316" s="22">
        <v>20</v>
      </c>
      <c r="G316" s="22" t="s">
        <v>10322</v>
      </c>
      <c r="H316" s="22">
        <v>20</v>
      </c>
      <c r="I316" s="25">
        <v>43237</v>
      </c>
      <c r="J316" s="24">
        <v>43250</v>
      </c>
    </row>
    <row r="317" spans="2:10" x14ac:dyDescent="0.2">
      <c r="B317" s="22">
        <v>315</v>
      </c>
      <c r="C317" s="23" t="s">
        <v>10323</v>
      </c>
      <c r="D317" s="23" t="s">
        <v>10324</v>
      </c>
      <c r="E317" s="20" t="s">
        <v>10325</v>
      </c>
      <c r="F317" s="22">
        <v>8</v>
      </c>
      <c r="G317" s="22" t="s">
        <v>10326</v>
      </c>
      <c r="H317" s="22">
        <v>2</v>
      </c>
      <c r="I317" s="25">
        <v>43391</v>
      </c>
      <c r="J317" s="24">
        <v>43130</v>
      </c>
    </row>
    <row r="318" spans="2:10" x14ac:dyDescent="0.2">
      <c r="B318" s="22">
        <v>316</v>
      </c>
      <c r="C318" s="23" t="s">
        <v>10327</v>
      </c>
      <c r="D318" s="23" t="s">
        <v>8234</v>
      </c>
      <c r="E318" s="20" t="s">
        <v>10328</v>
      </c>
      <c r="F318" s="22">
        <v>46</v>
      </c>
      <c r="G318" s="22" t="s">
        <v>10329</v>
      </c>
      <c r="H318" s="22">
        <v>1</v>
      </c>
      <c r="I318" s="25">
        <v>43426</v>
      </c>
      <c r="J318" s="24">
        <v>43460</v>
      </c>
    </row>
    <row r="319" spans="2:10" x14ac:dyDescent="0.2">
      <c r="B319" s="22">
        <v>317</v>
      </c>
      <c r="C319" s="23" t="s">
        <v>10330</v>
      </c>
      <c r="D319" s="23" t="s">
        <v>1039</v>
      </c>
      <c r="E319" s="20" t="s">
        <v>10331</v>
      </c>
      <c r="F319" s="22">
        <v>19</v>
      </c>
      <c r="G319" s="22" t="s">
        <v>10332</v>
      </c>
      <c r="H319" s="22">
        <v>1</v>
      </c>
      <c r="I319" s="25">
        <v>43125</v>
      </c>
      <c r="J319" s="24">
        <v>43201</v>
      </c>
    </row>
    <row r="320" spans="2:10" x14ac:dyDescent="0.2">
      <c r="B320" s="22">
        <v>318</v>
      </c>
      <c r="C320" s="23" t="s">
        <v>10333</v>
      </c>
      <c r="D320" s="23" t="s">
        <v>1039</v>
      </c>
      <c r="E320" s="20" t="s">
        <v>10334</v>
      </c>
      <c r="F320" s="22">
        <v>17</v>
      </c>
      <c r="G320" s="22" t="s">
        <v>10335</v>
      </c>
      <c r="H320" s="22">
        <v>1</v>
      </c>
      <c r="I320" s="25">
        <v>43349</v>
      </c>
      <c r="J320" s="24">
        <v>43439</v>
      </c>
    </row>
    <row r="321" spans="2:10" x14ac:dyDescent="0.2">
      <c r="B321" s="22">
        <v>319</v>
      </c>
      <c r="C321" s="23" t="s">
        <v>10336</v>
      </c>
      <c r="D321" s="23" t="s">
        <v>1294</v>
      </c>
      <c r="E321" s="20" t="s">
        <v>10337</v>
      </c>
      <c r="F321" s="22">
        <v>15</v>
      </c>
      <c r="G321" s="22" t="s">
        <v>10338</v>
      </c>
      <c r="H321" s="22">
        <v>3</v>
      </c>
      <c r="I321" s="25">
        <v>43426</v>
      </c>
      <c r="J321" s="24">
        <v>43109</v>
      </c>
    </row>
    <row r="322" spans="2:10" x14ac:dyDescent="0.2">
      <c r="B322" s="22">
        <v>320</v>
      </c>
      <c r="C322" s="23" t="s">
        <v>10339</v>
      </c>
      <c r="D322" s="23" t="s">
        <v>1332</v>
      </c>
      <c r="E322" s="20" t="s">
        <v>10340</v>
      </c>
      <c r="F322" s="22">
        <v>23</v>
      </c>
      <c r="G322" s="22" t="s">
        <v>10341</v>
      </c>
      <c r="H322" s="22">
        <v>23</v>
      </c>
      <c r="I322" s="25">
        <v>43202</v>
      </c>
      <c r="J322" s="24">
        <v>43236</v>
      </c>
    </row>
    <row r="323" spans="2:10" x14ac:dyDescent="0.2">
      <c r="B323" s="22">
        <v>321</v>
      </c>
      <c r="C323" s="23" t="s">
        <v>10342</v>
      </c>
      <c r="D323" s="23" t="s">
        <v>8353</v>
      </c>
      <c r="E323" s="20" t="s">
        <v>10343</v>
      </c>
      <c r="F323" s="22">
        <v>13</v>
      </c>
      <c r="G323" s="22" t="s">
        <v>10344</v>
      </c>
      <c r="H323" s="22">
        <v>1</v>
      </c>
      <c r="I323" s="25">
        <v>43307</v>
      </c>
      <c r="J323" s="24">
        <v>43418</v>
      </c>
    </row>
    <row r="324" spans="2:10" x14ac:dyDescent="0.2">
      <c r="B324" s="22">
        <v>322</v>
      </c>
      <c r="C324" s="23" t="s">
        <v>10345</v>
      </c>
      <c r="D324" s="23" t="s">
        <v>1175</v>
      </c>
      <c r="E324" s="20" t="s">
        <v>10346</v>
      </c>
      <c r="F324" s="22">
        <v>11</v>
      </c>
      <c r="G324" s="22" t="s">
        <v>10347</v>
      </c>
      <c r="H324" s="22">
        <v>2</v>
      </c>
      <c r="I324" s="25">
        <v>43314</v>
      </c>
      <c r="J324" s="24">
        <v>43351</v>
      </c>
    </row>
    <row r="325" spans="2:10" x14ac:dyDescent="0.2">
      <c r="B325" s="22">
        <v>323</v>
      </c>
      <c r="C325" s="23" t="s">
        <v>10348</v>
      </c>
      <c r="D325" s="23" t="s">
        <v>3627</v>
      </c>
      <c r="E325" s="20" t="s">
        <v>10349</v>
      </c>
      <c r="F325" s="22">
        <v>16</v>
      </c>
      <c r="G325" s="22" t="s">
        <v>10350</v>
      </c>
      <c r="H325" s="22">
        <v>15</v>
      </c>
      <c r="I325" s="25">
        <v>43279</v>
      </c>
      <c r="J325" s="24">
        <v>43362</v>
      </c>
    </row>
    <row r="326" spans="2:10" x14ac:dyDescent="0.2">
      <c r="B326" s="22">
        <v>324</v>
      </c>
      <c r="C326" s="23" t="s">
        <v>10351</v>
      </c>
      <c r="D326" s="23" t="s">
        <v>1039</v>
      </c>
      <c r="E326" s="20" t="s">
        <v>10352</v>
      </c>
      <c r="F326" s="22">
        <v>12</v>
      </c>
      <c r="G326" s="22" t="s">
        <v>10353</v>
      </c>
      <c r="H326" s="22">
        <v>3</v>
      </c>
      <c r="I326" s="25">
        <v>43314</v>
      </c>
      <c r="J326" s="24">
        <v>43383</v>
      </c>
    </row>
    <row r="327" spans="2:10" x14ac:dyDescent="0.2">
      <c r="B327" s="22">
        <v>325</v>
      </c>
      <c r="C327" s="23" t="s">
        <v>10354</v>
      </c>
      <c r="D327" s="23" t="s">
        <v>5913</v>
      </c>
      <c r="E327" s="20" t="s">
        <v>10355</v>
      </c>
      <c r="F327" s="22">
        <v>57</v>
      </c>
      <c r="G327" s="22" t="s">
        <v>10356</v>
      </c>
      <c r="H327" s="22">
        <v>57</v>
      </c>
      <c r="I327" s="25">
        <v>43265</v>
      </c>
      <c r="J327" s="24">
        <v>43285</v>
      </c>
    </row>
    <row r="328" spans="2:10" x14ac:dyDescent="0.2">
      <c r="B328" s="22">
        <v>326</v>
      </c>
      <c r="C328" s="23" t="s">
        <v>10357</v>
      </c>
      <c r="D328" s="23" t="s">
        <v>1294</v>
      </c>
      <c r="E328" s="20" t="s">
        <v>10358</v>
      </c>
      <c r="F328" s="22">
        <v>17</v>
      </c>
      <c r="G328" s="22" t="s">
        <v>10359</v>
      </c>
      <c r="H328" s="22">
        <v>3</v>
      </c>
      <c r="I328" s="25">
        <v>43167</v>
      </c>
      <c r="J328" s="24">
        <v>43215</v>
      </c>
    </row>
    <row r="329" spans="2:10" x14ac:dyDescent="0.2">
      <c r="B329" s="22">
        <v>327</v>
      </c>
      <c r="C329" s="23" t="s">
        <v>10360</v>
      </c>
      <c r="D329" s="23" t="s">
        <v>1232</v>
      </c>
      <c r="E329" s="20" t="s">
        <v>10361</v>
      </c>
      <c r="F329" s="22">
        <v>4</v>
      </c>
      <c r="G329" s="22" t="s">
        <v>4666</v>
      </c>
      <c r="H329" s="22">
        <v>2</v>
      </c>
      <c r="I329" s="25">
        <v>43356</v>
      </c>
      <c r="J329" s="24">
        <v>43161</v>
      </c>
    </row>
    <row r="330" spans="2:10" x14ac:dyDescent="0.2">
      <c r="B330" s="22">
        <v>328</v>
      </c>
      <c r="C330" s="23" t="s">
        <v>10362</v>
      </c>
      <c r="D330" s="23" t="s">
        <v>10363</v>
      </c>
      <c r="E330" s="20" t="s">
        <v>10364</v>
      </c>
      <c r="F330" s="22">
        <v>9</v>
      </c>
      <c r="G330" s="22" t="s">
        <v>10365</v>
      </c>
      <c r="H330" s="22">
        <v>1</v>
      </c>
      <c r="I330" s="25">
        <v>43398</v>
      </c>
      <c r="J330" s="24">
        <v>43137</v>
      </c>
    </row>
    <row r="331" spans="2:10" x14ac:dyDescent="0.2">
      <c r="B331" s="22">
        <v>329</v>
      </c>
      <c r="C331" s="23" t="s">
        <v>10366</v>
      </c>
      <c r="D331" s="23" t="s">
        <v>1294</v>
      </c>
      <c r="E331" s="20" t="s">
        <v>10367</v>
      </c>
      <c r="F331" s="22">
        <v>24</v>
      </c>
      <c r="G331" s="22" t="s">
        <v>10368</v>
      </c>
      <c r="H331" s="22">
        <v>3</v>
      </c>
      <c r="I331" s="25">
        <v>43433</v>
      </c>
      <c r="J331" s="24">
        <v>43116</v>
      </c>
    </row>
    <row r="332" spans="2:10" x14ac:dyDescent="0.2">
      <c r="B332" s="22">
        <v>330</v>
      </c>
      <c r="C332" s="23" t="s">
        <v>10369</v>
      </c>
      <c r="D332" s="23" t="s">
        <v>4525</v>
      </c>
      <c r="E332" s="20" t="s">
        <v>10370</v>
      </c>
      <c r="F332" s="22">
        <v>9</v>
      </c>
      <c r="G332" s="22" t="s">
        <v>10371</v>
      </c>
      <c r="H332" s="22">
        <v>9</v>
      </c>
      <c r="I332" s="25">
        <v>43258</v>
      </c>
      <c r="J332" s="24">
        <v>43292</v>
      </c>
    </row>
    <row r="333" spans="2:10" x14ac:dyDescent="0.2">
      <c r="B333" s="22">
        <v>331</v>
      </c>
      <c r="C333" s="23" t="s">
        <v>10372</v>
      </c>
      <c r="D333" s="23" t="s">
        <v>10373</v>
      </c>
      <c r="E333" s="20" t="s">
        <v>10374</v>
      </c>
      <c r="F333" s="22">
        <v>8</v>
      </c>
      <c r="G333" s="22" t="s">
        <v>10375</v>
      </c>
      <c r="H333" s="22">
        <v>2</v>
      </c>
      <c r="I333" s="25">
        <v>43328</v>
      </c>
      <c r="J333" s="22" t="s">
        <v>558</v>
      </c>
    </row>
    <row r="334" spans="2:10" x14ac:dyDescent="0.2">
      <c r="B334" s="22">
        <v>332</v>
      </c>
      <c r="C334" s="23" t="s">
        <v>10376</v>
      </c>
      <c r="D334" s="23" t="s">
        <v>8163</v>
      </c>
      <c r="E334" s="20" t="s">
        <v>10377</v>
      </c>
      <c r="F334" s="22">
        <v>7</v>
      </c>
      <c r="G334" s="22" t="s">
        <v>10378</v>
      </c>
      <c r="H334" s="22">
        <v>2</v>
      </c>
      <c r="I334" s="25">
        <v>43216</v>
      </c>
      <c r="J334" s="24">
        <v>43337</v>
      </c>
    </row>
    <row r="335" spans="2:10" x14ac:dyDescent="0.2">
      <c r="B335" s="22">
        <v>333</v>
      </c>
      <c r="C335" s="23" t="s">
        <v>10379</v>
      </c>
      <c r="D335" s="23" t="s">
        <v>1804</v>
      </c>
      <c r="E335" s="20" t="s">
        <v>10380</v>
      </c>
      <c r="F335" s="22">
        <v>8</v>
      </c>
      <c r="G335" s="22" t="s">
        <v>10381</v>
      </c>
      <c r="H335" s="22">
        <v>2</v>
      </c>
      <c r="I335" s="25">
        <v>43125</v>
      </c>
      <c r="J335" s="24">
        <v>43208</v>
      </c>
    </row>
    <row r="336" spans="2:10" x14ac:dyDescent="0.2">
      <c r="B336" s="22">
        <v>336</v>
      </c>
      <c r="C336" s="23" t="s">
        <v>10382</v>
      </c>
      <c r="D336" s="23" t="s">
        <v>1568</v>
      </c>
      <c r="E336" s="20" t="s">
        <v>10383</v>
      </c>
      <c r="F336" s="22">
        <v>6</v>
      </c>
      <c r="G336" s="22" t="s">
        <v>10384</v>
      </c>
      <c r="H336" s="22">
        <v>3</v>
      </c>
      <c r="I336" s="25">
        <v>43398</v>
      </c>
      <c r="J336" s="24">
        <v>43453</v>
      </c>
    </row>
    <row r="337" spans="2:10" x14ac:dyDescent="0.2">
      <c r="B337" s="22">
        <v>337</v>
      </c>
      <c r="C337" s="23" t="s">
        <v>10385</v>
      </c>
      <c r="D337" s="23" t="s">
        <v>1415</v>
      </c>
      <c r="E337" s="20" t="s">
        <v>10386</v>
      </c>
      <c r="F337" s="22">
        <v>47</v>
      </c>
      <c r="G337" s="22" t="s">
        <v>10387</v>
      </c>
      <c r="H337" s="22">
        <v>47</v>
      </c>
      <c r="I337" s="25">
        <v>43209</v>
      </c>
      <c r="J337" s="24">
        <v>43229</v>
      </c>
    </row>
    <row r="338" spans="2:10" x14ac:dyDescent="0.2">
      <c r="B338" s="22">
        <v>338</v>
      </c>
      <c r="C338" s="23" t="s">
        <v>10388</v>
      </c>
      <c r="D338" s="23" t="s">
        <v>1213</v>
      </c>
      <c r="E338" s="20" t="s">
        <v>10389</v>
      </c>
      <c r="F338" s="22">
        <v>21</v>
      </c>
      <c r="G338" s="22" t="s">
        <v>10390</v>
      </c>
      <c r="H338" s="22">
        <v>1</v>
      </c>
      <c r="I338" s="25">
        <v>43426</v>
      </c>
      <c r="J338" s="24">
        <v>43151</v>
      </c>
    </row>
    <row r="339" spans="2:10" x14ac:dyDescent="0.2">
      <c r="B339" s="22">
        <v>339</v>
      </c>
      <c r="C339" s="23" t="s">
        <v>10391</v>
      </c>
      <c r="D339" s="23" t="s">
        <v>1213</v>
      </c>
      <c r="E339" s="20" t="s">
        <v>10392</v>
      </c>
      <c r="F339" s="22">
        <v>10</v>
      </c>
      <c r="G339" s="22" t="s">
        <v>10393</v>
      </c>
      <c r="H339" s="22">
        <v>5</v>
      </c>
      <c r="I339" s="25">
        <v>43237</v>
      </c>
      <c r="J339" s="24">
        <v>43362</v>
      </c>
    </row>
    <row r="340" spans="2:10" x14ac:dyDescent="0.2">
      <c r="B340" s="22">
        <v>340</v>
      </c>
      <c r="C340" s="23" t="s">
        <v>10394</v>
      </c>
      <c r="D340" s="23" t="s">
        <v>1039</v>
      </c>
      <c r="E340" s="20" t="s">
        <v>10395</v>
      </c>
      <c r="F340" s="22">
        <v>9</v>
      </c>
      <c r="G340" s="22" t="s">
        <v>10396</v>
      </c>
      <c r="H340" s="22">
        <v>2</v>
      </c>
      <c r="I340" s="25">
        <v>43284</v>
      </c>
      <c r="J340" s="22" t="s">
        <v>558</v>
      </c>
    </row>
    <row r="341" spans="2:10" x14ac:dyDescent="0.2">
      <c r="B341" s="22">
        <v>341</v>
      </c>
      <c r="C341" s="23" t="s">
        <v>10397</v>
      </c>
      <c r="D341" s="23" t="s">
        <v>7800</v>
      </c>
      <c r="E341" s="20" t="s">
        <v>10398</v>
      </c>
      <c r="F341" s="22">
        <v>39</v>
      </c>
      <c r="G341" s="22" t="s">
        <v>10399</v>
      </c>
      <c r="H341" s="22">
        <v>11</v>
      </c>
      <c r="I341" s="25">
        <v>43174</v>
      </c>
      <c r="J341" s="24">
        <v>43201</v>
      </c>
    </row>
    <row r="342" spans="2:10" x14ac:dyDescent="0.2">
      <c r="B342" s="22">
        <v>342</v>
      </c>
      <c r="C342" s="23" t="s">
        <v>10400</v>
      </c>
      <c r="D342" s="23" t="s">
        <v>8234</v>
      </c>
      <c r="E342" s="20" t="s">
        <v>10401</v>
      </c>
      <c r="F342" s="22">
        <v>7</v>
      </c>
      <c r="G342" s="22" t="s">
        <v>10402</v>
      </c>
      <c r="H342" s="22">
        <v>2</v>
      </c>
      <c r="I342" s="25">
        <v>43237</v>
      </c>
      <c r="J342" s="24">
        <v>43281</v>
      </c>
    </row>
    <row r="343" spans="2:10" x14ac:dyDescent="0.2">
      <c r="B343" s="22">
        <v>343</v>
      </c>
      <c r="C343" s="23" t="s">
        <v>10403</v>
      </c>
      <c r="D343" s="23" t="s">
        <v>1294</v>
      </c>
      <c r="E343" s="20" t="s">
        <v>10404</v>
      </c>
      <c r="F343" s="22">
        <v>10</v>
      </c>
      <c r="G343" s="22" t="s">
        <v>10405</v>
      </c>
      <c r="H343" s="22">
        <v>1</v>
      </c>
      <c r="I343" s="25">
        <v>43181</v>
      </c>
      <c r="J343" s="24">
        <v>43236</v>
      </c>
    </row>
    <row r="344" spans="2:10" x14ac:dyDescent="0.2">
      <c r="B344" s="22">
        <v>344</v>
      </c>
      <c r="C344" s="23" t="s">
        <v>10406</v>
      </c>
      <c r="D344" s="23" t="s">
        <v>10407</v>
      </c>
      <c r="E344" s="20" t="s">
        <v>10408</v>
      </c>
      <c r="F344" s="22">
        <v>11</v>
      </c>
      <c r="G344" s="22" t="s">
        <v>10409</v>
      </c>
      <c r="H344" s="22">
        <v>11</v>
      </c>
      <c r="I344" s="25">
        <v>43356</v>
      </c>
      <c r="J344" s="24">
        <v>43362</v>
      </c>
    </row>
    <row r="345" spans="2:10" x14ac:dyDescent="0.2">
      <c r="B345" s="22">
        <v>345</v>
      </c>
      <c r="C345" s="23" t="s">
        <v>10410</v>
      </c>
      <c r="D345" s="23" t="s">
        <v>1248</v>
      </c>
      <c r="E345" s="20" t="s">
        <v>10411</v>
      </c>
      <c r="F345" s="22">
        <v>76</v>
      </c>
      <c r="G345" s="22" t="s">
        <v>1159</v>
      </c>
      <c r="H345" s="22" t="s">
        <v>1159</v>
      </c>
      <c r="I345" s="25">
        <v>43190</v>
      </c>
      <c r="J345" s="24">
        <v>43194</v>
      </c>
    </row>
    <row r="346" spans="2:10" x14ac:dyDescent="0.2">
      <c r="B346" s="22">
        <v>346</v>
      </c>
      <c r="C346" s="23" t="s">
        <v>10412</v>
      </c>
      <c r="D346" s="23" t="s">
        <v>1532</v>
      </c>
      <c r="E346" s="20" t="s">
        <v>10413</v>
      </c>
      <c r="F346" s="22">
        <v>9</v>
      </c>
      <c r="G346" s="22" t="s">
        <v>10414</v>
      </c>
      <c r="H346" s="22">
        <v>2</v>
      </c>
      <c r="I346" s="25">
        <v>43298</v>
      </c>
      <c r="J346" s="24">
        <v>43130</v>
      </c>
    </row>
    <row r="347" spans="2:10" x14ac:dyDescent="0.2">
      <c r="B347" s="22">
        <v>347</v>
      </c>
      <c r="C347" s="23" t="s">
        <v>10415</v>
      </c>
      <c r="D347" s="23" t="s">
        <v>10416</v>
      </c>
      <c r="E347" s="20" t="s">
        <v>10417</v>
      </c>
      <c r="F347" s="22">
        <v>8</v>
      </c>
      <c r="G347" s="22" t="s">
        <v>10418</v>
      </c>
      <c r="H347" s="22">
        <v>6</v>
      </c>
      <c r="I347" s="25">
        <v>43335</v>
      </c>
      <c r="J347" s="24">
        <v>43351</v>
      </c>
    </row>
    <row r="348" spans="2:10" x14ac:dyDescent="0.2">
      <c r="B348" s="22">
        <v>348</v>
      </c>
      <c r="C348" s="23" t="s">
        <v>10419</v>
      </c>
      <c r="D348" s="23" t="s">
        <v>1175</v>
      </c>
      <c r="E348" s="20" t="s">
        <v>10420</v>
      </c>
      <c r="F348" s="22">
        <v>34</v>
      </c>
      <c r="G348" s="22" t="s">
        <v>10421</v>
      </c>
      <c r="H348" s="22">
        <v>2</v>
      </c>
      <c r="I348" s="25">
        <v>43398</v>
      </c>
      <c r="J348" s="24">
        <v>43418</v>
      </c>
    </row>
    <row r="349" spans="2:10" x14ac:dyDescent="0.2">
      <c r="B349" s="22">
        <v>350</v>
      </c>
      <c r="C349" s="23" t="s">
        <v>10422</v>
      </c>
      <c r="D349" s="23" t="s">
        <v>1294</v>
      </c>
      <c r="E349" s="20" t="s">
        <v>10423</v>
      </c>
      <c r="F349" s="22">
        <v>6</v>
      </c>
      <c r="G349" s="22" t="s">
        <v>10424</v>
      </c>
      <c r="H349" s="22">
        <v>3</v>
      </c>
      <c r="I349" s="25">
        <v>43335</v>
      </c>
      <c r="J349" s="24">
        <v>43362</v>
      </c>
    </row>
    <row r="350" spans="2:10" x14ac:dyDescent="0.2">
      <c r="B350" s="22">
        <v>351</v>
      </c>
      <c r="C350" s="23" t="s">
        <v>10425</v>
      </c>
      <c r="D350" s="23" t="s">
        <v>1039</v>
      </c>
      <c r="E350" s="20" t="s">
        <v>10426</v>
      </c>
      <c r="F350" s="22">
        <v>14</v>
      </c>
      <c r="G350" s="22" t="s">
        <v>10427</v>
      </c>
      <c r="H350" s="22">
        <v>2</v>
      </c>
      <c r="I350" s="25">
        <v>43251</v>
      </c>
      <c r="J350" s="24">
        <v>43313</v>
      </c>
    </row>
    <row r="351" spans="2:10" x14ac:dyDescent="0.2">
      <c r="B351" s="22">
        <v>352</v>
      </c>
      <c r="C351" s="23" t="s">
        <v>10428</v>
      </c>
      <c r="D351" s="23" t="s">
        <v>10429</v>
      </c>
      <c r="E351" s="20" t="s">
        <v>10430</v>
      </c>
      <c r="F351" s="22">
        <v>12</v>
      </c>
      <c r="G351" s="22" t="s">
        <v>10431</v>
      </c>
      <c r="H351" s="22">
        <v>1</v>
      </c>
      <c r="I351" s="25">
        <v>43195</v>
      </c>
      <c r="J351" s="24">
        <v>43362</v>
      </c>
    </row>
    <row r="352" spans="2:10" x14ac:dyDescent="0.2">
      <c r="B352" s="22">
        <v>353</v>
      </c>
      <c r="C352" s="23" t="s">
        <v>10432</v>
      </c>
      <c r="D352" s="23" t="s">
        <v>1640</v>
      </c>
      <c r="E352" s="20" t="s">
        <v>10433</v>
      </c>
      <c r="F352" s="22">
        <v>5</v>
      </c>
      <c r="G352" s="22" t="s">
        <v>10434</v>
      </c>
      <c r="H352" s="22">
        <v>1</v>
      </c>
      <c r="I352" s="25">
        <v>43228</v>
      </c>
      <c r="J352" s="22" t="s">
        <v>558</v>
      </c>
    </row>
    <row r="353" spans="2:10" x14ac:dyDescent="0.2">
      <c r="B353" s="22">
        <v>354</v>
      </c>
      <c r="C353" s="23" t="s">
        <v>10435</v>
      </c>
      <c r="D353" s="23" t="s">
        <v>1213</v>
      </c>
      <c r="E353" s="20" t="s">
        <v>10436</v>
      </c>
      <c r="F353" s="22">
        <v>11</v>
      </c>
      <c r="G353" s="22" t="s">
        <v>10437</v>
      </c>
      <c r="H353" s="22">
        <v>2</v>
      </c>
      <c r="I353" s="25">
        <v>43167</v>
      </c>
      <c r="J353" s="24">
        <v>43383</v>
      </c>
    </row>
    <row r="354" spans="2:10" x14ac:dyDescent="0.2">
      <c r="B354" s="22">
        <v>355</v>
      </c>
      <c r="C354" s="23" t="s">
        <v>10438</v>
      </c>
      <c r="D354" s="23" t="s">
        <v>5638</v>
      </c>
      <c r="E354" s="20" t="s">
        <v>10439</v>
      </c>
      <c r="F354" s="22">
        <v>110</v>
      </c>
      <c r="G354" s="22" t="s">
        <v>10440</v>
      </c>
      <c r="H354" s="22">
        <v>110</v>
      </c>
      <c r="I354" s="25">
        <v>43405</v>
      </c>
      <c r="J354" s="24">
        <v>43411</v>
      </c>
    </row>
    <row r="355" spans="2:10" x14ac:dyDescent="0.2">
      <c r="B355" s="22">
        <v>357</v>
      </c>
      <c r="C355" s="23" t="s">
        <v>10441</v>
      </c>
      <c r="D355" s="23" t="s">
        <v>1294</v>
      </c>
      <c r="E355" s="20" t="s">
        <v>10442</v>
      </c>
      <c r="F355" s="22">
        <v>36</v>
      </c>
      <c r="G355" s="22" t="s">
        <v>10443</v>
      </c>
      <c r="H355" s="22">
        <v>1</v>
      </c>
      <c r="I355" s="25">
        <v>43356</v>
      </c>
      <c r="J355" s="24">
        <v>43397</v>
      </c>
    </row>
    <row r="356" spans="2:10" x14ac:dyDescent="0.2">
      <c r="B356" s="22">
        <v>358</v>
      </c>
      <c r="C356" s="23" t="s">
        <v>10444</v>
      </c>
      <c r="D356" s="23" t="s">
        <v>1135</v>
      </c>
      <c r="E356" s="20" t="s">
        <v>10445</v>
      </c>
      <c r="F356" s="22">
        <v>14</v>
      </c>
      <c r="G356" s="22" t="s">
        <v>10446</v>
      </c>
      <c r="H356" s="22">
        <v>14</v>
      </c>
      <c r="I356" s="25">
        <v>43342</v>
      </c>
      <c r="J356" s="24">
        <v>43369</v>
      </c>
    </row>
    <row r="357" spans="2:10" x14ac:dyDescent="0.2">
      <c r="B357" s="22">
        <v>359</v>
      </c>
      <c r="C357" s="23" t="s">
        <v>10447</v>
      </c>
      <c r="D357" s="23" t="s">
        <v>10448</v>
      </c>
      <c r="E357" s="20" t="s">
        <v>10449</v>
      </c>
      <c r="F357" s="22">
        <v>14</v>
      </c>
      <c r="G357" s="22" t="s">
        <v>10450</v>
      </c>
      <c r="H357" s="22">
        <v>6</v>
      </c>
      <c r="I357" s="25">
        <v>43216</v>
      </c>
      <c r="J357" s="24">
        <v>43341</v>
      </c>
    </row>
    <row r="358" spans="2:10" x14ac:dyDescent="0.2">
      <c r="B358" s="22">
        <v>360</v>
      </c>
      <c r="C358" s="23" t="s">
        <v>10451</v>
      </c>
      <c r="D358" s="23" t="s">
        <v>6537</v>
      </c>
      <c r="E358" s="20" t="s">
        <v>10452</v>
      </c>
      <c r="F358" s="22">
        <v>3</v>
      </c>
      <c r="G358" s="22" t="s">
        <v>4628</v>
      </c>
      <c r="H358" s="22">
        <v>1</v>
      </c>
      <c r="I358" s="25">
        <v>43167</v>
      </c>
      <c r="J358" s="22" t="s">
        <v>558</v>
      </c>
    </row>
    <row r="359" spans="2:10" x14ac:dyDescent="0.2">
      <c r="B359" s="22">
        <v>361</v>
      </c>
      <c r="C359" s="23" t="s">
        <v>10453</v>
      </c>
      <c r="D359" s="23" t="s">
        <v>1294</v>
      </c>
      <c r="E359" s="20" t="s">
        <v>10454</v>
      </c>
      <c r="F359" s="22">
        <v>13</v>
      </c>
      <c r="G359" s="22" t="s">
        <v>10455</v>
      </c>
      <c r="H359" s="22">
        <v>6</v>
      </c>
      <c r="I359" s="25">
        <v>43279</v>
      </c>
      <c r="J359" s="24">
        <v>43320</v>
      </c>
    </row>
    <row r="360" spans="2:10" x14ac:dyDescent="0.2">
      <c r="B360" s="22">
        <v>362</v>
      </c>
      <c r="C360" s="23" t="s">
        <v>10456</v>
      </c>
      <c r="D360" s="23" t="s">
        <v>10457</v>
      </c>
      <c r="E360" s="20" t="s">
        <v>10458</v>
      </c>
      <c r="F360" s="22">
        <v>5</v>
      </c>
      <c r="G360" s="22" t="s">
        <v>1159</v>
      </c>
      <c r="H360" s="22" t="s">
        <v>1159</v>
      </c>
      <c r="I360" s="25">
        <v>43349</v>
      </c>
      <c r="J360" s="24">
        <v>43165</v>
      </c>
    </row>
    <row r="361" spans="2:10" x14ac:dyDescent="0.2">
      <c r="B361" s="22">
        <v>363</v>
      </c>
      <c r="C361" s="23" t="s">
        <v>10459</v>
      </c>
      <c r="D361" s="23" t="s">
        <v>1377</v>
      </c>
      <c r="E361" s="20" t="s">
        <v>10460</v>
      </c>
      <c r="F361" s="22">
        <v>33</v>
      </c>
      <c r="G361" s="22" t="s">
        <v>10461</v>
      </c>
      <c r="H361" s="22">
        <v>33</v>
      </c>
      <c r="I361" s="25">
        <v>43195</v>
      </c>
      <c r="J361" s="24">
        <v>43222</v>
      </c>
    </row>
    <row r="362" spans="2:10" x14ac:dyDescent="0.2">
      <c r="B362" s="22">
        <v>364</v>
      </c>
      <c r="C362" s="23" t="s">
        <v>10462</v>
      </c>
      <c r="D362" s="23" t="s">
        <v>10463</v>
      </c>
      <c r="E362" s="20" t="s">
        <v>10464</v>
      </c>
      <c r="F362" s="22">
        <v>35</v>
      </c>
      <c r="G362" s="22" t="s">
        <v>10465</v>
      </c>
      <c r="H362" s="22">
        <v>35</v>
      </c>
      <c r="I362" s="25">
        <v>43370</v>
      </c>
      <c r="J362" s="24">
        <v>43393</v>
      </c>
    </row>
    <row r="363" spans="2:10" x14ac:dyDescent="0.2">
      <c r="B363" s="22">
        <v>365</v>
      </c>
      <c r="C363" s="23" t="s">
        <v>10466</v>
      </c>
      <c r="D363" s="23" t="s">
        <v>1235</v>
      </c>
      <c r="E363" s="20" t="s">
        <v>10467</v>
      </c>
      <c r="F363" s="22">
        <v>17</v>
      </c>
      <c r="G363" s="22" t="s">
        <v>10468</v>
      </c>
      <c r="H363" s="22">
        <v>17</v>
      </c>
      <c r="I363" s="25">
        <v>43300</v>
      </c>
      <c r="J363" s="24">
        <v>43316</v>
      </c>
    </row>
    <row r="364" spans="2:10" x14ac:dyDescent="0.2">
      <c r="B364" s="22">
        <v>366</v>
      </c>
      <c r="C364" s="23" t="s">
        <v>10469</v>
      </c>
      <c r="D364" s="23" t="s">
        <v>1294</v>
      </c>
      <c r="E364" s="20" t="s">
        <v>10470</v>
      </c>
      <c r="F364" s="22">
        <v>10</v>
      </c>
      <c r="G364" s="22" t="s">
        <v>10471</v>
      </c>
      <c r="H364" s="22">
        <v>3</v>
      </c>
      <c r="I364" s="25">
        <v>43223</v>
      </c>
      <c r="J364" s="24">
        <v>43257</v>
      </c>
    </row>
    <row r="365" spans="2:10" x14ac:dyDescent="0.2">
      <c r="B365" s="22">
        <v>367</v>
      </c>
      <c r="C365" s="23" t="s">
        <v>10472</v>
      </c>
      <c r="D365" s="23" t="s">
        <v>2270</v>
      </c>
      <c r="E365" s="20" t="s">
        <v>10473</v>
      </c>
      <c r="F365" s="22">
        <v>10</v>
      </c>
      <c r="G365" s="22" t="s">
        <v>1159</v>
      </c>
      <c r="H365" s="22">
        <v>1</v>
      </c>
      <c r="I365" s="25">
        <v>43384</v>
      </c>
      <c r="J365" s="24">
        <v>43186</v>
      </c>
    </row>
    <row r="366" spans="2:10" x14ac:dyDescent="0.2">
      <c r="B366" s="22">
        <v>368</v>
      </c>
      <c r="C366" s="23" t="s">
        <v>10474</v>
      </c>
      <c r="D366" s="23" t="s">
        <v>1135</v>
      </c>
      <c r="E366" s="20" t="s">
        <v>10475</v>
      </c>
      <c r="F366" s="22">
        <v>17</v>
      </c>
      <c r="G366" s="22" t="s">
        <v>10476</v>
      </c>
      <c r="H366" s="22">
        <v>2</v>
      </c>
      <c r="I366" s="25">
        <v>43370</v>
      </c>
      <c r="J366" s="24">
        <v>43404</v>
      </c>
    </row>
    <row r="367" spans="2:10" x14ac:dyDescent="0.2">
      <c r="B367" s="22">
        <v>369</v>
      </c>
      <c r="C367" s="23" t="s">
        <v>10477</v>
      </c>
      <c r="D367" s="23" t="s">
        <v>7800</v>
      </c>
      <c r="E367" s="20" t="s">
        <v>10478</v>
      </c>
      <c r="F367" s="22">
        <v>21</v>
      </c>
      <c r="G367" s="22" t="s">
        <v>10479</v>
      </c>
      <c r="H367" s="22">
        <v>21</v>
      </c>
      <c r="I367" s="25">
        <v>43286</v>
      </c>
      <c r="J367" s="24">
        <v>43341</v>
      </c>
    </row>
    <row r="368" spans="2:10" x14ac:dyDescent="0.2">
      <c r="B368" s="22">
        <v>370</v>
      </c>
      <c r="C368" s="23" t="s">
        <v>10480</v>
      </c>
      <c r="D368" s="23" t="s">
        <v>6519</v>
      </c>
      <c r="E368" s="20" t="s">
        <v>10481</v>
      </c>
      <c r="F368" s="22">
        <v>32</v>
      </c>
      <c r="G368" s="22" t="s">
        <v>10482</v>
      </c>
      <c r="H368" s="22">
        <v>32</v>
      </c>
      <c r="I368" s="25">
        <v>43349</v>
      </c>
      <c r="J368" s="24">
        <v>43355</v>
      </c>
    </row>
    <row r="369" spans="2:10" x14ac:dyDescent="0.2">
      <c r="B369" s="22">
        <v>371</v>
      </c>
      <c r="C369" s="23" t="s">
        <v>10483</v>
      </c>
      <c r="D369" s="23" t="s">
        <v>10484</v>
      </c>
      <c r="E369" s="20" t="s">
        <v>10485</v>
      </c>
      <c r="F369" s="22">
        <v>67</v>
      </c>
      <c r="G369" s="22" t="s">
        <v>10486</v>
      </c>
      <c r="H369" s="22">
        <v>67</v>
      </c>
      <c r="I369" s="25">
        <v>43300</v>
      </c>
      <c r="J369" s="24">
        <v>43306</v>
      </c>
    </row>
    <row r="370" spans="2:10" x14ac:dyDescent="0.2">
      <c r="B370" s="22">
        <v>372</v>
      </c>
      <c r="C370" s="23" t="s">
        <v>10487</v>
      </c>
      <c r="D370" s="23" t="s">
        <v>1532</v>
      </c>
      <c r="E370" s="20" t="s">
        <v>10488</v>
      </c>
      <c r="F370" s="22">
        <v>7</v>
      </c>
      <c r="G370" s="22" t="s">
        <v>10489</v>
      </c>
      <c r="H370" s="22">
        <v>1</v>
      </c>
      <c r="I370" s="25">
        <v>43263</v>
      </c>
      <c r="J370" s="24">
        <v>43291</v>
      </c>
    </row>
    <row r="371" spans="2:10" x14ac:dyDescent="0.2">
      <c r="B371" s="22">
        <v>373</v>
      </c>
      <c r="C371" s="23" t="s">
        <v>10490</v>
      </c>
      <c r="D371" s="23" t="s">
        <v>6165</v>
      </c>
      <c r="E371" s="20" t="s">
        <v>10491</v>
      </c>
      <c r="F371" s="22">
        <v>4</v>
      </c>
      <c r="G371" s="22" t="s">
        <v>1159</v>
      </c>
      <c r="H371" s="22" t="s">
        <v>1159</v>
      </c>
      <c r="I371" s="25">
        <v>43132</v>
      </c>
      <c r="J371" s="24">
        <v>43271</v>
      </c>
    </row>
    <row r="372" spans="2:10" x14ac:dyDescent="0.2">
      <c r="B372" s="22">
        <v>374</v>
      </c>
      <c r="C372" s="23" t="s">
        <v>10492</v>
      </c>
      <c r="D372" s="23" t="s">
        <v>1235</v>
      </c>
      <c r="E372" s="20" t="s">
        <v>10493</v>
      </c>
      <c r="F372" s="22">
        <v>22</v>
      </c>
      <c r="G372" s="22" t="s">
        <v>1159</v>
      </c>
      <c r="H372" s="22" t="s">
        <v>1159</v>
      </c>
      <c r="I372" s="25">
        <v>43440</v>
      </c>
      <c r="J372" s="24">
        <v>43453</v>
      </c>
    </row>
    <row r="373" spans="2:10" x14ac:dyDescent="0.2">
      <c r="B373" s="22">
        <v>375</v>
      </c>
      <c r="C373" s="23" t="s">
        <v>10494</v>
      </c>
      <c r="D373" s="23" t="s">
        <v>2010</v>
      </c>
      <c r="E373" s="20" t="s">
        <v>10495</v>
      </c>
      <c r="F373" s="22">
        <v>5</v>
      </c>
      <c r="G373" s="22" t="s">
        <v>6539</v>
      </c>
      <c r="H373" s="22">
        <v>1</v>
      </c>
      <c r="I373" s="25">
        <v>43160</v>
      </c>
      <c r="J373" s="24">
        <v>43397</v>
      </c>
    </row>
    <row r="374" spans="2:10" x14ac:dyDescent="0.2">
      <c r="B374" s="22">
        <v>376</v>
      </c>
      <c r="C374" s="23" t="s">
        <v>10496</v>
      </c>
      <c r="D374" s="23" t="s">
        <v>5254</v>
      </c>
      <c r="E374" s="20" t="s">
        <v>10497</v>
      </c>
      <c r="F374" s="22">
        <v>53</v>
      </c>
      <c r="G374" s="22" t="s">
        <v>10498</v>
      </c>
      <c r="H374" s="22">
        <v>53</v>
      </c>
      <c r="I374" s="25">
        <v>43230</v>
      </c>
      <c r="J374" s="24">
        <v>43243</v>
      </c>
    </row>
    <row r="375" spans="2:10" x14ac:dyDescent="0.2">
      <c r="B375" s="22">
        <v>377</v>
      </c>
      <c r="C375" s="23" t="s">
        <v>10499</v>
      </c>
      <c r="D375" s="23" t="s">
        <v>1142</v>
      </c>
      <c r="E375" s="20" t="s">
        <v>10500</v>
      </c>
      <c r="F375" s="22">
        <v>12</v>
      </c>
      <c r="G375" s="22" t="s">
        <v>10501</v>
      </c>
      <c r="H375" s="22">
        <v>1</v>
      </c>
      <c r="I375" s="25">
        <v>43174</v>
      </c>
      <c r="J375" s="24">
        <v>43229</v>
      </c>
    </row>
    <row r="376" spans="2:10" x14ac:dyDescent="0.2">
      <c r="B376" s="22">
        <v>378</v>
      </c>
      <c r="C376" s="23" t="s">
        <v>10502</v>
      </c>
      <c r="D376" s="23" t="s">
        <v>1142</v>
      </c>
      <c r="E376" s="20" t="s">
        <v>10503</v>
      </c>
      <c r="F376" s="22">
        <v>6</v>
      </c>
      <c r="G376" s="22" t="s">
        <v>10504</v>
      </c>
      <c r="H376" s="22">
        <v>2</v>
      </c>
      <c r="I376" s="25">
        <v>43363</v>
      </c>
      <c r="J376" s="24">
        <v>43418</v>
      </c>
    </row>
    <row r="377" spans="2:10" x14ac:dyDescent="0.2">
      <c r="B377" s="22">
        <v>379</v>
      </c>
      <c r="C377" s="23" t="s">
        <v>10505</v>
      </c>
      <c r="D377" s="23" t="s">
        <v>8353</v>
      </c>
      <c r="E377" s="20" t="s">
        <v>10506</v>
      </c>
      <c r="F377" s="22">
        <v>4</v>
      </c>
      <c r="G377" s="22" t="s">
        <v>10507</v>
      </c>
      <c r="H377" s="22">
        <v>2</v>
      </c>
      <c r="I377" s="25">
        <v>43216</v>
      </c>
      <c r="J377" s="24">
        <v>43102</v>
      </c>
    </row>
    <row r="378" spans="2:10" x14ac:dyDescent="0.2">
      <c r="B378" s="22">
        <v>380</v>
      </c>
      <c r="C378" s="23" t="s">
        <v>10508</v>
      </c>
      <c r="D378" s="23" t="s">
        <v>9910</v>
      </c>
      <c r="E378" s="20" t="s">
        <v>10509</v>
      </c>
      <c r="F378" s="22">
        <v>24</v>
      </c>
      <c r="G378" s="22" t="s">
        <v>10510</v>
      </c>
      <c r="H378" s="22">
        <v>24</v>
      </c>
      <c r="I378" s="25">
        <v>43391</v>
      </c>
      <c r="J378" s="24">
        <v>43414</v>
      </c>
    </row>
    <row r="379" spans="2:10" x14ac:dyDescent="0.2">
      <c r="B379" s="22">
        <v>381</v>
      </c>
      <c r="C379" s="23" t="s">
        <v>10511</v>
      </c>
      <c r="D379" s="23" t="s">
        <v>6537</v>
      </c>
      <c r="E379" s="20" t="s">
        <v>10512</v>
      </c>
      <c r="F379" s="22">
        <v>16</v>
      </c>
      <c r="G379" s="22" t="s">
        <v>6774</v>
      </c>
      <c r="H379" s="22">
        <v>2</v>
      </c>
      <c r="I379" s="25">
        <v>43160</v>
      </c>
      <c r="J379" s="24">
        <v>43236</v>
      </c>
    </row>
    <row r="380" spans="2:10" x14ac:dyDescent="0.2">
      <c r="B380" s="22">
        <v>382</v>
      </c>
      <c r="C380" s="23" t="s">
        <v>10513</v>
      </c>
      <c r="D380" s="23" t="s">
        <v>8353</v>
      </c>
      <c r="E380" s="20" t="s">
        <v>10514</v>
      </c>
      <c r="F380" s="22">
        <v>12</v>
      </c>
      <c r="G380" s="22" t="s">
        <v>10402</v>
      </c>
      <c r="H380" s="22">
        <v>2</v>
      </c>
      <c r="I380" s="25">
        <v>43412</v>
      </c>
      <c r="J380" s="24">
        <v>43186</v>
      </c>
    </row>
    <row r="381" spans="2:10" x14ac:dyDescent="0.2">
      <c r="B381" s="22">
        <v>383</v>
      </c>
      <c r="C381" s="23" t="s">
        <v>10515</v>
      </c>
      <c r="D381" s="23" t="s">
        <v>1880</v>
      </c>
      <c r="E381" s="20" t="s">
        <v>10516</v>
      </c>
      <c r="F381" s="22">
        <v>9</v>
      </c>
      <c r="G381" s="22" t="s">
        <v>10517</v>
      </c>
      <c r="H381" s="22">
        <v>1</v>
      </c>
      <c r="I381" s="25">
        <v>43454</v>
      </c>
      <c r="J381" s="24">
        <v>43207</v>
      </c>
    </row>
    <row r="382" spans="2:10" x14ac:dyDescent="0.2">
      <c r="B382" s="22">
        <v>384</v>
      </c>
      <c r="C382" s="23" t="s">
        <v>10518</v>
      </c>
      <c r="D382" s="23" t="s">
        <v>1640</v>
      </c>
      <c r="E382" s="20" t="s">
        <v>10519</v>
      </c>
      <c r="F382" s="22">
        <v>4</v>
      </c>
      <c r="G382" s="22" t="s">
        <v>10520</v>
      </c>
      <c r="H382" s="22">
        <v>1</v>
      </c>
      <c r="I382" s="25">
        <v>43405</v>
      </c>
      <c r="J382" s="22" t="s">
        <v>558</v>
      </c>
    </row>
    <row r="383" spans="2:10" x14ac:dyDescent="0.2">
      <c r="B383" s="22">
        <v>385</v>
      </c>
      <c r="C383" s="23" t="s">
        <v>10521</v>
      </c>
      <c r="D383" s="23" t="s">
        <v>1248</v>
      </c>
      <c r="E383" s="20" t="s">
        <v>4421</v>
      </c>
      <c r="F383" s="22">
        <v>16</v>
      </c>
      <c r="G383" s="22" t="s">
        <v>8834</v>
      </c>
      <c r="H383" s="22">
        <v>16</v>
      </c>
      <c r="I383" s="25">
        <v>43263</v>
      </c>
      <c r="J383" s="24">
        <v>43320</v>
      </c>
    </row>
    <row r="384" spans="2:10" x14ac:dyDescent="0.2">
      <c r="B384" s="22">
        <v>386</v>
      </c>
      <c r="C384" s="23" t="s">
        <v>10522</v>
      </c>
      <c r="D384" s="23" t="s">
        <v>1640</v>
      </c>
      <c r="E384" s="20" t="s">
        <v>10523</v>
      </c>
      <c r="F384" s="22">
        <v>9</v>
      </c>
      <c r="G384" s="22" t="s">
        <v>10524</v>
      </c>
      <c r="H384" s="22">
        <v>1</v>
      </c>
      <c r="I384" s="25">
        <v>43375</v>
      </c>
      <c r="J384" s="24">
        <v>43130</v>
      </c>
    </row>
    <row r="385" spans="2:10" x14ac:dyDescent="0.2">
      <c r="B385" s="22">
        <v>387</v>
      </c>
      <c r="C385" s="23" t="s">
        <v>10525</v>
      </c>
      <c r="D385" s="23" t="s">
        <v>1210</v>
      </c>
      <c r="E385" s="20" t="s">
        <v>10526</v>
      </c>
      <c r="F385" s="22">
        <v>23</v>
      </c>
      <c r="G385" s="22" t="s">
        <v>10527</v>
      </c>
      <c r="H385" s="22">
        <v>23</v>
      </c>
      <c r="I385" s="25">
        <v>43363</v>
      </c>
      <c r="J385" s="24">
        <v>43376</v>
      </c>
    </row>
    <row r="386" spans="2:10" x14ac:dyDescent="0.2">
      <c r="B386" s="22">
        <v>388</v>
      </c>
      <c r="C386" s="23" t="s">
        <v>10528</v>
      </c>
      <c r="D386" s="23" t="s">
        <v>1338</v>
      </c>
      <c r="E386" s="20" t="s">
        <v>10529</v>
      </c>
      <c r="F386" s="22">
        <v>7</v>
      </c>
      <c r="G386" s="22" t="s">
        <v>6684</v>
      </c>
      <c r="H386" s="22">
        <v>1</v>
      </c>
      <c r="I386" s="25">
        <v>43235</v>
      </c>
      <c r="J386" s="24">
        <v>43320</v>
      </c>
    </row>
    <row r="387" spans="2:10" x14ac:dyDescent="0.2">
      <c r="B387" s="22">
        <v>389</v>
      </c>
      <c r="C387" s="23" t="s">
        <v>10530</v>
      </c>
      <c r="D387" s="23" t="s">
        <v>1294</v>
      </c>
      <c r="E387" s="20" t="s">
        <v>10531</v>
      </c>
      <c r="F387" s="22">
        <v>10</v>
      </c>
      <c r="G387" s="22" t="s">
        <v>10532</v>
      </c>
      <c r="H387" s="22">
        <v>2</v>
      </c>
      <c r="I387" s="25">
        <v>43230</v>
      </c>
      <c r="J387" s="24">
        <v>43257</v>
      </c>
    </row>
    <row r="388" spans="2:10" x14ac:dyDescent="0.2">
      <c r="B388" s="22">
        <v>390</v>
      </c>
      <c r="C388" s="23" t="s">
        <v>10533</v>
      </c>
      <c r="D388" s="23" t="s">
        <v>8234</v>
      </c>
      <c r="E388" s="20" t="s">
        <v>10534</v>
      </c>
      <c r="F388" s="22">
        <v>23</v>
      </c>
      <c r="G388" s="22" t="s">
        <v>10535</v>
      </c>
      <c r="H388" s="22">
        <v>23</v>
      </c>
      <c r="I388" s="25">
        <v>43167</v>
      </c>
      <c r="J388" s="24">
        <v>43215</v>
      </c>
    </row>
    <row r="389" spans="2:10" x14ac:dyDescent="0.2">
      <c r="B389" s="22">
        <v>391</v>
      </c>
      <c r="C389" s="23" t="s">
        <v>10536</v>
      </c>
      <c r="D389" s="23" t="s">
        <v>1942</v>
      </c>
      <c r="E389" s="20" t="s">
        <v>10537</v>
      </c>
      <c r="F389" s="22">
        <v>14</v>
      </c>
      <c r="G389" s="22" t="s">
        <v>10538</v>
      </c>
      <c r="H389" s="22">
        <v>1</v>
      </c>
      <c r="I389" s="25">
        <v>43370</v>
      </c>
      <c r="J389" s="24">
        <v>43112</v>
      </c>
    </row>
    <row r="390" spans="2:10" x14ac:dyDescent="0.2">
      <c r="B390" s="22">
        <v>392</v>
      </c>
      <c r="C390" s="23" t="s">
        <v>10539</v>
      </c>
      <c r="D390" s="23" t="s">
        <v>1142</v>
      </c>
      <c r="E390" s="20" t="s">
        <v>10540</v>
      </c>
      <c r="F390" s="22">
        <v>13</v>
      </c>
      <c r="G390" s="22" t="s">
        <v>2321</v>
      </c>
      <c r="H390" s="22">
        <v>3</v>
      </c>
      <c r="I390" s="25">
        <v>43202</v>
      </c>
      <c r="J390" s="24">
        <v>43229</v>
      </c>
    </row>
    <row r="391" spans="2:10" x14ac:dyDescent="0.2">
      <c r="B391" s="22">
        <v>393</v>
      </c>
      <c r="C391" s="23" t="s">
        <v>10541</v>
      </c>
      <c r="D391" s="23" t="s">
        <v>1039</v>
      </c>
      <c r="E391" s="20" t="s">
        <v>10542</v>
      </c>
      <c r="F391" s="22">
        <v>68</v>
      </c>
      <c r="G391" s="22" t="s">
        <v>10543</v>
      </c>
      <c r="H391" s="22">
        <v>68</v>
      </c>
      <c r="I391" s="25">
        <v>43412</v>
      </c>
      <c r="J391" s="24">
        <v>43435</v>
      </c>
    </row>
    <row r="392" spans="2:10" x14ac:dyDescent="0.2">
      <c r="B392" s="22">
        <v>394</v>
      </c>
      <c r="C392" s="23" t="s">
        <v>10544</v>
      </c>
      <c r="D392" s="23" t="s">
        <v>4383</v>
      </c>
      <c r="E392" s="20" t="s">
        <v>10545</v>
      </c>
      <c r="F392" s="22">
        <v>7</v>
      </c>
      <c r="G392" s="22" t="s">
        <v>1159</v>
      </c>
      <c r="H392" s="22" t="s">
        <v>1159</v>
      </c>
      <c r="I392" s="25">
        <v>43405</v>
      </c>
      <c r="J392" s="24">
        <v>43305</v>
      </c>
    </row>
    <row r="393" spans="2:10" x14ac:dyDescent="0.2">
      <c r="B393" s="22">
        <v>395</v>
      </c>
      <c r="C393" s="23" t="s">
        <v>10546</v>
      </c>
      <c r="D393" s="23" t="s">
        <v>1532</v>
      </c>
      <c r="E393" s="20" t="s">
        <v>10547</v>
      </c>
      <c r="F393" s="22">
        <v>10</v>
      </c>
      <c r="G393" s="22" t="s">
        <v>10548</v>
      </c>
      <c r="H393" s="22">
        <v>1</v>
      </c>
      <c r="I393" s="25">
        <v>43335</v>
      </c>
      <c r="J393" s="24">
        <v>43123</v>
      </c>
    </row>
    <row r="394" spans="2:10" x14ac:dyDescent="0.2">
      <c r="B394" s="22">
        <v>396</v>
      </c>
      <c r="C394" s="23" t="s">
        <v>10549</v>
      </c>
      <c r="D394" s="23" t="s">
        <v>5638</v>
      </c>
      <c r="E394" s="20" t="s">
        <v>10550</v>
      </c>
      <c r="F394" s="22">
        <v>110</v>
      </c>
      <c r="G394" s="22" t="s">
        <v>10551</v>
      </c>
      <c r="H394" s="22">
        <v>110</v>
      </c>
      <c r="I394" s="25">
        <v>43230</v>
      </c>
      <c r="J394" s="24">
        <v>43236</v>
      </c>
    </row>
    <row r="395" spans="2:10" x14ac:dyDescent="0.2">
      <c r="B395" s="22">
        <v>397</v>
      </c>
      <c r="C395" s="23" t="s">
        <v>10552</v>
      </c>
      <c r="D395" s="23" t="s">
        <v>10553</v>
      </c>
      <c r="E395" s="20" t="s">
        <v>10554</v>
      </c>
      <c r="F395" s="22">
        <v>6</v>
      </c>
      <c r="G395" s="22" t="s">
        <v>10555</v>
      </c>
      <c r="H395" s="22">
        <v>2</v>
      </c>
      <c r="I395" s="25">
        <v>43419</v>
      </c>
      <c r="J395" s="24">
        <v>43221</v>
      </c>
    </row>
    <row r="396" spans="2:10" x14ac:dyDescent="0.2">
      <c r="B396" s="22">
        <v>398</v>
      </c>
      <c r="C396" s="23" t="s">
        <v>10556</v>
      </c>
      <c r="D396" s="23" t="s">
        <v>10463</v>
      </c>
      <c r="E396" s="20" t="s">
        <v>10557</v>
      </c>
      <c r="F396" s="22">
        <v>35</v>
      </c>
      <c r="G396" s="22" t="s">
        <v>10558</v>
      </c>
      <c r="H396" s="22">
        <v>29</v>
      </c>
      <c r="I396" s="25">
        <v>43139</v>
      </c>
      <c r="J396" s="24">
        <v>43152</v>
      </c>
    </row>
    <row r="397" spans="2:10" x14ac:dyDescent="0.2">
      <c r="B397" s="22">
        <v>399</v>
      </c>
      <c r="C397" s="23" t="s">
        <v>10559</v>
      </c>
      <c r="D397" s="23" t="s">
        <v>1294</v>
      </c>
      <c r="E397" s="20" t="s">
        <v>10560</v>
      </c>
      <c r="F397" s="22">
        <v>9</v>
      </c>
      <c r="G397" s="22" t="s">
        <v>10561</v>
      </c>
      <c r="H397" s="22">
        <v>1</v>
      </c>
      <c r="I397" s="25">
        <v>43314</v>
      </c>
      <c r="J397" s="24">
        <v>43348</v>
      </c>
    </row>
    <row r="398" spans="2:10" x14ac:dyDescent="0.2">
      <c r="B398" s="22">
        <v>400</v>
      </c>
      <c r="C398" s="23" t="s">
        <v>10562</v>
      </c>
      <c r="D398" s="23" t="s">
        <v>8353</v>
      </c>
      <c r="E398" s="20" t="s">
        <v>10563</v>
      </c>
      <c r="F398" s="22">
        <v>6</v>
      </c>
      <c r="G398" s="22" t="s">
        <v>10564</v>
      </c>
      <c r="H398" s="22">
        <v>1</v>
      </c>
      <c r="I398" s="25">
        <v>43293</v>
      </c>
      <c r="J398" s="24">
        <v>43460</v>
      </c>
    </row>
    <row r="399" spans="2:10" x14ac:dyDescent="0.2">
      <c r="B399" s="22">
        <v>401</v>
      </c>
      <c r="C399" s="23" t="s">
        <v>10565</v>
      </c>
      <c r="D399" s="23" t="s">
        <v>1415</v>
      </c>
      <c r="E399" s="20" t="s">
        <v>10566</v>
      </c>
      <c r="F399" s="22">
        <v>44</v>
      </c>
      <c r="G399" s="22" t="s">
        <v>10567</v>
      </c>
      <c r="H399" s="22">
        <v>44</v>
      </c>
      <c r="I399" s="25">
        <v>43307</v>
      </c>
      <c r="J399" s="24">
        <v>43320</v>
      </c>
    </row>
    <row r="400" spans="2:10" x14ac:dyDescent="0.2">
      <c r="B400" s="22">
        <v>402</v>
      </c>
      <c r="C400" s="23" t="s">
        <v>10568</v>
      </c>
      <c r="D400" s="23" t="s">
        <v>1183</v>
      </c>
      <c r="E400" s="20" t="s">
        <v>10569</v>
      </c>
      <c r="F400" s="22">
        <v>20</v>
      </c>
      <c r="G400" s="22" t="s">
        <v>10570</v>
      </c>
      <c r="H400" s="22">
        <v>20</v>
      </c>
      <c r="I400" s="25">
        <v>43363</v>
      </c>
      <c r="J400" s="24">
        <v>43386</v>
      </c>
    </row>
    <row r="401" spans="2:10" x14ac:dyDescent="0.2">
      <c r="B401" s="22">
        <v>403</v>
      </c>
      <c r="C401" s="23" t="s">
        <v>10571</v>
      </c>
      <c r="D401" s="23" t="s">
        <v>10572</v>
      </c>
      <c r="E401" s="20" t="s">
        <v>10573</v>
      </c>
      <c r="F401" s="22">
        <v>15</v>
      </c>
      <c r="G401" s="22" t="s">
        <v>10574</v>
      </c>
      <c r="H401" s="22">
        <v>15</v>
      </c>
      <c r="I401" s="25">
        <v>43349</v>
      </c>
      <c r="J401" s="24">
        <v>43376</v>
      </c>
    </row>
    <row r="402" spans="2:10" x14ac:dyDescent="0.2">
      <c r="B402" s="22">
        <v>404</v>
      </c>
      <c r="C402" s="23" t="s">
        <v>10575</v>
      </c>
      <c r="D402" s="23" t="s">
        <v>2148</v>
      </c>
      <c r="E402" s="20" t="s">
        <v>10576</v>
      </c>
      <c r="F402" s="22">
        <v>3</v>
      </c>
      <c r="G402" s="22" t="s">
        <v>10577</v>
      </c>
      <c r="H402" s="22">
        <v>3</v>
      </c>
      <c r="I402" s="25">
        <v>43356</v>
      </c>
      <c r="J402" s="24">
        <v>43311</v>
      </c>
    </row>
    <row r="403" spans="2:10" x14ac:dyDescent="0.2">
      <c r="B403" s="22">
        <v>405</v>
      </c>
      <c r="C403" s="23" t="s">
        <v>10578</v>
      </c>
      <c r="D403" s="23" t="s">
        <v>2051</v>
      </c>
      <c r="E403" s="20" t="s">
        <v>10579</v>
      </c>
      <c r="F403" s="22">
        <v>11</v>
      </c>
      <c r="G403" s="22" t="s">
        <v>10580</v>
      </c>
      <c r="H403" s="22">
        <v>1</v>
      </c>
      <c r="I403" s="25">
        <v>43174</v>
      </c>
      <c r="J403" s="24">
        <v>43239</v>
      </c>
    </row>
    <row r="404" spans="2:10" x14ac:dyDescent="0.2">
      <c r="B404" s="22">
        <v>406</v>
      </c>
      <c r="C404" s="23" t="s">
        <v>10581</v>
      </c>
      <c r="D404" s="23" t="s">
        <v>10582</v>
      </c>
      <c r="E404" s="20" t="s">
        <v>10583</v>
      </c>
      <c r="F404" s="22">
        <v>4</v>
      </c>
      <c r="G404" s="22" t="s">
        <v>1159</v>
      </c>
      <c r="H404" s="22" t="s">
        <v>1159</v>
      </c>
      <c r="I404" s="25">
        <v>43258</v>
      </c>
      <c r="J404" s="24">
        <v>43319</v>
      </c>
    </row>
    <row r="405" spans="2:10" x14ac:dyDescent="0.2">
      <c r="B405" s="22">
        <v>407</v>
      </c>
      <c r="C405" s="23" t="s">
        <v>10584</v>
      </c>
      <c r="D405" s="23" t="s">
        <v>1039</v>
      </c>
      <c r="E405" s="20" t="s">
        <v>10585</v>
      </c>
      <c r="F405" s="22">
        <v>8</v>
      </c>
      <c r="G405" s="22" t="s">
        <v>10586</v>
      </c>
      <c r="H405" s="22">
        <v>4</v>
      </c>
      <c r="I405" s="25">
        <v>43230</v>
      </c>
      <c r="J405" s="24">
        <v>43278</v>
      </c>
    </row>
    <row r="406" spans="2:10" x14ac:dyDescent="0.2">
      <c r="B406" s="22">
        <v>408</v>
      </c>
      <c r="C406" s="23" t="s">
        <v>10587</v>
      </c>
      <c r="D406" s="23" t="s">
        <v>8353</v>
      </c>
      <c r="E406" s="20" t="s">
        <v>10588</v>
      </c>
      <c r="F406" s="22">
        <v>5</v>
      </c>
      <c r="G406" s="22" t="s">
        <v>10589</v>
      </c>
      <c r="H406" s="22">
        <v>1</v>
      </c>
      <c r="I406" s="25">
        <v>43384</v>
      </c>
      <c r="J406" s="24">
        <v>43102</v>
      </c>
    </row>
    <row r="407" spans="2:10" x14ac:dyDescent="0.2">
      <c r="B407" s="22">
        <v>409</v>
      </c>
      <c r="C407" s="23" t="s">
        <v>10590</v>
      </c>
      <c r="D407" s="23" t="s">
        <v>1175</v>
      </c>
      <c r="E407" s="20" t="s">
        <v>10591</v>
      </c>
      <c r="F407" s="22">
        <v>7</v>
      </c>
      <c r="G407" s="22" t="s">
        <v>10592</v>
      </c>
      <c r="H407" s="22">
        <v>6</v>
      </c>
      <c r="I407" s="25">
        <v>43354</v>
      </c>
      <c r="J407" s="24">
        <v>43372</v>
      </c>
    </row>
    <row r="408" spans="2:10" x14ac:dyDescent="0.2">
      <c r="B408" s="22">
        <v>410</v>
      </c>
      <c r="C408" s="23" t="s">
        <v>10593</v>
      </c>
      <c r="D408" s="23" t="s">
        <v>1942</v>
      </c>
      <c r="E408" s="20" t="s">
        <v>10594</v>
      </c>
      <c r="F408" s="22">
        <v>1</v>
      </c>
      <c r="G408" s="22" t="s">
        <v>10595</v>
      </c>
      <c r="H408" s="22">
        <v>1</v>
      </c>
      <c r="I408" s="25">
        <v>43209</v>
      </c>
      <c r="J408" s="24">
        <v>43330</v>
      </c>
    </row>
    <row r="409" spans="2:10" x14ac:dyDescent="0.2">
      <c r="B409" s="22">
        <v>411</v>
      </c>
      <c r="C409" s="23" t="s">
        <v>10596</v>
      </c>
      <c r="D409" s="23" t="s">
        <v>1761</v>
      </c>
      <c r="E409" s="20" t="s">
        <v>10597</v>
      </c>
      <c r="F409" s="22">
        <v>9</v>
      </c>
      <c r="G409" s="22" t="s">
        <v>10598</v>
      </c>
      <c r="H409" s="22">
        <v>1</v>
      </c>
      <c r="I409" s="25">
        <v>43356</v>
      </c>
      <c r="J409" s="24">
        <v>43376</v>
      </c>
    </row>
    <row r="410" spans="2:10" x14ac:dyDescent="0.2">
      <c r="B410" s="22">
        <v>412</v>
      </c>
      <c r="C410" s="23" t="s">
        <v>10599</v>
      </c>
      <c r="D410" s="23" t="s">
        <v>1415</v>
      </c>
      <c r="E410" s="20" t="s">
        <v>10600</v>
      </c>
      <c r="F410" s="22">
        <v>23</v>
      </c>
      <c r="G410" s="22" t="s">
        <v>1282</v>
      </c>
      <c r="H410" s="22">
        <v>23</v>
      </c>
      <c r="I410" s="25">
        <v>43104</v>
      </c>
      <c r="J410" s="24">
        <v>43117</v>
      </c>
    </row>
    <row r="411" spans="2:10" x14ac:dyDescent="0.2">
      <c r="B411" s="22">
        <v>413</v>
      </c>
      <c r="C411" s="23" t="s">
        <v>10601</v>
      </c>
      <c r="D411" s="23" t="s">
        <v>10602</v>
      </c>
      <c r="E411" s="20" t="s">
        <v>10603</v>
      </c>
      <c r="F411" s="22">
        <v>16</v>
      </c>
      <c r="G411" s="22" t="s">
        <v>10604</v>
      </c>
      <c r="H411" s="22">
        <v>16</v>
      </c>
      <c r="I411" s="25">
        <v>43363</v>
      </c>
      <c r="J411" s="24">
        <v>43383</v>
      </c>
    </row>
    <row r="412" spans="2:10" x14ac:dyDescent="0.2">
      <c r="B412" s="22">
        <v>414</v>
      </c>
      <c r="C412" s="23" t="s">
        <v>10605</v>
      </c>
      <c r="D412" s="23" t="s">
        <v>1135</v>
      </c>
      <c r="E412" s="20" t="s">
        <v>10606</v>
      </c>
      <c r="F412" s="22">
        <v>11</v>
      </c>
      <c r="G412" s="22" t="s">
        <v>10607</v>
      </c>
      <c r="H412" s="22">
        <v>11</v>
      </c>
      <c r="I412" s="25">
        <v>43258</v>
      </c>
      <c r="J412" s="22" t="s">
        <v>558</v>
      </c>
    </row>
    <row r="413" spans="2:10" x14ac:dyDescent="0.2">
      <c r="B413" s="22">
        <v>415</v>
      </c>
      <c r="C413" s="23" t="s">
        <v>10608</v>
      </c>
      <c r="D413" s="23" t="s">
        <v>3627</v>
      </c>
      <c r="E413" s="20" t="s">
        <v>10609</v>
      </c>
      <c r="F413" s="22">
        <v>20</v>
      </c>
      <c r="G413" s="22" t="s">
        <v>10610</v>
      </c>
      <c r="H413" s="22">
        <v>16</v>
      </c>
      <c r="I413" s="25">
        <v>43188</v>
      </c>
      <c r="J413" s="22" t="s">
        <v>558</v>
      </c>
    </row>
    <row r="414" spans="2:10" x14ac:dyDescent="0.2">
      <c r="B414" s="22">
        <v>416</v>
      </c>
      <c r="C414" s="23" t="s">
        <v>10611</v>
      </c>
      <c r="D414" s="23" t="s">
        <v>10612</v>
      </c>
      <c r="E414" s="20" t="s">
        <v>10613</v>
      </c>
      <c r="F414" s="22">
        <v>4</v>
      </c>
      <c r="G414" s="22" t="s">
        <v>10614</v>
      </c>
      <c r="H414" s="22">
        <v>2</v>
      </c>
      <c r="I414" s="25">
        <v>43412</v>
      </c>
      <c r="J414" s="22" t="s">
        <v>558</v>
      </c>
    </row>
    <row r="415" spans="2:10" x14ac:dyDescent="0.2">
      <c r="B415" s="22">
        <v>417</v>
      </c>
      <c r="C415" s="23" t="s">
        <v>10615</v>
      </c>
      <c r="D415" s="23" t="s">
        <v>38</v>
      </c>
      <c r="E415" s="20" t="s">
        <v>10616</v>
      </c>
      <c r="F415" s="22">
        <v>18</v>
      </c>
      <c r="G415" s="22" t="s">
        <v>10617</v>
      </c>
      <c r="H415" s="22">
        <v>2</v>
      </c>
      <c r="I415" s="25">
        <v>43139</v>
      </c>
      <c r="J415" s="24">
        <v>43152</v>
      </c>
    </row>
    <row r="416" spans="2:10" x14ac:dyDescent="0.2">
      <c r="B416" s="22">
        <v>418</v>
      </c>
      <c r="C416" s="23" t="s">
        <v>10618</v>
      </c>
      <c r="D416" s="23" t="s">
        <v>8353</v>
      </c>
      <c r="E416" s="20" t="s">
        <v>10619</v>
      </c>
      <c r="F416" s="22">
        <v>6</v>
      </c>
      <c r="G416" s="22" t="s">
        <v>9227</v>
      </c>
      <c r="H416" s="22">
        <v>2</v>
      </c>
      <c r="I416" s="25">
        <v>43342</v>
      </c>
      <c r="J416" s="24">
        <v>43355</v>
      </c>
    </row>
    <row r="417" spans="2:10" x14ac:dyDescent="0.2">
      <c r="B417" s="22">
        <v>419</v>
      </c>
      <c r="C417" s="23" t="s">
        <v>10620</v>
      </c>
      <c r="D417" s="23" t="s">
        <v>10621</v>
      </c>
      <c r="E417" s="20" t="s">
        <v>10622</v>
      </c>
      <c r="F417" s="22">
        <v>50</v>
      </c>
      <c r="G417" s="22" t="s">
        <v>10622</v>
      </c>
      <c r="H417" s="22">
        <v>50</v>
      </c>
      <c r="I417" s="25">
        <v>43167</v>
      </c>
      <c r="J417" s="22" t="s">
        <v>558</v>
      </c>
    </row>
    <row r="418" spans="2:10" x14ac:dyDescent="0.2">
      <c r="B418" s="22">
        <v>420</v>
      </c>
      <c r="C418" s="23" t="s">
        <v>10623</v>
      </c>
      <c r="D418" s="23" t="s">
        <v>10262</v>
      </c>
      <c r="E418" s="20" t="s">
        <v>10624</v>
      </c>
      <c r="F418" s="22">
        <v>4</v>
      </c>
      <c r="G418" s="22" t="s">
        <v>1682</v>
      </c>
      <c r="H418" s="22">
        <v>2</v>
      </c>
      <c r="I418" s="25">
        <v>43181</v>
      </c>
      <c r="J418" s="22" t="s">
        <v>558</v>
      </c>
    </row>
    <row r="419" spans="2:10" x14ac:dyDescent="0.2">
      <c r="B419" s="22">
        <v>421</v>
      </c>
      <c r="C419" s="23" t="s">
        <v>10625</v>
      </c>
      <c r="D419" s="23" t="s">
        <v>1210</v>
      </c>
      <c r="E419" s="20" t="s">
        <v>10626</v>
      </c>
      <c r="F419" s="22">
        <v>6</v>
      </c>
      <c r="G419" s="22" t="s">
        <v>10627</v>
      </c>
      <c r="H419" s="22">
        <v>6</v>
      </c>
      <c r="I419" s="25">
        <v>43328</v>
      </c>
      <c r="J419" s="24">
        <v>43345</v>
      </c>
    </row>
    <row r="420" spans="2:10" x14ac:dyDescent="0.2">
      <c r="B420" s="22">
        <v>422</v>
      </c>
      <c r="C420" s="23" t="s">
        <v>10628</v>
      </c>
      <c r="D420" s="23" t="s">
        <v>1942</v>
      </c>
      <c r="E420" s="20" t="s">
        <v>10629</v>
      </c>
      <c r="F420" s="22">
        <v>2</v>
      </c>
      <c r="G420" s="22" t="s">
        <v>10630</v>
      </c>
      <c r="H420" s="22">
        <v>1</v>
      </c>
      <c r="I420" s="25">
        <v>43349</v>
      </c>
      <c r="J420" s="24">
        <v>43123</v>
      </c>
    </row>
    <row r="421" spans="2:10" x14ac:dyDescent="0.2">
      <c r="B421" s="22">
        <v>423</v>
      </c>
      <c r="C421" s="23" t="s">
        <v>10631</v>
      </c>
      <c r="D421" s="23" t="s">
        <v>2010</v>
      </c>
      <c r="E421" s="20" t="s">
        <v>10632</v>
      </c>
      <c r="F421" s="22">
        <v>3</v>
      </c>
      <c r="G421" s="22" t="s">
        <v>10633</v>
      </c>
      <c r="H421" s="22">
        <v>1</v>
      </c>
      <c r="I421" s="25">
        <v>43193</v>
      </c>
      <c r="J421" s="24">
        <v>43446</v>
      </c>
    </row>
    <row r="422" spans="2:10" x14ac:dyDescent="0.2">
      <c r="B422" s="22">
        <v>424</v>
      </c>
      <c r="C422" s="23" t="s">
        <v>10634</v>
      </c>
      <c r="D422" s="23" t="s">
        <v>5638</v>
      </c>
      <c r="E422" s="20" t="s">
        <v>10635</v>
      </c>
      <c r="F422" s="22">
        <v>25</v>
      </c>
      <c r="G422" s="22" t="s">
        <v>10636</v>
      </c>
      <c r="H422" s="22">
        <v>2</v>
      </c>
      <c r="I422" s="25">
        <v>43377</v>
      </c>
      <c r="J422" s="24">
        <v>43397</v>
      </c>
    </row>
    <row r="423" spans="2:10" x14ac:dyDescent="0.2">
      <c r="B423" s="22">
        <v>425</v>
      </c>
      <c r="C423" s="23" t="s">
        <v>10637</v>
      </c>
      <c r="D423" s="23" t="s">
        <v>1804</v>
      </c>
      <c r="E423" s="20" t="s">
        <v>10638</v>
      </c>
      <c r="F423" s="22">
        <v>9</v>
      </c>
      <c r="G423" s="22" t="s">
        <v>10639</v>
      </c>
      <c r="H423" s="22">
        <v>2</v>
      </c>
      <c r="I423" s="25">
        <v>43363</v>
      </c>
      <c r="J423" s="24">
        <v>43425</v>
      </c>
    </row>
    <row r="424" spans="2:10" x14ac:dyDescent="0.2">
      <c r="B424" s="22">
        <v>426</v>
      </c>
      <c r="C424" s="23" t="s">
        <v>10640</v>
      </c>
      <c r="D424" s="23" t="s">
        <v>10262</v>
      </c>
      <c r="E424" s="20" t="s">
        <v>10641</v>
      </c>
      <c r="F424" s="22">
        <v>7</v>
      </c>
      <c r="G424" s="22" t="s">
        <v>10642</v>
      </c>
      <c r="H424" s="22">
        <v>1</v>
      </c>
      <c r="I424" s="25">
        <v>43167</v>
      </c>
      <c r="J424" s="24">
        <v>43222</v>
      </c>
    </row>
    <row r="425" spans="2:10" x14ac:dyDescent="0.2">
      <c r="B425" s="22">
        <v>427</v>
      </c>
      <c r="C425" s="23" t="s">
        <v>10643</v>
      </c>
      <c r="D425" s="23" t="s">
        <v>10644</v>
      </c>
      <c r="E425" s="20" t="s">
        <v>10645</v>
      </c>
      <c r="F425" s="22">
        <v>6</v>
      </c>
      <c r="G425" s="22" t="s">
        <v>10646</v>
      </c>
      <c r="H425" s="22">
        <v>6</v>
      </c>
      <c r="I425" s="25">
        <v>43209</v>
      </c>
      <c r="J425" s="24">
        <v>43215</v>
      </c>
    </row>
    <row r="426" spans="2:10" x14ac:dyDescent="0.2">
      <c r="B426" s="22">
        <v>428</v>
      </c>
      <c r="C426" s="23" t="s">
        <v>10647</v>
      </c>
      <c r="D426" s="23" t="s">
        <v>10648</v>
      </c>
      <c r="E426" s="20" t="s">
        <v>10649</v>
      </c>
      <c r="F426" s="22">
        <v>5</v>
      </c>
      <c r="G426" s="22" t="s">
        <v>10650</v>
      </c>
      <c r="H426" s="22">
        <v>1</v>
      </c>
      <c r="I426" s="25">
        <v>43167</v>
      </c>
      <c r="J426" s="22" t="s">
        <v>558</v>
      </c>
    </row>
    <row r="427" spans="2:10" x14ac:dyDescent="0.2">
      <c r="B427" s="22">
        <v>429</v>
      </c>
      <c r="C427" s="23" t="s">
        <v>10651</v>
      </c>
      <c r="D427" s="23" t="s">
        <v>8163</v>
      </c>
      <c r="E427" s="20" t="s">
        <v>10652</v>
      </c>
      <c r="F427" s="22">
        <v>100</v>
      </c>
      <c r="G427" s="22" t="s">
        <v>9245</v>
      </c>
      <c r="H427" s="22">
        <v>1</v>
      </c>
      <c r="I427" s="25">
        <v>43377</v>
      </c>
      <c r="J427" s="24">
        <v>43393</v>
      </c>
    </row>
    <row r="428" spans="2:10" x14ac:dyDescent="0.2">
      <c r="B428" s="22">
        <v>430</v>
      </c>
      <c r="C428" s="23" t="s">
        <v>10653</v>
      </c>
      <c r="D428" s="23" t="s">
        <v>7800</v>
      </c>
      <c r="E428" s="20" t="s">
        <v>10654</v>
      </c>
      <c r="F428" s="22">
        <v>12</v>
      </c>
      <c r="G428" s="22" t="s">
        <v>10655</v>
      </c>
      <c r="H428" s="22">
        <v>12</v>
      </c>
      <c r="I428" s="25">
        <v>43293</v>
      </c>
      <c r="J428" s="24">
        <v>43299</v>
      </c>
    </row>
    <row r="429" spans="2:10" x14ac:dyDescent="0.2">
      <c r="B429" s="22">
        <v>431</v>
      </c>
      <c r="C429" s="23" t="s">
        <v>10656</v>
      </c>
      <c r="D429" s="23" t="s">
        <v>1594</v>
      </c>
      <c r="E429" s="20" t="s">
        <v>10657</v>
      </c>
      <c r="F429" s="22">
        <v>20</v>
      </c>
      <c r="G429" s="22" t="s">
        <v>10658</v>
      </c>
      <c r="H429" s="22">
        <v>17</v>
      </c>
      <c r="I429" s="25">
        <v>43363</v>
      </c>
      <c r="J429" s="24">
        <v>43376</v>
      </c>
    </row>
    <row r="430" spans="2:10" x14ac:dyDescent="0.2">
      <c r="B430" s="22">
        <v>432</v>
      </c>
      <c r="C430" s="23" t="s">
        <v>10659</v>
      </c>
      <c r="D430" s="23" t="s">
        <v>6537</v>
      </c>
      <c r="E430" s="20" t="s">
        <v>10660</v>
      </c>
      <c r="F430" s="22">
        <v>5</v>
      </c>
      <c r="G430" s="22" t="s">
        <v>10661</v>
      </c>
      <c r="H430" s="22">
        <v>5</v>
      </c>
      <c r="I430" s="25">
        <v>43277</v>
      </c>
      <c r="J430" s="24">
        <v>43340</v>
      </c>
    </row>
    <row r="431" spans="2:10" x14ac:dyDescent="0.2">
      <c r="B431" s="22">
        <v>433</v>
      </c>
      <c r="C431" s="23" t="s">
        <v>10662</v>
      </c>
      <c r="D431" s="23" t="s">
        <v>1804</v>
      </c>
      <c r="E431" s="20" t="s">
        <v>10663</v>
      </c>
      <c r="F431" s="22">
        <v>6</v>
      </c>
      <c r="G431" s="22" t="s">
        <v>8741</v>
      </c>
      <c r="H431" s="22">
        <v>1</v>
      </c>
      <c r="I431" s="25">
        <v>43221</v>
      </c>
      <c r="J431" s="24">
        <v>43327</v>
      </c>
    </row>
    <row r="432" spans="2:10" x14ac:dyDescent="0.2">
      <c r="B432" s="22">
        <v>434</v>
      </c>
      <c r="C432" s="23" t="s">
        <v>10664</v>
      </c>
      <c r="D432" s="23" t="s">
        <v>10665</v>
      </c>
      <c r="E432" s="20" t="s">
        <v>10666</v>
      </c>
      <c r="F432" s="22">
        <v>8</v>
      </c>
      <c r="G432" s="22" t="s">
        <v>10667</v>
      </c>
      <c r="H432" s="22">
        <v>1</v>
      </c>
      <c r="I432" s="25">
        <v>43356</v>
      </c>
      <c r="J432" s="24">
        <v>43439</v>
      </c>
    </row>
    <row r="433" spans="2:10" x14ac:dyDescent="0.2">
      <c r="B433" s="22">
        <v>435</v>
      </c>
      <c r="C433" s="23" t="s">
        <v>10668</v>
      </c>
      <c r="D433" s="23" t="s">
        <v>1213</v>
      </c>
      <c r="E433" s="20" t="s">
        <v>10669</v>
      </c>
      <c r="F433" s="22">
        <v>4</v>
      </c>
      <c r="G433" s="22" t="s">
        <v>7069</v>
      </c>
      <c r="H433" s="22">
        <v>1</v>
      </c>
      <c r="I433" s="25">
        <v>43251</v>
      </c>
      <c r="J433" s="24">
        <v>43369</v>
      </c>
    </row>
    <row r="434" spans="2:10" x14ac:dyDescent="0.2">
      <c r="B434" s="22">
        <v>436</v>
      </c>
      <c r="C434" s="23" t="s">
        <v>10670</v>
      </c>
      <c r="D434" s="23" t="s">
        <v>1880</v>
      </c>
      <c r="E434" s="20" t="s">
        <v>10671</v>
      </c>
      <c r="F434" s="22">
        <v>5</v>
      </c>
      <c r="G434" s="22" t="s">
        <v>8661</v>
      </c>
      <c r="H434" s="22">
        <v>3</v>
      </c>
      <c r="I434" s="25">
        <v>43314</v>
      </c>
      <c r="J434" s="24">
        <v>43446</v>
      </c>
    </row>
    <row r="435" spans="2:10" x14ac:dyDescent="0.2">
      <c r="B435" s="22">
        <v>437</v>
      </c>
      <c r="C435" s="23" t="s">
        <v>10672</v>
      </c>
      <c r="D435" s="23" t="s">
        <v>1294</v>
      </c>
      <c r="E435" s="20" t="s">
        <v>10673</v>
      </c>
      <c r="F435" s="22">
        <v>11</v>
      </c>
      <c r="G435" s="22" t="s">
        <v>10674</v>
      </c>
      <c r="H435" s="22">
        <v>5</v>
      </c>
      <c r="I435" s="25">
        <v>43265</v>
      </c>
      <c r="J435" s="24">
        <v>43299</v>
      </c>
    </row>
    <row r="436" spans="2:10" x14ac:dyDescent="0.2">
      <c r="B436" s="22">
        <v>438</v>
      </c>
      <c r="C436" s="23" t="s">
        <v>10675</v>
      </c>
      <c r="D436" s="23" t="s">
        <v>1532</v>
      </c>
      <c r="E436" s="20" t="s">
        <v>10676</v>
      </c>
      <c r="F436" s="22">
        <v>2</v>
      </c>
      <c r="G436" s="22" t="s">
        <v>1159</v>
      </c>
      <c r="H436" s="22" t="s">
        <v>1159</v>
      </c>
      <c r="I436" s="25">
        <v>43349</v>
      </c>
      <c r="J436" s="24">
        <v>43432</v>
      </c>
    </row>
    <row r="437" spans="2:10" x14ac:dyDescent="0.2">
      <c r="B437" s="22">
        <v>439</v>
      </c>
      <c r="C437" s="23" t="s">
        <v>10677</v>
      </c>
      <c r="D437" s="23" t="s">
        <v>1235</v>
      </c>
      <c r="E437" s="20" t="s">
        <v>10678</v>
      </c>
      <c r="F437" s="22">
        <v>14</v>
      </c>
      <c r="G437" s="22" t="s">
        <v>10679</v>
      </c>
      <c r="H437" s="22">
        <v>14</v>
      </c>
      <c r="I437" s="25">
        <v>43363</v>
      </c>
      <c r="J437" s="24">
        <v>43393</v>
      </c>
    </row>
    <row r="438" spans="2:10" x14ac:dyDescent="0.2">
      <c r="B438" s="22">
        <v>440</v>
      </c>
      <c r="C438" s="23" t="s">
        <v>10680</v>
      </c>
      <c r="D438" s="23" t="s">
        <v>1880</v>
      </c>
      <c r="E438" s="20" t="s">
        <v>10681</v>
      </c>
      <c r="F438" s="22">
        <v>4</v>
      </c>
      <c r="G438" s="22" t="s">
        <v>5067</v>
      </c>
      <c r="H438" s="22">
        <v>1</v>
      </c>
      <c r="I438" s="25">
        <v>43132</v>
      </c>
      <c r="J438" s="24">
        <v>43257</v>
      </c>
    </row>
    <row r="439" spans="2:10" x14ac:dyDescent="0.2">
      <c r="B439" s="22">
        <v>441</v>
      </c>
      <c r="C439" s="23" t="s">
        <v>10682</v>
      </c>
      <c r="D439" s="23" t="s">
        <v>8241</v>
      </c>
      <c r="E439" s="20" t="s">
        <v>10683</v>
      </c>
      <c r="F439" s="22">
        <v>13</v>
      </c>
      <c r="G439" s="22" t="s">
        <v>10684</v>
      </c>
      <c r="H439" s="22">
        <v>13</v>
      </c>
      <c r="I439" s="25">
        <v>43405</v>
      </c>
      <c r="J439" s="24">
        <v>43102</v>
      </c>
    </row>
    <row r="440" spans="2:10" x14ac:dyDescent="0.2">
      <c r="B440" s="22">
        <v>442</v>
      </c>
      <c r="C440" s="23" t="s">
        <v>10685</v>
      </c>
      <c r="D440" s="23" t="s">
        <v>8241</v>
      </c>
      <c r="E440" s="20" t="s">
        <v>10686</v>
      </c>
      <c r="F440" s="22">
        <v>14</v>
      </c>
      <c r="G440" s="22" t="s">
        <v>10687</v>
      </c>
      <c r="H440" s="22">
        <v>14</v>
      </c>
      <c r="I440" s="25">
        <v>43335</v>
      </c>
      <c r="J440" s="24">
        <v>43369</v>
      </c>
    </row>
    <row r="441" spans="2:10" x14ac:dyDescent="0.2">
      <c r="B441" s="22">
        <v>443</v>
      </c>
      <c r="C441" s="23" t="s">
        <v>10688</v>
      </c>
      <c r="D441" s="23" t="s">
        <v>1043</v>
      </c>
      <c r="E441" s="20" t="s">
        <v>10689</v>
      </c>
      <c r="F441" s="22">
        <v>19</v>
      </c>
      <c r="G441" s="22" t="s">
        <v>10690</v>
      </c>
      <c r="H441" s="22">
        <v>19</v>
      </c>
      <c r="I441" s="25">
        <v>43279</v>
      </c>
      <c r="J441" s="24">
        <v>43292</v>
      </c>
    </row>
    <row r="442" spans="2:10" x14ac:dyDescent="0.2">
      <c r="B442" s="22">
        <v>444</v>
      </c>
      <c r="C442" s="23" t="s">
        <v>10691</v>
      </c>
      <c r="D442" s="23" t="s">
        <v>1942</v>
      </c>
      <c r="E442" s="20" t="s">
        <v>10692</v>
      </c>
      <c r="F442" s="22">
        <v>2</v>
      </c>
      <c r="G442" s="22" t="s">
        <v>10693</v>
      </c>
      <c r="H442" s="22">
        <v>1</v>
      </c>
      <c r="I442" s="25">
        <v>43307</v>
      </c>
      <c r="J442" s="24">
        <v>43355</v>
      </c>
    </row>
    <row r="443" spans="2:10" x14ac:dyDescent="0.2">
      <c r="B443" s="22">
        <v>445</v>
      </c>
      <c r="C443" s="23" t="s">
        <v>10694</v>
      </c>
      <c r="D443" s="23" t="s">
        <v>1039</v>
      </c>
      <c r="E443" s="20" t="s">
        <v>10695</v>
      </c>
      <c r="F443" s="22">
        <v>5</v>
      </c>
      <c r="G443" s="22" t="s">
        <v>10696</v>
      </c>
      <c r="H443" s="22">
        <v>2</v>
      </c>
      <c r="I443" s="25">
        <v>43349</v>
      </c>
      <c r="J443" s="24">
        <v>43397</v>
      </c>
    </row>
    <row r="444" spans="2:10" x14ac:dyDescent="0.2">
      <c r="B444" s="22">
        <v>446</v>
      </c>
      <c r="C444" s="23" t="s">
        <v>10697</v>
      </c>
      <c r="D444" s="23" t="s">
        <v>1880</v>
      </c>
      <c r="E444" s="20" t="s">
        <v>10698</v>
      </c>
      <c r="F444" s="22">
        <v>5</v>
      </c>
      <c r="G444" s="22" t="s">
        <v>10699</v>
      </c>
      <c r="H444" s="22">
        <v>1</v>
      </c>
      <c r="I444" s="25">
        <v>43265</v>
      </c>
      <c r="J444" s="22" t="s">
        <v>558</v>
      </c>
    </row>
    <row r="445" spans="2:10" x14ac:dyDescent="0.2">
      <c r="B445" s="22">
        <v>447</v>
      </c>
      <c r="C445" s="23" t="s">
        <v>10700</v>
      </c>
      <c r="D445" s="23" t="s">
        <v>1532</v>
      </c>
      <c r="E445" s="20" t="s">
        <v>10701</v>
      </c>
      <c r="F445" s="22">
        <v>3</v>
      </c>
      <c r="G445" s="22" t="s">
        <v>10702</v>
      </c>
      <c r="H445" s="22">
        <v>1</v>
      </c>
      <c r="I445" s="25">
        <v>43174</v>
      </c>
      <c r="J445" s="24">
        <v>43453</v>
      </c>
    </row>
    <row r="446" spans="2:10" x14ac:dyDescent="0.2">
      <c r="B446" s="22">
        <v>448</v>
      </c>
      <c r="C446" s="23" t="s">
        <v>10703</v>
      </c>
      <c r="D446" s="23" t="s">
        <v>1532</v>
      </c>
      <c r="E446" s="20" t="s">
        <v>10704</v>
      </c>
      <c r="F446" s="22">
        <v>4</v>
      </c>
      <c r="G446" s="22" t="s">
        <v>10705</v>
      </c>
      <c r="H446" s="22">
        <v>1</v>
      </c>
      <c r="I446" s="25">
        <v>43389</v>
      </c>
      <c r="J446" s="24">
        <v>43151</v>
      </c>
    </row>
    <row r="447" spans="2:10" x14ac:dyDescent="0.2">
      <c r="B447" s="22">
        <v>449</v>
      </c>
      <c r="C447" s="23" t="s">
        <v>10706</v>
      </c>
      <c r="D447" s="23" t="s">
        <v>2197</v>
      </c>
      <c r="E447" s="20" t="s">
        <v>10707</v>
      </c>
      <c r="F447" s="22">
        <v>4</v>
      </c>
      <c r="G447" s="22" t="s">
        <v>10708</v>
      </c>
      <c r="H447" s="22">
        <v>4</v>
      </c>
      <c r="I447" s="25">
        <v>43328</v>
      </c>
      <c r="J447" s="24">
        <v>43362</v>
      </c>
    </row>
    <row r="448" spans="2:10" x14ac:dyDescent="0.2">
      <c r="B448" s="22">
        <v>450</v>
      </c>
      <c r="C448" s="23" t="s">
        <v>10709</v>
      </c>
      <c r="D448" s="23" t="s">
        <v>6728</v>
      </c>
      <c r="E448" s="20" t="s">
        <v>10710</v>
      </c>
      <c r="F448" s="22">
        <v>2</v>
      </c>
      <c r="G448" s="22" t="s">
        <v>10711</v>
      </c>
      <c r="H448" s="22">
        <v>1</v>
      </c>
      <c r="I448" s="25">
        <v>43433</v>
      </c>
      <c r="J448" s="24">
        <v>43172</v>
      </c>
    </row>
    <row r="449" spans="2:10" x14ac:dyDescent="0.2">
      <c r="B449" s="22">
        <v>451</v>
      </c>
      <c r="C449" s="23" t="s">
        <v>10712</v>
      </c>
      <c r="D449" s="23" t="s">
        <v>1235</v>
      </c>
      <c r="E449" s="20" t="s">
        <v>10713</v>
      </c>
      <c r="F449" s="22">
        <v>7</v>
      </c>
      <c r="G449" s="22" t="s">
        <v>8887</v>
      </c>
      <c r="H449" s="22">
        <v>7</v>
      </c>
      <c r="I449" s="25">
        <v>43216</v>
      </c>
      <c r="J449" s="22" t="s">
        <v>558</v>
      </c>
    </row>
    <row r="450" spans="2:10" x14ac:dyDescent="0.2">
      <c r="B450" s="22">
        <v>452</v>
      </c>
      <c r="C450" s="23" t="s">
        <v>10714</v>
      </c>
      <c r="D450" s="23" t="s">
        <v>5137</v>
      </c>
      <c r="E450" s="20" t="s">
        <v>10715</v>
      </c>
      <c r="F450" s="22">
        <v>7</v>
      </c>
      <c r="G450" s="22" t="s">
        <v>10716</v>
      </c>
      <c r="H450" s="22">
        <v>2</v>
      </c>
      <c r="I450" s="25">
        <v>43167</v>
      </c>
      <c r="J450" s="22" t="s">
        <v>558</v>
      </c>
    </row>
    <row r="451" spans="2:10" x14ac:dyDescent="0.2">
      <c r="B451" s="22">
        <v>453</v>
      </c>
      <c r="C451" s="23" t="s">
        <v>10717</v>
      </c>
      <c r="D451" s="23" t="s">
        <v>1039</v>
      </c>
      <c r="E451" s="20" t="s">
        <v>10718</v>
      </c>
      <c r="F451" s="22">
        <v>6</v>
      </c>
      <c r="G451" s="22" t="s">
        <v>10719</v>
      </c>
      <c r="H451" s="22">
        <v>2</v>
      </c>
      <c r="I451" s="25">
        <v>43321</v>
      </c>
      <c r="J451" s="24">
        <v>43362</v>
      </c>
    </row>
    <row r="452" spans="2:10" x14ac:dyDescent="0.2">
      <c r="B452" s="22">
        <v>454</v>
      </c>
      <c r="C452" s="23" t="s">
        <v>10720</v>
      </c>
      <c r="D452" s="23" t="s">
        <v>1880</v>
      </c>
      <c r="E452" s="20" t="s">
        <v>10721</v>
      </c>
      <c r="F452" s="22">
        <v>6</v>
      </c>
      <c r="G452" s="22" t="s">
        <v>10722</v>
      </c>
      <c r="H452" s="22">
        <v>4</v>
      </c>
      <c r="I452" s="25">
        <v>43195</v>
      </c>
      <c r="J452" s="24">
        <v>43313</v>
      </c>
    </row>
    <row r="453" spans="2:10" x14ac:dyDescent="0.2">
      <c r="B453" s="22">
        <v>455</v>
      </c>
      <c r="C453" s="23" t="s">
        <v>10723</v>
      </c>
      <c r="D453" s="23" t="s">
        <v>1519</v>
      </c>
      <c r="E453" s="20" t="s">
        <v>10724</v>
      </c>
      <c r="F453" s="22">
        <v>5</v>
      </c>
      <c r="G453" s="22" t="s">
        <v>10725</v>
      </c>
      <c r="H453" s="22">
        <v>1</v>
      </c>
      <c r="I453" s="25">
        <v>43405</v>
      </c>
      <c r="J453" s="24">
        <v>43432</v>
      </c>
    </row>
    <row r="454" spans="2:10" x14ac:dyDescent="0.2">
      <c r="B454" s="22">
        <v>456</v>
      </c>
      <c r="C454" s="23" t="s">
        <v>10726</v>
      </c>
      <c r="D454" s="23" t="s">
        <v>4580</v>
      </c>
      <c r="E454" s="20" t="s">
        <v>10727</v>
      </c>
      <c r="F454" s="22">
        <v>1</v>
      </c>
      <c r="G454" s="22" t="s">
        <v>7207</v>
      </c>
      <c r="H454" s="22">
        <v>1</v>
      </c>
      <c r="I454" s="25">
        <v>43377</v>
      </c>
      <c r="J454" s="24">
        <v>43390</v>
      </c>
    </row>
    <row r="455" spans="2:10" x14ac:dyDescent="0.2">
      <c r="B455" s="22">
        <v>457</v>
      </c>
      <c r="C455" s="23" t="s">
        <v>10728</v>
      </c>
      <c r="D455" s="23" t="s">
        <v>1723</v>
      </c>
      <c r="E455" s="20" t="s">
        <v>10729</v>
      </c>
      <c r="F455" s="22">
        <v>6</v>
      </c>
      <c r="G455" s="22" t="s">
        <v>10730</v>
      </c>
      <c r="H455" s="22">
        <v>2</v>
      </c>
      <c r="I455" s="25">
        <v>43412</v>
      </c>
      <c r="J455" s="22" t="s">
        <v>558</v>
      </c>
    </row>
    <row r="456" spans="2:10" x14ac:dyDescent="0.2">
      <c r="B456" s="22">
        <v>458</v>
      </c>
      <c r="C456" s="23" t="s">
        <v>10731</v>
      </c>
      <c r="D456" s="23" t="s">
        <v>1422</v>
      </c>
      <c r="E456" s="20" t="s">
        <v>10732</v>
      </c>
      <c r="F456" s="22">
        <v>1</v>
      </c>
      <c r="G456" s="22" t="s">
        <v>1159</v>
      </c>
      <c r="H456" s="22" t="s">
        <v>1159</v>
      </c>
      <c r="I456" s="25">
        <v>43391</v>
      </c>
      <c r="J456" s="22" t="s">
        <v>558</v>
      </c>
    </row>
    <row r="457" spans="2:10" x14ac:dyDescent="0.2">
      <c r="B457" s="22">
        <v>459</v>
      </c>
      <c r="C457" s="23" t="s">
        <v>10733</v>
      </c>
      <c r="D457" s="23" t="s">
        <v>1039</v>
      </c>
      <c r="E457" s="20" t="s">
        <v>10734</v>
      </c>
      <c r="F457" s="22">
        <v>5</v>
      </c>
      <c r="G457" s="22" t="s">
        <v>10735</v>
      </c>
      <c r="H457" s="22">
        <v>5</v>
      </c>
      <c r="I457" s="25">
        <v>43258</v>
      </c>
      <c r="J457" s="22" t="s">
        <v>558</v>
      </c>
    </row>
    <row r="458" spans="2:10" x14ac:dyDescent="0.2">
      <c r="B458" s="22">
        <v>460</v>
      </c>
      <c r="C458" s="23" t="s">
        <v>10736</v>
      </c>
      <c r="D458" s="23" t="s">
        <v>1294</v>
      </c>
      <c r="E458" s="20" t="s">
        <v>10737</v>
      </c>
      <c r="F458" s="22">
        <v>12</v>
      </c>
      <c r="G458" s="22" t="s">
        <v>10738</v>
      </c>
      <c r="H458" s="22">
        <v>1</v>
      </c>
      <c r="I458" s="25">
        <v>43272</v>
      </c>
      <c r="J458" s="24">
        <v>43289</v>
      </c>
    </row>
    <row r="459" spans="2:10" x14ac:dyDescent="0.2">
      <c r="B459" s="22">
        <v>461</v>
      </c>
      <c r="C459" s="23" t="s">
        <v>10739</v>
      </c>
      <c r="D459" s="23" t="s">
        <v>1142</v>
      </c>
      <c r="E459" s="20" t="s">
        <v>10740</v>
      </c>
      <c r="F459" s="22">
        <v>2</v>
      </c>
      <c r="G459" s="22" t="s">
        <v>2583</v>
      </c>
      <c r="H459" s="22">
        <v>1</v>
      </c>
      <c r="I459" s="25">
        <v>43405</v>
      </c>
      <c r="J459" s="24">
        <v>43439</v>
      </c>
    </row>
    <row r="460" spans="2:10" x14ac:dyDescent="0.2">
      <c r="B460" s="22">
        <v>462</v>
      </c>
      <c r="C460" s="23" t="s">
        <v>10741</v>
      </c>
      <c r="D460" s="23" t="s">
        <v>10742</v>
      </c>
      <c r="E460" s="20" t="s">
        <v>10743</v>
      </c>
      <c r="F460" s="22">
        <v>3</v>
      </c>
      <c r="G460" s="22" t="s">
        <v>10744</v>
      </c>
      <c r="H460" s="22">
        <v>1</v>
      </c>
      <c r="I460" s="25">
        <v>43398</v>
      </c>
      <c r="J460" s="24">
        <v>43425</v>
      </c>
    </row>
    <row r="461" spans="2:10" x14ac:dyDescent="0.2">
      <c r="B461" s="22">
        <v>463</v>
      </c>
      <c r="C461" s="23" t="s">
        <v>10745</v>
      </c>
      <c r="D461" s="23" t="s">
        <v>1880</v>
      </c>
      <c r="E461" s="20" t="s">
        <v>10746</v>
      </c>
      <c r="F461" s="22">
        <v>11</v>
      </c>
      <c r="G461" s="22" t="s">
        <v>1159</v>
      </c>
      <c r="H461" s="22" t="s">
        <v>1159</v>
      </c>
      <c r="I461" s="25">
        <v>43153</v>
      </c>
      <c r="J461" s="24">
        <v>43257</v>
      </c>
    </row>
    <row r="462" spans="2:10" x14ac:dyDescent="0.2">
      <c r="B462" s="22">
        <v>464</v>
      </c>
      <c r="C462" s="23" t="s">
        <v>10747</v>
      </c>
      <c r="D462" s="23" t="s">
        <v>8234</v>
      </c>
      <c r="E462" s="20" t="s">
        <v>10748</v>
      </c>
      <c r="F462" s="22">
        <v>3</v>
      </c>
      <c r="G462" s="22" t="s">
        <v>10749</v>
      </c>
      <c r="H462" s="22">
        <v>1</v>
      </c>
      <c r="I462" s="25">
        <v>43223</v>
      </c>
      <c r="J462" s="24">
        <v>43267</v>
      </c>
    </row>
    <row r="463" spans="2:10" x14ac:dyDescent="0.2">
      <c r="B463" s="22">
        <v>465</v>
      </c>
      <c r="C463" s="23" t="s">
        <v>10750</v>
      </c>
      <c r="D463" s="23" t="s">
        <v>8799</v>
      </c>
      <c r="E463" s="20" t="s">
        <v>10751</v>
      </c>
      <c r="F463" s="22">
        <v>2</v>
      </c>
      <c r="G463" s="22" t="s">
        <v>10752</v>
      </c>
      <c r="H463" s="22">
        <v>1</v>
      </c>
      <c r="I463" s="25">
        <v>43132</v>
      </c>
      <c r="J463" s="22" t="s">
        <v>558</v>
      </c>
    </row>
    <row r="464" spans="2:10" x14ac:dyDescent="0.2">
      <c r="B464" s="22">
        <v>466</v>
      </c>
      <c r="C464" s="23" t="s">
        <v>10753</v>
      </c>
      <c r="D464" s="23" t="s">
        <v>2010</v>
      </c>
      <c r="E464" s="20" t="s">
        <v>10754</v>
      </c>
      <c r="F464" s="22">
        <v>3</v>
      </c>
      <c r="G464" s="22" t="s">
        <v>10755</v>
      </c>
      <c r="H464" s="22">
        <v>1</v>
      </c>
      <c r="I464" s="25">
        <v>43433</v>
      </c>
      <c r="J464" s="24">
        <v>43214</v>
      </c>
    </row>
    <row r="465" spans="2:10" x14ac:dyDescent="0.2">
      <c r="B465" s="22">
        <v>467</v>
      </c>
      <c r="C465" s="23" t="s">
        <v>10756</v>
      </c>
      <c r="D465" s="23" t="s">
        <v>4383</v>
      </c>
      <c r="E465" s="20" t="s">
        <v>10757</v>
      </c>
      <c r="F465" s="22">
        <v>4</v>
      </c>
      <c r="G465" s="22" t="s">
        <v>10758</v>
      </c>
      <c r="H465" s="22">
        <v>1</v>
      </c>
      <c r="I465" s="25">
        <v>43349</v>
      </c>
      <c r="J465" s="24">
        <v>43200</v>
      </c>
    </row>
    <row r="466" spans="2:10" x14ac:dyDescent="0.2">
      <c r="B466" s="22">
        <v>468</v>
      </c>
      <c r="C466" s="23" t="s">
        <v>10759</v>
      </c>
      <c r="D466" s="23" t="s">
        <v>6537</v>
      </c>
      <c r="E466" s="20" t="s">
        <v>10760</v>
      </c>
      <c r="F466" s="22">
        <v>4</v>
      </c>
      <c r="G466" s="22" t="s">
        <v>10761</v>
      </c>
      <c r="H466" s="22">
        <v>1</v>
      </c>
      <c r="I466" s="25">
        <v>43111</v>
      </c>
      <c r="J466" s="24">
        <v>43124</v>
      </c>
    </row>
    <row r="467" spans="2:10" x14ac:dyDescent="0.2">
      <c r="B467" s="22">
        <v>469</v>
      </c>
      <c r="C467" s="23" t="s">
        <v>10762</v>
      </c>
      <c r="D467" s="23" t="s">
        <v>1294</v>
      </c>
      <c r="E467" s="20" t="s">
        <v>10763</v>
      </c>
      <c r="F467" s="22">
        <v>5</v>
      </c>
      <c r="G467" s="22" t="s">
        <v>10764</v>
      </c>
      <c r="H467" s="22">
        <v>1</v>
      </c>
      <c r="I467" s="25">
        <v>43195</v>
      </c>
      <c r="J467" s="24">
        <v>43229</v>
      </c>
    </row>
    <row r="468" spans="2:10" x14ac:dyDescent="0.2">
      <c r="B468" s="22">
        <v>470</v>
      </c>
      <c r="C468" s="23" t="s">
        <v>10765</v>
      </c>
      <c r="D468" s="23" t="s">
        <v>2282</v>
      </c>
      <c r="E468" s="20" t="s">
        <v>10766</v>
      </c>
      <c r="F468" s="22">
        <v>6</v>
      </c>
      <c r="G468" s="22" t="s">
        <v>7154</v>
      </c>
      <c r="H468" s="22">
        <v>1</v>
      </c>
      <c r="I468" s="25">
        <v>43384</v>
      </c>
      <c r="J468" s="24">
        <v>43414</v>
      </c>
    </row>
    <row r="469" spans="2:10" x14ac:dyDescent="0.2">
      <c r="B469" s="22">
        <v>471</v>
      </c>
      <c r="C469" s="23" t="s">
        <v>10767</v>
      </c>
      <c r="D469" s="23" t="s">
        <v>2197</v>
      </c>
      <c r="E469" s="20" t="s">
        <v>10768</v>
      </c>
      <c r="F469" s="22">
        <v>17</v>
      </c>
      <c r="G469" s="22" t="s">
        <v>10769</v>
      </c>
      <c r="H469" s="22">
        <v>17</v>
      </c>
      <c r="I469" s="25">
        <v>43258</v>
      </c>
      <c r="J469" s="24">
        <v>43290</v>
      </c>
    </row>
    <row r="470" spans="2:10" x14ac:dyDescent="0.2">
      <c r="B470" s="22">
        <v>472</v>
      </c>
      <c r="C470" s="23" t="s">
        <v>10770</v>
      </c>
      <c r="D470" s="23" t="s">
        <v>8711</v>
      </c>
      <c r="E470" s="20" t="s">
        <v>10771</v>
      </c>
      <c r="F470" s="22">
        <v>6</v>
      </c>
      <c r="G470" s="22" t="s">
        <v>10772</v>
      </c>
      <c r="H470" s="22">
        <v>6</v>
      </c>
      <c r="I470" s="25">
        <v>43370</v>
      </c>
      <c r="J470" s="24">
        <v>43383</v>
      </c>
    </row>
    <row r="471" spans="2:10" x14ac:dyDescent="0.2">
      <c r="B471" s="22">
        <v>473</v>
      </c>
      <c r="C471" s="23" t="s">
        <v>10773</v>
      </c>
      <c r="D471" s="23" t="s">
        <v>1135</v>
      </c>
      <c r="E471" s="20" t="s">
        <v>10774</v>
      </c>
      <c r="F471" s="22">
        <v>11</v>
      </c>
      <c r="G471" s="22" t="s">
        <v>6002</v>
      </c>
      <c r="H471" s="22">
        <v>11</v>
      </c>
      <c r="I471" s="25">
        <v>43160</v>
      </c>
      <c r="J471" s="24">
        <v>43173</v>
      </c>
    </row>
    <row r="472" spans="2:10" x14ac:dyDescent="0.2">
      <c r="B472" s="22">
        <v>474</v>
      </c>
      <c r="C472" s="23" t="s">
        <v>10775</v>
      </c>
      <c r="D472" s="23" t="s">
        <v>10776</v>
      </c>
      <c r="E472" s="20" t="s">
        <v>6425</v>
      </c>
      <c r="F472" s="22">
        <v>5</v>
      </c>
      <c r="G472" s="22" t="s">
        <v>10777</v>
      </c>
      <c r="H472" s="22">
        <v>2</v>
      </c>
      <c r="I472" s="25">
        <v>43146</v>
      </c>
      <c r="J472" s="24">
        <v>43173</v>
      </c>
    </row>
    <row r="473" spans="2:10" x14ac:dyDescent="0.2">
      <c r="B473" s="22">
        <v>475</v>
      </c>
      <c r="C473" s="23" t="s">
        <v>10778</v>
      </c>
      <c r="D473" s="23" t="s">
        <v>3627</v>
      </c>
      <c r="E473" s="20" t="s">
        <v>10779</v>
      </c>
      <c r="F473" s="22">
        <v>18</v>
      </c>
      <c r="G473" s="22" t="s">
        <v>10780</v>
      </c>
      <c r="H473" s="22">
        <v>15</v>
      </c>
      <c r="I473" s="25">
        <v>43216</v>
      </c>
      <c r="J473" s="22" t="s">
        <v>558</v>
      </c>
    </row>
    <row r="474" spans="2:10" x14ac:dyDescent="0.2">
      <c r="B474" s="22">
        <v>476</v>
      </c>
      <c r="C474" s="23" t="s">
        <v>10781</v>
      </c>
      <c r="D474" s="23" t="s">
        <v>1294</v>
      </c>
      <c r="E474" s="20" t="s">
        <v>10782</v>
      </c>
      <c r="F474" s="22">
        <v>2</v>
      </c>
      <c r="G474" s="22" t="s">
        <v>10783</v>
      </c>
      <c r="H474" s="22">
        <v>1</v>
      </c>
      <c r="I474" s="25">
        <v>43396</v>
      </c>
      <c r="J474" s="24">
        <v>43418</v>
      </c>
    </row>
    <row r="475" spans="2:10" x14ac:dyDescent="0.2">
      <c r="B475" s="22">
        <v>478</v>
      </c>
      <c r="C475" s="23" t="s">
        <v>10784</v>
      </c>
      <c r="D475" s="23" t="s">
        <v>1942</v>
      </c>
      <c r="E475" s="20" t="s">
        <v>6795</v>
      </c>
      <c r="F475" s="22">
        <v>1</v>
      </c>
      <c r="G475" s="22" t="s">
        <v>10785</v>
      </c>
      <c r="H475" s="22">
        <v>1</v>
      </c>
      <c r="I475" s="25">
        <v>43167</v>
      </c>
      <c r="J475" s="24">
        <v>43330</v>
      </c>
    </row>
    <row r="476" spans="2:10" x14ac:dyDescent="0.2">
      <c r="B476" s="22">
        <v>477</v>
      </c>
      <c r="C476" s="23" t="s">
        <v>10786</v>
      </c>
      <c r="D476" s="23" t="s">
        <v>2051</v>
      </c>
      <c r="E476" s="20" t="s">
        <v>6795</v>
      </c>
      <c r="F476" s="22">
        <v>6</v>
      </c>
      <c r="G476" s="22" t="s">
        <v>10787</v>
      </c>
      <c r="H476" s="22">
        <v>1</v>
      </c>
      <c r="I476" s="25">
        <v>43349</v>
      </c>
      <c r="J476" s="24">
        <v>43407</v>
      </c>
    </row>
    <row r="477" spans="2:10" x14ac:dyDescent="0.2">
      <c r="B477" s="22">
        <v>479</v>
      </c>
      <c r="C477" s="23" t="s">
        <v>10788</v>
      </c>
      <c r="D477" s="23" t="s">
        <v>1804</v>
      </c>
      <c r="E477" s="20" t="s">
        <v>10789</v>
      </c>
      <c r="F477" s="22">
        <v>4</v>
      </c>
      <c r="G477" s="22" t="s">
        <v>10790</v>
      </c>
      <c r="H477" s="22">
        <v>2</v>
      </c>
      <c r="I477" s="25">
        <v>43216</v>
      </c>
      <c r="J477" s="24">
        <v>43278</v>
      </c>
    </row>
    <row r="478" spans="2:10" x14ac:dyDescent="0.2">
      <c r="B478" s="22">
        <v>480</v>
      </c>
      <c r="C478" s="23" t="s">
        <v>10791</v>
      </c>
      <c r="D478" s="23" t="s">
        <v>1039</v>
      </c>
      <c r="E478" s="20" t="s">
        <v>10792</v>
      </c>
      <c r="F478" s="22">
        <v>13</v>
      </c>
      <c r="G478" s="22" t="s">
        <v>10793</v>
      </c>
      <c r="H478" s="22">
        <v>3</v>
      </c>
      <c r="I478" s="25">
        <v>43440</v>
      </c>
      <c r="J478" s="24">
        <v>43116</v>
      </c>
    </row>
    <row r="479" spans="2:10" x14ac:dyDescent="0.2">
      <c r="B479" s="22">
        <v>481</v>
      </c>
      <c r="C479" s="23" t="s">
        <v>10794</v>
      </c>
      <c r="D479" s="23" t="s">
        <v>6165</v>
      </c>
      <c r="E479" s="20" t="s">
        <v>10795</v>
      </c>
      <c r="F479" s="22">
        <v>4</v>
      </c>
      <c r="G479" s="22" t="s">
        <v>10796</v>
      </c>
      <c r="H479" s="22">
        <v>2</v>
      </c>
      <c r="I479" s="25">
        <v>43356</v>
      </c>
      <c r="J479" s="24">
        <v>43144</v>
      </c>
    </row>
    <row r="480" spans="2:10" x14ac:dyDescent="0.2">
      <c r="B480" s="22">
        <v>482</v>
      </c>
      <c r="C480" s="23" t="s">
        <v>10797</v>
      </c>
      <c r="D480" s="23" t="s">
        <v>1761</v>
      </c>
      <c r="E480" s="20" t="s">
        <v>10798</v>
      </c>
      <c r="F480" s="22">
        <v>9</v>
      </c>
      <c r="G480" s="22" t="s">
        <v>10799</v>
      </c>
      <c r="H480" s="22">
        <v>5</v>
      </c>
      <c r="I480" s="25">
        <v>43419</v>
      </c>
      <c r="J480" s="24">
        <v>43102</v>
      </c>
    </row>
    <row r="481" spans="2:10" x14ac:dyDescent="0.2">
      <c r="B481" s="22">
        <v>483</v>
      </c>
      <c r="C481" s="23" t="s">
        <v>10800</v>
      </c>
      <c r="D481" s="23" t="s">
        <v>1532</v>
      </c>
      <c r="E481" s="20" t="s">
        <v>10801</v>
      </c>
      <c r="F481" s="22">
        <v>2</v>
      </c>
      <c r="G481" s="22" t="s">
        <v>10802</v>
      </c>
      <c r="H481" s="22">
        <v>1</v>
      </c>
      <c r="I481" s="25">
        <v>43118</v>
      </c>
      <c r="J481" s="24">
        <v>43257</v>
      </c>
    </row>
    <row r="482" spans="2:10" x14ac:dyDescent="0.2">
      <c r="B482" s="22">
        <v>484</v>
      </c>
      <c r="C482" s="23" t="s">
        <v>10803</v>
      </c>
      <c r="D482" s="23" t="s">
        <v>1210</v>
      </c>
      <c r="E482" s="20" t="s">
        <v>10804</v>
      </c>
      <c r="F482" s="22">
        <v>3</v>
      </c>
      <c r="G482" s="22" t="s">
        <v>10805</v>
      </c>
      <c r="H482" s="22">
        <v>3</v>
      </c>
      <c r="I482" s="25">
        <v>43307</v>
      </c>
      <c r="J482" s="24">
        <v>43345</v>
      </c>
    </row>
    <row r="483" spans="2:10" x14ac:dyDescent="0.2">
      <c r="B483" s="22">
        <v>485</v>
      </c>
      <c r="C483" s="23" t="s">
        <v>10806</v>
      </c>
      <c r="D483" s="23" t="s">
        <v>1338</v>
      </c>
      <c r="E483" s="20" t="s">
        <v>10807</v>
      </c>
      <c r="F483" s="22">
        <v>4</v>
      </c>
      <c r="G483" s="22" t="s">
        <v>2578</v>
      </c>
      <c r="H483" s="22">
        <v>1</v>
      </c>
      <c r="I483" s="25">
        <v>43314</v>
      </c>
      <c r="J483" s="24">
        <v>43383</v>
      </c>
    </row>
    <row r="484" spans="2:10" x14ac:dyDescent="0.2">
      <c r="B484" s="22">
        <v>486</v>
      </c>
      <c r="C484" s="23" t="s">
        <v>10808</v>
      </c>
      <c r="D484" s="23" t="s">
        <v>1572</v>
      </c>
      <c r="E484" s="20" t="s">
        <v>10809</v>
      </c>
      <c r="F484" s="22">
        <v>2</v>
      </c>
      <c r="G484" s="22" t="s">
        <v>1159</v>
      </c>
      <c r="H484" s="22" t="s">
        <v>1159</v>
      </c>
      <c r="I484" s="25">
        <v>43258</v>
      </c>
      <c r="J484" s="24">
        <v>43299</v>
      </c>
    </row>
    <row r="485" spans="2:10" x14ac:dyDescent="0.2">
      <c r="B485" s="22">
        <v>487</v>
      </c>
      <c r="C485" s="23" t="s">
        <v>10810</v>
      </c>
      <c r="D485" s="23" t="s">
        <v>1804</v>
      </c>
      <c r="E485" s="20" t="s">
        <v>10811</v>
      </c>
      <c r="F485" s="22">
        <v>5</v>
      </c>
      <c r="G485" s="22" t="s">
        <v>10812</v>
      </c>
      <c r="H485" s="22">
        <v>1</v>
      </c>
      <c r="I485" s="25">
        <v>43370</v>
      </c>
      <c r="J485" s="24">
        <v>43418</v>
      </c>
    </row>
    <row r="486" spans="2:10" x14ac:dyDescent="0.2">
      <c r="B486" s="22">
        <v>488</v>
      </c>
      <c r="C486" s="23" t="s">
        <v>10813</v>
      </c>
      <c r="D486" s="23" t="s">
        <v>1797</v>
      </c>
      <c r="E486" s="20" t="s">
        <v>10814</v>
      </c>
      <c r="F486" s="22">
        <v>2</v>
      </c>
      <c r="G486" s="22" t="s">
        <v>10815</v>
      </c>
      <c r="H486" s="22">
        <v>2</v>
      </c>
      <c r="I486" s="25">
        <v>43375</v>
      </c>
      <c r="J486" s="24">
        <v>43404</v>
      </c>
    </row>
    <row r="487" spans="2:10" x14ac:dyDescent="0.2">
      <c r="B487" s="22">
        <v>489</v>
      </c>
      <c r="C487" s="23" t="s">
        <v>10816</v>
      </c>
      <c r="D487" s="23" t="s">
        <v>3627</v>
      </c>
      <c r="E487" s="20" t="s">
        <v>10817</v>
      </c>
      <c r="F487" s="22">
        <v>12</v>
      </c>
      <c r="G487" s="22" t="s">
        <v>2088</v>
      </c>
      <c r="H487" s="22">
        <v>12</v>
      </c>
      <c r="I487" s="25">
        <v>43237</v>
      </c>
      <c r="J487" s="22" t="s">
        <v>558</v>
      </c>
    </row>
    <row r="488" spans="2:10" x14ac:dyDescent="0.2">
      <c r="B488" s="22">
        <v>490</v>
      </c>
      <c r="C488" s="23" t="s">
        <v>10818</v>
      </c>
      <c r="D488" s="23" t="s">
        <v>1039</v>
      </c>
      <c r="E488" s="20" t="s">
        <v>10819</v>
      </c>
      <c r="F488" s="22">
        <v>12</v>
      </c>
      <c r="G488" s="22" t="s">
        <v>1424</v>
      </c>
      <c r="H488" s="22">
        <v>12</v>
      </c>
      <c r="I488" s="25">
        <v>43293</v>
      </c>
      <c r="J488" s="22" t="s">
        <v>558</v>
      </c>
    </row>
    <row r="489" spans="2:10" x14ac:dyDescent="0.2">
      <c r="B489" s="22">
        <v>491</v>
      </c>
      <c r="C489" s="23" t="s">
        <v>10820</v>
      </c>
      <c r="D489" s="23" t="s">
        <v>1039</v>
      </c>
      <c r="E489" s="20" t="s">
        <v>10821</v>
      </c>
      <c r="F489" s="22">
        <v>19</v>
      </c>
      <c r="G489" s="22" t="s">
        <v>10822</v>
      </c>
      <c r="H489" s="22">
        <v>19</v>
      </c>
      <c r="I489" s="25">
        <v>43167</v>
      </c>
      <c r="J489" s="22" t="s">
        <v>558</v>
      </c>
    </row>
    <row r="490" spans="2:10" x14ac:dyDescent="0.2">
      <c r="B490" s="22">
        <v>492</v>
      </c>
      <c r="C490" s="23" t="s">
        <v>10823</v>
      </c>
      <c r="D490" s="23" t="s">
        <v>2010</v>
      </c>
      <c r="E490" s="20" t="s">
        <v>10824</v>
      </c>
      <c r="F490" s="22">
        <v>2</v>
      </c>
      <c r="G490" s="22" t="s">
        <v>10825</v>
      </c>
      <c r="H490" s="22">
        <v>1</v>
      </c>
      <c r="I490" s="25">
        <v>43293</v>
      </c>
      <c r="J490" s="24">
        <v>43165</v>
      </c>
    </row>
    <row r="491" spans="2:10" x14ac:dyDescent="0.2">
      <c r="B491" s="22">
        <v>493</v>
      </c>
      <c r="C491" s="23" t="s">
        <v>10826</v>
      </c>
      <c r="D491" s="23" t="s">
        <v>1269</v>
      </c>
      <c r="E491" s="20" t="s">
        <v>10827</v>
      </c>
      <c r="F491" s="22">
        <v>7</v>
      </c>
      <c r="G491" s="22" t="s">
        <v>1159</v>
      </c>
      <c r="H491" s="22" t="s">
        <v>1159</v>
      </c>
      <c r="I491" s="25">
        <v>43329</v>
      </c>
      <c r="J491" s="24">
        <v>43369</v>
      </c>
    </row>
    <row r="492" spans="2:10" x14ac:dyDescent="0.2">
      <c r="B492" s="22">
        <v>494</v>
      </c>
      <c r="C492" s="23" t="s">
        <v>10828</v>
      </c>
      <c r="D492" s="23" t="s">
        <v>1532</v>
      </c>
      <c r="E492" s="20" t="s">
        <v>10829</v>
      </c>
      <c r="F492" s="22">
        <v>3</v>
      </c>
      <c r="G492" s="22" t="s">
        <v>9101</v>
      </c>
      <c r="H492" s="22">
        <v>2</v>
      </c>
      <c r="I492" s="25">
        <v>43188</v>
      </c>
      <c r="J492" s="24">
        <v>43229</v>
      </c>
    </row>
    <row r="493" spans="2:10" x14ac:dyDescent="0.2">
      <c r="B493" s="22">
        <v>495</v>
      </c>
      <c r="C493" s="23" t="s">
        <v>10830</v>
      </c>
      <c r="D493" s="23" t="s">
        <v>10831</v>
      </c>
      <c r="E493" s="20" t="s">
        <v>10832</v>
      </c>
      <c r="F493" s="22">
        <v>21</v>
      </c>
      <c r="G493" s="22" t="s">
        <v>10833</v>
      </c>
      <c r="H493" s="22">
        <v>21</v>
      </c>
      <c r="I493" s="25">
        <v>43349</v>
      </c>
      <c r="J493" s="24">
        <v>43355</v>
      </c>
    </row>
    <row r="494" spans="2:10" x14ac:dyDescent="0.2">
      <c r="B494" s="22">
        <v>496</v>
      </c>
      <c r="C494" s="23" t="s">
        <v>10834</v>
      </c>
      <c r="D494" s="23" t="s">
        <v>1294</v>
      </c>
      <c r="E494" s="20" t="s">
        <v>10835</v>
      </c>
      <c r="F494" s="22">
        <v>6</v>
      </c>
      <c r="G494" s="22" t="s">
        <v>2034</v>
      </c>
      <c r="H494" s="22">
        <v>3</v>
      </c>
      <c r="I494" s="25">
        <v>43286</v>
      </c>
      <c r="J494" s="24">
        <v>43313</v>
      </c>
    </row>
    <row r="495" spans="2:10" x14ac:dyDescent="0.2">
      <c r="B495" s="22">
        <v>497</v>
      </c>
      <c r="C495" s="23" t="s">
        <v>10836</v>
      </c>
      <c r="D495" s="23" t="s">
        <v>1559</v>
      </c>
      <c r="E495" s="20" t="s">
        <v>10837</v>
      </c>
      <c r="F495" s="22">
        <v>6</v>
      </c>
      <c r="G495" s="22" t="s">
        <v>10838</v>
      </c>
      <c r="H495" s="22">
        <v>1</v>
      </c>
      <c r="I495" s="25">
        <v>43230</v>
      </c>
      <c r="J495" s="24">
        <v>43257</v>
      </c>
    </row>
    <row r="496" spans="2:10" x14ac:dyDescent="0.2">
      <c r="B496" s="22">
        <v>498</v>
      </c>
      <c r="C496" s="23" t="s">
        <v>10839</v>
      </c>
      <c r="D496" s="23" t="s">
        <v>10840</v>
      </c>
      <c r="E496" s="20" t="s">
        <v>10841</v>
      </c>
      <c r="F496" s="22">
        <v>2</v>
      </c>
      <c r="G496" s="22" t="s">
        <v>10842</v>
      </c>
      <c r="H496" s="22">
        <v>1</v>
      </c>
      <c r="I496" s="25">
        <v>43412</v>
      </c>
      <c r="J496" s="24">
        <v>43446</v>
      </c>
    </row>
    <row r="497" spans="2:10" x14ac:dyDescent="0.2">
      <c r="B497" s="22">
        <v>499</v>
      </c>
      <c r="C497" s="23" t="s">
        <v>10843</v>
      </c>
      <c r="D497" s="23" t="s">
        <v>8234</v>
      </c>
      <c r="E497" s="20" t="s">
        <v>10844</v>
      </c>
      <c r="F497" s="22">
        <v>5</v>
      </c>
      <c r="G497" s="22" t="s">
        <v>10845</v>
      </c>
      <c r="H497" s="22">
        <v>3</v>
      </c>
      <c r="I497" s="25">
        <v>43342</v>
      </c>
      <c r="J497" s="24">
        <v>43411</v>
      </c>
    </row>
    <row r="498" spans="2:10" x14ac:dyDescent="0.2">
      <c r="B498" s="22">
        <v>500</v>
      </c>
      <c r="C498" s="23" t="s">
        <v>10846</v>
      </c>
      <c r="D498" s="23" t="s">
        <v>8353</v>
      </c>
      <c r="E498" s="20" t="s">
        <v>10847</v>
      </c>
      <c r="F498" s="22">
        <v>11</v>
      </c>
      <c r="G498" s="22" t="s">
        <v>8763</v>
      </c>
      <c r="H498" s="22">
        <v>11</v>
      </c>
      <c r="I498" s="25">
        <v>43181</v>
      </c>
      <c r="J498" s="24">
        <v>43229</v>
      </c>
    </row>
    <row r="499" spans="2:10" x14ac:dyDescent="0.2">
      <c r="B499" s="22">
        <v>501</v>
      </c>
      <c r="C499" s="23" t="s">
        <v>10848</v>
      </c>
      <c r="D499" s="23" t="s">
        <v>1175</v>
      </c>
      <c r="E499" s="20" t="s">
        <v>10849</v>
      </c>
      <c r="F499" s="22" t="s">
        <v>1159</v>
      </c>
      <c r="G499" s="22" t="s">
        <v>1159</v>
      </c>
      <c r="H499" s="22" t="s">
        <v>1159</v>
      </c>
      <c r="I499" s="25">
        <v>43305</v>
      </c>
      <c r="J499" s="22" t="s">
        <v>558</v>
      </c>
    </row>
    <row r="500" spans="2:10" x14ac:dyDescent="0.2">
      <c r="B500" s="22">
        <v>502</v>
      </c>
      <c r="C500" s="23" t="s">
        <v>10850</v>
      </c>
      <c r="D500" s="23" t="s">
        <v>10851</v>
      </c>
      <c r="E500" s="20" t="s">
        <v>10852</v>
      </c>
      <c r="F500" s="22">
        <v>6</v>
      </c>
      <c r="G500" s="22" t="s">
        <v>10852</v>
      </c>
      <c r="H500" s="22">
        <v>6</v>
      </c>
      <c r="I500" s="25">
        <v>43370</v>
      </c>
      <c r="J500" s="24">
        <v>43372</v>
      </c>
    </row>
    <row r="501" spans="2:10" x14ac:dyDescent="0.2">
      <c r="B501" s="22">
        <v>503</v>
      </c>
      <c r="C501" s="23" t="s">
        <v>10853</v>
      </c>
      <c r="D501" s="23" t="s">
        <v>1294</v>
      </c>
      <c r="E501" s="20" t="s">
        <v>10854</v>
      </c>
      <c r="F501" s="22">
        <v>9</v>
      </c>
      <c r="G501" s="22" t="s">
        <v>10855</v>
      </c>
      <c r="H501" s="22">
        <v>2</v>
      </c>
      <c r="I501" s="25">
        <v>43181</v>
      </c>
      <c r="J501" s="24">
        <v>43201</v>
      </c>
    </row>
    <row r="502" spans="2:10" x14ac:dyDescent="0.2">
      <c r="B502" s="22">
        <v>504</v>
      </c>
      <c r="C502" s="23" t="s">
        <v>10856</v>
      </c>
      <c r="D502" s="23" t="s">
        <v>1039</v>
      </c>
      <c r="E502" s="20" t="s">
        <v>10857</v>
      </c>
      <c r="F502" s="22">
        <v>11</v>
      </c>
      <c r="G502" s="22" t="s">
        <v>10858</v>
      </c>
      <c r="H502" s="22">
        <v>11</v>
      </c>
      <c r="I502" s="25">
        <v>43377</v>
      </c>
      <c r="J502" s="24">
        <v>43411</v>
      </c>
    </row>
    <row r="503" spans="2:10" x14ac:dyDescent="0.2">
      <c r="B503" s="22">
        <v>505</v>
      </c>
      <c r="C503" s="23" t="s">
        <v>10859</v>
      </c>
      <c r="D503" s="23" t="s">
        <v>10860</v>
      </c>
      <c r="E503" s="20" t="s">
        <v>10861</v>
      </c>
      <c r="F503" s="22">
        <v>2</v>
      </c>
      <c r="G503" s="22" t="s">
        <v>10862</v>
      </c>
      <c r="H503" s="22">
        <v>1</v>
      </c>
      <c r="I503" s="25">
        <v>43321</v>
      </c>
      <c r="J503" s="22" t="s">
        <v>558</v>
      </c>
    </row>
    <row r="504" spans="2:10" x14ac:dyDescent="0.2">
      <c r="B504" s="22">
        <v>506</v>
      </c>
      <c r="C504" s="23" t="s">
        <v>10863</v>
      </c>
      <c r="D504" s="23" t="s">
        <v>9292</v>
      </c>
      <c r="E504" s="20" t="s">
        <v>10864</v>
      </c>
      <c r="F504" s="22">
        <v>3</v>
      </c>
      <c r="G504" s="22" t="s">
        <v>10865</v>
      </c>
      <c r="H504" s="22">
        <v>1</v>
      </c>
      <c r="I504" s="25">
        <v>43312</v>
      </c>
      <c r="J504" s="24">
        <v>43348</v>
      </c>
    </row>
    <row r="505" spans="2:10" x14ac:dyDescent="0.2">
      <c r="B505" s="22">
        <v>507</v>
      </c>
      <c r="C505" s="23" t="s">
        <v>10866</v>
      </c>
      <c r="D505" s="23" t="s">
        <v>1532</v>
      </c>
      <c r="E505" s="20" t="s">
        <v>10867</v>
      </c>
      <c r="F505" s="22">
        <v>3</v>
      </c>
      <c r="G505" s="22" t="s">
        <v>10868</v>
      </c>
      <c r="H505" s="22">
        <v>2</v>
      </c>
      <c r="I505" s="25">
        <v>43258</v>
      </c>
      <c r="J505" s="24">
        <v>43375</v>
      </c>
    </row>
    <row r="506" spans="2:10" x14ac:dyDescent="0.2">
      <c r="B506" s="22">
        <v>508</v>
      </c>
      <c r="C506" s="23" t="s">
        <v>10869</v>
      </c>
      <c r="D506" s="23" t="s">
        <v>1532</v>
      </c>
      <c r="E506" s="20" t="s">
        <v>10870</v>
      </c>
      <c r="F506" s="22">
        <v>1</v>
      </c>
      <c r="G506" s="22" t="s">
        <v>10871</v>
      </c>
      <c r="H506" s="22">
        <v>1</v>
      </c>
      <c r="I506" s="25">
        <v>43251</v>
      </c>
      <c r="J506" s="24">
        <v>43264</v>
      </c>
    </row>
    <row r="507" spans="2:10" x14ac:dyDescent="0.2">
      <c r="B507" s="22">
        <v>509</v>
      </c>
      <c r="C507" s="23" t="s">
        <v>10872</v>
      </c>
      <c r="D507" s="23" t="s">
        <v>1039</v>
      </c>
      <c r="E507" s="20" t="s">
        <v>10873</v>
      </c>
      <c r="F507" s="22">
        <v>4</v>
      </c>
      <c r="G507" s="22" t="s">
        <v>10802</v>
      </c>
      <c r="H507" s="22">
        <v>1</v>
      </c>
      <c r="I507" s="25">
        <v>43139</v>
      </c>
      <c r="J507" s="24">
        <v>43173</v>
      </c>
    </row>
    <row r="508" spans="2:10" x14ac:dyDescent="0.2">
      <c r="B508" s="22">
        <v>510</v>
      </c>
      <c r="C508" s="23" t="s">
        <v>10874</v>
      </c>
      <c r="D508" s="23" t="s">
        <v>6537</v>
      </c>
      <c r="E508" s="20" t="s">
        <v>10875</v>
      </c>
      <c r="F508" s="22">
        <v>10</v>
      </c>
      <c r="G508" s="22" t="s">
        <v>10876</v>
      </c>
      <c r="H508" s="22">
        <v>10</v>
      </c>
      <c r="I508" s="25">
        <v>43363</v>
      </c>
      <c r="J508" s="22" t="s">
        <v>558</v>
      </c>
    </row>
    <row r="509" spans="2:10" x14ac:dyDescent="0.2">
      <c r="B509" s="22">
        <v>511</v>
      </c>
      <c r="C509" s="23" t="s">
        <v>10877</v>
      </c>
      <c r="D509" s="23" t="s">
        <v>10878</v>
      </c>
      <c r="E509" s="20" t="s">
        <v>10879</v>
      </c>
      <c r="F509" s="22">
        <v>8</v>
      </c>
      <c r="G509" s="22" t="s">
        <v>1159</v>
      </c>
      <c r="H509" s="22" t="s">
        <v>1159</v>
      </c>
      <c r="I509" s="25">
        <v>43251</v>
      </c>
      <c r="J509" s="24">
        <v>43193</v>
      </c>
    </row>
    <row r="510" spans="2:10" x14ac:dyDescent="0.2">
      <c r="B510" s="22">
        <v>512</v>
      </c>
      <c r="C510" s="23" t="s">
        <v>10880</v>
      </c>
      <c r="D510" s="23" t="s">
        <v>1640</v>
      </c>
      <c r="E510" s="20" t="s">
        <v>10881</v>
      </c>
      <c r="F510" s="22">
        <v>3</v>
      </c>
      <c r="G510" s="22" t="s">
        <v>2546</v>
      </c>
      <c r="H510" s="22">
        <v>1</v>
      </c>
      <c r="I510" s="25">
        <v>43111</v>
      </c>
      <c r="J510" s="24">
        <v>43166</v>
      </c>
    </row>
    <row r="511" spans="2:10" x14ac:dyDescent="0.2">
      <c r="B511" s="22">
        <v>513</v>
      </c>
      <c r="C511" s="23" t="s">
        <v>10882</v>
      </c>
      <c r="D511" s="23" t="s">
        <v>1942</v>
      </c>
      <c r="E511" s="20" t="s">
        <v>10883</v>
      </c>
      <c r="F511" s="22">
        <v>1</v>
      </c>
      <c r="G511" s="22" t="s">
        <v>10884</v>
      </c>
      <c r="H511" s="22">
        <v>1</v>
      </c>
      <c r="I511" s="25">
        <v>43244</v>
      </c>
      <c r="J511" s="24">
        <v>43257</v>
      </c>
    </row>
    <row r="512" spans="2:10" x14ac:dyDescent="0.2">
      <c r="B512" s="22">
        <v>514</v>
      </c>
      <c r="C512" s="23" t="s">
        <v>10885</v>
      </c>
      <c r="D512" s="23" t="s">
        <v>1135</v>
      </c>
      <c r="E512" s="20" t="s">
        <v>10886</v>
      </c>
      <c r="F512" s="22">
        <v>10</v>
      </c>
      <c r="G512" s="22" t="s">
        <v>6919</v>
      </c>
      <c r="H512" s="22">
        <v>10</v>
      </c>
      <c r="I512" s="25">
        <v>43440</v>
      </c>
      <c r="J512" s="24">
        <v>43446</v>
      </c>
    </row>
    <row r="513" spans="2:10" x14ac:dyDescent="0.2">
      <c r="B513" s="22">
        <v>515</v>
      </c>
      <c r="C513" s="23" t="s">
        <v>10887</v>
      </c>
      <c r="D513" s="23" t="s">
        <v>10287</v>
      </c>
      <c r="E513" s="20" t="s">
        <v>10888</v>
      </c>
      <c r="F513" s="22">
        <v>5</v>
      </c>
      <c r="G513" s="22" t="s">
        <v>10889</v>
      </c>
      <c r="H513" s="22">
        <v>1</v>
      </c>
      <c r="I513" s="25">
        <v>43391</v>
      </c>
      <c r="J513" s="24">
        <v>43411</v>
      </c>
    </row>
    <row r="514" spans="2:10" x14ac:dyDescent="0.2">
      <c r="B514" s="22">
        <v>516</v>
      </c>
      <c r="C514" s="23" t="s">
        <v>10890</v>
      </c>
      <c r="D514" s="23" t="s">
        <v>1761</v>
      </c>
      <c r="E514" s="20" t="s">
        <v>10891</v>
      </c>
      <c r="F514" s="22">
        <v>2</v>
      </c>
      <c r="G514" s="22" t="s">
        <v>10892</v>
      </c>
      <c r="H514" s="22">
        <v>2</v>
      </c>
      <c r="I514" s="25">
        <v>43405</v>
      </c>
      <c r="J514" s="24">
        <v>43421</v>
      </c>
    </row>
    <row r="515" spans="2:10" x14ac:dyDescent="0.2">
      <c r="B515" s="22">
        <v>517</v>
      </c>
      <c r="C515" s="23" t="s">
        <v>10893</v>
      </c>
      <c r="D515" s="23" t="s">
        <v>8799</v>
      </c>
      <c r="E515" s="20" t="s">
        <v>10894</v>
      </c>
      <c r="F515" s="22">
        <v>2</v>
      </c>
      <c r="G515" s="22" t="s">
        <v>10895</v>
      </c>
      <c r="H515" s="22">
        <v>1</v>
      </c>
      <c r="I515" s="25">
        <v>43314</v>
      </c>
      <c r="J515" s="24">
        <v>43186</v>
      </c>
    </row>
    <row r="516" spans="2:10" x14ac:dyDescent="0.2">
      <c r="B516" s="22">
        <v>518</v>
      </c>
      <c r="C516" s="23" t="s">
        <v>10896</v>
      </c>
      <c r="D516" s="23" t="s">
        <v>1294</v>
      </c>
      <c r="E516" s="20" t="s">
        <v>10897</v>
      </c>
      <c r="F516" s="22">
        <v>3</v>
      </c>
      <c r="G516" s="22" t="s">
        <v>10898</v>
      </c>
      <c r="H516" s="22">
        <v>1</v>
      </c>
      <c r="I516" s="25">
        <v>43293</v>
      </c>
      <c r="J516" s="24">
        <v>43306</v>
      </c>
    </row>
    <row r="517" spans="2:10" x14ac:dyDescent="0.2">
      <c r="B517" s="22">
        <v>519</v>
      </c>
      <c r="C517" s="23" t="s">
        <v>10899</v>
      </c>
      <c r="D517" s="23" t="s">
        <v>1909</v>
      </c>
      <c r="E517" s="20" t="s">
        <v>10900</v>
      </c>
      <c r="F517" s="22">
        <v>12</v>
      </c>
      <c r="G517" s="22" t="s">
        <v>10901</v>
      </c>
      <c r="H517" s="22">
        <v>12</v>
      </c>
      <c r="I517" s="25">
        <v>43188</v>
      </c>
      <c r="J517" s="22" t="s">
        <v>558</v>
      </c>
    </row>
    <row r="518" spans="2:10" x14ac:dyDescent="0.2">
      <c r="B518" s="22">
        <v>520</v>
      </c>
      <c r="C518" s="23" t="s">
        <v>10902</v>
      </c>
      <c r="D518" s="23" t="s">
        <v>8353</v>
      </c>
      <c r="E518" s="20" t="s">
        <v>10903</v>
      </c>
      <c r="F518" s="22">
        <v>2</v>
      </c>
      <c r="G518" s="22" t="s">
        <v>6964</v>
      </c>
      <c r="H518" s="22">
        <v>1</v>
      </c>
      <c r="I518" s="25">
        <v>43251</v>
      </c>
      <c r="J518" s="24">
        <v>43334</v>
      </c>
    </row>
    <row r="519" spans="2:10" x14ac:dyDescent="0.2">
      <c r="B519" s="22">
        <v>521</v>
      </c>
      <c r="C519" s="23" t="s">
        <v>10904</v>
      </c>
      <c r="D519" s="23" t="s">
        <v>8234</v>
      </c>
      <c r="E519" s="20" t="s">
        <v>10905</v>
      </c>
      <c r="F519" s="22">
        <v>17</v>
      </c>
      <c r="G519" s="22" t="s">
        <v>10906</v>
      </c>
      <c r="H519" s="22">
        <v>17</v>
      </c>
      <c r="I519" s="25">
        <v>43258</v>
      </c>
      <c r="J519" s="24">
        <v>43264</v>
      </c>
    </row>
    <row r="520" spans="2:10" x14ac:dyDescent="0.2">
      <c r="B520" s="22">
        <v>522</v>
      </c>
      <c r="C520" s="23" t="s">
        <v>10907</v>
      </c>
      <c r="D520" s="23" t="s">
        <v>7161</v>
      </c>
      <c r="E520" s="20" t="s">
        <v>10908</v>
      </c>
      <c r="F520" s="22">
        <v>1</v>
      </c>
      <c r="G520" s="22" t="s">
        <v>10909</v>
      </c>
      <c r="H520" s="22">
        <v>1</v>
      </c>
      <c r="I520" s="25">
        <v>43181</v>
      </c>
      <c r="J520" s="22" t="s">
        <v>558</v>
      </c>
    </row>
    <row r="521" spans="2:10" x14ac:dyDescent="0.2">
      <c r="B521" s="22">
        <v>523</v>
      </c>
      <c r="C521" s="23" t="s">
        <v>10910</v>
      </c>
      <c r="D521" s="23" t="s">
        <v>2010</v>
      </c>
      <c r="E521" s="20" t="s">
        <v>10911</v>
      </c>
      <c r="F521" s="22">
        <v>2</v>
      </c>
      <c r="G521" s="22" t="s">
        <v>10912</v>
      </c>
      <c r="H521" s="22">
        <v>1</v>
      </c>
      <c r="I521" s="25">
        <v>43139</v>
      </c>
      <c r="J521" s="24">
        <v>43376</v>
      </c>
    </row>
    <row r="522" spans="2:10" x14ac:dyDescent="0.2">
      <c r="B522" s="22">
        <v>524</v>
      </c>
      <c r="C522" s="23" t="s">
        <v>10913</v>
      </c>
      <c r="D522" s="23" t="s">
        <v>7800</v>
      </c>
      <c r="E522" s="20" t="s">
        <v>10914</v>
      </c>
      <c r="F522" s="22">
        <v>2</v>
      </c>
      <c r="G522" s="22" t="s">
        <v>10915</v>
      </c>
      <c r="H522" s="22">
        <v>1</v>
      </c>
      <c r="I522" s="25">
        <v>43384</v>
      </c>
      <c r="J522" s="24">
        <v>43397</v>
      </c>
    </row>
    <row r="523" spans="2:10" x14ac:dyDescent="0.2">
      <c r="B523" s="22">
        <v>525</v>
      </c>
      <c r="C523" s="23" t="s">
        <v>10916</v>
      </c>
      <c r="D523" s="23" t="s">
        <v>1880</v>
      </c>
      <c r="E523" s="20" t="s">
        <v>10917</v>
      </c>
      <c r="F523" s="22">
        <v>1</v>
      </c>
      <c r="G523" s="22" t="s">
        <v>10918</v>
      </c>
      <c r="H523" s="22">
        <v>1</v>
      </c>
      <c r="I523" s="25">
        <v>43384</v>
      </c>
      <c r="J523" s="24">
        <v>43165</v>
      </c>
    </row>
    <row r="524" spans="2:10" x14ac:dyDescent="0.2">
      <c r="B524" s="22">
        <v>526</v>
      </c>
      <c r="C524" s="23" t="s">
        <v>10919</v>
      </c>
      <c r="D524" s="23" t="s">
        <v>4580</v>
      </c>
      <c r="E524" s="20" t="s">
        <v>10920</v>
      </c>
      <c r="F524" s="22">
        <v>2</v>
      </c>
      <c r="G524" s="22" t="s">
        <v>10921</v>
      </c>
      <c r="H524" s="22">
        <v>1</v>
      </c>
      <c r="I524" s="25">
        <v>43349</v>
      </c>
      <c r="J524" s="24">
        <v>43358</v>
      </c>
    </row>
    <row r="525" spans="2:10" x14ac:dyDescent="0.2">
      <c r="B525" s="22">
        <v>527</v>
      </c>
      <c r="C525" s="23" t="s">
        <v>10922</v>
      </c>
      <c r="D525" s="23" t="s">
        <v>3627</v>
      </c>
      <c r="E525" s="20" t="s">
        <v>10923</v>
      </c>
      <c r="F525" s="22">
        <v>14</v>
      </c>
      <c r="G525" s="22" t="s">
        <v>10924</v>
      </c>
      <c r="H525" s="22">
        <v>14</v>
      </c>
      <c r="I525" s="25">
        <v>43342</v>
      </c>
      <c r="J525" s="22" t="s">
        <v>558</v>
      </c>
    </row>
    <row r="526" spans="2:10" x14ac:dyDescent="0.2">
      <c r="B526" s="22">
        <v>528</v>
      </c>
      <c r="C526" s="23" t="s">
        <v>10925</v>
      </c>
      <c r="D526" s="23" t="s">
        <v>5254</v>
      </c>
      <c r="E526" s="20" t="s">
        <v>10926</v>
      </c>
      <c r="F526" s="22">
        <v>11</v>
      </c>
      <c r="G526" s="22" t="s">
        <v>10927</v>
      </c>
      <c r="H526" s="22">
        <v>11</v>
      </c>
      <c r="I526" s="25">
        <v>43356</v>
      </c>
      <c r="J526" s="24">
        <v>43369</v>
      </c>
    </row>
    <row r="527" spans="2:10" x14ac:dyDescent="0.2">
      <c r="B527" s="22">
        <v>529</v>
      </c>
      <c r="C527" s="23" t="s">
        <v>10928</v>
      </c>
      <c r="D527" s="23" t="s">
        <v>1039</v>
      </c>
      <c r="E527" s="20" t="s">
        <v>10929</v>
      </c>
      <c r="F527" s="22">
        <v>7</v>
      </c>
      <c r="G527" s="22" t="s">
        <v>10930</v>
      </c>
      <c r="H527" s="22">
        <v>2</v>
      </c>
      <c r="I527" s="25">
        <v>43223</v>
      </c>
      <c r="J527" s="22" t="s">
        <v>558</v>
      </c>
    </row>
    <row r="528" spans="2:10" x14ac:dyDescent="0.2">
      <c r="B528" s="22">
        <v>530</v>
      </c>
      <c r="C528" s="23" t="s">
        <v>10931</v>
      </c>
      <c r="D528" s="23" t="s">
        <v>10932</v>
      </c>
      <c r="E528" s="20" t="s">
        <v>10933</v>
      </c>
      <c r="F528" s="22">
        <v>1</v>
      </c>
      <c r="G528" s="22" t="s">
        <v>10934</v>
      </c>
      <c r="H528" s="22">
        <v>1</v>
      </c>
      <c r="I528" s="25">
        <v>43433</v>
      </c>
      <c r="J528" s="22" t="s">
        <v>558</v>
      </c>
    </row>
    <row r="529" spans="2:10" x14ac:dyDescent="0.2">
      <c r="B529" s="22">
        <v>531</v>
      </c>
      <c r="C529" s="23" t="s">
        <v>10935</v>
      </c>
      <c r="D529" s="23" t="s">
        <v>10936</v>
      </c>
      <c r="E529" s="20" t="s">
        <v>10937</v>
      </c>
      <c r="F529" s="22">
        <v>1</v>
      </c>
      <c r="G529" s="22" t="s">
        <v>9211</v>
      </c>
      <c r="H529" s="22">
        <v>1</v>
      </c>
      <c r="I529" s="25">
        <v>43330</v>
      </c>
      <c r="J529" s="22" t="s">
        <v>558</v>
      </c>
    </row>
    <row r="530" spans="2:10" x14ac:dyDescent="0.2">
      <c r="B530" s="22">
        <v>532</v>
      </c>
      <c r="C530" s="23" t="s">
        <v>10938</v>
      </c>
      <c r="D530" s="23" t="s">
        <v>1332</v>
      </c>
      <c r="E530" s="20" t="s">
        <v>10939</v>
      </c>
      <c r="F530" s="22">
        <v>3</v>
      </c>
      <c r="G530" s="22" t="s">
        <v>10940</v>
      </c>
      <c r="H530" s="22">
        <v>2</v>
      </c>
      <c r="I530" s="25">
        <v>43244</v>
      </c>
      <c r="J530" s="24">
        <v>43257</v>
      </c>
    </row>
    <row r="531" spans="2:10" x14ac:dyDescent="0.2">
      <c r="B531" s="22">
        <v>533</v>
      </c>
      <c r="C531" s="23" t="s">
        <v>10941</v>
      </c>
      <c r="D531" s="23" t="s">
        <v>1804</v>
      </c>
      <c r="E531" s="20" t="s">
        <v>10942</v>
      </c>
      <c r="F531" s="22">
        <v>3</v>
      </c>
      <c r="G531" s="22" t="s">
        <v>2696</v>
      </c>
      <c r="H531" s="22">
        <v>1</v>
      </c>
      <c r="I531" s="25">
        <v>43349</v>
      </c>
      <c r="J531" s="24">
        <v>43425</v>
      </c>
    </row>
    <row r="532" spans="2:10" x14ac:dyDescent="0.2">
      <c r="B532" s="22">
        <v>534</v>
      </c>
      <c r="C532" s="23" t="s">
        <v>10943</v>
      </c>
      <c r="D532" s="23" t="s">
        <v>1175</v>
      </c>
      <c r="E532" s="20" t="s">
        <v>10944</v>
      </c>
      <c r="F532" s="22">
        <v>5</v>
      </c>
      <c r="G532" s="22" t="s">
        <v>10945</v>
      </c>
      <c r="H532" s="22">
        <v>5</v>
      </c>
      <c r="I532" s="25">
        <v>43257</v>
      </c>
      <c r="J532" s="24">
        <v>43264</v>
      </c>
    </row>
    <row r="533" spans="2:10" x14ac:dyDescent="0.2">
      <c r="B533" s="22">
        <v>535</v>
      </c>
      <c r="C533" s="23" t="s">
        <v>10946</v>
      </c>
      <c r="D533" s="23" t="s">
        <v>2051</v>
      </c>
      <c r="E533" s="20" t="s">
        <v>10947</v>
      </c>
      <c r="F533" s="22" t="s">
        <v>1159</v>
      </c>
      <c r="G533" s="22" t="s">
        <v>1159</v>
      </c>
      <c r="H533" s="22" t="s">
        <v>1159</v>
      </c>
      <c r="I533" s="25">
        <v>43272</v>
      </c>
      <c r="J533" s="24">
        <v>43369</v>
      </c>
    </row>
    <row r="534" spans="2:10" x14ac:dyDescent="0.2">
      <c r="B534" s="22">
        <v>536</v>
      </c>
      <c r="C534" s="23" t="s">
        <v>10948</v>
      </c>
      <c r="D534" s="23" t="s">
        <v>5137</v>
      </c>
      <c r="E534" s="20" t="s">
        <v>10949</v>
      </c>
      <c r="F534" s="22">
        <v>9</v>
      </c>
      <c r="G534" s="22" t="s">
        <v>10950</v>
      </c>
      <c r="H534" s="22">
        <v>9</v>
      </c>
      <c r="I534" s="25">
        <v>43181</v>
      </c>
      <c r="J534" s="22" t="s">
        <v>558</v>
      </c>
    </row>
    <row r="535" spans="2:10" x14ac:dyDescent="0.2">
      <c r="B535" s="22">
        <v>537</v>
      </c>
      <c r="C535" s="23" t="s">
        <v>10951</v>
      </c>
      <c r="D535" s="23" t="s">
        <v>10952</v>
      </c>
      <c r="E535" s="20" t="s">
        <v>10953</v>
      </c>
      <c r="F535" s="22">
        <v>11</v>
      </c>
      <c r="G535" s="22" t="s">
        <v>10954</v>
      </c>
      <c r="H535" s="22">
        <v>11</v>
      </c>
      <c r="I535" s="25">
        <v>43167</v>
      </c>
      <c r="J535" s="24">
        <v>43173</v>
      </c>
    </row>
    <row r="536" spans="2:10" x14ac:dyDescent="0.2">
      <c r="B536" s="22">
        <v>538</v>
      </c>
      <c r="C536" s="23" t="s">
        <v>10955</v>
      </c>
      <c r="D536" s="23" t="s">
        <v>4580</v>
      </c>
      <c r="E536" s="20" t="s">
        <v>10956</v>
      </c>
      <c r="F536" s="22">
        <v>3</v>
      </c>
      <c r="G536" s="22" t="s">
        <v>8797</v>
      </c>
      <c r="H536" s="22">
        <v>2</v>
      </c>
      <c r="I536" s="25">
        <v>43349</v>
      </c>
      <c r="J536" s="24">
        <v>43362</v>
      </c>
    </row>
    <row r="537" spans="2:10" x14ac:dyDescent="0.2">
      <c r="B537" s="22">
        <v>539</v>
      </c>
      <c r="C537" s="23" t="s">
        <v>10957</v>
      </c>
      <c r="D537" s="23" t="s">
        <v>1797</v>
      </c>
      <c r="E537" s="20" t="s">
        <v>10958</v>
      </c>
      <c r="F537" s="22">
        <v>4</v>
      </c>
      <c r="G537" s="22" t="s">
        <v>8890</v>
      </c>
      <c r="H537" s="22">
        <v>4</v>
      </c>
      <c r="I537" s="25">
        <v>43244</v>
      </c>
      <c r="J537" s="24">
        <v>43271</v>
      </c>
    </row>
    <row r="538" spans="2:10" x14ac:dyDescent="0.2">
      <c r="B538" s="22">
        <v>540</v>
      </c>
      <c r="C538" s="23" t="s">
        <v>10959</v>
      </c>
      <c r="D538" s="23" t="s">
        <v>1797</v>
      </c>
      <c r="E538" s="20" t="s">
        <v>10960</v>
      </c>
      <c r="F538" s="22">
        <v>2</v>
      </c>
      <c r="G538" s="22" t="s">
        <v>1159</v>
      </c>
      <c r="H538" s="22">
        <v>2</v>
      </c>
      <c r="I538" s="25">
        <v>43391</v>
      </c>
      <c r="J538" s="24">
        <v>43404</v>
      </c>
    </row>
    <row r="539" spans="2:10" x14ac:dyDescent="0.2">
      <c r="B539" s="22">
        <v>541</v>
      </c>
      <c r="C539" s="23" t="s">
        <v>10961</v>
      </c>
      <c r="D539" s="23" t="s">
        <v>1294</v>
      </c>
      <c r="E539" s="20" t="s">
        <v>10962</v>
      </c>
      <c r="F539" s="22">
        <v>6</v>
      </c>
      <c r="G539" s="22" t="s">
        <v>10963</v>
      </c>
      <c r="H539" s="22">
        <v>3</v>
      </c>
      <c r="I539" s="25">
        <v>43454</v>
      </c>
      <c r="J539" s="24">
        <v>43109</v>
      </c>
    </row>
    <row r="540" spans="2:10" x14ac:dyDescent="0.2">
      <c r="B540" s="22">
        <v>542</v>
      </c>
      <c r="C540" s="23" t="s">
        <v>10964</v>
      </c>
      <c r="D540" s="23" t="s">
        <v>1377</v>
      </c>
      <c r="E540" s="20" t="s">
        <v>10965</v>
      </c>
      <c r="F540" s="22">
        <v>16</v>
      </c>
      <c r="G540" s="22" t="s">
        <v>10965</v>
      </c>
      <c r="H540" s="22">
        <v>16</v>
      </c>
      <c r="I540" s="25">
        <v>43391</v>
      </c>
      <c r="J540" s="24">
        <v>43393</v>
      </c>
    </row>
    <row r="541" spans="2:10" x14ac:dyDescent="0.2">
      <c r="B541" s="22">
        <v>543</v>
      </c>
      <c r="C541" s="23" t="s">
        <v>10966</v>
      </c>
      <c r="D541" s="23" t="s">
        <v>1804</v>
      </c>
      <c r="E541" s="20" t="s">
        <v>6966</v>
      </c>
      <c r="F541" s="22">
        <v>3</v>
      </c>
      <c r="G541" s="22" t="s">
        <v>10967</v>
      </c>
      <c r="H541" s="22">
        <v>1</v>
      </c>
      <c r="I541" s="25">
        <v>43265</v>
      </c>
      <c r="J541" s="24">
        <v>43327</v>
      </c>
    </row>
    <row r="542" spans="2:10" x14ac:dyDescent="0.2">
      <c r="B542" s="22">
        <v>544</v>
      </c>
      <c r="C542" s="23" t="s">
        <v>10968</v>
      </c>
      <c r="D542" s="23" t="s">
        <v>7800</v>
      </c>
      <c r="E542" s="20" t="s">
        <v>10969</v>
      </c>
      <c r="F542" s="22">
        <v>15</v>
      </c>
      <c r="G542" s="22" t="s">
        <v>10970</v>
      </c>
      <c r="H542" s="22">
        <v>15</v>
      </c>
      <c r="I542" s="25">
        <v>43419</v>
      </c>
      <c r="J542" s="24">
        <v>43425</v>
      </c>
    </row>
    <row r="543" spans="2:10" x14ac:dyDescent="0.2">
      <c r="B543" s="22">
        <v>545</v>
      </c>
      <c r="C543" s="23" t="s">
        <v>10971</v>
      </c>
      <c r="D543" s="23" t="s">
        <v>10831</v>
      </c>
      <c r="E543" s="20" t="s">
        <v>10972</v>
      </c>
      <c r="F543" s="22">
        <v>9</v>
      </c>
      <c r="G543" s="22" t="s">
        <v>10973</v>
      </c>
      <c r="H543" s="22">
        <v>9</v>
      </c>
      <c r="I543" s="25">
        <v>43349</v>
      </c>
      <c r="J543" s="24">
        <v>43355</v>
      </c>
    </row>
    <row r="544" spans="2:10" x14ac:dyDescent="0.2">
      <c r="B544" s="22">
        <v>546</v>
      </c>
      <c r="C544" s="23" t="s">
        <v>10974</v>
      </c>
      <c r="D544" s="23" t="s">
        <v>1175</v>
      </c>
      <c r="E544" s="20" t="s">
        <v>10975</v>
      </c>
      <c r="F544" s="22" t="s">
        <v>1159</v>
      </c>
      <c r="G544" s="22" t="s">
        <v>1159</v>
      </c>
      <c r="H544" s="22" t="s">
        <v>1159</v>
      </c>
      <c r="I544" s="25">
        <v>43286</v>
      </c>
      <c r="J544" s="22" t="s">
        <v>558</v>
      </c>
    </row>
    <row r="545" spans="2:10" x14ac:dyDescent="0.2">
      <c r="B545" s="22">
        <v>547</v>
      </c>
      <c r="C545" s="23" t="s">
        <v>10976</v>
      </c>
      <c r="D545" s="23" t="s">
        <v>1210</v>
      </c>
      <c r="E545" s="20" t="s">
        <v>10977</v>
      </c>
      <c r="F545" s="22">
        <v>3</v>
      </c>
      <c r="G545" s="22" t="s">
        <v>10978</v>
      </c>
      <c r="H545" s="22">
        <v>3</v>
      </c>
      <c r="I545" s="25">
        <v>43265</v>
      </c>
      <c r="J545" s="24">
        <v>43278</v>
      </c>
    </row>
    <row r="546" spans="2:10" x14ac:dyDescent="0.2">
      <c r="B546" s="22">
        <v>548</v>
      </c>
      <c r="C546" s="23" t="s">
        <v>10979</v>
      </c>
      <c r="D546" s="23" t="s">
        <v>6537</v>
      </c>
      <c r="E546" s="20" t="s">
        <v>10980</v>
      </c>
      <c r="F546" s="22">
        <v>3</v>
      </c>
      <c r="G546" s="22" t="s">
        <v>1159</v>
      </c>
      <c r="H546" s="22" t="s">
        <v>1159</v>
      </c>
      <c r="I546" s="25">
        <v>43223</v>
      </c>
      <c r="J546" s="24">
        <v>43250</v>
      </c>
    </row>
    <row r="547" spans="2:10" x14ac:dyDescent="0.2">
      <c r="B547" s="22">
        <v>549</v>
      </c>
      <c r="C547" s="23" t="s">
        <v>10981</v>
      </c>
      <c r="D547" s="23" t="s">
        <v>2548</v>
      </c>
      <c r="E547" s="20" t="s">
        <v>10982</v>
      </c>
      <c r="F547" s="22">
        <v>17</v>
      </c>
      <c r="G547" s="22" t="s">
        <v>10589</v>
      </c>
      <c r="H547" s="22">
        <v>17</v>
      </c>
      <c r="I547" s="25">
        <v>43181</v>
      </c>
      <c r="J547" s="22" t="s">
        <v>558</v>
      </c>
    </row>
    <row r="548" spans="2:10" x14ac:dyDescent="0.2">
      <c r="B548" s="22">
        <v>550</v>
      </c>
      <c r="C548" s="23" t="s">
        <v>10983</v>
      </c>
      <c r="D548" s="23" t="s">
        <v>9301</v>
      </c>
      <c r="E548" s="20" t="s">
        <v>10984</v>
      </c>
      <c r="F548" s="22">
        <v>5</v>
      </c>
      <c r="G548" s="22" t="s">
        <v>2351</v>
      </c>
      <c r="H548" s="22">
        <v>5</v>
      </c>
      <c r="I548" s="25">
        <v>43272</v>
      </c>
      <c r="J548" s="24">
        <v>43292</v>
      </c>
    </row>
    <row r="549" spans="2:10" x14ac:dyDescent="0.2">
      <c r="B549" s="22">
        <v>551</v>
      </c>
      <c r="C549" s="23" t="s">
        <v>10985</v>
      </c>
      <c r="D549" s="23" t="s">
        <v>10986</v>
      </c>
      <c r="E549" s="20" t="s">
        <v>10987</v>
      </c>
      <c r="F549" s="22">
        <v>1</v>
      </c>
      <c r="G549" s="22" t="s">
        <v>10988</v>
      </c>
      <c r="H549" s="22">
        <v>1</v>
      </c>
      <c r="I549" s="25">
        <v>43202</v>
      </c>
      <c r="J549" s="24">
        <v>43208</v>
      </c>
    </row>
    <row r="550" spans="2:10" x14ac:dyDescent="0.2">
      <c r="B550" s="22">
        <v>552</v>
      </c>
      <c r="C550" s="23" t="s">
        <v>10989</v>
      </c>
      <c r="D550" s="23" t="s">
        <v>10990</v>
      </c>
      <c r="E550" s="20" t="s">
        <v>10991</v>
      </c>
      <c r="F550" s="22">
        <v>2</v>
      </c>
      <c r="G550" s="22" t="s">
        <v>1159</v>
      </c>
      <c r="H550" s="22" t="s">
        <v>1159</v>
      </c>
      <c r="I550" s="25">
        <v>43398</v>
      </c>
      <c r="J550" s="24">
        <v>43439</v>
      </c>
    </row>
    <row r="551" spans="2:10" x14ac:dyDescent="0.2">
      <c r="B551" s="22">
        <v>553</v>
      </c>
      <c r="C551" s="23" t="s">
        <v>10992</v>
      </c>
      <c r="D551" s="23" t="s">
        <v>5197</v>
      </c>
      <c r="E551" s="20" t="s">
        <v>10993</v>
      </c>
      <c r="F551" s="22">
        <v>3</v>
      </c>
      <c r="G551" s="22" t="s">
        <v>10994</v>
      </c>
      <c r="H551" s="22">
        <v>1</v>
      </c>
      <c r="I551" s="25">
        <v>43139</v>
      </c>
      <c r="J551" s="22" t="s">
        <v>558</v>
      </c>
    </row>
    <row r="552" spans="2:10" x14ac:dyDescent="0.2">
      <c r="B552" s="22">
        <v>554</v>
      </c>
      <c r="C552" s="23" t="s">
        <v>10995</v>
      </c>
      <c r="D552" s="23" t="s">
        <v>5197</v>
      </c>
      <c r="E552" s="20" t="s">
        <v>10996</v>
      </c>
      <c r="F552" s="22">
        <v>2</v>
      </c>
      <c r="G552" s="22" t="s">
        <v>5302</v>
      </c>
      <c r="H552" s="22">
        <v>1</v>
      </c>
      <c r="I552" s="25">
        <v>43280</v>
      </c>
      <c r="J552" s="24">
        <v>43407</v>
      </c>
    </row>
    <row r="553" spans="2:10" x14ac:dyDescent="0.2">
      <c r="B553" s="22">
        <v>555</v>
      </c>
      <c r="C553" s="23" t="s">
        <v>10997</v>
      </c>
      <c r="D553" s="23" t="s">
        <v>4084</v>
      </c>
      <c r="E553" s="20" t="s">
        <v>10998</v>
      </c>
      <c r="F553" s="22">
        <v>4</v>
      </c>
      <c r="G553" s="22" t="s">
        <v>10998</v>
      </c>
      <c r="H553" s="22">
        <v>4</v>
      </c>
      <c r="I553" s="25">
        <v>43146</v>
      </c>
      <c r="J553" s="24">
        <v>43153</v>
      </c>
    </row>
    <row r="554" spans="2:10" x14ac:dyDescent="0.2">
      <c r="B554" s="22">
        <v>556</v>
      </c>
      <c r="C554" s="23" t="s">
        <v>10999</v>
      </c>
      <c r="D554" s="23" t="s">
        <v>2270</v>
      </c>
      <c r="E554" s="20" t="s">
        <v>8604</v>
      </c>
      <c r="F554" s="22">
        <v>3</v>
      </c>
      <c r="G554" s="22" t="s">
        <v>1159</v>
      </c>
      <c r="H554" s="22">
        <v>1</v>
      </c>
      <c r="I554" s="25">
        <v>43237</v>
      </c>
      <c r="J554" s="24">
        <v>43271</v>
      </c>
    </row>
    <row r="555" spans="2:10" x14ac:dyDescent="0.2">
      <c r="B555" s="22">
        <v>557</v>
      </c>
      <c r="C555" s="23" t="s">
        <v>11000</v>
      </c>
      <c r="D555" s="23" t="s">
        <v>1576</v>
      </c>
      <c r="E555" s="20" t="s">
        <v>11001</v>
      </c>
      <c r="F555" s="22">
        <v>2</v>
      </c>
      <c r="G555" s="22" t="s">
        <v>11002</v>
      </c>
      <c r="H555" s="22">
        <v>2</v>
      </c>
      <c r="I555" s="25">
        <v>43447</v>
      </c>
      <c r="J555" s="24">
        <v>43453</v>
      </c>
    </row>
    <row r="556" spans="2:10" x14ac:dyDescent="0.2">
      <c r="B556" s="22">
        <v>558</v>
      </c>
      <c r="C556" s="23" t="s">
        <v>11003</v>
      </c>
      <c r="D556" s="23" t="s">
        <v>1213</v>
      </c>
      <c r="E556" s="20" t="s">
        <v>11004</v>
      </c>
      <c r="F556" s="22">
        <v>3</v>
      </c>
      <c r="G556" s="22" t="s">
        <v>11005</v>
      </c>
      <c r="H556" s="22">
        <v>1</v>
      </c>
      <c r="I556" s="25">
        <v>43368</v>
      </c>
      <c r="J556" s="24">
        <v>43404</v>
      </c>
    </row>
    <row r="557" spans="2:10" x14ac:dyDescent="0.2">
      <c r="B557" s="22">
        <v>559</v>
      </c>
      <c r="C557" s="23" t="s">
        <v>11006</v>
      </c>
      <c r="D557" s="23" t="s">
        <v>1213</v>
      </c>
      <c r="E557" s="20" t="s">
        <v>11007</v>
      </c>
      <c r="F557" s="22">
        <v>4</v>
      </c>
      <c r="G557" s="22" t="s">
        <v>11008</v>
      </c>
      <c r="H557" s="22">
        <v>2</v>
      </c>
      <c r="I557" s="25">
        <v>43356</v>
      </c>
      <c r="J557" s="24">
        <v>43404</v>
      </c>
    </row>
    <row r="558" spans="2:10" x14ac:dyDescent="0.2">
      <c r="B558" s="22">
        <v>560</v>
      </c>
      <c r="C558" s="23" t="s">
        <v>11009</v>
      </c>
      <c r="D558" s="23" t="s">
        <v>1572</v>
      </c>
      <c r="E558" s="20" t="s">
        <v>11010</v>
      </c>
      <c r="F558" s="22">
        <v>1</v>
      </c>
      <c r="G558" s="22" t="s">
        <v>11011</v>
      </c>
      <c r="H558" s="22">
        <v>1</v>
      </c>
      <c r="I558" s="25">
        <v>43403</v>
      </c>
      <c r="J558" s="24">
        <v>43418</v>
      </c>
    </row>
    <row r="559" spans="2:10" x14ac:dyDescent="0.2">
      <c r="B559" s="22">
        <v>561</v>
      </c>
      <c r="C559" s="23" t="s">
        <v>11012</v>
      </c>
      <c r="D559" s="23" t="s">
        <v>1135</v>
      </c>
      <c r="E559" s="20" t="s">
        <v>11013</v>
      </c>
      <c r="F559" s="22">
        <v>2</v>
      </c>
      <c r="G559" s="22" t="s">
        <v>11014</v>
      </c>
      <c r="H559" s="22">
        <v>1</v>
      </c>
      <c r="I559" s="25">
        <v>43328</v>
      </c>
      <c r="J559" s="24">
        <v>43348</v>
      </c>
    </row>
    <row r="560" spans="2:10" x14ac:dyDescent="0.2">
      <c r="B560" s="22">
        <v>562</v>
      </c>
      <c r="C560" s="23" t="s">
        <v>11015</v>
      </c>
      <c r="D560" s="23" t="s">
        <v>1880</v>
      </c>
      <c r="E560" s="20" t="s">
        <v>11016</v>
      </c>
      <c r="F560" s="22">
        <v>10</v>
      </c>
      <c r="G560" s="22" t="s">
        <v>11017</v>
      </c>
      <c r="H560" s="22">
        <v>6</v>
      </c>
      <c r="I560" s="25">
        <v>43391</v>
      </c>
      <c r="J560" s="24">
        <v>43418</v>
      </c>
    </row>
    <row r="561" spans="2:10" x14ac:dyDescent="0.2">
      <c r="B561" s="22">
        <v>563</v>
      </c>
      <c r="C561" s="23" t="s">
        <v>11018</v>
      </c>
      <c r="D561" s="23" t="s">
        <v>1294</v>
      </c>
      <c r="E561" s="20" t="s">
        <v>11019</v>
      </c>
      <c r="F561" s="22">
        <v>9</v>
      </c>
      <c r="G561" s="22" t="s">
        <v>11020</v>
      </c>
      <c r="H561" s="22">
        <v>2</v>
      </c>
      <c r="I561" s="25">
        <v>43186</v>
      </c>
      <c r="J561" s="24">
        <v>43201</v>
      </c>
    </row>
    <row r="562" spans="2:10" x14ac:dyDescent="0.2">
      <c r="B562" s="22">
        <v>564</v>
      </c>
      <c r="C562" s="23" t="s">
        <v>11021</v>
      </c>
      <c r="D562" s="23" t="s">
        <v>1942</v>
      </c>
      <c r="E562" s="20" t="s">
        <v>11022</v>
      </c>
      <c r="F562" s="22">
        <v>1</v>
      </c>
      <c r="G562" s="22" t="s">
        <v>11023</v>
      </c>
      <c r="H562" s="22">
        <v>1</v>
      </c>
      <c r="I562" s="25">
        <v>43368</v>
      </c>
      <c r="J562" s="24">
        <v>43397</v>
      </c>
    </row>
    <row r="563" spans="2:10" x14ac:dyDescent="0.2">
      <c r="B563" s="22">
        <v>565</v>
      </c>
      <c r="C563" s="23" t="s">
        <v>11024</v>
      </c>
      <c r="D563" s="23" t="s">
        <v>8799</v>
      </c>
      <c r="E563" s="20" t="s">
        <v>11025</v>
      </c>
      <c r="F563" s="22">
        <v>2</v>
      </c>
      <c r="G563" s="22" t="s">
        <v>9324</v>
      </c>
      <c r="H563" s="22">
        <v>1</v>
      </c>
      <c r="I563" s="25">
        <v>43363</v>
      </c>
      <c r="J563" s="24">
        <v>43389</v>
      </c>
    </row>
    <row r="564" spans="2:10" x14ac:dyDescent="0.2">
      <c r="B564" s="22">
        <v>566</v>
      </c>
      <c r="C564" s="23" t="s">
        <v>11026</v>
      </c>
      <c r="D564" s="23" t="s">
        <v>1532</v>
      </c>
      <c r="E564" s="20" t="s">
        <v>11027</v>
      </c>
      <c r="F564" s="22">
        <v>14</v>
      </c>
      <c r="G564" s="22" t="s">
        <v>11028</v>
      </c>
      <c r="H564" s="22">
        <v>14</v>
      </c>
      <c r="I564" s="25">
        <v>43174</v>
      </c>
      <c r="J564" s="24">
        <v>43222</v>
      </c>
    </row>
    <row r="565" spans="2:10" x14ac:dyDescent="0.2">
      <c r="B565" s="22">
        <v>567</v>
      </c>
      <c r="C565" s="23" t="s">
        <v>11029</v>
      </c>
      <c r="D565" s="23" t="s">
        <v>6537</v>
      </c>
      <c r="E565" s="20" t="s">
        <v>11030</v>
      </c>
      <c r="F565" s="22">
        <v>5</v>
      </c>
      <c r="G565" s="22" t="s">
        <v>1159</v>
      </c>
      <c r="H565" s="22" t="s">
        <v>1159</v>
      </c>
      <c r="I565" s="25">
        <v>43384</v>
      </c>
      <c r="J565" s="24">
        <v>43411</v>
      </c>
    </row>
    <row r="566" spans="2:10" x14ac:dyDescent="0.2">
      <c r="B566" s="22">
        <v>568</v>
      </c>
      <c r="C566" s="23" t="s">
        <v>11031</v>
      </c>
      <c r="D566" s="23" t="s">
        <v>8353</v>
      </c>
      <c r="E566" s="20" t="s">
        <v>11032</v>
      </c>
      <c r="F566" s="22">
        <v>3</v>
      </c>
      <c r="G566" s="22" t="s">
        <v>11033</v>
      </c>
      <c r="H566" s="22">
        <v>2</v>
      </c>
      <c r="I566" s="25">
        <v>43160</v>
      </c>
      <c r="J566" s="24">
        <v>43229</v>
      </c>
    </row>
    <row r="567" spans="2:10" x14ac:dyDescent="0.2">
      <c r="B567" s="22">
        <v>569</v>
      </c>
      <c r="C567" s="23" t="s">
        <v>11034</v>
      </c>
      <c r="D567" s="23" t="s">
        <v>11035</v>
      </c>
      <c r="E567" s="20" t="s">
        <v>11036</v>
      </c>
      <c r="F567" s="22">
        <v>2</v>
      </c>
      <c r="G567" s="22" t="s">
        <v>11036</v>
      </c>
      <c r="H567" s="22">
        <v>2</v>
      </c>
      <c r="I567" s="25">
        <v>43265</v>
      </c>
      <c r="J567" s="24">
        <v>43267</v>
      </c>
    </row>
    <row r="568" spans="2:10" x14ac:dyDescent="0.2">
      <c r="B568" s="22">
        <v>570</v>
      </c>
      <c r="C568" s="23" t="s">
        <v>11037</v>
      </c>
      <c r="D568" s="23" t="s">
        <v>11038</v>
      </c>
      <c r="E568" s="20" t="s">
        <v>9082</v>
      </c>
      <c r="F568" s="22">
        <v>2</v>
      </c>
      <c r="G568" s="22" t="s">
        <v>11039</v>
      </c>
      <c r="H568" s="22">
        <v>2</v>
      </c>
      <c r="I568" s="25">
        <v>43174</v>
      </c>
      <c r="J568" s="24">
        <v>43194</v>
      </c>
    </row>
    <row r="569" spans="2:10" x14ac:dyDescent="0.2">
      <c r="B569" s="22">
        <v>571</v>
      </c>
      <c r="C569" s="23" t="s">
        <v>11040</v>
      </c>
      <c r="D569" s="23" t="s">
        <v>1880</v>
      </c>
      <c r="E569" s="20" t="s">
        <v>11041</v>
      </c>
      <c r="F569" s="22">
        <v>2</v>
      </c>
      <c r="G569" s="22" t="s">
        <v>11042</v>
      </c>
      <c r="H569" s="22">
        <v>2</v>
      </c>
      <c r="I569" s="25">
        <v>43153</v>
      </c>
      <c r="J569" s="24">
        <v>43239</v>
      </c>
    </row>
    <row r="570" spans="2:10" x14ac:dyDescent="0.2">
      <c r="B570" s="22">
        <v>572</v>
      </c>
      <c r="C570" s="23" t="s">
        <v>11043</v>
      </c>
      <c r="D570" s="23" t="s">
        <v>1568</v>
      </c>
      <c r="E570" s="20" t="s">
        <v>11044</v>
      </c>
      <c r="F570" s="22">
        <v>15</v>
      </c>
      <c r="G570" s="22" t="s">
        <v>11045</v>
      </c>
      <c r="H570" s="22">
        <v>15</v>
      </c>
      <c r="I570" s="25">
        <v>43384</v>
      </c>
      <c r="J570" s="24">
        <v>43390</v>
      </c>
    </row>
    <row r="571" spans="2:10" x14ac:dyDescent="0.2">
      <c r="B571" s="22">
        <v>573</v>
      </c>
      <c r="C571" s="23" t="s">
        <v>11046</v>
      </c>
      <c r="D571" s="23" t="s">
        <v>7161</v>
      </c>
      <c r="E571" s="20" t="s">
        <v>11047</v>
      </c>
      <c r="F571" s="22">
        <v>2</v>
      </c>
      <c r="G571" s="22" t="s">
        <v>11048</v>
      </c>
      <c r="H571" s="22">
        <v>1</v>
      </c>
      <c r="I571" s="25">
        <v>43384</v>
      </c>
      <c r="J571" s="22" t="s">
        <v>558</v>
      </c>
    </row>
    <row r="572" spans="2:10" x14ac:dyDescent="0.2">
      <c r="B572" s="22">
        <v>574</v>
      </c>
      <c r="C572" s="23" t="s">
        <v>11049</v>
      </c>
      <c r="D572" s="23" t="s">
        <v>8234</v>
      </c>
      <c r="E572" s="20" t="s">
        <v>11050</v>
      </c>
      <c r="F572" s="22">
        <v>1</v>
      </c>
      <c r="G572" s="22" t="s">
        <v>11051</v>
      </c>
      <c r="H572" s="22">
        <v>1</v>
      </c>
      <c r="I572" s="25">
        <v>43265</v>
      </c>
      <c r="J572" s="24">
        <v>43299</v>
      </c>
    </row>
    <row r="573" spans="2:10" x14ac:dyDescent="0.2">
      <c r="B573" s="22">
        <v>575</v>
      </c>
      <c r="C573" s="23" t="s">
        <v>11052</v>
      </c>
      <c r="D573" s="23" t="s">
        <v>1294</v>
      </c>
      <c r="E573" s="20" t="s">
        <v>11053</v>
      </c>
      <c r="F573" s="22">
        <v>2</v>
      </c>
      <c r="G573" s="22" t="s">
        <v>9803</v>
      </c>
      <c r="H573" s="22">
        <v>2</v>
      </c>
      <c r="I573" s="25">
        <v>43118</v>
      </c>
      <c r="J573" s="24">
        <v>43145</v>
      </c>
    </row>
    <row r="574" spans="2:10" x14ac:dyDescent="0.2">
      <c r="B574" s="22">
        <v>576</v>
      </c>
      <c r="C574" s="23" t="s">
        <v>11054</v>
      </c>
      <c r="D574" s="23" t="s">
        <v>11038</v>
      </c>
      <c r="E574" s="20" t="s">
        <v>11055</v>
      </c>
      <c r="F574" s="22">
        <v>2</v>
      </c>
      <c r="G574" s="22" t="s">
        <v>11056</v>
      </c>
      <c r="H574" s="22">
        <v>2</v>
      </c>
      <c r="I574" s="25">
        <v>43300</v>
      </c>
      <c r="J574" s="22" t="s">
        <v>558</v>
      </c>
    </row>
    <row r="575" spans="2:10" x14ac:dyDescent="0.2">
      <c r="B575" s="22">
        <v>577</v>
      </c>
      <c r="C575" s="23" t="s">
        <v>11057</v>
      </c>
      <c r="D575" s="23" t="s">
        <v>1804</v>
      </c>
      <c r="E575" s="20" t="s">
        <v>11058</v>
      </c>
      <c r="F575" s="22">
        <v>1</v>
      </c>
      <c r="G575" s="22" t="s">
        <v>11059</v>
      </c>
      <c r="H575" s="22">
        <v>1</v>
      </c>
      <c r="I575" s="25">
        <v>43188</v>
      </c>
      <c r="J575" s="24">
        <v>43264</v>
      </c>
    </row>
    <row r="576" spans="2:10" x14ac:dyDescent="0.2">
      <c r="B576" s="22">
        <v>578</v>
      </c>
      <c r="C576" s="23" t="s">
        <v>11060</v>
      </c>
      <c r="D576" s="23" t="s">
        <v>7800</v>
      </c>
      <c r="E576" s="20" t="s">
        <v>11061</v>
      </c>
      <c r="F576" s="22">
        <v>10</v>
      </c>
      <c r="G576" s="22" t="s">
        <v>11062</v>
      </c>
      <c r="H576" s="22">
        <v>10</v>
      </c>
      <c r="I576" s="25">
        <v>43349</v>
      </c>
      <c r="J576" s="24">
        <v>43355</v>
      </c>
    </row>
    <row r="577" spans="2:10" x14ac:dyDescent="0.2">
      <c r="B577" s="22">
        <v>579</v>
      </c>
      <c r="C577" s="23" t="s">
        <v>11063</v>
      </c>
      <c r="D577" s="23" t="s">
        <v>1739</v>
      </c>
      <c r="E577" s="20" t="s">
        <v>11064</v>
      </c>
      <c r="F577" s="22">
        <v>4</v>
      </c>
      <c r="G577" s="22" t="s">
        <v>11065</v>
      </c>
      <c r="H577" s="22">
        <v>2</v>
      </c>
      <c r="I577" s="25">
        <v>43377</v>
      </c>
      <c r="J577" s="24">
        <v>43397</v>
      </c>
    </row>
    <row r="578" spans="2:10" x14ac:dyDescent="0.2">
      <c r="B578" s="22">
        <v>580</v>
      </c>
      <c r="C578" s="23" t="s">
        <v>11066</v>
      </c>
      <c r="D578" s="23" t="s">
        <v>2197</v>
      </c>
      <c r="E578" s="20" t="s">
        <v>11067</v>
      </c>
      <c r="F578" s="22">
        <v>15</v>
      </c>
      <c r="G578" s="22" t="s">
        <v>11068</v>
      </c>
      <c r="H578" s="22">
        <v>15</v>
      </c>
      <c r="I578" s="25">
        <v>43258</v>
      </c>
      <c r="J578" s="24">
        <v>43264</v>
      </c>
    </row>
    <row r="579" spans="2:10" x14ac:dyDescent="0.2">
      <c r="B579" s="22">
        <v>581</v>
      </c>
      <c r="C579" s="23" t="s">
        <v>11069</v>
      </c>
      <c r="D579" s="23" t="s">
        <v>11070</v>
      </c>
      <c r="E579" s="20" t="s">
        <v>11071</v>
      </c>
      <c r="F579" s="22">
        <v>2</v>
      </c>
      <c r="G579" s="22" t="s">
        <v>9231</v>
      </c>
      <c r="H579" s="22">
        <v>2</v>
      </c>
      <c r="I579" s="25">
        <v>43328</v>
      </c>
      <c r="J579" s="24">
        <v>43341</v>
      </c>
    </row>
    <row r="580" spans="2:10" x14ac:dyDescent="0.2">
      <c r="B580" s="22">
        <v>582</v>
      </c>
      <c r="C580" s="23" t="s">
        <v>11072</v>
      </c>
      <c r="D580" s="23" t="s">
        <v>1248</v>
      </c>
      <c r="E580" s="20" t="s">
        <v>11073</v>
      </c>
      <c r="F580" s="22">
        <v>2</v>
      </c>
      <c r="G580" s="22" t="s">
        <v>11074</v>
      </c>
      <c r="H580" s="22">
        <v>2</v>
      </c>
      <c r="I580" s="25">
        <v>43272</v>
      </c>
      <c r="J580" s="24">
        <v>43341</v>
      </c>
    </row>
    <row r="581" spans="2:10" x14ac:dyDescent="0.2">
      <c r="B581" s="22">
        <v>583</v>
      </c>
      <c r="C581" s="23" t="s">
        <v>11075</v>
      </c>
      <c r="D581" s="23" t="s">
        <v>1142</v>
      </c>
      <c r="E581" s="20" t="s">
        <v>11076</v>
      </c>
      <c r="F581" s="22">
        <v>7</v>
      </c>
      <c r="G581" s="22" t="s">
        <v>11077</v>
      </c>
      <c r="H581" s="22">
        <v>2</v>
      </c>
      <c r="I581" s="25">
        <v>43349</v>
      </c>
      <c r="J581" s="24">
        <v>43362</v>
      </c>
    </row>
    <row r="582" spans="2:10" x14ac:dyDescent="0.2">
      <c r="B582" s="22">
        <v>584</v>
      </c>
      <c r="C582" s="23" t="s">
        <v>11078</v>
      </c>
      <c r="D582" s="23" t="s">
        <v>1572</v>
      </c>
      <c r="E582" s="20" t="s">
        <v>5090</v>
      </c>
      <c r="F582" s="22">
        <v>2</v>
      </c>
      <c r="G582" s="22" t="s">
        <v>11079</v>
      </c>
      <c r="H582" s="22">
        <v>1</v>
      </c>
      <c r="I582" s="25">
        <v>43265</v>
      </c>
      <c r="J582" s="24">
        <v>43337</v>
      </c>
    </row>
    <row r="583" spans="2:10" x14ac:dyDescent="0.2">
      <c r="B583" s="22">
        <v>585</v>
      </c>
      <c r="C583" s="23" t="s">
        <v>11080</v>
      </c>
      <c r="D583" s="23" t="s">
        <v>1294</v>
      </c>
      <c r="E583" s="20" t="s">
        <v>11081</v>
      </c>
      <c r="F583" s="22">
        <v>6</v>
      </c>
      <c r="G583" s="22" t="s">
        <v>11082</v>
      </c>
      <c r="H583" s="22">
        <v>6</v>
      </c>
      <c r="I583" s="25">
        <v>43377</v>
      </c>
      <c r="J583" s="24">
        <v>43383</v>
      </c>
    </row>
    <row r="584" spans="2:10" x14ac:dyDescent="0.2">
      <c r="B584" s="22">
        <v>586</v>
      </c>
      <c r="C584" s="23" t="s">
        <v>11083</v>
      </c>
      <c r="D584" s="23" t="s">
        <v>1918</v>
      </c>
      <c r="E584" s="20" t="s">
        <v>11084</v>
      </c>
      <c r="F584" s="22">
        <v>12</v>
      </c>
      <c r="G584" s="22" t="s">
        <v>1159</v>
      </c>
      <c r="H584" s="22" t="s">
        <v>1159</v>
      </c>
      <c r="I584" s="25">
        <v>43447</v>
      </c>
      <c r="J584" s="24">
        <v>43165</v>
      </c>
    </row>
    <row r="585" spans="2:10" x14ac:dyDescent="0.2">
      <c r="B585" s="22">
        <v>587</v>
      </c>
      <c r="C585" s="23" t="s">
        <v>11085</v>
      </c>
      <c r="D585" s="23" t="s">
        <v>1532</v>
      </c>
      <c r="E585" s="20" t="s">
        <v>11086</v>
      </c>
      <c r="F585" s="22">
        <v>1</v>
      </c>
      <c r="G585" s="22" t="s">
        <v>2730</v>
      </c>
      <c r="H585" s="22">
        <v>1</v>
      </c>
      <c r="I585" s="25">
        <v>43347</v>
      </c>
      <c r="J585" s="24">
        <v>43446</v>
      </c>
    </row>
    <row r="586" spans="2:10" x14ac:dyDescent="0.2">
      <c r="B586" s="22">
        <v>588</v>
      </c>
      <c r="C586" s="23" t="s">
        <v>11087</v>
      </c>
      <c r="D586" s="23" t="s">
        <v>5254</v>
      </c>
      <c r="E586" s="20" t="s">
        <v>1820</v>
      </c>
      <c r="F586" s="22">
        <v>15</v>
      </c>
      <c r="G586" s="22" t="s">
        <v>11088</v>
      </c>
      <c r="H586" s="22">
        <v>15</v>
      </c>
      <c r="I586" s="25">
        <v>43293</v>
      </c>
      <c r="J586" s="24">
        <v>43299</v>
      </c>
    </row>
    <row r="587" spans="2:10" x14ac:dyDescent="0.2">
      <c r="B587" s="22">
        <v>589</v>
      </c>
      <c r="C587" s="23" t="s">
        <v>11089</v>
      </c>
      <c r="D587" s="23" t="s">
        <v>5254</v>
      </c>
      <c r="E587" s="20" t="s">
        <v>11090</v>
      </c>
      <c r="F587" s="22">
        <v>5</v>
      </c>
      <c r="G587" s="22" t="s">
        <v>11090</v>
      </c>
      <c r="H587" s="22">
        <v>5</v>
      </c>
      <c r="I587" s="25">
        <v>43377</v>
      </c>
      <c r="J587" s="24">
        <v>43379</v>
      </c>
    </row>
    <row r="588" spans="2:10" x14ac:dyDescent="0.2">
      <c r="B588" s="22">
        <v>590</v>
      </c>
      <c r="C588" s="23" t="s">
        <v>11091</v>
      </c>
      <c r="D588" s="23" t="s">
        <v>1235</v>
      </c>
      <c r="E588" s="20" t="s">
        <v>11092</v>
      </c>
      <c r="F588" s="22">
        <v>19</v>
      </c>
      <c r="G588" s="22" t="s">
        <v>11092</v>
      </c>
      <c r="H588" s="22">
        <v>19</v>
      </c>
      <c r="I588" s="25">
        <v>43356</v>
      </c>
      <c r="J588" s="24">
        <v>43358</v>
      </c>
    </row>
    <row r="589" spans="2:10" x14ac:dyDescent="0.2">
      <c r="B589" s="22">
        <v>591</v>
      </c>
      <c r="C589" s="23" t="s">
        <v>11093</v>
      </c>
      <c r="D589" s="23" t="s">
        <v>5254</v>
      </c>
      <c r="E589" s="20" t="s">
        <v>11094</v>
      </c>
      <c r="F589" s="22">
        <v>2</v>
      </c>
      <c r="G589" s="22" t="s">
        <v>11095</v>
      </c>
      <c r="H589" s="22">
        <v>2</v>
      </c>
      <c r="I589" s="25">
        <v>43132</v>
      </c>
      <c r="J589" s="24">
        <v>43138</v>
      </c>
    </row>
    <row r="590" spans="2:10" x14ac:dyDescent="0.2">
      <c r="B590" s="22">
        <v>592</v>
      </c>
      <c r="C590" s="23" t="s">
        <v>11096</v>
      </c>
      <c r="D590" s="23" t="s">
        <v>11097</v>
      </c>
      <c r="E590" s="20" t="s">
        <v>10973</v>
      </c>
      <c r="F590" s="22">
        <v>2</v>
      </c>
      <c r="G590" s="22" t="s">
        <v>6737</v>
      </c>
      <c r="H590" s="22">
        <v>1</v>
      </c>
      <c r="I590" s="25">
        <v>43223</v>
      </c>
      <c r="J590" s="24">
        <v>43236</v>
      </c>
    </row>
    <row r="591" spans="2:10" x14ac:dyDescent="0.2">
      <c r="B591" s="22">
        <v>593</v>
      </c>
      <c r="C591" s="23" t="s">
        <v>11098</v>
      </c>
      <c r="D591" s="23" t="s">
        <v>1294</v>
      </c>
      <c r="E591" s="20" t="s">
        <v>11099</v>
      </c>
      <c r="F591" s="22">
        <v>2</v>
      </c>
      <c r="G591" s="22" t="s">
        <v>11100</v>
      </c>
      <c r="H591" s="22">
        <v>2</v>
      </c>
      <c r="I591" s="25">
        <v>43405</v>
      </c>
      <c r="J591" s="24">
        <v>43411</v>
      </c>
    </row>
    <row r="592" spans="2:10" x14ac:dyDescent="0.2">
      <c r="B592" s="22">
        <v>594</v>
      </c>
      <c r="C592" s="23" t="s">
        <v>11101</v>
      </c>
      <c r="D592" s="23" t="s">
        <v>1039</v>
      </c>
      <c r="E592" s="20" t="s">
        <v>11102</v>
      </c>
      <c r="F592" s="22">
        <v>2</v>
      </c>
      <c r="G592" s="22" t="s">
        <v>2617</v>
      </c>
      <c r="H592" s="22">
        <v>2</v>
      </c>
      <c r="I592" s="25">
        <v>43195</v>
      </c>
      <c r="J592" s="24">
        <v>43208</v>
      </c>
    </row>
    <row r="593" spans="2:10" x14ac:dyDescent="0.2">
      <c r="B593" s="22">
        <v>595</v>
      </c>
      <c r="C593" s="23" t="s">
        <v>11103</v>
      </c>
      <c r="D593" s="23" t="s">
        <v>1210</v>
      </c>
      <c r="E593" s="20" t="s">
        <v>11104</v>
      </c>
      <c r="F593" s="22">
        <v>3</v>
      </c>
      <c r="G593" s="22" t="s">
        <v>4623</v>
      </c>
      <c r="H593" s="22">
        <v>3</v>
      </c>
      <c r="I593" s="25">
        <v>43412</v>
      </c>
      <c r="J593" s="24">
        <v>43259</v>
      </c>
    </row>
    <row r="594" spans="2:10" x14ac:dyDescent="0.2">
      <c r="B594" s="22">
        <v>596</v>
      </c>
      <c r="C594" s="23" t="s">
        <v>11105</v>
      </c>
      <c r="D594" s="23" t="s">
        <v>4525</v>
      </c>
      <c r="E594" s="20" t="s">
        <v>11106</v>
      </c>
      <c r="F594" s="22">
        <v>17</v>
      </c>
      <c r="G594" s="22" t="s">
        <v>11107</v>
      </c>
      <c r="H594" s="22">
        <v>17</v>
      </c>
      <c r="I594" s="25">
        <v>43271</v>
      </c>
      <c r="J594" s="24">
        <v>43285</v>
      </c>
    </row>
    <row r="595" spans="2:10" x14ac:dyDescent="0.2">
      <c r="B595" s="22">
        <v>597</v>
      </c>
      <c r="C595" s="23" t="s">
        <v>11108</v>
      </c>
      <c r="D595" s="23" t="s">
        <v>6537</v>
      </c>
      <c r="E595" s="20" t="s">
        <v>11109</v>
      </c>
      <c r="F595" s="22">
        <v>2</v>
      </c>
      <c r="G595" s="22" t="s">
        <v>11110</v>
      </c>
      <c r="H595" s="22">
        <v>1</v>
      </c>
      <c r="I595" s="25">
        <v>43405</v>
      </c>
      <c r="J595" s="24">
        <v>43418</v>
      </c>
    </row>
    <row r="596" spans="2:10" x14ac:dyDescent="0.2">
      <c r="B596" s="22">
        <v>598</v>
      </c>
      <c r="C596" s="23" t="s">
        <v>11111</v>
      </c>
      <c r="D596" s="23" t="s">
        <v>9193</v>
      </c>
      <c r="E596" s="20" t="s">
        <v>11112</v>
      </c>
      <c r="F596" s="22">
        <v>3</v>
      </c>
      <c r="G596" s="22" t="s">
        <v>1159</v>
      </c>
      <c r="H596" s="22" t="s">
        <v>1159</v>
      </c>
      <c r="I596" s="25">
        <v>43391</v>
      </c>
      <c r="J596" s="24">
        <v>43407</v>
      </c>
    </row>
    <row r="597" spans="2:10" x14ac:dyDescent="0.2">
      <c r="B597" s="22">
        <v>599</v>
      </c>
      <c r="C597" s="23" t="s">
        <v>11113</v>
      </c>
      <c r="D597" s="23" t="s">
        <v>1804</v>
      </c>
      <c r="E597" s="20" t="s">
        <v>11114</v>
      </c>
      <c r="F597" s="22">
        <v>3</v>
      </c>
      <c r="G597" s="22" t="s">
        <v>11115</v>
      </c>
      <c r="H597" s="22">
        <v>1</v>
      </c>
      <c r="I597" s="25">
        <v>43440</v>
      </c>
      <c r="J597" s="24">
        <v>43109</v>
      </c>
    </row>
    <row r="598" spans="2:10" x14ac:dyDescent="0.2">
      <c r="B598" s="22">
        <v>600</v>
      </c>
      <c r="C598" s="23" t="s">
        <v>11116</v>
      </c>
      <c r="D598" s="23" t="s">
        <v>1248</v>
      </c>
      <c r="E598" s="20" t="s">
        <v>11117</v>
      </c>
      <c r="F598" s="22">
        <v>2</v>
      </c>
      <c r="G598" s="22" t="s">
        <v>11118</v>
      </c>
      <c r="H598" s="22">
        <v>1</v>
      </c>
      <c r="I598" s="25">
        <v>43438</v>
      </c>
      <c r="J598" s="24">
        <v>43456</v>
      </c>
    </row>
    <row r="599" spans="2:10" x14ac:dyDescent="0.2">
      <c r="B599" s="22">
        <v>601</v>
      </c>
      <c r="C599" s="23" t="s">
        <v>11119</v>
      </c>
      <c r="D599" s="23" t="s">
        <v>9301</v>
      </c>
      <c r="E599" s="20" t="s">
        <v>9170</v>
      </c>
      <c r="F599" s="22">
        <v>2</v>
      </c>
      <c r="G599" s="22" t="s">
        <v>11082</v>
      </c>
      <c r="H599" s="22">
        <v>2</v>
      </c>
      <c r="I599" s="25">
        <v>43118</v>
      </c>
      <c r="J599" s="24">
        <v>43145</v>
      </c>
    </row>
    <row r="600" spans="2:10" x14ac:dyDescent="0.2">
      <c r="B600" s="22">
        <v>602</v>
      </c>
      <c r="C600" s="23" t="s">
        <v>11120</v>
      </c>
      <c r="D600" s="23" t="s">
        <v>5254</v>
      </c>
      <c r="E600" s="20" t="s">
        <v>11121</v>
      </c>
      <c r="F600" s="22">
        <v>2</v>
      </c>
      <c r="G600" s="22" t="s">
        <v>11122</v>
      </c>
      <c r="H600" s="22">
        <v>2</v>
      </c>
      <c r="I600" s="25">
        <v>43195</v>
      </c>
      <c r="J600" s="24">
        <v>43201</v>
      </c>
    </row>
    <row r="601" spans="2:10" x14ac:dyDescent="0.2">
      <c r="B601" s="22">
        <v>603</v>
      </c>
      <c r="C601" s="23" t="s">
        <v>11123</v>
      </c>
      <c r="D601" s="23" t="s">
        <v>1804</v>
      </c>
      <c r="E601" s="20" t="s">
        <v>7101</v>
      </c>
      <c r="F601" s="22">
        <v>3</v>
      </c>
      <c r="G601" s="22" t="s">
        <v>9177</v>
      </c>
      <c r="H601" s="22">
        <v>3</v>
      </c>
      <c r="I601" s="25">
        <v>43335</v>
      </c>
      <c r="J601" s="24">
        <v>43362</v>
      </c>
    </row>
    <row r="602" spans="2:10" x14ac:dyDescent="0.2">
      <c r="B602" s="22">
        <v>604</v>
      </c>
      <c r="C602" s="23" t="s">
        <v>11124</v>
      </c>
      <c r="D602" s="23" t="s">
        <v>6537</v>
      </c>
      <c r="E602" s="20" t="s">
        <v>11125</v>
      </c>
      <c r="F602" s="22">
        <v>2</v>
      </c>
      <c r="G602" s="22" t="s">
        <v>1159</v>
      </c>
      <c r="H602" s="22" t="s">
        <v>1159</v>
      </c>
      <c r="I602" s="25">
        <v>43447</v>
      </c>
      <c r="J602" s="24">
        <v>43102</v>
      </c>
    </row>
    <row r="603" spans="2:10" x14ac:dyDescent="0.2">
      <c r="B603" s="22">
        <v>605</v>
      </c>
      <c r="C603" s="23" t="s">
        <v>11126</v>
      </c>
      <c r="D603" s="23" t="s">
        <v>9292</v>
      </c>
      <c r="E603" s="20" t="s">
        <v>11127</v>
      </c>
      <c r="F603" s="22">
        <v>13</v>
      </c>
      <c r="G603" s="22" t="s">
        <v>11128</v>
      </c>
      <c r="H603" s="22">
        <v>13</v>
      </c>
      <c r="I603" s="25">
        <v>43279</v>
      </c>
      <c r="J603" s="22" t="s">
        <v>558</v>
      </c>
    </row>
    <row r="604" spans="2:10" x14ac:dyDescent="0.2">
      <c r="B604" s="22">
        <v>606</v>
      </c>
      <c r="C604" s="23" t="s">
        <v>11129</v>
      </c>
      <c r="D604" s="23" t="s">
        <v>1294</v>
      </c>
      <c r="E604" s="20" t="s">
        <v>7109</v>
      </c>
      <c r="F604" s="22">
        <v>7</v>
      </c>
      <c r="G604" s="22" t="s">
        <v>11130</v>
      </c>
      <c r="H604" s="22">
        <v>2</v>
      </c>
      <c r="I604" s="25">
        <v>43153</v>
      </c>
      <c r="J604" s="24">
        <v>43166</v>
      </c>
    </row>
    <row r="605" spans="2:10" x14ac:dyDescent="0.2">
      <c r="B605" s="22">
        <v>607</v>
      </c>
      <c r="C605" s="23" t="s">
        <v>11131</v>
      </c>
      <c r="D605" s="23" t="s">
        <v>1159</v>
      </c>
      <c r="E605" s="20" t="s">
        <v>11132</v>
      </c>
      <c r="F605" s="22" t="s">
        <v>1159</v>
      </c>
      <c r="G605" s="22" t="s">
        <v>1159</v>
      </c>
      <c r="H605" s="22" t="s">
        <v>1159</v>
      </c>
      <c r="I605" s="25">
        <v>43384</v>
      </c>
      <c r="J605" s="22" t="s">
        <v>558</v>
      </c>
    </row>
    <row r="606" spans="2:10" x14ac:dyDescent="0.2">
      <c r="B606" s="22">
        <v>608</v>
      </c>
      <c r="C606" s="23" t="s">
        <v>11133</v>
      </c>
      <c r="D606" s="23" t="s">
        <v>1880</v>
      </c>
      <c r="E606" s="20" t="s">
        <v>1967</v>
      </c>
      <c r="F606" s="22">
        <v>2</v>
      </c>
      <c r="G606" s="22" t="s">
        <v>5141</v>
      </c>
      <c r="H606" s="22">
        <v>1</v>
      </c>
      <c r="I606" s="25">
        <v>43328</v>
      </c>
      <c r="J606" s="24">
        <v>43418</v>
      </c>
    </row>
    <row r="607" spans="2:10" x14ac:dyDescent="0.2">
      <c r="B607" s="22">
        <v>609</v>
      </c>
      <c r="C607" s="23" t="s">
        <v>11134</v>
      </c>
      <c r="D607" s="23" t="s">
        <v>1142</v>
      </c>
      <c r="E607" s="20" t="s">
        <v>11135</v>
      </c>
      <c r="F607" s="22">
        <v>1</v>
      </c>
      <c r="G607" s="22" t="s">
        <v>11136</v>
      </c>
      <c r="H607" s="22">
        <v>1</v>
      </c>
      <c r="I607" s="25">
        <v>43160</v>
      </c>
      <c r="J607" s="24">
        <v>43166</v>
      </c>
    </row>
    <row r="608" spans="2:10" x14ac:dyDescent="0.2">
      <c r="B608" s="22">
        <v>610</v>
      </c>
      <c r="C608" s="23" t="s">
        <v>11137</v>
      </c>
      <c r="D608" s="23" t="s">
        <v>1377</v>
      </c>
      <c r="E608" s="20" t="s">
        <v>11138</v>
      </c>
      <c r="F608" s="22">
        <v>11</v>
      </c>
      <c r="G608" s="22" t="s">
        <v>11139</v>
      </c>
      <c r="H608" s="22">
        <v>11</v>
      </c>
      <c r="I608" s="25">
        <v>43181</v>
      </c>
      <c r="J608" s="24">
        <v>43194</v>
      </c>
    </row>
    <row r="609" spans="2:10" x14ac:dyDescent="0.2">
      <c r="B609" s="22">
        <v>611</v>
      </c>
      <c r="C609" s="23" t="s">
        <v>11140</v>
      </c>
      <c r="D609" s="23" t="s">
        <v>2010</v>
      </c>
      <c r="E609" s="20" t="s">
        <v>11141</v>
      </c>
      <c r="F609" s="22">
        <v>1</v>
      </c>
      <c r="G609" s="22" t="s">
        <v>2444</v>
      </c>
      <c r="H609" s="22">
        <v>1</v>
      </c>
      <c r="I609" s="25">
        <v>43356</v>
      </c>
      <c r="J609" s="24">
        <v>43165</v>
      </c>
    </row>
    <row r="610" spans="2:10" x14ac:dyDescent="0.2">
      <c r="B610" s="22">
        <v>612</v>
      </c>
      <c r="C610" s="23" t="s">
        <v>11142</v>
      </c>
      <c r="D610" s="23" t="s">
        <v>2197</v>
      </c>
      <c r="E610" s="20" t="s">
        <v>11143</v>
      </c>
      <c r="F610" s="22">
        <v>12</v>
      </c>
      <c r="G610" s="22" t="s">
        <v>4769</v>
      </c>
      <c r="H610" s="22">
        <v>12</v>
      </c>
      <c r="I610" s="25">
        <v>43195</v>
      </c>
      <c r="J610" s="24">
        <v>43201</v>
      </c>
    </row>
    <row r="611" spans="2:10" x14ac:dyDescent="0.2">
      <c r="B611" s="22">
        <v>613</v>
      </c>
      <c r="C611" s="23" t="s">
        <v>11144</v>
      </c>
      <c r="D611" s="23" t="s">
        <v>1572</v>
      </c>
      <c r="E611" s="20" t="s">
        <v>11145</v>
      </c>
      <c r="F611" s="22">
        <v>2</v>
      </c>
      <c r="G611" s="22" t="s">
        <v>11146</v>
      </c>
      <c r="H611" s="22">
        <v>1</v>
      </c>
      <c r="I611" s="25">
        <v>43104</v>
      </c>
      <c r="J611" s="24">
        <v>43110</v>
      </c>
    </row>
    <row r="612" spans="2:10" x14ac:dyDescent="0.2">
      <c r="B612" s="22">
        <v>614</v>
      </c>
      <c r="C612" s="23" t="s">
        <v>11147</v>
      </c>
      <c r="D612" s="23" t="s">
        <v>1612</v>
      </c>
      <c r="E612" s="20" t="s">
        <v>11148</v>
      </c>
      <c r="F612" s="22">
        <v>1</v>
      </c>
      <c r="G612" s="22" t="s">
        <v>11148</v>
      </c>
      <c r="H612" s="22">
        <v>1</v>
      </c>
      <c r="I612" s="25">
        <v>43377</v>
      </c>
      <c r="J612" s="24">
        <v>43379</v>
      </c>
    </row>
    <row r="613" spans="2:10" x14ac:dyDescent="0.2">
      <c r="B613" s="22">
        <v>615</v>
      </c>
      <c r="C613" s="23" t="s">
        <v>11149</v>
      </c>
      <c r="D613" s="23" t="s">
        <v>1039</v>
      </c>
      <c r="E613" s="20" t="s">
        <v>11150</v>
      </c>
      <c r="F613" s="22">
        <v>3</v>
      </c>
      <c r="G613" s="22" t="s">
        <v>11151</v>
      </c>
      <c r="H613" s="22">
        <v>1</v>
      </c>
      <c r="I613" s="25">
        <v>43104</v>
      </c>
      <c r="J613" s="24">
        <v>43131</v>
      </c>
    </row>
    <row r="614" spans="2:10" x14ac:dyDescent="0.2">
      <c r="B614" s="22">
        <v>616</v>
      </c>
      <c r="C614" s="23" t="s">
        <v>11152</v>
      </c>
      <c r="D614" s="23" t="s">
        <v>1880</v>
      </c>
      <c r="E614" s="20" t="s">
        <v>11153</v>
      </c>
      <c r="F614" s="22">
        <v>1</v>
      </c>
      <c r="G614" s="22" t="s">
        <v>11154</v>
      </c>
      <c r="H614" s="22">
        <v>1</v>
      </c>
      <c r="I614" s="25">
        <v>43412</v>
      </c>
      <c r="J614" s="24">
        <v>43137</v>
      </c>
    </row>
    <row r="615" spans="2:10" x14ac:dyDescent="0.2">
      <c r="B615" s="22">
        <v>617</v>
      </c>
      <c r="C615" s="23" t="s">
        <v>11155</v>
      </c>
      <c r="D615" s="23" t="s">
        <v>1294</v>
      </c>
      <c r="E615" s="20" t="s">
        <v>11156</v>
      </c>
      <c r="F615" s="22">
        <v>2</v>
      </c>
      <c r="G615" s="22" t="s">
        <v>1159</v>
      </c>
      <c r="H615" s="22">
        <v>2</v>
      </c>
      <c r="I615" s="25">
        <v>43125</v>
      </c>
      <c r="J615" s="24">
        <v>43131</v>
      </c>
    </row>
    <row r="616" spans="2:10" x14ac:dyDescent="0.2">
      <c r="B616" s="22">
        <v>618</v>
      </c>
      <c r="C616" s="23" t="s">
        <v>11157</v>
      </c>
      <c r="D616" s="23" t="s">
        <v>1235</v>
      </c>
      <c r="E616" s="20" t="s">
        <v>11158</v>
      </c>
      <c r="F616" s="22">
        <v>10</v>
      </c>
      <c r="G616" s="22" t="s">
        <v>11159</v>
      </c>
      <c r="H616" s="22">
        <v>10</v>
      </c>
      <c r="I616" s="25">
        <v>43265</v>
      </c>
      <c r="J616" s="24">
        <v>43271</v>
      </c>
    </row>
    <row r="617" spans="2:10" x14ac:dyDescent="0.2">
      <c r="B617" s="22">
        <v>619</v>
      </c>
      <c r="C617" s="23" t="s">
        <v>11160</v>
      </c>
      <c r="D617" s="23" t="s">
        <v>6537</v>
      </c>
      <c r="E617" s="20" t="s">
        <v>11161</v>
      </c>
      <c r="F617" s="22">
        <v>2</v>
      </c>
      <c r="G617" s="22" t="s">
        <v>1159</v>
      </c>
      <c r="H617" s="22" t="s">
        <v>1159</v>
      </c>
      <c r="I617" s="25">
        <v>43307</v>
      </c>
      <c r="J617" s="24">
        <v>43320</v>
      </c>
    </row>
    <row r="618" spans="2:10" x14ac:dyDescent="0.2">
      <c r="B618" s="22">
        <v>620</v>
      </c>
      <c r="C618" s="23" t="s">
        <v>11162</v>
      </c>
      <c r="D618" s="23" t="s">
        <v>1880</v>
      </c>
      <c r="E618" s="20" t="s">
        <v>11163</v>
      </c>
      <c r="F618" s="22">
        <v>4</v>
      </c>
      <c r="G618" s="22" t="s">
        <v>11164</v>
      </c>
      <c r="H618" s="22">
        <v>1</v>
      </c>
      <c r="I618" s="25">
        <v>43237</v>
      </c>
      <c r="J618" s="24">
        <v>43285</v>
      </c>
    </row>
    <row r="619" spans="2:10" x14ac:dyDescent="0.2">
      <c r="B619" s="22">
        <v>621</v>
      </c>
      <c r="C619" s="23" t="s">
        <v>11165</v>
      </c>
      <c r="D619" s="23" t="s">
        <v>1880</v>
      </c>
      <c r="E619" s="20" t="s">
        <v>11166</v>
      </c>
      <c r="F619" s="22">
        <v>1</v>
      </c>
      <c r="G619" s="22" t="s">
        <v>11167</v>
      </c>
      <c r="H619" s="22">
        <v>1</v>
      </c>
      <c r="I619" s="25">
        <v>43445</v>
      </c>
      <c r="J619" s="24">
        <v>43453</v>
      </c>
    </row>
    <row r="620" spans="2:10" x14ac:dyDescent="0.2">
      <c r="B620" s="22">
        <v>622</v>
      </c>
      <c r="C620" s="23" t="s">
        <v>11168</v>
      </c>
      <c r="D620" s="23" t="s">
        <v>1880</v>
      </c>
      <c r="E620" s="20" t="s">
        <v>2265</v>
      </c>
      <c r="F620" s="22">
        <v>2</v>
      </c>
      <c r="G620" s="22" t="s">
        <v>11169</v>
      </c>
      <c r="H620" s="22">
        <v>1</v>
      </c>
      <c r="I620" s="25">
        <v>43209</v>
      </c>
      <c r="J620" s="24">
        <v>43264</v>
      </c>
    </row>
    <row r="621" spans="2:10" x14ac:dyDescent="0.2">
      <c r="B621" s="22">
        <v>623</v>
      </c>
      <c r="C621" s="23" t="s">
        <v>11170</v>
      </c>
      <c r="D621" s="23" t="s">
        <v>6537</v>
      </c>
      <c r="E621" s="20" t="s">
        <v>11171</v>
      </c>
      <c r="F621" s="22">
        <v>1</v>
      </c>
      <c r="G621" s="22" t="s">
        <v>1159</v>
      </c>
      <c r="H621" s="22" t="s">
        <v>1159</v>
      </c>
      <c r="I621" s="25">
        <v>43125</v>
      </c>
      <c r="J621" s="24">
        <v>43138</v>
      </c>
    </row>
    <row r="622" spans="2:10" x14ac:dyDescent="0.2">
      <c r="B622" s="22">
        <v>624</v>
      </c>
      <c r="C622" s="23" t="s">
        <v>11172</v>
      </c>
      <c r="D622" s="23" t="s">
        <v>2197</v>
      </c>
      <c r="E622" s="20" t="s">
        <v>11173</v>
      </c>
      <c r="F622" s="22">
        <v>5</v>
      </c>
      <c r="G622" s="22" t="s">
        <v>11174</v>
      </c>
      <c r="H622" s="22">
        <v>5</v>
      </c>
      <c r="I622" s="25">
        <v>43293</v>
      </c>
      <c r="J622" s="24">
        <v>43299</v>
      </c>
    </row>
    <row r="623" spans="2:10" x14ac:dyDescent="0.2">
      <c r="B623" s="22">
        <v>625</v>
      </c>
      <c r="C623" s="23" t="s">
        <v>11175</v>
      </c>
      <c r="D623" s="23" t="s">
        <v>1880</v>
      </c>
      <c r="E623" s="20" t="s">
        <v>11176</v>
      </c>
      <c r="F623" s="22">
        <v>2</v>
      </c>
      <c r="G623" s="22" t="s">
        <v>11177</v>
      </c>
      <c r="H623" s="22">
        <v>1</v>
      </c>
      <c r="I623" s="25">
        <v>43139</v>
      </c>
      <c r="J623" s="24">
        <v>43208</v>
      </c>
    </row>
    <row r="624" spans="2:10" x14ac:dyDescent="0.2">
      <c r="B624" s="22">
        <v>626</v>
      </c>
      <c r="C624" s="23" t="s">
        <v>11178</v>
      </c>
      <c r="D624" s="23" t="s">
        <v>1942</v>
      </c>
      <c r="E624" s="20" t="s">
        <v>11179</v>
      </c>
      <c r="F624" s="22">
        <v>1</v>
      </c>
      <c r="G624" s="22" t="s">
        <v>11180</v>
      </c>
      <c r="H624" s="22">
        <v>1</v>
      </c>
      <c r="I624" s="25">
        <v>43370</v>
      </c>
      <c r="J624" s="24">
        <v>43407</v>
      </c>
    </row>
    <row r="625" spans="2:10" x14ac:dyDescent="0.2">
      <c r="B625" s="22">
        <v>627</v>
      </c>
      <c r="C625" s="23" t="s">
        <v>11181</v>
      </c>
      <c r="D625" s="23" t="s">
        <v>5254</v>
      </c>
      <c r="E625" s="20" t="s">
        <v>11182</v>
      </c>
      <c r="F625" s="22">
        <v>10</v>
      </c>
      <c r="G625" s="22" t="s">
        <v>11182</v>
      </c>
      <c r="H625" s="22">
        <v>10</v>
      </c>
      <c r="I625" s="25">
        <v>43377</v>
      </c>
      <c r="J625" s="24">
        <v>43379</v>
      </c>
    </row>
    <row r="626" spans="2:10" x14ac:dyDescent="0.2">
      <c r="B626" s="22">
        <v>628</v>
      </c>
      <c r="C626" s="23" t="s">
        <v>11183</v>
      </c>
      <c r="D626" s="23" t="s">
        <v>1039</v>
      </c>
      <c r="E626" s="20" t="s">
        <v>11184</v>
      </c>
      <c r="F626" s="22">
        <v>2</v>
      </c>
      <c r="G626" s="22" t="s">
        <v>11185</v>
      </c>
      <c r="H626" s="22">
        <v>2</v>
      </c>
      <c r="I626" s="25">
        <v>43447</v>
      </c>
      <c r="J626" s="24">
        <v>43123</v>
      </c>
    </row>
    <row r="627" spans="2:10" x14ac:dyDescent="0.2">
      <c r="B627" s="22">
        <v>629</v>
      </c>
      <c r="C627" s="23" t="s">
        <v>9</v>
      </c>
      <c r="D627" s="23" t="s">
        <v>2051</v>
      </c>
      <c r="E627" s="20" t="s">
        <v>11186</v>
      </c>
      <c r="F627" s="22" t="s">
        <v>1159</v>
      </c>
      <c r="G627" s="22" t="s">
        <v>1159</v>
      </c>
      <c r="H627" s="22" t="s">
        <v>1159</v>
      </c>
      <c r="I627" s="25">
        <v>43265</v>
      </c>
      <c r="J627" s="24">
        <v>43341</v>
      </c>
    </row>
    <row r="628" spans="2:10" x14ac:dyDescent="0.2">
      <c r="B628" s="22">
        <v>630</v>
      </c>
      <c r="C628" s="23" t="s">
        <v>11187</v>
      </c>
      <c r="D628" s="23" t="s">
        <v>1880</v>
      </c>
      <c r="E628" s="20" t="s">
        <v>11188</v>
      </c>
      <c r="F628" s="22">
        <v>1</v>
      </c>
      <c r="G628" s="22" t="s">
        <v>11189</v>
      </c>
      <c r="H628" s="22">
        <v>1</v>
      </c>
      <c r="I628" s="25">
        <v>43433</v>
      </c>
      <c r="J628" s="24">
        <v>43151</v>
      </c>
    </row>
    <row r="629" spans="2:10" x14ac:dyDescent="0.2">
      <c r="B629" s="22">
        <v>631</v>
      </c>
      <c r="C629" s="23" t="s">
        <v>11190</v>
      </c>
      <c r="D629" s="23" t="s">
        <v>1294</v>
      </c>
      <c r="E629" s="20" t="s">
        <v>11191</v>
      </c>
      <c r="F629" s="22">
        <v>1</v>
      </c>
      <c r="G629" s="22" t="s">
        <v>1159</v>
      </c>
      <c r="H629" s="22">
        <v>1</v>
      </c>
      <c r="I629" s="25">
        <v>43410</v>
      </c>
      <c r="J629" s="22" t="s">
        <v>558</v>
      </c>
    </row>
    <row r="630" spans="2:10" x14ac:dyDescent="0.2">
      <c r="B630" s="22">
        <v>632</v>
      </c>
      <c r="C630" s="23" t="s">
        <v>11192</v>
      </c>
      <c r="D630" s="23" t="s">
        <v>1159</v>
      </c>
      <c r="E630" s="20" t="s">
        <v>11193</v>
      </c>
      <c r="F630" s="22">
        <v>15</v>
      </c>
      <c r="G630" s="22" t="s">
        <v>11194</v>
      </c>
      <c r="H630" s="22">
        <v>15</v>
      </c>
      <c r="I630" s="25">
        <v>43242</v>
      </c>
      <c r="J630" s="24">
        <v>43250</v>
      </c>
    </row>
    <row r="631" spans="2:10" x14ac:dyDescent="0.2">
      <c r="B631" s="22">
        <v>633</v>
      </c>
      <c r="C631" s="23" t="s">
        <v>11195</v>
      </c>
      <c r="D631" s="23" t="s">
        <v>5254</v>
      </c>
      <c r="E631" s="20" t="s">
        <v>11196</v>
      </c>
      <c r="F631" s="22">
        <v>1</v>
      </c>
      <c r="G631" s="22" t="s">
        <v>11197</v>
      </c>
      <c r="H631" s="22">
        <v>1</v>
      </c>
      <c r="I631" s="25">
        <v>43209</v>
      </c>
      <c r="J631" s="24">
        <v>43213</v>
      </c>
    </row>
    <row r="632" spans="2:10" x14ac:dyDescent="0.2">
      <c r="B632" s="22">
        <v>634</v>
      </c>
      <c r="C632" s="23" t="s">
        <v>11198</v>
      </c>
      <c r="D632" s="23" t="s">
        <v>1294</v>
      </c>
      <c r="E632" s="20" t="s">
        <v>11199</v>
      </c>
      <c r="F632" s="22">
        <v>3</v>
      </c>
      <c r="G632" s="22" t="s">
        <v>11200</v>
      </c>
      <c r="H632" s="22">
        <v>3</v>
      </c>
      <c r="I632" s="25">
        <v>43426</v>
      </c>
      <c r="J632" s="22" t="s">
        <v>558</v>
      </c>
    </row>
    <row r="633" spans="2:10" x14ac:dyDescent="0.2">
      <c r="B633" s="22">
        <v>635</v>
      </c>
      <c r="C633" s="23" t="s">
        <v>11201</v>
      </c>
      <c r="D633" s="23" t="s">
        <v>1761</v>
      </c>
      <c r="E633" s="20" t="s">
        <v>10639</v>
      </c>
      <c r="F633" s="22">
        <v>2</v>
      </c>
      <c r="G633" s="22" t="s">
        <v>10639</v>
      </c>
      <c r="H633" s="22">
        <v>2</v>
      </c>
      <c r="I633" s="25">
        <v>43426</v>
      </c>
      <c r="J633" s="24">
        <v>43428</v>
      </c>
    </row>
    <row r="634" spans="2:10" x14ac:dyDescent="0.2">
      <c r="B634" s="22">
        <v>636</v>
      </c>
      <c r="C634" s="23" t="s">
        <v>11202</v>
      </c>
      <c r="D634" s="23" t="s">
        <v>4580</v>
      </c>
      <c r="E634" s="20" t="s">
        <v>11203</v>
      </c>
      <c r="F634" s="22">
        <v>1</v>
      </c>
      <c r="G634" s="22" t="s">
        <v>11204</v>
      </c>
      <c r="H634" s="22">
        <v>1</v>
      </c>
      <c r="I634" s="25">
        <v>43181</v>
      </c>
      <c r="J634" s="24">
        <v>43204</v>
      </c>
    </row>
    <row r="635" spans="2:10" x14ac:dyDescent="0.2">
      <c r="B635" s="22">
        <v>637</v>
      </c>
      <c r="C635" s="23" t="s">
        <v>11205</v>
      </c>
      <c r="D635" s="23" t="s">
        <v>2051</v>
      </c>
      <c r="E635" s="20" t="s">
        <v>11206</v>
      </c>
      <c r="F635" s="22">
        <v>2</v>
      </c>
      <c r="G635" s="22" t="s">
        <v>1159</v>
      </c>
      <c r="H635" s="22" t="s">
        <v>1159</v>
      </c>
      <c r="I635" s="25">
        <v>43167</v>
      </c>
      <c r="J635" s="24">
        <v>43180</v>
      </c>
    </row>
    <row r="636" spans="2:10" x14ac:dyDescent="0.2">
      <c r="B636" s="22">
        <v>638</v>
      </c>
      <c r="C636" s="23" t="s">
        <v>11207</v>
      </c>
      <c r="D636" s="23" t="s">
        <v>5254</v>
      </c>
      <c r="E636" s="20" t="s">
        <v>11208</v>
      </c>
      <c r="F636" s="22">
        <v>4</v>
      </c>
      <c r="G636" s="22" t="s">
        <v>11209</v>
      </c>
      <c r="H636" s="22">
        <v>4</v>
      </c>
      <c r="I636" s="25">
        <v>43370</v>
      </c>
      <c r="J636" s="24">
        <v>43376</v>
      </c>
    </row>
    <row r="637" spans="2:10" x14ac:dyDescent="0.2">
      <c r="B637" s="22">
        <v>639</v>
      </c>
      <c r="C637" s="23" t="s">
        <v>11210</v>
      </c>
      <c r="D637" s="23" t="s">
        <v>1559</v>
      </c>
      <c r="E637" s="20" t="s">
        <v>11211</v>
      </c>
      <c r="F637" s="22">
        <v>1</v>
      </c>
      <c r="G637" s="22" t="s">
        <v>11211</v>
      </c>
      <c r="H637" s="22">
        <v>1</v>
      </c>
      <c r="I637" s="25">
        <v>43412</v>
      </c>
      <c r="J637" s="24">
        <v>43414</v>
      </c>
    </row>
    <row r="638" spans="2:10" x14ac:dyDescent="0.2">
      <c r="B638" s="22">
        <v>640</v>
      </c>
      <c r="C638" s="23" t="s">
        <v>11212</v>
      </c>
      <c r="D638" s="23" t="s">
        <v>1572</v>
      </c>
      <c r="E638" s="20" t="s">
        <v>11213</v>
      </c>
      <c r="F638" s="22">
        <v>1</v>
      </c>
      <c r="G638" s="22" t="s">
        <v>11214</v>
      </c>
      <c r="H638" s="22">
        <v>1</v>
      </c>
      <c r="I638" s="25">
        <v>43272</v>
      </c>
      <c r="J638" s="24">
        <v>43302</v>
      </c>
    </row>
    <row r="639" spans="2:10" x14ac:dyDescent="0.2">
      <c r="B639" s="22">
        <v>641</v>
      </c>
      <c r="C639" s="23" t="s">
        <v>11215</v>
      </c>
      <c r="D639" s="23" t="s">
        <v>1739</v>
      </c>
      <c r="E639" s="20" t="s">
        <v>11216</v>
      </c>
      <c r="F639" s="22">
        <v>1</v>
      </c>
      <c r="G639" s="22" t="s">
        <v>2425</v>
      </c>
      <c r="H639" s="22">
        <v>1</v>
      </c>
      <c r="I639" s="25">
        <v>43109</v>
      </c>
      <c r="J639" s="22" t="s">
        <v>558</v>
      </c>
    </row>
    <row r="640" spans="2:10" x14ac:dyDescent="0.2">
      <c r="B640" s="22">
        <v>642</v>
      </c>
      <c r="C640" s="23" t="s">
        <v>11217</v>
      </c>
      <c r="D640" s="23" t="s">
        <v>1804</v>
      </c>
      <c r="E640" s="20" t="s">
        <v>11218</v>
      </c>
      <c r="F640" s="22">
        <v>1</v>
      </c>
      <c r="G640" s="22" t="s">
        <v>11219</v>
      </c>
      <c r="H640" s="22">
        <v>1</v>
      </c>
      <c r="I640" s="25">
        <v>43160</v>
      </c>
      <c r="J640" s="24">
        <v>43257</v>
      </c>
    </row>
    <row r="641" spans="2:10" x14ac:dyDescent="0.2">
      <c r="B641" s="22">
        <v>643</v>
      </c>
      <c r="C641" s="23" t="s">
        <v>11220</v>
      </c>
      <c r="D641" s="23" t="s">
        <v>1039</v>
      </c>
      <c r="E641" s="20" t="s">
        <v>11221</v>
      </c>
      <c r="F641" s="22">
        <v>4</v>
      </c>
      <c r="G641" s="22" t="s">
        <v>11222</v>
      </c>
      <c r="H641" s="22">
        <v>4</v>
      </c>
      <c r="I641" s="25">
        <v>43405</v>
      </c>
      <c r="J641" s="24">
        <v>43439</v>
      </c>
    </row>
    <row r="642" spans="2:10" x14ac:dyDescent="0.2">
      <c r="B642" s="22">
        <v>644</v>
      </c>
      <c r="C642" s="23" t="s">
        <v>11223</v>
      </c>
      <c r="D642" s="23" t="s">
        <v>1532</v>
      </c>
      <c r="E642" s="20" t="s">
        <v>10812</v>
      </c>
      <c r="F642" s="22">
        <v>1</v>
      </c>
      <c r="G642" s="22" t="s">
        <v>11224</v>
      </c>
      <c r="H642" s="22">
        <v>1</v>
      </c>
      <c r="I642" s="25">
        <v>43447</v>
      </c>
      <c r="J642" s="24">
        <v>43453</v>
      </c>
    </row>
    <row r="643" spans="2:10" x14ac:dyDescent="0.2">
      <c r="B643" s="22">
        <v>645</v>
      </c>
      <c r="C643" s="23" t="s">
        <v>11225</v>
      </c>
      <c r="D643" s="23" t="s">
        <v>1942</v>
      </c>
      <c r="E643" s="20" t="s">
        <v>11226</v>
      </c>
      <c r="F643" s="22">
        <v>1</v>
      </c>
      <c r="G643" s="22" t="s">
        <v>11227</v>
      </c>
      <c r="H643" s="22">
        <v>1</v>
      </c>
      <c r="I643" s="25">
        <v>43265</v>
      </c>
      <c r="J643" s="24">
        <v>43285</v>
      </c>
    </row>
    <row r="644" spans="2:10" x14ac:dyDescent="0.2">
      <c r="B644" s="22">
        <v>646</v>
      </c>
      <c r="C644" s="23" t="s">
        <v>11228</v>
      </c>
      <c r="D644" s="23" t="s">
        <v>2121</v>
      </c>
      <c r="E644" s="20" t="s">
        <v>11229</v>
      </c>
      <c r="F644" s="22" t="s">
        <v>1159</v>
      </c>
      <c r="G644" s="22" t="s">
        <v>1159</v>
      </c>
      <c r="H644" s="22" t="s">
        <v>1159</v>
      </c>
      <c r="I644" s="25">
        <v>43335</v>
      </c>
      <c r="J644" s="22" t="s">
        <v>558</v>
      </c>
    </row>
    <row r="645" spans="2:10" x14ac:dyDescent="0.2">
      <c r="B645" s="22">
        <v>647</v>
      </c>
      <c r="C645" s="23" t="s">
        <v>11230</v>
      </c>
      <c r="D645" s="23" t="s">
        <v>1930</v>
      </c>
      <c r="E645" s="20" t="s">
        <v>11231</v>
      </c>
      <c r="F645" s="22">
        <v>1</v>
      </c>
      <c r="G645" s="22" t="s">
        <v>9246</v>
      </c>
      <c r="H645" s="22">
        <v>1</v>
      </c>
      <c r="I645" s="25">
        <v>43181</v>
      </c>
      <c r="J645" s="24">
        <v>43194</v>
      </c>
    </row>
    <row r="646" spans="2:10" x14ac:dyDescent="0.2">
      <c r="B646" s="22">
        <v>648</v>
      </c>
      <c r="C646" s="23" t="s">
        <v>11232</v>
      </c>
      <c r="D646" s="23" t="s">
        <v>1175</v>
      </c>
      <c r="E646" s="20" t="s">
        <v>11233</v>
      </c>
      <c r="F646" s="22">
        <v>5</v>
      </c>
      <c r="G646" s="22" t="s">
        <v>11234</v>
      </c>
      <c r="H646" s="22">
        <v>5</v>
      </c>
      <c r="I646" s="25">
        <v>43440</v>
      </c>
      <c r="J646" s="24">
        <v>43446</v>
      </c>
    </row>
    <row r="647" spans="2:10" x14ac:dyDescent="0.2">
      <c r="B647" s="22">
        <v>649</v>
      </c>
      <c r="C647" s="23" t="s">
        <v>11235</v>
      </c>
      <c r="D647" s="23" t="s">
        <v>7206</v>
      </c>
      <c r="E647" s="20" t="s">
        <v>11236</v>
      </c>
      <c r="F647" s="22">
        <v>3</v>
      </c>
      <c r="G647" s="22" t="s">
        <v>11237</v>
      </c>
      <c r="H647" s="22">
        <v>2</v>
      </c>
      <c r="I647" s="25">
        <v>43251</v>
      </c>
      <c r="J647" s="22" t="s">
        <v>558</v>
      </c>
    </row>
    <row r="648" spans="2:10" x14ac:dyDescent="0.2">
      <c r="B648" s="22">
        <v>650</v>
      </c>
      <c r="C648" s="23" t="s">
        <v>11238</v>
      </c>
      <c r="D648" s="23" t="s">
        <v>1294</v>
      </c>
      <c r="E648" s="20" t="s">
        <v>11239</v>
      </c>
      <c r="F648" s="22">
        <v>1</v>
      </c>
      <c r="G648" s="22" t="s">
        <v>1159</v>
      </c>
      <c r="H648" s="22">
        <v>1</v>
      </c>
      <c r="I648" s="25">
        <v>43258</v>
      </c>
      <c r="J648" s="22" t="s">
        <v>558</v>
      </c>
    </row>
    <row r="649" spans="2:10" x14ac:dyDescent="0.2">
      <c r="B649" s="22">
        <v>651</v>
      </c>
      <c r="C649" s="23" t="s">
        <v>11240</v>
      </c>
      <c r="D649" s="23" t="s">
        <v>11241</v>
      </c>
      <c r="E649" s="20" t="s">
        <v>11242</v>
      </c>
      <c r="F649" s="22">
        <v>10</v>
      </c>
      <c r="G649" s="22" t="s">
        <v>11243</v>
      </c>
      <c r="H649" s="22">
        <v>10</v>
      </c>
      <c r="I649" s="25">
        <v>43356</v>
      </c>
      <c r="J649" s="24">
        <v>43362</v>
      </c>
    </row>
    <row r="650" spans="2:10" x14ac:dyDescent="0.2">
      <c r="B650" s="22">
        <v>652</v>
      </c>
      <c r="C650" s="23" t="s">
        <v>11244</v>
      </c>
      <c r="D650" s="23" t="s">
        <v>1532</v>
      </c>
      <c r="E650" s="20" t="s">
        <v>11245</v>
      </c>
      <c r="F650" s="22">
        <v>1</v>
      </c>
      <c r="G650" s="22" t="s">
        <v>11246</v>
      </c>
      <c r="H650" s="22">
        <v>1</v>
      </c>
      <c r="I650" s="25">
        <v>43326</v>
      </c>
      <c r="J650" s="24">
        <v>43341</v>
      </c>
    </row>
    <row r="651" spans="2:10" x14ac:dyDescent="0.2">
      <c r="B651" s="22">
        <v>653</v>
      </c>
      <c r="C651" s="23" t="s">
        <v>11247</v>
      </c>
      <c r="D651" s="23" t="s">
        <v>1880</v>
      </c>
      <c r="E651" s="20" t="s">
        <v>11248</v>
      </c>
      <c r="F651" s="22">
        <v>10</v>
      </c>
      <c r="G651" s="22" t="s">
        <v>11249</v>
      </c>
      <c r="H651" s="22">
        <v>9</v>
      </c>
      <c r="I651" s="25">
        <v>43284</v>
      </c>
      <c r="J651" s="24">
        <v>43299</v>
      </c>
    </row>
    <row r="652" spans="2:10" x14ac:dyDescent="0.2">
      <c r="B652" s="22">
        <v>654</v>
      </c>
      <c r="C652" s="23" t="s">
        <v>11250</v>
      </c>
      <c r="D652" s="23" t="s">
        <v>2051</v>
      </c>
      <c r="E652" s="20" t="s">
        <v>11251</v>
      </c>
      <c r="F652" s="22">
        <v>6</v>
      </c>
      <c r="G652" s="22" t="s">
        <v>5141</v>
      </c>
      <c r="H652" s="22">
        <v>6</v>
      </c>
      <c r="I652" s="25">
        <v>43342</v>
      </c>
      <c r="J652" s="24">
        <v>43369</v>
      </c>
    </row>
    <row r="653" spans="2:10" x14ac:dyDescent="0.2">
      <c r="B653" s="22">
        <v>655</v>
      </c>
      <c r="C653" s="23" t="s">
        <v>11252</v>
      </c>
      <c r="D653" s="23" t="s">
        <v>6537</v>
      </c>
      <c r="E653" s="20" t="s">
        <v>11253</v>
      </c>
      <c r="F653" s="22">
        <v>1</v>
      </c>
      <c r="G653" s="22" t="s">
        <v>1159</v>
      </c>
      <c r="H653" s="22" t="s">
        <v>1159</v>
      </c>
      <c r="I653" s="25">
        <v>43230</v>
      </c>
      <c r="J653" s="24">
        <v>43236</v>
      </c>
    </row>
    <row r="654" spans="2:10" x14ac:dyDescent="0.2">
      <c r="B654" s="22">
        <v>656</v>
      </c>
      <c r="C654" s="23" t="s">
        <v>11254</v>
      </c>
      <c r="D654" s="23" t="s">
        <v>2051</v>
      </c>
      <c r="E654" s="20" t="s">
        <v>11255</v>
      </c>
      <c r="F654" s="22" t="s">
        <v>1159</v>
      </c>
      <c r="G654" s="22" t="s">
        <v>1159</v>
      </c>
      <c r="H654" s="22" t="s">
        <v>1159</v>
      </c>
      <c r="I654" s="25">
        <v>43244</v>
      </c>
      <c r="J654" s="24">
        <v>43327</v>
      </c>
    </row>
    <row r="655" spans="2:10" x14ac:dyDescent="0.2">
      <c r="B655" s="22">
        <v>657</v>
      </c>
      <c r="C655" s="23" t="s">
        <v>11256</v>
      </c>
      <c r="D655" s="23" t="s">
        <v>8234</v>
      </c>
      <c r="E655" s="20" t="s">
        <v>11257</v>
      </c>
      <c r="F655" s="22">
        <v>10</v>
      </c>
      <c r="G655" s="22" t="s">
        <v>11258</v>
      </c>
      <c r="H655" s="22">
        <v>10</v>
      </c>
      <c r="I655" s="25">
        <v>43181</v>
      </c>
      <c r="J655" s="24">
        <v>43187</v>
      </c>
    </row>
    <row r="656" spans="2:10" x14ac:dyDescent="0.2">
      <c r="B656" s="22">
        <v>658</v>
      </c>
      <c r="C656" s="23" t="s">
        <v>11259</v>
      </c>
      <c r="D656" s="23" t="s">
        <v>6537</v>
      </c>
      <c r="E656" s="20" t="s">
        <v>11260</v>
      </c>
      <c r="F656" s="22">
        <v>1</v>
      </c>
      <c r="G656" s="22" t="s">
        <v>1159</v>
      </c>
      <c r="H656" s="22" t="s">
        <v>1159</v>
      </c>
      <c r="I656" s="25">
        <v>43335</v>
      </c>
      <c r="J656" s="22" t="s">
        <v>558</v>
      </c>
    </row>
    <row r="657" spans="2:10" x14ac:dyDescent="0.2">
      <c r="B657" s="22">
        <v>659</v>
      </c>
      <c r="C657" s="23" t="s">
        <v>11261</v>
      </c>
      <c r="D657" s="23" t="s">
        <v>4525</v>
      </c>
      <c r="E657" s="20" t="s">
        <v>11262</v>
      </c>
      <c r="F657" s="22">
        <v>15</v>
      </c>
      <c r="G657" s="22" t="s">
        <v>11263</v>
      </c>
      <c r="H657" s="22">
        <v>15</v>
      </c>
      <c r="I657" s="25">
        <v>43342</v>
      </c>
      <c r="J657" s="24">
        <v>43348</v>
      </c>
    </row>
    <row r="658" spans="2:10" x14ac:dyDescent="0.2">
      <c r="B658" s="22">
        <v>660</v>
      </c>
      <c r="C658" s="23" t="s">
        <v>11264</v>
      </c>
      <c r="D658" s="23" t="s">
        <v>2548</v>
      </c>
      <c r="E658" s="20" t="s">
        <v>11265</v>
      </c>
      <c r="F658" s="22">
        <v>3</v>
      </c>
      <c r="G658" s="22" t="s">
        <v>11266</v>
      </c>
      <c r="H658" s="22">
        <v>3</v>
      </c>
      <c r="I658" s="25">
        <v>43384</v>
      </c>
      <c r="J658" s="24">
        <v>43393</v>
      </c>
    </row>
    <row r="659" spans="2:10" x14ac:dyDescent="0.2">
      <c r="B659" s="22">
        <v>661</v>
      </c>
      <c r="C659" s="23" t="s">
        <v>11267</v>
      </c>
      <c r="D659" s="23" t="s">
        <v>1739</v>
      </c>
      <c r="E659" s="20" t="s">
        <v>11268</v>
      </c>
      <c r="F659" s="22">
        <v>1</v>
      </c>
      <c r="G659" s="22" t="s">
        <v>11269</v>
      </c>
      <c r="H659" s="22">
        <v>1</v>
      </c>
      <c r="I659" s="25">
        <v>43146</v>
      </c>
      <c r="J659" s="22" t="s">
        <v>558</v>
      </c>
    </row>
    <row r="660" spans="2:10" x14ac:dyDescent="0.2">
      <c r="B660" s="22">
        <v>662</v>
      </c>
      <c r="C660" s="23" t="s">
        <v>11270</v>
      </c>
      <c r="D660" s="23" t="s">
        <v>9301</v>
      </c>
      <c r="E660" s="20" t="s">
        <v>11271</v>
      </c>
      <c r="F660" s="22">
        <v>1</v>
      </c>
      <c r="G660" s="22" t="s">
        <v>11272</v>
      </c>
      <c r="H660" s="22">
        <v>1</v>
      </c>
      <c r="I660" s="25">
        <v>43377</v>
      </c>
      <c r="J660" s="24">
        <v>43383</v>
      </c>
    </row>
    <row r="661" spans="2:10" x14ac:dyDescent="0.2">
      <c r="B661" s="22">
        <v>663</v>
      </c>
      <c r="C661" s="23" t="s">
        <v>11273</v>
      </c>
      <c r="D661" s="23" t="s">
        <v>1880</v>
      </c>
      <c r="E661" s="20" t="s">
        <v>11274</v>
      </c>
      <c r="F661" s="22">
        <v>1</v>
      </c>
      <c r="G661" s="22" t="s">
        <v>11275</v>
      </c>
      <c r="H661" s="22">
        <v>1</v>
      </c>
      <c r="I661" s="25">
        <v>43363</v>
      </c>
      <c r="J661" s="24">
        <v>43383</v>
      </c>
    </row>
    <row r="662" spans="2:10" x14ac:dyDescent="0.2">
      <c r="B662" s="22">
        <v>664</v>
      </c>
      <c r="C662" s="23" t="s">
        <v>11276</v>
      </c>
      <c r="D662" s="23" t="s">
        <v>1159</v>
      </c>
      <c r="E662" s="20" t="s">
        <v>11277</v>
      </c>
      <c r="F662" s="22">
        <v>1</v>
      </c>
      <c r="G662" s="22" t="s">
        <v>11278</v>
      </c>
      <c r="H662" s="22">
        <v>1</v>
      </c>
      <c r="I662" s="25">
        <v>43195</v>
      </c>
      <c r="J662" s="24">
        <v>43204</v>
      </c>
    </row>
    <row r="663" spans="2:10" x14ac:dyDescent="0.2">
      <c r="B663" s="22">
        <v>665</v>
      </c>
      <c r="C663" s="23" t="s">
        <v>11279</v>
      </c>
      <c r="D663" s="23" t="s">
        <v>1880</v>
      </c>
      <c r="E663" s="20" t="s">
        <v>11280</v>
      </c>
      <c r="F663" s="22">
        <v>1</v>
      </c>
      <c r="G663" s="22" t="s">
        <v>8916</v>
      </c>
      <c r="H663" s="22">
        <v>1</v>
      </c>
      <c r="I663" s="25">
        <v>43223</v>
      </c>
      <c r="J663" s="22" t="s">
        <v>558</v>
      </c>
    </row>
    <row r="664" spans="2:10" x14ac:dyDescent="0.2">
      <c r="B664" s="22">
        <v>666</v>
      </c>
      <c r="C664" s="23" t="s">
        <v>11281</v>
      </c>
      <c r="D664" s="23" t="s">
        <v>11282</v>
      </c>
      <c r="E664" s="20" t="s">
        <v>11283</v>
      </c>
      <c r="F664" s="22">
        <v>1</v>
      </c>
      <c r="G664" s="22" t="s">
        <v>11284</v>
      </c>
      <c r="H664" s="22">
        <v>1</v>
      </c>
      <c r="I664" s="25">
        <v>43348</v>
      </c>
      <c r="J664" s="24">
        <v>43362</v>
      </c>
    </row>
    <row r="665" spans="2:10" x14ac:dyDescent="0.2">
      <c r="B665" s="22">
        <v>668</v>
      </c>
      <c r="C665" s="23" t="s">
        <v>11285</v>
      </c>
      <c r="D665" s="23" t="s">
        <v>6537</v>
      </c>
      <c r="E665" s="20" t="s">
        <v>2453</v>
      </c>
      <c r="F665" s="22">
        <v>1</v>
      </c>
      <c r="G665" s="22" t="s">
        <v>2453</v>
      </c>
      <c r="H665" s="22">
        <v>1</v>
      </c>
      <c r="I665" s="25">
        <v>43153</v>
      </c>
      <c r="J665" s="24">
        <v>43159</v>
      </c>
    </row>
    <row r="666" spans="2:10" x14ac:dyDescent="0.2">
      <c r="B666" s="22">
        <v>667</v>
      </c>
      <c r="C666" s="23" t="s">
        <v>11286</v>
      </c>
      <c r="D666" s="23" t="s">
        <v>6537</v>
      </c>
      <c r="E666" s="20" t="s">
        <v>2453</v>
      </c>
      <c r="F666" s="22">
        <v>1</v>
      </c>
      <c r="G666" s="22" t="s">
        <v>2453</v>
      </c>
      <c r="H666" s="22">
        <v>1</v>
      </c>
      <c r="I666" s="25">
        <v>43153</v>
      </c>
      <c r="J666" s="24">
        <v>43159</v>
      </c>
    </row>
    <row r="667" spans="2:10" x14ac:dyDescent="0.2">
      <c r="B667" s="22">
        <v>669</v>
      </c>
      <c r="C667" s="23" t="s">
        <v>11287</v>
      </c>
      <c r="D667" s="23" t="s">
        <v>1039</v>
      </c>
      <c r="E667" s="20" t="s">
        <v>9249</v>
      </c>
      <c r="F667" s="22">
        <v>2</v>
      </c>
      <c r="G667" s="22" t="s">
        <v>11288</v>
      </c>
      <c r="H667" s="22">
        <v>2</v>
      </c>
      <c r="I667" s="25">
        <v>43412</v>
      </c>
      <c r="J667" s="22" t="s">
        <v>558</v>
      </c>
    </row>
    <row r="668" spans="2:10" x14ac:dyDescent="0.2">
      <c r="B668" s="22">
        <v>670</v>
      </c>
      <c r="C668" s="23" t="s">
        <v>11289</v>
      </c>
      <c r="D668" s="23" t="s">
        <v>5254</v>
      </c>
      <c r="E668" s="20" t="s">
        <v>11290</v>
      </c>
      <c r="F668" s="22">
        <v>2</v>
      </c>
      <c r="G668" s="22" t="s">
        <v>11291</v>
      </c>
      <c r="H668" s="22">
        <v>2</v>
      </c>
      <c r="I668" s="25">
        <v>43279</v>
      </c>
      <c r="J668" s="24">
        <v>43285</v>
      </c>
    </row>
    <row r="669" spans="2:10" x14ac:dyDescent="0.2">
      <c r="B669" s="22">
        <v>671</v>
      </c>
      <c r="C669" s="23" t="s">
        <v>11292</v>
      </c>
      <c r="D669" s="23" t="s">
        <v>1880</v>
      </c>
      <c r="E669" s="20" t="s">
        <v>11293</v>
      </c>
      <c r="F669" s="22">
        <v>1</v>
      </c>
      <c r="G669" s="22" t="s">
        <v>11017</v>
      </c>
      <c r="H669" s="22">
        <v>1</v>
      </c>
      <c r="I669" s="25">
        <v>43181</v>
      </c>
      <c r="J669" s="22" t="s">
        <v>558</v>
      </c>
    </row>
    <row r="670" spans="2:10" x14ac:dyDescent="0.2">
      <c r="B670" s="22">
        <v>672</v>
      </c>
      <c r="C670" s="23" t="s">
        <v>11294</v>
      </c>
      <c r="D670" s="23" t="s">
        <v>9292</v>
      </c>
      <c r="E670" s="20" t="s">
        <v>11295</v>
      </c>
      <c r="F670" s="22">
        <v>5</v>
      </c>
      <c r="G670" s="22" t="s">
        <v>11296</v>
      </c>
      <c r="H670" s="22">
        <v>5</v>
      </c>
      <c r="I670" s="25">
        <v>43195</v>
      </c>
      <c r="J670" s="24">
        <v>43222</v>
      </c>
    </row>
    <row r="671" spans="2:10" x14ac:dyDescent="0.2">
      <c r="B671" s="22">
        <v>673</v>
      </c>
      <c r="C671" s="23" t="s">
        <v>11297</v>
      </c>
      <c r="D671" s="23" t="s">
        <v>5254</v>
      </c>
      <c r="E671" s="20" t="s">
        <v>5270</v>
      </c>
      <c r="F671" s="22">
        <v>1</v>
      </c>
      <c r="G671" s="22" t="s">
        <v>11298</v>
      </c>
      <c r="H671" s="22">
        <v>1</v>
      </c>
      <c r="I671" s="25">
        <v>43146</v>
      </c>
      <c r="J671" s="24">
        <v>43152</v>
      </c>
    </row>
    <row r="672" spans="2:10" x14ac:dyDescent="0.2">
      <c r="B672" s="22">
        <v>674</v>
      </c>
      <c r="C672" s="23" t="s">
        <v>11299</v>
      </c>
      <c r="D672" s="23" t="s">
        <v>5254</v>
      </c>
      <c r="E672" s="20" t="s">
        <v>11300</v>
      </c>
      <c r="F672" s="22">
        <v>1</v>
      </c>
      <c r="G672" s="22" t="s">
        <v>11301</v>
      </c>
      <c r="H672" s="22">
        <v>1</v>
      </c>
      <c r="I672" s="25">
        <v>43118</v>
      </c>
      <c r="J672" s="24">
        <v>43124</v>
      </c>
    </row>
    <row r="673" spans="2:10" x14ac:dyDescent="0.2">
      <c r="B673" s="22">
        <v>675</v>
      </c>
      <c r="C673" s="23" t="s">
        <v>11302</v>
      </c>
      <c r="D673" s="23" t="s">
        <v>11303</v>
      </c>
      <c r="E673" s="20" t="s">
        <v>11304</v>
      </c>
      <c r="F673" s="22">
        <v>1</v>
      </c>
      <c r="G673" s="22" t="s">
        <v>1159</v>
      </c>
      <c r="H673" s="22" t="s">
        <v>1159</v>
      </c>
      <c r="I673" s="25">
        <v>43446</v>
      </c>
      <c r="J673" s="24">
        <v>43446</v>
      </c>
    </row>
    <row r="674" spans="2:10" x14ac:dyDescent="0.2">
      <c r="B674" s="22">
        <v>676</v>
      </c>
      <c r="C674" s="23" t="s">
        <v>11305</v>
      </c>
      <c r="D674" s="23" t="s">
        <v>11306</v>
      </c>
      <c r="E674" s="20" t="s">
        <v>7210</v>
      </c>
      <c r="F674" s="22">
        <v>1</v>
      </c>
      <c r="G674" s="22" t="s">
        <v>11307</v>
      </c>
      <c r="H674" s="22">
        <v>1</v>
      </c>
      <c r="I674" s="25">
        <v>43160</v>
      </c>
      <c r="J674" s="24">
        <v>43166</v>
      </c>
    </row>
    <row r="675" spans="2:10" x14ac:dyDescent="0.2">
      <c r="B675" s="22">
        <v>677</v>
      </c>
      <c r="C675" s="23" t="s">
        <v>11308</v>
      </c>
      <c r="D675" s="23" t="s">
        <v>1519</v>
      </c>
      <c r="E675" s="20" t="s">
        <v>11309</v>
      </c>
      <c r="F675" s="22">
        <v>2</v>
      </c>
      <c r="G675" s="22" t="s">
        <v>11310</v>
      </c>
      <c r="H675" s="22">
        <v>1</v>
      </c>
      <c r="I675" s="25">
        <v>43431</v>
      </c>
      <c r="J675" s="24">
        <v>43442</v>
      </c>
    </row>
    <row r="676" spans="2:10" x14ac:dyDescent="0.2">
      <c r="B676" s="22">
        <v>678</v>
      </c>
      <c r="C676" s="23" t="s">
        <v>11311</v>
      </c>
      <c r="D676" s="23" t="s">
        <v>1294</v>
      </c>
      <c r="E676" s="20" t="s">
        <v>11301</v>
      </c>
      <c r="F676" s="22">
        <v>1</v>
      </c>
      <c r="G676" s="22" t="s">
        <v>1159</v>
      </c>
      <c r="H676" s="22">
        <v>1</v>
      </c>
      <c r="I676" s="25">
        <v>43230</v>
      </c>
      <c r="J676" s="22" t="s">
        <v>558</v>
      </c>
    </row>
    <row r="677" spans="2:10" x14ac:dyDescent="0.2">
      <c r="B677" s="22">
        <v>679</v>
      </c>
      <c r="C677" s="23" t="s">
        <v>11312</v>
      </c>
      <c r="D677" s="23" t="s">
        <v>1183</v>
      </c>
      <c r="E677" s="20" t="s">
        <v>11313</v>
      </c>
      <c r="F677" s="22" t="s">
        <v>1159</v>
      </c>
      <c r="G677" s="22" t="s">
        <v>1159</v>
      </c>
      <c r="H677" s="22" t="s">
        <v>1159</v>
      </c>
      <c r="I677" s="25">
        <v>43412</v>
      </c>
      <c r="J677" s="22" t="s">
        <v>558</v>
      </c>
    </row>
    <row r="678" spans="2:10" x14ac:dyDescent="0.2">
      <c r="B678" s="22">
        <v>680</v>
      </c>
      <c r="C678" s="23" t="s">
        <v>11314</v>
      </c>
      <c r="D678" s="23" t="s">
        <v>8234</v>
      </c>
      <c r="E678" s="20" t="s">
        <v>11315</v>
      </c>
      <c r="F678" s="22" t="s">
        <v>1159</v>
      </c>
      <c r="G678" s="22" t="s">
        <v>1159</v>
      </c>
      <c r="H678" s="22" t="s">
        <v>1159</v>
      </c>
      <c r="I678" s="25">
        <v>43286</v>
      </c>
      <c r="J678" s="22" t="s">
        <v>558</v>
      </c>
    </row>
    <row r="679" spans="2:10" x14ac:dyDescent="0.2">
      <c r="B679" s="22">
        <v>681</v>
      </c>
      <c r="C679" s="23" t="s">
        <v>11316</v>
      </c>
      <c r="D679" s="23" t="s">
        <v>7800</v>
      </c>
      <c r="E679" s="20" t="s">
        <v>11317</v>
      </c>
      <c r="F679" s="22">
        <v>2</v>
      </c>
      <c r="G679" s="22" t="s">
        <v>11317</v>
      </c>
      <c r="H679" s="22">
        <v>2</v>
      </c>
      <c r="I679" s="25">
        <v>43440</v>
      </c>
      <c r="J679" s="24">
        <v>43442</v>
      </c>
    </row>
    <row r="680" spans="2:10" x14ac:dyDescent="0.2">
      <c r="B680" s="22">
        <v>682</v>
      </c>
      <c r="C680" s="23" t="s">
        <v>11318</v>
      </c>
      <c r="D680" s="23" t="s">
        <v>11303</v>
      </c>
      <c r="E680" s="20" t="s">
        <v>11319</v>
      </c>
      <c r="F680" s="22">
        <v>1</v>
      </c>
      <c r="G680" s="22" t="s">
        <v>1159</v>
      </c>
      <c r="H680" s="22" t="s">
        <v>1159</v>
      </c>
      <c r="I680" s="25">
        <v>43418</v>
      </c>
      <c r="J680" s="24">
        <v>43418</v>
      </c>
    </row>
    <row r="681" spans="2:10" x14ac:dyDescent="0.2">
      <c r="B681" s="22">
        <v>683</v>
      </c>
      <c r="C681" s="23" t="s">
        <v>11320</v>
      </c>
      <c r="D681" s="23" t="s">
        <v>1338</v>
      </c>
      <c r="E681" s="20" t="s">
        <v>11321</v>
      </c>
      <c r="F681" s="22">
        <v>2</v>
      </c>
      <c r="G681" s="22" t="s">
        <v>1159</v>
      </c>
      <c r="H681" s="22" t="s">
        <v>1159</v>
      </c>
      <c r="I681" s="25">
        <v>43412</v>
      </c>
      <c r="J681" s="24">
        <v>43418</v>
      </c>
    </row>
    <row r="682" spans="2:10" x14ac:dyDescent="0.2">
      <c r="B682" s="22">
        <v>684</v>
      </c>
      <c r="C682" s="23" t="s">
        <v>11322</v>
      </c>
      <c r="D682" s="23" t="s">
        <v>5254</v>
      </c>
      <c r="E682" s="20" t="s">
        <v>5224</v>
      </c>
      <c r="F682" s="22">
        <v>1</v>
      </c>
      <c r="G682" s="22" t="s">
        <v>11323</v>
      </c>
      <c r="H682" s="22">
        <v>1</v>
      </c>
      <c r="I682" s="25">
        <v>43363</v>
      </c>
      <c r="J682" s="24">
        <v>43369</v>
      </c>
    </row>
    <row r="683" spans="2:10" x14ac:dyDescent="0.2">
      <c r="B683" s="22">
        <v>685</v>
      </c>
      <c r="C683" s="23" t="s">
        <v>11324</v>
      </c>
      <c r="D683" s="23" t="s">
        <v>1039</v>
      </c>
      <c r="E683" s="20" t="s">
        <v>11325</v>
      </c>
      <c r="F683" s="22">
        <v>1</v>
      </c>
      <c r="G683" s="22" t="s">
        <v>11326</v>
      </c>
      <c r="H683" s="22">
        <v>1</v>
      </c>
      <c r="I683" s="25">
        <v>43202</v>
      </c>
      <c r="J683" s="24">
        <v>43215</v>
      </c>
    </row>
    <row r="684" spans="2:10" x14ac:dyDescent="0.2">
      <c r="B684" s="22">
        <v>686</v>
      </c>
      <c r="C684" s="23" t="s">
        <v>11327</v>
      </c>
      <c r="D684" s="23" t="s">
        <v>1039</v>
      </c>
      <c r="E684" s="20" t="s">
        <v>11328</v>
      </c>
      <c r="F684" s="22">
        <v>1</v>
      </c>
      <c r="G684" s="22" t="s">
        <v>11329</v>
      </c>
      <c r="H684" s="22">
        <v>1</v>
      </c>
      <c r="I684" s="25">
        <v>43258</v>
      </c>
      <c r="J684" s="22" t="s">
        <v>558</v>
      </c>
    </row>
    <row r="685" spans="2:10" x14ac:dyDescent="0.2">
      <c r="B685" s="22">
        <v>687</v>
      </c>
      <c r="C685" s="23" t="s">
        <v>11330</v>
      </c>
      <c r="D685" s="23" t="s">
        <v>1039</v>
      </c>
      <c r="E685" s="20" t="s">
        <v>11331</v>
      </c>
      <c r="F685" s="22">
        <v>2</v>
      </c>
      <c r="G685" s="22" t="s">
        <v>11332</v>
      </c>
      <c r="H685" s="22">
        <v>2</v>
      </c>
      <c r="I685" s="25">
        <v>43286</v>
      </c>
      <c r="J685" s="22" t="s">
        <v>558</v>
      </c>
    </row>
    <row r="686" spans="2:10" x14ac:dyDescent="0.2">
      <c r="B686" s="22">
        <v>688</v>
      </c>
      <c r="C686" s="23" t="s">
        <v>11333</v>
      </c>
      <c r="D686" s="23" t="s">
        <v>1880</v>
      </c>
      <c r="E686" s="20" t="s">
        <v>11334</v>
      </c>
      <c r="F686" s="22">
        <v>1</v>
      </c>
      <c r="G686" s="22" t="s">
        <v>11335</v>
      </c>
      <c r="H686" s="22">
        <v>1</v>
      </c>
      <c r="I686" s="25">
        <v>43251</v>
      </c>
      <c r="J686" s="22" t="s">
        <v>558</v>
      </c>
    </row>
    <row r="687" spans="2:10" x14ac:dyDescent="0.2">
      <c r="B687" s="22">
        <v>689</v>
      </c>
      <c r="C687" s="23" t="s">
        <v>11336</v>
      </c>
      <c r="D687" s="23" t="s">
        <v>1039</v>
      </c>
      <c r="E687" s="20" t="s">
        <v>11337</v>
      </c>
      <c r="F687" s="22">
        <v>1</v>
      </c>
      <c r="G687" s="22" t="s">
        <v>11337</v>
      </c>
      <c r="H687" s="22">
        <v>1</v>
      </c>
      <c r="I687" s="25">
        <v>43118</v>
      </c>
      <c r="J687" s="22" t="s">
        <v>558</v>
      </c>
    </row>
  </sheetData>
  <mergeCells count="2">
    <mergeCell ref="C3:C4"/>
    <mergeCell ref="B3:B4"/>
  </mergeCells>
  <hyperlinks>
    <hyperlink ref="B3" r:id="rId1"/>
    <hyperlink ref="C3" r:id="rId2"/>
    <hyperlink ref="D3" r:id="rId3"/>
    <hyperlink ref="E5" r:id="rId4"/>
    <hyperlink ref="F5" r:id="rId5"/>
    <hyperlink ref="C6" r:id="rId6"/>
    <hyperlink ref="D6" r:id="rId7"/>
    <hyperlink ref="I6" r:id="rId8" display="http://www.boxofficemojo.com/schedule/?view=bydate&amp;release=theatrical&amp;date=2013-11-22&amp;p=.htm"/>
    <hyperlink ref="C7" r:id="rId9"/>
    <hyperlink ref="D7" r:id="rId10"/>
    <hyperlink ref="I7" r:id="rId11" display="http://www.boxofficemojo.com/schedule/?view=bydate&amp;release=theatrical&amp;date=2013-05-03&amp;p=.htm"/>
    <hyperlink ref="C8" r:id="rId12"/>
    <hyperlink ref="D8" r:id="rId13"/>
    <hyperlink ref="I8" r:id="rId14" display="http://www.boxofficemojo.com/schedule/?view=bydate&amp;release=theatrical&amp;date=2013-11-22&amp;p=.htm"/>
    <hyperlink ref="C9" r:id="rId15"/>
    <hyperlink ref="D9" r:id="rId16"/>
    <hyperlink ref="I9" r:id="rId17" display="http://www.boxofficemojo.com/schedule/?view=bydate&amp;release=theatrical&amp;date=2013-07-03&amp;p=.htm"/>
    <hyperlink ref="C10" r:id="rId18"/>
    <hyperlink ref="D10" r:id="rId19"/>
    <hyperlink ref="I10" r:id="rId20" display="http://www.boxofficemojo.com/schedule/?view=bydate&amp;release=theatrical&amp;date=2013-06-14&amp;p=.htm"/>
    <hyperlink ref="C11" r:id="rId21"/>
    <hyperlink ref="D11" r:id="rId22"/>
    <hyperlink ref="I11" r:id="rId23" display="http://www.boxofficemojo.com/schedule/?view=bydate&amp;release=theatrical&amp;date=2013-10-04&amp;p=.htm"/>
    <hyperlink ref="C12" r:id="rId24"/>
    <hyperlink ref="D12" r:id="rId25"/>
    <hyperlink ref="I12" r:id="rId26" display="http://www.boxofficemojo.com/schedule/?view=bydate&amp;release=theatrical&amp;date=2013-06-21&amp;p=.htm"/>
    <hyperlink ref="C13" r:id="rId27"/>
    <hyperlink ref="D13" r:id="rId28"/>
    <hyperlink ref="I13" r:id="rId29" display="http://www.boxofficemojo.com/schedule/?view=bydate&amp;release=theatrical&amp;date=2013-12-13&amp;p=.htm"/>
    <hyperlink ref="C14" r:id="rId30"/>
    <hyperlink ref="D14" r:id="rId31"/>
    <hyperlink ref="I14" r:id="rId32" display="http://www.boxofficemojo.com/schedule/?view=bydate&amp;release=theatrical&amp;date=2013-05-24&amp;p=.htm"/>
    <hyperlink ref="C15" r:id="rId33"/>
    <hyperlink ref="D15" r:id="rId34"/>
    <hyperlink ref="I15" r:id="rId35" display="http://www.boxofficemojo.com/schedule/?view=bydate&amp;release=theatrical&amp;date=2013-03-08&amp;p=.htm"/>
    <hyperlink ref="C16" r:id="rId36"/>
    <hyperlink ref="D16" r:id="rId37"/>
    <hyperlink ref="I16" r:id="rId38" display="http://www.boxofficemojo.com/schedule/?view=bydate&amp;release=theatrical&amp;date=2013-05-16&amp;p=.htm"/>
    <hyperlink ref="C17" r:id="rId39"/>
    <hyperlink ref="D17" r:id="rId40"/>
    <hyperlink ref="I17" r:id="rId41" display="http://www.boxofficemojo.com/schedule/?view=bydate&amp;release=theatrical&amp;date=2013-11-08&amp;p=.htm"/>
    <hyperlink ref="C18" r:id="rId42"/>
    <hyperlink ref="D18" r:id="rId43"/>
    <hyperlink ref="I18" r:id="rId44" display="http://www.boxofficemojo.com/schedule/?view=bydate&amp;release=theatrical&amp;date=2013-06-21&amp;p=.htm"/>
    <hyperlink ref="C19" r:id="rId45"/>
    <hyperlink ref="D19" r:id="rId46"/>
    <hyperlink ref="I19" r:id="rId47" display="http://www.boxofficemojo.com/schedule/?view=bydate&amp;release=theatrical&amp;date=2013-03-22&amp;p=.htm"/>
    <hyperlink ref="C20" r:id="rId48"/>
    <hyperlink ref="D20" r:id="rId49"/>
    <hyperlink ref="I20" r:id="rId50" display="http://www.boxofficemojo.com/schedule/?view=bydate&amp;release=theatrical&amp;date=2013-06-28&amp;p=.htm"/>
    <hyperlink ref="C21" r:id="rId51"/>
    <hyperlink ref="D21" r:id="rId52"/>
    <hyperlink ref="I21" r:id="rId53" display="http://www.boxofficemojo.com/schedule/?view=bydate&amp;release=theatrical&amp;date=2013-08-07&amp;p=.htm"/>
    <hyperlink ref="C22" r:id="rId54"/>
    <hyperlink ref="D22" r:id="rId55"/>
    <hyperlink ref="I22" r:id="rId56" display="http://www.boxofficemojo.com/schedule/?view=bydate&amp;release=theatrical&amp;date=2013-12-13&amp;p=.htm"/>
    <hyperlink ref="C23" r:id="rId57"/>
    <hyperlink ref="D23" r:id="rId58"/>
    <hyperlink ref="I23" r:id="rId59" display="http://www.boxofficemojo.com/schedule/?view=bydate&amp;release=theatrical&amp;date=2013-05-10&amp;p=.htm"/>
    <hyperlink ref="C24" r:id="rId60"/>
    <hyperlink ref="D24" r:id="rId61"/>
    <hyperlink ref="I24" r:id="rId62" display="http://www.boxofficemojo.com/schedule/?view=bydate&amp;release=theatrical&amp;date=2013-07-19&amp;p=.htm"/>
    <hyperlink ref="C25" r:id="rId63"/>
    <hyperlink ref="D25" r:id="rId64"/>
    <hyperlink ref="I25" r:id="rId65" display="http://www.boxofficemojo.com/schedule/?view=bydate&amp;release=theatrical&amp;date=2013-02-08&amp;p=.htm"/>
    <hyperlink ref="C26" r:id="rId66"/>
    <hyperlink ref="D26" r:id="rId67"/>
    <hyperlink ref="I26" r:id="rId68" display="http://www.boxofficemojo.com/schedule/?view=bydate&amp;release=theatrical&amp;date=2013-07-12&amp;p=.htm"/>
    <hyperlink ref="C27" r:id="rId69"/>
    <hyperlink ref="D27" r:id="rId70"/>
    <hyperlink ref="I27" r:id="rId71" display="http://www.boxofficemojo.com/schedule/?view=bydate&amp;release=theatrical&amp;date=2013-07-26&amp;p=.htm"/>
    <hyperlink ref="C28" r:id="rId72"/>
    <hyperlink ref="D28" r:id="rId73"/>
    <hyperlink ref="I28" r:id="rId74" display="http://www.boxofficemojo.com/schedule/?view=bydate&amp;release=theatrical&amp;date=2013-12-18&amp;p=.htm"/>
    <hyperlink ref="C29" r:id="rId75"/>
    <hyperlink ref="D29" r:id="rId76"/>
    <hyperlink ref="I29" r:id="rId77" display="http://www.boxofficemojo.com/schedule/?view=bydate&amp;release=theatrical&amp;date=2013-12-25&amp;p=.htm"/>
    <hyperlink ref="C30" r:id="rId78"/>
    <hyperlink ref="D30" r:id="rId79"/>
    <hyperlink ref="I30" r:id="rId80" display="http://www.boxofficemojo.com/schedule/?view=bydate&amp;release=theatrical&amp;date=2013-03-28&amp;p=.htm"/>
    <hyperlink ref="C31" r:id="rId81"/>
    <hyperlink ref="D31" r:id="rId82"/>
    <hyperlink ref="I31" r:id="rId83" display="http://www.boxofficemojo.com/schedule/?view=bydate&amp;release=theatrical&amp;date=2013-09-27&amp;p=.htm"/>
    <hyperlink ref="C32" r:id="rId84"/>
    <hyperlink ref="D32" r:id="rId85"/>
    <hyperlink ref="I32" r:id="rId86" display="http://www.boxofficemojo.com/schedule/?view=bydate&amp;release=theatrical&amp;date=2013-05-31&amp;p=.htm"/>
    <hyperlink ref="C33" r:id="rId87"/>
    <hyperlink ref="D33" r:id="rId88"/>
    <hyperlink ref="I33" r:id="rId89" display="http://www.boxofficemojo.com/schedule/?view=bydate&amp;release=theatrical&amp;date=2013-12-25&amp;p=.htm"/>
    <hyperlink ref="C34" r:id="rId90"/>
    <hyperlink ref="D34" r:id="rId91"/>
    <hyperlink ref="I34" r:id="rId92" display="http://www.boxofficemojo.com/schedule/?view=bydate&amp;release=theatrical&amp;date=2013-08-16&amp;p=.htm"/>
    <hyperlink ref="C35" r:id="rId93"/>
    <hyperlink ref="D35" r:id="rId94"/>
    <hyperlink ref="I35" r:id="rId95" display="http://www.boxofficemojo.com/schedule/?view=bydate&amp;release=theatrical&amp;date=2013-05-23&amp;p=.htm"/>
    <hyperlink ref="C36" r:id="rId96"/>
    <hyperlink ref="D36" r:id="rId97"/>
    <hyperlink ref="I36" r:id="rId98" display="http://www.boxofficemojo.com/schedule/?view=bydate&amp;release=theatrical&amp;date=2013-05-24&amp;p=.htm"/>
    <hyperlink ref="C37" r:id="rId99"/>
    <hyperlink ref="D37" r:id="rId100"/>
    <hyperlink ref="I37" r:id="rId101" display="http://www.boxofficemojo.com/schedule/?view=bydate&amp;release=theatrical&amp;date=2013-10-11&amp;p=.htm"/>
    <hyperlink ref="C38" r:id="rId102"/>
    <hyperlink ref="D38" r:id="rId103"/>
    <hyperlink ref="I38" r:id="rId104" display="http://www.boxofficemojo.com/schedule/?view=bydate&amp;release=theatrical&amp;date=2013-10-25&amp;p=.htm"/>
    <hyperlink ref="C39" r:id="rId105"/>
    <hyperlink ref="D39" r:id="rId106"/>
    <hyperlink ref="I39" r:id="rId107" display="http://www.boxofficemojo.com/schedule/?view=bydate&amp;release=theatrical&amp;date=2013-07-12&amp;p=.htm"/>
    <hyperlink ref="C40" r:id="rId108"/>
    <hyperlink ref="D40" r:id="rId109"/>
    <hyperlink ref="I40" r:id="rId110" display="http://www.boxofficemojo.com/schedule/?view=bydate&amp;release=theatrical&amp;date=2013-06-12&amp;p=.htm"/>
    <hyperlink ref="C41" r:id="rId111"/>
    <hyperlink ref="D41" r:id="rId112"/>
    <hyperlink ref="I41" r:id="rId113" display="http://www.boxofficemojo.com/schedule/?view=bydate&amp;release=theatrical&amp;date=2013-03-22&amp;p=.htm"/>
    <hyperlink ref="C42" r:id="rId114" display="http://www.boxofficemojo.com/movies/?id=42.htm"/>
    <hyperlink ref="D42" r:id="rId115"/>
    <hyperlink ref="I42" r:id="rId116" display="http://www.boxofficemojo.com/schedule/?view=bydate&amp;release=theatrical&amp;date=2013-04-12&amp;p=.htm"/>
    <hyperlink ref="C43" r:id="rId117"/>
    <hyperlink ref="D43" r:id="rId118"/>
    <hyperlink ref="I43" r:id="rId119" display="http://www.boxofficemojo.com/schedule/?view=bydate&amp;release=theatrical&amp;date=2013-08-09&amp;p=.htm"/>
    <hyperlink ref="C44" r:id="rId120"/>
    <hyperlink ref="D44" r:id="rId121"/>
    <hyperlink ref="I44" r:id="rId122" display="http://www.boxofficemojo.com/schedule/?view=bydate&amp;release=theatrical&amp;date=2013-08-09&amp;p=.htm"/>
    <hyperlink ref="C45" r:id="rId123"/>
    <hyperlink ref="D45" r:id="rId124"/>
    <hyperlink ref="I45" r:id="rId125" display="http://www.boxofficemojo.com/schedule/?view=bydate&amp;release=theatrical&amp;date=2013-07-03&amp;p=.htm"/>
    <hyperlink ref="C46" r:id="rId126"/>
    <hyperlink ref="D46" r:id="rId127"/>
    <hyperlink ref="I46" r:id="rId128" display="http://www.boxofficemojo.com/schedule/?view=bydate&amp;release=theatrical&amp;date=2013-04-19&amp;p=.htm"/>
    <hyperlink ref="C47" r:id="rId129"/>
    <hyperlink ref="D47" r:id="rId130"/>
    <hyperlink ref="I47" r:id="rId131" display="http://www.boxofficemojo.com/schedule/?view=bydate&amp;release=theatrical&amp;date=2013-09-13&amp;p=.htm"/>
    <hyperlink ref="C48" r:id="rId132"/>
    <hyperlink ref="D48" r:id="rId133"/>
    <hyperlink ref="I48" r:id="rId134" display="http://www.boxofficemojo.com/schedule/?view=bydate&amp;release=theatrical&amp;date=2013-12-13&amp;p=.htm"/>
    <hyperlink ref="C49" r:id="rId135"/>
    <hyperlink ref="D49" r:id="rId136"/>
    <hyperlink ref="I49" r:id="rId137" display="http://www.boxofficemojo.com/schedule/?view=bydate&amp;release=theatrical&amp;date=2013-07-17&amp;p=.htm"/>
    <hyperlink ref="C50" r:id="rId138"/>
    <hyperlink ref="D50" r:id="rId139"/>
    <hyperlink ref="I50" r:id="rId140" display="http://www.boxofficemojo.com/schedule/?view=bydate&amp;release=theatrical&amp;date=2013-08-02&amp;p=.htm"/>
    <hyperlink ref="C51" r:id="rId141"/>
    <hyperlink ref="D51" r:id="rId142"/>
    <hyperlink ref="I51" r:id="rId143" display="http://www.boxofficemojo.com/schedule/?view=bydate&amp;release=theatrical&amp;date=2013-06-28&amp;p=.htm"/>
    <hyperlink ref="C52" r:id="rId144"/>
    <hyperlink ref="D52" r:id="rId145"/>
    <hyperlink ref="I52" r:id="rId146" display="http://www.boxofficemojo.com/schedule/?view=bydate&amp;release=theatrical&amp;date=2013-01-18&amp;p=.htm"/>
    <hyperlink ref="C53" r:id="rId147"/>
    <hyperlink ref="D53" r:id="rId148"/>
    <hyperlink ref="I53" r:id="rId149" display="http://www.boxofficemojo.com/schedule/?view=bydate&amp;release=theatrical&amp;date=2013-02-14&amp;p=.htm"/>
    <hyperlink ref="C54" r:id="rId150"/>
    <hyperlink ref="D54" r:id="rId151"/>
    <hyperlink ref="I54" r:id="rId152" display="http://www.boxofficemojo.com/schedule/?view=bydate&amp;release=theatrical&amp;date=2013-07-31&amp;p=.htm"/>
    <hyperlink ref="C55" r:id="rId153"/>
    <hyperlink ref="D55" r:id="rId154"/>
    <hyperlink ref="I55" r:id="rId155" display="http://www.boxofficemojo.com/schedule/?view=bydate&amp;release=theatrical&amp;date=2013-11-15&amp;p=.htm"/>
    <hyperlink ref="C56" r:id="rId156"/>
    <hyperlink ref="D56" r:id="rId157"/>
    <hyperlink ref="I56" r:id="rId158" display="http://www.boxofficemojo.com/schedule/?view=bydate&amp;release=theatrical&amp;date=2013-08-07&amp;p=.htm"/>
    <hyperlink ref="C57" r:id="rId159"/>
    <hyperlink ref="D57" r:id="rId160"/>
    <hyperlink ref="I57" r:id="rId161" display="http://www.boxofficemojo.com/schedule/?view=bydate&amp;release=theatrical&amp;date=2013-02-14&amp;p=.htm"/>
    <hyperlink ref="C58" r:id="rId162"/>
    <hyperlink ref="D58" r:id="rId163"/>
    <hyperlink ref="I58" r:id="rId164" display="http://www.boxofficemojo.com/schedule/?view=bydate&amp;release=theatrical&amp;date=2013-02-01&amp;p=.htm"/>
    <hyperlink ref="C59" r:id="rId165"/>
    <hyperlink ref="D59" r:id="rId166"/>
    <hyperlink ref="I59" r:id="rId167" display="http://www.boxofficemojo.com/schedule/?view=bydate&amp;release=theatrical&amp;date=2013-03-01&amp;p=.htm"/>
    <hyperlink ref="C60" r:id="rId168"/>
    <hyperlink ref="D60" r:id="rId169"/>
    <hyperlink ref="I60" r:id="rId170" display="http://www.boxofficemojo.com/schedule/?view=bydate&amp;release=theatrical&amp;date=2013-06-07&amp;p=.htm"/>
    <hyperlink ref="C61" r:id="rId171"/>
    <hyperlink ref="D61" r:id="rId172"/>
    <hyperlink ref="I61" r:id="rId173" display="http://www.boxofficemojo.com/schedule/?view=bydate&amp;release=theatrical&amp;date=2013-11-01&amp;p=.htm"/>
    <hyperlink ref="C62" r:id="rId174"/>
    <hyperlink ref="D62" r:id="rId175"/>
    <hyperlink ref="I62" r:id="rId176" display="http://www.boxofficemojo.com/schedule/?view=bydate&amp;release=theatrical&amp;date=2013-11-01&amp;p=.htm"/>
    <hyperlink ref="C63" r:id="rId177"/>
    <hyperlink ref="D63" r:id="rId178"/>
    <hyperlink ref="I63" r:id="rId179" display="http://www.boxofficemojo.com/schedule/?view=bydate&amp;release=theatrical&amp;date=2013-09-20&amp;p=.htm"/>
    <hyperlink ref="C64" r:id="rId180"/>
    <hyperlink ref="D64" r:id="rId181"/>
    <hyperlink ref="I64" r:id="rId182" display="http://www.boxofficemojo.com/schedule/?view=bydate&amp;release=theatrical&amp;date=2013-05-31&amp;p=.htm"/>
    <hyperlink ref="C65" r:id="rId183"/>
    <hyperlink ref="D65" r:id="rId184"/>
    <hyperlink ref="I65" r:id="rId185" display="http://www.boxofficemojo.com/schedule/?view=bydate&amp;release=theatrical&amp;date=2013-12-25&amp;p=.htm"/>
    <hyperlink ref="C66" r:id="rId186"/>
    <hyperlink ref="D66" r:id="rId187"/>
    <hyperlink ref="I66" r:id="rId188" display="http://www.boxofficemojo.com/schedule/?view=bydate&amp;release=theatrical&amp;date=2013-02-15&amp;p=.htm"/>
    <hyperlink ref="C67" r:id="rId189"/>
    <hyperlink ref="D67" r:id="rId190"/>
    <hyperlink ref="I67" r:id="rId191" display="http://www.boxofficemojo.com/schedule/?view=bydate&amp;release=theatrical&amp;date=2013-10-18&amp;p=.htm"/>
    <hyperlink ref="C68" r:id="rId192"/>
    <hyperlink ref="D68" r:id="rId193"/>
    <hyperlink ref="I68" r:id="rId194" display="http://www.boxofficemojo.com/schedule/?view=bydate&amp;release=theatrical&amp;date=2013-11-01&amp;p=.htm"/>
    <hyperlink ref="C69" r:id="rId195"/>
    <hyperlink ref="D69" r:id="rId196"/>
    <hyperlink ref="I69" r:id="rId197" display="http://www.boxofficemojo.com/schedule/?view=bydate&amp;release=theatrical&amp;date=2013-01-25&amp;p=.htm"/>
    <hyperlink ref="C70" r:id="rId198"/>
    <hyperlink ref="D70" r:id="rId199"/>
    <hyperlink ref="I70" r:id="rId200" display="http://www.boxofficemojo.com/schedule/?view=bydate&amp;release=theatrical&amp;date=2013-04-05&amp;p=.htm"/>
    <hyperlink ref="C71" r:id="rId201"/>
    <hyperlink ref="D71" r:id="rId202"/>
    <hyperlink ref="I71" r:id="rId203" display="http://www.boxofficemojo.com/schedule/?view=bydate&amp;release=theatrical&amp;date=2013-07-19&amp;p=.htm"/>
    <hyperlink ref="C72" r:id="rId204"/>
    <hyperlink ref="D72" r:id="rId205"/>
    <hyperlink ref="I72" r:id="rId206" display="http://www.boxofficemojo.com/schedule/?view=bydate&amp;release=theatrical&amp;date=2013-12-13&amp;p=.htm"/>
    <hyperlink ref="C73" r:id="rId207"/>
    <hyperlink ref="D73" r:id="rId208"/>
    <hyperlink ref="I73" r:id="rId209" display="http://www.boxofficemojo.com/schedule/?view=bydate&amp;release=theatrical&amp;date=2013-03-29&amp;p=.htm"/>
    <hyperlink ref="C74" r:id="rId210"/>
    <hyperlink ref="D74" r:id="rId211"/>
    <hyperlink ref="I74" r:id="rId212" display="http://www.boxofficemojo.com/schedule/?view=bydate&amp;release=theatrical&amp;date=2013-03-15&amp;p=.htm"/>
    <hyperlink ref="C75" r:id="rId213"/>
    <hyperlink ref="D75" r:id="rId214"/>
    <hyperlink ref="I75" r:id="rId215" display="http://www.boxofficemojo.com/schedule/?view=bydate&amp;release=theatrical&amp;date=2013-04-26&amp;p=.htm"/>
    <hyperlink ref="C76" r:id="rId216"/>
    <hyperlink ref="D76" r:id="rId217"/>
    <hyperlink ref="I76" r:id="rId218" display="http://www.boxofficemojo.com/schedule/?view=bydate&amp;release=theatrical&amp;date=2013-01-11&amp;p=.htm"/>
    <hyperlink ref="C77" r:id="rId219"/>
    <hyperlink ref="D77" r:id="rId220"/>
    <hyperlink ref="I77" r:id="rId221" display="http://www.boxofficemojo.com/schedule/?view=bydate&amp;release=theatrical&amp;date=2013-04-05&amp;p=.htm"/>
    <hyperlink ref="C78" r:id="rId222"/>
    <hyperlink ref="D78" r:id="rId223"/>
    <hyperlink ref="I78" r:id="rId224" display="http://www.boxofficemojo.com/schedule/?view=bydate&amp;release=theatrical&amp;date=2013-06-07&amp;p=.htm"/>
    <hyperlink ref="C79" r:id="rId225"/>
    <hyperlink ref="D79" r:id="rId226"/>
    <hyperlink ref="I79" r:id="rId227" display="http://www.boxofficemojo.com/schedule/?view=bydate&amp;release=theatrical&amp;date=2013-08-30&amp;p=.htm"/>
    <hyperlink ref="C80" r:id="rId228"/>
    <hyperlink ref="D80" r:id="rId229"/>
    <hyperlink ref="I80" r:id="rId230" display="http://www.boxofficemojo.com/schedule/?view=bydate&amp;release=theatrical&amp;date=2013-02-22&amp;p=.htm"/>
    <hyperlink ref="C81" r:id="rId231"/>
    <hyperlink ref="D81" r:id="rId232"/>
    <hyperlink ref="I81" r:id="rId233" display="http://www.boxofficemojo.com/schedule/?view=bydate&amp;release=theatrical&amp;date=2013-09-06&amp;p=.htm"/>
    <hyperlink ref="C82" r:id="rId234"/>
    <hyperlink ref="D82" r:id="rId235"/>
    <hyperlink ref="I82" r:id="rId236" display="http://www.boxofficemojo.com/schedule/?view=bydate&amp;release=theatrical&amp;date=2013-01-11&amp;p=.htm"/>
    <hyperlink ref="C83" r:id="rId237"/>
    <hyperlink ref="D83" r:id="rId238"/>
    <hyperlink ref="I83" r:id="rId239" display="http://www.boxofficemojo.com/schedule/?view=bydate&amp;release=theatrical&amp;date=2013-12-25&amp;p=.htm"/>
    <hyperlink ref="C84" r:id="rId240"/>
    <hyperlink ref="D84" r:id="rId241"/>
    <hyperlink ref="I84" r:id="rId242" display="http://www.boxofficemojo.com/schedule/?view=bydate&amp;release=theatrical&amp;date=2013-12-27&amp;p=.htm"/>
    <hyperlink ref="C85" r:id="rId243"/>
    <hyperlink ref="D85" r:id="rId244"/>
    <hyperlink ref="I85" r:id="rId245" display="http://www.boxofficemojo.com/schedule/?view=bydate&amp;release=theatrical&amp;date=2013-11-22&amp;p=.htm"/>
    <hyperlink ref="C86" r:id="rId246"/>
    <hyperlink ref="D86" r:id="rId247"/>
    <hyperlink ref="I86" r:id="rId248" display="http://www.boxofficemojo.com/schedule/?view=bydate&amp;release=theatrical&amp;date=2013-09-13&amp;p=.htm"/>
    <hyperlink ref="C87" r:id="rId249"/>
    <hyperlink ref="D87" r:id="rId250"/>
    <hyperlink ref="I87" r:id="rId251" display="http://www.boxofficemojo.com/schedule/?view=bydate&amp;release=theatrical&amp;date=2013-12-20&amp;p=.htm"/>
    <hyperlink ref="C88" r:id="rId252"/>
    <hyperlink ref="D88" r:id="rId253"/>
    <hyperlink ref="I88" r:id="rId254" display="http://www.boxofficemojo.com/schedule/?view=bydate&amp;release=theatrical&amp;date=2013-10-18&amp;p=.htm"/>
    <hyperlink ref="C89" r:id="rId255"/>
    <hyperlink ref="D89" r:id="rId256"/>
    <hyperlink ref="I89" r:id="rId257" display="http://www.boxofficemojo.com/schedule/?view=bydate&amp;release=theatrical&amp;date=2013-01-04&amp;p=.htm"/>
    <hyperlink ref="C90" r:id="rId258"/>
    <hyperlink ref="D90" r:id="rId259"/>
    <hyperlink ref="I90" r:id="rId260" display="http://www.boxofficemojo.com/schedule/?view=bydate&amp;release=theatrical&amp;date=2013-07-19&amp;p=.htm"/>
    <hyperlink ref="C91" r:id="rId261"/>
    <hyperlink ref="D91" r:id="rId262"/>
    <hyperlink ref="I91" r:id="rId263" display="http://www.boxofficemojo.com/schedule/?view=bydate&amp;release=theatrical&amp;date=2013-07-26&amp;p=.htm"/>
    <hyperlink ref="C92" r:id="rId264"/>
    <hyperlink ref="D92" r:id="rId265"/>
    <hyperlink ref="I92" r:id="rId266" display="http://www.boxofficemojo.com/schedule/?view=bydate&amp;release=theatrical&amp;date=2013-07-03&amp;p=.htm"/>
    <hyperlink ref="C93" r:id="rId267"/>
    <hyperlink ref="D93" r:id="rId268"/>
    <hyperlink ref="I93" r:id="rId269" display="http://www.boxofficemojo.com/schedule/?view=bydate&amp;release=theatrical&amp;date=2013-02-08&amp;p=.htm"/>
    <hyperlink ref="C94" r:id="rId270"/>
    <hyperlink ref="D94" r:id="rId271"/>
    <hyperlink ref="I94" r:id="rId272" display="http://www.boxofficemojo.com/schedule/?view=bydate&amp;release=theatrical&amp;date=2013-04-12&amp;p=.htm"/>
    <hyperlink ref="C95" r:id="rId273"/>
    <hyperlink ref="D95" r:id="rId274"/>
    <hyperlink ref="I95" r:id="rId275" display="http://www.boxofficemojo.com/schedule/?view=bydate&amp;release=theatrical&amp;date=2013-08-21&amp;p=.htm"/>
    <hyperlink ref="C96" r:id="rId276"/>
    <hyperlink ref="D96" r:id="rId277"/>
    <hyperlink ref="I96" r:id="rId278" display="http://www.boxofficemojo.com/schedule/?view=bydate&amp;release=theatrical&amp;date=2013-11-22&amp;p=.htm"/>
    <hyperlink ref="C97" r:id="rId279"/>
    <hyperlink ref="D97" r:id="rId280"/>
    <hyperlink ref="I97" r:id="rId281" display="http://www.boxofficemojo.com/schedule/?view=bydate&amp;release=theatrical&amp;date=2013-12-25&amp;p=.htm"/>
    <hyperlink ref="C98" r:id="rId282"/>
    <hyperlink ref="D98" r:id="rId283"/>
    <hyperlink ref="I98" r:id="rId284" display="http://www.boxofficemojo.com/schedule/?view=bydate&amp;release=theatrical&amp;date=2013-08-30&amp;p=.htm"/>
    <hyperlink ref="C99" r:id="rId285"/>
    <hyperlink ref="D99" r:id="rId286"/>
    <hyperlink ref="I99" r:id="rId287" display="http://www.boxofficemojo.com/schedule/?view=bydate&amp;release=theatrical&amp;date=2013-08-16&amp;p=.htm"/>
    <hyperlink ref="C100" r:id="rId288"/>
    <hyperlink ref="D100" r:id="rId289"/>
    <hyperlink ref="I100" r:id="rId290" display="http://www.boxofficemojo.com/schedule/?view=bydate&amp;release=theatrical&amp;date=2013-11-01&amp;p=.htm"/>
    <hyperlink ref="C101" r:id="rId291"/>
    <hyperlink ref="D101" r:id="rId292"/>
    <hyperlink ref="I101" r:id="rId293" display="http://www.boxofficemojo.com/schedule/?view=bydate&amp;release=theatrical&amp;date=2013-09-20&amp;p=.htm"/>
    <hyperlink ref="C102" r:id="rId294"/>
    <hyperlink ref="D102" r:id="rId295"/>
    <hyperlink ref="I102" r:id="rId296" display="http://www.boxofficemojo.com/schedule/?view=bydate&amp;release=theatrical&amp;date=2013-03-29&amp;p=.htm"/>
    <hyperlink ref="C103" r:id="rId297"/>
    <hyperlink ref="D103" r:id="rId298"/>
    <hyperlink ref="I103" r:id="rId299" display="http://www.boxofficemojo.com/schedule/?view=bydate&amp;release=theatrical&amp;date=2013-08-23&amp;p=.htm"/>
    <hyperlink ref="C104" r:id="rId300"/>
    <hyperlink ref="D104" r:id="rId301"/>
    <hyperlink ref="I104" r:id="rId302" display="http://www.boxofficemojo.com/schedule/?view=bydate&amp;release=theatrical&amp;date=2013-03-01&amp;p=.htm"/>
    <hyperlink ref="C105" r:id="rId303"/>
    <hyperlink ref="D105" r:id="rId304"/>
    <hyperlink ref="I105" r:id="rId305" display="http://www.boxofficemojo.com/schedule/?view=bydate&amp;release=theatrical&amp;date=2013-12-18&amp;p=.htm"/>
    <hyperlink ref="C106" r:id="rId306"/>
    <hyperlink ref="D106" r:id="rId307"/>
    <hyperlink ref="I106" r:id="rId308" display="http://www.boxofficemojo.com/schedule/?view=bydate&amp;release=theatrical&amp;date=2013-10-18&amp;p=.htm"/>
    <hyperlink ref="C107" r:id="rId309"/>
    <hyperlink ref="D107" r:id="rId310"/>
    <hyperlink ref="I107" r:id="rId311" display="http://www.boxofficemojo.com/schedule/?view=bydate&amp;release=theatrical&amp;date=2013-09-27&amp;p=.htm"/>
    <hyperlink ref="C108" r:id="rId312"/>
    <hyperlink ref="D108" r:id="rId313"/>
    <hyperlink ref="I108" r:id="rId314" display="http://www.boxofficemojo.com/schedule/?view=bydate&amp;release=theatrical&amp;date=2013-03-15&amp;p=.htm"/>
    <hyperlink ref="C109" r:id="rId315"/>
    <hyperlink ref="D109" r:id="rId316"/>
    <hyperlink ref="I109" r:id="rId317" display="http://www.boxofficemojo.com/schedule/?view=bydate&amp;release=theatrical&amp;date=2013-04-26&amp;p=.htm"/>
    <hyperlink ref="C110" r:id="rId318"/>
    <hyperlink ref="D110" r:id="rId319"/>
    <hyperlink ref="I110" r:id="rId320" display="http://www.boxofficemojo.com/schedule/?view=bydate&amp;release=theatrical&amp;date=2013-04-26&amp;p=.htm"/>
    <hyperlink ref="C111" r:id="rId321"/>
    <hyperlink ref="D111" r:id="rId322"/>
    <hyperlink ref="I111" r:id="rId323" display="http://www.boxofficemojo.com/schedule/?view=bydate&amp;release=theatrical&amp;date=2013-09-27&amp;p=.htm"/>
    <hyperlink ref="C112" r:id="rId324"/>
    <hyperlink ref="D112" r:id="rId325"/>
    <hyperlink ref="I112" r:id="rId326" display="http://www.boxofficemojo.com/schedule/?view=bydate&amp;release=theatrical&amp;date=2013-07-05&amp;p=.htm"/>
    <hyperlink ref="C113" r:id="rId327"/>
    <hyperlink ref="D113" r:id="rId328"/>
    <hyperlink ref="I113" r:id="rId329" display="http://www.boxofficemojo.com/schedule/?view=bydate&amp;release=theatrical&amp;date=2013-11-08&amp;p=.htm"/>
    <hyperlink ref="C114" r:id="rId330"/>
    <hyperlink ref="D114" r:id="rId331"/>
    <hyperlink ref="I114" r:id="rId332" display="http://www.boxofficemojo.com/schedule/?view=bydate&amp;release=theatrical&amp;date=2013-03-29&amp;p=.htm"/>
    <hyperlink ref="C115" r:id="rId333"/>
    <hyperlink ref="D115" r:id="rId334"/>
    <hyperlink ref="I115" r:id="rId335" display="http://www.boxofficemojo.com/schedule/?view=bydate&amp;release=theatrical&amp;date=2013-11-27&amp;p=.htm"/>
    <hyperlink ref="C116" r:id="rId336"/>
    <hyperlink ref="D116" r:id="rId337"/>
    <hyperlink ref="I116" r:id="rId338" display="http://www.boxofficemojo.com/schedule/?view=bydate&amp;release=theatrical&amp;date=2013-01-18&amp;p=.htm"/>
    <hyperlink ref="C117" r:id="rId339"/>
    <hyperlink ref="D117" r:id="rId340"/>
    <hyperlink ref="I117" r:id="rId341" display="http://www.boxofficemojo.com/schedule/?view=bydate&amp;release=theatrical&amp;date=2013-02-14&amp;p=.htm"/>
    <hyperlink ref="C118" r:id="rId342"/>
    <hyperlink ref="D118" r:id="rId343"/>
    <hyperlink ref="I118" r:id="rId344" display="http://www.boxofficemojo.com/schedule/?view=bydate&amp;release=theatrical&amp;date=2013-10-04&amp;p=.htm"/>
    <hyperlink ref="C119" r:id="rId345"/>
    <hyperlink ref="D119" r:id="rId346"/>
    <hyperlink ref="I119" r:id="rId347" display="http://www.boxofficemojo.com/schedule/?view=bydate&amp;release=theatrical&amp;date=2013-08-23&amp;p=.htm"/>
    <hyperlink ref="C120" r:id="rId348"/>
    <hyperlink ref="D120" r:id="rId349"/>
    <hyperlink ref="I120" r:id="rId350" display="http://www.boxofficemojo.com/schedule/?view=bydate&amp;release=theatrical&amp;date=2013-01-11&amp;p=.htm"/>
    <hyperlink ref="C121" r:id="rId351"/>
    <hyperlink ref="D121" r:id="rId352"/>
    <hyperlink ref="I121" r:id="rId353" display="http://www.boxofficemojo.com/schedule/?view=bydate&amp;release=theatrical&amp;date=2013-03-22&amp;p=.htm"/>
    <hyperlink ref="C122" r:id="rId354"/>
    <hyperlink ref="D122" r:id="rId355"/>
    <hyperlink ref="I122" r:id="rId356" display="http://www.boxofficemojo.com/schedule/?view=bydate&amp;release=theatrical&amp;date=2013-11-15&amp;p=.htm"/>
    <hyperlink ref="C123" r:id="rId357"/>
    <hyperlink ref="D123" r:id="rId358"/>
    <hyperlink ref="I123" r:id="rId359" display="http://www.boxofficemojo.com/schedule/?view=bydate&amp;release=theatrical&amp;date=2013-01-25&amp;p=.htm"/>
    <hyperlink ref="C124" r:id="rId360"/>
    <hyperlink ref="D124" r:id="rId361"/>
    <hyperlink ref="I124" r:id="rId362" display="http://www.boxofficemojo.com/schedule/?view=bydate&amp;release=theatrical&amp;date=2013-09-18&amp;p=.htm"/>
    <hyperlink ref="C125" r:id="rId363"/>
    <hyperlink ref="D125" r:id="rId364"/>
    <hyperlink ref="I125" r:id="rId365" display="http://www.boxofficemojo.com/schedule/?view=bydate&amp;release=theatrical&amp;date=2013-02-22&amp;p=.htm"/>
    <hyperlink ref="C126" r:id="rId366"/>
    <hyperlink ref="D126" r:id="rId367"/>
    <hyperlink ref="I126" r:id="rId368" display="http://www.boxofficemojo.com/schedule/?view=bydate&amp;release=theatrical&amp;date=2013-10-25&amp;p=.htm"/>
    <hyperlink ref="C127" r:id="rId369"/>
    <hyperlink ref="D127" r:id="rId370"/>
    <hyperlink ref="I127" r:id="rId371" display="http://www.boxofficemojo.com/schedule/?view=bydate&amp;release=theatrical&amp;date=2013-08-16&amp;p=.htm"/>
    <hyperlink ref="C128" r:id="rId372"/>
    <hyperlink ref="D128" r:id="rId373"/>
    <hyperlink ref="I128" r:id="rId374" display="http://www.boxofficemojo.com/schedule/?view=bydate&amp;release=theatrical&amp;date=2013-07-12&amp;p=.htm"/>
    <hyperlink ref="C129" r:id="rId375"/>
    <hyperlink ref="D129" r:id="rId376"/>
    <hyperlink ref="I129" r:id="rId377" display="http://www.boxofficemojo.com/schedule/?view=bydate&amp;release=theatrical&amp;date=2013-11-01&amp;p=.htm"/>
    <hyperlink ref="C130" r:id="rId378"/>
    <hyperlink ref="D130" r:id="rId379"/>
    <hyperlink ref="I130" r:id="rId380" display="http://www.boxofficemojo.com/schedule/?view=bydate&amp;release=theatrical&amp;date=2013-03-01&amp;p=.htm"/>
    <hyperlink ref="C131" r:id="rId381"/>
    <hyperlink ref="D131" r:id="rId382"/>
    <hyperlink ref="I131" r:id="rId383" display="http://www.boxofficemojo.com/schedule/?view=bydate&amp;release=theatrical&amp;date=2013-03-15&amp;p=.htm"/>
    <hyperlink ref="C132" r:id="rId384"/>
    <hyperlink ref="D132" r:id="rId385"/>
    <hyperlink ref="I132" r:id="rId386" display="http://www.boxofficemojo.com/schedule/?view=bydate&amp;release=theatrical&amp;date=2013-12-06&amp;p=.htm"/>
    <hyperlink ref="C133" r:id="rId387"/>
    <hyperlink ref="D133" r:id="rId388"/>
    <hyperlink ref="I133" r:id="rId389" display="http://www.boxofficemojo.com/schedule/?view=bydate&amp;release=theatrical&amp;date=2013-01-18&amp;p=.htm"/>
    <hyperlink ref="C134" r:id="rId390"/>
    <hyperlink ref="D134" r:id="rId391"/>
    <hyperlink ref="I134" r:id="rId392" display="http://www.boxofficemojo.com/schedule/?view=bydate&amp;release=theatrical&amp;date=2013-12-04&amp;p=.htm"/>
    <hyperlink ref="C135" r:id="rId393"/>
    <hyperlink ref="D135" r:id="rId394"/>
    <hyperlink ref="I135" r:id="rId395" display="http://www.boxofficemojo.com/schedule/?view=bydate&amp;release=theatrical&amp;date=2013-03-08&amp;p=.htm"/>
    <hyperlink ref="C136" r:id="rId396"/>
    <hyperlink ref="D136" r:id="rId397"/>
    <hyperlink ref="I136" r:id="rId398" display="http://www.boxofficemojo.com/schedule/?view=bydate&amp;release=theatrical&amp;date=2013-08-30&amp;p=.htm"/>
    <hyperlink ref="C137" r:id="rId399"/>
    <hyperlink ref="D137" r:id="rId400"/>
    <hyperlink ref="I137" r:id="rId401" display="http://www.boxofficemojo.com/schedule/?view=bydate&amp;release=theatrical&amp;date=2013-02-01&amp;p=.htm"/>
    <hyperlink ref="C138" r:id="rId402"/>
    <hyperlink ref="D138" r:id="rId403"/>
    <hyperlink ref="I138" r:id="rId404" display="http://www.boxofficemojo.com/schedule/?view=bydate&amp;release=theatrical&amp;date=2013-05-10&amp;p=.htm"/>
    <hyperlink ref="C139" r:id="rId405"/>
    <hyperlink ref="D139" r:id="rId406"/>
    <hyperlink ref="I139" r:id="rId407" display="http://www.boxofficemojo.com/schedule/?view=bydate&amp;release=theatrical&amp;date=2013-09-20&amp;p=.htm"/>
    <hyperlink ref="C140" r:id="rId408"/>
    <hyperlink ref="D140" r:id="rId409"/>
    <hyperlink ref="I140" r:id="rId410" display="http://www.boxofficemojo.com/schedule/?view=bydate&amp;release=theatrical&amp;date=2013-01-25&amp;p=.htm"/>
    <hyperlink ref="C141" r:id="rId411"/>
    <hyperlink ref="D141" r:id="rId412"/>
    <hyperlink ref="I141" r:id="rId413" display="http://www.boxofficemojo.com/schedule/?view=bydate&amp;release=theatrical&amp;date=2013-11-29&amp;p=.htm"/>
    <hyperlink ref="C142" r:id="rId414"/>
    <hyperlink ref="D142" r:id="rId415"/>
    <hyperlink ref="I142" r:id="rId416" display="http://www.boxofficemojo.com/schedule/?view=bydate&amp;release=theatrical&amp;date=2013-05-24&amp;p=.htm"/>
    <hyperlink ref="C143" r:id="rId417"/>
    <hyperlink ref="D143" r:id="rId418"/>
    <hyperlink ref="I143" r:id="rId419" display="http://www.boxofficemojo.com/schedule/?view=bydate&amp;release=theatrical&amp;date=2013-12-20&amp;p=.htm"/>
    <hyperlink ref="C144" r:id="rId420"/>
    <hyperlink ref="D144" r:id="rId421"/>
    <hyperlink ref="I144" r:id="rId422" display="http://www.boxofficemojo.com/schedule/?view=bydate&amp;release=theatrical&amp;date=2013-09-13&amp;p=.htm"/>
    <hyperlink ref="C145" r:id="rId423"/>
    <hyperlink ref="D145" r:id="rId424"/>
    <hyperlink ref="I145" r:id="rId425" display="http://www.boxofficemojo.com/schedule/?view=bydate&amp;release=theatrical&amp;date=2013-10-11&amp;p=.htm"/>
    <hyperlink ref="C146" r:id="rId426"/>
    <hyperlink ref="D146" r:id="rId427"/>
    <hyperlink ref="I146" r:id="rId428" display="http://www.boxofficemojo.com/schedule/?view=bydate&amp;release=theatrical&amp;date=2013-11-27&amp;p=.htm"/>
    <hyperlink ref="C147" r:id="rId429"/>
    <hyperlink ref="D147" r:id="rId430"/>
    <hyperlink ref="I147" r:id="rId431" display="http://www.boxofficemojo.com/schedule/?view=bydate&amp;release=theatrical&amp;date=2013-08-16&amp;p=.htm"/>
    <hyperlink ref="C148" r:id="rId432"/>
    <hyperlink ref="D148" r:id="rId433"/>
    <hyperlink ref="I148" r:id="rId434" display="http://www.boxofficemojo.com/schedule/?view=bydate&amp;release=theatrical&amp;date=2013-11-27&amp;p=.htm"/>
    <hyperlink ref="C149" r:id="rId435"/>
    <hyperlink ref="D149" r:id="rId436"/>
    <hyperlink ref="I149" r:id="rId437" display="http://www.boxofficemojo.com/schedule/?view=bydate&amp;release=theatrical&amp;date=2013-08-02&amp;p=.htm"/>
    <hyperlink ref="C150" r:id="rId438"/>
    <hyperlink ref="D150" r:id="rId439"/>
    <hyperlink ref="I150" r:id="rId440" display="http://www.boxofficemojo.com/schedule/?view=bydate&amp;release=theatrical&amp;date=2013-08-23&amp;p=.htm"/>
    <hyperlink ref="C151" r:id="rId441"/>
    <hyperlink ref="D151" r:id="rId442"/>
    <hyperlink ref="I151" r:id="rId443" display="http://www.boxofficemojo.com/schedule/?view=bydate&amp;release=theatrical&amp;date=2013-10-18&amp;p=.htm"/>
    <hyperlink ref="C152" r:id="rId444"/>
    <hyperlink ref="D152" r:id="rId445"/>
    <hyperlink ref="I152" r:id="rId446" display="http://www.boxofficemojo.com/schedule/?view=bydate&amp;release=theatrical&amp;date=2013-12-25&amp;p=.htm"/>
    <hyperlink ref="C153" r:id="rId447"/>
    <hyperlink ref="D153" r:id="rId448"/>
    <hyperlink ref="I153" r:id="rId449" display="http://www.boxofficemojo.com/schedule/?view=bydate&amp;release=theatrical&amp;date=2013-06-14&amp;p=.htm"/>
    <hyperlink ref="C154" r:id="rId450"/>
    <hyperlink ref="D154" r:id="rId451"/>
    <hyperlink ref="I154" r:id="rId452" display="http://www.boxofficemojo.com/schedule/?view=bydate&amp;release=theatrical&amp;date=2013-10-04&amp;p=.htm"/>
    <hyperlink ref="C155" r:id="rId453"/>
    <hyperlink ref="D155" r:id="rId454"/>
    <hyperlink ref="I155" r:id="rId455" display="http://www.boxofficemojo.com/schedule/?view=bydate&amp;release=theatrical&amp;date=2013-08-28&amp;p=.htm"/>
    <hyperlink ref="C156" r:id="rId456"/>
    <hyperlink ref="D156" r:id="rId457"/>
    <hyperlink ref="I156" r:id="rId458" display="http://www.boxofficemojo.com/schedule/?view=bydate&amp;release=theatrical&amp;date=2013-09-20&amp;p=.htm"/>
    <hyperlink ref="C157" r:id="rId459"/>
    <hyperlink ref="D157" r:id="rId460"/>
    <hyperlink ref="I157" r:id="rId461" display="http://www.boxofficemojo.com/schedule/?view=bydate&amp;release=theatrical&amp;date=2013-08-08&amp;p=.htm"/>
    <hyperlink ref="C158" r:id="rId462"/>
    <hyperlink ref="D158" r:id="rId463"/>
    <hyperlink ref="I158" r:id="rId464" display="http://www.boxofficemojo.com/schedule/?view=bydate&amp;release=theatrical&amp;date=2013-04-05&amp;p=.htm"/>
    <hyperlink ref="C159" r:id="rId465"/>
    <hyperlink ref="D159" r:id="rId466"/>
    <hyperlink ref="I159" r:id="rId467" display="http://www.boxofficemojo.com/schedule/?view=bydate&amp;release=theatrical&amp;date=2013-06-14&amp;p=.htm"/>
    <hyperlink ref="C160" r:id="rId468"/>
    <hyperlink ref="D160" r:id="rId469"/>
    <hyperlink ref="I160" r:id="rId470" display="http://www.boxofficemojo.com/schedule/?view=bydate&amp;release=theatrical&amp;date=2013-06-07&amp;p=.htm"/>
    <hyperlink ref="C161" r:id="rId471"/>
    <hyperlink ref="D161" r:id="rId472"/>
    <hyperlink ref="I161" r:id="rId473" display="http://www.boxofficemojo.com/schedule/?view=bydate&amp;release=theatrical&amp;date=2013-05-17&amp;p=.htm"/>
    <hyperlink ref="C162" r:id="rId474"/>
    <hyperlink ref="D162" r:id="rId475"/>
    <hyperlink ref="I162" r:id="rId476" display="http://www.boxofficemojo.com/schedule/?view=bydate&amp;release=theatrical&amp;date=2013-05-31&amp;p=.htm"/>
    <hyperlink ref="C163" r:id="rId477"/>
    <hyperlink ref="D163" r:id="rId478"/>
    <hyperlink ref="I163" r:id="rId479" display="http://www.boxofficemojo.com/schedule/?view=bydate&amp;release=theatrical&amp;date=2013-07-26&amp;p=.htm"/>
    <hyperlink ref="C164" r:id="rId480"/>
    <hyperlink ref="D164" r:id="rId481"/>
    <hyperlink ref="I164" r:id="rId482" display="http://www.boxofficemojo.com/schedule/?view=bydate&amp;release=theatrical&amp;date=2013-09-27&amp;p=.htm"/>
    <hyperlink ref="C165" r:id="rId483"/>
    <hyperlink ref="D165" r:id="rId484"/>
    <hyperlink ref="I165" r:id="rId485" display="http://www.boxofficemojo.com/schedule/?view=bydate&amp;release=theatrical&amp;date=2013-03-08&amp;p=.htm"/>
    <hyperlink ref="C166" r:id="rId486"/>
    <hyperlink ref="D166" r:id="rId487"/>
    <hyperlink ref="I166" r:id="rId488" display="http://www.boxofficemojo.com/schedule/?view=bydate&amp;release=theatrical&amp;date=2013-02-01&amp;p=.htm"/>
    <hyperlink ref="C167" r:id="rId489"/>
    <hyperlink ref="D167" r:id="rId490"/>
    <hyperlink ref="I167" r:id="rId491" display="http://www.boxofficemojo.com/schedule/?view=bydate&amp;release=theatrical&amp;date=2013-10-18&amp;p=.htm"/>
    <hyperlink ref="C168" r:id="rId492"/>
    <hyperlink ref="D168" r:id="rId493"/>
    <hyperlink ref="I168" r:id="rId494" display="http://www.boxofficemojo.com/schedule/?view=bydate&amp;release=theatrical&amp;date=2013-02-08&amp;p=.htm"/>
    <hyperlink ref="C169" r:id="rId495"/>
    <hyperlink ref="D169" r:id="rId496"/>
    <hyperlink ref="I169" r:id="rId497" display="http://www.boxofficemojo.com/schedule/?view=bydate&amp;release=theatrical&amp;date=2013-08-09&amp;p=.htm"/>
    <hyperlink ref="C170" r:id="rId498"/>
    <hyperlink ref="D170" r:id="rId499"/>
    <hyperlink ref="I170" r:id="rId500" display="http://www.boxofficemojo.com/schedule/?view=bydate&amp;release=theatrical&amp;date=2013-04-19&amp;p=.htm"/>
    <hyperlink ref="C171" r:id="rId501"/>
    <hyperlink ref="D171" r:id="rId502"/>
    <hyperlink ref="I171" r:id="rId503" display="http://www.boxofficemojo.com/schedule/?view=bydate&amp;release=theatrical&amp;date=2013-11-15&amp;p=.htm"/>
    <hyperlink ref="C172" r:id="rId504"/>
    <hyperlink ref="D172" r:id="rId505"/>
    <hyperlink ref="I172" r:id="rId506" display="http://www.boxofficemojo.com/schedule/?view=bydate&amp;release=theatrical&amp;date=2013-04-19&amp;p=.htm"/>
    <hyperlink ref="C173" r:id="rId507"/>
    <hyperlink ref="D173" r:id="rId508"/>
    <hyperlink ref="I173" r:id="rId509" display="http://www.boxofficemojo.com/schedule/?view=bydate&amp;release=theatrical&amp;date=2013-11-15&amp;p=.htm"/>
    <hyperlink ref="C174" r:id="rId510"/>
    <hyperlink ref="D174" r:id="rId511"/>
    <hyperlink ref="I174" r:id="rId512" display="http://www.boxofficemojo.com/schedule/?view=bydate&amp;release=theatrical&amp;date=2013-10-04&amp;p=.htm"/>
    <hyperlink ref="C175" r:id="rId513"/>
    <hyperlink ref="D175" r:id="rId514"/>
    <hyperlink ref="I175" r:id="rId515" display="http://www.boxofficemojo.com/schedule/?view=bydate&amp;release=theatrical&amp;date=2013-03-22&amp;p=.htm"/>
    <hyperlink ref="C176" r:id="rId516"/>
    <hyperlink ref="D176" r:id="rId517"/>
    <hyperlink ref="I176" r:id="rId518" display="http://www.boxofficemojo.com/schedule/?view=bydate&amp;release=theatrical&amp;date=2013-02-01&amp;p=.htm"/>
    <hyperlink ref="C177" r:id="rId519"/>
    <hyperlink ref="D177" r:id="rId520"/>
    <hyperlink ref="I177" r:id="rId521" display="http://www.boxofficemojo.com/schedule/?view=bydate&amp;release=theatrical&amp;date=2013-10-18&amp;p=.htm"/>
    <hyperlink ref="C178" r:id="rId522"/>
    <hyperlink ref="D178" r:id="rId523"/>
    <hyperlink ref="I178" r:id="rId524" display="http://www.boxofficemojo.com/schedule/?view=bydate&amp;release=theatrical&amp;date=2013-02-15&amp;p=.htm"/>
    <hyperlink ref="C179" r:id="rId525"/>
    <hyperlink ref="D179" r:id="rId526"/>
    <hyperlink ref="I179" r:id="rId527" display="http://www.boxofficemojo.com/schedule/?view=bydate&amp;release=theatrical&amp;date=2013-04-05&amp;p=.htm"/>
    <hyperlink ref="C180" r:id="rId528"/>
    <hyperlink ref="D180" r:id="rId529"/>
    <hyperlink ref="I180" r:id="rId530" display="http://www.boxofficemojo.com/schedule/?view=bydate&amp;release=theatrical&amp;date=2013-05-31&amp;p=.htm"/>
    <hyperlink ref="C181" r:id="rId531"/>
    <hyperlink ref="D181" r:id="rId532"/>
    <hyperlink ref="I181" r:id="rId533" display="http://www.boxofficemojo.com/schedule/?view=bydate&amp;release=theatrical&amp;date=2013-03-29&amp;p=.htm"/>
    <hyperlink ref="C182" r:id="rId534"/>
    <hyperlink ref="D182" r:id="rId535"/>
    <hyperlink ref="I182" r:id="rId536" display="http://www.boxofficemojo.com/schedule/?view=bydate&amp;release=theatrical&amp;date=2013-11-15&amp;p=.htm"/>
    <hyperlink ref="C183" r:id="rId537"/>
    <hyperlink ref="D183" r:id="rId538"/>
    <hyperlink ref="I183" r:id="rId539" display="http://www.boxofficemojo.com/schedule/?view=bydate&amp;release=theatrical&amp;date=2013-10-25&amp;p=.htm"/>
    <hyperlink ref="C184" r:id="rId540"/>
    <hyperlink ref="D184" r:id="rId541"/>
    <hyperlink ref="I184" r:id="rId542" display="http://www.boxofficemojo.com/schedule/?view=bydate&amp;release=theatrical&amp;date=2013-11-27&amp;p=.htm"/>
    <hyperlink ref="C185" r:id="rId543"/>
    <hyperlink ref="D185" r:id="rId544"/>
    <hyperlink ref="I185" r:id="rId545" display="http://www.boxofficemojo.com/schedule/?view=bydate&amp;release=theatrical&amp;date=2013-11-01&amp;p=.htm"/>
    <hyperlink ref="C186" r:id="rId546"/>
    <hyperlink ref="D186" r:id="rId547"/>
    <hyperlink ref="I186" r:id="rId548" display="http://www.boxofficemojo.com/schedule/?view=bydate&amp;release=theatrical&amp;date=2013-08-16&amp;p=.htm"/>
    <hyperlink ref="C187" r:id="rId549"/>
    <hyperlink ref="D187" r:id="rId550"/>
    <hyperlink ref="I187" r:id="rId551" display="http://www.boxofficemojo.com/schedule/?view=bydate&amp;release=theatrical&amp;date=2013-10-09&amp;p=.htm"/>
    <hyperlink ref="C188" r:id="rId552"/>
    <hyperlink ref="D188" r:id="rId553"/>
    <hyperlink ref="I188" r:id="rId554" display="http://www.boxofficemojo.com/schedule/?view=bydate&amp;release=theatrical&amp;date=2013-02-01&amp;p=.htm"/>
    <hyperlink ref="C189" r:id="rId555"/>
    <hyperlink ref="D189" r:id="rId556"/>
    <hyperlink ref="I189" r:id="rId557" display="http://www.boxofficemojo.com/schedule/?view=bydate&amp;release=theatrical&amp;date=2013-07-19&amp;p=.htm"/>
    <hyperlink ref="C190" r:id="rId558"/>
    <hyperlink ref="D190" r:id="rId559"/>
    <hyperlink ref="I190" r:id="rId560" display="http://www.boxofficemojo.com/schedule/?view=bydate&amp;release=theatrical&amp;date=2013-05-03&amp;p=.htm"/>
    <hyperlink ref="C191" r:id="rId561"/>
    <hyperlink ref="D191" r:id="rId562"/>
    <hyperlink ref="I191" r:id="rId563" display="http://www.boxofficemojo.com/schedule/?view=bydate&amp;release=theatrical&amp;date=2013-05-24&amp;p=.htm"/>
    <hyperlink ref="C192" r:id="rId564"/>
    <hyperlink ref="D192" r:id="rId565"/>
    <hyperlink ref="I192" r:id="rId566" display="http://www.boxofficemojo.com/schedule/?view=bydate&amp;release=theatrical&amp;date=2013-03-07&amp;p=.htm"/>
    <hyperlink ref="C193" r:id="rId567"/>
    <hyperlink ref="D193" r:id="rId568"/>
    <hyperlink ref="I193" r:id="rId569" display="http://www.boxofficemojo.com/schedule/?view=bydate&amp;release=theatrical&amp;date=2013-06-21&amp;p=.htm"/>
    <hyperlink ref="C194" r:id="rId570"/>
    <hyperlink ref="D194" r:id="rId571"/>
    <hyperlink ref="I194" r:id="rId572" display="http://www.boxofficemojo.com/schedule/?view=bydate&amp;release=theatrical&amp;date=2013-03-01&amp;p=.htm"/>
    <hyperlink ref="C195" r:id="rId573"/>
    <hyperlink ref="D195" r:id="rId574"/>
    <hyperlink ref="I195" r:id="rId575" display="http://www.boxofficemojo.com/schedule/?view=bydate&amp;release=theatrical&amp;date=2013-06-21&amp;p=.htm"/>
    <hyperlink ref="C196" r:id="rId576"/>
    <hyperlink ref="D196" r:id="rId577"/>
    <hyperlink ref="I196" r:id="rId578" display="http://www.boxofficemojo.com/schedule/?view=bydate&amp;release=theatrical&amp;date=2013-07-12&amp;p=.htm"/>
    <hyperlink ref="C197" r:id="rId579"/>
    <hyperlink ref="D197" r:id="rId580"/>
    <hyperlink ref="I197" r:id="rId581" display="http://www.boxofficemojo.com/schedule/?view=bydate&amp;release=theatrical&amp;date=2013-05-03&amp;p=.htm"/>
    <hyperlink ref="C198" r:id="rId582"/>
    <hyperlink ref="D198" r:id="rId583"/>
    <hyperlink ref="I198" r:id="rId584" display="http://www.boxofficemojo.com/schedule/?view=bydate&amp;release=theatrical&amp;date=2013-05-10&amp;p=.htm"/>
    <hyperlink ref="C199" r:id="rId585"/>
    <hyperlink ref="D199" r:id="rId586"/>
    <hyperlink ref="I199" r:id="rId587" display="http://www.boxofficemojo.com/schedule/?view=bydate&amp;release=theatrical&amp;date=2013-01-25&amp;p=.htm"/>
    <hyperlink ref="C200" r:id="rId588"/>
    <hyperlink ref="D200" r:id="rId589"/>
    <hyperlink ref="I200" r:id="rId590" display="http://www.boxofficemojo.com/schedule/?view=bydate&amp;release=theatrical&amp;date=2013-02-22&amp;p=.htm"/>
    <hyperlink ref="C201" r:id="rId591"/>
    <hyperlink ref="D201" r:id="rId592"/>
    <hyperlink ref="I201" r:id="rId593" display="http://www.boxofficemojo.com/schedule/?view=bydate&amp;release=theatrical&amp;date=2013-04-26&amp;p=.htm"/>
    <hyperlink ref="C202" r:id="rId594"/>
    <hyperlink ref="D202" r:id="rId595"/>
    <hyperlink ref="I202" r:id="rId596" display="http://www.boxofficemojo.com/schedule/?view=bydate&amp;release=theatrical&amp;date=2013-04-12&amp;p=.htm"/>
    <hyperlink ref="C203" r:id="rId597"/>
    <hyperlink ref="D203" r:id="rId598"/>
    <hyperlink ref="I203" r:id="rId599" display="http://www.boxofficemojo.com/schedule/?view=bydate&amp;release=theatrical&amp;date=2013-07-19&amp;p=.htm"/>
    <hyperlink ref="C204" r:id="rId600"/>
    <hyperlink ref="D204" r:id="rId601"/>
    <hyperlink ref="I204" r:id="rId602" display="http://www.boxofficemojo.com/schedule/?view=bydate&amp;release=theatrical&amp;date=2013-06-28&amp;p=.htm"/>
    <hyperlink ref="C205" r:id="rId603"/>
    <hyperlink ref="D205" r:id="rId604"/>
    <hyperlink ref="I205" r:id="rId605" display="http://www.boxofficemojo.com/schedule/?view=bydate&amp;release=theatrical&amp;date=2013-09-13&amp;p=.htm"/>
    <hyperlink ref="C206" r:id="rId606"/>
    <hyperlink ref="D206" r:id="rId607"/>
    <hyperlink ref="I206" r:id="rId608" display="http://www.boxofficemojo.com/schedule/?view=bydate&amp;release=theatrical&amp;date=2013-12-20&amp;p=.htm"/>
    <hyperlink ref="C207" r:id="rId609"/>
    <hyperlink ref="D207" r:id="rId610"/>
    <hyperlink ref="I207" r:id="rId611" display="http://www.boxofficemojo.com/schedule/?view=bydate&amp;release=theatrical&amp;date=2013-09-06&amp;p=.htm"/>
    <hyperlink ref="C208" r:id="rId612"/>
    <hyperlink ref="D208" r:id="rId613"/>
    <hyperlink ref="I208" r:id="rId614" display="http://www.boxofficemojo.com/schedule/?view=bydate&amp;release=theatrical&amp;date=2013-05-31&amp;p=.htm"/>
    <hyperlink ref="C209" r:id="rId615"/>
    <hyperlink ref="D209" r:id="rId616"/>
    <hyperlink ref="I209" r:id="rId617" display="http://www.boxofficemojo.com/schedule/?view=bydate&amp;release=theatrical&amp;date=2013-12-25&amp;p=.htm"/>
    <hyperlink ref="C210" r:id="rId618"/>
    <hyperlink ref="D210" r:id="rId619"/>
    <hyperlink ref="I210" r:id="rId620" display="http://www.boxofficemojo.com/schedule/?view=bydate&amp;release=theatrical&amp;date=2013-09-27&amp;p=.htm"/>
    <hyperlink ref="C211" r:id="rId621"/>
    <hyperlink ref="D211" r:id="rId622"/>
    <hyperlink ref="I211" r:id="rId623" display="http://www.boxofficemojo.com/schedule/?view=bydate&amp;release=theatrical&amp;date=2013-04-19&amp;p=.htm"/>
    <hyperlink ref="C212" r:id="rId624"/>
    <hyperlink ref="D212" r:id="rId625"/>
    <hyperlink ref="I212" r:id="rId626" display="http://www.boxofficemojo.com/schedule/?view=bydate&amp;release=theatrical&amp;date=2013-10-11&amp;p=.htm"/>
    <hyperlink ref="C213" r:id="rId627"/>
    <hyperlink ref="D213" r:id="rId628"/>
    <hyperlink ref="I213" r:id="rId629" display="http://www.boxofficemojo.com/schedule/?view=bydate&amp;release=theatrical&amp;date=2013-05-03&amp;p=.htm"/>
    <hyperlink ref="C214" r:id="rId630"/>
    <hyperlink ref="D214" r:id="rId631"/>
    <hyperlink ref="I214" r:id="rId632" display="http://www.boxofficemojo.com/schedule/?view=bydate&amp;release=theatrical&amp;date=2013-02-22&amp;p=.htm"/>
    <hyperlink ref="C215" r:id="rId633"/>
    <hyperlink ref="D215" r:id="rId634"/>
    <hyperlink ref="I215" r:id="rId635" display="http://www.boxofficemojo.com/schedule/?view=bydate&amp;release=theatrical&amp;date=2013-05-03&amp;p=.htm"/>
    <hyperlink ref="C216" r:id="rId636"/>
    <hyperlink ref="D216" r:id="rId637"/>
    <hyperlink ref="I216" r:id="rId638" display="http://www.boxofficemojo.com/schedule/?view=bydate&amp;release=theatrical&amp;date=2013-09-20&amp;p=.htm"/>
    <hyperlink ref="C217" r:id="rId639"/>
    <hyperlink ref="D217" r:id="rId640"/>
    <hyperlink ref="I217" r:id="rId641" display="http://www.boxofficemojo.com/schedule/?view=bydate&amp;release=theatrical&amp;date=2013-03-01&amp;p=.htm"/>
    <hyperlink ref="C218" r:id="rId642"/>
    <hyperlink ref="D218" r:id="rId643"/>
    <hyperlink ref="I218" r:id="rId644" display="http://www.boxofficemojo.com/schedule/?view=bydate&amp;release=theatrical&amp;date=2013-10-16&amp;p=.htm"/>
    <hyperlink ref="C219" r:id="rId645"/>
    <hyperlink ref="D219" r:id="rId646"/>
    <hyperlink ref="I219" r:id="rId647" display="http://www.boxofficemojo.com/schedule/?view=bydate&amp;release=theatrical&amp;date=2013-08-23&amp;p=.htm"/>
    <hyperlink ref="C220" r:id="rId648"/>
    <hyperlink ref="D220" r:id="rId649"/>
    <hyperlink ref="I220" r:id="rId650" display="http://www.boxofficemojo.com/schedule/?view=bydate&amp;release=theatrical&amp;date=2013-03-15&amp;p=.htm"/>
    <hyperlink ref="C221" r:id="rId651"/>
    <hyperlink ref="D221" r:id="rId652"/>
    <hyperlink ref="I221" r:id="rId653" display="http://www.boxofficemojo.com/schedule/?view=bydate&amp;release=theatrical&amp;date=2013-03-15&amp;p=.htm"/>
    <hyperlink ref="C222" r:id="rId654"/>
    <hyperlink ref="D222" r:id="rId655"/>
    <hyperlink ref="I222" r:id="rId656" display="http://www.boxofficemojo.com/schedule/?view=bydate&amp;release=theatrical&amp;date=2013-02-08&amp;p=.htm"/>
    <hyperlink ref="C223" r:id="rId657"/>
    <hyperlink ref="D223" r:id="rId658"/>
    <hyperlink ref="I223" r:id="rId659" display="http://www.boxofficemojo.com/schedule/?view=bydate&amp;release=theatrical&amp;date=2013-06-21&amp;p=.htm"/>
    <hyperlink ref="C224" r:id="rId660"/>
    <hyperlink ref="D224" r:id="rId661"/>
    <hyperlink ref="I224" r:id="rId662" display="http://www.boxofficemojo.com/schedule/?view=bydate&amp;release=theatrical&amp;date=2013-09-27&amp;p=.htm"/>
    <hyperlink ref="C225" r:id="rId663"/>
    <hyperlink ref="D225" r:id="rId664"/>
    <hyperlink ref="I225" r:id="rId665" display="http://www.boxofficemojo.com/schedule/?view=bydate&amp;release=theatrical&amp;date=2013-09-20&amp;p=.htm"/>
    <hyperlink ref="C226" r:id="rId666"/>
    <hyperlink ref="D226" r:id="rId667"/>
    <hyperlink ref="I226" r:id="rId668" display="http://www.boxofficemojo.com/schedule/?view=bydate&amp;release=theatrical&amp;date=2013-07-19&amp;p=.htm"/>
    <hyperlink ref="C227" r:id="rId669"/>
    <hyperlink ref="D227" r:id="rId670"/>
    <hyperlink ref="I227" r:id="rId671" display="http://www.boxofficemojo.com/schedule/?view=bydate&amp;release=theatrical&amp;date=2013-08-30&amp;p=.htm"/>
    <hyperlink ref="C228" r:id="rId672"/>
    <hyperlink ref="D228" r:id="rId673"/>
    <hyperlink ref="I228" r:id="rId674" display="http://www.boxofficemojo.com/schedule/?view=bydate&amp;release=theatrical&amp;date=2013-05-29&amp;p=.htm"/>
    <hyperlink ref="C229" r:id="rId675"/>
    <hyperlink ref="D229" r:id="rId676"/>
    <hyperlink ref="I229" r:id="rId677" display="http://www.boxofficemojo.com/schedule/?view=bydate&amp;release=theatrical&amp;date=2013-01-04&amp;p=.htm"/>
    <hyperlink ref="C230" r:id="rId678"/>
    <hyperlink ref="D230" r:id="rId679"/>
    <hyperlink ref="I230" r:id="rId680" display="http://www.boxofficemojo.com/schedule/?view=bydate&amp;release=theatrical&amp;date=2013-09-27&amp;p=.htm"/>
    <hyperlink ref="C231" r:id="rId681"/>
    <hyperlink ref="D231" r:id="rId682"/>
    <hyperlink ref="I231" r:id="rId683" display="http://www.boxofficemojo.com/schedule/?view=bydate&amp;release=theatrical&amp;date=2013-10-02&amp;p=.htm"/>
    <hyperlink ref="C232" r:id="rId684"/>
    <hyperlink ref="D232" r:id="rId685"/>
    <hyperlink ref="I232" r:id="rId686" display="http://www.boxofficemojo.com/schedule/?view=bydate&amp;release=theatrical&amp;date=2013-02-15&amp;p=.htm"/>
    <hyperlink ref="C233" r:id="rId687"/>
    <hyperlink ref="D233" r:id="rId688"/>
    <hyperlink ref="I233" r:id="rId689" display="http://www.boxofficemojo.com/schedule/?view=bydate&amp;release=theatrical&amp;date=2013-10-04&amp;p=.htm"/>
    <hyperlink ref="C234" r:id="rId690"/>
    <hyperlink ref="D234" r:id="rId691"/>
    <hyperlink ref="I234" r:id="rId692" display="http://www.boxofficemojo.com/schedule/?view=bydate&amp;release=theatrical&amp;date=2013-07-12&amp;p=.htm"/>
    <hyperlink ref="C235" r:id="rId693"/>
    <hyperlink ref="D235" r:id="rId694"/>
    <hyperlink ref="I235" r:id="rId695" display="http://www.boxofficemojo.com/schedule/?view=bydate&amp;release=theatrical&amp;date=2013-09-06&amp;p=.htm"/>
    <hyperlink ref="C236" r:id="rId696"/>
    <hyperlink ref="D236" r:id="rId697"/>
    <hyperlink ref="I236" r:id="rId698" display="http://www.boxofficemojo.com/schedule/?view=bydate&amp;release=theatrical&amp;date=2013-04-12&amp;p=.htm"/>
    <hyperlink ref="C237" r:id="rId699"/>
    <hyperlink ref="D237" r:id="rId700"/>
    <hyperlink ref="I237" r:id="rId701" display="http://www.boxofficemojo.com/schedule/?view=bydate&amp;release=theatrical&amp;date=2013-09-06&amp;p=.htm"/>
    <hyperlink ref="C238" r:id="rId702"/>
    <hyperlink ref="D238" r:id="rId703"/>
    <hyperlink ref="I238" r:id="rId704" display="http://www.boxofficemojo.com/schedule/?view=bydate&amp;release=theatrical&amp;date=2013-07-03&amp;p=.htm"/>
    <hyperlink ref="C239" r:id="rId705"/>
    <hyperlink ref="D239" r:id="rId706"/>
    <hyperlink ref="I239" r:id="rId707" display="http://www.boxofficemojo.com/schedule/?view=bydate&amp;release=theatrical&amp;date=2013-06-28&amp;p=.htm"/>
    <hyperlink ref="C240" r:id="rId708"/>
    <hyperlink ref="D240" r:id="rId709"/>
    <hyperlink ref="I240" r:id="rId710" display="http://www.boxofficemojo.com/schedule/?view=bydate&amp;release=theatrical&amp;date=2013-04-26&amp;p=.htm"/>
    <hyperlink ref="C241" r:id="rId711"/>
    <hyperlink ref="D241" r:id="rId712"/>
    <hyperlink ref="I241" r:id="rId713" display="http://www.boxofficemojo.com/schedule/?view=bydate&amp;release=theatrical&amp;date=2013-03-01&amp;p=.htm"/>
    <hyperlink ref="C242" r:id="rId714"/>
    <hyperlink ref="D242" r:id="rId715"/>
    <hyperlink ref="I242" r:id="rId716" display="http://www.boxofficemojo.com/schedule/?view=bydate&amp;release=theatrical&amp;date=2013-05-03&amp;p=.htm"/>
    <hyperlink ref="C243" r:id="rId717"/>
    <hyperlink ref="D243" r:id="rId718"/>
    <hyperlink ref="I243" r:id="rId719" display="http://www.boxofficemojo.com/schedule/?view=bydate&amp;release=theatrical&amp;date=2013-10-04&amp;p=.htm"/>
    <hyperlink ref="C244" r:id="rId720"/>
    <hyperlink ref="D244" r:id="rId721"/>
    <hyperlink ref="I244" r:id="rId722" display="http://www.boxofficemojo.com/schedule/?view=bydate&amp;release=theatrical&amp;date=2013-10-11&amp;p=.htm"/>
    <hyperlink ref="C245" r:id="rId723"/>
    <hyperlink ref="D245" r:id="rId724"/>
    <hyperlink ref="I245" r:id="rId725" display="http://www.boxofficemojo.com/schedule/?view=bydate&amp;release=theatrical&amp;date=2013-07-19&amp;p=.htm"/>
    <hyperlink ref="C246" r:id="rId726"/>
    <hyperlink ref="D246" r:id="rId727"/>
    <hyperlink ref="I246" r:id="rId728" display="http://www.boxofficemojo.com/schedule/?view=bydate&amp;release=theatrical&amp;date=2013-03-22&amp;p=.htm"/>
    <hyperlink ref="C247" r:id="rId729"/>
    <hyperlink ref="D247" r:id="rId730"/>
    <hyperlink ref="I247" r:id="rId731" display="http://www.boxofficemojo.com/schedule/?view=bydate&amp;release=theatrical&amp;date=2013-04-05&amp;p=.htm"/>
    <hyperlink ref="C248" r:id="rId732"/>
    <hyperlink ref="D248" r:id="rId733"/>
    <hyperlink ref="I248" r:id="rId734" display="http://www.boxofficemojo.com/schedule/?view=bydate&amp;release=theatrical&amp;date=2013-02-01&amp;p=.htm"/>
    <hyperlink ref="C249" r:id="rId735"/>
    <hyperlink ref="D249" r:id="rId736"/>
    <hyperlink ref="I249" r:id="rId737" display="http://www.boxofficemojo.com/schedule/?view=bydate&amp;release=theatrical&amp;date=2013-06-21&amp;p=.htm"/>
    <hyperlink ref="C250" r:id="rId738"/>
    <hyperlink ref="D250" r:id="rId739"/>
    <hyperlink ref="I250" r:id="rId740" display="http://www.boxofficemojo.com/schedule/?view=bydate&amp;release=theatrical&amp;date=2013-09-13&amp;p=.htm"/>
    <hyperlink ref="C251" r:id="rId741"/>
    <hyperlink ref="D251" r:id="rId742"/>
    <hyperlink ref="I251" r:id="rId743" display="http://www.boxofficemojo.com/schedule/?view=bydate&amp;release=theatrical&amp;date=2013-09-20&amp;p=.htm"/>
    <hyperlink ref="C252" r:id="rId744"/>
    <hyperlink ref="D252" r:id="rId745"/>
    <hyperlink ref="I252" r:id="rId746" display="http://www.boxofficemojo.com/schedule/?view=bydate&amp;release=theatrical&amp;date=2013-08-16&amp;p=.htm"/>
    <hyperlink ref="C253" r:id="rId747"/>
    <hyperlink ref="D253" r:id="rId748"/>
    <hyperlink ref="I253" r:id="rId749" display="http://www.boxofficemojo.com/schedule/?view=bydate&amp;release=theatrical&amp;date=2013-04-19&amp;p=.htm"/>
    <hyperlink ref="C254" r:id="rId750"/>
    <hyperlink ref="D254" r:id="rId751"/>
    <hyperlink ref="I254" r:id="rId752" display="http://www.boxofficemojo.com/schedule/?view=bydate&amp;release=theatrical&amp;date=2013-06-07&amp;p=.htm"/>
    <hyperlink ref="C255" r:id="rId753"/>
    <hyperlink ref="D255" r:id="rId754"/>
    <hyperlink ref="I255" r:id="rId755" display="http://www.boxofficemojo.com/schedule/?view=bydate&amp;release=theatrical&amp;date=2013-11-08&amp;p=.htm"/>
    <hyperlink ref="C256" r:id="rId756"/>
    <hyperlink ref="D256" r:id="rId757"/>
    <hyperlink ref="I256" r:id="rId758" display="http://www.boxofficemojo.com/schedule/?view=bydate&amp;release=theatrical&amp;date=2013-04-24&amp;p=.htm"/>
    <hyperlink ref="C257" r:id="rId759"/>
    <hyperlink ref="D257" r:id="rId760"/>
    <hyperlink ref="I257" r:id="rId761" display="http://www.boxofficemojo.com/schedule/?view=bydate&amp;release=theatrical&amp;date=2013-12-20&amp;p=.htm"/>
    <hyperlink ref="C258" r:id="rId762"/>
    <hyperlink ref="D258" r:id="rId763"/>
    <hyperlink ref="I258" r:id="rId764" display="http://www.boxofficemojo.com/schedule/?view=bydate&amp;release=theatrical&amp;date=2013-12-03&amp;p=.htm"/>
    <hyperlink ref="C259" r:id="rId765"/>
    <hyperlink ref="D259" r:id="rId766"/>
    <hyperlink ref="I259" r:id="rId767" display="http://www.boxofficemojo.com/schedule/?view=bydate&amp;release=theatrical&amp;date=2013-03-01&amp;p=.htm"/>
    <hyperlink ref="C260" r:id="rId768"/>
    <hyperlink ref="D260" r:id="rId769"/>
    <hyperlink ref="I260" r:id="rId770" display="http://www.boxofficemojo.com/schedule/?view=bydate&amp;release=theatrical&amp;date=2013-05-03&amp;p=.htm"/>
    <hyperlink ref="C261" r:id="rId771"/>
    <hyperlink ref="D261" r:id="rId772"/>
    <hyperlink ref="I261" r:id="rId773" display="http://www.boxofficemojo.com/schedule/?view=bydate&amp;release=theatrical&amp;date=2013-07-31&amp;p=.htm"/>
    <hyperlink ref="C262" r:id="rId774"/>
    <hyperlink ref="D262" r:id="rId775"/>
    <hyperlink ref="I262" r:id="rId776" display="http://www.boxofficemojo.com/schedule/?view=bydate&amp;release=theatrical&amp;date=2013-08-09&amp;p=.htm"/>
    <hyperlink ref="C263" r:id="rId777"/>
    <hyperlink ref="D263" r:id="rId778"/>
    <hyperlink ref="I263" r:id="rId779" display="http://www.boxofficemojo.com/schedule/?view=bydate&amp;release=theatrical&amp;date=2013-04-12&amp;p=.htm"/>
    <hyperlink ref="C264" r:id="rId780"/>
    <hyperlink ref="D264" r:id="rId781"/>
    <hyperlink ref="I264" r:id="rId782" display="http://www.boxofficemojo.com/schedule/?view=bydate&amp;release=theatrical&amp;date=2013-08-23&amp;p=.htm"/>
    <hyperlink ref="C265" r:id="rId783"/>
    <hyperlink ref="D265" r:id="rId784"/>
    <hyperlink ref="I265" r:id="rId785" display="http://www.boxofficemojo.com/schedule/?view=bydate&amp;release=theatrical&amp;date=2013-02-01&amp;p=.htm"/>
    <hyperlink ref="C266" r:id="rId786"/>
    <hyperlink ref="D266" r:id="rId787"/>
    <hyperlink ref="I266" r:id="rId788" display="http://www.boxofficemojo.com/schedule/?view=bydate&amp;release=theatrical&amp;date=2013-10-07&amp;p=.htm"/>
    <hyperlink ref="C267" r:id="rId789"/>
    <hyperlink ref="D267" r:id="rId790"/>
    <hyperlink ref="I267" r:id="rId791" display="http://www.boxofficemojo.com/schedule/?view=bydate&amp;release=theatrical&amp;date=2013-11-22&amp;p=.htm"/>
    <hyperlink ref="C268" r:id="rId792"/>
    <hyperlink ref="D268" r:id="rId793"/>
    <hyperlink ref="I268" r:id="rId794" display="http://www.boxofficemojo.com/schedule/?view=bydate&amp;release=theatrical&amp;date=2013-03-22&amp;p=.htm"/>
    <hyperlink ref="C269" r:id="rId795"/>
    <hyperlink ref="D269" r:id="rId796"/>
    <hyperlink ref="I269" r:id="rId797" display="http://www.boxofficemojo.com/schedule/?view=bydate&amp;release=theatrical&amp;date=2013-01-25&amp;p=.htm"/>
    <hyperlink ref="C270" r:id="rId798"/>
    <hyperlink ref="D270" r:id="rId799"/>
    <hyperlink ref="I270" r:id="rId800" display="http://www.boxofficemojo.com/schedule/?view=bydate&amp;release=theatrical&amp;date=2013-11-01&amp;p=.htm"/>
    <hyperlink ref="C271" r:id="rId801"/>
    <hyperlink ref="D271" r:id="rId802"/>
    <hyperlink ref="I271" r:id="rId803" display="http://www.boxofficemojo.com/schedule/?view=bydate&amp;release=theatrical&amp;date=2013-02-22&amp;p=.htm"/>
    <hyperlink ref="C272" r:id="rId804"/>
    <hyperlink ref="D272" r:id="rId805"/>
    <hyperlink ref="I272" r:id="rId806" display="http://www.boxofficemojo.com/schedule/?view=bydate&amp;release=theatrical&amp;date=2013-09-06&amp;p=.htm"/>
    <hyperlink ref="C273" r:id="rId807"/>
    <hyperlink ref="D273" r:id="rId808"/>
    <hyperlink ref="I273" r:id="rId809" display="http://www.boxofficemojo.com/schedule/?view=bydate&amp;release=theatrical&amp;date=2013-04-12&amp;p=.htm"/>
    <hyperlink ref="C274" r:id="rId810"/>
    <hyperlink ref="D274" r:id="rId811"/>
    <hyperlink ref="I274" r:id="rId812" display="http://www.boxofficemojo.com/schedule/?view=bydate&amp;release=theatrical&amp;date=2013-10-04&amp;p=.htm"/>
    <hyperlink ref="C275" r:id="rId813"/>
    <hyperlink ref="D275" r:id="rId814"/>
    <hyperlink ref="I275" r:id="rId815" display="http://www.boxofficemojo.com/schedule/?view=bydate&amp;release=theatrical&amp;date=2013-05-10&amp;p=.htm"/>
    <hyperlink ref="C276" r:id="rId816"/>
    <hyperlink ref="D276" r:id="rId817"/>
    <hyperlink ref="I276" r:id="rId818" display="http://www.boxofficemojo.com/schedule/?view=bydate&amp;release=theatrical&amp;date=2013-03-29&amp;p=.htm"/>
    <hyperlink ref="C277" r:id="rId819"/>
    <hyperlink ref="D277" r:id="rId820"/>
    <hyperlink ref="I277" r:id="rId821" display="http://www.boxofficemojo.com/schedule/?view=bydate&amp;release=theatrical&amp;date=2013-08-16&amp;p=.htm"/>
    <hyperlink ref="C278" r:id="rId822"/>
    <hyperlink ref="D278" r:id="rId823"/>
    <hyperlink ref="I278" r:id="rId824" display="http://www.boxofficemojo.com/schedule/?view=bydate&amp;release=theatrical&amp;date=2013-08-16&amp;p=.htm"/>
    <hyperlink ref="C279" r:id="rId825"/>
    <hyperlink ref="D279" r:id="rId826"/>
    <hyperlink ref="I279" r:id="rId827" display="http://www.boxofficemojo.com/schedule/?view=bydate&amp;release=theatrical&amp;date=2013-03-29&amp;p=.htm"/>
    <hyperlink ref="C280" r:id="rId828"/>
    <hyperlink ref="D280" r:id="rId829"/>
    <hyperlink ref="I280" r:id="rId830" display="http://www.boxofficemojo.com/schedule/?view=bydate&amp;release=theatrical&amp;date=2013-03-29&amp;p=.htm"/>
    <hyperlink ref="C281" r:id="rId831"/>
    <hyperlink ref="D281" r:id="rId832"/>
    <hyperlink ref="I281" r:id="rId833" display="http://www.boxofficemojo.com/schedule/?view=bydate&amp;release=theatrical&amp;date=2013-11-08&amp;p=.htm"/>
    <hyperlink ref="C282" r:id="rId834"/>
    <hyperlink ref="D282" r:id="rId835"/>
    <hyperlink ref="I282" r:id="rId836" display="http://www.boxofficemojo.com/schedule/?view=bydate&amp;release=theatrical&amp;date=2013-03-01&amp;p=.htm"/>
    <hyperlink ref="C283" r:id="rId837"/>
    <hyperlink ref="D283" r:id="rId838"/>
    <hyperlink ref="I283" r:id="rId839" display="http://www.boxofficemojo.com/schedule/?view=bydate&amp;release=theatrical&amp;date=2013-10-04&amp;p=.htm"/>
    <hyperlink ref="C284" r:id="rId840"/>
    <hyperlink ref="D284" r:id="rId841"/>
    <hyperlink ref="I284" r:id="rId842" display="http://www.boxofficemojo.com/schedule/?view=bydate&amp;release=theatrical&amp;date=2013-02-15&amp;p=.htm"/>
    <hyperlink ref="C285" r:id="rId843"/>
    <hyperlink ref="D285" r:id="rId844"/>
    <hyperlink ref="I285" r:id="rId845" display="http://www.boxofficemojo.com/schedule/?view=bydate&amp;release=theatrical&amp;date=2013-03-01&amp;p=.htm"/>
    <hyperlink ref="C286" r:id="rId846"/>
    <hyperlink ref="D286" r:id="rId847"/>
    <hyperlink ref="I286" r:id="rId848" display="http://www.boxofficemojo.com/schedule/?view=bydate&amp;release=theatrical&amp;date=2013-03-22&amp;p=.htm"/>
    <hyperlink ref="C287" r:id="rId849"/>
    <hyperlink ref="D287" r:id="rId850"/>
    <hyperlink ref="I287" r:id="rId851" display="http://www.boxofficemojo.com/schedule/?view=bydate&amp;release=theatrical&amp;date=2013-11-22&amp;p=.htm"/>
    <hyperlink ref="C288" r:id="rId852"/>
    <hyperlink ref="D288" r:id="rId853"/>
    <hyperlink ref="I288" r:id="rId854" display="http://www.boxofficemojo.com/schedule/?view=bydate&amp;release=theatrical&amp;date=2013-02-08&amp;p=.htm"/>
    <hyperlink ref="C289" r:id="rId855"/>
    <hyperlink ref="D289" r:id="rId856"/>
    <hyperlink ref="I289" r:id="rId857" display="http://www.boxofficemojo.com/schedule/?view=bydate&amp;release=theatrical&amp;date=2013-09-20&amp;p=.htm"/>
    <hyperlink ref="C290" r:id="rId858"/>
    <hyperlink ref="D290" r:id="rId859"/>
    <hyperlink ref="I290" r:id="rId860" display="http://www.boxofficemojo.com/schedule/?view=bydate&amp;release=theatrical&amp;date=2013-04-26&amp;p=.htm"/>
    <hyperlink ref="C291" r:id="rId861"/>
    <hyperlink ref="D291" r:id="rId862"/>
    <hyperlink ref="I291" r:id="rId863" display="http://www.boxofficemojo.com/schedule/?view=bydate&amp;release=theatrical&amp;date=2013-08-09&amp;p=.htm"/>
    <hyperlink ref="C292" r:id="rId864"/>
    <hyperlink ref="D292" r:id="rId865"/>
    <hyperlink ref="I292" r:id="rId866" display="http://www.boxofficemojo.com/schedule/?view=bydate&amp;release=theatrical&amp;date=2013-06-28&amp;p=.htm"/>
    <hyperlink ref="C293" r:id="rId867"/>
    <hyperlink ref="D293" r:id="rId868"/>
    <hyperlink ref="I293" r:id="rId869" display="http://www.boxofficemojo.com/schedule/?view=bydate&amp;release=theatrical&amp;date=2013-07-12&amp;p=.htm"/>
    <hyperlink ref="C294" r:id="rId870"/>
    <hyperlink ref="D294" r:id="rId871"/>
    <hyperlink ref="I294" r:id="rId872" display="http://www.boxofficemojo.com/schedule/?view=bydate&amp;release=theatrical&amp;date=2013-04-05&amp;p=.htm"/>
    <hyperlink ref="C295" r:id="rId873"/>
    <hyperlink ref="D295" r:id="rId874"/>
    <hyperlink ref="I295" r:id="rId875" display="http://www.boxofficemojo.com/schedule/?view=bydate&amp;release=theatrical&amp;date=2013-08-16&amp;p=.htm"/>
    <hyperlink ref="C296" r:id="rId876"/>
    <hyperlink ref="D296" r:id="rId877"/>
    <hyperlink ref="I296" r:id="rId878" display="http://www.boxofficemojo.com/schedule/?view=bydate&amp;release=theatrical&amp;date=2013-04-05&amp;p=.htm"/>
    <hyperlink ref="C297" r:id="rId879"/>
    <hyperlink ref="D297" r:id="rId880"/>
    <hyperlink ref="I297" r:id="rId881" display="http://www.boxofficemojo.com/schedule/?view=bydate&amp;release=theatrical&amp;date=2013-04-26&amp;p=.htm"/>
    <hyperlink ref="C298" r:id="rId882"/>
    <hyperlink ref="D298" r:id="rId883"/>
    <hyperlink ref="I298" r:id="rId884" display="http://www.boxofficemojo.com/schedule/?view=bydate&amp;release=theatrical&amp;date=2013-09-06&amp;p=.htm"/>
    <hyperlink ref="C299" r:id="rId885"/>
    <hyperlink ref="D299" r:id="rId886"/>
    <hyperlink ref="I299" r:id="rId887" display="http://www.boxofficemojo.com/schedule/?view=bydate&amp;release=theatrical&amp;date=2013-10-04&amp;p=.htm"/>
    <hyperlink ref="C300" r:id="rId888"/>
    <hyperlink ref="D300" r:id="rId889"/>
    <hyperlink ref="I300" r:id="rId890" display="http://www.boxofficemojo.com/schedule/?view=bydate&amp;release=theatrical&amp;date=2013-11-01&amp;p=.htm"/>
    <hyperlink ref="C301" r:id="rId891"/>
    <hyperlink ref="D301" r:id="rId892"/>
    <hyperlink ref="I301" r:id="rId893" display="http://www.boxofficemojo.com/schedule/?view=bydate&amp;release=theatrical&amp;date=2013-08-30&amp;p=.htm"/>
    <hyperlink ref="C302" r:id="rId894"/>
    <hyperlink ref="D302" r:id="rId895"/>
    <hyperlink ref="I302" r:id="rId896" display="http://www.boxofficemojo.com/schedule/?view=bydate&amp;release=theatrical&amp;date=2013-06-21&amp;p=.htm"/>
    <hyperlink ref="C303" r:id="rId897"/>
    <hyperlink ref="D303" r:id="rId898"/>
    <hyperlink ref="I303" r:id="rId899" display="http://www.boxofficemojo.com/schedule/?view=bydate&amp;release=theatrical&amp;date=2013-05-03&amp;p=.htm"/>
    <hyperlink ref="C304" r:id="rId900"/>
    <hyperlink ref="D304" r:id="rId901"/>
    <hyperlink ref="I304" r:id="rId902" display="http://www.boxofficemojo.com/schedule/?view=bydate&amp;release=theatrical&amp;date=2013-10-11&amp;p=.htm"/>
    <hyperlink ref="C305" r:id="rId903"/>
    <hyperlink ref="D305" r:id="rId904"/>
    <hyperlink ref="I305" r:id="rId905" display="http://www.boxofficemojo.com/schedule/?view=bydate&amp;release=theatrical&amp;date=2013-06-28&amp;p=.htm"/>
    <hyperlink ref="C306" r:id="rId906"/>
    <hyperlink ref="D306" r:id="rId907"/>
    <hyperlink ref="I306" r:id="rId908" display="http://www.boxofficemojo.com/schedule/?view=bydate&amp;release=theatrical&amp;date=2013-12-06&amp;p=.htm"/>
    <hyperlink ref="C307" r:id="rId909"/>
    <hyperlink ref="D307" r:id="rId910"/>
    <hyperlink ref="I307" r:id="rId911" display="http://www.boxofficemojo.com/schedule/?view=bydate&amp;release=theatrical&amp;date=2013-05-24&amp;p=.htm"/>
    <hyperlink ref="C308" r:id="rId912"/>
    <hyperlink ref="D308" r:id="rId913"/>
    <hyperlink ref="I308" r:id="rId914" display="http://www.boxofficemojo.com/schedule/?view=bydate&amp;release=theatrical&amp;date=2013-09-27&amp;p=.htm"/>
    <hyperlink ref="C309" r:id="rId915"/>
    <hyperlink ref="D309" r:id="rId916"/>
    <hyperlink ref="I309" r:id="rId917" display="http://www.boxofficemojo.com/schedule/?view=bydate&amp;release=theatrical&amp;date=2013-09-13&amp;p=.htm"/>
    <hyperlink ref="C310" r:id="rId918"/>
    <hyperlink ref="D310" r:id="rId919"/>
    <hyperlink ref="I310" r:id="rId920" display="http://www.boxofficemojo.com/schedule/?view=bydate&amp;release=theatrical&amp;date=2013-05-03&amp;p=.htm"/>
    <hyperlink ref="C311" r:id="rId921"/>
    <hyperlink ref="D311" r:id="rId922"/>
    <hyperlink ref="I311" r:id="rId923" display="http://www.boxofficemojo.com/schedule/?view=bydate&amp;release=theatrical&amp;date=2013-01-18&amp;p=.htm"/>
    <hyperlink ref="C312" r:id="rId924"/>
    <hyperlink ref="D312" r:id="rId925"/>
    <hyperlink ref="I312" r:id="rId926" display="http://www.boxofficemojo.com/schedule/?view=bydate&amp;release=theatrical&amp;date=2013-10-04&amp;p=.htm"/>
    <hyperlink ref="C313" r:id="rId927"/>
    <hyperlink ref="D313" r:id="rId928"/>
    <hyperlink ref="I313" r:id="rId929" display="http://www.boxofficemojo.com/schedule/?view=bydate&amp;release=theatrical&amp;date=2013-04-17&amp;p=.htm"/>
    <hyperlink ref="C314" r:id="rId930"/>
    <hyperlink ref="D314" r:id="rId931"/>
    <hyperlink ref="I314" r:id="rId932" display="http://www.boxofficemojo.com/schedule/?view=bydate&amp;release=theatrical&amp;date=2013-08-09&amp;p=.htm"/>
    <hyperlink ref="C315" r:id="rId933"/>
    <hyperlink ref="D315" r:id="rId934"/>
    <hyperlink ref="I315" r:id="rId935" display="http://www.boxofficemojo.com/schedule/?view=bydate&amp;release=theatrical&amp;date=2013-08-14&amp;p=.htm"/>
    <hyperlink ref="C316" r:id="rId936"/>
    <hyperlink ref="D316" r:id="rId937"/>
    <hyperlink ref="I316" r:id="rId938" display="http://www.boxofficemojo.com/schedule/?view=bydate&amp;release=theatrical&amp;date=2013-05-17&amp;p=.htm"/>
    <hyperlink ref="C317" r:id="rId939"/>
    <hyperlink ref="D317" r:id="rId940"/>
    <hyperlink ref="I317" r:id="rId941" display="http://www.boxofficemojo.com/schedule/?view=bydate&amp;release=theatrical&amp;date=2013-10-18&amp;p=.htm"/>
    <hyperlink ref="C318" r:id="rId942"/>
    <hyperlink ref="D318" r:id="rId943"/>
    <hyperlink ref="I318" r:id="rId944" display="http://www.boxofficemojo.com/schedule/?view=bydate&amp;release=theatrical&amp;date=2013-11-22&amp;p=.htm"/>
    <hyperlink ref="C319" r:id="rId945"/>
    <hyperlink ref="D319" r:id="rId946"/>
    <hyperlink ref="I319" r:id="rId947" display="http://www.boxofficemojo.com/schedule/?view=bydate&amp;release=theatrical&amp;date=2013-01-25&amp;p=.htm"/>
    <hyperlink ref="C320" r:id="rId948"/>
    <hyperlink ref="D320" r:id="rId949"/>
    <hyperlink ref="I320" r:id="rId950" display="http://www.boxofficemojo.com/schedule/?view=bydate&amp;release=theatrical&amp;date=2013-09-06&amp;p=.htm"/>
    <hyperlink ref="C321" r:id="rId951"/>
    <hyperlink ref="D321" r:id="rId952"/>
    <hyperlink ref="I321" r:id="rId953" display="http://www.boxofficemojo.com/schedule/?view=bydate&amp;release=theatrical&amp;date=2013-11-22&amp;p=.htm"/>
    <hyperlink ref="C322" r:id="rId954"/>
    <hyperlink ref="D322" r:id="rId955"/>
    <hyperlink ref="I322" r:id="rId956" display="http://www.boxofficemojo.com/schedule/?view=bydate&amp;release=theatrical&amp;date=2013-04-12&amp;p=.htm"/>
    <hyperlink ref="C323" r:id="rId957"/>
    <hyperlink ref="D323" r:id="rId958"/>
    <hyperlink ref="I323" r:id="rId959" display="http://www.boxofficemojo.com/schedule/?view=bydate&amp;release=theatrical&amp;date=2013-07-26&amp;p=.htm"/>
    <hyperlink ref="C324" r:id="rId960"/>
    <hyperlink ref="D324" r:id="rId961"/>
    <hyperlink ref="I324" r:id="rId962" display="http://www.boxofficemojo.com/schedule/?view=bydate&amp;release=theatrical&amp;date=2013-08-02&amp;p=.htm"/>
    <hyperlink ref="C325" r:id="rId963"/>
    <hyperlink ref="D325" r:id="rId964"/>
    <hyperlink ref="I325" r:id="rId965" display="http://www.boxofficemojo.com/schedule/?view=bydate&amp;release=theatrical&amp;date=2013-06-28&amp;p=.htm"/>
    <hyperlink ref="C326" r:id="rId966"/>
    <hyperlink ref="D326" r:id="rId967"/>
    <hyperlink ref="I326" r:id="rId968" display="http://www.boxofficemojo.com/schedule/?view=bydate&amp;release=theatrical&amp;date=2013-08-02&amp;p=.htm"/>
    <hyperlink ref="C327" r:id="rId969"/>
    <hyperlink ref="D327" r:id="rId970"/>
    <hyperlink ref="I327" r:id="rId971" display="http://www.boxofficemojo.com/schedule/?view=bydate&amp;release=theatrical&amp;date=2013-06-14&amp;p=.htm"/>
    <hyperlink ref="C328" r:id="rId972"/>
    <hyperlink ref="D328" r:id="rId973"/>
    <hyperlink ref="I328" r:id="rId974" display="http://www.boxofficemojo.com/schedule/?view=bydate&amp;release=theatrical&amp;date=2013-03-08&amp;p=.htm"/>
    <hyperlink ref="C329" r:id="rId975"/>
    <hyperlink ref="D329" r:id="rId976"/>
    <hyperlink ref="I329" r:id="rId977" display="http://www.boxofficemojo.com/schedule/?view=bydate&amp;release=theatrical&amp;date=2013-09-13&amp;p=.htm"/>
    <hyperlink ref="C330" r:id="rId978"/>
    <hyperlink ref="D330" r:id="rId979"/>
    <hyperlink ref="I330" r:id="rId980" display="http://www.boxofficemojo.com/schedule/?view=bydate&amp;release=theatrical&amp;date=2013-10-25&amp;p=.htm"/>
    <hyperlink ref="C331" r:id="rId981"/>
    <hyperlink ref="D331" r:id="rId982"/>
    <hyperlink ref="I331" r:id="rId983" display="http://www.boxofficemojo.com/schedule/?view=bydate&amp;release=theatrical&amp;date=2013-11-29&amp;p=.htm"/>
    <hyperlink ref="C332" r:id="rId984"/>
    <hyperlink ref="D332" r:id="rId985"/>
    <hyperlink ref="I332" r:id="rId986" display="http://www.boxofficemojo.com/schedule/?view=bydate&amp;release=theatrical&amp;date=2013-06-07&amp;p=.htm"/>
    <hyperlink ref="C333" r:id="rId987"/>
    <hyperlink ref="D333" r:id="rId988"/>
    <hyperlink ref="I333" r:id="rId989" display="http://www.boxofficemojo.com/schedule/?view=bydate&amp;release=theatrical&amp;date=2013-08-16&amp;p=.htm"/>
    <hyperlink ref="C334" r:id="rId990"/>
    <hyperlink ref="D334" r:id="rId991"/>
    <hyperlink ref="I334" r:id="rId992" display="http://www.boxofficemojo.com/schedule/?view=bydate&amp;release=theatrical&amp;date=2013-04-26&amp;p=.htm"/>
    <hyperlink ref="C335" r:id="rId993"/>
    <hyperlink ref="D335" r:id="rId994"/>
    <hyperlink ref="I335" r:id="rId995" display="http://www.boxofficemojo.com/schedule/?view=bydate&amp;release=theatrical&amp;date=2013-01-25&amp;p=.htm"/>
    <hyperlink ref="C336" r:id="rId996"/>
    <hyperlink ref="D336" r:id="rId997"/>
    <hyperlink ref="I336" r:id="rId998" display="http://www.boxofficemojo.com/schedule/?view=bydate&amp;release=theatrical&amp;date=2013-10-25&amp;p=.htm"/>
    <hyperlink ref="C337" r:id="rId999"/>
    <hyperlink ref="D337" r:id="rId1000"/>
    <hyperlink ref="I337" r:id="rId1001" display="http://www.boxofficemojo.com/schedule/?view=bydate&amp;release=theatrical&amp;date=2013-04-19&amp;p=.htm"/>
    <hyperlink ref="C338" r:id="rId1002"/>
    <hyperlink ref="D338" r:id="rId1003"/>
    <hyperlink ref="I338" r:id="rId1004" display="http://www.boxofficemojo.com/schedule/?view=bydate&amp;release=theatrical&amp;date=2013-11-22&amp;p=.htm"/>
    <hyperlink ref="C339" r:id="rId1005"/>
    <hyperlink ref="D339" r:id="rId1006"/>
    <hyperlink ref="I339" r:id="rId1007" display="http://www.boxofficemojo.com/schedule/?view=bydate&amp;release=theatrical&amp;date=2013-05-17&amp;p=.htm"/>
    <hyperlink ref="C340" r:id="rId1008"/>
    <hyperlink ref="D340" r:id="rId1009"/>
    <hyperlink ref="I340" r:id="rId1010" display="http://www.boxofficemojo.com/schedule/?view=bydate&amp;release=theatrical&amp;date=2013-07-03&amp;p=.htm"/>
    <hyperlink ref="C341" r:id="rId1011"/>
    <hyperlink ref="D341" r:id="rId1012"/>
    <hyperlink ref="I341" r:id="rId1013" display="http://www.boxofficemojo.com/schedule/?view=bydate&amp;release=theatrical&amp;date=2013-03-15&amp;p=.htm"/>
    <hyperlink ref="C342" r:id="rId1014"/>
    <hyperlink ref="D342" r:id="rId1015"/>
    <hyperlink ref="I342" r:id="rId1016" display="http://www.boxofficemojo.com/schedule/?view=bydate&amp;release=theatrical&amp;date=2013-05-17&amp;p=.htm"/>
    <hyperlink ref="C343" r:id="rId1017"/>
    <hyperlink ref="D343" r:id="rId1018"/>
    <hyperlink ref="I343" r:id="rId1019" display="http://www.boxofficemojo.com/schedule/?view=bydate&amp;release=theatrical&amp;date=2013-03-22&amp;p=.htm"/>
    <hyperlink ref="C344" r:id="rId1020"/>
    <hyperlink ref="D344" r:id="rId1021"/>
    <hyperlink ref="I344" r:id="rId1022" display="http://www.boxofficemojo.com/schedule/?view=bydate&amp;release=theatrical&amp;date=2013-09-13&amp;p=.htm"/>
    <hyperlink ref="C345" r:id="rId1023"/>
    <hyperlink ref="D345" r:id="rId1024"/>
    <hyperlink ref="I345" r:id="rId1025" display="http://www.boxofficemojo.com/schedule/?view=bydate&amp;release=theatrical&amp;date=2013-03-31&amp;p=.htm"/>
    <hyperlink ref="C346" r:id="rId1026"/>
    <hyperlink ref="D346" r:id="rId1027"/>
    <hyperlink ref="I346" r:id="rId1028" display="http://www.boxofficemojo.com/schedule/?view=bydate&amp;release=theatrical&amp;date=2013-07-17&amp;p=.htm"/>
    <hyperlink ref="C347" r:id="rId1029"/>
    <hyperlink ref="D347" r:id="rId1030"/>
    <hyperlink ref="I347" r:id="rId1031" display="http://www.boxofficemojo.com/schedule/?view=bydate&amp;release=theatrical&amp;date=2013-08-23&amp;p=.htm"/>
    <hyperlink ref="C348" r:id="rId1032"/>
    <hyperlink ref="D348" r:id="rId1033"/>
    <hyperlink ref="I348" r:id="rId1034" display="http://www.boxofficemojo.com/schedule/?view=bydate&amp;release=theatrical&amp;date=2013-10-25&amp;p=.htm"/>
    <hyperlink ref="C349" r:id="rId1035"/>
    <hyperlink ref="D349" r:id="rId1036"/>
    <hyperlink ref="I349" r:id="rId1037" display="http://www.boxofficemojo.com/schedule/?view=bydate&amp;release=theatrical&amp;date=2013-08-23&amp;p=.htm"/>
    <hyperlink ref="C350" r:id="rId1038"/>
    <hyperlink ref="D350" r:id="rId1039"/>
    <hyperlink ref="I350" r:id="rId1040" display="http://www.boxofficemojo.com/schedule/?view=bydate&amp;release=theatrical&amp;date=2013-05-31&amp;p=.htm"/>
    <hyperlink ref="C351" r:id="rId1041"/>
    <hyperlink ref="D351" r:id="rId1042"/>
    <hyperlink ref="I351" r:id="rId1043" display="http://www.boxofficemojo.com/schedule/?view=bydate&amp;release=theatrical&amp;date=2013-04-05&amp;p=.htm"/>
    <hyperlink ref="C352" r:id="rId1044"/>
    <hyperlink ref="D352" r:id="rId1045"/>
    <hyperlink ref="I352" r:id="rId1046" display="http://www.boxofficemojo.com/schedule/?view=bydate&amp;release=theatrical&amp;date=2013-05-08&amp;p=.htm"/>
    <hyperlink ref="C353" r:id="rId1047"/>
    <hyperlink ref="D353" r:id="rId1048"/>
    <hyperlink ref="I353" r:id="rId1049" display="http://www.boxofficemojo.com/schedule/?view=bydate&amp;release=theatrical&amp;date=2013-03-08&amp;p=.htm"/>
    <hyperlink ref="C354" r:id="rId1050"/>
    <hyperlink ref="D354" r:id="rId1051"/>
    <hyperlink ref="I354" r:id="rId1052" display="http://www.boxofficemojo.com/schedule/?view=bydate&amp;release=theatrical&amp;date=2013-11-01&amp;p=.htm"/>
    <hyperlink ref="C355" r:id="rId1053"/>
    <hyperlink ref="D355" r:id="rId1054"/>
    <hyperlink ref="I355" r:id="rId1055" display="http://www.boxofficemojo.com/schedule/?view=bydate&amp;release=theatrical&amp;date=2013-09-13&amp;p=.htm"/>
    <hyperlink ref="C356" r:id="rId1056"/>
    <hyperlink ref="D356" r:id="rId1057"/>
    <hyperlink ref="I356" r:id="rId1058" display="http://www.boxofficemojo.com/schedule/?view=bydate&amp;release=theatrical&amp;date=2013-08-30&amp;p=.htm"/>
    <hyperlink ref="C357" r:id="rId1059"/>
    <hyperlink ref="D357" r:id="rId1060"/>
    <hyperlink ref="I357" r:id="rId1061" display="http://www.boxofficemojo.com/schedule/?view=bydate&amp;release=theatrical&amp;date=2013-04-26&amp;p=.htm"/>
    <hyperlink ref="C358" r:id="rId1062"/>
    <hyperlink ref="D358" r:id="rId1063"/>
    <hyperlink ref="I358" r:id="rId1064" display="http://www.boxofficemojo.com/schedule/?view=bydate&amp;release=theatrical&amp;date=2013-03-08&amp;p=.htm"/>
    <hyperlink ref="C359" r:id="rId1065"/>
    <hyperlink ref="D359" r:id="rId1066"/>
    <hyperlink ref="I359" r:id="rId1067" display="http://www.boxofficemojo.com/schedule/?view=bydate&amp;release=theatrical&amp;date=2013-06-28&amp;p=.htm"/>
    <hyperlink ref="C360" r:id="rId1068"/>
    <hyperlink ref="D360" r:id="rId1069"/>
    <hyperlink ref="I360" r:id="rId1070" display="http://www.boxofficemojo.com/schedule/?view=bydate&amp;release=theatrical&amp;date=2013-09-06&amp;p=.htm"/>
    <hyperlink ref="C361" r:id="rId1071"/>
    <hyperlink ref="D361" r:id="rId1072"/>
    <hyperlink ref="I361" r:id="rId1073" display="http://www.boxofficemojo.com/schedule/?view=bydate&amp;release=theatrical&amp;date=2013-04-05&amp;p=.htm"/>
    <hyperlink ref="C362" r:id="rId1074"/>
    <hyperlink ref="D362" r:id="rId1075"/>
    <hyperlink ref="I362" r:id="rId1076" display="http://www.boxofficemojo.com/schedule/?view=bydate&amp;release=theatrical&amp;date=2013-09-27&amp;p=.htm"/>
    <hyperlink ref="C363" r:id="rId1077"/>
    <hyperlink ref="D363" r:id="rId1078"/>
    <hyperlink ref="I363" r:id="rId1079" display="http://www.boxofficemojo.com/schedule/?view=bydate&amp;release=theatrical&amp;date=2013-07-19&amp;p=.htm"/>
    <hyperlink ref="C364" r:id="rId1080"/>
    <hyperlink ref="D364" r:id="rId1081"/>
    <hyperlink ref="I364" r:id="rId1082" display="http://www.boxofficemojo.com/schedule/?view=bydate&amp;release=theatrical&amp;date=2013-05-03&amp;p=.htm"/>
    <hyperlink ref="C365" r:id="rId1083"/>
    <hyperlink ref="D365" r:id="rId1084"/>
    <hyperlink ref="I365" r:id="rId1085" display="http://www.boxofficemojo.com/schedule/?view=bydate&amp;release=theatrical&amp;date=2013-10-11&amp;p=.htm"/>
    <hyperlink ref="C366" r:id="rId1086"/>
    <hyperlink ref="D366" r:id="rId1087"/>
    <hyperlink ref="I366" r:id="rId1088" display="http://www.boxofficemojo.com/schedule/?view=bydate&amp;release=theatrical&amp;date=2013-09-27&amp;p=.htm"/>
    <hyperlink ref="C367" r:id="rId1089"/>
    <hyperlink ref="D367" r:id="rId1090"/>
    <hyperlink ref="I367" r:id="rId1091" display="http://www.boxofficemojo.com/schedule/?view=bydate&amp;release=theatrical&amp;date=2013-07-05&amp;p=.htm"/>
    <hyperlink ref="C368" r:id="rId1092"/>
    <hyperlink ref="D368" r:id="rId1093"/>
    <hyperlink ref="I368" r:id="rId1094" display="http://www.boxofficemojo.com/schedule/?view=bydate&amp;release=theatrical&amp;date=2013-09-06&amp;p=.htm"/>
    <hyperlink ref="C369" r:id="rId1095"/>
    <hyperlink ref="D369" r:id="rId1096"/>
    <hyperlink ref="I369" r:id="rId1097" display="http://www.boxofficemojo.com/schedule/?view=bydate&amp;release=theatrical&amp;date=2013-07-19&amp;p=.htm"/>
    <hyperlink ref="C370" r:id="rId1098"/>
    <hyperlink ref="D370" r:id="rId1099"/>
    <hyperlink ref="I370" r:id="rId1100" display="http://www.boxofficemojo.com/schedule/?view=bydate&amp;release=theatrical&amp;date=2013-06-12&amp;p=.htm"/>
    <hyperlink ref="C371" r:id="rId1101"/>
    <hyperlink ref="D371" r:id="rId1102"/>
    <hyperlink ref="I371" r:id="rId1103" display="http://www.boxofficemojo.com/schedule/?view=bydate&amp;release=theatrical&amp;date=2013-02-01&amp;p=.htm"/>
    <hyperlink ref="C372" r:id="rId1104"/>
    <hyperlink ref="D372" r:id="rId1105"/>
    <hyperlink ref="I372" r:id="rId1106" display="http://www.boxofficemojo.com/schedule/?view=bydate&amp;release=theatrical&amp;date=2013-12-06&amp;p=.htm"/>
    <hyperlink ref="C373" r:id="rId1107"/>
    <hyperlink ref="D373" r:id="rId1108"/>
    <hyperlink ref="I373" r:id="rId1109" display="http://www.boxofficemojo.com/schedule/?view=bydate&amp;release=theatrical&amp;date=2013-03-01&amp;p=.htm"/>
    <hyperlink ref="C374" r:id="rId1110"/>
    <hyperlink ref="D374" r:id="rId1111"/>
    <hyperlink ref="I374" r:id="rId1112" display="http://www.boxofficemojo.com/schedule/?view=bydate&amp;release=theatrical&amp;date=2013-05-10&amp;p=.htm"/>
    <hyperlink ref="C375" r:id="rId1113"/>
    <hyperlink ref="D375" r:id="rId1114"/>
    <hyperlink ref="I375" r:id="rId1115" display="http://www.boxofficemojo.com/schedule/?view=bydate&amp;release=theatrical&amp;date=2013-03-15&amp;p=.htm"/>
    <hyperlink ref="C376" r:id="rId1116"/>
    <hyperlink ref="D376" r:id="rId1117"/>
    <hyperlink ref="I376" r:id="rId1118" display="http://www.boxofficemojo.com/schedule/?view=bydate&amp;release=theatrical&amp;date=2013-09-20&amp;p=.htm"/>
    <hyperlink ref="C377" r:id="rId1119"/>
    <hyperlink ref="D377" r:id="rId1120"/>
    <hyperlink ref="I377" r:id="rId1121" display="http://www.boxofficemojo.com/schedule/?view=bydate&amp;release=theatrical&amp;date=2013-04-26&amp;p=.htm"/>
    <hyperlink ref="C378" r:id="rId1122"/>
    <hyperlink ref="D378" r:id="rId1123"/>
    <hyperlink ref="I378" r:id="rId1124" display="http://www.boxofficemojo.com/schedule/?view=bydate&amp;release=theatrical&amp;date=2013-10-18&amp;p=.htm"/>
    <hyperlink ref="C379" r:id="rId1125"/>
    <hyperlink ref="D379" r:id="rId1126"/>
    <hyperlink ref="I379" r:id="rId1127" display="http://www.boxofficemojo.com/schedule/?view=bydate&amp;release=theatrical&amp;date=2013-03-01&amp;p=.htm"/>
    <hyperlink ref="C380" r:id="rId1128"/>
    <hyperlink ref="D380" r:id="rId1129"/>
    <hyperlink ref="I380" r:id="rId1130" display="http://www.boxofficemojo.com/schedule/?view=bydate&amp;release=theatrical&amp;date=2013-11-08&amp;p=.htm"/>
    <hyperlink ref="C381" r:id="rId1131"/>
    <hyperlink ref="D381" r:id="rId1132"/>
    <hyperlink ref="I381" r:id="rId1133" display="http://www.boxofficemojo.com/schedule/?view=bydate&amp;release=theatrical&amp;date=2013-12-20&amp;p=.htm"/>
    <hyperlink ref="C382" r:id="rId1134"/>
    <hyperlink ref="D382" r:id="rId1135"/>
    <hyperlink ref="I382" r:id="rId1136" display="http://www.boxofficemojo.com/schedule/?view=bydate&amp;release=theatrical&amp;date=2013-11-01&amp;p=.htm"/>
    <hyperlink ref="C383" r:id="rId1137"/>
    <hyperlink ref="D383" r:id="rId1138"/>
    <hyperlink ref="I383" r:id="rId1139" display="http://www.boxofficemojo.com/schedule/?view=bydate&amp;release=theatrical&amp;date=2013-06-12&amp;p=.htm"/>
    <hyperlink ref="C384" r:id="rId1140"/>
    <hyperlink ref="D384" r:id="rId1141"/>
    <hyperlink ref="I384" r:id="rId1142" display="http://www.boxofficemojo.com/schedule/?view=bydate&amp;release=theatrical&amp;date=2013-10-02&amp;p=.htm"/>
    <hyperlink ref="C385" r:id="rId1143"/>
    <hyperlink ref="D385" r:id="rId1144"/>
    <hyperlink ref="I385" r:id="rId1145" display="http://www.boxofficemojo.com/schedule/?view=bydate&amp;release=theatrical&amp;date=2013-09-20&amp;p=.htm"/>
    <hyperlink ref="C386" r:id="rId1146"/>
    <hyperlink ref="D386" r:id="rId1147"/>
    <hyperlink ref="I386" r:id="rId1148" display="http://www.boxofficemojo.com/schedule/?view=bydate&amp;release=theatrical&amp;date=2013-05-15&amp;p=.htm"/>
    <hyperlink ref="C387" r:id="rId1149"/>
    <hyperlink ref="D387" r:id="rId1150"/>
    <hyperlink ref="I387" r:id="rId1151" display="http://www.boxofficemojo.com/schedule/?view=bydate&amp;release=theatrical&amp;date=2013-05-10&amp;p=.htm"/>
    <hyperlink ref="C388" r:id="rId1152"/>
    <hyperlink ref="D388" r:id="rId1153"/>
    <hyperlink ref="I388" r:id="rId1154" display="http://www.boxofficemojo.com/schedule/?view=bydate&amp;release=theatrical&amp;date=2013-03-08&amp;p=.htm"/>
    <hyperlink ref="C389" r:id="rId1155"/>
    <hyperlink ref="D389" r:id="rId1156"/>
    <hyperlink ref="I389" r:id="rId1157" display="http://www.boxofficemojo.com/schedule/?view=bydate&amp;release=theatrical&amp;date=2013-09-27&amp;p=.htm"/>
    <hyperlink ref="C390" r:id="rId1158"/>
    <hyperlink ref="D390" r:id="rId1159"/>
    <hyperlink ref="I390" r:id="rId1160" display="http://www.boxofficemojo.com/schedule/?view=bydate&amp;release=theatrical&amp;date=2013-04-12&amp;p=.htm"/>
    <hyperlink ref="C391" r:id="rId1161"/>
    <hyperlink ref="D391" r:id="rId1162"/>
    <hyperlink ref="I391" r:id="rId1163" display="http://www.boxofficemojo.com/schedule/?view=bydate&amp;release=theatrical&amp;date=2013-11-08&amp;p=.htm"/>
    <hyperlink ref="C392" r:id="rId1164"/>
    <hyperlink ref="D392" r:id="rId1165"/>
    <hyperlink ref="I392" r:id="rId1166" display="http://www.boxofficemojo.com/schedule/?view=bydate&amp;release=theatrical&amp;date=2013-11-01&amp;p=.htm"/>
    <hyperlink ref="C393" r:id="rId1167"/>
    <hyperlink ref="D393" r:id="rId1168"/>
    <hyperlink ref="I393" r:id="rId1169" display="http://www.boxofficemojo.com/schedule/?view=bydate&amp;release=theatrical&amp;date=2013-08-23&amp;p=.htm"/>
    <hyperlink ref="C394" r:id="rId1170"/>
    <hyperlink ref="D394" r:id="rId1171"/>
    <hyperlink ref="I394" r:id="rId1172" display="http://www.boxofficemojo.com/schedule/?view=bydate&amp;release=theatrical&amp;date=2013-05-10&amp;p=.htm"/>
    <hyperlink ref="C395" r:id="rId1173"/>
    <hyperlink ref="D395" r:id="rId1174"/>
    <hyperlink ref="I395" r:id="rId1175" display="http://www.boxofficemojo.com/schedule/?view=bydate&amp;release=theatrical&amp;date=2013-11-15&amp;p=.htm"/>
    <hyperlink ref="C396" r:id="rId1176"/>
    <hyperlink ref="D396" r:id="rId1177"/>
    <hyperlink ref="I396" r:id="rId1178" display="http://www.boxofficemojo.com/schedule/?view=bydate&amp;release=theatrical&amp;date=2013-02-08&amp;p=.htm"/>
    <hyperlink ref="C397" r:id="rId1179"/>
    <hyperlink ref="D397" r:id="rId1180"/>
    <hyperlink ref="I397" r:id="rId1181" display="http://www.boxofficemojo.com/schedule/?view=bydate&amp;release=theatrical&amp;date=2013-08-02&amp;p=.htm"/>
    <hyperlink ref="C398" r:id="rId1182"/>
    <hyperlink ref="D398" r:id="rId1183"/>
    <hyperlink ref="I398" r:id="rId1184" display="http://www.boxofficemojo.com/schedule/?view=bydate&amp;release=theatrical&amp;date=2013-07-12&amp;p=.htm"/>
    <hyperlink ref="C399" r:id="rId1185"/>
    <hyperlink ref="D399" r:id="rId1186"/>
    <hyperlink ref="I399" r:id="rId1187" display="http://www.boxofficemojo.com/schedule/?view=bydate&amp;release=theatrical&amp;date=2013-07-26&amp;p=.htm"/>
    <hyperlink ref="C400" r:id="rId1188"/>
    <hyperlink ref="D400" r:id="rId1189"/>
    <hyperlink ref="I400" r:id="rId1190" display="http://www.boxofficemojo.com/schedule/?view=bydate&amp;release=theatrical&amp;date=2013-09-20&amp;p=.htm"/>
    <hyperlink ref="C401" r:id="rId1191"/>
    <hyperlink ref="D401" r:id="rId1192"/>
    <hyperlink ref="I401" r:id="rId1193" display="http://www.boxofficemojo.com/schedule/?view=bydate&amp;release=theatrical&amp;date=2013-09-06&amp;p=.htm"/>
    <hyperlink ref="C402" r:id="rId1194"/>
    <hyperlink ref="D402" r:id="rId1195"/>
    <hyperlink ref="I402" r:id="rId1196" display="http://www.boxofficemojo.com/schedule/?view=bydate&amp;release=theatrical&amp;date=2013-09-13&amp;p=.htm"/>
    <hyperlink ref="C403" r:id="rId1197"/>
    <hyperlink ref="D403" r:id="rId1198"/>
    <hyperlink ref="I403" r:id="rId1199" display="http://www.boxofficemojo.com/schedule/?view=bydate&amp;release=theatrical&amp;date=2013-03-15&amp;p=.htm"/>
    <hyperlink ref="C404" r:id="rId1200"/>
    <hyperlink ref="D404" r:id="rId1201"/>
    <hyperlink ref="I404" r:id="rId1202" display="http://www.boxofficemojo.com/schedule/?view=bydate&amp;release=theatrical&amp;date=2013-06-07&amp;p=.htm"/>
    <hyperlink ref="C405" r:id="rId1203"/>
    <hyperlink ref="D405" r:id="rId1204"/>
    <hyperlink ref="I405" r:id="rId1205" display="http://www.boxofficemojo.com/schedule/?view=bydate&amp;release=theatrical&amp;date=2013-05-10&amp;p=.htm"/>
    <hyperlink ref="C406" r:id="rId1206"/>
    <hyperlink ref="D406" r:id="rId1207"/>
    <hyperlink ref="I406" r:id="rId1208" display="http://www.boxofficemojo.com/schedule/?view=bydate&amp;release=theatrical&amp;date=2013-10-11&amp;p=.htm"/>
    <hyperlink ref="C407" r:id="rId1209"/>
    <hyperlink ref="D407" r:id="rId1210"/>
    <hyperlink ref="I407" r:id="rId1211" display="http://www.boxofficemojo.com/schedule/?view=bydate&amp;release=theatrical&amp;date=2013-09-11&amp;p=.htm"/>
    <hyperlink ref="C408" r:id="rId1212"/>
    <hyperlink ref="D408" r:id="rId1213"/>
    <hyperlink ref="I408" r:id="rId1214" display="http://www.boxofficemojo.com/schedule/?view=bydate&amp;release=theatrical&amp;date=2013-04-19&amp;p=.htm"/>
    <hyperlink ref="C409" r:id="rId1215"/>
    <hyperlink ref="D409" r:id="rId1216"/>
    <hyperlink ref="I409" r:id="rId1217" display="http://www.boxofficemojo.com/schedule/?view=bydate&amp;release=theatrical&amp;date=2013-09-13&amp;p=.htm"/>
    <hyperlink ref="C410" r:id="rId1218"/>
    <hyperlink ref="D410" r:id="rId1219"/>
    <hyperlink ref="I410" r:id="rId1220" display="http://www.boxofficemojo.com/schedule/?view=bydate&amp;release=theatrical&amp;date=2013-01-04&amp;p=.htm"/>
    <hyperlink ref="C411" r:id="rId1221"/>
    <hyperlink ref="D411" r:id="rId1222"/>
    <hyperlink ref="I411" r:id="rId1223" display="http://www.boxofficemojo.com/schedule/?view=bydate&amp;release=theatrical&amp;date=2013-09-20&amp;p=.htm"/>
    <hyperlink ref="C412" r:id="rId1224"/>
    <hyperlink ref="D412" r:id="rId1225"/>
    <hyperlink ref="I412" r:id="rId1226" display="http://www.boxofficemojo.com/schedule/?view=bydate&amp;release=theatrical&amp;date=2013-06-07&amp;p=.htm"/>
    <hyperlink ref="C413" r:id="rId1227"/>
    <hyperlink ref="D413" r:id="rId1228"/>
    <hyperlink ref="I413" r:id="rId1229" display="http://www.boxofficemojo.com/schedule/?view=bydate&amp;release=theatrical&amp;date=2013-03-29&amp;p=.htm"/>
    <hyperlink ref="C414" r:id="rId1230"/>
    <hyperlink ref="D414" r:id="rId1231"/>
    <hyperlink ref="I414" r:id="rId1232" display="http://www.boxofficemojo.com/schedule/?view=bydate&amp;release=theatrical&amp;date=2013-11-08&amp;p=.htm"/>
    <hyperlink ref="C415" r:id="rId1233"/>
    <hyperlink ref="D415" r:id="rId1234"/>
    <hyperlink ref="I415" r:id="rId1235" display="http://www.boxofficemojo.com/schedule/?view=bydate&amp;release=theatrical&amp;date=2013-02-08&amp;p=.htm"/>
    <hyperlink ref="C416" r:id="rId1236"/>
    <hyperlink ref="D416" r:id="rId1237"/>
    <hyperlink ref="I416" r:id="rId1238" display="http://www.boxofficemojo.com/schedule/?view=bydate&amp;release=theatrical&amp;date=2013-08-30&amp;p=.htm"/>
    <hyperlink ref="C417" r:id="rId1239"/>
    <hyperlink ref="D417" r:id="rId1240"/>
    <hyperlink ref="I417" r:id="rId1241" display="http://www.boxofficemojo.com/schedule/?view=bydate&amp;release=theatrical&amp;date=2013-03-08&amp;p=.htm"/>
    <hyperlink ref="C418" r:id="rId1242"/>
    <hyperlink ref="D418" r:id="rId1243"/>
    <hyperlink ref="I418" r:id="rId1244" display="http://www.boxofficemojo.com/schedule/?view=bydate&amp;release=theatrical&amp;date=2013-03-22&amp;p=.htm"/>
    <hyperlink ref="C419" r:id="rId1245"/>
    <hyperlink ref="D419" r:id="rId1246"/>
    <hyperlink ref="I419" r:id="rId1247" display="http://www.boxofficemojo.com/schedule/?view=bydate&amp;release=theatrical&amp;date=2013-08-16&amp;p=.htm"/>
    <hyperlink ref="C420" r:id="rId1248"/>
    <hyperlink ref="D420" r:id="rId1249"/>
    <hyperlink ref="I420" r:id="rId1250" display="http://www.boxofficemojo.com/schedule/?view=bydate&amp;release=theatrical&amp;date=2013-09-06&amp;p=.htm"/>
    <hyperlink ref="C421" r:id="rId1251"/>
    <hyperlink ref="D421" r:id="rId1252"/>
    <hyperlink ref="I421" r:id="rId1253" display="http://www.boxofficemojo.com/schedule/?view=bydate&amp;release=theatrical&amp;date=2013-04-03&amp;p=.htm"/>
    <hyperlink ref="C422" r:id="rId1254"/>
    <hyperlink ref="D422" r:id="rId1255"/>
    <hyperlink ref="I422" r:id="rId1256" display="http://www.boxofficemojo.com/schedule/?view=bydate&amp;release=theatrical&amp;date=2013-10-04&amp;p=.htm"/>
    <hyperlink ref="C423" r:id="rId1257"/>
    <hyperlink ref="D423" r:id="rId1258"/>
    <hyperlink ref="I423" r:id="rId1259" display="http://www.boxofficemojo.com/schedule/?view=bydate&amp;release=theatrical&amp;date=2013-09-20&amp;p=.htm"/>
    <hyperlink ref="C424" r:id="rId1260"/>
    <hyperlink ref="D424" r:id="rId1261"/>
    <hyperlink ref="I424" r:id="rId1262" display="http://www.boxofficemojo.com/schedule/?view=bydate&amp;release=theatrical&amp;date=2013-03-08&amp;p=.htm"/>
    <hyperlink ref="C425" r:id="rId1263"/>
    <hyperlink ref="D425" r:id="rId1264"/>
    <hyperlink ref="I425" r:id="rId1265" display="http://www.boxofficemojo.com/schedule/?view=bydate&amp;release=theatrical&amp;date=2013-04-19&amp;p=.htm"/>
    <hyperlink ref="C426" r:id="rId1266"/>
    <hyperlink ref="D426" r:id="rId1267"/>
    <hyperlink ref="I426" r:id="rId1268" display="http://www.boxofficemojo.com/schedule/?view=bydate&amp;release=theatrical&amp;date=2013-03-08&amp;p=.htm"/>
    <hyperlink ref="C427" r:id="rId1269"/>
    <hyperlink ref="D427" r:id="rId1270"/>
    <hyperlink ref="I427" r:id="rId1271" display="http://www.boxofficemojo.com/schedule/?view=bydate&amp;release=theatrical&amp;date=2013-10-04&amp;p=.htm"/>
    <hyperlink ref="C428" r:id="rId1272"/>
    <hyperlink ref="D428" r:id="rId1273"/>
    <hyperlink ref="I428" r:id="rId1274" display="http://www.boxofficemojo.com/schedule/?view=bydate&amp;release=theatrical&amp;date=2013-07-12&amp;p=.htm"/>
    <hyperlink ref="C429" r:id="rId1275"/>
    <hyperlink ref="D429" r:id="rId1276"/>
    <hyperlink ref="I429" r:id="rId1277" display="http://www.boxofficemojo.com/schedule/?view=bydate&amp;release=theatrical&amp;date=2013-09-20&amp;p=.htm"/>
    <hyperlink ref="C430" r:id="rId1278"/>
    <hyperlink ref="D430" r:id="rId1279"/>
    <hyperlink ref="I430" r:id="rId1280" display="http://www.boxofficemojo.com/schedule/?view=bydate&amp;release=theatrical&amp;date=2013-06-26&amp;p=.htm"/>
    <hyperlink ref="C431" r:id="rId1281"/>
    <hyperlink ref="D431" r:id="rId1282"/>
    <hyperlink ref="I431" r:id="rId1283" display="http://www.boxofficemojo.com/schedule/?view=bydate&amp;release=theatrical&amp;date=2013-05-01&amp;p=.htm"/>
    <hyperlink ref="C432" r:id="rId1284"/>
    <hyperlink ref="D432" r:id="rId1285"/>
    <hyperlink ref="I432" r:id="rId1286" display="http://www.boxofficemojo.com/schedule/?view=bydate&amp;release=theatrical&amp;date=2013-09-13&amp;p=.htm"/>
    <hyperlink ref="C433" r:id="rId1287"/>
    <hyperlink ref="D433" r:id="rId1288"/>
    <hyperlink ref="I433" r:id="rId1289" display="http://www.boxofficemojo.com/schedule/?view=bydate&amp;release=theatrical&amp;date=2013-05-31&amp;p=.htm"/>
    <hyperlink ref="C434" r:id="rId1290"/>
    <hyperlink ref="D434" r:id="rId1291"/>
    <hyperlink ref="I434" r:id="rId1292" display="http://www.boxofficemojo.com/schedule/?view=bydate&amp;release=theatrical&amp;date=2013-08-02&amp;p=.htm"/>
    <hyperlink ref="C435" r:id="rId1293"/>
    <hyperlink ref="D435" r:id="rId1294"/>
    <hyperlink ref="I435" r:id="rId1295" display="http://www.boxofficemojo.com/schedule/?view=bydate&amp;release=theatrical&amp;date=2013-06-14&amp;p=.htm"/>
    <hyperlink ref="C436" r:id="rId1296"/>
    <hyperlink ref="D436" r:id="rId1297"/>
    <hyperlink ref="I436" r:id="rId1298" display="http://www.boxofficemojo.com/schedule/?view=bydate&amp;release=theatrical&amp;date=2013-09-06&amp;p=.htm"/>
    <hyperlink ref="C437" r:id="rId1299"/>
    <hyperlink ref="D437" r:id="rId1300"/>
    <hyperlink ref="I437" r:id="rId1301" display="http://www.boxofficemojo.com/schedule/?view=bydate&amp;release=theatrical&amp;date=2013-09-20&amp;p=.htm"/>
    <hyperlink ref="C438" r:id="rId1302"/>
    <hyperlink ref="D438" r:id="rId1303"/>
    <hyperlink ref="I438" r:id="rId1304" display="http://www.boxofficemojo.com/schedule/?view=bydate&amp;release=theatrical&amp;date=2013-02-01&amp;p=.htm"/>
    <hyperlink ref="C439" r:id="rId1305"/>
    <hyperlink ref="D439" r:id="rId1306"/>
    <hyperlink ref="I439" r:id="rId1307" display="http://www.boxofficemojo.com/schedule/?view=bydate&amp;release=theatrical&amp;date=2013-11-01&amp;p=.htm"/>
    <hyperlink ref="C440" r:id="rId1308"/>
    <hyperlink ref="D440" r:id="rId1309"/>
    <hyperlink ref="I440" r:id="rId1310" display="http://www.boxofficemojo.com/schedule/?view=bydate&amp;release=theatrical&amp;date=2013-08-23&amp;p=.htm"/>
    <hyperlink ref="C441" r:id="rId1311"/>
    <hyperlink ref="D441" r:id="rId1312"/>
    <hyperlink ref="I441" r:id="rId1313" display="http://www.boxofficemojo.com/schedule/?view=bydate&amp;release=theatrical&amp;date=2013-06-28&amp;p=.htm"/>
    <hyperlink ref="C442" r:id="rId1314"/>
    <hyperlink ref="D442" r:id="rId1315"/>
    <hyperlink ref="I442" r:id="rId1316" display="http://www.boxofficemojo.com/schedule/?view=bydate&amp;release=theatrical&amp;date=2013-07-26&amp;p=.htm"/>
    <hyperlink ref="C443" r:id="rId1317"/>
    <hyperlink ref="D443" r:id="rId1318"/>
    <hyperlink ref="I443" r:id="rId1319" display="http://www.boxofficemojo.com/schedule/?view=bydate&amp;release=theatrical&amp;date=2013-09-06&amp;p=.htm"/>
    <hyperlink ref="C444" r:id="rId1320"/>
    <hyperlink ref="D444" r:id="rId1321"/>
    <hyperlink ref="I444" r:id="rId1322" display="http://www.boxofficemojo.com/schedule/?view=bydate&amp;release=theatrical&amp;date=2013-06-14&amp;p=.htm"/>
    <hyperlink ref="C445" r:id="rId1323"/>
    <hyperlink ref="D445" r:id="rId1324"/>
    <hyperlink ref="I445" r:id="rId1325" display="http://www.boxofficemojo.com/schedule/?view=bydate&amp;release=theatrical&amp;date=2013-03-15&amp;p=.htm"/>
    <hyperlink ref="C446" r:id="rId1326"/>
    <hyperlink ref="D446" r:id="rId1327"/>
    <hyperlink ref="I446" r:id="rId1328" display="http://www.boxofficemojo.com/schedule/?view=bydate&amp;release=theatrical&amp;date=2013-10-16&amp;p=.htm"/>
    <hyperlink ref="C447" r:id="rId1329"/>
    <hyperlink ref="D447" r:id="rId1330"/>
    <hyperlink ref="I447" r:id="rId1331" display="http://www.boxofficemojo.com/schedule/?view=bydate&amp;release=theatrical&amp;date=2013-08-16&amp;p=.htm"/>
    <hyperlink ref="C448" r:id="rId1332"/>
    <hyperlink ref="D448" r:id="rId1333"/>
    <hyperlink ref="I448" r:id="rId1334" display="http://www.boxofficemojo.com/schedule/?view=bydate&amp;release=theatrical&amp;date=2013-11-29&amp;p=.htm"/>
    <hyperlink ref="C449" r:id="rId1335"/>
    <hyperlink ref="D449" r:id="rId1336"/>
    <hyperlink ref="I449" r:id="rId1337" display="http://www.boxofficemojo.com/schedule/?view=bydate&amp;release=theatrical&amp;date=2013-04-26&amp;p=.htm"/>
    <hyperlink ref="C450" r:id="rId1338"/>
    <hyperlink ref="D450" r:id="rId1339"/>
    <hyperlink ref="I450" r:id="rId1340" display="http://www.boxofficemojo.com/schedule/?view=bydate&amp;release=theatrical&amp;date=2013-03-08&amp;p=.htm"/>
    <hyperlink ref="C451" r:id="rId1341"/>
    <hyperlink ref="D451" r:id="rId1342"/>
    <hyperlink ref="I451" r:id="rId1343" display="http://www.boxofficemojo.com/schedule/?view=bydate&amp;release=theatrical&amp;date=2013-08-09&amp;p=.htm"/>
    <hyperlink ref="C452" r:id="rId1344"/>
    <hyperlink ref="D452" r:id="rId1345"/>
    <hyperlink ref="I452" r:id="rId1346" display="http://www.boxofficemojo.com/schedule/?view=bydate&amp;release=theatrical&amp;date=2013-04-05&amp;p=.htm"/>
    <hyperlink ref="C453" r:id="rId1347"/>
    <hyperlink ref="D453" r:id="rId1348"/>
    <hyperlink ref="I453" r:id="rId1349" display="http://www.boxofficemojo.com/schedule/?view=bydate&amp;release=theatrical&amp;date=2013-11-01&amp;p=.htm"/>
    <hyperlink ref="C454" r:id="rId1350"/>
    <hyperlink ref="D454" r:id="rId1351"/>
    <hyperlink ref="I454" r:id="rId1352" display="http://www.boxofficemojo.com/schedule/?view=bydate&amp;release=theatrical&amp;date=2013-10-04&amp;p=.htm"/>
    <hyperlink ref="C455" r:id="rId1353"/>
    <hyperlink ref="D455" r:id="rId1354"/>
    <hyperlink ref="I455" r:id="rId1355" display="http://www.boxofficemojo.com/schedule/?view=bydate&amp;release=theatrical&amp;date=2013-11-08&amp;p=.htm"/>
    <hyperlink ref="C456" r:id="rId1356"/>
    <hyperlink ref="D456" r:id="rId1357"/>
    <hyperlink ref="I456" r:id="rId1358" display="http://www.boxofficemojo.com/schedule/?view=bydate&amp;release=theatrical&amp;date=2013-10-18&amp;p=.htm"/>
    <hyperlink ref="C457" r:id="rId1359"/>
    <hyperlink ref="D457" r:id="rId1360"/>
    <hyperlink ref="I457" r:id="rId1361" display="http://www.boxofficemojo.com/schedule/?view=bydate&amp;release=theatrical&amp;date=2013-06-07&amp;p=.htm"/>
    <hyperlink ref="C458" r:id="rId1362"/>
    <hyperlink ref="D458" r:id="rId1363"/>
    <hyperlink ref="I458" r:id="rId1364" display="http://www.boxofficemojo.com/schedule/?view=bydate&amp;release=theatrical&amp;date=2013-06-21&amp;p=.htm"/>
    <hyperlink ref="C459" r:id="rId1365"/>
    <hyperlink ref="D459" r:id="rId1366"/>
    <hyperlink ref="I459" r:id="rId1367" display="http://www.boxofficemojo.com/schedule/?view=bydate&amp;release=theatrical&amp;date=2013-11-01&amp;p=.htm"/>
    <hyperlink ref="C460" r:id="rId1368"/>
    <hyperlink ref="D460" r:id="rId1369"/>
    <hyperlink ref="I460" r:id="rId1370" display="http://www.boxofficemojo.com/schedule/?view=bydate&amp;release=theatrical&amp;date=2013-10-25&amp;p=.htm"/>
    <hyperlink ref="C461" r:id="rId1371"/>
    <hyperlink ref="D461" r:id="rId1372"/>
    <hyperlink ref="I461" r:id="rId1373" display="http://www.boxofficemojo.com/schedule/?view=bydate&amp;release=theatrical&amp;date=2013-02-22&amp;p=.htm"/>
    <hyperlink ref="C462" r:id="rId1374"/>
    <hyperlink ref="D462" r:id="rId1375"/>
    <hyperlink ref="I462" r:id="rId1376" display="http://www.boxofficemojo.com/schedule/?view=bydate&amp;release=theatrical&amp;date=2013-05-03&amp;p=.htm"/>
    <hyperlink ref="C463" r:id="rId1377"/>
    <hyperlink ref="D463" r:id="rId1378"/>
    <hyperlink ref="I463" r:id="rId1379" display="http://www.boxofficemojo.com/schedule/?view=bydate&amp;release=theatrical&amp;date=2013-02-01&amp;p=.htm"/>
    <hyperlink ref="C464" r:id="rId1380"/>
    <hyperlink ref="D464" r:id="rId1381"/>
    <hyperlink ref="I464" r:id="rId1382" display="http://www.boxofficemojo.com/schedule/?view=bydate&amp;release=theatrical&amp;date=2013-11-29&amp;p=.htm"/>
    <hyperlink ref="C465" r:id="rId1383"/>
    <hyperlink ref="D465" r:id="rId1384"/>
    <hyperlink ref="I465" r:id="rId1385" display="http://www.boxofficemojo.com/schedule/?view=bydate&amp;release=theatrical&amp;date=2013-09-06&amp;p=.htm"/>
    <hyperlink ref="C466" r:id="rId1386"/>
    <hyperlink ref="D466" r:id="rId1387"/>
    <hyperlink ref="I466" r:id="rId1388" display="http://www.boxofficemojo.com/schedule/?view=bydate&amp;release=theatrical&amp;date=2013-01-11&amp;p=.htm"/>
    <hyperlink ref="C467" r:id="rId1389"/>
    <hyperlink ref="D467" r:id="rId1390"/>
    <hyperlink ref="I467" r:id="rId1391" display="http://www.boxofficemojo.com/schedule/?view=bydate&amp;release=theatrical&amp;date=2013-04-05&amp;p=.htm"/>
    <hyperlink ref="C468" r:id="rId1392"/>
    <hyperlink ref="D468" r:id="rId1393"/>
    <hyperlink ref="I468" r:id="rId1394" display="http://www.boxofficemojo.com/schedule/?view=bydate&amp;release=theatrical&amp;date=2013-10-11&amp;p=.htm"/>
    <hyperlink ref="C469" r:id="rId1395"/>
    <hyperlink ref="D469" r:id="rId1396"/>
    <hyperlink ref="I469" r:id="rId1397" display="http://www.boxofficemojo.com/schedule/?view=bydate&amp;release=theatrical&amp;date=2013-06-07&amp;p=.htm"/>
    <hyperlink ref="C470" r:id="rId1398"/>
    <hyperlink ref="D470" r:id="rId1399"/>
    <hyperlink ref="I470" r:id="rId1400" display="http://www.boxofficemojo.com/schedule/?view=bydate&amp;release=theatrical&amp;date=2013-09-27&amp;p=.htm"/>
    <hyperlink ref="C471" r:id="rId1401"/>
    <hyperlink ref="D471" r:id="rId1402"/>
    <hyperlink ref="I471" r:id="rId1403" display="http://www.boxofficemojo.com/schedule/?view=bydate&amp;release=theatrical&amp;date=2013-03-01&amp;p=.htm"/>
    <hyperlink ref="C472" r:id="rId1404"/>
    <hyperlink ref="D472" r:id="rId1405"/>
    <hyperlink ref="I472" r:id="rId1406" display="http://www.boxofficemojo.com/schedule/?view=bydate&amp;release=theatrical&amp;date=2013-02-15&amp;p=.htm"/>
    <hyperlink ref="C473" r:id="rId1407"/>
    <hyperlink ref="D473" r:id="rId1408"/>
    <hyperlink ref="I473" r:id="rId1409" display="http://www.boxofficemojo.com/schedule/?view=bydate&amp;release=theatrical&amp;date=2013-04-26&amp;p=.htm"/>
    <hyperlink ref="C474" r:id="rId1410"/>
    <hyperlink ref="D474" r:id="rId1411"/>
    <hyperlink ref="I474" r:id="rId1412" display="http://www.boxofficemojo.com/schedule/?view=bydate&amp;release=theatrical&amp;date=2013-10-23&amp;p=.htm"/>
    <hyperlink ref="C475" r:id="rId1413"/>
    <hyperlink ref="D475" r:id="rId1414"/>
    <hyperlink ref="I475" r:id="rId1415" display="http://www.boxofficemojo.com/schedule/?view=bydate&amp;release=theatrical&amp;date=2013-03-08&amp;p=.htm"/>
    <hyperlink ref="C476" r:id="rId1416"/>
    <hyperlink ref="D476" r:id="rId1417"/>
    <hyperlink ref="I476" r:id="rId1418" display="http://www.boxofficemojo.com/schedule/?view=bydate&amp;release=theatrical&amp;date=2013-09-06&amp;p=.htm"/>
    <hyperlink ref="C477" r:id="rId1419"/>
    <hyperlink ref="D477" r:id="rId1420"/>
    <hyperlink ref="I477" r:id="rId1421" display="http://www.boxofficemojo.com/schedule/?view=bydate&amp;release=theatrical&amp;date=2013-04-26&amp;p=.htm"/>
    <hyperlink ref="C478" r:id="rId1422"/>
    <hyperlink ref="D478" r:id="rId1423"/>
    <hyperlink ref="I478" r:id="rId1424" display="http://www.boxofficemojo.com/schedule/?view=bydate&amp;release=theatrical&amp;date=2013-12-06&amp;p=.htm"/>
    <hyperlink ref="C479" r:id="rId1425"/>
    <hyperlink ref="D479" r:id="rId1426"/>
    <hyperlink ref="I479" r:id="rId1427" display="http://www.boxofficemojo.com/schedule/?view=bydate&amp;release=theatrical&amp;date=2013-09-13&amp;p=.htm"/>
    <hyperlink ref="C480" r:id="rId1428"/>
    <hyperlink ref="D480" r:id="rId1429"/>
    <hyperlink ref="I480" r:id="rId1430" display="http://www.boxofficemojo.com/schedule/?view=bydate&amp;release=theatrical&amp;date=2013-11-15&amp;p=.htm"/>
    <hyperlink ref="C481" r:id="rId1431"/>
    <hyperlink ref="D481" r:id="rId1432"/>
    <hyperlink ref="I481" r:id="rId1433" display="http://www.boxofficemojo.com/schedule/?view=bydate&amp;release=theatrical&amp;date=2013-01-18&amp;p=.htm"/>
    <hyperlink ref="C482" r:id="rId1434"/>
    <hyperlink ref="D482" r:id="rId1435"/>
    <hyperlink ref="I482" r:id="rId1436" display="http://www.boxofficemojo.com/schedule/?view=bydate&amp;release=theatrical&amp;date=2013-07-26&amp;p=.htm"/>
    <hyperlink ref="C483" r:id="rId1437"/>
    <hyperlink ref="D483" r:id="rId1438"/>
    <hyperlink ref="I483" r:id="rId1439" display="http://www.boxofficemojo.com/schedule/?view=bydate&amp;release=theatrical&amp;date=2013-08-02&amp;p=.htm"/>
    <hyperlink ref="C484" r:id="rId1440"/>
    <hyperlink ref="D484" r:id="rId1441"/>
    <hyperlink ref="I484" r:id="rId1442" display="http://www.boxofficemojo.com/schedule/?view=bydate&amp;release=theatrical&amp;date=2013-06-07&amp;p=.htm"/>
    <hyperlink ref="C485" r:id="rId1443"/>
    <hyperlink ref="D485" r:id="rId1444"/>
    <hyperlink ref="I485" r:id="rId1445" display="http://www.boxofficemojo.com/schedule/?view=bydate&amp;release=theatrical&amp;date=2013-09-27&amp;p=.htm"/>
    <hyperlink ref="C486" r:id="rId1446"/>
    <hyperlink ref="D486" r:id="rId1447"/>
    <hyperlink ref="I486" r:id="rId1448" display="http://www.boxofficemojo.com/schedule/?view=bydate&amp;release=theatrical&amp;date=2013-10-02&amp;p=.htm"/>
    <hyperlink ref="C487" r:id="rId1449"/>
    <hyperlink ref="D487" r:id="rId1450"/>
    <hyperlink ref="I487" r:id="rId1451" display="http://www.boxofficemojo.com/schedule/?view=bydate&amp;release=theatrical&amp;date=2013-05-17&amp;p=.htm"/>
    <hyperlink ref="C488" r:id="rId1452"/>
    <hyperlink ref="D488" r:id="rId1453"/>
    <hyperlink ref="I488" r:id="rId1454" display="http://www.boxofficemojo.com/schedule/?view=bydate&amp;release=theatrical&amp;date=2013-07-12&amp;p=.htm"/>
    <hyperlink ref="C489" r:id="rId1455"/>
    <hyperlink ref="D489" r:id="rId1456"/>
    <hyperlink ref="I489" r:id="rId1457" display="http://www.boxofficemojo.com/schedule/?view=bydate&amp;release=theatrical&amp;date=2013-03-08&amp;p=.htm"/>
    <hyperlink ref="C490" r:id="rId1458"/>
    <hyperlink ref="D490" r:id="rId1459"/>
    <hyperlink ref="I490" r:id="rId1460" display="http://www.boxofficemojo.com/schedule/?view=bydate&amp;release=theatrical&amp;date=2013-07-12&amp;p=.htm"/>
    <hyperlink ref="C491" r:id="rId1461"/>
    <hyperlink ref="D491" r:id="rId1462"/>
    <hyperlink ref="I491" r:id="rId1463" display="http://www.boxofficemojo.com/schedule/?view=bydate&amp;release=theatrical&amp;date=2013-08-17&amp;p=.htm"/>
    <hyperlink ref="C492" r:id="rId1464"/>
    <hyperlink ref="D492" r:id="rId1465"/>
    <hyperlink ref="I492" r:id="rId1466" display="http://www.boxofficemojo.com/schedule/?view=bydate&amp;release=theatrical&amp;date=2013-03-29&amp;p=.htm"/>
    <hyperlink ref="C493" r:id="rId1467"/>
    <hyperlink ref="D493" r:id="rId1468"/>
    <hyperlink ref="I493" r:id="rId1469" display="http://www.boxofficemojo.com/schedule/?view=bydate&amp;release=theatrical&amp;date=2013-09-06&amp;p=.htm"/>
    <hyperlink ref="C494" r:id="rId1470"/>
    <hyperlink ref="D494" r:id="rId1471"/>
    <hyperlink ref="I494" r:id="rId1472" display="http://www.boxofficemojo.com/schedule/?view=bydate&amp;release=theatrical&amp;date=2013-07-05&amp;p=.htm"/>
    <hyperlink ref="C495" r:id="rId1473"/>
    <hyperlink ref="D495" r:id="rId1474"/>
    <hyperlink ref="I495" r:id="rId1475" display="http://www.boxofficemojo.com/schedule/?view=bydate&amp;release=theatrical&amp;date=2013-05-10&amp;p=.htm"/>
    <hyperlink ref="C496" r:id="rId1476"/>
    <hyperlink ref="D496" r:id="rId1477"/>
    <hyperlink ref="I496" r:id="rId1478" display="http://www.boxofficemojo.com/schedule/?view=bydate&amp;release=theatrical&amp;date=2013-11-08&amp;p=.htm"/>
    <hyperlink ref="C497" r:id="rId1479"/>
    <hyperlink ref="D497" r:id="rId1480"/>
    <hyperlink ref="I497" r:id="rId1481" display="http://www.boxofficemojo.com/schedule/?view=bydate&amp;release=theatrical&amp;date=2013-08-30&amp;p=.htm"/>
    <hyperlink ref="C498" r:id="rId1482"/>
    <hyperlink ref="D498" r:id="rId1483"/>
    <hyperlink ref="I498" r:id="rId1484" display="http://www.boxofficemojo.com/schedule/?view=bydate&amp;release=theatrical&amp;date=2013-03-22&amp;p=.htm"/>
    <hyperlink ref="C499" r:id="rId1485"/>
    <hyperlink ref="D499" r:id="rId1486"/>
    <hyperlink ref="I499" r:id="rId1487" display="http://www.boxofficemojo.com/schedule/?view=bydate&amp;release=theatrical&amp;date=2013-07-24&amp;p=.htm"/>
    <hyperlink ref="C500" r:id="rId1488"/>
    <hyperlink ref="D500" r:id="rId1489"/>
    <hyperlink ref="I500" r:id="rId1490" display="http://www.boxofficemojo.com/schedule/?view=bydate&amp;release=theatrical&amp;date=2013-09-27&amp;p=.htm"/>
    <hyperlink ref="C501" r:id="rId1491"/>
    <hyperlink ref="D501" r:id="rId1492"/>
    <hyperlink ref="I501" r:id="rId1493" display="http://www.boxofficemojo.com/schedule/?view=bydate&amp;release=theatrical&amp;date=2013-03-22&amp;p=.htm"/>
    <hyperlink ref="C502" r:id="rId1494"/>
    <hyperlink ref="D502" r:id="rId1495"/>
    <hyperlink ref="I502" r:id="rId1496" display="http://www.boxofficemojo.com/schedule/?view=bydate&amp;release=theatrical&amp;date=2013-10-04&amp;p=.htm"/>
    <hyperlink ref="C503" r:id="rId1497"/>
    <hyperlink ref="D503" r:id="rId1498"/>
    <hyperlink ref="I503" r:id="rId1499" display="http://www.boxofficemojo.com/schedule/?view=bydate&amp;release=theatrical&amp;date=2013-08-09&amp;p=.htm"/>
    <hyperlink ref="C504" r:id="rId1500"/>
    <hyperlink ref="D504" r:id="rId1501"/>
    <hyperlink ref="I504" r:id="rId1502" display="http://www.boxofficemojo.com/schedule/?view=bydate&amp;release=theatrical&amp;date=2013-07-31&amp;p=.htm"/>
    <hyperlink ref="C505" r:id="rId1503"/>
    <hyperlink ref="D505" r:id="rId1504"/>
    <hyperlink ref="I505" r:id="rId1505" display="http://www.boxofficemojo.com/schedule/?view=bydate&amp;release=theatrical&amp;date=2013-06-07&amp;p=.htm"/>
    <hyperlink ref="C506" r:id="rId1506"/>
    <hyperlink ref="D506" r:id="rId1507"/>
    <hyperlink ref="I506" r:id="rId1508" display="http://www.boxofficemojo.com/schedule/?view=bydate&amp;release=theatrical&amp;date=2013-05-31&amp;p=.htm"/>
    <hyperlink ref="C507" r:id="rId1509"/>
    <hyperlink ref="D507" r:id="rId1510"/>
    <hyperlink ref="I507" r:id="rId1511" display="http://www.boxofficemojo.com/schedule/?view=bydate&amp;release=theatrical&amp;date=2013-02-08&amp;p=.htm"/>
    <hyperlink ref="C508" r:id="rId1512"/>
    <hyperlink ref="D508" r:id="rId1513"/>
    <hyperlink ref="I508" r:id="rId1514" display="http://www.boxofficemojo.com/schedule/?view=bydate&amp;release=theatrical&amp;date=2013-09-20&amp;p=.htm"/>
    <hyperlink ref="C509" r:id="rId1515"/>
    <hyperlink ref="D509" r:id="rId1516"/>
    <hyperlink ref="I509" r:id="rId1517" display="http://www.boxofficemojo.com/schedule/?view=bydate&amp;release=theatrical&amp;date=2013-05-31&amp;p=.htm"/>
    <hyperlink ref="C510" r:id="rId1518"/>
    <hyperlink ref="D510" r:id="rId1519"/>
    <hyperlink ref="I510" r:id="rId1520" display="http://www.boxofficemojo.com/schedule/?view=bydate&amp;release=theatrical&amp;date=2013-01-11&amp;p=.htm"/>
    <hyperlink ref="C511" r:id="rId1521"/>
    <hyperlink ref="D511" r:id="rId1522"/>
    <hyperlink ref="I511" r:id="rId1523" display="http://www.boxofficemojo.com/schedule/?view=bydate&amp;release=theatrical&amp;date=2013-05-24&amp;p=.htm"/>
    <hyperlink ref="C512" r:id="rId1524"/>
    <hyperlink ref="D512" r:id="rId1525"/>
    <hyperlink ref="I512" r:id="rId1526" display="http://www.boxofficemojo.com/schedule/?view=bydate&amp;release=theatrical&amp;date=2013-12-06&amp;p=.htm"/>
    <hyperlink ref="C513" r:id="rId1527"/>
    <hyperlink ref="D513" r:id="rId1528"/>
    <hyperlink ref="I513" r:id="rId1529" display="http://www.boxofficemojo.com/schedule/?view=bydate&amp;release=theatrical&amp;date=2013-10-18&amp;p=.htm"/>
    <hyperlink ref="C514" r:id="rId1530"/>
    <hyperlink ref="D514" r:id="rId1531"/>
    <hyperlink ref="I514" r:id="rId1532" display="http://www.boxofficemojo.com/schedule/?view=bydate&amp;release=theatrical&amp;date=2013-11-01&amp;p=.htm"/>
    <hyperlink ref="C515" r:id="rId1533"/>
    <hyperlink ref="D515" r:id="rId1534"/>
    <hyperlink ref="I515" r:id="rId1535" display="http://www.boxofficemojo.com/schedule/?view=bydate&amp;release=theatrical&amp;date=2013-08-02&amp;p=.htm"/>
    <hyperlink ref="C516" r:id="rId1536"/>
    <hyperlink ref="D516" r:id="rId1537"/>
    <hyperlink ref="I516" r:id="rId1538" display="http://www.boxofficemojo.com/schedule/?view=bydate&amp;release=theatrical&amp;date=2013-07-12&amp;p=.htm"/>
    <hyperlink ref="C517" r:id="rId1539"/>
    <hyperlink ref="D517" r:id="rId1540"/>
    <hyperlink ref="I517" r:id="rId1541" display="http://www.boxofficemojo.com/schedule/?view=bydate&amp;release=theatrical&amp;date=2013-03-29&amp;p=.htm"/>
    <hyperlink ref="C518" r:id="rId1542"/>
    <hyperlink ref="D518" r:id="rId1543"/>
    <hyperlink ref="I518" r:id="rId1544" display="http://www.boxofficemojo.com/schedule/?view=bydate&amp;release=theatrical&amp;date=2013-05-31&amp;p=.htm"/>
    <hyperlink ref="C519" r:id="rId1545"/>
    <hyperlink ref="D519" r:id="rId1546"/>
    <hyperlink ref="I519" r:id="rId1547" display="http://www.boxofficemojo.com/schedule/?view=bydate&amp;release=theatrical&amp;date=2013-06-07&amp;p=.htm"/>
    <hyperlink ref="C520" r:id="rId1548"/>
    <hyperlink ref="D520" r:id="rId1549"/>
    <hyperlink ref="I520" r:id="rId1550" display="http://www.boxofficemojo.com/schedule/?view=bydate&amp;release=theatrical&amp;date=2013-03-22&amp;p=.htm"/>
    <hyperlink ref="C521" r:id="rId1551"/>
    <hyperlink ref="D521" r:id="rId1552"/>
    <hyperlink ref="I521" r:id="rId1553" display="http://www.boxofficemojo.com/schedule/?view=bydate&amp;release=theatrical&amp;date=2013-02-08&amp;p=.htm"/>
    <hyperlink ref="C522" r:id="rId1554"/>
    <hyperlink ref="D522" r:id="rId1555"/>
    <hyperlink ref="I522" r:id="rId1556" display="http://www.boxofficemojo.com/schedule/?view=bydate&amp;release=theatrical&amp;date=2013-10-11&amp;p=.htm"/>
    <hyperlink ref="C523" r:id="rId1557"/>
    <hyperlink ref="D523" r:id="rId1558"/>
    <hyperlink ref="I523" r:id="rId1559" display="http://www.boxofficemojo.com/schedule/?view=bydate&amp;release=theatrical&amp;date=2013-10-11&amp;p=.htm"/>
    <hyperlink ref="C524" r:id="rId1560"/>
    <hyperlink ref="D524" r:id="rId1561"/>
    <hyperlink ref="I524" r:id="rId1562" display="http://www.boxofficemojo.com/schedule/?view=bydate&amp;release=theatrical&amp;date=2013-09-06&amp;p=.htm"/>
    <hyperlink ref="C525" r:id="rId1563"/>
    <hyperlink ref="D525" r:id="rId1564"/>
    <hyperlink ref="I525" r:id="rId1565" display="http://www.boxofficemojo.com/schedule/?view=bydate&amp;release=theatrical&amp;date=2013-08-30&amp;p=.htm"/>
    <hyperlink ref="C526" r:id="rId1566"/>
    <hyperlink ref="D526" r:id="rId1567"/>
    <hyperlink ref="I526" r:id="rId1568" display="http://www.boxofficemojo.com/schedule/?view=bydate&amp;release=theatrical&amp;date=2013-09-13&amp;p=.htm"/>
    <hyperlink ref="C527" r:id="rId1569"/>
    <hyperlink ref="D527" r:id="rId1570"/>
    <hyperlink ref="I527" r:id="rId1571" display="http://www.boxofficemojo.com/schedule/?view=bydate&amp;release=theatrical&amp;date=2013-05-03&amp;p=.htm"/>
    <hyperlink ref="C528" r:id="rId1572"/>
    <hyperlink ref="D528" r:id="rId1573"/>
    <hyperlink ref="I528" r:id="rId1574" display="http://www.boxofficemojo.com/schedule/?view=bydate&amp;release=theatrical&amp;date=2013-11-29&amp;p=.htm"/>
    <hyperlink ref="C529" r:id="rId1575"/>
    <hyperlink ref="D529" r:id="rId1576"/>
    <hyperlink ref="I529" r:id="rId1577" display="http://www.boxofficemojo.com/schedule/?view=bydate&amp;release=theatrical&amp;date=2013-08-18&amp;p=.htm"/>
    <hyperlink ref="C530" r:id="rId1578"/>
    <hyperlink ref="D530" r:id="rId1579"/>
    <hyperlink ref="I530" r:id="rId1580" display="http://www.boxofficemojo.com/schedule/?view=bydate&amp;release=theatrical&amp;date=2013-05-24&amp;p=.htm"/>
    <hyperlink ref="C531" r:id="rId1581"/>
    <hyperlink ref="D531" r:id="rId1582"/>
    <hyperlink ref="I531" r:id="rId1583" display="http://www.boxofficemojo.com/schedule/?view=bydate&amp;release=theatrical&amp;date=2013-09-06&amp;p=.htm"/>
    <hyperlink ref="C532" r:id="rId1584"/>
    <hyperlink ref="D532" r:id="rId1585"/>
    <hyperlink ref="I532" r:id="rId1586" display="http://www.boxofficemojo.com/schedule/?view=bydate&amp;release=theatrical&amp;date=2013-06-06&amp;p=.htm"/>
    <hyperlink ref="C533" r:id="rId1587"/>
    <hyperlink ref="D533" r:id="rId1588"/>
    <hyperlink ref="I533" r:id="rId1589" display="http://www.boxofficemojo.com/schedule/?view=bydate&amp;release=theatrical&amp;date=2013-06-21&amp;p=.htm"/>
    <hyperlink ref="C534" r:id="rId1590"/>
    <hyperlink ref="D534" r:id="rId1591"/>
    <hyperlink ref="I534" r:id="rId1592" display="http://www.boxofficemojo.com/schedule/?view=bydate&amp;release=theatrical&amp;date=2013-03-22&amp;p=.htm"/>
    <hyperlink ref="C535" r:id="rId1593"/>
    <hyperlink ref="D535" r:id="rId1594"/>
    <hyperlink ref="I535" r:id="rId1595" display="http://www.boxofficemojo.com/schedule/?view=bydate&amp;release=theatrical&amp;date=2013-03-08&amp;p=.htm"/>
    <hyperlink ref="C536" r:id="rId1596"/>
    <hyperlink ref="D536" r:id="rId1597"/>
    <hyperlink ref="I536" r:id="rId1598" display="http://www.boxofficemojo.com/schedule/?view=bydate&amp;release=theatrical&amp;date=2013-09-06&amp;p=.htm"/>
    <hyperlink ref="C537" r:id="rId1599"/>
    <hyperlink ref="D537" r:id="rId1600"/>
    <hyperlink ref="I537" r:id="rId1601" display="http://www.boxofficemojo.com/schedule/?view=bydate&amp;release=theatrical&amp;date=2013-05-24&amp;p=.htm"/>
    <hyperlink ref="C538" r:id="rId1602"/>
    <hyperlink ref="D538" r:id="rId1603"/>
    <hyperlink ref="I538" r:id="rId1604" display="http://www.boxofficemojo.com/schedule/?view=bydate&amp;release=theatrical&amp;date=2013-10-18&amp;p=.htm"/>
    <hyperlink ref="C539" r:id="rId1605"/>
    <hyperlink ref="D539" r:id="rId1606"/>
    <hyperlink ref="I539" r:id="rId1607" display="http://www.boxofficemojo.com/schedule/?view=bydate&amp;release=theatrical&amp;date=2013-12-20&amp;p=.htm"/>
    <hyperlink ref="C540" r:id="rId1608"/>
    <hyperlink ref="D540" r:id="rId1609"/>
    <hyperlink ref="I540" r:id="rId1610" display="http://www.boxofficemojo.com/schedule/?view=bydate&amp;release=theatrical&amp;date=2013-10-18&amp;p=.htm"/>
    <hyperlink ref="C541" r:id="rId1611"/>
    <hyperlink ref="D541" r:id="rId1612"/>
    <hyperlink ref="I541" r:id="rId1613" display="http://www.boxofficemojo.com/schedule/?view=bydate&amp;release=theatrical&amp;date=2013-06-14&amp;p=.htm"/>
    <hyperlink ref="C542" r:id="rId1614"/>
    <hyperlink ref="D542" r:id="rId1615"/>
    <hyperlink ref="I542" r:id="rId1616" display="http://www.boxofficemojo.com/schedule/?view=bydate&amp;release=theatrical&amp;date=2013-11-15&amp;p=.htm"/>
    <hyperlink ref="C543" r:id="rId1617"/>
    <hyperlink ref="D543" r:id="rId1618"/>
    <hyperlink ref="I543" r:id="rId1619" display="http://www.boxofficemojo.com/schedule/?view=bydate&amp;release=theatrical&amp;date=2013-09-06&amp;p=.htm"/>
    <hyperlink ref="C544" r:id="rId1620"/>
    <hyperlink ref="D544" r:id="rId1621"/>
    <hyperlink ref="I544" r:id="rId1622" display="http://www.boxofficemojo.com/schedule/?view=bydate&amp;release=theatrical&amp;date=2013-07-05&amp;p=.htm"/>
    <hyperlink ref="C545" r:id="rId1623"/>
    <hyperlink ref="D545" r:id="rId1624"/>
    <hyperlink ref="I545" r:id="rId1625" display="http://www.boxofficemojo.com/schedule/?view=bydate&amp;release=theatrical&amp;date=2013-06-14&amp;p=.htm"/>
    <hyperlink ref="C546" r:id="rId1626"/>
    <hyperlink ref="D546" r:id="rId1627"/>
    <hyperlink ref="I546" r:id="rId1628" display="http://www.boxofficemojo.com/schedule/?view=bydate&amp;release=theatrical&amp;date=2013-05-03&amp;p=.htm"/>
    <hyperlink ref="C547" r:id="rId1629"/>
    <hyperlink ref="D547" r:id="rId1630"/>
    <hyperlink ref="I547" r:id="rId1631" display="http://www.boxofficemojo.com/schedule/?view=bydate&amp;release=theatrical&amp;date=2013-03-22&amp;p=.htm"/>
    <hyperlink ref="C548" r:id="rId1632"/>
    <hyperlink ref="D548" r:id="rId1633"/>
    <hyperlink ref="I548" r:id="rId1634" display="http://www.boxofficemojo.com/schedule/?view=bydate&amp;release=theatrical&amp;date=2013-06-21&amp;p=.htm"/>
    <hyperlink ref="C549" r:id="rId1635"/>
    <hyperlink ref="D549" r:id="rId1636"/>
    <hyperlink ref="I549" r:id="rId1637" display="http://www.boxofficemojo.com/schedule/?view=bydate&amp;release=theatrical&amp;date=2013-04-12&amp;p=.htm"/>
    <hyperlink ref="C550" r:id="rId1638"/>
    <hyperlink ref="D550" r:id="rId1639"/>
    <hyperlink ref="I550" r:id="rId1640" display="http://www.boxofficemojo.com/schedule/?view=bydate&amp;release=theatrical&amp;date=2013-10-25&amp;p=.htm"/>
    <hyperlink ref="C551" r:id="rId1641"/>
    <hyperlink ref="D551" r:id="rId1642"/>
    <hyperlink ref="I551" r:id="rId1643" display="http://www.boxofficemojo.com/schedule/?view=bydate&amp;release=theatrical&amp;date=2013-02-08&amp;p=.htm"/>
    <hyperlink ref="C552" r:id="rId1644"/>
    <hyperlink ref="D552" r:id="rId1645"/>
    <hyperlink ref="I552" r:id="rId1646" display="http://www.boxofficemojo.com/schedule/?view=bydate&amp;release=theatrical&amp;date=2013-06-29&amp;p=.htm"/>
    <hyperlink ref="C553" r:id="rId1647"/>
    <hyperlink ref="D553" r:id="rId1648"/>
    <hyperlink ref="I553" r:id="rId1649" display="http://www.boxofficemojo.com/schedule/?view=bydate&amp;release=theatrical&amp;date=2013-02-15&amp;p=.htm"/>
    <hyperlink ref="C554" r:id="rId1650"/>
    <hyperlink ref="D554" r:id="rId1651"/>
    <hyperlink ref="I554" r:id="rId1652" display="http://www.boxofficemojo.com/schedule/?view=bydate&amp;release=theatrical&amp;date=2013-05-17&amp;p=.htm"/>
    <hyperlink ref="C555" r:id="rId1653"/>
    <hyperlink ref="D555" r:id="rId1654"/>
    <hyperlink ref="I555" r:id="rId1655" display="http://www.boxofficemojo.com/schedule/?view=bydate&amp;release=theatrical&amp;date=2013-12-13&amp;p=.htm"/>
    <hyperlink ref="C556" r:id="rId1656"/>
    <hyperlink ref="D556" r:id="rId1657"/>
    <hyperlink ref="I556" r:id="rId1658" display="http://www.boxofficemojo.com/schedule/?view=bydate&amp;release=theatrical&amp;date=2013-09-25&amp;p=.htm"/>
    <hyperlink ref="C557" r:id="rId1659"/>
    <hyperlink ref="D557" r:id="rId1660"/>
    <hyperlink ref="I557" r:id="rId1661" display="http://www.boxofficemojo.com/schedule/?view=bydate&amp;release=theatrical&amp;date=2013-09-13&amp;p=.htm"/>
    <hyperlink ref="C558" r:id="rId1662"/>
    <hyperlink ref="D558" r:id="rId1663"/>
    <hyperlink ref="I558" r:id="rId1664" display="http://www.boxofficemojo.com/schedule/?view=bydate&amp;release=theatrical&amp;date=2013-10-30&amp;p=.htm"/>
    <hyperlink ref="C559" r:id="rId1665"/>
    <hyperlink ref="D559" r:id="rId1666"/>
    <hyperlink ref="I559" r:id="rId1667" display="http://www.boxofficemojo.com/schedule/?view=bydate&amp;release=theatrical&amp;date=2013-08-16&amp;p=.htm"/>
    <hyperlink ref="C560" r:id="rId1668"/>
    <hyperlink ref="D560" r:id="rId1669"/>
    <hyperlink ref="I560" r:id="rId1670" display="http://www.boxofficemojo.com/schedule/?view=bydate&amp;release=theatrical&amp;date=2013-10-18&amp;p=.htm"/>
    <hyperlink ref="C561" r:id="rId1671"/>
    <hyperlink ref="D561" r:id="rId1672"/>
    <hyperlink ref="I561" r:id="rId1673" display="http://www.boxofficemojo.com/schedule/?view=bydate&amp;release=theatrical&amp;date=2013-03-27&amp;p=.htm"/>
    <hyperlink ref="C562" r:id="rId1674"/>
    <hyperlink ref="D562" r:id="rId1675"/>
    <hyperlink ref="I562" r:id="rId1676" display="http://www.boxofficemojo.com/schedule/?view=bydate&amp;release=theatrical&amp;date=2013-09-25&amp;p=.htm"/>
    <hyperlink ref="C563" r:id="rId1677"/>
    <hyperlink ref="D563" r:id="rId1678"/>
    <hyperlink ref="I563" r:id="rId1679" display="http://www.boxofficemojo.com/schedule/?view=bydate&amp;release=theatrical&amp;date=2013-09-20&amp;p=.htm"/>
    <hyperlink ref="C564" r:id="rId1680"/>
    <hyperlink ref="D564" r:id="rId1681"/>
    <hyperlink ref="I564" r:id="rId1682" display="http://www.boxofficemojo.com/schedule/?view=bydate&amp;release=theatrical&amp;date=2013-03-15&amp;p=.htm"/>
    <hyperlink ref="C565" r:id="rId1683"/>
    <hyperlink ref="D565" r:id="rId1684"/>
    <hyperlink ref="I565" r:id="rId1685" display="http://www.boxofficemojo.com/schedule/?view=bydate&amp;release=theatrical&amp;date=2013-10-11&amp;p=.htm"/>
    <hyperlink ref="C566" r:id="rId1686"/>
    <hyperlink ref="D566" r:id="rId1687"/>
    <hyperlink ref="I566" r:id="rId1688" display="http://www.boxofficemojo.com/schedule/?view=bydate&amp;release=theatrical&amp;date=2013-03-01&amp;p=.htm"/>
    <hyperlink ref="C567" r:id="rId1689"/>
    <hyperlink ref="D567" r:id="rId1690"/>
    <hyperlink ref="I567" r:id="rId1691" display="http://www.boxofficemojo.com/schedule/?view=bydate&amp;release=theatrical&amp;date=2013-06-14&amp;p=.htm"/>
    <hyperlink ref="C568" r:id="rId1692"/>
    <hyperlink ref="D568" r:id="rId1693"/>
    <hyperlink ref="I568" r:id="rId1694" display="http://www.boxofficemojo.com/schedule/?view=bydate&amp;release=theatrical&amp;date=2013-03-15&amp;p=.htm"/>
    <hyperlink ref="C569" r:id="rId1695"/>
    <hyperlink ref="D569" r:id="rId1696"/>
    <hyperlink ref="I569" r:id="rId1697" display="http://www.boxofficemojo.com/schedule/?view=bydate&amp;release=theatrical&amp;date=2013-02-22&amp;p=.htm"/>
    <hyperlink ref="C570" r:id="rId1698"/>
    <hyperlink ref="D570" r:id="rId1699"/>
    <hyperlink ref="I570" r:id="rId1700" display="http://www.boxofficemojo.com/schedule/?view=bydate&amp;release=theatrical&amp;date=2013-10-11&amp;p=.htm"/>
    <hyperlink ref="C571" r:id="rId1701"/>
    <hyperlink ref="D571" r:id="rId1702"/>
    <hyperlink ref="I571" r:id="rId1703" display="http://www.boxofficemojo.com/schedule/?view=bydate&amp;release=theatrical&amp;date=2013-10-11&amp;p=.htm"/>
    <hyperlink ref="C572" r:id="rId1704"/>
    <hyperlink ref="D572" r:id="rId1705"/>
    <hyperlink ref="I572" r:id="rId1706" display="http://www.boxofficemojo.com/schedule/?view=bydate&amp;release=theatrical&amp;date=2013-06-14&amp;p=.htm"/>
    <hyperlink ref="C573" r:id="rId1707"/>
    <hyperlink ref="D573" r:id="rId1708"/>
    <hyperlink ref="I573" r:id="rId1709" display="http://www.boxofficemojo.com/schedule/?view=bydate&amp;release=theatrical&amp;date=2013-01-18&amp;p=.htm"/>
    <hyperlink ref="C574" r:id="rId1710"/>
    <hyperlink ref="D574" r:id="rId1711"/>
    <hyperlink ref="I574" r:id="rId1712" display="http://www.boxofficemojo.com/schedule/?view=bydate&amp;release=theatrical&amp;date=2013-07-19&amp;p=.htm"/>
    <hyperlink ref="C575" r:id="rId1713"/>
    <hyperlink ref="D575" r:id="rId1714"/>
    <hyperlink ref="I575" r:id="rId1715" display="http://www.boxofficemojo.com/schedule/?view=bydate&amp;release=theatrical&amp;date=2013-03-29&amp;p=.htm"/>
    <hyperlink ref="C576" r:id="rId1716"/>
    <hyperlink ref="D576" r:id="rId1717"/>
    <hyperlink ref="I576" r:id="rId1718" display="http://www.boxofficemojo.com/schedule/?view=bydate&amp;release=theatrical&amp;date=2013-09-06&amp;p=.htm"/>
    <hyperlink ref="C577" r:id="rId1719"/>
    <hyperlink ref="D577" r:id="rId1720"/>
    <hyperlink ref="I577" r:id="rId1721" display="http://www.boxofficemojo.com/schedule/?view=bydate&amp;release=theatrical&amp;date=2013-10-04&amp;p=.htm"/>
    <hyperlink ref="C578" r:id="rId1722"/>
    <hyperlink ref="D578" r:id="rId1723"/>
    <hyperlink ref="I578" r:id="rId1724" display="http://www.boxofficemojo.com/schedule/?view=bydate&amp;release=theatrical&amp;date=2013-06-07&amp;p=.htm"/>
    <hyperlink ref="C579" r:id="rId1725"/>
    <hyperlink ref="D579" r:id="rId1726"/>
    <hyperlink ref="I579" r:id="rId1727" display="http://www.boxofficemojo.com/schedule/?view=bydate&amp;release=theatrical&amp;date=2013-08-16&amp;p=.htm"/>
    <hyperlink ref="C580" r:id="rId1728"/>
    <hyperlink ref="D580" r:id="rId1729"/>
    <hyperlink ref="I580" r:id="rId1730" display="http://www.boxofficemojo.com/schedule/?view=bydate&amp;release=theatrical&amp;date=2013-06-21&amp;p=.htm"/>
    <hyperlink ref="C581" r:id="rId1731"/>
    <hyperlink ref="D581" r:id="rId1732"/>
    <hyperlink ref="I581" r:id="rId1733" display="http://www.boxofficemojo.com/schedule/?view=bydate&amp;release=theatrical&amp;date=2013-09-06&amp;p=.htm"/>
    <hyperlink ref="C582" r:id="rId1734"/>
    <hyperlink ref="D582" r:id="rId1735"/>
    <hyperlink ref="I582" r:id="rId1736" display="http://www.boxofficemojo.com/schedule/?view=bydate&amp;release=theatrical&amp;date=2013-06-14&amp;p=.htm"/>
    <hyperlink ref="C583" r:id="rId1737"/>
    <hyperlink ref="D583" r:id="rId1738"/>
    <hyperlink ref="I583" r:id="rId1739" display="http://www.boxofficemojo.com/schedule/?view=bydate&amp;release=theatrical&amp;date=2013-10-04&amp;p=.htm"/>
    <hyperlink ref="C584" r:id="rId1740"/>
    <hyperlink ref="D584" r:id="rId1741"/>
    <hyperlink ref="I584" r:id="rId1742" display="http://www.boxofficemojo.com/schedule/?view=bydate&amp;release=theatrical&amp;date=2013-12-13&amp;p=.htm"/>
    <hyperlink ref="C585" r:id="rId1743"/>
    <hyperlink ref="D585" r:id="rId1744"/>
    <hyperlink ref="I585" r:id="rId1745" display="http://www.boxofficemojo.com/schedule/?view=bydate&amp;release=theatrical&amp;date=2013-09-04&amp;p=.htm"/>
    <hyperlink ref="C586" r:id="rId1746"/>
    <hyperlink ref="D586" r:id="rId1747"/>
    <hyperlink ref="I586" r:id="rId1748" display="http://www.boxofficemojo.com/schedule/?view=bydate&amp;release=theatrical&amp;date=2013-07-12&amp;p=.htm"/>
    <hyperlink ref="C587" r:id="rId1749"/>
    <hyperlink ref="D587" r:id="rId1750"/>
    <hyperlink ref="I587" r:id="rId1751" display="http://www.boxofficemojo.com/schedule/?view=bydate&amp;release=theatrical&amp;date=2013-10-04&amp;p=.htm"/>
    <hyperlink ref="C588" r:id="rId1752"/>
    <hyperlink ref="D588" r:id="rId1753"/>
    <hyperlink ref="I588" r:id="rId1754" display="http://www.boxofficemojo.com/schedule/?view=bydate&amp;release=theatrical&amp;date=2013-09-13&amp;p=.htm"/>
    <hyperlink ref="C589" r:id="rId1755"/>
    <hyperlink ref="D589" r:id="rId1756"/>
    <hyperlink ref="I589" r:id="rId1757" display="http://www.boxofficemojo.com/schedule/?view=bydate&amp;release=theatrical&amp;date=2013-02-01&amp;p=.htm"/>
    <hyperlink ref="C590" r:id="rId1758"/>
    <hyperlink ref="D590" r:id="rId1759"/>
    <hyperlink ref="I590" r:id="rId1760" display="http://www.boxofficemojo.com/schedule/?view=bydate&amp;release=theatrical&amp;date=2013-05-03&amp;p=.htm"/>
    <hyperlink ref="C591" r:id="rId1761"/>
    <hyperlink ref="D591" r:id="rId1762"/>
    <hyperlink ref="I591" r:id="rId1763" display="http://www.boxofficemojo.com/schedule/?view=bydate&amp;release=theatrical&amp;date=2013-11-01&amp;p=.htm"/>
    <hyperlink ref="C592" r:id="rId1764"/>
    <hyperlink ref="D592" r:id="rId1765"/>
    <hyperlink ref="I592" r:id="rId1766" display="http://www.boxofficemojo.com/schedule/?view=bydate&amp;release=theatrical&amp;date=2013-04-05&amp;p=.htm"/>
    <hyperlink ref="C593" r:id="rId1767"/>
    <hyperlink ref="D593" r:id="rId1768"/>
    <hyperlink ref="I593" r:id="rId1769" display="http://www.boxofficemojo.com/schedule/?view=bydate&amp;release=theatrical&amp;date=2013-11-08&amp;p=.htm"/>
    <hyperlink ref="C594" r:id="rId1770"/>
    <hyperlink ref="D594" r:id="rId1771"/>
    <hyperlink ref="I594" r:id="rId1772" display="http://www.boxofficemojo.com/schedule/?view=bydate&amp;release=theatrical&amp;date=2013-06-20&amp;p=.htm"/>
    <hyperlink ref="C595" r:id="rId1773"/>
    <hyperlink ref="D595" r:id="rId1774"/>
    <hyperlink ref="I595" r:id="rId1775" display="http://www.boxofficemojo.com/schedule/?view=bydate&amp;release=theatrical&amp;date=2013-11-01&amp;p=.htm"/>
    <hyperlink ref="C596" r:id="rId1776"/>
    <hyperlink ref="D596" r:id="rId1777"/>
    <hyperlink ref="I596" r:id="rId1778" display="http://www.boxofficemojo.com/schedule/?view=bydate&amp;release=theatrical&amp;date=2013-10-18&amp;p=.htm"/>
    <hyperlink ref="C597" r:id="rId1779"/>
    <hyperlink ref="D597" r:id="rId1780"/>
    <hyperlink ref="I597" r:id="rId1781" display="http://www.boxofficemojo.com/schedule/?view=bydate&amp;release=theatrical&amp;date=2013-12-06&amp;p=.htm"/>
    <hyperlink ref="C598" r:id="rId1782"/>
    <hyperlink ref="D598" r:id="rId1783"/>
    <hyperlink ref="I598" r:id="rId1784" display="http://www.boxofficemojo.com/schedule/?view=bydate&amp;release=theatrical&amp;date=2013-12-04&amp;p=.htm"/>
    <hyperlink ref="C599" r:id="rId1785"/>
    <hyperlink ref="D599" r:id="rId1786"/>
    <hyperlink ref="I599" r:id="rId1787" display="http://www.boxofficemojo.com/schedule/?view=bydate&amp;release=theatrical&amp;date=2013-01-18&amp;p=.htm"/>
    <hyperlink ref="C600" r:id="rId1788"/>
    <hyperlink ref="D600" r:id="rId1789"/>
    <hyperlink ref="I600" r:id="rId1790" display="http://www.boxofficemojo.com/schedule/?view=bydate&amp;release=theatrical&amp;date=2013-04-05&amp;p=.htm"/>
    <hyperlink ref="C601" r:id="rId1791"/>
    <hyperlink ref="D601" r:id="rId1792"/>
    <hyperlink ref="I601" r:id="rId1793" display="http://www.boxofficemojo.com/schedule/?view=bydate&amp;release=theatrical&amp;date=2013-08-23&amp;p=.htm"/>
    <hyperlink ref="C602" r:id="rId1794"/>
    <hyperlink ref="D602" r:id="rId1795"/>
    <hyperlink ref="I602" r:id="rId1796" display="http://www.boxofficemojo.com/schedule/?view=bydate&amp;release=theatrical&amp;date=2013-12-13&amp;p=.htm"/>
    <hyperlink ref="C603" r:id="rId1797"/>
    <hyperlink ref="D603" r:id="rId1798"/>
    <hyperlink ref="I603" r:id="rId1799" display="http://www.boxofficemojo.com/schedule/?view=bydate&amp;release=theatrical&amp;date=2013-06-28&amp;p=.htm"/>
    <hyperlink ref="C604" r:id="rId1800"/>
    <hyperlink ref="D604" r:id="rId1801"/>
    <hyperlink ref="I604" r:id="rId1802" display="http://www.boxofficemojo.com/schedule/?view=bydate&amp;release=theatrical&amp;date=2013-02-22&amp;p=.htm"/>
    <hyperlink ref="C605" r:id="rId1803"/>
    <hyperlink ref="D605" r:id="rId1804"/>
    <hyperlink ref="I605" r:id="rId1805" display="http://www.boxofficemojo.com/schedule/?view=bydate&amp;release=theatrical&amp;date=2013-10-11&amp;p=.htm"/>
    <hyperlink ref="C606" r:id="rId1806"/>
    <hyperlink ref="D606" r:id="rId1807"/>
    <hyperlink ref="I606" r:id="rId1808" display="http://www.boxofficemojo.com/schedule/?view=bydate&amp;release=theatrical&amp;date=2013-08-16&amp;p=.htm"/>
    <hyperlink ref="C607" r:id="rId1809"/>
    <hyperlink ref="D607" r:id="rId1810"/>
    <hyperlink ref="I607" r:id="rId1811" display="http://www.boxofficemojo.com/schedule/?view=bydate&amp;release=theatrical&amp;date=2013-03-01&amp;p=.htm"/>
    <hyperlink ref="C608" r:id="rId1812"/>
    <hyperlink ref="D608" r:id="rId1813"/>
    <hyperlink ref="I608" r:id="rId1814" display="http://www.boxofficemojo.com/schedule/?view=bydate&amp;release=theatrical&amp;date=2013-03-22&amp;p=.htm"/>
    <hyperlink ref="C609" r:id="rId1815"/>
    <hyperlink ref="D609" r:id="rId1816"/>
    <hyperlink ref="I609" r:id="rId1817" display="http://www.boxofficemojo.com/schedule/?view=bydate&amp;release=theatrical&amp;date=2013-09-13&amp;p=.htm"/>
    <hyperlink ref="C610" r:id="rId1818"/>
    <hyperlink ref="D610" r:id="rId1819"/>
    <hyperlink ref="I610" r:id="rId1820" display="http://www.boxofficemojo.com/schedule/?view=bydate&amp;release=theatrical&amp;date=2013-04-05&amp;p=.htm"/>
    <hyperlink ref="C611" r:id="rId1821"/>
    <hyperlink ref="D611" r:id="rId1822"/>
    <hyperlink ref="I611" r:id="rId1823" display="http://www.boxofficemojo.com/schedule/?view=bydate&amp;release=theatrical&amp;date=2013-01-04&amp;p=.htm"/>
    <hyperlink ref="C612" r:id="rId1824"/>
    <hyperlink ref="D612" r:id="rId1825"/>
    <hyperlink ref="I612" r:id="rId1826" display="http://www.boxofficemojo.com/schedule/?view=bydate&amp;release=theatrical&amp;date=2013-10-04&amp;p=.htm"/>
    <hyperlink ref="C613" r:id="rId1827"/>
    <hyperlink ref="D613" r:id="rId1828"/>
    <hyperlink ref="I613" r:id="rId1829" display="http://www.boxofficemojo.com/schedule/?view=bydate&amp;release=theatrical&amp;date=2013-01-04&amp;p=.htm"/>
    <hyperlink ref="C614" r:id="rId1830"/>
    <hyperlink ref="D614" r:id="rId1831"/>
    <hyperlink ref="I614" r:id="rId1832" display="http://www.boxofficemojo.com/schedule/?view=bydate&amp;release=theatrical&amp;date=2013-11-08&amp;p=.htm"/>
    <hyperlink ref="C615" r:id="rId1833"/>
    <hyperlink ref="D615" r:id="rId1834"/>
    <hyperlink ref="I615" r:id="rId1835" display="http://www.boxofficemojo.com/schedule/?view=bydate&amp;release=theatrical&amp;date=2013-01-25&amp;p=.htm"/>
    <hyperlink ref="C616" r:id="rId1836"/>
    <hyperlink ref="D616" r:id="rId1837"/>
    <hyperlink ref="I616" r:id="rId1838" display="http://www.boxofficemojo.com/schedule/?view=bydate&amp;release=theatrical&amp;date=2013-06-14&amp;p=.htm"/>
    <hyperlink ref="C617" r:id="rId1839"/>
    <hyperlink ref="D617" r:id="rId1840"/>
    <hyperlink ref="I617" r:id="rId1841" display="http://www.boxofficemojo.com/schedule/?view=bydate&amp;release=theatrical&amp;date=2013-07-26&amp;p=.htm"/>
    <hyperlink ref="C618" r:id="rId1842"/>
    <hyperlink ref="D618" r:id="rId1843"/>
    <hyperlink ref="I618" r:id="rId1844" display="http://www.boxofficemojo.com/schedule/?view=bydate&amp;release=theatrical&amp;date=2013-05-17&amp;p=.htm"/>
    <hyperlink ref="C619" r:id="rId1845"/>
    <hyperlink ref="D619" r:id="rId1846"/>
    <hyperlink ref="I619" r:id="rId1847" display="http://www.boxofficemojo.com/schedule/?view=bydate&amp;release=theatrical&amp;date=2013-12-11&amp;p=.htm"/>
    <hyperlink ref="C620" r:id="rId1848"/>
    <hyperlink ref="D620" r:id="rId1849"/>
    <hyperlink ref="I620" r:id="rId1850" display="http://www.boxofficemojo.com/schedule/?view=bydate&amp;release=theatrical&amp;date=2013-04-19&amp;p=.htm"/>
    <hyperlink ref="C621" r:id="rId1851"/>
    <hyperlink ref="D621" r:id="rId1852"/>
    <hyperlink ref="I621" r:id="rId1853" display="http://www.boxofficemojo.com/schedule/?view=bydate&amp;release=theatrical&amp;date=2013-01-25&amp;p=.htm"/>
    <hyperlink ref="C622" r:id="rId1854"/>
    <hyperlink ref="D622" r:id="rId1855"/>
    <hyperlink ref="I622" r:id="rId1856" display="http://www.boxofficemojo.com/schedule/?view=bydate&amp;release=theatrical&amp;date=2013-07-12&amp;p=.htm"/>
    <hyperlink ref="C623" r:id="rId1857"/>
    <hyperlink ref="D623" r:id="rId1858"/>
    <hyperlink ref="I623" r:id="rId1859" display="http://www.boxofficemojo.com/schedule/?view=bydate&amp;release=theatrical&amp;date=2013-02-08&amp;p=.htm"/>
    <hyperlink ref="C624" r:id="rId1860"/>
    <hyperlink ref="D624" r:id="rId1861"/>
    <hyperlink ref="I624" r:id="rId1862" display="http://www.boxofficemojo.com/schedule/?view=bydate&amp;release=theatrical&amp;date=2013-09-27&amp;p=.htm"/>
    <hyperlink ref="C625" r:id="rId1863"/>
    <hyperlink ref="D625" r:id="rId1864"/>
    <hyperlink ref="I625" r:id="rId1865" display="http://www.boxofficemojo.com/schedule/?view=bydate&amp;release=theatrical&amp;date=2013-10-04&amp;p=.htm"/>
    <hyperlink ref="C626" r:id="rId1866"/>
    <hyperlink ref="D626" r:id="rId1867"/>
    <hyperlink ref="I626" r:id="rId1868" display="http://www.boxofficemojo.com/schedule/?view=bydate&amp;release=theatrical&amp;date=2013-12-13&amp;p=.htm"/>
    <hyperlink ref="C627" r:id="rId1869"/>
    <hyperlink ref="D627" r:id="rId1870"/>
    <hyperlink ref="I627" r:id="rId1871" display="http://www.boxofficemojo.com/schedule/?view=bydate&amp;release=theatrical&amp;date=2013-06-14&amp;p=.htm"/>
    <hyperlink ref="C628" r:id="rId1872"/>
    <hyperlink ref="D628" r:id="rId1873"/>
    <hyperlink ref="I628" r:id="rId1874" display="http://www.boxofficemojo.com/schedule/?view=bydate&amp;release=theatrical&amp;date=2013-11-29&amp;p=.htm"/>
    <hyperlink ref="C629" r:id="rId1875"/>
    <hyperlink ref="D629" r:id="rId1876"/>
    <hyperlink ref="I629" r:id="rId1877" display="http://www.boxofficemojo.com/schedule/?view=bydate&amp;release=theatrical&amp;date=2013-11-06&amp;p=.htm"/>
    <hyperlink ref="C630" r:id="rId1878"/>
    <hyperlink ref="D630" r:id="rId1879"/>
    <hyperlink ref="I630" r:id="rId1880" display="http://www.boxofficemojo.com/schedule/?view=bydate&amp;release=theatrical&amp;date=2013-05-22&amp;p=.htm"/>
    <hyperlink ref="C631" r:id="rId1881"/>
    <hyperlink ref="D631" r:id="rId1882"/>
    <hyperlink ref="I631" r:id="rId1883" display="http://www.boxofficemojo.com/schedule/?view=bydate&amp;release=theatrical&amp;date=2013-04-19&amp;p=.htm"/>
    <hyperlink ref="C632" r:id="rId1884"/>
    <hyperlink ref="D632" r:id="rId1885"/>
    <hyperlink ref="I632" r:id="rId1886" display="http://www.boxofficemojo.com/schedule/?view=bydate&amp;release=theatrical&amp;date=2013-11-22&amp;p=.htm"/>
    <hyperlink ref="C633" r:id="rId1887"/>
    <hyperlink ref="D633" r:id="rId1888"/>
    <hyperlink ref="I633" r:id="rId1889" display="http://www.boxofficemojo.com/schedule/?view=bydate&amp;release=theatrical&amp;date=2013-11-22&amp;p=.htm"/>
    <hyperlink ref="C634" r:id="rId1890"/>
    <hyperlink ref="D634" r:id="rId1891"/>
    <hyperlink ref="I634" r:id="rId1892" display="http://www.boxofficemojo.com/schedule/?view=bydate&amp;release=theatrical&amp;date=2013-03-22&amp;p=.htm"/>
    <hyperlink ref="C635" r:id="rId1893"/>
    <hyperlink ref="D635" r:id="rId1894"/>
    <hyperlink ref="I635" r:id="rId1895" display="http://www.boxofficemojo.com/schedule/?view=bydate&amp;release=theatrical&amp;date=2013-03-08&amp;p=.htm"/>
    <hyperlink ref="C636" r:id="rId1896"/>
    <hyperlink ref="D636" r:id="rId1897"/>
    <hyperlink ref="I636" r:id="rId1898" display="http://www.boxofficemojo.com/schedule/?view=bydate&amp;release=theatrical&amp;date=2013-09-27&amp;p=.htm"/>
    <hyperlink ref="C637" r:id="rId1899"/>
    <hyperlink ref="D637" r:id="rId1900"/>
    <hyperlink ref="I637" r:id="rId1901" display="http://www.boxofficemojo.com/schedule/?view=bydate&amp;release=theatrical&amp;date=2013-11-08&amp;p=.htm"/>
    <hyperlink ref="C638" r:id="rId1902"/>
    <hyperlink ref="D638" r:id="rId1903"/>
    <hyperlink ref="I638" r:id="rId1904" display="http://www.boxofficemojo.com/schedule/?view=bydate&amp;release=theatrical&amp;date=2013-06-21&amp;p=.htm"/>
    <hyperlink ref="C639" r:id="rId1905"/>
    <hyperlink ref="D639" r:id="rId1906"/>
    <hyperlink ref="I639" r:id="rId1907" display="http://www.boxofficemojo.com/schedule/?view=bydate&amp;release=theatrical&amp;date=2013-01-09&amp;p=.htm"/>
    <hyperlink ref="C640" r:id="rId1908"/>
    <hyperlink ref="D640" r:id="rId1909"/>
    <hyperlink ref="I640" r:id="rId1910" display="http://www.boxofficemojo.com/schedule/?view=bydate&amp;release=theatrical&amp;date=2013-03-01&amp;p=.htm"/>
    <hyperlink ref="C641" r:id="rId1911"/>
    <hyperlink ref="D641" r:id="rId1912"/>
    <hyperlink ref="I641" r:id="rId1913" display="http://www.boxofficemojo.com/schedule/?view=bydate&amp;release=theatrical&amp;date=2013-11-01&amp;p=.htm"/>
    <hyperlink ref="C642" r:id="rId1914"/>
    <hyperlink ref="D642" r:id="rId1915"/>
    <hyperlink ref="I642" r:id="rId1916" display="http://www.boxofficemojo.com/schedule/?view=bydate&amp;release=theatrical&amp;date=2013-12-13&amp;p=.htm"/>
    <hyperlink ref="C643" r:id="rId1917"/>
    <hyperlink ref="D643" r:id="rId1918"/>
    <hyperlink ref="I643" r:id="rId1919" display="http://www.boxofficemojo.com/schedule/?view=bydate&amp;release=theatrical&amp;date=2013-06-14&amp;p=.htm"/>
    <hyperlink ref="C644" r:id="rId1920"/>
    <hyperlink ref="D644" r:id="rId1921"/>
    <hyperlink ref="I644" r:id="rId1922" display="http://www.boxofficemojo.com/schedule/?view=bydate&amp;release=theatrical&amp;date=2013-08-23&amp;p=.htm"/>
    <hyperlink ref="C645" r:id="rId1923"/>
    <hyperlink ref="D645" r:id="rId1924"/>
    <hyperlink ref="I645" r:id="rId1925" display="http://www.boxofficemojo.com/schedule/?view=bydate&amp;release=theatrical&amp;date=2013-03-22&amp;p=.htm"/>
    <hyperlink ref="C646" r:id="rId1926"/>
    <hyperlink ref="D646" r:id="rId1927"/>
    <hyperlink ref="I646" r:id="rId1928" display="http://www.boxofficemojo.com/schedule/?view=bydate&amp;release=theatrical&amp;date=2013-12-06&amp;p=.htm"/>
    <hyperlink ref="C647" r:id="rId1929"/>
    <hyperlink ref="D647" r:id="rId1930"/>
    <hyperlink ref="I647" r:id="rId1931" display="http://www.boxofficemojo.com/schedule/?view=bydate&amp;release=theatrical&amp;date=2013-05-31&amp;p=.htm"/>
    <hyperlink ref="C648" r:id="rId1932"/>
    <hyperlink ref="D648" r:id="rId1933"/>
    <hyperlink ref="I648" r:id="rId1934" display="http://www.boxofficemojo.com/schedule/?view=bydate&amp;release=theatrical&amp;date=2013-06-07&amp;p=.htm"/>
    <hyperlink ref="C649" r:id="rId1935"/>
    <hyperlink ref="D649" r:id="rId1936"/>
    <hyperlink ref="I649" r:id="rId1937" display="http://www.boxofficemojo.com/schedule/?view=bydate&amp;release=theatrical&amp;date=2013-09-13&amp;p=.htm"/>
    <hyperlink ref="C650" r:id="rId1938"/>
    <hyperlink ref="D650" r:id="rId1939"/>
    <hyperlink ref="I650" r:id="rId1940" display="http://www.boxofficemojo.com/schedule/?view=bydate&amp;release=theatrical&amp;date=2013-08-14&amp;p=.htm"/>
    <hyperlink ref="C651" r:id="rId1941"/>
    <hyperlink ref="D651" r:id="rId1942"/>
    <hyperlink ref="I651" r:id="rId1943" display="http://www.boxofficemojo.com/schedule/?view=bydate&amp;release=theatrical&amp;date=2013-07-03&amp;p=.htm"/>
    <hyperlink ref="C652" r:id="rId1944"/>
    <hyperlink ref="D652" r:id="rId1945"/>
    <hyperlink ref="I652" r:id="rId1946" display="http://www.boxofficemojo.com/schedule/?view=bydate&amp;release=theatrical&amp;date=2013-08-30&amp;p=.htm"/>
    <hyperlink ref="C653" r:id="rId1947"/>
    <hyperlink ref="D653" r:id="rId1948"/>
    <hyperlink ref="I653" r:id="rId1949" display="http://www.boxofficemojo.com/schedule/?view=bydate&amp;release=theatrical&amp;date=2013-05-10&amp;p=.htm"/>
    <hyperlink ref="C654" r:id="rId1950"/>
    <hyperlink ref="D654" r:id="rId1951"/>
    <hyperlink ref="I654" r:id="rId1952" display="http://www.boxofficemojo.com/schedule/?view=bydate&amp;release=theatrical&amp;date=2013-05-24&amp;p=.htm"/>
    <hyperlink ref="C655" r:id="rId1953"/>
    <hyperlink ref="D655" r:id="rId1954"/>
    <hyperlink ref="I655" r:id="rId1955" display="http://www.boxofficemojo.com/schedule/?view=bydate&amp;release=theatrical&amp;date=2013-03-22&amp;p=.htm"/>
    <hyperlink ref="C656" r:id="rId1956"/>
    <hyperlink ref="D656" r:id="rId1957"/>
    <hyperlink ref="I656" r:id="rId1958" display="http://www.boxofficemojo.com/schedule/?view=bydate&amp;release=theatrical&amp;date=2013-08-23&amp;p=.htm"/>
    <hyperlink ref="C657" r:id="rId1959"/>
    <hyperlink ref="D657" r:id="rId1960"/>
    <hyperlink ref="I657" r:id="rId1961" display="http://www.boxofficemojo.com/schedule/?view=bydate&amp;release=theatrical&amp;date=2013-08-30&amp;p=.htm"/>
    <hyperlink ref="C658" r:id="rId1962"/>
    <hyperlink ref="D658" r:id="rId1963"/>
    <hyperlink ref="I658" r:id="rId1964" display="http://www.boxofficemojo.com/schedule/?view=bydate&amp;release=theatrical&amp;date=2013-10-11&amp;p=.htm"/>
    <hyperlink ref="C659" r:id="rId1965"/>
    <hyperlink ref="D659" r:id="rId1966"/>
    <hyperlink ref="I659" r:id="rId1967" display="http://www.boxofficemojo.com/schedule/?view=bydate&amp;release=theatrical&amp;date=2013-02-15&amp;p=.htm"/>
    <hyperlink ref="C660" r:id="rId1968"/>
    <hyperlink ref="D660" r:id="rId1969"/>
    <hyperlink ref="I660" r:id="rId1970" display="http://www.boxofficemojo.com/schedule/?view=bydate&amp;release=theatrical&amp;date=2013-10-04&amp;p=.htm"/>
    <hyperlink ref="C661" r:id="rId1971"/>
    <hyperlink ref="D661" r:id="rId1972"/>
    <hyperlink ref="I661" r:id="rId1973" display="http://www.boxofficemojo.com/schedule/?view=bydate&amp;release=theatrical&amp;date=2013-09-20&amp;p=.htm"/>
    <hyperlink ref="C662" r:id="rId1974"/>
    <hyperlink ref="D662" r:id="rId1975"/>
    <hyperlink ref="I662" r:id="rId1976" display="http://www.boxofficemojo.com/schedule/?view=bydate&amp;release=theatrical&amp;date=2013-04-05&amp;p=.htm"/>
    <hyperlink ref="C663" r:id="rId1977"/>
    <hyperlink ref="D663" r:id="rId1978"/>
    <hyperlink ref="I663" r:id="rId1979" display="http://www.boxofficemojo.com/schedule/?view=bydate&amp;release=theatrical&amp;date=2013-05-03&amp;p=.htm"/>
    <hyperlink ref="C664" r:id="rId1980"/>
    <hyperlink ref="D664" r:id="rId1981"/>
    <hyperlink ref="I664" r:id="rId1982" display="http://www.boxofficemojo.com/schedule/?view=bydate&amp;release=theatrical&amp;date=2013-09-05&amp;p=.htm"/>
    <hyperlink ref="C665" r:id="rId1983"/>
    <hyperlink ref="D665" r:id="rId1984"/>
    <hyperlink ref="I665" r:id="rId1985" display="http://www.boxofficemojo.com/schedule/?view=bydate&amp;release=theatrical&amp;date=2013-02-22&amp;p=.htm"/>
    <hyperlink ref="C666" r:id="rId1986"/>
    <hyperlink ref="D666" r:id="rId1987"/>
    <hyperlink ref="I666" r:id="rId1988" display="http://www.boxofficemojo.com/schedule/?view=bydate&amp;release=theatrical&amp;date=2013-02-22&amp;p=.htm"/>
    <hyperlink ref="C667" r:id="rId1989"/>
    <hyperlink ref="D667" r:id="rId1990"/>
    <hyperlink ref="I667" r:id="rId1991" display="http://www.boxofficemojo.com/schedule/?view=bydate&amp;release=theatrical&amp;date=2013-11-08&amp;p=.htm"/>
    <hyperlink ref="C668" r:id="rId1992"/>
    <hyperlink ref="D668" r:id="rId1993"/>
    <hyperlink ref="I668" r:id="rId1994" display="http://www.boxofficemojo.com/schedule/?view=bydate&amp;release=theatrical&amp;date=2013-06-28&amp;p=.htm"/>
    <hyperlink ref="C669" r:id="rId1995"/>
    <hyperlink ref="D669" r:id="rId1996"/>
    <hyperlink ref="I669" r:id="rId1997" display="http://www.boxofficemojo.com/schedule/?view=bydate&amp;release=theatrical&amp;date=2013-03-22&amp;p=.htm"/>
    <hyperlink ref="C670" r:id="rId1998"/>
    <hyperlink ref="D670" r:id="rId1999"/>
    <hyperlink ref="I670" r:id="rId2000" display="http://www.boxofficemojo.com/schedule/?view=bydate&amp;release=theatrical&amp;date=2013-04-05&amp;p=.htm"/>
    <hyperlink ref="C671" r:id="rId2001"/>
    <hyperlink ref="D671" r:id="rId2002"/>
    <hyperlink ref="I671" r:id="rId2003" display="http://www.boxofficemojo.com/schedule/?view=bydate&amp;release=theatrical&amp;date=2013-02-15&amp;p=.htm"/>
    <hyperlink ref="C672" r:id="rId2004"/>
    <hyperlink ref="D672" r:id="rId2005"/>
    <hyperlink ref="I672" r:id="rId2006" display="http://www.boxofficemojo.com/schedule/?view=bydate&amp;release=theatrical&amp;date=2013-01-18&amp;p=.htm"/>
    <hyperlink ref="C673" r:id="rId2007"/>
    <hyperlink ref="D673" r:id="rId2008"/>
    <hyperlink ref="I673" r:id="rId2009" display="http://www.boxofficemojo.com/schedule/?view=bydate&amp;release=theatrical&amp;date=2013-12-12&amp;p=.htm"/>
    <hyperlink ref="C674" r:id="rId2010"/>
    <hyperlink ref="D674" r:id="rId2011"/>
    <hyperlink ref="I674" r:id="rId2012" display="http://www.boxofficemojo.com/schedule/?view=bydate&amp;release=theatrical&amp;date=2013-03-01&amp;p=.htm"/>
    <hyperlink ref="C675" r:id="rId2013"/>
    <hyperlink ref="D675" r:id="rId2014"/>
    <hyperlink ref="I675" r:id="rId2015" display="http://www.boxofficemojo.com/schedule/?view=bydate&amp;release=theatrical&amp;date=2013-11-27&amp;p=.htm"/>
    <hyperlink ref="C676" r:id="rId2016"/>
    <hyperlink ref="D676" r:id="rId2017"/>
    <hyperlink ref="I676" r:id="rId2018" display="http://www.boxofficemojo.com/schedule/?view=bydate&amp;release=theatrical&amp;date=2013-05-10&amp;p=.htm"/>
    <hyperlink ref="C677" r:id="rId2019"/>
    <hyperlink ref="D677" r:id="rId2020"/>
    <hyperlink ref="I677" r:id="rId2021" display="http://www.boxofficemojo.com/schedule/?view=bydate&amp;release=theatrical&amp;date=2013-11-08&amp;p=.htm"/>
    <hyperlink ref="C678" r:id="rId2022"/>
    <hyperlink ref="D678" r:id="rId2023"/>
    <hyperlink ref="I678" r:id="rId2024" display="http://www.boxofficemojo.com/schedule/?view=bydate&amp;release=theatrical&amp;date=2013-07-05&amp;p=.htm"/>
    <hyperlink ref="C679" r:id="rId2025"/>
    <hyperlink ref="D679" r:id="rId2026"/>
    <hyperlink ref="I679" r:id="rId2027" display="http://www.boxofficemojo.com/schedule/?view=bydate&amp;release=theatrical&amp;date=2013-12-06&amp;p=.htm"/>
    <hyperlink ref="C680" r:id="rId2028"/>
    <hyperlink ref="D680" r:id="rId2029"/>
    <hyperlink ref="I680" r:id="rId2030" display="http://www.boxofficemojo.com/schedule/?view=bydate&amp;release=theatrical&amp;date=2013-11-14&amp;p=.htm"/>
    <hyperlink ref="C681" r:id="rId2031"/>
    <hyperlink ref="D681" r:id="rId2032"/>
    <hyperlink ref="I681" r:id="rId2033" display="http://www.boxofficemojo.com/schedule/?view=bydate&amp;release=theatrical&amp;date=2013-11-08&amp;p=.htm"/>
    <hyperlink ref="C682" r:id="rId2034"/>
    <hyperlink ref="D682" r:id="rId2035"/>
    <hyperlink ref="I682" r:id="rId2036" display="http://www.boxofficemojo.com/schedule/?view=bydate&amp;release=theatrical&amp;date=2013-09-20&amp;p=.htm"/>
    <hyperlink ref="C683" r:id="rId2037"/>
    <hyperlink ref="D683" r:id="rId2038"/>
    <hyperlink ref="I683" r:id="rId2039" display="http://www.boxofficemojo.com/schedule/?view=bydate&amp;release=theatrical&amp;date=2013-04-12&amp;p=.htm"/>
    <hyperlink ref="C684" r:id="rId2040"/>
    <hyperlink ref="D684" r:id="rId2041"/>
    <hyperlink ref="I684" r:id="rId2042" display="http://www.boxofficemojo.com/schedule/?view=bydate&amp;release=theatrical&amp;date=2013-06-07&amp;p=.htm"/>
    <hyperlink ref="C685" r:id="rId2043"/>
    <hyperlink ref="D685" r:id="rId2044"/>
    <hyperlink ref="I685" r:id="rId2045" display="http://www.boxofficemojo.com/schedule/?view=bydate&amp;release=theatrical&amp;date=2013-07-05&amp;p=.htm"/>
    <hyperlink ref="C686" r:id="rId2046"/>
    <hyperlink ref="D686" r:id="rId2047"/>
    <hyperlink ref="I686" r:id="rId2048" display="http://www.boxofficemojo.com/schedule/?view=bydate&amp;release=theatrical&amp;date=2013-05-31&amp;p=.htm"/>
    <hyperlink ref="C687" r:id="rId2049"/>
    <hyperlink ref="D687" r:id="rId2050"/>
    <hyperlink ref="I687" r:id="rId2051" display="http://www.boxofficemojo.com/schedule/?view=bydate&amp;release=theatrical&amp;date=2013-01-18&amp;p=.htm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710"/>
  <sheetViews>
    <sheetView workbookViewId="0">
      <selection activeCell="A17" sqref="A17"/>
    </sheetView>
  </sheetViews>
  <sheetFormatPr baseColWidth="10" defaultRowHeight="16" x14ac:dyDescent="0.2"/>
  <sheetData>
    <row r="3" spans="2:10" x14ac:dyDescent="0.2">
      <c r="B3" s="26" t="s">
        <v>550</v>
      </c>
      <c r="C3" s="26" t="s">
        <v>551</v>
      </c>
      <c r="D3" s="21" t="s">
        <v>0</v>
      </c>
    </row>
    <row r="4" spans="2:10" x14ac:dyDescent="0.2">
      <c r="B4" s="26"/>
      <c r="C4" s="26"/>
    </row>
    <row r="5" spans="2:10" x14ac:dyDescent="0.2">
      <c r="B5" s="22"/>
      <c r="C5" s="20" t="s">
        <v>7639</v>
      </c>
      <c r="D5" s="22" t="s">
        <v>5303</v>
      </c>
      <c r="E5" s="21" t="s">
        <v>552</v>
      </c>
      <c r="F5" s="21" t="s">
        <v>553</v>
      </c>
    </row>
    <row r="6" spans="2:10" x14ac:dyDescent="0.2">
      <c r="B6" s="22">
        <v>1</v>
      </c>
      <c r="C6" s="21" t="s">
        <v>7339</v>
      </c>
      <c r="D6" s="21" t="s">
        <v>563</v>
      </c>
      <c r="E6" s="20" t="s">
        <v>7340</v>
      </c>
      <c r="F6" s="22">
        <v>3.8849999999999998</v>
      </c>
      <c r="G6" s="22" t="s">
        <v>7341</v>
      </c>
      <c r="H6" s="22">
        <v>4</v>
      </c>
      <c r="I6" s="25">
        <v>43459</v>
      </c>
      <c r="J6" s="24">
        <v>43276</v>
      </c>
    </row>
    <row r="7" spans="2:10" x14ac:dyDescent="0.2">
      <c r="B7" s="22">
        <v>2</v>
      </c>
      <c r="C7" s="21" t="s">
        <v>7342</v>
      </c>
      <c r="D7" s="21" t="s">
        <v>643</v>
      </c>
      <c r="E7" s="20" t="s">
        <v>7343</v>
      </c>
      <c r="F7" s="22">
        <v>4.1509999999999998</v>
      </c>
      <c r="G7" s="22" t="s">
        <v>7344</v>
      </c>
      <c r="H7" s="22">
        <v>4.1509999999999998</v>
      </c>
      <c r="I7" s="25">
        <v>43425</v>
      </c>
      <c r="J7" s="24">
        <v>43178</v>
      </c>
    </row>
    <row r="8" spans="2:10" x14ac:dyDescent="0.2">
      <c r="B8" s="22">
        <v>3</v>
      </c>
      <c r="C8" s="21" t="s">
        <v>7345</v>
      </c>
      <c r="D8" s="21" t="s">
        <v>554</v>
      </c>
      <c r="E8" s="20" t="s">
        <v>7346</v>
      </c>
      <c r="F8" s="22">
        <v>4.0880000000000001</v>
      </c>
      <c r="G8" s="22" t="s">
        <v>7347</v>
      </c>
      <c r="H8" s="22">
        <v>4.08</v>
      </c>
      <c r="I8" s="25">
        <v>43313</v>
      </c>
      <c r="J8" s="24">
        <v>43122</v>
      </c>
    </row>
    <row r="9" spans="2:10" x14ac:dyDescent="0.2">
      <c r="B9" s="22">
        <v>4</v>
      </c>
      <c r="C9" s="21" t="s">
        <v>7348</v>
      </c>
      <c r="D9" s="21" t="s">
        <v>554</v>
      </c>
      <c r="E9" s="20" t="s">
        <v>7349</v>
      </c>
      <c r="F9" s="22">
        <v>3.9380000000000002</v>
      </c>
      <c r="G9" s="22" t="s">
        <v>7350</v>
      </c>
      <c r="H9" s="22">
        <v>3.9380000000000002</v>
      </c>
      <c r="I9" s="25">
        <v>43194</v>
      </c>
      <c r="J9" s="24">
        <v>43333</v>
      </c>
    </row>
    <row r="10" spans="2:10" x14ac:dyDescent="0.2">
      <c r="B10" s="22">
        <v>5</v>
      </c>
      <c r="C10" s="21" t="s">
        <v>7351</v>
      </c>
      <c r="D10" s="21" t="s">
        <v>563</v>
      </c>
      <c r="E10" s="20" t="s">
        <v>7352</v>
      </c>
      <c r="F10" s="22">
        <v>3.89</v>
      </c>
      <c r="G10" s="22" t="s">
        <v>7353</v>
      </c>
      <c r="H10" s="22">
        <v>3.7749999999999999</v>
      </c>
      <c r="I10" s="25">
        <v>43138</v>
      </c>
      <c r="J10" s="24">
        <v>43347</v>
      </c>
    </row>
    <row r="11" spans="2:10" x14ac:dyDescent="0.2">
      <c r="B11" s="22">
        <v>6</v>
      </c>
      <c r="C11" s="21" t="s">
        <v>7354</v>
      </c>
      <c r="D11" s="21" t="s">
        <v>574</v>
      </c>
      <c r="E11" s="20" t="s">
        <v>7355</v>
      </c>
      <c r="F11" s="22">
        <v>3.875</v>
      </c>
      <c r="G11" s="22" t="s">
        <v>7356</v>
      </c>
      <c r="H11" s="22">
        <v>3.875</v>
      </c>
      <c r="I11" s="25">
        <v>43451</v>
      </c>
      <c r="J11" s="24">
        <v>43192</v>
      </c>
    </row>
    <row r="12" spans="2:10" x14ac:dyDescent="0.2">
      <c r="B12" s="22">
        <v>7</v>
      </c>
      <c r="C12" s="21" t="s">
        <v>7357</v>
      </c>
      <c r="D12" s="21" t="s">
        <v>638</v>
      </c>
      <c r="E12" s="20" t="s">
        <v>7358</v>
      </c>
      <c r="F12" s="22">
        <v>4.2329999999999997</v>
      </c>
      <c r="G12" s="22" t="s">
        <v>7359</v>
      </c>
      <c r="H12" s="22">
        <v>4.2329999999999997</v>
      </c>
      <c r="I12" s="25">
        <v>43278</v>
      </c>
      <c r="J12" s="24">
        <v>43382</v>
      </c>
    </row>
    <row r="13" spans="2:10" x14ac:dyDescent="0.2">
      <c r="B13" s="22">
        <v>8</v>
      </c>
      <c r="C13" s="21" t="s">
        <v>7360</v>
      </c>
      <c r="D13" s="21" t="s">
        <v>554</v>
      </c>
      <c r="E13" s="20" t="s">
        <v>7361</v>
      </c>
      <c r="F13" s="22">
        <v>3.948</v>
      </c>
      <c r="G13" s="22" t="s">
        <v>7362</v>
      </c>
      <c r="H13" s="22">
        <v>3.948</v>
      </c>
      <c r="I13" s="25">
        <v>43250</v>
      </c>
      <c r="J13" s="24">
        <v>43438</v>
      </c>
    </row>
    <row r="14" spans="2:10" x14ac:dyDescent="0.2">
      <c r="B14" s="22">
        <v>9</v>
      </c>
      <c r="C14" s="21" t="s">
        <v>7363</v>
      </c>
      <c r="D14" s="21" t="s">
        <v>594</v>
      </c>
      <c r="E14" s="20" t="s">
        <v>7364</v>
      </c>
      <c r="F14" s="22">
        <v>4.0010000000000003</v>
      </c>
      <c r="G14" s="22" t="s">
        <v>7365</v>
      </c>
      <c r="H14" s="22">
        <v>3.996</v>
      </c>
      <c r="I14" s="25">
        <v>43243</v>
      </c>
      <c r="J14" s="24">
        <v>43382</v>
      </c>
    </row>
    <row r="15" spans="2:10" x14ac:dyDescent="0.2">
      <c r="B15" s="22">
        <v>10</v>
      </c>
      <c r="C15" s="21" t="s">
        <v>7366</v>
      </c>
      <c r="D15" s="21" t="s">
        <v>554</v>
      </c>
      <c r="E15" s="20" t="s">
        <v>7367</v>
      </c>
      <c r="F15" s="22">
        <v>3.7730000000000001</v>
      </c>
      <c r="G15" s="22" t="s">
        <v>7368</v>
      </c>
      <c r="H15" s="22">
        <v>3.7610000000000001</v>
      </c>
      <c r="I15" s="25">
        <v>43411</v>
      </c>
      <c r="J15" s="24">
        <v>43248</v>
      </c>
    </row>
    <row r="16" spans="2:10" x14ac:dyDescent="0.2">
      <c r="B16" s="22">
        <v>11</v>
      </c>
      <c r="C16" s="21" t="s">
        <v>7369</v>
      </c>
      <c r="D16" s="21" t="s">
        <v>594</v>
      </c>
      <c r="E16" s="20" t="s">
        <v>7370</v>
      </c>
      <c r="F16" s="22">
        <v>3.9689999999999999</v>
      </c>
      <c r="G16" s="22" t="s">
        <v>7371</v>
      </c>
      <c r="H16" s="22">
        <v>3.9670000000000001</v>
      </c>
      <c r="I16" s="25">
        <v>43292</v>
      </c>
      <c r="J16" s="24">
        <v>43438</v>
      </c>
    </row>
    <row r="17" spans="2:10" x14ac:dyDescent="0.2">
      <c r="B17" s="22">
        <v>12</v>
      </c>
      <c r="C17" s="21" t="s">
        <v>7372</v>
      </c>
      <c r="D17" s="21" t="s">
        <v>570</v>
      </c>
      <c r="E17" s="20" t="s">
        <v>7373</v>
      </c>
      <c r="F17" s="22">
        <v>4.3239999999999998</v>
      </c>
      <c r="G17" s="22" t="s">
        <v>7374</v>
      </c>
      <c r="H17" s="22">
        <v>4.3239999999999998</v>
      </c>
      <c r="I17" s="25">
        <v>43222</v>
      </c>
      <c r="J17" s="24">
        <v>43329</v>
      </c>
    </row>
    <row r="18" spans="2:10" x14ac:dyDescent="0.2">
      <c r="B18" s="22">
        <v>13</v>
      </c>
      <c r="C18" s="21" t="s">
        <v>7375</v>
      </c>
      <c r="D18" s="21" t="s">
        <v>563</v>
      </c>
      <c r="E18" s="20" t="s">
        <v>7376</v>
      </c>
      <c r="F18" s="22">
        <v>3.952</v>
      </c>
      <c r="G18" s="22" t="s">
        <v>7377</v>
      </c>
      <c r="H18" s="22">
        <v>3.952</v>
      </c>
      <c r="I18" s="25">
        <v>43236</v>
      </c>
      <c r="J18" s="24">
        <v>43340</v>
      </c>
    </row>
    <row r="19" spans="2:10" x14ac:dyDescent="0.2">
      <c r="B19" s="22">
        <v>14</v>
      </c>
      <c r="C19" s="21" t="s">
        <v>7378</v>
      </c>
      <c r="D19" s="21" t="s">
        <v>570</v>
      </c>
      <c r="E19" s="20" t="s">
        <v>7379</v>
      </c>
      <c r="F19" s="22">
        <v>3.4260000000000002</v>
      </c>
      <c r="G19" s="22" t="s">
        <v>7380</v>
      </c>
      <c r="H19" s="22">
        <v>3.306</v>
      </c>
      <c r="I19" s="25">
        <v>43264</v>
      </c>
      <c r="J19" s="24">
        <v>43430</v>
      </c>
    </row>
    <row r="20" spans="2:10" x14ac:dyDescent="0.2">
      <c r="B20" s="22">
        <v>15</v>
      </c>
      <c r="C20" s="21" t="s">
        <v>7381</v>
      </c>
      <c r="D20" s="21" t="s">
        <v>638</v>
      </c>
      <c r="E20" s="20" t="s">
        <v>7382</v>
      </c>
      <c r="F20" s="22">
        <v>3.98</v>
      </c>
      <c r="G20" s="22" t="s">
        <v>7383</v>
      </c>
      <c r="H20" s="22">
        <v>3.8450000000000002</v>
      </c>
      <c r="I20" s="25">
        <v>43320</v>
      </c>
      <c r="J20" s="24">
        <v>43424</v>
      </c>
    </row>
    <row r="21" spans="2:10" x14ac:dyDescent="0.2">
      <c r="B21" s="22">
        <v>16</v>
      </c>
      <c r="C21" s="21" t="s">
        <v>7384</v>
      </c>
      <c r="D21" s="21" t="s">
        <v>638</v>
      </c>
      <c r="E21" s="20" t="s">
        <v>7385</v>
      </c>
      <c r="F21" s="22">
        <v>3.5609999999999999</v>
      </c>
      <c r="G21" s="22" t="s">
        <v>7386</v>
      </c>
      <c r="H21" s="22">
        <v>3.5609999999999999</v>
      </c>
      <c r="I21" s="25">
        <v>43409</v>
      </c>
      <c r="J21" s="24">
        <v>43178</v>
      </c>
    </row>
    <row r="22" spans="2:10" x14ac:dyDescent="0.2">
      <c r="B22" s="22">
        <v>17</v>
      </c>
      <c r="C22" s="21" t="s">
        <v>7387</v>
      </c>
      <c r="D22" s="21" t="s">
        <v>594</v>
      </c>
      <c r="E22" s="20" t="s">
        <v>7388</v>
      </c>
      <c r="F22" s="22">
        <v>4.2679999999999998</v>
      </c>
      <c r="G22" s="22" t="s">
        <v>7389</v>
      </c>
      <c r="H22" s="22">
        <v>4.2530000000000001</v>
      </c>
      <c r="I22" s="25">
        <v>43264</v>
      </c>
      <c r="J22" s="24">
        <v>43445</v>
      </c>
    </row>
    <row r="23" spans="2:10" x14ac:dyDescent="0.2">
      <c r="B23" s="22">
        <v>18</v>
      </c>
      <c r="C23" s="21" t="s">
        <v>7390</v>
      </c>
      <c r="D23" s="21" t="s">
        <v>594</v>
      </c>
      <c r="E23" s="20" t="s">
        <v>7391</v>
      </c>
      <c r="F23" s="22">
        <v>3.2839999999999998</v>
      </c>
      <c r="G23" s="22" t="s">
        <v>7392</v>
      </c>
      <c r="H23" s="22">
        <v>3.0139999999999998</v>
      </c>
      <c r="I23" s="25">
        <v>43376</v>
      </c>
      <c r="J23" s="24">
        <v>43157</v>
      </c>
    </row>
    <row r="24" spans="2:10" x14ac:dyDescent="0.2">
      <c r="B24" s="22">
        <v>19</v>
      </c>
      <c r="C24" s="21" t="s">
        <v>7393</v>
      </c>
      <c r="D24" s="21" t="s">
        <v>685</v>
      </c>
      <c r="E24" s="20" t="s">
        <v>7394</v>
      </c>
      <c r="F24" s="22">
        <v>3.9359999999999999</v>
      </c>
      <c r="G24" s="22" t="s">
        <v>7395</v>
      </c>
      <c r="H24" s="22">
        <v>3.9359999999999999</v>
      </c>
      <c r="I24" s="25">
        <v>43180</v>
      </c>
      <c r="J24" s="24">
        <v>43291</v>
      </c>
    </row>
    <row r="25" spans="2:10" x14ac:dyDescent="0.2">
      <c r="B25" s="22">
        <v>20</v>
      </c>
      <c r="C25" s="21" t="s">
        <v>7396</v>
      </c>
      <c r="D25" s="21" t="s">
        <v>586</v>
      </c>
      <c r="E25" s="20" t="s">
        <v>7397</v>
      </c>
      <c r="F25" s="22">
        <v>3.3109999999999999</v>
      </c>
      <c r="G25" s="22" t="s">
        <v>7398</v>
      </c>
      <c r="H25" s="22">
        <v>3.2789999999999999</v>
      </c>
      <c r="I25" s="25">
        <v>43229</v>
      </c>
      <c r="J25" s="24">
        <v>43333</v>
      </c>
    </row>
    <row r="26" spans="2:10" x14ac:dyDescent="0.2">
      <c r="B26" s="22">
        <v>21</v>
      </c>
      <c r="C26" s="21" t="s">
        <v>7399</v>
      </c>
      <c r="D26" s="21" t="s">
        <v>586</v>
      </c>
      <c r="E26" s="20" t="s">
        <v>7400</v>
      </c>
      <c r="F26" s="22">
        <v>2.867</v>
      </c>
      <c r="G26" s="22" t="s">
        <v>7401</v>
      </c>
      <c r="H26" s="22">
        <v>2.6629999999999998</v>
      </c>
      <c r="I26" s="25">
        <v>43117</v>
      </c>
      <c r="J26" s="24">
        <v>43207</v>
      </c>
    </row>
    <row r="27" spans="2:10" x14ac:dyDescent="0.2">
      <c r="B27" s="22">
        <v>22</v>
      </c>
      <c r="C27" s="21" t="s">
        <v>7402</v>
      </c>
      <c r="D27" s="21" t="s">
        <v>594</v>
      </c>
      <c r="E27" s="20" t="s">
        <v>7403</v>
      </c>
      <c r="F27" s="22">
        <v>3.9750000000000001</v>
      </c>
      <c r="G27" s="22" t="s">
        <v>7404</v>
      </c>
      <c r="H27" s="22">
        <v>3.948</v>
      </c>
      <c r="I27" s="25">
        <v>43201</v>
      </c>
      <c r="J27" s="24">
        <v>43347</v>
      </c>
    </row>
    <row r="28" spans="2:10" x14ac:dyDescent="0.2">
      <c r="B28" s="22">
        <v>23</v>
      </c>
      <c r="C28" s="21" t="s">
        <v>7405</v>
      </c>
      <c r="D28" s="21" t="s">
        <v>554</v>
      </c>
      <c r="E28" s="20" t="s">
        <v>7406</v>
      </c>
      <c r="F28" s="22">
        <v>2.8330000000000002</v>
      </c>
      <c r="G28" s="22" t="s">
        <v>7407</v>
      </c>
      <c r="H28" s="22">
        <v>2.44</v>
      </c>
      <c r="I28" s="25">
        <v>43459</v>
      </c>
      <c r="J28" s="24">
        <v>43206</v>
      </c>
    </row>
    <row r="29" spans="2:10" x14ac:dyDescent="0.2">
      <c r="B29" s="22">
        <v>24</v>
      </c>
      <c r="C29" s="21" t="s">
        <v>7408</v>
      </c>
      <c r="D29" s="21" t="s">
        <v>586</v>
      </c>
      <c r="E29" s="20" t="s">
        <v>7409</v>
      </c>
      <c r="F29" s="22">
        <v>3.202</v>
      </c>
      <c r="G29" s="22" t="s">
        <v>7410</v>
      </c>
      <c r="H29" s="22">
        <v>3.173</v>
      </c>
      <c r="I29" s="25">
        <v>43306</v>
      </c>
      <c r="J29" s="24">
        <v>43410</v>
      </c>
    </row>
    <row r="30" spans="2:10" x14ac:dyDescent="0.2">
      <c r="B30" s="22">
        <v>25</v>
      </c>
      <c r="C30" s="21" t="s">
        <v>7411</v>
      </c>
      <c r="D30" s="21" t="s">
        <v>594</v>
      </c>
      <c r="E30" s="20" t="s">
        <v>7412</v>
      </c>
      <c r="F30" s="22">
        <v>3.34</v>
      </c>
      <c r="G30" s="22" t="s">
        <v>7413</v>
      </c>
      <c r="H30" s="22">
        <v>3.173</v>
      </c>
      <c r="I30" s="25">
        <v>43257</v>
      </c>
      <c r="J30" s="24">
        <v>43382</v>
      </c>
    </row>
    <row r="31" spans="2:10" x14ac:dyDescent="0.2">
      <c r="B31" s="22">
        <v>26</v>
      </c>
      <c r="C31" s="21" t="s">
        <v>7414</v>
      </c>
      <c r="D31" s="21" t="s">
        <v>586</v>
      </c>
      <c r="E31" s="20" t="s">
        <v>7415</v>
      </c>
      <c r="F31" s="22">
        <v>3.3010000000000002</v>
      </c>
      <c r="G31" s="22" t="s">
        <v>7416</v>
      </c>
      <c r="H31" s="22">
        <v>3.1309999999999998</v>
      </c>
      <c r="I31" s="25">
        <v>43459</v>
      </c>
      <c r="J31" s="24">
        <v>43171</v>
      </c>
    </row>
    <row r="32" spans="2:10" x14ac:dyDescent="0.2">
      <c r="B32" s="22">
        <v>27</v>
      </c>
      <c r="C32" s="21" t="s">
        <v>7417</v>
      </c>
      <c r="D32" s="21" t="s">
        <v>594</v>
      </c>
      <c r="E32" s="20" t="s">
        <v>7418</v>
      </c>
      <c r="F32" s="22">
        <v>3.9140000000000001</v>
      </c>
      <c r="G32" s="22" t="s">
        <v>7419</v>
      </c>
      <c r="H32" s="22">
        <v>3.7850000000000001</v>
      </c>
      <c r="I32" s="25">
        <v>43453</v>
      </c>
      <c r="J32" s="24">
        <v>43290</v>
      </c>
    </row>
    <row r="33" spans="2:10" x14ac:dyDescent="0.2">
      <c r="B33" s="22">
        <v>28</v>
      </c>
      <c r="C33" s="21" t="s">
        <v>7420</v>
      </c>
      <c r="D33" s="21" t="s">
        <v>594</v>
      </c>
      <c r="E33" s="20" t="s">
        <v>7421</v>
      </c>
      <c r="F33" s="22">
        <v>3.9510000000000001</v>
      </c>
      <c r="G33" s="22" t="s">
        <v>7422</v>
      </c>
      <c r="H33" s="22">
        <v>3.9340000000000002</v>
      </c>
      <c r="I33" s="25">
        <v>43166</v>
      </c>
      <c r="J33" s="24">
        <v>43347</v>
      </c>
    </row>
    <row r="34" spans="2:10" x14ac:dyDescent="0.2">
      <c r="B34" s="22">
        <v>29</v>
      </c>
      <c r="C34" s="21" t="s">
        <v>7423</v>
      </c>
      <c r="D34" s="21" t="s">
        <v>563</v>
      </c>
      <c r="E34" s="20" t="s">
        <v>7424</v>
      </c>
      <c r="F34" s="22">
        <v>3.49</v>
      </c>
      <c r="G34" s="22" t="s">
        <v>7425</v>
      </c>
      <c r="H34" s="22">
        <v>3.47</v>
      </c>
      <c r="I34" s="25">
        <v>43166</v>
      </c>
      <c r="J34" s="24">
        <v>43249</v>
      </c>
    </row>
    <row r="35" spans="2:10" x14ac:dyDescent="0.2">
      <c r="B35" s="22">
        <v>30</v>
      </c>
      <c r="C35" s="21" t="s">
        <v>7426</v>
      </c>
      <c r="D35" s="21" t="s">
        <v>594</v>
      </c>
      <c r="E35" s="20" t="s">
        <v>7427</v>
      </c>
      <c r="F35" s="22">
        <v>3.6379999999999999</v>
      </c>
      <c r="G35" s="22" t="s">
        <v>7428</v>
      </c>
      <c r="H35" s="22">
        <v>3.6040000000000001</v>
      </c>
      <c r="I35" s="25">
        <v>43362</v>
      </c>
      <c r="J35" s="24">
        <v>43136</v>
      </c>
    </row>
    <row r="36" spans="2:10" x14ac:dyDescent="0.2">
      <c r="B36" s="22">
        <v>31</v>
      </c>
      <c r="C36" s="21" t="s">
        <v>7429</v>
      </c>
      <c r="D36" s="21" t="s">
        <v>570</v>
      </c>
      <c r="E36" s="20" t="s">
        <v>7430</v>
      </c>
      <c r="F36" s="22">
        <v>3.2360000000000002</v>
      </c>
      <c r="G36" s="22" t="s">
        <v>7431</v>
      </c>
      <c r="H36" s="22">
        <v>3.2360000000000002</v>
      </c>
      <c r="I36" s="25">
        <v>43369</v>
      </c>
      <c r="J36" s="24">
        <v>43111</v>
      </c>
    </row>
    <row r="37" spans="2:10" x14ac:dyDescent="0.2">
      <c r="B37" s="22">
        <v>32</v>
      </c>
      <c r="C37" s="21" t="s">
        <v>7432</v>
      </c>
      <c r="D37" s="21" t="s">
        <v>638</v>
      </c>
      <c r="E37" s="20" t="s">
        <v>7433</v>
      </c>
      <c r="F37" s="22">
        <v>3.5710000000000002</v>
      </c>
      <c r="G37" s="22" t="s">
        <v>7434</v>
      </c>
      <c r="H37" s="22">
        <v>3.5670000000000002</v>
      </c>
      <c r="I37" s="25">
        <v>43187</v>
      </c>
      <c r="J37" s="24">
        <v>43270</v>
      </c>
    </row>
    <row r="38" spans="2:10" x14ac:dyDescent="0.2">
      <c r="B38" s="22">
        <v>33</v>
      </c>
      <c r="C38" s="21" t="s">
        <v>7435</v>
      </c>
      <c r="D38" s="21" t="s">
        <v>563</v>
      </c>
      <c r="E38" s="20" t="s">
        <v>7436</v>
      </c>
      <c r="F38" s="22">
        <v>3.5049999999999999</v>
      </c>
      <c r="G38" s="22" t="s">
        <v>7437</v>
      </c>
      <c r="H38" s="22">
        <v>3.49</v>
      </c>
      <c r="I38" s="25">
        <v>43257</v>
      </c>
      <c r="J38" s="24">
        <v>43354</v>
      </c>
    </row>
    <row r="39" spans="2:10" x14ac:dyDescent="0.2">
      <c r="B39" s="22">
        <v>34</v>
      </c>
      <c r="C39" s="21" t="s">
        <v>7438</v>
      </c>
      <c r="D39" s="21" t="s">
        <v>586</v>
      </c>
      <c r="E39" s="20" t="s">
        <v>7439</v>
      </c>
      <c r="F39" s="22">
        <v>3.1829999999999998</v>
      </c>
      <c r="G39" s="22" t="s">
        <v>7440</v>
      </c>
      <c r="H39" s="22">
        <v>3.09</v>
      </c>
      <c r="I39" s="25">
        <v>43159</v>
      </c>
      <c r="J39" s="24">
        <v>43249</v>
      </c>
    </row>
    <row r="40" spans="2:10" x14ac:dyDescent="0.2">
      <c r="B40" s="22">
        <v>35</v>
      </c>
      <c r="C40" s="21" t="s">
        <v>7441</v>
      </c>
      <c r="D40" s="21" t="s">
        <v>660</v>
      </c>
      <c r="E40" s="20" t="s">
        <v>7442</v>
      </c>
      <c r="F40" s="22">
        <v>3.048</v>
      </c>
      <c r="G40" s="22" t="s">
        <v>7443</v>
      </c>
      <c r="H40" s="22">
        <v>2.4169999999999998</v>
      </c>
      <c r="I40" s="25">
        <v>43206</v>
      </c>
      <c r="J40" s="24">
        <v>43322</v>
      </c>
    </row>
    <row r="41" spans="2:10" x14ac:dyDescent="0.2">
      <c r="B41" s="22">
        <v>36</v>
      </c>
      <c r="C41" s="21" t="s">
        <v>7444</v>
      </c>
      <c r="D41" s="21" t="s">
        <v>820</v>
      </c>
      <c r="E41" s="20" t="s">
        <v>7445</v>
      </c>
      <c r="F41" s="22">
        <v>2.4020000000000001</v>
      </c>
      <c r="G41" s="22" t="s">
        <v>7446</v>
      </c>
      <c r="H41" s="22">
        <v>4</v>
      </c>
      <c r="I41" s="25">
        <v>43432</v>
      </c>
      <c r="J41" s="24">
        <v>43234</v>
      </c>
    </row>
    <row r="42" spans="2:10" x14ac:dyDescent="0.2">
      <c r="B42" s="22">
        <v>37</v>
      </c>
      <c r="C42" s="21" t="s">
        <v>7447</v>
      </c>
      <c r="D42" s="21" t="s">
        <v>586</v>
      </c>
      <c r="E42" s="20" t="s">
        <v>7448</v>
      </c>
      <c r="F42" s="22">
        <v>3.1880000000000002</v>
      </c>
      <c r="G42" s="22" t="s">
        <v>7449</v>
      </c>
      <c r="H42" s="22">
        <v>3.1539999999999999</v>
      </c>
      <c r="I42" s="25">
        <v>43418</v>
      </c>
      <c r="J42" s="24">
        <v>43143</v>
      </c>
    </row>
    <row r="43" spans="2:10" x14ac:dyDescent="0.2">
      <c r="B43" s="22">
        <v>38</v>
      </c>
      <c r="C43" s="21" t="s">
        <v>7450</v>
      </c>
      <c r="D43" s="21" t="s">
        <v>570</v>
      </c>
      <c r="E43" s="20" t="s">
        <v>7451</v>
      </c>
      <c r="F43" s="22">
        <v>3.1970000000000001</v>
      </c>
      <c r="G43" s="22" t="s">
        <v>7452</v>
      </c>
      <c r="H43" s="22">
        <v>3.1160000000000001</v>
      </c>
      <c r="I43" s="25">
        <v>43453</v>
      </c>
      <c r="J43" s="24">
        <v>43174</v>
      </c>
    </row>
    <row r="44" spans="2:10" x14ac:dyDescent="0.2">
      <c r="B44" s="22">
        <v>39</v>
      </c>
      <c r="C44" s="21" t="s">
        <v>7453</v>
      </c>
      <c r="D44" s="21" t="s">
        <v>570</v>
      </c>
      <c r="E44" s="20" t="s">
        <v>7454</v>
      </c>
      <c r="F44" s="22">
        <v>3.3130000000000002</v>
      </c>
      <c r="G44" s="22" t="s">
        <v>7455</v>
      </c>
      <c r="H44" s="22">
        <v>3.173</v>
      </c>
      <c r="I44" s="25">
        <v>43390</v>
      </c>
      <c r="J44" s="24">
        <v>43119</v>
      </c>
    </row>
    <row r="45" spans="2:10" x14ac:dyDescent="0.2">
      <c r="B45" s="22">
        <v>40</v>
      </c>
      <c r="C45" s="21" t="s">
        <v>7456</v>
      </c>
      <c r="D45" s="21" t="s">
        <v>574</v>
      </c>
      <c r="E45" s="20" t="s">
        <v>7457</v>
      </c>
      <c r="F45" s="22">
        <v>3.4649999999999999</v>
      </c>
      <c r="G45" s="22" t="s">
        <v>7458</v>
      </c>
      <c r="H45" s="22">
        <v>3.4649999999999999</v>
      </c>
      <c r="I45" s="25">
        <v>43283</v>
      </c>
      <c r="J45" s="24">
        <v>43389</v>
      </c>
    </row>
    <row r="46" spans="2:10" x14ac:dyDescent="0.2">
      <c r="B46" s="22">
        <v>41</v>
      </c>
      <c r="C46" s="21" t="s">
        <v>7459</v>
      </c>
      <c r="D46" s="21" t="s">
        <v>574</v>
      </c>
      <c r="E46" s="20" t="s">
        <v>7460</v>
      </c>
      <c r="F46" s="22">
        <v>3.2149999999999999</v>
      </c>
      <c r="G46" s="22" t="s">
        <v>7461</v>
      </c>
      <c r="H46" s="22">
        <v>3.1850000000000001</v>
      </c>
      <c r="I46" s="25">
        <v>43376</v>
      </c>
      <c r="J46" s="24">
        <v>43452</v>
      </c>
    </row>
    <row r="47" spans="2:10" x14ac:dyDescent="0.2">
      <c r="B47" s="22">
        <v>42</v>
      </c>
      <c r="C47" s="21" t="s">
        <v>7462</v>
      </c>
      <c r="D47" s="21" t="s">
        <v>594</v>
      </c>
      <c r="E47" s="20" t="s">
        <v>7463</v>
      </c>
      <c r="F47" s="22">
        <v>3.306</v>
      </c>
      <c r="G47" s="22" t="s">
        <v>7464</v>
      </c>
      <c r="H47" s="22">
        <v>3.2050000000000001</v>
      </c>
      <c r="I47" s="25">
        <v>43215</v>
      </c>
      <c r="J47" s="24">
        <v>43326</v>
      </c>
    </row>
    <row r="48" spans="2:10" x14ac:dyDescent="0.2">
      <c r="B48" s="22">
        <v>43</v>
      </c>
      <c r="C48" s="21" t="s">
        <v>7465</v>
      </c>
      <c r="D48" s="21" t="s">
        <v>594</v>
      </c>
      <c r="E48" s="20" t="s">
        <v>7466</v>
      </c>
      <c r="F48" s="22">
        <v>3.7749999999999999</v>
      </c>
      <c r="G48" s="22" t="s">
        <v>7467</v>
      </c>
      <c r="H48" s="22">
        <v>3.7639999999999998</v>
      </c>
      <c r="I48" s="25">
        <v>43430</v>
      </c>
      <c r="J48" s="24">
        <v>43227</v>
      </c>
    </row>
    <row r="49" spans="2:10" x14ac:dyDescent="0.2">
      <c r="B49" s="22">
        <v>44</v>
      </c>
      <c r="C49" s="21" t="s">
        <v>7468</v>
      </c>
      <c r="D49" s="21" t="s">
        <v>594</v>
      </c>
      <c r="E49" s="20" t="s">
        <v>7469</v>
      </c>
      <c r="F49" s="22">
        <v>3.14</v>
      </c>
      <c r="G49" s="22" t="s">
        <v>7470</v>
      </c>
      <c r="H49" s="22">
        <v>3.0939999999999999</v>
      </c>
      <c r="I49" s="25">
        <v>43325</v>
      </c>
      <c r="J49" s="24">
        <v>43445</v>
      </c>
    </row>
    <row r="50" spans="2:10" x14ac:dyDescent="0.2">
      <c r="B50" s="22">
        <v>45</v>
      </c>
      <c r="C50" s="21" t="s">
        <v>7471</v>
      </c>
      <c r="D50" s="21" t="s">
        <v>570</v>
      </c>
      <c r="E50" s="20" t="s">
        <v>7472</v>
      </c>
      <c r="F50" s="22">
        <v>3.0830000000000002</v>
      </c>
      <c r="G50" s="22" t="s">
        <v>7473</v>
      </c>
      <c r="H50" s="22">
        <v>3.0830000000000002</v>
      </c>
      <c r="I50" s="25">
        <v>43138</v>
      </c>
      <c r="J50" s="24">
        <v>43238</v>
      </c>
    </row>
    <row r="51" spans="2:10" x14ac:dyDescent="0.2">
      <c r="B51" s="22">
        <v>46</v>
      </c>
      <c r="C51" s="21" t="s">
        <v>7474</v>
      </c>
      <c r="D51" s="21" t="s">
        <v>638</v>
      </c>
      <c r="E51" s="20" t="s">
        <v>7475</v>
      </c>
      <c r="F51" s="22">
        <v>3.5950000000000002</v>
      </c>
      <c r="G51" s="22" t="s">
        <v>7476</v>
      </c>
      <c r="H51" s="22">
        <v>3.5950000000000002</v>
      </c>
      <c r="I51" s="25">
        <v>43306</v>
      </c>
      <c r="J51" s="24">
        <v>43389</v>
      </c>
    </row>
    <row r="52" spans="2:10" x14ac:dyDescent="0.2">
      <c r="B52" s="22">
        <v>47</v>
      </c>
      <c r="C52" s="21" t="s">
        <v>7477</v>
      </c>
      <c r="D52" s="21" t="s">
        <v>586</v>
      </c>
      <c r="E52" s="20" t="s">
        <v>7478</v>
      </c>
      <c r="F52" s="22">
        <v>2.8559999999999999</v>
      </c>
      <c r="G52" s="22" t="s">
        <v>7479</v>
      </c>
      <c r="H52" s="22">
        <v>2.8050000000000002</v>
      </c>
      <c r="I52" s="25">
        <v>43299</v>
      </c>
      <c r="J52" s="24">
        <v>43361</v>
      </c>
    </row>
    <row r="53" spans="2:10" x14ac:dyDescent="0.2">
      <c r="B53" s="22">
        <v>48</v>
      </c>
      <c r="C53" s="21" t="s">
        <v>7480</v>
      </c>
      <c r="D53" s="21" t="s">
        <v>554</v>
      </c>
      <c r="E53" s="20" t="s">
        <v>7481</v>
      </c>
      <c r="F53" s="22">
        <v>3.117</v>
      </c>
      <c r="G53" s="22" t="s">
        <v>7482</v>
      </c>
      <c r="H53" s="22">
        <v>3.0880000000000001</v>
      </c>
      <c r="I53" s="25">
        <v>43383</v>
      </c>
      <c r="J53" s="24">
        <v>43157</v>
      </c>
    </row>
    <row r="54" spans="2:10" x14ac:dyDescent="0.2">
      <c r="B54" s="22">
        <v>49</v>
      </c>
      <c r="C54" s="21" t="s">
        <v>7483</v>
      </c>
      <c r="D54" s="21" t="s">
        <v>851</v>
      </c>
      <c r="E54" s="20" t="s">
        <v>7484</v>
      </c>
      <c r="F54" s="22">
        <v>2.2250000000000001</v>
      </c>
      <c r="G54" s="22" t="s">
        <v>7485</v>
      </c>
      <c r="H54" s="22">
        <v>2.2250000000000001</v>
      </c>
      <c r="I54" s="25">
        <v>43271</v>
      </c>
      <c r="J54" s="24">
        <v>43329</v>
      </c>
    </row>
    <row r="55" spans="2:10" x14ac:dyDescent="0.2">
      <c r="B55" s="22">
        <v>50</v>
      </c>
      <c r="C55" s="21" t="s">
        <v>7486</v>
      </c>
      <c r="D55" s="21" t="s">
        <v>594</v>
      </c>
      <c r="E55" s="20" t="s">
        <v>7487</v>
      </c>
      <c r="F55" s="22">
        <v>3.5030000000000001</v>
      </c>
      <c r="G55" s="22" t="s">
        <v>7488</v>
      </c>
      <c r="H55" s="22">
        <v>3.5030000000000001</v>
      </c>
      <c r="I55" s="25">
        <v>43446</v>
      </c>
      <c r="J55" s="24">
        <v>43157</v>
      </c>
    </row>
    <row r="56" spans="2:10" x14ac:dyDescent="0.2">
      <c r="B56" s="22">
        <v>51</v>
      </c>
      <c r="C56" s="21" t="s">
        <v>7489</v>
      </c>
      <c r="D56" s="21" t="s">
        <v>863</v>
      </c>
      <c r="E56" s="20" t="s">
        <v>7490</v>
      </c>
      <c r="F56" s="22">
        <v>3.472</v>
      </c>
      <c r="G56" s="22" t="s">
        <v>7491</v>
      </c>
      <c r="H56" s="22">
        <v>3.427</v>
      </c>
      <c r="I56" s="25">
        <v>43117</v>
      </c>
      <c r="J56" s="24">
        <v>43228</v>
      </c>
    </row>
    <row r="57" spans="2:10" x14ac:dyDescent="0.2">
      <c r="B57" s="22">
        <v>52</v>
      </c>
      <c r="C57" s="21" t="s">
        <v>7492</v>
      </c>
      <c r="D57" s="21" t="s">
        <v>2197</v>
      </c>
      <c r="E57" s="20" t="s">
        <v>7493</v>
      </c>
      <c r="F57" s="22">
        <v>1.86</v>
      </c>
      <c r="G57" s="22" t="s">
        <v>7494</v>
      </c>
      <c r="H57" s="22">
        <v>780</v>
      </c>
      <c r="I57" s="25">
        <v>43180</v>
      </c>
      <c r="J57" s="24">
        <v>43319</v>
      </c>
    </row>
    <row r="58" spans="2:10" x14ac:dyDescent="0.2">
      <c r="B58" s="22">
        <v>53</v>
      </c>
      <c r="C58" s="21" t="s">
        <v>7495</v>
      </c>
      <c r="D58" s="21" t="s">
        <v>594</v>
      </c>
      <c r="E58" s="20" t="s">
        <v>7496</v>
      </c>
      <c r="F58" s="22">
        <v>3.2709999999999999</v>
      </c>
      <c r="G58" s="22" t="s">
        <v>7497</v>
      </c>
      <c r="H58" s="22">
        <v>3.26</v>
      </c>
      <c r="I58" s="25">
        <v>43159</v>
      </c>
      <c r="J58" s="24">
        <v>43256</v>
      </c>
    </row>
    <row r="59" spans="2:10" x14ac:dyDescent="0.2">
      <c r="B59" s="22">
        <v>54</v>
      </c>
      <c r="C59" s="21" t="s">
        <v>7498</v>
      </c>
      <c r="D59" s="21" t="s">
        <v>830</v>
      </c>
      <c r="E59" s="20" t="s">
        <v>7499</v>
      </c>
      <c r="F59" s="22">
        <v>1.4670000000000001</v>
      </c>
      <c r="G59" s="22" t="s">
        <v>7500</v>
      </c>
      <c r="H59" s="22">
        <v>4</v>
      </c>
      <c r="I59" s="25">
        <v>43166</v>
      </c>
      <c r="J59" s="24">
        <v>43157</v>
      </c>
    </row>
    <row r="60" spans="2:10" x14ac:dyDescent="0.2">
      <c r="B60" s="22">
        <v>55</v>
      </c>
      <c r="C60" s="21" t="s">
        <v>7501</v>
      </c>
      <c r="D60" s="21" t="s">
        <v>554</v>
      </c>
      <c r="E60" s="20" t="s">
        <v>7502</v>
      </c>
      <c r="F60" s="22">
        <v>3.839</v>
      </c>
      <c r="G60" s="22" t="s">
        <v>7503</v>
      </c>
      <c r="H60" s="22">
        <v>3.8260000000000001</v>
      </c>
      <c r="I60" s="25">
        <v>43299</v>
      </c>
      <c r="J60" s="24">
        <v>43417</v>
      </c>
    </row>
    <row r="61" spans="2:10" x14ac:dyDescent="0.2">
      <c r="B61" s="22">
        <v>56</v>
      </c>
      <c r="C61" s="21" t="s">
        <v>7504</v>
      </c>
      <c r="D61" s="21" t="s">
        <v>570</v>
      </c>
      <c r="E61" s="20" t="s">
        <v>7505</v>
      </c>
      <c r="F61" s="22">
        <v>3.3719999999999999</v>
      </c>
      <c r="G61" s="22" t="s">
        <v>7506</v>
      </c>
      <c r="H61" s="22">
        <v>3.3719999999999999</v>
      </c>
      <c r="I61" s="25">
        <v>43143</v>
      </c>
      <c r="J61" s="24">
        <v>43238</v>
      </c>
    </row>
    <row r="62" spans="2:10" x14ac:dyDescent="0.2">
      <c r="B62" s="22">
        <v>57</v>
      </c>
      <c r="C62" s="21" t="s">
        <v>7507</v>
      </c>
      <c r="D62" s="21" t="s">
        <v>586</v>
      </c>
      <c r="E62" s="20" t="s">
        <v>7508</v>
      </c>
      <c r="F62" s="22">
        <v>2.9</v>
      </c>
      <c r="G62" s="22" t="s">
        <v>7509</v>
      </c>
      <c r="H62" s="22">
        <v>2.8849999999999998</v>
      </c>
      <c r="I62" s="25">
        <v>43383</v>
      </c>
      <c r="J62" s="24">
        <v>43431</v>
      </c>
    </row>
    <row r="63" spans="2:10" x14ac:dyDescent="0.2">
      <c r="B63" s="22">
        <v>58</v>
      </c>
      <c r="C63" s="21" t="s">
        <v>7510</v>
      </c>
      <c r="D63" s="21" t="s">
        <v>563</v>
      </c>
      <c r="E63" s="20" t="s">
        <v>7511</v>
      </c>
      <c r="F63" s="22">
        <v>3.4</v>
      </c>
      <c r="G63" s="22" t="s">
        <v>7512</v>
      </c>
      <c r="H63" s="22">
        <v>3.375</v>
      </c>
      <c r="I63" s="25">
        <v>43430</v>
      </c>
      <c r="J63" s="24">
        <v>43150</v>
      </c>
    </row>
    <row r="64" spans="2:10" x14ac:dyDescent="0.2">
      <c r="B64" s="22">
        <v>59</v>
      </c>
      <c r="C64" s="21" t="s">
        <v>7513</v>
      </c>
      <c r="D64" s="21" t="s">
        <v>554</v>
      </c>
      <c r="E64" s="20" t="s">
        <v>7514</v>
      </c>
      <c r="F64" s="22">
        <v>2.1669999999999998</v>
      </c>
      <c r="G64" s="22" t="s">
        <v>7515</v>
      </c>
      <c r="H64" s="22">
        <v>2.0230000000000001</v>
      </c>
      <c r="I64" s="25">
        <v>43320</v>
      </c>
      <c r="J64" s="24">
        <v>43438</v>
      </c>
    </row>
    <row r="65" spans="2:10" x14ac:dyDescent="0.2">
      <c r="B65" s="22">
        <v>60</v>
      </c>
      <c r="C65" s="21" t="s">
        <v>7516</v>
      </c>
      <c r="D65" s="21" t="s">
        <v>851</v>
      </c>
      <c r="E65" s="20" t="s">
        <v>7517</v>
      </c>
      <c r="F65" s="22">
        <v>2.1749999999999998</v>
      </c>
      <c r="G65" s="22" t="s">
        <v>7518</v>
      </c>
      <c r="H65" s="22">
        <v>2.1749999999999998</v>
      </c>
      <c r="I65" s="25">
        <v>43355</v>
      </c>
      <c r="J65" s="24">
        <v>43406</v>
      </c>
    </row>
    <row r="66" spans="2:10" x14ac:dyDescent="0.2">
      <c r="B66" s="22">
        <v>61</v>
      </c>
      <c r="C66" s="21" t="s">
        <v>7519</v>
      </c>
      <c r="D66" s="21" t="s">
        <v>638</v>
      </c>
      <c r="E66" s="20" t="s">
        <v>7520</v>
      </c>
      <c r="F66" s="22">
        <v>2.2349999999999999</v>
      </c>
      <c r="G66" s="22" t="s">
        <v>7521</v>
      </c>
      <c r="H66" s="22">
        <v>19</v>
      </c>
      <c r="I66" s="25">
        <v>43459</v>
      </c>
      <c r="J66" s="24">
        <v>43206</v>
      </c>
    </row>
    <row r="67" spans="2:10" x14ac:dyDescent="0.2">
      <c r="B67" s="22">
        <v>62</v>
      </c>
      <c r="C67" s="21" t="s">
        <v>7522</v>
      </c>
      <c r="D67" s="21" t="s">
        <v>554</v>
      </c>
      <c r="E67" s="20" t="s">
        <v>7523</v>
      </c>
      <c r="F67" s="22">
        <v>3.194</v>
      </c>
      <c r="G67" s="22" t="s">
        <v>7524</v>
      </c>
      <c r="H67" s="22">
        <v>3.194</v>
      </c>
      <c r="I67" s="25">
        <v>43180</v>
      </c>
      <c r="J67" s="24">
        <v>43298</v>
      </c>
    </row>
    <row r="68" spans="2:10" x14ac:dyDescent="0.2">
      <c r="B68" s="22">
        <v>63</v>
      </c>
      <c r="C68" s="21" t="s">
        <v>7525</v>
      </c>
      <c r="D68" s="21" t="s">
        <v>586</v>
      </c>
      <c r="E68" s="20" t="s">
        <v>7526</v>
      </c>
      <c r="F68" s="22">
        <v>2.899</v>
      </c>
      <c r="G68" s="22" t="s">
        <v>7527</v>
      </c>
      <c r="H68" s="22">
        <v>2.8580000000000001</v>
      </c>
      <c r="I68" s="25">
        <v>43397</v>
      </c>
      <c r="J68" s="24">
        <v>43452</v>
      </c>
    </row>
    <row r="69" spans="2:10" x14ac:dyDescent="0.2">
      <c r="B69" s="22">
        <v>64</v>
      </c>
      <c r="C69" s="21" t="s">
        <v>7528</v>
      </c>
      <c r="D69" s="21" t="s">
        <v>740</v>
      </c>
      <c r="E69" s="20" t="s">
        <v>7529</v>
      </c>
      <c r="F69" s="22">
        <v>3.464</v>
      </c>
      <c r="G69" s="22" t="s">
        <v>7530</v>
      </c>
      <c r="H69" s="22">
        <v>3.464</v>
      </c>
      <c r="I69" s="25">
        <v>43369</v>
      </c>
      <c r="J69" s="24">
        <v>43136</v>
      </c>
    </row>
    <row r="70" spans="2:10" x14ac:dyDescent="0.2">
      <c r="B70" s="22">
        <v>65</v>
      </c>
      <c r="C70" s="21" t="s">
        <v>7531</v>
      </c>
      <c r="D70" s="21" t="s">
        <v>638</v>
      </c>
      <c r="E70" s="20" t="s">
        <v>7532</v>
      </c>
      <c r="F70" s="22">
        <v>3.387</v>
      </c>
      <c r="G70" s="22" t="s">
        <v>7533</v>
      </c>
      <c r="H70" s="22">
        <v>3.387</v>
      </c>
      <c r="I70" s="25">
        <v>43117</v>
      </c>
      <c r="J70" s="24">
        <v>43193</v>
      </c>
    </row>
    <row r="71" spans="2:10" x14ac:dyDescent="0.2">
      <c r="B71" s="22">
        <v>66</v>
      </c>
      <c r="C71" s="21" t="s">
        <v>7534</v>
      </c>
      <c r="D71" s="21" t="s">
        <v>574</v>
      </c>
      <c r="E71" s="20" t="s">
        <v>7535</v>
      </c>
      <c r="F71" s="22">
        <v>3.157</v>
      </c>
      <c r="G71" s="22" t="s">
        <v>7536</v>
      </c>
      <c r="H71" s="22">
        <v>2.907</v>
      </c>
      <c r="I71" s="25">
        <v>43334</v>
      </c>
      <c r="J71" s="24">
        <v>43410</v>
      </c>
    </row>
    <row r="72" spans="2:10" x14ac:dyDescent="0.2">
      <c r="B72" s="22">
        <v>67</v>
      </c>
      <c r="C72" s="21" t="s">
        <v>7537</v>
      </c>
      <c r="D72" s="21" t="s">
        <v>594</v>
      </c>
      <c r="E72" s="20" t="s">
        <v>7538</v>
      </c>
      <c r="F72" s="22">
        <v>3.113</v>
      </c>
      <c r="G72" s="22" t="s">
        <v>7539</v>
      </c>
      <c r="H72" s="22">
        <v>3.0710000000000002</v>
      </c>
      <c r="I72" s="25">
        <v>43390</v>
      </c>
      <c r="J72" s="24">
        <v>43157</v>
      </c>
    </row>
    <row r="73" spans="2:10" x14ac:dyDescent="0.2">
      <c r="B73" s="22">
        <v>68</v>
      </c>
      <c r="C73" s="21" t="s">
        <v>7540</v>
      </c>
      <c r="D73" s="21" t="s">
        <v>851</v>
      </c>
      <c r="E73" s="20" t="s">
        <v>7541</v>
      </c>
      <c r="F73" s="22">
        <v>2.2530000000000001</v>
      </c>
      <c r="G73" s="22" t="s">
        <v>7542</v>
      </c>
      <c r="H73" s="22">
        <v>2.2530000000000001</v>
      </c>
      <c r="I73" s="25">
        <v>43145</v>
      </c>
      <c r="J73" s="24">
        <v>43217</v>
      </c>
    </row>
    <row r="74" spans="2:10" x14ac:dyDescent="0.2">
      <c r="B74" s="22">
        <v>69</v>
      </c>
      <c r="C74" s="21" t="s">
        <v>7543</v>
      </c>
      <c r="D74" s="21" t="s">
        <v>574</v>
      </c>
      <c r="E74" s="20" t="s">
        <v>7544</v>
      </c>
      <c r="F74" s="22">
        <v>3.4340000000000002</v>
      </c>
      <c r="G74" s="22" t="s">
        <v>7545</v>
      </c>
      <c r="H74" s="22">
        <v>3.4340000000000002</v>
      </c>
      <c r="I74" s="25">
        <v>43320</v>
      </c>
      <c r="J74" s="24">
        <v>43424</v>
      </c>
    </row>
    <row r="75" spans="2:10" x14ac:dyDescent="0.2">
      <c r="B75" s="22">
        <v>70</v>
      </c>
      <c r="C75" s="21" t="s">
        <v>7546</v>
      </c>
      <c r="D75" s="21" t="s">
        <v>563</v>
      </c>
      <c r="E75" s="20" t="s">
        <v>7547</v>
      </c>
      <c r="F75" s="22">
        <v>3.0030000000000001</v>
      </c>
      <c r="G75" s="22" t="s">
        <v>7548</v>
      </c>
      <c r="H75" s="22">
        <v>3.0030000000000001</v>
      </c>
      <c r="I75" s="25">
        <v>43383</v>
      </c>
      <c r="J75" s="24">
        <v>43115</v>
      </c>
    </row>
    <row r="76" spans="2:10" x14ac:dyDescent="0.2">
      <c r="B76" s="22">
        <v>71</v>
      </c>
      <c r="C76" s="21" t="s">
        <v>7549</v>
      </c>
      <c r="D76" s="21" t="s">
        <v>563</v>
      </c>
      <c r="E76" s="20" t="s">
        <v>7550</v>
      </c>
      <c r="F76" s="22">
        <v>2.9049999999999998</v>
      </c>
      <c r="G76" s="22" t="s">
        <v>7551</v>
      </c>
      <c r="H76" s="22">
        <v>2.9049999999999998</v>
      </c>
      <c r="I76" s="25">
        <v>43271</v>
      </c>
      <c r="J76" s="24">
        <v>43368</v>
      </c>
    </row>
    <row r="77" spans="2:10" x14ac:dyDescent="0.2">
      <c r="B77" s="22">
        <v>72</v>
      </c>
      <c r="C77" s="21" t="s">
        <v>7552</v>
      </c>
      <c r="D77" s="21" t="s">
        <v>563</v>
      </c>
      <c r="E77" s="20" t="s">
        <v>7553</v>
      </c>
      <c r="F77" s="22">
        <v>3.5550000000000002</v>
      </c>
      <c r="G77" s="22" t="s">
        <v>7554</v>
      </c>
      <c r="H77" s="22">
        <v>3.5550000000000002</v>
      </c>
      <c r="I77" s="25">
        <v>43243</v>
      </c>
      <c r="J77" s="24">
        <v>43340</v>
      </c>
    </row>
    <row r="78" spans="2:10" x14ac:dyDescent="0.2">
      <c r="B78" s="22">
        <v>73</v>
      </c>
      <c r="C78" s="21" t="s">
        <v>7555</v>
      </c>
      <c r="D78" s="21" t="s">
        <v>820</v>
      </c>
      <c r="E78" s="20" t="s">
        <v>7556</v>
      </c>
      <c r="F78" s="22">
        <v>3.0030000000000001</v>
      </c>
      <c r="G78" s="22" t="s">
        <v>7557</v>
      </c>
      <c r="H78" s="22">
        <v>3.0030000000000001</v>
      </c>
      <c r="I78" s="25">
        <v>43327</v>
      </c>
      <c r="J78" s="24">
        <v>43445</v>
      </c>
    </row>
    <row r="79" spans="2:10" x14ac:dyDescent="0.2">
      <c r="B79" s="22">
        <v>74</v>
      </c>
      <c r="C79" s="21" t="s">
        <v>7558</v>
      </c>
      <c r="D79" s="21" t="s">
        <v>820</v>
      </c>
      <c r="E79" s="20" t="s">
        <v>7559</v>
      </c>
      <c r="F79" s="22">
        <v>2.552</v>
      </c>
      <c r="G79" s="22" t="s">
        <v>7560</v>
      </c>
      <c r="H79" s="22">
        <v>4</v>
      </c>
      <c r="I79" s="25">
        <v>43383</v>
      </c>
      <c r="J79" s="24">
        <v>43164</v>
      </c>
    </row>
    <row r="80" spans="2:10" x14ac:dyDescent="0.2">
      <c r="B80" s="22">
        <v>75</v>
      </c>
      <c r="C80" s="21" t="s">
        <v>7561</v>
      </c>
      <c r="D80" s="21" t="s">
        <v>554</v>
      </c>
      <c r="E80" s="20" t="s">
        <v>7562</v>
      </c>
      <c r="F80" s="22">
        <v>3.1150000000000002</v>
      </c>
      <c r="G80" s="22" t="s">
        <v>7563</v>
      </c>
      <c r="H80" s="22">
        <v>3.1150000000000002</v>
      </c>
      <c r="I80" s="25">
        <v>43173</v>
      </c>
      <c r="J80" s="24">
        <v>43270</v>
      </c>
    </row>
    <row r="81" spans="2:10" x14ac:dyDescent="0.2">
      <c r="B81" s="22">
        <v>76</v>
      </c>
      <c r="C81" s="21" t="s">
        <v>7564</v>
      </c>
      <c r="D81" s="21" t="s">
        <v>586</v>
      </c>
      <c r="E81" s="20" t="s">
        <v>7565</v>
      </c>
      <c r="F81" s="22">
        <v>3.16</v>
      </c>
      <c r="G81" s="22" t="s">
        <v>7566</v>
      </c>
      <c r="H81" s="22">
        <v>3.1579999999999999</v>
      </c>
      <c r="I81" s="25">
        <v>43250</v>
      </c>
      <c r="J81" s="24">
        <v>43298</v>
      </c>
    </row>
    <row r="82" spans="2:10" x14ac:dyDescent="0.2">
      <c r="B82" s="22">
        <v>77</v>
      </c>
      <c r="C82" s="21" t="s">
        <v>7567</v>
      </c>
      <c r="D82" s="21" t="s">
        <v>685</v>
      </c>
      <c r="E82" s="20" t="s">
        <v>7568</v>
      </c>
      <c r="F82" s="22">
        <v>2.589</v>
      </c>
      <c r="G82" s="22" t="s">
        <v>7569</v>
      </c>
      <c r="H82" s="22">
        <v>2.589</v>
      </c>
      <c r="I82" s="25">
        <v>43397</v>
      </c>
      <c r="J82" s="24">
        <v>43122</v>
      </c>
    </row>
    <row r="83" spans="2:10" x14ac:dyDescent="0.2">
      <c r="B83" s="22">
        <v>78</v>
      </c>
      <c r="C83" s="21" t="s">
        <v>7570</v>
      </c>
      <c r="D83" s="21" t="s">
        <v>830</v>
      </c>
      <c r="E83" s="20" t="s">
        <v>7571</v>
      </c>
      <c r="F83" s="22">
        <v>1.2130000000000001</v>
      </c>
      <c r="G83" s="22" t="s">
        <v>7572</v>
      </c>
      <c r="H83" s="22">
        <v>4</v>
      </c>
      <c r="I83" s="25">
        <v>43390</v>
      </c>
      <c r="J83" s="24">
        <v>43206</v>
      </c>
    </row>
    <row r="84" spans="2:10" x14ac:dyDescent="0.2">
      <c r="B84" s="22">
        <v>79</v>
      </c>
      <c r="C84" s="21" t="s">
        <v>7573</v>
      </c>
      <c r="D84" s="21" t="s">
        <v>563</v>
      </c>
      <c r="E84" s="20" t="s">
        <v>7574</v>
      </c>
      <c r="F84" s="22">
        <v>3.6560000000000001</v>
      </c>
      <c r="G84" s="22" t="s">
        <v>7575</v>
      </c>
      <c r="H84" s="22">
        <v>3.6560000000000001</v>
      </c>
      <c r="I84" s="25">
        <v>43355</v>
      </c>
      <c r="J84" s="24">
        <v>43452</v>
      </c>
    </row>
    <row r="85" spans="2:10" x14ac:dyDescent="0.2">
      <c r="B85" s="22">
        <v>80</v>
      </c>
      <c r="C85" s="21" t="s">
        <v>7576</v>
      </c>
      <c r="D85" s="21" t="s">
        <v>643</v>
      </c>
      <c r="E85" s="20" t="s">
        <v>7577</v>
      </c>
      <c r="F85" s="22">
        <v>3.2210000000000001</v>
      </c>
      <c r="G85" s="22" t="s">
        <v>7578</v>
      </c>
      <c r="H85" s="22">
        <v>3.2210000000000001</v>
      </c>
      <c r="I85" s="25">
        <v>43327</v>
      </c>
      <c r="J85" s="24">
        <v>43389</v>
      </c>
    </row>
    <row r="86" spans="2:10" x14ac:dyDescent="0.2">
      <c r="B86" s="22">
        <v>81</v>
      </c>
      <c r="C86" s="21" t="s">
        <v>7579</v>
      </c>
      <c r="D86" s="21" t="s">
        <v>3464</v>
      </c>
      <c r="E86" s="20" t="s">
        <v>7580</v>
      </c>
      <c r="F86" s="22">
        <v>3.23</v>
      </c>
      <c r="G86" s="22" t="s">
        <v>7581</v>
      </c>
      <c r="H86" s="22">
        <v>3.23</v>
      </c>
      <c r="I86" s="25">
        <v>43283</v>
      </c>
      <c r="J86" s="24">
        <v>43403</v>
      </c>
    </row>
    <row r="87" spans="2:10" x14ac:dyDescent="0.2">
      <c r="B87" s="22">
        <v>82</v>
      </c>
      <c r="C87" s="21" t="s">
        <v>7582</v>
      </c>
      <c r="D87" s="21" t="s">
        <v>570</v>
      </c>
      <c r="E87" s="20" t="s">
        <v>7583</v>
      </c>
      <c r="F87" s="22">
        <v>3.0619999999999998</v>
      </c>
      <c r="G87" s="22" t="s">
        <v>7584</v>
      </c>
      <c r="H87" s="22">
        <v>3.0619999999999998</v>
      </c>
      <c r="I87" s="25">
        <v>43299</v>
      </c>
      <c r="J87" s="24">
        <v>43364</v>
      </c>
    </row>
    <row r="88" spans="2:10" x14ac:dyDescent="0.2">
      <c r="B88" s="22">
        <v>83</v>
      </c>
      <c r="C88" s="21" t="s">
        <v>7585</v>
      </c>
      <c r="D88" s="21" t="s">
        <v>830</v>
      </c>
      <c r="E88" s="20" t="s">
        <v>7586</v>
      </c>
      <c r="F88" s="22">
        <v>1.361</v>
      </c>
      <c r="G88" s="22" t="s">
        <v>7587</v>
      </c>
      <c r="H88" s="22">
        <v>21</v>
      </c>
      <c r="I88" s="25">
        <v>43437</v>
      </c>
      <c r="J88" s="24">
        <v>43227</v>
      </c>
    </row>
    <row r="89" spans="2:10" x14ac:dyDescent="0.2">
      <c r="B89" s="22">
        <v>84</v>
      </c>
      <c r="C89" s="21" t="s">
        <v>7588</v>
      </c>
      <c r="D89" s="21" t="s">
        <v>554</v>
      </c>
      <c r="E89" s="20" t="s">
        <v>7589</v>
      </c>
      <c r="F89" s="22">
        <v>3.0190000000000001</v>
      </c>
      <c r="G89" s="22" t="s">
        <v>7590</v>
      </c>
      <c r="H89" s="22">
        <v>3.0190000000000001</v>
      </c>
      <c r="I89" s="25">
        <v>43236</v>
      </c>
      <c r="J89" s="24">
        <v>43333</v>
      </c>
    </row>
    <row r="90" spans="2:10" x14ac:dyDescent="0.2">
      <c r="B90" s="22">
        <v>85</v>
      </c>
      <c r="C90" s="21" t="s">
        <v>7591</v>
      </c>
      <c r="D90" s="21" t="s">
        <v>740</v>
      </c>
      <c r="E90" s="20" t="s">
        <v>7592</v>
      </c>
      <c r="F90" s="22">
        <v>1.22</v>
      </c>
      <c r="G90" s="22" t="s">
        <v>7593</v>
      </c>
      <c r="H90" s="22">
        <v>5</v>
      </c>
      <c r="I90" s="25">
        <v>43411</v>
      </c>
      <c r="J90" s="24">
        <v>43206</v>
      </c>
    </row>
    <row r="91" spans="2:10" x14ac:dyDescent="0.2">
      <c r="B91" s="22">
        <v>86</v>
      </c>
      <c r="C91" s="21" t="s">
        <v>7594</v>
      </c>
      <c r="D91" s="21" t="s">
        <v>563</v>
      </c>
      <c r="E91" s="20" t="s">
        <v>7595</v>
      </c>
      <c r="F91" s="22">
        <v>2.8679999999999999</v>
      </c>
      <c r="G91" s="22" t="s">
        <v>7596</v>
      </c>
      <c r="H91" s="22">
        <v>2.8679999999999999</v>
      </c>
      <c r="I91" s="25">
        <v>43362</v>
      </c>
      <c r="J91" s="24">
        <v>43438</v>
      </c>
    </row>
    <row r="92" spans="2:10" x14ac:dyDescent="0.2">
      <c r="B92" s="22">
        <v>87</v>
      </c>
      <c r="C92" s="21" t="s">
        <v>7597</v>
      </c>
      <c r="D92" s="21" t="s">
        <v>638</v>
      </c>
      <c r="E92" s="20" t="s">
        <v>7598</v>
      </c>
      <c r="F92" s="22">
        <v>2.4940000000000002</v>
      </c>
      <c r="G92" s="22" t="s">
        <v>7599</v>
      </c>
      <c r="H92" s="22">
        <v>2.4780000000000002</v>
      </c>
      <c r="I92" s="25">
        <v>43459</v>
      </c>
      <c r="J92" s="24">
        <v>43150</v>
      </c>
    </row>
    <row r="93" spans="2:10" x14ac:dyDescent="0.2">
      <c r="B93" s="22">
        <v>88</v>
      </c>
      <c r="C93" s="21" t="s">
        <v>7600</v>
      </c>
      <c r="D93" s="21" t="s">
        <v>638</v>
      </c>
      <c r="E93" s="20" t="s">
        <v>7601</v>
      </c>
      <c r="F93" s="22">
        <v>2.883</v>
      </c>
      <c r="G93" s="22" t="s">
        <v>7602</v>
      </c>
      <c r="H93" s="22">
        <v>2.867</v>
      </c>
      <c r="I93" s="25">
        <v>43103</v>
      </c>
      <c r="J93" s="24">
        <v>43151</v>
      </c>
    </row>
    <row r="94" spans="2:10" x14ac:dyDescent="0.2">
      <c r="B94" s="22">
        <v>89</v>
      </c>
      <c r="C94" s="21" t="s">
        <v>7603</v>
      </c>
      <c r="D94" s="21" t="s">
        <v>863</v>
      </c>
      <c r="E94" s="20" t="s">
        <v>7604</v>
      </c>
      <c r="F94" s="22">
        <v>2.766</v>
      </c>
      <c r="G94" s="22" t="s">
        <v>7605</v>
      </c>
      <c r="H94" s="22">
        <v>2.766</v>
      </c>
      <c r="I94" s="25">
        <v>43404</v>
      </c>
      <c r="J94" s="24">
        <v>43136</v>
      </c>
    </row>
    <row r="95" spans="2:10" x14ac:dyDescent="0.2">
      <c r="B95" s="22">
        <v>90</v>
      </c>
      <c r="C95" s="21" t="s">
        <v>7606</v>
      </c>
      <c r="D95" s="21" t="s">
        <v>863</v>
      </c>
      <c r="E95" s="20" t="s">
        <v>7607</v>
      </c>
      <c r="F95" s="22">
        <v>1.298</v>
      </c>
      <c r="G95" s="22" t="s">
        <v>7608</v>
      </c>
      <c r="H95" s="22">
        <v>6</v>
      </c>
      <c r="I95" s="25">
        <v>43229</v>
      </c>
      <c r="J95" s="24">
        <v>43354</v>
      </c>
    </row>
    <row r="96" spans="2:10" x14ac:dyDescent="0.2">
      <c r="B96" s="22">
        <v>91</v>
      </c>
      <c r="C96" s="21" t="s">
        <v>7609</v>
      </c>
      <c r="D96" s="21" t="s">
        <v>586</v>
      </c>
      <c r="E96" s="20" t="s">
        <v>7610</v>
      </c>
      <c r="F96" s="22">
        <v>2.4689999999999999</v>
      </c>
      <c r="G96" s="22" t="s">
        <v>7611</v>
      </c>
      <c r="H96" s="22">
        <v>2.468</v>
      </c>
      <c r="I96" s="25">
        <v>43313</v>
      </c>
      <c r="J96" s="24">
        <v>43361</v>
      </c>
    </row>
    <row r="97" spans="2:10" x14ac:dyDescent="0.2">
      <c r="B97" s="22">
        <v>92</v>
      </c>
      <c r="C97" s="21" t="s">
        <v>7612</v>
      </c>
      <c r="D97" s="21" t="s">
        <v>3464</v>
      </c>
      <c r="E97" s="20" t="s">
        <v>7613</v>
      </c>
      <c r="F97" s="22">
        <v>2.8719999999999999</v>
      </c>
      <c r="G97" s="22" t="s">
        <v>7614</v>
      </c>
      <c r="H97" s="22">
        <v>2.8719999999999999</v>
      </c>
      <c r="I97" s="25">
        <v>43152</v>
      </c>
      <c r="J97" s="24">
        <v>43235</v>
      </c>
    </row>
    <row r="98" spans="2:10" x14ac:dyDescent="0.2">
      <c r="B98" s="22">
        <v>93</v>
      </c>
      <c r="C98" s="21" t="s">
        <v>7615</v>
      </c>
      <c r="D98" s="21" t="s">
        <v>851</v>
      </c>
      <c r="E98" s="20" t="s">
        <v>7616</v>
      </c>
      <c r="F98" s="22">
        <v>3.0489999999999999</v>
      </c>
      <c r="G98" s="22" t="s">
        <v>7617</v>
      </c>
      <c r="H98" s="22">
        <v>3.0489999999999999</v>
      </c>
      <c r="I98" s="25">
        <v>43283</v>
      </c>
      <c r="J98" s="24">
        <v>43322</v>
      </c>
    </row>
    <row r="99" spans="2:10" x14ac:dyDescent="0.2">
      <c r="B99" s="22">
        <v>94</v>
      </c>
      <c r="C99" s="21" t="s">
        <v>7618</v>
      </c>
      <c r="D99" s="21" t="s">
        <v>660</v>
      </c>
      <c r="E99" s="20" t="s">
        <v>7619</v>
      </c>
      <c r="F99" s="22">
        <v>2.766</v>
      </c>
      <c r="G99" s="22" t="s">
        <v>7620</v>
      </c>
      <c r="H99" s="22">
        <v>2.673</v>
      </c>
      <c r="I99" s="25">
        <v>43334</v>
      </c>
      <c r="J99" s="24">
        <v>43406</v>
      </c>
    </row>
    <row r="100" spans="2:10" x14ac:dyDescent="0.2">
      <c r="B100" s="22">
        <v>95</v>
      </c>
      <c r="C100" s="21" t="s">
        <v>7621</v>
      </c>
      <c r="D100" s="21" t="s">
        <v>685</v>
      </c>
      <c r="E100" s="20" t="s">
        <v>7622</v>
      </c>
      <c r="F100" s="22">
        <v>2.7810000000000001</v>
      </c>
      <c r="G100" s="22" t="s">
        <v>7623</v>
      </c>
      <c r="H100" s="22">
        <v>2.7810000000000001</v>
      </c>
      <c r="I100" s="25">
        <v>43201</v>
      </c>
      <c r="J100" s="24">
        <v>43270</v>
      </c>
    </row>
    <row r="101" spans="2:10" x14ac:dyDescent="0.2">
      <c r="B101" s="22">
        <v>96</v>
      </c>
      <c r="C101" s="21" t="s">
        <v>7624</v>
      </c>
      <c r="D101" s="21" t="s">
        <v>3464</v>
      </c>
      <c r="E101" s="20" t="s">
        <v>7625</v>
      </c>
      <c r="F101" s="22">
        <v>2.6480000000000001</v>
      </c>
      <c r="G101" s="22" t="s">
        <v>7626</v>
      </c>
      <c r="H101" s="22">
        <v>2.6480000000000001</v>
      </c>
      <c r="I101" s="25">
        <v>43201</v>
      </c>
      <c r="J101" s="24">
        <v>43277</v>
      </c>
    </row>
    <row r="102" spans="2:10" x14ac:dyDescent="0.2">
      <c r="B102" s="22">
        <v>97</v>
      </c>
      <c r="C102" s="21" t="s">
        <v>7627</v>
      </c>
      <c r="D102" s="21" t="s">
        <v>3464</v>
      </c>
      <c r="E102" s="20" t="s">
        <v>7628</v>
      </c>
      <c r="F102" s="22">
        <v>2.9359999999999999</v>
      </c>
      <c r="G102" s="22" t="s">
        <v>7629</v>
      </c>
      <c r="H102" s="22">
        <v>2.9359999999999999</v>
      </c>
      <c r="I102" s="25">
        <v>43390</v>
      </c>
      <c r="J102" s="24">
        <v>43115</v>
      </c>
    </row>
    <row r="103" spans="2:10" x14ac:dyDescent="0.2">
      <c r="B103" s="22">
        <v>98</v>
      </c>
      <c r="C103" s="21" t="s">
        <v>7630</v>
      </c>
      <c r="D103" s="21" t="s">
        <v>586</v>
      </c>
      <c r="E103" s="20" t="s">
        <v>7631</v>
      </c>
      <c r="F103" s="22">
        <v>2.714</v>
      </c>
      <c r="G103" s="22" t="s">
        <v>7632</v>
      </c>
      <c r="H103" s="22">
        <v>2.7120000000000002</v>
      </c>
      <c r="I103" s="25">
        <v>43362</v>
      </c>
      <c r="J103" s="24">
        <v>43396</v>
      </c>
    </row>
    <row r="104" spans="2:10" x14ac:dyDescent="0.2">
      <c r="B104" s="22">
        <v>99</v>
      </c>
      <c r="C104" s="21" t="s">
        <v>7633</v>
      </c>
      <c r="D104" s="21" t="s">
        <v>740</v>
      </c>
      <c r="E104" s="20" t="s">
        <v>7634</v>
      </c>
      <c r="F104" s="22">
        <v>2.8090000000000002</v>
      </c>
      <c r="G104" s="22" t="s">
        <v>7635</v>
      </c>
      <c r="H104" s="22">
        <v>2.8090000000000002</v>
      </c>
      <c r="I104" s="25">
        <v>43131</v>
      </c>
      <c r="J104" s="24">
        <v>43193</v>
      </c>
    </row>
    <row r="105" spans="2:10" x14ac:dyDescent="0.2">
      <c r="B105" s="22">
        <v>100</v>
      </c>
      <c r="C105" s="21" t="s">
        <v>7636</v>
      </c>
      <c r="D105" s="21" t="s">
        <v>1294</v>
      </c>
      <c r="E105" s="20" t="s">
        <v>7637</v>
      </c>
      <c r="F105" s="22">
        <v>775</v>
      </c>
      <c r="G105" s="22" t="s">
        <v>7638</v>
      </c>
      <c r="H105" s="22">
        <v>5</v>
      </c>
      <c r="I105" s="25">
        <v>43292</v>
      </c>
      <c r="J105" s="24">
        <v>43181</v>
      </c>
    </row>
    <row r="106" spans="2:10" x14ac:dyDescent="0.2">
      <c r="B106" s="22">
        <v>101</v>
      </c>
      <c r="C106" s="21" t="s">
        <v>7640</v>
      </c>
      <c r="D106" s="21" t="s">
        <v>638</v>
      </c>
      <c r="E106" s="20" t="s">
        <v>7641</v>
      </c>
      <c r="F106" s="22">
        <v>1.4259999999999999</v>
      </c>
      <c r="G106" s="22" t="s">
        <v>7642</v>
      </c>
      <c r="H106" s="22">
        <v>979</v>
      </c>
      <c r="I106" s="25">
        <v>43446</v>
      </c>
      <c r="J106" s="24">
        <v>43136</v>
      </c>
    </row>
    <row r="107" spans="2:10" x14ac:dyDescent="0.2">
      <c r="B107" s="22">
        <v>102</v>
      </c>
      <c r="C107" s="21" t="s">
        <v>7643</v>
      </c>
      <c r="D107" s="21" t="s">
        <v>3464</v>
      </c>
      <c r="E107" s="20" t="s">
        <v>7644</v>
      </c>
      <c r="F107" s="22">
        <v>2.7759999999999998</v>
      </c>
      <c r="G107" s="22" t="s">
        <v>7645</v>
      </c>
      <c r="H107" s="22">
        <v>2.7759999999999998</v>
      </c>
      <c r="I107" s="25">
        <v>43339</v>
      </c>
      <c r="J107" s="24">
        <v>43403</v>
      </c>
    </row>
    <row r="108" spans="2:10" x14ac:dyDescent="0.2">
      <c r="B108" s="22">
        <v>103</v>
      </c>
      <c r="C108" s="21" t="s">
        <v>7646</v>
      </c>
      <c r="D108" s="21" t="s">
        <v>586</v>
      </c>
      <c r="E108" s="20" t="s">
        <v>7647</v>
      </c>
      <c r="F108" s="22">
        <v>2.8959999999999999</v>
      </c>
      <c r="G108" s="22" t="s">
        <v>7648</v>
      </c>
      <c r="H108" s="22">
        <v>2.8959999999999999</v>
      </c>
      <c r="I108" s="25">
        <v>43145</v>
      </c>
      <c r="J108" s="24">
        <v>43179</v>
      </c>
    </row>
    <row r="109" spans="2:10" x14ac:dyDescent="0.2">
      <c r="B109" s="22">
        <v>104</v>
      </c>
      <c r="C109" s="21" t="s">
        <v>7649</v>
      </c>
      <c r="D109" s="21" t="s">
        <v>660</v>
      </c>
      <c r="E109" s="20" t="s">
        <v>7650</v>
      </c>
      <c r="F109" s="22">
        <v>2.6579999999999999</v>
      </c>
      <c r="G109" s="22" t="s">
        <v>7651</v>
      </c>
      <c r="H109" s="22">
        <v>2.6579999999999999</v>
      </c>
      <c r="I109" s="25">
        <v>43152</v>
      </c>
      <c r="J109" s="24">
        <v>43210</v>
      </c>
    </row>
    <row r="110" spans="2:10" x14ac:dyDescent="0.2">
      <c r="B110" s="22">
        <v>105</v>
      </c>
      <c r="C110" s="21" t="s">
        <v>7652</v>
      </c>
      <c r="D110" s="21" t="s">
        <v>563</v>
      </c>
      <c r="E110" s="20" t="s">
        <v>7653</v>
      </c>
      <c r="F110" s="22">
        <v>3.4550000000000001</v>
      </c>
      <c r="G110" s="22" t="s">
        <v>7654</v>
      </c>
      <c r="H110" s="22">
        <v>3.4550000000000001</v>
      </c>
      <c r="I110" s="25">
        <v>43208</v>
      </c>
      <c r="J110" s="24">
        <v>43270</v>
      </c>
    </row>
    <row r="111" spans="2:10" x14ac:dyDescent="0.2">
      <c r="B111" s="22">
        <v>106</v>
      </c>
      <c r="C111" s="21" t="s">
        <v>7655</v>
      </c>
      <c r="D111" s="21" t="s">
        <v>586</v>
      </c>
      <c r="E111" s="20" t="s">
        <v>7656</v>
      </c>
      <c r="F111" s="22">
        <v>2.65</v>
      </c>
      <c r="G111" s="22" t="s">
        <v>7657</v>
      </c>
      <c r="H111" s="22">
        <v>2.64</v>
      </c>
      <c r="I111" s="25">
        <v>43341</v>
      </c>
      <c r="J111" s="24">
        <v>43382</v>
      </c>
    </row>
    <row r="112" spans="2:10" x14ac:dyDescent="0.2">
      <c r="B112" s="22">
        <v>107</v>
      </c>
      <c r="C112" s="21" t="s">
        <v>7658</v>
      </c>
      <c r="D112" s="21" t="s">
        <v>3464</v>
      </c>
      <c r="E112" s="20" t="s">
        <v>7659</v>
      </c>
      <c r="F112" s="22">
        <v>2.6469999999999998</v>
      </c>
      <c r="G112" s="22" t="s">
        <v>7660</v>
      </c>
      <c r="H112" s="22">
        <v>2.6469999999999998</v>
      </c>
      <c r="I112" s="25">
        <v>43215</v>
      </c>
      <c r="J112" s="24">
        <v>43284</v>
      </c>
    </row>
    <row r="113" spans="2:10" x14ac:dyDescent="0.2">
      <c r="B113" s="22">
        <v>108</v>
      </c>
      <c r="C113" s="21" t="s">
        <v>7661</v>
      </c>
      <c r="D113" s="21" t="s">
        <v>643</v>
      </c>
      <c r="E113" s="20" t="s">
        <v>7662</v>
      </c>
      <c r="F113" s="22">
        <v>2.7530000000000001</v>
      </c>
      <c r="G113" s="22" t="s">
        <v>7663</v>
      </c>
      <c r="H113" s="22">
        <v>2.7530000000000001</v>
      </c>
      <c r="I113" s="25">
        <v>43124</v>
      </c>
      <c r="J113" s="24">
        <v>43179</v>
      </c>
    </row>
    <row r="114" spans="2:10" x14ac:dyDescent="0.2">
      <c r="B114" s="22">
        <v>109</v>
      </c>
      <c r="C114" s="21" t="s">
        <v>7664</v>
      </c>
      <c r="D114" s="21" t="s">
        <v>685</v>
      </c>
      <c r="E114" s="20" t="s">
        <v>7665</v>
      </c>
      <c r="F114" s="22">
        <v>2.1040000000000001</v>
      </c>
      <c r="G114" s="22" t="s">
        <v>7666</v>
      </c>
      <c r="H114" s="22">
        <v>2.1040000000000001</v>
      </c>
      <c r="I114" s="25">
        <v>43110</v>
      </c>
      <c r="J114" s="24">
        <v>43172</v>
      </c>
    </row>
    <row r="115" spans="2:10" x14ac:dyDescent="0.2">
      <c r="B115" s="22">
        <v>110</v>
      </c>
      <c r="C115" s="21" t="s">
        <v>7667</v>
      </c>
      <c r="D115" s="21" t="s">
        <v>554</v>
      </c>
      <c r="E115" s="20" t="s">
        <v>7668</v>
      </c>
      <c r="F115" s="22">
        <v>1.79</v>
      </c>
      <c r="G115" s="22" t="s">
        <v>7669</v>
      </c>
      <c r="H115" s="22">
        <v>1.72</v>
      </c>
      <c r="I115" s="25">
        <v>43208</v>
      </c>
      <c r="J115" s="24">
        <v>43298</v>
      </c>
    </row>
    <row r="116" spans="2:10" x14ac:dyDescent="0.2">
      <c r="B116" s="22">
        <v>111</v>
      </c>
      <c r="C116" s="21" t="s">
        <v>7670</v>
      </c>
      <c r="D116" s="21" t="s">
        <v>643</v>
      </c>
      <c r="E116" s="20" t="s">
        <v>7671</v>
      </c>
      <c r="F116" s="22">
        <v>1.0369999999999999</v>
      </c>
      <c r="G116" s="22" t="s">
        <v>7672</v>
      </c>
      <c r="H116" s="22">
        <v>846</v>
      </c>
      <c r="I116" s="25">
        <v>43383</v>
      </c>
      <c r="J116" s="24">
        <v>43438</v>
      </c>
    </row>
    <row r="117" spans="2:10" x14ac:dyDescent="0.2">
      <c r="B117" s="22">
        <v>112</v>
      </c>
      <c r="C117" s="21" t="s">
        <v>7673</v>
      </c>
      <c r="D117" s="21" t="s">
        <v>863</v>
      </c>
      <c r="E117" s="20" t="s">
        <v>7674</v>
      </c>
      <c r="F117" s="22">
        <v>2.31</v>
      </c>
      <c r="G117" s="22" t="s">
        <v>7675</v>
      </c>
      <c r="H117" s="22">
        <v>2.31</v>
      </c>
      <c r="I117" s="25">
        <v>43208</v>
      </c>
      <c r="J117" s="24">
        <v>43263</v>
      </c>
    </row>
    <row r="118" spans="2:10" x14ac:dyDescent="0.2">
      <c r="B118" s="22">
        <v>113</v>
      </c>
      <c r="C118" s="21" t="s">
        <v>7676</v>
      </c>
      <c r="D118" s="21" t="s">
        <v>1043</v>
      </c>
      <c r="E118" s="20" t="s">
        <v>7677</v>
      </c>
      <c r="F118" s="22">
        <v>801</v>
      </c>
      <c r="G118" s="22" t="s">
        <v>7678</v>
      </c>
      <c r="H118" s="22">
        <v>361</v>
      </c>
      <c r="I118" s="25">
        <v>43306</v>
      </c>
      <c r="J118" s="24">
        <v>43417</v>
      </c>
    </row>
    <row r="119" spans="2:10" x14ac:dyDescent="0.2">
      <c r="B119" s="22">
        <v>114</v>
      </c>
      <c r="C119" s="21" t="s">
        <v>7679</v>
      </c>
      <c r="D119" s="21" t="s">
        <v>820</v>
      </c>
      <c r="E119" s="20" t="s">
        <v>7680</v>
      </c>
      <c r="F119" s="22">
        <v>1.302</v>
      </c>
      <c r="G119" s="22" t="s">
        <v>7681</v>
      </c>
      <c r="H119" s="22">
        <v>5</v>
      </c>
      <c r="I119" s="25">
        <v>43278</v>
      </c>
      <c r="J119" s="24">
        <v>43389</v>
      </c>
    </row>
    <row r="120" spans="2:10" x14ac:dyDescent="0.2">
      <c r="B120" s="22">
        <v>115</v>
      </c>
      <c r="C120" s="21" t="s">
        <v>7682</v>
      </c>
      <c r="D120" s="21" t="s">
        <v>643</v>
      </c>
      <c r="E120" s="20" t="s">
        <v>7683</v>
      </c>
      <c r="F120" s="22">
        <v>1.8959999999999999</v>
      </c>
      <c r="G120" s="22" t="s">
        <v>7684</v>
      </c>
      <c r="H120" s="22">
        <v>1.8959999999999999</v>
      </c>
      <c r="I120" s="25">
        <v>43173</v>
      </c>
      <c r="J120" s="24">
        <v>43221</v>
      </c>
    </row>
    <row r="121" spans="2:10" x14ac:dyDescent="0.2">
      <c r="B121" s="22">
        <v>116</v>
      </c>
      <c r="C121" s="21" t="s">
        <v>7685</v>
      </c>
      <c r="D121" s="21" t="s">
        <v>594</v>
      </c>
      <c r="E121" s="20" t="s">
        <v>7686</v>
      </c>
      <c r="F121" s="22">
        <v>2.544</v>
      </c>
      <c r="G121" s="22" t="s">
        <v>7687</v>
      </c>
      <c r="H121" s="22">
        <v>2.544</v>
      </c>
      <c r="I121" s="25">
        <v>43117</v>
      </c>
      <c r="J121" s="24">
        <v>43179</v>
      </c>
    </row>
    <row r="122" spans="2:10" x14ac:dyDescent="0.2">
      <c r="B122" s="22">
        <v>117</v>
      </c>
      <c r="C122" s="21" t="s">
        <v>7688</v>
      </c>
      <c r="D122" s="21" t="s">
        <v>5844</v>
      </c>
      <c r="E122" s="20" t="s">
        <v>7689</v>
      </c>
      <c r="F122" s="22">
        <v>1.8160000000000001</v>
      </c>
      <c r="G122" s="22" t="s">
        <v>7690</v>
      </c>
      <c r="H122" s="22">
        <v>1.762</v>
      </c>
      <c r="I122" s="25">
        <v>43306</v>
      </c>
      <c r="J122" s="24">
        <v>43375</v>
      </c>
    </row>
    <row r="123" spans="2:10" x14ac:dyDescent="0.2">
      <c r="B123" s="22">
        <v>118</v>
      </c>
      <c r="C123" s="21" t="s">
        <v>7691</v>
      </c>
      <c r="D123" s="21" t="s">
        <v>685</v>
      </c>
      <c r="E123" s="20" t="s">
        <v>7692</v>
      </c>
      <c r="F123" s="22">
        <v>2.0720000000000001</v>
      </c>
      <c r="G123" s="22" t="s">
        <v>7693</v>
      </c>
      <c r="H123" s="22">
        <v>2.0720000000000001</v>
      </c>
      <c r="I123" s="25">
        <v>43320</v>
      </c>
      <c r="J123" s="24">
        <v>43375</v>
      </c>
    </row>
    <row r="124" spans="2:10" x14ac:dyDescent="0.2">
      <c r="B124" s="22">
        <v>119</v>
      </c>
      <c r="C124" s="21" t="s">
        <v>7694</v>
      </c>
      <c r="D124" s="21" t="s">
        <v>3464</v>
      </c>
      <c r="E124" s="20" t="s">
        <v>7695</v>
      </c>
      <c r="F124" s="22">
        <v>1.7889999999999999</v>
      </c>
      <c r="G124" s="22" t="s">
        <v>7696</v>
      </c>
      <c r="H124" s="22">
        <v>1.7889999999999999</v>
      </c>
      <c r="I124" s="25">
        <v>43418</v>
      </c>
      <c r="J124" s="24">
        <v>43136</v>
      </c>
    </row>
    <row r="125" spans="2:10" x14ac:dyDescent="0.2">
      <c r="B125" s="22">
        <v>120</v>
      </c>
      <c r="C125" s="21" t="s">
        <v>7697</v>
      </c>
      <c r="D125" s="21" t="s">
        <v>820</v>
      </c>
      <c r="E125" s="20" t="s">
        <v>7698</v>
      </c>
      <c r="F125" s="22">
        <v>1.4079999999999999</v>
      </c>
      <c r="G125" s="22" t="s">
        <v>7699</v>
      </c>
      <c r="H125" s="22">
        <v>1.3069999999999999</v>
      </c>
      <c r="I125" s="25">
        <v>43459</v>
      </c>
      <c r="J125" s="24">
        <v>43185</v>
      </c>
    </row>
    <row r="126" spans="2:10" x14ac:dyDescent="0.2">
      <c r="B126" s="22">
        <v>121</v>
      </c>
      <c r="C126" s="21" t="s">
        <v>7700</v>
      </c>
      <c r="D126" s="21" t="s">
        <v>643</v>
      </c>
      <c r="E126" s="20" t="s">
        <v>7701</v>
      </c>
      <c r="F126" s="22">
        <v>1.105</v>
      </c>
      <c r="G126" s="22" t="s">
        <v>7702</v>
      </c>
      <c r="H126" s="22">
        <v>3</v>
      </c>
      <c r="I126" s="25">
        <v>43278</v>
      </c>
      <c r="J126" s="24">
        <v>43347</v>
      </c>
    </row>
    <row r="127" spans="2:10" x14ac:dyDescent="0.2">
      <c r="B127" s="22">
        <v>122</v>
      </c>
      <c r="C127" s="21" t="s">
        <v>7703</v>
      </c>
      <c r="D127" s="21" t="s">
        <v>2197</v>
      </c>
      <c r="E127" s="20" t="s">
        <v>7704</v>
      </c>
      <c r="F127" s="22">
        <v>1.887</v>
      </c>
      <c r="G127" s="22" t="s">
        <v>7705</v>
      </c>
      <c r="H127" s="22">
        <v>1.825</v>
      </c>
      <c r="I127" s="25">
        <v>43376</v>
      </c>
      <c r="J127" s="24">
        <v>43445</v>
      </c>
    </row>
    <row r="128" spans="2:10" x14ac:dyDescent="0.2">
      <c r="B128" s="22">
        <v>123</v>
      </c>
      <c r="C128" s="21" t="s">
        <v>7706</v>
      </c>
      <c r="D128" s="21" t="s">
        <v>2742</v>
      </c>
      <c r="E128" s="20" t="s">
        <v>7707</v>
      </c>
      <c r="F128" s="22">
        <v>2.8940000000000001</v>
      </c>
      <c r="G128" s="22" t="s">
        <v>7708</v>
      </c>
      <c r="H128" s="22">
        <v>2.8940000000000001</v>
      </c>
      <c r="I128" s="25">
        <v>43334</v>
      </c>
      <c r="J128" s="24">
        <v>43382</v>
      </c>
    </row>
    <row r="129" spans="2:10" x14ac:dyDescent="0.2">
      <c r="B129" s="22">
        <v>124</v>
      </c>
      <c r="C129" s="21" t="s">
        <v>7709</v>
      </c>
      <c r="D129" s="21" t="s">
        <v>638</v>
      </c>
      <c r="E129" s="20" t="s">
        <v>7710</v>
      </c>
      <c r="F129" s="22">
        <v>2.5840000000000001</v>
      </c>
      <c r="G129" s="22" t="s">
        <v>7711</v>
      </c>
      <c r="H129" s="22">
        <v>2.5840000000000001</v>
      </c>
      <c r="I129" s="25">
        <v>43131</v>
      </c>
      <c r="J129" s="24">
        <v>43179</v>
      </c>
    </row>
    <row r="130" spans="2:10" x14ac:dyDescent="0.2">
      <c r="B130" s="22">
        <v>125</v>
      </c>
      <c r="C130" s="21" t="s">
        <v>7712</v>
      </c>
      <c r="D130" s="21" t="s">
        <v>1015</v>
      </c>
      <c r="E130" s="20" t="s">
        <v>7713</v>
      </c>
      <c r="F130" s="22">
        <v>567</v>
      </c>
      <c r="G130" s="22" t="s">
        <v>7714</v>
      </c>
      <c r="H130" s="22">
        <v>6</v>
      </c>
      <c r="I130" s="25">
        <v>43383</v>
      </c>
      <c r="J130" s="24">
        <v>43202</v>
      </c>
    </row>
    <row r="131" spans="2:10" x14ac:dyDescent="0.2">
      <c r="B131" s="22">
        <v>126</v>
      </c>
      <c r="C131" s="21" t="s">
        <v>7715</v>
      </c>
      <c r="D131" s="21" t="s">
        <v>563</v>
      </c>
      <c r="E131" s="20" t="s">
        <v>7716</v>
      </c>
      <c r="F131" s="22">
        <v>2.9649999999999999</v>
      </c>
      <c r="G131" s="22" t="s">
        <v>7717</v>
      </c>
      <c r="H131" s="22">
        <v>2.9649999999999999</v>
      </c>
      <c r="I131" s="25">
        <v>43145</v>
      </c>
      <c r="J131" s="24">
        <v>43193</v>
      </c>
    </row>
    <row r="132" spans="2:10" x14ac:dyDescent="0.2">
      <c r="B132" s="22">
        <v>127</v>
      </c>
      <c r="C132" s="21" t="s">
        <v>7718</v>
      </c>
      <c r="D132" s="21" t="s">
        <v>1015</v>
      </c>
      <c r="E132" s="20" t="s">
        <v>7719</v>
      </c>
      <c r="F132" s="22">
        <v>759</v>
      </c>
      <c r="G132" s="22" t="s">
        <v>7720</v>
      </c>
      <c r="H132" s="22">
        <v>6</v>
      </c>
      <c r="I132" s="25">
        <v>43418</v>
      </c>
      <c r="J132" s="24">
        <v>43167</v>
      </c>
    </row>
    <row r="133" spans="2:10" x14ac:dyDescent="0.2">
      <c r="B133" s="22">
        <v>128</v>
      </c>
      <c r="C133" s="21" t="s">
        <v>7721</v>
      </c>
      <c r="D133" s="21" t="s">
        <v>563</v>
      </c>
      <c r="E133" s="20" t="s">
        <v>7722</v>
      </c>
      <c r="F133" s="22">
        <v>302</v>
      </c>
      <c r="G133" s="22" t="s">
        <v>7723</v>
      </c>
      <c r="H133" s="22">
        <v>37</v>
      </c>
      <c r="I133" s="25">
        <v>43194</v>
      </c>
      <c r="J133" s="22" t="s">
        <v>558</v>
      </c>
    </row>
    <row r="134" spans="2:10" x14ac:dyDescent="0.2">
      <c r="B134" s="22">
        <v>129</v>
      </c>
      <c r="C134" s="21" t="s">
        <v>7724</v>
      </c>
      <c r="D134" s="21" t="s">
        <v>830</v>
      </c>
      <c r="E134" s="20" t="s">
        <v>7725</v>
      </c>
      <c r="F134" s="22">
        <v>525</v>
      </c>
      <c r="G134" s="22" t="s">
        <v>7726</v>
      </c>
      <c r="H134" s="22">
        <v>4</v>
      </c>
      <c r="I134" s="25">
        <v>43222</v>
      </c>
      <c r="J134" s="24">
        <v>43340</v>
      </c>
    </row>
    <row r="135" spans="2:10" x14ac:dyDescent="0.2">
      <c r="B135" s="22">
        <v>130</v>
      </c>
      <c r="C135" s="21" t="s">
        <v>7727</v>
      </c>
      <c r="D135" s="21" t="s">
        <v>830</v>
      </c>
      <c r="E135" s="20" t="s">
        <v>7728</v>
      </c>
      <c r="F135" s="22">
        <v>1.1919999999999999</v>
      </c>
      <c r="G135" s="22" t="s">
        <v>7729</v>
      </c>
      <c r="H135" s="22">
        <v>809</v>
      </c>
      <c r="I135" s="25">
        <v>43355</v>
      </c>
      <c r="J135" s="24">
        <v>43417</v>
      </c>
    </row>
    <row r="136" spans="2:10" x14ac:dyDescent="0.2">
      <c r="B136" s="22">
        <v>131</v>
      </c>
      <c r="C136" s="21" t="s">
        <v>7730</v>
      </c>
      <c r="D136" s="21" t="s">
        <v>1377</v>
      </c>
      <c r="E136" s="20" t="s">
        <v>7731</v>
      </c>
      <c r="F136" s="22">
        <v>272</v>
      </c>
      <c r="G136" s="22" t="s">
        <v>7732</v>
      </c>
      <c r="H136" s="22">
        <v>272</v>
      </c>
      <c r="I136" s="25">
        <v>43453</v>
      </c>
      <c r="J136" s="24">
        <v>43143</v>
      </c>
    </row>
    <row r="137" spans="2:10" x14ac:dyDescent="0.2">
      <c r="B137" s="22">
        <v>132</v>
      </c>
      <c r="C137" s="21" t="s">
        <v>7733</v>
      </c>
      <c r="D137" s="21" t="s">
        <v>1015</v>
      </c>
      <c r="E137" s="20" t="s">
        <v>7734</v>
      </c>
      <c r="F137" s="22">
        <v>964</v>
      </c>
      <c r="G137" s="22" t="s">
        <v>7735</v>
      </c>
      <c r="H137" s="22">
        <v>17</v>
      </c>
      <c r="I137" s="25">
        <v>43306</v>
      </c>
      <c r="J137" s="24">
        <v>43424</v>
      </c>
    </row>
    <row r="138" spans="2:10" x14ac:dyDescent="0.2">
      <c r="B138" s="22">
        <v>133</v>
      </c>
      <c r="C138" s="21" t="s">
        <v>7736</v>
      </c>
      <c r="D138" s="21" t="s">
        <v>863</v>
      </c>
      <c r="E138" s="20" t="s">
        <v>7737</v>
      </c>
      <c r="F138" s="22">
        <v>2.4860000000000002</v>
      </c>
      <c r="G138" s="22" t="s">
        <v>7738</v>
      </c>
      <c r="H138" s="22">
        <v>2.4860000000000002</v>
      </c>
      <c r="I138" s="25">
        <v>43187</v>
      </c>
      <c r="J138" s="24">
        <v>43235</v>
      </c>
    </row>
    <row r="139" spans="2:10" x14ac:dyDescent="0.2">
      <c r="B139" s="22">
        <v>134</v>
      </c>
      <c r="C139" s="21" t="s">
        <v>7739</v>
      </c>
      <c r="D139" s="21" t="s">
        <v>660</v>
      </c>
      <c r="E139" s="20" t="s">
        <v>7740</v>
      </c>
      <c r="F139" s="22">
        <v>1.046</v>
      </c>
      <c r="G139" s="22" t="s">
        <v>7741</v>
      </c>
      <c r="H139" s="22">
        <v>1.044</v>
      </c>
      <c r="I139" s="25">
        <v>43229</v>
      </c>
      <c r="J139" s="24">
        <v>43294</v>
      </c>
    </row>
    <row r="140" spans="2:10" x14ac:dyDescent="0.2">
      <c r="B140" s="22">
        <v>135</v>
      </c>
      <c r="C140" s="21" t="s">
        <v>7742</v>
      </c>
      <c r="D140" s="21" t="s">
        <v>643</v>
      </c>
      <c r="E140" s="20" t="s">
        <v>7743</v>
      </c>
      <c r="F140" s="22">
        <v>2.0270000000000001</v>
      </c>
      <c r="G140" s="22" t="s">
        <v>7744</v>
      </c>
      <c r="H140" s="22">
        <v>2.0270000000000001</v>
      </c>
      <c r="I140" s="25">
        <v>43215</v>
      </c>
      <c r="J140" s="24">
        <v>43256</v>
      </c>
    </row>
    <row r="141" spans="2:10" x14ac:dyDescent="0.2">
      <c r="B141" s="22">
        <v>136</v>
      </c>
      <c r="C141" s="21" t="s">
        <v>7745</v>
      </c>
      <c r="D141" s="21" t="s">
        <v>5844</v>
      </c>
      <c r="E141" s="20" t="s">
        <v>7746</v>
      </c>
      <c r="F141" s="22">
        <v>2.6579999999999999</v>
      </c>
      <c r="G141" s="22" t="s">
        <v>7747</v>
      </c>
      <c r="H141" s="22">
        <v>2.6579999999999999</v>
      </c>
      <c r="I141" s="25">
        <v>43229</v>
      </c>
      <c r="J141" s="24">
        <v>43312</v>
      </c>
    </row>
    <row r="142" spans="2:10" x14ac:dyDescent="0.2">
      <c r="B142" s="22">
        <v>137</v>
      </c>
      <c r="C142" s="21" t="s">
        <v>7748</v>
      </c>
      <c r="D142" s="21" t="s">
        <v>563</v>
      </c>
      <c r="E142" s="20" t="s">
        <v>7749</v>
      </c>
      <c r="F142" s="22">
        <v>653</v>
      </c>
      <c r="G142" s="22" t="s">
        <v>7750</v>
      </c>
      <c r="H142" s="22">
        <v>5</v>
      </c>
      <c r="I142" s="25">
        <v>43446</v>
      </c>
      <c r="J142" s="24">
        <v>43157</v>
      </c>
    </row>
    <row r="143" spans="2:10" x14ac:dyDescent="0.2">
      <c r="B143" s="22">
        <v>138</v>
      </c>
      <c r="C143" s="21" t="s">
        <v>7751</v>
      </c>
      <c r="D143" s="21" t="s">
        <v>820</v>
      </c>
      <c r="E143" s="20" t="s">
        <v>7752</v>
      </c>
      <c r="F143" s="22">
        <v>2.6760000000000002</v>
      </c>
      <c r="G143" s="22" t="s">
        <v>7753</v>
      </c>
      <c r="H143" s="22">
        <v>2.6760000000000002</v>
      </c>
      <c r="I143" s="25">
        <v>43138</v>
      </c>
      <c r="J143" s="24">
        <v>43200</v>
      </c>
    </row>
    <row r="144" spans="2:10" x14ac:dyDescent="0.2">
      <c r="B144" s="22">
        <v>139</v>
      </c>
      <c r="C144" s="21" t="s">
        <v>7754</v>
      </c>
      <c r="D144" s="21" t="s">
        <v>740</v>
      </c>
      <c r="E144" s="20" t="s">
        <v>7755</v>
      </c>
      <c r="F144" s="22">
        <v>1.0740000000000001</v>
      </c>
      <c r="G144" s="22" t="s">
        <v>7756</v>
      </c>
      <c r="H144" s="22">
        <v>6</v>
      </c>
      <c r="I144" s="25">
        <v>43173</v>
      </c>
      <c r="J144" s="24">
        <v>43249</v>
      </c>
    </row>
    <row r="145" spans="2:10" x14ac:dyDescent="0.2">
      <c r="B145" s="22">
        <v>140</v>
      </c>
      <c r="C145" s="21" t="s">
        <v>7757</v>
      </c>
      <c r="D145" s="21" t="s">
        <v>643</v>
      </c>
      <c r="E145" s="20" t="s">
        <v>7758</v>
      </c>
      <c r="F145" s="22">
        <v>429</v>
      </c>
      <c r="G145" s="22" t="s">
        <v>7759</v>
      </c>
      <c r="H145" s="22">
        <v>382</v>
      </c>
      <c r="I145" s="25">
        <v>43341</v>
      </c>
      <c r="J145" s="24">
        <v>43389</v>
      </c>
    </row>
    <row r="146" spans="2:10" x14ac:dyDescent="0.2">
      <c r="B146" s="22">
        <v>141</v>
      </c>
      <c r="C146" s="21" t="s">
        <v>7760</v>
      </c>
      <c r="D146" s="21" t="s">
        <v>570</v>
      </c>
      <c r="E146" s="20" t="s">
        <v>7761</v>
      </c>
      <c r="F146" s="22">
        <v>581</v>
      </c>
      <c r="G146" s="22" t="s">
        <v>7762</v>
      </c>
      <c r="H146" s="22">
        <v>331</v>
      </c>
      <c r="I146" s="25">
        <v>43459</v>
      </c>
      <c r="J146" s="24">
        <v>43125</v>
      </c>
    </row>
    <row r="147" spans="2:10" x14ac:dyDescent="0.2">
      <c r="B147" s="22">
        <v>142</v>
      </c>
      <c r="C147" s="21" t="s">
        <v>7763</v>
      </c>
      <c r="D147" s="21" t="s">
        <v>1260</v>
      </c>
      <c r="E147" s="20" t="s">
        <v>7764</v>
      </c>
      <c r="F147" s="22">
        <v>333</v>
      </c>
      <c r="G147" s="22" t="s">
        <v>7765</v>
      </c>
      <c r="H147" s="22">
        <v>317</v>
      </c>
      <c r="I147" s="25">
        <v>43383</v>
      </c>
      <c r="J147" s="24">
        <v>43143</v>
      </c>
    </row>
    <row r="148" spans="2:10" x14ac:dyDescent="0.2">
      <c r="B148" s="22">
        <v>143</v>
      </c>
      <c r="C148" s="21" t="s">
        <v>7766</v>
      </c>
      <c r="D148" s="21" t="s">
        <v>38</v>
      </c>
      <c r="E148" s="20" t="s">
        <v>7767</v>
      </c>
      <c r="F148" s="22">
        <v>818</v>
      </c>
      <c r="G148" s="22" t="s">
        <v>7768</v>
      </c>
      <c r="H148" s="22">
        <v>4</v>
      </c>
      <c r="I148" s="25">
        <v>43465</v>
      </c>
      <c r="J148" s="24">
        <v>43216</v>
      </c>
    </row>
    <row r="149" spans="2:10" x14ac:dyDescent="0.2">
      <c r="B149" s="22">
        <v>144</v>
      </c>
      <c r="C149" s="21" t="s">
        <v>7769</v>
      </c>
      <c r="D149" s="21" t="s">
        <v>643</v>
      </c>
      <c r="E149" s="20" t="s">
        <v>7770</v>
      </c>
      <c r="F149" s="22">
        <v>664</v>
      </c>
      <c r="G149" s="22" t="s">
        <v>7771</v>
      </c>
      <c r="H149" s="22">
        <v>664</v>
      </c>
      <c r="I149" s="25">
        <v>43187</v>
      </c>
      <c r="J149" s="24">
        <v>43228</v>
      </c>
    </row>
    <row r="150" spans="2:10" x14ac:dyDescent="0.2">
      <c r="B150" s="22">
        <v>145</v>
      </c>
      <c r="C150" s="21" t="s">
        <v>7772</v>
      </c>
      <c r="D150" s="21" t="s">
        <v>1043</v>
      </c>
      <c r="E150" s="20" t="s">
        <v>7773</v>
      </c>
      <c r="F150" s="22">
        <v>461</v>
      </c>
      <c r="G150" s="22" t="s">
        <v>7774</v>
      </c>
      <c r="H150" s="22">
        <v>15</v>
      </c>
      <c r="I150" s="25">
        <v>43355</v>
      </c>
      <c r="J150" s="24">
        <v>43459</v>
      </c>
    </row>
    <row r="151" spans="2:10" x14ac:dyDescent="0.2">
      <c r="B151" s="22">
        <v>146</v>
      </c>
      <c r="C151" s="21" t="s">
        <v>7775</v>
      </c>
      <c r="D151" s="21" t="s">
        <v>554</v>
      </c>
      <c r="E151" s="20" t="s">
        <v>7776</v>
      </c>
      <c r="F151" s="22">
        <v>496</v>
      </c>
      <c r="G151" s="22" t="s">
        <v>7777</v>
      </c>
      <c r="H151" s="22">
        <v>21</v>
      </c>
      <c r="I151" s="25">
        <v>43152</v>
      </c>
      <c r="J151" s="24">
        <v>43242</v>
      </c>
    </row>
    <row r="152" spans="2:10" x14ac:dyDescent="0.2">
      <c r="B152" s="22">
        <v>147</v>
      </c>
      <c r="C152" s="21" t="s">
        <v>7778</v>
      </c>
      <c r="D152" s="21" t="s">
        <v>5638</v>
      </c>
      <c r="E152" s="20" t="s">
        <v>7779</v>
      </c>
      <c r="F152" s="22">
        <v>356</v>
      </c>
      <c r="G152" s="22" t="s">
        <v>7780</v>
      </c>
      <c r="H152" s="22">
        <v>8</v>
      </c>
      <c r="I152" s="25">
        <v>43278</v>
      </c>
      <c r="J152" s="24">
        <v>43396</v>
      </c>
    </row>
    <row r="153" spans="2:10" x14ac:dyDescent="0.2">
      <c r="B153" s="22">
        <v>148</v>
      </c>
      <c r="C153" s="21" t="s">
        <v>7781</v>
      </c>
      <c r="D153" s="21" t="s">
        <v>820</v>
      </c>
      <c r="E153" s="20" t="s">
        <v>7782</v>
      </c>
      <c r="F153" s="22">
        <v>600</v>
      </c>
      <c r="G153" s="22" t="s">
        <v>7783</v>
      </c>
      <c r="H153" s="22">
        <v>4</v>
      </c>
      <c r="I153" s="25">
        <v>43201</v>
      </c>
      <c r="J153" s="24">
        <v>43298</v>
      </c>
    </row>
    <row r="154" spans="2:10" x14ac:dyDescent="0.2">
      <c r="B154" s="22">
        <v>149</v>
      </c>
      <c r="C154" s="21" t="s">
        <v>7784</v>
      </c>
      <c r="D154" s="21" t="s">
        <v>1043</v>
      </c>
      <c r="E154" s="20" t="s">
        <v>7785</v>
      </c>
      <c r="F154" s="22">
        <v>393</v>
      </c>
      <c r="G154" s="22" t="s">
        <v>7786</v>
      </c>
      <c r="H154" s="22">
        <v>11</v>
      </c>
      <c r="I154" s="25">
        <v>43390</v>
      </c>
      <c r="J154" s="24">
        <v>43125</v>
      </c>
    </row>
    <row r="155" spans="2:10" x14ac:dyDescent="0.2">
      <c r="B155" s="22">
        <v>150</v>
      </c>
      <c r="C155" s="21" t="s">
        <v>7787</v>
      </c>
      <c r="D155" s="21" t="s">
        <v>1015</v>
      </c>
      <c r="E155" s="20" t="s">
        <v>7788</v>
      </c>
      <c r="F155" s="22">
        <v>165</v>
      </c>
      <c r="G155" s="22" t="s">
        <v>7789</v>
      </c>
      <c r="H155" s="22">
        <v>3</v>
      </c>
      <c r="I155" s="25">
        <v>43159</v>
      </c>
      <c r="J155" s="24">
        <v>43361</v>
      </c>
    </row>
    <row r="156" spans="2:10" x14ac:dyDescent="0.2">
      <c r="B156" s="22">
        <v>151</v>
      </c>
      <c r="C156" s="21" t="s">
        <v>7790</v>
      </c>
      <c r="D156" s="21" t="s">
        <v>1175</v>
      </c>
      <c r="E156" s="20" t="s">
        <v>7791</v>
      </c>
      <c r="F156" s="22">
        <v>273</v>
      </c>
      <c r="G156" s="22" t="s">
        <v>7792</v>
      </c>
      <c r="H156" s="22">
        <v>11</v>
      </c>
      <c r="I156" s="25">
        <v>43353</v>
      </c>
      <c r="J156" s="24">
        <v>43115</v>
      </c>
    </row>
    <row r="157" spans="2:10" x14ac:dyDescent="0.2">
      <c r="B157" s="22">
        <v>152</v>
      </c>
      <c r="C157" s="21" t="s">
        <v>7793</v>
      </c>
      <c r="D157" s="21" t="s">
        <v>1015</v>
      </c>
      <c r="E157" s="20" t="s">
        <v>7794</v>
      </c>
      <c r="F157" s="22">
        <v>120</v>
      </c>
      <c r="G157" s="22" t="s">
        <v>7795</v>
      </c>
      <c r="H157" s="22">
        <v>5</v>
      </c>
      <c r="I157" s="25">
        <v>43453</v>
      </c>
      <c r="J157" s="24">
        <v>43202</v>
      </c>
    </row>
    <row r="158" spans="2:10" x14ac:dyDescent="0.2">
      <c r="B158" s="22">
        <v>153</v>
      </c>
      <c r="C158" s="21" t="s">
        <v>7796</v>
      </c>
      <c r="D158" s="21" t="s">
        <v>1213</v>
      </c>
      <c r="E158" s="20" t="s">
        <v>7797</v>
      </c>
      <c r="F158" s="22">
        <v>137</v>
      </c>
      <c r="G158" s="22" t="s">
        <v>7798</v>
      </c>
      <c r="H158" s="22">
        <v>3</v>
      </c>
      <c r="I158" s="25">
        <v>43222</v>
      </c>
      <c r="J158" s="24">
        <v>43227</v>
      </c>
    </row>
    <row r="159" spans="2:10" x14ac:dyDescent="0.2">
      <c r="B159" s="22">
        <v>154</v>
      </c>
      <c r="C159" s="21" t="s">
        <v>7799</v>
      </c>
      <c r="D159" s="21" t="s">
        <v>7800</v>
      </c>
      <c r="E159" s="20" t="s">
        <v>7801</v>
      </c>
      <c r="F159" s="22">
        <v>356</v>
      </c>
      <c r="G159" s="22" t="s">
        <v>7802</v>
      </c>
      <c r="H159" s="22">
        <v>5</v>
      </c>
      <c r="I159" s="25">
        <v>43208</v>
      </c>
      <c r="J159" s="24">
        <v>43298</v>
      </c>
    </row>
    <row r="160" spans="2:10" x14ac:dyDescent="0.2">
      <c r="B160" s="22">
        <v>155</v>
      </c>
      <c r="C160" s="21" t="s">
        <v>7803</v>
      </c>
      <c r="D160" s="21" t="s">
        <v>830</v>
      </c>
      <c r="E160" s="20" t="s">
        <v>7804</v>
      </c>
      <c r="F160" s="22">
        <v>322</v>
      </c>
      <c r="G160" s="22" t="s">
        <v>7805</v>
      </c>
      <c r="H160" s="22">
        <v>4</v>
      </c>
      <c r="I160" s="25">
        <v>43313</v>
      </c>
      <c r="J160" s="24">
        <v>43389</v>
      </c>
    </row>
    <row r="161" spans="2:10" x14ac:dyDescent="0.2">
      <c r="B161" s="22">
        <v>156</v>
      </c>
      <c r="C161" s="21" t="s">
        <v>7806</v>
      </c>
      <c r="D161" s="21" t="s">
        <v>740</v>
      </c>
      <c r="E161" s="20" t="s">
        <v>7807</v>
      </c>
      <c r="F161" s="22">
        <v>753</v>
      </c>
      <c r="G161" s="22" t="s">
        <v>7808</v>
      </c>
      <c r="H161" s="22">
        <v>68</v>
      </c>
      <c r="I161" s="25">
        <v>43299</v>
      </c>
      <c r="J161" s="24">
        <v>43354</v>
      </c>
    </row>
    <row r="162" spans="2:10" x14ac:dyDescent="0.2">
      <c r="B162" s="22">
        <v>157</v>
      </c>
      <c r="C162" s="21" t="s">
        <v>7809</v>
      </c>
      <c r="D162" s="21" t="s">
        <v>570</v>
      </c>
      <c r="E162" s="20" t="s">
        <v>7810</v>
      </c>
      <c r="F162" s="22">
        <v>784</v>
      </c>
      <c r="G162" s="22" t="s">
        <v>7811</v>
      </c>
      <c r="H162" s="22">
        <v>784</v>
      </c>
      <c r="I162" s="25">
        <v>43341</v>
      </c>
      <c r="J162" s="24">
        <v>43361</v>
      </c>
    </row>
    <row r="163" spans="2:10" x14ac:dyDescent="0.2">
      <c r="B163" s="22">
        <v>158</v>
      </c>
      <c r="C163" s="21" t="s">
        <v>7812</v>
      </c>
      <c r="D163" s="21" t="s">
        <v>1043</v>
      </c>
      <c r="E163" s="20" t="s">
        <v>7813</v>
      </c>
      <c r="F163" s="22">
        <v>83</v>
      </c>
      <c r="G163" s="22" t="s">
        <v>7814</v>
      </c>
      <c r="H163" s="22">
        <v>62</v>
      </c>
      <c r="I163" s="25">
        <v>43362</v>
      </c>
      <c r="J163" s="24">
        <v>43178</v>
      </c>
    </row>
    <row r="164" spans="2:10" x14ac:dyDescent="0.2">
      <c r="B164" s="22">
        <v>159</v>
      </c>
      <c r="C164" s="21" t="s">
        <v>7815</v>
      </c>
      <c r="D164" s="21" t="s">
        <v>1299</v>
      </c>
      <c r="E164" s="20" t="s">
        <v>7816</v>
      </c>
      <c r="F164" s="22">
        <v>787</v>
      </c>
      <c r="G164" s="22" t="s">
        <v>7817</v>
      </c>
      <c r="H164" s="22">
        <v>20</v>
      </c>
      <c r="I164" s="25">
        <v>43320</v>
      </c>
      <c r="J164" s="24">
        <v>43361</v>
      </c>
    </row>
    <row r="165" spans="2:10" x14ac:dyDescent="0.2">
      <c r="B165" s="22">
        <v>160</v>
      </c>
      <c r="C165" s="21" t="s">
        <v>7818</v>
      </c>
      <c r="D165" s="21" t="s">
        <v>1135</v>
      </c>
      <c r="E165" s="20" t="s">
        <v>7819</v>
      </c>
      <c r="F165" s="22">
        <v>124</v>
      </c>
      <c r="G165" s="22" t="s">
        <v>7820</v>
      </c>
      <c r="H165" s="22">
        <v>94</v>
      </c>
      <c r="I165" s="25">
        <v>43250</v>
      </c>
      <c r="J165" s="24">
        <v>43354</v>
      </c>
    </row>
    <row r="166" spans="2:10" x14ac:dyDescent="0.2">
      <c r="B166" s="22">
        <v>161</v>
      </c>
      <c r="C166" s="21" t="s">
        <v>7821</v>
      </c>
      <c r="D166" s="21" t="s">
        <v>563</v>
      </c>
      <c r="E166" s="20" t="s">
        <v>7822</v>
      </c>
      <c r="F166" s="22">
        <v>347</v>
      </c>
      <c r="G166" s="22" t="s">
        <v>7823</v>
      </c>
      <c r="H166" s="22">
        <v>291</v>
      </c>
      <c r="I166" s="25">
        <v>43173</v>
      </c>
      <c r="J166" s="24">
        <v>43214</v>
      </c>
    </row>
    <row r="167" spans="2:10" x14ac:dyDescent="0.2">
      <c r="B167" s="22">
        <v>162</v>
      </c>
      <c r="C167" s="21" t="s">
        <v>7824</v>
      </c>
      <c r="D167" s="21" t="s">
        <v>5844</v>
      </c>
      <c r="E167" s="20" t="s">
        <v>7825</v>
      </c>
      <c r="F167" s="22">
        <v>1.9019999999999999</v>
      </c>
      <c r="G167" s="22" t="s">
        <v>7826</v>
      </c>
      <c r="H167" s="22">
        <v>1.9019999999999999</v>
      </c>
      <c r="I167" s="25">
        <v>43404</v>
      </c>
      <c r="J167" s="24">
        <v>43424</v>
      </c>
    </row>
    <row r="168" spans="2:10" x14ac:dyDescent="0.2">
      <c r="B168" s="22">
        <v>163</v>
      </c>
      <c r="C168" s="21" t="s">
        <v>7827</v>
      </c>
      <c r="D168" s="21" t="s">
        <v>863</v>
      </c>
      <c r="E168" s="20" t="s">
        <v>7828</v>
      </c>
      <c r="F168" s="22">
        <v>371</v>
      </c>
      <c r="G168" s="22" t="s">
        <v>7829</v>
      </c>
      <c r="H168" s="22">
        <v>371</v>
      </c>
      <c r="I168" s="25">
        <v>43418</v>
      </c>
      <c r="J168" s="24">
        <v>43101</v>
      </c>
    </row>
    <row r="169" spans="2:10" x14ac:dyDescent="0.2">
      <c r="B169" s="22">
        <v>164</v>
      </c>
      <c r="C169" s="21" t="s">
        <v>7830</v>
      </c>
      <c r="D169" s="21" t="s">
        <v>38</v>
      </c>
      <c r="E169" s="20" t="s">
        <v>7831</v>
      </c>
      <c r="F169" s="22">
        <v>202</v>
      </c>
      <c r="G169" s="22" t="s">
        <v>7832</v>
      </c>
      <c r="H169" s="22">
        <v>3</v>
      </c>
      <c r="I169" s="25">
        <v>43257</v>
      </c>
      <c r="J169" s="24">
        <v>43382</v>
      </c>
    </row>
    <row r="170" spans="2:10" x14ac:dyDescent="0.2">
      <c r="B170" s="22">
        <v>165</v>
      </c>
      <c r="C170" s="21" t="s">
        <v>7833</v>
      </c>
      <c r="D170" s="21" t="s">
        <v>1294</v>
      </c>
      <c r="E170" s="20" t="s">
        <v>7834</v>
      </c>
      <c r="F170" s="22">
        <v>199</v>
      </c>
      <c r="G170" s="22" t="s">
        <v>7835</v>
      </c>
      <c r="H170" s="22">
        <v>3</v>
      </c>
      <c r="I170" s="25">
        <v>43327</v>
      </c>
      <c r="J170" s="24">
        <v>43413</v>
      </c>
    </row>
    <row r="171" spans="2:10" x14ac:dyDescent="0.2">
      <c r="B171" s="22">
        <v>166</v>
      </c>
      <c r="C171" s="21" t="s">
        <v>7836</v>
      </c>
      <c r="D171" s="21" t="s">
        <v>2197</v>
      </c>
      <c r="E171" s="20" t="s">
        <v>7837</v>
      </c>
      <c r="F171" s="22">
        <v>1.956</v>
      </c>
      <c r="G171" s="22" t="s">
        <v>7838</v>
      </c>
      <c r="H171" s="22">
        <v>1.956</v>
      </c>
      <c r="I171" s="25">
        <v>43348</v>
      </c>
      <c r="J171" s="24">
        <v>43368</v>
      </c>
    </row>
    <row r="172" spans="2:10" x14ac:dyDescent="0.2">
      <c r="B172" s="22">
        <v>167</v>
      </c>
      <c r="C172" s="21" t="s">
        <v>7839</v>
      </c>
      <c r="D172" s="21" t="s">
        <v>863</v>
      </c>
      <c r="E172" s="20" t="s">
        <v>7840</v>
      </c>
      <c r="F172" s="22">
        <v>432</v>
      </c>
      <c r="G172" s="22" t="s">
        <v>7841</v>
      </c>
      <c r="H172" s="22">
        <v>432</v>
      </c>
      <c r="I172" s="25">
        <v>43306</v>
      </c>
      <c r="J172" s="24">
        <v>43340</v>
      </c>
    </row>
    <row r="173" spans="2:10" x14ac:dyDescent="0.2">
      <c r="B173" s="22">
        <v>168</v>
      </c>
      <c r="C173" s="21" t="s">
        <v>7842</v>
      </c>
      <c r="D173" s="21" t="s">
        <v>5638</v>
      </c>
      <c r="E173" s="20" t="s">
        <v>7843</v>
      </c>
      <c r="F173" s="22">
        <v>105</v>
      </c>
      <c r="G173" s="22" t="s">
        <v>7844</v>
      </c>
      <c r="H173" s="22">
        <v>5</v>
      </c>
      <c r="I173" s="25">
        <v>43397</v>
      </c>
      <c r="J173" s="24">
        <v>43220</v>
      </c>
    </row>
    <row r="174" spans="2:10" x14ac:dyDescent="0.2">
      <c r="B174" s="22">
        <v>169</v>
      </c>
      <c r="C174" s="21" t="s">
        <v>7845</v>
      </c>
      <c r="D174" s="21" t="s">
        <v>1594</v>
      </c>
      <c r="E174" s="20" t="s">
        <v>7846</v>
      </c>
      <c r="F174" s="22">
        <v>410</v>
      </c>
      <c r="G174" s="22" t="s">
        <v>7847</v>
      </c>
      <c r="H174" s="22">
        <v>410</v>
      </c>
      <c r="I174" s="25">
        <v>43418</v>
      </c>
      <c r="J174" s="24">
        <v>43459</v>
      </c>
    </row>
    <row r="175" spans="2:10" x14ac:dyDescent="0.2">
      <c r="B175" s="22">
        <v>170</v>
      </c>
      <c r="C175" s="21" t="s">
        <v>7848</v>
      </c>
      <c r="D175" s="21" t="s">
        <v>594</v>
      </c>
      <c r="E175" s="20" t="s">
        <v>7849</v>
      </c>
      <c r="F175" s="22">
        <v>685</v>
      </c>
      <c r="G175" s="22" t="s">
        <v>7850</v>
      </c>
      <c r="H175" s="22">
        <v>589</v>
      </c>
      <c r="I175" s="25">
        <v>43439</v>
      </c>
      <c r="J175" s="24">
        <v>43129</v>
      </c>
    </row>
    <row r="176" spans="2:10" x14ac:dyDescent="0.2">
      <c r="B176" s="22">
        <v>171</v>
      </c>
      <c r="C176" s="21" t="s">
        <v>7851</v>
      </c>
      <c r="D176" s="21" t="s">
        <v>563</v>
      </c>
      <c r="E176" s="20" t="s">
        <v>7852</v>
      </c>
      <c r="F176" s="22">
        <v>461</v>
      </c>
      <c r="G176" s="22" t="s">
        <v>7853</v>
      </c>
      <c r="H176" s="22">
        <v>461</v>
      </c>
      <c r="I176" s="25">
        <v>43376</v>
      </c>
      <c r="J176" s="24">
        <v>43108</v>
      </c>
    </row>
    <row r="177" spans="2:10" x14ac:dyDescent="0.2">
      <c r="B177" s="22">
        <v>172</v>
      </c>
      <c r="C177" s="21" t="s">
        <v>7854</v>
      </c>
      <c r="D177" s="21" t="s">
        <v>1015</v>
      </c>
      <c r="E177" s="20" t="s">
        <v>7855</v>
      </c>
      <c r="F177" s="22">
        <v>954</v>
      </c>
      <c r="G177" s="22" t="s">
        <v>7856</v>
      </c>
      <c r="H177" s="22">
        <v>7</v>
      </c>
      <c r="I177" s="25">
        <v>43187</v>
      </c>
      <c r="J177" s="24">
        <v>43270</v>
      </c>
    </row>
    <row r="178" spans="2:10" x14ac:dyDescent="0.2">
      <c r="B178" s="22">
        <v>173</v>
      </c>
      <c r="C178" s="21" t="s">
        <v>7857</v>
      </c>
      <c r="D178" s="21" t="s">
        <v>38</v>
      </c>
      <c r="E178" s="20" t="s">
        <v>7858</v>
      </c>
      <c r="F178" s="22">
        <v>176</v>
      </c>
      <c r="G178" s="22" t="s">
        <v>7859</v>
      </c>
      <c r="H178" s="22">
        <v>4</v>
      </c>
      <c r="I178" s="25">
        <v>43194</v>
      </c>
      <c r="J178" s="24">
        <v>43326</v>
      </c>
    </row>
    <row r="179" spans="2:10" x14ac:dyDescent="0.2">
      <c r="B179" s="22">
        <v>174</v>
      </c>
      <c r="C179" s="21" t="s">
        <v>7860</v>
      </c>
      <c r="D179" s="21" t="s">
        <v>1332</v>
      </c>
      <c r="E179" s="20" t="s">
        <v>7861</v>
      </c>
      <c r="F179" s="22">
        <v>45</v>
      </c>
      <c r="G179" s="22" t="s">
        <v>7862</v>
      </c>
      <c r="H179" s="22">
        <v>1</v>
      </c>
      <c r="I179" s="25">
        <v>43320</v>
      </c>
      <c r="J179" s="24">
        <v>43410</v>
      </c>
    </row>
    <row r="180" spans="2:10" x14ac:dyDescent="0.2">
      <c r="B180" s="22">
        <v>175</v>
      </c>
      <c r="C180" s="21" t="s">
        <v>7863</v>
      </c>
      <c r="D180" s="21" t="s">
        <v>1349</v>
      </c>
      <c r="E180" s="20" t="s">
        <v>7864</v>
      </c>
      <c r="F180" s="22">
        <v>692</v>
      </c>
      <c r="G180" s="22" t="s">
        <v>7865</v>
      </c>
      <c r="H180" s="22">
        <v>62</v>
      </c>
      <c r="I180" s="25">
        <v>43317</v>
      </c>
      <c r="J180" s="24">
        <v>43326</v>
      </c>
    </row>
    <row r="181" spans="2:10" x14ac:dyDescent="0.2">
      <c r="B181" s="22">
        <v>176</v>
      </c>
      <c r="C181" s="21" t="s">
        <v>7866</v>
      </c>
      <c r="D181" s="21" t="s">
        <v>1204</v>
      </c>
      <c r="E181" s="20" t="s">
        <v>7867</v>
      </c>
      <c r="F181" s="22">
        <v>271</v>
      </c>
      <c r="G181" s="22" t="s">
        <v>7868</v>
      </c>
      <c r="H181" s="22">
        <v>271</v>
      </c>
      <c r="I181" s="25">
        <v>43375</v>
      </c>
      <c r="J181" s="24">
        <v>43392</v>
      </c>
    </row>
    <row r="182" spans="2:10" x14ac:dyDescent="0.2">
      <c r="B182" s="22">
        <v>177</v>
      </c>
      <c r="C182" s="21" t="s">
        <v>7869</v>
      </c>
      <c r="D182" s="21" t="s">
        <v>1377</v>
      </c>
      <c r="E182" s="20" t="s">
        <v>7870</v>
      </c>
      <c r="F182" s="22">
        <v>180</v>
      </c>
      <c r="G182" s="22" t="s">
        <v>7871</v>
      </c>
      <c r="H182" s="22">
        <v>180</v>
      </c>
      <c r="I182" s="25">
        <v>43306</v>
      </c>
      <c r="J182" s="24">
        <v>43333</v>
      </c>
    </row>
    <row r="183" spans="2:10" x14ac:dyDescent="0.2">
      <c r="B183" s="22">
        <v>178</v>
      </c>
      <c r="C183" s="21" t="s">
        <v>7872</v>
      </c>
      <c r="D183" s="21" t="s">
        <v>740</v>
      </c>
      <c r="E183" s="20" t="s">
        <v>7873</v>
      </c>
      <c r="F183" s="22">
        <v>427</v>
      </c>
      <c r="G183" s="22" t="s">
        <v>7874</v>
      </c>
      <c r="H183" s="22">
        <v>374</v>
      </c>
      <c r="I183" s="25">
        <v>43383</v>
      </c>
      <c r="J183" s="24">
        <v>43445</v>
      </c>
    </row>
    <row r="184" spans="2:10" x14ac:dyDescent="0.2">
      <c r="B184" s="22">
        <v>179</v>
      </c>
      <c r="C184" s="21" t="s">
        <v>7875</v>
      </c>
      <c r="D184" s="21" t="s">
        <v>3881</v>
      </c>
      <c r="E184" s="20" t="s">
        <v>7876</v>
      </c>
      <c r="F184" s="22">
        <v>222</v>
      </c>
      <c r="G184" s="22" t="s">
        <v>7877</v>
      </c>
      <c r="H184" s="22">
        <v>4</v>
      </c>
      <c r="I184" s="25">
        <v>43418</v>
      </c>
      <c r="J184" s="24">
        <v>43157</v>
      </c>
    </row>
    <row r="185" spans="2:10" x14ac:dyDescent="0.2">
      <c r="B185" s="22">
        <v>180</v>
      </c>
      <c r="C185" s="21" t="s">
        <v>7878</v>
      </c>
      <c r="D185" s="21" t="s">
        <v>1332</v>
      </c>
      <c r="E185" s="20" t="s">
        <v>7879</v>
      </c>
      <c r="F185" s="22">
        <v>38</v>
      </c>
      <c r="G185" s="22" t="s">
        <v>7880</v>
      </c>
      <c r="H185" s="22">
        <v>1</v>
      </c>
      <c r="I185" s="25">
        <v>43459</v>
      </c>
      <c r="J185" s="24">
        <v>43202</v>
      </c>
    </row>
    <row r="186" spans="2:10" x14ac:dyDescent="0.2">
      <c r="B186" s="22">
        <v>181</v>
      </c>
      <c r="C186" s="21" t="s">
        <v>7881</v>
      </c>
      <c r="D186" s="21" t="s">
        <v>1015</v>
      </c>
      <c r="E186" s="20" t="s">
        <v>7882</v>
      </c>
      <c r="F186" s="22">
        <v>138</v>
      </c>
      <c r="G186" s="22" t="s">
        <v>7883</v>
      </c>
      <c r="H186" s="22">
        <v>5</v>
      </c>
      <c r="I186" s="25">
        <v>43334</v>
      </c>
      <c r="J186" s="24">
        <v>43424</v>
      </c>
    </row>
    <row r="187" spans="2:10" x14ac:dyDescent="0.2">
      <c r="B187" s="22">
        <v>182</v>
      </c>
      <c r="C187" s="21" t="s">
        <v>7884</v>
      </c>
      <c r="D187" s="21" t="s">
        <v>1377</v>
      </c>
      <c r="E187" s="20" t="s">
        <v>7885</v>
      </c>
      <c r="F187" s="22">
        <v>137</v>
      </c>
      <c r="G187" s="22" t="s">
        <v>7886</v>
      </c>
      <c r="H187" s="22">
        <v>135</v>
      </c>
      <c r="I187" s="25">
        <v>43208</v>
      </c>
      <c r="J187" s="24">
        <v>43249</v>
      </c>
    </row>
    <row r="188" spans="2:10" x14ac:dyDescent="0.2">
      <c r="B188" s="22">
        <v>183</v>
      </c>
      <c r="C188" s="21" t="s">
        <v>7887</v>
      </c>
      <c r="D188" s="21" t="s">
        <v>1213</v>
      </c>
      <c r="E188" s="20" t="s">
        <v>7888</v>
      </c>
      <c r="F188" s="22">
        <v>157</v>
      </c>
      <c r="G188" s="22" t="s">
        <v>7889</v>
      </c>
      <c r="H188" s="22">
        <v>3</v>
      </c>
      <c r="I188" s="25">
        <v>43173</v>
      </c>
      <c r="J188" s="24">
        <v>43284</v>
      </c>
    </row>
    <row r="189" spans="2:10" x14ac:dyDescent="0.2">
      <c r="B189" s="22">
        <v>184</v>
      </c>
      <c r="C189" s="21" t="s">
        <v>7890</v>
      </c>
      <c r="D189" s="21" t="s">
        <v>638</v>
      </c>
      <c r="E189" s="20" t="s">
        <v>7891</v>
      </c>
      <c r="F189" s="22">
        <v>1.3169999999999999</v>
      </c>
      <c r="G189" s="22" t="s">
        <v>7892</v>
      </c>
      <c r="H189" s="22">
        <v>1.3169999999999999</v>
      </c>
      <c r="I189" s="25">
        <v>43159</v>
      </c>
      <c r="J189" s="24">
        <v>43179</v>
      </c>
    </row>
    <row r="190" spans="2:10" x14ac:dyDescent="0.2">
      <c r="B190" s="22">
        <v>185</v>
      </c>
      <c r="C190" s="21" t="s">
        <v>7893</v>
      </c>
      <c r="D190" s="21" t="s">
        <v>1139</v>
      </c>
      <c r="E190" s="20" t="s">
        <v>7894</v>
      </c>
      <c r="F190" s="22">
        <v>167</v>
      </c>
      <c r="G190" s="22" t="s">
        <v>7895</v>
      </c>
      <c r="H190" s="22">
        <v>105</v>
      </c>
      <c r="I190" s="25">
        <v>43131</v>
      </c>
      <c r="J190" s="24">
        <v>43161</v>
      </c>
    </row>
    <row r="191" spans="2:10" x14ac:dyDescent="0.2">
      <c r="B191" s="22">
        <v>186</v>
      </c>
      <c r="C191" s="21" t="s">
        <v>7896</v>
      </c>
      <c r="D191" s="21" t="s">
        <v>1043</v>
      </c>
      <c r="E191" s="20" t="s">
        <v>7897</v>
      </c>
      <c r="F191" s="22">
        <v>216</v>
      </c>
      <c r="G191" s="22" t="s">
        <v>7898</v>
      </c>
      <c r="H191" s="22">
        <v>10</v>
      </c>
      <c r="I191" s="25">
        <v>43243</v>
      </c>
      <c r="J191" s="24">
        <v>43333</v>
      </c>
    </row>
    <row r="192" spans="2:10" x14ac:dyDescent="0.2">
      <c r="B192" s="22">
        <v>187</v>
      </c>
      <c r="C192" s="21" t="s">
        <v>7899</v>
      </c>
      <c r="D192" s="21" t="s">
        <v>1043</v>
      </c>
      <c r="E192" s="20" t="s">
        <v>7900</v>
      </c>
      <c r="F192" s="22">
        <v>110</v>
      </c>
      <c r="G192" s="22" t="s">
        <v>7901</v>
      </c>
      <c r="H192" s="22">
        <v>3</v>
      </c>
      <c r="I192" s="25">
        <v>43124</v>
      </c>
      <c r="J192" s="24">
        <v>43235</v>
      </c>
    </row>
    <row r="193" spans="2:10" x14ac:dyDescent="0.2">
      <c r="B193" s="22">
        <v>188</v>
      </c>
      <c r="C193" s="21" t="s">
        <v>7902</v>
      </c>
      <c r="D193" s="21" t="s">
        <v>820</v>
      </c>
      <c r="E193" s="20" t="s">
        <v>7903</v>
      </c>
      <c r="F193" s="22">
        <v>150</v>
      </c>
      <c r="G193" s="22" t="s">
        <v>7904</v>
      </c>
      <c r="H193" s="22">
        <v>3</v>
      </c>
      <c r="I193" s="25">
        <v>43236</v>
      </c>
      <c r="J193" s="24">
        <v>43284</v>
      </c>
    </row>
    <row r="194" spans="2:10" x14ac:dyDescent="0.2">
      <c r="B194" s="22">
        <v>189</v>
      </c>
      <c r="C194" s="21" t="s">
        <v>7905</v>
      </c>
      <c r="D194" s="21" t="s">
        <v>1015</v>
      </c>
      <c r="E194" s="20" t="s">
        <v>7906</v>
      </c>
      <c r="F194" s="22">
        <v>95</v>
      </c>
      <c r="G194" s="22" t="s">
        <v>7907</v>
      </c>
      <c r="H194" s="22">
        <v>4</v>
      </c>
      <c r="I194" s="25">
        <v>43201</v>
      </c>
      <c r="J194" s="24">
        <v>43361</v>
      </c>
    </row>
    <row r="195" spans="2:10" x14ac:dyDescent="0.2">
      <c r="B195" s="22">
        <v>190</v>
      </c>
      <c r="C195" s="21" t="s">
        <v>7908</v>
      </c>
      <c r="D195" s="21" t="s">
        <v>38</v>
      </c>
      <c r="E195" s="20" t="s">
        <v>7909</v>
      </c>
      <c r="F195" s="22">
        <v>602</v>
      </c>
      <c r="G195" s="22" t="s">
        <v>7910</v>
      </c>
      <c r="H195" s="22">
        <v>602</v>
      </c>
      <c r="I195" s="25">
        <v>43362</v>
      </c>
      <c r="J195" s="24">
        <v>43417</v>
      </c>
    </row>
    <row r="196" spans="2:10" x14ac:dyDescent="0.2">
      <c r="B196" s="22">
        <v>191</v>
      </c>
      <c r="C196" s="21" t="s">
        <v>7911</v>
      </c>
      <c r="D196" s="21" t="s">
        <v>1015</v>
      </c>
      <c r="E196" s="20" t="s">
        <v>7912</v>
      </c>
      <c r="F196" s="22">
        <v>129</v>
      </c>
      <c r="G196" s="22" t="s">
        <v>7913</v>
      </c>
      <c r="H196" s="22">
        <v>4</v>
      </c>
      <c r="I196" s="25">
        <v>43131</v>
      </c>
      <c r="J196" s="24">
        <v>43249</v>
      </c>
    </row>
    <row r="197" spans="2:10" x14ac:dyDescent="0.2">
      <c r="B197" s="22">
        <v>192</v>
      </c>
      <c r="C197" s="21" t="s">
        <v>7914</v>
      </c>
      <c r="D197" s="21" t="s">
        <v>7800</v>
      </c>
      <c r="E197" s="20" t="s">
        <v>7915</v>
      </c>
      <c r="F197" s="22">
        <v>736</v>
      </c>
      <c r="G197" s="22" t="s">
        <v>7916</v>
      </c>
      <c r="H197" s="22">
        <v>736</v>
      </c>
      <c r="I197" s="25">
        <v>43299</v>
      </c>
      <c r="J197" s="24">
        <v>43326</v>
      </c>
    </row>
    <row r="198" spans="2:10" x14ac:dyDescent="0.2">
      <c r="B198" s="22">
        <v>193</v>
      </c>
      <c r="C198" s="21" t="s">
        <v>7917</v>
      </c>
      <c r="D198" s="21" t="s">
        <v>7918</v>
      </c>
      <c r="E198" s="20" t="s">
        <v>7919</v>
      </c>
      <c r="F198" s="22">
        <v>21</v>
      </c>
      <c r="G198" s="22" t="s">
        <v>7920</v>
      </c>
      <c r="H198" s="22">
        <v>1</v>
      </c>
      <c r="I198" s="25">
        <v>43383</v>
      </c>
      <c r="J198" s="24">
        <v>43353</v>
      </c>
    </row>
    <row r="199" spans="2:10" x14ac:dyDescent="0.2">
      <c r="B199" s="22">
        <v>194</v>
      </c>
      <c r="C199" s="21" t="s">
        <v>7921</v>
      </c>
      <c r="D199" s="21" t="s">
        <v>5638</v>
      </c>
      <c r="E199" s="20" t="s">
        <v>7922</v>
      </c>
      <c r="F199" s="22">
        <v>104</v>
      </c>
      <c r="G199" s="22" t="s">
        <v>7923</v>
      </c>
      <c r="H199" s="22">
        <v>18</v>
      </c>
      <c r="I199" s="25">
        <v>43229</v>
      </c>
      <c r="J199" s="24">
        <v>43340</v>
      </c>
    </row>
    <row r="200" spans="2:10" x14ac:dyDescent="0.2">
      <c r="B200" s="22">
        <v>195</v>
      </c>
      <c r="C200" s="21" t="s">
        <v>7924</v>
      </c>
      <c r="D200" s="21" t="s">
        <v>1294</v>
      </c>
      <c r="E200" s="20" t="s">
        <v>7925</v>
      </c>
      <c r="F200" s="22">
        <v>97</v>
      </c>
      <c r="G200" s="22" t="s">
        <v>7926</v>
      </c>
      <c r="H200" s="22">
        <v>3</v>
      </c>
      <c r="I200" s="25">
        <v>43187</v>
      </c>
      <c r="J200" s="24">
        <v>43322</v>
      </c>
    </row>
    <row r="201" spans="2:10" x14ac:dyDescent="0.2">
      <c r="B201" s="22">
        <v>196</v>
      </c>
      <c r="C201" s="21" t="s">
        <v>7927</v>
      </c>
      <c r="D201" s="21" t="s">
        <v>1299</v>
      </c>
      <c r="E201" s="20" t="s">
        <v>7928</v>
      </c>
      <c r="F201" s="22">
        <v>124</v>
      </c>
      <c r="G201" s="22" t="s">
        <v>7929</v>
      </c>
      <c r="H201" s="22">
        <v>10</v>
      </c>
      <c r="I201" s="25">
        <v>43369</v>
      </c>
      <c r="J201" s="24">
        <v>43424</v>
      </c>
    </row>
    <row r="202" spans="2:10" x14ac:dyDescent="0.2">
      <c r="B202" s="22">
        <v>197</v>
      </c>
      <c r="C202" s="21" t="s">
        <v>7930</v>
      </c>
      <c r="D202" s="21" t="s">
        <v>1294</v>
      </c>
      <c r="E202" s="20" t="s">
        <v>7931</v>
      </c>
      <c r="F202" s="22">
        <v>120</v>
      </c>
      <c r="G202" s="22" t="s">
        <v>7932</v>
      </c>
      <c r="H202" s="22">
        <v>2</v>
      </c>
      <c r="I202" s="25">
        <v>43458</v>
      </c>
      <c r="J202" s="24">
        <v>43227</v>
      </c>
    </row>
    <row r="203" spans="2:10" x14ac:dyDescent="0.2">
      <c r="B203" s="22">
        <v>198</v>
      </c>
      <c r="C203" s="21" t="s">
        <v>7933</v>
      </c>
      <c r="D203" s="21" t="s">
        <v>38</v>
      </c>
      <c r="E203" s="20" t="s">
        <v>7934</v>
      </c>
      <c r="F203" s="22">
        <v>121</v>
      </c>
      <c r="G203" s="22" t="s">
        <v>7935</v>
      </c>
      <c r="H203" s="22">
        <v>4</v>
      </c>
      <c r="I203" s="25">
        <v>43215</v>
      </c>
      <c r="J203" s="24">
        <v>43326</v>
      </c>
    </row>
    <row r="204" spans="2:10" x14ac:dyDescent="0.2">
      <c r="B204" s="22">
        <v>199</v>
      </c>
      <c r="C204" s="21" t="s">
        <v>7936</v>
      </c>
      <c r="D204" s="21" t="s">
        <v>1043</v>
      </c>
      <c r="E204" s="20" t="s">
        <v>7937</v>
      </c>
      <c r="F204" s="22">
        <v>385</v>
      </c>
      <c r="G204" s="22" t="s">
        <v>7938</v>
      </c>
      <c r="H204" s="22">
        <v>385</v>
      </c>
      <c r="I204" s="25">
        <v>43124</v>
      </c>
      <c r="J204" s="24">
        <v>43158</v>
      </c>
    </row>
    <row r="205" spans="2:10" x14ac:dyDescent="0.2">
      <c r="B205" s="22">
        <v>200</v>
      </c>
      <c r="C205" s="21" t="s">
        <v>7939</v>
      </c>
      <c r="D205" s="21" t="s">
        <v>1039</v>
      </c>
      <c r="E205" s="20" t="s">
        <v>7940</v>
      </c>
      <c r="F205" s="22">
        <v>68</v>
      </c>
      <c r="G205" s="22" t="s">
        <v>7941</v>
      </c>
      <c r="H205" s="22">
        <v>2</v>
      </c>
      <c r="I205" s="25">
        <v>43397</v>
      </c>
      <c r="J205" s="24">
        <v>43164</v>
      </c>
    </row>
    <row r="206" spans="2:10" x14ac:dyDescent="0.2">
      <c r="B206" s="22">
        <v>201</v>
      </c>
      <c r="C206" s="21" t="s">
        <v>7942</v>
      </c>
      <c r="D206" s="21" t="s">
        <v>1415</v>
      </c>
      <c r="E206" s="20" t="s">
        <v>7943</v>
      </c>
      <c r="F206" s="22">
        <v>195</v>
      </c>
      <c r="G206" s="22" t="s">
        <v>7944</v>
      </c>
      <c r="H206" s="22">
        <v>195</v>
      </c>
      <c r="I206" s="25">
        <v>43124</v>
      </c>
      <c r="J206" s="24">
        <v>43144</v>
      </c>
    </row>
    <row r="207" spans="2:10" x14ac:dyDescent="0.2">
      <c r="B207" s="22">
        <v>202</v>
      </c>
      <c r="C207" s="21" t="s">
        <v>7945</v>
      </c>
      <c r="D207" s="21" t="s">
        <v>1415</v>
      </c>
      <c r="E207" s="20" t="s">
        <v>7946</v>
      </c>
      <c r="F207" s="22">
        <v>127</v>
      </c>
      <c r="G207" s="22" t="s">
        <v>7947</v>
      </c>
      <c r="H207" s="22">
        <v>127</v>
      </c>
      <c r="I207" s="25">
        <v>43327</v>
      </c>
      <c r="J207" s="24">
        <v>43361</v>
      </c>
    </row>
    <row r="208" spans="2:10" x14ac:dyDescent="0.2">
      <c r="B208" s="22">
        <v>203</v>
      </c>
      <c r="C208" s="21" t="s">
        <v>7948</v>
      </c>
      <c r="D208" s="21" t="s">
        <v>643</v>
      </c>
      <c r="E208" s="20" t="s">
        <v>7949</v>
      </c>
      <c r="F208" s="22">
        <v>157</v>
      </c>
      <c r="G208" s="22" t="s">
        <v>7950</v>
      </c>
      <c r="H208" s="22">
        <v>152</v>
      </c>
      <c r="I208" s="25">
        <v>43159</v>
      </c>
      <c r="J208" s="24">
        <v>43186</v>
      </c>
    </row>
    <row r="209" spans="2:10" x14ac:dyDescent="0.2">
      <c r="B209" s="22">
        <v>204</v>
      </c>
      <c r="C209" s="21" t="s">
        <v>7951</v>
      </c>
      <c r="D209" s="21" t="s">
        <v>7952</v>
      </c>
      <c r="E209" s="20" t="s">
        <v>7953</v>
      </c>
      <c r="F209" s="22">
        <v>85</v>
      </c>
      <c r="G209" s="22" t="s">
        <v>7954</v>
      </c>
      <c r="H209" s="22">
        <v>67</v>
      </c>
      <c r="I209" s="25">
        <v>43348</v>
      </c>
      <c r="J209" s="24">
        <v>43392</v>
      </c>
    </row>
    <row r="210" spans="2:10" x14ac:dyDescent="0.2">
      <c r="B210" s="22">
        <v>205</v>
      </c>
      <c r="C210" s="21" t="s">
        <v>7955</v>
      </c>
      <c r="D210" s="21" t="s">
        <v>3464</v>
      </c>
      <c r="E210" s="20" t="s">
        <v>7956</v>
      </c>
      <c r="F210" s="22">
        <v>183</v>
      </c>
      <c r="G210" s="22" t="s">
        <v>7957</v>
      </c>
      <c r="H210" s="22">
        <v>4</v>
      </c>
      <c r="I210" s="25">
        <v>43362</v>
      </c>
      <c r="J210" s="24">
        <v>43452</v>
      </c>
    </row>
    <row r="211" spans="2:10" x14ac:dyDescent="0.2">
      <c r="B211" s="22">
        <v>206</v>
      </c>
      <c r="C211" s="21" t="s">
        <v>7958</v>
      </c>
      <c r="D211" s="21" t="s">
        <v>38</v>
      </c>
      <c r="E211" s="20" t="s">
        <v>7959</v>
      </c>
      <c r="F211" s="22">
        <v>608</v>
      </c>
      <c r="G211" s="22" t="s">
        <v>7960</v>
      </c>
      <c r="H211" s="22">
        <v>5</v>
      </c>
      <c r="I211" s="25">
        <v>43264</v>
      </c>
      <c r="J211" s="24">
        <v>43333</v>
      </c>
    </row>
    <row r="212" spans="2:10" x14ac:dyDescent="0.2">
      <c r="B212" s="22">
        <v>207</v>
      </c>
      <c r="C212" s="21" t="s">
        <v>7961</v>
      </c>
      <c r="D212" s="21" t="s">
        <v>7962</v>
      </c>
      <c r="E212" s="20" t="s">
        <v>7963</v>
      </c>
      <c r="F212" s="22">
        <v>258</v>
      </c>
      <c r="G212" s="22" t="s">
        <v>7964</v>
      </c>
      <c r="H212" s="22">
        <v>258</v>
      </c>
      <c r="I212" s="25">
        <v>43215</v>
      </c>
      <c r="J212" s="24">
        <v>43444</v>
      </c>
    </row>
    <row r="213" spans="2:10" x14ac:dyDescent="0.2">
      <c r="B213" s="22">
        <v>208</v>
      </c>
      <c r="C213" s="21" t="s">
        <v>7965</v>
      </c>
      <c r="D213" s="21" t="s">
        <v>1015</v>
      </c>
      <c r="E213" s="20" t="s">
        <v>7966</v>
      </c>
      <c r="F213" s="22">
        <v>80</v>
      </c>
      <c r="G213" s="22" t="s">
        <v>7967</v>
      </c>
      <c r="H213" s="22">
        <v>2</v>
      </c>
      <c r="I213" s="25">
        <v>43459</v>
      </c>
      <c r="J213" s="24">
        <v>43174</v>
      </c>
    </row>
    <row r="214" spans="2:10" x14ac:dyDescent="0.2">
      <c r="B214" s="22">
        <v>209</v>
      </c>
      <c r="C214" s="21" t="s">
        <v>7968</v>
      </c>
      <c r="D214" s="21" t="s">
        <v>38</v>
      </c>
      <c r="E214" s="20" t="s">
        <v>7969</v>
      </c>
      <c r="F214" s="22">
        <v>133</v>
      </c>
      <c r="G214" s="22" t="s">
        <v>7970</v>
      </c>
      <c r="H214" s="22">
        <v>132</v>
      </c>
      <c r="I214" s="25">
        <v>43348</v>
      </c>
      <c r="J214" s="24">
        <v>43108</v>
      </c>
    </row>
    <row r="215" spans="2:10" x14ac:dyDescent="0.2">
      <c r="B215" s="22">
        <v>210</v>
      </c>
      <c r="C215" s="21" t="s">
        <v>7971</v>
      </c>
      <c r="D215" s="21" t="s">
        <v>38</v>
      </c>
      <c r="E215" s="20" t="s">
        <v>7972</v>
      </c>
      <c r="F215" s="22">
        <v>306</v>
      </c>
      <c r="G215" s="22" t="s">
        <v>7973</v>
      </c>
      <c r="H215" s="22">
        <v>5</v>
      </c>
      <c r="I215" s="25">
        <v>43397</v>
      </c>
      <c r="J215" s="24">
        <v>43452</v>
      </c>
    </row>
    <row r="216" spans="2:10" x14ac:dyDescent="0.2">
      <c r="B216" s="22">
        <v>211</v>
      </c>
      <c r="C216" s="21" t="s">
        <v>7974</v>
      </c>
      <c r="D216" s="21" t="s">
        <v>7975</v>
      </c>
      <c r="E216" s="20" t="s">
        <v>7976</v>
      </c>
      <c r="F216" s="22">
        <v>133</v>
      </c>
      <c r="G216" s="22" t="s">
        <v>7977</v>
      </c>
      <c r="H216" s="22">
        <v>19</v>
      </c>
      <c r="I216" s="25">
        <v>43180</v>
      </c>
      <c r="J216" s="24">
        <v>43389</v>
      </c>
    </row>
    <row r="217" spans="2:10" x14ac:dyDescent="0.2">
      <c r="B217" s="22">
        <v>212</v>
      </c>
      <c r="C217" s="21" t="s">
        <v>7978</v>
      </c>
      <c r="D217" s="21" t="s">
        <v>1377</v>
      </c>
      <c r="E217" s="20" t="s">
        <v>7979</v>
      </c>
      <c r="F217" s="22">
        <v>119</v>
      </c>
      <c r="G217" s="22" t="s">
        <v>7980</v>
      </c>
      <c r="H217" s="22">
        <v>119</v>
      </c>
      <c r="I217" s="25">
        <v>43375</v>
      </c>
      <c r="J217" s="24">
        <v>43403</v>
      </c>
    </row>
    <row r="218" spans="2:10" x14ac:dyDescent="0.2">
      <c r="B218" s="22">
        <v>213</v>
      </c>
      <c r="C218" s="21" t="s">
        <v>7981</v>
      </c>
      <c r="D218" s="21" t="s">
        <v>1015</v>
      </c>
      <c r="E218" s="20" t="s">
        <v>7982</v>
      </c>
      <c r="F218" s="22">
        <v>227</v>
      </c>
      <c r="G218" s="22" t="s">
        <v>7983</v>
      </c>
      <c r="H218" s="22">
        <v>5</v>
      </c>
      <c r="I218" s="25">
        <v>43271</v>
      </c>
      <c r="J218" s="24">
        <v>43368</v>
      </c>
    </row>
    <row r="219" spans="2:10" x14ac:dyDescent="0.2">
      <c r="B219" s="22">
        <v>214</v>
      </c>
      <c r="C219" s="21" t="s">
        <v>7984</v>
      </c>
      <c r="D219" s="21" t="s">
        <v>570</v>
      </c>
      <c r="E219" s="20" t="s">
        <v>7985</v>
      </c>
      <c r="F219" s="22">
        <v>308</v>
      </c>
      <c r="G219" s="22" t="s">
        <v>7986</v>
      </c>
      <c r="H219" s="22">
        <v>308</v>
      </c>
      <c r="I219" s="25">
        <v>43159</v>
      </c>
      <c r="J219" s="24">
        <v>43196</v>
      </c>
    </row>
    <row r="220" spans="2:10" x14ac:dyDescent="0.2">
      <c r="B220" s="22">
        <v>215</v>
      </c>
      <c r="C220" s="21" t="s">
        <v>7987</v>
      </c>
      <c r="D220" s="21" t="s">
        <v>1594</v>
      </c>
      <c r="E220" s="20" t="s">
        <v>7988</v>
      </c>
      <c r="F220" s="22">
        <v>340</v>
      </c>
      <c r="G220" s="22" t="s">
        <v>7989</v>
      </c>
      <c r="H220" s="22">
        <v>340</v>
      </c>
      <c r="I220" s="25">
        <v>43369</v>
      </c>
      <c r="J220" s="24">
        <v>43396</v>
      </c>
    </row>
    <row r="221" spans="2:10" x14ac:dyDescent="0.2">
      <c r="B221" s="22">
        <v>216</v>
      </c>
      <c r="C221" s="21" t="s">
        <v>7990</v>
      </c>
      <c r="D221" s="21" t="s">
        <v>38</v>
      </c>
      <c r="E221" s="20" t="s">
        <v>7991</v>
      </c>
      <c r="F221" s="22">
        <v>120</v>
      </c>
      <c r="G221" s="22" t="s">
        <v>7992</v>
      </c>
      <c r="H221" s="22">
        <v>1</v>
      </c>
      <c r="I221" s="25">
        <v>43173</v>
      </c>
      <c r="J221" s="24">
        <v>43235</v>
      </c>
    </row>
    <row r="222" spans="2:10" x14ac:dyDescent="0.2">
      <c r="B222" s="22">
        <v>217</v>
      </c>
      <c r="C222" s="21" t="s">
        <v>7993</v>
      </c>
      <c r="D222" s="21" t="s">
        <v>1294</v>
      </c>
      <c r="E222" s="20" t="s">
        <v>7994</v>
      </c>
      <c r="F222" s="22">
        <v>80</v>
      </c>
      <c r="G222" s="22" t="s">
        <v>7995</v>
      </c>
      <c r="H222" s="22">
        <v>3</v>
      </c>
      <c r="I222" s="25">
        <v>43432</v>
      </c>
      <c r="J222" s="24">
        <v>43171</v>
      </c>
    </row>
    <row r="223" spans="2:10" x14ac:dyDescent="0.2">
      <c r="B223" s="22">
        <v>218</v>
      </c>
      <c r="C223" s="21" t="s">
        <v>7996</v>
      </c>
      <c r="D223" s="21" t="s">
        <v>1415</v>
      </c>
      <c r="E223" s="20" t="s">
        <v>7997</v>
      </c>
      <c r="F223" s="22">
        <v>108</v>
      </c>
      <c r="G223" s="22" t="s">
        <v>7998</v>
      </c>
      <c r="H223" s="22">
        <v>108</v>
      </c>
      <c r="I223" s="25">
        <v>43159</v>
      </c>
      <c r="J223" s="24">
        <v>43186</v>
      </c>
    </row>
    <row r="224" spans="2:10" x14ac:dyDescent="0.2">
      <c r="B224" s="22">
        <v>219</v>
      </c>
      <c r="C224" s="21" t="s">
        <v>7999</v>
      </c>
      <c r="D224" s="21" t="s">
        <v>643</v>
      </c>
      <c r="E224" s="20" t="s">
        <v>8000</v>
      </c>
      <c r="F224" s="22">
        <v>178</v>
      </c>
      <c r="G224" s="22" t="s">
        <v>8001</v>
      </c>
      <c r="H224" s="22">
        <v>178</v>
      </c>
      <c r="I224" s="25">
        <v>43369</v>
      </c>
      <c r="J224" s="24">
        <v>43396</v>
      </c>
    </row>
    <row r="225" spans="2:10" x14ac:dyDescent="0.2">
      <c r="B225" s="22">
        <v>220</v>
      </c>
      <c r="C225" s="21" t="s">
        <v>8002</v>
      </c>
      <c r="D225" s="21" t="s">
        <v>1248</v>
      </c>
      <c r="E225" s="20" t="s">
        <v>8003</v>
      </c>
      <c r="F225" s="22">
        <v>27</v>
      </c>
      <c r="G225" s="22" t="s">
        <v>8004</v>
      </c>
      <c r="H225" s="22">
        <v>4</v>
      </c>
      <c r="I225" s="25">
        <v>43164</v>
      </c>
      <c r="J225" s="24">
        <v>43280</v>
      </c>
    </row>
    <row r="226" spans="2:10" x14ac:dyDescent="0.2">
      <c r="B226" s="22">
        <v>221</v>
      </c>
      <c r="C226" s="21" t="s">
        <v>8005</v>
      </c>
      <c r="D226" s="21" t="s">
        <v>1559</v>
      </c>
      <c r="E226" s="20" t="s">
        <v>8006</v>
      </c>
      <c r="F226" s="22">
        <v>48</v>
      </c>
      <c r="G226" s="22" t="s">
        <v>8007</v>
      </c>
      <c r="H226" s="22">
        <v>2</v>
      </c>
      <c r="I226" s="25">
        <v>43453</v>
      </c>
      <c r="J226" s="24">
        <v>43248</v>
      </c>
    </row>
    <row r="227" spans="2:10" x14ac:dyDescent="0.2">
      <c r="B227" s="22">
        <v>222</v>
      </c>
      <c r="C227" s="21" t="s">
        <v>8008</v>
      </c>
      <c r="D227" s="21" t="s">
        <v>1035</v>
      </c>
      <c r="E227" s="20" t="s">
        <v>8009</v>
      </c>
      <c r="F227" s="22">
        <v>242</v>
      </c>
      <c r="G227" s="22" t="s">
        <v>8010</v>
      </c>
      <c r="H227" s="22">
        <v>242</v>
      </c>
      <c r="I227" s="25">
        <v>43355</v>
      </c>
      <c r="J227" s="24">
        <v>43375</v>
      </c>
    </row>
    <row r="228" spans="2:10" x14ac:dyDescent="0.2">
      <c r="B228" s="22">
        <v>223</v>
      </c>
      <c r="C228" s="21" t="s">
        <v>8011</v>
      </c>
      <c r="D228" s="21" t="s">
        <v>1415</v>
      </c>
      <c r="E228" s="20" t="s">
        <v>8012</v>
      </c>
      <c r="F228" s="22">
        <v>161</v>
      </c>
      <c r="G228" s="22" t="s">
        <v>8013</v>
      </c>
      <c r="H228" s="22">
        <v>161</v>
      </c>
      <c r="I228" s="25">
        <v>43243</v>
      </c>
      <c r="J228" s="24">
        <v>43256</v>
      </c>
    </row>
    <row r="229" spans="2:10" x14ac:dyDescent="0.2">
      <c r="B229" s="22">
        <v>224</v>
      </c>
      <c r="C229" s="21" t="s">
        <v>8014</v>
      </c>
      <c r="D229" s="21" t="s">
        <v>643</v>
      </c>
      <c r="E229" s="20" t="s">
        <v>8015</v>
      </c>
      <c r="F229" s="22">
        <v>2.0630000000000002</v>
      </c>
      <c r="G229" s="22" t="s">
        <v>8016</v>
      </c>
      <c r="H229" s="22">
        <v>2.0630000000000002</v>
      </c>
      <c r="I229" s="25">
        <v>43404</v>
      </c>
      <c r="J229" s="24">
        <v>43410</v>
      </c>
    </row>
    <row r="230" spans="2:10" x14ac:dyDescent="0.2">
      <c r="B230" s="22">
        <v>225</v>
      </c>
      <c r="C230" s="21" t="s">
        <v>8017</v>
      </c>
      <c r="D230" s="21" t="s">
        <v>1039</v>
      </c>
      <c r="E230" s="20" t="s">
        <v>8018</v>
      </c>
      <c r="F230" s="22">
        <v>100</v>
      </c>
      <c r="G230" s="22" t="s">
        <v>8019</v>
      </c>
      <c r="H230" s="22">
        <v>23</v>
      </c>
      <c r="I230" s="25">
        <v>43285</v>
      </c>
      <c r="J230" s="24">
        <v>43389</v>
      </c>
    </row>
    <row r="231" spans="2:10" x14ac:dyDescent="0.2">
      <c r="B231" s="22">
        <v>226</v>
      </c>
      <c r="C231" s="21" t="s">
        <v>8020</v>
      </c>
      <c r="D231" s="21" t="s">
        <v>1039</v>
      </c>
      <c r="E231" s="20" t="s">
        <v>8021</v>
      </c>
      <c r="F231" s="22">
        <v>59</v>
      </c>
      <c r="G231" s="22" t="s">
        <v>8022</v>
      </c>
      <c r="H231" s="22">
        <v>25</v>
      </c>
      <c r="I231" s="25">
        <v>43180</v>
      </c>
      <c r="J231" s="24">
        <v>43270</v>
      </c>
    </row>
    <row r="232" spans="2:10" x14ac:dyDescent="0.2">
      <c r="B232" s="22">
        <v>227</v>
      </c>
      <c r="C232" s="21" t="s">
        <v>8023</v>
      </c>
      <c r="D232" s="21" t="s">
        <v>1210</v>
      </c>
      <c r="E232" s="20" t="s">
        <v>8024</v>
      </c>
      <c r="F232" s="22">
        <v>24</v>
      </c>
      <c r="G232" s="22" t="s">
        <v>8025</v>
      </c>
      <c r="H232" s="22">
        <v>20</v>
      </c>
      <c r="I232" s="25">
        <v>43376</v>
      </c>
      <c r="J232" s="24">
        <v>43424</v>
      </c>
    </row>
    <row r="233" spans="2:10" x14ac:dyDescent="0.2">
      <c r="B233" s="22">
        <v>228</v>
      </c>
      <c r="C233" s="21" t="s">
        <v>8026</v>
      </c>
      <c r="D233" s="21" t="s">
        <v>6537</v>
      </c>
      <c r="E233" s="20" t="s">
        <v>8027</v>
      </c>
      <c r="F233" s="22">
        <v>57</v>
      </c>
      <c r="G233" s="22" t="s">
        <v>8028</v>
      </c>
      <c r="H233" s="22">
        <v>4</v>
      </c>
      <c r="I233" s="25">
        <v>43229</v>
      </c>
      <c r="J233" s="24">
        <v>43354</v>
      </c>
    </row>
    <row r="234" spans="2:10" x14ac:dyDescent="0.2">
      <c r="B234" s="22">
        <v>229</v>
      </c>
      <c r="C234" s="21" t="s">
        <v>8029</v>
      </c>
      <c r="D234" s="21" t="s">
        <v>1415</v>
      </c>
      <c r="E234" s="20" t="s">
        <v>8030</v>
      </c>
      <c r="F234" s="22">
        <v>104</v>
      </c>
      <c r="G234" s="22" t="s">
        <v>8031</v>
      </c>
      <c r="H234" s="22">
        <v>104</v>
      </c>
      <c r="I234" s="25">
        <v>43278</v>
      </c>
      <c r="J234" s="24">
        <v>43291</v>
      </c>
    </row>
    <row r="235" spans="2:10" x14ac:dyDescent="0.2">
      <c r="B235" s="22">
        <v>230</v>
      </c>
      <c r="C235" s="21" t="s">
        <v>8032</v>
      </c>
      <c r="D235" s="21" t="s">
        <v>1015</v>
      </c>
      <c r="E235" s="20" t="s">
        <v>8033</v>
      </c>
      <c r="F235" s="22">
        <v>73</v>
      </c>
      <c r="G235" s="22" t="s">
        <v>8034</v>
      </c>
      <c r="H235" s="22">
        <v>4</v>
      </c>
      <c r="I235" s="25">
        <v>43292</v>
      </c>
      <c r="J235" s="24">
        <v>43417</v>
      </c>
    </row>
    <row r="236" spans="2:10" x14ac:dyDescent="0.2">
      <c r="B236" s="22">
        <v>231</v>
      </c>
      <c r="C236" s="21" t="s">
        <v>8035</v>
      </c>
      <c r="D236" s="21" t="s">
        <v>820</v>
      </c>
      <c r="E236" s="20" t="s">
        <v>8036</v>
      </c>
      <c r="F236" s="22">
        <v>24</v>
      </c>
      <c r="G236" s="22" t="s">
        <v>8037</v>
      </c>
      <c r="H236" s="22">
        <v>2</v>
      </c>
      <c r="I236" s="25">
        <v>43276</v>
      </c>
      <c r="J236" s="24">
        <v>43368</v>
      </c>
    </row>
    <row r="237" spans="2:10" x14ac:dyDescent="0.2">
      <c r="B237" s="22">
        <v>232</v>
      </c>
      <c r="C237" s="21" t="s">
        <v>8038</v>
      </c>
      <c r="D237" s="21" t="s">
        <v>1377</v>
      </c>
      <c r="E237" s="20" t="s">
        <v>8039</v>
      </c>
      <c r="F237" s="22">
        <v>61</v>
      </c>
      <c r="G237" s="22" t="s">
        <v>8040</v>
      </c>
      <c r="H237" s="22">
        <v>57</v>
      </c>
      <c r="I237" s="25">
        <v>43362</v>
      </c>
      <c r="J237" s="24">
        <v>43378</v>
      </c>
    </row>
    <row r="238" spans="2:10" x14ac:dyDescent="0.2">
      <c r="B238" s="22">
        <v>233</v>
      </c>
      <c r="C238" s="21" t="s">
        <v>8041</v>
      </c>
      <c r="D238" s="21" t="s">
        <v>1217</v>
      </c>
      <c r="E238" s="20" t="s">
        <v>8042</v>
      </c>
      <c r="F238" s="22">
        <v>144</v>
      </c>
      <c r="G238" s="22" t="s">
        <v>8043</v>
      </c>
      <c r="H238" s="22">
        <v>144</v>
      </c>
      <c r="I238" s="25">
        <v>43257</v>
      </c>
      <c r="J238" s="24">
        <v>43266</v>
      </c>
    </row>
    <row r="239" spans="2:10" x14ac:dyDescent="0.2">
      <c r="B239" s="22">
        <v>234</v>
      </c>
      <c r="C239" s="21" t="s">
        <v>8044</v>
      </c>
      <c r="D239" s="21" t="s">
        <v>638</v>
      </c>
      <c r="E239" s="20" t="s">
        <v>8045</v>
      </c>
      <c r="F239" s="22">
        <v>608</v>
      </c>
      <c r="G239" s="22" t="s">
        <v>8046</v>
      </c>
      <c r="H239" s="22">
        <v>17</v>
      </c>
      <c r="I239" s="25">
        <v>43374</v>
      </c>
      <c r="J239" s="24">
        <v>43403</v>
      </c>
    </row>
    <row r="240" spans="2:10" x14ac:dyDescent="0.2">
      <c r="B240" s="22">
        <v>235</v>
      </c>
      <c r="C240" s="21" t="s">
        <v>8047</v>
      </c>
      <c r="D240" s="21" t="s">
        <v>1559</v>
      </c>
      <c r="E240" s="20" t="s">
        <v>8048</v>
      </c>
      <c r="F240" s="22">
        <v>29</v>
      </c>
      <c r="G240" s="22" t="s">
        <v>8049</v>
      </c>
      <c r="H240" s="22">
        <v>3</v>
      </c>
      <c r="I240" s="25">
        <v>43390</v>
      </c>
      <c r="J240" s="24">
        <v>43185</v>
      </c>
    </row>
    <row r="241" spans="2:10" x14ac:dyDescent="0.2">
      <c r="B241" s="22">
        <v>236</v>
      </c>
      <c r="C241" s="21" t="s">
        <v>8050</v>
      </c>
      <c r="D241" s="21" t="s">
        <v>643</v>
      </c>
      <c r="E241" s="20" t="s">
        <v>8051</v>
      </c>
      <c r="F241" s="22">
        <v>171</v>
      </c>
      <c r="G241" s="22" t="s">
        <v>8052</v>
      </c>
      <c r="H241" s="22">
        <v>171</v>
      </c>
      <c r="I241" s="25">
        <v>43194</v>
      </c>
      <c r="J241" s="24">
        <v>43221</v>
      </c>
    </row>
    <row r="242" spans="2:10" x14ac:dyDescent="0.2">
      <c r="B242" s="22">
        <v>237</v>
      </c>
      <c r="C242" s="21" t="s">
        <v>8053</v>
      </c>
      <c r="D242" s="21" t="s">
        <v>4259</v>
      </c>
      <c r="E242" s="20" t="s">
        <v>8054</v>
      </c>
      <c r="F242" s="22">
        <v>52</v>
      </c>
      <c r="G242" s="22" t="s">
        <v>8055</v>
      </c>
      <c r="H242" s="22">
        <v>25</v>
      </c>
      <c r="I242" s="25">
        <v>43390</v>
      </c>
      <c r="J242" s="22" t="s">
        <v>558</v>
      </c>
    </row>
    <row r="243" spans="2:10" x14ac:dyDescent="0.2">
      <c r="B243" s="22">
        <v>238</v>
      </c>
      <c r="C243" s="21" t="s">
        <v>8056</v>
      </c>
      <c r="D243" s="21" t="s">
        <v>1015</v>
      </c>
      <c r="E243" s="20" t="s">
        <v>8057</v>
      </c>
      <c r="F243" s="22">
        <v>61</v>
      </c>
      <c r="G243" s="22" t="s">
        <v>8058</v>
      </c>
      <c r="H243" s="22">
        <v>3</v>
      </c>
      <c r="I243" s="25">
        <v>43180</v>
      </c>
      <c r="J243" s="24">
        <v>43312</v>
      </c>
    </row>
    <row r="244" spans="2:10" x14ac:dyDescent="0.2">
      <c r="B244" s="22">
        <v>239</v>
      </c>
      <c r="C244" s="21" t="s">
        <v>8059</v>
      </c>
      <c r="D244" s="21" t="s">
        <v>1217</v>
      </c>
      <c r="E244" s="20" t="s">
        <v>8060</v>
      </c>
      <c r="F244" s="22">
        <v>88</v>
      </c>
      <c r="G244" s="22" t="s">
        <v>8061</v>
      </c>
      <c r="H244" s="22">
        <v>88</v>
      </c>
      <c r="I244" s="25">
        <v>43138</v>
      </c>
      <c r="J244" s="24">
        <v>43165</v>
      </c>
    </row>
    <row r="245" spans="2:10" x14ac:dyDescent="0.2">
      <c r="B245" s="22">
        <v>240</v>
      </c>
      <c r="C245" s="21" t="s">
        <v>8062</v>
      </c>
      <c r="D245" s="21" t="s">
        <v>1039</v>
      </c>
      <c r="E245" s="20" t="s">
        <v>8063</v>
      </c>
      <c r="F245" s="22">
        <v>75</v>
      </c>
      <c r="G245" s="22" t="s">
        <v>8064</v>
      </c>
      <c r="H245" s="22">
        <v>1</v>
      </c>
      <c r="I245" s="25">
        <v>43327</v>
      </c>
      <c r="J245" s="24">
        <v>43445</v>
      </c>
    </row>
    <row r="246" spans="2:10" x14ac:dyDescent="0.2">
      <c r="B246" s="22">
        <v>241</v>
      </c>
      <c r="C246" s="21" t="s">
        <v>8065</v>
      </c>
      <c r="D246" s="21" t="s">
        <v>1415</v>
      </c>
      <c r="E246" s="20" t="s">
        <v>8066</v>
      </c>
      <c r="F246" s="22">
        <v>139</v>
      </c>
      <c r="G246" s="22" t="s">
        <v>8067</v>
      </c>
      <c r="H246" s="22">
        <v>139</v>
      </c>
      <c r="I246" s="25">
        <v>43348</v>
      </c>
      <c r="J246" s="24">
        <v>43361</v>
      </c>
    </row>
    <row r="247" spans="2:10" x14ac:dyDescent="0.2">
      <c r="B247" s="22">
        <v>242</v>
      </c>
      <c r="C247" s="21" t="s">
        <v>8068</v>
      </c>
      <c r="D247" s="21" t="s">
        <v>1204</v>
      </c>
      <c r="E247" s="20" t="s">
        <v>8069</v>
      </c>
      <c r="F247" s="22">
        <v>121</v>
      </c>
      <c r="G247" s="22" t="s">
        <v>8070</v>
      </c>
      <c r="H247" s="22">
        <v>121</v>
      </c>
      <c r="I247" s="25">
        <v>43355</v>
      </c>
      <c r="J247" s="24">
        <v>43361</v>
      </c>
    </row>
    <row r="248" spans="2:10" x14ac:dyDescent="0.2">
      <c r="B248" s="22">
        <v>243</v>
      </c>
      <c r="C248" s="21" t="s">
        <v>8071</v>
      </c>
      <c r="D248" s="21" t="s">
        <v>740</v>
      </c>
      <c r="E248" s="20" t="s">
        <v>8072</v>
      </c>
      <c r="F248" s="22">
        <v>204</v>
      </c>
      <c r="G248" s="22" t="s">
        <v>8073</v>
      </c>
      <c r="H248" s="22">
        <v>120</v>
      </c>
      <c r="I248" s="25">
        <v>43264</v>
      </c>
      <c r="J248" s="24">
        <v>43298</v>
      </c>
    </row>
    <row r="249" spans="2:10" x14ac:dyDescent="0.2">
      <c r="B249" s="22">
        <v>244</v>
      </c>
      <c r="C249" s="21" t="s">
        <v>8074</v>
      </c>
      <c r="D249" s="21" t="s">
        <v>820</v>
      </c>
      <c r="E249" s="20" t="s">
        <v>8075</v>
      </c>
      <c r="F249" s="22">
        <v>139</v>
      </c>
      <c r="G249" s="22" t="s">
        <v>8076</v>
      </c>
      <c r="H249" s="22">
        <v>4</v>
      </c>
      <c r="I249" s="25">
        <v>43355</v>
      </c>
      <c r="J249" s="24">
        <v>43410</v>
      </c>
    </row>
    <row r="250" spans="2:10" x14ac:dyDescent="0.2">
      <c r="B250" s="22">
        <v>245</v>
      </c>
      <c r="C250" s="21" t="s">
        <v>8077</v>
      </c>
      <c r="D250" s="21" t="s">
        <v>1210</v>
      </c>
      <c r="E250" s="20" t="s">
        <v>8078</v>
      </c>
      <c r="F250" s="22">
        <v>20</v>
      </c>
      <c r="G250" s="22" t="s">
        <v>8079</v>
      </c>
      <c r="H250" s="22">
        <v>20</v>
      </c>
      <c r="I250" s="25">
        <v>43446</v>
      </c>
      <c r="J250" s="24">
        <v>43115</v>
      </c>
    </row>
    <row r="251" spans="2:10" x14ac:dyDescent="0.2">
      <c r="B251" s="22">
        <v>246</v>
      </c>
      <c r="C251" s="21" t="s">
        <v>8080</v>
      </c>
      <c r="D251" s="21" t="s">
        <v>638</v>
      </c>
      <c r="E251" s="20" t="s">
        <v>8081</v>
      </c>
      <c r="F251" s="22">
        <v>337</v>
      </c>
      <c r="G251" s="22" t="s">
        <v>8082</v>
      </c>
      <c r="H251" s="22">
        <v>337</v>
      </c>
      <c r="I251" s="25">
        <v>43348</v>
      </c>
      <c r="J251" s="24">
        <v>43354</v>
      </c>
    </row>
    <row r="252" spans="2:10" x14ac:dyDescent="0.2">
      <c r="B252" s="22">
        <v>247</v>
      </c>
      <c r="C252" s="21" t="s">
        <v>8083</v>
      </c>
      <c r="D252" s="21" t="s">
        <v>1235</v>
      </c>
      <c r="E252" s="20" t="s">
        <v>8084</v>
      </c>
      <c r="F252" s="22">
        <v>27</v>
      </c>
      <c r="G252" s="22" t="s">
        <v>8085</v>
      </c>
      <c r="H252" s="22">
        <v>27</v>
      </c>
      <c r="I252" s="25">
        <v>43138</v>
      </c>
      <c r="J252" s="24">
        <v>43161</v>
      </c>
    </row>
    <row r="253" spans="2:10" x14ac:dyDescent="0.2">
      <c r="B253" s="22">
        <v>248</v>
      </c>
      <c r="C253" s="21" t="s">
        <v>8086</v>
      </c>
      <c r="D253" s="21" t="s">
        <v>8087</v>
      </c>
      <c r="E253" s="20" t="s">
        <v>8088</v>
      </c>
      <c r="F253" s="22">
        <v>617</v>
      </c>
      <c r="G253" s="22" t="s">
        <v>8089</v>
      </c>
      <c r="H253" s="22">
        <v>617</v>
      </c>
      <c r="I253" s="25">
        <v>43397</v>
      </c>
      <c r="J253" s="24">
        <v>43424</v>
      </c>
    </row>
    <row r="254" spans="2:10" x14ac:dyDescent="0.2">
      <c r="B254" s="22">
        <v>249</v>
      </c>
      <c r="C254" s="21" t="s">
        <v>8090</v>
      </c>
      <c r="D254" s="21" t="s">
        <v>4583</v>
      </c>
      <c r="E254" s="20" t="s">
        <v>8091</v>
      </c>
      <c r="F254" s="22">
        <v>231</v>
      </c>
      <c r="G254" s="22" t="s">
        <v>8092</v>
      </c>
      <c r="H254" s="22">
        <v>231</v>
      </c>
      <c r="I254" s="25">
        <v>43411</v>
      </c>
      <c r="J254" s="24">
        <v>43427</v>
      </c>
    </row>
    <row r="255" spans="2:10" x14ac:dyDescent="0.2">
      <c r="B255" s="22">
        <v>250</v>
      </c>
      <c r="C255" s="21" t="s">
        <v>8093</v>
      </c>
      <c r="D255" s="21" t="s">
        <v>1377</v>
      </c>
      <c r="E255" s="20" t="s">
        <v>8094</v>
      </c>
      <c r="F255" s="22">
        <v>97</v>
      </c>
      <c r="G255" s="22" t="s">
        <v>8095</v>
      </c>
      <c r="H255" s="22">
        <v>97</v>
      </c>
      <c r="I255" s="25">
        <v>43152</v>
      </c>
      <c r="J255" s="24">
        <v>43175</v>
      </c>
    </row>
    <row r="256" spans="2:10" x14ac:dyDescent="0.2">
      <c r="B256" s="22">
        <v>251</v>
      </c>
      <c r="C256" s="21" t="s">
        <v>8096</v>
      </c>
      <c r="D256" s="21" t="s">
        <v>830</v>
      </c>
      <c r="E256" s="20" t="s">
        <v>8097</v>
      </c>
      <c r="F256" s="22">
        <v>129</v>
      </c>
      <c r="G256" s="22" t="s">
        <v>8098</v>
      </c>
      <c r="H256" s="22">
        <v>4</v>
      </c>
      <c r="I256" s="25">
        <v>43192</v>
      </c>
      <c r="J256" s="24">
        <v>43235</v>
      </c>
    </row>
    <row r="257" spans="2:10" x14ac:dyDescent="0.2">
      <c r="B257" s="22">
        <v>252</v>
      </c>
      <c r="C257" s="21" t="s">
        <v>8099</v>
      </c>
      <c r="D257" s="21" t="s">
        <v>1576</v>
      </c>
      <c r="E257" s="20" t="s">
        <v>8100</v>
      </c>
      <c r="F257" s="22">
        <v>136</v>
      </c>
      <c r="G257" s="22" t="s">
        <v>8101</v>
      </c>
      <c r="H257" s="22">
        <v>102</v>
      </c>
      <c r="I257" s="25">
        <v>43285</v>
      </c>
      <c r="J257" s="24">
        <v>43301</v>
      </c>
    </row>
    <row r="258" spans="2:10" x14ac:dyDescent="0.2">
      <c r="B258" s="22">
        <v>253</v>
      </c>
      <c r="C258" s="21" t="s">
        <v>8102</v>
      </c>
      <c r="D258" s="21" t="s">
        <v>5638</v>
      </c>
      <c r="E258" s="20" t="s">
        <v>8103</v>
      </c>
      <c r="F258" s="22">
        <v>82</v>
      </c>
      <c r="G258" s="22" t="s">
        <v>8104</v>
      </c>
      <c r="H258" s="22">
        <v>8</v>
      </c>
      <c r="I258" s="25">
        <v>43334</v>
      </c>
      <c r="J258" s="24">
        <v>43389</v>
      </c>
    </row>
    <row r="259" spans="2:10" x14ac:dyDescent="0.2">
      <c r="B259" s="22">
        <v>254</v>
      </c>
      <c r="C259" s="21" t="s">
        <v>8105</v>
      </c>
      <c r="D259" s="21" t="s">
        <v>820</v>
      </c>
      <c r="E259" s="20" t="s">
        <v>8106</v>
      </c>
      <c r="F259" s="22">
        <v>67</v>
      </c>
      <c r="G259" s="22" t="s">
        <v>8107</v>
      </c>
      <c r="H259" s="22">
        <v>4</v>
      </c>
      <c r="I259" s="25">
        <v>43362</v>
      </c>
      <c r="J259" s="24">
        <v>43431</v>
      </c>
    </row>
    <row r="260" spans="2:10" x14ac:dyDescent="0.2">
      <c r="B260" s="22">
        <v>255</v>
      </c>
      <c r="C260" s="21" t="s">
        <v>8108</v>
      </c>
      <c r="D260" s="21" t="s">
        <v>1039</v>
      </c>
      <c r="E260" s="20" t="s">
        <v>8109</v>
      </c>
      <c r="F260" s="22">
        <v>59</v>
      </c>
      <c r="G260" s="22" t="s">
        <v>8110</v>
      </c>
      <c r="H260" s="22">
        <v>6</v>
      </c>
      <c r="I260" s="25">
        <v>43369</v>
      </c>
      <c r="J260" s="24">
        <v>43459</v>
      </c>
    </row>
    <row r="261" spans="2:10" x14ac:dyDescent="0.2">
      <c r="B261" s="22">
        <v>256</v>
      </c>
      <c r="C261" s="21" t="s">
        <v>8111</v>
      </c>
      <c r="D261" s="21" t="s">
        <v>1532</v>
      </c>
      <c r="E261" s="20" t="s">
        <v>8112</v>
      </c>
      <c r="F261" s="22">
        <v>19</v>
      </c>
      <c r="G261" s="22" t="s">
        <v>1159</v>
      </c>
      <c r="H261" s="22" t="s">
        <v>1159</v>
      </c>
      <c r="I261" s="25">
        <v>43425</v>
      </c>
      <c r="J261" s="24">
        <v>43353</v>
      </c>
    </row>
    <row r="262" spans="2:10" x14ac:dyDescent="0.2">
      <c r="B262" s="22">
        <v>257</v>
      </c>
      <c r="C262" s="21" t="s">
        <v>8113</v>
      </c>
      <c r="D262" s="21" t="s">
        <v>4460</v>
      </c>
      <c r="E262" s="20" t="s">
        <v>8114</v>
      </c>
      <c r="F262" s="22">
        <v>25</v>
      </c>
      <c r="G262" s="22" t="s">
        <v>8115</v>
      </c>
      <c r="H262" s="22">
        <v>2</v>
      </c>
      <c r="I262" s="25">
        <v>43348</v>
      </c>
      <c r="J262" s="24">
        <v>43157</v>
      </c>
    </row>
    <row r="263" spans="2:10" x14ac:dyDescent="0.2">
      <c r="B263" s="22">
        <v>258</v>
      </c>
      <c r="C263" s="21" t="s">
        <v>8116</v>
      </c>
      <c r="D263" s="21" t="s">
        <v>1043</v>
      </c>
      <c r="E263" s="20" t="s">
        <v>8117</v>
      </c>
      <c r="F263" s="22">
        <v>266</v>
      </c>
      <c r="G263" s="22" t="s">
        <v>8118</v>
      </c>
      <c r="H263" s="22">
        <v>266</v>
      </c>
      <c r="I263" s="25">
        <v>43152</v>
      </c>
      <c r="J263" s="24">
        <v>43165</v>
      </c>
    </row>
    <row r="264" spans="2:10" x14ac:dyDescent="0.2">
      <c r="B264" s="22">
        <v>259</v>
      </c>
      <c r="C264" s="21" t="s">
        <v>8119</v>
      </c>
      <c r="D264" s="21" t="s">
        <v>1210</v>
      </c>
      <c r="E264" s="20" t="s">
        <v>8120</v>
      </c>
      <c r="F264" s="22">
        <v>20</v>
      </c>
      <c r="G264" s="22" t="s">
        <v>8121</v>
      </c>
      <c r="H264" s="22">
        <v>20</v>
      </c>
      <c r="I264" s="25">
        <v>43348</v>
      </c>
      <c r="J264" s="24">
        <v>43389</v>
      </c>
    </row>
    <row r="265" spans="2:10" x14ac:dyDescent="0.2">
      <c r="B265" s="22">
        <v>260</v>
      </c>
      <c r="C265" s="21" t="s">
        <v>8122</v>
      </c>
      <c r="D265" s="21" t="s">
        <v>1210</v>
      </c>
      <c r="E265" s="20" t="s">
        <v>8123</v>
      </c>
      <c r="F265" s="22">
        <v>12</v>
      </c>
      <c r="G265" s="22" t="s">
        <v>8124</v>
      </c>
      <c r="H265" s="22">
        <v>9</v>
      </c>
      <c r="I265" s="25">
        <v>43145</v>
      </c>
      <c r="J265" s="24">
        <v>43186</v>
      </c>
    </row>
    <row r="266" spans="2:10" x14ac:dyDescent="0.2">
      <c r="B266" s="22">
        <v>261</v>
      </c>
      <c r="C266" s="21" t="s">
        <v>8125</v>
      </c>
      <c r="D266" s="21" t="s">
        <v>1294</v>
      </c>
      <c r="E266" s="20" t="s">
        <v>8126</v>
      </c>
      <c r="F266" s="22">
        <v>73</v>
      </c>
      <c r="G266" s="22" t="s">
        <v>8127</v>
      </c>
      <c r="H266" s="22">
        <v>6</v>
      </c>
      <c r="I266" s="25">
        <v>43243</v>
      </c>
      <c r="J266" s="24">
        <v>43312</v>
      </c>
    </row>
    <row r="267" spans="2:10" x14ac:dyDescent="0.2">
      <c r="B267" s="22">
        <v>262</v>
      </c>
      <c r="C267" s="21" t="s">
        <v>8128</v>
      </c>
      <c r="D267" s="21" t="s">
        <v>4383</v>
      </c>
      <c r="E267" s="20" t="s">
        <v>8129</v>
      </c>
      <c r="F267" s="22">
        <v>19</v>
      </c>
      <c r="G267" s="22" t="s">
        <v>8130</v>
      </c>
      <c r="H267" s="22">
        <v>1</v>
      </c>
      <c r="I267" s="25">
        <v>43439</v>
      </c>
      <c r="J267" s="24">
        <v>43395</v>
      </c>
    </row>
    <row r="268" spans="2:10" x14ac:dyDescent="0.2">
      <c r="B268" s="22">
        <v>263</v>
      </c>
      <c r="C268" s="21" t="s">
        <v>8131</v>
      </c>
      <c r="D268" s="21" t="s">
        <v>1594</v>
      </c>
      <c r="E268" s="20" t="s">
        <v>8132</v>
      </c>
      <c r="F268" s="22">
        <v>39</v>
      </c>
      <c r="G268" s="22" t="s">
        <v>8133</v>
      </c>
      <c r="H268" s="22">
        <v>5</v>
      </c>
      <c r="I268" s="25">
        <v>43215</v>
      </c>
      <c r="J268" s="24">
        <v>43270</v>
      </c>
    </row>
    <row r="269" spans="2:10" x14ac:dyDescent="0.2">
      <c r="B269" s="22">
        <v>264</v>
      </c>
      <c r="C269" s="21" t="s">
        <v>8134</v>
      </c>
      <c r="D269" s="21" t="s">
        <v>1235</v>
      </c>
      <c r="E269" s="20" t="s">
        <v>8135</v>
      </c>
      <c r="F269" s="22">
        <v>25</v>
      </c>
      <c r="G269" s="22" t="s">
        <v>8136</v>
      </c>
      <c r="H269" s="22">
        <v>1</v>
      </c>
      <c r="I269" s="25">
        <v>43348</v>
      </c>
      <c r="J269" s="24">
        <v>43378</v>
      </c>
    </row>
    <row r="270" spans="2:10" x14ac:dyDescent="0.2">
      <c r="B270" s="22">
        <v>265</v>
      </c>
      <c r="C270" s="21" t="s">
        <v>8137</v>
      </c>
      <c r="D270" s="21" t="s">
        <v>1532</v>
      </c>
      <c r="E270" s="20" t="s">
        <v>8138</v>
      </c>
      <c r="F270" s="22">
        <v>7</v>
      </c>
      <c r="G270" s="22" t="s">
        <v>1159</v>
      </c>
      <c r="H270" s="22" t="s">
        <v>1159</v>
      </c>
      <c r="I270" s="25">
        <v>43397</v>
      </c>
      <c r="J270" s="24">
        <v>43213</v>
      </c>
    </row>
    <row r="271" spans="2:10" x14ac:dyDescent="0.2">
      <c r="B271" s="22">
        <v>266</v>
      </c>
      <c r="C271" s="21" t="s">
        <v>8139</v>
      </c>
      <c r="D271" s="21" t="s">
        <v>1217</v>
      </c>
      <c r="E271" s="20" t="s">
        <v>8140</v>
      </c>
      <c r="F271" s="22">
        <v>101</v>
      </c>
      <c r="G271" s="22" t="s">
        <v>8140</v>
      </c>
      <c r="H271" s="22">
        <v>101</v>
      </c>
      <c r="I271" s="25">
        <v>43292</v>
      </c>
      <c r="J271" s="24">
        <v>43294</v>
      </c>
    </row>
    <row r="272" spans="2:10" x14ac:dyDescent="0.2">
      <c r="B272" s="22">
        <v>267</v>
      </c>
      <c r="C272" s="21" t="s">
        <v>8141</v>
      </c>
      <c r="D272" s="21" t="s">
        <v>1210</v>
      </c>
      <c r="E272" s="20" t="s">
        <v>8142</v>
      </c>
      <c r="F272" s="22">
        <v>27</v>
      </c>
      <c r="G272" s="22" t="s">
        <v>8143</v>
      </c>
      <c r="H272" s="22">
        <v>26</v>
      </c>
      <c r="I272" s="25">
        <v>43430</v>
      </c>
      <c r="J272" s="24">
        <v>43111</v>
      </c>
    </row>
    <row r="273" spans="2:10" x14ac:dyDescent="0.2">
      <c r="B273" s="22">
        <v>268</v>
      </c>
      <c r="C273" s="21" t="s">
        <v>8144</v>
      </c>
      <c r="D273" s="21" t="s">
        <v>1294</v>
      </c>
      <c r="E273" s="20" t="s">
        <v>8145</v>
      </c>
      <c r="F273" s="22">
        <v>45</v>
      </c>
      <c r="G273" s="22" t="s">
        <v>8146</v>
      </c>
      <c r="H273" s="22">
        <v>2</v>
      </c>
      <c r="I273" s="25">
        <v>43271</v>
      </c>
      <c r="J273" s="24">
        <v>43322</v>
      </c>
    </row>
    <row r="274" spans="2:10" x14ac:dyDescent="0.2">
      <c r="B274" s="22">
        <v>269</v>
      </c>
      <c r="C274" s="21" t="s">
        <v>8147</v>
      </c>
      <c r="D274" s="21" t="s">
        <v>1043</v>
      </c>
      <c r="E274" s="20" t="s">
        <v>8148</v>
      </c>
      <c r="F274" s="22">
        <v>48</v>
      </c>
      <c r="G274" s="22" t="s">
        <v>8149</v>
      </c>
      <c r="H274" s="22">
        <v>48</v>
      </c>
      <c r="I274" s="25">
        <v>43201</v>
      </c>
      <c r="J274" s="24">
        <v>43242</v>
      </c>
    </row>
    <row r="275" spans="2:10" x14ac:dyDescent="0.2">
      <c r="B275" s="22">
        <v>270</v>
      </c>
      <c r="C275" s="21" t="s">
        <v>8150</v>
      </c>
      <c r="D275" s="21" t="s">
        <v>4580</v>
      </c>
      <c r="E275" s="20" t="s">
        <v>8151</v>
      </c>
      <c r="F275" s="22">
        <v>18</v>
      </c>
      <c r="G275" s="22" t="s">
        <v>8152</v>
      </c>
      <c r="H275" s="22">
        <v>10</v>
      </c>
      <c r="I275" s="25">
        <v>43397</v>
      </c>
      <c r="J275" s="24">
        <v>43101</v>
      </c>
    </row>
    <row r="276" spans="2:10" x14ac:dyDescent="0.2">
      <c r="B276" s="22">
        <v>271</v>
      </c>
      <c r="C276" s="21" t="s">
        <v>8153</v>
      </c>
      <c r="D276" s="21" t="s">
        <v>6165</v>
      </c>
      <c r="E276" s="20" t="s">
        <v>8154</v>
      </c>
      <c r="F276" s="22">
        <v>53</v>
      </c>
      <c r="G276" s="22" t="s">
        <v>8155</v>
      </c>
      <c r="H276" s="22">
        <v>53</v>
      </c>
      <c r="I276" s="25">
        <v>43152</v>
      </c>
      <c r="J276" s="24">
        <v>43161</v>
      </c>
    </row>
    <row r="277" spans="2:10" x14ac:dyDescent="0.2">
      <c r="B277" s="22">
        <v>272</v>
      </c>
      <c r="C277" s="21" t="s">
        <v>8156</v>
      </c>
      <c r="D277" s="21" t="s">
        <v>1294</v>
      </c>
      <c r="E277" s="20" t="s">
        <v>8157</v>
      </c>
      <c r="F277" s="22">
        <v>42</v>
      </c>
      <c r="G277" s="22" t="s">
        <v>8158</v>
      </c>
      <c r="H277" s="22">
        <v>3</v>
      </c>
      <c r="I277" s="25">
        <v>43166</v>
      </c>
      <c r="J277" s="24">
        <v>43214</v>
      </c>
    </row>
    <row r="278" spans="2:10" x14ac:dyDescent="0.2">
      <c r="B278" s="22">
        <v>273</v>
      </c>
      <c r="C278" s="21" t="s">
        <v>8159</v>
      </c>
      <c r="D278" s="21" t="s">
        <v>1175</v>
      </c>
      <c r="E278" s="20" t="s">
        <v>8160</v>
      </c>
      <c r="F278" s="22">
        <v>19</v>
      </c>
      <c r="G278" s="22" t="s">
        <v>8161</v>
      </c>
      <c r="H278" s="22">
        <v>1</v>
      </c>
      <c r="I278" s="25">
        <v>43271</v>
      </c>
      <c r="J278" s="24">
        <v>43329</v>
      </c>
    </row>
    <row r="279" spans="2:10" x14ac:dyDescent="0.2">
      <c r="B279" s="22">
        <v>274</v>
      </c>
      <c r="C279" s="21" t="s">
        <v>8162</v>
      </c>
      <c r="D279" s="21" t="s">
        <v>8163</v>
      </c>
      <c r="E279" s="20" t="s">
        <v>8164</v>
      </c>
      <c r="F279" s="22">
        <v>75</v>
      </c>
      <c r="G279" s="22" t="s">
        <v>8165</v>
      </c>
      <c r="H279" s="22">
        <v>34</v>
      </c>
      <c r="I279" s="25">
        <v>43369</v>
      </c>
      <c r="J279" s="24">
        <v>43389</v>
      </c>
    </row>
    <row r="280" spans="2:10" x14ac:dyDescent="0.2">
      <c r="B280" s="22">
        <v>275</v>
      </c>
      <c r="C280" s="21" t="s">
        <v>8166</v>
      </c>
      <c r="D280" s="21" t="s">
        <v>1175</v>
      </c>
      <c r="E280" s="20" t="s">
        <v>8167</v>
      </c>
      <c r="F280" s="22">
        <v>29</v>
      </c>
      <c r="G280" s="22" t="s">
        <v>8168</v>
      </c>
      <c r="H280" s="22">
        <v>2</v>
      </c>
      <c r="I280" s="25">
        <v>43236</v>
      </c>
      <c r="J280" s="24">
        <v>43298</v>
      </c>
    </row>
    <row r="281" spans="2:10" x14ac:dyDescent="0.2">
      <c r="B281" s="22">
        <v>276</v>
      </c>
      <c r="C281" s="21" t="s">
        <v>8169</v>
      </c>
      <c r="D281" s="21" t="s">
        <v>830</v>
      </c>
      <c r="E281" s="20" t="s">
        <v>8170</v>
      </c>
      <c r="F281" s="22">
        <v>122</v>
      </c>
      <c r="G281" s="22" t="s">
        <v>8171</v>
      </c>
      <c r="H281" s="22">
        <v>4</v>
      </c>
      <c r="I281" s="25">
        <v>43299</v>
      </c>
      <c r="J281" s="24">
        <v>43333</v>
      </c>
    </row>
    <row r="282" spans="2:10" x14ac:dyDescent="0.2">
      <c r="B282" s="22">
        <v>277</v>
      </c>
      <c r="C282" s="21" t="s">
        <v>8172</v>
      </c>
      <c r="D282" s="21" t="s">
        <v>1294</v>
      </c>
      <c r="E282" s="20" t="s">
        <v>8173</v>
      </c>
      <c r="F282" s="22">
        <v>35</v>
      </c>
      <c r="G282" s="22" t="s">
        <v>8174</v>
      </c>
      <c r="H282" s="22">
        <v>2</v>
      </c>
      <c r="I282" s="25">
        <v>43117</v>
      </c>
      <c r="J282" s="24">
        <v>43193</v>
      </c>
    </row>
    <row r="283" spans="2:10" x14ac:dyDescent="0.2">
      <c r="B283" s="22">
        <v>278</v>
      </c>
      <c r="C283" s="21" t="s">
        <v>8175</v>
      </c>
      <c r="D283" s="21" t="s">
        <v>5974</v>
      </c>
      <c r="E283" s="20" t="s">
        <v>8176</v>
      </c>
      <c r="F283" s="22">
        <v>53</v>
      </c>
      <c r="G283" s="22" t="s">
        <v>8177</v>
      </c>
      <c r="H283" s="22">
        <v>19</v>
      </c>
      <c r="I283" s="25">
        <v>43360</v>
      </c>
      <c r="J283" s="24">
        <v>43399</v>
      </c>
    </row>
    <row r="284" spans="2:10" x14ac:dyDescent="0.2">
      <c r="B284" s="22">
        <v>279</v>
      </c>
      <c r="C284" s="21" t="s">
        <v>8178</v>
      </c>
      <c r="D284" s="21" t="s">
        <v>1294</v>
      </c>
      <c r="E284" s="20" t="s">
        <v>8179</v>
      </c>
      <c r="F284" s="22">
        <v>41</v>
      </c>
      <c r="G284" s="22" t="s">
        <v>8180</v>
      </c>
      <c r="H284" s="22">
        <v>2</v>
      </c>
      <c r="I284" s="25">
        <v>43152</v>
      </c>
      <c r="J284" s="24">
        <v>43214</v>
      </c>
    </row>
    <row r="285" spans="2:10" x14ac:dyDescent="0.2">
      <c r="B285" s="22">
        <v>280</v>
      </c>
      <c r="C285" s="21" t="s">
        <v>8181</v>
      </c>
      <c r="D285" s="21" t="s">
        <v>1039</v>
      </c>
      <c r="E285" s="20" t="s">
        <v>8182</v>
      </c>
      <c r="F285" s="22">
        <v>31</v>
      </c>
      <c r="G285" s="22" t="s">
        <v>8183</v>
      </c>
      <c r="H285" s="22">
        <v>30</v>
      </c>
      <c r="I285" s="25">
        <v>43194</v>
      </c>
      <c r="J285" s="24">
        <v>43270</v>
      </c>
    </row>
    <row r="286" spans="2:10" x14ac:dyDescent="0.2">
      <c r="B286" s="22">
        <v>281</v>
      </c>
      <c r="C286" s="21" t="s">
        <v>8184</v>
      </c>
      <c r="D286" s="21" t="s">
        <v>1804</v>
      </c>
      <c r="E286" s="20" t="s">
        <v>8185</v>
      </c>
      <c r="F286" s="22">
        <v>16</v>
      </c>
      <c r="G286" s="22" t="s">
        <v>8186</v>
      </c>
      <c r="H286" s="22">
        <v>2</v>
      </c>
      <c r="I286" s="25">
        <v>43124</v>
      </c>
      <c r="J286" s="24">
        <v>43228</v>
      </c>
    </row>
    <row r="287" spans="2:10" x14ac:dyDescent="0.2">
      <c r="B287" s="22">
        <v>282</v>
      </c>
      <c r="C287" s="21" t="s">
        <v>8187</v>
      </c>
      <c r="D287" s="21" t="s">
        <v>1175</v>
      </c>
      <c r="E287" s="20" t="s">
        <v>8188</v>
      </c>
      <c r="F287" s="22">
        <v>32</v>
      </c>
      <c r="G287" s="22" t="s">
        <v>8189</v>
      </c>
      <c r="H287" s="22">
        <v>1</v>
      </c>
      <c r="I287" s="25">
        <v>43173</v>
      </c>
      <c r="J287" s="24">
        <v>43235</v>
      </c>
    </row>
    <row r="288" spans="2:10" x14ac:dyDescent="0.2">
      <c r="B288" s="22">
        <v>283</v>
      </c>
      <c r="C288" s="21" t="s">
        <v>8190</v>
      </c>
      <c r="D288" s="21" t="s">
        <v>1415</v>
      </c>
      <c r="E288" s="20" t="s">
        <v>8191</v>
      </c>
      <c r="F288" s="22">
        <v>129</v>
      </c>
      <c r="G288" s="22" t="s">
        <v>8192</v>
      </c>
      <c r="H288" s="22">
        <v>129</v>
      </c>
      <c r="I288" s="25">
        <v>43425</v>
      </c>
      <c r="J288" s="24">
        <v>43445</v>
      </c>
    </row>
    <row r="289" spans="2:10" x14ac:dyDescent="0.2">
      <c r="B289" s="22">
        <v>284</v>
      </c>
      <c r="C289" s="21" t="s">
        <v>8193</v>
      </c>
      <c r="D289" s="21" t="s">
        <v>2197</v>
      </c>
      <c r="E289" s="20" t="s">
        <v>8194</v>
      </c>
      <c r="F289" s="22">
        <v>57</v>
      </c>
      <c r="G289" s="22" t="s">
        <v>8195</v>
      </c>
      <c r="H289" s="22">
        <v>4</v>
      </c>
      <c r="I289" s="25">
        <v>43229</v>
      </c>
      <c r="J289" s="24">
        <v>43312</v>
      </c>
    </row>
    <row r="290" spans="2:10" x14ac:dyDescent="0.2">
      <c r="B290" s="22">
        <v>285</v>
      </c>
      <c r="C290" s="21" t="s">
        <v>8196</v>
      </c>
      <c r="D290" s="21" t="s">
        <v>8197</v>
      </c>
      <c r="E290" s="20" t="s">
        <v>8198</v>
      </c>
      <c r="F290" s="22">
        <v>16</v>
      </c>
      <c r="G290" s="22" t="s">
        <v>4610</v>
      </c>
      <c r="H290" s="22">
        <v>2</v>
      </c>
      <c r="I290" s="25">
        <v>43355</v>
      </c>
      <c r="J290" s="24">
        <v>43283</v>
      </c>
    </row>
    <row r="291" spans="2:10" x14ac:dyDescent="0.2">
      <c r="B291" s="22">
        <v>286</v>
      </c>
      <c r="C291" s="21" t="s">
        <v>8199</v>
      </c>
      <c r="D291" s="21" t="s">
        <v>1213</v>
      </c>
      <c r="E291" s="20" t="s">
        <v>8200</v>
      </c>
      <c r="F291" s="22">
        <v>20</v>
      </c>
      <c r="G291" s="22" t="s">
        <v>8201</v>
      </c>
      <c r="H291" s="22">
        <v>1</v>
      </c>
      <c r="I291" s="25">
        <v>43299</v>
      </c>
      <c r="J291" s="24">
        <v>43375</v>
      </c>
    </row>
    <row r="292" spans="2:10" x14ac:dyDescent="0.2">
      <c r="B292" s="22">
        <v>287</v>
      </c>
      <c r="C292" s="21" t="s">
        <v>8202</v>
      </c>
      <c r="D292" s="21" t="s">
        <v>3627</v>
      </c>
      <c r="E292" s="20" t="s">
        <v>8203</v>
      </c>
      <c r="F292" s="22">
        <v>37</v>
      </c>
      <c r="G292" s="22" t="s">
        <v>8204</v>
      </c>
      <c r="H292" s="22">
        <v>2</v>
      </c>
      <c r="I292" s="25">
        <v>43299</v>
      </c>
      <c r="J292" s="24">
        <v>43417</v>
      </c>
    </row>
    <row r="293" spans="2:10" x14ac:dyDescent="0.2">
      <c r="B293" s="22">
        <v>288</v>
      </c>
      <c r="C293" s="21" t="s">
        <v>8205</v>
      </c>
      <c r="D293" s="21" t="s">
        <v>8206</v>
      </c>
      <c r="E293" s="20" t="s">
        <v>8207</v>
      </c>
      <c r="F293" s="22">
        <v>490</v>
      </c>
      <c r="G293" s="22" t="s">
        <v>8208</v>
      </c>
      <c r="H293" s="22">
        <v>490</v>
      </c>
      <c r="I293" s="25">
        <v>43348</v>
      </c>
      <c r="J293" s="24">
        <v>43361</v>
      </c>
    </row>
    <row r="294" spans="2:10" x14ac:dyDescent="0.2">
      <c r="B294" s="22">
        <v>289</v>
      </c>
      <c r="C294" s="21" t="s">
        <v>8209</v>
      </c>
      <c r="D294" s="21" t="s">
        <v>1719</v>
      </c>
      <c r="E294" s="20" t="s">
        <v>8210</v>
      </c>
      <c r="F294" s="22">
        <v>15</v>
      </c>
      <c r="G294" s="22" t="s">
        <v>8211</v>
      </c>
      <c r="H294" s="22">
        <v>2</v>
      </c>
      <c r="I294" s="25">
        <v>43243</v>
      </c>
      <c r="J294" s="24">
        <v>43340</v>
      </c>
    </row>
    <row r="295" spans="2:10" x14ac:dyDescent="0.2">
      <c r="B295" s="22">
        <v>290</v>
      </c>
      <c r="C295" s="21" t="s">
        <v>8212</v>
      </c>
      <c r="D295" s="21" t="s">
        <v>1213</v>
      </c>
      <c r="E295" s="20" t="s">
        <v>8213</v>
      </c>
      <c r="F295" s="22">
        <v>30</v>
      </c>
      <c r="G295" s="22" t="s">
        <v>8214</v>
      </c>
      <c r="H295" s="22">
        <v>8</v>
      </c>
      <c r="I295" s="25">
        <v>43432</v>
      </c>
      <c r="J295" s="24">
        <v>43185</v>
      </c>
    </row>
    <row r="296" spans="2:10" x14ac:dyDescent="0.2">
      <c r="B296" s="22">
        <v>291</v>
      </c>
      <c r="C296" s="21" t="s">
        <v>8215</v>
      </c>
      <c r="D296" s="21" t="s">
        <v>1594</v>
      </c>
      <c r="E296" s="20" t="s">
        <v>8216</v>
      </c>
      <c r="F296" s="22">
        <v>78</v>
      </c>
      <c r="G296" s="22" t="s">
        <v>8217</v>
      </c>
      <c r="H296" s="22">
        <v>2</v>
      </c>
      <c r="I296" s="25">
        <v>43341</v>
      </c>
      <c r="J296" s="24">
        <v>43361</v>
      </c>
    </row>
    <row r="297" spans="2:10" x14ac:dyDescent="0.2">
      <c r="B297" s="22">
        <v>292</v>
      </c>
      <c r="C297" s="21" t="s">
        <v>8218</v>
      </c>
      <c r="D297" s="21" t="s">
        <v>7800</v>
      </c>
      <c r="E297" s="20" t="s">
        <v>8219</v>
      </c>
      <c r="F297" s="22">
        <v>34</v>
      </c>
      <c r="G297" s="22" t="s">
        <v>8220</v>
      </c>
      <c r="H297" s="22">
        <v>34</v>
      </c>
      <c r="I297" s="25">
        <v>43411</v>
      </c>
      <c r="J297" s="24">
        <v>43101</v>
      </c>
    </row>
    <row r="298" spans="2:10" x14ac:dyDescent="0.2">
      <c r="B298" s="22">
        <v>293</v>
      </c>
      <c r="C298" s="21" t="s">
        <v>8221</v>
      </c>
      <c r="D298" s="21" t="s">
        <v>1235</v>
      </c>
      <c r="E298" s="20" t="s">
        <v>8222</v>
      </c>
      <c r="F298" s="22">
        <v>28</v>
      </c>
      <c r="G298" s="22" t="s">
        <v>8223</v>
      </c>
      <c r="H298" s="22">
        <v>28</v>
      </c>
      <c r="I298" s="25">
        <v>43341</v>
      </c>
      <c r="J298" s="24">
        <v>43368</v>
      </c>
    </row>
    <row r="299" spans="2:10" x14ac:dyDescent="0.2">
      <c r="B299" s="22">
        <v>294</v>
      </c>
      <c r="C299" s="21" t="s">
        <v>8224</v>
      </c>
      <c r="D299" s="21" t="s">
        <v>3627</v>
      </c>
      <c r="E299" s="20" t="s">
        <v>8225</v>
      </c>
      <c r="F299" s="22">
        <v>28</v>
      </c>
      <c r="G299" s="22" t="s">
        <v>8226</v>
      </c>
      <c r="H299" s="22">
        <v>1</v>
      </c>
      <c r="I299" s="25">
        <v>43360</v>
      </c>
      <c r="J299" s="24">
        <v>43115</v>
      </c>
    </row>
    <row r="300" spans="2:10" x14ac:dyDescent="0.2">
      <c r="B300" s="22">
        <v>295</v>
      </c>
      <c r="C300" s="21" t="s">
        <v>8227</v>
      </c>
      <c r="D300" s="21" t="s">
        <v>5638</v>
      </c>
      <c r="E300" s="20" t="s">
        <v>8228</v>
      </c>
      <c r="F300" s="22">
        <v>80</v>
      </c>
      <c r="G300" s="22" t="s">
        <v>8229</v>
      </c>
      <c r="H300" s="22">
        <v>18</v>
      </c>
      <c r="I300" s="25">
        <v>43194</v>
      </c>
      <c r="J300" s="24">
        <v>43284</v>
      </c>
    </row>
    <row r="301" spans="2:10" x14ac:dyDescent="0.2">
      <c r="B301" s="22">
        <v>296</v>
      </c>
      <c r="C301" s="21" t="s">
        <v>8230</v>
      </c>
      <c r="D301" s="21" t="s">
        <v>1415</v>
      </c>
      <c r="E301" s="20" t="s">
        <v>8231</v>
      </c>
      <c r="F301" s="22">
        <v>77</v>
      </c>
      <c r="G301" s="22" t="s">
        <v>8232</v>
      </c>
      <c r="H301" s="22">
        <v>77</v>
      </c>
      <c r="I301" s="25">
        <v>43194</v>
      </c>
      <c r="J301" s="24">
        <v>43214</v>
      </c>
    </row>
    <row r="302" spans="2:10" x14ac:dyDescent="0.2">
      <c r="B302" s="22">
        <v>297</v>
      </c>
      <c r="C302" s="21" t="s">
        <v>8233</v>
      </c>
      <c r="D302" s="21" t="s">
        <v>8234</v>
      </c>
      <c r="E302" s="20" t="s">
        <v>8235</v>
      </c>
      <c r="F302" s="22">
        <v>56</v>
      </c>
      <c r="G302" s="22" t="s">
        <v>8236</v>
      </c>
      <c r="H302" s="22">
        <v>2</v>
      </c>
      <c r="I302" s="25">
        <v>43250</v>
      </c>
      <c r="J302" s="24">
        <v>43368</v>
      </c>
    </row>
    <row r="303" spans="2:10" x14ac:dyDescent="0.2">
      <c r="B303" s="22">
        <v>298</v>
      </c>
      <c r="C303" s="21" t="s">
        <v>8237</v>
      </c>
      <c r="D303" s="21" t="s">
        <v>1210</v>
      </c>
      <c r="E303" s="20" t="s">
        <v>8238</v>
      </c>
      <c r="F303" s="22">
        <v>17</v>
      </c>
      <c r="G303" s="22" t="s">
        <v>8239</v>
      </c>
      <c r="H303" s="22">
        <v>17</v>
      </c>
      <c r="I303" s="25">
        <v>43458</v>
      </c>
      <c r="J303" s="24">
        <v>43129</v>
      </c>
    </row>
    <row r="304" spans="2:10" x14ac:dyDescent="0.2">
      <c r="B304" s="22">
        <v>299</v>
      </c>
      <c r="C304" s="21" t="s">
        <v>8240</v>
      </c>
      <c r="D304" s="21" t="s">
        <v>8241</v>
      </c>
      <c r="E304" s="20" t="s">
        <v>8242</v>
      </c>
      <c r="F304" s="22">
        <v>121</v>
      </c>
      <c r="G304" s="22" t="s">
        <v>8243</v>
      </c>
      <c r="H304" s="22">
        <v>40</v>
      </c>
      <c r="I304" s="25">
        <v>43243</v>
      </c>
      <c r="J304" s="24">
        <v>43273</v>
      </c>
    </row>
    <row r="305" spans="2:10" x14ac:dyDescent="0.2">
      <c r="B305" s="22">
        <v>300</v>
      </c>
      <c r="C305" s="21" t="s">
        <v>8244</v>
      </c>
      <c r="D305" s="21" t="s">
        <v>1043</v>
      </c>
      <c r="E305" s="20" t="s">
        <v>8245</v>
      </c>
      <c r="F305" s="22">
        <v>37</v>
      </c>
      <c r="G305" s="22" t="s">
        <v>8246</v>
      </c>
      <c r="H305" s="22">
        <v>37</v>
      </c>
      <c r="I305" s="25">
        <v>43341</v>
      </c>
      <c r="J305" s="24">
        <v>43368</v>
      </c>
    </row>
    <row r="306" spans="2:10" x14ac:dyDescent="0.2">
      <c r="B306" s="22">
        <v>301</v>
      </c>
      <c r="C306" s="21" t="s">
        <v>8247</v>
      </c>
      <c r="D306" s="21" t="s">
        <v>1559</v>
      </c>
      <c r="E306" s="20" t="s">
        <v>8248</v>
      </c>
      <c r="F306" s="22">
        <v>39</v>
      </c>
      <c r="G306" s="22" t="s">
        <v>8249</v>
      </c>
      <c r="H306" s="22">
        <v>1</v>
      </c>
      <c r="I306" s="25">
        <v>43159</v>
      </c>
      <c r="J306" s="24">
        <v>43221</v>
      </c>
    </row>
    <row r="307" spans="2:10" x14ac:dyDescent="0.2">
      <c r="B307" s="22">
        <v>302</v>
      </c>
      <c r="C307" s="21" t="s">
        <v>8250</v>
      </c>
      <c r="D307" s="21" t="s">
        <v>5638</v>
      </c>
      <c r="E307" s="20" t="s">
        <v>8251</v>
      </c>
      <c r="F307" s="22">
        <v>61</v>
      </c>
      <c r="G307" s="22" t="s">
        <v>8252</v>
      </c>
      <c r="H307" s="22">
        <v>7</v>
      </c>
      <c r="I307" s="25">
        <v>43215</v>
      </c>
      <c r="J307" s="24">
        <v>43277</v>
      </c>
    </row>
    <row r="308" spans="2:10" x14ac:dyDescent="0.2">
      <c r="B308" s="22">
        <v>303</v>
      </c>
      <c r="C308" s="21" t="s">
        <v>8253</v>
      </c>
      <c r="D308" s="21" t="s">
        <v>1213</v>
      </c>
      <c r="E308" s="20" t="s">
        <v>8254</v>
      </c>
      <c r="F308" s="22">
        <v>24</v>
      </c>
      <c r="G308" s="22" t="s">
        <v>8255</v>
      </c>
      <c r="H308" s="22">
        <v>4</v>
      </c>
      <c r="I308" s="25">
        <v>43355</v>
      </c>
      <c r="J308" s="24">
        <v>43431</v>
      </c>
    </row>
    <row r="309" spans="2:10" x14ac:dyDescent="0.2">
      <c r="B309" s="22">
        <v>304</v>
      </c>
      <c r="C309" s="21" t="s">
        <v>8256</v>
      </c>
      <c r="D309" s="21" t="s">
        <v>3810</v>
      </c>
      <c r="E309" s="20" t="s">
        <v>8257</v>
      </c>
      <c r="F309" s="22">
        <v>63</v>
      </c>
      <c r="G309" s="22" t="s">
        <v>8258</v>
      </c>
      <c r="H309" s="22">
        <v>63</v>
      </c>
      <c r="I309" s="25">
        <v>43362</v>
      </c>
      <c r="J309" s="24">
        <v>43396</v>
      </c>
    </row>
    <row r="310" spans="2:10" x14ac:dyDescent="0.2">
      <c r="B310" s="22">
        <v>305</v>
      </c>
      <c r="C310" s="21" t="s">
        <v>8259</v>
      </c>
      <c r="D310" s="21" t="s">
        <v>1415</v>
      </c>
      <c r="E310" s="20" t="s">
        <v>8260</v>
      </c>
      <c r="F310" s="22">
        <v>125</v>
      </c>
      <c r="G310" s="22" t="s">
        <v>8261</v>
      </c>
      <c r="H310" s="22">
        <v>125</v>
      </c>
      <c r="I310" s="25">
        <v>43439</v>
      </c>
      <c r="J310" s="24">
        <v>43452</v>
      </c>
    </row>
    <row r="311" spans="2:10" x14ac:dyDescent="0.2">
      <c r="B311" s="22">
        <v>306</v>
      </c>
      <c r="C311" s="21" t="s">
        <v>8262</v>
      </c>
      <c r="D311" s="21" t="s">
        <v>2024</v>
      </c>
      <c r="E311" s="20" t="s">
        <v>8263</v>
      </c>
      <c r="F311" s="22">
        <v>20</v>
      </c>
      <c r="G311" s="22" t="s">
        <v>8264</v>
      </c>
      <c r="H311" s="22">
        <v>1</v>
      </c>
      <c r="I311" s="25">
        <v>43299</v>
      </c>
      <c r="J311" s="24">
        <v>43403</v>
      </c>
    </row>
    <row r="312" spans="2:10" x14ac:dyDescent="0.2">
      <c r="B312" s="22">
        <v>307</v>
      </c>
      <c r="C312" s="21" t="s">
        <v>8265</v>
      </c>
      <c r="D312" s="21" t="s">
        <v>1294</v>
      </c>
      <c r="E312" s="20" t="s">
        <v>8266</v>
      </c>
      <c r="F312" s="22">
        <v>42</v>
      </c>
      <c r="G312" s="22" t="s">
        <v>8267</v>
      </c>
      <c r="H312" s="22">
        <v>3</v>
      </c>
      <c r="I312" s="25">
        <v>43376</v>
      </c>
      <c r="J312" s="24">
        <v>43438</v>
      </c>
    </row>
    <row r="313" spans="2:10" x14ac:dyDescent="0.2">
      <c r="B313" s="22">
        <v>308</v>
      </c>
      <c r="C313" s="21" t="s">
        <v>8268</v>
      </c>
      <c r="D313" s="21" t="s">
        <v>1723</v>
      </c>
      <c r="E313" s="20" t="s">
        <v>8269</v>
      </c>
      <c r="F313" s="22">
        <v>15</v>
      </c>
      <c r="G313" s="22" t="s">
        <v>8270</v>
      </c>
      <c r="H313" s="22">
        <v>1</v>
      </c>
      <c r="I313" s="25">
        <v>43409</v>
      </c>
      <c r="J313" s="24">
        <v>43185</v>
      </c>
    </row>
    <row r="314" spans="2:10" x14ac:dyDescent="0.2">
      <c r="B314" s="22">
        <v>309</v>
      </c>
      <c r="C314" s="21" t="s">
        <v>8271</v>
      </c>
      <c r="D314" s="21" t="s">
        <v>1332</v>
      </c>
      <c r="E314" s="20" t="s">
        <v>8272</v>
      </c>
      <c r="F314" s="22">
        <v>11</v>
      </c>
      <c r="G314" s="22" t="s">
        <v>8273</v>
      </c>
      <c r="H314" s="22">
        <v>1</v>
      </c>
      <c r="I314" s="25">
        <v>43362</v>
      </c>
      <c r="J314" s="24">
        <v>43396</v>
      </c>
    </row>
    <row r="315" spans="2:10" x14ac:dyDescent="0.2">
      <c r="B315" s="22">
        <v>310</v>
      </c>
      <c r="C315" s="21" t="s">
        <v>8274</v>
      </c>
      <c r="D315" s="21" t="s">
        <v>1640</v>
      </c>
      <c r="E315" s="20" t="s">
        <v>8275</v>
      </c>
      <c r="F315" s="22">
        <v>15</v>
      </c>
      <c r="G315" s="22" t="s">
        <v>8276</v>
      </c>
      <c r="H315" s="22">
        <v>1</v>
      </c>
      <c r="I315" s="25">
        <v>43194</v>
      </c>
      <c r="J315" s="24">
        <v>43301</v>
      </c>
    </row>
    <row r="316" spans="2:10" x14ac:dyDescent="0.2">
      <c r="B316" s="22">
        <v>311</v>
      </c>
      <c r="C316" s="21" t="s">
        <v>8277</v>
      </c>
      <c r="D316" s="21" t="s">
        <v>8278</v>
      </c>
      <c r="E316" s="20" t="s">
        <v>8279</v>
      </c>
      <c r="F316" s="22">
        <v>304</v>
      </c>
      <c r="G316" s="22" t="s">
        <v>8280</v>
      </c>
      <c r="H316" s="22">
        <v>304</v>
      </c>
      <c r="I316" s="25">
        <v>43320</v>
      </c>
      <c r="J316" s="24">
        <v>43326</v>
      </c>
    </row>
    <row r="317" spans="2:10" x14ac:dyDescent="0.2">
      <c r="B317" s="22">
        <v>312</v>
      </c>
      <c r="C317" s="21" t="s">
        <v>8281</v>
      </c>
      <c r="D317" s="21" t="s">
        <v>1142</v>
      </c>
      <c r="E317" s="20" t="s">
        <v>8282</v>
      </c>
      <c r="F317" s="22">
        <v>20</v>
      </c>
      <c r="G317" s="22" t="s">
        <v>8283</v>
      </c>
      <c r="H317" s="22">
        <v>2</v>
      </c>
      <c r="I317" s="25">
        <v>43362</v>
      </c>
      <c r="J317" s="24">
        <v>43136</v>
      </c>
    </row>
    <row r="318" spans="2:10" x14ac:dyDescent="0.2">
      <c r="B318" s="22">
        <v>313</v>
      </c>
      <c r="C318" s="21" t="s">
        <v>8284</v>
      </c>
      <c r="D318" s="21" t="s">
        <v>1640</v>
      </c>
      <c r="E318" s="20" t="s">
        <v>8285</v>
      </c>
      <c r="F318" s="22">
        <v>14</v>
      </c>
      <c r="G318" s="22" t="s">
        <v>8286</v>
      </c>
      <c r="H318" s="22">
        <v>1</v>
      </c>
      <c r="I318" s="25">
        <v>43388</v>
      </c>
      <c r="J318" s="24">
        <v>43125</v>
      </c>
    </row>
    <row r="319" spans="2:10" x14ac:dyDescent="0.2">
      <c r="B319" s="22">
        <v>314</v>
      </c>
      <c r="C319" s="21" t="s">
        <v>8287</v>
      </c>
      <c r="D319" s="21" t="s">
        <v>1415</v>
      </c>
      <c r="E319" s="20" t="s">
        <v>8288</v>
      </c>
      <c r="F319" s="22">
        <v>220</v>
      </c>
      <c r="G319" s="22" t="s">
        <v>8289</v>
      </c>
      <c r="H319" s="22">
        <v>220</v>
      </c>
      <c r="I319" s="25">
        <v>43430</v>
      </c>
      <c r="J319" s="24">
        <v>43445</v>
      </c>
    </row>
    <row r="320" spans="2:10" x14ac:dyDescent="0.2">
      <c r="B320" s="22">
        <v>315</v>
      </c>
      <c r="C320" s="21" t="s">
        <v>8290</v>
      </c>
      <c r="D320" s="21" t="s">
        <v>1235</v>
      </c>
      <c r="E320" s="20" t="s">
        <v>8291</v>
      </c>
      <c r="F320" s="22">
        <v>20</v>
      </c>
      <c r="G320" s="22" t="s">
        <v>8292</v>
      </c>
      <c r="H320" s="22">
        <v>20</v>
      </c>
      <c r="I320" s="25">
        <v>43110</v>
      </c>
      <c r="J320" s="24">
        <v>43137</v>
      </c>
    </row>
    <row r="321" spans="2:10" x14ac:dyDescent="0.2">
      <c r="B321" s="22">
        <v>316</v>
      </c>
      <c r="C321" s="21" t="s">
        <v>8293</v>
      </c>
      <c r="D321" s="21" t="s">
        <v>5638</v>
      </c>
      <c r="E321" s="20" t="s">
        <v>8294</v>
      </c>
      <c r="F321" s="22">
        <v>46</v>
      </c>
      <c r="G321" s="22" t="s">
        <v>8295</v>
      </c>
      <c r="H321" s="22">
        <v>4</v>
      </c>
      <c r="I321" s="25">
        <v>43257</v>
      </c>
      <c r="J321" s="24">
        <v>43333</v>
      </c>
    </row>
    <row r="322" spans="2:10" x14ac:dyDescent="0.2">
      <c r="B322" s="22">
        <v>317</v>
      </c>
      <c r="C322" s="21" t="s">
        <v>8296</v>
      </c>
      <c r="D322" s="21" t="s">
        <v>1210</v>
      </c>
      <c r="E322" s="20" t="s">
        <v>8297</v>
      </c>
      <c r="F322" s="22">
        <v>12</v>
      </c>
      <c r="G322" s="22" t="s">
        <v>8298</v>
      </c>
      <c r="H322" s="22">
        <v>12</v>
      </c>
      <c r="I322" s="25">
        <v>43278</v>
      </c>
      <c r="J322" s="24">
        <v>43308</v>
      </c>
    </row>
    <row r="323" spans="2:10" x14ac:dyDescent="0.2">
      <c r="B323" s="22">
        <v>318</v>
      </c>
      <c r="C323" s="21" t="s">
        <v>8299</v>
      </c>
      <c r="D323" s="21" t="s">
        <v>7800</v>
      </c>
      <c r="E323" s="20" t="s">
        <v>8300</v>
      </c>
      <c r="F323" s="22">
        <v>30</v>
      </c>
      <c r="G323" s="22" t="s">
        <v>8301</v>
      </c>
      <c r="H323" s="22">
        <v>1</v>
      </c>
      <c r="I323" s="25">
        <v>43180</v>
      </c>
      <c r="J323" s="24">
        <v>43242</v>
      </c>
    </row>
    <row r="324" spans="2:10" x14ac:dyDescent="0.2">
      <c r="B324" s="22">
        <v>319</v>
      </c>
      <c r="C324" s="21" t="s">
        <v>8302</v>
      </c>
      <c r="D324" s="21" t="s">
        <v>740</v>
      </c>
      <c r="E324" s="20" t="s">
        <v>8303</v>
      </c>
      <c r="F324" s="22">
        <v>25</v>
      </c>
      <c r="G324" s="22" t="s">
        <v>1159</v>
      </c>
      <c r="H324" s="22" t="s">
        <v>1159</v>
      </c>
      <c r="I324" s="25">
        <v>43249</v>
      </c>
      <c r="J324" s="24">
        <v>43312</v>
      </c>
    </row>
    <row r="325" spans="2:10" x14ac:dyDescent="0.2">
      <c r="B325" s="22">
        <v>320</v>
      </c>
      <c r="C325" s="21" t="s">
        <v>8304</v>
      </c>
      <c r="D325" s="21" t="s">
        <v>2197</v>
      </c>
      <c r="E325" s="20" t="s">
        <v>8305</v>
      </c>
      <c r="F325" s="22">
        <v>201</v>
      </c>
      <c r="G325" s="22" t="s">
        <v>8306</v>
      </c>
      <c r="H325" s="22">
        <v>201</v>
      </c>
      <c r="I325" s="25">
        <v>43194</v>
      </c>
      <c r="J325" s="24">
        <v>43200</v>
      </c>
    </row>
    <row r="326" spans="2:10" x14ac:dyDescent="0.2">
      <c r="B326" s="22">
        <v>321</v>
      </c>
      <c r="C326" s="21" t="s">
        <v>8307</v>
      </c>
      <c r="D326" s="21" t="s">
        <v>6165</v>
      </c>
      <c r="E326" s="20" t="s">
        <v>8308</v>
      </c>
      <c r="F326" s="22">
        <v>29</v>
      </c>
      <c r="G326" s="22" t="s">
        <v>8309</v>
      </c>
      <c r="H326" s="22">
        <v>26</v>
      </c>
      <c r="I326" s="25">
        <v>43166</v>
      </c>
      <c r="J326" s="24">
        <v>43182</v>
      </c>
    </row>
    <row r="327" spans="2:10" x14ac:dyDescent="0.2">
      <c r="B327" s="22">
        <v>322</v>
      </c>
      <c r="C327" s="21" t="s">
        <v>8310</v>
      </c>
      <c r="D327" s="21" t="s">
        <v>1039</v>
      </c>
      <c r="E327" s="20" t="s">
        <v>8311</v>
      </c>
      <c r="F327" s="22">
        <v>16</v>
      </c>
      <c r="G327" s="22" t="s">
        <v>8312</v>
      </c>
      <c r="H327" s="22">
        <v>2</v>
      </c>
      <c r="I327" s="25">
        <v>43229</v>
      </c>
      <c r="J327" s="24">
        <v>43333</v>
      </c>
    </row>
    <row r="328" spans="2:10" x14ac:dyDescent="0.2">
      <c r="B328" s="22">
        <v>323</v>
      </c>
      <c r="C328" s="21" t="s">
        <v>8313</v>
      </c>
      <c r="D328" s="21" t="s">
        <v>6537</v>
      </c>
      <c r="E328" s="20" t="s">
        <v>8314</v>
      </c>
      <c r="F328" s="22">
        <v>30</v>
      </c>
      <c r="G328" s="22" t="s">
        <v>8315</v>
      </c>
      <c r="H328" s="22">
        <v>2</v>
      </c>
      <c r="I328" s="25">
        <v>43390</v>
      </c>
      <c r="J328" s="24">
        <v>43129</v>
      </c>
    </row>
    <row r="329" spans="2:10" x14ac:dyDescent="0.2">
      <c r="B329" s="22">
        <v>324</v>
      </c>
      <c r="C329" s="21" t="s">
        <v>8316</v>
      </c>
      <c r="D329" s="21" t="s">
        <v>2114</v>
      </c>
      <c r="E329" s="20" t="s">
        <v>8317</v>
      </c>
      <c r="F329" s="22">
        <v>9</v>
      </c>
      <c r="G329" s="22" t="s">
        <v>8318</v>
      </c>
      <c r="H329" s="22">
        <v>2</v>
      </c>
      <c r="I329" s="25">
        <v>43271</v>
      </c>
      <c r="J329" s="24">
        <v>43399</v>
      </c>
    </row>
    <row r="330" spans="2:10" x14ac:dyDescent="0.2">
      <c r="B330" s="22">
        <v>325</v>
      </c>
      <c r="C330" s="21" t="s">
        <v>8319</v>
      </c>
      <c r="D330" s="21" t="s">
        <v>4805</v>
      </c>
      <c r="E330" s="20" t="s">
        <v>8320</v>
      </c>
      <c r="F330" s="22">
        <v>10</v>
      </c>
      <c r="G330" s="22" t="s">
        <v>8321</v>
      </c>
      <c r="H330" s="22">
        <v>1</v>
      </c>
      <c r="I330" s="25">
        <v>43271</v>
      </c>
      <c r="J330" s="24">
        <v>43371</v>
      </c>
    </row>
    <row r="331" spans="2:10" x14ac:dyDescent="0.2">
      <c r="B331" s="22">
        <v>326</v>
      </c>
      <c r="C331" s="21" t="s">
        <v>8322</v>
      </c>
      <c r="D331" s="21" t="s">
        <v>1039</v>
      </c>
      <c r="E331" s="20" t="s">
        <v>6304</v>
      </c>
      <c r="F331" s="22">
        <v>23</v>
      </c>
      <c r="G331" s="22" t="s">
        <v>8323</v>
      </c>
      <c r="H331" s="22">
        <v>3</v>
      </c>
      <c r="I331" s="25">
        <v>43250</v>
      </c>
      <c r="J331" s="24">
        <v>43354</v>
      </c>
    </row>
    <row r="332" spans="2:10" x14ac:dyDescent="0.2">
      <c r="B332" s="22">
        <v>327</v>
      </c>
      <c r="C332" s="21" t="s">
        <v>8324</v>
      </c>
      <c r="D332" s="21" t="s">
        <v>1594</v>
      </c>
      <c r="E332" s="20" t="s">
        <v>8325</v>
      </c>
      <c r="F332" s="22">
        <v>12</v>
      </c>
      <c r="G332" s="22" t="s">
        <v>8326</v>
      </c>
      <c r="H332" s="22">
        <v>7</v>
      </c>
      <c r="I332" s="25">
        <v>43180</v>
      </c>
      <c r="J332" s="24">
        <v>43221</v>
      </c>
    </row>
    <row r="333" spans="2:10" x14ac:dyDescent="0.2">
      <c r="B333" s="22">
        <v>328</v>
      </c>
      <c r="C333" s="21" t="s">
        <v>8327</v>
      </c>
      <c r="D333" s="21" t="s">
        <v>1269</v>
      </c>
      <c r="E333" s="20" t="s">
        <v>8328</v>
      </c>
      <c r="F333" s="22">
        <v>82</v>
      </c>
      <c r="G333" s="22" t="s">
        <v>8329</v>
      </c>
      <c r="H333" s="22">
        <v>82</v>
      </c>
      <c r="I333" s="25">
        <v>43110</v>
      </c>
      <c r="J333" s="24">
        <v>43144</v>
      </c>
    </row>
    <row r="334" spans="2:10" x14ac:dyDescent="0.2">
      <c r="B334" s="22">
        <v>329</v>
      </c>
      <c r="C334" s="21" t="s">
        <v>8330</v>
      </c>
      <c r="D334" s="21" t="s">
        <v>5638</v>
      </c>
      <c r="E334" s="20" t="s">
        <v>8331</v>
      </c>
      <c r="F334" s="22">
        <v>103</v>
      </c>
      <c r="G334" s="22" t="s">
        <v>8332</v>
      </c>
      <c r="H334" s="22">
        <v>103</v>
      </c>
      <c r="I334" s="25">
        <v>43404</v>
      </c>
      <c r="J334" s="24">
        <v>43434</v>
      </c>
    </row>
    <row r="335" spans="2:10" x14ac:dyDescent="0.2">
      <c r="B335" s="22">
        <v>330</v>
      </c>
      <c r="C335" s="21" t="s">
        <v>8333</v>
      </c>
      <c r="D335" s="21" t="s">
        <v>1532</v>
      </c>
      <c r="E335" s="20" t="s">
        <v>8334</v>
      </c>
      <c r="F335" s="22">
        <v>11</v>
      </c>
      <c r="G335" s="22" t="s">
        <v>8335</v>
      </c>
      <c r="H335" s="22">
        <v>2</v>
      </c>
      <c r="I335" s="25">
        <v>43136</v>
      </c>
      <c r="J335" s="24">
        <v>43410</v>
      </c>
    </row>
    <row r="336" spans="2:10" x14ac:dyDescent="0.2">
      <c r="B336" s="22">
        <v>331</v>
      </c>
      <c r="C336" s="21" t="s">
        <v>8336</v>
      </c>
      <c r="D336" s="21" t="s">
        <v>1210</v>
      </c>
      <c r="E336" s="20" t="s">
        <v>8337</v>
      </c>
      <c r="F336" s="22">
        <v>16</v>
      </c>
      <c r="G336" s="22" t="s">
        <v>8338</v>
      </c>
      <c r="H336" s="22">
        <v>12</v>
      </c>
      <c r="I336" s="25">
        <v>43208</v>
      </c>
      <c r="J336" s="24">
        <v>43259</v>
      </c>
    </row>
    <row r="337" spans="2:10" x14ac:dyDescent="0.2">
      <c r="B337" s="22">
        <v>332</v>
      </c>
      <c r="C337" s="21" t="s">
        <v>8339</v>
      </c>
      <c r="D337" s="21" t="s">
        <v>1294</v>
      </c>
      <c r="E337" s="20" t="s">
        <v>8340</v>
      </c>
      <c r="F337" s="22">
        <v>80</v>
      </c>
      <c r="G337" s="22" t="s">
        <v>8341</v>
      </c>
      <c r="H337" s="22">
        <v>3</v>
      </c>
      <c r="I337" s="25">
        <v>43229</v>
      </c>
      <c r="J337" s="24">
        <v>43270</v>
      </c>
    </row>
    <row r="338" spans="2:10" x14ac:dyDescent="0.2">
      <c r="B338" s="22">
        <v>333</v>
      </c>
      <c r="C338" s="21" t="s">
        <v>8342</v>
      </c>
      <c r="D338" s="21" t="s">
        <v>6537</v>
      </c>
      <c r="E338" s="20" t="s">
        <v>8343</v>
      </c>
      <c r="F338" s="22">
        <v>43</v>
      </c>
      <c r="G338" s="22" t="s">
        <v>8344</v>
      </c>
      <c r="H338" s="22">
        <v>2</v>
      </c>
      <c r="I338" s="25">
        <v>43374</v>
      </c>
      <c r="J338" s="24">
        <v>43410</v>
      </c>
    </row>
    <row r="339" spans="2:10" x14ac:dyDescent="0.2">
      <c r="B339" s="22">
        <v>334</v>
      </c>
      <c r="C339" s="21" t="s">
        <v>8345</v>
      </c>
      <c r="D339" s="21" t="s">
        <v>5638</v>
      </c>
      <c r="E339" s="20" t="s">
        <v>8346</v>
      </c>
      <c r="F339" s="22">
        <v>9</v>
      </c>
      <c r="G339" s="22" t="s">
        <v>8347</v>
      </c>
      <c r="H339" s="22">
        <v>2</v>
      </c>
      <c r="I339" s="25">
        <v>43362</v>
      </c>
      <c r="J339" s="24">
        <v>43452</v>
      </c>
    </row>
    <row r="340" spans="2:10" x14ac:dyDescent="0.2">
      <c r="B340" s="22">
        <v>335</v>
      </c>
      <c r="C340" s="21" t="s">
        <v>8348</v>
      </c>
      <c r="D340" s="21" t="s">
        <v>8349</v>
      </c>
      <c r="E340" s="20" t="s">
        <v>8350</v>
      </c>
      <c r="F340" s="22">
        <v>27</v>
      </c>
      <c r="G340" s="22" t="s">
        <v>8351</v>
      </c>
      <c r="H340" s="22">
        <v>27</v>
      </c>
      <c r="I340" s="25">
        <v>43138</v>
      </c>
      <c r="J340" s="24">
        <v>43144</v>
      </c>
    </row>
    <row r="341" spans="2:10" x14ac:dyDescent="0.2">
      <c r="B341" s="22">
        <v>336</v>
      </c>
      <c r="C341" s="21" t="s">
        <v>8352</v>
      </c>
      <c r="D341" s="21" t="s">
        <v>8353</v>
      </c>
      <c r="E341" s="20" t="s">
        <v>8354</v>
      </c>
      <c r="F341" s="22">
        <v>24</v>
      </c>
      <c r="G341" s="22" t="s">
        <v>8355</v>
      </c>
      <c r="H341" s="22">
        <v>1</v>
      </c>
      <c r="I341" s="25">
        <v>43257</v>
      </c>
      <c r="J341" s="24">
        <v>43308</v>
      </c>
    </row>
    <row r="342" spans="2:10" x14ac:dyDescent="0.2">
      <c r="B342" s="22">
        <v>337</v>
      </c>
      <c r="C342" s="21" t="s">
        <v>8356</v>
      </c>
      <c r="D342" s="21" t="s">
        <v>1039</v>
      </c>
      <c r="E342" s="20" t="s">
        <v>8357</v>
      </c>
      <c r="F342" s="22">
        <v>22</v>
      </c>
      <c r="G342" s="22" t="s">
        <v>8358</v>
      </c>
      <c r="H342" s="22">
        <v>3</v>
      </c>
      <c r="I342" s="25">
        <v>43194</v>
      </c>
      <c r="J342" s="24">
        <v>43249</v>
      </c>
    </row>
    <row r="343" spans="2:10" x14ac:dyDescent="0.2">
      <c r="B343" s="22">
        <v>338</v>
      </c>
      <c r="C343" s="21" t="s">
        <v>8359</v>
      </c>
      <c r="D343" s="21" t="s">
        <v>1294</v>
      </c>
      <c r="E343" s="20" t="s">
        <v>8360</v>
      </c>
      <c r="F343" s="22">
        <v>23</v>
      </c>
      <c r="G343" s="22" t="s">
        <v>8361</v>
      </c>
      <c r="H343" s="22">
        <v>2</v>
      </c>
      <c r="I343" s="25">
        <v>43201</v>
      </c>
      <c r="J343" s="24">
        <v>43242</v>
      </c>
    </row>
    <row r="344" spans="2:10" x14ac:dyDescent="0.2">
      <c r="B344" s="22">
        <v>339</v>
      </c>
      <c r="C344" s="21" t="s">
        <v>8362</v>
      </c>
      <c r="D344" s="21" t="s">
        <v>1213</v>
      </c>
      <c r="E344" s="20" t="s">
        <v>8363</v>
      </c>
      <c r="F344" s="22">
        <v>12</v>
      </c>
      <c r="G344" s="22" t="s">
        <v>8364</v>
      </c>
      <c r="H344" s="22">
        <v>1</v>
      </c>
      <c r="I344" s="25">
        <v>43264</v>
      </c>
      <c r="J344" s="24">
        <v>43333</v>
      </c>
    </row>
    <row r="345" spans="2:10" x14ac:dyDescent="0.2">
      <c r="B345" s="22">
        <v>340</v>
      </c>
      <c r="C345" s="21" t="s">
        <v>8365</v>
      </c>
      <c r="D345" s="21" t="s">
        <v>1942</v>
      </c>
      <c r="E345" s="20" t="s">
        <v>4197</v>
      </c>
      <c r="F345" s="22">
        <v>21</v>
      </c>
      <c r="G345" s="22" t="s">
        <v>8366</v>
      </c>
      <c r="H345" s="22">
        <v>1</v>
      </c>
      <c r="I345" s="25">
        <v>43208</v>
      </c>
      <c r="J345" s="24">
        <v>43326</v>
      </c>
    </row>
    <row r="346" spans="2:10" x14ac:dyDescent="0.2">
      <c r="B346" s="22">
        <v>341</v>
      </c>
      <c r="C346" s="21" t="s">
        <v>8367</v>
      </c>
      <c r="D346" s="21" t="s">
        <v>1612</v>
      </c>
      <c r="E346" s="20" t="s">
        <v>8368</v>
      </c>
      <c r="F346" s="22">
        <v>12</v>
      </c>
      <c r="G346" s="22" t="s">
        <v>8369</v>
      </c>
      <c r="H346" s="22">
        <v>4</v>
      </c>
      <c r="I346" s="25">
        <v>43138</v>
      </c>
      <c r="J346" s="24">
        <v>43298</v>
      </c>
    </row>
    <row r="347" spans="2:10" x14ac:dyDescent="0.2">
      <c r="B347" s="22">
        <v>342</v>
      </c>
      <c r="C347" s="21" t="s">
        <v>8370</v>
      </c>
      <c r="D347" s="21" t="s">
        <v>1294</v>
      </c>
      <c r="E347" s="20" t="s">
        <v>8371</v>
      </c>
      <c r="F347" s="22">
        <v>11</v>
      </c>
      <c r="G347" s="22" t="s">
        <v>8372</v>
      </c>
      <c r="H347" s="22">
        <v>2</v>
      </c>
      <c r="I347" s="25">
        <v>43243</v>
      </c>
      <c r="J347" s="24">
        <v>43298</v>
      </c>
    </row>
    <row r="348" spans="2:10" x14ac:dyDescent="0.2">
      <c r="B348" s="22">
        <v>344</v>
      </c>
      <c r="C348" s="21" t="s">
        <v>8373</v>
      </c>
      <c r="D348" s="21" t="s">
        <v>1248</v>
      </c>
      <c r="E348" s="20" t="s">
        <v>8374</v>
      </c>
      <c r="F348" s="22">
        <v>9</v>
      </c>
      <c r="G348" s="22" t="s">
        <v>8375</v>
      </c>
      <c r="H348" s="22">
        <v>9</v>
      </c>
      <c r="I348" s="25">
        <v>43187</v>
      </c>
      <c r="J348" s="24">
        <v>43235</v>
      </c>
    </row>
    <row r="349" spans="2:10" x14ac:dyDescent="0.2">
      <c r="B349" s="22">
        <v>345</v>
      </c>
      <c r="C349" s="21" t="s">
        <v>8376</v>
      </c>
      <c r="D349" s="21" t="s">
        <v>3627</v>
      </c>
      <c r="E349" s="20" t="s">
        <v>8377</v>
      </c>
      <c r="F349" s="22">
        <v>37</v>
      </c>
      <c r="G349" s="22" t="s">
        <v>1891</v>
      </c>
      <c r="H349" s="22">
        <v>15</v>
      </c>
      <c r="I349" s="25">
        <v>43341</v>
      </c>
      <c r="J349" s="24">
        <v>43417</v>
      </c>
    </row>
    <row r="350" spans="2:10" x14ac:dyDescent="0.2">
      <c r="B350" s="22">
        <v>346</v>
      </c>
      <c r="C350" s="21" t="s">
        <v>8378</v>
      </c>
      <c r="D350" s="21" t="s">
        <v>1332</v>
      </c>
      <c r="E350" s="20" t="s">
        <v>8379</v>
      </c>
      <c r="F350" s="22">
        <v>11</v>
      </c>
      <c r="G350" s="22" t="s">
        <v>8380</v>
      </c>
      <c r="H350" s="22">
        <v>11</v>
      </c>
      <c r="I350" s="25">
        <v>43306</v>
      </c>
      <c r="J350" s="24">
        <v>43326</v>
      </c>
    </row>
    <row r="351" spans="2:10" x14ac:dyDescent="0.2">
      <c r="B351" s="22">
        <v>347</v>
      </c>
      <c r="C351" s="21" t="s">
        <v>8381</v>
      </c>
      <c r="D351" s="21" t="s">
        <v>2051</v>
      </c>
      <c r="E351" s="20" t="s">
        <v>8382</v>
      </c>
      <c r="F351" s="22">
        <v>17</v>
      </c>
      <c r="G351" s="22" t="s">
        <v>8383</v>
      </c>
      <c r="H351" s="22">
        <v>1</v>
      </c>
      <c r="I351" s="25">
        <v>43201</v>
      </c>
      <c r="J351" s="24">
        <v>43417</v>
      </c>
    </row>
    <row r="352" spans="2:10" x14ac:dyDescent="0.2">
      <c r="B352" s="22">
        <v>348</v>
      </c>
      <c r="C352" s="21" t="s">
        <v>8384</v>
      </c>
      <c r="D352" s="21" t="s">
        <v>1572</v>
      </c>
      <c r="E352" s="20" t="s">
        <v>8385</v>
      </c>
      <c r="F352" s="22">
        <v>7</v>
      </c>
      <c r="G352" s="22" t="s">
        <v>1159</v>
      </c>
      <c r="H352" s="22" t="s">
        <v>1159</v>
      </c>
      <c r="I352" s="25">
        <v>43110</v>
      </c>
      <c r="J352" s="24">
        <v>43322</v>
      </c>
    </row>
    <row r="353" spans="2:10" x14ac:dyDescent="0.2">
      <c r="B353" s="22">
        <v>349</v>
      </c>
      <c r="C353" s="21" t="s">
        <v>8386</v>
      </c>
      <c r="D353" s="21" t="s">
        <v>1377</v>
      </c>
      <c r="E353" s="20" t="s">
        <v>8387</v>
      </c>
      <c r="F353" s="22">
        <v>73</v>
      </c>
      <c r="G353" s="22" t="s">
        <v>8388</v>
      </c>
      <c r="H353" s="22">
        <v>73</v>
      </c>
      <c r="I353" s="25">
        <v>43341</v>
      </c>
      <c r="J353" s="24">
        <v>43350</v>
      </c>
    </row>
    <row r="354" spans="2:10" x14ac:dyDescent="0.2">
      <c r="B354" s="22">
        <v>350</v>
      </c>
      <c r="C354" s="21" t="s">
        <v>8389</v>
      </c>
      <c r="D354" s="21" t="s">
        <v>7206</v>
      </c>
      <c r="E354" s="20" t="s">
        <v>8390</v>
      </c>
      <c r="F354" s="22">
        <v>27</v>
      </c>
      <c r="G354" s="22" t="s">
        <v>1159</v>
      </c>
      <c r="H354" s="22" t="s">
        <v>1159</v>
      </c>
      <c r="I354" s="25">
        <v>43369</v>
      </c>
      <c r="J354" s="24">
        <v>43420</v>
      </c>
    </row>
    <row r="355" spans="2:10" x14ac:dyDescent="0.2">
      <c r="B355" s="22">
        <v>351</v>
      </c>
      <c r="C355" s="21" t="s">
        <v>8391</v>
      </c>
      <c r="D355" s="21" t="s">
        <v>4525</v>
      </c>
      <c r="E355" s="20" t="s">
        <v>8392</v>
      </c>
      <c r="F355" s="22">
        <v>142</v>
      </c>
      <c r="G355" s="22" t="s">
        <v>8393</v>
      </c>
      <c r="H355" s="22">
        <v>142</v>
      </c>
      <c r="I355" s="25">
        <v>43208</v>
      </c>
      <c r="J355" s="24">
        <v>43221</v>
      </c>
    </row>
    <row r="356" spans="2:10" x14ac:dyDescent="0.2">
      <c r="B356" s="22">
        <v>352</v>
      </c>
      <c r="C356" s="21" t="s">
        <v>8394</v>
      </c>
      <c r="D356" s="21" t="s">
        <v>1135</v>
      </c>
      <c r="E356" s="20" t="s">
        <v>8395</v>
      </c>
      <c r="F356" s="22">
        <v>13</v>
      </c>
      <c r="G356" s="22" t="s">
        <v>8396</v>
      </c>
      <c r="H356" s="22">
        <v>13</v>
      </c>
      <c r="I356" s="25">
        <v>43121</v>
      </c>
      <c r="J356" s="24">
        <v>43158</v>
      </c>
    </row>
    <row r="357" spans="2:10" x14ac:dyDescent="0.2">
      <c r="B357" s="22">
        <v>353</v>
      </c>
      <c r="C357" s="21" t="s">
        <v>8397</v>
      </c>
      <c r="D357" s="21" t="s">
        <v>1299</v>
      </c>
      <c r="E357" s="20" t="s">
        <v>8398</v>
      </c>
      <c r="F357" s="22">
        <v>44</v>
      </c>
      <c r="G357" s="22" t="s">
        <v>8399</v>
      </c>
      <c r="H357" s="22">
        <v>44</v>
      </c>
      <c r="I357" s="25">
        <v>43194</v>
      </c>
      <c r="J357" s="24">
        <v>43203</v>
      </c>
    </row>
    <row r="358" spans="2:10" x14ac:dyDescent="0.2">
      <c r="B358" s="22">
        <v>354</v>
      </c>
      <c r="C358" s="21" t="s">
        <v>8400</v>
      </c>
      <c r="D358" s="21" t="s">
        <v>1532</v>
      </c>
      <c r="E358" s="20" t="s">
        <v>8401</v>
      </c>
      <c r="F358" s="22">
        <v>11</v>
      </c>
      <c r="G358" s="22" t="s">
        <v>1159</v>
      </c>
      <c r="H358" s="22" t="s">
        <v>1159</v>
      </c>
      <c r="I358" s="25">
        <v>43313</v>
      </c>
      <c r="J358" s="24">
        <v>43150</v>
      </c>
    </row>
    <row r="359" spans="2:10" x14ac:dyDescent="0.2">
      <c r="B359" s="22">
        <v>355</v>
      </c>
      <c r="C359" s="21" t="s">
        <v>8402</v>
      </c>
      <c r="D359" s="21" t="s">
        <v>1640</v>
      </c>
      <c r="E359" s="20" t="s">
        <v>8403</v>
      </c>
      <c r="F359" s="22">
        <v>7</v>
      </c>
      <c r="G359" s="22" t="s">
        <v>8404</v>
      </c>
      <c r="H359" s="22">
        <v>1</v>
      </c>
      <c r="I359" s="25">
        <v>43437</v>
      </c>
      <c r="J359" s="24">
        <v>43164</v>
      </c>
    </row>
    <row r="360" spans="2:10" x14ac:dyDescent="0.2">
      <c r="B360" s="22">
        <v>356</v>
      </c>
      <c r="C360" s="21" t="s">
        <v>8405</v>
      </c>
      <c r="D360" s="21" t="s">
        <v>4860</v>
      </c>
      <c r="E360" s="20" t="s">
        <v>8406</v>
      </c>
      <c r="F360" s="22">
        <v>15</v>
      </c>
      <c r="G360" s="22" t="s">
        <v>8407</v>
      </c>
      <c r="H360" s="22">
        <v>1</v>
      </c>
      <c r="I360" s="25">
        <v>43390</v>
      </c>
      <c r="J360" s="24">
        <v>43424</v>
      </c>
    </row>
    <row r="361" spans="2:10" x14ac:dyDescent="0.2">
      <c r="B361" s="22">
        <v>357</v>
      </c>
      <c r="C361" s="21" t="s">
        <v>8408</v>
      </c>
      <c r="D361" s="21" t="s">
        <v>1175</v>
      </c>
      <c r="E361" s="20" t="s">
        <v>8409</v>
      </c>
      <c r="F361" s="22">
        <v>77</v>
      </c>
      <c r="G361" s="22" t="s">
        <v>8410</v>
      </c>
      <c r="H361" s="22">
        <v>76</v>
      </c>
      <c r="I361" s="25">
        <v>43376</v>
      </c>
      <c r="J361" s="24">
        <v>43385</v>
      </c>
    </row>
    <row r="362" spans="2:10" x14ac:dyDescent="0.2">
      <c r="B362" s="22">
        <v>358</v>
      </c>
      <c r="C362" s="21" t="s">
        <v>8411</v>
      </c>
      <c r="D362" s="21" t="s">
        <v>1422</v>
      </c>
      <c r="E362" s="20" t="s">
        <v>8412</v>
      </c>
      <c r="F362" s="22">
        <v>14</v>
      </c>
      <c r="G362" s="22" t="s">
        <v>1159</v>
      </c>
      <c r="H362" s="22" t="s">
        <v>1159</v>
      </c>
      <c r="I362" s="25">
        <v>43274</v>
      </c>
      <c r="J362" s="24">
        <v>43122</v>
      </c>
    </row>
    <row r="363" spans="2:10" x14ac:dyDescent="0.2">
      <c r="B363" s="22">
        <v>359</v>
      </c>
      <c r="C363" s="21" t="s">
        <v>8413</v>
      </c>
      <c r="D363" s="21" t="s">
        <v>1095</v>
      </c>
      <c r="E363" s="20" t="s">
        <v>8414</v>
      </c>
      <c r="F363" s="22">
        <v>28</v>
      </c>
      <c r="G363" s="22" t="s">
        <v>8415</v>
      </c>
      <c r="H363" s="22">
        <v>1</v>
      </c>
      <c r="I363" s="25">
        <v>43313</v>
      </c>
      <c r="J363" s="24">
        <v>43442</v>
      </c>
    </row>
    <row r="364" spans="2:10" x14ac:dyDescent="0.2">
      <c r="B364" s="22">
        <v>360</v>
      </c>
      <c r="C364" s="21" t="s">
        <v>8416</v>
      </c>
      <c r="D364" s="21" t="s">
        <v>3627</v>
      </c>
      <c r="E364" s="20" t="s">
        <v>8417</v>
      </c>
      <c r="F364" s="22">
        <v>23</v>
      </c>
      <c r="G364" s="22" t="s">
        <v>8418</v>
      </c>
      <c r="H364" s="22">
        <v>1</v>
      </c>
      <c r="I364" s="25">
        <v>43383</v>
      </c>
      <c r="J364" s="24">
        <v>43143</v>
      </c>
    </row>
    <row r="365" spans="2:10" x14ac:dyDescent="0.2">
      <c r="B365" s="22">
        <v>361</v>
      </c>
      <c r="C365" s="21" t="s">
        <v>8419</v>
      </c>
      <c r="D365" s="21" t="s">
        <v>7135</v>
      </c>
      <c r="E365" s="20" t="s">
        <v>8420</v>
      </c>
      <c r="F365" s="22" t="s">
        <v>1159</v>
      </c>
      <c r="G365" s="22" t="s">
        <v>1159</v>
      </c>
      <c r="H365" s="22" t="s">
        <v>1159</v>
      </c>
      <c r="I365" s="25">
        <v>43353</v>
      </c>
      <c r="J365" s="22" t="s">
        <v>558</v>
      </c>
    </row>
    <row r="366" spans="2:10" x14ac:dyDescent="0.2">
      <c r="B366" s="22">
        <v>362</v>
      </c>
      <c r="C366" s="21" t="s">
        <v>8421</v>
      </c>
      <c r="D366" s="21" t="s">
        <v>1269</v>
      </c>
      <c r="E366" s="20" t="s">
        <v>8422</v>
      </c>
      <c r="F366" s="22">
        <v>41</v>
      </c>
      <c r="G366" s="22" t="s">
        <v>8423</v>
      </c>
      <c r="H366" s="22">
        <v>17</v>
      </c>
      <c r="I366" s="25">
        <v>43118</v>
      </c>
      <c r="J366" s="22" t="s">
        <v>558</v>
      </c>
    </row>
    <row r="367" spans="2:10" x14ac:dyDescent="0.2">
      <c r="B367" s="22">
        <v>363</v>
      </c>
      <c r="C367" s="21" t="s">
        <v>8424</v>
      </c>
      <c r="D367" s="21" t="s">
        <v>1594</v>
      </c>
      <c r="E367" s="20" t="s">
        <v>8425</v>
      </c>
      <c r="F367" s="22">
        <v>12</v>
      </c>
      <c r="G367" s="22" t="s">
        <v>8426</v>
      </c>
      <c r="H367" s="22">
        <v>2</v>
      </c>
      <c r="I367" s="25">
        <v>43264</v>
      </c>
      <c r="J367" s="24">
        <v>43298</v>
      </c>
    </row>
    <row r="368" spans="2:10" x14ac:dyDescent="0.2">
      <c r="B368" s="22">
        <v>364</v>
      </c>
      <c r="C368" s="21" t="s">
        <v>8427</v>
      </c>
      <c r="D368" s="21" t="s">
        <v>1909</v>
      </c>
      <c r="E368" s="20" t="s">
        <v>8428</v>
      </c>
      <c r="F368" s="22">
        <v>13</v>
      </c>
      <c r="G368" s="22" t="s">
        <v>8429</v>
      </c>
      <c r="H368" s="22">
        <v>7</v>
      </c>
      <c r="I368" s="25">
        <v>43446</v>
      </c>
      <c r="J368" s="24">
        <v>43199</v>
      </c>
    </row>
    <row r="369" spans="2:10" x14ac:dyDescent="0.2">
      <c r="B369" s="22">
        <v>365</v>
      </c>
      <c r="C369" s="21" t="s">
        <v>8430</v>
      </c>
      <c r="D369" s="21" t="s">
        <v>1210</v>
      </c>
      <c r="E369" s="20" t="s">
        <v>8431</v>
      </c>
      <c r="F369" s="22">
        <v>15</v>
      </c>
      <c r="G369" s="22" t="s">
        <v>8432</v>
      </c>
      <c r="H369" s="22">
        <v>15</v>
      </c>
      <c r="I369" s="25">
        <v>43390</v>
      </c>
      <c r="J369" s="24">
        <v>43101</v>
      </c>
    </row>
    <row r="370" spans="2:10" x14ac:dyDescent="0.2">
      <c r="B370" s="22">
        <v>366</v>
      </c>
      <c r="C370" s="21" t="s">
        <v>8433</v>
      </c>
      <c r="D370" s="21" t="s">
        <v>3810</v>
      </c>
      <c r="E370" s="20" t="s">
        <v>8434</v>
      </c>
      <c r="F370" s="22">
        <v>59</v>
      </c>
      <c r="G370" s="22" t="s">
        <v>8435</v>
      </c>
      <c r="H370" s="22">
        <v>2</v>
      </c>
      <c r="I370" s="25">
        <v>43348</v>
      </c>
      <c r="J370" s="24">
        <v>43382</v>
      </c>
    </row>
    <row r="371" spans="2:10" x14ac:dyDescent="0.2">
      <c r="B371" s="22">
        <v>367</v>
      </c>
      <c r="C371" s="21" t="s">
        <v>8436</v>
      </c>
      <c r="D371" s="21" t="s">
        <v>1142</v>
      </c>
      <c r="E371" s="20" t="s">
        <v>8437</v>
      </c>
      <c r="F371" s="22">
        <v>7</v>
      </c>
      <c r="G371" s="22" t="s">
        <v>8438</v>
      </c>
      <c r="H371" s="22">
        <v>2</v>
      </c>
      <c r="I371" s="25">
        <v>43271</v>
      </c>
      <c r="J371" s="24">
        <v>43375</v>
      </c>
    </row>
    <row r="372" spans="2:10" x14ac:dyDescent="0.2">
      <c r="B372" s="22">
        <v>368</v>
      </c>
      <c r="C372" s="21" t="s">
        <v>8439</v>
      </c>
      <c r="D372" s="21" t="s">
        <v>1804</v>
      </c>
      <c r="E372" s="20" t="s">
        <v>8440</v>
      </c>
      <c r="F372" s="22">
        <v>14</v>
      </c>
      <c r="G372" s="22" t="s">
        <v>8441</v>
      </c>
      <c r="H372" s="22">
        <v>9</v>
      </c>
      <c r="I372" s="25">
        <v>43411</v>
      </c>
      <c r="J372" s="24">
        <v>43164</v>
      </c>
    </row>
    <row r="373" spans="2:10" x14ac:dyDescent="0.2">
      <c r="B373" s="22">
        <v>369</v>
      </c>
      <c r="C373" s="21" t="s">
        <v>8442</v>
      </c>
      <c r="D373" s="21" t="s">
        <v>7076</v>
      </c>
      <c r="E373" s="20" t="s">
        <v>8443</v>
      </c>
      <c r="F373" s="22">
        <v>11</v>
      </c>
      <c r="G373" s="22" t="s">
        <v>8444</v>
      </c>
      <c r="H373" s="22">
        <v>1</v>
      </c>
      <c r="I373" s="25">
        <v>43250</v>
      </c>
      <c r="J373" s="24">
        <v>43326</v>
      </c>
    </row>
    <row r="374" spans="2:10" x14ac:dyDescent="0.2">
      <c r="B374" s="22">
        <v>370</v>
      </c>
      <c r="C374" s="21" t="s">
        <v>8445</v>
      </c>
      <c r="D374" s="21" t="s">
        <v>820</v>
      </c>
      <c r="E374" s="20" t="s">
        <v>8446</v>
      </c>
      <c r="F374" s="22">
        <v>43</v>
      </c>
      <c r="G374" s="22" t="s">
        <v>8447</v>
      </c>
      <c r="H374" s="22">
        <v>43</v>
      </c>
      <c r="I374" s="25">
        <v>43383</v>
      </c>
      <c r="J374" s="24">
        <v>43417</v>
      </c>
    </row>
    <row r="375" spans="2:10" x14ac:dyDescent="0.2">
      <c r="B375" s="22">
        <v>371</v>
      </c>
      <c r="C375" s="21" t="s">
        <v>8448</v>
      </c>
      <c r="D375" s="21" t="s">
        <v>8449</v>
      </c>
      <c r="E375" s="20" t="s">
        <v>8450</v>
      </c>
      <c r="F375" s="22">
        <v>2</v>
      </c>
      <c r="G375" s="22" t="s">
        <v>8451</v>
      </c>
      <c r="H375" s="22">
        <v>2</v>
      </c>
      <c r="I375" s="25">
        <v>43166</v>
      </c>
      <c r="J375" s="24">
        <v>43228</v>
      </c>
    </row>
    <row r="376" spans="2:10" x14ac:dyDescent="0.2">
      <c r="B376" s="22">
        <v>372</v>
      </c>
      <c r="C376" s="21" t="s">
        <v>8452</v>
      </c>
      <c r="D376" s="21" t="s">
        <v>1294</v>
      </c>
      <c r="E376" s="20" t="s">
        <v>8453</v>
      </c>
      <c r="F376" s="22">
        <v>15</v>
      </c>
      <c r="G376" s="22" t="s">
        <v>8454</v>
      </c>
      <c r="H376" s="22">
        <v>1</v>
      </c>
      <c r="I376" s="25">
        <v>43103</v>
      </c>
      <c r="J376" s="24">
        <v>43172</v>
      </c>
    </row>
    <row r="377" spans="2:10" x14ac:dyDescent="0.2">
      <c r="B377" s="22">
        <v>373</v>
      </c>
      <c r="C377" s="21" t="s">
        <v>8455</v>
      </c>
      <c r="D377" s="21" t="s">
        <v>1640</v>
      </c>
      <c r="E377" s="20" t="s">
        <v>8456</v>
      </c>
      <c r="F377" s="22">
        <v>10</v>
      </c>
      <c r="G377" s="22" t="s">
        <v>8457</v>
      </c>
      <c r="H377" s="22">
        <v>2</v>
      </c>
      <c r="I377" s="25">
        <v>43150</v>
      </c>
      <c r="J377" s="24">
        <v>43221</v>
      </c>
    </row>
    <row r="378" spans="2:10" x14ac:dyDescent="0.2">
      <c r="B378" s="22">
        <v>374</v>
      </c>
      <c r="C378" s="21" t="s">
        <v>8458</v>
      </c>
      <c r="D378" s="21" t="s">
        <v>1942</v>
      </c>
      <c r="E378" s="20" t="s">
        <v>8459</v>
      </c>
      <c r="F378" s="22">
        <v>7</v>
      </c>
      <c r="G378" s="22" t="s">
        <v>8460</v>
      </c>
      <c r="H378" s="22">
        <v>5</v>
      </c>
      <c r="I378" s="25">
        <v>43390</v>
      </c>
      <c r="J378" s="24">
        <v>43146</v>
      </c>
    </row>
    <row r="379" spans="2:10" x14ac:dyDescent="0.2">
      <c r="B379" s="22">
        <v>375</v>
      </c>
      <c r="C379" s="21" t="s">
        <v>8461</v>
      </c>
      <c r="D379" s="21" t="s">
        <v>1135</v>
      </c>
      <c r="E379" s="20" t="s">
        <v>8462</v>
      </c>
      <c r="F379" s="22">
        <v>79</v>
      </c>
      <c r="G379" s="22" t="s">
        <v>8463</v>
      </c>
      <c r="H379" s="22">
        <v>79</v>
      </c>
      <c r="I379" s="25">
        <v>43201</v>
      </c>
      <c r="J379" s="24">
        <v>43214</v>
      </c>
    </row>
    <row r="380" spans="2:10" x14ac:dyDescent="0.2">
      <c r="B380" s="22">
        <v>376</v>
      </c>
      <c r="C380" s="21" t="s">
        <v>8464</v>
      </c>
      <c r="D380" s="21" t="s">
        <v>1213</v>
      </c>
      <c r="E380" s="20" t="s">
        <v>8465</v>
      </c>
      <c r="F380" s="22">
        <v>7</v>
      </c>
      <c r="G380" s="22" t="s">
        <v>8466</v>
      </c>
      <c r="H380" s="22">
        <v>1</v>
      </c>
      <c r="I380" s="25">
        <v>43115</v>
      </c>
      <c r="J380" s="24">
        <v>43186</v>
      </c>
    </row>
    <row r="381" spans="2:10" x14ac:dyDescent="0.2">
      <c r="B381" s="22">
        <v>377</v>
      </c>
      <c r="C381" s="21" t="s">
        <v>8467</v>
      </c>
      <c r="D381" s="21" t="s">
        <v>2051</v>
      </c>
      <c r="E381" s="20" t="s">
        <v>8468</v>
      </c>
      <c r="F381" s="22">
        <v>52</v>
      </c>
      <c r="G381" s="22" t="s">
        <v>8469</v>
      </c>
      <c r="H381" s="22">
        <v>52</v>
      </c>
      <c r="I381" s="25">
        <v>43145</v>
      </c>
      <c r="J381" s="24">
        <v>43207</v>
      </c>
    </row>
    <row r="382" spans="2:10" x14ac:dyDescent="0.2">
      <c r="B382" s="22">
        <v>378</v>
      </c>
      <c r="C382" s="21" t="s">
        <v>8470</v>
      </c>
      <c r="D382" s="21" t="s">
        <v>1761</v>
      </c>
      <c r="E382" s="20" t="s">
        <v>8471</v>
      </c>
      <c r="F382" s="22">
        <v>10</v>
      </c>
      <c r="G382" s="22" t="s">
        <v>8472</v>
      </c>
      <c r="H382" s="22">
        <v>3</v>
      </c>
      <c r="I382" s="25">
        <v>43362</v>
      </c>
      <c r="J382" s="24">
        <v>43396</v>
      </c>
    </row>
    <row r="383" spans="2:10" x14ac:dyDescent="0.2">
      <c r="B383" s="22">
        <v>379</v>
      </c>
      <c r="C383" s="21" t="s">
        <v>8473</v>
      </c>
      <c r="D383" s="21" t="s">
        <v>1175</v>
      </c>
      <c r="E383" s="20" t="s">
        <v>8474</v>
      </c>
      <c r="F383" s="22">
        <v>41</v>
      </c>
      <c r="G383" s="22" t="s">
        <v>8475</v>
      </c>
      <c r="H383" s="22">
        <v>18</v>
      </c>
      <c r="I383" s="25">
        <v>43187</v>
      </c>
      <c r="J383" s="24">
        <v>43214</v>
      </c>
    </row>
    <row r="384" spans="2:10" x14ac:dyDescent="0.2">
      <c r="B384" s="22">
        <v>380</v>
      </c>
      <c r="C384" s="21" t="s">
        <v>8476</v>
      </c>
      <c r="D384" s="21" t="s">
        <v>4860</v>
      </c>
      <c r="E384" s="20" t="s">
        <v>8477</v>
      </c>
      <c r="F384" s="22">
        <v>3</v>
      </c>
      <c r="G384" s="22" t="s">
        <v>8478</v>
      </c>
      <c r="H384" s="22">
        <v>1</v>
      </c>
      <c r="I384" s="25">
        <v>43397</v>
      </c>
      <c r="J384" s="22" t="s">
        <v>558</v>
      </c>
    </row>
    <row r="385" spans="2:10" x14ac:dyDescent="0.2">
      <c r="B385" s="22">
        <v>381</v>
      </c>
      <c r="C385" s="21" t="s">
        <v>8479</v>
      </c>
      <c r="D385" s="21" t="s">
        <v>38</v>
      </c>
      <c r="E385" s="20" t="s">
        <v>8480</v>
      </c>
      <c r="F385" s="22">
        <v>30</v>
      </c>
      <c r="G385" s="22" t="s">
        <v>8481</v>
      </c>
      <c r="H385" s="22">
        <v>2</v>
      </c>
      <c r="I385" s="25">
        <v>43327</v>
      </c>
      <c r="J385" s="24">
        <v>43354</v>
      </c>
    </row>
    <row r="386" spans="2:10" x14ac:dyDescent="0.2">
      <c r="B386" s="22">
        <v>382</v>
      </c>
      <c r="C386" s="21" t="s">
        <v>8482</v>
      </c>
      <c r="D386" s="21" t="s">
        <v>2024</v>
      </c>
      <c r="E386" s="20" t="s">
        <v>7898</v>
      </c>
      <c r="F386" s="22">
        <v>12</v>
      </c>
      <c r="G386" s="22" t="s">
        <v>1970</v>
      </c>
      <c r="H386" s="22">
        <v>1</v>
      </c>
      <c r="I386" s="25">
        <v>43369</v>
      </c>
      <c r="J386" s="24">
        <v>43115</v>
      </c>
    </row>
    <row r="387" spans="2:10" x14ac:dyDescent="0.2">
      <c r="B387" s="22">
        <v>383</v>
      </c>
      <c r="C387" s="21" t="s">
        <v>8483</v>
      </c>
      <c r="D387" s="21" t="s">
        <v>8234</v>
      </c>
      <c r="E387" s="20" t="s">
        <v>8484</v>
      </c>
      <c r="F387" s="22">
        <v>13</v>
      </c>
      <c r="G387" s="22" t="s">
        <v>8485</v>
      </c>
      <c r="H387" s="22">
        <v>1</v>
      </c>
      <c r="I387" s="25">
        <v>43124</v>
      </c>
      <c r="J387" s="22" t="s">
        <v>558</v>
      </c>
    </row>
    <row r="388" spans="2:10" x14ac:dyDescent="0.2">
      <c r="B388" s="22">
        <v>384</v>
      </c>
      <c r="C388" s="21" t="s">
        <v>8486</v>
      </c>
      <c r="D388" s="21" t="s">
        <v>1135</v>
      </c>
      <c r="E388" s="20" t="s">
        <v>8487</v>
      </c>
      <c r="F388" s="22">
        <v>16</v>
      </c>
      <c r="G388" s="22" t="s">
        <v>8488</v>
      </c>
      <c r="H388" s="22">
        <v>2</v>
      </c>
      <c r="I388" s="25">
        <v>43194</v>
      </c>
      <c r="J388" s="24">
        <v>43235</v>
      </c>
    </row>
    <row r="389" spans="2:10" x14ac:dyDescent="0.2">
      <c r="B389" s="22">
        <v>385</v>
      </c>
      <c r="C389" s="21" t="s">
        <v>8489</v>
      </c>
      <c r="D389" s="21" t="s">
        <v>1142</v>
      </c>
      <c r="E389" s="20" t="s">
        <v>8490</v>
      </c>
      <c r="F389" s="22">
        <v>21</v>
      </c>
      <c r="G389" s="22" t="s">
        <v>8491</v>
      </c>
      <c r="H389" s="22">
        <v>21</v>
      </c>
      <c r="I389" s="25">
        <v>43131</v>
      </c>
      <c r="J389" s="24">
        <v>43158</v>
      </c>
    </row>
    <row r="390" spans="2:10" x14ac:dyDescent="0.2">
      <c r="B390" s="22">
        <v>386</v>
      </c>
      <c r="C390" s="21" t="s">
        <v>8492</v>
      </c>
      <c r="D390" s="21" t="s">
        <v>8493</v>
      </c>
      <c r="E390" s="20" t="s">
        <v>8494</v>
      </c>
      <c r="F390" s="22">
        <v>16</v>
      </c>
      <c r="G390" s="22" t="s">
        <v>8495</v>
      </c>
      <c r="H390" s="22">
        <v>16</v>
      </c>
      <c r="I390" s="25">
        <v>43222</v>
      </c>
      <c r="J390" s="24">
        <v>43247</v>
      </c>
    </row>
    <row r="391" spans="2:10" x14ac:dyDescent="0.2">
      <c r="B391" s="22">
        <v>387</v>
      </c>
      <c r="C391" s="21" t="s">
        <v>8496</v>
      </c>
      <c r="D391" s="21" t="s">
        <v>2051</v>
      </c>
      <c r="E391" s="20" t="s">
        <v>8497</v>
      </c>
      <c r="F391" s="22">
        <v>14</v>
      </c>
      <c r="G391" s="22" t="s">
        <v>8498</v>
      </c>
      <c r="H391" s="22">
        <v>2</v>
      </c>
      <c r="I391" s="25">
        <v>43327</v>
      </c>
      <c r="J391" s="24">
        <v>43424</v>
      </c>
    </row>
    <row r="392" spans="2:10" x14ac:dyDescent="0.2">
      <c r="B392" s="22">
        <v>388</v>
      </c>
      <c r="C392" s="21" t="s">
        <v>8499</v>
      </c>
      <c r="D392" s="21" t="s">
        <v>1039</v>
      </c>
      <c r="E392" s="20" t="s">
        <v>8500</v>
      </c>
      <c r="F392" s="22">
        <v>9</v>
      </c>
      <c r="G392" s="22" t="s">
        <v>8501</v>
      </c>
      <c r="H392" s="22">
        <v>3</v>
      </c>
      <c r="I392" s="25">
        <v>43278</v>
      </c>
      <c r="J392" s="24">
        <v>43333</v>
      </c>
    </row>
    <row r="393" spans="2:10" x14ac:dyDescent="0.2">
      <c r="B393" s="22">
        <v>389</v>
      </c>
      <c r="C393" s="21" t="s">
        <v>8502</v>
      </c>
      <c r="D393" s="21" t="s">
        <v>1338</v>
      </c>
      <c r="E393" s="20" t="s">
        <v>8503</v>
      </c>
      <c r="F393" s="22">
        <v>6</v>
      </c>
      <c r="G393" s="22" t="s">
        <v>8504</v>
      </c>
      <c r="H393" s="22">
        <v>2</v>
      </c>
      <c r="I393" s="25">
        <v>43180</v>
      </c>
      <c r="J393" s="24">
        <v>43280</v>
      </c>
    </row>
    <row r="394" spans="2:10" x14ac:dyDescent="0.2">
      <c r="B394" s="22">
        <v>390</v>
      </c>
      <c r="C394" s="21" t="s">
        <v>8505</v>
      </c>
      <c r="D394" s="21" t="s">
        <v>1594</v>
      </c>
      <c r="E394" s="20" t="s">
        <v>8506</v>
      </c>
      <c r="F394" s="22">
        <v>61</v>
      </c>
      <c r="G394" s="22" t="s">
        <v>8507</v>
      </c>
      <c r="H394" s="22">
        <v>61</v>
      </c>
      <c r="I394" s="25">
        <v>43173</v>
      </c>
      <c r="J394" s="24">
        <v>43186</v>
      </c>
    </row>
    <row r="395" spans="2:10" x14ac:dyDescent="0.2">
      <c r="B395" s="22">
        <v>391</v>
      </c>
      <c r="C395" s="21" t="s">
        <v>8508</v>
      </c>
      <c r="D395" s="21" t="s">
        <v>8509</v>
      </c>
      <c r="E395" s="20" t="s">
        <v>8510</v>
      </c>
      <c r="F395" s="22">
        <v>8</v>
      </c>
      <c r="G395" s="22" t="s">
        <v>8511</v>
      </c>
      <c r="H395" s="22">
        <v>8</v>
      </c>
      <c r="I395" s="25">
        <v>43187</v>
      </c>
      <c r="J395" s="24">
        <v>43207</v>
      </c>
    </row>
    <row r="396" spans="2:10" x14ac:dyDescent="0.2">
      <c r="B396" s="22">
        <v>392</v>
      </c>
      <c r="C396" s="21" t="s">
        <v>8512</v>
      </c>
      <c r="D396" s="21" t="s">
        <v>1909</v>
      </c>
      <c r="E396" s="20" t="s">
        <v>8513</v>
      </c>
      <c r="F396" s="22">
        <v>5</v>
      </c>
      <c r="G396" s="22" t="s">
        <v>8514</v>
      </c>
      <c r="H396" s="22">
        <v>1</v>
      </c>
      <c r="I396" s="25">
        <v>43299</v>
      </c>
      <c r="J396" s="24">
        <v>43101</v>
      </c>
    </row>
    <row r="397" spans="2:10" x14ac:dyDescent="0.2">
      <c r="B397" s="22">
        <v>393</v>
      </c>
      <c r="C397" s="21" t="s">
        <v>8515</v>
      </c>
      <c r="D397" s="21" t="s">
        <v>7161</v>
      </c>
      <c r="E397" s="20" t="s">
        <v>8516</v>
      </c>
      <c r="F397" s="22">
        <v>2</v>
      </c>
      <c r="G397" s="22" t="s">
        <v>8517</v>
      </c>
      <c r="H397" s="22">
        <v>1</v>
      </c>
      <c r="I397" s="25">
        <v>43145</v>
      </c>
      <c r="J397" s="22" t="s">
        <v>558</v>
      </c>
    </row>
    <row r="398" spans="2:10" x14ac:dyDescent="0.2">
      <c r="B398" s="22">
        <v>394</v>
      </c>
      <c r="C398" s="21" t="s">
        <v>8518</v>
      </c>
      <c r="D398" s="21" t="s">
        <v>1559</v>
      </c>
      <c r="E398" s="20" t="s">
        <v>7835</v>
      </c>
      <c r="F398" s="22">
        <v>7</v>
      </c>
      <c r="G398" s="22" t="s">
        <v>8519</v>
      </c>
      <c r="H398" s="22">
        <v>1</v>
      </c>
      <c r="I398" s="25">
        <v>43304</v>
      </c>
      <c r="J398" s="24">
        <v>43382</v>
      </c>
    </row>
    <row r="399" spans="2:10" x14ac:dyDescent="0.2">
      <c r="B399" s="22">
        <v>395</v>
      </c>
      <c r="C399" s="21" t="s">
        <v>8520</v>
      </c>
      <c r="D399" s="21" t="s">
        <v>3810</v>
      </c>
      <c r="E399" s="20" t="s">
        <v>8521</v>
      </c>
      <c r="F399" s="22">
        <v>24</v>
      </c>
      <c r="G399" s="22" t="s">
        <v>8522</v>
      </c>
      <c r="H399" s="22">
        <v>2</v>
      </c>
      <c r="I399" s="25">
        <v>43411</v>
      </c>
      <c r="J399" s="24">
        <v>43445</v>
      </c>
    </row>
    <row r="400" spans="2:10" x14ac:dyDescent="0.2">
      <c r="B400" s="22">
        <v>396</v>
      </c>
      <c r="C400" s="21" t="s">
        <v>8523</v>
      </c>
      <c r="D400" s="21" t="s">
        <v>1248</v>
      </c>
      <c r="E400" s="20" t="s">
        <v>8524</v>
      </c>
      <c r="F400" s="22">
        <v>13</v>
      </c>
      <c r="G400" s="22" t="s">
        <v>8525</v>
      </c>
      <c r="H400" s="22">
        <v>12</v>
      </c>
      <c r="I400" s="25">
        <v>43355</v>
      </c>
      <c r="J400" s="24">
        <v>43399</v>
      </c>
    </row>
    <row r="401" spans="2:10" x14ac:dyDescent="0.2">
      <c r="B401" s="22">
        <v>397</v>
      </c>
      <c r="C401" s="21" t="s">
        <v>8526</v>
      </c>
      <c r="D401" s="21" t="s">
        <v>1015</v>
      </c>
      <c r="E401" s="20" t="s">
        <v>8527</v>
      </c>
      <c r="F401" s="22">
        <v>21</v>
      </c>
      <c r="G401" s="22" t="s">
        <v>8528</v>
      </c>
      <c r="H401" s="22">
        <v>2</v>
      </c>
      <c r="I401" s="25">
        <v>43215</v>
      </c>
      <c r="J401" s="24">
        <v>43326</v>
      </c>
    </row>
    <row r="402" spans="2:10" x14ac:dyDescent="0.2">
      <c r="B402" s="22">
        <v>398</v>
      </c>
      <c r="C402" s="21" t="s">
        <v>8529</v>
      </c>
      <c r="D402" s="21" t="s">
        <v>1015</v>
      </c>
      <c r="E402" s="20" t="s">
        <v>8530</v>
      </c>
      <c r="F402" s="22">
        <v>15</v>
      </c>
      <c r="G402" s="22" t="s">
        <v>8531</v>
      </c>
      <c r="H402" s="22">
        <v>2</v>
      </c>
      <c r="I402" s="25">
        <v>43341</v>
      </c>
      <c r="J402" s="24">
        <v>43424</v>
      </c>
    </row>
    <row r="403" spans="2:10" x14ac:dyDescent="0.2">
      <c r="B403" s="22">
        <v>399</v>
      </c>
      <c r="C403" s="21" t="s">
        <v>8532</v>
      </c>
      <c r="D403" s="21" t="s">
        <v>1880</v>
      </c>
      <c r="E403" s="20" t="s">
        <v>8533</v>
      </c>
      <c r="F403" s="22">
        <v>3</v>
      </c>
      <c r="G403" s="22" t="s">
        <v>8534</v>
      </c>
      <c r="H403" s="22">
        <v>1</v>
      </c>
      <c r="I403" s="25">
        <v>43339</v>
      </c>
      <c r="J403" s="24">
        <v>43129</v>
      </c>
    </row>
    <row r="404" spans="2:10" x14ac:dyDescent="0.2">
      <c r="B404" s="22">
        <v>400</v>
      </c>
      <c r="C404" s="21" t="s">
        <v>8535</v>
      </c>
      <c r="D404" s="21" t="s">
        <v>5638</v>
      </c>
      <c r="E404" s="20" t="s">
        <v>8536</v>
      </c>
      <c r="F404" s="22">
        <v>60</v>
      </c>
      <c r="G404" s="22" t="s">
        <v>8537</v>
      </c>
      <c r="H404" s="22">
        <v>60</v>
      </c>
      <c r="I404" s="25">
        <v>43173</v>
      </c>
      <c r="J404" s="24">
        <v>43186</v>
      </c>
    </row>
    <row r="405" spans="2:10" x14ac:dyDescent="0.2">
      <c r="B405" s="22">
        <v>401</v>
      </c>
      <c r="C405" s="21" t="s">
        <v>8538</v>
      </c>
      <c r="D405" s="21" t="s">
        <v>1338</v>
      </c>
      <c r="E405" s="20" t="s">
        <v>8539</v>
      </c>
      <c r="F405" s="22">
        <v>6</v>
      </c>
      <c r="G405" s="22" t="s">
        <v>8540</v>
      </c>
      <c r="H405" s="22">
        <v>1</v>
      </c>
      <c r="I405" s="25">
        <v>43327</v>
      </c>
      <c r="J405" s="24">
        <v>43385</v>
      </c>
    </row>
    <row r="406" spans="2:10" x14ac:dyDescent="0.2">
      <c r="B406" s="22">
        <v>402</v>
      </c>
      <c r="C406" s="21" t="s">
        <v>8541</v>
      </c>
      <c r="D406" s="21" t="s">
        <v>1377</v>
      </c>
      <c r="E406" s="20" t="s">
        <v>8542</v>
      </c>
      <c r="F406" s="22">
        <v>16</v>
      </c>
      <c r="G406" s="22" t="s">
        <v>8543</v>
      </c>
      <c r="H406" s="22">
        <v>16</v>
      </c>
      <c r="I406" s="25">
        <v>43243</v>
      </c>
      <c r="J406" s="24">
        <v>43270</v>
      </c>
    </row>
    <row r="407" spans="2:10" x14ac:dyDescent="0.2">
      <c r="B407" s="22">
        <v>403</v>
      </c>
      <c r="C407" s="21" t="s">
        <v>8544</v>
      </c>
      <c r="D407" s="21" t="s">
        <v>1332</v>
      </c>
      <c r="E407" s="20" t="s">
        <v>8545</v>
      </c>
      <c r="F407" s="22">
        <v>13</v>
      </c>
      <c r="G407" s="22" t="s">
        <v>8546</v>
      </c>
      <c r="H407" s="22">
        <v>1</v>
      </c>
      <c r="I407" s="25">
        <v>43264</v>
      </c>
      <c r="J407" s="24">
        <v>43284</v>
      </c>
    </row>
    <row r="408" spans="2:10" x14ac:dyDescent="0.2">
      <c r="B408" s="22">
        <v>404</v>
      </c>
      <c r="C408" s="21" t="s">
        <v>8547</v>
      </c>
      <c r="D408" s="21" t="s">
        <v>1213</v>
      </c>
      <c r="E408" s="20" t="s">
        <v>8548</v>
      </c>
      <c r="F408" s="22">
        <v>6</v>
      </c>
      <c r="G408" s="22" t="s">
        <v>8549</v>
      </c>
      <c r="H408" s="22">
        <v>2</v>
      </c>
      <c r="I408" s="25">
        <v>43271</v>
      </c>
      <c r="J408" s="24">
        <v>43347</v>
      </c>
    </row>
    <row r="409" spans="2:10" x14ac:dyDescent="0.2">
      <c r="B409" s="22">
        <v>405</v>
      </c>
      <c r="C409" s="21" t="s">
        <v>8550</v>
      </c>
      <c r="D409" s="21" t="s">
        <v>1294</v>
      </c>
      <c r="E409" s="20" t="s">
        <v>8551</v>
      </c>
      <c r="F409" s="22">
        <v>8</v>
      </c>
      <c r="G409" s="22" t="s">
        <v>8552</v>
      </c>
      <c r="H409" s="22">
        <v>1</v>
      </c>
      <c r="I409" s="25">
        <v>43215</v>
      </c>
      <c r="J409" s="24">
        <v>43270</v>
      </c>
    </row>
    <row r="410" spans="2:10" x14ac:dyDescent="0.2">
      <c r="B410" s="22">
        <v>406</v>
      </c>
      <c r="C410" s="21" t="s">
        <v>8553</v>
      </c>
      <c r="D410" s="21" t="s">
        <v>1640</v>
      </c>
      <c r="E410" s="20" t="s">
        <v>8554</v>
      </c>
      <c r="F410" s="22">
        <v>6</v>
      </c>
      <c r="G410" s="22" t="s">
        <v>8555</v>
      </c>
      <c r="H410" s="22">
        <v>1</v>
      </c>
      <c r="I410" s="25">
        <v>43278</v>
      </c>
      <c r="J410" s="24">
        <v>43340</v>
      </c>
    </row>
    <row r="411" spans="2:10" x14ac:dyDescent="0.2">
      <c r="B411" s="22">
        <v>407</v>
      </c>
      <c r="C411" s="21" t="s">
        <v>8556</v>
      </c>
      <c r="D411" s="21" t="s">
        <v>1804</v>
      </c>
      <c r="E411" s="20" t="s">
        <v>8557</v>
      </c>
      <c r="F411" s="22">
        <v>6</v>
      </c>
      <c r="G411" s="22" t="s">
        <v>8558</v>
      </c>
      <c r="H411" s="22">
        <v>1</v>
      </c>
      <c r="I411" s="25">
        <v>43213</v>
      </c>
      <c r="J411" s="24">
        <v>43319</v>
      </c>
    </row>
    <row r="412" spans="2:10" x14ac:dyDescent="0.2">
      <c r="B412" s="22">
        <v>408</v>
      </c>
      <c r="C412" s="21" t="s">
        <v>8559</v>
      </c>
      <c r="D412" s="21" t="s">
        <v>1039</v>
      </c>
      <c r="E412" s="20" t="s">
        <v>8560</v>
      </c>
      <c r="F412" s="22">
        <v>14</v>
      </c>
      <c r="G412" s="22" t="s">
        <v>8561</v>
      </c>
      <c r="H412" s="22">
        <v>3</v>
      </c>
      <c r="I412" s="25">
        <v>43348</v>
      </c>
      <c r="J412" s="24">
        <v>43389</v>
      </c>
    </row>
    <row r="413" spans="2:10" x14ac:dyDescent="0.2">
      <c r="B413" s="22">
        <v>409</v>
      </c>
      <c r="C413" s="21" t="s">
        <v>8562</v>
      </c>
      <c r="D413" s="21" t="s">
        <v>1804</v>
      </c>
      <c r="E413" s="20" t="s">
        <v>8563</v>
      </c>
      <c r="F413" s="22">
        <v>10</v>
      </c>
      <c r="G413" s="22" t="s">
        <v>8564</v>
      </c>
      <c r="H413" s="22">
        <v>1</v>
      </c>
      <c r="I413" s="25">
        <v>43348</v>
      </c>
      <c r="J413" s="24">
        <v>43438</v>
      </c>
    </row>
    <row r="414" spans="2:10" x14ac:dyDescent="0.2">
      <c r="B414" s="22">
        <v>410</v>
      </c>
      <c r="C414" s="21" t="s">
        <v>8565</v>
      </c>
      <c r="D414" s="21" t="s">
        <v>3627</v>
      </c>
      <c r="E414" s="20" t="s">
        <v>8566</v>
      </c>
      <c r="F414" s="22">
        <v>18</v>
      </c>
      <c r="G414" s="22" t="s">
        <v>8567</v>
      </c>
      <c r="H414" s="22">
        <v>2</v>
      </c>
      <c r="I414" s="25">
        <v>43180</v>
      </c>
      <c r="J414" s="24">
        <v>43235</v>
      </c>
    </row>
    <row r="415" spans="2:10" x14ac:dyDescent="0.2">
      <c r="B415" s="22">
        <v>411</v>
      </c>
      <c r="C415" s="21" t="s">
        <v>8568</v>
      </c>
      <c r="D415" s="21" t="s">
        <v>740</v>
      </c>
      <c r="E415" s="20" t="s">
        <v>8569</v>
      </c>
      <c r="F415" s="22">
        <v>51</v>
      </c>
      <c r="G415" s="22" t="s">
        <v>8570</v>
      </c>
      <c r="H415" s="22">
        <v>51</v>
      </c>
      <c r="I415" s="25">
        <v>43222</v>
      </c>
      <c r="J415" s="24">
        <v>43228</v>
      </c>
    </row>
    <row r="416" spans="2:10" x14ac:dyDescent="0.2">
      <c r="B416" s="22">
        <v>412</v>
      </c>
      <c r="C416" s="21" t="s">
        <v>8571</v>
      </c>
      <c r="D416" s="21" t="s">
        <v>1248</v>
      </c>
      <c r="E416" s="20" t="s">
        <v>8572</v>
      </c>
      <c r="F416" s="22">
        <v>49</v>
      </c>
      <c r="G416" s="22" t="s">
        <v>8573</v>
      </c>
      <c r="H416" s="22">
        <v>49</v>
      </c>
      <c r="I416" s="25">
        <v>43439</v>
      </c>
      <c r="J416" s="24">
        <v>43445</v>
      </c>
    </row>
    <row r="417" spans="2:10" x14ac:dyDescent="0.2">
      <c r="B417" s="22">
        <v>413</v>
      </c>
      <c r="C417" s="21" t="s">
        <v>8574</v>
      </c>
      <c r="D417" s="21" t="s">
        <v>1880</v>
      </c>
      <c r="E417" s="20" t="s">
        <v>8575</v>
      </c>
      <c r="F417" s="22">
        <v>5</v>
      </c>
      <c r="G417" s="22" t="s">
        <v>8576</v>
      </c>
      <c r="H417" s="22">
        <v>1</v>
      </c>
      <c r="I417" s="25">
        <v>43355</v>
      </c>
      <c r="J417" s="24">
        <v>43220</v>
      </c>
    </row>
    <row r="418" spans="2:10" x14ac:dyDescent="0.2">
      <c r="B418" s="22">
        <v>414</v>
      </c>
      <c r="C418" s="21" t="s">
        <v>8577</v>
      </c>
      <c r="D418" s="21" t="s">
        <v>1532</v>
      </c>
      <c r="E418" s="20" t="s">
        <v>8578</v>
      </c>
      <c r="F418" s="22">
        <v>4</v>
      </c>
      <c r="G418" s="22" t="s">
        <v>1159</v>
      </c>
      <c r="H418" s="22" t="s">
        <v>1159</v>
      </c>
      <c r="I418" s="25">
        <v>43341</v>
      </c>
      <c r="J418" s="24">
        <v>43452</v>
      </c>
    </row>
    <row r="419" spans="2:10" x14ac:dyDescent="0.2">
      <c r="B419" s="22">
        <v>415</v>
      </c>
      <c r="C419" s="21" t="s">
        <v>8579</v>
      </c>
      <c r="D419" s="21" t="s">
        <v>1594</v>
      </c>
      <c r="E419" s="20" t="s">
        <v>8580</v>
      </c>
      <c r="F419" s="22">
        <v>18</v>
      </c>
      <c r="G419" s="22" t="s">
        <v>8581</v>
      </c>
      <c r="H419" s="22">
        <v>18</v>
      </c>
      <c r="I419" s="25">
        <v>43390</v>
      </c>
      <c r="J419" s="24">
        <v>43403</v>
      </c>
    </row>
    <row r="420" spans="2:10" x14ac:dyDescent="0.2">
      <c r="B420" s="22">
        <v>416</v>
      </c>
      <c r="C420" s="21" t="s">
        <v>8582</v>
      </c>
      <c r="D420" s="21" t="s">
        <v>3627</v>
      </c>
      <c r="E420" s="20" t="s">
        <v>8583</v>
      </c>
      <c r="F420" s="22">
        <v>14</v>
      </c>
      <c r="G420" s="22" t="s">
        <v>8584</v>
      </c>
      <c r="H420" s="22">
        <v>2</v>
      </c>
      <c r="I420" s="25">
        <v>43257</v>
      </c>
      <c r="J420" s="24">
        <v>43326</v>
      </c>
    </row>
    <row r="421" spans="2:10" x14ac:dyDescent="0.2">
      <c r="B421" s="22">
        <v>417</v>
      </c>
      <c r="C421" s="21" t="s">
        <v>8585</v>
      </c>
      <c r="D421" s="21" t="s">
        <v>1532</v>
      </c>
      <c r="E421" s="20" t="s">
        <v>8586</v>
      </c>
      <c r="F421" s="22">
        <v>7</v>
      </c>
      <c r="G421" s="22" t="s">
        <v>8587</v>
      </c>
      <c r="H421" s="22">
        <v>2</v>
      </c>
      <c r="I421" s="25">
        <v>43110</v>
      </c>
      <c r="J421" s="24">
        <v>43361</v>
      </c>
    </row>
    <row r="422" spans="2:10" x14ac:dyDescent="0.2">
      <c r="B422" s="22">
        <v>418</v>
      </c>
      <c r="C422" s="21" t="s">
        <v>8588</v>
      </c>
      <c r="D422" s="21" t="s">
        <v>1572</v>
      </c>
      <c r="E422" s="20" t="s">
        <v>8589</v>
      </c>
      <c r="F422" s="22">
        <v>4</v>
      </c>
      <c r="G422" s="22" t="s">
        <v>8590</v>
      </c>
      <c r="H422" s="22">
        <v>2</v>
      </c>
      <c r="I422" s="25">
        <v>43194</v>
      </c>
      <c r="J422" s="24">
        <v>43305</v>
      </c>
    </row>
    <row r="423" spans="2:10" x14ac:dyDescent="0.2">
      <c r="B423" s="22">
        <v>419</v>
      </c>
      <c r="C423" s="21" t="s">
        <v>8591</v>
      </c>
      <c r="D423" s="21" t="s">
        <v>8234</v>
      </c>
      <c r="E423" s="20" t="s">
        <v>8592</v>
      </c>
      <c r="F423" s="22">
        <v>15</v>
      </c>
      <c r="G423" s="22" t="s">
        <v>8593</v>
      </c>
      <c r="H423" s="22">
        <v>2</v>
      </c>
      <c r="I423" s="25">
        <v>43159</v>
      </c>
      <c r="J423" s="24">
        <v>43172</v>
      </c>
    </row>
    <row r="424" spans="2:10" x14ac:dyDescent="0.2">
      <c r="B424" s="22">
        <v>420</v>
      </c>
      <c r="C424" s="21" t="s">
        <v>8594</v>
      </c>
      <c r="D424" s="21" t="s">
        <v>1248</v>
      </c>
      <c r="E424" s="20" t="s">
        <v>8595</v>
      </c>
      <c r="F424" s="22">
        <v>3</v>
      </c>
      <c r="G424" s="22" t="s">
        <v>8596</v>
      </c>
      <c r="H424" s="22">
        <v>1</v>
      </c>
      <c r="I424" s="25">
        <v>43173</v>
      </c>
      <c r="J424" s="24">
        <v>43270</v>
      </c>
    </row>
    <row r="425" spans="2:10" x14ac:dyDescent="0.2">
      <c r="B425" s="22">
        <v>421</v>
      </c>
      <c r="C425" s="21" t="s">
        <v>8597</v>
      </c>
      <c r="D425" s="21" t="s">
        <v>2114</v>
      </c>
      <c r="E425" s="20" t="s">
        <v>8598</v>
      </c>
      <c r="F425" s="22">
        <v>4</v>
      </c>
      <c r="G425" s="22" t="s">
        <v>8599</v>
      </c>
      <c r="H425" s="22">
        <v>2</v>
      </c>
      <c r="I425" s="25">
        <v>43110</v>
      </c>
      <c r="J425" s="24">
        <v>43284</v>
      </c>
    </row>
    <row r="426" spans="2:10" x14ac:dyDescent="0.2">
      <c r="B426" s="22">
        <v>422</v>
      </c>
      <c r="C426" s="21" t="s">
        <v>8600</v>
      </c>
      <c r="D426" s="21" t="s">
        <v>1294</v>
      </c>
      <c r="E426" s="20" t="s">
        <v>8601</v>
      </c>
      <c r="F426" s="22">
        <v>9</v>
      </c>
      <c r="G426" s="22" t="s">
        <v>8602</v>
      </c>
      <c r="H426" s="22">
        <v>1</v>
      </c>
      <c r="I426" s="25">
        <v>43264</v>
      </c>
      <c r="J426" s="24">
        <v>43312</v>
      </c>
    </row>
    <row r="427" spans="2:10" x14ac:dyDescent="0.2">
      <c r="B427" s="22">
        <v>423</v>
      </c>
      <c r="C427" s="21" t="s">
        <v>8603</v>
      </c>
      <c r="D427" s="21" t="s">
        <v>6537</v>
      </c>
      <c r="E427" s="20" t="s">
        <v>8049</v>
      </c>
      <c r="F427" s="22">
        <v>7</v>
      </c>
      <c r="G427" s="22" t="s">
        <v>8604</v>
      </c>
      <c r="H427" s="22">
        <v>2</v>
      </c>
      <c r="I427" s="25">
        <v>43339</v>
      </c>
      <c r="J427" s="24">
        <v>43403</v>
      </c>
    </row>
    <row r="428" spans="2:10" x14ac:dyDescent="0.2">
      <c r="B428" s="22">
        <v>424</v>
      </c>
      <c r="C428" s="21" t="s">
        <v>8605</v>
      </c>
      <c r="D428" s="21" t="s">
        <v>2051</v>
      </c>
      <c r="E428" s="20" t="s">
        <v>8606</v>
      </c>
      <c r="F428" s="22">
        <v>7</v>
      </c>
      <c r="G428" s="22" t="s">
        <v>8607</v>
      </c>
      <c r="H428" s="22">
        <v>1</v>
      </c>
      <c r="I428" s="25">
        <v>43236</v>
      </c>
      <c r="J428" s="24">
        <v>43115</v>
      </c>
    </row>
    <row r="429" spans="2:10" x14ac:dyDescent="0.2">
      <c r="B429" s="22">
        <v>425</v>
      </c>
      <c r="C429" s="21" t="s">
        <v>8608</v>
      </c>
      <c r="D429" s="21" t="s">
        <v>1142</v>
      </c>
      <c r="E429" s="20" t="s">
        <v>8609</v>
      </c>
      <c r="F429" s="22">
        <v>8</v>
      </c>
      <c r="G429" s="22" t="s">
        <v>8610</v>
      </c>
      <c r="H429" s="22">
        <v>1</v>
      </c>
      <c r="I429" s="25">
        <v>43397</v>
      </c>
      <c r="J429" s="24">
        <v>43452</v>
      </c>
    </row>
    <row r="430" spans="2:10" x14ac:dyDescent="0.2">
      <c r="B430" s="22">
        <v>426</v>
      </c>
      <c r="C430" s="21" t="s">
        <v>8611</v>
      </c>
      <c r="D430" s="21" t="s">
        <v>1294</v>
      </c>
      <c r="E430" s="20" t="s">
        <v>6599</v>
      </c>
      <c r="F430" s="22">
        <v>15</v>
      </c>
      <c r="G430" s="22" t="s">
        <v>1862</v>
      </c>
      <c r="H430" s="22">
        <v>1</v>
      </c>
      <c r="I430" s="25">
        <v>43201</v>
      </c>
      <c r="J430" s="24">
        <v>43242</v>
      </c>
    </row>
    <row r="431" spans="2:10" x14ac:dyDescent="0.2">
      <c r="B431" s="22">
        <v>427</v>
      </c>
      <c r="C431" s="21" t="s">
        <v>8612</v>
      </c>
      <c r="D431" s="21" t="s">
        <v>1572</v>
      </c>
      <c r="E431" s="20" t="s">
        <v>8613</v>
      </c>
      <c r="F431" s="22">
        <v>24</v>
      </c>
      <c r="G431" s="22" t="s">
        <v>8614</v>
      </c>
      <c r="H431" s="22">
        <v>24</v>
      </c>
      <c r="I431" s="25">
        <v>43397</v>
      </c>
      <c r="J431" s="24">
        <v>43424</v>
      </c>
    </row>
    <row r="432" spans="2:10" x14ac:dyDescent="0.2">
      <c r="B432" s="22">
        <v>428</v>
      </c>
      <c r="C432" s="21" t="s">
        <v>8615</v>
      </c>
      <c r="D432" s="21" t="s">
        <v>5254</v>
      </c>
      <c r="E432" s="20" t="s">
        <v>8616</v>
      </c>
      <c r="F432" s="22">
        <v>20</v>
      </c>
      <c r="G432" s="22" t="s">
        <v>8617</v>
      </c>
      <c r="H432" s="22">
        <v>20</v>
      </c>
      <c r="I432" s="25">
        <v>43131</v>
      </c>
      <c r="J432" s="24">
        <v>43151</v>
      </c>
    </row>
    <row r="433" spans="2:10" x14ac:dyDescent="0.2">
      <c r="B433" s="22">
        <v>429</v>
      </c>
      <c r="C433" s="21" t="s">
        <v>8618</v>
      </c>
      <c r="D433" s="21" t="s">
        <v>1631</v>
      </c>
      <c r="E433" s="20" t="s">
        <v>8619</v>
      </c>
      <c r="F433" s="22">
        <v>17</v>
      </c>
      <c r="G433" s="22" t="s">
        <v>8620</v>
      </c>
      <c r="H433" s="22">
        <v>17</v>
      </c>
      <c r="I433" s="25">
        <v>43257</v>
      </c>
      <c r="J433" s="24">
        <v>43277</v>
      </c>
    </row>
    <row r="434" spans="2:10" x14ac:dyDescent="0.2">
      <c r="B434" s="22">
        <v>430</v>
      </c>
      <c r="C434" s="21" t="s">
        <v>8621</v>
      </c>
      <c r="D434" s="21" t="s">
        <v>4084</v>
      </c>
      <c r="E434" s="20" t="s">
        <v>8622</v>
      </c>
      <c r="F434" s="22">
        <v>22</v>
      </c>
      <c r="G434" s="22" t="s">
        <v>8623</v>
      </c>
      <c r="H434" s="22">
        <v>22</v>
      </c>
      <c r="I434" s="25">
        <v>43334</v>
      </c>
      <c r="J434" s="24">
        <v>43368</v>
      </c>
    </row>
    <row r="435" spans="2:10" x14ac:dyDescent="0.2">
      <c r="B435" s="22">
        <v>431</v>
      </c>
      <c r="C435" s="21" t="s">
        <v>8624</v>
      </c>
      <c r="D435" s="21" t="s">
        <v>1804</v>
      </c>
      <c r="E435" s="20" t="s">
        <v>8625</v>
      </c>
      <c r="F435" s="22">
        <v>9</v>
      </c>
      <c r="G435" s="22" t="s">
        <v>8626</v>
      </c>
      <c r="H435" s="22">
        <v>5</v>
      </c>
      <c r="I435" s="25">
        <v>43178</v>
      </c>
      <c r="J435" s="24">
        <v>43249</v>
      </c>
    </row>
    <row r="436" spans="2:10" x14ac:dyDescent="0.2">
      <c r="B436" s="22">
        <v>432</v>
      </c>
      <c r="C436" s="21" t="s">
        <v>8627</v>
      </c>
      <c r="D436" s="21" t="s">
        <v>8353</v>
      </c>
      <c r="E436" s="20" t="s">
        <v>8628</v>
      </c>
      <c r="F436" s="22">
        <v>5</v>
      </c>
      <c r="G436" s="22" t="s">
        <v>8629</v>
      </c>
      <c r="H436" s="22">
        <v>1</v>
      </c>
      <c r="I436" s="25">
        <v>43173</v>
      </c>
      <c r="J436" s="24">
        <v>43375</v>
      </c>
    </row>
    <row r="437" spans="2:10" x14ac:dyDescent="0.2">
      <c r="B437" s="22">
        <v>433</v>
      </c>
      <c r="C437" s="21" t="s">
        <v>8630</v>
      </c>
      <c r="D437" s="21" t="s">
        <v>8631</v>
      </c>
      <c r="E437" s="20" t="s">
        <v>8632</v>
      </c>
      <c r="F437" s="22">
        <v>4</v>
      </c>
      <c r="G437" s="22" t="s">
        <v>8633</v>
      </c>
      <c r="H437" s="22">
        <v>1</v>
      </c>
      <c r="I437" s="25">
        <v>43236</v>
      </c>
      <c r="J437" s="24">
        <v>43375</v>
      </c>
    </row>
    <row r="438" spans="2:10" x14ac:dyDescent="0.2">
      <c r="B438" s="22">
        <v>434</v>
      </c>
      <c r="C438" s="21" t="s">
        <v>8634</v>
      </c>
      <c r="D438" s="21" t="s">
        <v>8635</v>
      </c>
      <c r="E438" s="20" t="s">
        <v>8636</v>
      </c>
      <c r="F438" s="22">
        <v>3</v>
      </c>
      <c r="G438" s="22" t="s">
        <v>8637</v>
      </c>
      <c r="H438" s="22">
        <v>3</v>
      </c>
      <c r="I438" s="25">
        <v>43222</v>
      </c>
      <c r="J438" s="22" t="s">
        <v>558</v>
      </c>
    </row>
    <row r="439" spans="2:10" x14ac:dyDescent="0.2">
      <c r="B439" s="22">
        <v>435</v>
      </c>
      <c r="C439" s="21" t="s">
        <v>8638</v>
      </c>
      <c r="D439" s="21" t="s">
        <v>8639</v>
      </c>
      <c r="E439" s="20" t="s">
        <v>8640</v>
      </c>
      <c r="F439" s="22" t="s">
        <v>1159</v>
      </c>
      <c r="G439" s="22" t="s">
        <v>1159</v>
      </c>
      <c r="H439" s="22" t="s">
        <v>1159</v>
      </c>
      <c r="I439" s="25">
        <v>43173</v>
      </c>
      <c r="J439" s="22" t="s">
        <v>558</v>
      </c>
    </row>
    <row r="440" spans="2:10" x14ac:dyDescent="0.2">
      <c r="B440" s="22">
        <v>436</v>
      </c>
      <c r="C440" s="21" t="s">
        <v>8641</v>
      </c>
      <c r="D440" s="21" t="s">
        <v>8642</v>
      </c>
      <c r="E440" s="20" t="s">
        <v>8643</v>
      </c>
      <c r="F440" s="22">
        <v>12</v>
      </c>
      <c r="G440" s="22" t="s">
        <v>8644</v>
      </c>
      <c r="H440" s="22">
        <v>12</v>
      </c>
      <c r="I440" s="25">
        <v>43278</v>
      </c>
      <c r="J440" s="24">
        <v>43301</v>
      </c>
    </row>
    <row r="441" spans="2:10" x14ac:dyDescent="0.2">
      <c r="B441" s="22">
        <v>437</v>
      </c>
      <c r="C441" s="21" t="s">
        <v>8645</v>
      </c>
      <c r="D441" s="21" t="s">
        <v>1183</v>
      </c>
      <c r="E441" s="20" t="s">
        <v>8646</v>
      </c>
      <c r="F441" s="22">
        <v>8</v>
      </c>
      <c r="G441" s="22" t="s">
        <v>8647</v>
      </c>
      <c r="H441" s="22">
        <v>8</v>
      </c>
      <c r="I441" s="25">
        <v>43180</v>
      </c>
      <c r="J441" s="24">
        <v>43207</v>
      </c>
    </row>
    <row r="442" spans="2:10" x14ac:dyDescent="0.2">
      <c r="B442" s="22">
        <v>438</v>
      </c>
      <c r="C442" s="21" t="s">
        <v>8648</v>
      </c>
      <c r="D442" s="21" t="s">
        <v>1519</v>
      </c>
      <c r="E442" s="20" t="s">
        <v>8649</v>
      </c>
      <c r="F442" s="22">
        <v>3</v>
      </c>
      <c r="G442" s="22" t="s">
        <v>8650</v>
      </c>
      <c r="H442" s="22">
        <v>1</v>
      </c>
      <c r="I442" s="25">
        <v>43117</v>
      </c>
      <c r="J442" s="24">
        <v>43224</v>
      </c>
    </row>
    <row r="443" spans="2:10" x14ac:dyDescent="0.2">
      <c r="B443" s="22">
        <v>439</v>
      </c>
      <c r="C443" s="21" t="s">
        <v>8651</v>
      </c>
      <c r="D443" s="21" t="s">
        <v>1338</v>
      </c>
      <c r="E443" s="20" t="s">
        <v>8652</v>
      </c>
      <c r="F443" s="22">
        <v>10</v>
      </c>
      <c r="G443" s="22" t="s">
        <v>8653</v>
      </c>
      <c r="H443" s="22">
        <v>2</v>
      </c>
      <c r="I443" s="25">
        <v>43411</v>
      </c>
      <c r="J443" s="24">
        <v>43115</v>
      </c>
    </row>
    <row r="444" spans="2:10" x14ac:dyDescent="0.2">
      <c r="B444" s="22">
        <v>440</v>
      </c>
      <c r="C444" s="21" t="s">
        <v>8654</v>
      </c>
      <c r="D444" s="21" t="s">
        <v>1294</v>
      </c>
      <c r="E444" s="20" t="s">
        <v>8655</v>
      </c>
      <c r="F444" s="22">
        <v>9</v>
      </c>
      <c r="G444" s="22" t="s">
        <v>2393</v>
      </c>
      <c r="H444" s="22">
        <v>1</v>
      </c>
      <c r="I444" s="25">
        <v>43250</v>
      </c>
      <c r="J444" s="24">
        <v>43312</v>
      </c>
    </row>
    <row r="445" spans="2:10" x14ac:dyDescent="0.2">
      <c r="B445" s="22">
        <v>441</v>
      </c>
      <c r="C445" s="21" t="s">
        <v>8656</v>
      </c>
      <c r="D445" s="21" t="s">
        <v>1135</v>
      </c>
      <c r="E445" s="20" t="s">
        <v>8657</v>
      </c>
      <c r="F445" s="22">
        <v>13</v>
      </c>
      <c r="G445" s="22" t="s">
        <v>8658</v>
      </c>
      <c r="H445" s="22">
        <v>13</v>
      </c>
      <c r="I445" s="25">
        <v>43222</v>
      </c>
      <c r="J445" s="24">
        <v>43235</v>
      </c>
    </row>
    <row r="446" spans="2:10" x14ac:dyDescent="0.2">
      <c r="B446" s="22">
        <v>442</v>
      </c>
      <c r="C446" s="21" t="s">
        <v>8659</v>
      </c>
      <c r="D446" s="21" t="s">
        <v>1942</v>
      </c>
      <c r="E446" s="20" t="s">
        <v>8660</v>
      </c>
      <c r="F446" s="22">
        <v>2</v>
      </c>
      <c r="G446" s="22" t="s">
        <v>8661</v>
      </c>
      <c r="H446" s="22">
        <v>1</v>
      </c>
      <c r="I446" s="25">
        <v>43138</v>
      </c>
      <c r="J446" s="24">
        <v>43256</v>
      </c>
    </row>
    <row r="447" spans="2:10" x14ac:dyDescent="0.2">
      <c r="B447" s="22">
        <v>443</v>
      </c>
      <c r="C447" s="21" t="s">
        <v>8662</v>
      </c>
      <c r="D447" s="21" t="s">
        <v>1248</v>
      </c>
      <c r="E447" s="20" t="s">
        <v>8663</v>
      </c>
      <c r="F447" s="22">
        <v>4</v>
      </c>
      <c r="G447" s="22" t="s">
        <v>8664</v>
      </c>
      <c r="H447" s="22">
        <v>1</v>
      </c>
      <c r="I447" s="25">
        <v>43304</v>
      </c>
      <c r="J447" s="24">
        <v>43385</v>
      </c>
    </row>
    <row r="448" spans="2:10" x14ac:dyDescent="0.2">
      <c r="B448" s="22">
        <v>444</v>
      </c>
      <c r="C448" s="21" t="s">
        <v>8665</v>
      </c>
      <c r="D448" s="21" t="s">
        <v>1532</v>
      </c>
      <c r="E448" s="20" t="s">
        <v>8666</v>
      </c>
      <c r="F448" s="22">
        <v>4</v>
      </c>
      <c r="G448" s="22" t="s">
        <v>1159</v>
      </c>
      <c r="H448" s="22" t="s">
        <v>1159</v>
      </c>
      <c r="I448" s="25">
        <v>43425</v>
      </c>
      <c r="J448" s="24">
        <v>43416</v>
      </c>
    </row>
    <row r="449" spans="2:10" x14ac:dyDescent="0.2">
      <c r="B449" s="22">
        <v>445</v>
      </c>
      <c r="C449" s="21" t="s">
        <v>8667</v>
      </c>
      <c r="D449" s="21" t="s">
        <v>1377</v>
      </c>
      <c r="E449" s="20" t="s">
        <v>8668</v>
      </c>
      <c r="F449" s="22">
        <v>24</v>
      </c>
      <c r="G449" s="22" t="s">
        <v>8669</v>
      </c>
      <c r="H449" s="22">
        <v>24</v>
      </c>
      <c r="I449" s="25">
        <v>43257</v>
      </c>
      <c r="J449" s="24">
        <v>43270</v>
      </c>
    </row>
    <row r="450" spans="2:10" x14ac:dyDescent="0.2">
      <c r="B450" s="22">
        <v>446</v>
      </c>
      <c r="C450" s="21" t="s">
        <v>8670</v>
      </c>
      <c r="D450" s="21" t="s">
        <v>8671</v>
      </c>
      <c r="E450" s="20" t="s">
        <v>8672</v>
      </c>
      <c r="F450" s="22">
        <v>5</v>
      </c>
      <c r="G450" s="22" t="s">
        <v>8673</v>
      </c>
      <c r="H450" s="22">
        <v>5</v>
      </c>
      <c r="I450" s="25">
        <v>43243</v>
      </c>
      <c r="J450" s="24">
        <v>43249</v>
      </c>
    </row>
    <row r="451" spans="2:10" x14ac:dyDescent="0.2">
      <c r="B451" s="22">
        <v>447</v>
      </c>
      <c r="C451" s="21" t="s">
        <v>8674</v>
      </c>
      <c r="D451" s="21" t="s">
        <v>4383</v>
      </c>
      <c r="E451" s="20" t="s">
        <v>8675</v>
      </c>
      <c r="F451" s="22">
        <v>8</v>
      </c>
      <c r="G451" s="22" t="s">
        <v>8676</v>
      </c>
      <c r="H451" s="22">
        <v>1</v>
      </c>
      <c r="I451" s="25">
        <v>43236</v>
      </c>
      <c r="J451" s="24">
        <v>43305</v>
      </c>
    </row>
    <row r="452" spans="2:10" x14ac:dyDescent="0.2">
      <c r="B452" s="22">
        <v>448</v>
      </c>
      <c r="C452" s="21" t="s">
        <v>8677</v>
      </c>
      <c r="D452" s="21" t="s">
        <v>4860</v>
      </c>
      <c r="E452" s="20" t="s">
        <v>8678</v>
      </c>
      <c r="F452" s="22">
        <v>5</v>
      </c>
      <c r="G452" s="22" t="s">
        <v>8679</v>
      </c>
      <c r="H452" s="22">
        <v>1</v>
      </c>
      <c r="I452" s="25">
        <v>43299</v>
      </c>
      <c r="J452" s="24">
        <v>43315</v>
      </c>
    </row>
    <row r="453" spans="2:10" x14ac:dyDescent="0.2">
      <c r="B453" s="22">
        <v>449</v>
      </c>
      <c r="C453" s="21" t="s">
        <v>8680</v>
      </c>
      <c r="D453" s="21" t="s">
        <v>3627</v>
      </c>
      <c r="E453" s="20" t="s">
        <v>8681</v>
      </c>
      <c r="F453" s="22">
        <v>16</v>
      </c>
      <c r="G453" s="22" t="s">
        <v>8682</v>
      </c>
      <c r="H453" s="22">
        <v>3</v>
      </c>
      <c r="I453" s="25">
        <v>43320</v>
      </c>
      <c r="J453" s="24">
        <v>43403</v>
      </c>
    </row>
    <row r="454" spans="2:10" x14ac:dyDescent="0.2">
      <c r="B454" s="22">
        <v>450</v>
      </c>
      <c r="C454" s="21" t="s">
        <v>8683</v>
      </c>
      <c r="D454" s="21" t="s">
        <v>4805</v>
      </c>
      <c r="E454" s="20" t="s">
        <v>8684</v>
      </c>
      <c r="F454" s="22">
        <v>5</v>
      </c>
      <c r="G454" s="22" t="s">
        <v>8685</v>
      </c>
      <c r="H454" s="22">
        <v>1</v>
      </c>
      <c r="I454" s="25">
        <v>43110</v>
      </c>
      <c r="J454" s="24">
        <v>43172</v>
      </c>
    </row>
    <row r="455" spans="2:10" x14ac:dyDescent="0.2">
      <c r="B455" s="22">
        <v>451</v>
      </c>
      <c r="C455" s="21" t="s">
        <v>8686</v>
      </c>
      <c r="D455" s="21" t="s">
        <v>1269</v>
      </c>
      <c r="E455" s="20" t="s">
        <v>8687</v>
      </c>
      <c r="F455" s="22">
        <v>44</v>
      </c>
      <c r="G455" s="22" t="s">
        <v>8688</v>
      </c>
      <c r="H455" s="22">
        <v>40</v>
      </c>
      <c r="I455" s="25">
        <v>43341</v>
      </c>
      <c r="J455" s="24">
        <v>43382</v>
      </c>
    </row>
    <row r="456" spans="2:10" x14ac:dyDescent="0.2">
      <c r="B456" s="22">
        <v>452</v>
      </c>
      <c r="C456" s="21" t="s">
        <v>8689</v>
      </c>
      <c r="D456" s="21" t="s">
        <v>8241</v>
      </c>
      <c r="E456" s="20" t="s">
        <v>8690</v>
      </c>
      <c r="F456" s="22">
        <v>10</v>
      </c>
      <c r="G456" s="22" t="s">
        <v>8691</v>
      </c>
      <c r="H456" s="22">
        <v>5</v>
      </c>
      <c r="I456" s="25">
        <v>43215</v>
      </c>
      <c r="J456" s="24">
        <v>43277</v>
      </c>
    </row>
    <row r="457" spans="2:10" x14ac:dyDescent="0.2">
      <c r="B457" s="22">
        <v>453</v>
      </c>
      <c r="C457" s="21" t="s">
        <v>8692</v>
      </c>
      <c r="D457" s="21" t="s">
        <v>1804</v>
      </c>
      <c r="E457" s="20" t="s">
        <v>8693</v>
      </c>
      <c r="F457" s="22">
        <v>2</v>
      </c>
      <c r="G457" s="22" t="s">
        <v>8694</v>
      </c>
      <c r="H457" s="22">
        <v>1</v>
      </c>
      <c r="I457" s="25">
        <v>43103</v>
      </c>
      <c r="J457" s="24">
        <v>43207</v>
      </c>
    </row>
    <row r="458" spans="2:10" x14ac:dyDescent="0.2">
      <c r="B458" s="22">
        <v>454</v>
      </c>
      <c r="C458" s="21" t="s">
        <v>8695</v>
      </c>
      <c r="D458" s="21" t="s">
        <v>1043</v>
      </c>
      <c r="E458" s="20" t="s">
        <v>8696</v>
      </c>
      <c r="F458" s="22">
        <v>28</v>
      </c>
      <c r="G458" s="22" t="s">
        <v>8697</v>
      </c>
      <c r="H458" s="22">
        <v>28</v>
      </c>
      <c r="I458" s="25">
        <v>43180</v>
      </c>
      <c r="J458" s="24">
        <v>43193</v>
      </c>
    </row>
    <row r="459" spans="2:10" x14ac:dyDescent="0.2">
      <c r="B459" s="22">
        <v>455</v>
      </c>
      <c r="C459" s="21" t="s">
        <v>8698</v>
      </c>
      <c r="D459" s="21" t="s">
        <v>1175</v>
      </c>
      <c r="E459" s="20" t="s">
        <v>8699</v>
      </c>
      <c r="F459" s="22">
        <v>8</v>
      </c>
      <c r="G459" s="22" t="s">
        <v>8700</v>
      </c>
      <c r="H459" s="22">
        <v>8</v>
      </c>
      <c r="I459" s="25">
        <v>43138</v>
      </c>
      <c r="J459" s="22" t="s">
        <v>558</v>
      </c>
    </row>
    <row r="460" spans="2:10" x14ac:dyDescent="0.2">
      <c r="B460" s="22">
        <v>456</v>
      </c>
      <c r="C460" s="21" t="s">
        <v>8701</v>
      </c>
      <c r="D460" s="21" t="s">
        <v>1142</v>
      </c>
      <c r="E460" s="20" t="s">
        <v>8702</v>
      </c>
      <c r="F460" s="22">
        <v>4</v>
      </c>
      <c r="G460" s="22" t="s">
        <v>8703</v>
      </c>
      <c r="H460" s="22">
        <v>1</v>
      </c>
      <c r="I460" s="25">
        <v>43173</v>
      </c>
      <c r="J460" s="24">
        <v>43249</v>
      </c>
    </row>
    <row r="461" spans="2:10" x14ac:dyDescent="0.2">
      <c r="B461" s="22">
        <v>457</v>
      </c>
      <c r="C461" s="21" t="s">
        <v>8704</v>
      </c>
      <c r="D461" s="21" t="s">
        <v>1235</v>
      </c>
      <c r="E461" s="20" t="s">
        <v>8705</v>
      </c>
      <c r="F461" s="22">
        <v>8</v>
      </c>
      <c r="G461" s="22" t="s">
        <v>8706</v>
      </c>
      <c r="H461" s="22">
        <v>8</v>
      </c>
      <c r="I461" s="25">
        <v>43313</v>
      </c>
      <c r="J461" s="24">
        <v>43326</v>
      </c>
    </row>
    <row r="462" spans="2:10" x14ac:dyDescent="0.2">
      <c r="B462" s="22">
        <v>458</v>
      </c>
      <c r="C462" s="21" t="s">
        <v>8707</v>
      </c>
      <c r="D462" s="21" t="s">
        <v>1739</v>
      </c>
      <c r="E462" s="20" t="s">
        <v>8708</v>
      </c>
      <c r="F462" s="22">
        <v>4</v>
      </c>
      <c r="G462" s="22" t="s">
        <v>8709</v>
      </c>
      <c r="H462" s="22">
        <v>1</v>
      </c>
      <c r="I462" s="25">
        <v>43332</v>
      </c>
      <c r="J462" s="24">
        <v>43410</v>
      </c>
    </row>
    <row r="463" spans="2:10" x14ac:dyDescent="0.2">
      <c r="B463" s="22">
        <v>459</v>
      </c>
      <c r="C463" s="21" t="s">
        <v>8710</v>
      </c>
      <c r="D463" s="21" t="s">
        <v>8711</v>
      </c>
      <c r="E463" s="20" t="s">
        <v>8712</v>
      </c>
      <c r="F463" s="22">
        <v>7</v>
      </c>
      <c r="G463" s="22" t="s">
        <v>8713</v>
      </c>
      <c r="H463" s="22">
        <v>6</v>
      </c>
      <c r="I463" s="25">
        <v>43138</v>
      </c>
      <c r="J463" s="24">
        <v>43214</v>
      </c>
    </row>
    <row r="464" spans="2:10" x14ac:dyDescent="0.2">
      <c r="B464" s="22">
        <v>460</v>
      </c>
      <c r="C464" s="21" t="s">
        <v>8714</v>
      </c>
      <c r="D464" s="21" t="s">
        <v>1235</v>
      </c>
      <c r="E464" s="20" t="s">
        <v>8715</v>
      </c>
      <c r="F464" s="22">
        <v>25</v>
      </c>
      <c r="G464" s="22" t="s">
        <v>8716</v>
      </c>
      <c r="H464" s="22">
        <v>25</v>
      </c>
      <c r="I464" s="25">
        <v>43383</v>
      </c>
      <c r="J464" s="24">
        <v>43406</v>
      </c>
    </row>
    <row r="465" spans="2:10" x14ac:dyDescent="0.2">
      <c r="B465" s="22">
        <v>461</v>
      </c>
      <c r="C465" s="21" t="s">
        <v>8717</v>
      </c>
      <c r="D465" s="21" t="s">
        <v>4084</v>
      </c>
      <c r="E465" s="20" t="s">
        <v>8718</v>
      </c>
      <c r="F465" s="22">
        <v>1</v>
      </c>
      <c r="G465" s="22" t="s">
        <v>8719</v>
      </c>
      <c r="H465" s="22">
        <v>1</v>
      </c>
      <c r="I465" s="25">
        <v>43362</v>
      </c>
      <c r="J465" s="24">
        <v>43375</v>
      </c>
    </row>
    <row r="466" spans="2:10" x14ac:dyDescent="0.2">
      <c r="B466" s="22">
        <v>462</v>
      </c>
      <c r="C466" s="21" t="s">
        <v>8720</v>
      </c>
      <c r="D466" s="21" t="s">
        <v>1942</v>
      </c>
      <c r="E466" s="20" t="s">
        <v>8721</v>
      </c>
      <c r="F466" s="22">
        <v>3</v>
      </c>
      <c r="G466" s="22" t="s">
        <v>8722</v>
      </c>
      <c r="H466" s="22">
        <v>3</v>
      </c>
      <c r="I466" s="25">
        <v>43418</v>
      </c>
      <c r="J466" s="24">
        <v>43115</v>
      </c>
    </row>
    <row r="467" spans="2:10" x14ac:dyDescent="0.2">
      <c r="B467" s="22">
        <v>463</v>
      </c>
      <c r="C467" s="21" t="s">
        <v>8723</v>
      </c>
      <c r="D467" s="21" t="s">
        <v>1175</v>
      </c>
      <c r="E467" s="20" t="s">
        <v>8724</v>
      </c>
      <c r="F467" s="22">
        <v>2</v>
      </c>
      <c r="G467" s="22" t="s">
        <v>1159</v>
      </c>
      <c r="H467" s="22" t="s">
        <v>1159</v>
      </c>
      <c r="I467" s="25">
        <v>43334</v>
      </c>
      <c r="J467" s="24">
        <v>43350</v>
      </c>
    </row>
    <row r="468" spans="2:10" x14ac:dyDescent="0.2">
      <c r="B468" s="22">
        <v>464</v>
      </c>
      <c r="C468" s="21" t="s">
        <v>8725</v>
      </c>
      <c r="D468" s="21" t="s">
        <v>6537</v>
      </c>
      <c r="E468" s="20" t="s">
        <v>8726</v>
      </c>
      <c r="F468" s="22">
        <v>10</v>
      </c>
      <c r="G468" s="22" t="s">
        <v>8727</v>
      </c>
      <c r="H468" s="22">
        <v>8</v>
      </c>
      <c r="I468" s="25">
        <v>43215</v>
      </c>
      <c r="J468" s="24">
        <v>43235</v>
      </c>
    </row>
    <row r="469" spans="2:10" x14ac:dyDescent="0.2">
      <c r="B469" s="22">
        <v>465</v>
      </c>
      <c r="C469" s="21" t="s">
        <v>8728</v>
      </c>
      <c r="D469" s="21" t="s">
        <v>1739</v>
      </c>
      <c r="E469" s="20" t="s">
        <v>8729</v>
      </c>
      <c r="F469" s="22">
        <v>6</v>
      </c>
      <c r="G469" s="22" t="s">
        <v>8730</v>
      </c>
      <c r="H469" s="22">
        <v>4</v>
      </c>
      <c r="I469" s="25">
        <v>43362</v>
      </c>
      <c r="J469" s="24">
        <v>43389</v>
      </c>
    </row>
    <row r="470" spans="2:10" x14ac:dyDescent="0.2">
      <c r="B470" s="22">
        <v>466</v>
      </c>
      <c r="C470" s="21" t="s">
        <v>8731</v>
      </c>
      <c r="D470" s="21" t="s">
        <v>1269</v>
      </c>
      <c r="E470" s="20" t="s">
        <v>8732</v>
      </c>
      <c r="F470" s="22">
        <v>13</v>
      </c>
      <c r="G470" s="22" t="s">
        <v>8733</v>
      </c>
      <c r="H470" s="22">
        <v>13</v>
      </c>
      <c r="I470" s="25">
        <v>43447</v>
      </c>
      <c r="J470" s="22" t="s">
        <v>558</v>
      </c>
    </row>
    <row r="471" spans="2:10" x14ac:dyDescent="0.2">
      <c r="B471" s="22">
        <v>467</v>
      </c>
      <c r="C471" s="21" t="s">
        <v>8734</v>
      </c>
      <c r="D471" s="21" t="s">
        <v>1269</v>
      </c>
      <c r="E471" s="20" t="s">
        <v>8735</v>
      </c>
      <c r="F471" s="22">
        <v>18</v>
      </c>
      <c r="G471" s="22" t="s">
        <v>8736</v>
      </c>
      <c r="H471" s="22">
        <v>18</v>
      </c>
      <c r="I471" s="25">
        <v>43173</v>
      </c>
      <c r="J471" s="24">
        <v>43186</v>
      </c>
    </row>
    <row r="472" spans="2:10" x14ac:dyDescent="0.2">
      <c r="B472" s="22">
        <v>468</v>
      </c>
      <c r="C472" s="21" t="s">
        <v>8737</v>
      </c>
      <c r="D472" s="21" t="s">
        <v>1039</v>
      </c>
      <c r="E472" s="20" t="s">
        <v>8738</v>
      </c>
      <c r="F472" s="22">
        <v>5</v>
      </c>
      <c r="G472" s="22" t="s">
        <v>4552</v>
      </c>
      <c r="H472" s="22">
        <v>3</v>
      </c>
      <c r="I472" s="25">
        <v>43250</v>
      </c>
      <c r="J472" s="24">
        <v>43305</v>
      </c>
    </row>
    <row r="473" spans="2:10" x14ac:dyDescent="0.2">
      <c r="B473" s="22">
        <v>469</v>
      </c>
      <c r="C473" s="21" t="s">
        <v>8739</v>
      </c>
      <c r="D473" s="21" t="s">
        <v>1640</v>
      </c>
      <c r="E473" s="20" t="s">
        <v>8740</v>
      </c>
      <c r="F473" s="22">
        <v>3</v>
      </c>
      <c r="G473" s="22" t="s">
        <v>8741</v>
      </c>
      <c r="H473" s="22">
        <v>1</v>
      </c>
      <c r="I473" s="25">
        <v>43346</v>
      </c>
      <c r="J473" s="24">
        <v>43410</v>
      </c>
    </row>
    <row r="474" spans="2:10" x14ac:dyDescent="0.2">
      <c r="B474" s="22">
        <v>470</v>
      </c>
      <c r="C474" s="21" t="s">
        <v>8742</v>
      </c>
      <c r="D474" s="21" t="s">
        <v>1039</v>
      </c>
      <c r="E474" s="20" t="s">
        <v>8743</v>
      </c>
      <c r="F474" s="22">
        <v>14</v>
      </c>
      <c r="G474" s="22" t="s">
        <v>8744</v>
      </c>
      <c r="H474" s="22">
        <v>4</v>
      </c>
      <c r="I474" s="25">
        <v>43397</v>
      </c>
      <c r="J474" s="24">
        <v>43445</v>
      </c>
    </row>
    <row r="475" spans="2:10" x14ac:dyDescent="0.2">
      <c r="B475" s="22">
        <v>471</v>
      </c>
      <c r="C475" s="21" t="s">
        <v>8745</v>
      </c>
      <c r="D475" s="21" t="s">
        <v>8353</v>
      </c>
      <c r="E475" s="20" t="s">
        <v>8746</v>
      </c>
      <c r="F475" s="22">
        <v>3</v>
      </c>
      <c r="G475" s="22" t="s">
        <v>8747</v>
      </c>
      <c r="H475" s="22">
        <v>1</v>
      </c>
      <c r="I475" s="25">
        <v>43180</v>
      </c>
      <c r="J475" s="24">
        <v>43235</v>
      </c>
    </row>
    <row r="476" spans="2:10" x14ac:dyDescent="0.2">
      <c r="B476" s="22">
        <v>472</v>
      </c>
      <c r="C476" s="21" t="s">
        <v>8748</v>
      </c>
      <c r="D476" s="21" t="s">
        <v>1269</v>
      </c>
      <c r="E476" s="20" t="s">
        <v>8749</v>
      </c>
      <c r="F476" s="22">
        <v>39</v>
      </c>
      <c r="G476" s="22" t="s">
        <v>1159</v>
      </c>
      <c r="H476" s="22" t="s">
        <v>1159</v>
      </c>
      <c r="I476" s="25">
        <v>43299</v>
      </c>
      <c r="J476" s="24">
        <v>43382</v>
      </c>
    </row>
    <row r="477" spans="2:10" x14ac:dyDescent="0.2">
      <c r="B477" s="22">
        <v>473</v>
      </c>
      <c r="C477" s="21" t="s">
        <v>8750</v>
      </c>
      <c r="D477" s="21" t="s">
        <v>1039</v>
      </c>
      <c r="E477" s="20" t="s">
        <v>8751</v>
      </c>
      <c r="F477" s="22">
        <v>7</v>
      </c>
      <c r="G477" s="22" t="s">
        <v>8752</v>
      </c>
      <c r="H477" s="22">
        <v>6</v>
      </c>
      <c r="I477" s="25">
        <v>43117</v>
      </c>
      <c r="J477" s="22" t="s">
        <v>558</v>
      </c>
    </row>
    <row r="478" spans="2:10" x14ac:dyDescent="0.2">
      <c r="B478" s="22">
        <v>474</v>
      </c>
      <c r="C478" s="21" t="s">
        <v>8753</v>
      </c>
      <c r="D478" s="21" t="s">
        <v>3627</v>
      </c>
      <c r="E478" s="20" t="s">
        <v>8754</v>
      </c>
      <c r="F478" s="22">
        <v>13</v>
      </c>
      <c r="G478" s="22" t="s">
        <v>8755</v>
      </c>
      <c r="H478" s="22">
        <v>13</v>
      </c>
      <c r="I478" s="25">
        <v>43138</v>
      </c>
      <c r="J478" s="22" t="s">
        <v>558</v>
      </c>
    </row>
    <row r="479" spans="2:10" x14ac:dyDescent="0.2">
      <c r="B479" s="22">
        <v>475</v>
      </c>
      <c r="C479" s="21" t="s">
        <v>8756</v>
      </c>
      <c r="D479" s="21" t="s">
        <v>1572</v>
      </c>
      <c r="E479" s="20" t="s">
        <v>8757</v>
      </c>
      <c r="F479" s="22">
        <v>4</v>
      </c>
      <c r="G479" s="22" t="s">
        <v>8758</v>
      </c>
      <c r="H479" s="22">
        <v>2</v>
      </c>
      <c r="I479" s="25">
        <v>43222</v>
      </c>
      <c r="J479" s="24">
        <v>43315</v>
      </c>
    </row>
    <row r="480" spans="2:10" x14ac:dyDescent="0.2">
      <c r="B480" s="22">
        <v>476</v>
      </c>
      <c r="C480" s="21" t="s">
        <v>8759</v>
      </c>
      <c r="D480" s="21" t="s">
        <v>1039</v>
      </c>
      <c r="E480" s="20" t="s">
        <v>8760</v>
      </c>
      <c r="F480" s="22">
        <v>69</v>
      </c>
      <c r="G480" s="22" t="s">
        <v>8761</v>
      </c>
      <c r="H480" s="22">
        <v>69</v>
      </c>
      <c r="I480" s="25">
        <v>43376</v>
      </c>
      <c r="J480" s="24">
        <v>43403</v>
      </c>
    </row>
    <row r="481" spans="2:10" x14ac:dyDescent="0.2">
      <c r="B481" s="22">
        <v>477</v>
      </c>
      <c r="C481" s="21" t="s">
        <v>8762</v>
      </c>
      <c r="D481" s="21" t="s">
        <v>1294</v>
      </c>
      <c r="E481" s="20" t="s">
        <v>4198</v>
      </c>
      <c r="F481" s="22">
        <v>7</v>
      </c>
      <c r="G481" s="22" t="s">
        <v>8763</v>
      </c>
      <c r="H481" s="22">
        <v>1</v>
      </c>
      <c r="I481" s="25">
        <v>43355</v>
      </c>
      <c r="J481" s="24">
        <v>43382</v>
      </c>
    </row>
    <row r="482" spans="2:10" x14ac:dyDescent="0.2">
      <c r="B482" s="22">
        <v>478</v>
      </c>
      <c r="C482" s="21" t="s">
        <v>8764</v>
      </c>
      <c r="D482" s="21" t="s">
        <v>1804</v>
      </c>
      <c r="E482" s="20" t="s">
        <v>8765</v>
      </c>
      <c r="F482" s="22">
        <v>5</v>
      </c>
      <c r="G482" s="22" t="s">
        <v>8766</v>
      </c>
      <c r="H482" s="22">
        <v>1</v>
      </c>
      <c r="I482" s="25">
        <v>43327</v>
      </c>
      <c r="J482" s="24">
        <v>43403</v>
      </c>
    </row>
    <row r="483" spans="2:10" x14ac:dyDescent="0.2">
      <c r="B483" s="22">
        <v>479</v>
      </c>
      <c r="C483" s="21" t="s">
        <v>8767</v>
      </c>
      <c r="D483" s="21" t="s">
        <v>1942</v>
      </c>
      <c r="E483" s="20" t="s">
        <v>6729</v>
      </c>
      <c r="F483" s="22">
        <v>2</v>
      </c>
      <c r="G483" s="22" t="s">
        <v>8768</v>
      </c>
      <c r="H483" s="22">
        <v>1</v>
      </c>
      <c r="I483" s="25">
        <v>43439</v>
      </c>
      <c r="J483" s="24">
        <v>43220</v>
      </c>
    </row>
    <row r="484" spans="2:10" x14ac:dyDescent="0.2">
      <c r="B484" s="22">
        <v>480</v>
      </c>
      <c r="C484" s="21" t="s">
        <v>8769</v>
      </c>
      <c r="D484" s="21" t="s">
        <v>8770</v>
      </c>
      <c r="E484" s="20" t="s">
        <v>8771</v>
      </c>
      <c r="F484" s="22">
        <v>3</v>
      </c>
      <c r="G484" s="22" t="s">
        <v>8772</v>
      </c>
      <c r="H484" s="22">
        <v>1</v>
      </c>
      <c r="I484" s="25">
        <v>43222</v>
      </c>
      <c r="J484" s="24">
        <v>43277</v>
      </c>
    </row>
    <row r="485" spans="2:10" x14ac:dyDescent="0.2">
      <c r="B485" s="22">
        <v>481</v>
      </c>
      <c r="C485" s="21" t="s">
        <v>8773</v>
      </c>
      <c r="D485" s="21" t="s">
        <v>1039</v>
      </c>
      <c r="E485" s="20" t="s">
        <v>8774</v>
      </c>
      <c r="F485" s="22">
        <v>9</v>
      </c>
      <c r="G485" s="22" t="s">
        <v>8775</v>
      </c>
      <c r="H485" s="22">
        <v>4</v>
      </c>
      <c r="I485" s="25">
        <v>43306</v>
      </c>
      <c r="J485" s="24">
        <v>43354</v>
      </c>
    </row>
    <row r="486" spans="2:10" x14ac:dyDescent="0.2">
      <c r="B486" s="22">
        <v>482</v>
      </c>
      <c r="C486" s="21" t="s">
        <v>8776</v>
      </c>
      <c r="D486" s="21" t="s">
        <v>1294</v>
      </c>
      <c r="E486" s="20" t="s">
        <v>8777</v>
      </c>
      <c r="F486" s="22">
        <v>8</v>
      </c>
      <c r="G486" s="22" t="s">
        <v>8778</v>
      </c>
      <c r="H486" s="22">
        <v>1</v>
      </c>
      <c r="I486" s="25">
        <v>43145</v>
      </c>
      <c r="J486" s="24">
        <v>43172</v>
      </c>
    </row>
    <row r="487" spans="2:10" x14ac:dyDescent="0.2">
      <c r="B487" s="22">
        <v>483</v>
      </c>
      <c r="C487" s="21" t="s">
        <v>8779</v>
      </c>
      <c r="D487" s="21" t="s">
        <v>2270</v>
      </c>
      <c r="E487" s="20" t="s">
        <v>8780</v>
      </c>
      <c r="F487" s="22">
        <v>3</v>
      </c>
      <c r="G487" s="22" t="s">
        <v>8781</v>
      </c>
      <c r="H487" s="22">
        <v>1</v>
      </c>
      <c r="I487" s="25">
        <v>43152</v>
      </c>
      <c r="J487" s="24">
        <v>43263</v>
      </c>
    </row>
    <row r="488" spans="2:10" x14ac:dyDescent="0.2">
      <c r="B488" s="22">
        <v>484</v>
      </c>
      <c r="C488" s="21" t="s">
        <v>8782</v>
      </c>
      <c r="D488" s="21" t="s">
        <v>8783</v>
      </c>
      <c r="E488" s="20" t="s">
        <v>8784</v>
      </c>
      <c r="F488" s="22">
        <v>15</v>
      </c>
      <c r="G488" s="22" t="s">
        <v>8785</v>
      </c>
      <c r="H488" s="22">
        <v>1</v>
      </c>
      <c r="I488" s="25">
        <v>43236</v>
      </c>
      <c r="J488" s="24">
        <v>43319</v>
      </c>
    </row>
    <row r="489" spans="2:10" x14ac:dyDescent="0.2">
      <c r="B489" s="22">
        <v>485</v>
      </c>
      <c r="C489" s="21" t="s">
        <v>8786</v>
      </c>
      <c r="D489" s="21" t="s">
        <v>2010</v>
      </c>
      <c r="E489" s="20" t="s">
        <v>8787</v>
      </c>
      <c r="F489" s="22">
        <v>4</v>
      </c>
      <c r="G489" s="22" t="s">
        <v>8788</v>
      </c>
      <c r="H489" s="22">
        <v>1</v>
      </c>
      <c r="I489" s="25">
        <v>43208</v>
      </c>
      <c r="J489" s="24">
        <v>43452</v>
      </c>
    </row>
    <row r="490" spans="2:10" x14ac:dyDescent="0.2">
      <c r="B490" s="22">
        <v>486</v>
      </c>
      <c r="C490" s="21" t="s">
        <v>8789</v>
      </c>
      <c r="D490" s="21" t="s">
        <v>6375</v>
      </c>
      <c r="E490" s="20" t="s">
        <v>8790</v>
      </c>
      <c r="F490" s="22">
        <v>1</v>
      </c>
      <c r="G490" s="22" t="s">
        <v>8791</v>
      </c>
      <c r="H490" s="22">
        <v>1</v>
      </c>
      <c r="I490" s="25">
        <v>43362</v>
      </c>
      <c r="J490" s="22" t="s">
        <v>558</v>
      </c>
    </row>
    <row r="491" spans="2:10" x14ac:dyDescent="0.2">
      <c r="B491" s="22">
        <v>487</v>
      </c>
      <c r="C491" s="21" t="s">
        <v>8792</v>
      </c>
      <c r="D491" s="21" t="s">
        <v>6728</v>
      </c>
      <c r="E491" s="20" t="s">
        <v>8793</v>
      </c>
      <c r="F491" s="22">
        <v>4</v>
      </c>
      <c r="G491" s="22" t="s">
        <v>8794</v>
      </c>
      <c r="H491" s="22">
        <v>2</v>
      </c>
      <c r="I491" s="25">
        <v>43215</v>
      </c>
      <c r="J491" s="24">
        <v>43270</v>
      </c>
    </row>
    <row r="492" spans="2:10" x14ac:dyDescent="0.2">
      <c r="B492" s="22">
        <v>488</v>
      </c>
      <c r="C492" s="21" t="s">
        <v>8795</v>
      </c>
      <c r="D492" s="21" t="s">
        <v>3627</v>
      </c>
      <c r="E492" s="20" t="s">
        <v>8796</v>
      </c>
      <c r="F492" s="22">
        <v>11</v>
      </c>
      <c r="G492" s="22" t="s">
        <v>8797</v>
      </c>
      <c r="H492" s="22">
        <v>3</v>
      </c>
      <c r="I492" s="25">
        <v>43411</v>
      </c>
      <c r="J492" s="22" t="s">
        <v>558</v>
      </c>
    </row>
    <row r="493" spans="2:10" x14ac:dyDescent="0.2">
      <c r="B493" s="22">
        <v>489</v>
      </c>
      <c r="C493" s="21" t="s">
        <v>8798</v>
      </c>
      <c r="D493" s="21" t="s">
        <v>8799</v>
      </c>
      <c r="E493" s="20" t="s">
        <v>8800</v>
      </c>
      <c r="F493" s="22">
        <v>1</v>
      </c>
      <c r="G493" s="22" t="s">
        <v>8801</v>
      </c>
      <c r="H493" s="22">
        <v>1</v>
      </c>
      <c r="I493" s="25">
        <v>43390</v>
      </c>
      <c r="J493" s="24">
        <v>43424</v>
      </c>
    </row>
    <row r="494" spans="2:10" x14ac:dyDescent="0.2">
      <c r="B494" s="22">
        <v>490</v>
      </c>
      <c r="C494" s="21" t="s">
        <v>8802</v>
      </c>
      <c r="D494" s="21" t="s">
        <v>8353</v>
      </c>
      <c r="E494" s="20" t="s">
        <v>8803</v>
      </c>
      <c r="F494" s="22">
        <v>5</v>
      </c>
      <c r="G494" s="22" t="s">
        <v>8804</v>
      </c>
      <c r="H494" s="22">
        <v>1</v>
      </c>
      <c r="I494" s="25">
        <v>43290</v>
      </c>
      <c r="J494" s="24">
        <v>43308</v>
      </c>
    </row>
    <row r="495" spans="2:10" x14ac:dyDescent="0.2">
      <c r="B495" s="22">
        <v>491</v>
      </c>
      <c r="C495" s="21" t="s">
        <v>8805</v>
      </c>
      <c r="D495" s="21" t="s">
        <v>1942</v>
      </c>
      <c r="E495" s="20" t="s">
        <v>8806</v>
      </c>
      <c r="F495" s="22">
        <v>8</v>
      </c>
      <c r="G495" s="22" t="s">
        <v>8807</v>
      </c>
      <c r="H495" s="22">
        <v>1</v>
      </c>
      <c r="I495" s="25">
        <v>43425</v>
      </c>
      <c r="J495" s="24">
        <v>43139</v>
      </c>
    </row>
    <row r="496" spans="2:10" x14ac:dyDescent="0.2">
      <c r="B496" s="22">
        <v>492</v>
      </c>
      <c r="C496" s="21" t="s">
        <v>8808</v>
      </c>
      <c r="D496" s="21" t="s">
        <v>1804</v>
      </c>
      <c r="E496" s="20" t="s">
        <v>8809</v>
      </c>
      <c r="F496" s="22">
        <v>9</v>
      </c>
      <c r="G496" s="22" t="s">
        <v>8810</v>
      </c>
      <c r="H496" s="22">
        <v>1</v>
      </c>
      <c r="I496" s="25">
        <v>43369</v>
      </c>
      <c r="J496" s="24">
        <v>43403</v>
      </c>
    </row>
    <row r="497" spans="2:10" x14ac:dyDescent="0.2">
      <c r="B497" s="22">
        <v>493</v>
      </c>
      <c r="C497" s="21" t="s">
        <v>8811</v>
      </c>
      <c r="D497" s="21" t="s">
        <v>1294</v>
      </c>
      <c r="E497" s="20" t="s">
        <v>8812</v>
      </c>
      <c r="F497" s="22">
        <v>8</v>
      </c>
      <c r="G497" s="22" t="s">
        <v>8813</v>
      </c>
      <c r="H497" s="22">
        <v>1</v>
      </c>
      <c r="I497" s="25">
        <v>43341</v>
      </c>
      <c r="J497" s="24">
        <v>43382</v>
      </c>
    </row>
    <row r="498" spans="2:10" x14ac:dyDescent="0.2">
      <c r="B498" s="22">
        <v>494</v>
      </c>
      <c r="C498" s="21" t="s">
        <v>8814</v>
      </c>
      <c r="D498" s="21" t="s">
        <v>2148</v>
      </c>
      <c r="E498" s="20" t="s">
        <v>8815</v>
      </c>
      <c r="F498" s="22">
        <v>2</v>
      </c>
      <c r="G498" s="22" t="s">
        <v>8816</v>
      </c>
      <c r="H498" s="22">
        <v>2</v>
      </c>
      <c r="I498" s="25">
        <v>43327</v>
      </c>
      <c r="J498" s="22" t="s">
        <v>558</v>
      </c>
    </row>
    <row r="499" spans="2:10" x14ac:dyDescent="0.2">
      <c r="B499" s="22">
        <v>495</v>
      </c>
      <c r="C499" s="21" t="s">
        <v>8817</v>
      </c>
      <c r="D499" s="21" t="s">
        <v>8353</v>
      </c>
      <c r="E499" s="20" t="s">
        <v>8818</v>
      </c>
      <c r="F499" s="22">
        <v>2</v>
      </c>
      <c r="G499" s="22" t="s">
        <v>8819</v>
      </c>
      <c r="H499" s="22">
        <v>1</v>
      </c>
      <c r="I499" s="25">
        <v>43250</v>
      </c>
      <c r="J499" s="24">
        <v>43277</v>
      </c>
    </row>
    <row r="500" spans="2:10" x14ac:dyDescent="0.2">
      <c r="B500" s="22">
        <v>496</v>
      </c>
      <c r="C500" s="21" t="s">
        <v>8820</v>
      </c>
      <c r="D500" s="21" t="s">
        <v>4860</v>
      </c>
      <c r="E500" s="20" t="s">
        <v>8821</v>
      </c>
      <c r="F500" s="22">
        <v>15</v>
      </c>
      <c r="G500" s="22" t="s">
        <v>8822</v>
      </c>
      <c r="H500" s="22">
        <v>15</v>
      </c>
      <c r="I500" s="25">
        <v>43383</v>
      </c>
      <c r="J500" s="24">
        <v>43389</v>
      </c>
    </row>
    <row r="501" spans="2:10" x14ac:dyDescent="0.2">
      <c r="B501" s="22">
        <v>497</v>
      </c>
      <c r="C501" s="21" t="s">
        <v>8823</v>
      </c>
      <c r="D501" s="21" t="s">
        <v>1294</v>
      </c>
      <c r="E501" s="20" t="s">
        <v>8824</v>
      </c>
      <c r="F501" s="22">
        <v>11</v>
      </c>
      <c r="G501" s="22" t="s">
        <v>8825</v>
      </c>
      <c r="H501" s="22">
        <v>2</v>
      </c>
      <c r="I501" s="25">
        <v>43145</v>
      </c>
      <c r="J501" s="24">
        <v>43172</v>
      </c>
    </row>
    <row r="502" spans="2:10" x14ac:dyDescent="0.2">
      <c r="B502" s="22">
        <v>498</v>
      </c>
      <c r="C502" s="21" t="s">
        <v>8826</v>
      </c>
      <c r="D502" s="21" t="s">
        <v>2270</v>
      </c>
      <c r="E502" s="20" t="s">
        <v>8827</v>
      </c>
      <c r="F502" s="22">
        <v>3</v>
      </c>
      <c r="G502" s="22" t="s">
        <v>8828</v>
      </c>
      <c r="H502" s="22">
        <v>1</v>
      </c>
      <c r="I502" s="25">
        <v>43353</v>
      </c>
      <c r="J502" s="24">
        <v>43368</v>
      </c>
    </row>
    <row r="503" spans="2:10" x14ac:dyDescent="0.2">
      <c r="B503" s="22">
        <v>499</v>
      </c>
      <c r="C503" s="21" t="s">
        <v>8829</v>
      </c>
      <c r="D503" s="21" t="s">
        <v>1213</v>
      </c>
      <c r="E503" s="20" t="s">
        <v>8830</v>
      </c>
      <c r="F503" s="22">
        <v>4</v>
      </c>
      <c r="G503" s="22" t="s">
        <v>8831</v>
      </c>
      <c r="H503" s="22">
        <v>4</v>
      </c>
      <c r="I503" s="25">
        <v>43425</v>
      </c>
      <c r="J503" s="24">
        <v>43452</v>
      </c>
    </row>
    <row r="504" spans="2:10" x14ac:dyDescent="0.2">
      <c r="B504" s="22">
        <v>500</v>
      </c>
      <c r="C504" s="21" t="s">
        <v>8832</v>
      </c>
      <c r="D504" s="21" t="s">
        <v>8833</v>
      </c>
      <c r="E504" s="20" t="s">
        <v>8834</v>
      </c>
      <c r="F504" s="22">
        <v>14</v>
      </c>
      <c r="G504" s="22" t="s">
        <v>1159</v>
      </c>
      <c r="H504" s="22">
        <v>14</v>
      </c>
      <c r="I504" s="25">
        <v>43369</v>
      </c>
      <c r="J504" s="24">
        <v>43382</v>
      </c>
    </row>
    <row r="505" spans="2:10" x14ac:dyDescent="0.2">
      <c r="B505" s="22">
        <v>501</v>
      </c>
      <c r="C505" s="21" t="s">
        <v>8835</v>
      </c>
      <c r="D505" s="21" t="s">
        <v>2114</v>
      </c>
      <c r="E505" s="20" t="s">
        <v>8836</v>
      </c>
      <c r="F505" s="22">
        <v>3</v>
      </c>
      <c r="G505" s="22" t="s">
        <v>8837</v>
      </c>
      <c r="H505" s="22">
        <v>1</v>
      </c>
      <c r="I505" s="25">
        <v>43453</v>
      </c>
      <c r="J505" s="24">
        <v>43147</v>
      </c>
    </row>
    <row r="506" spans="2:10" x14ac:dyDescent="0.2">
      <c r="B506" s="22">
        <v>502</v>
      </c>
      <c r="C506" s="21" t="s">
        <v>8838</v>
      </c>
      <c r="D506" s="21" t="s">
        <v>1797</v>
      </c>
      <c r="E506" s="20" t="s">
        <v>8839</v>
      </c>
      <c r="F506" s="22">
        <v>5</v>
      </c>
      <c r="G506" s="22" t="s">
        <v>8840</v>
      </c>
      <c r="H506" s="22">
        <v>3</v>
      </c>
      <c r="I506" s="25">
        <v>43397</v>
      </c>
      <c r="J506" s="24">
        <v>43442</v>
      </c>
    </row>
    <row r="507" spans="2:10" x14ac:dyDescent="0.2">
      <c r="B507" s="22">
        <v>503</v>
      </c>
      <c r="C507" s="21" t="s">
        <v>8841</v>
      </c>
      <c r="D507" s="21" t="s">
        <v>8353</v>
      </c>
      <c r="E507" s="20" t="s">
        <v>8842</v>
      </c>
      <c r="F507" s="22">
        <v>25</v>
      </c>
      <c r="G507" s="22" t="s">
        <v>8843</v>
      </c>
      <c r="H507" s="22">
        <v>25</v>
      </c>
      <c r="I507" s="25">
        <v>43299</v>
      </c>
      <c r="J507" s="24">
        <v>43308</v>
      </c>
    </row>
    <row r="508" spans="2:10" x14ac:dyDescent="0.2">
      <c r="B508" s="22">
        <v>504</v>
      </c>
      <c r="C508" s="21" t="s">
        <v>8844</v>
      </c>
      <c r="D508" s="21" t="s">
        <v>1269</v>
      </c>
      <c r="E508" s="20" t="s">
        <v>8845</v>
      </c>
      <c r="F508" s="22">
        <v>27</v>
      </c>
      <c r="G508" s="22" t="s">
        <v>1159</v>
      </c>
      <c r="H508" s="22" t="s">
        <v>1159</v>
      </c>
      <c r="I508" s="25">
        <v>43162</v>
      </c>
      <c r="J508" s="22" t="s">
        <v>558</v>
      </c>
    </row>
    <row r="509" spans="2:10" x14ac:dyDescent="0.2">
      <c r="B509" s="22">
        <v>505</v>
      </c>
      <c r="C509" s="21" t="s">
        <v>8846</v>
      </c>
      <c r="D509" s="21" t="s">
        <v>1294</v>
      </c>
      <c r="E509" s="20" t="s">
        <v>8847</v>
      </c>
      <c r="F509" s="22">
        <v>1</v>
      </c>
      <c r="G509" s="22" t="s">
        <v>8848</v>
      </c>
      <c r="H509" s="22">
        <v>1</v>
      </c>
      <c r="I509" s="25">
        <v>43159</v>
      </c>
      <c r="J509" s="24">
        <v>43168</v>
      </c>
    </row>
    <row r="510" spans="2:10" x14ac:dyDescent="0.2">
      <c r="B510" s="22">
        <v>506</v>
      </c>
      <c r="C510" s="21" t="s">
        <v>8849</v>
      </c>
      <c r="D510" s="21" t="s">
        <v>1039</v>
      </c>
      <c r="E510" s="20" t="s">
        <v>8850</v>
      </c>
      <c r="F510" s="22">
        <v>10</v>
      </c>
      <c r="G510" s="22" t="s">
        <v>8851</v>
      </c>
      <c r="H510" s="22">
        <v>2</v>
      </c>
      <c r="I510" s="25">
        <v>43166</v>
      </c>
      <c r="J510" s="24">
        <v>43207</v>
      </c>
    </row>
    <row r="511" spans="2:10" x14ac:dyDescent="0.2">
      <c r="B511" s="22">
        <v>507</v>
      </c>
      <c r="C511" s="21" t="s">
        <v>8852</v>
      </c>
      <c r="D511" s="21" t="s">
        <v>1175</v>
      </c>
      <c r="E511" s="20" t="s">
        <v>8853</v>
      </c>
      <c r="F511" s="22">
        <v>8</v>
      </c>
      <c r="G511" s="22" t="s">
        <v>1159</v>
      </c>
      <c r="H511" s="22" t="s">
        <v>1159</v>
      </c>
      <c r="I511" s="25">
        <v>43334</v>
      </c>
      <c r="J511" s="24">
        <v>43350</v>
      </c>
    </row>
    <row r="512" spans="2:10" x14ac:dyDescent="0.2">
      <c r="B512" s="22">
        <v>508</v>
      </c>
      <c r="C512" s="21" t="s">
        <v>8854</v>
      </c>
      <c r="D512" s="21" t="s">
        <v>6537</v>
      </c>
      <c r="E512" s="20" t="s">
        <v>8855</v>
      </c>
      <c r="F512" s="22">
        <v>6</v>
      </c>
      <c r="G512" s="22" t="s">
        <v>8856</v>
      </c>
      <c r="H512" s="22">
        <v>4</v>
      </c>
      <c r="I512" s="25">
        <v>43215</v>
      </c>
      <c r="J512" s="22" t="s">
        <v>558</v>
      </c>
    </row>
    <row r="513" spans="2:10" x14ac:dyDescent="0.2">
      <c r="B513" s="22">
        <v>509</v>
      </c>
      <c r="C513" s="21" t="s">
        <v>8857</v>
      </c>
      <c r="D513" s="21" t="s">
        <v>1532</v>
      </c>
      <c r="E513" s="20" t="s">
        <v>8858</v>
      </c>
      <c r="F513" s="22">
        <v>2</v>
      </c>
      <c r="G513" s="22" t="s">
        <v>1159</v>
      </c>
      <c r="H513" s="22" t="s">
        <v>1159</v>
      </c>
      <c r="I513" s="25">
        <v>43374</v>
      </c>
      <c r="J513" s="24">
        <v>43157</v>
      </c>
    </row>
    <row r="514" spans="2:10" x14ac:dyDescent="0.2">
      <c r="B514" s="22">
        <v>510</v>
      </c>
      <c r="C514" s="21" t="s">
        <v>8859</v>
      </c>
      <c r="D514" s="21" t="s">
        <v>1532</v>
      </c>
      <c r="E514" s="20" t="s">
        <v>8860</v>
      </c>
      <c r="F514" s="22">
        <v>5</v>
      </c>
      <c r="G514" s="22" t="s">
        <v>1159</v>
      </c>
      <c r="H514" s="22" t="s">
        <v>1159</v>
      </c>
      <c r="I514" s="25">
        <v>43348</v>
      </c>
      <c r="J514" s="24">
        <v>43164</v>
      </c>
    </row>
    <row r="515" spans="2:10" x14ac:dyDescent="0.2">
      <c r="B515" s="22">
        <v>511</v>
      </c>
      <c r="C515" s="21" t="s">
        <v>8861</v>
      </c>
      <c r="D515" s="21" t="s">
        <v>1797</v>
      </c>
      <c r="E515" s="20" t="s">
        <v>8862</v>
      </c>
      <c r="F515" s="22">
        <v>6</v>
      </c>
      <c r="G515" s="22" t="s">
        <v>8863</v>
      </c>
      <c r="H515" s="22">
        <v>3</v>
      </c>
      <c r="I515" s="25">
        <v>43341</v>
      </c>
      <c r="J515" s="24">
        <v>43112</v>
      </c>
    </row>
    <row r="516" spans="2:10" x14ac:dyDescent="0.2">
      <c r="B516" s="22">
        <v>512</v>
      </c>
      <c r="C516" s="21" t="s">
        <v>8864</v>
      </c>
      <c r="D516" s="21" t="s">
        <v>1532</v>
      </c>
      <c r="E516" s="20" t="s">
        <v>8865</v>
      </c>
      <c r="F516" s="22">
        <v>2</v>
      </c>
      <c r="G516" s="22" t="s">
        <v>1159</v>
      </c>
      <c r="H516" s="22" t="s">
        <v>1159</v>
      </c>
      <c r="I516" s="25">
        <v>43416</v>
      </c>
      <c r="J516" s="24">
        <v>43108</v>
      </c>
    </row>
    <row r="517" spans="2:10" x14ac:dyDescent="0.2">
      <c r="B517" s="22">
        <v>513</v>
      </c>
      <c r="C517" s="21" t="s">
        <v>8866</v>
      </c>
      <c r="D517" s="21" t="s">
        <v>1415</v>
      </c>
      <c r="E517" s="20" t="s">
        <v>8867</v>
      </c>
      <c r="F517" s="22">
        <v>50</v>
      </c>
      <c r="G517" s="22" t="s">
        <v>8868</v>
      </c>
      <c r="H517" s="22">
        <v>50</v>
      </c>
      <c r="I517" s="25">
        <v>43285</v>
      </c>
      <c r="J517" s="24">
        <v>43291</v>
      </c>
    </row>
    <row r="518" spans="2:10" x14ac:dyDescent="0.2">
      <c r="B518" s="22">
        <v>514</v>
      </c>
      <c r="C518" s="21" t="s">
        <v>8869</v>
      </c>
      <c r="D518" s="21" t="s">
        <v>2148</v>
      </c>
      <c r="E518" s="20" t="s">
        <v>8870</v>
      </c>
      <c r="F518" s="22">
        <v>1</v>
      </c>
      <c r="G518" s="22" t="s">
        <v>8871</v>
      </c>
      <c r="H518" s="22">
        <v>1</v>
      </c>
      <c r="I518" s="25">
        <v>43108</v>
      </c>
      <c r="J518" s="24">
        <v>43381</v>
      </c>
    </row>
    <row r="519" spans="2:10" x14ac:dyDescent="0.2">
      <c r="B519" s="22">
        <v>515</v>
      </c>
      <c r="C519" s="21" t="s">
        <v>8872</v>
      </c>
      <c r="D519" s="21" t="s">
        <v>1797</v>
      </c>
      <c r="E519" s="20" t="s">
        <v>8873</v>
      </c>
      <c r="F519" s="22">
        <v>4</v>
      </c>
      <c r="G519" s="22" t="s">
        <v>8874</v>
      </c>
      <c r="H519" s="22">
        <v>2</v>
      </c>
      <c r="I519" s="25">
        <v>43145</v>
      </c>
      <c r="J519" s="24">
        <v>43463</v>
      </c>
    </row>
    <row r="520" spans="2:10" x14ac:dyDescent="0.2">
      <c r="B520" s="22">
        <v>516</v>
      </c>
      <c r="C520" s="21" t="s">
        <v>8875</v>
      </c>
      <c r="D520" s="21" t="s">
        <v>1294</v>
      </c>
      <c r="E520" s="20" t="s">
        <v>8876</v>
      </c>
      <c r="F520" s="22">
        <v>3</v>
      </c>
      <c r="G520" s="22" t="s">
        <v>8877</v>
      </c>
      <c r="H520" s="22">
        <v>2</v>
      </c>
      <c r="I520" s="25">
        <v>43124</v>
      </c>
      <c r="J520" s="24">
        <v>43165</v>
      </c>
    </row>
    <row r="521" spans="2:10" x14ac:dyDescent="0.2">
      <c r="B521" s="22">
        <v>517</v>
      </c>
      <c r="C521" s="21" t="s">
        <v>8878</v>
      </c>
      <c r="D521" s="21" t="s">
        <v>1142</v>
      </c>
      <c r="E521" s="20" t="s">
        <v>8879</v>
      </c>
      <c r="F521" s="22">
        <v>10</v>
      </c>
      <c r="G521" s="22" t="s">
        <v>1159</v>
      </c>
      <c r="H521" s="22" t="s">
        <v>1159</v>
      </c>
      <c r="I521" s="25">
        <v>43267</v>
      </c>
      <c r="J521" s="24">
        <v>43284</v>
      </c>
    </row>
    <row r="522" spans="2:10" x14ac:dyDescent="0.2">
      <c r="B522" s="22">
        <v>518</v>
      </c>
      <c r="C522" s="21" t="s">
        <v>8880</v>
      </c>
      <c r="D522" s="21" t="s">
        <v>1269</v>
      </c>
      <c r="E522" s="20" t="s">
        <v>8881</v>
      </c>
      <c r="F522" s="22">
        <v>13</v>
      </c>
      <c r="G522" s="22" t="s">
        <v>8882</v>
      </c>
      <c r="H522" s="22">
        <v>13</v>
      </c>
      <c r="I522" s="25">
        <v>43439</v>
      </c>
      <c r="J522" s="24">
        <v>43199</v>
      </c>
    </row>
    <row r="523" spans="2:10" x14ac:dyDescent="0.2">
      <c r="B523" s="22">
        <v>520</v>
      </c>
      <c r="C523" s="21" t="s">
        <v>8883</v>
      </c>
      <c r="D523" s="21" t="s">
        <v>6465</v>
      </c>
      <c r="E523" s="20" t="s">
        <v>8884</v>
      </c>
      <c r="F523" s="22">
        <v>1</v>
      </c>
      <c r="G523" s="22" t="s">
        <v>8885</v>
      </c>
      <c r="H523" s="22">
        <v>1</v>
      </c>
      <c r="I523" s="25">
        <v>43271</v>
      </c>
      <c r="J523" s="24">
        <v>43280</v>
      </c>
    </row>
    <row r="524" spans="2:10" x14ac:dyDescent="0.2">
      <c r="B524" s="22">
        <v>519</v>
      </c>
      <c r="C524" s="21" t="s">
        <v>8886</v>
      </c>
      <c r="D524" s="21" t="s">
        <v>4548</v>
      </c>
      <c r="E524" s="20" t="s">
        <v>8884</v>
      </c>
      <c r="F524" s="22">
        <v>2</v>
      </c>
      <c r="G524" s="22" t="s">
        <v>8887</v>
      </c>
      <c r="H524" s="22">
        <v>2</v>
      </c>
      <c r="I524" s="25">
        <v>43390</v>
      </c>
      <c r="J524" s="24">
        <v>43399</v>
      </c>
    </row>
    <row r="525" spans="2:10" x14ac:dyDescent="0.2">
      <c r="B525" s="22">
        <v>522</v>
      </c>
      <c r="C525" s="21" t="s">
        <v>8888</v>
      </c>
      <c r="D525" s="21" t="s">
        <v>1880</v>
      </c>
      <c r="E525" s="20" t="s">
        <v>8889</v>
      </c>
      <c r="F525" s="22">
        <v>2</v>
      </c>
      <c r="G525" s="22" t="s">
        <v>8890</v>
      </c>
      <c r="H525" s="22">
        <v>1</v>
      </c>
      <c r="I525" s="25">
        <v>43131</v>
      </c>
      <c r="J525" s="22" t="s">
        <v>558</v>
      </c>
    </row>
    <row r="526" spans="2:10" x14ac:dyDescent="0.2">
      <c r="B526" s="22">
        <v>521</v>
      </c>
      <c r="C526" s="21" t="s">
        <v>8891</v>
      </c>
      <c r="D526" s="21" t="s">
        <v>2010</v>
      </c>
      <c r="E526" s="20" t="s">
        <v>8889</v>
      </c>
      <c r="F526" s="22">
        <v>4</v>
      </c>
      <c r="G526" s="22" t="s">
        <v>8892</v>
      </c>
      <c r="H526" s="22">
        <v>1</v>
      </c>
      <c r="I526" s="25">
        <v>43411</v>
      </c>
      <c r="J526" s="24">
        <v>43171</v>
      </c>
    </row>
    <row r="527" spans="2:10" x14ac:dyDescent="0.2">
      <c r="B527" s="22">
        <v>523</v>
      </c>
      <c r="C527" s="21" t="s">
        <v>8893</v>
      </c>
      <c r="D527" s="21" t="s">
        <v>1213</v>
      </c>
      <c r="E527" s="20" t="s">
        <v>8894</v>
      </c>
      <c r="F527" s="22">
        <v>4</v>
      </c>
      <c r="G527" s="22" t="s">
        <v>8895</v>
      </c>
      <c r="H527" s="22">
        <v>4</v>
      </c>
      <c r="I527" s="25">
        <v>43390</v>
      </c>
      <c r="J527" s="24">
        <v>43431</v>
      </c>
    </row>
    <row r="528" spans="2:10" x14ac:dyDescent="0.2">
      <c r="B528" s="22">
        <v>524</v>
      </c>
      <c r="C528" s="21" t="s">
        <v>8896</v>
      </c>
      <c r="D528" s="21" t="s">
        <v>1142</v>
      </c>
      <c r="E528" s="20" t="s">
        <v>8897</v>
      </c>
      <c r="F528" s="22">
        <v>2</v>
      </c>
      <c r="G528" s="22" t="s">
        <v>1159</v>
      </c>
      <c r="H528" s="22" t="s">
        <v>1159</v>
      </c>
      <c r="I528" s="25">
        <v>43306</v>
      </c>
      <c r="J528" s="24">
        <v>43361</v>
      </c>
    </row>
    <row r="529" spans="2:10" x14ac:dyDescent="0.2">
      <c r="B529" s="22">
        <v>525</v>
      </c>
      <c r="C529" s="21" t="s">
        <v>8898</v>
      </c>
      <c r="D529" s="21" t="s">
        <v>8353</v>
      </c>
      <c r="E529" s="20" t="s">
        <v>8899</v>
      </c>
      <c r="F529" s="22">
        <v>6</v>
      </c>
      <c r="G529" s="22" t="s">
        <v>1159</v>
      </c>
      <c r="H529" s="22">
        <v>1</v>
      </c>
      <c r="I529" s="25">
        <v>43257</v>
      </c>
      <c r="J529" s="24">
        <v>43284</v>
      </c>
    </row>
    <row r="530" spans="2:10" x14ac:dyDescent="0.2">
      <c r="B530" s="22">
        <v>526</v>
      </c>
      <c r="C530" s="21" t="s">
        <v>8900</v>
      </c>
      <c r="D530" s="21" t="s">
        <v>1039</v>
      </c>
      <c r="E530" s="20" t="s">
        <v>8901</v>
      </c>
      <c r="F530" s="22">
        <v>5</v>
      </c>
      <c r="G530" s="22" t="s">
        <v>8794</v>
      </c>
      <c r="H530" s="22">
        <v>5</v>
      </c>
      <c r="I530" s="25">
        <v>43208</v>
      </c>
      <c r="J530" s="22" t="s">
        <v>558</v>
      </c>
    </row>
    <row r="531" spans="2:10" x14ac:dyDescent="0.2">
      <c r="B531" s="22">
        <v>527</v>
      </c>
      <c r="C531" s="21" t="s">
        <v>8902</v>
      </c>
      <c r="D531" s="21" t="s">
        <v>1135</v>
      </c>
      <c r="E531" s="20" t="s">
        <v>8903</v>
      </c>
      <c r="F531" s="22">
        <v>5</v>
      </c>
      <c r="G531" s="22" t="s">
        <v>8904</v>
      </c>
      <c r="H531" s="22">
        <v>5</v>
      </c>
      <c r="I531" s="25">
        <v>43369</v>
      </c>
      <c r="J531" s="24">
        <v>43375</v>
      </c>
    </row>
    <row r="532" spans="2:10" x14ac:dyDescent="0.2">
      <c r="B532" s="22">
        <v>528</v>
      </c>
      <c r="C532" s="21" t="s">
        <v>8905</v>
      </c>
      <c r="D532" s="21" t="s">
        <v>1532</v>
      </c>
      <c r="E532" s="20" t="s">
        <v>8906</v>
      </c>
      <c r="F532" s="22">
        <v>2</v>
      </c>
      <c r="G532" s="22" t="s">
        <v>8907</v>
      </c>
      <c r="H532" s="22">
        <v>2</v>
      </c>
      <c r="I532" s="25">
        <v>43215</v>
      </c>
      <c r="J532" s="22" t="s">
        <v>558</v>
      </c>
    </row>
    <row r="533" spans="2:10" x14ac:dyDescent="0.2">
      <c r="B533" s="22">
        <v>529</v>
      </c>
      <c r="C533" s="21" t="s">
        <v>8908</v>
      </c>
      <c r="D533" s="21" t="s">
        <v>2148</v>
      </c>
      <c r="E533" s="20" t="s">
        <v>8909</v>
      </c>
      <c r="F533" s="22">
        <v>2</v>
      </c>
      <c r="G533" s="22" t="s">
        <v>8910</v>
      </c>
      <c r="H533" s="22">
        <v>1</v>
      </c>
      <c r="I533" s="25">
        <v>43257</v>
      </c>
      <c r="J533" s="22" t="s">
        <v>558</v>
      </c>
    </row>
    <row r="534" spans="2:10" x14ac:dyDescent="0.2">
      <c r="B534" s="22">
        <v>530</v>
      </c>
      <c r="C534" s="21" t="s">
        <v>8911</v>
      </c>
      <c r="D534" s="21" t="s">
        <v>1039</v>
      </c>
      <c r="E534" s="20" t="s">
        <v>8912</v>
      </c>
      <c r="F534" s="22">
        <v>7</v>
      </c>
      <c r="G534" s="22" t="s">
        <v>8913</v>
      </c>
      <c r="H534" s="22">
        <v>7</v>
      </c>
      <c r="I534" s="25">
        <v>43166</v>
      </c>
      <c r="J534" s="24">
        <v>43200</v>
      </c>
    </row>
    <row r="535" spans="2:10" x14ac:dyDescent="0.2">
      <c r="B535" s="22">
        <v>531</v>
      </c>
      <c r="C535" s="21" t="s">
        <v>8914</v>
      </c>
      <c r="D535" s="21" t="s">
        <v>2148</v>
      </c>
      <c r="E535" s="20" t="s">
        <v>8915</v>
      </c>
      <c r="F535" s="22">
        <v>2</v>
      </c>
      <c r="G535" s="22" t="s">
        <v>8916</v>
      </c>
      <c r="H535" s="22">
        <v>1</v>
      </c>
      <c r="I535" s="25">
        <v>43194</v>
      </c>
      <c r="J535" s="22" t="s">
        <v>558</v>
      </c>
    </row>
    <row r="536" spans="2:10" x14ac:dyDescent="0.2">
      <c r="B536" s="22">
        <v>532</v>
      </c>
      <c r="C536" s="21" t="s">
        <v>8917</v>
      </c>
      <c r="D536" s="21" t="s">
        <v>1294</v>
      </c>
      <c r="E536" s="20" t="s">
        <v>8918</v>
      </c>
      <c r="F536" s="22">
        <v>6</v>
      </c>
      <c r="G536" s="22" t="s">
        <v>8919</v>
      </c>
      <c r="H536" s="22">
        <v>1</v>
      </c>
      <c r="I536" s="25">
        <v>43348</v>
      </c>
      <c r="J536" s="24">
        <v>43382</v>
      </c>
    </row>
    <row r="537" spans="2:10" x14ac:dyDescent="0.2">
      <c r="B537" s="22">
        <v>533</v>
      </c>
      <c r="C537" s="21" t="s">
        <v>8920</v>
      </c>
      <c r="D537" s="21" t="s">
        <v>8921</v>
      </c>
      <c r="E537" s="20" t="s">
        <v>8922</v>
      </c>
      <c r="F537" s="22">
        <v>1</v>
      </c>
      <c r="G537" s="22" t="s">
        <v>8923</v>
      </c>
      <c r="H537" s="22">
        <v>1</v>
      </c>
      <c r="I537" s="25">
        <v>43355</v>
      </c>
      <c r="J537" s="24">
        <v>43361</v>
      </c>
    </row>
    <row r="538" spans="2:10" x14ac:dyDescent="0.2">
      <c r="B538" s="22">
        <v>534</v>
      </c>
      <c r="C538" s="21" t="s">
        <v>8924</v>
      </c>
      <c r="D538" s="21" t="s">
        <v>1142</v>
      </c>
      <c r="E538" s="20" t="s">
        <v>8925</v>
      </c>
      <c r="F538" s="22">
        <v>3</v>
      </c>
      <c r="G538" s="22" t="s">
        <v>4445</v>
      </c>
      <c r="H538" s="22">
        <v>1</v>
      </c>
      <c r="I538" s="25">
        <v>43243</v>
      </c>
      <c r="J538" s="24">
        <v>43347</v>
      </c>
    </row>
    <row r="539" spans="2:10" x14ac:dyDescent="0.2">
      <c r="B539" s="22">
        <v>535</v>
      </c>
      <c r="C539" s="21" t="s">
        <v>8926</v>
      </c>
      <c r="D539" s="21" t="s">
        <v>1942</v>
      </c>
      <c r="E539" s="20" t="s">
        <v>8927</v>
      </c>
      <c r="F539" s="22">
        <v>1</v>
      </c>
      <c r="G539" s="22" t="s">
        <v>8928</v>
      </c>
      <c r="H539" s="22">
        <v>1</v>
      </c>
      <c r="I539" s="25">
        <v>43243</v>
      </c>
      <c r="J539" s="24">
        <v>43315</v>
      </c>
    </row>
    <row r="540" spans="2:10" x14ac:dyDescent="0.2">
      <c r="B540" s="22">
        <v>536</v>
      </c>
      <c r="C540" s="21" t="s">
        <v>8929</v>
      </c>
      <c r="D540" s="21" t="s">
        <v>1294</v>
      </c>
      <c r="E540" s="20" t="s">
        <v>8930</v>
      </c>
      <c r="F540" s="22">
        <v>3</v>
      </c>
      <c r="G540" s="22" t="s">
        <v>1159</v>
      </c>
      <c r="H540" s="22">
        <v>1</v>
      </c>
      <c r="I540" s="25">
        <v>43451</v>
      </c>
      <c r="J540" s="24">
        <v>43122</v>
      </c>
    </row>
    <row r="541" spans="2:10" x14ac:dyDescent="0.2">
      <c r="B541" s="22">
        <v>537</v>
      </c>
      <c r="C541" s="21" t="s">
        <v>8931</v>
      </c>
      <c r="D541" s="21" t="s">
        <v>1594</v>
      </c>
      <c r="E541" s="20" t="s">
        <v>8932</v>
      </c>
      <c r="F541" s="22">
        <v>21</v>
      </c>
      <c r="G541" s="22" t="s">
        <v>8933</v>
      </c>
      <c r="H541" s="22">
        <v>21</v>
      </c>
      <c r="I541" s="25">
        <v>43110</v>
      </c>
      <c r="J541" s="24">
        <v>43116</v>
      </c>
    </row>
    <row r="542" spans="2:10" x14ac:dyDescent="0.2">
      <c r="B542" s="22">
        <v>538</v>
      </c>
      <c r="C542" s="21" t="s">
        <v>8934</v>
      </c>
      <c r="D542" s="21" t="s">
        <v>157</v>
      </c>
      <c r="E542" s="20" t="s">
        <v>8935</v>
      </c>
      <c r="F542" s="22">
        <v>2</v>
      </c>
      <c r="G542" s="22" t="s">
        <v>8936</v>
      </c>
      <c r="H542" s="22">
        <v>1</v>
      </c>
      <c r="I542" s="25">
        <v>43201</v>
      </c>
      <c r="J542" s="22" t="s">
        <v>558</v>
      </c>
    </row>
    <row r="543" spans="2:10" x14ac:dyDescent="0.2">
      <c r="B543" s="22">
        <v>539</v>
      </c>
      <c r="C543" s="21" t="s">
        <v>8937</v>
      </c>
      <c r="D543" s="21" t="s">
        <v>1532</v>
      </c>
      <c r="E543" s="20" t="s">
        <v>8938</v>
      </c>
      <c r="F543" s="22">
        <v>2</v>
      </c>
      <c r="G543" s="22" t="s">
        <v>1159</v>
      </c>
      <c r="H543" s="22" t="s">
        <v>1159</v>
      </c>
      <c r="I543" s="25">
        <v>43262</v>
      </c>
      <c r="J543" s="24">
        <v>43375</v>
      </c>
    </row>
    <row r="544" spans="2:10" x14ac:dyDescent="0.2">
      <c r="B544" s="22">
        <v>540</v>
      </c>
      <c r="C544" s="21" t="s">
        <v>8939</v>
      </c>
      <c r="D544" s="21" t="s">
        <v>1175</v>
      </c>
      <c r="E544" s="20" t="s">
        <v>8940</v>
      </c>
      <c r="F544" s="22">
        <v>2</v>
      </c>
      <c r="G544" s="22" t="s">
        <v>8941</v>
      </c>
      <c r="H544" s="22">
        <v>2</v>
      </c>
      <c r="I544" s="25">
        <v>43444</v>
      </c>
      <c r="J544" s="24">
        <v>43457</v>
      </c>
    </row>
    <row r="545" spans="2:10" x14ac:dyDescent="0.2">
      <c r="B545" s="22">
        <v>541</v>
      </c>
      <c r="C545" s="21" t="s">
        <v>8942</v>
      </c>
      <c r="D545" s="21" t="s">
        <v>1880</v>
      </c>
      <c r="E545" s="20" t="s">
        <v>8943</v>
      </c>
      <c r="F545" s="22">
        <v>3</v>
      </c>
      <c r="G545" s="22" t="s">
        <v>8944</v>
      </c>
      <c r="H545" s="22">
        <v>1</v>
      </c>
      <c r="I545" s="25">
        <v>43348</v>
      </c>
      <c r="J545" s="24">
        <v>43445</v>
      </c>
    </row>
    <row r="546" spans="2:10" x14ac:dyDescent="0.2">
      <c r="B546" s="22">
        <v>542</v>
      </c>
      <c r="C546" s="21" t="s">
        <v>8945</v>
      </c>
      <c r="D546" s="21" t="s">
        <v>1797</v>
      </c>
      <c r="E546" s="20" t="s">
        <v>8946</v>
      </c>
      <c r="F546" s="22">
        <v>6</v>
      </c>
      <c r="G546" s="22" t="s">
        <v>8947</v>
      </c>
      <c r="H546" s="22">
        <v>2</v>
      </c>
      <c r="I546" s="25">
        <v>43334</v>
      </c>
      <c r="J546" s="24">
        <v>43435</v>
      </c>
    </row>
    <row r="547" spans="2:10" x14ac:dyDescent="0.2">
      <c r="B547" s="22">
        <v>543</v>
      </c>
      <c r="C547" s="21" t="s">
        <v>8948</v>
      </c>
      <c r="D547" s="21" t="s">
        <v>1043</v>
      </c>
      <c r="E547" s="20" t="s">
        <v>8949</v>
      </c>
      <c r="F547" s="22">
        <v>18</v>
      </c>
      <c r="G547" s="22" t="s">
        <v>8950</v>
      </c>
      <c r="H547" s="22">
        <v>18</v>
      </c>
      <c r="I547" s="25">
        <v>43152</v>
      </c>
      <c r="J547" s="24">
        <v>43158</v>
      </c>
    </row>
    <row r="548" spans="2:10" x14ac:dyDescent="0.2">
      <c r="B548" s="22">
        <v>544</v>
      </c>
      <c r="C548" s="21" t="s">
        <v>8951</v>
      </c>
      <c r="D548" s="21" t="s">
        <v>1532</v>
      </c>
      <c r="E548" s="20" t="s">
        <v>8952</v>
      </c>
      <c r="F548" s="22">
        <v>2</v>
      </c>
      <c r="G548" s="22" t="s">
        <v>8953</v>
      </c>
      <c r="H548" s="22">
        <v>1</v>
      </c>
      <c r="I548" s="25">
        <v>43234</v>
      </c>
      <c r="J548" s="24">
        <v>43375</v>
      </c>
    </row>
    <row r="549" spans="2:10" x14ac:dyDescent="0.2">
      <c r="B549" s="22">
        <v>545</v>
      </c>
      <c r="C549" s="21" t="s">
        <v>8954</v>
      </c>
      <c r="D549" s="21" t="s">
        <v>1175</v>
      </c>
      <c r="E549" s="20" t="s">
        <v>8955</v>
      </c>
      <c r="F549" s="22">
        <v>10</v>
      </c>
      <c r="G549" s="22" t="s">
        <v>8956</v>
      </c>
      <c r="H549" s="22">
        <v>10</v>
      </c>
      <c r="I549" s="25">
        <v>43215</v>
      </c>
      <c r="J549" s="24">
        <v>43221</v>
      </c>
    </row>
    <row r="550" spans="2:10" x14ac:dyDescent="0.2">
      <c r="B550" s="22">
        <v>546</v>
      </c>
      <c r="C550" s="21" t="s">
        <v>8957</v>
      </c>
      <c r="D550" s="21" t="s">
        <v>1532</v>
      </c>
      <c r="E550" s="20" t="s">
        <v>8958</v>
      </c>
      <c r="F550" s="22">
        <v>1</v>
      </c>
      <c r="G550" s="22" t="s">
        <v>1159</v>
      </c>
      <c r="H550" s="22" t="s">
        <v>1159</v>
      </c>
      <c r="I550" s="25">
        <v>43271</v>
      </c>
      <c r="J550" s="22" t="s">
        <v>558</v>
      </c>
    </row>
    <row r="551" spans="2:10" x14ac:dyDescent="0.2">
      <c r="B551" s="22">
        <v>547</v>
      </c>
      <c r="C551" s="21" t="s">
        <v>8959</v>
      </c>
      <c r="D551" s="21" t="s">
        <v>5638</v>
      </c>
      <c r="E551" s="20" t="s">
        <v>8960</v>
      </c>
      <c r="F551" s="22">
        <v>45</v>
      </c>
      <c r="G551" s="22" t="s">
        <v>8961</v>
      </c>
      <c r="H551" s="22">
        <v>45</v>
      </c>
      <c r="I551" s="25">
        <v>43208</v>
      </c>
      <c r="J551" s="24">
        <v>43214</v>
      </c>
    </row>
    <row r="552" spans="2:10" x14ac:dyDescent="0.2">
      <c r="B552" s="22">
        <v>548</v>
      </c>
      <c r="C552" s="21" t="s">
        <v>8962</v>
      </c>
      <c r="D552" s="21" t="s">
        <v>1909</v>
      </c>
      <c r="E552" s="20" t="s">
        <v>8963</v>
      </c>
      <c r="F552" s="22">
        <v>5</v>
      </c>
      <c r="G552" s="22" t="s">
        <v>7295</v>
      </c>
      <c r="H552" s="22">
        <v>1</v>
      </c>
      <c r="I552" s="25">
        <v>43138</v>
      </c>
      <c r="J552" s="22" t="s">
        <v>558</v>
      </c>
    </row>
    <row r="553" spans="2:10" x14ac:dyDescent="0.2">
      <c r="B553" s="22">
        <v>549</v>
      </c>
      <c r="C553" s="21" t="s">
        <v>8964</v>
      </c>
      <c r="D553" s="21" t="s">
        <v>1213</v>
      </c>
      <c r="E553" s="20" t="s">
        <v>8965</v>
      </c>
      <c r="F553" s="22">
        <v>2</v>
      </c>
      <c r="G553" s="22" t="s">
        <v>8966</v>
      </c>
      <c r="H553" s="22">
        <v>1</v>
      </c>
      <c r="I553" s="25">
        <v>43320</v>
      </c>
      <c r="J553" s="24">
        <v>43347</v>
      </c>
    </row>
    <row r="554" spans="2:10" x14ac:dyDescent="0.2">
      <c r="B554" s="22">
        <v>550</v>
      </c>
      <c r="C554" s="21" t="s">
        <v>8967</v>
      </c>
      <c r="D554" s="21" t="s">
        <v>8968</v>
      </c>
      <c r="E554" s="20" t="s">
        <v>8969</v>
      </c>
      <c r="F554" s="22">
        <v>18</v>
      </c>
      <c r="G554" s="22" t="s">
        <v>8969</v>
      </c>
      <c r="H554" s="22">
        <v>18</v>
      </c>
      <c r="I554" s="25">
        <v>43166</v>
      </c>
      <c r="J554" s="24">
        <v>43168</v>
      </c>
    </row>
    <row r="555" spans="2:10" x14ac:dyDescent="0.2">
      <c r="B555" s="22">
        <v>551</v>
      </c>
      <c r="C555" s="21" t="s">
        <v>8970</v>
      </c>
      <c r="D555" s="21" t="s">
        <v>1039</v>
      </c>
      <c r="E555" s="20" t="s">
        <v>8971</v>
      </c>
      <c r="F555" s="22">
        <v>5</v>
      </c>
      <c r="G555" s="22" t="s">
        <v>8972</v>
      </c>
      <c r="H555" s="22">
        <v>1</v>
      </c>
      <c r="I555" s="25">
        <v>43292</v>
      </c>
      <c r="J555" s="24">
        <v>43312</v>
      </c>
    </row>
    <row r="556" spans="2:10" x14ac:dyDescent="0.2">
      <c r="B556" s="22">
        <v>552</v>
      </c>
      <c r="C556" s="21" t="s">
        <v>8973</v>
      </c>
      <c r="D556" s="21" t="s">
        <v>1294</v>
      </c>
      <c r="E556" s="20" t="s">
        <v>8974</v>
      </c>
      <c r="F556" s="22">
        <v>7</v>
      </c>
      <c r="G556" s="22" t="s">
        <v>5216</v>
      </c>
      <c r="H556" s="22">
        <v>1</v>
      </c>
      <c r="I556" s="25">
        <v>43390</v>
      </c>
      <c r="J556" s="24">
        <v>43413</v>
      </c>
    </row>
    <row r="557" spans="2:10" x14ac:dyDescent="0.2">
      <c r="B557" s="22">
        <v>553</v>
      </c>
      <c r="C557" s="21" t="s">
        <v>8975</v>
      </c>
      <c r="D557" s="21" t="s">
        <v>1294</v>
      </c>
      <c r="E557" s="20" t="s">
        <v>8976</v>
      </c>
      <c r="F557" s="22">
        <v>1</v>
      </c>
      <c r="G557" s="22" t="s">
        <v>8977</v>
      </c>
      <c r="H557" s="22">
        <v>1</v>
      </c>
      <c r="I557" s="25">
        <v>43369</v>
      </c>
      <c r="J557" s="24">
        <v>43382</v>
      </c>
    </row>
    <row r="558" spans="2:10" x14ac:dyDescent="0.2">
      <c r="B558" s="22">
        <v>554</v>
      </c>
      <c r="C558" s="21" t="s">
        <v>8978</v>
      </c>
      <c r="D558" s="21" t="s">
        <v>2148</v>
      </c>
      <c r="E558" s="20" t="s">
        <v>8979</v>
      </c>
      <c r="F558" s="22">
        <v>2</v>
      </c>
      <c r="G558" s="22" t="s">
        <v>8980</v>
      </c>
      <c r="H558" s="22">
        <v>1</v>
      </c>
      <c r="I558" s="25">
        <v>43227</v>
      </c>
      <c r="J558" s="24">
        <v>43370</v>
      </c>
    </row>
    <row r="559" spans="2:10" x14ac:dyDescent="0.2">
      <c r="B559" s="22">
        <v>555</v>
      </c>
      <c r="C559" s="21" t="s">
        <v>8981</v>
      </c>
      <c r="D559" s="21" t="s">
        <v>1880</v>
      </c>
      <c r="E559" s="20" t="s">
        <v>8982</v>
      </c>
      <c r="F559" s="22">
        <v>2</v>
      </c>
      <c r="G559" s="22" t="s">
        <v>8983</v>
      </c>
      <c r="H559" s="22">
        <v>1</v>
      </c>
      <c r="I559" s="25">
        <v>43236</v>
      </c>
      <c r="J559" s="24">
        <v>43389</v>
      </c>
    </row>
    <row r="560" spans="2:10" x14ac:dyDescent="0.2">
      <c r="B560" s="22">
        <v>556</v>
      </c>
      <c r="C560" s="21" t="s">
        <v>8984</v>
      </c>
      <c r="D560" s="21" t="s">
        <v>1880</v>
      </c>
      <c r="E560" s="20" t="s">
        <v>8985</v>
      </c>
      <c r="F560" s="22">
        <v>2</v>
      </c>
      <c r="G560" s="22" t="s">
        <v>8986</v>
      </c>
      <c r="H560" s="22">
        <v>2</v>
      </c>
      <c r="I560" s="25">
        <v>43334</v>
      </c>
      <c r="J560" s="24">
        <v>43101</v>
      </c>
    </row>
    <row r="561" spans="2:10" x14ac:dyDescent="0.2">
      <c r="B561" s="22">
        <v>557</v>
      </c>
      <c r="C561" s="21" t="s">
        <v>8987</v>
      </c>
      <c r="D561" s="21" t="s">
        <v>1294</v>
      </c>
      <c r="E561" s="20" t="s">
        <v>2367</v>
      </c>
      <c r="F561" s="22">
        <v>13</v>
      </c>
      <c r="G561" s="22" t="s">
        <v>8988</v>
      </c>
      <c r="H561" s="22">
        <v>13</v>
      </c>
      <c r="I561" s="25">
        <v>43194</v>
      </c>
      <c r="J561" s="24">
        <v>43200</v>
      </c>
    </row>
    <row r="562" spans="2:10" x14ac:dyDescent="0.2">
      <c r="B562" s="22">
        <v>558</v>
      </c>
      <c r="C562" s="21" t="s">
        <v>8989</v>
      </c>
      <c r="D562" s="21" t="s">
        <v>1532</v>
      </c>
      <c r="E562" s="20" t="s">
        <v>8990</v>
      </c>
      <c r="F562" s="22">
        <v>2</v>
      </c>
      <c r="G562" s="22" t="s">
        <v>1159</v>
      </c>
      <c r="H562" s="22" t="s">
        <v>1159</v>
      </c>
      <c r="I562" s="25">
        <v>43439</v>
      </c>
      <c r="J562" s="24">
        <v>43423</v>
      </c>
    </row>
    <row r="563" spans="2:10" x14ac:dyDescent="0.2">
      <c r="B563" s="22">
        <v>559</v>
      </c>
      <c r="C563" s="21" t="s">
        <v>8991</v>
      </c>
      <c r="D563" s="21" t="s">
        <v>1235</v>
      </c>
      <c r="E563" s="20" t="s">
        <v>8992</v>
      </c>
      <c r="F563" s="22">
        <v>10</v>
      </c>
      <c r="G563" s="22" t="s">
        <v>6671</v>
      </c>
      <c r="H563" s="22">
        <v>10</v>
      </c>
      <c r="I563" s="25">
        <v>43166</v>
      </c>
      <c r="J563" s="24">
        <v>43172</v>
      </c>
    </row>
    <row r="564" spans="2:10" x14ac:dyDescent="0.2">
      <c r="B564" s="22">
        <v>560</v>
      </c>
      <c r="C564" s="21" t="s">
        <v>8993</v>
      </c>
      <c r="D564" s="21" t="s">
        <v>8994</v>
      </c>
      <c r="E564" s="20" t="s">
        <v>8995</v>
      </c>
      <c r="F564" s="22">
        <v>2</v>
      </c>
      <c r="G564" s="22" t="s">
        <v>8996</v>
      </c>
      <c r="H564" s="22">
        <v>1</v>
      </c>
      <c r="I564" s="25">
        <v>43411</v>
      </c>
      <c r="J564" s="24">
        <v>43424</v>
      </c>
    </row>
    <row r="565" spans="2:10" x14ac:dyDescent="0.2">
      <c r="B565" s="22">
        <v>561</v>
      </c>
      <c r="C565" s="21" t="s">
        <v>8997</v>
      </c>
      <c r="D565" s="21" t="s">
        <v>6728</v>
      </c>
      <c r="E565" s="20" t="s">
        <v>8998</v>
      </c>
      <c r="F565" s="22">
        <v>1</v>
      </c>
      <c r="G565" s="22" t="s">
        <v>1159</v>
      </c>
      <c r="H565" s="22" t="s">
        <v>1159</v>
      </c>
      <c r="I565" s="25">
        <v>43320</v>
      </c>
      <c r="J565" s="24">
        <v>43326</v>
      </c>
    </row>
    <row r="566" spans="2:10" x14ac:dyDescent="0.2">
      <c r="B566" s="22">
        <v>562</v>
      </c>
      <c r="C566" s="21" t="s">
        <v>8999</v>
      </c>
      <c r="D566" s="21" t="s">
        <v>9000</v>
      </c>
      <c r="E566" s="20" t="s">
        <v>5002</v>
      </c>
      <c r="F566" s="22">
        <v>2</v>
      </c>
      <c r="G566" s="22" t="s">
        <v>9001</v>
      </c>
      <c r="H566" s="22">
        <v>2</v>
      </c>
      <c r="I566" s="25">
        <v>43432</v>
      </c>
      <c r="J566" s="24">
        <v>43452</v>
      </c>
    </row>
    <row r="567" spans="2:10" x14ac:dyDescent="0.2">
      <c r="B567" s="22">
        <v>563</v>
      </c>
      <c r="C567" s="21" t="s">
        <v>9002</v>
      </c>
      <c r="D567" s="21" t="s">
        <v>8241</v>
      </c>
      <c r="E567" s="20" t="s">
        <v>9003</v>
      </c>
      <c r="F567" s="22">
        <v>12</v>
      </c>
      <c r="G567" s="22" t="s">
        <v>1159</v>
      </c>
      <c r="H567" s="22" t="s">
        <v>1159</v>
      </c>
      <c r="I567" s="25">
        <v>43418</v>
      </c>
      <c r="J567" s="24">
        <v>43424</v>
      </c>
    </row>
    <row r="568" spans="2:10" x14ac:dyDescent="0.2">
      <c r="B568" s="22">
        <v>564</v>
      </c>
      <c r="C568" s="21" t="s">
        <v>9004</v>
      </c>
      <c r="D568" s="21" t="s">
        <v>9005</v>
      </c>
      <c r="E568" s="20" t="s">
        <v>9006</v>
      </c>
      <c r="F568" s="22">
        <v>4</v>
      </c>
      <c r="G568" s="22" t="s">
        <v>9007</v>
      </c>
      <c r="H568" s="22">
        <v>1</v>
      </c>
      <c r="I568" s="25">
        <v>43103</v>
      </c>
      <c r="J568" s="24">
        <v>43116</v>
      </c>
    </row>
    <row r="569" spans="2:10" x14ac:dyDescent="0.2">
      <c r="B569" s="22">
        <v>565</v>
      </c>
      <c r="C569" s="21" t="s">
        <v>9008</v>
      </c>
      <c r="D569" s="21" t="s">
        <v>1294</v>
      </c>
      <c r="E569" s="20" t="s">
        <v>9009</v>
      </c>
      <c r="F569" s="22">
        <v>1</v>
      </c>
      <c r="G569" s="22" t="s">
        <v>9010</v>
      </c>
      <c r="H569" s="22">
        <v>1</v>
      </c>
      <c r="I569" s="25">
        <v>43180</v>
      </c>
      <c r="J569" s="24">
        <v>43200</v>
      </c>
    </row>
    <row r="570" spans="2:10" x14ac:dyDescent="0.2">
      <c r="B570" s="22">
        <v>566</v>
      </c>
      <c r="C570" s="21" t="s">
        <v>9011</v>
      </c>
      <c r="D570" s="21" t="s">
        <v>1175</v>
      </c>
      <c r="E570" s="20" t="s">
        <v>9012</v>
      </c>
      <c r="F570" s="22">
        <v>1</v>
      </c>
      <c r="G570" s="22" t="s">
        <v>9013</v>
      </c>
      <c r="H570" s="22">
        <v>1</v>
      </c>
      <c r="I570" s="25">
        <v>43229</v>
      </c>
      <c r="J570" s="24">
        <v>43242</v>
      </c>
    </row>
    <row r="571" spans="2:10" x14ac:dyDescent="0.2">
      <c r="B571" s="22">
        <v>567</v>
      </c>
      <c r="C571" s="21" t="s">
        <v>9014</v>
      </c>
      <c r="D571" s="21" t="s">
        <v>1213</v>
      </c>
      <c r="E571" s="20" t="s">
        <v>9015</v>
      </c>
      <c r="F571" s="22">
        <v>3</v>
      </c>
      <c r="G571" s="22" t="s">
        <v>9016</v>
      </c>
      <c r="H571" s="22">
        <v>1</v>
      </c>
      <c r="I571" s="25">
        <v>43402</v>
      </c>
      <c r="J571" s="24">
        <v>43220</v>
      </c>
    </row>
    <row r="572" spans="2:10" x14ac:dyDescent="0.2">
      <c r="B572" s="22">
        <v>568</v>
      </c>
      <c r="C572" s="21" t="s">
        <v>9017</v>
      </c>
      <c r="D572" s="21" t="s">
        <v>2197</v>
      </c>
      <c r="E572" s="20" t="s">
        <v>9018</v>
      </c>
      <c r="F572" s="22">
        <v>10</v>
      </c>
      <c r="G572" s="22" t="s">
        <v>9019</v>
      </c>
      <c r="H572" s="22">
        <v>10</v>
      </c>
      <c r="I572" s="25">
        <v>43348</v>
      </c>
      <c r="J572" s="24">
        <v>43354</v>
      </c>
    </row>
    <row r="573" spans="2:10" x14ac:dyDescent="0.2">
      <c r="B573" s="22">
        <v>569</v>
      </c>
      <c r="C573" s="21" t="s">
        <v>9020</v>
      </c>
      <c r="D573" s="21" t="s">
        <v>1532</v>
      </c>
      <c r="E573" s="20" t="s">
        <v>9021</v>
      </c>
      <c r="F573" s="22">
        <v>1</v>
      </c>
      <c r="G573" s="22" t="s">
        <v>1159</v>
      </c>
      <c r="H573" s="22" t="s">
        <v>1159</v>
      </c>
      <c r="I573" s="25">
        <v>43397</v>
      </c>
      <c r="J573" s="24">
        <v>43178</v>
      </c>
    </row>
    <row r="574" spans="2:10" x14ac:dyDescent="0.2">
      <c r="B574" s="22">
        <v>570</v>
      </c>
      <c r="C574" s="21" t="s">
        <v>9022</v>
      </c>
      <c r="D574" s="21" t="s">
        <v>9023</v>
      </c>
      <c r="E574" s="20" t="s">
        <v>4613</v>
      </c>
      <c r="F574" s="22">
        <v>1</v>
      </c>
      <c r="G574" s="22" t="s">
        <v>4613</v>
      </c>
      <c r="H574" s="22">
        <v>1</v>
      </c>
      <c r="I574" s="25">
        <v>43278</v>
      </c>
      <c r="J574" s="24">
        <v>43280</v>
      </c>
    </row>
    <row r="575" spans="2:10" x14ac:dyDescent="0.2">
      <c r="B575" s="22">
        <v>571</v>
      </c>
      <c r="C575" s="21" t="s">
        <v>9024</v>
      </c>
      <c r="D575" s="21" t="s">
        <v>1135</v>
      </c>
      <c r="E575" s="20" t="s">
        <v>9025</v>
      </c>
      <c r="F575" s="22">
        <v>5</v>
      </c>
      <c r="G575" s="22" t="s">
        <v>9026</v>
      </c>
      <c r="H575" s="22">
        <v>5</v>
      </c>
      <c r="I575" s="25">
        <v>43383</v>
      </c>
      <c r="J575" s="24">
        <v>43389</v>
      </c>
    </row>
    <row r="576" spans="2:10" x14ac:dyDescent="0.2">
      <c r="B576" s="22">
        <v>573</v>
      </c>
      <c r="C576" s="21" t="s">
        <v>9027</v>
      </c>
      <c r="D576" s="21" t="s">
        <v>5638</v>
      </c>
      <c r="E576" s="20" t="s">
        <v>9028</v>
      </c>
      <c r="F576" s="22">
        <v>5</v>
      </c>
      <c r="G576" s="22" t="s">
        <v>9029</v>
      </c>
      <c r="H576" s="22">
        <v>3</v>
      </c>
      <c r="I576" s="25">
        <v>43402</v>
      </c>
      <c r="J576" s="24">
        <v>43417</v>
      </c>
    </row>
    <row r="577" spans="2:10" x14ac:dyDescent="0.2">
      <c r="B577" s="22">
        <v>572</v>
      </c>
      <c r="C577" s="21" t="s">
        <v>9030</v>
      </c>
      <c r="D577" s="21" t="s">
        <v>3627</v>
      </c>
      <c r="E577" s="20" t="s">
        <v>9028</v>
      </c>
      <c r="F577" s="22">
        <v>10</v>
      </c>
      <c r="G577" s="22" t="s">
        <v>9031</v>
      </c>
      <c r="H577" s="22">
        <v>7</v>
      </c>
      <c r="I577" s="25">
        <v>43208</v>
      </c>
      <c r="J577" s="24">
        <v>43228</v>
      </c>
    </row>
    <row r="578" spans="2:10" x14ac:dyDescent="0.2">
      <c r="B578" s="22">
        <v>574</v>
      </c>
      <c r="C578" s="21" t="s">
        <v>9032</v>
      </c>
      <c r="D578" s="21" t="s">
        <v>1804</v>
      </c>
      <c r="E578" s="20" t="s">
        <v>9033</v>
      </c>
      <c r="F578" s="22">
        <v>3</v>
      </c>
      <c r="G578" s="22" t="s">
        <v>9034</v>
      </c>
      <c r="H578" s="22">
        <v>1</v>
      </c>
      <c r="I578" s="25">
        <v>43264</v>
      </c>
      <c r="J578" s="24">
        <v>43298</v>
      </c>
    </row>
    <row r="579" spans="2:10" x14ac:dyDescent="0.2">
      <c r="B579" s="22">
        <v>575</v>
      </c>
      <c r="C579" s="21" t="s">
        <v>9035</v>
      </c>
      <c r="D579" s="21" t="s">
        <v>1415</v>
      </c>
      <c r="E579" s="20" t="s">
        <v>9036</v>
      </c>
      <c r="F579" s="22">
        <v>11</v>
      </c>
      <c r="G579" s="22" t="s">
        <v>9037</v>
      </c>
      <c r="H579" s="22">
        <v>11</v>
      </c>
      <c r="I579" s="25">
        <v>43187</v>
      </c>
      <c r="J579" s="24">
        <v>43193</v>
      </c>
    </row>
    <row r="580" spans="2:10" x14ac:dyDescent="0.2">
      <c r="B580" s="22">
        <v>576</v>
      </c>
      <c r="C580" s="21" t="s">
        <v>9038</v>
      </c>
      <c r="D580" s="21" t="s">
        <v>5117</v>
      </c>
      <c r="E580" s="20" t="s">
        <v>9039</v>
      </c>
      <c r="F580" s="22">
        <v>2</v>
      </c>
      <c r="G580" s="22" t="s">
        <v>9040</v>
      </c>
      <c r="H580" s="22">
        <v>2</v>
      </c>
      <c r="I580" s="25">
        <v>43264</v>
      </c>
      <c r="J580" s="24">
        <v>43270</v>
      </c>
    </row>
    <row r="581" spans="2:10" x14ac:dyDescent="0.2">
      <c r="B581" s="22">
        <v>577</v>
      </c>
      <c r="C581" s="21" t="s">
        <v>9041</v>
      </c>
      <c r="D581" s="21" t="s">
        <v>9042</v>
      </c>
      <c r="E581" s="20" t="s">
        <v>9043</v>
      </c>
      <c r="F581" s="22">
        <v>2</v>
      </c>
      <c r="G581" s="22" t="s">
        <v>9044</v>
      </c>
      <c r="H581" s="22">
        <v>1</v>
      </c>
      <c r="I581" s="25">
        <v>43348</v>
      </c>
      <c r="J581" s="24">
        <v>43375</v>
      </c>
    </row>
    <row r="582" spans="2:10" x14ac:dyDescent="0.2">
      <c r="B582" s="22">
        <v>578</v>
      </c>
      <c r="C582" s="21" t="s">
        <v>9045</v>
      </c>
      <c r="D582" s="21" t="s">
        <v>820</v>
      </c>
      <c r="E582" s="20" t="s">
        <v>9046</v>
      </c>
      <c r="F582" s="22">
        <v>50</v>
      </c>
      <c r="G582" s="22" t="s">
        <v>9047</v>
      </c>
      <c r="H582" s="22">
        <v>50</v>
      </c>
      <c r="I582" s="25">
        <v>43194</v>
      </c>
      <c r="J582" s="24">
        <v>43200</v>
      </c>
    </row>
    <row r="583" spans="2:10" x14ac:dyDescent="0.2">
      <c r="B583" s="22">
        <v>579</v>
      </c>
      <c r="C583" s="21" t="s">
        <v>9048</v>
      </c>
      <c r="D583" s="21" t="s">
        <v>1159</v>
      </c>
      <c r="E583" s="20" t="s">
        <v>9049</v>
      </c>
      <c r="F583" s="22">
        <v>2</v>
      </c>
      <c r="G583" s="22" t="s">
        <v>9050</v>
      </c>
      <c r="H583" s="22">
        <v>1</v>
      </c>
      <c r="I583" s="25">
        <v>43299</v>
      </c>
      <c r="J583" s="24">
        <v>43326</v>
      </c>
    </row>
    <row r="584" spans="2:10" x14ac:dyDescent="0.2">
      <c r="B584" s="22">
        <v>580</v>
      </c>
      <c r="C584" s="21" t="s">
        <v>9051</v>
      </c>
      <c r="D584" s="21" t="s">
        <v>1761</v>
      </c>
      <c r="E584" s="20" t="s">
        <v>9052</v>
      </c>
      <c r="F584" s="22">
        <v>5</v>
      </c>
      <c r="G584" s="22" t="s">
        <v>1159</v>
      </c>
      <c r="H584" s="22" t="s">
        <v>1159</v>
      </c>
      <c r="I584" s="25">
        <v>43453</v>
      </c>
      <c r="J584" s="24">
        <v>43104</v>
      </c>
    </row>
    <row r="585" spans="2:10" x14ac:dyDescent="0.2">
      <c r="B585" s="22">
        <v>581</v>
      </c>
      <c r="C585" s="21" t="s">
        <v>9053</v>
      </c>
      <c r="D585" s="21" t="s">
        <v>2010</v>
      </c>
      <c r="E585" s="20" t="s">
        <v>9054</v>
      </c>
      <c r="F585" s="22">
        <v>2</v>
      </c>
      <c r="G585" s="22" t="s">
        <v>9055</v>
      </c>
      <c r="H585" s="22">
        <v>1</v>
      </c>
      <c r="I585" s="25">
        <v>43271</v>
      </c>
      <c r="J585" s="24">
        <v>43452</v>
      </c>
    </row>
    <row r="586" spans="2:10" x14ac:dyDescent="0.2">
      <c r="B586" s="22">
        <v>582</v>
      </c>
      <c r="C586" s="21" t="s">
        <v>9056</v>
      </c>
      <c r="D586" s="21" t="s">
        <v>2010</v>
      </c>
      <c r="E586" s="20" t="s">
        <v>9057</v>
      </c>
      <c r="F586" s="22">
        <v>3</v>
      </c>
      <c r="G586" s="22" t="s">
        <v>9058</v>
      </c>
      <c r="H586" s="22">
        <v>1</v>
      </c>
      <c r="I586" s="25">
        <v>43355</v>
      </c>
      <c r="J586" s="24">
        <v>43129</v>
      </c>
    </row>
    <row r="587" spans="2:10" x14ac:dyDescent="0.2">
      <c r="B587" s="22">
        <v>583</v>
      </c>
      <c r="C587" s="21" t="s">
        <v>9059</v>
      </c>
      <c r="D587" s="21" t="s">
        <v>2051</v>
      </c>
      <c r="E587" s="20" t="s">
        <v>2434</v>
      </c>
      <c r="F587" s="22">
        <v>32</v>
      </c>
      <c r="G587" s="22" t="s">
        <v>1159</v>
      </c>
      <c r="H587" s="22" t="s">
        <v>1159</v>
      </c>
      <c r="I587" s="25">
        <v>43304</v>
      </c>
      <c r="J587" s="24">
        <v>43305</v>
      </c>
    </row>
    <row r="588" spans="2:10" x14ac:dyDescent="0.2">
      <c r="B588" s="22">
        <v>584</v>
      </c>
      <c r="C588" s="21" t="s">
        <v>9060</v>
      </c>
      <c r="D588" s="21" t="s">
        <v>1294</v>
      </c>
      <c r="E588" s="20" t="s">
        <v>9061</v>
      </c>
      <c r="F588" s="22">
        <v>5</v>
      </c>
      <c r="G588" s="22" t="s">
        <v>9062</v>
      </c>
      <c r="H588" s="22">
        <v>1</v>
      </c>
      <c r="I588" s="25">
        <v>43432</v>
      </c>
      <c r="J588" s="24">
        <v>43452</v>
      </c>
    </row>
    <row r="589" spans="2:10" x14ac:dyDescent="0.2">
      <c r="B589" s="22">
        <v>585</v>
      </c>
      <c r="C589" s="21" t="s">
        <v>9063</v>
      </c>
      <c r="D589" s="21" t="s">
        <v>1880</v>
      </c>
      <c r="E589" s="20" t="s">
        <v>9064</v>
      </c>
      <c r="F589" s="22">
        <v>2</v>
      </c>
      <c r="G589" s="22" t="s">
        <v>9065</v>
      </c>
      <c r="H589" s="22">
        <v>1</v>
      </c>
      <c r="I589" s="25">
        <v>43334</v>
      </c>
      <c r="J589" s="24">
        <v>43354</v>
      </c>
    </row>
    <row r="590" spans="2:10" x14ac:dyDescent="0.2">
      <c r="B590" s="22">
        <v>586</v>
      </c>
      <c r="C590" s="21" t="s">
        <v>9066</v>
      </c>
      <c r="D590" s="21" t="s">
        <v>1532</v>
      </c>
      <c r="E590" s="20" t="s">
        <v>9067</v>
      </c>
      <c r="F590" s="22">
        <v>2</v>
      </c>
      <c r="G590" s="22" t="s">
        <v>1159</v>
      </c>
      <c r="H590" s="22">
        <v>1</v>
      </c>
      <c r="I590" s="25">
        <v>43285</v>
      </c>
      <c r="J590" s="24">
        <v>43403</v>
      </c>
    </row>
    <row r="591" spans="2:10" x14ac:dyDescent="0.2">
      <c r="B591" s="22">
        <v>587</v>
      </c>
      <c r="C591" s="21" t="s">
        <v>9068</v>
      </c>
      <c r="D591" s="21" t="s">
        <v>1572</v>
      </c>
      <c r="E591" s="20" t="s">
        <v>9069</v>
      </c>
      <c r="F591" s="22">
        <v>1</v>
      </c>
      <c r="G591" s="22" t="s">
        <v>2132</v>
      </c>
      <c r="H591" s="22">
        <v>1</v>
      </c>
      <c r="I591" s="25">
        <v>43451</v>
      </c>
      <c r="J591" s="24">
        <v>43122</v>
      </c>
    </row>
    <row r="592" spans="2:10" x14ac:dyDescent="0.2">
      <c r="B592" s="22">
        <v>588</v>
      </c>
      <c r="C592" s="21" t="s">
        <v>9070</v>
      </c>
      <c r="D592" s="21" t="s">
        <v>820</v>
      </c>
      <c r="E592" s="20" t="s">
        <v>9071</v>
      </c>
      <c r="F592" s="22">
        <v>50</v>
      </c>
      <c r="G592" s="22" t="s">
        <v>9072</v>
      </c>
      <c r="H592" s="22">
        <v>50</v>
      </c>
      <c r="I592" s="25">
        <v>43194</v>
      </c>
      <c r="J592" s="24">
        <v>43200</v>
      </c>
    </row>
    <row r="593" spans="2:10" x14ac:dyDescent="0.2">
      <c r="B593" s="22">
        <v>589</v>
      </c>
      <c r="C593" s="21" t="s">
        <v>9073</v>
      </c>
      <c r="D593" s="21" t="s">
        <v>1977</v>
      </c>
      <c r="E593" s="20" t="s">
        <v>9074</v>
      </c>
      <c r="F593" s="22">
        <v>4</v>
      </c>
      <c r="G593" s="22" t="s">
        <v>7230</v>
      </c>
      <c r="H593" s="22">
        <v>4</v>
      </c>
      <c r="I593" s="25">
        <v>43229</v>
      </c>
      <c r="J593" s="24">
        <v>43252</v>
      </c>
    </row>
    <row r="594" spans="2:10" x14ac:dyDescent="0.2">
      <c r="B594" s="22">
        <v>590</v>
      </c>
      <c r="C594" s="21" t="s">
        <v>9075</v>
      </c>
      <c r="D594" s="21" t="s">
        <v>2197</v>
      </c>
      <c r="E594" s="20" t="s">
        <v>9076</v>
      </c>
      <c r="F594" s="22">
        <v>10</v>
      </c>
      <c r="G594" s="22" t="s">
        <v>9077</v>
      </c>
      <c r="H594" s="22">
        <v>10</v>
      </c>
      <c r="I594" s="25">
        <v>43278</v>
      </c>
      <c r="J594" s="24">
        <v>43284</v>
      </c>
    </row>
    <row r="595" spans="2:10" x14ac:dyDescent="0.2">
      <c r="B595" s="22">
        <v>591</v>
      </c>
      <c r="C595" s="21" t="s">
        <v>9078</v>
      </c>
      <c r="D595" s="21" t="s">
        <v>1422</v>
      </c>
      <c r="E595" s="20" t="s">
        <v>9079</v>
      </c>
      <c r="F595" s="22">
        <v>3</v>
      </c>
      <c r="G595" s="22" t="s">
        <v>9080</v>
      </c>
      <c r="H595" s="22">
        <v>3</v>
      </c>
      <c r="I595" s="25">
        <v>43430</v>
      </c>
      <c r="J595" s="24">
        <v>43129</v>
      </c>
    </row>
    <row r="596" spans="2:10" x14ac:dyDescent="0.2">
      <c r="B596" s="22">
        <v>592</v>
      </c>
      <c r="C596" s="21" t="s">
        <v>9081</v>
      </c>
      <c r="D596" s="21" t="s">
        <v>1039</v>
      </c>
      <c r="E596" s="20" t="s">
        <v>9082</v>
      </c>
      <c r="F596" s="22">
        <v>3</v>
      </c>
      <c r="G596" s="22" t="s">
        <v>9083</v>
      </c>
      <c r="H596" s="22">
        <v>2</v>
      </c>
      <c r="I596" s="25">
        <v>43355</v>
      </c>
      <c r="J596" s="24">
        <v>43396</v>
      </c>
    </row>
    <row r="597" spans="2:10" x14ac:dyDescent="0.2">
      <c r="B597" s="22">
        <v>593</v>
      </c>
      <c r="C597" s="21" t="s">
        <v>9084</v>
      </c>
      <c r="D597" s="21" t="s">
        <v>1039</v>
      </c>
      <c r="E597" s="20" t="s">
        <v>9085</v>
      </c>
      <c r="F597" s="22">
        <v>5</v>
      </c>
      <c r="G597" s="22" t="s">
        <v>9086</v>
      </c>
      <c r="H597" s="22">
        <v>1</v>
      </c>
      <c r="I597" s="25">
        <v>43257</v>
      </c>
      <c r="J597" s="24">
        <v>43284</v>
      </c>
    </row>
    <row r="598" spans="2:10" x14ac:dyDescent="0.2">
      <c r="B598" s="22">
        <v>594</v>
      </c>
      <c r="C598" s="21" t="s">
        <v>9087</v>
      </c>
      <c r="D598" s="21" t="s">
        <v>1532</v>
      </c>
      <c r="E598" s="20" t="s">
        <v>9088</v>
      </c>
      <c r="F598" s="22">
        <v>2</v>
      </c>
      <c r="G598" s="22" t="s">
        <v>1159</v>
      </c>
      <c r="H598" s="22" t="s">
        <v>1159</v>
      </c>
      <c r="I598" s="25">
        <v>43355</v>
      </c>
      <c r="J598" s="24">
        <v>43185</v>
      </c>
    </row>
    <row r="599" spans="2:10" x14ac:dyDescent="0.2">
      <c r="B599" s="22">
        <v>595</v>
      </c>
      <c r="C599" s="21" t="s">
        <v>9089</v>
      </c>
      <c r="D599" s="21" t="s">
        <v>1532</v>
      </c>
      <c r="E599" s="20" t="s">
        <v>9090</v>
      </c>
      <c r="F599" s="22">
        <v>1</v>
      </c>
      <c r="G599" s="22" t="s">
        <v>1159</v>
      </c>
      <c r="H599" s="22" t="s">
        <v>1159</v>
      </c>
      <c r="I599" s="25">
        <v>43404</v>
      </c>
      <c r="J599" s="24">
        <v>43410</v>
      </c>
    </row>
    <row r="600" spans="2:10" x14ac:dyDescent="0.2">
      <c r="B600" s="22">
        <v>596</v>
      </c>
      <c r="C600" s="21" t="s">
        <v>9091</v>
      </c>
      <c r="D600" s="21" t="s">
        <v>1532</v>
      </c>
      <c r="E600" s="20" t="s">
        <v>9092</v>
      </c>
      <c r="F600" s="22">
        <v>2</v>
      </c>
      <c r="G600" s="22" t="s">
        <v>9093</v>
      </c>
      <c r="H600" s="22">
        <v>1</v>
      </c>
      <c r="I600" s="25">
        <v>43306</v>
      </c>
      <c r="J600" s="24">
        <v>43459</v>
      </c>
    </row>
    <row r="601" spans="2:10" x14ac:dyDescent="0.2">
      <c r="B601" s="22">
        <v>597</v>
      </c>
      <c r="C601" s="21" t="s">
        <v>9094</v>
      </c>
      <c r="D601" s="21" t="s">
        <v>1294</v>
      </c>
      <c r="E601" s="20" t="s">
        <v>9095</v>
      </c>
      <c r="F601" s="22">
        <v>8</v>
      </c>
      <c r="G601" s="22" t="s">
        <v>1159</v>
      </c>
      <c r="H601" s="22">
        <v>2</v>
      </c>
      <c r="I601" s="25">
        <v>43439</v>
      </c>
      <c r="J601" s="24">
        <v>43459</v>
      </c>
    </row>
    <row r="602" spans="2:10" x14ac:dyDescent="0.2">
      <c r="B602" s="22">
        <v>598</v>
      </c>
      <c r="C602" s="21" t="s">
        <v>9096</v>
      </c>
      <c r="D602" s="21" t="s">
        <v>1804</v>
      </c>
      <c r="E602" s="20" t="s">
        <v>2460</v>
      </c>
      <c r="F602" s="22">
        <v>2</v>
      </c>
      <c r="G602" s="22" t="s">
        <v>9097</v>
      </c>
      <c r="H602" s="22">
        <v>2</v>
      </c>
      <c r="I602" s="25">
        <v>43355</v>
      </c>
      <c r="J602" s="24">
        <v>43410</v>
      </c>
    </row>
    <row r="603" spans="2:10" x14ac:dyDescent="0.2">
      <c r="B603" s="22">
        <v>599</v>
      </c>
      <c r="C603" s="21" t="s">
        <v>9098</v>
      </c>
      <c r="D603" s="21" t="s">
        <v>9099</v>
      </c>
      <c r="E603" s="20" t="s">
        <v>9100</v>
      </c>
      <c r="F603" s="22">
        <v>1</v>
      </c>
      <c r="G603" s="22" t="s">
        <v>9101</v>
      </c>
      <c r="H603" s="22">
        <v>1</v>
      </c>
      <c r="I603" s="25">
        <v>43355</v>
      </c>
      <c r="J603" s="24">
        <v>43361</v>
      </c>
    </row>
    <row r="604" spans="2:10" x14ac:dyDescent="0.2">
      <c r="B604" s="22">
        <v>600</v>
      </c>
      <c r="C604" s="21" t="s">
        <v>9102</v>
      </c>
      <c r="D604" s="21" t="s">
        <v>2051</v>
      </c>
      <c r="E604" s="20" t="s">
        <v>1856</v>
      </c>
      <c r="F604" s="22">
        <v>5</v>
      </c>
      <c r="G604" s="22" t="s">
        <v>9103</v>
      </c>
      <c r="H604" s="22">
        <v>1</v>
      </c>
      <c r="I604" s="25">
        <v>43341</v>
      </c>
      <c r="J604" s="24">
        <v>43448</v>
      </c>
    </row>
    <row r="605" spans="2:10" x14ac:dyDescent="0.2">
      <c r="B605" s="22">
        <v>601</v>
      </c>
      <c r="C605" s="21" t="s">
        <v>9104</v>
      </c>
      <c r="D605" s="21" t="s">
        <v>1294</v>
      </c>
      <c r="E605" s="20" t="s">
        <v>9105</v>
      </c>
      <c r="F605" s="22">
        <v>5</v>
      </c>
      <c r="G605" s="22" t="s">
        <v>9106</v>
      </c>
      <c r="H605" s="22">
        <v>2</v>
      </c>
      <c r="I605" s="25">
        <v>43152</v>
      </c>
      <c r="J605" s="24">
        <v>43179</v>
      </c>
    </row>
    <row r="606" spans="2:10" x14ac:dyDescent="0.2">
      <c r="B606" s="22">
        <v>602</v>
      </c>
      <c r="C606" s="21" t="s">
        <v>9107</v>
      </c>
      <c r="D606" s="21" t="s">
        <v>2010</v>
      </c>
      <c r="E606" s="20" t="s">
        <v>9108</v>
      </c>
      <c r="F606" s="22">
        <v>1</v>
      </c>
      <c r="G606" s="22" t="s">
        <v>9109</v>
      </c>
      <c r="H606" s="22">
        <v>1</v>
      </c>
      <c r="I606" s="25">
        <v>43327</v>
      </c>
      <c r="J606" s="24">
        <v>43333</v>
      </c>
    </row>
    <row r="607" spans="2:10" x14ac:dyDescent="0.2">
      <c r="B607" s="22">
        <v>603</v>
      </c>
      <c r="C607" s="21" t="s">
        <v>9110</v>
      </c>
      <c r="D607" s="21" t="s">
        <v>740</v>
      </c>
      <c r="E607" s="20" t="s">
        <v>9111</v>
      </c>
      <c r="F607" s="22">
        <v>6</v>
      </c>
      <c r="G607" s="22" t="s">
        <v>9112</v>
      </c>
      <c r="H607" s="22">
        <v>6</v>
      </c>
      <c r="I607" s="25">
        <v>43131</v>
      </c>
      <c r="J607" s="24">
        <v>43144</v>
      </c>
    </row>
    <row r="608" spans="2:10" x14ac:dyDescent="0.2">
      <c r="B608" s="22">
        <v>604</v>
      </c>
      <c r="C608" s="21" t="s">
        <v>9113</v>
      </c>
      <c r="D608" s="21" t="s">
        <v>1797</v>
      </c>
      <c r="E608" s="20" t="s">
        <v>9114</v>
      </c>
      <c r="F608" s="22">
        <v>1</v>
      </c>
      <c r="G608" s="22" t="s">
        <v>2682</v>
      </c>
      <c r="H608" s="22">
        <v>1</v>
      </c>
      <c r="I608" s="25">
        <v>43390</v>
      </c>
      <c r="J608" s="24">
        <v>43342</v>
      </c>
    </row>
    <row r="609" spans="2:10" x14ac:dyDescent="0.2">
      <c r="B609" s="22">
        <v>605</v>
      </c>
      <c r="C609" s="21" t="s">
        <v>9115</v>
      </c>
      <c r="D609" s="21" t="s">
        <v>2148</v>
      </c>
      <c r="E609" s="20" t="s">
        <v>6571</v>
      </c>
      <c r="F609" s="22">
        <v>2</v>
      </c>
      <c r="G609" s="22" t="s">
        <v>9116</v>
      </c>
      <c r="H609" s="22">
        <v>1</v>
      </c>
      <c r="I609" s="25">
        <v>43209</v>
      </c>
      <c r="J609" s="24">
        <v>43230</v>
      </c>
    </row>
    <row r="610" spans="2:10" x14ac:dyDescent="0.2">
      <c r="B610" s="22">
        <v>606</v>
      </c>
      <c r="C610" s="21" t="s">
        <v>9117</v>
      </c>
      <c r="D610" s="21" t="s">
        <v>1039</v>
      </c>
      <c r="E610" s="20" t="s">
        <v>9118</v>
      </c>
      <c r="F610" s="22">
        <v>3</v>
      </c>
      <c r="G610" s="22" t="s">
        <v>9119</v>
      </c>
      <c r="H610" s="22">
        <v>3</v>
      </c>
      <c r="I610" s="25">
        <v>43439</v>
      </c>
      <c r="J610" s="24">
        <v>43115</v>
      </c>
    </row>
    <row r="611" spans="2:10" x14ac:dyDescent="0.2">
      <c r="B611" s="22">
        <v>607</v>
      </c>
      <c r="C611" s="21" t="s">
        <v>9120</v>
      </c>
      <c r="D611" s="21" t="s">
        <v>1804</v>
      </c>
      <c r="E611" s="20" t="s">
        <v>9121</v>
      </c>
      <c r="F611" s="22">
        <v>3</v>
      </c>
      <c r="G611" s="22" t="s">
        <v>9122</v>
      </c>
      <c r="H611" s="22">
        <v>1</v>
      </c>
      <c r="I611" s="25">
        <v>43292</v>
      </c>
      <c r="J611" s="24">
        <v>43326</v>
      </c>
    </row>
    <row r="612" spans="2:10" x14ac:dyDescent="0.2">
      <c r="B612" s="22">
        <v>608</v>
      </c>
      <c r="C612" s="21" t="s">
        <v>9123</v>
      </c>
      <c r="D612" s="21" t="s">
        <v>4049</v>
      </c>
      <c r="E612" s="20" t="s">
        <v>9124</v>
      </c>
      <c r="F612" s="22">
        <v>11</v>
      </c>
      <c r="G612" s="22" t="s">
        <v>9125</v>
      </c>
      <c r="H612" s="22">
        <v>1</v>
      </c>
      <c r="I612" s="25">
        <v>43415</v>
      </c>
      <c r="J612" s="24">
        <v>43424</v>
      </c>
    </row>
    <row r="613" spans="2:10" x14ac:dyDescent="0.2">
      <c r="B613" s="22">
        <v>609</v>
      </c>
      <c r="C613" s="21" t="s">
        <v>9126</v>
      </c>
      <c r="D613" s="21" t="s">
        <v>1880</v>
      </c>
      <c r="E613" s="20" t="s">
        <v>9127</v>
      </c>
      <c r="F613" s="22">
        <v>2</v>
      </c>
      <c r="G613" s="22" t="s">
        <v>9128</v>
      </c>
      <c r="H613" s="22">
        <v>1</v>
      </c>
      <c r="I613" s="25">
        <v>43236</v>
      </c>
      <c r="J613" s="24">
        <v>43270</v>
      </c>
    </row>
    <row r="614" spans="2:10" x14ac:dyDescent="0.2">
      <c r="B614" s="22">
        <v>610</v>
      </c>
      <c r="C614" s="21" t="s">
        <v>9129</v>
      </c>
      <c r="D614" s="21" t="s">
        <v>1235</v>
      </c>
      <c r="E614" s="20" t="s">
        <v>9130</v>
      </c>
      <c r="F614" s="22">
        <v>10</v>
      </c>
      <c r="G614" s="22" t="s">
        <v>9130</v>
      </c>
      <c r="H614" s="22">
        <v>10</v>
      </c>
      <c r="I614" s="25">
        <v>43257</v>
      </c>
      <c r="J614" s="24">
        <v>43259</v>
      </c>
    </row>
    <row r="615" spans="2:10" x14ac:dyDescent="0.2">
      <c r="B615" s="22">
        <v>611</v>
      </c>
      <c r="C615" s="21" t="s">
        <v>9131</v>
      </c>
      <c r="D615" s="21" t="s">
        <v>1532</v>
      </c>
      <c r="E615" s="20" t="s">
        <v>9132</v>
      </c>
      <c r="F615" s="22">
        <v>1</v>
      </c>
      <c r="G615" s="22" t="s">
        <v>1159</v>
      </c>
      <c r="H615" s="22" t="s">
        <v>1159</v>
      </c>
      <c r="I615" s="25">
        <v>43278</v>
      </c>
      <c r="J615" s="24">
        <v>43326</v>
      </c>
    </row>
    <row r="616" spans="2:10" x14ac:dyDescent="0.2">
      <c r="B616" s="22">
        <v>612</v>
      </c>
      <c r="C616" s="21" t="s">
        <v>9133</v>
      </c>
      <c r="D616" s="21" t="s">
        <v>2197</v>
      </c>
      <c r="E616" s="20" t="s">
        <v>9134</v>
      </c>
      <c r="F616" s="22">
        <v>10</v>
      </c>
      <c r="G616" s="22" t="s">
        <v>4458</v>
      </c>
      <c r="H616" s="22">
        <v>10</v>
      </c>
      <c r="I616" s="25">
        <v>43306</v>
      </c>
      <c r="J616" s="24">
        <v>43312</v>
      </c>
    </row>
    <row r="617" spans="2:10" x14ac:dyDescent="0.2">
      <c r="B617" s="22">
        <v>613</v>
      </c>
      <c r="C617" s="21" t="s">
        <v>9135</v>
      </c>
      <c r="D617" s="21" t="s">
        <v>1235</v>
      </c>
      <c r="E617" s="20" t="s">
        <v>9136</v>
      </c>
      <c r="F617" s="22">
        <v>6</v>
      </c>
      <c r="G617" s="22" t="s">
        <v>9137</v>
      </c>
      <c r="H617" s="22">
        <v>6</v>
      </c>
      <c r="I617" s="25">
        <v>43362</v>
      </c>
      <c r="J617" s="24">
        <v>43371</v>
      </c>
    </row>
    <row r="618" spans="2:10" x14ac:dyDescent="0.2">
      <c r="B618" s="22">
        <v>614</v>
      </c>
      <c r="C618" s="21" t="s">
        <v>9138</v>
      </c>
      <c r="D618" s="21" t="s">
        <v>1930</v>
      </c>
      <c r="E618" s="20" t="s">
        <v>9139</v>
      </c>
      <c r="F618" s="22">
        <v>3</v>
      </c>
      <c r="G618" s="22" t="s">
        <v>9140</v>
      </c>
      <c r="H618" s="22">
        <v>1</v>
      </c>
      <c r="I618" s="25">
        <v>43369</v>
      </c>
      <c r="J618" s="24">
        <v>43382</v>
      </c>
    </row>
    <row r="619" spans="2:10" x14ac:dyDescent="0.2">
      <c r="B619" s="22">
        <v>615</v>
      </c>
      <c r="C619" s="21" t="s">
        <v>9141</v>
      </c>
      <c r="D619" s="21" t="s">
        <v>1294</v>
      </c>
      <c r="E619" s="20" t="s">
        <v>9142</v>
      </c>
      <c r="F619" s="22">
        <v>2</v>
      </c>
      <c r="G619" s="22" t="s">
        <v>2299</v>
      </c>
      <c r="H619" s="22">
        <v>2</v>
      </c>
      <c r="I619" s="25">
        <v>43110</v>
      </c>
      <c r="J619" s="24">
        <v>43116</v>
      </c>
    </row>
    <row r="620" spans="2:10" x14ac:dyDescent="0.2">
      <c r="B620" s="22">
        <v>616</v>
      </c>
      <c r="C620" s="21" t="s">
        <v>9143</v>
      </c>
      <c r="D620" s="21" t="s">
        <v>740</v>
      </c>
      <c r="E620" s="20" t="s">
        <v>9144</v>
      </c>
      <c r="F620" s="22">
        <v>11</v>
      </c>
      <c r="G620" s="22" t="s">
        <v>9145</v>
      </c>
      <c r="H620" s="22">
        <v>11</v>
      </c>
      <c r="I620" s="25">
        <v>43383</v>
      </c>
      <c r="J620" s="24">
        <v>43389</v>
      </c>
    </row>
    <row r="621" spans="2:10" x14ac:dyDescent="0.2">
      <c r="B621" s="22">
        <v>617</v>
      </c>
      <c r="C621" s="21" t="s">
        <v>9146</v>
      </c>
      <c r="D621" s="21" t="s">
        <v>1804</v>
      </c>
      <c r="E621" s="20" t="s">
        <v>9147</v>
      </c>
      <c r="F621" s="22">
        <v>3</v>
      </c>
      <c r="G621" s="22" t="s">
        <v>9148</v>
      </c>
      <c r="H621" s="22">
        <v>2</v>
      </c>
      <c r="I621" s="25">
        <v>43341</v>
      </c>
      <c r="J621" s="24">
        <v>43438</v>
      </c>
    </row>
    <row r="622" spans="2:10" x14ac:dyDescent="0.2">
      <c r="B622" s="22">
        <v>618</v>
      </c>
      <c r="C622" s="21" t="s">
        <v>9149</v>
      </c>
      <c r="D622" s="21" t="s">
        <v>1039</v>
      </c>
      <c r="E622" s="20" t="s">
        <v>9150</v>
      </c>
      <c r="F622" s="22">
        <v>17</v>
      </c>
      <c r="G622" s="22" t="s">
        <v>9151</v>
      </c>
      <c r="H622" s="22">
        <v>17</v>
      </c>
      <c r="I622" s="25">
        <v>43404</v>
      </c>
      <c r="J622" s="24">
        <v>43431</v>
      </c>
    </row>
    <row r="623" spans="2:10" x14ac:dyDescent="0.2">
      <c r="B623" s="22">
        <v>619</v>
      </c>
      <c r="C623" s="21" t="s">
        <v>9152</v>
      </c>
      <c r="D623" s="21" t="s">
        <v>1039</v>
      </c>
      <c r="E623" s="20" t="s">
        <v>9153</v>
      </c>
      <c r="F623" s="22">
        <v>11</v>
      </c>
      <c r="G623" s="22" t="s">
        <v>9154</v>
      </c>
      <c r="H623" s="22">
        <v>11</v>
      </c>
      <c r="I623" s="25">
        <v>43229</v>
      </c>
      <c r="J623" s="24">
        <v>43256</v>
      </c>
    </row>
    <row r="624" spans="2:10" x14ac:dyDescent="0.2">
      <c r="B624" s="22">
        <v>620</v>
      </c>
      <c r="C624" s="21" t="s">
        <v>9155</v>
      </c>
      <c r="D624" s="21" t="s">
        <v>1159</v>
      </c>
      <c r="E624" s="20" t="s">
        <v>9156</v>
      </c>
      <c r="F624" s="22">
        <v>2</v>
      </c>
      <c r="G624" s="22" t="s">
        <v>9157</v>
      </c>
      <c r="H624" s="22">
        <v>2</v>
      </c>
      <c r="I624" s="25">
        <v>43404</v>
      </c>
      <c r="J624" s="24">
        <v>43417</v>
      </c>
    </row>
    <row r="625" spans="2:10" x14ac:dyDescent="0.2">
      <c r="B625" s="22">
        <v>621</v>
      </c>
      <c r="C625" s="21" t="s">
        <v>9158</v>
      </c>
      <c r="D625" s="21" t="s">
        <v>1235</v>
      </c>
      <c r="E625" s="20" t="s">
        <v>9159</v>
      </c>
      <c r="F625" s="22">
        <v>9</v>
      </c>
      <c r="G625" s="22" t="s">
        <v>9160</v>
      </c>
      <c r="H625" s="22">
        <v>9</v>
      </c>
      <c r="I625" s="25">
        <v>43306</v>
      </c>
      <c r="J625" s="22" t="s">
        <v>558</v>
      </c>
    </row>
    <row r="626" spans="2:10" x14ac:dyDescent="0.2">
      <c r="B626" s="22">
        <v>622</v>
      </c>
      <c r="C626" s="21" t="s">
        <v>9161</v>
      </c>
      <c r="D626" s="21" t="s">
        <v>1039</v>
      </c>
      <c r="E626" s="20" t="s">
        <v>9162</v>
      </c>
      <c r="F626" s="22">
        <v>3</v>
      </c>
      <c r="G626" s="22" t="s">
        <v>9163</v>
      </c>
      <c r="H626" s="22">
        <v>2</v>
      </c>
      <c r="I626" s="25">
        <v>43439</v>
      </c>
      <c r="J626" s="24">
        <v>43108</v>
      </c>
    </row>
    <row r="627" spans="2:10" x14ac:dyDescent="0.2">
      <c r="B627" s="22">
        <v>623</v>
      </c>
      <c r="C627" s="21" t="s">
        <v>9164</v>
      </c>
      <c r="D627" s="21" t="s">
        <v>2051</v>
      </c>
      <c r="E627" s="20" t="s">
        <v>4953</v>
      </c>
      <c r="F627" s="22">
        <v>5</v>
      </c>
      <c r="G627" s="22" t="s">
        <v>1159</v>
      </c>
      <c r="H627" s="22" t="s">
        <v>1159</v>
      </c>
      <c r="I627" s="25">
        <v>43187</v>
      </c>
      <c r="J627" s="22" t="s">
        <v>558</v>
      </c>
    </row>
    <row r="628" spans="2:10" x14ac:dyDescent="0.2">
      <c r="B628" s="22">
        <v>624</v>
      </c>
      <c r="C628" s="21" t="s">
        <v>9165</v>
      </c>
      <c r="D628" s="21" t="s">
        <v>2270</v>
      </c>
      <c r="E628" s="20" t="s">
        <v>9166</v>
      </c>
      <c r="F628" s="22">
        <v>3</v>
      </c>
      <c r="G628" s="22" t="s">
        <v>5227</v>
      </c>
      <c r="H628" s="22">
        <v>1</v>
      </c>
      <c r="I628" s="25">
        <v>43250</v>
      </c>
      <c r="J628" s="24">
        <v>43270</v>
      </c>
    </row>
    <row r="629" spans="2:10" x14ac:dyDescent="0.2">
      <c r="B629" s="22">
        <v>625</v>
      </c>
      <c r="C629" s="21" t="s">
        <v>9167</v>
      </c>
      <c r="D629" s="21" t="s">
        <v>1572</v>
      </c>
      <c r="E629" s="20" t="s">
        <v>2325</v>
      </c>
      <c r="F629" s="22">
        <v>3</v>
      </c>
      <c r="G629" s="22" t="s">
        <v>9168</v>
      </c>
      <c r="H629" s="22">
        <v>3</v>
      </c>
      <c r="I629" s="25">
        <v>43117</v>
      </c>
      <c r="J629" s="24">
        <v>43130</v>
      </c>
    </row>
    <row r="630" spans="2:10" x14ac:dyDescent="0.2">
      <c r="B630" s="22">
        <v>626</v>
      </c>
      <c r="C630" s="21" t="s">
        <v>9169</v>
      </c>
      <c r="D630" s="21" t="s">
        <v>1739</v>
      </c>
      <c r="E630" s="20" t="s">
        <v>9170</v>
      </c>
      <c r="F630" s="22">
        <v>2</v>
      </c>
      <c r="G630" s="22" t="s">
        <v>9171</v>
      </c>
      <c r="H630" s="22">
        <v>1</v>
      </c>
      <c r="I630" s="25">
        <v>43124</v>
      </c>
      <c r="J630" s="24">
        <v>43165</v>
      </c>
    </row>
    <row r="631" spans="2:10" x14ac:dyDescent="0.2">
      <c r="B631" s="22">
        <v>627</v>
      </c>
      <c r="C631" s="21" t="s">
        <v>9172</v>
      </c>
      <c r="D631" s="21" t="s">
        <v>7800</v>
      </c>
      <c r="E631" s="20" t="s">
        <v>9173</v>
      </c>
      <c r="F631" s="22">
        <v>16</v>
      </c>
      <c r="G631" s="22" t="s">
        <v>9174</v>
      </c>
      <c r="H631" s="22">
        <v>16</v>
      </c>
      <c r="I631" s="25">
        <v>43117</v>
      </c>
      <c r="J631" s="24">
        <v>43123</v>
      </c>
    </row>
    <row r="632" spans="2:10" x14ac:dyDescent="0.2">
      <c r="B632" s="22">
        <v>628</v>
      </c>
      <c r="C632" s="21" t="s">
        <v>9175</v>
      </c>
      <c r="D632" s="21" t="s">
        <v>5235</v>
      </c>
      <c r="E632" s="20" t="s">
        <v>9176</v>
      </c>
      <c r="F632" s="22">
        <v>2</v>
      </c>
      <c r="G632" s="22" t="s">
        <v>9177</v>
      </c>
      <c r="H632" s="22">
        <v>1</v>
      </c>
      <c r="I632" s="25">
        <v>43187</v>
      </c>
      <c r="J632" s="24">
        <v>43200</v>
      </c>
    </row>
    <row r="633" spans="2:10" x14ac:dyDescent="0.2">
      <c r="B633" s="22">
        <v>629</v>
      </c>
      <c r="C633" s="21" t="s">
        <v>9178</v>
      </c>
      <c r="D633" s="21" t="s">
        <v>1568</v>
      </c>
      <c r="E633" s="20" t="s">
        <v>9179</v>
      </c>
      <c r="F633" s="22">
        <v>82</v>
      </c>
      <c r="G633" s="22" t="s">
        <v>9180</v>
      </c>
      <c r="H633" s="22">
        <v>82</v>
      </c>
      <c r="I633" s="25">
        <v>43110</v>
      </c>
      <c r="J633" s="24">
        <v>43116</v>
      </c>
    </row>
    <row r="634" spans="2:10" x14ac:dyDescent="0.2">
      <c r="B634" s="22">
        <v>630</v>
      </c>
      <c r="C634" s="21" t="s">
        <v>9181</v>
      </c>
      <c r="D634" s="21" t="s">
        <v>1532</v>
      </c>
      <c r="E634" s="20" t="s">
        <v>9182</v>
      </c>
      <c r="F634" s="22">
        <v>2</v>
      </c>
      <c r="G634" s="22" t="s">
        <v>1159</v>
      </c>
      <c r="H634" s="22" t="s">
        <v>1159</v>
      </c>
      <c r="I634" s="25">
        <v>43306</v>
      </c>
      <c r="J634" s="24">
        <v>43150</v>
      </c>
    </row>
    <row r="635" spans="2:10" x14ac:dyDescent="0.2">
      <c r="B635" s="22">
        <v>631</v>
      </c>
      <c r="C635" s="21" t="s">
        <v>9183</v>
      </c>
      <c r="D635" s="21" t="s">
        <v>1532</v>
      </c>
      <c r="E635" s="20" t="s">
        <v>9184</v>
      </c>
      <c r="F635" s="22">
        <v>1</v>
      </c>
      <c r="G635" s="22" t="s">
        <v>1159</v>
      </c>
      <c r="H635" s="22" t="s">
        <v>1159</v>
      </c>
      <c r="I635" s="25">
        <v>43446</v>
      </c>
      <c r="J635" s="24">
        <v>43304</v>
      </c>
    </row>
    <row r="636" spans="2:10" x14ac:dyDescent="0.2">
      <c r="B636" s="22">
        <v>632</v>
      </c>
      <c r="C636" s="21" t="s">
        <v>9185</v>
      </c>
      <c r="D636" s="21" t="s">
        <v>6537</v>
      </c>
      <c r="E636" s="20" t="s">
        <v>9186</v>
      </c>
      <c r="F636" s="22">
        <v>1</v>
      </c>
      <c r="G636" s="22" t="s">
        <v>1159</v>
      </c>
      <c r="H636" s="22" t="s">
        <v>1159</v>
      </c>
      <c r="I636" s="25">
        <v>43138</v>
      </c>
      <c r="J636" s="22" t="s">
        <v>558</v>
      </c>
    </row>
    <row r="637" spans="2:10" x14ac:dyDescent="0.2">
      <c r="B637" s="22">
        <v>633</v>
      </c>
      <c r="C637" s="21" t="s">
        <v>9187</v>
      </c>
      <c r="D637" s="21" t="s">
        <v>1235</v>
      </c>
      <c r="E637" s="20" t="s">
        <v>8996</v>
      </c>
      <c r="F637" s="22">
        <v>12</v>
      </c>
      <c r="G637" s="22" t="s">
        <v>9188</v>
      </c>
      <c r="H637" s="22">
        <v>12</v>
      </c>
      <c r="I637" s="25">
        <v>43138</v>
      </c>
      <c r="J637" s="22" t="s">
        <v>558</v>
      </c>
    </row>
    <row r="638" spans="2:10" x14ac:dyDescent="0.2">
      <c r="B638" s="22">
        <v>634</v>
      </c>
      <c r="C638" s="21" t="s">
        <v>9189</v>
      </c>
      <c r="D638" s="21" t="s">
        <v>1415</v>
      </c>
      <c r="E638" s="20" t="s">
        <v>9190</v>
      </c>
      <c r="F638" s="22">
        <v>20</v>
      </c>
      <c r="G638" s="22" t="s">
        <v>9191</v>
      </c>
      <c r="H638" s="22">
        <v>20</v>
      </c>
      <c r="I638" s="25">
        <v>43180</v>
      </c>
      <c r="J638" s="24">
        <v>43186</v>
      </c>
    </row>
    <row r="639" spans="2:10" x14ac:dyDescent="0.2">
      <c r="B639" s="22">
        <v>635</v>
      </c>
      <c r="C639" s="21" t="s">
        <v>9192</v>
      </c>
      <c r="D639" s="21" t="s">
        <v>9193</v>
      </c>
      <c r="E639" s="20" t="s">
        <v>9194</v>
      </c>
      <c r="F639" s="22">
        <v>1</v>
      </c>
      <c r="G639" s="22" t="s">
        <v>9195</v>
      </c>
      <c r="H639" s="22">
        <v>1</v>
      </c>
      <c r="I639" s="25">
        <v>43313</v>
      </c>
      <c r="J639" s="24">
        <v>43319</v>
      </c>
    </row>
    <row r="640" spans="2:10" x14ac:dyDescent="0.2">
      <c r="B640" s="22">
        <v>636</v>
      </c>
      <c r="C640" s="21" t="s">
        <v>9196</v>
      </c>
      <c r="D640" s="21" t="s">
        <v>1572</v>
      </c>
      <c r="E640" s="20" t="s">
        <v>9197</v>
      </c>
      <c r="F640" s="22">
        <v>1</v>
      </c>
      <c r="G640" s="22" t="s">
        <v>9198</v>
      </c>
      <c r="H640" s="22">
        <v>1</v>
      </c>
      <c r="I640" s="25">
        <v>43257</v>
      </c>
      <c r="J640" s="24">
        <v>43270</v>
      </c>
    </row>
    <row r="641" spans="2:10" x14ac:dyDescent="0.2">
      <c r="B641" s="22">
        <v>637</v>
      </c>
      <c r="C641" s="21" t="s">
        <v>9199</v>
      </c>
      <c r="D641" s="21" t="s">
        <v>1043</v>
      </c>
      <c r="E641" s="20" t="s">
        <v>9200</v>
      </c>
      <c r="F641" s="22">
        <v>17</v>
      </c>
      <c r="G641" s="22" t="s">
        <v>9201</v>
      </c>
      <c r="H641" s="22">
        <v>17</v>
      </c>
      <c r="I641" s="25">
        <v>43383</v>
      </c>
      <c r="J641" s="24">
        <v>43389</v>
      </c>
    </row>
    <row r="642" spans="2:10" x14ac:dyDescent="0.2">
      <c r="B642" s="22">
        <v>638</v>
      </c>
      <c r="C642" s="21" t="s">
        <v>9202</v>
      </c>
      <c r="D642" s="21" t="s">
        <v>1572</v>
      </c>
      <c r="E642" s="20" t="s">
        <v>9203</v>
      </c>
      <c r="F642" s="22">
        <v>1</v>
      </c>
      <c r="G642" s="22" t="s">
        <v>1159</v>
      </c>
      <c r="H642" s="22" t="s">
        <v>1159</v>
      </c>
      <c r="I642" s="25">
        <v>43124</v>
      </c>
      <c r="J642" s="22" t="s">
        <v>558</v>
      </c>
    </row>
    <row r="643" spans="2:10" x14ac:dyDescent="0.2">
      <c r="B643" s="22">
        <v>639</v>
      </c>
      <c r="C643" s="21" t="s">
        <v>9204</v>
      </c>
      <c r="D643" s="21" t="s">
        <v>1235</v>
      </c>
      <c r="E643" s="20" t="s">
        <v>9205</v>
      </c>
      <c r="F643" s="22">
        <v>1</v>
      </c>
      <c r="G643" s="22" t="s">
        <v>9205</v>
      </c>
      <c r="H643" s="22">
        <v>1</v>
      </c>
      <c r="I643" s="25">
        <v>43208</v>
      </c>
      <c r="J643" s="24">
        <v>43210</v>
      </c>
    </row>
    <row r="644" spans="2:10" x14ac:dyDescent="0.2">
      <c r="B644" s="22">
        <v>640</v>
      </c>
      <c r="C644" s="21" t="s">
        <v>9206</v>
      </c>
      <c r="D644" s="21" t="s">
        <v>1135</v>
      </c>
      <c r="E644" s="20" t="s">
        <v>9207</v>
      </c>
      <c r="F644" s="22">
        <v>1</v>
      </c>
      <c r="G644" s="22" t="s">
        <v>9208</v>
      </c>
      <c r="H644" s="22">
        <v>1</v>
      </c>
      <c r="I644" s="25">
        <v>43208</v>
      </c>
      <c r="J644" s="22" t="s">
        <v>558</v>
      </c>
    </row>
    <row r="645" spans="2:10" x14ac:dyDescent="0.2">
      <c r="B645" s="22">
        <v>641</v>
      </c>
      <c r="C645" s="21" t="s">
        <v>9209</v>
      </c>
      <c r="D645" s="21" t="s">
        <v>9210</v>
      </c>
      <c r="E645" s="20" t="s">
        <v>9211</v>
      </c>
      <c r="F645" s="22">
        <v>1</v>
      </c>
      <c r="G645" s="22" t="s">
        <v>9212</v>
      </c>
      <c r="H645" s="22">
        <v>1</v>
      </c>
      <c r="I645" s="25">
        <v>43194</v>
      </c>
      <c r="J645" s="24">
        <v>43196</v>
      </c>
    </row>
    <row r="646" spans="2:10" x14ac:dyDescent="0.2">
      <c r="B646" s="22">
        <v>642</v>
      </c>
      <c r="C646" s="21" t="s">
        <v>9213</v>
      </c>
      <c r="D646" s="21" t="s">
        <v>9214</v>
      </c>
      <c r="E646" s="20" t="s">
        <v>9215</v>
      </c>
      <c r="F646" s="22">
        <v>1</v>
      </c>
      <c r="G646" s="22" t="s">
        <v>9216</v>
      </c>
      <c r="H646" s="22">
        <v>1</v>
      </c>
      <c r="I646" s="25">
        <v>43166</v>
      </c>
      <c r="J646" s="22" t="s">
        <v>558</v>
      </c>
    </row>
    <row r="647" spans="2:10" x14ac:dyDescent="0.2">
      <c r="B647" s="22">
        <v>643</v>
      </c>
      <c r="C647" s="21" t="s">
        <v>9217</v>
      </c>
      <c r="D647" s="21" t="s">
        <v>5254</v>
      </c>
      <c r="E647" s="20" t="s">
        <v>2360</v>
      </c>
      <c r="F647" s="22">
        <v>1</v>
      </c>
      <c r="G647" s="22" t="s">
        <v>9218</v>
      </c>
      <c r="H647" s="22">
        <v>1</v>
      </c>
      <c r="I647" s="25">
        <v>43110</v>
      </c>
      <c r="J647" s="24">
        <v>43123</v>
      </c>
    </row>
    <row r="648" spans="2:10" x14ac:dyDescent="0.2">
      <c r="B648" s="22">
        <v>644</v>
      </c>
      <c r="C648" s="21" t="s">
        <v>9219</v>
      </c>
      <c r="D648" s="21" t="s">
        <v>1294</v>
      </c>
      <c r="E648" s="20" t="s">
        <v>9220</v>
      </c>
      <c r="F648" s="22">
        <v>1</v>
      </c>
      <c r="G648" s="22" t="s">
        <v>9221</v>
      </c>
      <c r="H648" s="22">
        <v>1</v>
      </c>
      <c r="I648" s="25">
        <v>43425</v>
      </c>
      <c r="J648" s="24">
        <v>43427</v>
      </c>
    </row>
    <row r="649" spans="2:10" x14ac:dyDescent="0.2">
      <c r="B649" s="22">
        <v>645</v>
      </c>
      <c r="C649" s="21" t="s">
        <v>9222</v>
      </c>
      <c r="D649" s="21" t="s">
        <v>3627</v>
      </c>
      <c r="E649" s="20" t="s">
        <v>9223</v>
      </c>
      <c r="F649" s="22">
        <v>8</v>
      </c>
      <c r="G649" s="22" t="s">
        <v>9224</v>
      </c>
      <c r="H649" s="22">
        <v>4</v>
      </c>
      <c r="I649" s="25">
        <v>43278</v>
      </c>
      <c r="J649" s="24">
        <v>43298</v>
      </c>
    </row>
    <row r="650" spans="2:10" x14ac:dyDescent="0.2">
      <c r="B650" s="22">
        <v>646</v>
      </c>
      <c r="C650" s="21" t="s">
        <v>9225</v>
      </c>
      <c r="D650" s="21" t="s">
        <v>1880</v>
      </c>
      <c r="E650" s="20" t="s">
        <v>9226</v>
      </c>
      <c r="F650" s="22">
        <v>2</v>
      </c>
      <c r="G650" s="22" t="s">
        <v>9227</v>
      </c>
      <c r="H650" s="22">
        <v>2</v>
      </c>
      <c r="I650" s="25">
        <v>43208</v>
      </c>
      <c r="J650" s="24">
        <v>43256</v>
      </c>
    </row>
    <row r="651" spans="2:10" x14ac:dyDescent="0.2">
      <c r="B651" s="22">
        <v>647</v>
      </c>
      <c r="C651" s="21" t="s">
        <v>9228</v>
      </c>
      <c r="D651" s="21" t="s">
        <v>7125</v>
      </c>
      <c r="E651" s="20" t="s">
        <v>8741</v>
      </c>
      <c r="F651" s="22">
        <v>1</v>
      </c>
      <c r="G651" s="22" t="s">
        <v>9229</v>
      </c>
      <c r="H651" s="22">
        <v>1</v>
      </c>
      <c r="I651" s="25">
        <v>43411</v>
      </c>
      <c r="J651" s="24">
        <v>43434</v>
      </c>
    </row>
    <row r="652" spans="2:10" x14ac:dyDescent="0.2">
      <c r="B652" s="22">
        <v>648</v>
      </c>
      <c r="C652" s="21" t="s">
        <v>9230</v>
      </c>
      <c r="D652" s="21" t="s">
        <v>1880</v>
      </c>
      <c r="E652" s="20" t="s">
        <v>9231</v>
      </c>
      <c r="F652" s="22">
        <v>1</v>
      </c>
      <c r="G652" s="22" t="s">
        <v>9128</v>
      </c>
      <c r="H652" s="22">
        <v>1</v>
      </c>
      <c r="I652" s="25">
        <v>43355</v>
      </c>
      <c r="J652" s="24">
        <v>43417</v>
      </c>
    </row>
    <row r="653" spans="2:10" x14ac:dyDescent="0.2">
      <c r="B653" s="22">
        <v>649</v>
      </c>
      <c r="C653" s="21" t="s">
        <v>9232</v>
      </c>
      <c r="D653" s="21" t="s">
        <v>1532</v>
      </c>
      <c r="E653" s="20" t="s">
        <v>9233</v>
      </c>
      <c r="F653" s="22">
        <v>1</v>
      </c>
      <c r="G653" s="22" t="s">
        <v>1159</v>
      </c>
      <c r="H653" s="22" t="s">
        <v>1159</v>
      </c>
      <c r="I653" s="25">
        <v>43278</v>
      </c>
      <c r="J653" s="24">
        <v>43382</v>
      </c>
    </row>
    <row r="654" spans="2:10" x14ac:dyDescent="0.2">
      <c r="B654" s="22">
        <v>650</v>
      </c>
      <c r="C654" s="21" t="s">
        <v>9234</v>
      </c>
      <c r="D654" s="21" t="s">
        <v>6537</v>
      </c>
      <c r="E654" s="20" t="s">
        <v>9235</v>
      </c>
      <c r="F654" s="22">
        <v>11</v>
      </c>
      <c r="G654" s="22" t="s">
        <v>1159</v>
      </c>
      <c r="H654" s="22">
        <v>10</v>
      </c>
      <c r="I654" s="25">
        <v>43110</v>
      </c>
      <c r="J654" s="24">
        <v>43116</v>
      </c>
    </row>
    <row r="655" spans="2:10" x14ac:dyDescent="0.2">
      <c r="B655" s="22">
        <v>651</v>
      </c>
      <c r="C655" s="21" t="s">
        <v>9236</v>
      </c>
      <c r="D655" s="21" t="s">
        <v>2121</v>
      </c>
      <c r="E655" s="20" t="s">
        <v>9237</v>
      </c>
      <c r="F655" s="22">
        <v>15</v>
      </c>
      <c r="G655" s="22" t="s">
        <v>9238</v>
      </c>
      <c r="H655" s="22">
        <v>15</v>
      </c>
      <c r="I655" s="25">
        <v>43257</v>
      </c>
      <c r="J655" s="22" t="s">
        <v>558</v>
      </c>
    </row>
    <row r="656" spans="2:10" x14ac:dyDescent="0.2">
      <c r="B656" s="22">
        <v>652</v>
      </c>
      <c r="C656" s="21" t="s">
        <v>9239</v>
      </c>
      <c r="D656" s="21" t="s">
        <v>1294</v>
      </c>
      <c r="E656" s="20" t="s">
        <v>9240</v>
      </c>
      <c r="F656" s="22">
        <v>1</v>
      </c>
      <c r="G656" s="22" t="s">
        <v>9241</v>
      </c>
      <c r="H656" s="22">
        <v>1</v>
      </c>
      <c r="I656" s="25">
        <v>43446</v>
      </c>
      <c r="J656" s="24">
        <v>43452</v>
      </c>
    </row>
    <row r="657" spans="2:10" x14ac:dyDescent="0.2">
      <c r="B657" s="22">
        <v>653</v>
      </c>
      <c r="C657" s="21" t="s">
        <v>9242</v>
      </c>
      <c r="D657" s="21" t="s">
        <v>1922</v>
      </c>
      <c r="E657" s="20" t="s">
        <v>9243</v>
      </c>
      <c r="F657" s="22">
        <v>10</v>
      </c>
      <c r="G657" s="22" t="s">
        <v>9243</v>
      </c>
      <c r="H657" s="22">
        <v>10</v>
      </c>
      <c r="I657" s="25">
        <v>43348</v>
      </c>
      <c r="J657" s="24">
        <v>43350</v>
      </c>
    </row>
    <row r="658" spans="2:10" x14ac:dyDescent="0.2">
      <c r="B658" s="22">
        <v>654</v>
      </c>
      <c r="C658" s="21" t="s">
        <v>9244</v>
      </c>
      <c r="D658" s="21" t="s">
        <v>2010</v>
      </c>
      <c r="E658" s="20" t="s">
        <v>9245</v>
      </c>
      <c r="F658" s="22">
        <v>1</v>
      </c>
      <c r="G658" s="22" t="s">
        <v>9246</v>
      </c>
      <c r="H658" s="22">
        <v>1</v>
      </c>
      <c r="I658" s="25">
        <v>43446</v>
      </c>
      <c r="J658" s="24">
        <v>43452</v>
      </c>
    </row>
    <row r="659" spans="2:10" x14ac:dyDescent="0.2">
      <c r="B659" s="22">
        <v>655</v>
      </c>
      <c r="C659" s="21" t="s">
        <v>9247</v>
      </c>
      <c r="D659" s="21" t="s">
        <v>1039</v>
      </c>
      <c r="E659" s="20" t="s">
        <v>9248</v>
      </c>
      <c r="F659" s="22">
        <v>1</v>
      </c>
      <c r="G659" s="22" t="s">
        <v>9249</v>
      </c>
      <c r="H659" s="22">
        <v>1</v>
      </c>
      <c r="I659" s="25">
        <v>43103</v>
      </c>
      <c r="J659" s="24">
        <v>43116</v>
      </c>
    </row>
    <row r="660" spans="2:10" x14ac:dyDescent="0.2">
      <c r="B660" s="22">
        <v>656</v>
      </c>
      <c r="C660" s="21" t="s">
        <v>9250</v>
      </c>
      <c r="D660" s="21" t="s">
        <v>1918</v>
      </c>
      <c r="E660" s="20" t="s">
        <v>9251</v>
      </c>
      <c r="F660" s="22">
        <v>2</v>
      </c>
      <c r="G660" s="22" t="s">
        <v>1159</v>
      </c>
      <c r="H660" s="22" t="s">
        <v>1159</v>
      </c>
      <c r="I660" s="25">
        <v>43362</v>
      </c>
      <c r="J660" s="24">
        <v>43417</v>
      </c>
    </row>
    <row r="661" spans="2:10" x14ac:dyDescent="0.2">
      <c r="B661" s="22">
        <v>657</v>
      </c>
      <c r="C661" s="21" t="s">
        <v>9252</v>
      </c>
      <c r="D661" s="21" t="s">
        <v>4084</v>
      </c>
      <c r="E661" s="20" t="s">
        <v>9253</v>
      </c>
      <c r="F661" s="22">
        <v>1</v>
      </c>
      <c r="G661" s="22" t="s">
        <v>2399</v>
      </c>
      <c r="H661" s="22">
        <v>1</v>
      </c>
      <c r="I661" s="25">
        <v>43362</v>
      </c>
      <c r="J661" s="24">
        <v>43375</v>
      </c>
    </row>
    <row r="662" spans="2:10" x14ac:dyDescent="0.2">
      <c r="B662" s="22">
        <v>658</v>
      </c>
      <c r="C662" s="21" t="s">
        <v>9254</v>
      </c>
      <c r="D662" s="21" t="s">
        <v>9255</v>
      </c>
      <c r="E662" s="20" t="s">
        <v>9256</v>
      </c>
      <c r="F662" s="22">
        <v>1</v>
      </c>
      <c r="G662" s="22" t="s">
        <v>9256</v>
      </c>
      <c r="H662" s="22">
        <v>1</v>
      </c>
      <c r="I662" s="25">
        <v>43173</v>
      </c>
      <c r="J662" s="22" t="s">
        <v>558</v>
      </c>
    </row>
    <row r="663" spans="2:10" x14ac:dyDescent="0.2">
      <c r="B663" s="22">
        <v>659</v>
      </c>
      <c r="C663" s="21" t="s">
        <v>9257</v>
      </c>
      <c r="D663" s="21" t="s">
        <v>2114</v>
      </c>
      <c r="E663" s="20" t="s">
        <v>2649</v>
      </c>
      <c r="F663" s="22">
        <v>1</v>
      </c>
      <c r="G663" s="22" t="s">
        <v>9258</v>
      </c>
      <c r="H663" s="22">
        <v>1</v>
      </c>
      <c r="I663" s="25">
        <v>43362</v>
      </c>
      <c r="J663" s="24">
        <v>43368</v>
      </c>
    </row>
    <row r="664" spans="2:10" x14ac:dyDescent="0.2">
      <c r="B664" s="22">
        <v>660</v>
      </c>
      <c r="C664" s="21" t="s">
        <v>9259</v>
      </c>
      <c r="D664" s="21" t="s">
        <v>6537</v>
      </c>
      <c r="E664" s="20" t="s">
        <v>9260</v>
      </c>
      <c r="F664" s="22">
        <v>1</v>
      </c>
      <c r="G664" s="22" t="s">
        <v>1159</v>
      </c>
      <c r="H664" s="22" t="s">
        <v>1159</v>
      </c>
      <c r="I664" s="25">
        <v>43187</v>
      </c>
      <c r="J664" s="22" t="s">
        <v>558</v>
      </c>
    </row>
    <row r="665" spans="2:10" x14ac:dyDescent="0.2">
      <c r="B665" s="22">
        <v>661</v>
      </c>
      <c r="C665" s="21" t="s">
        <v>9261</v>
      </c>
      <c r="D665" s="21" t="s">
        <v>2270</v>
      </c>
      <c r="E665" s="20" t="s">
        <v>9262</v>
      </c>
      <c r="F665" s="22">
        <v>1</v>
      </c>
      <c r="G665" s="22" t="s">
        <v>1159</v>
      </c>
      <c r="H665" s="22" t="s">
        <v>1159</v>
      </c>
      <c r="I665" s="25">
        <v>43383</v>
      </c>
      <c r="J665" s="24">
        <v>43389</v>
      </c>
    </row>
    <row r="666" spans="2:10" x14ac:dyDescent="0.2">
      <c r="B666" s="22">
        <v>662</v>
      </c>
      <c r="C666" s="21" t="s">
        <v>9263</v>
      </c>
      <c r="D666" s="21" t="s">
        <v>9264</v>
      </c>
      <c r="E666" s="20" t="s">
        <v>9265</v>
      </c>
      <c r="F666" s="22">
        <v>3</v>
      </c>
      <c r="G666" s="22" t="s">
        <v>5028</v>
      </c>
      <c r="H666" s="22">
        <v>3</v>
      </c>
      <c r="I666" s="25">
        <v>43187</v>
      </c>
      <c r="J666" s="24">
        <v>43193</v>
      </c>
    </row>
    <row r="667" spans="2:10" x14ac:dyDescent="0.2">
      <c r="B667" s="22">
        <v>663</v>
      </c>
      <c r="C667" s="21" t="s">
        <v>9266</v>
      </c>
      <c r="D667" s="21" t="s">
        <v>1519</v>
      </c>
      <c r="E667" s="20" t="s">
        <v>9267</v>
      </c>
      <c r="F667" s="22">
        <v>1</v>
      </c>
      <c r="G667" s="22" t="s">
        <v>9268</v>
      </c>
      <c r="H667" s="22">
        <v>1</v>
      </c>
      <c r="I667" s="25">
        <v>43390</v>
      </c>
      <c r="J667" s="24">
        <v>43396</v>
      </c>
    </row>
    <row r="668" spans="2:10" x14ac:dyDescent="0.2">
      <c r="B668" s="22">
        <v>664</v>
      </c>
      <c r="C668" s="21" t="s">
        <v>9269</v>
      </c>
      <c r="D668" s="21" t="s">
        <v>2197</v>
      </c>
      <c r="E668" s="20" t="s">
        <v>9270</v>
      </c>
      <c r="F668" s="22">
        <v>1</v>
      </c>
      <c r="G668" s="22" t="s">
        <v>9271</v>
      </c>
      <c r="H668" s="22">
        <v>1</v>
      </c>
      <c r="I668" s="25">
        <v>43432</v>
      </c>
      <c r="J668" s="24">
        <v>43445</v>
      </c>
    </row>
    <row r="669" spans="2:10" x14ac:dyDescent="0.2">
      <c r="B669" s="22">
        <v>665</v>
      </c>
      <c r="C669" s="21" t="s">
        <v>9272</v>
      </c>
      <c r="D669" s="21" t="s">
        <v>1039</v>
      </c>
      <c r="E669" s="20" t="s">
        <v>9273</v>
      </c>
      <c r="F669" s="22">
        <v>2</v>
      </c>
      <c r="G669" s="22" t="s">
        <v>9274</v>
      </c>
      <c r="H669" s="22">
        <v>2</v>
      </c>
      <c r="I669" s="25">
        <v>43362</v>
      </c>
      <c r="J669" s="24">
        <v>43382</v>
      </c>
    </row>
    <row r="670" spans="2:10" x14ac:dyDescent="0.2">
      <c r="B670" s="22">
        <v>666</v>
      </c>
      <c r="C670" s="21" t="s">
        <v>9275</v>
      </c>
      <c r="D670" s="21" t="s">
        <v>1213</v>
      </c>
      <c r="E670" s="20" t="s">
        <v>9276</v>
      </c>
      <c r="F670" s="22">
        <v>4</v>
      </c>
      <c r="G670" s="22" t="s">
        <v>1159</v>
      </c>
      <c r="H670" s="22" t="s">
        <v>1159</v>
      </c>
      <c r="I670" s="25">
        <v>43250</v>
      </c>
      <c r="J670" s="24">
        <v>43256</v>
      </c>
    </row>
    <row r="671" spans="2:10" x14ac:dyDescent="0.2">
      <c r="B671" s="22">
        <v>667</v>
      </c>
      <c r="C671" s="21" t="s">
        <v>9277</v>
      </c>
      <c r="D671" s="21" t="s">
        <v>2051</v>
      </c>
      <c r="E671" s="20" t="s">
        <v>9278</v>
      </c>
      <c r="F671" s="22">
        <v>2</v>
      </c>
      <c r="G671" s="22" t="s">
        <v>9279</v>
      </c>
      <c r="H671" s="22">
        <v>1</v>
      </c>
      <c r="I671" s="25">
        <v>43285</v>
      </c>
      <c r="J671" s="24">
        <v>43410</v>
      </c>
    </row>
    <row r="672" spans="2:10" x14ac:dyDescent="0.2">
      <c r="B672" s="22">
        <v>668</v>
      </c>
      <c r="C672" s="21" t="s">
        <v>9280</v>
      </c>
      <c r="D672" s="21" t="s">
        <v>1761</v>
      </c>
      <c r="E672" s="20" t="s">
        <v>2581</v>
      </c>
      <c r="F672" s="22">
        <v>1</v>
      </c>
      <c r="G672" s="22" t="s">
        <v>2581</v>
      </c>
      <c r="H672" s="22">
        <v>1</v>
      </c>
      <c r="I672" s="25">
        <v>43404</v>
      </c>
      <c r="J672" s="24">
        <v>43406</v>
      </c>
    </row>
    <row r="673" spans="2:10" x14ac:dyDescent="0.2">
      <c r="B673" s="22">
        <v>669</v>
      </c>
      <c r="C673" s="21" t="s">
        <v>9281</v>
      </c>
      <c r="D673" s="21" t="s">
        <v>2010</v>
      </c>
      <c r="E673" s="20" t="s">
        <v>9282</v>
      </c>
      <c r="F673" s="22">
        <v>1</v>
      </c>
      <c r="G673" s="22" t="s">
        <v>9283</v>
      </c>
      <c r="H673" s="22">
        <v>1</v>
      </c>
      <c r="I673" s="25">
        <v>43320</v>
      </c>
      <c r="J673" s="24">
        <v>43326</v>
      </c>
    </row>
    <row r="674" spans="2:10" x14ac:dyDescent="0.2">
      <c r="B674" s="22">
        <v>670</v>
      </c>
      <c r="C674" s="21" t="s">
        <v>9284</v>
      </c>
      <c r="D674" s="21" t="s">
        <v>1294</v>
      </c>
      <c r="E674" s="20" t="s">
        <v>9285</v>
      </c>
      <c r="F674" s="22" t="s">
        <v>1159</v>
      </c>
      <c r="G674" s="22" t="s">
        <v>1159</v>
      </c>
      <c r="H674" s="22" t="s">
        <v>1159</v>
      </c>
      <c r="I674" s="25">
        <v>43180</v>
      </c>
      <c r="J674" s="22" t="s">
        <v>558</v>
      </c>
    </row>
    <row r="675" spans="2:10" x14ac:dyDescent="0.2">
      <c r="B675" s="22">
        <v>671</v>
      </c>
      <c r="C675" s="21" t="s">
        <v>9286</v>
      </c>
      <c r="D675" s="21" t="s">
        <v>9287</v>
      </c>
      <c r="E675" s="20" t="s">
        <v>2618</v>
      </c>
      <c r="F675" s="22">
        <v>1</v>
      </c>
      <c r="G675" s="22" t="s">
        <v>2618</v>
      </c>
      <c r="H675" s="22">
        <v>1</v>
      </c>
      <c r="I675" s="25">
        <v>43159</v>
      </c>
      <c r="J675" s="22" t="s">
        <v>558</v>
      </c>
    </row>
    <row r="676" spans="2:10" x14ac:dyDescent="0.2">
      <c r="B676" s="22">
        <v>672</v>
      </c>
      <c r="C676" s="21" t="s">
        <v>9288</v>
      </c>
      <c r="D676" s="21" t="s">
        <v>1039</v>
      </c>
      <c r="E676" s="20" t="s">
        <v>9289</v>
      </c>
      <c r="F676" s="22">
        <v>5</v>
      </c>
      <c r="G676" s="22" t="s">
        <v>9290</v>
      </c>
      <c r="H676" s="22">
        <v>4</v>
      </c>
      <c r="I676" s="25">
        <v>43425</v>
      </c>
      <c r="J676" s="24">
        <v>43438</v>
      </c>
    </row>
    <row r="677" spans="2:10" x14ac:dyDescent="0.2">
      <c r="B677" s="22">
        <v>673</v>
      </c>
      <c r="C677" s="21" t="s">
        <v>9291</v>
      </c>
      <c r="D677" s="21" t="s">
        <v>9292</v>
      </c>
      <c r="E677" s="20" t="s">
        <v>9293</v>
      </c>
      <c r="F677" s="22">
        <v>10</v>
      </c>
      <c r="G677" s="22" t="s">
        <v>9294</v>
      </c>
      <c r="H677" s="22">
        <v>10</v>
      </c>
      <c r="I677" s="25">
        <v>43152</v>
      </c>
      <c r="J677" s="24">
        <v>43158</v>
      </c>
    </row>
    <row r="678" spans="2:10" x14ac:dyDescent="0.2">
      <c r="B678" s="22">
        <v>674</v>
      </c>
      <c r="C678" s="21" t="s">
        <v>9295</v>
      </c>
      <c r="D678" s="21" t="s">
        <v>1880</v>
      </c>
      <c r="E678" s="20" t="s">
        <v>9296</v>
      </c>
      <c r="F678" s="22">
        <v>1</v>
      </c>
      <c r="G678" s="22" t="s">
        <v>9297</v>
      </c>
      <c r="H678" s="22">
        <v>1</v>
      </c>
      <c r="I678" s="25">
        <v>43124</v>
      </c>
      <c r="J678" s="22" t="s">
        <v>558</v>
      </c>
    </row>
    <row r="679" spans="2:10" x14ac:dyDescent="0.2">
      <c r="B679" s="22">
        <v>675</v>
      </c>
      <c r="C679" s="21" t="s">
        <v>9298</v>
      </c>
      <c r="D679" s="21" t="s">
        <v>1804</v>
      </c>
      <c r="E679" s="20" t="s">
        <v>6677</v>
      </c>
      <c r="F679" s="22">
        <v>1</v>
      </c>
      <c r="G679" s="22" t="s">
        <v>9299</v>
      </c>
      <c r="H679" s="22">
        <v>1</v>
      </c>
      <c r="I679" s="25">
        <v>43187</v>
      </c>
      <c r="J679" s="24">
        <v>43200</v>
      </c>
    </row>
    <row r="680" spans="2:10" x14ac:dyDescent="0.2">
      <c r="B680" s="22">
        <v>676</v>
      </c>
      <c r="C680" s="21" t="s">
        <v>9300</v>
      </c>
      <c r="D680" s="21" t="s">
        <v>9301</v>
      </c>
      <c r="E680" s="20" t="s">
        <v>9302</v>
      </c>
      <c r="F680" s="22">
        <v>1</v>
      </c>
      <c r="G680" s="22" t="s">
        <v>9303</v>
      </c>
      <c r="H680" s="22">
        <v>1</v>
      </c>
      <c r="I680" s="25">
        <v>43117</v>
      </c>
      <c r="J680" s="24">
        <v>43123</v>
      </c>
    </row>
    <row r="681" spans="2:10" x14ac:dyDescent="0.2">
      <c r="B681" s="22">
        <v>677</v>
      </c>
      <c r="C681" s="21" t="s">
        <v>9304</v>
      </c>
      <c r="D681" s="21" t="s">
        <v>2197</v>
      </c>
      <c r="E681" s="20" t="s">
        <v>9305</v>
      </c>
      <c r="F681" s="22">
        <v>1</v>
      </c>
      <c r="G681" s="22" t="s">
        <v>9306</v>
      </c>
      <c r="H681" s="22">
        <v>1</v>
      </c>
      <c r="I681" s="25">
        <v>43327</v>
      </c>
      <c r="J681" s="24">
        <v>43333</v>
      </c>
    </row>
    <row r="682" spans="2:10" x14ac:dyDescent="0.2">
      <c r="B682" s="22">
        <v>678</v>
      </c>
      <c r="C682" s="21" t="s">
        <v>9307</v>
      </c>
      <c r="D682" s="21" t="s">
        <v>1235</v>
      </c>
      <c r="E682" s="20" t="s">
        <v>9308</v>
      </c>
      <c r="F682" s="22">
        <v>8</v>
      </c>
      <c r="G682" s="22" t="s">
        <v>9309</v>
      </c>
      <c r="H682" s="22">
        <v>8</v>
      </c>
      <c r="I682" s="25">
        <v>43180</v>
      </c>
      <c r="J682" s="22" t="s">
        <v>558</v>
      </c>
    </row>
    <row r="683" spans="2:10" x14ac:dyDescent="0.2">
      <c r="B683" s="22">
        <v>679</v>
      </c>
      <c r="C683" s="21" t="s">
        <v>9310</v>
      </c>
      <c r="D683" s="21" t="s">
        <v>2051</v>
      </c>
      <c r="E683" s="20" t="s">
        <v>9311</v>
      </c>
      <c r="F683" s="22">
        <v>3</v>
      </c>
      <c r="G683" s="22" t="s">
        <v>9312</v>
      </c>
      <c r="H683" s="22">
        <v>1</v>
      </c>
      <c r="I683" s="25">
        <v>43397</v>
      </c>
      <c r="J683" s="24">
        <v>43185</v>
      </c>
    </row>
    <row r="684" spans="2:10" x14ac:dyDescent="0.2">
      <c r="B684" s="22">
        <v>680</v>
      </c>
      <c r="C684" s="21" t="s">
        <v>9313</v>
      </c>
      <c r="D684" s="21" t="s">
        <v>2051</v>
      </c>
      <c r="E684" s="20" t="s">
        <v>4889</v>
      </c>
      <c r="F684" s="22">
        <v>3</v>
      </c>
      <c r="G684" s="22" t="s">
        <v>9314</v>
      </c>
      <c r="H684" s="22">
        <v>1</v>
      </c>
      <c r="I684" s="25">
        <v>43110</v>
      </c>
      <c r="J684" s="24">
        <v>43137</v>
      </c>
    </row>
    <row r="685" spans="2:10" x14ac:dyDescent="0.2">
      <c r="B685" s="22">
        <v>681</v>
      </c>
      <c r="C685" s="21" t="s">
        <v>9315</v>
      </c>
      <c r="D685" s="21" t="s">
        <v>1039</v>
      </c>
      <c r="E685" s="20" t="s">
        <v>9316</v>
      </c>
      <c r="F685" s="22">
        <v>1</v>
      </c>
      <c r="G685" s="22" t="s">
        <v>9317</v>
      </c>
      <c r="H685" s="22">
        <v>1</v>
      </c>
      <c r="I685" s="25">
        <v>43222</v>
      </c>
      <c r="J685" s="24">
        <v>43242</v>
      </c>
    </row>
    <row r="686" spans="2:10" x14ac:dyDescent="0.2">
      <c r="B686" s="22">
        <v>682</v>
      </c>
      <c r="C686" s="21" t="s">
        <v>9318</v>
      </c>
      <c r="D686" s="21" t="s">
        <v>1880</v>
      </c>
      <c r="E686" s="20" t="s">
        <v>9258</v>
      </c>
      <c r="F686" s="22">
        <v>3</v>
      </c>
      <c r="G686" s="22" t="s">
        <v>9319</v>
      </c>
      <c r="H686" s="22">
        <v>1</v>
      </c>
      <c r="I686" s="25">
        <v>43264</v>
      </c>
      <c r="J686" s="24">
        <v>43322</v>
      </c>
    </row>
    <row r="687" spans="2:10" x14ac:dyDescent="0.2">
      <c r="B687" s="22">
        <v>683</v>
      </c>
      <c r="C687" s="21" t="s">
        <v>9320</v>
      </c>
      <c r="D687" s="21" t="s">
        <v>1572</v>
      </c>
      <c r="E687" s="20" t="s">
        <v>2567</v>
      </c>
      <c r="F687" s="22">
        <v>1</v>
      </c>
      <c r="G687" s="22" t="s">
        <v>9321</v>
      </c>
      <c r="H687" s="22">
        <v>1</v>
      </c>
      <c r="I687" s="25">
        <v>43313</v>
      </c>
      <c r="J687" s="24">
        <v>43322</v>
      </c>
    </row>
    <row r="688" spans="2:10" x14ac:dyDescent="0.2">
      <c r="B688" s="22">
        <v>684</v>
      </c>
      <c r="C688" s="21" t="s">
        <v>9322</v>
      </c>
      <c r="D688" s="21" t="s">
        <v>9323</v>
      </c>
      <c r="E688" s="20" t="s">
        <v>9324</v>
      </c>
      <c r="F688" s="22">
        <v>2</v>
      </c>
      <c r="G688" s="22" t="s">
        <v>9325</v>
      </c>
      <c r="H688" s="22">
        <v>1</v>
      </c>
      <c r="I688" s="25">
        <v>43175</v>
      </c>
      <c r="J688" s="24">
        <v>43294</v>
      </c>
    </row>
    <row r="689" spans="2:10" x14ac:dyDescent="0.2">
      <c r="B689" s="22">
        <v>685</v>
      </c>
      <c r="C689" s="21" t="s">
        <v>9326</v>
      </c>
      <c r="D689" s="21" t="s">
        <v>2197</v>
      </c>
      <c r="E689" s="20" t="s">
        <v>9327</v>
      </c>
      <c r="F689" s="22">
        <v>10</v>
      </c>
      <c r="G689" s="22" t="s">
        <v>9327</v>
      </c>
      <c r="H689" s="22">
        <v>10</v>
      </c>
      <c r="I689" s="25">
        <v>43404</v>
      </c>
      <c r="J689" s="22" t="s">
        <v>558</v>
      </c>
    </row>
    <row r="690" spans="2:10" x14ac:dyDescent="0.2">
      <c r="B690" s="22">
        <v>686</v>
      </c>
      <c r="C690" s="21" t="s">
        <v>9328</v>
      </c>
      <c r="D690" s="21" t="s">
        <v>1039</v>
      </c>
      <c r="E690" s="20" t="s">
        <v>9329</v>
      </c>
      <c r="F690" s="22">
        <v>1</v>
      </c>
      <c r="G690" s="22" t="s">
        <v>9330</v>
      </c>
      <c r="H690" s="22">
        <v>1</v>
      </c>
      <c r="I690" s="25">
        <v>43173</v>
      </c>
      <c r="J690" s="22" t="s">
        <v>558</v>
      </c>
    </row>
    <row r="691" spans="2:10" x14ac:dyDescent="0.2">
      <c r="B691" s="22">
        <v>687</v>
      </c>
      <c r="C691" s="21" t="s">
        <v>9331</v>
      </c>
      <c r="D691" s="21" t="s">
        <v>1880</v>
      </c>
      <c r="E691" s="20" t="s">
        <v>9332</v>
      </c>
      <c r="F691" s="22">
        <v>1</v>
      </c>
      <c r="G691" s="22" t="s">
        <v>9333</v>
      </c>
      <c r="H691" s="22">
        <v>1</v>
      </c>
      <c r="I691" s="25">
        <v>43390</v>
      </c>
      <c r="J691" s="24">
        <v>43403</v>
      </c>
    </row>
    <row r="692" spans="2:10" x14ac:dyDescent="0.2">
      <c r="B692" s="22">
        <v>688</v>
      </c>
      <c r="C692" s="21" t="s">
        <v>9334</v>
      </c>
      <c r="D692" s="21" t="s">
        <v>8234</v>
      </c>
      <c r="E692" s="20" t="s">
        <v>9335</v>
      </c>
      <c r="F692" s="22" t="s">
        <v>1159</v>
      </c>
      <c r="G692" s="22" t="s">
        <v>1159</v>
      </c>
      <c r="H692" s="22" t="s">
        <v>1159</v>
      </c>
      <c r="I692" s="25">
        <v>43411</v>
      </c>
      <c r="J692" s="22" t="s">
        <v>558</v>
      </c>
    </row>
    <row r="693" spans="2:10" x14ac:dyDescent="0.2">
      <c r="B693" s="22">
        <v>689</v>
      </c>
      <c r="C693" s="21" t="s">
        <v>9336</v>
      </c>
      <c r="D693" s="21" t="s">
        <v>2197</v>
      </c>
      <c r="E693" s="20" t="s">
        <v>5261</v>
      </c>
      <c r="F693" s="22">
        <v>10</v>
      </c>
      <c r="G693" s="22" t="s">
        <v>5261</v>
      </c>
      <c r="H693" s="22">
        <v>10</v>
      </c>
      <c r="I693" s="25">
        <v>43411</v>
      </c>
      <c r="J693" s="24">
        <v>43413</v>
      </c>
    </row>
    <row r="694" spans="2:10" x14ac:dyDescent="0.2">
      <c r="B694" s="22">
        <v>690</v>
      </c>
      <c r="C694" s="21" t="s">
        <v>9337</v>
      </c>
      <c r="D694" s="21" t="s">
        <v>1880</v>
      </c>
      <c r="E694" s="20" t="s">
        <v>9338</v>
      </c>
      <c r="F694" s="22">
        <v>1</v>
      </c>
      <c r="G694" s="22" t="s">
        <v>6759</v>
      </c>
      <c r="H694" s="22">
        <v>1</v>
      </c>
      <c r="I694" s="25">
        <v>43222</v>
      </c>
      <c r="J694" s="24">
        <v>43249</v>
      </c>
    </row>
    <row r="695" spans="2:10" x14ac:dyDescent="0.2">
      <c r="B695" s="22">
        <v>691</v>
      </c>
      <c r="C695" s="21" t="s">
        <v>9339</v>
      </c>
      <c r="D695" s="21" t="s">
        <v>6537</v>
      </c>
      <c r="E695" s="20" t="s">
        <v>9340</v>
      </c>
      <c r="F695" s="22">
        <v>1</v>
      </c>
      <c r="G695" s="22" t="s">
        <v>1159</v>
      </c>
      <c r="H695" s="22" t="s">
        <v>1159</v>
      </c>
      <c r="I695" s="25">
        <v>43117</v>
      </c>
      <c r="J695" s="24">
        <v>43123</v>
      </c>
    </row>
    <row r="696" spans="2:10" x14ac:dyDescent="0.2">
      <c r="B696" s="22">
        <v>692</v>
      </c>
      <c r="C696" s="21" t="s">
        <v>9341</v>
      </c>
      <c r="D696" s="21" t="s">
        <v>2051</v>
      </c>
      <c r="E696" s="20" t="s">
        <v>9342</v>
      </c>
      <c r="F696" s="22">
        <v>3</v>
      </c>
      <c r="G696" s="22" t="s">
        <v>9343</v>
      </c>
      <c r="H696" s="22">
        <v>2</v>
      </c>
      <c r="I696" s="25">
        <v>43397</v>
      </c>
      <c r="J696" s="24">
        <v>43445</v>
      </c>
    </row>
    <row r="697" spans="2:10" x14ac:dyDescent="0.2">
      <c r="B697" s="22">
        <v>693</v>
      </c>
      <c r="C697" s="21" t="s">
        <v>9344</v>
      </c>
      <c r="D697" s="21" t="s">
        <v>1922</v>
      </c>
      <c r="E697" s="20" t="s">
        <v>9345</v>
      </c>
      <c r="F697" s="22">
        <v>2</v>
      </c>
      <c r="G697" s="22" t="s">
        <v>9346</v>
      </c>
      <c r="H697" s="22">
        <v>2</v>
      </c>
      <c r="I697" s="25">
        <v>43278</v>
      </c>
      <c r="J697" s="24">
        <v>43284</v>
      </c>
    </row>
    <row r="698" spans="2:10" x14ac:dyDescent="0.2">
      <c r="B698" s="22">
        <v>694</v>
      </c>
      <c r="C698" s="21" t="s">
        <v>9347</v>
      </c>
      <c r="D698" s="21" t="s">
        <v>1977</v>
      </c>
      <c r="E698" s="20" t="s">
        <v>9348</v>
      </c>
      <c r="F698" s="22">
        <v>2</v>
      </c>
      <c r="G698" s="22" t="s">
        <v>2710</v>
      </c>
      <c r="H698" s="22">
        <v>2</v>
      </c>
      <c r="I698" s="25">
        <v>43152</v>
      </c>
      <c r="J698" s="24">
        <v>43161</v>
      </c>
    </row>
    <row r="699" spans="2:10" x14ac:dyDescent="0.2">
      <c r="B699" s="22">
        <v>695</v>
      </c>
      <c r="C699" s="21" t="s">
        <v>9349</v>
      </c>
      <c r="D699" s="21" t="s">
        <v>1039</v>
      </c>
      <c r="E699" s="20" t="s">
        <v>9350</v>
      </c>
      <c r="F699" s="22">
        <v>2</v>
      </c>
      <c r="G699" s="22" t="s">
        <v>9351</v>
      </c>
      <c r="H699" s="22">
        <v>1</v>
      </c>
      <c r="I699" s="25">
        <v>43334</v>
      </c>
      <c r="J699" s="24">
        <v>43354</v>
      </c>
    </row>
    <row r="700" spans="2:10" x14ac:dyDescent="0.2">
      <c r="B700" s="22">
        <v>696</v>
      </c>
      <c r="C700" s="21" t="s">
        <v>9352</v>
      </c>
      <c r="D700" s="21" t="s">
        <v>1213</v>
      </c>
      <c r="E700" s="20" t="s">
        <v>9353</v>
      </c>
      <c r="F700" s="22">
        <v>1</v>
      </c>
      <c r="G700" s="22" t="s">
        <v>9354</v>
      </c>
      <c r="H700" s="22">
        <v>1</v>
      </c>
      <c r="I700" s="25">
        <v>43411</v>
      </c>
      <c r="J700" s="24">
        <v>43417</v>
      </c>
    </row>
    <row r="701" spans="2:10" x14ac:dyDescent="0.2">
      <c r="B701" s="22">
        <v>697</v>
      </c>
      <c r="C701" s="21" t="s">
        <v>9355</v>
      </c>
      <c r="D701" s="21" t="s">
        <v>1942</v>
      </c>
      <c r="E701" s="20" t="s">
        <v>9356</v>
      </c>
      <c r="F701" s="22">
        <v>1</v>
      </c>
      <c r="G701" s="22" t="s">
        <v>9357</v>
      </c>
      <c r="H701" s="22">
        <v>1</v>
      </c>
      <c r="I701" s="25">
        <v>43451</v>
      </c>
      <c r="J701" s="24">
        <v>43455</v>
      </c>
    </row>
    <row r="702" spans="2:10" x14ac:dyDescent="0.2">
      <c r="B702" s="22">
        <v>698</v>
      </c>
      <c r="C702" s="21" t="s">
        <v>9358</v>
      </c>
      <c r="D702" s="21" t="s">
        <v>1213</v>
      </c>
      <c r="E702" s="20" t="s">
        <v>9359</v>
      </c>
      <c r="F702" s="22">
        <v>2</v>
      </c>
      <c r="G702" s="22" t="s">
        <v>9359</v>
      </c>
      <c r="H702" s="22">
        <v>2</v>
      </c>
      <c r="I702" s="25">
        <v>43446</v>
      </c>
      <c r="J702" s="24">
        <v>43448</v>
      </c>
    </row>
    <row r="703" spans="2:10" x14ac:dyDescent="0.2">
      <c r="B703" s="22">
        <v>699</v>
      </c>
      <c r="C703" s="21" t="s">
        <v>9360</v>
      </c>
      <c r="D703" s="21" t="s">
        <v>2548</v>
      </c>
      <c r="E703" s="20" t="s">
        <v>9361</v>
      </c>
      <c r="F703" s="22">
        <v>1</v>
      </c>
      <c r="G703" s="22" t="s">
        <v>9361</v>
      </c>
      <c r="H703" s="22">
        <v>1</v>
      </c>
      <c r="I703" s="25">
        <v>43201</v>
      </c>
      <c r="J703" s="24">
        <v>43203</v>
      </c>
    </row>
    <row r="704" spans="2:10" x14ac:dyDescent="0.2">
      <c r="B704" s="22">
        <v>700</v>
      </c>
      <c r="C704" s="21" t="s">
        <v>9362</v>
      </c>
      <c r="D704" s="21" t="s">
        <v>1942</v>
      </c>
      <c r="E704" s="20" t="s">
        <v>9363</v>
      </c>
      <c r="F704" s="22">
        <v>1</v>
      </c>
      <c r="G704" s="22" t="s">
        <v>9364</v>
      </c>
      <c r="H704" s="22">
        <v>1</v>
      </c>
      <c r="I704" s="25">
        <v>43138</v>
      </c>
      <c r="J704" s="24">
        <v>43144</v>
      </c>
    </row>
    <row r="705" spans="2:10" x14ac:dyDescent="0.2">
      <c r="B705" s="22">
        <v>701</v>
      </c>
      <c r="C705" s="21" t="s">
        <v>9365</v>
      </c>
      <c r="D705" s="21" t="s">
        <v>1880</v>
      </c>
      <c r="E705" s="20" t="s">
        <v>9366</v>
      </c>
      <c r="F705" s="22">
        <v>1</v>
      </c>
      <c r="G705" s="22" t="s">
        <v>5291</v>
      </c>
      <c r="H705" s="22">
        <v>1</v>
      </c>
      <c r="I705" s="25">
        <v>43236</v>
      </c>
      <c r="J705" s="24">
        <v>43242</v>
      </c>
    </row>
    <row r="706" spans="2:10" x14ac:dyDescent="0.2">
      <c r="B706" s="22">
        <v>702</v>
      </c>
      <c r="C706" s="21" t="s">
        <v>9367</v>
      </c>
      <c r="D706" s="21" t="s">
        <v>9292</v>
      </c>
      <c r="E706" s="20" t="s">
        <v>9368</v>
      </c>
      <c r="F706" s="22">
        <v>2</v>
      </c>
      <c r="G706" s="22" t="s">
        <v>9368</v>
      </c>
      <c r="H706" s="22">
        <v>2</v>
      </c>
      <c r="I706" s="25">
        <v>43278</v>
      </c>
      <c r="J706" s="24">
        <v>43280</v>
      </c>
    </row>
    <row r="707" spans="2:10" x14ac:dyDescent="0.2">
      <c r="B707" s="22">
        <v>703</v>
      </c>
      <c r="C707" s="21" t="s">
        <v>9369</v>
      </c>
      <c r="D707" s="21" t="s">
        <v>1942</v>
      </c>
      <c r="E707" s="20" t="s">
        <v>9370</v>
      </c>
      <c r="F707" s="22">
        <v>1</v>
      </c>
      <c r="G707" s="22" t="s">
        <v>9371</v>
      </c>
      <c r="H707" s="22">
        <v>1</v>
      </c>
      <c r="I707" s="25">
        <v>43243</v>
      </c>
      <c r="J707" s="24">
        <v>43249</v>
      </c>
    </row>
    <row r="708" spans="2:10" x14ac:dyDescent="0.2">
      <c r="B708" s="22">
        <v>704</v>
      </c>
      <c r="C708" s="21" t="s">
        <v>9372</v>
      </c>
      <c r="D708" s="21" t="s">
        <v>9373</v>
      </c>
      <c r="E708" s="20" t="s">
        <v>9374</v>
      </c>
      <c r="F708" s="22">
        <v>1</v>
      </c>
      <c r="G708" s="22" t="s">
        <v>9375</v>
      </c>
      <c r="H708" s="22">
        <v>1</v>
      </c>
      <c r="I708" s="25">
        <v>43167</v>
      </c>
      <c r="J708" s="24">
        <v>43175</v>
      </c>
    </row>
    <row r="709" spans="2:10" x14ac:dyDescent="0.2">
      <c r="B709" s="22">
        <v>705</v>
      </c>
      <c r="C709" s="21" t="s">
        <v>9376</v>
      </c>
      <c r="D709" s="21" t="s">
        <v>2051</v>
      </c>
      <c r="E709" s="20" t="s">
        <v>9377</v>
      </c>
      <c r="F709" s="22" t="s">
        <v>1159</v>
      </c>
      <c r="G709" s="22" t="s">
        <v>1159</v>
      </c>
      <c r="H709" s="22" t="s">
        <v>1159</v>
      </c>
      <c r="I709" s="25">
        <v>43284</v>
      </c>
      <c r="J709" s="22" t="s">
        <v>558</v>
      </c>
    </row>
    <row r="710" spans="2:10" x14ac:dyDescent="0.2">
      <c r="B710" s="22">
        <v>706</v>
      </c>
      <c r="C710" s="21" t="s">
        <v>9378</v>
      </c>
      <c r="D710" s="21" t="s">
        <v>7135</v>
      </c>
      <c r="E710" s="20" t="s">
        <v>9379</v>
      </c>
      <c r="F710" s="22" t="s">
        <v>1159</v>
      </c>
      <c r="G710" s="22" t="s">
        <v>1159</v>
      </c>
      <c r="H710" s="22" t="s">
        <v>1159</v>
      </c>
      <c r="I710" s="25">
        <v>43363</v>
      </c>
      <c r="J710" s="22" t="s">
        <v>558</v>
      </c>
    </row>
  </sheetData>
  <mergeCells count="2">
    <mergeCell ref="C3:C4"/>
    <mergeCell ref="B3:B4"/>
  </mergeCells>
  <hyperlinks>
    <hyperlink ref="B3" r:id="rId1"/>
    <hyperlink ref="C3" r:id="rId2"/>
    <hyperlink ref="D3" r:id="rId3"/>
    <hyperlink ref="E5" r:id="rId4"/>
    <hyperlink ref="F5" r:id="rId5"/>
    <hyperlink ref="C6" r:id="rId6"/>
    <hyperlink ref="D6" r:id="rId7"/>
    <hyperlink ref="I6" r:id="rId8" display="http://www.boxofficemojo.com/schedule/?view=bydate&amp;release=theatrical&amp;date=2014-12-25&amp;p=.htm"/>
    <hyperlink ref="C7" r:id="rId9"/>
    <hyperlink ref="D7" r:id="rId10"/>
    <hyperlink ref="I7" r:id="rId11" display="http://www.boxofficemojo.com/schedule/?view=bydate&amp;release=theatrical&amp;date=2014-11-21&amp;p=.htm"/>
    <hyperlink ref="C8" r:id="rId12"/>
    <hyperlink ref="D8" r:id="rId13"/>
    <hyperlink ref="I8" r:id="rId14" display="http://www.boxofficemojo.com/schedule/?view=bydate&amp;release=theatrical&amp;date=2014-08-01&amp;p=.htm"/>
    <hyperlink ref="C9" r:id="rId15"/>
    <hyperlink ref="D9" r:id="rId16"/>
    <hyperlink ref="I9" r:id="rId17" display="http://www.boxofficemojo.com/schedule/?view=bydate&amp;release=theatrical&amp;date=2014-04-04&amp;p=.htm"/>
    <hyperlink ref="C10" r:id="rId18"/>
    <hyperlink ref="D10" r:id="rId19"/>
    <hyperlink ref="I10" r:id="rId20" display="http://www.boxofficemojo.com/schedule/?view=bydate&amp;release=theatrical&amp;date=2014-02-07&amp;p=.htm"/>
    <hyperlink ref="C11" r:id="rId21"/>
    <hyperlink ref="D11" r:id="rId22"/>
    <hyperlink ref="I11" r:id="rId23" display="http://www.boxofficemojo.com/schedule/?view=bydate&amp;release=theatrical&amp;date=2014-12-17&amp;p=.htm"/>
    <hyperlink ref="C12" r:id="rId24"/>
    <hyperlink ref="D12" r:id="rId25"/>
    <hyperlink ref="I12" r:id="rId26" display="http://www.boxofficemojo.com/schedule/?view=bydate&amp;release=theatrical&amp;date=2014-06-27&amp;p=.htm"/>
    <hyperlink ref="C13" r:id="rId27"/>
    <hyperlink ref="D13" r:id="rId28"/>
    <hyperlink ref="I13" r:id="rId29" display="http://www.boxofficemojo.com/schedule/?view=bydate&amp;release=theatrical&amp;date=2014-05-30&amp;p=.htm"/>
    <hyperlink ref="C14" r:id="rId30"/>
    <hyperlink ref="D14" r:id="rId31"/>
    <hyperlink ref="I14" r:id="rId32" display="http://www.boxofficemojo.com/schedule/?view=bydate&amp;release=theatrical&amp;date=2014-05-23&amp;p=.htm"/>
    <hyperlink ref="C15" r:id="rId33"/>
    <hyperlink ref="D15" r:id="rId34"/>
    <hyperlink ref="I15" r:id="rId35" display="http://www.boxofficemojo.com/schedule/?view=bydate&amp;release=theatrical&amp;date=2014-11-07&amp;p=.htm"/>
    <hyperlink ref="C16" r:id="rId36"/>
    <hyperlink ref="D16" r:id="rId37"/>
    <hyperlink ref="I16" r:id="rId38" display="http://www.boxofficemojo.com/schedule/?view=bydate&amp;release=theatrical&amp;date=2014-07-11&amp;p=.htm"/>
    <hyperlink ref="C17" r:id="rId39"/>
    <hyperlink ref="D17" r:id="rId40"/>
    <hyperlink ref="I17" r:id="rId41" display="http://www.boxofficemojo.com/schedule/?view=bydate&amp;release=theatrical&amp;date=2014-05-02&amp;p=.htm"/>
    <hyperlink ref="C18" r:id="rId42"/>
    <hyperlink ref="D18" r:id="rId43"/>
    <hyperlink ref="I18" r:id="rId44" display="http://www.boxofficemojo.com/schedule/?view=bydate&amp;release=theatrical&amp;date=2014-05-16&amp;p=.htm"/>
    <hyperlink ref="C19" r:id="rId45"/>
    <hyperlink ref="D19" r:id="rId46"/>
    <hyperlink ref="I19" r:id="rId47" display="http://www.boxofficemojo.com/schedule/?view=bydate&amp;release=theatrical&amp;date=2014-06-13&amp;p=.htm"/>
    <hyperlink ref="C20" r:id="rId48"/>
    <hyperlink ref="D20" r:id="rId49"/>
    <hyperlink ref="I20" r:id="rId50" display="http://www.boxofficemojo.com/schedule/?view=bydate&amp;release=theatrical&amp;date=2014-08-08&amp;p=.htm"/>
    <hyperlink ref="C21" r:id="rId51"/>
    <hyperlink ref="D21" r:id="rId52"/>
    <hyperlink ref="I21" r:id="rId53" display="http://www.boxofficemojo.com/schedule/?view=bydate&amp;release=theatrical&amp;date=2014-11-05&amp;p=.htm"/>
    <hyperlink ref="C22" r:id="rId54"/>
    <hyperlink ref="D22" r:id="rId55"/>
    <hyperlink ref="I22" r:id="rId56" display="http://www.boxofficemojo.com/schedule/?view=bydate&amp;release=theatrical&amp;date=2014-06-13&amp;p=.htm"/>
    <hyperlink ref="C23" r:id="rId57"/>
    <hyperlink ref="D23" r:id="rId58"/>
    <hyperlink ref="I23" r:id="rId59" display="http://www.boxofficemojo.com/schedule/?view=bydate&amp;release=theatrical&amp;date=2014-10-03&amp;p=.htm"/>
    <hyperlink ref="C24" r:id="rId60"/>
    <hyperlink ref="D24" r:id="rId61"/>
    <hyperlink ref="I24" r:id="rId62" display="http://www.boxofficemojo.com/schedule/?view=bydate&amp;release=theatrical&amp;date=2014-03-21&amp;p=.htm"/>
    <hyperlink ref="C25" r:id="rId63"/>
    <hyperlink ref="D25" r:id="rId64"/>
    <hyperlink ref="I25" r:id="rId65" display="http://www.boxofficemojo.com/schedule/?view=bydate&amp;release=theatrical&amp;date=2014-05-09&amp;p=.htm"/>
    <hyperlink ref="C26" r:id="rId66"/>
    <hyperlink ref="D26" r:id="rId67"/>
    <hyperlink ref="I26" r:id="rId68" display="http://www.boxofficemojo.com/schedule/?view=bydate&amp;release=theatrical&amp;date=2014-01-17&amp;p=.htm"/>
    <hyperlink ref="C27" r:id="rId69"/>
    <hyperlink ref="D27" r:id="rId70"/>
    <hyperlink ref="I27" r:id="rId71" display="http://www.boxofficemojo.com/schedule/?view=bydate&amp;release=theatrical&amp;date=2014-04-11&amp;p=.htm"/>
    <hyperlink ref="C28" r:id="rId72"/>
    <hyperlink ref="D28" r:id="rId73"/>
    <hyperlink ref="I28" r:id="rId74" display="http://www.boxofficemojo.com/schedule/?view=bydate&amp;release=theatrical&amp;date=2014-12-25&amp;p=.htm"/>
    <hyperlink ref="C29" r:id="rId75"/>
    <hyperlink ref="D29" r:id="rId76"/>
    <hyperlink ref="I29" r:id="rId77" display="http://www.boxofficemojo.com/schedule/?view=bydate&amp;release=theatrical&amp;date=2014-07-25&amp;p=.htm"/>
    <hyperlink ref="C30" r:id="rId78"/>
    <hyperlink ref="D30" r:id="rId79"/>
    <hyperlink ref="I30" r:id="rId80" display="http://www.boxofficemojo.com/schedule/?view=bydate&amp;release=theatrical&amp;date=2014-06-06&amp;p=.htm"/>
    <hyperlink ref="C31" r:id="rId81"/>
    <hyperlink ref="D31" r:id="rId82"/>
    <hyperlink ref="I31" r:id="rId83" display="http://www.boxofficemojo.com/schedule/?view=bydate&amp;release=theatrical&amp;date=2014-12-25&amp;p=.htm"/>
    <hyperlink ref="C32" r:id="rId84"/>
    <hyperlink ref="D32" r:id="rId85"/>
    <hyperlink ref="I32" r:id="rId86" display="http://www.boxofficemojo.com/schedule/?view=bydate&amp;release=theatrical&amp;date=2014-12-19&amp;p=.htm"/>
    <hyperlink ref="C33" r:id="rId87"/>
    <hyperlink ref="D33" r:id="rId88"/>
    <hyperlink ref="I33" r:id="rId89" display="http://www.boxofficemojo.com/schedule/?view=bydate&amp;release=theatrical&amp;date=2014-03-07&amp;p=.htm"/>
    <hyperlink ref="C34" r:id="rId90"/>
    <hyperlink ref="D34" r:id="rId91"/>
    <hyperlink ref="I34" r:id="rId92" display="http://www.boxofficemojo.com/schedule/?view=bydate&amp;release=theatrical&amp;date=2014-03-07&amp;p=.htm"/>
    <hyperlink ref="C35" r:id="rId93"/>
    <hyperlink ref="D35" r:id="rId94"/>
    <hyperlink ref="I35" r:id="rId95" display="http://www.boxofficemojo.com/schedule/?view=bydate&amp;release=theatrical&amp;date=2014-09-19&amp;p=.htm"/>
    <hyperlink ref="C36" r:id="rId96"/>
    <hyperlink ref="D36" r:id="rId97"/>
    <hyperlink ref="I36" r:id="rId98" display="http://www.boxofficemojo.com/schedule/?view=bydate&amp;release=theatrical&amp;date=2014-09-26&amp;p=.htm"/>
    <hyperlink ref="C37" r:id="rId99"/>
    <hyperlink ref="D37" r:id="rId100"/>
    <hyperlink ref="I37" r:id="rId101" display="http://www.boxofficemojo.com/schedule/?view=bydate&amp;release=theatrical&amp;date=2014-03-28&amp;p=.htm"/>
    <hyperlink ref="C38" r:id="rId102"/>
    <hyperlink ref="D38" r:id="rId103"/>
    <hyperlink ref="I38" r:id="rId104" display="http://www.boxofficemojo.com/schedule/?view=bydate&amp;release=theatrical&amp;date=2014-06-06&amp;p=.htm"/>
    <hyperlink ref="C39" r:id="rId105"/>
    <hyperlink ref="D39" r:id="rId106"/>
    <hyperlink ref="I39" r:id="rId107" display="http://www.boxofficemojo.com/schedule/?view=bydate&amp;release=theatrical&amp;date=2014-02-28&amp;p=.htm"/>
    <hyperlink ref="C40" r:id="rId108"/>
    <hyperlink ref="D40" r:id="rId109"/>
    <hyperlink ref="I40" r:id="rId110" display="http://www.boxofficemojo.com/schedule/?view=bydate&amp;release=theatrical&amp;date=2014-04-16&amp;p=.htm"/>
    <hyperlink ref="C41" r:id="rId111"/>
    <hyperlink ref="D41" r:id="rId112"/>
    <hyperlink ref="I41" r:id="rId113" display="http://www.boxofficemojo.com/schedule/?view=bydate&amp;release=theatrical&amp;date=2014-11-28&amp;p=.htm"/>
    <hyperlink ref="C42" r:id="rId114"/>
    <hyperlink ref="D42" r:id="rId115"/>
    <hyperlink ref="I42" r:id="rId116" display="http://www.boxofficemojo.com/schedule/?view=bydate&amp;release=theatrical&amp;date=2014-11-14&amp;p=.htm"/>
    <hyperlink ref="C43" r:id="rId117"/>
    <hyperlink ref="D43" r:id="rId118"/>
    <hyperlink ref="I43" r:id="rId119" display="http://www.boxofficemojo.com/schedule/?view=bydate&amp;release=theatrical&amp;date=2014-12-19&amp;p=.htm"/>
    <hyperlink ref="C44" r:id="rId120"/>
    <hyperlink ref="D44" r:id="rId121"/>
    <hyperlink ref="I44" r:id="rId122" display="http://www.boxofficemojo.com/schedule/?view=bydate&amp;release=theatrical&amp;date=2014-10-17&amp;p=.htm"/>
    <hyperlink ref="C45" r:id="rId123"/>
    <hyperlink ref="D45" r:id="rId124"/>
    <hyperlink ref="I45" r:id="rId125" display="http://www.boxofficemojo.com/schedule/?view=bydate&amp;release=theatrical&amp;date=2014-07-02&amp;p=.htm"/>
    <hyperlink ref="C46" r:id="rId126"/>
    <hyperlink ref="D46" r:id="rId127"/>
    <hyperlink ref="I46" r:id="rId128" display="http://www.boxofficemojo.com/schedule/?view=bydate&amp;release=theatrical&amp;date=2014-10-03&amp;p=.htm"/>
    <hyperlink ref="C47" r:id="rId129"/>
    <hyperlink ref="D47" r:id="rId130"/>
    <hyperlink ref="I47" r:id="rId131" display="http://www.boxofficemojo.com/schedule/?view=bydate&amp;release=theatrical&amp;date=2014-04-25&amp;p=.htm"/>
    <hyperlink ref="C48" r:id="rId132"/>
    <hyperlink ref="D48" r:id="rId133"/>
    <hyperlink ref="I48" r:id="rId134" display="http://www.boxofficemojo.com/schedule/?view=bydate&amp;release=theatrical&amp;date=2014-11-26&amp;p=.htm"/>
    <hyperlink ref="C49" r:id="rId135"/>
    <hyperlink ref="D49" r:id="rId136"/>
    <hyperlink ref="I49" r:id="rId137" display="http://www.boxofficemojo.com/schedule/?view=bydate&amp;release=theatrical&amp;date=2014-08-13&amp;p=.htm"/>
    <hyperlink ref="C50" r:id="rId138"/>
    <hyperlink ref="D50" r:id="rId139"/>
    <hyperlink ref="I50" r:id="rId140" display="http://www.boxofficemojo.com/schedule/?view=bydate&amp;release=theatrical&amp;date=2014-02-07&amp;p=.htm"/>
    <hyperlink ref="C51" r:id="rId141"/>
    <hyperlink ref="D51" r:id="rId142"/>
    <hyperlink ref="I51" r:id="rId143" display="http://www.boxofficemojo.com/schedule/?view=bydate&amp;release=theatrical&amp;date=2014-07-25&amp;p=.htm"/>
    <hyperlink ref="C52" r:id="rId144"/>
    <hyperlink ref="D52" r:id="rId145"/>
    <hyperlink ref="I52" r:id="rId146" display="http://www.boxofficemojo.com/schedule/?view=bydate&amp;release=theatrical&amp;date=2014-07-18&amp;p=.htm"/>
    <hyperlink ref="C53" r:id="rId147"/>
    <hyperlink ref="D53" r:id="rId148"/>
    <hyperlink ref="I53" r:id="rId149" display="http://www.boxofficemojo.com/schedule/?view=bydate&amp;release=theatrical&amp;date=2014-10-10&amp;p=.htm"/>
    <hyperlink ref="C54" r:id="rId150"/>
    <hyperlink ref="D54" r:id="rId151"/>
    <hyperlink ref="I54" r:id="rId152" display="http://www.boxofficemojo.com/schedule/?view=bydate&amp;release=theatrical&amp;date=2014-06-20&amp;p=.htm"/>
    <hyperlink ref="C55" r:id="rId153"/>
    <hyperlink ref="D55" r:id="rId154"/>
    <hyperlink ref="I55" r:id="rId155" display="http://www.boxofficemojo.com/schedule/?view=bydate&amp;release=theatrical&amp;date=2014-12-12&amp;p=.htm"/>
    <hyperlink ref="C56" r:id="rId156"/>
    <hyperlink ref="D56" r:id="rId157"/>
    <hyperlink ref="I56" r:id="rId158" display="http://www.boxofficemojo.com/schedule/?view=bydate&amp;release=theatrical&amp;date=2014-01-17&amp;p=.htm"/>
    <hyperlink ref="C57" r:id="rId159"/>
    <hyperlink ref="D57" r:id="rId160"/>
    <hyperlink ref="I57" r:id="rId161" display="http://www.boxofficemojo.com/schedule/?view=bydate&amp;release=theatrical&amp;date=2014-03-21&amp;p=.htm"/>
    <hyperlink ref="C58" r:id="rId162"/>
    <hyperlink ref="D58" r:id="rId163"/>
    <hyperlink ref="I58" r:id="rId164" display="http://www.boxofficemojo.com/schedule/?view=bydate&amp;release=theatrical&amp;date=2014-02-28&amp;p=.htm"/>
    <hyperlink ref="C59" r:id="rId165"/>
    <hyperlink ref="D59" r:id="rId166"/>
    <hyperlink ref="I59" r:id="rId167" display="http://www.boxofficemojo.com/schedule/?view=bydate&amp;release=theatrical&amp;date=2014-03-07&amp;p=.htm"/>
    <hyperlink ref="C60" r:id="rId168"/>
    <hyperlink ref="D60" r:id="rId169"/>
    <hyperlink ref="I60" r:id="rId170" display="http://www.boxofficemojo.com/schedule/?view=bydate&amp;release=theatrical&amp;date=2014-07-18&amp;p=.htm"/>
    <hyperlink ref="C61" r:id="rId171"/>
    <hyperlink ref="D61" r:id="rId172"/>
    <hyperlink ref="I61" r:id="rId173" display="http://www.boxofficemojo.com/schedule/?view=bydate&amp;release=theatrical&amp;date=2014-02-12&amp;p=.htm"/>
    <hyperlink ref="C62" r:id="rId174"/>
    <hyperlink ref="D62" r:id="rId175"/>
    <hyperlink ref="I62" r:id="rId176" display="http://www.boxofficemojo.com/schedule/?view=bydate&amp;release=theatrical&amp;date=2014-10-10&amp;p=.htm"/>
    <hyperlink ref="C63" r:id="rId177"/>
    <hyperlink ref="D63" r:id="rId178"/>
    <hyperlink ref="I63" r:id="rId179" display="http://www.boxofficemojo.com/schedule/?view=bydate&amp;release=theatrical&amp;date=2014-11-26&amp;p=.htm"/>
    <hyperlink ref="C64" r:id="rId180"/>
    <hyperlink ref="D64" r:id="rId181"/>
    <hyperlink ref="I64" r:id="rId182" display="http://www.boxofficemojo.com/schedule/?view=bydate&amp;release=theatrical&amp;date=2014-08-08&amp;p=.htm"/>
    <hyperlink ref="C65" r:id="rId183"/>
    <hyperlink ref="D65" r:id="rId184"/>
    <hyperlink ref="I65" r:id="rId185" display="http://www.boxofficemojo.com/schedule/?view=bydate&amp;release=theatrical&amp;date=2014-09-12&amp;p=.htm"/>
    <hyperlink ref="C66" r:id="rId186"/>
    <hyperlink ref="D66" r:id="rId187"/>
    <hyperlink ref="I66" r:id="rId188" display="http://www.boxofficemojo.com/schedule/?view=bydate&amp;release=theatrical&amp;date=2014-12-25&amp;p=.htm"/>
    <hyperlink ref="C67" r:id="rId189"/>
    <hyperlink ref="D67" r:id="rId190"/>
    <hyperlink ref="I67" r:id="rId191" display="http://www.boxofficemojo.com/schedule/?view=bydate&amp;release=theatrical&amp;date=2014-03-21&amp;p=.htm"/>
    <hyperlink ref="C68" r:id="rId192"/>
    <hyperlink ref="D68" r:id="rId193"/>
    <hyperlink ref="I68" r:id="rId194" display="http://www.boxofficemojo.com/schedule/?view=bydate&amp;release=theatrical&amp;date=2014-10-24&amp;p=.htm"/>
    <hyperlink ref="C69" r:id="rId195"/>
    <hyperlink ref="D69" r:id="rId196"/>
    <hyperlink ref="I69" r:id="rId197" display="http://www.boxofficemojo.com/schedule/?view=bydate&amp;release=theatrical&amp;date=2014-09-26&amp;p=.htm"/>
    <hyperlink ref="C70" r:id="rId198"/>
    <hyperlink ref="D70" r:id="rId199"/>
    <hyperlink ref="I70" r:id="rId200" display="http://www.boxofficemojo.com/schedule/?view=bydate&amp;release=theatrical&amp;date=2014-01-17&amp;p=.htm"/>
    <hyperlink ref="C71" r:id="rId201"/>
    <hyperlink ref="D71" r:id="rId202"/>
    <hyperlink ref="I71" r:id="rId203" display="http://www.boxofficemojo.com/schedule/?view=bydate&amp;release=theatrical&amp;date=2014-08-22&amp;p=.htm"/>
    <hyperlink ref="C72" r:id="rId204"/>
    <hyperlink ref="D72" r:id="rId205"/>
    <hyperlink ref="I72" r:id="rId206" display="http://www.boxofficemojo.com/schedule/?view=bydate&amp;release=theatrical&amp;date=2014-10-17&amp;p=.htm"/>
    <hyperlink ref="C73" r:id="rId207"/>
    <hyperlink ref="D73" r:id="rId208"/>
    <hyperlink ref="I73" r:id="rId209" display="http://www.boxofficemojo.com/schedule/?view=bydate&amp;release=theatrical&amp;date=2014-02-14&amp;p=.htm"/>
    <hyperlink ref="C74" r:id="rId210"/>
    <hyperlink ref="D74" r:id="rId211"/>
    <hyperlink ref="I74" r:id="rId212" display="http://www.boxofficemojo.com/schedule/?view=bydate&amp;release=theatrical&amp;date=2014-08-08&amp;p=.htm"/>
    <hyperlink ref="C75" r:id="rId213"/>
    <hyperlink ref="D75" r:id="rId214"/>
    <hyperlink ref="I75" r:id="rId215" display="http://www.boxofficemojo.com/schedule/?view=bydate&amp;release=theatrical&amp;date=2014-10-10&amp;p=.htm"/>
    <hyperlink ref="C76" r:id="rId216"/>
    <hyperlink ref="D76" r:id="rId217"/>
    <hyperlink ref="I76" r:id="rId218" display="http://www.boxofficemojo.com/schedule/?view=bydate&amp;release=theatrical&amp;date=2014-06-20&amp;p=.htm"/>
    <hyperlink ref="C77" r:id="rId219"/>
    <hyperlink ref="D77" r:id="rId220"/>
    <hyperlink ref="I77" r:id="rId221" display="http://www.boxofficemojo.com/schedule/?view=bydate&amp;release=theatrical&amp;date=2014-05-23&amp;p=.htm"/>
    <hyperlink ref="C78" r:id="rId222"/>
    <hyperlink ref="D78" r:id="rId223"/>
    <hyperlink ref="I78" r:id="rId224" display="http://www.boxofficemojo.com/schedule/?view=bydate&amp;release=theatrical&amp;date=2014-08-15&amp;p=.htm"/>
    <hyperlink ref="C79" r:id="rId225"/>
    <hyperlink ref="D79" r:id="rId226"/>
    <hyperlink ref="I79" r:id="rId227" display="http://www.boxofficemojo.com/schedule/?view=bydate&amp;release=theatrical&amp;date=2014-10-10&amp;p=.htm"/>
    <hyperlink ref="C80" r:id="rId228"/>
    <hyperlink ref="D80" r:id="rId229"/>
    <hyperlink ref="I80" r:id="rId230" display="http://www.boxofficemojo.com/schedule/?view=bydate&amp;release=theatrical&amp;date=2014-03-14&amp;p=.htm"/>
    <hyperlink ref="C81" r:id="rId231"/>
    <hyperlink ref="D81" r:id="rId232"/>
    <hyperlink ref="I81" r:id="rId233" display="http://www.boxofficemojo.com/schedule/?view=bydate&amp;release=theatrical&amp;date=2014-05-30&amp;p=.htm"/>
    <hyperlink ref="C82" r:id="rId234"/>
    <hyperlink ref="D82" r:id="rId235"/>
    <hyperlink ref="I82" r:id="rId236" display="http://www.boxofficemojo.com/schedule/?view=bydate&amp;release=theatrical&amp;date=2014-10-24&amp;p=.htm"/>
    <hyperlink ref="C83" r:id="rId237"/>
    <hyperlink ref="D83" r:id="rId238"/>
    <hyperlink ref="I83" r:id="rId239" display="http://www.boxofficemojo.com/schedule/?view=bydate&amp;release=theatrical&amp;date=2014-10-17&amp;p=.htm"/>
    <hyperlink ref="C84" r:id="rId240"/>
    <hyperlink ref="D84" r:id="rId241"/>
    <hyperlink ref="I84" r:id="rId242" display="http://www.boxofficemojo.com/schedule/?view=bydate&amp;release=theatrical&amp;date=2014-09-12&amp;p=.htm"/>
    <hyperlink ref="C85" r:id="rId243"/>
    <hyperlink ref="D85" r:id="rId244"/>
    <hyperlink ref="I85" r:id="rId245" display="http://www.boxofficemojo.com/schedule/?view=bydate&amp;release=theatrical&amp;date=2014-08-15&amp;p=.htm"/>
    <hyperlink ref="C86" r:id="rId246"/>
    <hyperlink ref="D86" r:id="rId247"/>
    <hyperlink ref="I86" r:id="rId248" display="http://www.boxofficemojo.com/schedule/?view=bydate&amp;release=theatrical&amp;date=2014-07-02&amp;p=.htm"/>
    <hyperlink ref="C87" r:id="rId249"/>
    <hyperlink ref="D87" r:id="rId250"/>
    <hyperlink ref="I87" r:id="rId251" display="http://www.boxofficemojo.com/schedule/?view=bydate&amp;release=theatrical&amp;date=2014-07-18&amp;p=.htm"/>
    <hyperlink ref="C88" r:id="rId252"/>
    <hyperlink ref="D88" r:id="rId253"/>
    <hyperlink ref="I88" r:id="rId254" display="http://www.boxofficemojo.com/schedule/?view=bydate&amp;release=theatrical&amp;date=2014-12-03&amp;p=.htm"/>
    <hyperlink ref="C89" r:id="rId255"/>
    <hyperlink ref="D89" r:id="rId256"/>
    <hyperlink ref="I89" r:id="rId257" display="http://www.boxofficemojo.com/schedule/?view=bydate&amp;release=theatrical&amp;date=2014-05-16&amp;p=.htm"/>
    <hyperlink ref="C90" r:id="rId258"/>
    <hyperlink ref="D90" r:id="rId259"/>
    <hyperlink ref="I90" r:id="rId260" display="http://www.boxofficemojo.com/schedule/?view=bydate&amp;release=theatrical&amp;date=2014-11-07&amp;p=.htm"/>
    <hyperlink ref="C91" r:id="rId261"/>
    <hyperlink ref="D91" r:id="rId262"/>
    <hyperlink ref="I91" r:id="rId263" display="http://www.boxofficemojo.com/schedule/?view=bydate&amp;release=theatrical&amp;date=2014-09-19&amp;p=.htm"/>
    <hyperlink ref="C92" r:id="rId264"/>
    <hyperlink ref="D92" r:id="rId265"/>
    <hyperlink ref="I92" r:id="rId266" display="http://www.boxofficemojo.com/schedule/?view=bydate&amp;release=theatrical&amp;date=2014-12-25&amp;p=.htm"/>
    <hyperlink ref="C93" r:id="rId267"/>
    <hyperlink ref="D93" r:id="rId268"/>
    <hyperlink ref="I93" r:id="rId269" display="http://www.boxofficemojo.com/schedule/?view=bydate&amp;release=theatrical&amp;date=2014-01-03&amp;p=.htm"/>
    <hyperlink ref="C94" r:id="rId270"/>
    <hyperlink ref="D94" r:id="rId271"/>
    <hyperlink ref="I94" r:id="rId272" display="http://www.boxofficemojo.com/schedule/?view=bydate&amp;release=theatrical&amp;date=2014-10-31&amp;p=.htm"/>
    <hyperlink ref="C95" r:id="rId273"/>
    <hyperlink ref="D95" r:id="rId274"/>
    <hyperlink ref="I95" r:id="rId275" display="http://www.boxofficemojo.com/schedule/?view=bydate&amp;release=theatrical&amp;date=2014-05-09&amp;p=.htm"/>
    <hyperlink ref="C96" r:id="rId276"/>
    <hyperlink ref="D96" r:id="rId277"/>
    <hyperlink ref="I96" r:id="rId278" display="http://www.boxofficemojo.com/schedule/?view=bydate&amp;release=theatrical&amp;date=2014-08-01&amp;p=.htm"/>
    <hyperlink ref="C97" r:id="rId279"/>
    <hyperlink ref="D97" r:id="rId280"/>
    <hyperlink ref="I97" r:id="rId281" display="http://www.boxofficemojo.com/schedule/?view=bydate&amp;release=theatrical&amp;date=2014-02-21&amp;p=.htm"/>
    <hyperlink ref="C98" r:id="rId282"/>
    <hyperlink ref="D98" r:id="rId283"/>
    <hyperlink ref="I98" r:id="rId284" display="http://www.boxofficemojo.com/schedule/?view=bydate&amp;release=theatrical&amp;date=2014-07-02&amp;p=.htm"/>
    <hyperlink ref="C99" r:id="rId285"/>
    <hyperlink ref="D99" r:id="rId286"/>
    <hyperlink ref="I99" r:id="rId287" display="http://www.boxofficemojo.com/schedule/?view=bydate&amp;release=theatrical&amp;date=2014-08-22&amp;p=.htm"/>
    <hyperlink ref="C100" r:id="rId288"/>
    <hyperlink ref="D100" r:id="rId289"/>
    <hyperlink ref="I100" r:id="rId290" display="http://www.boxofficemojo.com/schedule/?view=bydate&amp;release=theatrical&amp;date=2014-04-11&amp;p=.htm"/>
    <hyperlink ref="C101" r:id="rId291"/>
    <hyperlink ref="D101" r:id="rId292"/>
    <hyperlink ref="I101" r:id="rId293" display="http://www.boxofficemojo.com/schedule/?view=bydate&amp;release=theatrical&amp;date=2014-04-11&amp;p=.htm"/>
    <hyperlink ref="C102" r:id="rId294"/>
    <hyperlink ref="D102" r:id="rId295"/>
    <hyperlink ref="I102" r:id="rId296" display="http://www.boxofficemojo.com/schedule/?view=bydate&amp;release=theatrical&amp;date=2014-10-17&amp;p=.htm"/>
    <hyperlink ref="C103" r:id="rId297"/>
    <hyperlink ref="D103" r:id="rId298"/>
    <hyperlink ref="I103" r:id="rId299" display="http://www.boxofficemojo.com/schedule/?view=bydate&amp;release=theatrical&amp;date=2014-09-19&amp;p=.htm"/>
    <hyperlink ref="C104" r:id="rId300"/>
    <hyperlink ref="D104" r:id="rId301"/>
    <hyperlink ref="I104" r:id="rId302" display="http://www.boxofficemojo.com/schedule/?view=bydate&amp;release=theatrical&amp;date=2014-01-31&amp;p=.htm"/>
    <hyperlink ref="C105" r:id="rId303"/>
    <hyperlink ref="D105" r:id="rId304"/>
    <hyperlink ref="I105" r:id="rId305" display="http://www.boxofficemojo.com/schedule/?view=bydate&amp;release=theatrical&amp;date=2014-07-11&amp;p=.htm"/>
    <hyperlink ref="C106" r:id="rId306"/>
    <hyperlink ref="D106" r:id="rId307"/>
    <hyperlink ref="I106" r:id="rId308" display="http://www.boxofficemojo.com/schedule/?view=bydate&amp;release=theatrical&amp;date=2014-12-12&amp;p=.htm"/>
    <hyperlink ref="C107" r:id="rId309"/>
    <hyperlink ref="D107" r:id="rId310"/>
    <hyperlink ref="I107" r:id="rId311" display="http://www.boxofficemojo.com/schedule/?view=bydate&amp;release=theatrical&amp;date=2014-08-27&amp;p=.htm"/>
    <hyperlink ref="C108" r:id="rId312"/>
    <hyperlink ref="D108" r:id="rId313"/>
    <hyperlink ref="I108" r:id="rId314" display="http://www.boxofficemojo.com/schedule/?view=bydate&amp;release=theatrical&amp;date=2014-02-14&amp;p=.htm"/>
    <hyperlink ref="C109" r:id="rId315"/>
    <hyperlink ref="D109" r:id="rId316"/>
    <hyperlink ref="I109" r:id="rId317" display="http://www.boxofficemojo.com/schedule/?view=bydate&amp;release=theatrical&amp;date=2014-02-21&amp;p=.htm"/>
    <hyperlink ref="C110" r:id="rId318"/>
    <hyperlink ref="D110" r:id="rId319"/>
    <hyperlink ref="I110" r:id="rId320" display="http://www.boxofficemojo.com/schedule/?view=bydate&amp;release=theatrical&amp;date=2014-04-18&amp;p=.htm"/>
    <hyperlink ref="C111" r:id="rId321"/>
    <hyperlink ref="D111" r:id="rId322"/>
    <hyperlink ref="I111" r:id="rId323" display="http://www.boxofficemojo.com/schedule/?view=bydate&amp;release=theatrical&amp;date=2014-08-29&amp;p=.htm"/>
    <hyperlink ref="C112" r:id="rId324"/>
    <hyperlink ref="D112" r:id="rId325"/>
    <hyperlink ref="I112" r:id="rId326" display="http://www.boxofficemojo.com/schedule/?view=bydate&amp;release=theatrical&amp;date=2014-04-25&amp;p=.htm"/>
    <hyperlink ref="C113" r:id="rId327"/>
    <hyperlink ref="D113" r:id="rId328"/>
    <hyperlink ref="I113" r:id="rId329" display="http://www.boxofficemojo.com/schedule/?view=bydate&amp;release=theatrical&amp;date=2014-01-24&amp;p=.htm"/>
    <hyperlink ref="C114" r:id="rId330"/>
    <hyperlink ref="D114" r:id="rId331"/>
    <hyperlink ref="I114" r:id="rId332" display="http://www.boxofficemojo.com/schedule/?view=bydate&amp;release=theatrical&amp;date=2014-01-10&amp;p=.htm"/>
    <hyperlink ref="C115" r:id="rId333"/>
    <hyperlink ref="D115" r:id="rId334"/>
    <hyperlink ref="I115" r:id="rId335" display="http://www.boxofficemojo.com/schedule/?view=bydate&amp;release=theatrical&amp;date=2014-04-18&amp;p=.htm"/>
    <hyperlink ref="C116" r:id="rId336"/>
    <hyperlink ref="D116" r:id="rId337"/>
    <hyperlink ref="I116" r:id="rId338" display="http://www.boxofficemojo.com/schedule/?view=bydate&amp;release=theatrical&amp;date=2014-10-10&amp;p=.htm"/>
    <hyperlink ref="C117" r:id="rId339"/>
    <hyperlink ref="D117" r:id="rId340"/>
    <hyperlink ref="I117" r:id="rId341" display="http://www.boxofficemojo.com/schedule/?view=bydate&amp;release=theatrical&amp;date=2014-04-18&amp;p=.htm"/>
    <hyperlink ref="C118" r:id="rId342"/>
    <hyperlink ref="D118" r:id="rId343"/>
    <hyperlink ref="I118" r:id="rId344" display="http://www.boxofficemojo.com/schedule/?view=bydate&amp;release=theatrical&amp;date=2014-07-25&amp;p=.htm"/>
    <hyperlink ref="C119" r:id="rId345"/>
    <hyperlink ref="D119" r:id="rId346"/>
    <hyperlink ref="I119" r:id="rId347" display="http://www.boxofficemojo.com/schedule/?view=bydate&amp;release=theatrical&amp;date=2014-06-27&amp;p=.htm"/>
    <hyperlink ref="C120" r:id="rId348"/>
    <hyperlink ref="D120" r:id="rId349"/>
    <hyperlink ref="I120" r:id="rId350" display="http://www.boxofficemojo.com/schedule/?view=bydate&amp;release=theatrical&amp;date=2014-03-14&amp;p=.htm"/>
    <hyperlink ref="C121" r:id="rId351"/>
    <hyperlink ref="D121" r:id="rId352"/>
    <hyperlink ref="I121" r:id="rId353" display="http://www.boxofficemojo.com/schedule/?view=bydate&amp;release=theatrical&amp;date=2014-01-17&amp;p=.htm"/>
    <hyperlink ref="C122" r:id="rId354"/>
    <hyperlink ref="D122" r:id="rId355"/>
    <hyperlink ref="I122" r:id="rId356" display="http://www.boxofficemojo.com/schedule/?view=bydate&amp;release=theatrical&amp;date=2014-07-25&amp;p=.htm"/>
    <hyperlink ref="C123" r:id="rId357"/>
    <hyperlink ref="D123" r:id="rId358"/>
    <hyperlink ref="I123" r:id="rId359" display="http://www.boxofficemojo.com/schedule/?view=bydate&amp;release=theatrical&amp;date=2014-08-08&amp;p=.htm"/>
    <hyperlink ref="C124" r:id="rId360"/>
    <hyperlink ref="D124" r:id="rId361"/>
    <hyperlink ref="I124" r:id="rId362" display="http://www.boxofficemojo.com/schedule/?view=bydate&amp;release=theatrical&amp;date=2014-11-14&amp;p=.htm"/>
    <hyperlink ref="C125" r:id="rId363"/>
    <hyperlink ref="D125" r:id="rId364"/>
    <hyperlink ref="I125" r:id="rId365" display="http://www.boxofficemojo.com/schedule/?view=bydate&amp;release=theatrical&amp;date=2014-12-25&amp;p=.htm"/>
    <hyperlink ref="C126" r:id="rId366"/>
    <hyperlink ref="D126" r:id="rId367"/>
    <hyperlink ref="I126" r:id="rId368" display="http://www.boxofficemojo.com/schedule/?view=bydate&amp;release=theatrical&amp;date=2014-06-27&amp;p=.htm"/>
    <hyperlink ref="C127" r:id="rId369"/>
    <hyperlink ref="D127" r:id="rId370"/>
    <hyperlink ref="I127" r:id="rId371" display="http://www.boxofficemojo.com/schedule/?view=bydate&amp;release=theatrical&amp;date=2014-10-03&amp;p=.htm"/>
    <hyperlink ref="C128" r:id="rId372"/>
    <hyperlink ref="D128" r:id="rId373"/>
    <hyperlink ref="I128" r:id="rId374" display="http://www.boxofficemojo.com/schedule/?view=bydate&amp;release=theatrical&amp;date=2014-08-22&amp;p=.htm"/>
    <hyperlink ref="C129" r:id="rId375"/>
    <hyperlink ref="D129" r:id="rId376"/>
    <hyperlink ref="I129" r:id="rId377" display="http://www.boxofficemojo.com/schedule/?view=bydate&amp;release=theatrical&amp;date=2014-01-31&amp;p=.htm"/>
    <hyperlink ref="C130" r:id="rId378"/>
    <hyperlink ref="D130" r:id="rId379"/>
    <hyperlink ref="I130" r:id="rId380" display="http://www.boxofficemojo.com/schedule/?view=bydate&amp;release=theatrical&amp;date=2014-10-10&amp;p=.htm"/>
    <hyperlink ref="C131" r:id="rId381"/>
    <hyperlink ref="D131" r:id="rId382"/>
    <hyperlink ref="I131" r:id="rId383" display="http://www.boxofficemojo.com/schedule/?view=bydate&amp;release=theatrical&amp;date=2014-02-14&amp;p=.htm"/>
    <hyperlink ref="C132" r:id="rId384"/>
    <hyperlink ref="D132" r:id="rId385"/>
    <hyperlink ref="I132" r:id="rId386" display="http://www.boxofficemojo.com/schedule/?view=bydate&amp;release=theatrical&amp;date=2014-11-14&amp;p=.htm"/>
    <hyperlink ref="C133" r:id="rId387"/>
    <hyperlink ref="D133" r:id="rId388"/>
    <hyperlink ref="I133" r:id="rId389" display="http://www.boxofficemojo.com/schedule/?view=bydate&amp;release=theatrical&amp;date=2014-04-04&amp;p=.htm"/>
    <hyperlink ref="C134" r:id="rId390"/>
    <hyperlink ref="D134" r:id="rId391"/>
    <hyperlink ref="I134" r:id="rId392" display="http://www.boxofficemojo.com/schedule/?view=bydate&amp;release=theatrical&amp;date=2014-05-02&amp;p=.htm"/>
    <hyperlink ref="C135" r:id="rId393"/>
    <hyperlink ref="D135" r:id="rId394"/>
    <hyperlink ref="I135" r:id="rId395" display="http://www.boxofficemojo.com/schedule/?view=bydate&amp;release=theatrical&amp;date=2014-09-12&amp;p=.htm"/>
    <hyperlink ref="C136" r:id="rId396"/>
    <hyperlink ref="D136" r:id="rId397"/>
    <hyperlink ref="I136" r:id="rId398" display="http://www.boxofficemojo.com/schedule/?view=bydate&amp;release=theatrical&amp;date=2014-12-19&amp;p=.htm"/>
    <hyperlink ref="C137" r:id="rId399"/>
    <hyperlink ref="D137" r:id="rId400"/>
    <hyperlink ref="I137" r:id="rId401" display="http://www.boxofficemojo.com/schedule/?view=bydate&amp;release=theatrical&amp;date=2014-07-25&amp;p=.htm"/>
    <hyperlink ref="C138" r:id="rId402"/>
    <hyperlink ref="D138" r:id="rId403"/>
    <hyperlink ref="I138" r:id="rId404" display="http://www.boxofficemojo.com/schedule/?view=bydate&amp;release=theatrical&amp;date=2014-03-28&amp;p=.htm"/>
    <hyperlink ref="C139" r:id="rId405"/>
    <hyperlink ref="D139" r:id="rId406"/>
    <hyperlink ref="I139" r:id="rId407" display="http://www.boxofficemojo.com/schedule/?view=bydate&amp;release=theatrical&amp;date=2014-05-09&amp;p=.htm"/>
    <hyperlink ref="C140" r:id="rId408"/>
    <hyperlink ref="D140" r:id="rId409"/>
    <hyperlink ref="I140" r:id="rId410" display="http://www.boxofficemojo.com/schedule/?view=bydate&amp;release=theatrical&amp;date=2014-04-25&amp;p=.htm"/>
    <hyperlink ref="C141" r:id="rId411"/>
    <hyperlink ref="D141" r:id="rId412"/>
    <hyperlink ref="I141" r:id="rId413" display="http://www.boxofficemojo.com/schedule/?view=bydate&amp;release=theatrical&amp;date=2014-05-09&amp;p=.htm"/>
    <hyperlink ref="C142" r:id="rId414"/>
    <hyperlink ref="D142" r:id="rId415"/>
    <hyperlink ref="I142" r:id="rId416" display="http://www.boxofficemojo.com/schedule/?view=bydate&amp;release=theatrical&amp;date=2014-12-12&amp;p=.htm"/>
    <hyperlink ref="C143" r:id="rId417"/>
    <hyperlink ref="D143" r:id="rId418"/>
    <hyperlink ref="I143" r:id="rId419" display="http://www.boxofficemojo.com/schedule/?view=bydate&amp;release=theatrical&amp;date=2014-02-07&amp;p=.htm"/>
    <hyperlink ref="C144" r:id="rId420"/>
    <hyperlink ref="D144" r:id="rId421"/>
    <hyperlink ref="I144" r:id="rId422" display="http://www.boxofficemojo.com/schedule/?view=bydate&amp;release=theatrical&amp;date=2014-03-14&amp;p=.htm"/>
    <hyperlink ref="C145" r:id="rId423"/>
    <hyperlink ref="D145" r:id="rId424"/>
    <hyperlink ref="I145" r:id="rId425" display="http://www.boxofficemojo.com/schedule/?view=bydate&amp;release=theatrical&amp;date=2014-08-29&amp;p=.htm"/>
    <hyperlink ref="C146" r:id="rId426"/>
    <hyperlink ref="D146" r:id="rId427"/>
    <hyperlink ref="I146" r:id="rId428" display="http://www.boxofficemojo.com/schedule/?view=bydate&amp;release=theatrical&amp;date=2014-12-25&amp;p=.htm"/>
    <hyperlink ref="C147" r:id="rId429"/>
    <hyperlink ref="D147" r:id="rId430"/>
    <hyperlink ref="I147" r:id="rId431" display="http://www.boxofficemojo.com/schedule/?view=bydate&amp;release=theatrical&amp;date=2014-10-10&amp;p=.htm"/>
    <hyperlink ref="C148" r:id="rId432"/>
    <hyperlink ref="D148" r:id="rId433"/>
    <hyperlink ref="I148" r:id="rId434" display="http://www.boxofficemojo.com/schedule/?view=bydate&amp;release=theatrical&amp;date=2014-12-31&amp;p=.htm"/>
    <hyperlink ref="C149" r:id="rId435"/>
    <hyperlink ref="D149" r:id="rId436"/>
    <hyperlink ref="I149" r:id="rId437" display="http://www.boxofficemojo.com/schedule/?view=bydate&amp;release=theatrical&amp;date=2014-03-28&amp;p=.htm"/>
    <hyperlink ref="C150" r:id="rId438"/>
    <hyperlink ref="D150" r:id="rId439"/>
    <hyperlink ref="I150" r:id="rId440" display="http://www.boxofficemojo.com/schedule/?view=bydate&amp;release=theatrical&amp;date=2014-09-12&amp;p=.htm"/>
    <hyperlink ref="C151" r:id="rId441"/>
    <hyperlink ref="D151" r:id="rId442"/>
    <hyperlink ref="I151" r:id="rId443" display="http://www.boxofficemojo.com/schedule/?view=bydate&amp;release=theatrical&amp;date=2014-02-21&amp;p=.htm"/>
    <hyperlink ref="C152" r:id="rId444"/>
    <hyperlink ref="D152" r:id="rId445"/>
    <hyperlink ref="I152" r:id="rId446" display="http://www.boxofficemojo.com/schedule/?view=bydate&amp;release=theatrical&amp;date=2014-06-27&amp;p=.htm"/>
    <hyperlink ref="C153" r:id="rId447"/>
    <hyperlink ref="D153" r:id="rId448"/>
    <hyperlink ref="I153" r:id="rId449" display="http://www.boxofficemojo.com/schedule/?view=bydate&amp;release=theatrical&amp;date=2014-04-11&amp;p=.htm"/>
    <hyperlink ref="C154" r:id="rId450"/>
    <hyperlink ref="D154" r:id="rId451"/>
    <hyperlink ref="I154" r:id="rId452" display="http://www.boxofficemojo.com/schedule/?view=bydate&amp;release=theatrical&amp;date=2014-10-17&amp;p=.htm"/>
    <hyperlink ref="C155" r:id="rId453"/>
    <hyperlink ref="D155" r:id="rId454"/>
    <hyperlink ref="I155" r:id="rId455" display="http://www.boxofficemojo.com/schedule/?view=bydate&amp;release=theatrical&amp;date=2014-02-28&amp;p=.htm"/>
    <hyperlink ref="C156" r:id="rId456"/>
    <hyperlink ref="D156" r:id="rId457"/>
    <hyperlink ref="I156" r:id="rId458" display="http://www.boxofficemojo.com/schedule/?view=bydate&amp;release=theatrical&amp;date=2014-09-10&amp;p=.htm"/>
    <hyperlink ref="C157" r:id="rId459"/>
    <hyperlink ref="D157" r:id="rId460"/>
    <hyperlink ref="I157" r:id="rId461" display="http://www.boxofficemojo.com/schedule/?view=bydate&amp;release=theatrical&amp;date=2014-12-19&amp;p=.htm"/>
    <hyperlink ref="C158" r:id="rId462"/>
    <hyperlink ref="D158" r:id="rId463"/>
    <hyperlink ref="I158" r:id="rId464" display="http://www.boxofficemojo.com/schedule/?view=bydate&amp;release=theatrical&amp;date=2014-05-02&amp;p=.htm"/>
    <hyperlink ref="C159" r:id="rId465"/>
    <hyperlink ref="D159" r:id="rId466"/>
    <hyperlink ref="I159" r:id="rId467" display="http://www.boxofficemojo.com/schedule/?view=bydate&amp;release=theatrical&amp;date=2014-04-18&amp;p=.htm"/>
    <hyperlink ref="C160" r:id="rId468"/>
    <hyperlink ref="D160" r:id="rId469"/>
    <hyperlink ref="I160" r:id="rId470" display="http://www.boxofficemojo.com/schedule/?view=bydate&amp;release=theatrical&amp;date=2014-08-01&amp;p=.htm"/>
    <hyperlink ref="C161" r:id="rId471"/>
    <hyperlink ref="D161" r:id="rId472"/>
    <hyperlink ref="I161" r:id="rId473" display="http://www.boxofficemojo.com/schedule/?view=bydate&amp;release=theatrical&amp;date=2014-07-18&amp;p=.htm"/>
    <hyperlink ref="C162" r:id="rId474"/>
    <hyperlink ref="D162" r:id="rId475"/>
    <hyperlink ref="I162" r:id="rId476" display="http://www.boxofficemojo.com/schedule/?view=bydate&amp;release=theatrical&amp;date=2014-08-29&amp;p=.htm"/>
    <hyperlink ref="C163" r:id="rId477"/>
    <hyperlink ref="D163" r:id="rId478"/>
    <hyperlink ref="I163" r:id="rId479" display="http://www.boxofficemojo.com/schedule/?view=bydate&amp;release=theatrical&amp;date=2014-09-19&amp;p=.htm"/>
    <hyperlink ref="C164" r:id="rId480"/>
    <hyperlink ref="D164" r:id="rId481"/>
    <hyperlink ref="I164" r:id="rId482" display="http://www.boxofficemojo.com/schedule/?view=bydate&amp;release=theatrical&amp;date=2014-08-08&amp;p=.htm"/>
    <hyperlink ref="C165" r:id="rId483"/>
    <hyperlink ref="D165" r:id="rId484"/>
    <hyperlink ref="I165" r:id="rId485" display="http://www.boxofficemojo.com/schedule/?view=bydate&amp;release=theatrical&amp;date=2014-05-30&amp;p=.htm"/>
    <hyperlink ref="C166" r:id="rId486"/>
    <hyperlink ref="D166" r:id="rId487"/>
    <hyperlink ref="I166" r:id="rId488" display="http://www.boxofficemojo.com/schedule/?view=bydate&amp;release=theatrical&amp;date=2014-03-14&amp;p=.htm"/>
    <hyperlink ref="C167" r:id="rId489"/>
    <hyperlink ref="D167" r:id="rId490"/>
    <hyperlink ref="I167" r:id="rId491" display="http://www.boxofficemojo.com/schedule/?view=bydate&amp;release=theatrical&amp;date=2014-10-31&amp;p=.htm"/>
    <hyperlink ref="C168" r:id="rId492"/>
    <hyperlink ref="D168" r:id="rId493"/>
    <hyperlink ref="I168" r:id="rId494" display="http://www.boxofficemojo.com/schedule/?view=bydate&amp;release=theatrical&amp;date=2014-11-14&amp;p=.htm"/>
    <hyperlink ref="C169" r:id="rId495"/>
    <hyperlink ref="D169" r:id="rId496"/>
    <hyperlink ref="I169" r:id="rId497" display="http://www.boxofficemojo.com/schedule/?view=bydate&amp;release=theatrical&amp;date=2014-06-06&amp;p=.htm"/>
    <hyperlink ref="C170" r:id="rId498"/>
    <hyperlink ref="D170" r:id="rId499"/>
    <hyperlink ref="I170" r:id="rId500" display="http://www.boxofficemojo.com/schedule/?view=bydate&amp;release=theatrical&amp;date=2014-08-15&amp;p=.htm"/>
    <hyperlink ref="C171" r:id="rId501"/>
    <hyperlink ref="D171" r:id="rId502"/>
    <hyperlink ref="I171" r:id="rId503" display="http://www.boxofficemojo.com/schedule/?view=bydate&amp;release=theatrical&amp;date=2014-09-05&amp;p=.htm"/>
    <hyperlink ref="C172" r:id="rId504"/>
    <hyperlink ref="D172" r:id="rId505"/>
    <hyperlink ref="I172" r:id="rId506" display="http://www.boxofficemojo.com/schedule/?view=bydate&amp;release=theatrical&amp;date=2014-07-25&amp;p=.htm"/>
    <hyperlink ref="C173" r:id="rId507"/>
    <hyperlink ref="D173" r:id="rId508"/>
    <hyperlink ref="I173" r:id="rId509" display="http://www.boxofficemojo.com/schedule/?view=bydate&amp;release=theatrical&amp;date=2014-10-24&amp;p=.htm"/>
    <hyperlink ref="C174" r:id="rId510"/>
    <hyperlink ref="D174" r:id="rId511"/>
    <hyperlink ref="I174" r:id="rId512" display="http://www.boxofficemojo.com/schedule/?view=bydate&amp;release=theatrical&amp;date=2014-11-14&amp;p=.htm"/>
    <hyperlink ref="C175" r:id="rId513"/>
    <hyperlink ref="D175" r:id="rId514"/>
    <hyperlink ref="I175" r:id="rId515" display="http://www.boxofficemojo.com/schedule/?view=bydate&amp;release=theatrical&amp;date=2014-12-05&amp;p=.htm"/>
    <hyperlink ref="C176" r:id="rId516"/>
    <hyperlink ref="D176" r:id="rId517"/>
    <hyperlink ref="I176" r:id="rId518" display="http://www.boxofficemojo.com/schedule/?view=bydate&amp;release=theatrical&amp;date=2014-10-03&amp;p=.htm"/>
    <hyperlink ref="C177" r:id="rId519"/>
    <hyperlink ref="D177" r:id="rId520"/>
    <hyperlink ref="I177" r:id="rId521" display="http://www.boxofficemojo.com/schedule/?view=bydate&amp;release=theatrical&amp;date=2014-03-28&amp;p=.htm"/>
    <hyperlink ref="C178" r:id="rId522"/>
    <hyperlink ref="D178" r:id="rId523"/>
    <hyperlink ref="I178" r:id="rId524" display="http://www.boxofficemojo.com/schedule/?view=bydate&amp;release=theatrical&amp;date=2014-04-04&amp;p=.htm"/>
    <hyperlink ref="C179" r:id="rId525"/>
    <hyperlink ref="D179" r:id="rId526"/>
    <hyperlink ref="I179" r:id="rId527" display="http://www.boxofficemojo.com/schedule/?view=bydate&amp;release=theatrical&amp;date=2014-08-08&amp;p=.htm"/>
    <hyperlink ref="C180" r:id="rId528"/>
    <hyperlink ref="D180" r:id="rId529"/>
    <hyperlink ref="I180" r:id="rId530" display="http://www.boxofficemojo.com/schedule/?view=bydate&amp;release=theatrical&amp;date=2014-08-05&amp;p=.htm"/>
    <hyperlink ref="C181" r:id="rId531"/>
    <hyperlink ref="D181" r:id="rId532"/>
    <hyperlink ref="I181" r:id="rId533" display="http://www.boxofficemojo.com/schedule/?view=bydate&amp;release=theatrical&amp;date=2014-10-02&amp;p=.htm"/>
    <hyperlink ref="C182" r:id="rId534"/>
    <hyperlink ref="D182" r:id="rId535"/>
    <hyperlink ref="I182" r:id="rId536" display="http://www.boxofficemojo.com/schedule/?view=bydate&amp;release=theatrical&amp;date=2014-07-25&amp;p=.htm"/>
    <hyperlink ref="C183" r:id="rId537"/>
    <hyperlink ref="D183" r:id="rId538"/>
    <hyperlink ref="I183" r:id="rId539" display="http://www.boxofficemojo.com/schedule/?view=bydate&amp;release=theatrical&amp;date=2014-10-10&amp;p=.htm"/>
    <hyperlink ref="C184" r:id="rId540"/>
    <hyperlink ref="D184" r:id="rId541"/>
    <hyperlink ref="I184" r:id="rId542" display="http://www.boxofficemojo.com/schedule/?view=bydate&amp;release=theatrical&amp;date=2014-11-14&amp;p=.htm"/>
    <hyperlink ref="C185" r:id="rId543"/>
    <hyperlink ref="D185" r:id="rId544"/>
    <hyperlink ref="I185" r:id="rId545" display="http://www.boxofficemojo.com/schedule/?view=bydate&amp;release=theatrical&amp;date=2014-12-25&amp;p=.htm"/>
    <hyperlink ref="C186" r:id="rId546"/>
    <hyperlink ref="D186" r:id="rId547"/>
    <hyperlink ref="I186" r:id="rId548" display="http://www.boxofficemojo.com/schedule/?view=bydate&amp;release=theatrical&amp;date=2014-08-22&amp;p=.htm"/>
    <hyperlink ref="C187" r:id="rId549"/>
    <hyperlink ref="D187" r:id="rId550"/>
    <hyperlink ref="I187" r:id="rId551" display="http://www.boxofficemojo.com/schedule/?view=bydate&amp;release=theatrical&amp;date=2014-04-18&amp;p=.htm"/>
    <hyperlink ref="C188" r:id="rId552"/>
    <hyperlink ref="D188" r:id="rId553"/>
    <hyperlink ref="I188" r:id="rId554" display="http://www.boxofficemojo.com/schedule/?view=bydate&amp;release=theatrical&amp;date=2014-03-14&amp;p=.htm"/>
    <hyperlink ref="C189" r:id="rId555"/>
    <hyperlink ref="D189" r:id="rId556"/>
    <hyperlink ref="I189" r:id="rId557" display="http://www.boxofficemojo.com/schedule/?view=bydate&amp;release=theatrical&amp;date=2014-02-28&amp;p=.htm"/>
    <hyperlink ref="C190" r:id="rId558"/>
    <hyperlink ref="D190" r:id="rId559"/>
    <hyperlink ref="I190" r:id="rId560" display="http://www.boxofficemojo.com/schedule/?view=bydate&amp;release=theatrical&amp;date=2014-01-31&amp;p=.htm"/>
    <hyperlink ref="C191" r:id="rId561"/>
    <hyperlink ref="D191" r:id="rId562"/>
    <hyperlink ref="I191" r:id="rId563" display="http://www.boxofficemojo.com/schedule/?view=bydate&amp;release=theatrical&amp;date=2014-05-23&amp;p=.htm"/>
    <hyperlink ref="C192" r:id="rId564"/>
    <hyperlink ref="D192" r:id="rId565"/>
    <hyperlink ref="I192" r:id="rId566" display="http://www.boxofficemojo.com/schedule/?view=bydate&amp;release=theatrical&amp;date=2014-01-24&amp;p=.htm"/>
    <hyperlink ref="C193" r:id="rId567"/>
    <hyperlink ref="D193" r:id="rId568"/>
    <hyperlink ref="I193" r:id="rId569" display="http://www.boxofficemojo.com/schedule/?view=bydate&amp;release=theatrical&amp;date=2014-05-16&amp;p=.htm"/>
    <hyperlink ref="C194" r:id="rId570"/>
    <hyperlink ref="D194" r:id="rId571"/>
    <hyperlink ref="I194" r:id="rId572" display="http://www.boxofficemojo.com/schedule/?view=bydate&amp;release=theatrical&amp;date=2014-04-11&amp;p=.htm"/>
    <hyperlink ref="C195" r:id="rId573"/>
    <hyperlink ref="D195" r:id="rId574"/>
    <hyperlink ref="I195" r:id="rId575" display="http://www.boxofficemojo.com/schedule/?view=bydate&amp;release=theatrical&amp;date=2014-09-19&amp;p=.htm"/>
    <hyperlink ref="C196" r:id="rId576"/>
    <hyperlink ref="D196" r:id="rId577"/>
    <hyperlink ref="I196" r:id="rId578" display="http://www.boxofficemojo.com/schedule/?view=bydate&amp;release=theatrical&amp;date=2014-01-31&amp;p=.htm"/>
    <hyperlink ref="C197" r:id="rId579"/>
    <hyperlink ref="D197" r:id="rId580"/>
    <hyperlink ref="I197" r:id="rId581" display="http://www.boxofficemojo.com/schedule/?view=bydate&amp;release=theatrical&amp;date=2014-07-18&amp;p=.htm"/>
    <hyperlink ref="C198" r:id="rId582"/>
    <hyperlink ref="D198" r:id="rId583"/>
    <hyperlink ref="I198" r:id="rId584" display="http://www.boxofficemojo.com/schedule/?view=bydate&amp;release=theatrical&amp;date=2014-10-10&amp;p=.htm"/>
    <hyperlink ref="C199" r:id="rId585"/>
    <hyperlink ref="D199" r:id="rId586"/>
    <hyperlink ref="I199" r:id="rId587" display="http://www.boxofficemojo.com/schedule/?view=bydate&amp;release=theatrical&amp;date=2014-05-09&amp;p=.htm"/>
    <hyperlink ref="C200" r:id="rId588"/>
    <hyperlink ref="D200" r:id="rId589"/>
    <hyperlink ref="I200" r:id="rId590" display="http://www.boxofficemojo.com/schedule/?view=bydate&amp;release=theatrical&amp;date=2014-03-28&amp;p=.htm"/>
    <hyperlink ref="C201" r:id="rId591"/>
    <hyperlink ref="D201" r:id="rId592"/>
    <hyperlink ref="I201" r:id="rId593" display="http://www.boxofficemojo.com/schedule/?view=bydate&amp;release=theatrical&amp;date=2014-09-26&amp;p=.htm"/>
    <hyperlink ref="C202" r:id="rId594"/>
    <hyperlink ref="D202" r:id="rId595"/>
    <hyperlink ref="I202" r:id="rId596" display="http://www.boxofficemojo.com/schedule/?view=bydate&amp;release=theatrical&amp;date=2014-12-24&amp;p=.htm"/>
    <hyperlink ref="C203" r:id="rId597"/>
    <hyperlink ref="D203" r:id="rId598"/>
    <hyperlink ref="I203" r:id="rId599" display="http://www.boxofficemojo.com/schedule/?view=bydate&amp;release=theatrical&amp;date=2014-04-25&amp;p=.htm"/>
    <hyperlink ref="C204" r:id="rId600"/>
    <hyperlink ref="D204" r:id="rId601"/>
    <hyperlink ref="I204" r:id="rId602" display="http://www.boxofficemojo.com/schedule/?view=bydate&amp;release=theatrical&amp;date=2014-01-24&amp;p=.htm"/>
    <hyperlink ref="C205" r:id="rId603"/>
    <hyperlink ref="D205" r:id="rId604"/>
    <hyperlink ref="I205" r:id="rId605" display="http://www.boxofficemojo.com/schedule/?view=bydate&amp;release=theatrical&amp;date=2014-10-24&amp;p=.htm"/>
    <hyperlink ref="C206" r:id="rId606"/>
    <hyperlink ref="D206" r:id="rId607"/>
    <hyperlink ref="I206" r:id="rId608" display="http://www.boxofficemojo.com/schedule/?view=bydate&amp;release=theatrical&amp;date=2014-01-24&amp;p=.htm"/>
    <hyperlink ref="C207" r:id="rId609"/>
    <hyperlink ref="D207" r:id="rId610"/>
    <hyperlink ref="I207" r:id="rId611" display="http://www.boxofficemojo.com/schedule/?view=bydate&amp;release=theatrical&amp;date=2014-08-15&amp;p=.htm"/>
    <hyperlink ref="C208" r:id="rId612"/>
    <hyperlink ref="D208" r:id="rId613"/>
    <hyperlink ref="I208" r:id="rId614" display="http://www.boxofficemojo.com/schedule/?view=bydate&amp;release=theatrical&amp;date=2014-02-28&amp;p=.htm"/>
    <hyperlink ref="C209" r:id="rId615"/>
    <hyperlink ref="D209" r:id="rId616"/>
    <hyperlink ref="I209" r:id="rId617" display="http://www.boxofficemojo.com/schedule/?view=bydate&amp;release=theatrical&amp;date=2014-09-05&amp;p=.htm"/>
    <hyperlink ref="C210" r:id="rId618"/>
    <hyperlink ref="D210" r:id="rId619"/>
    <hyperlink ref="I210" r:id="rId620" display="http://www.boxofficemojo.com/schedule/?view=bydate&amp;release=theatrical&amp;date=2014-09-19&amp;p=.htm"/>
    <hyperlink ref="C211" r:id="rId621"/>
    <hyperlink ref="D211" r:id="rId622"/>
    <hyperlink ref="I211" r:id="rId623" display="http://www.boxofficemojo.com/schedule/?view=bydate&amp;release=theatrical&amp;date=2014-06-13&amp;p=.htm"/>
    <hyperlink ref="C212" r:id="rId624"/>
    <hyperlink ref="D212" r:id="rId625"/>
    <hyperlink ref="I212" r:id="rId626" display="http://www.boxofficemojo.com/schedule/?view=bydate&amp;release=theatrical&amp;date=2014-04-25&amp;p=.htm"/>
    <hyperlink ref="C213" r:id="rId627"/>
    <hyperlink ref="D213" r:id="rId628"/>
    <hyperlink ref="I213" r:id="rId629" display="http://www.boxofficemojo.com/schedule/?view=bydate&amp;release=theatrical&amp;date=2014-12-25&amp;p=.htm"/>
    <hyperlink ref="C214" r:id="rId630"/>
    <hyperlink ref="D214" r:id="rId631"/>
    <hyperlink ref="I214" r:id="rId632" display="http://www.boxofficemojo.com/schedule/?view=bydate&amp;release=theatrical&amp;date=2014-09-05&amp;p=.htm"/>
    <hyperlink ref="C215" r:id="rId633"/>
    <hyperlink ref="D215" r:id="rId634"/>
    <hyperlink ref="I215" r:id="rId635" display="http://www.boxofficemojo.com/schedule/?view=bydate&amp;release=theatrical&amp;date=2014-10-24&amp;p=.htm"/>
    <hyperlink ref="C216" r:id="rId636"/>
    <hyperlink ref="D216" r:id="rId637"/>
    <hyperlink ref="I216" r:id="rId638" display="http://www.boxofficemojo.com/schedule/?view=bydate&amp;release=theatrical&amp;date=2014-03-21&amp;p=.htm"/>
    <hyperlink ref="C217" r:id="rId639"/>
    <hyperlink ref="D217" r:id="rId640"/>
    <hyperlink ref="I217" r:id="rId641" display="http://www.boxofficemojo.com/schedule/?view=bydate&amp;release=theatrical&amp;date=2014-10-02&amp;p=.htm"/>
    <hyperlink ref="C218" r:id="rId642"/>
    <hyperlink ref="D218" r:id="rId643"/>
    <hyperlink ref="I218" r:id="rId644" display="http://www.boxofficemojo.com/schedule/?view=bydate&amp;release=theatrical&amp;date=2014-06-20&amp;p=.htm"/>
    <hyperlink ref="C219" r:id="rId645"/>
    <hyperlink ref="D219" r:id="rId646"/>
    <hyperlink ref="I219" r:id="rId647" display="http://www.boxofficemojo.com/schedule/?view=bydate&amp;release=theatrical&amp;date=2014-02-28&amp;p=.htm"/>
    <hyperlink ref="C220" r:id="rId648"/>
    <hyperlink ref="D220" r:id="rId649"/>
    <hyperlink ref="I220" r:id="rId650" display="http://www.boxofficemojo.com/schedule/?view=bydate&amp;release=theatrical&amp;date=2014-09-26&amp;p=.htm"/>
    <hyperlink ref="C221" r:id="rId651"/>
    <hyperlink ref="D221" r:id="rId652"/>
    <hyperlink ref="I221" r:id="rId653" display="http://www.boxofficemojo.com/schedule/?view=bydate&amp;release=theatrical&amp;date=2014-03-14&amp;p=.htm"/>
    <hyperlink ref="C222" r:id="rId654"/>
    <hyperlink ref="D222" r:id="rId655"/>
    <hyperlink ref="I222" r:id="rId656" display="http://www.boxofficemojo.com/schedule/?view=bydate&amp;release=theatrical&amp;date=2014-11-28&amp;p=.htm"/>
    <hyperlink ref="C223" r:id="rId657"/>
    <hyperlink ref="D223" r:id="rId658"/>
    <hyperlink ref="I223" r:id="rId659" display="http://www.boxofficemojo.com/schedule/?view=bydate&amp;release=theatrical&amp;date=2014-02-28&amp;p=.htm"/>
    <hyperlink ref="C224" r:id="rId660"/>
    <hyperlink ref="D224" r:id="rId661"/>
    <hyperlink ref="I224" r:id="rId662" display="http://www.boxofficemojo.com/schedule/?view=bydate&amp;release=theatrical&amp;date=2014-09-26&amp;p=.htm"/>
    <hyperlink ref="C225" r:id="rId663"/>
    <hyperlink ref="D225" r:id="rId664"/>
    <hyperlink ref="I225" r:id="rId665" display="http://www.boxofficemojo.com/schedule/?view=bydate&amp;release=theatrical&amp;date=2014-03-05&amp;p=.htm"/>
    <hyperlink ref="C226" r:id="rId666"/>
    <hyperlink ref="D226" r:id="rId667"/>
    <hyperlink ref="I226" r:id="rId668" display="http://www.boxofficemojo.com/schedule/?view=bydate&amp;release=theatrical&amp;date=2014-12-19&amp;p=.htm"/>
    <hyperlink ref="C227" r:id="rId669"/>
    <hyperlink ref="D227" r:id="rId670"/>
    <hyperlink ref="I227" r:id="rId671" display="http://www.boxofficemojo.com/schedule/?view=bydate&amp;release=theatrical&amp;date=2014-09-12&amp;p=.htm"/>
    <hyperlink ref="C228" r:id="rId672"/>
    <hyperlink ref="D228" r:id="rId673"/>
    <hyperlink ref="I228" r:id="rId674" display="http://www.boxofficemojo.com/schedule/?view=bydate&amp;release=theatrical&amp;date=2014-05-23&amp;p=.htm"/>
    <hyperlink ref="C229" r:id="rId675"/>
    <hyperlink ref="D229" r:id="rId676"/>
    <hyperlink ref="I229" r:id="rId677" display="http://www.boxofficemojo.com/schedule/?view=bydate&amp;release=theatrical&amp;date=2014-10-31&amp;p=.htm"/>
    <hyperlink ref="C230" r:id="rId678"/>
    <hyperlink ref="D230" r:id="rId679"/>
    <hyperlink ref="I230" r:id="rId680" display="http://www.boxofficemojo.com/schedule/?view=bydate&amp;release=theatrical&amp;date=2014-07-04&amp;p=.htm"/>
    <hyperlink ref="C231" r:id="rId681"/>
    <hyperlink ref="D231" r:id="rId682"/>
    <hyperlink ref="I231" r:id="rId683" display="http://www.boxofficemojo.com/schedule/?view=bydate&amp;release=theatrical&amp;date=2014-03-21&amp;p=.htm"/>
    <hyperlink ref="C232" r:id="rId684"/>
    <hyperlink ref="D232" r:id="rId685"/>
    <hyperlink ref="I232" r:id="rId686" display="http://www.boxofficemojo.com/schedule/?view=bydate&amp;release=theatrical&amp;date=2014-10-03&amp;p=.htm"/>
    <hyperlink ref="C233" r:id="rId687"/>
    <hyperlink ref="D233" r:id="rId688"/>
    <hyperlink ref="I233" r:id="rId689" display="http://www.boxofficemojo.com/schedule/?view=bydate&amp;release=theatrical&amp;date=2014-05-09&amp;p=.htm"/>
    <hyperlink ref="C234" r:id="rId690"/>
    <hyperlink ref="D234" r:id="rId691"/>
    <hyperlink ref="I234" r:id="rId692" display="http://www.boxofficemojo.com/schedule/?view=bydate&amp;release=theatrical&amp;date=2014-06-27&amp;p=.htm"/>
    <hyperlink ref="C235" r:id="rId693"/>
    <hyperlink ref="D235" r:id="rId694"/>
    <hyperlink ref="I235" r:id="rId695" display="http://www.boxofficemojo.com/schedule/?view=bydate&amp;release=theatrical&amp;date=2014-07-11&amp;p=.htm"/>
    <hyperlink ref="C236" r:id="rId696"/>
    <hyperlink ref="D236" r:id="rId697"/>
    <hyperlink ref="I236" r:id="rId698" display="http://www.boxofficemojo.com/schedule/?view=bydate&amp;release=theatrical&amp;date=2014-06-25&amp;p=.htm"/>
    <hyperlink ref="C237" r:id="rId699"/>
    <hyperlink ref="D237" r:id="rId700"/>
    <hyperlink ref="I237" r:id="rId701" display="http://www.boxofficemojo.com/schedule/?view=bydate&amp;release=theatrical&amp;date=2014-09-19&amp;p=.htm"/>
    <hyperlink ref="C238" r:id="rId702"/>
    <hyperlink ref="D238" r:id="rId703"/>
    <hyperlink ref="I238" r:id="rId704" display="http://www.boxofficemojo.com/schedule/?view=bydate&amp;release=theatrical&amp;date=2014-06-06&amp;p=.htm"/>
    <hyperlink ref="C239" r:id="rId705"/>
    <hyperlink ref="D239" r:id="rId706"/>
    <hyperlink ref="I239" r:id="rId707" display="http://www.boxofficemojo.com/schedule/?view=bydate&amp;release=theatrical&amp;date=2014-10-01&amp;p=.htm"/>
    <hyperlink ref="C240" r:id="rId708"/>
    <hyperlink ref="D240" r:id="rId709"/>
    <hyperlink ref="I240" r:id="rId710" display="http://www.boxofficemojo.com/schedule/?view=bydate&amp;release=theatrical&amp;date=2014-10-17&amp;p=.htm"/>
    <hyperlink ref="C241" r:id="rId711"/>
    <hyperlink ref="D241" r:id="rId712"/>
    <hyperlink ref="I241" r:id="rId713" display="http://www.boxofficemojo.com/schedule/?view=bydate&amp;release=theatrical&amp;date=2014-04-04&amp;p=.htm"/>
    <hyperlink ref="C242" r:id="rId714"/>
    <hyperlink ref="D242" r:id="rId715"/>
    <hyperlink ref="I242" r:id="rId716" display="http://www.boxofficemojo.com/schedule/?view=bydate&amp;release=theatrical&amp;date=2014-10-17&amp;p=.htm"/>
    <hyperlink ref="C243" r:id="rId717"/>
    <hyperlink ref="D243" r:id="rId718"/>
    <hyperlink ref="I243" r:id="rId719" display="http://www.boxofficemojo.com/schedule/?view=bydate&amp;release=theatrical&amp;date=2014-03-21&amp;p=.htm"/>
    <hyperlink ref="C244" r:id="rId720"/>
    <hyperlink ref="D244" r:id="rId721"/>
    <hyperlink ref="I244" r:id="rId722" display="http://www.boxofficemojo.com/schedule/?view=bydate&amp;release=theatrical&amp;date=2014-02-07&amp;p=.htm"/>
    <hyperlink ref="C245" r:id="rId723"/>
    <hyperlink ref="D245" r:id="rId724"/>
    <hyperlink ref="I245" r:id="rId725" display="http://www.boxofficemojo.com/schedule/?view=bydate&amp;release=theatrical&amp;date=2014-08-15&amp;p=.htm"/>
    <hyperlink ref="C246" r:id="rId726"/>
    <hyperlink ref="D246" r:id="rId727"/>
    <hyperlink ref="I246" r:id="rId728" display="http://www.boxofficemojo.com/schedule/?view=bydate&amp;release=theatrical&amp;date=2014-09-05&amp;p=.htm"/>
    <hyperlink ref="C247" r:id="rId729"/>
    <hyperlink ref="D247" r:id="rId730"/>
    <hyperlink ref="I247" r:id="rId731" display="http://www.boxofficemojo.com/schedule/?view=bydate&amp;release=theatrical&amp;date=2014-09-12&amp;p=.htm"/>
    <hyperlink ref="C248" r:id="rId732"/>
    <hyperlink ref="D248" r:id="rId733"/>
    <hyperlink ref="I248" r:id="rId734" display="http://www.boxofficemojo.com/schedule/?view=bydate&amp;release=theatrical&amp;date=2014-06-13&amp;p=.htm"/>
    <hyperlink ref="C249" r:id="rId735"/>
    <hyperlink ref="D249" r:id="rId736"/>
    <hyperlink ref="I249" r:id="rId737" display="http://www.boxofficemojo.com/schedule/?view=bydate&amp;release=theatrical&amp;date=2014-09-12&amp;p=.htm"/>
    <hyperlink ref="C250" r:id="rId738"/>
    <hyperlink ref="D250" r:id="rId739"/>
    <hyperlink ref="I250" r:id="rId740" display="http://www.boxofficemojo.com/schedule/?view=bydate&amp;release=theatrical&amp;date=2014-12-12&amp;p=.htm"/>
    <hyperlink ref="C251" r:id="rId741"/>
    <hyperlink ref="D251" r:id="rId742"/>
    <hyperlink ref="I251" r:id="rId743" display="http://www.boxofficemojo.com/schedule/?view=bydate&amp;release=theatrical&amp;date=2014-09-05&amp;p=.htm"/>
    <hyperlink ref="C252" r:id="rId744"/>
    <hyperlink ref="D252" r:id="rId745"/>
    <hyperlink ref="I252" r:id="rId746" display="http://www.boxofficemojo.com/schedule/?view=bydate&amp;release=theatrical&amp;date=2014-02-07&amp;p=.htm"/>
    <hyperlink ref="C253" r:id="rId747"/>
    <hyperlink ref="D253" r:id="rId748"/>
    <hyperlink ref="I253" r:id="rId749" display="http://www.boxofficemojo.com/schedule/?view=bydate&amp;release=theatrical&amp;date=2014-10-24&amp;p=.htm"/>
    <hyperlink ref="C254" r:id="rId750"/>
    <hyperlink ref="D254" r:id="rId751"/>
    <hyperlink ref="I254" r:id="rId752" display="http://www.boxofficemojo.com/schedule/?view=bydate&amp;release=theatrical&amp;date=2014-11-07&amp;p=.htm"/>
    <hyperlink ref="C255" r:id="rId753"/>
    <hyperlink ref="D255" r:id="rId754"/>
    <hyperlink ref="I255" r:id="rId755" display="http://www.boxofficemojo.com/schedule/?view=bydate&amp;release=theatrical&amp;date=2014-02-21&amp;p=.htm"/>
    <hyperlink ref="C256" r:id="rId756"/>
    <hyperlink ref="D256" r:id="rId757"/>
    <hyperlink ref="I256" r:id="rId758" display="http://www.boxofficemojo.com/schedule/?view=bydate&amp;release=theatrical&amp;date=2014-04-02&amp;p=.htm"/>
    <hyperlink ref="C257" r:id="rId759"/>
    <hyperlink ref="D257" r:id="rId760"/>
    <hyperlink ref="I257" r:id="rId761" display="http://www.boxofficemojo.com/schedule/?view=bydate&amp;release=theatrical&amp;date=2014-07-04&amp;p=.htm"/>
    <hyperlink ref="C258" r:id="rId762"/>
    <hyperlink ref="D258" r:id="rId763"/>
    <hyperlink ref="I258" r:id="rId764" display="http://www.boxofficemojo.com/schedule/?view=bydate&amp;release=theatrical&amp;date=2014-08-22&amp;p=.htm"/>
    <hyperlink ref="C259" r:id="rId765"/>
    <hyperlink ref="D259" r:id="rId766"/>
    <hyperlink ref="I259" r:id="rId767" display="http://www.boxofficemojo.com/schedule/?view=bydate&amp;release=theatrical&amp;date=2014-09-19&amp;p=.htm"/>
    <hyperlink ref="C260" r:id="rId768"/>
    <hyperlink ref="D260" r:id="rId769"/>
    <hyperlink ref="I260" r:id="rId770" display="http://www.boxofficemojo.com/schedule/?view=bydate&amp;release=theatrical&amp;date=2014-09-26&amp;p=.htm"/>
    <hyperlink ref="C261" r:id="rId771"/>
    <hyperlink ref="D261" r:id="rId772"/>
    <hyperlink ref="I261" r:id="rId773" display="http://www.boxofficemojo.com/schedule/?view=bydate&amp;release=theatrical&amp;date=2014-11-21&amp;p=.htm"/>
    <hyperlink ref="C262" r:id="rId774"/>
    <hyperlink ref="D262" r:id="rId775"/>
    <hyperlink ref="I262" r:id="rId776" display="http://www.boxofficemojo.com/schedule/?view=bydate&amp;release=theatrical&amp;date=2014-09-05&amp;p=.htm"/>
    <hyperlink ref="C263" r:id="rId777"/>
    <hyperlink ref="D263" r:id="rId778"/>
    <hyperlink ref="I263" r:id="rId779" display="http://www.boxofficemojo.com/schedule/?view=bydate&amp;release=theatrical&amp;date=2014-02-21&amp;p=.htm"/>
    <hyperlink ref="C264" r:id="rId780"/>
    <hyperlink ref="D264" r:id="rId781"/>
    <hyperlink ref="I264" r:id="rId782" display="http://www.boxofficemojo.com/schedule/?view=bydate&amp;release=theatrical&amp;date=2014-09-05&amp;p=.htm"/>
    <hyperlink ref="C265" r:id="rId783"/>
    <hyperlink ref="D265" r:id="rId784"/>
    <hyperlink ref="I265" r:id="rId785" display="http://www.boxofficemojo.com/schedule/?view=bydate&amp;release=theatrical&amp;date=2014-02-14&amp;p=.htm"/>
    <hyperlink ref="C266" r:id="rId786"/>
    <hyperlink ref="D266" r:id="rId787"/>
    <hyperlink ref="I266" r:id="rId788" display="http://www.boxofficemojo.com/schedule/?view=bydate&amp;release=theatrical&amp;date=2014-05-23&amp;p=.htm"/>
    <hyperlink ref="C267" r:id="rId789"/>
    <hyperlink ref="D267" r:id="rId790"/>
    <hyperlink ref="I267" r:id="rId791" display="http://www.boxofficemojo.com/schedule/?view=bydate&amp;release=theatrical&amp;date=2014-12-05&amp;p=.htm"/>
    <hyperlink ref="C268" r:id="rId792"/>
    <hyperlink ref="D268" r:id="rId793"/>
    <hyperlink ref="I268" r:id="rId794" display="http://www.boxofficemojo.com/schedule/?view=bydate&amp;release=theatrical&amp;date=2014-04-25&amp;p=.htm"/>
    <hyperlink ref="C269" r:id="rId795"/>
    <hyperlink ref="D269" r:id="rId796"/>
    <hyperlink ref="I269" r:id="rId797" display="http://www.boxofficemojo.com/schedule/?view=bydate&amp;release=theatrical&amp;date=2014-09-05&amp;p=.htm"/>
    <hyperlink ref="C270" r:id="rId798"/>
    <hyperlink ref="D270" r:id="rId799"/>
    <hyperlink ref="I270" r:id="rId800" display="http://www.boxofficemojo.com/schedule/?view=bydate&amp;release=theatrical&amp;date=2014-10-24&amp;p=.htm"/>
    <hyperlink ref="C271" r:id="rId801"/>
    <hyperlink ref="D271" r:id="rId802"/>
    <hyperlink ref="I271" r:id="rId803" display="http://www.boxofficemojo.com/schedule/?view=bydate&amp;release=theatrical&amp;date=2014-07-11&amp;p=.htm"/>
    <hyperlink ref="C272" r:id="rId804"/>
    <hyperlink ref="D272" r:id="rId805"/>
    <hyperlink ref="I272" r:id="rId806" display="http://www.boxofficemojo.com/schedule/?view=bydate&amp;release=theatrical&amp;date=2014-11-26&amp;p=.htm"/>
    <hyperlink ref="C273" r:id="rId807"/>
    <hyperlink ref="D273" r:id="rId808"/>
    <hyperlink ref="I273" r:id="rId809" display="http://www.boxofficemojo.com/schedule/?view=bydate&amp;release=theatrical&amp;date=2014-06-20&amp;p=.htm"/>
    <hyperlink ref="C274" r:id="rId810"/>
    <hyperlink ref="D274" r:id="rId811"/>
    <hyperlink ref="I274" r:id="rId812" display="http://www.boxofficemojo.com/schedule/?view=bydate&amp;release=theatrical&amp;date=2014-04-11&amp;p=.htm"/>
    <hyperlink ref="C275" r:id="rId813"/>
    <hyperlink ref="D275" r:id="rId814"/>
    <hyperlink ref="I275" r:id="rId815" display="http://www.boxofficemojo.com/schedule/?view=bydate&amp;release=theatrical&amp;date=2014-10-24&amp;p=.htm"/>
    <hyperlink ref="C276" r:id="rId816"/>
    <hyperlink ref="D276" r:id="rId817"/>
    <hyperlink ref="I276" r:id="rId818" display="http://www.boxofficemojo.com/schedule/?view=bydate&amp;release=theatrical&amp;date=2014-02-21&amp;p=.htm"/>
    <hyperlink ref="C277" r:id="rId819"/>
    <hyperlink ref="D277" r:id="rId820"/>
    <hyperlink ref="I277" r:id="rId821" display="http://www.boxofficemojo.com/schedule/?view=bydate&amp;release=theatrical&amp;date=2014-03-07&amp;p=.htm"/>
    <hyperlink ref="C278" r:id="rId822"/>
    <hyperlink ref="D278" r:id="rId823"/>
    <hyperlink ref="I278" r:id="rId824" display="http://www.boxofficemojo.com/schedule/?view=bydate&amp;release=theatrical&amp;date=2014-06-20&amp;p=.htm"/>
    <hyperlink ref="C279" r:id="rId825"/>
    <hyperlink ref="D279" r:id="rId826"/>
    <hyperlink ref="I279" r:id="rId827" display="http://www.boxofficemojo.com/schedule/?view=bydate&amp;release=theatrical&amp;date=2014-09-26&amp;p=.htm"/>
    <hyperlink ref="C280" r:id="rId828"/>
    <hyperlink ref="D280" r:id="rId829"/>
    <hyperlink ref="I280" r:id="rId830" display="http://www.boxofficemojo.com/schedule/?view=bydate&amp;release=theatrical&amp;date=2014-05-16&amp;p=.htm"/>
    <hyperlink ref="C281" r:id="rId831"/>
    <hyperlink ref="D281" r:id="rId832"/>
    <hyperlink ref="I281" r:id="rId833" display="http://www.boxofficemojo.com/schedule/?view=bydate&amp;release=theatrical&amp;date=2014-07-18&amp;p=.htm"/>
    <hyperlink ref="C282" r:id="rId834"/>
    <hyperlink ref="D282" r:id="rId835"/>
    <hyperlink ref="I282" r:id="rId836" display="http://www.boxofficemojo.com/schedule/?view=bydate&amp;release=theatrical&amp;date=2014-01-17&amp;p=.htm"/>
    <hyperlink ref="C283" r:id="rId837"/>
    <hyperlink ref="D283" r:id="rId838"/>
    <hyperlink ref="I283" r:id="rId839" display="http://www.boxofficemojo.com/schedule/?view=bydate&amp;release=theatrical&amp;date=2014-09-17&amp;p=.htm"/>
    <hyperlink ref="C284" r:id="rId840"/>
    <hyperlink ref="D284" r:id="rId841"/>
    <hyperlink ref="I284" r:id="rId842" display="http://www.boxofficemojo.com/schedule/?view=bydate&amp;release=theatrical&amp;date=2014-02-21&amp;p=.htm"/>
    <hyperlink ref="C285" r:id="rId843"/>
    <hyperlink ref="D285" r:id="rId844"/>
    <hyperlink ref="I285" r:id="rId845" display="http://www.boxofficemojo.com/schedule/?view=bydate&amp;release=theatrical&amp;date=2014-04-04&amp;p=.htm"/>
    <hyperlink ref="C286" r:id="rId846"/>
    <hyperlink ref="D286" r:id="rId847"/>
    <hyperlink ref="I286" r:id="rId848" display="http://www.boxofficemojo.com/schedule/?view=bydate&amp;release=theatrical&amp;date=2014-01-24&amp;p=.htm"/>
    <hyperlink ref="C287" r:id="rId849"/>
    <hyperlink ref="D287" r:id="rId850"/>
    <hyperlink ref="I287" r:id="rId851" display="http://www.boxofficemojo.com/schedule/?view=bydate&amp;release=theatrical&amp;date=2014-03-14&amp;p=.htm"/>
    <hyperlink ref="C288" r:id="rId852"/>
    <hyperlink ref="D288" r:id="rId853"/>
    <hyperlink ref="I288" r:id="rId854" display="http://www.boxofficemojo.com/schedule/?view=bydate&amp;release=theatrical&amp;date=2014-11-21&amp;p=.htm"/>
    <hyperlink ref="C289" r:id="rId855"/>
    <hyperlink ref="D289" r:id="rId856"/>
    <hyperlink ref="I289" r:id="rId857" display="http://www.boxofficemojo.com/schedule/?view=bydate&amp;release=theatrical&amp;date=2014-05-09&amp;p=.htm"/>
    <hyperlink ref="C290" r:id="rId858"/>
    <hyperlink ref="D290" r:id="rId859"/>
    <hyperlink ref="I290" r:id="rId860" display="http://www.boxofficemojo.com/schedule/?view=bydate&amp;release=theatrical&amp;date=2014-09-12&amp;p=.htm"/>
    <hyperlink ref="C291" r:id="rId861"/>
    <hyperlink ref="D291" r:id="rId862"/>
    <hyperlink ref="I291" r:id="rId863" display="http://www.boxofficemojo.com/schedule/?view=bydate&amp;release=theatrical&amp;date=2014-07-18&amp;p=.htm"/>
    <hyperlink ref="C292" r:id="rId864"/>
    <hyperlink ref="D292" r:id="rId865"/>
    <hyperlink ref="I292" r:id="rId866" display="http://www.boxofficemojo.com/schedule/?view=bydate&amp;release=theatrical&amp;date=2014-07-18&amp;p=.htm"/>
    <hyperlink ref="C293" r:id="rId867"/>
    <hyperlink ref="D293" r:id="rId868"/>
    <hyperlink ref="I293" r:id="rId869" display="http://www.boxofficemojo.com/schedule/?view=bydate&amp;release=theatrical&amp;date=2014-09-05&amp;p=.htm"/>
    <hyperlink ref="C294" r:id="rId870"/>
    <hyperlink ref="D294" r:id="rId871"/>
    <hyperlink ref="I294" r:id="rId872" display="http://www.boxofficemojo.com/schedule/?view=bydate&amp;release=theatrical&amp;date=2014-05-23&amp;p=.htm"/>
    <hyperlink ref="C295" r:id="rId873"/>
    <hyperlink ref="D295" r:id="rId874"/>
    <hyperlink ref="I295" r:id="rId875" display="http://www.boxofficemojo.com/schedule/?view=bydate&amp;release=theatrical&amp;date=2014-11-28&amp;p=.htm"/>
    <hyperlink ref="C296" r:id="rId876"/>
    <hyperlink ref="D296" r:id="rId877"/>
    <hyperlink ref="I296" r:id="rId878" display="http://www.boxofficemojo.com/schedule/?view=bydate&amp;release=theatrical&amp;date=2014-08-29&amp;p=.htm"/>
    <hyperlink ref="C297" r:id="rId879"/>
    <hyperlink ref="D297" r:id="rId880"/>
    <hyperlink ref="I297" r:id="rId881" display="http://www.boxofficemojo.com/schedule/?view=bydate&amp;release=theatrical&amp;date=2014-11-07&amp;p=.htm"/>
    <hyperlink ref="C298" r:id="rId882"/>
    <hyperlink ref="D298" r:id="rId883"/>
    <hyperlink ref="I298" r:id="rId884" display="http://www.boxofficemojo.com/schedule/?view=bydate&amp;release=theatrical&amp;date=2014-08-29&amp;p=.htm"/>
    <hyperlink ref="C299" r:id="rId885"/>
    <hyperlink ref="D299" r:id="rId886"/>
    <hyperlink ref="I299" r:id="rId887" display="http://www.boxofficemojo.com/schedule/?view=bydate&amp;release=theatrical&amp;date=2014-09-17&amp;p=.htm"/>
    <hyperlink ref="C300" r:id="rId888"/>
    <hyperlink ref="D300" r:id="rId889"/>
    <hyperlink ref="I300" r:id="rId890" display="http://www.boxofficemojo.com/schedule/?view=bydate&amp;release=theatrical&amp;date=2014-04-04&amp;p=.htm"/>
    <hyperlink ref="C301" r:id="rId891"/>
    <hyperlink ref="D301" r:id="rId892"/>
    <hyperlink ref="I301" r:id="rId893" display="http://www.boxofficemojo.com/schedule/?view=bydate&amp;release=theatrical&amp;date=2014-04-04&amp;p=.htm"/>
    <hyperlink ref="C302" r:id="rId894"/>
    <hyperlink ref="D302" r:id="rId895"/>
    <hyperlink ref="I302" r:id="rId896" display="http://www.boxofficemojo.com/schedule/?view=bydate&amp;release=theatrical&amp;date=2014-05-30&amp;p=.htm"/>
    <hyperlink ref="C303" r:id="rId897"/>
    <hyperlink ref="D303" r:id="rId898"/>
    <hyperlink ref="I303" r:id="rId899" display="http://www.boxofficemojo.com/schedule/?view=bydate&amp;release=theatrical&amp;date=2014-12-24&amp;p=.htm"/>
    <hyperlink ref="C304" r:id="rId900"/>
    <hyperlink ref="D304" r:id="rId901"/>
    <hyperlink ref="I304" r:id="rId902" display="http://www.boxofficemojo.com/schedule/?view=bydate&amp;release=theatrical&amp;date=2014-05-23&amp;p=.htm"/>
    <hyperlink ref="C305" r:id="rId903"/>
    <hyperlink ref="D305" r:id="rId904"/>
    <hyperlink ref="I305" r:id="rId905" display="http://www.boxofficemojo.com/schedule/?view=bydate&amp;release=theatrical&amp;date=2014-08-29&amp;p=.htm"/>
    <hyperlink ref="C306" r:id="rId906"/>
    <hyperlink ref="D306" r:id="rId907"/>
    <hyperlink ref="I306" r:id="rId908" display="http://www.boxofficemojo.com/schedule/?view=bydate&amp;release=theatrical&amp;date=2014-02-28&amp;p=.htm"/>
    <hyperlink ref="C307" r:id="rId909"/>
    <hyperlink ref="D307" r:id="rId910"/>
    <hyperlink ref="I307" r:id="rId911" display="http://www.boxofficemojo.com/schedule/?view=bydate&amp;release=theatrical&amp;date=2014-04-25&amp;p=.htm"/>
    <hyperlink ref="C308" r:id="rId912"/>
    <hyperlink ref="D308" r:id="rId913"/>
    <hyperlink ref="I308" r:id="rId914" display="http://www.boxofficemojo.com/schedule/?view=bydate&amp;release=theatrical&amp;date=2014-09-12&amp;p=.htm"/>
    <hyperlink ref="C309" r:id="rId915"/>
    <hyperlink ref="D309" r:id="rId916"/>
    <hyperlink ref="I309" r:id="rId917" display="http://www.boxofficemojo.com/schedule/?view=bydate&amp;release=theatrical&amp;date=2014-09-19&amp;p=.htm"/>
    <hyperlink ref="C310" r:id="rId918"/>
    <hyperlink ref="D310" r:id="rId919"/>
    <hyperlink ref="I310" r:id="rId920" display="http://www.boxofficemojo.com/schedule/?view=bydate&amp;release=theatrical&amp;date=2014-12-05&amp;p=.htm"/>
    <hyperlink ref="C311" r:id="rId921"/>
    <hyperlink ref="D311" r:id="rId922"/>
    <hyperlink ref="I311" r:id="rId923" display="http://www.boxofficemojo.com/schedule/?view=bydate&amp;release=theatrical&amp;date=2014-07-18&amp;p=.htm"/>
    <hyperlink ref="C312" r:id="rId924"/>
    <hyperlink ref="D312" r:id="rId925"/>
    <hyperlink ref="I312" r:id="rId926" display="http://www.boxofficemojo.com/schedule/?view=bydate&amp;release=theatrical&amp;date=2014-10-03&amp;p=.htm"/>
    <hyperlink ref="C313" r:id="rId927"/>
    <hyperlink ref="D313" r:id="rId928"/>
    <hyperlink ref="I313" r:id="rId929" display="http://www.boxofficemojo.com/schedule/?view=bydate&amp;release=theatrical&amp;date=2014-11-05&amp;p=.htm"/>
    <hyperlink ref="C314" r:id="rId930"/>
    <hyperlink ref="D314" r:id="rId931"/>
    <hyperlink ref="I314" r:id="rId932" display="http://www.boxofficemojo.com/schedule/?view=bydate&amp;release=theatrical&amp;date=2014-09-19&amp;p=.htm"/>
    <hyperlink ref="C315" r:id="rId933"/>
    <hyperlink ref="D315" r:id="rId934"/>
    <hyperlink ref="I315" r:id="rId935" display="http://www.boxofficemojo.com/schedule/?view=bydate&amp;release=theatrical&amp;date=2014-04-04&amp;p=.htm"/>
    <hyperlink ref="C316" r:id="rId936"/>
    <hyperlink ref="D316" r:id="rId937"/>
    <hyperlink ref="I316" r:id="rId938" display="http://www.boxofficemojo.com/schedule/?view=bydate&amp;release=theatrical&amp;date=2014-08-08&amp;p=.htm"/>
    <hyperlink ref="C317" r:id="rId939"/>
    <hyperlink ref="D317" r:id="rId940"/>
    <hyperlink ref="I317" r:id="rId941" display="http://www.boxofficemojo.com/schedule/?view=bydate&amp;release=theatrical&amp;date=2014-09-19&amp;p=.htm"/>
    <hyperlink ref="C318" r:id="rId942"/>
    <hyperlink ref="D318" r:id="rId943"/>
    <hyperlink ref="I318" r:id="rId944" display="http://www.boxofficemojo.com/schedule/?view=bydate&amp;release=theatrical&amp;date=2014-10-15&amp;p=.htm"/>
    <hyperlink ref="C319" r:id="rId945"/>
    <hyperlink ref="D319" r:id="rId946"/>
    <hyperlink ref="I319" r:id="rId947" display="http://www.boxofficemojo.com/schedule/?view=bydate&amp;release=theatrical&amp;date=2014-11-26&amp;p=.htm"/>
    <hyperlink ref="C320" r:id="rId948"/>
    <hyperlink ref="D320" r:id="rId949"/>
    <hyperlink ref="I320" r:id="rId950" display="http://www.boxofficemojo.com/schedule/?view=bydate&amp;release=theatrical&amp;date=2014-01-10&amp;p=.htm"/>
    <hyperlink ref="C321" r:id="rId951"/>
    <hyperlink ref="D321" r:id="rId952"/>
    <hyperlink ref="I321" r:id="rId953" display="http://www.boxofficemojo.com/schedule/?view=bydate&amp;release=theatrical&amp;date=2014-06-06&amp;p=.htm"/>
    <hyperlink ref="C322" r:id="rId954"/>
    <hyperlink ref="D322" r:id="rId955"/>
    <hyperlink ref="I322" r:id="rId956" display="http://www.boxofficemojo.com/schedule/?view=bydate&amp;release=theatrical&amp;date=2014-06-27&amp;p=.htm"/>
    <hyperlink ref="C323" r:id="rId957"/>
    <hyperlink ref="D323" r:id="rId958"/>
    <hyperlink ref="I323" r:id="rId959" display="http://www.boxofficemojo.com/schedule/?view=bydate&amp;release=theatrical&amp;date=2014-03-21&amp;p=.htm"/>
    <hyperlink ref="C324" r:id="rId960"/>
    <hyperlink ref="D324" r:id="rId961"/>
    <hyperlink ref="I324" r:id="rId962" display="http://www.boxofficemojo.com/schedule/?view=bydate&amp;release=theatrical&amp;date=2014-05-29&amp;p=.htm"/>
    <hyperlink ref="C325" r:id="rId963"/>
    <hyperlink ref="D325" r:id="rId964"/>
    <hyperlink ref="I325" r:id="rId965" display="http://www.boxofficemojo.com/schedule/?view=bydate&amp;release=theatrical&amp;date=2014-04-04&amp;p=.htm"/>
    <hyperlink ref="C326" r:id="rId966"/>
    <hyperlink ref="D326" r:id="rId967"/>
    <hyperlink ref="I326" r:id="rId968" display="http://www.boxofficemojo.com/schedule/?view=bydate&amp;release=theatrical&amp;date=2014-03-07&amp;p=.htm"/>
    <hyperlink ref="C327" r:id="rId969"/>
    <hyperlink ref="D327" r:id="rId970"/>
    <hyperlink ref="I327" r:id="rId971" display="http://www.boxofficemojo.com/schedule/?view=bydate&amp;release=theatrical&amp;date=2014-05-09&amp;p=.htm"/>
    <hyperlink ref="C328" r:id="rId972"/>
    <hyperlink ref="D328" r:id="rId973"/>
    <hyperlink ref="I328" r:id="rId974" display="http://www.boxofficemojo.com/schedule/?view=bydate&amp;release=theatrical&amp;date=2014-10-17&amp;p=.htm"/>
    <hyperlink ref="C329" r:id="rId975"/>
    <hyperlink ref="D329" r:id="rId976"/>
    <hyperlink ref="I329" r:id="rId977" display="http://www.boxofficemojo.com/schedule/?view=bydate&amp;release=theatrical&amp;date=2014-06-20&amp;p=.htm"/>
    <hyperlink ref="C330" r:id="rId978"/>
    <hyperlink ref="D330" r:id="rId979"/>
    <hyperlink ref="I330" r:id="rId980" display="http://www.boxofficemojo.com/schedule/?view=bydate&amp;release=theatrical&amp;date=2014-06-20&amp;p=.htm"/>
    <hyperlink ref="C331" r:id="rId981"/>
    <hyperlink ref="D331" r:id="rId982"/>
    <hyperlink ref="I331" r:id="rId983" display="http://www.boxofficemojo.com/schedule/?view=bydate&amp;release=theatrical&amp;date=2014-05-30&amp;p=.htm"/>
    <hyperlink ref="C332" r:id="rId984"/>
    <hyperlink ref="D332" r:id="rId985"/>
    <hyperlink ref="I332" r:id="rId986" display="http://www.boxofficemojo.com/schedule/?view=bydate&amp;release=theatrical&amp;date=2014-03-21&amp;p=.htm"/>
    <hyperlink ref="C333" r:id="rId987"/>
    <hyperlink ref="D333" r:id="rId988"/>
    <hyperlink ref="I333" r:id="rId989" display="http://www.boxofficemojo.com/schedule/?view=bydate&amp;release=theatrical&amp;date=2014-01-10&amp;p=.htm"/>
    <hyperlink ref="C334" r:id="rId990"/>
    <hyperlink ref="D334" r:id="rId991"/>
    <hyperlink ref="I334" r:id="rId992" display="http://www.boxofficemojo.com/schedule/?view=bydate&amp;release=theatrical&amp;date=2014-10-31&amp;p=.htm"/>
    <hyperlink ref="C335" r:id="rId993"/>
    <hyperlink ref="D335" r:id="rId994"/>
    <hyperlink ref="I335" r:id="rId995" display="http://www.boxofficemojo.com/schedule/?view=bydate&amp;release=theatrical&amp;date=2014-02-05&amp;p=.htm"/>
    <hyperlink ref="C336" r:id="rId996"/>
    <hyperlink ref="D336" r:id="rId997"/>
    <hyperlink ref="I336" r:id="rId998" display="http://www.boxofficemojo.com/schedule/?view=bydate&amp;release=theatrical&amp;date=2014-04-18&amp;p=.htm"/>
    <hyperlink ref="C337" r:id="rId999"/>
    <hyperlink ref="D337" r:id="rId1000"/>
    <hyperlink ref="I337" r:id="rId1001" display="http://www.boxofficemojo.com/schedule/?view=bydate&amp;release=theatrical&amp;date=2014-05-09&amp;p=.htm"/>
    <hyperlink ref="C338" r:id="rId1002"/>
    <hyperlink ref="D338" r:id="rId1003"/>
    <hyperlink ref="I338" r:id="rId1004" display="http://www.boxofficemojo.com/schedule/?view=bydate&amp;release=theatrical&amp;date=2014-10-01&amp;p=.htm"/>
    <hyperlink ref="C339" r:id="rId1005"/>
    <hyperlink ref="D339" r:id="rId1006"/>
    <hyperlink ref="I339" r:id="rId1007" display="http://www.boxofficemojo.com/schedule/?view=bydate&amp;release=theatrical&amp;date=2014-09-19&amp;p=.htm"/>
    <hyperlink ref="C340" r:id="rId1008"/>
    <hyperlink ref="D340" r:id="rId1009"/>
    <hyperlink ref="I340" r:id="rId1010" display="http://www.boxofficemojo.com/schedule/?view=bydate&amp;release=theatrical&amp;date=2014-02-07&amp;p=.htm"/>
    <hyperlink ref="C341" r:id="rId1011"/>
    <hyperlink ref="D341" r:id="rId1012"/>
    <hyperlink ref="I341" r:id="rId1013" display="http://www.boxofficemojo.com/schedule/?view=bydate&amp;release=theatrical&amp;date=2014-06-06&amp;p=.htm"/>
    <hyperlink ref="C342" r:id="rId1014"/>
    <hyperlink ref="D342" r:id="rId1015"/>
    <hyperlink ref="I342" r:id="rId1016" display="http://www.boxofficemojo.com/schedule/?view=bydate&amp;release=theatrical&amp;date=2014-04-04&amp;p=.htm"/>
    <hyperlink ref="C343" r:id="rId1017"/>
    <hyperlink ref="D343" r:id="rId1018"/>
    <hyperlink ref="I343" r:id="rId1019" display="http://www.boxofficemojo.com/schedule/?view=bydate&amp;release=theatrical&amp;date=2014-04-11&amp;p=.htm"/>
    <hyperlink ref="C344" r:id="rId1020"/>
    <hyperlink ref="D344" r:id="rId1021"/>
    <hyperlink ref="I344" r:id="rId1022" display="http://www.boxofficemojo.com/schedule/?view=bydate&amp;release=theatrical&amp;date=2014-06-13&amp;p=.htm"/>
    <hyperlink ref="C345" r:id="rId1023"/>
    <hyperlink ref="D345" r:id="rId1024"/>
    <hyperlink ref="I345" r:id="rId1025" display="http://www.boxofficemojo.com/schedule/?view=bydate&amp;release=theatrical&amp;date=2014-04-18&amp;p=.htm"/>
    <hyperlink ref="C346" r:id="rId1026"/>
    <hyperlink ref="D346" r:id="rId1027"/>
    <hyperlink ref="I346" r:id="rId1028" display="http://www.boxofficemojo.com/schedule/?view=bydate&amp;release=theatrical&amp;date=2014-02-07&amp;p=.htm"/>
    <hyperlink ref="C347" r:id="rId1029"/>
    <hyperlink ref="D347" r:id="rId1030"/>
    <hyperlink ref="I347" r:id="rId1031" display="http://www.boxofficemojo.com/schedule/?view=bydate&amp;release=theatrical&amp;date=2014-05-23&amp;p=.htm"/>
    <hyperlink ref="C348" r:id="rId1032"/>
    <hyperlink ref="D348" r:id="rId1033"/>
    <hyperlink ref="I348" r:id="rId1034" display="http://www.boxofficemojo.com/schedule/?view=bydate&amp;release=theatrical&amp;date=2014-03-28&amp;p=.htm"/>
    <hyperlink ref="C349" r:id="rId1035"/>
    <hyperlink ref="D349" r:id="rId1036"/>
    <hyperlink ref="I349" r:id="rId1037" display="http://www.boxofficemojo.com/schedule/?view=bydate&amp;release=theatrical&amp;date=2014-08-29&amp;p=.htm"/>
    <hyperlink ref="C350" r:id="rId1038"/>
    <hyperlink ref="D350" r:id="rId1039"/>
    <hyperlink ref="I350" r:id="rId1040" display="http://www.boxofficemojo.com/schedule/?view=bydate&amp;release=theatrical&amp;date=2014-07-25&amp;p=.htm"/>
    <hyperlink ref="C351" r:id="rId1041"/>
    <hyperlink ref="D351" r:id="rId1042"/>
    <hyperlink ref="I351" r:id="rId1043" display="http://www.boxofficemojo.com/schedule/?view=bydate&amp;release=theatrical&amp;date=2014-04-11&amp;p=.htm"/>
    <hyperlink ref="C352" r:id="rId1044"/>
    <hyperlink ref="D352" r:id="rId1045"/>
    <hyperlink ref="I352" r:id="rId1046" display="http://www.boxofficemojo.com/schedule/?view=bydate&amp;release=theatrical&amp;date=2014-01-10&amp;p=.htm"/>
    <hyperlink ref="C353" r:id="rId1047"/>
    <hyperlink ref="D353" r:id="rId1048"/>
    <hyperlink ref="I353" r:id="rId1049" display="http://www.boxofficemojo.com/schedule/?view=bydate&amp;release=theatrical&amp;date=2014-08-29&amp;p=.htm"/>
    <hyperlink ref="C354" r:id="rId1050"/>
    <hyperlink ref="D354" r:id="rId1051"/>
    <hyperlink ref="I354" r:id="rId1052" display="http://www.boxofficemojo.com/schedule/?view=bydate&amp;release=theatrical&amp;date=2014-09-26&amp;p=.htm"/>
    <hyperlink ref="C355" r:id="rId1053"/>
    <hyperlink ref="D355" r:id="rId1054"/>
    <hyperlink ref="I355" r:id="rId1055" display="http://www.boxofficemojo.com/schedule/?view=bydate&amp;release=theatrical&amp;date=2014-04-18&amp;p=.htm"/>
    <hyperlink ref="C356" r:id="rId1056"/>
    <hyperlink ref="D356" r:id="rId1057"/>
    <hyperlink ref="I356" r:id="rId1058" display="http://www.boxofficemojo.com/schedule/?view=bydate&amp;release=theatrical&amp;date=2014-01-21&amp;p=.htm"/>
    <hyperlink ref="C357" r:id="rId1059"/>
    <hyperlink ref="D357" r:id="rId1060"/>
    <hyperlink ref="I357" r:id="rId1061" display="http://www.boxofficemojo.com/schedule/?view=bydate&amp;release=theatrical&amp;date=2014-04-04&amp;p=.htm"/>
    <hyperlink ref="C358" r:id="rId1062"/>
    <hyperlink ref="D358" r:id="rId1063"/>
    <hyperlink ref="I358" r:id="rId1064" display="http://www.boxofficemojo.com/schedule/?view=bydate&amp;release=theatrical&amp;date=2014-08-01&amp;p=.htm"/>
    <hyperlink ref="C359" r:id="rId1065"/>
    <hyperlink ref="D359" r:id="rId1066"/>
    <hyperlink ref="I359" r:id="rId1067" display="http://www.boxofficemojo.com/schedule/?view=bydate&amp;release=theatrical&amp;date=2014-12-03&amp;p=.htm"/>
    <hyperlink ref="C360" r:id="rId1068"/>
    <hyperlink ref="D360" r:id="rId1069"/>
    <hyperlink ref="I360" r:id="rId1070" display="http://www.boxofficemojo.com/schedule/?view=bydate&amp;release=theatrical&amp;date=2014-10-17&amp;p=.htm"/>
    <hyperlink ref="C361" r:id="rId1071"/>
    <hyperlink ref="D361" r:id="rId1072"/>
    <hyperlink ref="I361" r:id="rId1073" display="http://www.boxofficemojo.com/schedule/?view=bydate&amp;release=theatrical&amp;date=2014-10-03&amp;p=.htm"/>
    <hyperlink ref="C362" r:id="rId1074"/>
    <hyperlink ref="D362" r:id="rId1075"/>
    <hyperlink ref="I362" r:id="rId1076" display="http://www.boxofficemojo.com/schedule/?view=bydate&amp;release=theatrical&amp;date=2014-06-23&amp;p=.htm"/>
    <hyperlink ref="C363" r:id="rId1077"/>
    <hyperlink ref="D363" r:id="rId1078"/>
    <hyperlink ref="I363" r:id="rId1079" display="http://www.boxofficemojo.com/schedule/?view=bydate&amp;release=theatrical&amp;date=2014-08-01&amp;p=.htm"/>
    <hyperlink ref="C364" r:id="rId1080"/>
    <hyperlink ref="D364" r:id="rId1081"/>
    <hyperlink ref="I364" r:id="rId1082" display="http://www.boxofficemojo.com/schedule/?view=bydate&amp;release=theatrical&amp;date=2014-10-10&amp;p=.htm"/>
    <hyperlink ref="C365" r:id="rId1083"/>
    <hyperlink ref="D365" r:id="rId1084"/>
    <hyperlink ref="I365" r:id="rId1085" display="http://www.boxofficemojo.com/schedule/?view=bydate&amp;release=theatrical&amp;date=2014-09-10&amp;p=.htm"/>
    <hyperlink ref="C366" r:id="rId1086"/>
    <hyperlink ref="D366" r:id="rId1087"/>
    <hyperlink ref="I366" r:id="rId1088" display="http://www.boxofficemojo.com/schedule/?view=bydate&amp;release=theatrical&amp;date=2014-01-18&amp;p=.htm"/>
    <hyperlink ref="C367" r:id="rId1089"/>
    <hyperlink ref="D367" r:id="rId1090"/>
    <hyperlink ref="I367" r:id="rId1091" display="http://www.boxofficemojo.com/schedule/?view=bydate&amp;release=theatrical&amp;date=2014-06-13&amp;p=.htm"/>
    <hyperlink ref="C368" r:id="rId1092"/>
    <hyperlink ref="D368" r:id="rId1093"/>
    <hyperlink ref="I368" r:id="rId1094" display="http://www.boxofficemojo.com/schedule/?view=bydate&amp;release=theatrical&amp;date=2014-12-12&amp;p=.htm"/>
    <hyperlink ref="C369" r:id="rId1095"/>
    <hyperlink ref="D369" r:id="rId1096"/>
    <hyperlink ref="I369" r:id="rId1097" display="http://www.boxofficemojo.com/schedule/?view=bydate&amp;release=theatrical&amp;date=2014-10-17&amp;p=.htm"/>
    <hyperlink ref="C370" r:id="rId1098"/>
    <hyperlink ref="D370" r:id="rId1099"/>
    <hyperlink ref="I370" r:id="rId1100" display="http://www.boxofficemojo.com/schedule/?view=bydate&amp;release=theatrical&amp;date=2014-09-05&amp;p=.htm"/>
    <hyperlink ref="C371" r:id="rId1101"/>
    <hyperlink ref="D371" r:id="rId1102"/>
    <hyperlink ref="I371" r:id="rId1103" display="http://www.boxofficemojo.com/schedule/?view=bydate&amp;release=theatrical&amp;date=2014-06-20&amp;p=.htm"/>
    <hyperlink ref="C372" r:id="rId1104"/>
    <hyperlink ref="D372" r:id="rId1105"/>
    <hyperlink ref="I372" r:id="rId1106" display="http://www.boxofficemojo.com/schedule/?view=bydate&amp;release=theatrical&amp;date=2014-11-07&amp;p=.htm"/>
    <hyperlink ref="C373" r:id="rId1107"/>
    <hyperlink ref="D373" r:id="rId1108"/>
    <hyperlink ref="I373" r:id="rId1109" display="http://www.boxofficemojo.com/schedule/?view=bydate&amp;release=theatrical&amp;date=2014-05-30&amp;p=.htm"/>
    <hyperlink ref="C374" r:id="rId1110"/>
    <hyperlink ref="D374" r:id="rId1111"/>
    <hyperlink ref="I374" r:id="rId1112" display="http://www.boxofficemojo.com/schedule/?view=bydate&amp;release=theatrical&amp;date=2014-10-10&amp;p=.htm"/>
    <hyperlink ref="C375" r:id="rId1113"/>
    <hyperlink ref="D375" r:id="rId1114"/>
    <hyperlink ref="I375" r:id="rId1115" display="http://www.boxofficemojo.com/schedule/?view=bydate&amp;release=theatrical&amp;date=2014-03-07&amp;p=.htm"/>
    <hyperlink ref="C376" r:id="rId1116"/>
    <hyperlink ref="D376" r:id="rId1117"/>
    <hyperlink ref="I376" r:id="rId1118" display="http://www.boxofficemojo.com/schedule/?view=bydate&amp;release=theatrical&amp;date=2014-01-03&amp;p=.htm"/>
    <hyperlink ref="C377" r:id="rId1119"/>
    <hyperlink ref="D377" r:id="rId1120"/>
    <hyperlink ref="I377" r:id="rId1121" display="http://www.boxofficemojo.com/schedule/?view=bydate&amp;release=theatrical&amp;date=2014-02-19&amp;p=.htm"/>
    <hyperlink ref="C378" r:id="rId1122"/>
    <hyperlink ref="D378" r:id="rId1123"/>
    <hyperlink ref="I378" r:id="rId1124" display="http://www.boxofficemojo.com/schedule/?view=bydate&amp;release=theatrical&amp;date=2014-10-17&amp;p=.htm"/>
    <hyperlink ref="C379" r:id="rId1125"/>
    <hyperlink ref="D379" r:id="rId1126"/>
    <hyperlink ref="I379" r:id="rId1127" display="http://www.boxofficemojo.com/schedule/?view=bydate&amp;release=theatrical&amp;date=2014-04-11&amp;p=.htm"/>
    <hyperlink ref="C380" r:id="rId1128"/>
    <hyperlink ref="D380" r:id="rId1129"/>
    <hyperlink ref="I380" r:id="rId1130" display="http://www.boxofficemojo.com/schedule/?view=bydate&amp;release=theatrical&amp;date=2014-01-15&amp;p=.htm"/>
    <hyperlink ref="C381" r:id="rId1131"/>
    <hyperlink ref="D381" r:id="rId1132"/>
    <hyperlink ref="I381" r:id="rId1133" display="http://www.boxofficemojo.com/schedule/?view=bydate&amp;release=theatrical&amp;date=2014-02-14&amp;p=.htm"/>
    <hyperlink ref="C382" r:id="rId1134"/>
    <hyperlink ref="D382" r:id="rId1135"/>
    <hyperlink ref="I382" r:id="rId1136" display="http://www.boxofficemojo.com/schedule/?view=bydate&amp;release=theatrical&amp;date=2014-09-19&amp;p=.htm"/>
    <hyperlink ref="C383" r:id="rId1137"/>
    <hyperlink ref="D383" r:id="rId1138"/>
    <hyperlink ref="I383" r:id="rId1139" display="http://www.boxofficemojo.com/schedule/?view=bydate&amp;release=theatrical&amp;date=2014-03-28&amp;p=.htm"/>
    <hyperlink ref="C384" r:id="rId1140"/>
    <hyperlink ref="D384" r:id="rId1141"/>
    <hyperlink ref="I384" r:id="rId1142" display="http://www.boxofficemojo.com/schedule/?view=bydate&amp;release=theatrical&amp;date=2014-10-24&amp;p=.htm"/>
    <hyperlink ref="C385" r:id="rId1143"/>
    <hyperlink ref="D385" r:id="rId1144"/>
    <hyperlink ref="I385" r:id="rId1145" display="http://www.boxofficemojo.com/schedule/?view=bydate&amp;release=theatrical&amp;date=2014-08-15&amp;p=.htm"/>
    <hyperlink ref="C386" r:id="rId1146"/>
    <hyperlink ref="D386" r:id="rId1147"/>
    <hyperlink ref="I386" r:id="rId1148" display="http://www.boxofficemojo.com/schedule/?view=bydate&amp;release=theatrical&amp;date=2014-09-26&amp;p=.htm"/>
    <hyperlink ref="C387" r:id="rId1149"/>
    <hyperlink ref="D387" r:id="rId1150"/>
    <hyperlink ref="I387" r:id="rId1151" display="http://www.boxofficemojo.com/schedule/?view=bydate&amp;release=theatrical&amp;date=2014-01-24&amp;p=.htm"/>
    <hyperlink ref="C388" r:id="rId1152"/>
    <hyperlink ref="D388" r:id="rId1153"/>
    <hyperlink ref="I388" r:id="rId1154" display="http://www.boxofficemojo.com/schedule/?view=bydate&amp;release=theatrical&amp;date=2014-04-04&amp;p=.htm"/>
    <hyperlink ref="C389" r:id="rId1155"/>
    <hyperlink ref="D389" r:id="rId1156"/>
    <hyperlink ref="I389" r:id="rId1157" display="http://www.boxofficemojo.com/schedule/?view=bydate&amp;release=theatrical&amp;date=2014-01-31&amp;p=.htm"/>
    <hyperlink ref="C390" r:id="rId1158"/>
    <hyperlink ref="D390" r:id="rId1159"/>
    <hyperlink ref="I390" r:id="rId1160" display="http://www.boxofficemojo.com/schedule/?view=bydate&amp;release=theatrical&amp;date=2014-05-02&amp;p=.htm"/>
    <hyperlink ref="C391" r:id="rId1161"/>
    <hyperlink ref="D391" r:id="rId1162"/>
    <hyperlink ref="I391" r:id="rId1163" display="http://www.boxofficemojo.com/schedule/?view=bydate&amp;release=theatrical&amp;date=2014-08-15&amp;p=.htm"/>
    <hyperlink ref="C392" r:id="rId1164"/>
    <hyperlink ref="D392" r:id="rId1165"/>
    <hyperlink ref="I392" r:id="rId1166" display="http://www.boxofficemojo.com/schedule/?view=bydate&amp;release=theatrical&amp;date=2014-06-27&amp;p=.htm"/>
    <hyperlink ref="C393" r:id="rId1167"/>
    <hyperlink ref="D393" r:id="rId1168"/>
    <hyperlink ref="I393" r:id="rId1169" display="http://www.boxofficemojo.com/schedule/?view=bydate&amp;release=theatrical&amp;date=2014-03-21&amp;p=.htm"/>
    <hyperlink ref="C394" r:id="rId1170"/>
    <hyperlink ref="D394" r:id="rId1171"/>
    <hyperlink ref="I394" r:id="rId1172" display="http://www.boxofficemojo.com/schedule/?view=bydate&amp;release=theatrical&amp;date=2014-03-14&amp;p=.htm"/>
    <hyperlink ref="C395" r:id="rId1173"/>
    <hyperlink ref="D395" r:id="rId1174"/>
    <hyperlink ref="I395" r:id="rId1175" display="http://www.boxofficemojo.com/schedule/?view=bydate&amp;release=theatrical&amp;date=2014-03-28&amp;p=.htm"/>
    <hyperlink ref="C396" r:id="rId1176"/>
    <hyperlink ref="D396" r:id="rId1177"/>
    <hyperlink ref="I396" r:id="rId1178" display="http://www.boxofficemojo.com/schedule/?view=bydate&amp;release=theatrical&amp;date=2014-07-18&amp;p=.htm"/>
    <hyperlink ref="C397" r:id="rId1179"/>
    <hyperlink ref="D397" r:id="rId1180"/>
    <hyperlink ref="I397" r:id="rId1181" display="http://www.boxofficemojo.com/schedule/?view=bydate&amp;release=theatrical&amp;date=2014-02-14&amp;p=.htm"/>
    <hyperlink ref="C398" r:id="rId1182"/>
    <hyperlink ref="D398" r:id="rId1183"/>
    <hyperlink ref="I398" r:id="rId1184" display="http://www.boxofficemojo.com/schedule/?view=bydate&amp;release=theatrical&amp;date=2014-07-23&amp;p=.htm"/>
    <hyperlink ref="C399" r:id="rId1185"/>
    <hyperlink ref="D399" r:id="rId1186"/>
    <hyperlink ref="I399" r:id="rId1187" display="http://www.boxofficemojo.com/schedule/?view=bydate&amp;release=theatrical&amp;date=2014-11-07&amp;p=.htm"/>
    <hyperlink ref="C400" r:id="rId1188"/>
    <hyperlink ref="D400" r:id="rId1189"/>
    <hyperlink ref="I400" r:id="rId1190" display="http://www.boxofficemojo.com/schedule/?view=bydate&amp;release=theatrical&amp;date=2014-09-12&amp;p=.htm"/>
    <hyperlink ref="C401" r:id="rId1191"/>
    <hyperlink ref="D401" r:id="rId1192"/>
    <hyperlink ref="I401" r:id="rId1193" display="http://www.boxofficemojo.com/schedule/?view=bydate&amp;release=theatrical&amp;date=2014-04-25&amp;p=.htm"/>
    <hyperlink ref="C402" r:id="rId1194"/>
    <hyperlink ref="D402" r:id="rId1195"/>
    <hyperlink ref="I402" r:id="rId1196" display="http://www.boxofficemojo.com/schedule/?view=bydate&amp;release=theatrical&amp;date=2014-08-29&amp;p=.htm"/>
    <hyperlink ref="C403" r:id="rId1197"/>
    <hyperlink ref="D403" r:id="rId1198"/>
    <hyperlink ref="I403" r:id="rId1199" display="http://www.boxofficemojo.com/schedule/?view=bydate&amp;release=theatrical&amp;date=2014-08-27&amp;p=.htm"/>
    <hyperlink ref="C404" r:id="rId1200"/>
    <hyperlink ref="D404" r:id="rId1201"/>
    <hyperlink ref="I404" r:id="rId1202" display="http://www.boxofficemojo.com/schedule/?view=bydate&amp;release=theatrical&amp;date=2014-03-14&amp;p=.htm"/>
    <hyperlink ref="C405" r:id="rId1203"/>
    <hyperlink ref="D405" r:id="rId1204"/>
    <hyperlink ref="I405" r:id="rId1205" display="http://www.boxofficemojo.com/schedule/?view=bydate&amp;release=theatrical&amp;date=2014-08-15&amp;p=.htm"/>
    <hyperlink ref="C406" r:id="rId1206"/>
    <hyperlink ref="D406" r:id="rId1207"/>
    <hyperlink ref="I406" r:id="rId1208" display="http://www.boxofficemojo.com/schedule/?view=bydate&amp;release=theatrical&amp;date=2014-05-23&amp;p=.htm"/>
    <hyperlink ref="C407" r:id="rId1209"/>
    <hyperlink ref="D407" r:id="rId1210"/>
    <hyperlink ref="I407" r:id="rId1211" display="http://www.boxofficemojo.com/schedule/?view=bydate&amp;release=theatrical&amp;date=2014-06-13&amp;p=.htm"/>
    <hyperlink ref="C408" r:id="rId1212"/>
    <hyperlink ref="D408" r:id="rId1213"/>
    <hyperlink ref="I408" r:id="rId1214" display="http://www.boxofficemojo.com/schedule/?view=bydate&amp;release=theatrical&amp;date=2014-06-20&amp;p=.htm"/>
    <hyperlink ref="C409" r:id="rId1215"/>
    <hyperlink ref="D409" r:id="rId1216"/>
    <hyperlink ref="I409" r:id="rId1217" display="http://www.boxofficemojo.com/schedule/?view=bydate&amp;release=theatrical&amp;date=2014-04-25&amp;p=.htm"/>
    <hyperlink ref="C410" r:id="rId1218"/>
    <hyperlink ref="D410" r:id="rId1219"/>
    <hyperlink ref="I410" r:id="rId1220" display="http://www.boxofficemojo.com/schedule/?view=bydate&amp;release=theatrical&amp;date=2014-06-27&amp;p=.htm"/>
    <hyperlink ref="C411" r:id="rId1221"/>
    <hyperlink ref="D411" r:id="rId1222"/>
    <hyperlink ref="I411" r:id="rId1223" display="http://www.boxofficemojo.com/schedule/?view=bydate&amp;release=theatrical&amp;date=2014-04-23&amp;p=.htm"/>
    <hyperlink ref="C412" r:id="rId1224"/>
    <hyperlink ref="D412" r:id="rId1225"/>
    <hyperlink ref="I412" r:id="rId1226" display="http://www.boxofficemojo.com/schedule/?view=bydate&amp;release=theatrical&amp;date=2014-09-05&amp;p=.htm"/>
    <hyperlink ref="C413" r:id="rId1227"/>
    <hyperlink ref="D413" r:id="rId1228"/>
    <hyperlink ref="I413" r:id="rId1229" display="http://www.boxofficemojo.com/schedule/?view=bydate&amp;release=theatrical&amp;date=2014-09-05&amp;p=.htm"/>
    <hyperlink ref="C414" r:id="rId1230"/>
    <hyperlink ref="D414" r:id="rId1231"/>
    <hyperlink ref="I414" r:id="rId1232" display="http://www.boxofficemojo.com/schedule/?view=bydate&amp;release=theatrical&amp;date=2014-03-21&amp;p=.htm"/>
    <hyperlink ref="C415" r:id="rId1233"/>
    <hyperlink ref="D415" r:id="rId1234"/>
    <hyperlink ref="I415" r:id="rId1235" display="http://www.boxofficemojo.com/schedule/?view=bydate&amp;release=theatrical&amp;date=2014-05-02&amp;p=.htm"/>
    <hyperlink ref="C416" r:id="rId1236"/>
    <hyperlink ref="D416" r:id="rId1237"/>
    <hyperlink ref="I416" r:id="rId1238" display="http://www.boxofficemojo.com/schedule/?view=bydate&amp;release=theatrical&amp;date=2014-12-05&amp;p=.htm"/>
    <hyperlink ref="C417" r:id="rId1239"/>
    <hyperlink ref="D417" r:id="rId1240"/>
    <hyperlink ref="I417" r:id="rId1241" display="http://www.boxofficemojo.com/schedule/?view=bydate&amp;release=theatrical&amp;date=2014-09-12&amp;p=.htm"/>
    <hyperlink ref="C418" r:id="rId1242"/>
    <hyperlink ref="D418" r:id="rId1243"/>
    <hyperlink ref="I418" r:id="rId1244" display="http://www.boxofficemojo.com/schedule/?view=bydate&amp;release=theatrical&amp;date=2014-08-29&amp;p=.htm"/>
    <hyperlink ref="C419" r:id="rId1245"/>
    <hyperlink ref="D419" r:id="rId1246"/>
    <hyperlink ref="I419" r:id="rId1247" display="http://www.boxofficemojo.com/schedule/?view=bydate&amp;release=theatrical&amp;date=2014-10-17&amp;p=.htm"/>
    <hyperlink ref="C420" r:id="rId1248"/>
    <hyperlink ref="D420" r:id="rId1249"/>
    <hyperlink ref="I420" r:id="rId1250" display="http://www.boxofficemojo.com/schedule/?view=bydate&amp;release=theatrical&amp;date=2014-06-06&amp;p=.htm"/>
    <hyperlink ref="C421" r:id="rId1251"/>
    <hyperlink ref="D421" r:id="rId1252"/>
    <hyperlink ref="I421" r:id="rId1253" display="http://www.boxofficemojo.com/schedule/?view=bydate&amp;release=theatrical&amp;date=2014-01-10&amp;p=.htm"/>
    <hyperlink ref="C422" r:id="rId1254"/>
    <hyperlink ref="D422" r:id="rId1255"/>
    <hyperlink ref="I422" r:id="rId1256" display="http://www.boxofficemojo.com/schedule/?view=bydate&amp;release=theatrical&amp;date=2014-04-04&amp;p=.htm"/>
    <hyperlink ref="C423" r:id="rId1257"/>
    <hyperlink ref="D423" r:id="rId1258"/>
    <hyperlink ref="I423" r:id="rId1259" display="http://www.boxofficemojo.com/schedule/?view=bydate&amp;release=theatrical&amp;date=2014-02-28&amp;p=.htm"/>
    <hyperlink ref="C424" r:id="rId1260"/>
    <hyperlink ref="D424" r:id="rId1261"/>
    <hyperlink ref="I424" r:id="rId1262" display="http://www.boxofficemojo.com/schedule/?view=bydate&amp;release=theatrical&amp;date=2014-03-14&amp;p=.htm"/>
    <hyperlink ref="C425" r:id="rId1263"/>
    <hyperlink ref="D425" r:id="rId1264"/>
    <hyperlink ref="I425" r:id="rId1265" display="http://www.boxofficemojo.com/schedule/?view=bydate&amp;release=theatrical&amp;date=2014-01-10&amp;p=.htm"/>
    <hyperlink ref="C426" r:id="rId1266"/>
    <hyperlink ref="D426" r:id="rId1267"/>
    <hyperlink ref="I426" r:id="rId1268" display="http://www.boxofficemojo.com/schedule/?view=bydate&amp;release=theatrical&amp;date=2014-06-13&amp;p=.htm"/>
    <hyperlink ref="C427" r:id="rId1269"/>
    <hyperlink ref="D427" r:id="rId1270"/>
    <hyperlink ref="I427" r:id="rId1271" display="http://www.boxofficemojo.com/schedule/?view=bydate&amp;release=theatrical&amp;date=2014-08-27&amp;p=.htm"/>
    <hyperlink ref="C428" r:id="rId1272"/>
    <hyperlink ref="D428" r:id="rId1273"/>
    <hyperlink ref="I428" r:id="rId1274" display="http://www.boxofficemojo.com/schedule/?view=bydate&amp;release=theatrical&amp;date=2014-05-16&amp;p=.htm"/>
    <hyperlink ref="C429" r:id="rId1275"/>
    <hyperlink ref="D429" r:id="rId1276"/>
    <hyperlink ref="I429" r:id="rId1277" display="http://www.boxofficemojo.com/schedule/?view=bydate&amp;release=theatrical&amp;date=2014-10-24&amp;p=.htm"/>
    <hyperlink ref="C430" r:id="rId1278"/>
    <hyperlink ref="D430" r:id="rId1279"/>
    <hyperlink ref="I430" r:id="rId1280" display="http://www.boxofficemojo.com/schedule/?view=bydate&amp;release=theatrical&amp;date=2014-04-11&amp;p=.htm"/>
    <hyperlink ref="C431" r:id="rId1281"/>
    <hyperlink ref="D431" r:id="rId1282"/>
    <hyperlink ref="I431" r:id="rId1283" display="http://www.boxofficemojo.com/schedule/?view=bydate&amp;release=theatrical&amp;date=2014-10-24&amp;p=.htm"/>
    <hyperlink ref="C432" r:id="rId1284"/>
    <hyperlink ref="D432" r:id="rId1285"/>
    <hyperlink ref="I432" r:id="rId1286" display="http://www.boxofficemojo.com/schedule/?view=bydate&amp;release=theatrical&amp;date=2014-01-31&amp;p=.htm"/>
    <hyperlink ref="C433" r:id="rId1287"/>
    <hyperlink ref="D433" r:id="rId1288"/>
    <hyperlink ref="I433" r:id="rId1289" display="http://www.boxofficemojo.com/schedule/?view=bydate&amp;release=theatrical&amp;date=2014-06-06&amp;p=.htm"/>
    <hyperlink ref="C434" r:id="rId1290"/>
    <hyperlink ref="D434" r:id="rId1291"/>
    <hyperlink ref="I434" r:id="rId1292" display="http://www.boxofficemojo.com/schedule/?view=bydate&amp;release=theatrical&amp;date=2014-08-22&amp;p=.htm"/>
    <hyperlink ref="C435" r:id="rId1293"/>
    <hyperlink ref="D435" r:id="rId1294"/>
    <hyperlink ref="I435" r:id="rId1295" display="http://www.boxofficemojo.com/schedule/?view=bydate&amp;release=theatrical&amp;date=2014-03-19&amp;p=.htm"/>
    <hyperlink ref="C436" r:id="rId1296"/>
    <hyperlink ref="D436" r:id="rId1297"/>
    <hyperlink ref="I436" r:id="rId1298" display="http://www.boxofficemojo.com/schedule/?view=bydate&amp;release=theatrical&amp;date=2014-03-14&amp;p=.htm"/>
    <hyperlink ref="C437" r:id="rId1299"/>
    <hyperlink ref="D437" r:id="rId1300"/>
    <hyperlink ref="I437" r:id="rId1301" display="http://www.boxofficemojo.com/schedule/?view=bydate&amp;release=theatrical&amp;date=2014-05-16&amp;p=.htm"/>
    <hyperlink ref="C438" r:id="rId1302"/>
    <hyperlink ref="D438" r:id="rId1303"/>
    <hyperlink ref="I438" r:id="rId1304" display="http://www.boxofficemojo.com/schedule/?view=bydate&amp;release=theatrical&amp;date=2014-05-02&amp;p=.htm"/>
    <hyperlink ref="C439" r:id="rId1305"/>
    <hyperlink ref="D439" r:id="rId1306"/>
    <hyperlink ref="I439" r:id="rId1307" display="http://www.boxofficemojo.com/schedule/?view=bydate&amp;release=theatrical&amp;date=2014-03-14&amp;p=.htm"/>
    <hyperlink ref="C440" r:id="rId1308"/>
    <hyperlink ref="D440" r:id="rId1309"/>
    <hyperlink ref="I440" r:id="rId1310" display="http://www.boxofficemojo.com/schedule/?view=bydate&amp;release=theatrical&amp;date=2014-06-27&amp;p=.htm"/>
    <hyperlink ref="C441" r:id="rId1311"/>
    <hyperlink ref="D441" r:id="rId1312"/>
    <hyperlink ref="I441" r:id="rId1313" display="http://www.boxofficemojo.com/schedule/?view=bydate&amp;release=theatrical&amp;date=2014-03-21&amp;p=.htm"/>
    <hyperlink ref="C442" r:id="rId1314"/>
    <hyperlink ref="D442" r:id="rId1315"/>
    <hyperlink ref="I442" r:id="rId1316" display="http://www.boxofficemojo.com/schedule/?view=bydate&amp;release=theatrical&amp;date=2014-01-17&amp;p=.htm"/>
    <hyperlink ref="C443" r:id="rId1317"/>
    <hyperlink ref="D443" r:id="rId1318"/>
    <hyperlink ref="I443" r:id="rId1319" display="http://www.boxofficemojo.com/schedule/?view=bydate&amp;release=theatrical&amp;date=2014-11-07&amp;p=.htm"/>
    <hyperlink ref="C444" r:id="rId1320"/>
    <hyperlink ref="D444" r:id="rId1321"/>
    <hyperlink ref="I444" r:id="rId1322" display="http://www.boxofficemojo.com/schedule/?view=bydate&amp;release=theatrical&amp;date=2014-05-30&amp;p=.htm"/>
    <hyperlink ref="C445" r:id="rId1323"/>
    <hyperlink ref="D445" r:id="rId1324"/>
    <hyperlink ref="I445" r:id="rId1325" display="http://www.boxofficemojo.com/schedule/?view=bydate&amp;release=theatrical&amp;date=2014-05-02&amp;p=.htm"/>
    <hyperlink ref="C446" r:id="rId1326"/>
    <hyperlink ref="D446" r:id="rId1327"/>
    <hyperlink ref="I446" r:id="rId1328" display="http://www.boxofficemojo.com/schedule/?view=bydate&amp;release=theatrical&amp;date=2014-02-07&amp;p=.htm"/>
    <hyperlink ref="C447" r:id="rId1329"/>
    <hyperlink ref="D447" r:id="rId1330"/>
    <hyperlink ref="I447" r:id="rId1331" display="http://www.boxofficemojo.com/schedule/?view=bydate&amp;release=theatrical&amp;date=2014-07-23&amp;p=.htm"/>
    <hyperlink ref="C448" r:id="rId1332"/>
    <hyperlink ref="D448" r:id="rId1333"/>
    <hyperlink ref="I448" r:id="rId1334" display="http://www.boxofficemojo.com/schedule/?view=bydate&amp;release=theatrical&amp;date=2014-11-21&amp;p=.htm"/>
    <hyperlink ref="C449" r:id="rId1335"/>
    <hyperlink ref="D449" r:id="rId1336"/>
    <hyperlink ref="I449" r:id="rId1337" display="http://www.boxofficemojo.com/schedule/?view=bydate&amp;release=theatrical&amp;date=2014-06-06&amp;p=.htm"/>
    <hyperlink ref="C450" r:id="rId1338"/>
    <hyperlink ref="D450" r:id="rId1339"/>
    <hyperlink ref="I450" r:id="rId1340" display="http://www.boxofficemojo.com/schedule/?view=bydate&amp;release=theatrical&amp;date=2014-05-23&amp;p=.htm"/>
    <hyperlink ref="C451" r:id="rId1341"/>
    <hyperlink ref="D451" r:id="rId1342"/>
    <hyperlink ref="I451" r:id="rId1343" display="http://www.boxofficemojo.com/schedule/?view=bydate&amp;release=theatrical&amp;date=2014-05-16&amp;p=.htm"/>
    <hyperlink ref="C452" r:id="rId1344"/>
    <hyperlink ref="D452" r:id="rId1345"/>
    <hyperlink ref="I452" r:id="rId1346" display="http://www.boxofficemojo.com/schedule/?view=bydate&amp;release=theatrical&amp;date=2014-07-18&amp;p=.htm"/>
    <hyperlink ref="C453" r:id="rId1347"/>
    <hyperlink ref="D453" r:id="rId1348"/>
    <hyperlink ref="I453" r:id="rId1349" display="http://www.boxofficemojo.com/schedule/?view=bydate&amp;release=theatrical&amp;date=2014-08-08&amp;p=.htm"/>
    <hyperlink ref="C454" r:id="rId1350"/>
    <hyperlink ref="D454" r:id="rId1351"/>
    <hyperlink ref="I454" r:id="rId1352" display="http://www.boxofficemojo.com/schedule/?view=bydate&amp;release=theatrical&amp;date=2014-01-10&amp;p=.htm"/>
    <hyperlink ref="C455" r:id="rId1353"/>
    <hyperlink ref="D455" r:id="rId1354"/>
    <hyperlink ref="I455" r:id="rId1355" display="http://www.boxofficemojo.com/schedule/?view=bydate&amp;release=theatrical&amp;date=2014-08-29&amp;p=.htm"/>
    <hyperlink ref="C456" r:id="rId1356"/>
    <hyperlink ref="D456" r:id="rId1357"/>
    <hyperlink ref="I456" r:id="rId1358" display="http://www.boxofficemojo.com/schedule/?view=bydate&amp;release=theatrical&amp;date=2014-04-25&amp;p=.htm"/>
    <hyperlink ref="C457" r:id="rId1359"/>
    <hyperlink ref="D457" r:id="rId1360"/>
    <hyperlink ref="I457" r:id="rId1361" display="http://www.boxofficemojo.com/schedule/?view=bydate&amp;release=theatrical&amp;date=2014-01-03&amp;p=.htm"/>
    <hyperlink ref="C458" r:id="rId1362"/>
    <hyperlink ref="D458" r:id="rId1363"/>
    <hyperlink ref="I458" r:id="rId1364" display="http://www.boxofficemojo.com/schedule/?view=bydate&amp;release=theatrical&amp;date=2014-03-21&amp;p=.htm"/>
    <hyperlink ref="C459" r:id="rId1365"/>
    <hyperlink ref="D459" r:id="rId1366"/>
    <hyperlink ref="I459" r:id="rId1367" display="http://www.boxofficemojo.com/schedule/?view=bydate&amp;release=theatrical&amp;date=2014-02-07&amp;p=.htm"/>
    <hyperlink ref="C460" r:id="rId1368"/>
    <hyperlink ref="D460" r:id="rId1369"/>
    <hyperlink ref="I460" r:id="rId1370" display="http://www.boxofficemojo.com/schedule/?view=bydate&amp;release=theatrical&amp;date=2014-03-14&amp;p=.htm"/>
    <hyperlink ref="C461" r:id="rId1371"/>
    <hyperlink ref="D461" r:id="rId1372"/>
    <hyperlink ref="I461" r:id="rId1373" display="http://www.boxofficemojo.com/schedule/?view=bydate&amp;release=theatrical&amp;date=2014-08-01&amp;p=.htm"/>
    <hyperlink ref="C462" r:id="rId1374"/>
    <hyperlink ref="D462" r:id="rId1375"/>
    <hyperlink ref="I462" r:id="rId1376" display="http://www.boxofficemojo.com/schedule/?view=bydate&amp;release=theatrical&amp;date=2014-08-20&amp;p=.htm"/>
    <hyperlink ref="C463" r:id="rId1377"/>
    <hyperlink ref="D463" r:id="rId1378"/>
    <hyperlink ref="I463" r:id="rId1379" display="http://www.boxofficemojo.com/schedule/?view=bydate&amp;release=theatrical&amp;date=2014-02-07&amp;p=.htm"/>
    <hyperlink ref="C464" r:id="rId1380"/>
    <hyperlink ref="D464" r:id="rId1381"/>
    <hyperlink ref="I464" r:id="rId1382" display="http://www.boxofficemojo.com/schedule/?view=bydate&amp;release=theatrical&amp;date=2014-10-10&amp;p=.htm"/>
    <hyperlink ref="C465" r:id="rId1383"/>
    <hyperlink ref="D465" r:id="rId1384"/>
    <hyperlink ref="I465" r:id="rId1385" display="http://www.boxofficemojo.com/schedule/?view=bydate&amp;release=theatrical&amp;date=2014-09-19&amp;p=.htm"/>
    <hyperlink ref="C466" r:id="rId1386"/>
    <hyperlink ref="D466" r:id="rId1387"/>
    <hyperlink ref="I466" r:id="rId1388" display="http://www.boxofficemojo.com/schedule/?view=bydate&amp;release=theatrical&amp;date=2014-11-14&amp;p=.htm"/>
    <hyperlink ref="C467" r:id="rId1389"/>
    <hyperlink ref="D467" r:id="rId1390"/>
    <hyperlink ref="I467" r:id="rId1391" display="http://www.boxofficemojo.com/schedule/?view=bydate&amp;release=theatrical&amp;date=2014-08-22&amp;p=.htm"/>
    <hyperlink ref="C468" r:id="rId1392"/>
    <hyperlink ref="D468" r:id="rId1393"/>
    <hyperlink ref="I468" r:id="rId1394" display="http://www.boxofficemojo.com/schedule/?view=bydate&amp;release=theatrical&amp;date=2014-04-25&amp;p=.htm"/>
    <hyperlink ref="C469" r:id="rId1395"/>
    <hyperlink ref="D469" r:id="rId1396"/>
    <hyperlink ref="I469" r:id="rId1397" display="http://www.boxofficemojo.com/schedule/?view=bydate&amp;release=theatrical&amp;date=2014-09-19&amp;p=.htm"/>
    <hyperlink ref="C470" r:id="rId1398"/>
    <hyperlink ref="D470" r:id="rId1399"/>
    <hyperlink ref="I470" r:id="rId1400" display="http://www.boxofficemojo.com/schedule/?view=bydate&amp;release=theatrical&amp;date=2014-12-13&amp;p=.htm"/>
    <hyperlink ref="C471" r:id="rId1401"/>
    <hyperlink ref="D471" r:id="rId1402"/>
    <hyperlink ref="I471" r:id="rId1403" display="http://www.boxofficemojo.com/schedule/?view=bydate&amp;release=theatrical&amp;date=2014-03-14&amp;p=.htm"/>
    <hyperlink ref="C472" r:id="rId1404"/>
    <hyperlink ref="D472" r:id="rId1405"/>
    <hyperlink ref="I472" r:id="rId1406" display="http://www.boxofficemojo.com/schedule/?view=bydate&amp;release=theatrical&amp;date=2014-05-30&amp;p=.htm"/>
    <hyperlink ref="C473" r:id="rId1407"/>
    <hyperlink ref="D473" r:id="rId1408"/>
    <hyperlink ref="I473" r:id="rId1409" display="http://www.boxofficemojo.com/schedule/?view=bydate&amp;release=theatrical&amp;date=2014-09-03&amp;p=.htm"/>
    <hyperlink ref="C474" r:id="rId1410"/>
    <hyperlink ref="D474" r:id="rId1411"/>
    <hyperlink ref="I474" r:id="rId1412" display="http://www.boxofficemojo.com/schedule/?view=bydate&amp;release=theatrical&amp;date=2014-10-24&amp;p=.htm"/>
    <hyperlink ref="C475" r:id="rId1413"/>
    <hyperlink ref="D475" r:id="rId1414"/>
    <hyperlink ref="I475" r:id="rId1415" display="http://www.boxofficemojo.com/schedule/?view=bydate&amp;release=theatrical&amp;date=2014-03-21&amp;p=.htm"/>
    <hyperlink ref="C476" r:id="rId1416"/>
    <hyperlink ref="D476" r:id="rId1417"/>
    <hyperlink ref="I476" r:id="rId1418" display="http://www.boxofficemojo.com/schedule/?view=bydate&amp;release=theatrical&amp;date=2014-07-18&amp;p=.htm"/>
    <hyperlink ref="C477" r:id="rId1419"/>
    <hyperlink ref="D477" r:id="rId1420"/>
    <hyperlink ref="I477" r:id="rId1421" display="http://www.boxofficemojo.com/schedule/?view=bydate&amp;release=theatrical&amp;date=2014-01-17&amp;p=.htm"/>
    <hyperlink ref="C478" r:id="rId1422"/>
    <hyperlink ref="D478" r:id="rId1423"/>
    <hyperlink ref="I478" r:id="rId1424" display="http://www.boxofficemojo.com/schedule/?view=bydate&amp;release=theatrical&amp;date=2014-02-07&amp;p=.htm"/>
    <hyperlink ref="C479" r:id="rId1425"/>
    <hyperlink ref="D479" r:id="rId1426"/>
    <hyperlink ref="I479" r:id="rId1427" display="http://www.boxofficemojo.com/schedule/?view=bydate&amp;release=theatrical&amp;date=2014-05-02&amp;p=.htm"/>
    <hyperlink ref="C480" r:id="rId1428"/>
    <hyperlink ref="D480" r:id="rId1429"/>
    <hyperlink ref="I480" r:id="rId1430" display="http://www.boxofficemojo.com/schedule/?view=bydate&amp;release=theatrical&amp;date=2014-10-03&amp;p=.htm"/>
    <hyperlink ref="C481" r:id="rId1431"/>
    <hyperlink ref="D481" r:id="rId1432"/>
    <hyperlink ref="I481" r:id="rId1433" display="http://www.boxofficemojo.com/schedule/?view=bydate&amp;release=theatrical&amp;date=2014-09-12&amp;p=.htm"/>
    <hyperlink ref="C482" r:id="rId1434"/>
    <hyperlink ref="D482" r:id="rId1435"/>
    <hyperlink ref="I482" r:id="rId1436" display="http://www.boxofficemojo.com/schedule/?view=bydate&amp;release=theatrical&amp;date=2014-08-15&amp;p=.htm"/>
    <hyperlink ref="C483" r:id="rId1437"/>
    <hyperlink ref="D483" r:id="rId1438"/>
    <hyperlink ref="I483" r:id="rId1439" display="http://www.boxofficemojo.com/schedule/?view=bydate&amp;release=theatrical&amp;date=2014-12-05&amp;p=.htm"/>
    <hyperlink ref="C484" r:id="rId1440"/>
    <hyperlink ref="D484" r:id="rId1441"/>
    <hyperlink ref="I484" r:id="rId1442" display="http://www.boxofficemojo.com/schedule/?view=bydate&amp;release=theatrical&amp;date=2014-05-02&amp;p=.htm"/>
    <hyperlink ref="C485" r:id="rId1443"/>
    <hyperlink ref="D485" r:id="rId1444"/>
    <hyperlink ref="I485" r:id="rId1445" display="http://www.boxofficemojo.com/schedule/?view=bydate&amp;release=theatrical&amp;date=2014-07-25&amp;p=.htm"/>
    <hyperlink ref="C486" r:id="rId1446"/>
    <hyperlink ref="D486" r:id="rId1447"/>
    <hyperlink ref="I486" r:id="rId1448" display="http://www.boxofficemojo.com/schedule/?view=bydate&amp;release=theatrical&amp;date=2014-02-14&amp;p=.htm"/>
    <hyperlink ref="C487" r:id="rId1449"/>
    <hyperlink ref="D487" r:id="rId1450"/>
    <hyperlink ref="I487" r:id="rId1451" display="http://www.boxofficemojo.com/schedule/?view=bydate&amp;release=theatrical&amp;date=2014-02-21&amp;p=.htm"/>
    <hyperlink ref="C488" r:id="rId1452"/>
    <hyperlink ref="D488" r:id="rId1453"/>
    <hyperlink ref="I488" r:id="rId1454" display="http://www.boxofficemojo.com/schedule/?view=bydate&amp;release=theatrical&amp;date=2014-05-16&amp;p=.htm"/>
    <hyperlink ref="C489" r:id="rId1455"/>
    <hyperlink ref="D489" r:id="rId1456"/>
    <hyperlink ref="I489" r:id="rId1457" display="http://www.boxofficemojo.com/schedule/?view=bydate&amp;release=theatrical&amp;date=2014-04-18&amp;p=.htm"/>
    <hyperlink ref="C490" r:id="rId1458"/>
    <hyperlink ref="D490" r:id="rId1459"/>
    <hyperlink ref="I490" r:id="rId1460" display="http://www.boxofficemojo.com/schedule/?view=bydate&amp;release=theatrical&amp;date=2014-09-19&amp;p=.htm"/>
    <hyperlink ref="C491" r:id="rId1461"/>
    <hyperlink ref="D491" r:id="rId1462"/>
    <hyperlink ref="I491" r:id="rId1463" display="http://www.boxofficemojo.com/schedule/?view=bydate&amp;release=theatrical&amp;date=2014-04-25&amp;p=.htm"/>
    <hyperlink ref="C492" r:id="rId1464"/>
    <hyperlink ref="D492" r:id="rId1465"/>
    <hyperlink ref="I492" r:id="rId1466" display="http://www.boxofficemojo.com/schedule/?view=bydate&amp;release=theatrical&amp;date=2014-11-07&amp;p=.htm"/>
    <hyperlink ref="C493" r:id="rId1467"/>
    <hyperlink ref="D493" r:id="rId1468"/>
    <hyperlink ref="I493" r:id="rId1469" display="http://www.boxofficemojo.com/schedule/?view=bydate&amp;release=theatrical&amp;date=2014-10-17&amp;p=.htm"/>
    <hyperlink ref="C494" r:id="rId1470"/>
    <hyperlink ref="D494" r:id="rId1471"/>
    <hyperlink ref="I494" r:id="rId1472" display="http://www.boxofficemojo.com/schedule/?view=bydate&amp;release=theatrical&amp;date=2014-07-09&amp;p=.htm"/>
    <hyperlink ref="C495" r:id="rId1473"/>
    <hyperlink ref="D495" r:id="rId1474"/>
    <hyperlink ref="I495" r:id="rId1475" display="http://www.boxofficemojo.com/schedule/?view=bydate&amp;release=theatrical&amp;date=2014-11-21&amp;p=.htm"/>
    <hyperlink ref="C496" r:id="rId1476"/>
    <hyperlink ref="D496" r:id="rId1477"/>
    <hyperlink ref="I496" r:id="rId1478" display="http://www.boxofficemojo.com/schedule/?view=bydate&amp;release=theatrical&amp;date=2014-09-26&amp;p=.htm"/>
    <hyperlink ref="C497" r:id="rId1479"/>
    <hyperlink ref="D497" r:id="rId1480"/>
    <hyperlink ref="I497" r:id="rId1481" display="http://www.boxofficemojo.com/schedule/?view=bydate&amp;release=theatrical&amp;date=2014-08-29&amp;p=.htm"/>
    <hyperlink ref="C498" r:id="rId1482"/>
    <hyperlink ref="D498" r:id="rId1483"/>
    <hyperlink ref="I498" r:id="rId1484" display="http://www.boxofficemojo.com/schedule/?view=bydate&amp;release=theatrical&amp;date=2014-08-15&amp;p=.htm"/>
    <hyperlink ref="C499" r:id="rId1485"/>
    <hyperlink ref="D499" r:id="rId1486"/>
    <hyperlink ref="I499" r:id="rId1487" display="http://www.boxofficemojo.com/schedule/?view=bydate&amp;release=theatrical&amp;date=2014-05-30&amp;p=.htm"/>
    <hyperlink ref="C500" r:id="rId1488"/>
    <hyperlink ref="D500" r:id="rId1489"/>
    <hyperlink ref="I500" r:id="rId1490" display="http://www.boxofficemojo.com/schedule/?view=bydate&amp;release=theatrical&amp;date=2014-10-10&amp;p=.htm"/>
    <hyperlink ref="C501" r:id="rId1491"/>
    <hyperlink ref="D501" r:id="rId1492"/>
    <hyperlink ref="I501" r:id="rId1493" display="http://www.boxofficemojo.com/schedule/?view=bydate&amp;release=theatrical&amp;date=2014-02-14&amp;p=.htm"/>
    <hyperlink ref="C502" r:id="rId1494"/>
    <hyperlink ref="D502" r:id="rId1495"/>
    <hyperlink ref="I502" r:id="rId1496" display="http://www.boxofficemojo.com/schedule/?view=bydate&amp;release=theatrical&amp;date=2014-09-10&amp;p=.htm"/>
    <hyperlink ref="C503" r:id="rId1497"/>
    <hyperlink ref="D503" r:id="rId1498"/>
    <hyperlink ref="I503" r:id="rId1499" display="http://www.boxofficemojo.com/schedule/?view=bydate&amp;release=theatrical&amp;date=2014-11-21&amp;p=.htm"/>
    <hyperlink ref="C504" r:id="rId1500"/>
    <hyperlink ref="D504" r:id="rId1501"/>
    <hyperlink ref="I504" r:id="rId1502" display="http://www.boxofficemojo.com/schedule/?view=bydate&amp;release=theatrical&amp;date=2014-09-26&amp;p=.htm"/>
    <hyperlink ref="C505" r:id="rId1503"/>
    <hyperlink ref="D505" r:id="rId1504"/>
    <hyperlink ref="I505" r:id="rId1505" display="http://www.boxofficemojo.com/schedule/?view=bydate&amp;release=theatrical&amp;date=2014-12-19&amp;p=.htm"/>
    <hyperlink ref="C506" r:id="rId1506"/>
    <hyperlink ref="D506" r:id="rId1507"/>
    <hyperlink ref="I506" r:id="rId1508" display="http://www.boxofficemojo.com/schedule/?view=bydate&amp;release=theatrical&amp;date=2014-10-24&amp;p=.htm"/>
    <hyperlink ref="C507" r:id="rId1509"/>
    <hyperlink ref="D507" r:id="rId1510"/>
    <hyperlink ref="I507" r:id="rId1511" display="http://www.boxofficemojo.com/schedule/?view=bydate&amp;release=theatrical&amp;date=2014-07-18&amp;p=.htm"/>
    <hyperlink ref="C508" r:id="rId1512"/>
    <hyperlink ref="D508" r:id="rId1513"/>
    <hyperlink ref="I508" r:id="rId1514" display="http://www.boxofficemojo.com/schedule/?view=bydate&amp;release=theatrical&amp;date=2014-03-03&amp;p=.htm"/>
    <hyperlink ref="C509" r:id="rId1515"/>
    <hyperlink ref="D509" r:id="rId1516"/>
    <hyperlink ref="I509" r:id="rId1517" display="http://www.boxofficemojo.com/schedule/?view=bydate&amp;release=theatrical&amp;date=2014-02-28&amp;p=.htm"/>
    <hyperlink ref="C510" r:id="rId1518"/>
    <hyperlink ref="D510" r:id="rId1519"/>
    <hyperlink ref="I510" r:id="rId1520" display="http://www.boxofficemojo.com/schedule/?view=bydate&amp;release=theatrical&amp;date=2014-03-07&amp;p=.htm"/>
    <hyperlink ref="C511" r:id="rId1521"/>
    <hyperlink ref="D511" r:id="rId1522"/>
    <hyperlink ref="I511" r:id="rId1523" display="http://www.boxofficemojo.com/schedule/?view=bydate&amp;release=theatrical&amp;date=2014-08-22&amp;p=.htm"/>
    <hyperlink ref="C512" r:id="rId1524"/>
    <hyperlink ref="D512" r:id="rId1525"/>
    <hyperlink ref="I512" r:id="rId1526" display="http://www.boxofficemojo.com/schedule/?view=bydate&amp;release=theatrical&amp;date=2014-04-25&amp;p=.htm"/>
    <hyperlink ref="C513" r:id="rId1527"/>
    <hyperlink ref="D513" r:id="rId1528"/>
    <hyperlink ref="I513" r:id="rId1529" display="http://www.boxofficemojo.com/schedule/?view=bydate&amp;release=theatrical&amp;date=2014-10-01&amp;p=.htm"/>
    <hyperlink ref="C514" r:id="rId1530"/>
    <hyperlink ref="D514" r:id="rId1531"/>
    <hyperlink ref="I514" r:id="rId1532" display="http://www.boxofficemojo.com/schedule/?view=bydate&amp;release=theatrical&amp;date=2014-09-05&amp;p=.htm"/>
    <hyperlink ref="C515" r:id="rId1533"/>
    <hyperlink ref="D515" r:id="rId1534"/>
    <hyperlink ref="I515" r:id="rId1535" display="http://www.boxofficemojo.com/schedule/?view=bydate&amp;release=theatrical&amp;date=2014-08-29&amp;p=.htm"/>
    <hyperlink ref="C516" r:id="rId1536"/>
    <hyperlink ref="D516" r:id="rId1537"/>
    <hyperlink ref="I516" r:id="rId1538" display="http://www.boxofficemojo.com/schedule/?view=bydate&amp;release=theatrical&amp;date=2014-11-12&amp;p=.htm"/>
    <hyperlink ref="C517" r:id="rId1539"/>
    <hyperlink ref="D517" r:id="rId1540"/>
    <hyperlink ref="I517" r:id="rId1541" display="http://www.boxofficemojo.com/schedule/?view=bydate&amp;release=theatrical&amp;date=2014-07-04&amp;p=.htm"/>
    <hyperlink ref="C518" r:id="rId1542"/>
    <hyperlink ref="D518" r:id="rId1543"/>
    <hyperlink ref="I518" r:id="rId1544" display="http://www.boxofficemojo.com/schedule/?view=bydate&amp;release=theatrical&amp;date=2014-01-08&amp;p=.htm"/>
    <hyperlink ref="C519" r:id="rId1545"/>
    <hyperlink ref="D519" r:id="rId1546"/>
    <hyperlink ref="I519" r:id="rId1547" display="http://www.boxofficemojo.com/schedule/?view=bydate&amp;release=theatrical&amp;date=2014-02-14&amp;p=.htm"/>
    <hyperlink ref="C520" r:id="rId1548"/>
    <hyperlink ref="D520" r:id="rId1549"/>
    <hyperlink ref="I520" r:id="rId1550" display="http://www.boxofficemojo.com/schedule/?view=bydate&amp;release=theatrical&amp;date=2014-01-24&amp;p=.htm"/>
    <hyperlink ref="C521" r:id="rId1551"/>
    <hyperlink ref="D521" r:id="rId1552"/>
    <hyperlink ref="I521" r:id="rId1553" display="http://www.boxofficemojo.com/schedule/?view=bydate&amp;release=theatrical&amp;date=2014-06-16&amp;p=.htm"/>
    <hyperlink ref="C522" r:id="rId1554"/>
    <hyperlink ref="D522" r:id="rId1555"/>
    <hyperlink ref="I522" r:id="rId1556" display="http://www.boxofficemojo.com/schedule/?view=bydate&amp;release=theatrical&amp;date=2014-12-05&amp;p=.htm"/>
    <hyperlink ref="C523" r:id="rId1557"/>
    <hyperlink ref="D523" r:id="rId1558"/>
    <hyperlink ref="I523" r:id="rId1559" display="http://www.boxofficemojo.com/schedule/?view=bydate&amp;release=theatrical&amp;date=2014-06-20&amp;p=.htm"/>
    <hyperlink ref="C524" r:id="rId1560"/>
    <hyperlink ref="D524" r:id="rId1561"/>
    <hyperlink ref="I524" r:id="rId1562" display="http://www.boxofficemojo.com/schedule/?view=bydate&amp;release=theatrical&amp;date=2014-10-17&amp;p=.htm"/>
    <hyperlink ref="C525" r:id="rId1563"/>
    <hyperlink ref="D525" r:id="rId1564"/>
    <hyperlink ref="I525" r:id="rId1565" display="http://www.boxofficemojo.com/schedule/?view=bydate&amp;release=theatrical&amp;date=2014-01-31&amp;p=.htm"/>
    <hyperlink ref="C526" r:id="rId1566"/>
    <hyperlink ref="D526" r:id="rId1567"/>
    <hyperlink ref="I526" r:id="rId1568" display="http://www.boxofficemojo.com/schedule/?view=bydate&amp;release=theatrical&amp;date=2014-11-07&amp;p=.htm"/>
    <hyperlink ref="C527" r:id="rId1569"/>
    <hyperlink ref="D527" r:id="rId1570"/>
    <hyperlink ref="I527" r:id="rId1571" display="http://www.boxofficemojo.com/schedule/?view=bydate&amp;release=theatrical&amp;date=2014-10-17&amp;p=.htm"/>
    <hyperlink ref="C528" r:id="rId1572"/>
    <hyperlink ref="D528" r:id="rId1573"/>
    <hyperlink ref="I528" r:id="rId1574" display="http://www.boxofficemojo.com/schedule/?view=bydate&amp;release=theatrical&amp;date=2014-07-25&amp;p=.htm"/>
    <hyperlink ref="C529" r:id="rId1575"/>
    <hyperlink ref="D529" r:id="rId1576"/>
    <hyperlink ref="I529" r:id="rId1577" display="http://www.boxofficemojo.com/schedule/?view=bydate&amp;release=theatrical&amp;date=2014-06-06&amp;p=.htm"/>
    <hyperlink ref="C530" r:id="rId1578"/>
    <hyperlink ref="D530" r:id="rId1579"/>
    <hyperlink ref="I530" r:id="rId1580" display="http://www.boxofficemojo.com/schedule/?view=bydate&amp;release=theatrical&amp;date=2014-04-18&amp;p=.htm"/>
    <hyperlink ref="C531" r:id="rId1581"/>
    <hyperlink ref="D531" r:id="rId1582"/>
    <hyperlink ref="I531" r:id="rId1583" display="http://www.boxofficemojo.com/schedule/?view=bydate&amp;release=theatrical&amp;date=2014-09-26&amp;p=.htm"/>
    <hyperlink ref="C532" r:id="rId1584"/>
    <hyperlink ref="D532" r:id="rId1585"/>
    <hyperlink ref="I532" r:id="rId1586" display="http://www.boxofficemojo.com/schedule/?view=bydate&amp;release=theatrical&amp;date=2014-04-25&amp;p=.htm"/>
    <hyperlink ref="C533" r:id="rId1587"/>
    <hyperlink ref="D533" r:id="rId1588"/>
    <hyperlink ref="I533" r:id="rId1589" display="http://www.boxofficemojo.com/schedule/?view=bydate&amp;release=theatrical&amp;date=2014-06-06&amp;p=.htm"/>
    <hyperlink ref="C534" r:id="rId1590"/>
    <hyperlink ref="D534" r:id="rId1591"/>
    <hyperlink ref="I534" r:id="rId1592" display="http://www.boxofficemojo.com/schedule/?view=bydate&amp;release=theatrical&amp;date=2014-03-07&amp;p=.htm"/>
    <hyperlink ref="C535" r:id="rId1593"/>
    <hyperlink ref="D535" r:id="rId1594"/>
    <hyperlink ref="I535" r:id="rId1595" display="http://www.boxofficemojo.com/schedule/?view=bydate&amp;release=theatrical&amp;date=2014-04-04&amp;p=.htm"/>
    <hyperlink ref="C536" r:id="rId1596"/>
    <hyperlink ref="D536" r:id="rId1597"/>
    <hyperlink ref="I536" r:id="rId1598" display="http://www.boxofficemojo.com/schedule/?view=bydate&amp;release=theatrical&amp;date=2014-09-05&amp;p=.htm"/>
    <hyperlink ref="C537" r:id="rId1599"/>
    <hyperlink ref="D537" r:id="rId1600"/>
    <hyperlink ref="I537" r:id="rId1601" display="http://www.boxofficemojo.com/schedule/?view=bydate&amp;release=theatrical&amp;date=2014-09-12&amp;p=.htm"/>
    <hyperlink ref="C538" r:id="rId1602"/>
    <hyperlink ref="D538" r:id="rId1603"/>
    <hyperlink ref="I538" r:id="rId1604" display="http://www.boxofficemojo.com/schedule/?view=bydate&amp;release=theatrical&amp;date=2014-05-23&amp;p=.htm"/>
    <hyperlink ref="C539" r:id="rId1605"/>
    <hyperlink ref="D539" r:id="rId1606"/>
    <hyperlink ref="I539" r:id="rId1607" display="http://www.boxofficemojo.com/schedule/?view=bydate&amp;release=theatrical&amp;date=2014-05-23&amp;p=.htm"/>
    <hyperlink ref="C540" r:id="rId1608"/>
    <hyperlink ref="D540" r:id="rId1609"/>
    <hyperlink ref="I540" r:id="rId1610" display="http://www.boxofficemojo.com/schedule/?view=bydate&amp;release=theatrical&amp;date=2014-12-17&amp;p=.htm"/>
    <hyperlink ref="C541" r:id="rId1611"/>
    <hyperlink ref="D541" r:id="rId1612"/>
    <hyperlink ref="I541" r:id="rId1613" display="http://www.boxofficemojo.com/schedule/?view=bydate&amp;release=theatrical&amp;date=2014-01-10&amp;p=.htm"/>
    <hyperlink ref="C542" r:id="rId1614"/>
    <hyperlink ref="D542" r:id="rId1615"/>
    <hyperlink ref="I542" r:id="rId1616" display="http://www.boxofficemojo.com/schedule/?view=bydate&amp;release=theatrical&amp;date=2014-04-11&amp;p=.htm"/>
    <hyperlink ref="C543" r:id="rId1617"/>
    <hyperlink ref="D543" r:id="rId1618"/>
    <hyperlink ref="I543" r:id="rId1619" display="http://www.boxofficemojo.com/schedule/?view=bydate&amp;release=theatrical&amp;date=2014-06-11&amp;p=.htm"/>
    <hyperlink ref="C544" r:id="rId1620"/>
    <hyperlink ref="D544" r:id="rId1621"/>
    <hyperlink ref="I544" r:id="rId1622" display="http://www.boxofficemojo.com/schedule/?view=bydate&amp;release=theatrical&amp;date=2014-12-10&amp;p=.htm"/>
    <hyperlink ref="C545" r:id="rId1623"/>
    <hyperlink ref="D545" r:id="rId1624"/>
    <hyperlink ref="I545" r:id="rId1625" display="http://www.boxofficemojo.com/schedule/?view=bydate&amp;release=theatrical&amp;date=2014-09-05&amp;p=.htm"/>
    <hyperlink ref="C546" r:id="rId1626"/>
    <hyperlink ref="D546" r:id="rId1627"/>
    <hyperlink ref="I546" r:id="rId1628" display="http://www.boxofficemojo.com/schedule/?view=bydate&amp;release=theatrical&amp;date=2014-08-22&amp;p=.htm"/>
    <hyperlink ref="C547" r:id="rId1629"/>
    <hyperlink ref="D547" r:id="rId1630"/>
    <hyperlink ref="I547" r:id="rId1631" display="http://www.boxofficemojo.com/schedule/?view=bydate&amp;release=theatrical&amp;date=2014-02-21&amp;p=.htm"/>
    <hyperlink ref="C548" r:id="rId1632"/>
    <hyperlink ref="D548" r:id="rId1633"/>
    <hyperlink ref="I548" r:id="rId1634" display="http://www.boxofficemojo.com/schedule/?view=bydate&amp;release=theatrical&amp;date=2014-05-14&amp;p=.htm"/>
    <hyperlink ref="C549" r:id="rId1635"/>
    <hyperlink ref="D549" r:id="rId1636"/>
    <hyperlink ref="I549" r:id="rId1637" display="http://www.boxofficemojo.com/schedule/?view=bydate&amp;release=theatrical&amp;date=2014-04-25&amp;p=.htm"/>
    <hyperlink ref="C550" r:id="rId1638"/>
    <hyperlink ref="D550" r:id="rId1639"/>
    <hyperlink ref="I550" r:id="rId1640" display="http://www.boxofficemojo.com/schedule/?view=bydate&amp;release=theatrical&amp;date=2014-06-20&amp;p=.htm"/>
    <hyperlink ref="C551" r:id="rId1641"/>
    <hyperlink ref="D551" r:id="rId1642"/>
    <hyperlink ref="I551" r:id="rId1643" display="http://www.boxofficemojo.com/schedule/?view=bydate&amp;release=theatrical&amp;date=2014-04-18&amp;p=.htm"/>
    <hyperlink ref="C552" r:id="rId1644"/>
    <hyperlink ref="D552" r:id="rId1645"/>
    <hyperlink ref="I552" r:id="rId1646" display="http://www.boxofficemojo.com/schedule/?view=bydate&amp;release=theatrical&amp;date=2014-02-07&amp;p=.htm"/>
    <hyperlink ref="C553" r:id="rId1647"/>
    <hyperlink ref="D553" r:id="rId1648"/>
    <hyperlink ref="I553" r:id="rId1649" display="http://www.boxofficemojo.com/schedule/?view=bydate&amp;release=theatrical&amp;date=2014-08-08&amp;p=.htm"/>
    <hyperlink ref="C554" r:id="rId1650"/>
    <hyperlink ref="D554" r:id="rId1651"/>
    <hyperlink ref="I554" r:id="rId1652" display="http://www.boxofficemojo.com/schedule/?view=bydate&amp;release=theatrical&amp;date=2014-03-07&amp;p=.htm"/>
    <hyperlink ref="C555" r:id="rId1653"/>
    <hyperlink ref="D555" r:id="rId1654"/>
    <hyperlink ref="I555" r:id="rId1655" display="http://www.boxofficemojo.com/schedule/?view=bydate&amp;release=theatrical&amp;date=2014-07-11&amp;p=.htm"/>
    <hyperlink ref="C556" r:id="rId1656"/>
    <hyperlink ref="D556" r:id="rId1657"/>
    <hyperlink ref="I556" r:id="rId1658" display="http://www.boxofficemojo.com/schedule/?view=bydate&amp;release=theatrical&amp;date=2014-10-17&amp;p=.htm"/>
    <hyperlink ref="C557" r:id="rId1659"/>
    <hyperlink ref="D557" r:id="rId1660"/>
    <hyperlink ref="I557" r:id="rId1661" display="http://www.boxofficemojo.com/schedule/?view=bydate&amp;release=theatrical&amp;date=2014-09-26&amp;p=.htm"/>
    <hyperlink ref="C558" r:id="rId1662"/>
    <hyperlink ref="D558" r:id="rId1663"/>
    <hyperlink ref="I558" r:id="rId1664" display="http://www.boxofficemojo.com/schedule/?view=bydate&amp;release=theatrical&amp;date=2014-05-07&amp;p=.htm"/>
    <hyperlink ref="C559" r:id="rId1665"/>
    <hyperlink ref="D559" r:id="rId1666"/>
    <hyperlink ref="I559" r:id="rId1667" display="http://www.boxofficemojo.com/schedule/?view=bydate&amp;release=theatrical&amp;date=2014-05-16&amp;p=.htm"/>
    <hyperlink ref="C560" r:id="rId1668"/>
    <hyperlink ref="D560" r:id="rId1669"/>
    <hyperlink ref="I560" r:id="rId1670" display="http://www.boxofficemojo.com/schedule/?view=bydate&amp;release=theatrical&amp;date=2014-08-22&amp;p=.htm"/>
    <hyperlink ref="C561" r:id="rId1671"/>
    <hyperlink ref="D561" r:id="rId1672"/>
    <hyperlink ref="I561" r:id="rId1673" display="http://www.boxofficemojo.com/schedule/?view=bydate&amp;release=theatrical&amp;date=2014-04-04&amp;p=.htm"/>
    <hyperlink ref="C562" r:id="rId1674"/>
    <hyperlink ref="D562" r:id="rId1675"/>
    <hyperlink ref="I562" r:id="rId1676" display="http://www.boxofficemojo.com/schedule/?view=bydate&amp;release=theatrical&amp;date=2014-12-05&amp;p=.htm"/>
    <hyperlink ref="C563" r:id="rId1677"/>
    <hyperlink ref="D563" r:id="rId1678"/>
    <hyperlink ref="I563" r:id="rId1679" display="http://www.boxofficemojo.com/schedule/?view=bydate&amp;release=theatrical&amp;date=2014-03-07&amp;p=.htm"/>
    <hyperlink ref="C564" r:id="rId1680"/>
    <hyperlink ref="D564" r:id="rId1681"/>
    <hyperlink ref="I564" r:id="rId1682" display="http://www.boxofficemojo.com/schedule/?view=bydate&amp;release=theatrical&amp;date=2014-11-07&amp;p=.htm"/>
    <hyperlink ref="C565" r:id="rId1683"/>
    <hyperlink ref="D565" r:id="rId1684"/>
    <hyperlink ref="I565" r:id="rId1685" display="http://www.boxofficemojo.com/schedule/?view=bydate&amp;release=theatrical&amp;date=2014-08-08&amp;p=.htm"/>
    <hyperlink ref="C566" r:id="rId1686"/>
    <hyperlink ref="D566" r:id="rId1687"/>
    <hyperlink ref="I566" r:id="rId1688" display="http://www.boxofficemojo.com/schedule/?view=bydate&amp;release=theatrical&amp;date=2014-11-28&amp;p=.htm"/>
    <hyperlink ref="C567" r:id="rId1689"/>
    <hyperlink ref="D567" r:id="rId1690"/>
    <hyperlink ref="I567" r:id="rId1691" display="http://www.boxofficemojo.com/schedule/?view=bydate&amp;release=theatrical&amp;date=2014-11-14&amp;p=.htm"/>
    <hyperlink ref="C568" r:id="rId1692"/>
    <hyperlink ref="D568" r:id="rId1693"/>
    <hyperlink ref="I568" r:id="rId1694" display="http://www.boxofficemojo.com/schedule/?view=bydate&amp;release=theatrical&amp;date=2014-01-03&amp;p=.htm"/>
    <hyperlink ref="C569" r:id="rId1695"/>
    <hyperlink ref="D569" r:id="rId1696"/>
    <hyperlink ref="I569" r:id="rId1697" display="http://www.boxofficemojo.com/schedule/?view=bydate&amp;release=theatrical&amp;date=2014-03-21&amp;p=.htm"/>
    <hyperlink ref="C570" r:id="rId1698"/>
    <hyperlink ref="D570" r:id="rId1699"/>
    <hyperlink ref="I570" r:id="rId1700" display="http://www.boxofficemojo.com/schedule/?view=bydate&amp;release=theatrical&amp;date=2014-05-09&amp;p=.htm"/>
    <hyperlink ref="C571" r:id="rId1701"/>
    <hyperlink ref="D571" r:id="rId1702"/>
    <hyperlink ref="I571" r:id="rId1703" display="http://www.boxofficemojo.com/schedule/?view=bydate&amp;release=theatrical&amp;date=2014-10-29&amp;p=.htm"/>
    <hyperlink ref="C572" r:id="rId1704"/>
    <hyperlink ref="D572" r:id="rId1705"/>
    <hyperlink ref="I572" r:id="rId1706" display="http://www.boxofficemojo.com/schedule/?view=bydate&amp;release=theatrical&amp;date=2014-09-05&amp;p=.htm"/>
    <hyperlink ref="C573" r:id="rId1707"/>
    <hyperlink ref="D573" r:id="rId1708"/>
    <hyperlink ref="I573" r:id="rId1709" display="http://www.boxofficemojo.com/schedule/?view=bydate&amp;release=theatrical&amp;date=2014-10-24&amp;p=.htm"/>
    <hyperlink ref="C574" r:id="rId1710"/>
    <hyperlink ref="D574" r:id="rId1711"/>
    <hyperlink ref="I574" r:id="rId1712" display="http://www.boxofficemojo.com/schedule/?view=bydate&amp;release=theatrical&amp;date=2014-06-27&amp;p=.htm"/>
    <hyperlink ref="C575" r:id="rId1713"/>
    <hyperlink ref="D575" r:id="rId1714"/>
    <hyperlink ref="I575" r:id="rId1715" display="http://www.boxofficemojo.com/schedule/?view=bydate&amp;release=theatrical&amp;date=2014-10-10&amp;p=.htm"/>
    <hyperlink ref="C576" r:id="rId1716"/>
    <hyperlink ref="D576" r:id="rId1717"/>
    <hyperlink ref="I576" r:id="rId1718" display="http://www.boxofficemojo.com/schedule/?view=bydate&amp;release=theatrical&amp;date=2014-10-29&amp;p=.htm"/>
    <hyperlink ref="C577" r:id="rId1719"/>
    <hyperlink ref="D577" r:id="rId1720"/>
    <hyperlink ref="I577" r:id="rId1721" display="http://www.boxofficemojo.com/schedule/?view=bydate&amp;release=theatrical&amp;date=2014-04-18&amp;p=.htm"/>
    <hyperlink ref="C578" r:id="rId1722"/>
    <hyperlink ref="D578" r:id="rId1723"/>
    <hyperlink ref="I578" r:id="rId1724" display="http://www.boxofficemojo.com/schedule/?view=bydate&amp;release=theatrical&amp;date=2014-06-13&amp;p=.htm"/>
    <hyperlink ref="C579" r:id="rId1725"/>
    <hyperlink ref="D579" r:id="rId1726"/>
    <hyperlink ref="I579" r:id="rId1727" display="http://www.boxofficemojo.com/schedule/?view=bydate&amp;release=theatrical&amp;date=2014-03-28&amp;p=.htm"/>
    <hyperlink ref="C580" r:id="rId1728"/>
    <hyperlink ref="D580" r:id="rId1729"/>
    <hyperlink ref="I580" r:id="rId1730" display="http://www.boxofficemojo.com/schedule/?view=bydate&amp;release=theatrical&amp;date=2014-06-13&amp;p=.htm"/>
    <hyperlink ref="C581" r:id="rId1731"/>
    <hyperlink ref="D581" r:id="rId1732"/>
    <hyperlink ref="I581" r:id="rId1733" display="http://www.boxofficemojo.com/schedule/?view=bydate&amp;release=theatrical&amp;date=2014-09-05&amp;p=.htm"/>
    <hyperlink ref="C582" r:id="rId1734"/>
    <hyperlink ref="D582" r:id="rId1735"/>
    <hyperlink ref="I582" r:id="rId1736" display="http://www.boxofficemojo.com/schedule/?view=bydate&amp;release=theatrical&amp;date=2014-04-04&amp;p=.htm"/>
    <hyperlink ref="C583" r:id="rId1737"/>
    <hyperlink ref="D583" r:id="rId1738"/>
    <hyperlink ref="I583" r:id="rId1739" display="http://www.boxofficemojo.com/schedule/?view=bydate&amp;release=theatrical&amp;date=2014-07-18&amp;p=.htm"/>
    <hyperlink ref="C584" r:id="rId1740"/>
    <hyperlink ref="D584" r:id="rId1741"/>
    <hyperlink ref="I584" r:id="rId1742" display="http://www.boxofficemojo.com/schedule/?view=bydate&amp;release=theatrical&amp;date=2014-12-19&amp;p=.htm"/>
    <hyperlink ref="C585" r:id="rId1743"/>
    <hyperlink ref="D585" r:id="rId1744"/>
    <hyperlink ref="I585" r:id="rId1745" display="http://www.boxofficemojo.com/schedule/?view=bydate&amp;release=theatrical&amp;date=2014-06-20&amp;p=.htm"/>
    <hyperlink ref="C586" r:id="rId1746"/>
    <hyperlink ref="D586" r:id="rId1747"/>
    <hyperlink ref="I586" r:id="rId1748" display="http://www.boxofficemojo.com/schedule/?view=bydate&amp;release=theatrical&amp;date=2014-09-12&amp;p=.htm"/>
    <hyperlink ref="C587" r:id="rId1749"/>
    <hyperlink ref="D587" r:id="rId1750"/>
    <hyperlink ref="I587" r:id="rId1751" display="http://www.boxofficemojo.com/schedule/?view=bydate&amp;release=theatrical&amp;date=2014-07-23&amp;p=.htm"/>
    <hyperlink ref="C588" r:id="rId1752"/>
    <hyperlink ref="D588" r:id="rId1753"/>
    <hyperlink ref="I588" r:id="rId1754" display="http://www.boxofficemojo.com/schedule/?view=bydate&amp;release=theatrical&amp;date=2014-11-28&amp;p=.htm"/>
    <hyperlink ref="C589" r:id="rId1755"/>
    <hyperlink ref="D589" r:id="rId1756"/>
    <hyperlink ref="I589" r:id="rId1757" display="http://www.boxofficemojo.com/schedule/?view=bydate&amp;release=theatrical&amp;date=2014-08-22&amp;p=.htm"/>
    <hyperlink ref="C590" r:id="rId1758"/>
    <hyperlink ref="D590" r:id="rId1759"/>
    <hyperlink ref="I590" r:id="rId1760" display="http://www.boxofficemojo.com/schedule/?view=bydate&amp;release=theatrical&amp;date=2014-07-04&amp;p=.htm"/>
    <hyperlink ref="C591" r:id="rId1761"/>
    <hyperlink ref="D591" r:id="rId1762"/>
    <hyperlink ref="I591" r:id="rId1763" display="http://www.boxofficemojo.com/schedule/?view=bydate&amp;release=theatrical&amp;date=2014-12-17&amp;p=.htm"/>
    <hyperlink ref="C592" r:id="rId1764"/>
    <hyperlink ref="D592" r:id="rId1765"/>
    <hyperlink ref="I592" r:id="rId1766" display="http://www.boxofficemojo.com/schedule/?view=bydate&amp;release=theatrical&amp;date=2014-04-04&amp;p=.htm"/>
    <hyperlink ref="C593" r:id="rId1767"/>
    <hyperlink ref="D593" r:id="rId1768"/>
    <hyperlink ref="I593" r:id="rId1769" display="http://www.boxofficemojo.com/schedule/?view=bydate&amp;release=theatrical&amp;date=2014-05-09&amp;p=.htm"/>
    <hyperlink ref="C594" r:id="rId1770"/>
    <hyperlink ref="D594" r:id="rId1771"/>
    <hyperlink ref="I594" r:id="rId1772" display="http://www.boxofficemojo.com/schedule/?view=bydate&amp;release=theatrical&amp;date=2014-06-27&amp;p=.htm"/>
    <hyperlink ref="C595" r:id="rId1773"/>
    <hyperlink ref="D595" r:id="rId1774"/>
    <hyperlink ref="I595" r:id="rId1775" display="http://www.boxofficemojo.com/schedule/?view=bydate&amp;release=theatrical&amp;date=2014-11-26&amp;p=.htm"/>
    <hyperlink ref="C596" r:id="rId1776"/>
    <hyperlink ref="D596" r:id="rId1777"/>
    <hyperlink ref="I596" r:id="rId1778" display="http://www.boxofficemojo.com/schedule/?view=bydate&amp;release=theatrical&amp;date=2014-09-12&amp;p=.htm"/>
    <hyperlink ref="C597" r:id="rId1779"/>
    <hyperlink ref="D597" r:id="rId1780"/>
    <hyperlink ref="I597" r:id="rId1781" display="http://www.boxofficemojo.com/schedule/?view=bydate&amp;release=theatrical&amp;date=2014-06-06&amp;p=.htm"/>
    <hyperlink ref="C598" r:id="rId1782"/>
    <hyperlink ref="D598" r:id="rId1783"/>
    <hyperlink ref="I598" r:id="rId1784" display="http://www.boxofficemojo.com/schedule/?view=bydate&amp;release=theatrical&amp;date=2014-09-12&amp;p=.htm"/>
    <hyperlink ref="C599" r:id="rId1785"/>
    <hyperlink ref="D599" r:id="rId1786"/>
    <hyperlink ref="I599" r:id="rId1787" display="http://www.boxofficemojo.com/schedule/?view=bydate&amp;release=theatrical&amp;date=2014-10-31&amp;p=.htm"/>
    <hyperlink ref="C600" r:id="rId1788"/>
    <hyperlink ref="D600" r:id="rId1789"/>
    <hyperlink ref="I600" r:id="rId1790" display="http://www.boxofficemojo.com/schedule/?view=bydate&amp;release=theatrical&amp;date=2014-07-25&amp;p=.htm"/>
    <hyperlink ref="C601" r:id="rId1791"/>
    <hyperlink ref="D601" r:id="rId1792"/>
    <hyperlink ref="I601" r:id="rId1793" display="http://www.boxofficemojo.com/schedule/?view=bydate&amp;release=theatrical&amp;date=2014-12-05&amp;p=.htm"/>
    <hyperlink ref="C602" r:id="rId1794"/>
    <hyperlink ref="D602" r:id="rId1795"/>
    <hyperlink ref="I602" r:id="rId1796" display="http://www.boxofficemojo.com/schedule/?view=bydate&amp;release=theatrical&amp;date=2014-09-12&amp;p=.htm"/>
    <hyperlink ref="C603" r:id="rId1797"/>
    <hyperlink ref="D603" r:id="rId1798"/>
    <hyperlink ref="I603" r:id="rId1799" display="http://www.boxofficemojo.com/schedule/?view=bydate&amp;release=theatrical&amp;date=2014-09-12&amp;p=.htm"/>
    <hyperlink ref="C604" r:id="rId1800"/>
    <hyperlink ref="D604" r:id="rId1801"/>
    <hyperlink ref="I604" r:id="rId1802" display="http://www.boxofficemojo.com/schedule/?view=bydate&amp;release=theatrical&amp;date=2014-08-29&amp;p=.htm"/>
    <hyperlink ref="C605" r:id="rId1803"/>
    <hyperlink ref="D605" r:id="rId1804"/>
    <hyperlink ref="I605" r:id="rId1805" display="http://www.boxofficemojo.com/schedule/?view=bydate&amp;release=theatrical&amp;date=2014-02-21&amp;p=.htm"/>
    <hyperlink ref="C606" r:id="rId1806"/>
    <hyperlink ref="D606" r:id="rId1807"/>
    <hyperlink ref="I606" r:id="rId1808" display="http://www.boxofficemojo.com/schedule/?view=bydate&amp;release=theatrical&amp;date=2014-08-15&amp;p=.htm"/>
    <hyperlink ref="C607" r:id="rId1809"/>
    <hyperlink ref="D607" r:id="rId1810"/>
    <hyperlink ref="I607" r:id="rId1811" display="http://www.boxofficemojo.com/schedule/?view=bydate&amp;release=theatrical&amp;date=2014-01-31&amp;p=.htm"/>
    <hyperlink ref="C608" r:id="rId1812"/>
    <hyperlink ref="D608" r:id="rId1813"/>
    <hyperlink ref="I608" r:id="rId1814" display="http://www.boxofficemojo.com/schedule/?view=bydate&amp;release=theatrical&amp;date=2014-10-17&amp;p=.htm"/>
    <hyperlink ref="C609" r:id="rId1815"/>
    <hyperlink ref="D609" r:id="rId1816"/>
    <hyperlink ref="I609" r:id="rId1817" display="http://www.boxofficemojo.com/schedule/?view=bydate&amp;release=theatrical&amp;date=2014-04-19&amp;p=.htm"/>
    <hyperlink ref="C610" r:id="rId1818"/>
    <hyperlink ref="D610" r:id="rId1819"/>
    <hyperlink ref="I610" r:id="rId1820" display="http://www.boxofficemojo.com/schedule/?view=bydate&amp;release=theatrical&amp;date=2014-12-05&amp;p=.htm"/>
    <hyperlink ref="C611" r:id="rId1821"/>
    <hyperlink ref="D611" r:id="rId1822"/>
    <hyperlink ref="I611" r:id="rId1823" display="http://www.boxofficemojo.com/schedule/?view=bydate&amp;release=theatrical&amp;date=2014-07-11&amp;p=.htm"/>
    <hyperlink ref="C612" r:id="rId1824"/>
    <hyperlink ref="D612" r:id="rId1825"/>
    <hyperlink ref="I612" r:id="rId1826" display="http://www.boxofficemojo.com/schedule/?view=bydate&amp;release=theatrical&amp;date=2014-11-11&amp;p=.htm"/>
    <hyperlink ref="C613" r:id="rId1827"/>
    <hyperlink ref="D613" r:id="rId1828"/>
    <hyperlink ref="I613" r:id="rId1829" display="http://www.boxofficemojo.com/schedule/?view=bydate&amp;release=theatrical&amp;date=2014-05-16&amp;p=.htm"/>
    <hyperlink ref="C614" r:id="rId1830"/>
    <hyperlink ref="D614" r:id="rId1831"/>
    <hyperlink ref="I614" r:id="rId1832" display="http://www.boxofficemojo.com/schedule/?view=bydate&amp;release=theatrical&amp;date=2014-06-06&amp;p=.htm"/>
    <hyperlink ref="C615" r:id="rId1833"/>
    <hyperlink ref="D615" r:id="rId1834"/>
    <hyperlink ref="I615" r:id="rId1835" display="http://www.boxofficemojo.com/schedule/?view=bydate&amp;release=theatrical&amp;date=2014-06-27&amp;p=.htm"/>
    <hyperlink ref="C616" r:id="rId1836"/>
    <hyperlink ref="D616" r:id="rId1837"/>
    <hyperlink ref="I616" r:id="rId1838" display="http://www.boxofficemojo.com/schedule/?view=bydate&amp;release=theatrical&amp;date=2014-07-25&amp;p=.htm"/>
    <hyperlink ref="C617" r:id="rId1839"/>
    <hyperlink ref="D617" r:id="rId1840"/>
    <hyperlink ref="I617" r:id="rId1841" display="http://www.boxofficemojo.com/schedule/?view=bydate&amp;release=theatrical&amp;date=2014-09-19&amp;p=.htm"/>
    <hyperlink ref="C618" r:id="rId1842"/>
    <hyperlink ref="D618" r:id="rId1843"/>
    <hyperlink ref="I618" r:id="rId1844" display="http://www.boxofficemojo.com/schedule/?view=bydate&amp;release=theatrical&amp;date=2014-09-26&amp;p=.htm"/>
    <hyperlink ref="C619" r:id="rId1845"/>
    <hyperlink ref="D619" r:id="rId1846"/>
    <hyperlink ref="I619" r:id="rId1847" display="http://www.boxofficemojo.com/schedule/?view=bydate&amp;release=theatrical&amp;date=2014-01-10&amp;p=.htm"/>
    <hyperlink ref="C620" r:id="rId1848"/>
    <hyperlink ref="D620" r:id="rId1849"/>
    <hyperlink ref="I620" r:id="rId1850" display="http://www.boxofficemojo.com/schedule/?view=bydate&amp;release=theatrical&amp;date=2014-10-10&amp;p=.htm"/>
    <hyperlink ref="C621" r:id="rId1851"/>
    <hyperlink ref="D621" r:id="rId1852"/>
    <hyperlink ref="I621" r:id="rId1853" display="http://www.boxofficemojo.com/schedule/?view=bydate&amp;release=theatrical&amp;date=2014-08-29&amp;p=.htm"/>
    <hyperlink ref="C622" r:id="rId1854"/>
    <hyperlink ref="D622" r:id="rId1855"/>
    <hyperlink ref="I622" r:id="rId1856" display="http://www.boxofficemojo.com/schedule/?view=bydate&amp;release=theatrical&amp;date=2014-10-31&amp;p=.htm"/>
    <hyperlink ref="C623" r:id="rId1857"/>
    <hyperlink ref="D623" r:id="rId1858"/>
    <hyperlink ref="I623" r:id="rId1859" display="http://www.boxofficemojo.com/schedule/?view=bydate&amp;release=theatrical&amp;date=2014-05-09&amp;p=.htm"/>
    <hyperlink ref="C624" r:id="rId1860"/>
    <hyperlink ref="D624" r:id="rId1861"/>
    <hyperlink ref="I624" r:id="rId1862" display="http://www.boxofficemojo.com/schedule/?view=bydate&amp;release=theatrical&amp;date=2014-10-31&amp;p=.htm"/>
    <hyperlink ref="C625" r:id="rId1863"/>
    <hyperlink ref="D625" r:id="rId1864"/>
    <hyperlink ref="I625" r:id="rId1865" display="http://www.boxofficemojo.com/schedule/?view=bydate&amp;release=theatrical&amp;date=2014-07-25&amp;p=.htm"/>
    <hyperlink ref="C626" r:id="rId1866"/>
    <hyperlink ref="D626" r:id="rId1867"/>
    <hyperlink ref="I626" r:id="rId1868" display="http://www.boxofficemojo.com/schedule/?view=bydate&amp;release=theatrical&amp;date=2014-12-05&amp;p=.htm"/>
    <hyperlink ref="C627" r:id="rId1869"/>
    <hyperlink ref="D627" r:id="rId1870"/>
    <hyperlink ref="I627" r:id="rId1871" display="http://www.boxofficemojo.com/schedule/?view=bydate&amp;release=theatrical&amp;date=2014-03-28&amp;p=.htm"/>
    <hyperlink ref="C628" r:id="rId1872"/>
    <hyperlink ref="D628" r:id="rId1873"/>
    <hyperlink ref="I628" r:id="rId1874" display="http://www.boxofficemojo.com/schedule/?view=bydate&amp;release=theatrical&amp;date=2014-05-30&amp;p=.htm"/>
    <hyperlink ref="C629" r:id="rId1875"/>
    <hyperlink ref="D629" r:id="rId1876"/>
    <hyperlink ref="I629" r:id="rId1877" display="http://www.boxofficemojo.com/schedule/?view=bydate&amp;release=theatrical&amp;date=2014-01-17&amp;p=.htm"/>
    <hyperlink ref="C630" r:id="rId1878"/>
    <hyperlink ref="D630" r:id="rId1879"/>
    <hyperlink ref="I630" r:id="rId1880" display="http://www.boxofficemojo.com/schedule/?view=bydate&amp;release=theatrical&amp;date=2014-01-24&amp;p=.htm"/>
    <hyperlink ref="C631" r:id="rId1881"/>
    <hyperlink ref="D631" r:id="rId1882"/>
    <hyperlink ref="I631" r:id="rId1883" display="http://www.boxofficemojo.com/schedule/?view=bydate&amp;release=theatrical&amp;date=2014-01-17&amp;p=.htm"/>
    <hyperlink ref="C632" r:id="rId1884"/>
    <hyperlink ref="D632" r:id="rId1885"/>
    <hyperlink ref="I632" r:id="rId1886" display="http://www.boxofficemojo.com/schedule/?view=bydate&amp;release=theatrical&amp;date=2014-03-28&amp;p=.htm"/>
    <hyperlink ref="C633" r:id="rId1887"/>
    <hyperlink ref="D633" r:id="rId1888"/>
    <hyperlink ref="I633" r:id="rId1889" display="http://www.boxofficemojo.com/schedule/?view=bydate&amp;release=theatrical&amp;date=2014-01-10&amp;p=.htm"/>
    <hyperlink ref="C634" r:id="rId1890"/>
    <hyperlink ref="D634" r:id="rId1891"/>
    <hyperlink ref="I634" r:id="rId1892" display="http://www.boxofficemojo.com/schedule/?view=bydate&amp;release=theatrical&amp;date=2014-07-25&amp;p=.htm"/>
    <hyperlink ref="C635" r:id="rId1893"/>
    <hyperlink ref="D635" r:id="rId1894"/>
    <hyperlink ref="I635" r:id="rId1895" display="http://www.boxofficemojo.com/schedule/?view=bydate&amp;release=theatrical&amp;date=2014-12-12&amp;p=.htm"/>
    <hyperlink ref="C636" r:id="rId1896"/>
    <hyperlink ref="D636" r:id="rId1897"/>
    <hyperlink ref="I636" r:id="rId1898" display="http://www.boxofficemojo.com/schedule/?view=bydate&amp;release=theatrical&amp;date=2014-02-07&amp;p=.htm"/>
    <hyperlink ref="C637" r:id="rId1899"/>
    <hyperlink ref="D637" r:id="rId1900"/>
    <hyperlink ref="I637" r:id="rId1901" display="http://www.boxofficemojo.com/schedule/?view=bydate&amp;release=theatrical&amp;date=2014-02-07&amp;p=.htm"/>
    <hyperlink ref="C638" r:id="rId1902"/>
    <hyperlink ref="D638" r:id="rId1903"/>
    <hyperlink ref="I638" r:id="rId1904" display="http://www.boxofficemojo.com/schedule/?view=bydate&amp;release=theatrical&amp;date=2014-03-21&amp;p=.htm"/>
    <hyperlink ref="C639" r:id="rId1905"/>
    <hyperlink ref="D639" r:id="rId1906"/>
    <hyperlink ref="I639" r:id="rId1907" display="http://www.boxofficemojo.com/schedule/?view=bydate&amp;release=theatrical&amp;date=2014-08-01&amp;p=.htm"/>
    <hyperlink ref="C640" r:id="rId1908"/>
    <hyperlink ref="D640" r:id="rId1909"/>
    <hyperlink ref="I640" r:id="rId1910" display="http://www.boxofficemojo.com/schedule/?view=bydate&amp;release=theatrical&amp;date=2014-06-06&amp;p=.htm"/>
    <hyperlink ref="C641" r:id="rId1911"/>
    <hyperlink ref="D641" r:id="rId1912"/>
    <hyperlink ref="I641" r:id="rId1913" display="http://www.boxofficemojo.com/schedule/?view=bydate&amp;release=theatrical&amp;date=2014-10-10&amp;p=.htm"/>
    <hyperlink ref="C642" r:id="rId1914"/>
    <hyperlink ref="D642" r:id="rId1915"/>
    <hyperlink ref="I642" r:id="rId1916" display="http://www.boxofficemojo.com/schedule/?view=bydate&amp;release=theatrical&amp;date=2014-01-24&amp;p=.htm"/>
    <hyperlink ref="C643" r:id="rId1917"/>
    <hyperlink ref="D643" r:id="rId1918"/>
    <hyperlink ref="I643" r:id="rId1919" display="http://www.boxofficemojo.com/schedule/?view=bydate&amp;release=theatrical&amp;date=2014-04-18&amp;p=.htm"/>
    <hyperlink ref="C644" r:id="rId1920"/>
    <hyperlink ref="D644" r:id="rId1921"/>
    <hyperlink ref="I644" r:id="rId1922" display="http://www.boxofficemojo.com/schedule/?view=bydate&amp;release=theatrical&amp;date=2014-04-18&amp;p=.htm"/>
    <hyperlink ref="C645" r:id="rId1923"/>
    <hyperlink ref="D645" r:id="rId1924"/>
    <hyperlink ref="I645" r:id="rId1925" display="http://www.boxofficemojo.com/schedule/?view=bydate&amp;release=theatrical&amp;date=2014-04-04&amp;p=.htm"/>
    <hyperlink ref="C646" r:id="rId1926"/>
    <hyperlink ref="D646" r:id="rId1927"/>
    <hyperlink ref="I646" r:id="rId1928" display="http://www.boxofficemojo.com/schedule/?view=bydate&amp;release=theatrical&amp;date=2014-03-07&amp;p=.htm"/>
    <hyperlink ref="C647" r:id="rId1929"/>
    <hyperlink ref="D647" r:id="rId1930"/>
    <hyperlink ref="I647" r:id="rId1931" display="http://www.boxofficemojo.com/schedule/?view=bydate&amp;release=theatrical&amp;date=2014-01-10&amp;p=.htm"/>
    <hyperlink ref="C648" r:id="rId1932"/>
    <hyperlink ref="D648" r:id="rId1933"/>
    <hyperlink ref="I648" r:id="rId1934" display="http://www.boxofficemojo.com/schedule/?view=bydate&amp;release=theatrical&amp;date=2014-11-21&amp;p=.htm"/>
    <hyperlink ref="C649" r:id="rId1935"/>
    <hyperlink ref="D649" r:id="rId1936"/>
    <hyperlink ref="I649" r:id="rId1937" display="http://www.boxofficemojo.com/schedule/?view=bydate&amp;release=theatrical&amp;date=2014-06-27&amp;p=.htm"/>
    <hyperlink ref="C650" r:id="rId1938"/>
    <hyperlink ref="D650" r:id="rId1939"/>
    <hyperlink ref="I650" r:id="rId1940" display="http://www.boxofficemojo.com/schedule/?view=bydate&amp;release=theatrical&amp;date=2014-04-18&amp;p=.htm"/>
    <hyperlink ref="C651" r:id="rId1941"/>
    <hyperlink ref="D651" r:id="rId1942"/>
    <hyperlink ref="I651" r:id="rId1943" display="http://www.boxofficemojo.com/schedule/?view=bydate&amp;release=theatrical&amp;date=2014-11-07&amp;p=.htm"/>
    <hyperlink ref="C652" r:id="rId1944"/>
    <hyperlink ref="D652" r:id="rId1945"/>
    <hyperlink ref="I652" r:id="rId1946" display="http://www.boxofficemojo.com/schedule/?view=bydate&amp;release=theatrical&amp;date=2014-09-12&amp;p=.htm"/>
    <hyperlink ref="C653" r:id="rId1947"/>
    <hyperlink ref="D653" r:id="rId1948"/>
    <hyperlink ref="I653" r:id="rId1949" display="http://www.boxofficemojo.com/schedule/?view=bydate&amp;release=theatrical&amp;date=2014-06-27&amp;p=.htm"/>
    <hyperlink ref="C654" r:id="rId1950"/>
    <hyperlink ref="D654" r:id="rId1951"/>
    <hyperlink ref="I654" r:id="rId1952" display="http://www.boxofficemojo.com/schedule/?view=bydate&amp;release=theatrical&amp;date=2014-01-10&amp;p=.htm"/>
    <hyperlink ref="C655" r:id="rId1953"/>
    <hyperlink ref="D655" r:id="rId1954"/>
    <hyperlink ref="I655" r:id="rId1955" display="http://www.boxofficemojo.com/schedule/?view=bydate&amp;release=theatrical&amp;date=2014-06-06&amp;p=.htm"/>
    <hyperlink ref="C656" r:id="rId1956"/>
    <hyperlink ref="D656" r:id="rId1957"/>
    <hyperlink ref="I656" r:id="rId1958" display="http://www.boxofficemojo.com/schedule/?view=bydate&amp;release=theatrical&amp;date=2014-12-12&amp;p=.htm"/>
    <hyperlink ref="C657" r:id="rId1959"/>
    <hyperlink ref="D657" r:id="rId1960"/>
    <hyperlink ref="I657" r:id="rId1961" display="http://www.boxofficemojo.com/schedule/?view=bydate&amp;release=theatrical&amp;date=2014-09-05&amp;p=.htm"/>
    <hyperlink ref="C658" r:id="rId1962"/>
    <hyperlink ref="D658" r:id="rId1963"/>
    <hyperlink ref="I658" r:id="rId1964" display="http://www.boxofficemojo.com/schedule/?view=bydate&amp;release=theatrical&amp;date=2014-12-12&amp;p=.htm"/>
    <hyperlink ref="C659" r:id="rId1965"/>
    <hyperlink ref="D659" r:id="rId1966"/>
    <hyperlink ref="I659" r:id="rId1967" display="http://www.boxofficemojo.com/schedule/?view=bydate&amp;release=theatrical&amp;date=2014-01-03&amp;p=.htm"/>
    <hyperlink ref="C660" r:id="rId1968"/>
    <hyperlink ref="D660" r:id="rId1969"/>
    <hyperlink ref="I660" r:id="rId1970" display="http://www.boxofficemojo.com/schedule/?view=bydate&amp;release=theatrical&amp;date=2014-09-19&amp;p=.htm"/>
    <hyperlink ref="C661" r:id="rId1971"/>
    <hyperlink ref="D661" r:id="rId1972"/>
    <hyperlink ref="I661" r:id="rId1973" display="http://www.boxofficemojo.com/schedule/?view=bydate&amp;release=theatrical&amp;date=2014-09-19&amp;p=.htm"/>
    <hyperlink ref="C662" r:id="rId1974"/>
    <hyperlink ref="D662" r:id="rId1975"/>
    <hyperlink ref="I662" r:id="rId1976" display="http://www.boxofficemojo.com/schedule/?view=bydate&amp;release=theatrical&amp;date=2014-03-14&amp;p=.htm"/>
    <hyperlink ref="C663" r:id="rId1977"/>
    <hyperlink ref="D663" r:id="rId1978"/>
    <hyperlink ref="I663" r:id="rId1979" display="http://www.boxofficemojo.com/schedule/?view=bydate&amp;release=theatrical&amp;date=2014-09-19&amp;p=.htm"/>
    <hyperlink ref="C664" r:id="rId1980"/>
    <hyperlink ref="D664" r:id="rId1981"/>
    <hyperlink ref="I664" r:id="rId1982" display="http://www.boxofficemojo.com/schedule/?view=bydate&amp;release=theatrical&amp;date=2014-03-28&amp;p=.htm"/>
    <hyperlink ref="C665" r:id="rId1983"/>
    <hyperlink ref="D665" r:id="rId1984"/>
    <hyperlink ref="I665" r:id="rId1985" display="http://www.boxofficemojo.com/schedule/?view=bydate&amp;release=theatrical&amp;date=2014-10-10&amp;p=.htm"/>
    <hyperlink ref="C666" r:id="rId1986"/>
    <hyperlink ref="D666" r:id="rId1987"/>
    <hyperlink ref="I666" r:id="rId1988" display="http://www.boxofficemojo.com/schedule/?view=bydate&amp;release=theatrical&amp;date=2014-03-28&amp;p=.htm"/>
    <hyperlink ref="C667" r:id="rId1989"/>
    <hyperlink ref="D667" r:id="rId1990"/>
    <hyperlink ref="I667" r:id="rId1991" display="http://www.boxofficemojo.com/schedule/?view=bydate&amp;release=theatrical&amp;date=2014-10-17&amp;p=.htm"/>
    <hyperlink ref="C668" r:id="rId1992"/>
    <hyperlink ref="D668" r:id="rId1993"/>
    <hyperlink ref="I668" r:id="rId1994" display="http://www.boxofficemojo.com/schedule/?view=bydate&amp;release=theatrical&amp;date=2014-11-28&amp;p=.htm"/>
    <hyperlink ref="C669" r:id="rId1995"/>
    <hyperlink ref="D669" r:id="rId1996"/>
    <hyperlink ref="I669" r:id="rId1997" display="http://www.boxofficemojo.com/schedule/?view=bydate&amp;release=theatrical&amp;date=2014-09-19&amp;p=.htm"/>
    <hyperlink ref="C670" r:id="rId1998"/>
    <hyperlink ref="D670" r:id="rId1999"/>
    <hyperlink ref="I670" r:id="rId2000" display="http://www.boxofficemojo.com/schedule/?view=bydate&amp;release=theatrical&amp;date=2014-05-30&amp;p=.htm"/>
    <hyperlink ref="C671" r:id="rId2001"/>
    <hyperlink ref="D671" r:id="rId2002"/>
    <hyperlink ref="I671" r:id="rId2003" display="http://www.boxofficemojo.com/schedule/?view=bydate&amp;release=theatrical&amp;date=2014-07-04&amp;p=.htm"/>
    <hyperlink ref="C672" r:id="rId2004"/>
    <hyperlink ref="D672" r:id="rId2005"/>
    <hyperlink ref="I672" r:id="rId2006" display="http://www.boxofficemojo.com/schedule/?view=bydate&amp;release=theatrical&amp;date=2014-10-31&amp;p=.htm"/>
    <hyperlink ref="C673" r:id="rId2007"/>
    <hyperlink ref="D673" r:id="rId2008"/>
    <hyperlink ref="I673" r:id="rId2009" display="http://www.boxofficemojo.com/schedule/?view=bydate&amp;release=theatrical&amp;date=2014-08-08&amp;p=.htm"/>
    <hyperlink ref="C674" r:id="rId2010"/>
    <hyperlink ref="D674" r:id="rId2011"/>
    <hyperlink ref="I674" r:id="rId2012" display="http://www.boxofficemojo.com/schedule/?view=bydate&amp;release=theatrical&amp;date=2014-03-21&amp;p=.htm"/>
    <hyperlink ref="C675" r:id="rId2013"/>
    <hyperlink ref="D675" r:id="rId2014"/>
    <hyperlink ref="I675" r:id="rId2015" display="http://www.boxofficemojo.com/schedule/?view=bydate&amp;release=theatrical&amp;date=2014-02-28&amp;p=.htm"/>
    <hyperlink ref="C676" r:id="rId2016"/>
    <hyperlink ref="D676" r:id="rId2017"/>
    <hyperlink ref="I676" r:id="rId2018" display="http://www.boxofficemojo.com/schedule/?view=bydate&amp;release=theatrical&amp;date=2014-11-21&amp;p=.htm"/>
    <hyperlink ref="C677" r:id="rId2019"/>
    <hyperlink ref="D677" r:id="rId2020"/>
    <hyperlink ref="I677" r:id="rId2021" display="http://www.boxofficemojo.com/schedule/?view=bydate&amp;release=theatrical&amp;date=2014-02-21&amp;p=.htm"/>
    <hyperlink ref="C678" r:id="rId2022"/>
    <hyperlink ref="D678" r:id="rId2023"/>
    <hyperlink ref="I678" r:id="rId2024" display="http://www.boxofficemojo.com/schedule/?view=bydate&amp;release=theatrical&amp;date=2014-01-24&amp;p=.htm"/>
    <hyperlink ref="C679" r:id="rId2025"/>
    <hyperlink ref="D679" r:id="rId2026"/>
    <hyperlink ref="I679" r:id="rId2027" display="http://www.boxofficemojo.com/schedule/?view=bydate&amp;release=theatrical&amp;date=2014-03-28&amp;p=.htm"/>
    <hyperlink ref="C680" r:id="rId2028"/>
    <hyperlink ref="D680" r:id="rId2029"/>
    <hyperlink ref="I680" r:id="rId2030" display="http://www.boxofficemojo.com/schedule/?view=bydate&amp;release=theatrical&amp;date=2014-01-17&amp;p=.htm"/>
    <hyperlink ref="C681" r:id="rId2031"/>
    <hyperlink ref="D681" r:id="rId2032"/>
    <hyperlink ref="I681" r:id="rId2033" display="http://www.boxofficemojo.com/schedule/?view=bydate&amp;release=theatrical&amp;date=2014-08-15&amp;p=.htm"/>
    <hyperlink ref="C682" r:id="rId2034"/>
    <hyperlink ref="D682" r:id="rId2035"/>
    <hyperlink ref="I682" r:id="rId2036" display="http://www.boxofficemojo.com/schedule/?view=bydate&amp;release=theatrical&amp;date=2014-03-21&amp;p=.htm"/>
    <hyperlink ref="C683" r:id="rId2037"/>
    <hyperlink ref="D683" r:id="rId2038"/>
    <hyperlink ref="I683" r:id="rId2039" display="http://www.boxofficemojo.com/schedule/?view=bydate&amp;release=theatrical&amp;date=2014-10-24&amp;p=.htm"/>
    <hyperlink ref="C684" r:id="rId2040"/>
    <hyperlink ref="D684" r:id="rId2041"/>
    <hyperlink ref="I684" r:id="rId2042" display="http://www.boxofficemojo.com/schedule/?view=bydate&amp;release=theatrical&amp;date=2014-01-10&amp;p=.htm"/>
    <hyperlink ref="C685" r:id="rId2043"/>
    <hyperlink ref="D685" r:id="rId2044"/>
    <hyperlink ref="I685" r:id="rId2045" display="http://www.boxofficemojo.com/schedule/?view=bydate&amp;release=theatrical&amp;date=2014-05-02&amp;p=.htm"/>
    <hyperlink ref="C686" r:id="rId2046"/>
    <hyperlink ref="D686" r:id="rId2047"/>
    <hyperlink ref="I686" r:id="rId2048" display="http://www.boxofficemojo.com/schedule/?view=bydate&amp;release=theatrical&amp;date=2014-06-13&amp;p=.htm"/>
    <hyperlink ref="C687" r:id="rId2049"/>
    <hyperlink ref="D687" r:id="rId2050"/>
    <hyperlink ref="I687" r:id="rId2051" display="http://www.boxofficemojo.com/schedule/?view=bydate&amp;release=theatrical&amp;date=2014-08-01&amp;p=.htm"/>
    <hyperlink ref="C688" r:id="rId2052"/>
    <hyperlink ref="D688" r:id="rId2053"/>
    <hyperlink ref="I688" r:id="rId2054" display="http://www.boxofficemojo.com/schedule/?view=bydate&amp;release=theatrical&amp;date=2014-03-16&amp;p=.htm"/>
    <hyperlink ref="C689" r:id="rId2055"/>
    <hyperlink ref="D689" r:id="rId2056"/>
    <hyperlink ref="I689" r:id="rId2057" display="http://www.boxofficemojo.com/schedule/?view=bydate&amp;release=theatrical&amp;date=2014-10-31&amp;p=.htm"/>
    <hyperlink ref="C690" r:id="rId2058"/>
    <hyperlink ref="D690" r:id="rId2059"/>
    <hyperlink ref="I690" r:id="rId2060" display="http://www.boxofficemojo.com/schedule/?view=bydate&amp;release=theatrical&amp;date=2014-03-14&amp;p=.htm"/>
    <hyperlink ref="C691" r:id="rId2061"/>
    <hyperlink ref="D691" r:id="rId2062"/>
    <hyperlink ref="I691" r:id="rId2063" display="http://www.boxofficemojo.com/schedule/?view=bydate&amp;release=theatrical&amp;date=2014-10-17&amp;p=.htm"/>
    <hyperlink ref="C692" r:id="rId2064"/>
    <hyperlink ref="D692" r:id="rId2065"/>
    <hyperlink ref="I692" r:id="rId2066" display="http://www.boxofficemojo.com/schedule/?view=bydate&amp;release=theatrical&amp;date=2014-11-07&amp;p=.htm"/>
    <hyperlink ref="C693" r:id="rId2067"/>
    <hyperlink ref="D693" r:id="rId2068"/>
    <hyperlink ref="I693" r:id="rId2069" display="http://www.boxofficemojo.com/schedule/?view=bydate&amp;release=theatrical&amp;date=2014-11-07&amp;p=.htm"/>
    <hyperlink ref="C694" r:id="rId2070"/>
    <hyperlink ref="D694" r:id="rId2071"/>
    <hyperlink ref="I694" r:id="rId2072" display="http://www.boxofficemojo.com/schedule/?view=bydate&amp;release=theatrical&amp;date=2014-05-02&amp;p=.htm"/>
    <hyperlink ref="C695" r:id="rId2073"/>
    <hyperlink ref="D695" r:id="rId2074"/>
    <hyperlink ref="I695" r:id="rId2075" display="http://www.boxofficemojo.com/schedule/?view=bydate&amp;release=theatrical&amp;date=2014-01-17&amp;p=.htm"/>
    <hyperlink ref="C696" r:id="rId2076"/>
    <hyperlink ref="D696" r:id="rId2077"/>
    <hyperlink ref="I696" r:id="rId2078" display="http://www.boxofficemojo.com/schedule/?view=bydate&amp;release=theatrical&amp;date=2014-10-24&amp;p=.htm"/>
    <hyperlink ref="C697" r:id="rId2079"/>
    <hyperlink ref="D697" r:id="rId2080"/>
    <hyperlink ref="I697" r:id="rId2081" display="http://www.boxofficemojo.com/schedule/?view=bydate&amp;release=theatrical&amp;date=2014-06-27&amp;p=.htm"/>
    <hyperlink ref="C698" r:id="rId2082"/>
    <hyperlink ref="D698" r:id="rId2083"/>
    <hyperlink ref="I698" r:id="rId2084" display="http://www.boxofficemojo.com/schedule/?view=bydate&amp;release=theatrical&amp;date=2014-02-21&amp;p=.htm"/>
    <hyperlink ref="C699" r:id="rId2085"/>
    <hyperlink ref="D699" r:id="rId2086"/>
    <hyperlink ref="I699" r:id="rId2087" display="http://www.boxofficemojo.com/schedule/?view=bydate&amp;release=theatrical&amp;date=2014-08-22&amp;p=.htm"/>
    <hyperlink ref="C700" r:id="rId2088"/>
    <hyperlink ref="D700" r:id="rId2089"/>
    <hyperlink ref="I700" r:id="rId2090" display="http://www.boxofficemojo.com/schedule/?view=bydate&amp;release=theatrical&amp;date=2014-11-07&amp;p=.htm"/>
    <hyperlink ref="C701" r:id="rId2091"/>
    <hyperlink ref="D701" r:id="rId2092"/>
    <hyperlink ref="I701" r:id="rId2093" display="http://www.boxofficemojo.com/schedule/?view=bydate&amp;release=theatrical&amp;date=2014-12-17&amp;p=.htm"/>
    <hyperlink ref="C702" r:id="rId2094"/>
    <hyperlink ref="D702" r:id="rId2095"/>
    <hyperlink ref="I702" r:id="rId2096" display="http://www.boxofficemojo.com/schedule/?view=bydate&amp;release=theatrical&amp;date=2014-12-12&amp;p=.htm"/>
    <hyperlink ref="C703" r:id="rId2097"/>
    <hyperlink ref="D703" r:id="rId2098"/>
    <hyperlink ref="I703" r:id="rId2099" display="http://www.boxofficemojo.com/schedule/?view=bydate&amp;release=theatrical&amp;date=2014-04-11&amp;p=.htm"/>
    <hyperlink ref="C704" r:id="rId2100"/>
    <hyperlink ref="D704" r:id="rId2101"/>
    <hyperlink ref="I704" r:id="rId2102" display="http://www.boxofficemojo.com/schedule/?view=bydate&amp;release=theatrical&amp;date=2014-02-07&amp;p=.htm"/>
    <hyperlink ref="C705" r:id="rId2103"/>
    <hyperlink ref="D705" r:id="rId2104"/>
    <hyperlink ref="I705" r:id="rId2105" display="http://www.boxofficemojo.com/schedule/?view=bydate&amp;release=theatrical&amp;date=2014-05-16&amp;p=.htm"/>
    <hyperlink ref="C706" r:id="rId2106"/>
    <hyperlink ref="D706" r:id="rId2107"/>
    <hyperlink ref="I706" r:id="rId2108" display="http://www.boxofficemojo.com/schedule/?view=bydate&amp;release=theatrical&amp;date=2014-06-27&amp;p=.htm"/>
    <hyperlink ref="C707" r:id="rId2109"/>
    <hyperlink ref="D707" r:id="rId2110"/>
    <hyperlink ref="I707" r:id="rId2111" display="http://www.boxofficemojo.com/schedule/?view=bydate&amp;release=theatrical&amp;date=2014-05-23&amp;p=.htm"/>
    <hyperlink ref="C708" r:id="rId2112"/>
    <hyperlink ref="D708" r:id="rId2113"/>
    <hyperlink ref="I708" r:id="rId2114" display="http://www.boxofficemojo.com/schedule/?view=bydate&amp;release=theatrical&amp;date=2014-03-08&amp;p=.htm"/>
    <hyperlink ref="C709" r:id="rId2115"/>
    <hyperlink ref="D709" r:id="rId2116"/>
    <hyperlink ref="I709" r:id="rId2117" display="http://www.boxofficemojo.com/schedule/?view=bydate&amp;release=theatrical&amp;date=2014-07-03&amp;p=.htm"/>
    <hyperlink ref="C710" r:id="rId2118"/>
    <hyperlink ref="D710" r:id="rId2119"/>
    <hyperlink ref="I710" r:id="rId2120" display="http://www.boxofficemojo.com/schedule/?view=bydate&amp;release=theatrical&amp;date=2014-09-20&amp;p=.htm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707"/>
  <sheetViews>
    <sheetView workbookViewId="0">
      <selection activeCell="M661" sqref="M661"/>
    </sheetView>
  </sheetViews>
  <sheetFormatPr baseColWidth="10" defaultRowHeight="16" x14ac:dyDescent="0.2"/>
  <sheetData>
    <row r="3" spans="2:10" x14ac:dyDescent="0.2">
      <c r="B3" s="26" t="s">
        <v>550</v>
      </c>
      <c r="C3" s="26" t="s">
        <v>551</v>
      </c>
      <c r="D3" s="21" t="s">
        <v>0</v>
      </c>
    </row>
    <row r="4" spans="2:10" x14ac:dyDescent="0.2">
      <c r="B4" s="26"/>
      <c r="C4" s="26"/>
    </row>
    <row r="5" spans="2:10" x14ac:dyDescent="0.2">
      <c r="B5" s="22"/>
      <c r="C5" s="20" t="s">
        <v>7639</v>
      </c>
      <c r="D5" s="22" t="s">
        <v>5303</v>
      </c>
      <c r="E5" s="21" t="s">
        <v>552</v>
      </c>
      <c r="F5" s="21" t="s">
        <v>553</v>
      </c>
    </row>
    <row r="6" spans="2:10" x14ac:dyDescent="0.2">
      <c r="B6" s="22">
        <v>1</v>
      </c>
      <c r="C6" s="21" t="s">
        <v>5304</v>
      </c>
      <c r="D6" s="21" t="s">
        <v>554</v>
      </c>
      <c r="E6" s="20" t="s">
        <v>5305</v>
      </c>
      <c r="F6" s="22">
        <v>4.1340000000000003</v>
      </c>
      <c r="G6" s="22" t="s">
        <v>5306</v>
      </c>
      <c r="H6" s="22">
        <v>4.1340000000000003</v>
      </c>
      <c r="I6" s="25">
        <v>43452</v>
      </c>
      <c r="J6" s="24">
        <v>43253</v>
      </c>
    </row>
    <row r="7" spans="2:10" x14ac:dyDescent="0.2">
      <c r="B7" s="22">
        <v>2</v>
      </c>
      <c r="C7" s="21" t="s">
        <v>5307</v>
      </c>
      <c r="D7" s="21" t="s">
        <v>586</v>
      </c>
      <c r="E7" s="20" t="s">
        <v>5308</v>
      </c>
      <c r="F7" s="22">
        <v>4.2910000000000004</v>
      </c>
      <c r="G7" s="22" t="s">
        <v>5309</v>
      </c>
      <c r="H7" s="22">
        <v>4.274</v>
      </c>
      <c r="I7" s="25">
        <v>43263</v>
      </c>
      <c r="J7" s="24">
        <v>43423</v>
      </c>
    </row>
    <row r="8" spans="2:10" x14ac:dyDescent="0.2">
      <c r="B8" s="22">
        <v>3</v>
      </c>
      <c r="C8" s="21" t="s">
        <v>5310</v>
      </c>
      <c r="D8" s="21" t="s">
        <v>554</v>
      </c>
      <c r="E8" s="20" t="s">
        <v>5311</v>
      </c>
      <c r="F8" s="22">
        <v>4.2759999999999998</v>
      </c>
      <c r="G8" s="22" t="s">
        <v>5312</v>
      </c>
      <c r="H8" s="22">
        <v>4.2759999999999998</v>
      </c>
      <c r="I8" s="25">
        <v>43221</v>
      </c>
      <c r="J8" s="24">
        <v>43381</v>
      </c>
    </row>
    <row r="9" spans="2:10" x14ac:dyDescent="0.2">
      <c r="B9" s="22">
        <v>4</v>
      </c>
      <c r="C9" s="21" t="s">
        <v>5313</v>
      </c>
      <c r="D9" s="21" t="s">
        <v>554</v>
      </c>
      <c r="E9" s="20" t="s">
        <v>5314</v>
      </c>
      <c r="F9" s="22">
        <v>4.1580000000000004</v>
      </c>
      <c r="G9" s="22" t="s">
        <v>5315</v>
      </c>
      <c r="H9" s="22">
        <v>3.9460000000000002</v>
      </c>
      <c r="I9" s="25">
        <v>43270</v>
      </c>
      <c r="J9" s="24">
        <v>43444</v>
      </c>
    </row>
    <row r="10" spans="2:10" x14ac:dyDescent="0.2">
      <c r="B10" s="22">
        <v>5</v>
      </c>
      <c r="C10" s="21" t="s">
        <v>5316</v>
      </c>
      <c r="D10" s="21" t="s">
        <v>586</v>
      </c>
      <c r="E10" s="20" t="s">
        <v>5317</v>
      </c>
      <c r="F10" s="22">
        <v>4.0220000000000002</v>
      </c>
      <c r="G10" s="22" t="s">
        <v>5318</v>
      </c>
      <c r="H10" s="22">
        <v>4.0039999999999996</v>
      </c>
      <c r="I10" s="25">
        <v>43193</v>
      </c>
      <c r="J10" s="24">
        <v>43305</v>
      </c>
    </row>
    <row r="11" spans="2:10" x14ac:dyDescent="0.2">
      <c r="B11" s="22">
        <v>6</v>
      </c>
      <c r="C11" s="21" t="s">
        <v>5319</v>
      </c>
      <c r="D11" s="21" t="s">
        <v>586</v>
      </c>
      <c r="E11" s="20" t="s">
        <v>5320</v>
      </c>
      <c r="F11" s="22">
        <v>4.3109999999999999</v>
      </c>
      <c r="G11" s="22" t="s">
        <v>5321</v>
      </c>
      <c r="H11" s="22">
        <v>4.3010000000000002</v>
      </c>
      <c r="I11" s="25">
        <v>43291</v>
      </c>
      <c r="J11" s="24">
        <v>43451</v>
      </c>
    </row>
    <row r="12" spans="2:10" x14ac:dyDescent="0.2">
      <c r="B12" s="22">
        <v>7</v>
      </c>
      <c r="C12" s="21" t="s">
        <v>5322</v>
      </c>
      <c r="D12" s="21" t="s">
        <v>643</v>
      </c>
      <c r="E12" s="20" t="s">
        <v>5323</v>
      </c>
      <c r="F12" s="22">
        <v>4.1749999999999998</v>
      </c>
      <c r="G12" s="22" t="s">
        <v>5324</v>
      </c>
      <c r="H12" s="22">
        <v>4.1749999999999998</v>
      </c>
      <c r="I12" s="25">
        <v>43424</v>
      </c>
      <c r="J12" s="24">
        <v>43156</v>
      </c>
    </row>
    <row r="13" spans="2:10" x14ac:dyDescent="0.2">
      <c r="B13" s="22">
        <v>8</v>
      </c>
      <c r="C13" s="21" t="s">
        <v>5325</v>
      </c>
      <c r="D13" s="21" t="s">
        <v>594</v>
      </c>
      <c r="E13" s="20" t="s">
        <v>5326</v>
      </c>
      <c r="F13" s="22">
        <v>3.8540000000000001</v>
      </c>
      <c r="G13" s="22" t="s">
        <v>5327</v>
      </c>
      <c r="H13" s="22">
        <v>3.831</v>
      </c>
      <c r="I13" s="25">
        <v>43375</v>
      </c>
      <c r="J13" s="24">
        <v>43176</v>
      </c>
    </row>
    <row r="14" spans="2:10" x14ac:dyDescent="0.2">
      <c r="B14" s="22">
        <v>9</v>
      </c>
      <c r="C14" s="21" t="s">
        <v>5328</v>
      </c>
      <c r="D14" s="21" t="s">
        <v>554</v>
      </c>
      <c r="E14" s="20" t="s">
        <v>5329</v>
      </c>
      <c r="F14" s="22">
        <v>3.8479999999999999</v>
      </c>
      <c r="G14" s="22" t="s">
        <v>5330</v>
      </c>
      <c r="H14" s="22">
        <v>3.8450000000000002</v>
      </c>
      <c r="I14" s="25">
        <v>43172</v>
      </c>
      <c r="J14" s="24">
        <v>43360</v>
      </c>
    </row>
    <row r="15" spans="2:10" x14ac:dyDescent="0.2">
      <c r="B15" s="22">
        <v>10</v>
      </c>
      <c r="C15" s="21" t="s">
        <v>5331</v>
      </c>
      <c r="D15" s="21" t="s">
        <v>570</v>
      </c>
      <c r="E15" s="20" t="s">
        <v>5332</v>
      </c>
      <c r="F15" s="22">
        <v>3.9289999999999998</v>
      </c>
      <c r="G15" s="22" t="s">
        <v>5333</v>
      </c>
      <c r="H15" s="22">
        <v>3.9289999999999998</v>
      </c>
      <c r="I15" s="25">
        <v>43410</v>
      </c>
      <c r="J15" s="24">
        <v>43197</v>
      </c>
    </row>
    <row r="16" spans="2:10" x14ac:dyDescent="0.2">
      <c r="B16" s="22">
        <v>11</v>
      </c>
      <c r="C16" s="21" t="s">
        <v>5334</v>
      </c>
      <c r="D16" s="21" t="s">
        <v>638</v>
      </c>
      <c r="E16" s="20" t="s">
        <v>5335</v>
      </c>
      <c r="F16" s="22">
        <v>3.988</v>
      </c>
      <c r="G16" s="22" t="s">
        <v>5336</v>
      </c>
      <c r="H16" s="22">
        <v>3.956</v>
      </c>
      <c r="I16" s="25">
        <v>43312</v>
      </c>
      <c r="J16" s="24">
        <v>43402</v>
      </c>
    </row>
    <row r="17" spans="2:10" x14ac:dyDescent="0.2">
      <c r="B17" s="22">
        <v>12</v>
      </c>
      <c r="C17" s="21" t="s">
        <v>5337</v>
      </c>
      <c r="D17" s="21" t="s">
        <v>586</v>
      </c>
      <c r="E17" s="20" t="s">
        <v>5338</v>
      </c>
      <c r="F17" s="22">
        <v>3.66</v>
      </c>
      <c r="G17" s="22" t="s">
        <v>5339</v>
      </c>
      <c r="H17" s="22">
        <v>3.4729999999999999</v>
      </c>
      <c r="I17" s="25">
        <v>43235</v>
      </c>
      <c r="J17" s="24">
        <v>43311</v>
      </c>
    </row>
    <row r="18" spans="2:10" x14ac:dyDescent="0.2">
      <c r="B18" s="22">
        <v>13</v>
      </c>
      <c r="C18" s="21" t="s">
        <v>5340</v>
      </c>
      <c r="D18" s="21" t="s">
        <v>594</v>
      </c>
      <c r="E18" s="20" t="s">
        <v>5341</v>
      </c>
      <c r="F18" s="22">
        <v>3.7109999999999999</v>
      </c>
      <c r="G18" s="22" t="s">
        <v>5342</v>
      </c>
      <c r="H18" s="22">
        <v>4</v>
      </c>
      <c r="I18" s="25">
        <v>43459</v>
      </c>
      <c r="J18" s="24">
        <v>43246</v>
      </c>
    </row>
    <row r="19" spans="2:10" x14ac:dyDescent="0.2">
      <c r="B19" s="22">
        <v>14</v>
      </c>
      <c r="C19" s="21" t="s">
        <v>5343</v>
      </c>
      <c r="D19" s="21" t="s">
        <v>554</v>
      </c>
      <c r="E19" s="20" t="s">
        <v>5344</v>
      </c>
      <c r="F19" s="22">
        <v>3.8679999999999999</v>
      </c>
      <c r="G19" s="22" t="s">
        <v>5345</v>
      </c>
      <c r="H19" s="22">
        <v>3.8559999999999999</v>
      </c>
      <c r="I19" s="25">
        <v>43298</v>
      </c>
      <c r="J19" s="24">
        <v>43451</v>
      </c>
    </row>
    <row r="20" spans="2:10" x14ac:dyDescent="0.2">
      <c r="B20" s="22">
        <v>15</v>
      </c>
      <c r="C20" s="21" t="s">
        <v>5346</v>
      </c>
      <c r="D20" s="21" t="s">
        <v>594</v>
      </c>
      <c r="E20" s="20" t="s">
        <v>5347</v>
      </c>
      <c r="F20" s="22">
        <v>3.8010000000000002</v>
      </c>
      <c r="G20" s="22" t="s">
        <v>5348</v>
      </c>
      <c r="H20" s="22">
        <v>3.7080000000000002</v>
      </c>
      <c r="I20" s="25">
        <v>43186</v>
      </c>
      <c r="J20" s="24">
        <v>43353</v>
      </c>
    </row>
    <row r="21" spans="2:10" x14ac:dyDescent="0.2">
      <c r="B21" s="22">
        <v>16</v>
      </c>
      <c r="C21" s="21" t="s">
        <v>5349</v>
      </c>
      <c r="D21" s="21" t="s">
        <v>570</v>
      </c>
      <c r="E21" s="20" t="s">
        <v>5350</v>
      </c>
      <c r="F21" s="22">
        <v>3.7679999999999998</v>
      </c>
      <c r="G21" s="22" t="s">
        <v>5351</v>
      </c>
      <c r="H21" s="22">
        <v>3.754</v>
      </c>
      <c r="I21" s="25">
        <v>43368</v>
      </c>
      <c r="J21" s="24">
        <v>43162</v>
      </c>
    </row>
    <row r="22" spans="2:10" x14ac:dyDescent="0.2">
      <c r="B22" s="22">
        <v>17</v>
      </c>
      <c r="C22" s="21" t="s">
        <v>5352</v>
      </c>
      <c r="D22" s="21" t="s">
        <v>586</v>
      </c>
      <c r="E22" s="20" t="s">
        <v>5353</v>
      </c>
      <c r="F22" s="22">
        <v>3.6549999999999998</v>
      </c>
      <c r="G22" s="22" t="s">
        <v>5354</v>
      </c>
      <c r="H22" s="22">
        <v>3.6459999999999999</v>
      </c>
      <c r="I22" s="25">
        <v>43144</v>
      </c>
      <c r="J22" s="24">
        <v>43227</v>
      </c>
    </row>
    <row r="23" spans="2:10" x14ac:dyDescent="0.2">
      <c r="B23" s="22">
        <v>18</v>
      </c>
      <c r="C23" s="21" t="s">
        <v>5355</v>
      </c>
      <c r="D23" s="21" t="s">
        <v>638</v>
      </c>
      <c r="E23" s="20" t="s">
        <v>5356</v>
      </c>
      <c r="F23" s="22">
        <v>3.68</v>
      </c>
      <c r="G23" s="22" t="s">
        <v>5357</v>
      </c>
      <c r="H23" s="22">
        <v>3.641</v>
      </c>
      <c r="I23" s="25">
        <v>43137</v>
      </c>
      <c r="J23" s="24">
        <v>43248</v>
      </c>
    </row>
    <row r="24" spans="2:10" x14ac:dyDescent="0.2">
      <c r="B24" s="22">
        <v>19</v>
      </c>
      <c r="C24" s="21" t="s">
        <v>5358</v>
      </c>
      <c r="D24" s="21" t="s">
        <v>586</v>
      </c>
      <c r="E24" s="20" t="s">
        <v>5359</v>
      </c>
      <c r="F24" s="22">
        <v>3.1419999999999999</v>
      </c>
      <c r="G24" s="22" t="s">
        <v>5360</v>
      </c>
      <c r="H24" s="22">
        <v>2.7570000000000001</v>
      </c>
      <c r="I24" s="25">
        <v>43326</v>
      </c>
      <c r="J24" s="24">
        <v>43395</v>
      </c>
    </row>
    <row r="25" spans="2:10" x14ac:dyDescent="0.2">
      <c r="B25" s="22">
        <v>20</v>
      </c>
      <c r="C25" s="21" t="s">
        <v>5361</v>
      </c>
      <c r="D25" s="21" t="s">
        <v>574</v>
      </c>
      <c r="E25" s="20" t="s">
        <v>5362</v>
      </c>
      <c r="F25" s="22">
        <v>3.8119999999999998</v>
      </c>
      <c r="G25" s="22" t="s">
        <v>5363</v>
      </c>
      <c r="H25" s="22">
        <v>3.7770000000000001</v>
      </c>
      <c r="I25" s="25">
        <v>43249</v>
      </c>
      <c r="J25" s="24">
        <v>43388</v>
      </c>
    </row>
    <row r="26" spans="2:10" x14ac:dyDescent="0.2">
      <c r="B26" s="22">
        <v>21</v>
      </c>
      <c r="C26" s="21" t="s">
        <v>5364</v>
      </c>
      <c r="D26" s="21" t="s">
        <v>563</v>
      </c>
      <c r="E26" s="20" t="s">
        <v>5365</v>
      </c>
      <c r="F26" s="22">
        <v>3.722</v>
      </c>
      <c r="G26" s="22" t="s">
        <v>5366</v>
      </c>
      <c r="H26" s="22">
        <v>3.702</v>
      </c>
      <c r="I26" s="25">
        <v>43235</v>
      </c>
      <c r="J26" s="24">
        <v>43367</v>
      </c>
    </row>
    <row r="27" spans="2:10" x14ac:dyDescent="0.2">
      <c r="B27" s="22">
        <v>22</v>
      </c>
      <c r="C27" s="21" t="s">
        <v>5367</v>
      </c>
      <c r="D27" s="21" t="s">
        <v>638</v>
      </c>
      <c r="E27" s="20" t="s">
        <v>5368</v>
      </c>
      <c r="F27" s="22">
        <v>3.4830000000000001</v>
      </c>
      <c r="G27" s="22" t="s">
        <v>5369</v>
      </c>
      <c r="H27" s="22">
        <v>3.2709999999999999</v>
      </c>
      <c r="I27" s="25">
        <v>43459</v>
      </c>
      <c r="J27" s="24">
        <v>43197</v>
      </c>
    </row>
    <row r="28" spans="2:10" x14ac:dyDescent="0.2">
      <c r="B28" s="22">
        <v>23</v>
      </c>
      <c r="C28" s="21" t="s">
        <v>5370</v>
      </c>
      <c r="D28" s="21" t="s">
        <v>685</v>
      </c>
      <c r="E28" s="20" t="s">
        <v>5371</v>
      </c>
      <c r="F28" s="22">
        <v>3.875</v>
      </c>
      <c r="G28" s="22" t="s">
        <v>5372</v>
      </c>
      <c r="H28" s="22">
        <v>3.875</v>
      </c>
      <c r="I28" s="25">
        <v>43179</v>
      </c>
      <c r="J28" s="24">
        <v>43290</v>
      </c>
    </row>
    <row r="29" spans="2:10" x14ac:dyDescent="0.2">
      <c r="B29" s="22">
        <v>24</v>
      </c>
      <c r="C29" s="21" t="s">
        <v>5373</v>
      </c>
      <c r="D29" s="21" t="s">
        <v>594</v>
      </c>
      <c r="E29" s="20" t="s">
        <v>5374</v>
      </c>
      <c r="F29" s="22">
        <v>3.9020000000000001</v>
      </c>
      <c r="G29" s="22" t="s">
        <v>5375</v>
      </c>
      <c r="H29" s="22">
        <v>3.8969999999999998</v>
      </c>
      <c r="I29" s="25">
        <v>43410</v>
      </c>
      <c r="J29" s="24">
        <v>43190</v>
      </c>
    </row>
    <row r="30" spans="2:10" x14ac:dyDescent="0.2">
      <c r="B30" s="22">
        <v>25</v>
      </c>
      <c r="C30" s="21" t="s">
        <v>5376</v>
      </c>
      <c r="D30" s="21" t="s">
        <v>594</v>
      </c>
      <c r="E30" s="20" t="s">
        <v>5377</v>
      </c>
      <c r="F30" s="22">
        <v>3.282</v>
      </c>
      <c r="G30" s="22" t="s">
        <v>5378</v>
      </c>
      <c r="H30" s="22">
        <v>3.2040000000000002</v>
      </c>
      <c r="I30" s="25">
        <v>43144</v>
      </c>
      <c r="J30" s="24">
        <v>43290</v>
      </c>
    </row>
    <row r="31" spans="2:10" x14ac:dyDescent="0.2">
      <c r="B31" s="22">
        <v>26</v>
      </c>
      <c r="C31" s="21" t="s">
        <v>5379</v>
      </c>
      <c r="D31" s="21" t="s">
        <v>554</v>
      </c>
      <c r="E31" s="20" t="s">
        <v>5380</v>
      </c>
      <c r="F31" s="22">
        <v>3.7490000000000001</v>
      </c>
      <c r="G31" s="22" t="s">
        <v>5381</v>
      </c>
      <c r="H31" s="22">
        <v>3.7490000000000001</v>
      </c>
      <c r="I31" s="25">
        <v>43429</v>
      </c>
      <c r="J31" s="24">
        <v>43197</v>
      </c>
    </row>
    <row r="32" spans="2:10" x14ac:dyDescent="0.2">
      <c r="B32" s="22">
        <v>27</v>
      </c>
      <c r="C32" s="21" t="s">
        <v>5382</v>
      </c>
      <c r="D32" s="21" t="s">
        <v>594</v>
      </c>
      <c r="E32" s="20" t="s">
        <v>5383</v>
      </c>
      <c r="F32" s="22">
        <v>3.7149999999999999</v>
      </c>
      <c r="G32" s="22" t="s">
        <v>5384</v>
      </c>
      <c r="H32" s="22">
        <v>3.7109999999999999</v>
      </c>
      <c r="I32" s="25">
        <v>43256</v>
      </c>
      <c r="J32" s="24">
        <v>43381</v>
      </c>
    </row>
    <row r="33" spans="2:10" x14ac:dyDescent="0.2">
      <c r="B33" s="22">
        <v>28</v>
      </c>
      <c r="C33" s="21" t="s">
        <v>5385</v>
      </c>
      <c r="D33" s="21" t="s">
        <v>586</v>
      </c>
      <c r="E33" s="20" t="s">
        <v>5386</v>
      </c>
      <c r="F33" s="22">
        <v>3.1709999999999998</v>
      </c>
      <c r="G33" s="22" t="s">
        <v>5387</v>
      </c>
      <c r="H33" s="22">
        <v>3.1579999999999999</v>
      </c>
      <c r="I33" s="25">
        <v>43298</v>
      </c>
      <c r="J33" s="24">
        <v>43388</v>
      </c>
    </row>
    <row r="34" spans="2:10" x14ac:dyDescent="0.2">
      <c r="B34" s="22">
        <v>29</v>
      </c>
      <c r="C34" s="21" t="s">
        <v>5388</v>
      </c>
      <c r="D34" s="21" t="s">
        <v>574</v>
      </c>
      <c r="E34" s="20" t="s">
        <v>5389</v>
      </c>
      <c r="F34" s="22">
        <v>3.5019999999999998</v>
      </c>
      <c r="G34" s="22" t="s">
        <v>5390</v>
      </c>
      <c r="H34" s="22">
        <v>3.4039999999999999</v>
      </c>
      <c r="I34" s="25">
        <v>43429</v>
      </c>
      <c r="J34" s="24">
        <v>43162</v>
      </c>
    </row>
    <row r="35" spans="2:10" x14ac:dyDescent="0.2">
      <c r="B35" s="22">
        <v>30</v>
      </c>
      <c r="C35" s="21" t="s">
        <v>5391</v>
      </c>
      <c r="D35" s="21" t="s">
        <v>554</v>
      </c>
      <c r="E35" s="20" t="s">
        <v>5392</v>
      </c>
      <c r="F35" s="22">
        <v>3.972</v>
      </c>
      <c r="G35" s="22" t="s">
        <v>5393</v>
      </c>
      <c r="H35" s="22">
        <v>3.972</v>
      </c>
      <c r="I35" s="25">
        <v>43242</v>
      </c>
      <c r="J35" s="24">
        <v>43360</v>
      </c>
    </row>
    <row r="36" spans="2:10" x14ac:dyDescent="0.2">
      <c r="B36" s="22">
        <v>31</v>
      </c>
      <c r="C36" s="21" t="s">
        <v>5394</v>
      </c>
      <c r="D36" s="21" t="s">
        <v>563</v>
      </c>
      <c r="E36" s="20" t="s">
        <v>5395</v>
      </c>
      <c r="F36" s="22">
        <v>3.2120000000000002</v>
      </c>
      <c r="G36" s="22" t="s">
        <v>5396</v>
      </c>
      <c r="H36" s="22">
        <v>3.1749999999999998</v>
      </c>
      <c r="I36" s="25">
        <v>43186</v>
      </c>
      <c r="J36" s="24">
        <v>43290</v>
      </c>
    </row>
    <row r="37" spans="2:10" x14ac:dyDescent="0.2">
      <c r="B37" s="22">
        <v>32</v>
      </c>
      <c r="C37" s="21" t="s">
        <v>5397</v>
      </c>
      <c r="D37" s="21" t="s">
        <v>638</v>
      </c>
      <c r="E37" s="20" t="s">
        <v>5398</v>
      </c>
      <c r="F37" s="22">
        <v>3.7829999999999999</v>
      </c>
      <c r="G37" s="22" t="s">
        <v>5399</v>
      </c>
      <c r="H37" s="22">
        <v>3.758</v>
      </c>
      <c r="I37" s="25">
        <v>43282</v>
      </c>
      <c r="J37" s="24">
        <v>43360</v>
      </c>
    </row>
    <row r="38" spans="2:10" x14ac:dyDescent="0.2">
      <c r="B38" s="22">
        <v>33</v>
      </c>
      <c r="C38" s="21" t="s">
        <v>5400</v>
      </c>
      <c r="D38" s="21" t="s">
        <v>594</v>
      </c>
      <c r="E38" s="20" t="s">
        <v>5401</v>
      </c>
      <c r="F38" s="22">
        <v>3.5939999999999999</v>
      </c>
      <c r="G38" s="22" t="s">
        <v>5402</v>
      </c>
      <c r="H38" s="22">
        <v>3.5939999999999999</v>
      </c>
      <c r="I38" s="25">
        <v>43109</v>
      </c>
      <c r="J38" s="24">
        <v>43234</v>
      </c>
    </row>
    <row r="39" spans="2:10" x14ac:dyDescent="0.2">
      <c r="B39" s="22">
        <v>34</v>
      </c>
      <c r="C39" s="21" t="s">
        <v>5403</v>
      </c>
      <c r="D39" s="21" t="s">
        <v>586</v>
      </c>
      <c r="E39" s="20" t="s">
        <v>5404</v>
      </c>
      <c r="F39" s="22">
        <v>2.9780000000000002</v>
      </c>
      <c r="G39" s="22" t="s">
        <v>5405</v>
      </c>
      <c r="H39" s="22">
        <v>2.9620000000000002</v>
      </c>
      <c r="I39" s="25">
        <v>43452</v>
      </c>
      <c r="J39" s="24">
        <v>43169</v>
      </c>
    </row>
    <row r="40" spans="2:10" x14ac:dyDescent="0.2">
      <c r="B40" s="22">
        <v>35</v>
      </c>
      <c r="C40" s="21" t="s">
        <v>5406</v>
      </c>
      <c r="D40" s="21" t="s">
        <v>594</v>
      </c>
      <c r="E40" s="20" t="s">
        <v>5407</v>
      </c>
      <c r="F40" s="22">
        <v>3.7050000000000001</v>
      </c>
      <c r="G40" s="22" t="s">
        <v>5408</v>
      </c>
      <c r="H40" s="22">
        <v>3.653</v>
      </c>
      <c r="I40" s="25">
        <v>43452</v>
      </c>
      <c r="J40" s="24">
        <v>43239</v>
      </c>
    </row>
    <row r="41" spans="2:10" x14ac:dyDescent="0.2">
      <c r="B41" s="22">
        <v>36</v>
      </c>
      <c r="C41" s="21" t="s">
        <v>5409</v>
      </c>
      <c r="D41" s="21" t="s">
        <v>594</v>
      </c>
      <c r="E41" s="20" t="s">
        <v>5410</v>
      </c>
      <c r="F41" s="22">
        <v>3.7919999999999998</v>
      </c>
      <c r="G41" s="22" t="s">
        <v>5411</v>
      </c>
      <c r="H41" s="22">
        <v>3.7909999999999999</v>
      </c>
      <c r="I41" s="25">
        <v>43361</v>
      </c>
      <c r="J41" s="24">
        <v>43121</v>
      </c>
    </row>
    <row r="42" spans="2:10" x14ac:dyDescent="0.2">
      <c r="B42" s="22">
        <v>37</v>
      </c>
      <c r="C42" s="21" t="s">
        <v>5412</v>
      </c>
      <c r="D42" s="21" t="s">
        <v>586</v>
      </c>
      <c r="E42" s="20" t="s">
        <v>5413</v>
      </c>
      <c r="F42" s="22">
        <v>3.448</v>
      </c>
      <c r="G42" s="22" t="s">
        <v>5414</v>
      </c>
      <c r="H42" s="22">
        <v>3.4420000000000002</v>
      </c>
      <c r="I42" s="25">
        <v>43277</v>
      </c>
      <c r="J42" s="24">
        <v>43339</v>
      </c>
    </row>
    <row r="43" spans="2:10" x14ac:dyDescent="0.2">
      <c r="B43" s="22">
        <v>38</v>
      </c>
      <c r="C43" s="21" t="s">
        <v>5415</v>
      </c>
      <c r="D43" s="21" t="s">
        <v>570</v>
      </c>
      <c r="E43" s="20" t="s">
        <v>5416</v>
      </c>
      <c r="F43" s="22">
        <v>3.6179999999999999</v>
      </c>
      <c r="G43" s="22" t="s">
        <v>5417</v>
      </c>
      <c r="H43" s="22">
        <v>3.5009999999999999</v>
      </c>
      <c r="I43" s="25">
        <v>43389</v>
      </c>
      <c r="J43" s="24">
        <v>43149</v>
      </c>
    </row>
    <row r="44" spans="2:10" x14ac:dyDescent="0.2">
      <c r="B44" s="22">
        <v>39</v>
      </c>
      <c r="C44" s="21" t="s">
        <v>5418</v>
      </c>
      <c r="D44" s="21" t="s">
        <v>570</v>
      </c>
      <c r="E44" s="20" t="s">
        <v>5419</v>
      </c>
      <c r="F44" s="22">
        <v>3.7229999999999999</v>
      </c>
      <c r="G44" s="22" t="s">
        <v>5420</v>
      </c>
      <c r="H44" s="22">
        <v>3.7229999999999999</v>
      </c>
      <c r="I44" s="25">
        <v>43305</v>
      </c>
      <c r="J44" s="24">
        <v>43412</v>
      </c>
    </row>
    <row r="45" spans="2:10" x14ac:dyDescent="0.2">
      <c r="B45" s="22">
        <v>40</v>
      </c>
      <c r="C45" s="21" t="s">
        <v>5421</v>
      </c>
      <c r="D45" s="21" t="s">
        <v>2742</v>
      </c>
      <c r="E45" s="20" t="s">
        <v>5422</v>
      </c>
      <c r="F45" s="22">
        <v>3.355</v>
      </c>
      <c r="G45" s="22" t="s">
        <v>5423</v>
      </c>
      <c r="H45" s="22">
        <v>3.3029999999999999</v>
      </c>
      <c r="I45" s="25">
        <v>43116</v>
      </c>
      <c r="J45" s="24">
        <v>43269</v>
      </c>
    </row>
    <row r="46" spans="2:10" x14ac:dyDescent="0.2">
      <c r="B46" s="22">
        <v>41</v>
      </c>
      <c r="C46" s="21" t="s">
        <v>5424</v>
      </c>
      <c r="D46" s="21" t="s">
        <v>563</v>
      </c>
      <c r="E46" s="20" t="s">
        <v>5425</v>
      </c>
      <c r="F46" s="22">
        <v>3.32</v>
      </c>
      <c r="G46" s="22" t="s">
        <v>5426</v>
      </c>
      <c r="H46" s="22">
        <v>3.3050000000000002</v>
      </c>
      <c r="I46" s="25">
        <v>43368</v>
      </c>
      <c r="J46" s="24">
        <v>43107</v>
      </c>
    </row>
    <row r="47" spans="2:10" x14ac:dyDescent="0.2">
      <c r="B47" s="22">
        <v>42</v>
      </c>
      <c r="C47" s="21" t="s">
        <v>5427</v>
      </c>
      <c r="D47" s="21" t="s">
        <v>554</v>
      </c>
      <c r="E47" s="20" t="s">
        <v>5428</v>
      </c>
      <c r="F47" s="22">
        <v>2.8730000000000002</v>
      </c>
      <c r="G47" s="22" t="s">
        <v>5429</v>
      </c>
      <c r="H47" s="22">
        <v>2.8109999999999999</v>
      </c>
      <c r="I47" s="25">
        <v>43389</v>
      </c>
      <c r="J47" s="24">
        <v>43169</v>
      </c>
    </row>
    <row r="48" spans="2:10" x14ac:dyDescent="0.2">
      <c r="B48" s="22">
        <v>43</v>
      </c>
      <c r="C48" s="21" t="s">
        <v>5430</v>
      </c>
      <c r="D48" s="21" t="s">
        <v>570</v>
      </c>
      <c r="E48" s="20" t="s">
        <v>5431</v>
      </c>
      <c r="F48" s="22">
        <v>3.633</v>
      </c>
      <c r="G48" s="22" t="s">
        <v>5432</v>
      </c>
      <c r="H48" s="22">
        <v>3.633</v>
      </c>
      <c r="I48" s="25">
        <v>43207</v>
      </c>
      <c r="J48" s="24">
        <v>43314</v>
      </c>
    </row>
    <row r="49" spans="2:10" x14ac:dyDescent="0.2">
      <c r="B49" s="22">
        <v>44</v>
      </c>
      <c r="C49" s="21" t="s">
        <v>5433</v>
      </c>
      <c r="D49" s="21" t="s">
        <v>638</v>
      </c>
      <c r="E49" s="20" t="s">
        <v>5434</v>
      </c>
      <c r="F49" s="22">
        <v>2.5289999999999999</v>
      </c>
      <c r="G49" s="22" t="s">
        <v>5435</v>
      </c>
      <c r="H49" s="22">
        <v>8</v>
      </c>
      <c r="I49" s="25">
        <v>43445</v>
      </c>
      <c r="J49" s="24">
        <v>43197</v>
      </c>
    </row>
    <row r="50" spans="2:10" x14ac:dyDescent="0.2">
      <c r="B50" s="22">
        <v>45</v>
      </c>
      <c r="C50" s="21" t="s">
        <v>5436</v>
      </c>
      <c r="D50" s="21" t="s">
        <v>660</v>
      </c>
      <c r="E50" s="20" t="s">
        <v>5437</v>
      </c>
      <c r="F50" s="22">
        <v>1.9450000000000001</v>
      </c>
      <c r="G50" s="22" t="s">
        <v>5438</v>
      </c>
      <c r="H50" s="22">
        <v>1.135</v>
      </c>
      <c r="I50" s="25">
        <v>43340</v>
      </c>
      <c r="J50" s="24">
        <v>43447</v>
      </c>
    </row>
    <row r="51" spans="2:10" x14ac:dyDescent="0.2">
      <c r="B51" s="22">
        <v>46</v>
      </c>
      <c r="C51" s="21" t="s">
        <v>5439</v>
      </c>
      <c r="D51" s="21" t="s">
        <v>563</v>
      </c>
      <c r="E51" s="20" t="s">
        <v>5440</v>
      </c>
      <c r="F51" s="22">
        <v>3.3759999999999999</v>
      </c>
      <c r="G51" s="22" t="s">
        <v>5441</v>
      </c>
      <c r="H51" s="22">
        <v>3.355</v>
      </c>
      <c r="I51" s="25">
        <v>43282</v>
      </c>
      <c r="J51" s="24">
        <v>43367</v>
      </c>
    </row>
    <row r="52" spans="2:10" x14ac:dyDescent="0.2">
      <c r="B52" s="22">
        <v>47</v>
      </c>
      <c r="C52" s="21" t="s">
        <v>5442</v>
      </c>
      <c r="D52" s="21" t="s">
        <v>586</v>
      </c>
      <c r="E52" s="20" t="s">
        <v>5443</v>
      </c>
      <c r="F52" s="22">
        <v>3.1480000000000001</v>
      </c>
      <c r="G52" s="22" t="s">
        <v>5444</v>
      </c>
      <c r="H52" s="22">
        <v>3.069</v>
      </c>
      <c r="I52" s="25">
        <v>43354</v>
      </c>
      <c r="J52" s="24">
        <v>43430</v>
      </c>
    </row>
    <row r="53" spans="2:10" x14ac:dyDescent="0.2">
      <c r="B53" s="22">
        <v>48</v>
      </c>
      <c r="C53" s="21" t="s">
        <v>5445</v>
      </c>
      <c r="D53" s="21" t="s">
        <v>851</v>
      </c>
      <c r="E53" s="20" t="s">
        <v>5446</v>
      </c>
      <c r="F53" s="22">
        <v>3.0030000000000001</v>
      </c>
      <c r="G53" s="22" t="s">
        <v>5447</v>
      </c>
      <c r="H53" s="22">
        <v>3.0030000000000001</v>
      </c>
      <c r="I53" s="25">
        <v>43116</v>
      </c>
      <c r="J53" s="24">
        <v>43195</v>
      </c>
    </row>
    <row r="54" spans="2:10" x14ac:dyDescent="0.2">
      <c r="B54" s="22">
        <v>49</v>
      </c>
      <c r="C54" s="21" t="s">
        <v>5448</v>
      </c>
      <c r="D54" s="21" t="s">
        <v>563</v>
      </c>
      <c r="E54" s="20" t="s">
        <v>5449</v>
      </c>
      <c r="F54" s="22">
        <v>3.1880000000000002</v>
      </c>
      <c r="G54" s="22" t="s">
        <v>5450</v>
      </c>
      <c r="H54" s="22">
        <v>3.1880000000000002</v>
      </c>
      <c r="I54" s="25">
        <v>43361</v>
      </c>
      <c r="J54" s="24">
        <v>43437</v>
      </c>
    </row>
    <row r="55" spans="2:10" x14ac:dyDescent="0.2">
      <c r="B55" s="22">
        <v>50</v>
      </c>
      <c r="C55" s="21" t="s">
        <v>5451</v>
      </c>
      <c r="D55" s="21" t="s">
        <v>574</v>
      </c>
      <c r="E55" s="20" t="s">
        <v>5452</v>
      </c>
      <c r="F55" s="22">
        <v>3.43</v>
      </c>
      <c r="G55" s="22" t="s">
        <v>5453</v>
      </c>
      <c r="H55" s="22">
        <v>3.411</v>
      </c>
      <c r="I55" s="25">
        <v>43310</v>
      </c>
      <c r="J55" s="24">
        <v>43402</v>
      </c>
    </row>
    <row r="56" spans="2:10" x14ac:dyDescent="0.2">
      <c r="B56" s="22">
        <v>51</v>
      </c>
      <c r="C56" s="21" t="s">
        <v>5454</v>
      </c>
      <c r="D56" s="21" t="s">
        <v>851</v>
      </c>
      <c r="E56" s="20" t="s">
        <v>5455</v>
      </c>
      <c r="F56" s="22">
        <v>2.23</v>
      </c>
      <c r="G56" s="22" t="s">
        <v>5456</v>
      </c>
      <c r="H56" s="22">
        <v>2.2210000000000001</v>
      </c>
      <c r="I56" s="25">
        <v>43354</v>
      </c>
      <c r="J56" s="24">
        <v>43437</v>
      </c>
    </row>
    <row r="57" spans="2:10" x14ac:dyDescent="0.2">
      <c r="B57" s="22">
        <v>52</v>
      </c>
      <c r="C57" s="21" t="s">
        <v>5457</v>
      </c>
      <c r="D57" s="21" t="s">
        <v>594</v>
      </c>
      <c r="E57" s="20" t="s">
        <v>5458</v>
      </c>
      <c r="F57" s="22">
        <v>2.9239999999999999</v>
      </c>
      <c r="G57" s="22" t="s">
        <v>5459</v>
      </c>
      <c r="H57" s="22">
        <v>2.8959999999999999</v>
      </c>
      <c r="I57" s="25">
        <v>43459</v>
      </c>
      <c r="J57" s="24">
        <v>43176</v>
      </c>
    </row>
    <row r="58" spans="2:10" x14ac:dyDescent="0.2">
      <c r="B58" s="22">
        <v>53</v>
      </c>
      <c r="C58" s="21" t="s">
        <v>5460</v>
      </c>
      <c r="D58" s="21" t="s">
        <v>594</v>
      </c>
      <c r="E58" s="20" t="s">
        <v>5461</v>
      </c>
      <c r="F58" s="22">
        <v>4.0039999999999996</v>
      </c>
      <c r="G58" s="22" t="s">
        <v>5462</v>
      </c>
      <c r="H58" s="22">
        <v>3.9950000000000001</v>
      </c>
      <c r="I58" s="25">
        <v>43319</v>
      </c>
      <c r="J58" s="24">
        <v>43395</v>
      </c>
    </row>
    <row r="59" spans="2:10" x14ac:dyDescent="0.2">
      <c r="B59" s="22">
        <v>54</v>
      </c>
      <c r="C59" s="21" t="s">
        <v>5463</v>
      </c>
      <c r="D59" s="21" t="s">
        <v>820</v>
      </c>
      <c r="E59" s="20" t="s">
        <v>5464</v>
      </c>
      <c r="F59" s="22">
        <v>2.9380000000000002</v>
      </c>
      <c r="G59" s="22" t="s">
        <v>5465</v>
      </c>
      <c r="H59" s="22">
        <v>100</v>
      </c>
      <c r="I59" s="25">
        <v>43459</v>
      </c>
      <c r="J59" s="24">
        <v>43218</v>
      </c>
    </row>
    <row r="60" spans="2:10" x14ac:dyDescent="0.2">
      <c r="B60" s="22">
        <v>55</v>
      </c>
      <c r="C60" s="21" t="s">
        <v>5466</v>
      </c>
      <c r="D60" s="21" t="s">
        <v>563</v>
      </c>
      <c r="E60" s="20" t="s">
        <v>5467</v>
      </c>
      <c r="F60" s="22">
        <v>3.323</v>
      </c>
      <c r="G60" s="22" t="s">
        <v>5468</v>
      </c>
      <c r="H60" s="22">
        <v>3.323</v>
      </c>
      <c r="I60" s="25">
        <v>43158</v>
      </c>
      <c r="J60" s="24">
        <v>43227</v>
      </c>
    </row>
    <row r="61" spans="2:10" x14ac:dyDescent="0.2">
      <c r="B61" s="22">
        <v>56</v>
      </c>
      <c r="C61" s="21" t="s">
        <v>5469</v>
      </c>
      <c r="D61" s="21" t="s">
        <v>820</v>
      </c>
      <c r="E61" s="20" t="s">
        <v>5470</v>
      </c>
      <c r="F61" s="22">
        <v>2.7719999999999998</v>
      </c>
      <c r="G61" s="22" t="s">
        <v>5471</v>
      </c>
      <c r="H61" s="22">
        <v>2.7719999999999998</v>
      </c>
      <c r="I61" s="25">
        <v>43305</v>
      </c>
      <c r="J61" s="24">
        <v>43409</v>
      </c>
    </row>
    <row r="62" spans="2:10" x14ac:dyDescent="0.2">
      <c r="B62" s="22">
        <v>57</v>
      </c>
      <c r="C62" s="21" t="s">
        <v>5472</v>
      </c>
      <c r="D62" s="21" t="s">
        <v>740</v>
      </c>
      <c r="E62" s="20" t="s">
        <v>5473</v>
      </c>
      <c r="F62" s="22">
        <v>3.0139999999999998</v>
      </c>
      <c r="G62" s="22" t="s">
        <v>5474</v>
      </c>
      <c r="H62" s="22">
        <v>3.0019999999999998</v>
      </c>
      <c r="I62" s="25">
        <v>43256</v>
      </c>
      <c r="J62" s="24">
        <v>43325</v>
      </c>
    </row>
    <row r="63" spans="2:10" x14ac:dyDescent="0.2">
      <c r="B63" s="22">
        <v>58</v>
      </c>
      <c r="C63" s="21" t="s">
        <v>5475</v>
      </c>
      <c r="D63" s="21" t="s">
        <v>594</v>
      </c>
      <c r="E63" s="20" t="s">
        <v>5476</v>
      </c>
      <c r="F63" s="22">
        <v>3.242</v>
      </c>
      <c r="G63" s="22" t="s">
        <v>5477</v>
      </c>
      <c r="H63" s="22">
        <v>3.24</v>
      </c>
      <c r="I63" s="25">
        <v>43242</v>
      </c>
      <c r="J63" s="24">
        <v>43318</v>
      </c>
    </row>
    <row r="64" spans="2:10" x14ac:dyDescent="0.2">
      <c r="B64" s="22">
        <v>59</v>
      </c>
      <c r="C64" s="21" t="s">
        <v>5478</v>
      </c>
      <c r="D64" s="21" t="s">
        <v>563</v>
      </c>
      <c r="E64" s="20" t="s">
        <v>5479</v>
      </c>
      <c r="F64" s="22">
        <v>3.181</v>
      </c>
      <c r="G64" s="22" t="s">
        <v>5480</v>
      </c>
      <c r="H64" s="22">
        <v>3.181</v>
      </c>
      <c r="I64" s="25">
        <v>43137</v>
      </c>
      <c r="J64" s="24">
        <v>43227</v>
      </c>
    </row>
    <row r="65" spans="2:10" x14ac:dyDescent="0.2">
      <c r="B65" s="22">
        <v>60</v>
      </c>
      <c r="C65" s="21" t="s">
        <v>5481</v>
      </c>
      <c r="D65" s="21" t="s">
        <v>643</v>
      </c>
      <c r="E65" s="20" t="s">
        <v>5482</v>
      </c>
      <c r="F65" s="22">
        <v>2.62</v>
      </c>
      <c r="G65" s="22" t="s">
        <v>5483</v>
      </c>
      <c r="H65" s="22">
        <v>6</v>
      </c>
      <c r="I65" s="25">
        <v>43361</v>
      </c>
      <c r="J65" s="24">
        <v>43114</v>
      </c>
    </row>
    <row r="66" spans="2:10" x14ac:dyDescent="0.2">
      <c r="B66" s="22">
        <v>61</v>
      </c>
      <c r="C66" s="21" t="s">
        <v>5484</v>
      </c>
      <c r="D66" s="21" t="s">
        <v>563</v>
      </c>
      <c r="E66" s="20" t="s">
        <v>5485</v>
      </c>
      <c r="F66" s="22">
        <v>3.673</v>
      </c>
      <c r="G66" s="22" t="s">
        <v>5486</v>
      </c>
      <c r="H66" s="22">
        <v>3.6379999999999999</v>
      </c>
      <c r="I66" s="25">
        <v>43326</v>
      </c>
      <c r="J66" s="24">
        <v>43395</v>
      </c>
    </row>
    <row r="67" spans="2:10" x14ac:dyDescent="0.2">
      <c r="B67" s="22">
        <v>62</v>
      </c>
      <c r="C67" s="21" t="s">
        <v>5487</v>
      </c>
      <c r="D67" s="21" t="s">
        <v>863</v>
      </c>
      <c r="E67" s="20" t="s">
        <v>5488</v>
      </c>
      <c r="F67" s="22">
        <v>1.2270000000000001</v>
      </c>
      <c r="G67" s="22" t="s">
        <v>5489</v>
      </c>
      <c r="H67" s="22">
        <v>5</v>
      </c>
      <c r="I67" s="25">
        <v>43410</v>
      </c>
      <c r="J67" s="24">
        <v>43225</v>
      </c>
    </row>
    <row r="68" spans="2:10" x14ac:dyDescent="0.2">
      <c r="B68" s="22">
        <v>63</v>
      </c>
      <c r="C68" s="21" t="s">
        <v>5490</v>
      </c>
      <c r="D68" s="21" t="s">
        <v>554</v>
      </c>
      <c r="E68" s="20" t="s">
        <v>5491</v>
      </c>
      <c r="F68" s="22">
        <v>2.7919999999999998</v>
      </c>
      <c r="G68" s="22" t="s">
        <v>5492</v>
      </c>
      <c r="H68" s="22">
        <v>2.7549999999999999</v>
      </c>
      <c r="I68" s="25">
        <v>43151</v>
      </c>
      <c r="J68" s="24">
        <v>43290</v>
      </c>
    </row>
    <row r="69" spans="2:10" x14ac:dyDescent="0.2">
      <c r="B69" s="22">
        <v>64</v>
      </c>
      <c r="C69" s="21" t="s">
        <v>5493</v>
      </c>
      <c r="D69" s="21" t="s">
        <v>718</v>
      </c>
      <c r="E69" s="20" t="s">
        <v>5494</v>
      </c>
      <c r="F69" s="22">
        <v>2.5030000000000001</v>
      </c>
      <c r="G69" s="22" t="s">
        <v>5495</v>
      </c>
      <c r="H69" s="22">
        <v>2.5030000000000001</v>
      </c>
      <c r="I69" s="25">
        <v>43319</v>
      </c>
      <c r="J69" s="24">
        <v>43382</v>
      </c>
    </row>
    <row r="70" spans="2:10" x14ac:dyDescent="0.2">
      <c r="B70" s="22">
        <v>65</v>
      </c>
      <c r="C70" s="21" t="s">
        <v>5496</v>
      </c>
      <c r="D70" s="21" t="s">
        <v>586</v>
      </c>
      <c r="E70" s="20" t="s">
        <v>5497</v>
      </c>
      <c r="F70" s="22">
        <v>3.0089999999999999</v>
      </c>
      <c r="G70" s="22" t="s">
        <v>5498</v>
      </c>
      <c r="H70" s="22">
        <v>545</v>
      </c>
      <c r="I70" s="25">
        <v>43361</v>
      </c>
      <c r="J70" s="24">
        <v>43430</v>
      </c>
    </row>
    <row r="71" spans="2:10" x14ac:dyDescent="0.2">
      <c r="B71" s="22">
        <v>66</v>
      </c>
      <c r="C71" s="21" t="s">
        <v>5499</v>
      </c>
      <c r="D71" s="21" t="s">
        <v>570</v>
      </c>
      <c r="E71" s="20" t="s">
        <v>5500</v>
      </c>
      <c r="F71" s="22">
        <v>2.96</v>
      </c>
      <c r="G71" s="22" t="s">
        <v>5501</v>
      </c>
      <c r="H71" s="22">
        <v>2.96</v>
      </c>
      <c r="I71" s="25">
        <v>43424</v>
      </c>
      <c r="J71" s="24">
        <v>43114</v>
      </c>
    </row>
    <row r="72" spans="2:10" x14ac:dyDescent="0.2">
      <c r="B72" s="22">
        <v>67</v>
      </c>
      <c r="C72" s="21" t="s">
        <v>5502</v>
      </c>
      <c r="D72" s="21" t="s">
        <v>586</v>
      </c>
      <c r="E72" s="20" t="s">
        <v>5503</v>
      </c>
      <c r="F72" s="22">
        <v>2.919</v>
      </c>
      <c r="G72" s="22" t="s">
        <v>5504</v>
      </c>
      <c r="H72" s="22">
        <v>2.9020000000000001</v>
      </c>
      <c r="I72" s="25">
        <v>43438</v>
      </c>
      <c r="J72" s="24">
        <v>43121</v>
      </c>
    </row>
    <row r="73" spans="2:10" x14ac:dyDescent="0.2">
      <c r="B73" s="22">
        <v>68</v>
      </c>
      <c r="C73" s="21" t="s">
        <v>5505</v>
      </c>
      <c r="D73" s="21" t="s">
        <v>563</v>
      </c>
      <c r="E73" s="20" t="s">
        <v>5506</v>
      </c>
      <c r="F73" s="22">
        <v>2.87</v>
      </c>
      <c r="G73" s="22" t="s">
        <v>5507</v>
      </c>
      <c r="H73" s="22">
        <v>2.855</v>
      </c>
      <c r="I73" s="25">
        <v>43277</v>
      </c>
      <c r="J73" s="24">
        <v>43388</v>
      </c>
    </row>
    <row r="74" spans="2:10" x14ac:dyDescent="0.2">
      <c r="B74" s="22">
        <v>69</v>
      </c>
      <c r="C74" s="21" t="s">
        <v>5508</v>
      </c>
      <c r="D74" s="21" t="s">
        <v>643</v>
      </c>
      <c r="E74" s="20" t="s">
        <v>5509</v>
      </c>
      <c r="F74" s="22">
        <v>3.07</v>
      </c>
      <c r="G74" s="22" t="s">
        <v>5510</v>
      </c>
      <c r="H74" s="22">
        <v>2.9910000000000001</v>
      </c>
      <c r="I74" s="25">
        <v>43214</v>
      </c>
      <c r="J74" s="24">
        <v>43290</v>
      </c>
    </row>
    <row r="75" spans="2:10" x14ac:dyDescent="0.2">
      <c r="B75" s="22">
        <v>70</v>
      </c>
      <c r="C75" s="21" t="s">
        <v>5511</v>
      </c>
      <c r="D75" s="21" t="s">
        <v>830</v>
      </c>
      <c r="E75" s="20" t="s">
        <v>5512</v>
      </c>
      <c r="F75" s="22">
        <v>962</v>
      </c>
      <c r="G75" s="22" t="s">
        <v>5513</v>
      </c>
      <c r="H75" s="22">
        <v>5</v>
      </c>
      <c r="I75" s="25">
        <v>43408</v>
      </c>
      <c r="J75" s="24">
        <v>43246</v>
      </c>
    </row>
    <row r="76" spans="2:10" x14ac:dyDescent="0.2">
      <c r="B76" s="22">
        <v>71</v>
      </c>
      <c r="C76" s="21" t="s">
        <v>5514</v>
      </c>
      <c r="D76" s="21" t="s">
        <v>594</v>
      </c>
      <c r="E76" s="20" t="s">
        <v>5515</v>
      </c>
      <c r="F76" s="22">
        <v>3.371</v>
      </c>
      <c r="G76" s="22" t="s">
        <v>5516</v>
      </c>
      <c r="H76" s="22">
        <v>3.3660000000000001</v>
      </c>
      <c r="I76" s="25">
        <v>43200</v>
      </c>
      <c r="J76" s="24">
        <v>43290</v>
      </c>
    </row>
    <row r="77" spans="2:10" x14ac:dyDescent="0.2">
      <c r="B77" s="22">
        <v>72</v>
      </c>
      <c r="C77" s="21" t="s">
        <v>5517</v>
      </c>
      <c r="D77" s="21" t="s">
        <v>586</v>
      </c>
      <c r="E77" s="20" t="s">
        <v>5518</v>
      </c>
      <c r="F77" s="22">
        <v>2.6150000000000002</v>
      </c>
      <c r="G77" s="22" t="s">
        <v>5519</v>
      </c>
      <c r="H77" s="22">
        <v>2.6019999999999999</v>
      </c>
      <c r="I77" s="25">
        <v>43123</v>
      </c>
      <c r="J77" s="24">
        <v>43171</v>
      </c>
    </row>
    <row r="78" spans="2:10" x14ac:dyDescent="0.2">
      <c r="B78" s="22">
        <v>73</v>
      </c>
      <c r="C78" s="21" t="s">
        <v>5520</v>
      </c>
      <c r="D78" s="21" t="s">
        <v>563</v>
      </c>
      <c r="E78" s="20" t="s">
        <v>5521</v>
      </c>
      <c r="F78" s="22">
        <v>3.5150000000000001</v>
      </c>
      <c r="G78" s="22" t="s">
        <v>5522</v>
      </c>
      <c r="H78" s="22">
        <v>3.5150000000000001</v>
      </c>
      <c r="I78" s="25">
        <v>43382</v>
      </c>
      <c r="J78" s="24">
        <v>43107</v>
      </c>
    </row>
    <row r="79" spans="2:10" x14ac:dyDescent="0.2">
      <c r="B79" s="22">
        <v>74</v>
      </c>
      <c r="C79" s="21" t="s">
        <v>5523</v>
      </c>
      <c r="D79" s="21" t="s">
        <v>574</v>
      </c>
      <c r="E79" s="20" t="s">
        <v>5524</v>
      </c>
      <c r="F79" s="22">
        <v>3.0369999999999999</v>
      </c>
      <c r="G79" s="22" t="s">
        <v>5525</v>
      </c>
      <c r="H79" s="22">
        <v>3.0030000000000001</v>
      </c>
      <c r="I79" s="25">
        <v>43228</v>
      </c>
      <c r="J79" s="24">
        <v>43311</v>
      </c>
    </row>
    <row r="80" spans="2:10" x14ac:dyDescent="0.2">
      <c r="B80" s="22">
        <v>75</v>
      </c>
      <c r="C80" s="21" t="s">
        <v>5526</v>
      </c>
      <c r="D80" s="21" t="s">
        <v>570</v>
      </c>
      <c r="E80" s="20" t="s">
        <v>5527</v>
      </c>
      <c r="F80" s="22">
        <v>2.8410000000000002</v>
      </c>
      <c r="G80" s="22" t="s">
        <v>5528</v>
      </c>
      <c r="H80" s="22">
        <v>2.8410000000000002</v>
      </c>
      <c r="I80" s="25">
        <v>43459</v>
      </c>
      <c r="J80" s="24">
        <v>43176</v>
      </c>
    </row>
    <row r="81" spans="2:10" x14ac:dyDescent="0.2">
      <c r="B81" s="22">
        <v>76</v>
      </c>
      <c r="C81" s="21" t="s">
        <v>5529</v>
      </c>
      <c r="D81" s="21" t="s">
        <v>643</v>
      </c>
      <c r="E81" s="20" t="s">
        <v>5530</v>
      </c>
      <c r="F81" s="22">
        <v>2.6219999999999999</v>
      </c>
      <c r="G81" s="22" t="s">
        <v>5531</v>
      </c>
      <c r="H81" s="22">
        <v>2.5750000000000002</v>
      </c>
      <c r="I81" s="25">
        <v>43151</v>
      </c>
      <c r="J81" s="24">
        <v>43234</v>
      </c>
    </row>
    <row r="82" spans="2:10" x14ac:dyDescent="0.2">
      <c r="B82" s="22">
        <v>77</v>
      </c>
      <c r="C82" s="21" t="s">
        <v>5532</v>
      </c>
      <c r="D82" s="21" t="s">
        <v>820</v>
      </c>
      <c r="E82" s="20" t="s">
        <v>5533</v>
      </c>
      <c r="F82" s="22">
        <v>2.0110000000000001</v>
      </c>
      <c r="G82" s="22" t="s">
        <v>5534</v>
      </c>
      <c r="H82" s="22">
        <v>258</v>
      </c>
      <c r="I82" s="25">
        <v>43191</v>
      </c>
      <c r="J82" s="24">
        <v>43325</v>
      </c>
    </row>
    <row r="83" spans="2:10" x14ac:dyDescent="0.2">
      <c r="B83" s="22">
        <v>78</v>
      </c>
      <c r="C83" s="21" t="s">
        <v>5535</v>
      </c>
      <c r="D83" s="21" t="s">
        <v>830</v>
      </c>
      <c r="E83" s="20" t="s">
        <v>5536</v>
      </c>
      <c r="F83" s="22">
        <v>2.0219999999999998</v>
      </c>
      <c r="G83" s="22" t="s">
        <v>5537</v>
      </c>
      <c r="H83" s="22">
        <v>1.573</v>
      </c>
      <c r="I83" s="25">
        <v>43165</v>
      </c>
      <c r="J83" s="24">
        <v>43276</v>
      </c>
    </row>
    <row r="84" spans="2:10" x14ac:dyDescent="0.2">
      <c r="B84" s="22">
        <v>79</v>
      </c>
      <c r="C84" s="21" t="s">
        <v>5538</v>
      </c>
      <c r="D84" s="21" t="s">
        <v>586</v>
      </c>
      <c r="E84" s="20" t="s">
        <v>5539</v>
      </c>
      <c r="F84" s="22">
        <v>2.7749999999999999</v>
      </c>
      <c r="G84" s="22" t="s">
        <v>5540</v>
      </c>
      <c r="H84" s="22">
        <v>2.7389999999999999</v>
      </c>
      <c r="I84" s="25">
        <v>43207</v>
      </c>
      <c r="J84" s="24">
        <v>43248</v>
      </c>
    </row>
    <row r="85" spans="2:10" x14ac:dyDescent="0.2">
      <c r="B85" s="22">
        <v>80</v>
      </c>
      <c r="C85" s="21" t="s">
        <v>5541</v>
      </c>
      <c r="D85" s="21" t="s">
        <v>563</v>
      </c>
      <c r="E85" s="20" t="s">
        <v>5542</v>
      </c>
      <c r="F85" s="22">
        <v>3.1080000000000001</v>
      </c>
      <c r="G85" s="22" t="s">
        <v>5543</v>
      </c>
      <c r="H85" s="22">
        <v>3.1080000000000001</v>
      </c>
      <c r="I85" s="25">
        <v>43254</v>
      </c>
      <c r="J85" s="24">
        <v>43325</v>
      </c>
    </row>
    <row r="86" spans="2:10" x14ac:dyDescent="0.2">
      <c r="B86" s="22">
        <v>81</v>
      </c>
      <c r="C86" s="21" t="s">
        <v>5544</v>
      </c>
      <c r="D86" s="21" t="s">
        <v>594</v>
      </c>
      <c r="E86" s="20" t="s">
        <v>5545</v>
      </c>
      <c r="F86" s="22">
        <v>3.0310000000000001</v>
      </c>
      <c r="G86" s="22" t="s">
        <v>5546</v>
      </c>
      <c r="H86" s="22">
        <v>3.0310000000000001</v>
      </c>
      <c r="I86" s="25">
        <v>43305</v>
      </c>
      <c r="J86" s="24">
        <v>43388</v>
      </c>
    </row>
    <row r="87" spans="2:10" x14ac:dyDescent="0.2">
      <c r="B87" s="22">
        <v>82</v>
      </c>
      <c r="C87" s="21" t="s">
        <v>5547</v>
      </c>
      <c r="D87" s="21" t="s">
        <v>570</v>
      </c>
      <c r="E87" s="20" t="s">
        <v>5548</v>
      </c>
      <c r="F87" s="22">
        <v>3.2010000000000001</v>
      </c>
      <c r="G87" s="22" t="s">
        <v>5549</v>
      </c>
      <c r="H87" s="22">
        <v>3.2010000000000001</v>
      </c>
      <c r="I87" s="25">
        <v>43165</v>
      </c>
      <c r="J87" s="24">
        <v>43223</v>
      </c>
    </row>
    <row r="88" spans="2:10" x14ac:dyDescent="0.2">
      <c r="B88" s="22">
        <v>83</v>
      </c>
      <c r="C88" s="21" t="s">
        <v>5550</v>
      </c>
      <c r="D88" s="21" t="s">
        <v>586</v>
      </c>
      <c r="E88" s="20" t="s">
        <v>5551</v>
      </c>
      <c r="F88" s="22">
        <v>2.9910000000000001</v>
      </c>
      <c r="G88" s="22" t="s">
        <v>5552</v>
      </c>
      <c r="H88" s="22">
        <v>2.984</v>
      </c>
      <c r="I88" s="25">
        <v>43389</v>
      </c>
      <c r="J88" s="24">
        <v>43430</v>
      </c>
    </row>
    <row r="89" spans="2:10" x14ac:dyDescent="0.2">
      <c r="B89" s="22">
        <v>84</v>
      </c>
      <c r="C89" s="21" t="s">
        <v>5553</v>
      </c>
      <c r="D89" s="21" t="s">
        <v>966</v>
      </c>
      <c r="E89" s="20" t="s">
        <v>5554</v>
      </c>
      <c r="F89" s="22">
        <v>2.1579999999999999</v>
      </c>
      <c r="G89" s="22" t="s">
        <v>5555</v>
      </c>
      <c r="H89" s="22">
        <v>1.96</v>
      </c>
      <c r="I89" s="25">
        <v>43345</v>
      </c>
      <c r="J89" s="24">
        <v>43454</v>
      </c>
    </row>
    <row r="90" spans="2:10" x14ac:dyDescent="0.2">
      <c r="B90" s="22">
        <v>85</v>
      </c>
      <c r="C90" s="21" t="s">
        <v>5556</v>
      </c>
      <c r="D90" s="21" t="s">
        <v>563</v>
      </c>
      <c r="E90" s="20" t="s">
        <v>5557</v>
      </c>
      <c r="F90" s="22">
        <v>2.91</v>
      </c>
      <c r="G90" s="22" t="s">
        <v>5558</v>
      </c>
      <c r="H90" s="22">
        <v>2.91</v>
      </c>
      <c r="I90" s="25">
        <v>43459</v>
      </c>
      <c r="J90" s="24">
        <v>43156</v>
      </c>
    </row>
    <row r="91" spans="2:10" x14ac:dyDescent="0.2">
      <c r="B91" s="22">
        <v>86</v>
      </c>
      <c r="C91" s="21" t="s">
        <v>5559</v>
      </c>
      <c r="D91" s="21" t="s">
        <v>740</v>
      </c>
      <c r="E91" s="20" t="s">
        <v>5560</v>
      </c>
      <c r="F91" s="22">
        <v>2.7989999999999999</v>
      </c>
      <c r="G91" s="22" t="s">
        <v>5561</v>
      </c>
      <c r="H91" s="22">
        <v>2.766</v>
      </c>
      <c r="I91" s="25">
        <v>43333</v>
      </c>
      <c r="J91" s="24">
        <v>43402</v>
      </c>
    </row>
    <row r="92" spans="2:10" x14ac:dyDescent="0.2">
      <c r="B92" s="22">
        <v>87</v>
      </c>
      <c r="C92" s="21" t="s">
        <v>5562</v>
      </c>
      <c r="D92" s="21" t="s">
        <v>685</v>
      </c>
      <c r="E92" s="20" t="s">
        <v>5563</v>
      </c>
      <c r="F92" s="22">
        <v>3.0819999999999999</v>
      </c>
      <c r="G92" s="22" t="s">
        <v>5564</v>
      </c>
      <c r="H92" s="22">
        <v>3.0819999999999999</v>
      </c>
      <c r="I92" s="25">
        <v>43396</v>
      </c>
      <c r="J92" s="24">
        <v>43465</v>
      </c>
    </row>
    <row r="93" spans="2:10" x14ac:dyDescent="0.2">
      <c r="B93" s="22">
        <v>88</v>
      </c>
      <c r="C93" s="21" t="s">
        <v>5565</v>
      </c>
      <c r="D93" s="21" t="s">
        <v>820</v>
      </c>
      <c r="E93" s="20" t="s">
        <v>5566</v>
      </c>
      <c r="F93" s="22">
        <v>3.415</v>
      </c>
      <c r="G93" s="22" t="s">
        <v>5567</v>
      </c>
      <c r="H93" s="22">
        <v>3.355</v>
      </c>
      <c r="I93" s="25">
        <v>43338</v>
      </c>
      <c r="J93" s="24">
        <v>43430</v>
      </c>
    </row>
    <row r="94" spans="2:10" x14ac:dyDescent="0.2">
      <c r="B94" s="22">
        <v>89</v>
      </c>
      <c r="C94" s="21" t="s">
        <v>5568</v>
      </c>
      <c r="D94" s="21" t="s">
        <v>660</v>
      </c>
      <c r="E94" s="20" t="s">
        <v>5569</v>
      </c>
      <c r="F94" s="22">
        <v>2.0640000000000001</v>
      </c>
      <c r="G94" s="22" t="s">
        <v>5570</v>
      </c>
      <c r="H94" s="22">
        <v>1.603</v>
      </c>
      <c r="I94" s="25">
        <v>43319</v>
      </c>
      <c r="J94" s="24">
        <v>43384</v>
      </c>
    </row>
    <row r="95" spans="2:10" x14ac:dyDescent="0.2">
      <c r="B95" s="22">
        <v>90</v>
      </c>
      <c r="C95" s="21" t="s">
        <v>5571</v>
      </c>
      <c r="D95" s="21" t="s">
        <v>3464</v>
      </c>
      <c r="E95" s="20" t="s">
        <v>5572</v>
      </c>
      <c r="F95" s="22">
        <v>2.6019999999999999</v>
      </c>
      <c r="G95" s="22" t="s">
        <v>5573</v>
      </c>
      <c r="H95" s="22">
        <v>2.6019999999999999</v>
      </c>
      <c r="I95" s="25">
        <v>43102</v>
      </c>
      <c r="J95" s="24">
        <v>43178</v>
      </c>
    </row>
    <row r="96" spans="2:10" x14ac:dyDescent="0.2">
      <c r="B96" s="22">
        <v>91</v>
      </c>
      <c r="C96" s="21" t="s">
        <v>5574</v>
      </c>
      <c r="D96" s="21" t="s">
        <v>563</v>
      </c>
      <c r="E96" s="20" t="s">
        <v>5575</v>
      </c>
      <c r="F96" s="22">
        <v>3.1709999999999998</v>
      </c>
      <c r="G96" s="22" t="s">
        <v>5576</v>
      </c>
      <c r="H96" s="22">
        <v>3.1709999999999998</v>
      </c>
      <c r="I96" s="25">
        <v>43172</v>
      </c>
      <c r="J96" s="24">
        <v>43227</v>
      </c>
    </row>
    <row r="97" spans="2:10" x14ac:dyDescent="0.2">
      <c r="B97" s="22">
        <v>92</v>
      </c>
      <c r="C97" s="21" t="s">
        <v>5577</v>
      </c>
      <c r="D97" s="21" t="s">
        <v>643</v>
      </c>
      <c r="E97" s="20" t="s">
        <v>5578</v>
      </c>
      <c r="F97" s="22">
        <v>2.6030000000000002</v>
      </c>
      <c r="G97" s="22" t="s">
        <v>5579</v>
      </c>
      <c r="H97" s="22">
        <v>2.6030000000000002</v>
      </c>
      <c r="I97" s="25">
        <v>43417</v>
      </c>
      <c r="J97" s="24">
        <v>43114</v>
      </c>
    </row>
    <row r="98" spans="2:10" x14ac:dyDescent="0.2">
      <c r="B98" s="22">
        <v>93</v>
      </c>
      <c r="C98" s="21" t="s">
        <v>5580</v>
      </c>
      <c r="D98" s="21" t="s">
        <v>3464</v>
      </c>
      <c r="E98" s="20" t="s">
        <v>5581</v>
      </c>
      <c r="F98" s="22">
        <v>2.6659999999999999</v>
      </c>
      <c r="G98" s="22" t="s">
        <v>5582</v>
      </c>
      <c r="H98" s="22">
        <v>2.6659999999999999</v>
      </c>
      <c r="I98" s="25">
        <v>43158</v>
      </c>
      <c r="J98" s="24">
        <v>43262</v>
      </c>
    </row>
    <row r="99" spans="2:10" x14ac:dyDescent="0.2">
      <c r="B99" s="22">
        <v>94</v>
      </c>
      <c r="C99" s="21" t="s">
        <v>5583</v>
      </c>
      <c r="D99" s="21" t="s">
        <v>38</v>
      </c>
      <c r="E99" s="20" t="s">
        <v>5584</v>
      </c>
      <c r="F99" s="22">
        <v>2.004</v>
      </c>
      <c r="G99" s="22" t="s">
        <v>5585</v>
      </c>
      <c r="H99" s="22">
        <v>4</v>
      </c>
      <c r="I99" s="25">
        <v>43200</v>
      </c>
      <c r="J99" s="24">
        <v>43346</v>
      </c>
    </row>
    <row r="100" spans="2:10" x14ac:dyDescent="0.2">
      <c r="B100" s="22">
        <v>95</v>
      </c>
      <c r="C100" s="21" t="s">
        <v>5586</v>
      </c>
      <c r="D100" s="21" t="s">
        <v>563</v>
      </c>
      <c r="E100" s="20" t="s">
        <v>5587</v>
      </c>
      <c r="F100" s="22">
        <v>3.1030000000000002</v>
      </c>
      <c r="G100" s="22" t="s">
        <v>5588</v>
      </c>
      <c r="H100" s="22">
        <v>3.1030000000000002</v>
      </c>
      <c r="I100" s="25">
        <v>43445</v>
      </c>
      <c r="J100" s="24">
        <v>43142</v>
      </c>
    </row>
    <row r="101" spans="2:10" x14ac:dyDescent="0.2">
      <c r="B101" s="22">
        <v>96</v>
      </c>
      <c r="C101" s="21" t="s">
        <v>5589</v>
      </c>
      <c r="D101" s="21" t="s">
        <v>574</v>
      </c>
      <c r="E101" s="20" t="s">
        <v>5590</v>
      </c>
      <c r="F101" s="22">
        <v>2.72</v>
      </c>
      <c r="G101" s="22" t="s">
        <v>5591</v>
      </c>
      <c r="H101" s="22">
        <v>2.72</v>
      </c>
      <c r="I101" s="25">
        <v>43291</v>
      </c>
      <c r="J101" s="24">
        <v>43360</v>
      </c>
    </row>
    <row r="102" spans="2:10" x14ac:dyDescent="0.2">
      <c r="B102" s="22">
        <v>97</v>
      </c>
      <c r="C102" s="21" t="s">
        <v>5592</v>
      </c>
      <c r="D102" s="21" t="s">
        <v>594</v>
      </c>
      <c r="E102" s="20" t="s">
        <v>5593</v>
      </c>
      <c r="F102" s="22">
        <v>3.2730000000000001</v>
      </c>
      <c r="G102" s="22" t="s">
        <v>5594</v>
      </c>
      <c r="H102" s="22">
        <v>3.2610000000000001</v>
      </c>
      <c r="I102" s="25">
        <v>43333</v>
      </c>
      <c r="J102" s="24">
        <v>43388</v>
      </c>
    </row>
    <row r="103" spans="2:10" x14ac:dyDescent="0.2">
      <c r="B103" s="22">
        <v>98</v>
      </c>
      <c r="C103" s="21" t="s">
        <v>5595</v>
      </c>
      <c r="D103" s="21" t="s">
        <v>638</v>
      </c>
      <c r="E103" s="20" t="s">
        <v>5596</v>
      </c>
      <c r="F103" s="22">
        <v>2.9</v>
      </c>
      <c r="G103" s="22" t="s">
        <v>5597</v>
      </c>
      <c r="H103" s="22">
        <v>2.8929999999999998</v>
      </c>
      <c r="I103" s="25">
        <v>43130</v>
      </c>
      <c r="J103" s="24">
        <v>43185</v>
      </c>
    </row>
    <row r="104" spans="2:10" x14ac:dyDescent="0.2">
      <c r="B104" s="22">
        <v>99</v>
      </c>
      <c r="C104" s="21" t="s">
        <v>5598</v>
      </c>
      <c r="D104" s="21" t="s">
        <v>3464</v>
      </c>
      <c r="E104" s="20" t="s">
        <v>5599</v>
      </c>
      <c r="F104" s="22">
        <v>1.823</v>
      </c>
      <c r="G104" s="22" t="s">
        <v>5600</v>
      </c>
      <c r="H104" s="22">
        <v>1.823</v>
      </c>
      <c r="I104" s="25">
        <v>43130</v>
      </c>
      <c r="J104" s="24">
        <v>43234</v>
      </c>
    </row>
    <row r="105" spans="2:10" x14ac:dyDescent="0.2">
      <c r="B105" s="22">
        <v>100</v>
      </c>
      <c r="C105" s="21" t="s">
        <v>5601</v>
      </c>
      <c r="D105" s="21" t="s">
        <v>570</v>
      </c>
      <c r="E105" s="20" t="s">
        <v>5602</v>
      </c>
      <c r="F105" s="22">
        <v>2.8149999999999999</v>
      </c>
      <c r="G105" s="22" t="s">
        <v>5603</v>
      </c>
      <c r="H105" s="22">
        <v>2.8149999999999999</v>
      </c>
      <c r="I105" s="25">
        <v>43249</v>
      </c>
      <c r="J105" s="24">
        <v>43311</v>
      </c>
    </row>
    <row r="106" spans="2:10" x14ac:dyDescent="0.2">
      <c r="B106" s="22">
        <v>101</v>
      </c>
      <c r="C106" s="21" t="s">
        <v>5604</v>
      </c>
      <c r="D106" s="21" t="s">
        <v>718</v>
      </c>
      <c r="E106" s="20" t="s">
        <v>5605</v>
      </c>
      <c r="F106" s="22">
        <v>2.3919999999999999</v>
      </c>
      <c r="G106" s="22" t="s">
        <v>5606</v>
      </c>
      <c r="H106" s="22">
        <v>2.3919999999999999</v>
      </c>
      <c r="I106" s="25">
        <v>43424</v>
      </c>
      <c r="J106" s="24">
        <v>43114</v>
      </c>
    </row>
    <row r="107" spans="2:10" x14ac:dyDescent="0.2">
      <c r="B107" s="22">
        <v>102</v>
      </c>
      <c r="C107" s="21" t="s">
        <v>5607</v>
      </c>
      <c r="D107" s="21" t="s">
        <v>643</v>
      </c>
      <c r="E107" s="20" t="s">
        <v>5608</v>
      </c>
      <c r="F107" s="22">
        <v>2.36</v>
      </c>
      <c r="G107" s="22" t="s">
        <v>5609</v>
      </c>
      <c r="H107" s="22">
        <v>2.3199999999999998</v>
      </c>
      <c r="I107" s="25">
        <v>43317</v>
      </c>
      <c r="J107" s="24">
        <v>43395</v>
      </c>
    </row>
    <row r="108" spans="2:10" x14ac:dyDescent="0.2">
      <c r="B108" s="22">
        <v>103</v>
      </c>
      <c r="C108" s="21" t="s">
        <v>5610</v>
      </c>
      <c r="D108" s="21" t="s">
        <v>1015</v>
      </c>
      <c r="E108" s="20" t="s">
        <v>5611</v>
      </c>
      <c r="F108" s="22">
        <v>1.3180000000000001</v>
      </c>
      <c r="G108" s="22" t="s">
        <v>5612</v>
      </c>
      <c r="H108" s="22">
        <v>12</v>
      </c>
      <c r="I108" s="25">
        <v>43116</v>
      </c>
      <c r="J108" s="24">
        <v>43241</v>
      </c>
    </row>
    <row r="109" spans="2:10" x14ac:dyDescent="0.2">
      <c r="B109" s="22">
        <v>104</v>
      </c>
      <c r="C109" s="21" t="s">
        <v>5613</v>
      </c>
      <c r="D109" s="21" t="s">
        <v>638</v>
      </c>
      <c r="E109" s="20" t="s">
        <v>5614</v>
      </c>
      <c r="F109" s="22">
        <v>1.6559999999999999</v>
      </c>
      <c r="G109" s="22" t="s">
        <v>5615</v>
      </c>
      <c r="H109" s="22">
        <v>1.6559999999999999</v>
      </c>
      <c r="I109" s="25">
        <v>43396</v>
      </c>
      <c r="J109" s="24">
        <v>43428</v>
      </c>
    </row>
    <row r="110" spans="2:10" x14ac:dyDescent="0.2">
      <c r="B110" s="22">
        <v>105</v>
      </c>
      <c r="C110" s="21" t="s">
        <v>5616</v>
      </c>
      <c r="D110" s="21" t="s">
        <v>586</v>
      </c>
      <c r="E110" s="20" t="s">
        <v>5617</v>
      </c>
      <c r="F110" s="22">
        <v>2.4929999999999999</v>
      </c>
      <c r="G110" s="22" t="s">
        <v>5618</v>
      </c>
      <c r="H110" s="22">
        <v>4</v>
      </c>
      <c r="I110" s="25">
        <v>43382</v>
      </c>
      <c r="J110" s="24">
        <v>43447</v>
      </c>
    </row>
    <row r="111" spans="2:10" x14ac:dyDescent="0.2">
      <c r="B111" s="22">
        <v>106</v>
      </c>
      <c r="C111" s="21" t="s">
        <v>5619</v>
      </c>
      <c r="D111" s="21" t="s">
        <v>1043</v>
      </c>
      <c r="E111" s="20" t="s">
        <v>5620</v>
      </c>
      <c r="F111" s="22">
        <v>898</v>
      </c>
      <c r="G111" s="22" t="s">
        <v>5621</v>
      </c>
      <c r="H111" s="22">
        <v>361</v>
      </c>
      <c r="I111" s="25">
        <v>43298</v>
      </c>
      <c r="J111" s="24">
        <v>43409</v>
      </c>
    </row>
    <row r="112" spans="2:10" x14ac:dyDescent="0.2">
      <c r="B112" s="22">
        <v>107</v>
      </c>
      <c r="C112" s="21" t="s">
        <v>5622</v>
      </c>
      <c r="D112" s="21" t="s">
        <v>863</v>
      </c>
      <c r="E112" s="20" t="s">
        <v>5623</v>
      </c>
      <c r="F112" s="22">
        <v>2.0019999999999998</v>
      </c>
      <c r="G112" s="22" t="s">
        <v>5624</v>
      </c>
      <c r="H112" s="22">
        <v>2.0019999999999998</v>
      </c>
      <c r="I112" s="25">
        <v>43270</v>
      </c>
      <c r="J112" s="24">
        <v>43360</v>
      </c>
    </row>
    <row r="113" spans="2:10" x14ac:dyDescent="0.2">
      <c r="B113" s="22">
        <v>108</v>
      </c>
      <c r="C113" s="21" t="s">
        <v>5625</v>
      </c>
      <c r="D113" s="21" t="s">
        <v>586</v>
      </c>
      <c r="E113" s="20" t="s">
        <v>5626</v>
      </c>
      <c r="F113" s="22">
        <v>2.875</v>
      </c>
      <c r="G113" s="22" t="s">
        <v>5627</v>
      </c>
      <c r="H113" s="22">
        <v>2.875</v>
      </c>
      <c r="I113" s="25">
        <v>43137</v>
      </c>
      <c r="J113" s="24">
        <v>43178</v>
      </c>
    </row>
    <row r="114" spans="2:10" x14ac:dyDescent="0.2">
      <c r="B114" s="22">
        <v>109</v>
      </c>
      <c r="C114" s="21" t="s">
        <v>5628</v>
      </c>
      <c r="D114" s="21" t="s">
        <v>554</v>
      </c>
      <c r="E114" s="20" t="s">
        <v>5629</v>
      </c>
      <c r="F114" s="22">
        <v>2.012</v>
      </c>
      <c r="G114" s="22" t="s">
        <v>5630</v>
      </c>
      <c r="H114" s="22">
        <v>2.012</v>
      </c>
      <c r="I114" s="25">
        <v>43207</v>
      </c>
      <c r="J114" s="24">
        <v>43304</v>
      </c>
    </row>
    <row r="115" spans="2:10" x14ac:dyDescent="0.2">
      <c r="B115" s="22">
        <v>110</v>
      </c>
      <c r="C115" s="21" t="s">
        <v>5631</v>
      </c>
      <c r="D115" s="21" t="s">
        <v>3448</v>
      </c>
      <c r="E115" s="20" t="s">
        <v>5632</v>
      </c>
      <c r="F115" s="22">
        <v>3.4340000000000002</v>
      </c>
      <c r="G115" s="22" t="s">
        <v>5633</v>
      </c>
      <c r="H115" s="22">
        <v>3.4340000000000002</v>
      </c>
      <c r="I115" s="25">
        <v>43347</v>
      </c>
      <c r="J115" s="24">
        <v>43423</v>
      </c>
    </row>
    <row r="116" spans="2:10" x14ac:dyDescent="0.2">
      <c r="B116" s="22">
        <v>111</v>
      </c>
      <c r="C116" s="21" t="s">
        <v>5634</v>
      </c>
      <c r="D116" s="21" t="s">
        <v>38</v>
      </c>
      <c r="E116" s="20" t="s">
        <v>5635</v>
      </c>
      <c r="F116" s="22">
        <v>862</v>
      </c>
      <c r="G116" s="22" t="s">
        <v>5636</v>
      </c>
      <c r="H116" s="22">
        <v>4</v>
      </c>
      <c r="I116" s="25">
        <v>43389</v>
      </c>
      <c r="J116" s="24">
        <v>43214</v>
      </c>
    </row>
    <row r="117" spans="2:10" x14ac:dyDescent="0.2">
      <c r="B117" s="22">
        <v>112</v>
      </c>
      <c r="C117" s="21" t="s">
        <v>5637</v>
      </c>
      <c r="D117" s="21" t="s">
        <v>5638</v>
      </c>
      <c r="E117" s="20" t="s">
        <v>5639</v>
      </c>
      <c r="F117" s="22">
        <v>1.655</v>
      </c>
      <c r="G117" s="22" t="s">
        <v>5640</v>
      </c>
      <c r="H117" s="22">
        <v>4</v>
      </c>
      <c r="I117" s="25">
        <v>43172</v>
      </c>
      <c r="J117" s="24">
        <v>43276</v>
      </c>
    </row>
    <row r="118" spans="2:10" x14ac:dyDescent="0.2">
      <c r="B118" s="22">
        <v>113</v>
      </c>
      <c r="C118" s="21" t="s">
        <v>5641</v>
      </c>
      <c r="D118" s="21" t="s">
        <v>643</v>
      </c>
      <c r="E118" s="20" t="s">
        <v>5642</v>
      </c>
      <c r="F118" s="22">
        <v>2.778</v>
      </c>
      <c r="G118" s="22" t="s">
        <v>5643</v>
      </c>
      <c r="H118" s="22">
        <v>2.778</v>
      </c>
      <c r="I118" s="25">
        <v>43333</v>
      </c>
      <c r="J118" s="24">
        <v>43381</v>
      </c>
    </row>
    <row r="119" spans="2:10" x14ac:dyDescent="0.2">
      <c r="B119" s="22">
        <v>114</v>
      </c>
      <c r="C119" s="21" t="s">
        <v>5644</v>
      </c>
      <c r="D119" s="21" t="s">
        <v>961</v>
      </c>
      <c r="E119" s="20" t="s">
        <v>5645</v>
      </c>
      <c r="F119" s="22">
        <v>1.5529999999999999</v>
      </c>
      <c r="G119" s="22" t="s">
        <v>5646</v>
      </c>
      <c r="H119" s="22">
        <v>1.5529999999999999</v>
      </c>
      <c r="I119" s="25">
        <v>43389</v>
      </c>
      <c r="J119" s="24">
        <v>43142</v>
      </c>
    </row>
    <row r="120" spans="2:10" x14ac:dyDescent="0.2">
      <c r="B120" s="22">
        <v>115</v>
      </c>
      <c r="C120" s="21" t="s">
        <v>5647</v>
      </c>
      <c r="D120" s="21" t="s">
        <v>820</v>
      </c>
      <c r="E120" s="20" t="s">
        <v>5648</v>
      </c>
      <c r="F120" s="22">
        <v>3.0030000000000001</v>
      </c>
      <c r="G120" s="22" t="s">
        <v>5649</v>
      </c>
      <c r="H120" s="22">
        <v>3.0030000000000001</v>
      </c>
      <c r="I120" s="25">
        <v>43403</v>
      </c>
      <c r="J120" s="24">
        <v>43142</v>
      </c>
    </row>
    <row r="121" spans="2:10" x14ac:dyDescent="0.2">
      <c r="B121" s="22">
        <v>116</v>
      </c>
      <c r="C121" s="21" t="s">
        <v>5650</v>
      </c>
      <c r="D121" s="21" t="s">
        <v>961</v>
      </c>
      <c r="E121" s="20" t="s">
        <v>5651</v>
      </c>
      <c r="F121" s="22">
        <v>1.3560000000000001</v>
      </c>
      <c r="G121" s="22" t="s">
        <v>5652</v>
      </c>
      <c r="H121" s="22">
        <v>1.32</v>
      </c>
      <c r="I121" s="25">
        <v>43179</v>
      </c>
      <c r="J121" s="24">
        <v>43276</v>
      </c>
    </row>
    <row r="122" spans="2:10" x14ac:dyDescent="0.2">
      <c r="B122" s="22">
        <v>117</v>
      </c>
      <c r="C122" s="21" t="s">
        <v>5653</v>
      </c>
      <c r="D122" s="21" t="s">
        <v>820</v>
      </c>
      <c r="E122" s="20" t="s">
        <v>5654</v>
      </c>
      <c r="F122" s="22">
        <v>790</v>
      </c>
      <c r="G122" s="22" t="s">
        <v>5655</v>
      </c>
      <c r="H122" s="22">
        <v>4</v>
      </c>
      <c r="I122" s="25">
        <v>43424</v>
      </c>
      <c r="J122" s="24">
        <v>43190</v>
      </c>
    </row>
    <row r="123" spans="2:10" x14ac:dyDescent="0.2">
      <c r="B123" s="22">
        <v>118</v>
      </c>
      <c r="C123" s="21" t="s">
        <v>5656</v>
      </c>
      <c r="D123" s="21" t="s">
        <v>1043</v>
      </c>
      <c r="E123" s="20" t="s">
        <v>5657</v>
      </c>
      <c r="F123" s="22">
        <v>791</v>
      </c>
      <c r="G123" s="22" t="s">
        <v>5658</v>
      </c>
      <c r="H123" s="22">
        <v>481</v>
      </c>
      <c r="I123" s="25">
        <v>43256</v>
      </c>
      <c r="J123" s="24">
        <v>43374</v>
      </c>
    </row>
    <row r="124" spans="2:10" x14ac:dyDescent="0.2">
      <c r="B124" s="22">
        <v>119</v>
      </c>
      <c r="C124" s="21" t="s">
        <v>5659</v>
      </c>
      <c r="D124" s="21" t="s">
        <v>554</v>
      </c>
      <c r="E124" s="20" t="s">
        <v>5660</v>
      </c>
      <c r="F124" s="22">
        <v>3.02</v>
      </c>
      <c r="G124" s="22" t="s">
        <v>5661</v>
      </c>
      <c r="H124" s="22">
        <v>3.02</v>
      </c>
      <c r="I124" s="25">
        <v>43123</v>
      </c>
      <c r="J124" s="24">
        <v>43206</v>
      </c>
    </row>
    <row r="125" spans="2:10" x14ac:dyDescent="0.2">
      <c r="B125" s="22">
        <v>120</v>
      </c>
      <c r="C125" s="21" t="s">
        <v>5662</v>
      </c>
      <c r="D125" s="21" t="s">
        <v>638</v>
      </c>
      <c r="E125" s="20" t="s">
        <v>5663</v>
      </c>
      <c r="F125" s="22">
        <v>2.9009999999999998</v>
      </c>
      <c r="G125" s="22" t="s">
        <v>5664</v>
      </c>
      <c r="H125" s="22">
        <v>2.88</v>
      </c>
      <c r="I125" s="25">
        <v>43151</v>
      </c>
      <c r="J125" s="24">
        <v>43185</v>
      </c>
    </row>
    <row r="126" spans="2:10" x14ac:dyDescent="0.2">
      <c r="B126" s="22">
        <v>121</v>
      </c>
      <c r="C126" s="21" t="s">
        <v>5665</v>
      </c>
      <c r="D126" s="21" t="s">
        <v>740</v>
      </c>
      <c r="E126" s="20" t="s">
        <v>5666</v>
      </c>
      <c r="F126" s="22">
        <v>2.3530000000000002</v>
      </c>
      <c r="G126" s="22" t="s">
        <v>5667</v>
      </c>
      <c r="H126" s="22">
        <v>2.3530000000000002</v>
      </c>
      <c r="I126" s="25">
        <v>43291</v>
      </c>
      <c r="J126" s="24">
        <v>43339</v>
      </c>
    </row>
    <row r="127" spans="2:10" x14ac:dyDescent="0.2">
      <c r="B127" s="22">
        <v>122</v>
      </c>
      <c r="C127" s="21" t="s">
        <v>5668</v>
      </c>
      <c r="D127" s="21" t="s">
        <v>830</v>
      </c>
      <c r="E127" s="20" t="s">
        <v>5669</v>
      </c>
      <c r="F127" s="22">
        <v>902</v>
      </c>
      <c r="G127" s="22" t="s">
        <v>5670</v>
      </c>
      <c r="H127" s="22">
        <v>10</v>
      </c>
      <c r="I127" s="25">
        <v>43221</v>
      </c>
      <c r="J127" s="24">
        <v>43325</v>
      </c>
    </row>
    <row r="128" spans="2:10" x14ac:dyDescent="0.2">
      <c r="B128" s="22">
        <v>123</v>
      </c>
      <c r="C128" s="21" t="s">
        <v>5671</v>
      </c>
      <c r="D128" s="21" t="s">
        <v>563</v>
      </c>
      <c r="E128" s="20" t="s">
        <v>5672</v>
      </c>
      <c r="F128" s="22">
        <v>2.452</v>
      </c>
      <c r="G128" s="22" t="s">
        <v>5673</v>
      </c>
      <c r="H128" s="22">
        <v>2.452</v>
      </c>
      <c r="I128" s="25">
        <v>43417</v>
      </c>
      <c r="J128" s="24">
        <v>43121</v>
      </c>
    </row>
    <row r="129" spans="2:10" x14ac:dyDescent="0.2">
      <c r="B129" s="22">
        <v>124</v>
      </c>
      <c r="C129" s="21" t="s">
        <v>5674</v>
      </c>
      <c r="D129" s="21" t="s">
        <v>740</v>
      </c>
      <c r="E129" s="20" t="s">
        <v>5675</v>
      </c>
      <c r="F129" s="22">
        <v>794</v>
      </c>
      <c r="G129" s="22" t="s">
        <v>5676</v>
      </c>
      <c r="H129" s="22">
        <v>4</v>
      </c>
      <c r="I129" s="25">
        <v>43431</v>
      </c>
      <c r="J129" s="24">
        <v>43176</v>
      </c>
    </row>
    <row r="130" spans="2:10" x14ac:dyDescent="0.2">
      <c r="B130" s="22">
        <v>125</v>
      </c>
      <c r="C130" s="21" t="s">
        <v>5677</v>
      </c>
      <c r="D130" s="21" t="s">
        <v>863</v>
      </c>
      <c r="E130" s="20" t="s">
        <v>5678</v>
      </c>
      <c r="F130" s="22">
        <v>2.8159999999999998</v>
      </c>
      <c r="G130" s="22" t="s">
        <v>5679</v>
      </c>
      <c r="H130" s="22">
        <v>2.8159999999999998</v>
      </c>
      <c r="I130" s="25">
        <v>43179</v>
      </c>
      <c r="J130" s="24">
        <v>43220</v>
      </c>
    </row>
    <row r="131" spans="2:10" x14ac:dyDescent="0.2">
      <c r="B131" s="22">
        <v>126</v>
      </c>
      <c r="C131" s="21" t="s">
        <v>5680</v>
      </c>
      <c r="D131" s="21" t="s">
        <v>594</v>
      </c>
      <c r="E131" s="20" t="s">
        <v>5681</v>
      </c>
      <c r="F131" s="22">
        <v>2.7770000000000001</v>
      </c>
      <c r="G131" s="22" t="s">
        <v>5682</v>
      </c>
      <c r="H131" s="22">
        <v>2.7770000000000001</v>
      </c>
      <c r="I131" s="25">
        <v>43165</v>
      </c>
      <c r="J131" s="24">
        <v>43206</v>
      </c>
    </row>
    <row r="132" spans="2:10" x14ac:dyDescent="0.2">
      <c r="B132" s="22">
        <v>127</v>
      </c>
      <c r="C132" s="21" t="s">
        <v>5683</v>
      </c>
      <c r="D132" s="21" t="s">
        <v>660</v>
      </c>
      <c r="E132" s="20" t="s">
        <v>5684</v>
      </c>
      <c r="F132" s="22">
        <v>2.5089999999999999</v>
      </c>
      <c r="G132" s="22" t="s">
        <v>5685</v>
      </c>
      <c r="H132" s="22">
        <v>448</v>
      </c>
      <c r="I132" s="25">
        <v>43373</v>
      </c>
      <c r="J132" s="24">
        <v>43412</v>
      </c>
    </row>
    <row r="133" spans="2:10" x14ac:dyDescent="0.2">
      <c r="B133" s="22">
        <v>128</v>
      </c>
      <c r="C133" s="21" t="s">
        <v>5686</v>
      </c>
      <c r="D133" s="21" t="s">
        <v>1015</v>
      </c>
      <c r="E133" s="20" t="s">
        <v>5687</v>
      </c>
      <c r="F133" s="22">
        <v>602</v>
      </c>
      <c r="G133" s="22" t="s">
        <v>1159</v>
      </c>
      <c r="H133" s="22" t="s">
        <v>1159</v>
      </c>
      <c r="I133" s="25">
        <v>43438</v>
      </c>
      <c r="J133" s="24">
        <v>43260</v>
      </c>
    </row>
    <row r="134" spans="2:10" x14ac:dyDescent="0.2">
      <c r="B134" s="22">
        <v>129</v>
      </c>
      <c r="C134" s="21" t="s">
        <v>5688</v>
      </c>
      <c r="D134" s="21" t="s">
        <v>643</v>
      </c>
      <c r="E134" s="20" t="s">
        <v>5689</v>
      </c>
      <c r="F134" s="22">
        <v>616</v>
      </c>
      <c r="G134" s="22" t="s">
        <v>5690</v>
      </c>
      <c r="H134" s="22">
        <v>395</v>
      </c>
      <c r="I134" s="25">
        <v>43347</v>
      </c>
      <c r="J134" s="24">
        <v>43395</v>
      </c>
    </row>
    <row r="135" spans="2:10" x14ac:dyDescent="0.2">
      <c r="B135" s="22">
        <v>130</v>
      </c>
      <c r="C135" s="21" t="s">
        <v>5691</v>
      </c>
      <c r="D135" s="21" t="s">
        <v>38</v>
      </c>
      <c r="E135" s="20" t="s">
        <v>5692</v>
      </c>
      <c r="F135" s="22">
        <v>435</v>
      </c>
      <c r="G135" s="22" t="s">
        <v>5693</v>
      </c>
      <c r="H135" s="22">
        <v>6</v>
      </c>
      <c r="I135" s="25">
        <v>43284</v>
      </c>
      <c r="J135" s="24">
        <v>43114</v>
      </c>
    </row>
    <row r="136" spans="2:10" x14ac:dyDescent="0.2">
      <c r="B136" s="22">
        <v>131</v>
      </c>
      <c r="C136" s="21" t="s">
        <v>5694</v>
      </c>
      <c r="D136" s="21" t="s">
        <v>1415</v>
      </c>
      <c r="E136" s="20" t="s">
        <v>5695</v>
      </c>
      <c r="F136" s="22">
        <v>257</v>
      </c>
      <c r="G136" s="22" t="s">
        <v>5696</v>
      </c>
      <c r="H136" s="22">
        <v>257</v>
      </c>
      <c r="I136" s="25">
        <v>43298</v>
      </c>
      <c r="J136" s="24">
        <v>43353</v>
      </c>
    </row>
    <row r="137" spans="2:10" x14ac:dyDescent="0.2">
      <c r="B137" s="22">
        <v>132</v>
      </c>
      <c r="C137" s="21" t="s">
        <v>5697</v>
      </c>
      <c r="D137" s="21" t="s">
        <v>1087</v>
      </c>
      <c r="E137" s="20" t="s">
        <v>5698</v>
      </c>
      <c r="F137" s="22">
        <v>913</v>
      </c>
      <c r="G137" s="22" t="s">
        <v>5699</v>
      </c>
      <c r="H137" s="22">
        <v>183</v>
      </c>
      <c r="I137" s="25">
        <v>43316</v>
      </c>
      <c r="J137" s="24">
        <v>43329</v>
      </c>
    </row>
    <row r="138" spans="2:10" x14ac:dyDescent="0.2">
      <c r="B138" s="22">
        <v>133</v>
      </c>
      <c r="C138" s="21" t="s">
        <v>5700</v>
      </c>
      <c r="D138" s="21" t="s">
        <v>586</v>
      </c>
      <c r="E138" s="20" t="s">
        <v>5701</v>
      </c>
      <c r="F138" s="22">
        <v>2.5680000000000001</v>
      </c>
      <c r="G138" s="22" t="s">
        <v>5702</v>
      </c>
      <c r="H138" s="22">
        <v>2.5670000000000002</v>
      </c>
      <c r="I138" s="25">
        <v>43116</v>
      </c>
      <c r="J138" s="24">
        <v>43136</v>
      </c>
    </row>
    <row r="139" spans="2:10" x14ac:dyDescent="0.2">
      <c r="B139" s="22">
        <v>134</v>
      </c>
      <c r="C139" s="21" t="s">
        <v>5703</v>
      </c>
      <c r="D139" s="21" t="s">
        <v>869</v>
      </c>
      <c r="E139" s="20" t="s">
        <v>5704</v>
      </c>
      <c r="F139" s="22">
        <v>660</v>
      </c>
      <c r="G139" s="22" t="s">
        <v>5705</v>
      </c>
      <c r="H139" s="22">
        <v>5</v>
      </c>
      <c r="I139" s="25">
        <v>43410</v>
      </c>
      <c r="J139" s="24">
        <v>43162</v>
      </c>
    </row>
    <row r="140" spans="2:10" x14ac:dyDescent="0.2">
      <c r="B140" s="22">
        <v>135</v>
      </c>
      <c r="C140" s="21" t="s">
        <v>5706</v>
      </c>
      <c r="D140" s="21" t="s">
        <v>643</v>
      </c>
      <c r="E140" s="20" t="s">
        <v>5707</v>
      </c>
      <c r="F140" s="22">
        <v>2.6480000000000001</v>
      </c>
      <c r="G140" s="22" t="s">
        <v>5708</v>
      </c>
      <c r="H140" s="22">
        <v>2.6480000000000001</v>
      </c>
      <c r="I140" s="25">
        <v>43123</v>
      </c>
      <c r="J140" s="24">
        <v>43150</v>
      </c>
    </row>
    <row r="141" spans="2:10" x14ac:dyDescent="0.2">
      <c r="B141" s="22">
        <v>136</v>
      </c>
      <c r="C141" s="21" t="s">
        <v>5709</v>
      </c>
      <c r="D141" s="21" t="s">
        <v>38</v>
      </c>
      <c r="E141" s="20" t="s">
        <v>5710</v>
      </c>
      <c r="F141" s="22">
        <v>762</v>
      </c>
      <c r="G141" s="22" t="s">
        <v>5711</v>
      </c>
      <c r="H141" s="22">
        <v>4</v>
      </c>
      <c r="I141" s="25">
        <v>43186</v>
      </c>
      <c r="J141" s="24">
        <v>43279</v>
      </c>
    </row>
    <row r="142" spans="2:10" x14ac:dyDescent="0.2">
      <c r="B142" s="22">
        <v>137</v>
      </c>
      <c r="C142" s="21" t="s">
        <v>5712</v>
      </c>
      <c r="D142" s="21" t="s">
        <v>869</v>
      </c>
      <c r="E142" s="20" t="s">
        <v>5713</v>
      </c>
      <c r="F142" s="22">
        <v>290</v>
      </c>
      <c r="G142" s="22" t="s">
        <v>5714</v>
      </c>
      <c r="H142" s="22">
        <v>3</v>
      </c>
      <c r="I142" s="25">
        <v>43235</v>
      </c>
      <c r="J142" s="24">
        <v>43353</v>
      </c>
    </row>
    <row r="143" spans="2:10" x14ac:dyDescent="0.2">
      <c r="B143" s="22">
        <v>138</v>
      </c>
      <c r="C143" s="21" t="s">
        <v>5715</v>
      </c>
      <c r="D143" s="21" t="s">
        <v>1000</v>
      </c>
      <c r="E143" s="20" t="s">
        <v>5716</v>
      </c>
      <c r="F143" s="22">
        <v>1.5429999999999999</v>
      </c>
      <c r="G143" s="22" t="s">
        <v>5717</v>
      </c>
      <c r="H143" s="22">
        <v>1.54</v>
      </c>
      <c r="I143" s="25">
        <v>43368</v>
      </c>
      <c r="J143" s="24">
        <v>43409</v>
      </c>
    </row>
    <row r="144" spans="2:10" x14ac:dyDescent="0.2">
      <c r="B144" s="22">
        <v>139</v>
      </c>
      <c r="C144" s="21" t="s">
        <v>5718</v>
      </c>
      <c r="D144" s="21" t="s">
        <v>563</v>
      </c>
      <c r="E144" s="20" t="s">
        <v>5719</v>
      </c>
      <c r="F144" s="22">
        <v>2.202</v>
      </c>
      <c r="G144" s="22" t="s">
        <v>5720</v>
      </c>
      <c r="H144" s="22">
        <v>2.202</v>
      </c>
      <c r="I144" s="25">
        <v>43403</v>
      </c>
      <c r="J144" s="24">
        <v>43451</v>
      </c>
    </row>
    <row r="145" spans="2:10" x14ac:dyDescent="0.2">
      <c r="B145" s="22">
        <v>140</v>
      </c>
      <c r="C145" s="21" t="s">
        <v>5721</v>
      </c>
      <c r="D145" s="21" t="s">
        <v>1015</v>
      </c>
      <c r="E145" s="20" t="s">
        <v>5722</v>
      </c>
      <c r="F145" s="22">
        <v>1.0609999999999999</v>
      </c>
      <c r="G145" s="22" t="s">
        <v>5723</v>
      </c>
      <c r="H145" s="22">
        <v>4</v>
      </c>
      <c r="I145" s="25">
        <v>43333</v>
      </c>
      <c r="J145" s="24">
        <v>43162</v>
      </c>
    </row>
    <row r="146" spans="2:10" x14ac:dyDescent="0.2">
      <c r="B146" s="22">
        <v>141</v>
      </c>
      <c r="C146" s="21" t="s">
        <v>5724</v>
      </c>
      <c r="D146" s="21" t="s">
        <v>830</v>
      </c>
      <c r="E146" s="20" t="s">
        <v>5725</v>
      </c>
      <c r="F146" s="22">
        <v>870</v>
      </c>
      <c r="G146" s="22" t="s">
        <v>5726</v>
      </c>
      <c r="H146" s="22">
        <v>15</v>
      </c>
      <c r="I146" s="25">
        <v>43263</v>
      </c>
      <c r="J146" s="24">
        <v>43353</v>
      </c>
    </row>
    <row r="147" spans="2:10" x14ac:dyDescent="0.2">
      <c r="B147" s="22">
        <v>142</v>
      </c>
      <c r="C147" s="21" t="s">
        <v>5727</v>
      </c>
      <c r="D147" s="21" t="s">
        <v>3711</v>
      </c>
      <c r="E147" s="20" t="s">
        <v>5728</v>
      </c>
      <c r="F147" s="22">
        <v>236</v>
      </c>
      <c r="G147" s="22" t="s">
        <v>5729</v>
      </c>
      <c r="H147" s="22">
        <v>236</v>
      </c>
      <c r="I147" s="25">
        <v>43290</v>
      </c>
      <c r="J147" s="24">
        <v>43304</v>
      </c>
    </row>
    <row r="148" spans="2:10" x14ac:dyDescent="0.2">
      <c r="B148" s="22">
        <v>143</v>
      </c>
      <c r="C148" s="21" t="s">
        <v>5730</v>
      </c>
      <c r="D148" s="21" t="s">
        <v>1415</v>
      </c>
      <c r="E148" s="20" t="s">
        <v>5731</v>
      </c>
      <c r="F148" s="22">
        <v>304</v>
      </c>
      <c r="G148" s="22" t="s">
        <v>5732</v>
      </c>
      <c r="H148" s="22">
        <v>304</v>
      </c>
      <c r="I148" s="25">
        <v>43452</v>
      </c>
      <c r="J148" s="24">
        <v>43138</v>
      </c>
    </row>
    <row r="149" spans="2:10" x14ac:dyDescent="0.2">
      <c r="B149" s="22">
        <v>144</v>
      </c>
      <c r="C149" s="21" t="s">
        <v>5733</v>
      </c>
      <c r="D149" s="21" t="s">
        <v>863</v>
      </c>
      <c r="E149" s="20" t="s">
        <v>5734</v>
      </c>
      <c r="F149" s="22">
        <v>1.0449999999999999</v>
      </c>
      <c r="G149" s="22" t="s">
        <v>5735</v>
      </c>
      <c r="H149" s="22">
        <v>1.0449999999999999</v>
      </c>
      <c r="I149" s="25">
        <v>43214</v>
      </c>
      <c r="J149" s="24">
        <v>43269</v>
      </c>
    </row>
    <row r="150" spans="2:10" x14ac:dyDescent="0.2">
      <c r="B150" s="22">
        <v>145</v>
      </c>
      <c r="C150" s="21" t="s">
        <v>5736</v>
      </c>
      <c r="D150" s="21" t="s">
        <v>863</v>
      </c>
      <c r="E150" s="20" t="s">
        <v>5737</v>
      </c>
      <c r="F150" s="22">
        <v>1.841</v>
      </c>
      <c r="G150" s="22" t="s">
        <v>5738</v>
      </c>
      <c r="H150" s="22">
        <v>1.841</v>
      </c>
      <c r="I150" s="25">
        <v>43130</v>
      </c>
      <c r="J150" s="24">
        <v>43157</v>
      </c>
    </row>
    <row r="151" spans="2:10" x14ac:dyDescent="0.2">
      <c r="B151" s="22">
        <v>146</v>
      </c>
      <c r="C151" s="21" t="s">
        <v>5739</v>
      </c>
      <c r="D151" s="21" t="s">
        <v>594</v>
      </c>
      <c r="E151" s="20" t="s">
        <v>5740</v>
      </c>
      <c r="F151" s="22">
        <v>2.7970000000000002</v>
      </c>
      <c r="G151" s="22" t="s">
        <v>5741</v>
      </c>
      <c r="H151" s="22">
        <v>2.7970000000000002</v>
      </c>
      <c r="I151" s="25">
        <v>43429</v>
      </c>
      <c r="J151" s="24">
        <v>43465</v>
      </c>
    </row>
    <row r="152" spans="2:10" x14ac:dyDescent="0.2">
      <c r="B152" s="22">
        <v>147</v>
      </c>
      <c r="C152" s="21" t="s">
        <v>5742</v>
      </c>
      <c r="D152" s="21" t="s">
        <v>869</v>
      </c>
      <c r="E152" s="20" t="s">
        <v>5743</v>
      </c>
      <c r="F152" s="22">
        <v>739</v>
      </c>
      <c r="G152" s="22" t="s">
        <v>5744</v>
      </c>
      <c r="H152" s="22">
        <v>5</v>
      </c>
      <c r="I152" s="25">
        <v>43179</v>
      </c>
      <c r="J152" s="24">
        <v>43255</v>
      </c>
    </row>
    <row r="153" spans="2:10" x14ac:dyDescent="0.2">
      <c r="B153" s="22">
        <v>148</v>
      </c>
      <c r="C153" s="21" t="s">
        <v>5745</v>
      </c>
      <c r="D153" s="21" t="s">
        <v>1377</v>
      </c>
      <c r="E153" s="20" t="s">
        <v>5746</v>
      </c>
      <c r="F153" s="22">
        <v>268</v>
      </c>
      <c r="G153" s="22" t="s">
        <v>5747</v>
      </c>
      <c r="H153" s="22">
        <v>268</v>
      </c>
      <c r="I153" s="25">
        <v>43451</v>
      </c>
      <c r="J153" s="24">
        <v>43121</v>
      </c>
    </row>
    <row r="154" spans="2:10" x14ac:dyDescent="0.2">
      <c r="B154" s="22">
        <v>149</v>
      </c>
      <c r="C154" s="21" t="s">
        <v>5748</v>
      </c>
      <c r="D154" s="21" t="s">
        <v>1594</v>
      </c>
      <c r="E154" s="20" t="s">
        <v>5749</v>
      </c>
      <c r="F154" s="22">
        <v>899</v>
      </c>
      <c r="G154" s="22" t="s">
        <v>5750</v>
      </c>
      <c r="H154" s="22">
        <v>878</v>
      </c>
      <c r="I154" s="25">
        <v>43354</v>
      </c>
      <c r="J154" s="24">
        <v>43405</v>
      </c>
    </row>
    <row r="155" spans="2:10" x14ac:dyDescent="0.2">
      <c r="B155" s="22">
        <v>150</v>
      </c>
      <c r="C155" s="21" t="s">
        <v>5751</v>
      </c>
      <c r="D155" s="21" t="s">
        <v>830</v>
      </c>
      <c r="E155" s="20" t="s">
        <v>5752</v>
      </c>
      <c r="F155" s="22">
        <v>856</v>
      </c>
      <c r="G155" s="22" t="s">
        <v>5753</v>
      </c>
      <c r="H155" s="22">
        <v>831</v>
      </c>
      <c r="I155" s="25">
        <v>43207</v>
      </c>
      <c r="J155" s="24">
        <v>43255</v>
      </c>
    </row>
    <row r="156" spans="2:10" x14ac:dyDescent="0.2">
      <c r="B156" s="22">
        <v>151</v>
      </c>
      <c r="C156" s="21" t="s">
        <v>5754</v>
      </c>
      <c r="D156" s="21" t="s">
        <v>740</v>
      </c>
      <c r="E156" s="20" t="s">
        <v>5755</v>
      </c>
      <c r="F156" s="22">
        <v>517</v>
      </c>
      <c r="G156" s="22" t="s">
        <v>5756</v>
      </c>
      <c r="H156" s="22">
        <v>4</v>
      </c>
      <c r="I156" s="25">
        <v>43396</v>
      </c>
      <c r="J156" s="24">
        <v>43114</v>
      </c>
    </row>
    <row r="157" spans="2:10" x14ac:dyDescent="0.2">
      <c r="B157" s="22">
        <v>152</v>
      </c>
      <c r="C157" s="21" t="s">
        <v>5757</v>
      </c>
      <c r="D157" s="21" t="s">
        <v>1204</v>
      </c>
      <c r="E157" s="20" t="s">
        <v>5758</v>
      </c>
      <c r="F157" s="22">
        <v>287</v>
      </c>
      <c r="G157" s="22" t="s">
        <v>5759</v>
      </c>
      <c r="H157" s="22">
        <v>287</v>
      </c>
      <c r="I157" s="25">
        <v>43416</v>
      </c>
      <c r="J157" s="24">
        <v>43437</v>
      </c>
    </row>
    <row r="158" spans="2:10" x14ac:dyDescent="0.2">
      <c r="B158" s="22">
        <v>153</v>
      </c>
      <c r="C158" s="21" t="s">
        <v>5760</v>
      </c>
      <c r="D158" s="21" t="s">
        <v>1294</v>
      </c>
      <c r="E158" s="20" t="s">
        <v>5761</v>
      </c>
      <c r="F158" s="22">
        <v>251</v>
      </c>
      <c r="G158" s="22" t="s">
        <v>5762</v>
      </c>
      <c r="H158" s="22">
        <v>3</v>
      </c>
      <c r="I158" s="25">
        <v>43457</v>
      </c>
      <c r="J158" s="24">
        <v>43197</v>
      </c>
    </row>
    <row r="159" spans="2:10" x14ac:dyDescent="0.2">
      <c r="B159" s="22">
        <v>154</v>
      </c>
      <c r="C159" s="21" t="s">
        <v>5763</v>
      </c>
      <c r="D159" s="21" t="s">
        <v>563</v>
      </c>
      <c r="E159" s="20" t="s">
        <v>5764</v>
      </c>
      <c r="F159" s="22">
        <v>385</v>
      </c>
      <c r="G159" s="22" t="s">
        <v>5765</v>
      </c>
      <c r="H159" s="22">
        <v>320</v>
      </c>
      <c r="I159" s="25">
        <v>43214</v>
      </c>
      <c r="J159" s="24">
        <v>43282</v>
      </c>
    </row>
    <row r="160" spans="2:10" x14ac:dyDescent="0.2">
      <c r="B160" s="22">
        <v>155</v>
      </c>
      <c r="C160" s="21" t="s">
        <v>5766</v>
      </c>
      <c r="D160" s="21" t="s">
        <v>1015</v>
      </c>
      <c r="E160" s="20" t="s">
        <v>5767</v>
      </c>
      <c r="F160" s="22">
        <v>925</v>
      </c>
      <c r="G160" s="22" t="s">
        <v>5768</v>
      </c>
      <c r="H160" s="22">
        <v>7</v>
      </c>
      <c r="I160" s="25">
        <v>43298</v>
      </c>
      <c r="J160" s="24">
        <v>43409</v>
      </c>
    </row>
    <row r="161" spans="2:10" x14ac:dyDescent="0.2">
      <c r="B161" s="22">
        <v>156</v>
      </c>
      <c r="C161" s="21" t="s">
        <v>5769</v>
      </c>
      <c r="D161" s="21" t="s">
        <v>638</v>
      </c>
      <c r="E161" s="20" t="s">
        <v>5770</v>
      </c>
      <c r="F161" s="22">
        <v>573</v>
      </c>
      <c r="G161" s="22" t="s">
        <v>5771</v>
      </c>
      <c r="H161" s="22">
        <v>4</v>
      </c>
      <c r="I161" s="25">
        <v>43464</v>
      </c>
      <c r="J161" s="24">
        <v>43183</v>
      </c>
    </row>
    <row r="162" spans="2:10" x14ac:dyDescent="0.2">
      <c r="B162" s="22">
        <v>157</v>
      </c>
      <c r="C162" s="21" t="s">
        <v>5772</v>
      </c>
      <c r="D162" s="21" t="s">
        <v>638</v>
      </c>
      <c r="E162" s="20" t="s">
        <v>5773</v>
      </c>
      <c r="F162" s="22">
        <v>1.5089999999999999</v>
      </c>
      <c r="G162" s="22" t="s">
        <v>5774</v>
      </c>
      <c r="H162" s="22">
        <v>1.5089999999999999</v>
      </c>
      <c r="I162" s="25">
        <v>43403</v>
      </c>
      <c r="J162" s="24">
        <v>43423</v>
      </c>
    </row>
    <row r="163" spans="2:10" x14ac:dyDescent="0.2">
      <c r="B163" s="22">
        <v>158</v>
      </c>
      <c r="C163" s="21" t="s">
        <v>5775</v>
      </c>
      <c r="D163" s="21" t="s">
        <v>643</v>
      </c>
      <c r="E163" s="20" t="s">
        <v>5776</v>
      </c>
      <c r="F163" s="22">
        <v>384</v>
      </c>
      <c r="G163" s="22" t="s">
        <v>5777</v>
      </c>
      <c r="H163" s="22">
        <v>384</v>
      </c>
      <c r="I163" s="25">
        <v>43158</v>
      </c>
      <c r="J163" s="24">
        <v>43192</v>
      </c>
    </row>
    <row r="164" spans="2:10" x14ac:dyDescent="0.2">
      <c r="B164" s="22">
        <v>159</v>
      </c>
      <c r="C164" s="21" t="s">
        <v>5778</v>
      </c>
      <c r="D164" s="21" t="s">
        <v>643</v>
      </c>
      <c r="E164" s="20" t="s">
        <v>5779</v>
      </c>
      <c r="F164" s="22">
        <v>440</v>
      </c>
      <c r="G164" s="22" t="s">
        <v>5780</v>
      </c>
      <c r="H164" s="22">
        <v>440</v>
      </c>
      <c r="I164" s="25">
        <v>43116</v>
      </c>
      <c r="J164" s="24">
        <v>43164</v>
      </c>
    </row>
    <row r="165" spans="2:10" x14ac:dyDescent="0.2">
      <c r="B165" s="22">
        <v>160</v>
      </c>
      <c r="C165" s="21" t="s">
        <v>5781</v>
      </c>
      <c r="D165" s="21" t="s">
        <v>563</v>
      </c>
      <c r="E165" s="20" t="s">
        <v>5782</v>
      </c>
      <c r="F165" s="22">
        <v>2.3330000000000002</v>
      </c>
      <c r="G165" s="22" t="s">
        <v>5783</v>
      </c>
      <c r="H165" s="22">
        <v>2.3330000000000002</v>
      </c>
      <c r="I165" s="25">
        <v>43340</v>
      </c>
      <c r="J165" s="24">
        <v>43367</v>
      </c>
    </row>
    <row r="166" spans="2:10" x14ac:dyDescent="0.2">
      <c r="B166" s="22">
        <v>161</v>
      </c>
      <c r="C166" s="21" t="s">
        <v>5784</v>
      </c>
      <c r="D166" s="21" t="s">
        <v>5785</v>
      </c>
      <c r="E166" s="20" t="s">
        <v>5786</v>
      </c>
      <c r="F166" s="22">
        <v>154</v>
      </c>
      <c r="G166" s="22" t="s">
        <v>5787</v>
      </c>
      <c r="H166" s="22">
        <v>5</v>
      </c>
      <c r="I166" s="25">
        <v>43144</v>
      </c>
      <c r="J166" s="24">
        <v>43416</v>
      </c>
    </row>
    <row r="167" spans="2:10" x14ac:dyDescent="0.2">
      <c r="B167" s="22">
        <v>162</v>
      </c>
      <c r="C167" s="21" t="s">
        <v>5788</v>
      </c>
      <c r="D167" s="21" t="s">
        <v>966</v>
      </c>
      <c r="E167" s="20" t="s">
        <v>5789</v>
      </c>
      <c r="F167" s="22">
        <v>339</v>
      </c>
      <c r="G167" s="22" t="s">
        <v>5790</v>
      </c>
      <c r="H167" s="22">
        <v>4</v>
      </c>
      <c r="I167" s="25">
        <v>43333</v>
      </c>
      <c r="J167" s="24">
        <v>43430</v>
      </c>
    </row>
    <row r="168" spans="2:10" x14ac:dyDescent="0.2">
      <c r="B168" s="22">
        <v>163</v>
      </c>
      <c r="C168" s="21" t="s">
        <v>5791</v>
      </c>
      <c r="D168" s="21" t="s">
        <v>1294</v>
      </c>
      <c r="E168" s="20" t="s">
        <v>5792</v>
      </c>
      <c r="F168" s="22">
        <v>197</v>
      </c>
      <c r="G168" s="22" t="s">
        <v>5793</v>
      </c>
      <c r="H168" s="22">
        <v>2</v>
      </c>
      <c r="I168" s="25">
        <v>43305</v>
      </c>
      <c r="J168" s="24">
        <v>43419</v>
      </c>
    </row>
    <row r="169" spans="2:10" x14ac:dyDescent="0.2">
      <c r="B169" s="22">
        <v>164</v>
      </c>
      <c r="C169" s="21" t="s">
        <v>5794</v>
      </c>
      <c r="D169" s="21" t="s">
        <v>1015</v>
      </c>
      <c r="E169" s="20" t="s">
        <v>5795</v>
      </c>
      <c r="F169" s="22">
        <v>122</v>
      </c>
      <c r="G169" s="22" t="s">
        <v>5796</v>
      </c>
      <c r="H169" s="22">
        <v>4</v>
      </c>
      <c r="I169" s="25">
        <v>43151</v>
      </c>
      <c r="J169" s="24">
        <v>43293</v>
      </c>
    </row>
    <row r="170" spans="2:10" x14ac:dyDescent="0.2">
      <c r="B170" s="22">
        <v>165</v>
      </c>
      <c r="C170" s="21" t="s">
        <v>5797</v>
      </c>
      <c r="D170" s="21" t="s">
        <v>1415</v>
      </c>
      <c r="E170" s="20" t="s">
        <v>5798</v>
      </c>
      <c r="F170" s="22">
        <v>238</v>
      </c>
      <c r="G170" s="22" t="s">
        <v>5799</v>
      </c>
      <c r="H170" s="22">
        <v>238</v>
      </c>
      <c r="I170" s="25">
        <v>43256</v>
      </c>
      <c r="J170" s="24">
        <v>43293</v>
      </c>
    </row>
    <row r="171" spans="2:10" x14ac:dyDescent="0.2">
      <c r="B171" s="22">
        <v>166</v>
      </c>
      <c r="C171" s="21" t="s">
        <v>5800</v>
      </c>
      <c r="D171" s="21" t="s">
        <v>643</v>
      </c>
      <c r="E171" s="20" t="s">
        <v>5801</v>
      </c>
      <c r="F171" s="22">
        <v>375</v>
      </c>
      <c r="G171" s="22" t="s">
        <v>5802</v>
      </c>
      <c r="H171" s="22">
        <v>375</v>
      </c>
      <c r="I171" s="25">
        <v>43382</v>
      </c>
      <c r="J171" s="24">
        <v>43423</v>
      </c>
    </row>
    <row r="172" spans="2:10" x14ac:dyDescent="0.2">
      <c r="B172" s="22">
        <v>167</v>
      </c>
      <c r="C172" s="21" t="s">
        <v>5803</v>
      </c>
      <c r="D172" s="21" t="s">
        <v>1415</v>
      </c>
      <c r="E172" s="20" t="s">
        <v>5804</v>
      </c>
      <c r="F172" s="22">
        <v>136</v>
      </c>
      <c r="G172" s="22" t="s">
        <v>5805</v>
      </c>
      <c r="H172" s="22">
        <v>136</v>
      </c>
      <c r="I172" s="25">
        <v>43242</v>
      </c>
      <c r="J172" s="24">
        <v>43293</v>
      </c>
    </row>
    <row r="173" spans="2:10" x14ac:dyDescent="0.2">
      <c r="B173" s="22">
        <v>168</v>
      </c>
      <c r="C173" s="21" t="s">
        <v>5806</v>
      </c>
      <c r="D173" s="21" t="s">
        <v>863</v>
      </c>
      <c r="E173" s="20" t="s">
        <v>5807</v>
      </c>
      <c r="F173" s="22">
        <v>2.012</v>
      </c>
      <c r="G173" s="22" t="s">
        <v>5808</v>
      </c>
      <c r="H173" s="22">
        <v>2.012</v>
      </c>
      <c r="I173" s="25">
        <v>43396</v>
      </c>
      <c r="J173" s="24">
        <v>43430</v>
      </c>
    </row>
    <row r="174" spans="2:10" x14ac:dyDescent="0.2">
      <c r="B174" s="22">
        <v>169</v>
      </c>
      <c r="C174" s="21" t="s">
        <v>5809</v>
      </c>
      <c r="D174" s="21" t="s">
        <v>38</v>
      </c>
      <c r="E174" s="20" t="s">
        <v>5810</v>
      </c>
      <c r="F174" s="22">
        <v>355</v>
      </c>
      <c r="G174" s="22" t="s">
        <v>5811</v>
      </c>
      <c r="H174" s="22">
        <v>4</v>
      </c>
      <c r="I174" s="25">
        <v>43312</v>
      </c>
      <c r="J174" s="24">
        <v>43458</v>
      </c>
    </row>
    <row r="175" spans="2:10" x14ac:dyDescent="0.2">
      <c r="B175" s="22">
        <v>170</v>
      </c>
      <c r="C175" s="21" t="s">
        <v>5812</v>
      </c>
      <c r="D175" s="21" t="s">
        <v>830</v>
      </c>
      <c r="E175" s="20" t="s">
        <v>5813</v>
      </c>
      <c r="F175" s="22">
        <v>149</v>
      </c>
      <c r="G175" s="22" t="s">
        <v>5814</v>
      </c>
      <c r="H175" s="22">
        <v>4</v>
      </c>
      <c r="I175" s="25">
        <v>43438</v>
      </c>
      <c r="J175" s="24">
        <v>43169</v>
      </c>
    </row>
    <row r="176" spans="2:10" x14ac:dyDescent="0.2">
      <c r="B176" s="22">
        <v>171</v>
      </c>
      <c r="C176" s="21" t="s">
        <v>5815</v>
      </c>
      <c r="D176" s="21" t="s">
        <v>830</v>
      </c>
      <c r="E176" s="20" t="s">
        <v>5816</v>
      </c>
      <c r="F176" s="22">
        <v>477</v>
      </c>
      <c r="G176" s="22" t="s">
        <v>5817</v>
      </c>
      <c r="H176" s="22">
        <v>4</v>
      </c>
      <c r="I176" s="25">
        <v>43375</v>
      </c>
      <c r="J176" s="24">
        <v>43458</v>
      </c>
    </row>
    <row r="177" spans="2:10" x14ac:dyDescent="0.2">
      <c r="B177" s="22">
        <v>172</v>
      </c>
      <c r="C177" s="21" t="s">
        <v>5818</v>
      </c>
      <c r="D177" s="21" t="s">
        <v>1043</v>
      </c>
      <c r="E177" s="20" t="s">
        <v>5819</v>
      </c>
      <c r="F177" s="22">
        <v>305</v>
      </c>
      <c r="G177" s="22" t="s">
        <v>5820</v>
      </c>
      <c r="H177" s="22">
        <v>305</v>
      </c>
      <c r="I177" s="25">
        <v>43438</v>
      </c>
      <c r="J177" s="24">
        <v>43128</v>
      </c>
    </row>
    <row r="178" spans="2:10" x14ac:dyDescent="0.2">
      <c r="B178" s="22">
        <v>173</v>
      </c>
      <c r="C178" s="21" t="s">
        <v>5821</v>
      </c>
      <c r="D178" s="21" t="s">
        <v>638</v>
      </c>
      <c r="E178" s="20" t="s">
        <v>5822</v>
      </c>
      <c r="F178" s="22">
        <v>807</v>
      </c>
      <c r="G178" s="22" t="s">
        <v>5823</v>
      </c>
      <c r="H178" s="22">
        <v>806</v>
      </c>
      <c r="I178" s="25">
        <v>43361</v>
      </c>
      <c r="J178" s="24">
        <v>43381</v>
      </c>
    </row>
    <row r="179" spans="2:10" x14ac:dyDescent="0.2">
      <c r="B179" s="22">
        <v>174</v>
      </c>
      <c r="C179" s="21" t="s">
        <v>5824</v>
      </c>
      <c r="D179" s="21" t="s">
        <v>1015</v>
      </c>
      <c r="E179" s="20" t="s">
        <v>5825</v>
      </c>
      <c r="F179" s="22">
        <v>1.1220000000000001</v>
      </c>
      <c r="G179" s="22" t="s">
        <v>5826</v>
      </c>
      <c r="H179" s="22">
        <v>6</v>
      </c>
      <c r="I179" s="25">
        <v>43389</v>
      </c>
      <c r="J179" s="24">
        <v>43142</v>
      </c>
    </row>
    <row r="180" spans="2:10" x14ac:dyDescent="0.2">
      <c r="B180" s="22">
        <v>175</v>
      </c>
      <c r="C180" s="21" t="s">
        <v>5827</v>
      </c>
      <c r="D180" s="21" t="s">
        <v>830</v>
      </c>
      <c r="E180" s="20" t="s">
        <v>5828</v>
      </c>
      <c r="F180" s="22">
        <v>512</v>
      </c>
      <c r="G180" s="22" t="s">
        <v>5829</v>
      </c>
      <c r="H180" s="22">
        <v>4</v>
      </c>
      <c r="I180" s="25">
        <v>43326</v>
      </c>
      <c r="J180" s="24">
        <v>43416</v>
      </c>
    </row>
    <row r="181" spans="2:10" x14ac:dyDescent="0.2">
      <c r="B181" s="22">
        <v>176</v>
      </c>
      <c r="C181" s="21" t="s">
        <v>5830</v>
      </c>
      <c r="D181" s="21" t="s">
        <v>869</v>
      </c>
      <c r="E181" s="20" t="s">
        <v>5831</v>
      </c>
      <c r="F181" s="22">
        <v>781</v>
      </c>
      <c r="G181" s="22" t="s">
        <v>5832</v>
      </c>
      <c r="H181" s="22">
        <v>33</v>
      </c>
      <c r="I181" s="25">
        <v>43359</v>
      </c>
      <c r="J181" s="24">
        <v>43451</v>
      </c>
    </row>
    <row r="182" spans="2:10" x14ac:dyDescent="0.2">
      <c r="B182" s="22">
        <v>177</v>
      </c>
      <c r="C182" s="21" t="s">
        <v>5833</v>
      </c>
      <c r="D182" s="21" t="s">
        <v>1139</v>
      </c>
      <c r="E182" s="20" t="s">
        <v>5834</v>
      </c>
      <c r="F182" s="22">
        <v>280</v>
      </c>
      <c r="G182" s="22" t="s">
        <v>5835</v>
      </c>
      <c r="H182" s="22">
        <v>118</v>
      </c>
      <c r="I182" s="25">
        <v>43130</v>
      </c>
      <c r="J182" s="24">
        <v>43178</v>
      </c>
    </row>
    <row r="183" spans="2:10" x14ac:dyDescent="0.2">
      <c r="B183" s="22">
        <v>178</v>
      </c>
      <c r="C183" s="21" t="s">
        <v>5836</v>
      </c>
      <c r="D183" s="21" t="s">
        <v>1213</v>
      </c>
      <c r="E183" s="20" t="s">
        <v>5837</v>
      </c>
      <c r="F183" s="22">
        <v>176</v>
      </c>
      <c r="G183" s="22" t="s">
        <v>5838</v>
      </c>
      <c r="H183" s="22">
        <v>7</v>
      </c>
      <c r="I183" s="25">
        <v>43326</v>
      </c>
      <c r="J183" s="24">
        <v>43423</v>
      </c>
    </row>
    <row r="184" spans="2:10" x14ac:dyDescent="0.2">
      <c r="B184" s="22">
        <v>179</v>
      </c>
      <c r="C184" s="21" t="s">
        <v>5839</v>
      </c>
      <c r="D184" s="21" t="s">
        <v>5840</v>
      </c>
      <c r="E184" s="20" t="s">
        <v>5841</v>
      </c>
      <c r="F184" s="22">
        <v>16</v>
      </c>
      <c r="G184" s="22" t="s">
        <v>5842</v>
      </c>
      <c r="H184" s="22">
        <v>1</v>
      </c>
      <c r="I184" s="25">
        <v>43361</v>
      </c>
      <c r="J184" s="22" t="s">
        <v>558</v>
      </c>
    </row>
    <row r="185" spans="2:10" x14ac:dyDescent="0.2">
      <c r="B185" s="22">
        <v>180</v>
      </c>
      <c r="C185" s="21" t="s">
        <v>5843</v>
      </c>
      <c r="D185" s="21" t="s">
        <v>5844</v>
      </c>
      <c r="E185" s="20" t="s">
        <v>5845</v>
      </c>
      <c r="F185" s="22">
        <v>1.5649999999999999</v>
      </c>
      <c r="G185" s="22" t="s">
        <v>5846</v>
      </c>
      <c r="H185" s="22">
        <v>1.5649999999999999</v>
      </c>
      <c r="I185" s="25">
        <v>43417</v>
      </c>
      <c r="J185" s="24">
        <v>43433</v>
      </c>
    </row>
    <row r="186" spans="2:10" x14ac:dyDescent="0.2">
      <c r="B186" s="22">
        <v>181</v>
      </c>
      <c r="C186" s="21" t="s">
        <v>5847</v>
      </c>
      <c r="D186" s="21" t="s">
        <v>586</v>
      </c>
      <c r="E186" s="20" t="s">
        <v>5848</v>
      </c>
      <c r="F186" s="22">
        <v>2.4169999999999998</v>
      </c>
      <c r="G186" s="22" t="s">
        <v>5849</v>
      </c>
      <c r="H186" s="22">
        <v>2.4129999999999998</v>
      </c>
      <c r="I186" s="25">
        <v>43396</v>
      </c>
      <c r="J186" s="24">
        <v>43409</v>
      </c>
    </row>
    <row r="187" spans="2:10" x14ac:dyDescent="0.2">
      <c r="B187" s="22">
        <v>182</v>
      </c>
      <c r="C187" s="21" t="s">
        <v>5850</v>
      </c>
      <c r="D187" s="21" t="s">
        <v>1377</v>
      </c>
      <c r="E187" s="20" t="s">
        <v>5851</v>
      </c>
      <c r="F187" s="22">
        <v>182</v>
      </c>
      <c r="G187" s="22" t="s">
        <v>5852</v>
      </c>
      <c r="H187" s="22">
        <v>182</v>
      </c>
      <c r="I187" s="25">
        <v>43429</v>
      </c>
      <c r="J187" s="24">
        <v>43444</v>
      </c>
    </row>
    <row r="188" spans="2:10" x14ac:dyDescent="0.2">
      <c r="B188" s="22">
        <v>183</v>
      </c>
      <c r="C188" s="21" t="s">
        <v>5853</v>
      </c>
      <c r="D188" s="21" t="s">
        <v>1113</v>
      </c>
      <c r="E188" s="20" t="s">
        <v>5854</v>
      </c>
      <c r="F188" s="22">
        <v>482</v>
      </c>
      <c r="G188" s="22" t="s">
        <v>5855</v>
      </c>
      <c r="H188" s="22">
        <v>482</v>
      </c>
      <c r="I188" s="25">
        <v>43123</v>
      </c>
      <c r="J188" s="24">
        <v>43150</v>
      </c>
    </row>
    <row r="189" spans="2:10" x14ac:dyDescent="0.2">
      <c r="B189" s="22">
        <v>184</v>
      </c>
      <c r="C189" s="21" t="s">
        <v>5856</v>
      </c>
      <c r="D189" s="21" t="s">
        <v>2197</v>
      </c>
      <c r="E189" s="20" t="s">
        <v>5857</v>
      </c>
      <c r="F189" s="22">
        <v>298</v>
      </c>
      <c r="G189" s="22" t="s">
        <v>5858</v>
      </c>
      <c r="H189" s="22">
        <v>3</v>
      </c>
      <c r="I189" s="25">
        <v>43137</v>
      </c>
      <c r="J189" s="24">
        <v>43178</v>
      </c>
    </row>
    <row r="190" spans="2:10" x14ac:dyDescent="0.2">
      <c r="B190" s="22">
        <v>185</v>
      </c>
      <c r="C190" s="21" t="s">
        <v>5859</v>
      </c>
      <c r="D190" s="21" t="s">
        <v>1235</v>
      </c>
      <c r="E190" s="20" t="s">
        <v>5860</v>
      </c>
      <c r="F190" s="22">
        <v>33</v>
      </c>
      <c r="G190" s="22" t="s">
        <v>5861</v>
      </c>
      <c r="H190" s="22">
        <v>33</v>
      </c>
      <c r="I190" s="25">
        <v>43319</v>
      </c>
      <c r="J190" s="24">
        <v>43377</v>
      </c>
    </row>
    <row r="191" spans="2:10" x14ac:dyDescent="0.2">
      <c r="B191" s="22">
        <v>186</v>
      </c>
      <c r="C191" s="21" t="s">
        <v>5862</v>
      </c>
      <c r="D191" s="21" t="s">
        <v>563</v>
      </c>
      <c r="E191" s="20" t="s">
        <v>5863</v>
      </c>
      <c r="F191" s="22">
        <v>205</v>
      </c>
      <c r="G191" s="22" t="s">
        <v>5864</v>
      </c>
      <c r="H191" s="22">
        <v>205</v>
      </c>
      <c r="I191" s="25">
        <v>43130</v>
      </c>
      <c r="J191" s="24">
        <v>43136</v>
      </c>
    </row>
    <row r="192" spans="2:10" x14ac:dyDescent="0.2">
      <c r="B192" s="22">
        <v>187</v>
      </c>
      <c r="C192" s="21" t="s">
        <v>5865</v>
      </c>
      <c r="D192" s="21" t="s">
        <v>586</v>
      </c>
      <c r="E192" s="20" t="s">
        <v>5866</v>
      </c>
      <c r="F192" s="22">
        <v>107</v>
      </c>
      <c r="G192" s="22" t="s">
        <v>5867</v>
      </c>
      <c r="H192" s="22">
        <v>4</v>
      </c>
      <c r="I192" s="25">
        <v>43424</v>
      </c>
      <c r="J192" s="24">
        <v>43107</v>
      </c>
    </row>
    <row r="193" spans="2:10" x14ac:dyDescent="0.2">
      <c r="B193" s="22">
        <v>188</v>
      </c>
      <c r="C193" s="21" t="s">
        <v>5868</v>
      </c>
      <c r="D193" s="21" t="s">
        <v>1294</v>
      </c>
      <c r="E193" s="20" t="s">
        <v>5869</v>
      </c>
      <c r="F193" s="22">
        <v>187</v>
      </c>
      <c r="G193" s="22" t="s">
        <v>5870</v>
      </c>
      <c r="H193" s="22">
        <v>3</v>
      </c>
      <c r="I193" s="25">
        <v>43200</v>
      </c>
      <c r="J193" s="24">
        <v>43297</v>
      </c>
    </row>
    <row r="194" spans="2:10" x14ac:dyDescent="0.2">
      <c r="B194" s="22">
        <v>189</v>
      </c>
      <c r="C194" s="21" t="s">
        <v>5871</v>
      </c>
      <c r="D194" s="21" t="s">
        <v>1015</v>
      </c>
      <c r="E194" s="20" t="s">
        <v>5872</v>
      </c>
      <c r="F194" s="22">
        <v>104</v>
      </c>
      <c r="G194" s="22" t="s">
        <v>5873</v>
      </c>
      <c r="H194" s="22">
        <v>4</v>
      </c>
      <c r="I194" s="25">
        <v>43256</v>
      </c>
      <c r="J194" s="24">
        <v>43388</v>
      </c>
    </row>
    <row r="195" spans="2:10" x14ac:dyDescent="0.2">
      <c r="B195" s="22">
        <v>190</v>
      </c>
      <c r="C195" s="21" t="s">
        <v>5874</v>
      </c>
      <c r="D195" s="21" t="s">
        <v>1083</v>
      </c>
      <c r="E195" s="20" t="s">
        <v>5875</v>
      </c>
      <c r="F195" s="22">
        <v>124</v>
      </c>
      <c r="G195" s="22" t="s">
        <v>5876</v>
      </c>
      <c r="H195" s="22">
        <v>119</v>
      </c>
      <c r="I195" s="25">
        <v>43228</v>
      </c>
      <c r="J195" s="24">
        <v>43237</v>
      </c>
    </row>
    <row r="196" spans="2:10" x14ac:dyDescent="0.2">
      <c r="B196" s="22">
        <v>191</v>
      </c>
      <c r="C196" s="21" t="s">
        <v>5877</v>
      </c>
      <c r="D196" s="21" t="s">
        <v>643</v>
      </c>
      <c r="E196" s="20" t="s">
        <v>5878</v>
      </c>
      <c r="F196" s="22">
        <v>427</v>
      </c>
      <c r="G196" s="22" t="s">
        <v>5879</v>
      </c>
      <c r="H196" s="22">
        <v>427</v>
      </c>
      <c r="I196" s="25">
        <v>43305</v>
      </c>
      <c r="J196" s="24">
        <v>43332</v>
      </c>
    </row>
    <row r="197" spans="2:10" x14ac:dyDescent="0.2">
      <c r="B197" s="22">
        <v>192</v>
      </c>
      <c r="C197" s="21" t="s">
        <v>5880</v>
      </c>
      <c r="D197" s="21" t="s">
        <v>1015</v>
      </c>
      <c r="E197" s="20" t="s">
        <v>5881</v>
      </c>
      <c r="F197" s="22">
        <v>180</v>
      </c>
      <c r="G197" s="22" t="s">
        <v>5882</v>
      </c>
      <c r="H197" s="22">
        <v>3</v>
      </c>
      <c r="I197" s="25">
        <v>43452</v>
      </c>
      <c r="J197" s="24">
        <v>43239</v>
      </c>
    </row>
    <row r="198" spans="2:10" x14ac:dyDescent="0.2">
      <c r="B198" s="22">
        <v>193</v>
      </c>
      <c r="C198" s="21" t="s">
        <v>5883</v>
      </c>
      <c r="D198" s="21" t="s">
        <v>5884</v>
      </c>
      <c r="E198" s="20" t="s">
        <v>5885</v>
      </c>
      <c r="F198" s="22">
        <v>101</v>
      </c>
      <c r="G198" s="22" t="s">
        <v>5886</v>
      </c>
      <c r="H198" s="22">
        <v>5</v>
      </c>
      <c r="I198" s="25">
        <v>43354</v>
      </c>
      <c r="J198" s="24">
        <v>43444</v>
      </c>
    </row>
    <row r="199" spans="2:10" x14ac:dyDescent="0.2">
      <c r="B199" s="22">
        <v>194</v>
      </c>
      <c r="C199" s="21" t="s">
        <v>5887</v>
      </c>
      <c r="D199" s="21" t="s">
        <v>5888</v>
      </c>
      <c r="E199" s="20" t="s">
        <v>5889</v>
      </c>
      <c r="F199" s="22">
        <v>1.8149999999999999</v>
      </c>
      <c r="G199" s="22" t="s">
        <v>1159</v>
      </c>
      <c r="H199" s="22" t="s">
        <v>1159</v>
      </c>
      <c r="I199" s="25">
        <v>43394</v>
      </c>
      <c r="J199" s="24">
        <v>43394</v>
      </c>
    </row>
    <row r="200" spans="2:10" x14ac:dyDescent="0.2">
      <c r="B200" s="22">
        <v>195</v>
      </c>
      <c r="C200" s="21" t="s">
        <v>5890</v>
      </c>
      <c r="D200" s="21" t="s">
        <v>2197</v>
      </c>
      <c r="E200" s="20" t="s">
        <v>5891</v>
      </c>
      <c r="F200" s="22">
        <v>886</v>
      </c>
      <c r="G200" s="22" t="s">
        <v>5892</v>
      </c>
      <c r="H200" s="22">
        <v>886</v>
      </c>
      <c r="I200" s="25">
        <v>43438</v>
      </c>
      <c r="J200" s="24">
        <v>43128</v>
      </c>
    </row>
    <row r="201" spans="2:10" x14ac:dyDescent="0.2">
      <c r="B201" s="22">
        <v>196</v>
      </c>
      <c r="C201" s="21" t="s">
        <v>5893</v>
      </c>
      <c r="D201" s="21" t="s">
        <v>1015</v>
      </c>
      <c r="E201" s="20" t="s">
        <v>5894</v>
      </c>
      <c r="F201" s="22">
        <v>795</v>
      </c>
      <c r="G201" s="22" t="s">
        <v>5895</v>
      </c>
      <c r="H201" s="22">
        <v>4</v>
      </c>
      <c r="I201" s="25">
        <v>43319</v>
      </c>
      <c r="J201" s="24">
        <v>43398</v>
      </c>
    </row>
    <row r="202" spans="2:10" x14ac:dyDescent="0.2">
      <c r="B202" s="22">
        <v>197</v>
      </c>
      <c r="C202" s="21" t="s">
        <v>5896</v>
      </c>
      <c r="D202" s="21" t="s">
        <v>5897</v>
      </c>
      <c r="E202" s="20" t="s">
        <v>5898</v>
      </c>
      <c r="F202" s="22">
        <v>222</v>
      </c>
      <c r="G202" s="22" t="s">
        <v>5899</v>
      </c>
      <c r="H202" s="22">
        <v>222</v>
      </c>
      <c r="I202" s="25">
        <v>43113</v>
      </c>
      <c r="J202" s="24">
        <v>43119</v>
      </c>
    </row>
    <row r="203" spans="2:10" x14ac:dyDescent="0.2">
      <c r="B203" s="22">
        <v>198</v>
      </c>
      <c r="C203" s="21" t="s">
        <v>5900</v>
      </c>
      <c r="D203" s="21" t="s">
        <v>1015</v>
      </c>
      <c r="E203" s="20" t="s">
        <v>5901</v>
      </c>
      <c r="F203" s="22">
        <v>110</v>
      </c>
      <c r="G203" s="22" t="s">
        <v>5902</v>
      </c>
      <c r="H203" s="22">
        <v>5</v>
      </c>
      <c r="I203" s="25">
        <v>43270</v>
      </c>
      <c r="J203" s="24">
        <v>43388</v>
      </c>
    </row>
    <row r="204" spans="2:10" x14ac:dyDescent="0.2">
      <c r="B204" s="22">
        <v>199</v>
      </c>
      <c r="C204" s="21" t="s">
        <v>5903</v>
      </c>
      <c r="D204" s="21" t="s">
        <v>1210</v>
      </c>
      <c r="E204" s="20" t="s">
        <v>5904</v>
      </c>
      <c r="F204" s="22">
        <v>32</v>
      </c>
      <c r="G204" s="22" t="s">
        <v>5905</v>
      </c>
      <c r="H204" s="22">
        <v>30</v>
      </c>
      <c r="I204" s="25">
        <v>43458</v>
      </c>
      <c r="J204" s="24">
        <v>43131</v>
      </c>
    </row>
    <row r="205" spans="2:10" x14ac:dyDescent="0.2">
      <c r="B205" s="22">
        <v>200</v>
      </c>
      <c r="C205" s="21" t="s">
        <v>5906</v>
      </c>
      <c r="D205" s="21" t="s">
        <v>966</v>
      </c>
      <c r="E205" s="20" t="s">
        <v>5907</v>
      </c>
      <c r="F205" s="22">
        <v>691</v>
      </c>
      <c r="G205" s="22" t="s">
        <v>5908</v>
      </c>
      <c r="H205" s="22">
        <v>2</v>
      </c>
      <c r="I205" s="25">
        <v>43368</v>
      </c>
      <c r="J205" s="24">
        <v>43430</v>
      </c>
    </row>
    <row r="206" spans="2:10" x14ac:dyDescent="0.2">
      <c r="B206" s="22">
        <v>201</v>
      </c>
      <c r="C206" s="21" t="s">
        <v>5909</v>
      </c>
      <c r="D206" s="21" t="s">
        <v>1415</v>
      </c>
      <c r="E206" s="20" t="s">
        <v>5910</v>
      </c>
      <c r="F206" s="22">
        <v>135</v>
      </c>
      <c r="G206" s="22" t="s">
        <v>5911</v>
      </c>
      <c r="H206" s="22">
        <v>135</v>
      </c>
      <c r="I206" s="25">
        <v>43347</v>
      </c>
      <c r="J206" s="24">
        <v>43377</v>
      </c>
    </row>
    <row r="207" spans="2:10" x14ac:dyDescent="0.2">
      <c r="B207" s="22">
        <v>202</v>
      </c>
      <c r="C207" s="21" t="s">
        <v>5912</v>
      </c>
      <c r="D207" s="21" t="s">
        <v>5913</v>
      </c>
      <c r="E207" s="20" t="s">
        <v>5914</v>
      </c>
      <c r="F207" s="22">
        <v>51</v>
      </c>
      <c r="G207" s="22" t="s">
        <v>5915</v>
      </c>
      <c r="H207" s="22">
        <v>51</v>
      </c>
      <c r="I207" s="25">
        <v>43256</v>
      </c>
      <c r="J207" s="24">
        <v>43384</v>
      </c>
    </row>
    <row r="208" spans="2:10" x14ac:dyDescent="0.2">
      <c r="B208" s="22">
        <v>203</v>
      </c>
      <c r="C208" s="21" t="s">
        <v>5916</v>
      </c>
      <c r="D208" s="21" t="s">
        <v>1015</v>
      </c>
      <c r="E208" s="20" t="s">
        <v>5917</v>
      </c>
      <c r="F208" s="22">
        <v>80</v>
      </c>
      <c r="G208" s="22" t="s">
        <v>5918</v>
      </c>
      <c r="H208" s="22">
        <v>4</v>
      </c>
      <c r="I208" s="25">
        <v>43186</v>
      </c>
      <c r="J208" s="24">
        <v>43321</v>
      </c>
    </row>
    <row r="209" spans="2:10" x14ac:dyDescent="0.2">
      <c r="B209" s="22">
        <v>204</v>
      </c>
      <c r="C209" s="21" t="s">
        <v>5919</v>
      </c>
      <c r="D209" s="21" t="s">
        <v>1039</v>
      </c>
      <c r="E209" s="20" t="s">
        <v>5920</v>
      </c>
      <c r="F209" s="22">
        <v>92</v>
      </c>
      <c r="G209" s="22" t="s">
        <v>5921</v>
      </c>
      <c r="H209" s="22">
        <v>6</v>
      </c>
      <c r="I209" s="25">
        <v>43219</v>
      </c>
      <c r="J209" s="24">
        <v>43346</v>
      </c>
    </row>
    <row r="210" spans="2:10" x14ac:dyDescent="0.2">
      <c r="B210" s="22">
        <v>205</v>
      </c>
      <c r="C210" s="21" t="s">
        <v>5922</v>
      </c>
      <c r="D210" s="21" t="s">
        <v>1235</v>
      </c>
      <c r="E210" s="20" t="s">
        <v>5923</v>
      </c>
      <c r="F210" s="22">
        <v>34</v>
      </c>
      <c r="G210" s="22" t="s">
        <v>5924</v>
      </c>
      <c r="H210" s="22">
        <v>28</v>
      </c>
      <c r="I210" s="25">
        <v>43368</v>
      </c>
      <c r="J210" s="24">
        <v>43391</v>
      </c>
    </row>
    <row r="211" spans="2:10" x14ac:dyDescent="0.2">
      <c r="B211" s="22">
        <v>206</v>
      </c>
      <c r="C211" s="21" t="s">
        <v>5925</v>
      </c>
      <c r="D211" s="21" t="s">
        <v>1039</v>
      </c>
      <c r="E211" s="20" t="s">
        <v>5926</v>
      </c>
      <c r="F211" s="22">
        <v>94</v>
      </c>
      <c r="G211" s="22" t="s">
        <v>5927</v>
      </c>
      <c r="H211" s="22">
        <v>2</v>
      </c>
      <c r="I211" s="25">
        <v>43263</v>
      </c>
      <c r="J211" s="24">
        <v>43388</v>
      </c>
    </row>
    <row r="212" spans="2:10" x14ac:dyDescent="0.2">
      <c r="B212" s="22">
        <v>207</v>
      </c>
      <c r="C212" s="21" t="s">
        <v>5928</v>
      </c>
      <c r="D212" s="21" t="s">
        <v>1210</v>
      </c>
      <c r="E212" s="20" t="s">
        <v>5929</v>
      </c>
      <c r="F212" s="22">
        <v>40</v>
      </c>
      <c r="G212" s="22" t="s">
        <v>5930</v>
      </c>
      <c r="H212" s="22">
        <v>22</v>
      </c>
      <c r="I212" s="25">
        <v>43382</v>
      </c>
      <c r="J212" s="24">
        <v>43430</v>
      </c>
    </row>
    <row r="213" spans="2:10" x14ac:dyDescent="0.2">
      <c r="B213" s="22">
        <v>208</v>
      </c>
      <c r="C213" s="21" t="s">
        <v>5931</v>
      </c>
      <c r="D213" s="21" t="s">
        <v>1043</v>
      </c>
      <c r="E213" s="20" t="s">
        <v>5932</v>
      </c>
      <c r="F213" s="22">
        <v>121</v>
      </c>
      <c r="G213" s="22" t="s">
        <v>5933</v>
      </c>
      <c r="H213" s="22">
        <v>4</v>
      </c>
      <c r="I213" s="25">
        <v>43158</v>
      </c>
      <c r="J213" s="24">
        <v>43227</v>
      </c>
    </row>
    <row r="214" spans="2:10" x14ac:dyDescent="0.2">
      <c r="B214" s="22">
        <v>209</v>
      </c>
      <c r="C214" s="21" t="s">
        <v>5934</v>
      </c>
      <c r="D214" s="21" t="s">
        <v>1235</v>
      </c>
      <c r="E214" s="20" t="s">
        <v>5935</v>
      </c>
      <c r="F214" s="22">
        <v>27</v>
      </c>
      <c r="G214" s="22" t="s">
        <v>5936</v>
      </c>
      <c r="H214" s="22">
        <v>22</v>
      </c>
      <c r="I214" s="25">
        <v>43452</v>
      </c>
      <c r="J214" s="24">
        <v>43117</v>
      </c>
    </row>
    <row r="215" spans="2:10" x14ac:dyDescent="0.2">
      <c r="B215" s="22">
        <v>210</v>
      </c>
      <c r="C215" s="21" t="s">
        <v>5937</v>
      </c>
      <c r="D215" s="21" t="s">
        <v>1422</v>
      </c>
      <c r="E215" s="20" t="s">
        <v>5938</v>
      </c>
      <c r="F215" s="22">
        <v>181</v>
      </c>
      <c r="G215" s="22" t="s">
        <v>5939</v>
      </c>
      <c r="H215" s="22">
        <v>17</v>
      </c>
      <c r="I215" s="25">
        <v>43196</v>
      </c>
      <c r="J215" s="24">
        <v>43332</v>
      </c>
    </row>
    <row r="216" spans="2:10" x14ac:dyDescent="0.2">
      <c r="B216" s="22">
        <v>211</v>
      </c>
      <c r="C216" s="21" t="s">
        <v>5940</v>
      </c>
      <c r="D216" s="21" t="s">
        <v>685</v>
      </c>
      <c r="E216" s="20" t="s">
        <v>5941</v>
      </c>
      <c r="F216" s="22">
        <v>510</v>
      </c>
      <c r="G216" s="22" t="s">
        <v>5942</v>
      </c>
      <c r="H216" s="22">
        <v>510</v>
      </c>
      <c r="I216" s="25">
        <v>43207</v>
      </c>
      <c r="J216" s="24">
        <v>43234</v>
      </c>
    </row>
    <row r="217" spans="2:10" x14ac:dyDescent="0.2">
      <c r="B217" s="22">
        <v>212</v>
      </c>
      <c r="C217" s="21" t="s">
        <v>5943</v>
      </c>
      <c r="D217" s="21" t="s">
        <v>1332</v>
      </c>
      <c r="E217" s="20" t="s">
        <v>5944</v>
      </c>
      <c r="F217" s="22">
        <v>46</v>
      </c>
      <c r="G217" s="22" t="s">
        <v>5945</v>
      </c>
      <c r="H217" s="22">
        <v>46</v>
      </c>
      <c r="I217" s="25">
        <v>43361</v>
      </c>
      <c r="J217" s="24">
        <v>43395</v>
      </c>
    </row>
    <row r="218" spans="2:10" x14ac:dyDescent="0.2">
      <c r="B218" s="22">
        <v>213</v>
      </c>
      <c r="C218" s="21" t="s">
        <v>5946</v>
      </c>
      <c r="D218" s="21" t="s">
        <v>5638</v>
      </c>
      <c r="E218" s="20" t="s">
        <v>5947</v>
      </c>
      <c r="F218" s="22">
        <v>90</v>
      </c>
      <c r="G218" s="22" t="s">
        <v>5948</v>
      </c>
      <c r="H218" s="22">
        <v>4</v>
      </c>
      <c r="I218" s="25">
        <v>43354</v>
      </c>
      <c r="J218" s="24">
        <v>43426</v>
      </c>
    </row>
    <row r="219" spans="2:10" x14ac:dyDescent="0.2">
      <c r="B219" s="22">
        <v>214</v>
      </c>
      <c r="C219" s="21" t="s">
        <v>5949</v>
      </c>
      <c r="D219" s="21" t="s">
        <v>740</v>
      </c>
      <c r="E219" s="20" t="s">
        <v>5950</v>
      </c>
      <c r="F219" s="22">
        <v>353</v>
      </c>
      <c r="G219" s="22" t="s">
        <v>5951</v>
      </c>
      <c r="H219" s="22">
        <v>5</v>
      </c>
      <c r="I219" s="25">
        <v>43123</v>
      </c>
      <c r="J219" s="24">
        <v>43157</v>
      </c>
    </row>
    <row r="220" spans="2:10" x14ac:dyDescent="0.2">
      <c r="B220" s="22">
        <v>215</v>
      </c>
      <c r="C220" s="21" t="s">
        <v>5952</v>
      </c>
      <c r="D220" s="21" t="s">
        <v>1043</v>
      </c>
      <c r="E220" s="20" t="s">
        <v>5953</v>
      </c>
      <c r="F220" s="22">
        <v>384</v>
      </c>
      <c r="G220" s="22" t="s">
        <v>5954</v>
      </c>
      <c r="H220" s="22">
        <v>384</v>
      </c>
      <c r="I220" s="25">
        <v>43410</v>
      </c>
      <c r="J220" s="24">
        <v>43426</v>
      </c>
    </row>
    <row r="221" spans="2:10" x14ac:dyDescent="0.2">
      <c r="B221" s="22">
        <v>216</v>
      </c>
      <c r="C221" s="21" t="s">
        <v>5955</v>
      </c>
      <c r="D221" s="21" t="s">
        <v>1043</v>
      </c>
      <c r="E221" s="20" t="s">
        <v>5956</v>
      </c>
      <c r="F221" s="22">
        <v>276</v>
      </c>
      <c r="G221" s="22" t="s">
        <v>5957</v>
      </c>
      <c r="H221" s="22">
        <v>276</v>
      </c>
      <c r="I221" s="25">
        <v>43235</v>
      </c>
      <c r="J221" s="24">
        <v>43269</v>
      </c>
    </row>
    <row r="222" spans="2:10" x14ac:dyDescent="0.2">
      <c r="B222" s="22">
        <v>217</v>
      </c>
      <c r="C222" s="21" t="s">
        <v>5958</v>
      </c>
      <c r="D222" s="21" t="s">
        <v>820</v>
      </c>
      <c r="E222" s="20" t="s">
        <v>5959</v>
      </c>
      <c r="F222" s="22">
        <v>108</v>
      </c>
      <c r="G222" s="22" t="s">
        <v>5960</v>
      </c>
      <c r="H222" s="22">
        <v>5</v>
      </c>
      <c r="I222" s="25">
        <v>43438</v>
      </c>
      <c r="J222" s="24">
        <v>43156</v>
      </c>
    </row>
    <row r="223" spans="2:10" x14ac:dyDescent="0.2">
      <c r="B223" s="22">
        <v>218</v>
      </c>
      <c r="C223" s="21" t="s">
        <v>5961</v>
      </c>
      <c r="D223" s="21" t="s">
        <v>1095</v>
      </c>
      <c r="E223" s="20" t="s">
        <v>5962</v>
      </c>
      <c r="F223" s="22">
        <v>307</v>
      </c>
      <c r="G223" s="22" t="s">
        <v>5963</v>
      </c>
      <c r="H223" s="22">
        <v>3</v>
      </c>
      <c r="I223" s="25">
        <v>43270</v>
      </c>
      <c r="J223" s="24">
        <v>43346</v>
      </c>
    </row>
    <row r="224" spans="2:10" x14ac:dyDescent="0.2">
      <c r="B224" s="22">
        <v>219</v>
      </c>
      <c r="C224" s="21" t="s">
        <v>5964</v>
      </c>
      <c r="D224" s="21" t="s">
        <v>1175</v>
      </c>
      <c r="E224" s="20" t="s">
        <v>5965</v>
      </c>
      <c r="F224" s="22">
        <v>56</v>
      </c>
      <c r="G224" s="22" t="s">
        <v>5966</v>
      </c>
      <c r="H224" s="22">
        <v>4</v>
      </c>
      <c r="I224" s="25">
        <v>43128</v>
      </c>
      <c r="J224" s="24">
        <v>43248</v>
      </c>
    </row>
    <row r="225" spans="2:10" x14ac:dyDescent="0.2">
      <c r="B225" s="22">
        <v>220</v>
      </c>
      <c r="C225" s="21" t="s">
        <v>5967</v>
      </c>
      <c r="D225" s="21" t="s">
        <v>1095</v>
      </c>
      <c r="E225" s="20" t="s">
        <v>5968</v>
      </c>
      <c r="F225" s="22">
        <v>105</v>
      </c>
      <c r="G225" s="22" t="s">
        <v>5969</v>
      </c>
      <c r="H225" s="22">
        <v>2</v>
      </c>
      <c r="I225" s="25">
        <v>43200</v>
      </c>
      <c r="J225" s="24">
        <v>43318</v>
      </c>
    </row>
    <row r="226" spans="2:10" x14ac:dyDescent="0.2">
      <c r="B226" s="22">
        <v>221</v>
      </c>
      <c r="C226" s="21" t="s">
        <v>5970</v>
      </c>
      <c r="D226" s="21" t="s">
        <v>740</v>
      </c>
      <c r="E226" s="20" t="s">
        <v>5971</v>
      </c>
      <c r="F226" s="22">
        <v>94</v>
      </c>
      <c r="G226" s="22" t="s">
        <v>5972</v>
      </c>
      <c r="H226" s="22">
        <v>87</v>
      </c>
      <c r="I226" s="25">
        <v>43228</v>
      </c>
      <c r="J226" s="24">
        <v>43276</v>
      </c>
    </row>
    <row r="227" spans="2:10" x14ac:dyDescent="0.2">
      <c r="B227" s="22">
        <v>222</v>
      </c>
      <c r="C227" s="21" t="s">
        <v>5973</v>
      </c>
      <c r="D227" s="21" t="s">
        <v>5974</v>
      </c>
      <c r="E227" s="20" t="s">
        <v>5975</v>
      </c>
      <c r="F227" s="22">
        <v>280</v>
      </c>
      <c r="G227" s="22" t="s">
        <v>5976</v>
      </c>
      <c r="H227" s="22">
        <v>280</v>
      </c>
      <c r="I227" s="25">
        <v>43382</v>
      </c>
      <c r="J227" s="24">
        <v>43458</v>
      </c>
    </row>
    <row r="228" spans="2:10" x14ac:dyDescent="0.2">
      <c r="B228" s="22">
        <v>223</v>
      </c>
      <c r="C228" s="21" t="s">
        <v>5977</v>
      </c>
      <c r="D228" s="21" t="s">
        <v>961</v>
      </c>
      <c r="E228" s="20" t="s">
        <v>5978</v>
      </c>
      <c r="F228" s="22">
        <v>344</v>
      </c>
      <c r="G228" s="22" t="s">
        <v>5979</v>
      </c>
      <c r="H228" s="22">
        <v>344</v>
      </c>
      <c r="I228" s="25">
        <v>43282</v>
      </c>
      <c r="J228" s="24">
        <v>43346</v>
      </c>
    </row>
    <row r="229" spans="2:10" x14ac:dyDescent="0.2">
      <c r="B229" s="22">
        <v>224</v>
      </c>
      <c r="C229" s="21" t="s">
        <v>5980</v>
      </c>
      <c r="D229" s="21" t="s">
        <v>1213</v>
      </c>
      <c r="E229" s="20" t="s">
        <v>5981</v>
      </c>
      <c r="F229" s="22">
        <v>74</v>
      </c>
      <c r="G229" s="22" t="s">
        <v>5982</v>
      </c>
      <c r="H229" s="22">
        <v>2</v>
      </c>
      <c r="I229" s="25">
        <v>43144</v>
      </c>
      <c r="J229" s="24">
        <v>43252</v>
      </c>
    </row>
    <row r="230" spans="2:10" x14ac:dyDescent="0.2">
      <c r="B230" s="22">
        <v>225</v>
      </c>
      <c r="C230" s="21" t="s">
        <v>5983</v>
      </c>
      <c r="D230" s="21" t="s">
        <v>1213</v>
      </c>
      <c r="E230" s="20" t="s">
        <v>5984</v>
      </c>
      <c r="F230" s="22">
        <v>76</v>
      </c>
      <c r="G230" s="22" t="s">
        <v>1159</v>
      </c>
      <c r="H230" s="22" t="s">
        <v>1159</v>
      </c>
      <c r="I230" s="25">
        <v>43221</v>
      </c>
      <c r="J230" s="24">
        <v>43353</v>
      </c>
    </row>
    <row r="231" spans="2:10" x14ac:dyDescent="0.2">
      <c r="B231" s="22">
        <v>226</v>
      </c>
      <c r="C231" s="21" t="s">
        <v>5985</v>
      </c>
      <c r="D231" s="21" t="s">
        <v>5986</v>
      </c>
      <c r="E231" s="20" t="s">
        <v>5987</v>
      </c>
      <c r="F231" s="22">
        <v>652</v>
      </c>
      <c r="G231" s="22" t="s">
        <v>1159</v>
      </c>
      <c r="H231" s="22" t="s">
        <v>1159</v>
      </c>
      <c r="I231" s="25">
        <v>43119</v>
      </c>
      <c r="J231" s="24">
        <v>43129</v>
      </c>
    </row>
    <row r="232" spans="2:10" x14ac:dyDescent="0.2">
      <c r="B232" s="22">
        <v>227</v>
      </c>
      <c r="C232" s="21" t="s">
        <v>5988</v>
      </c>
      <c r="D232" s="21" t="s">
        <v>1269</v>
      </c>
      <c r="E232" s="20" t="s">
        <v>5989</v>
      </c>
      <c r="F232" s="22">
        <v>358</v>
      </c>
      <c r="G232" s="22" t="s">
        <v>5990</v>
      </c>
      <c r="H232" s="22">
        <v>140</v>
      </c>
      <c r="I232" s="25">
        <v>43383</v>
      </c>
      <c r="J232" s="24">
        <v>43451</v>
      </c>
    </row>
    <row r="233" spans="2:10" x14ac:dyDescent="0.2">
      <c r="B233" s="22">
        <v>228</v>
      </c>
      <c r="C233" s="21" t="s">
        <v>5991</v>
      </c>
      <c r="D233" s="21" t="s">
        <v>1415</v>
      </c>
      <c r="E233" s="20" t="s">
        <v>5992</v>
      </c>
      <c r="F233" s="22">
        <v>135</v>
      </c>
      <c r="G233" s="22" t="s">
        <v>5993</v>
      </c>
      <c r="H233" s="22">
        <v>135</v>
      </c>
      <c r="I233" s="25">
        <v>43375</v>
      </c>
      <c r="J233" s="24">
        <v>43398</v>
      </c>
    </row>
    <row r="234" spans="2:10" x14ac:dyDescent="0.2">
      <c r="B234" s="22">
        <v>229</v>
      </c>
      <c r="C234" s="21" t="s">
        <v>5994</v>
      </c>
      <c r="D234" s="21" t="s">
        <v>1039</v>
      </c>
      <c r="E234" s="20" t="s">
        <v>5995</v>
      </c>
      <c r="F234" s="22">
        <v>69</v>
      </c>
      <c r="G234" s="22" t="s">
        <v>5996</v>
      </c>
      <c r="H234" s="22">
        <v>3</v>
      </c>
      <c r="I234" s="25">
        <v>43312</v>
      </c>
      <c r="J234" s="24">
        <v>43416</v>
      </c>
    </row>
    <row r="235" spans="2:10" x14ac:dyDescent="0.2">
      <c r="B235" s="22">
        <v>230</v>
      </c>
      <c r="C235" s="21" t="s">
        <v>5997</v>
      </c>
      <c r="D235" s="21" t="s">
        <v>1377</v>
      </c>
      <c r="E235" s="20" t="s">
        <v>5998</v>
      </c>
      <c r="F235" s="22">
        <v>146</v>
      </c>
      <c r="G235" s="22" t="s">
        <v>5999</v>
      </c>
      <c r="H235" s="22">
        <v>146</v>
      </c>
      <c r="I235" s="25">
        <v>43270</v>
      </c>
      <c r="J235" s="24">
        <v>43297</v>
      </c>
    </row>
    <row r="236" spans="2:10" x14ac:dyDescent="0.2">
      <c r="B236" s="22">
        <v>232</v>
      </c>
      <c r="C236" s="21" t="s">
        <v>6000</v>
      </c>
      <c r="D236" s="21" t="s">
        <v>1175</v>
      </c>
      <c r="E236" s="20" t="s">
        <v>6001</v>
      </c>
      <c r="F236" s="22">
        <v>57</v>
      </c>
      <c r="G236" s="22" t="s">
        <v>6002</v>
      </c>
      <c r="H236" s="22">
        <v>3</v>
      </c>
      <c r="I236" s="25">
        <v>43424</v>
      </c>
      <c r="J236" s="24">
        <v>43211</v>
      </c>
    </row>
    <row r="237" spans="2:10" x14ac:dyDescent="0.2">
      <c r="B237" s="22">
        <v>233</v>
      </c>
      <c r="C237" s="21" t="s">
        <v>6003</v>
      </c>
      <c r="D237" s="21" t="s">
        <v>1294</v>
      </c>
      <c r="E237" s="20" t="s">
        <v>6004</v>
      </c>
      <c r="F237" s="22">
        <v>392</v>
      </c>
      <c r="G237" s="22" t="s">
        <v>6005</v>
      </c>
      <c r="H237" s="22">
        <v>5</v>
      </c>
      <c r="I237" s="25">
        <v>43354</v>
      </c>
      <c r="J237" s="24">
        <v>43416</v>
      </c>
    </row>
    <row r="238" spans="2:10" x14ac:dyDescent="0.2">
      <c r="B238" s="22">
        <v>234</v>
      </c>
      <c r="C238" s="21" t="s">
        <v>6006</v>
      </c>
      <c r="D238" s="21" t="s">
        <v>1039</v>
      </c>
      <c r="E238" s="20" t="s">
        <v>6007</v>
      </c>
      <c r="F238" s="22">
        <v>65</v>
      </c>
      <c r="G238" s="22" t="s">
        <v>6008</v>
      </c>
      <c r="H238" s="22">
        <v>7</v>
      </c>
      <c r="I238" s="25">
        <v>43172</v>
      </c>
      <c r="J238" s="24">
        <v>43304</v>
      </c>
    </row>
    <row r="239" spans="2:10" x14ac:dyDescent="0.2">
      <c r="B239" s="22">
        <v>235</v>
      </c>
      <c r="C239" s="21" t="s">
        <v>6009</v>
      </c>
      <c r="D239" s="21" t="s">
        <v>1015</v>
      </c>
      <c r="E239" s="20" t="s">
        <v>6010</v>
      </c>
      <c r="F239" s="22">
        <v>72</v>
      </c>
      <c r="G239" s="22" t="s">
        <v>6011</v>
      </c>
      <c r="H239" s="22">
        <v>3</v>
      </c>
      <c r="I239" s="25">
        <v>43373</v>
      </c>
      <c r="J239" s="24">
        <v>43162</v>
      </c>
    </row>
    <row r="240" spans="2:10" x14ac:dyDescent="0.2">
      <c r="B240" s="22">
        <v>236</v>
      </c>
      <c r="C240" s="21" t="s">
        <v>6012</v>
      </c>
      <c r="D240" s="21" t="s">
        <v>1294</v>
      </c>
      <c r="E240" s="20" t="s">
        <v>6013</v>
      </c>
      <c r="F240" s="22">
        <v>64</v>
      </c>
      <c r="G240" s="22" t="s">
        <v>6014</v>
      </c>
      <c r="H240" s="22">
        <v>2</v>
      </c>
      <c r="I240" s="25">
        <v>43172</v>
      </c>
      <c r="J240" s="24">
        <v>43241</v>
      </c>
    </row>
    <row r="241" spans="2:10" x14ac:dyDescent="0.2">
      <c r="B241" s="22">
        <v>237</v>
      </c>
      <c r="C241" s="21" t="s">
        <v>6015</v>
      </c>
      <c r="D241" s="21" t="s">
        <v>1260</v>
      </c>
      <c r="E241" s="20" t="s">
        <v>6016</v>
      </c>
      <c r="F241" s="22">
        <v>32</v>
      </c>
      <c r="G241" s="22" t="s">
        <v>6017</v>
      </c>
      <c r="H241" s="22">
        <v>19</v>
      </c>
      <c r="I241" s="25">
        <v>43326</v>
      </c>
      <c r="J241" s="24">
        <v>43434</v>
      </c>
    </row>
    <row r="242" spans="2:10" x14ac:dyDescent="0.2">
      <c r="B242" s="22">
        <v>238</v>
      </c>
      <c r="C242" s="21" t="s">
        <v>6018</v>
      </c>
      <c r="D242" s="21" t="s">
        <v>1095</v>
      </c>
      <c r="E242" s="20" t="s">
        <v>6019</v>
      </c>
      <c r="F242" s="22">
        <v>65</v>
      </c>
      <c r="G242" s="22" t="s">
        <v>6020</v>
      </c>
      <c r="H242" s="22">
        <v>2</v>
      </c>
      <c r="I242" s="25">
        <v>43284</v>
      </c>
      <c r="J242" s="24">
        <v>43419</v>
      </c>
    </row>
    <row r="243" spans="2:10" x14ac:dyDescent="0.2">
      <c r="B243" s="22">
        <v>239</v>
      </c>
      <c r="C243" s="21" t="s">
        <v>6021</v>
      </c>
      <c r="D243" s="21" t="s">
        <v>1039</v>
      </c>
      <c r="E243" s="20" t="s">
        <v>6022</v>
      </c>
      <c r="F243" s="22">
        <v>44</v>
      </c>
      <c r="G243" s="22" t="s">
        <v>6023</v>
      </c>
      <c r="H243" s="22">
        <v>4</v>
      </c>
      <c r="I243" s="25">
        <v>43291</v>
      </c>
      <c r="J243" s="24">
        <v>43395</v>
      </c>
    </row>
    <row r="244" spans="2:10" x14ac:dyDescent="0.2">
      <c r="B244" s="22">
        <v>240</v>
      </c>
      <c r="C244" s="21" t="s">
        <v>6024</v>
      </c>
      <c r="D244" s="21" t="s">
        <v>1332</v>
      </c>
      <c r="E244" s="20" t="s">
        <v>6025</v>
      </c>
      <c r="F244" s="22">
        <v>36</v>
      </c>
      <c r="G244" s="22" t="s">
        <v>6026</v>
      </c>
      <c r="H244" s="22">
        <v>3</v>
      </c>
      <c r="I244" s="25">
        <v>43452</v>
      </c>
      <c r="J244" s="24">
        <v>43138</v>
      </c>
    </row>
    <row r="245" spans="2:10" x14ac:dyDescent="0.2">
      <c r="B245" s="22">
        <v>241</v>
      </c>
      <c r="C245" s="21" t="s">
        <v>6027</v>
      </c>
      <c r="D245" s="21" t="s">
        <v>1015</v>
      </c>
      <c r="E245" s="20" t="s">
        <v>6028</v>
      </c>
      <c r="F245" s="22">
        <v>84</v>
      </c>
      <c r="G245" s="22" t="s">
        <v>4849</v>
      </c>
      <c r="H245" s="22">
        <v>3</v>
      </c>
      <c r="I245" s="25">
        <v>43123</v>
      </c>
      <c r="J245" s="24">
        <v>43202</v>
      </c>
    </row>
    <row r="246" spans="2:10" x14ac:dyDescent="0.2">
      <c r="B246" s="22">
        <v>242</v>
      </c>
      <c r="C246" s="21" t="s">
        <v>6029</v>
      </c>
      <c r="D246" s="21" t="s">
        <v>1294</v>
      </c>
      <c r="E246" s="20" t="s">
        <v>6030</v>
      </c>
      <c r="F246" s="22">
        <v>1.0089999999999999</v>
      </c>
      <c r="G246" s="22" t="s">
        <v>6031</v>
      </c>
      <c r="H246" s="22">
        <v>1.0089999999999999</v>
      </c>
      <c r="I246" s="25">
        <v>43228</v>
      </c>
      <c r="J246" s="24">
        <v>43241</v>
      </c>
    </row>
    <row r="247" spans="2:10" x14ac:dyDescent="0.2">
      <c r="B247" s="22">
        <v>243</v>
      </c>
      <c r="C247" s="21" t="s">
        <v>6032</v>
      </c>
      <c r="D247" s="21" t="s">
        <v>1294</v>
      </c>
      <c r="E247" s="20" t="s">
        <v>6033</v>
      </c>
      <c r="F247" s="22">
        <v>79</v>
      </c>
      <c r="G247" s="22" t="s">
        <v>6034</v>
      </c>
      <c r="H247" s="22">
        <v>2</v>
      </c>
      <c r="I247" s="25">
        <v>43298</v>
      </c>
      <c r="J247" s="24">
        <v>43367</v>
      </c>
    </row>
    <row r="248" spans="2:10" x14ac:dyDescent="0.2">
      <c r="B248" s="22">
        <v>244</v>
      </c>
      <c r="C248" s="21" t="s">
        <v>6035</v>
      </c>
      <c r="D248" s="21" t="s">
        <v>1235</v>
      </c>
      <c r="E248" s="20" t="s">
        <v>6036</v>
      </c>
      <c r="F248" s="22">
        <v>53</v>
      </c>
      <c r="G248" s="22" t="s">
        <v>6037</v>
      </c>
      <c r="H248" s="22">
        <v>4</v>
      </c>
      <c r="I248" s="25">
        <v>43389</v>
      </c>
      <c r="J248" s="24">
        <v>43454</v>
      </c>
    </row>
    <row r="249" spans="2:10" x14ac:dyDescent="0.2">
      <c r="B249" s="22">
        <v>245</v>
      </c>
      <c r="C249" s="21" t="s">
        <v>6038</v>
      </c>
      <c r="D249" s="21" t="s">
        <v>3810</v>
      </c>
      <c r="E249" s="20" t="s">
        <v>6039</v>
      </c>
      <c r="F249" s="22">
        <v>71</v>
      </c>
      <c r="G249" s="22" t="s">
        <v>6040</v>
      </c>
      <c r="H249" s="22">
        <v>4</v>
      </c>
      <c r="I249" s="25">
        <v>43177</v>
      </c>
      <c r="J249" s="24">
        <v>43255</v>
      </c>
    </row>
    <row r="250" spans="2:10" x14ac:dyDescent="0.2">
      <c r="B250" s="22">
        <v>246</v>
      </c>
      <c r="C250" s="21" t="s">
        <v>6041</v>
      </c>
      <c r="D250" s="21" t="s">
        <v>1204</v>
      </c>
      <c r="E250" s="20" t="s">
        <v>6042</v>
      </c>
      <c r="F250" s="22">
        <v>164</v>
      </c>
      <c r="G250" s="22" t="s">
        <v>6043</v>
      </c>
      <c r="H250" s="22">
        <v>164</v>
      </c>
      <c r="I250" s="25">
        <v>43326</v>
      </c>
      <c r="J250" s="24">
        <v>43335</v>
      </c>
    </row>
    <row r="251" spans="2:10" x14ac:dyDescent="0.2">
      <c r="B251" s="22">
        <v>247</v>
      </c>
      <c r="C251" s="21" t="s">
        <v>6044</v>
      </c>
      <c r="D251" s="21" t="s">
        <v>5884</v>
      </c>
      <c r="E251" s="20" t="s">
        <v>6045</v>
      </c>
      <c r="F251" s="22">
        <v>119</v>
      </c>
      <c r="G251" s="22" t="s">
        <v>6046</v>
      </c>
      <c r="H251" s="22">
        <v>2</v>
      </c>
      <c r="I251" s="25">
        <v>43221</v>
      </c>
      <c r="J251" s="24">
        <v>43258</v>
      </c>
    </row>
    <row r="252" spans="2:10" x14ac:dyDescent="0.2">
      <c r="B252" s="22">
        <v>248</v>
      </c>
      <c r="C252" s="21" t="s">
        <v>6047</v>
      </c>
      <c r="D252" s="21" t="s">
        <v>1083</v>
      </c>
      <c r="E252" s="20" t="s">
        <v>6048</v>
      </c>
      <c r="F252" s="22">
        <v>82</v>
      </c>
      <c r="G252" s="22" t="s">
        <v>6049</v>
      </c>
      <c r="H252" s="22">
        <v>82</v>
      </c>
      <c r="I252" s="25">
        <v>43193</v>
      </c>
      <c r="J252" s="24">
        <v>43202</v>
      </c>
    </row>
    <row r="253" spans="2:10" x14ac:dyDescent="0.2">
      <c r="B253" s="22">
        <v>249</v>
      </c>
      <c r="C253" s="21" t="s">
        <v>6050</v>
      </c>
      <c r="D253" s="21" t="s">
        <v>643</v>
      </c>
      <c r="E253" s="20" t="s">
        <v>6051</v>
      </c>
      <c r="F253" s="22">
        <v>148</v>
      </c>
      <c r="G253" s="22" t="s">
        <v>6052</v>
      </c>
      <c r="H253" s="22">
        <v>5</v>
      </c>
      <c r="I253" s="25">
        <v>43375</v>
      </c>
      <c r="J253" s="24">
        <v>43416</v>
      </c>
    </row>
    <row r="254" spans="2:10" x14ac:dyDescent="0.2">
      <c r="B254" s="22">
        <v>250</v>
      </c>
      <c r="C254" s="21" t="s">
        <v>6053</v>
      </c>
      <c r="D254" s="21" t="s">
        <v>1559</v>
      </c>
      <c r="E254" s="20" t="s">
        <v>6054</v>
      </c>
      <c r="F254" s="22">
        <v>57</v>
      </c>
      <c r="G254" s="22" t="s">
        <v>6055</v>
      </c>
      <c r="H254" s="22">
        <v>2</v>
      </c>
      <c r="I254" s="25">
        <v>43242</v>
      </c>
      <c r="J254" s="24">
        <v>43332</v>
      </c>
    </row>
    <row r="255" spans="2:10" x14ac:dyDescent="0.2">
      <c r="B255" s="22">
        <v>251</v>
      </c>
      <c r="C255" s="21" t="s">
        <v>6056</v>
      </c>
      <c r="D255" s="21" t="s">
        <v>1015</v>
      </c>
      <c r="E255" s="20" t="s">
        <v>6057</v>
      </c>
      <c r="F255" s="22">
        <v>47</v>
      </c>
      <c r="G255" s="22" t="s">
        <v>6058</v>
      </c>
      <c r="H255" s="22">
        <v>3</v>
      </c>
      <c r="I255" s="25">
        <v>43284</v>
      </c>
      <c r="J255" s="24">
        <v>43409</v>
      </c>
    </row>
    <row r="256" spans="2:10" x14ac:dyDescent="0.2">
      <c r="B256" s="22">
        <v>252</v>
      </c>
      <c r="C256" s="21" t="s">
        <v>6059</v>
      </c>
      <c r="D256" s="21" t="s">
        <v>740</v>
      </c>
      <c r="E256" s="20" t="s">
        <v>6060</v>
      </c>
      <c r="F256" s="22">
        <v>87</v>
      </c>
      <c r="G256" s="22" t="s">
        <v>6061</v>
      </c>
      <c r="H256" s="22">
        <v>83</v>
      </c>
      <c r="I256" s="25">
        <v>43277</v>
      </c>
      <c r="J256" s="24">
        <v>43304</v>
      </c>
    </row>
    <row r="257" spans="2:10" x14ac:dyDescent="0.2">
      <c r="B257" s="22">
        <v>253</v>
      </c>
      <c r="C257" s="21" t="s">
        <v>6062</v>
      </c>
      <c r="D257" s="21" t="s">
        <v>1135</v>
      </c>
      <c r="E257" s="20" t="s">
        <v>6063</v>
      </c>
      <c r="F257" s="22">
        <v>43</v>
      </c>
      <c r="G257" s="22" t="s">
        <v>6064</v>
      </c>
      <c r="H257" s="22">
        <v>27</v>
      </c>
      <c r="I257" s="25">
        <v>43389</v>
      </c>
      <c r="J257" s="22" t="s">
        <v>558</v>
      </c>
    </row>
    <row r="258" spans="2:10" x14ac:dyDescent="0.2">
      <c r="B258" s="22">
        <v>254</v>
      </c>
      <c r="C258" s="21" t="s">
        <v>6065</v>
      </c>
      <c r="D258" s="21" t="s">
        <v>586</v>
      </c>
      <c r="E258" s="20" t="s">
        <v>6066</v>
      </c>
      <c r="F258" s="22">
        <v>142</v>
      </c>
      <c r="G258" s="22" t="s">
        <v>6067</v>
      </c>
      <c r="H258" s="22">
        <v>10</v>
      </c>
      <c r="I258" s="25">
        <v>43417</v>
      </c>
      <c r="J258" s="24">
        <v>43444</v>
      </c>
    </row>
    <row r="259" spans="2:10" x14ac:dyDescent="0.2">
      <c r="B259" s="22">
        <v>255</v>
      </c>
      <c r="C259" s="21" t="s">
        <v>6068</v>
      </c>
      <c r="D259" s="21" t="s">
        <v>1415</v>
      </c>
      <c r="E259" s="20" t="s">
        <v>6069</v>
      </c>
      <c r="F259" s="22">
        <v>107</v>
      </c>
      <c r="G259" s="22" t="s">
        <v>6070</v>
      </c>
      <c r="H259" s="22">
        <v>107</v>
      </c>
      <c r="I259" s="25">
        <v>43221</v>
      </c>
      <c r="J259" s="24">
        <v>43234</v>
      </c>
    </row>
    <row r="260" spans="2:10" x14ac:dyDescent="0.2">
      <c r="B260" s="22">
        <v>256</v>
      </c>
      <c r="C260" s="21" t="s">
        <v>6071</v>
      </c>
      <c r="D260" s="21" t="s">
        <v>1269</v>
      </c>
      <c r="E260" s="20" t="s">
        <v>6072</v>
      </c>
      <c r="F260" s="22">
        <v>34</v>
      </c>
      <c r="G260" s="22" t="s">
        <v>6073</v>
      </c>
      <c r="H260" s="22">
        <v>23</v>
      </c>
      <c r="I260" s="25">
        <v>43151</v>
      </c>
      <c r="J260" s="24">
        <v>43185</v>
      </c>
    </row>
    <row r="261" spans="2:10" x14ac:dyDescent="0.2">
      <c r="B261" s="22">
        <v>257</v>
      </c>
      <c r="C261" s="21" t="s">
        <v>6074</v>
      </c>
      <c r="D261" s="21" t="s">
        <v>1204</v>
      </c>
      <c r="E261" s="20" t="s">
        <v>6075</v>
      </c>
      <c r="F261" s="22">
        <v>136</v>
      </c>
      <c r="G261" s="22" t="s">
        <v>6076</v>
      </c>
      <c r="H261" s="22">
        <v>136</v>
      </c>
      <c r="I261" s="25">
        <v>43395</v>
      </c>
      <c r="J261" s="24">
        <v>43402</v>
      </c>
    </row>
    <row r="262" spans="2:10" x14ac:dyDescent="0.2">
      <c r="B262" s="22">
        <v>258</v>
      </c>
      <c r="C262" s="21" t="s">
        <v>6077</v>
      </c>
      <c r="D262" s="21" t="s">
        <v>1445</v>
      </c>
      <c r="E262" s="20" t="s">
        <v>6078</v>
      </c>
      <c r="F262" s="22">
        <v>12</v>
      </c>
      <c r="G262" s="22" t="s">
        <v>6079</v>
      </c>
      <c r="H262" s="22">
        <v>1</v>
      </c>
      <c r="I262" s="25">
        <v>43345</v>
      </c>
      <c r="J262" s="24">
        <v>43451</v>
      </c>
    </row>
    <row r="263" spans="2:10" x14ac:dyDescent="0.2">
      <c r="B263" s="22">
        <v>259</v>
      </c>
      <c r="C263" s="21" t="s">
        <v>6080</v>
      </c>
      <c r="D263" s="21" t="s">
        <v>1175</v>
      </c>
      <c r="E263" s="20" t="s">
        <v>6081</v>
      </c>
      <c r="F263" s="22">
        <v>38</v>
      </c>
      <c r="G263" s="22" t="s">
        <v>6082</v>
      </c>
      <c r="H263" s="22">
        <v>15</v>
      </c>
      <c r="I263" s="25">
        <v>43158</v>
      </c>
      <c r="J263" s="24">
        <v>43248</v>
      </c>
    </row>
    <row r="264" spans="2:10" x14ac:dyDescent="0.2">
      <c r="B264" s="22">
        <v>260</v>
      </c>
      <c r="C264" s="21" t="s">
        <v>6083</v>
      </c>
      <c r="D264" s="21" t="s">
        <v>1761</v>
      </c>
      <c r="E264" s="20" t="s">
        <v>6084</v>
      </c>
      <c r="F264" s="22">
        <v>25</v>
      </c>
      <c r="G264" s="22" t="s">
        <v>6085</v>
      </c>
      <c r="H264" s="22">
        <v>2</v>
      </c>
      <c r="I264" s="25">
        <v>43410</v>
      </c>
      <c r="J264" s="24">
        <v>43152</v>
      </c>
    </row>
    <row r="265" spans="2:10" x14ac:dyDescent="0.2">
      <c r="B265" s="22">
        <v>261</v>
      </c>
      <c r="C265" s="21" t="s">
        <v>6086</v>
      </c>
      <c r="D265" s="21" t="s">
        <v>1039</v>
      </c>
      <c r="E265" s="20" t="s">
        <v>6087</v>
      </c>
      <c r="F265" s="22">
        <v>68</v>
      </c>
      <c r="G265" s="22" t="s">
        <v>6088</v>
      </c>
      <c r="H265" s="22">
        <v>68</v>
      </c>
      <c r="I265" s="25">
        <v>43347</v>
      </c>
      <c r="J265" s="24">
        <v>43416</v>
      </c>
    </row>
    <row r="266" spans="2:10" x14ac:dyDescent="0.2">
      <c r="B266" s="22">
        <v>262</v>
      </c>
      <c r="C266" s="21" t="s">
        <v>6089</v>
      </c>
      <c r="D266" s="21" t="s">
        <v>1377</v>
      </c>
      <c r="E266" s="20" t="s">
        <v>6090</v>
      </c>
      <c r="F266" s="22">
        <v>93</v>
      </c>
      <c r="G266" s="22" t="s">
        <v>6091</v>
      </c>
      <c r="H266" s="22">
        <v>93</v>
      </c>
      <c r="I266" s="25">
        <v>43340</v>
      </c>
      <c r="J266" s="24">
        <v>43356</v>
      </c>
    </row>
    <row r="267" spans="2:10" x14ac:dyDescent="0.2">
      <c r="B267" s="22">
        <v>263</v>
      </c>
      <c r="C267" s="21" t="s">
        <v>6092</v>
      </c>
      <c r="D267" s="21" t="s">
        <v>1210</v>
      </c>
      <c r="E267" s="20" t="s">
        <v>6093</v>
      </c>
      <c r="F267" s="22">
        <v>46</v>
      </c>
      <c r="G267" s="22" t="s">
        <v>6094</v>
      </c>
      <c r="H267" s="22">
        <v>46</v>
      </c>
      <c r="I267" s="25">
        <v>43144</v>
      </c>
      <c r="J267" s="24">
        <v>43171</v>
      </c>
    </row>
    <row r="268" spans="2:10" x14ac:dyDescent="0.2">
      <c r="B268" s="22">
        <v>264</v>
      </c>
      <c r="C268" s="21" t="s">
        <v>6095</v>
      </c>
      <c r="D268" s="21" t="s">
        <v>2197</v>
      </c>
      <c r="E268" s="20" t="s">
        <v>6096</v>
      </c>
      <c r="F268" s="22">
        <v>200</v>
      </c>
      <c r="G268" s="22" t="s">
        <v>6097</v>
      </c>
      <c r="H268" s="22">
        <v>200</v>
      </c>
      <c r="I268" s="25">
        <v>43214</v>
      </c>
      <c r="J268" s="24">
        <v>43251</v>
      </c>
    </row>
    <row r="269" spans="2:10" x14ac:dyDescent="0.2">
      <c r="B269" s="22">
        <v>265</v>
      </c>
      <c r="C269" s="21" t="s">
        <v>6098</v>
      </c>
      <c r="D269" s="21" t="s">
        <v>2010</v>
      </c>
      <c r="E269" s="20" t="s">
        <v>6099</v>
      </c>
      <c r="F269" s="22">
        <v>16</v>
      </c>
      <c r="G269" s="22" t="s">
        <v>6100</v>
      </c>
      <c r="H269" s="22">
        <v>1</v>
      </c>
      <c r="I269" s="25">
        <v>43198</v>
      </c>
      <c r="J269" s="24">
        <v>43377</v>
      </c>
    </row>
    <row r="270" spans="2:10" x14ac:dyDescent="0.2">
      <c r="B270" s="22">
        <v>266</v>
      </c>
      <c r="C270" s="21" t="s">
        <v>6101</v>
      </c>
      <c r="D270" s="21" t="s">
        <v>1210</v>
      </c>
      <c r="E270" s="20" t="s">
        <v>6102</v>
      </c>
      <c r="F270" s="22">
        <v>39</v>
      </c>
      <c r="G270" s="22" t="s">
        <v>6103</v>
      </c>
      <c r="H270" s="22">
        <v>39</v>
      </c>
      <c r="I270" s="25">
        <v>43193</v>
      </c>
      <c r="J270" s="24">
        <v>43230</v>
      </c>
    </row>
    <row r="271" spans="2:10" x14ac:dyDescent="0.2">
      <c r="B271" s="22">
        <v>267</v>
      </c>
      <c r="C271" s="21" t="s">
        <v>6104</v>
      </c>
      <c r="D271" s="21" t="s">
        <v>1204</v>
      </c>
      <c r="E271" s="20" t="s">
        <v>6105</v>
      </c>
      <c r="F271" s="22">
        <v>218</v>
      </c>
      <c r="G271" s="22" t="s">
        <v>6106</v>
      </c>
      <c r="H271" s="22">
        <v>218</v>
      </c>
      <c r="I271" s="25">
        <v>43235</v>
      </c>
      <c r="J271" s="24">
        <v>43248</v>
      </c>
    </row>
    <row r="272" spans="2:10" x14ac:dyDescent="0.2">
      <c r="B272" s="22">
        <v>268</v>
      </c>
      <c r="C272" s="21" t="s">
        <v>6107</v>
      </c>
      <c r="D272" s="21" t="s">
        <v>1087</v>
      </c>
      <c r="E272" s="20" t="s">
        <v>6108</v>
      </c>
      <c r="F272" s="22">
        <v>290</v>
      </c>
      <c r="G272" s="22" t="s">
        <v>1159</v>
      </c>
      <c r="H272" s="22" t="s">
        <v>1159</v>
      </c>
      <c r="I272" s="25">
        <v>43373</v>
      </c>
      <c r="J272" s="24">
        <v>43376</v>
      </c>
    </row>
    <row r="273" spans="2:10" x14ac:dyDescent="0.2">
      <c r="B273" s="22">
        <v>269</v>
      </c>
      <c r="C273" s="21" t="s">
        <v>6109</v>
      </c>
      <c r="D273" s="21" t="s">
        <v>1942</v>
      </c>
      <c r="E273" s="20" t="s">
        <v>6110</v>
      </c>
      <c r="F273" s="22">
        <v>13</v>
      </c>
      <c r="G273" s="22" t="s">
        <v>6111</v>
      </c>
      <c r="H273" s="22">
        <v>3</v>
      </c>
      <c r="I273" s="25">
        <v>43277</v>
      </c>
      <c r="J273" s="24">
        <v>43426</v>
      </c>
    </row>
    <row r="274" spans="2:10" x14ac:dyDescent="0.2">
      <c r="B274" s="22">
        <v>270</v>
      </c>
      <c r="C274" s="21" t="s">
        <v>6112</v>
      </c>
      <c r="D274" s="21" t="s">
        <v>1142</v>
      </c>
      <c r="E274" s="20" t="s">
        <v>6113</v>
      </c>
      <c r="F274" s="22">
        <v>44</v>
      </c>
      <c r="G274" s="22" t="s">
        <v>6114</v>
      </c>
      <c r="H274" s="22">
        <v>1</v>
      </c>
      <c r="I274" s="25">
        <v>43207</v>
      </c>
      <c r="J274" s="22" t="s">
        <v>558</v>
      </c>
    </row>
    <row r="275" spans="2:10" x14ac:dyDescent="0.2">
      <c r="B275" s="22">
        <v>271</v>
      </c>
      <c r="C275" s="21" t="s">
        <v>6115</v>
      </c>
      <c r="D275" s="21" t="s">
        <v>6116</v>
      </c>
      <c r="E275" s="20" t="s">
        <v>6117</v>
      </c>
      <c r="F275" s="22">
        <v>21</v>
      </c>
      <c r="G275" s="22" t="s">
        <v>6118</v>
      </c>
      <c r="H275" s="22">
        <v>1</v>
      </c>
      <c r="I275" s="25">
        <v>43326</v>
      </c>
      <c r="J275" s="22" t="s">
        <v>558</v>
      </c>
    </row>
    <row r="276" spans="2:10" x14ac:dyDescent="0.2">
      <c r="B276" s="22">
        <v>272</v>
      </c>
      <c r="C276" s="21" t="s">
        <v>6119</v>
      </c>
      <c r="D276" s="21" t="s">
        <v>1015</v>
      </c>
      <c r="E276" s="20" t="s">
        <v>6120</v>
      </c>
      <c r="F276" s="22">
        <v>59</v>
      </c>
      <c r="G276" s="22" t="s">
        <v>6121</v>
      </c>
      <c r="H276" s="22">
        <v>4</v>
      </c>
      <c r="I276" s="25">
        <v>43228</v>
      </c>
      <c r="J276" s="24">
        <v>43311</v>
      </c>
    </row>
    <row r="277" spans="2:10" x14ac:dyDescent="0.2">
      <c r="B277" s="22">
        <v>273</v>
      </c>
      <c r="C277" s="21" t="s">
        <v>6122</v>
      </c>
      <c r="D277" s="21" t="s">
        <v>6123</v>
      </c>
      <c r="E277" s="20" t="s">
        <v>6124</v>
      </c>
      <c r="F277" s="22">
        <v>38</v>
      </c>
      <c r="G277" s="22" t="s">
        <v>6125</v>
      </c>
      <c r="H277" s="22">
        <v>2</v>
      </c>
      <c r="I277" s="25">
        <v>43310</v>
      </c>
      <c r="J277" s="24">
        <v>43381</v>
      </c>
    </row>
    <row r="278" spans="2:10" x14ac:dyDescent="0.2">
      <c r="B278" s="22">
        <v>274</v>
      </c>
      <c r="C278" s="21" t="s">
        <v>6126</v>
      </c>
      <c r="D278" s="21" t="s">
        <v>1248</v>
      </c>
      <c r="E278" s="20" t="s">
        <v>6127</v>
      </c>
      <c r="F278" s="22">
        <v>22</v>
      </c>
      <c r="G278" s="22" t="s">
        <v>6128</v>
      </c>
      <c r="H278" s="22">
        <v>1</v>
      </c>
      <c r="I278" s="25">
        <v>43394</v>
      </c>
      <c r="J278" s="24">
        <v>43190</v>
      </c>
    </row>
    <row r="279" spans="2:10" x14ac:dyDescent="0.2">
      <c r="B279" s="22">
        <v>275</v>
      </c>
      <c r="C279" s="21" t="s">
        <v>6129</v>
      </c>
      <c r="D279" s="21" t="s">
        <v>1210</v>
      </c>
      <c r="E279" s="20" t="s">
        <v>6130</v>
      </c>
      <c r="F279" s="22">
        <v>40</v>
      </c>
      <c r="G279" s="22" t="s">
        <v>6131</v>
      </c>
      <c r="H279" s="22">
        <v>40</v>
      </c>
      <c r="I279" s="25">
        <v>43403</v>
      </c>
      <c r="J279" s="24">
        <v>43426</v>
      </c>
    </row>
    <row r="280" spans="2:10" x14ac:dyDescent="0.2">
      <c r="B280" s="22">
        <v>276</v>
      </c>
      <c r="C280" s="21" t="s">
        <v>6132</v>
      </c>
      <c r="D280" s="21" t="s">
        <v>157</v>
      </c>
      <c r="E280" s="20" t="s">
        <v>6133</v>
      </c>
      <c r="F280" s="22">
        <v>26</v>
      </c>
      <c r="G280" s="22" t="s">
        <v>6134</v>
      </c>
      <c r="H280" s="22">
        <v>2</v>
      </c>
      <c r="I280" s="25">
        <v>43431</v>
      </c>
      <c r="J280" s="22" t="s">
        <v>558</v>
      </c>
    </row>
    <row r="281" spans="2:10" x14ac:dyDescent="0.2">
      <c r="B281" s="22">
        <v>277</v>
      </c>
      <c r="C281" s="21" t="s">
        <v>6135</v>
      </c>
      <c r="D281" s="21" t="s">
        <v>1631</v>
      </c>
      <c r="E281" s="20" t="s">
        <v>6136</v>
      </c>
      <c r="F281" s="22">
        <v>80</v>
      </c>
      <c r="G281" s="22" t="s">
        <v>6137</v>
      </c>
      <c r="H281" s="22">
        <v>80</v>
      </c>
      <c r="I281" s="25">
        <v>43368</v>
      </c>
      <c r="J281" s="24">
        <v>43451</v>
      </c>
    </row>
    <row r="282" spans="2:10" x14ac:dyDescent="0.2">
      <c r="B282" s="22">
        <v>278</v>
      </c>
      <c r="C282" s="21" t="s">
        <v>6138</v>
      </c>
      <c r="D282" s="21" t="s">
        <v>1415</v>
      </c>
      <c r="E282" s="20" t="s">
        <v>6139</v>
      </c>
      <c r="F282" s="22">
        <v>82</v>
      </c>
      <c r="G282" s="22" t="s">
        <v>6140</v>
      </c>
      <c r="H282" s="22">
        <v>82</v>
      </c>
      <c r="I282" s="25">
        <v>43151</v>
      </c>
      <c r="J282" s="24">
        <v>43171</v>
      </c>
    </row>
    <row r="283" spans="2:10" x14ac:dyDescent="0.2">
      <c r="B283" s="22">
        <v>279</v>
      </c>
      <c r="C283" s="21" t="s">
        <v>6141</v>
      </c>
      <c r="D283" s="21" t="s">
        <v>5638</v>
      </c>
      <c r="E283" s="20" t="s">
        <v>6142</v>
      </c>
      <c r="F283" s="22">
        <v>25</v>
      </c>
      <c r="G283" s="22" t="s">
        <v>6143</v>
      </c>
      <c r="H283" s="22">
        <v>2</v>
      </c>
      <c r="I283" s="25">
        <v>43158</v>
      </c>
      <c r="J283" s="24">
        <v>43335</v>
      </c>
    </row>
    <row r="284" spans="2:10" x14ac:dyDescent="0.2">
      <c r="B284" s="22">
        <v>280</v>
      </c>
      <c r="C284" s="21" t="s">
        <v>6144</v>
      </c>
      <c r="D284" s="21" t="s">
        <v>1576</v>
      </c>
      <c r="E284" s="20" t="s">
        <v>6145</v>
      </c>
      <c r="F284" s="22">
        <v>10</v>
      </c>
      <c r="G284" s="22" t="s">
        <v>6146</v>
      </c>
      <c r="H284" s="22">
        <v>1</v>
      </c>
      <c r="I284" s="25">
        <v>43228</v>
      </c>
      <c r="J284" s="24">
        <v>43339</v>
      </c>
    </row>
    <row r="285" spans="2:10" x14ac:dyDescent="0.2">
      <c r="B285" s="22">
        <v>281</v>
      </c>
      <c r="C285" s="21" t="s">
        <v>6147</v>
      </c>
      <c r="D285" s="21" t="s">
        <v>1260</v>
      </c>
      <c r="E285" s="20" t="s">
        <v>6148</v>
      </c>
      <c r="F285" s="22">
        <v>124</v>
      </c>
      <c r="G285" s="22" t="s">
        <v>6149</v>
      </c>
      <c r="H285" s="22">
        <v>124</v>
      </c>
      <c r="I285" s="25">
        <v>43198</v>
      </c>
      <c r="J285" s="24">
        <v>43325</v>
      </c>
    </row>
    <row r="286" spans="2:10" x14ac:dyDescent="0.2">
      <c r="B286" s="22">
        <v>282</v>
      </c>
      <c r="C286" s="21" t="s">
        <v>6150</v>
      </c>
      <c r="D286" s="21" t="s">
        <v>1015</v>
      </c>
      <c r="E286" s="20" t="s">
        <v>6151</v>
      </c>
      <c r="F286" s="22">
        <v>55</v>
      </c>
      <c r="G286" s="22" t="s">
        <v>6152</v>
      </c>
      <c r="H286" s="22">
        <v>3</v>
      </c>
      <c r="I286" s="25">
        <v>43352</v>
      </c>
      <c r="J286" s="24">
        <v>43451</v>
      </c>
    </row>
    <row r="287" spans="2:10" x14ac:dyDescent="0.2">
      <c r="B287" s="22">
        <v>283</v>
      </c>
      <c r="C287" s="21" t="s">
        <v>6153</v>
      </c>
      <c r="D287" s="21" t="s">
        <v>1142</v>
      </c>
      <c r="E287" s="20" t="s">
        <v>6154</v>
      </c>
      <c r="F287" s="22">
        <v>223</v>
      </c>
      <c r="G287" s="22" t="s">
        <v>6155</v>
      </c>
      <c r="H287" s="22">
        <v>3</v>
      </c>
      <c r="I287" s="25">
        <v>43340</v>
      </c>
      <c r="J287" s="24">
        <v>43454</v>
      </c>
    </row>
    <row r="288" spans="2:10" x14ac:dyDescent="0.2">
      <c r="B288" s="22">
        <v>284</v>
      </c>
      <c r="C288" s="21" t="s">
        <v>6156</v>
      </c>
      <c r="D288" s="21" t="s">
        <v>1422</v>
      </c>
      <c r="E288" s="20" t="s">
        <v>6157</v>
      </c>
      <c r="F288" s="22">
        <v>1</v>
      </c>
      <c r="G288" s="22" t="s">
        <v>1159</v>
      </c>
      <c r="H288" s="22" t="s">
        <v>1159</v>
      </c>
      <c r="I288" s="25">
        <v>43374</v>
      </c>
      <c r="J288" s="24">
        <v>43451</v>
      </c>
    </row>
    <row r="289" spans="2:10" x14ac:dyDescent="0.2">
      <c r="B289" s="22">
        <v>285</v>
      </c>
      <c r="C289" s="21" t="s">
        <v>6158</v>
      </c>
      <c r="D289" s="21" t="s">
        <v>1377</v>
      </c>
      <c r="E289" s="20" t="s">
        <v>6159</v>
      </c>
      <c r="F289" s="22">
        <v>127</v>
      </c>
      <c r="G289" s="22" t="s">
        <v>6160</v>
      </c>
      <c r="H289" s="22">
        <v>127</v>
      </c>
      <c r="I289" s="25">
        <v>43361</v>
      </c>
      <c r="J289" s="24">
        <v>43377</v>
      </c>
    </row>
    <row r="290" spans="2:10" x14ac:dyDescent="0.2">
      <c r="B290" s="22">
        <v>286</v>
      </c>
      <c r="C290" s="21" t="s">
        <v>6161</v>
      </c>
      <c r="D290" s="21" t="s">
        <v>1559</v>
      </c>
      <c r="E290" s="20" t="s">
        <v>6162</v>
      </c>
      <c r="F290" s="22">
        <v>37</v>
      </c>
      <c r="G290" s="22" t="s">
        <v>6163</v>
      </c>
      <c r="H290" s="22">
        <v>2</v>
      </c>
      <c r="I290" s="25">
        <v>43319</v>
      </c>
      <c r="J290" s="24">
        <v>43388</v>
      </c>
    </row>
    <row r="291" spans="2:10" x14ac:dyDescent="0.2">
      <c r="B291" s="22">
        <v>287</v>
      </c>
      <c r="C291" s="21" t="s">
        <v>6164</v>
      </c>
      <c r="D291" s="21" t="s">
        <v>6165</v>
      </c>
      <c r="E291" s="20" t="s">
        <v>6166</v>
      </c>
      <c r="F291" s="22">
        <v>201</v>
      </c>
      <c r="G291" s="22" t="s">
        <v>6167</v>
      </c>
      <c r="H291" s="22">
        <v>201</v>
      </c>
      <c r="I291" s="25">
        <v>43193</v>
      </c>
      <c r="J291" s="24">
        <v>43213</v>
      </c>
    </row>
    <row r="292" spans="2:10" x14ac:dyDescent="0.2">
      <c r="B292" s="22">
        <v>288</v>
      </c>
      <c r="C292" s="21" t="s">
        <v>6168</v>
      </c>
      <c r="D292" s="21" t="s">
        <v>740</v>
      </c>
      <c r="E292" s="20" t="s">
        <v>6169</v>
      </c>
      <c r="F292" s="22">
        <v>66</v>
      </c>
      <c r="G292" s="22" t="s">
        <v>6170</v>
      </c>
      <c r="H292" s="22">
        <v>66</v>
      </c>
      <c r="I292" s="25">
        <v>43158</v>
      </c>
      <c r="J292" s="24">
        <v>43192</v>
      </c>
    </row>
    <row r="293" spans="2:10" x14ac:dyDescent="0.2">
      <c r="B293" s="22">
        <v>289</v>
      </c>
      <c r="C293" s="21" t="s">
        <v>6171</v>
      </c>
      <c r="D293" s="21" t="s">
        <v>6172</v>
      </c>
      <c r="E293" s="20" t="s">
        <v>6173</v>
      </c>
      <c r="F293" s="22">
        <v>175</v>
      </c>
      <c r="G293" s="22" t="s">
        <v>6174</v>
      </c>
      <c r="H293" s="22">
        <v>175</v>
      </c>
      <c r="I293" s="25">
        <v>43228</v>
      </c>
      <c r="J293" s="24">
        <v>43251</v>
      </c>
    </row>
    <row r="294" spans="2:10" x14ac:dyDescent="0.2">
      <c r="B294" s="22">
        <v>290</v>
      </c>
      <c r="C294" s="21" t="s">
        <v>6175</v>
      </c>
      <c r="D294" s="21" t="s">
        <v>1353</v>
      </c>
      <c r="E294" s="20" t="s">
        <v>6176</v>
      </c>
      <c r="F294" s="22">
        <v>51</v>
      </c>
      <c r="G294" s="22" t="s">
        <v>6177</v>
      </c>
      <c r="H294" s="22">
        <v>51</v>
      </c>
      <c r="I294" s="25">
        <v>43375</v>
      </c>
      <c r="J294" s="24">
        <v>43405</v>
      </c>
    </row>
    <row r="295" spans="2:10" x14ac:dyDescent="0.2">
      <c r="B295" s="22">
        <v>291</v>
      </c>
      <c r="C295" s="21" t="s">
        <v>6178</v>
      </c>
      <c r="D295" s="21" t="s">
        <v>1235</v>
      </c>
      <c r="E295" s="20" t="s">
        <v>6179</v>
      </c>
      <c r="F295" s="22">
        <v>13</v>
      </c>
      <c r="G295" s="22" t="s">
        <v>6180</v>
      </c>
      <c r="H295" s="22">
        <v>13</v>
      </c>
      <c r="I295" s="25">
        <v>43298</v>
      </c>
      <c r="J295" s="24">
        <v>43318</v>
      </c>
    </row>
    <row r="296" spans="2:10" x14ac:dyDescent="0.2">
      <c r="B296" s="22">
        <v>292</v>
      </c>
      <c r="C296" s="21" t="s">
        <v>6181</v>
      </c>
      <c r="D296" s="21" t="s">
        <v>1039</v>
      </c>
      <c r="E296" s="20" t="s">
        <v>6182</v>
      </c>
      <c r="F296" s="22">
        <v>27</v>
      </c>
      <c r="G296" s="22" t="s">
        <v>6183</v>
      </c>
      <c r="H296" s="22">
        <v>2</v>
      </c>
      <c r="I296" s="25">
        <v>43137</v>
      </c>
      <c r="J296" s="24">
        <v>43234</v>
      </c>
    </row>
    <row r="297" spans="2:10" x14ac:dyDescent="0.2">
      <c r="B297" s="22">
        <v>293</v>
      </c>
      <c r="C297" s="21" t="s">
        <v>6184</v>
      </c>
      <c r="D297" s="21" t="s">
        <v>1415</v>
      </c>
      <c r="E297" s="20" t="s">
        <v>6185</v>
      </c>
      <c r="F297" s="22">
        <v>137</v>
      </c>
      <c r="G297" s="22" t="s">
        <v>6186</v>
      </c>
      <c r="H297" s="22">
        <v>137</v>
      </c>
      <c r="I297" s="25">
        <v>43137</v>
      </c>
      <c r="J297" s="24">
        <v>43150</v>
      </c>
    </row>
    <row r="298" spans="2:10" x14ac:dyDescent="0.2">
      <c r="B298" s="22">
        <v>294</v>
      </c>
      <c r="C298" s="21" t="s">
        <v>6187</v>
      </c>
      <c r="D298" s="21" t="s">
        <v>1532</v>
      </c>
      <c r="E298" s="20" t="s">
        <v>6188</v>
      </c>
      <c r="F298" s="22">
        <v>20</v>
      </c>
      <c r="G298" s="22" t="s">
        <v>6189</v>
      </c>
      <c r="H298" s="22">
        <v>3</v>
      </c>
      <c r="I298" s="25">
        <v>43375</v>
      </c>
      <c r="J298" s="22" t="s">
        <v>558</v>
      </c>
    </row>
    <row r="299" spans="2:10" x14ac:dyDescent="0.2">
      <c r="B299" s="22">
        <v>295</v>
      </c>
      <c r="C299" s="21" t="s">
        <v>6190</v>
      </c>
      <c r="D299" s="21" t="s">
        <v>1294</v>
      </c>
      <c r="E299" s="20" t="s">
        <v>6191</v>
      </c>
      <c r="F299" s="22">
        <v>143</v>
      </c>
      <c r="G299" s="22" t="s">
        <v>6192</v>
      </c>
      <c r="H299" s="22">
        <v>2</v>
      </c>
      <c r="I299" s="25">
        <v>43235</v>
      </c>
      <c r="J299" s="24">
        <v>43283</v>
      </c>
    </row>
    <row r="300" spans="2:10" x14ac:dyDescent="0.2">
      <c r="B300" s="22">
        <v>296</v>
      </c>
      <c r="C300" s="21" t="s">
        <v>6193</v>
      </c>
      <c r="D300" s="21" t="s">
        <v>6194</v>
      </c>
      <c r="E300" s="20" t="s">
        <v>6195</v>
      </c>
      <c r="F300" s="22">
        <v>34</v>
      </c>
      <c r="G300" s="22" t="s">
        <v>6196</v>
      </c>
      <c r="H300" s="22">
        <v>31</v>
      </c>
      <c r="I300" s="25">
        <v>43193</v>
      </c>
      <c r="J300" s="24">
        <v>43209</v>
      </c>
    </row>
    <row r="301" spans="2:10" x14ac:dyDescent="0.2">
      <c r="B301" s="22">
        <v>297</v>
      </c>
      <c r="C301" s="21" t="s">
        <v>6197</v>
      </c>
      <c r="D301" s="21" t="s">
        <v>1210</v>
      </c>
      <c r="E301" s="20" t="s">
        <v>6198</v>
      </c>
      <c r="F301" s="22">
        <v>21</v>
      </c>
      <c r="G301" s="22" t="s">
        <v>6199</v>
      </c>
      <c r="H301" s="22">
        <v>20</v>
      </c>
      <c r="I301" s="25">
        <v>43130</v>
      </c>
      <c r="J301" s="24">
        <v>43164</v>
      </c>
    </row>
    <row r="302" spans="2:10" x14ac:dyDescent="0.2">
      <c r="B302" s="22">
        <v>298</v>
      </c>
      <c r="C302" s="21" t="s">
        <v>6200</v>
      </c>
      <c r="D302" s="21" t="s">
        <v>1015</v>
      </c>
      <c r="E302" s="20" t="s">
        <v>6201</v>
      </c>
      <c r="F302" s="22">
        <v>30</v>
      </c>
      <c r="G302" s="22" t="s">
        <v>6202</v>
      </c>
      <c r="H302" s="22">
        <v>4</v>
      </c>
      <c r="I302" s="25">
        <v>43165</v>
      </c>
      <c r="J302" s="24">
        <v>43262</v>
      </c>
    </row>
    <row r="303" spans="2:10" x14ac:dyDescent="0.2">
      <c r="B303" s="22">
        <v>299</v>
      </c>
      <c r="C303" s="21" t="s">
        <v>6203</v>
      </c>
      <c r="D303" s="21" t="s">
        <v>1087</v>
      </c>
      <c r="E303" s="20" t="s">
        <v>6204</v>
      </c>
      <c r="F303" s="22">
        <v>230</v>
      </c>
      <c r="G303" s="22" t="s">
        <v>6205</v>
      </c>
      <c r="H303" s="22">
        <v>230</v>
      </c>
      <c r="I303" s="25">
        <v>43393</v>
      </c>
      <c r="J303" s="24">
        <v>43400</v>
      </c>
    </row>
    <row r="304" spans="2:10" x14ac:dyDescent="0.2">
      <c r="B304" s="22">
        <v>300</v>
      </c>
      <c r="C304" s="21" t="s">
        <v>6206</v>
      </c>
      <c r="D304" s="21" t="s">
        <v>1415</v>
      </c>
      <c r="E304" s="20" t="s">
        <v>6207</v>
      </c>
      <c r="F304" s="22">
        <v>40</v>
      </c>
      <c r="G304" s="22" t="s">
        <v>6208</v>
      </c>
      <c r="H304" s="22">
        <v>40</v>
      </c>
      <c r="I304" s="25">
        <v>43172</v>
      </c>
      <c r="J304" s="24">
        <v>43181</v>
      </c>
    </row>
    <row r="305" spans="2:10" x14ac:dyDescent="0.2">
      <c r="B305" s="22">
        <v>301</v>
      </c>
      <c r="C305" s="21" t="s">
        <v>6209</v>
      </c>
      <c r="D305" s="21" t="s">
        <v>2197</v>
      </c>
      <c r="E305" s="20" t="s">
        <v>6210</v>
      </c>
      <c r="F305" s="22">
        <v>36</v>
      </c>
      <c r="G305" s="22" t="s">
        <v>6211</v>
      </c>
      <c r="H305" s="22">
        <v>36</v>
      </c>
      <c r="I305" s="25">
        <v>43410</v>
      </c>
      <c r="J305" s="24">
        <v>43458</v>
      </c>
    </row>
    <row r="306" spans="2:10" x14ac:dyDescent="0.2">
      <c r="B306" s="22">
        <v>302</v>
      </c>
      <c r="C306" s="21" t="s">
        <v>6212</v>
      </c>
      <c r="D306" s="21" t="s">
        <v>4383</v>
      </c>
      <c r="E306" s="20" t="s">
        <v>6213</v>
      </c>
      <c r="F306" s="22">
        <v>13</v>
      </c>
      <c r="G306" s="22" t="s">
        <v>6214</v>
      </c>
      <c r="H306" s="22">
        <v>1</v>
      </c>
      <c r="I306" s="25">
        <v>43130</v>
      </c>
      <c r="J306" s="24">
        <v>43227</v>
      </c>
    </row>
    <row r="307" spans="2:10" x14ac:dyDescent="0.2">
      <c r="B307" s="22">
        <v>303</v>
      </c>
      <c r="C307" s="21" t="s">
        <v>6215</v>
      </c>
      <c r="D307" s="21" t="s">
        <v>1210</v>
      </c>
      <c r="E307" s="20" t="s">
        <v>6216</v>
      </c>
      <c r="F307" s="22">
        <v>18</v>
      </c>
      <c r="G307" s="22" t="s">
        <v>6217</v>
      </c>
      <c r="H307" s="22">
        <v>15</v>
      </c>
      <c r="I307" s="25">
        <v>43326</v>
      </c>
      <c r="J307" s="24">
        <v>43360</v>
      </c>
    </row>
    <row r="308" spans="2:10" x14ac:dyDescent="0.2">
      <c r="B308" s="22">
        <v>304</v>
      </c>
      <c r="C308" s="21" t="s">
        <v>6218</v>
      </c>
      <c r="D308" s="21" t="s">
        <v>1572</v>
      </c>
      <c r="E308" s="20" t="s">
        <v>6219</v>
      </c>
      <c r="F308" s="22">
        <v>27</v>
      </c>
      <c r="G308" s="22" t="s">
        <v>6220</v>
      </c>
      <c r="H308" s="22">
        <v>3</v>
      </c>
      <c r="I308" s="25">
        <v>43410</v>
      </c>
      <c r="J308" s="22" t="s">
        <v>558</v>
      </c>
    </row>
    <row r="309" spans="2:10" x14ac:dyDescent="0.2">
      <c r="B309" s="22">
        <v>305</v>
      </c>
      <c r="C309" s="21" t="s">
        <v>6221</v>
      </c>
      <c r="D309" s="21" t="s">
        <v>1039</v>
      </c>
      <c r="E309" s="20" t="s">
        <v>6222</v>
      </c>
      <c r="F309" s="22">
        <v>29</v>
      </c>
      <c r="G309" s="22" t="s">
        <v>6223</v>
      </c>
      <c r="H309" s="22">
        <v>2</v>
      </c>
      <c r="I309" s="25">
        <v>43186</v>
      </c>
      <c r="J309" s="24">
        <v>43276</v>
      </c>
    </row>
    <row r="310" spans="2:10" x14ac:dyDescent="0.2">
      <c r="B310" s="22">
        <v>306</v>
      </c>
      <c r="C310" s="21" t="s">
        <v>6224</v>
      </c>
      <c r="D310" s="21" t="s">
        <v>1804</v>
      </c>
      <c r="E310" s="20" t="s">
        <v>6225</v>
      </c>
      <c r="F310" s="22">
        <v>22</v>
      </c>
      <c r="G310" s="22" t="s">
        <v>6226</v>
      </c>
      <c r="H310" s="22">
        <v>1</v>
      </c>
      <c r="I310" s="25">
        <v>43277</v>
      </c>
      <c r="J310" s="24">
        <v>43388</v>
      </c>
    </row>
    <row r="311" spans="2:10" x14ac:dyDescent="0.2">
      <c r="B311" s="22">
        <v>307</v>
      </c>
      <c r="C311" s="21" t="s">
        <v>6227</v>
      </c>
      <c r="D311" s="21" t="s">
        <v>1175</v>
      </c>
      <c r="E311" s="20" t="s">
        <v>6228</v>
      </c>
      <c r="F311" s="22">
        <v>50</v>
      </c>
      <c r="G311" s="22" t="s">
        <v>6229</v>
      </c>
      <c r="H311" s="22">
        <v>3</v>
      </c>
      <c r="I311" s="25">
        <v>43235</v>
      </c>
      <c r="J311" s="24">
        <v>43263</v>
      </c>
    </row>
    <row r="312" spans="2:10" x14ac:dyDescent="0.2">
      <c r="B312" s="22">
        <v>308</v>
      </c>
      <c r="C312" s="21" t="s">
        <v>6230</v>
      </c>
      <c r="D312" s="21" t="s">
        <v>1175</v>
      </c>
      <c r="E312" s="20" t="s">
        <v>6231</v>
      </c>
      <c r="F312" s="22">
        <v>23</v>
      </c>
      <c r="G312" s="22" t="s">
        <v>6232</v>
      </c>
      <c r="H312" s="22">
        <v>3</v>
      </c>
      <c r="I312" s="25">
        <v>43436</v>
      </c>
      <c r="J312" s="24">
        <v>43156</v>
      </c>
    </row>
    <row r="313" spans="2:10" x14ac:dyDescent="0.2">
      <c r="B313" s="22">
        <v>309</v>
      </c>
      <c r="C313" s="21" t="s">
        <v>6233</v>
      </c>
      <c r="D313" s="21" t="s">
        <v>5884</v>
      </c>
      <c r="E313" s="20" t="s">
        <v>6234</v>
      </c>
      <c r="F313" s="22">
        <v>25</v>
      </c>
      <c r="G313" s="22" t="s">
        <v>6235</v>
      </c>
      <c r="H313" s="22">
        <v>2</v>
      </c>
      <c r="I313" s="25">
        <v>43403</v>
      </c>
      <c r="J313" s="24">
        <v>43444</v>
      </c>
    </row>
    <row r="314" spans="2:10" x14ac:dyDescent="0.2">
      <c r="B314" s="22">
        <v>310</v>
      </c>
      <c r="C314" s="21" t="s">
        <v>6236</v>
      </c>
      <c r="D314" s="21" t="s">
        <v>6237</v>
      </c>
      <c r="E314" s="20" t="s">
        <v>6238</v>
      </c>
      <c r="F314" s="22">
        <v>28</v>
      </c>
      <c r="G314" s="22" t="s">
        <v>6239</v>
      </c>
      <c r="H314" s="22">
        <v>21</v>
      </c>
      <c r="I314" s="25">
        <v>43403</v>
      </c>
      <c r="J314" s="24">
        <v>43449</v>
      </c>
    </row>
    <row r="315" spans="2:10" x14ac:dyDescent="0.2">
      <c r="B315" s="22">
        <v>311</v>
      </c>
      <c r="C315" s="21" t="s">
        <v>6240</v>
      </c>
      <c r="D315" s="21" t="s">
        <v>1415</v>
      </c>
      <c r="E315" s="20" t="s">
        <v>6241</v>
      </c>
      <c r="F315" s="22">
        <v>127</v>
      </c>
      <c r="G315" s="22" t="s">
        <v>6242</v>
      </c>
      <c r="H315" s="22">
        <v>127</v>
      </c>
      <c r="I315" s="25">
        <v>43109</v>
      </c>
      <c r="J315" s="24">
        <v>43119</v>
      </c>
    </row>
    <row r="316" spans="2:10" x14ac:dyDescent="0.2">
      <c r="B316" s="22">
        <v>312</v>
      </c>
      <c r="C316" s="21" t="s">
        <v>6243</v>
      </c>
      <c r="D316" s="21" t="s">
        <v>1204</v>
      </c>
      <c r="E316" s="20" t="s">
        <v>6244</v>
      </c>
      <c r="F316" s="22">
        <v>67</v>
      </c>
      <c r="G316" s="22" t="s">
        <v>6245</v>
      </c>
      <c r="H316" s="22">
        <v>67</v>
      </c>
      <c r="I316" s="25">
        <v>43263</v>
      </c>
      <c r="J316" s="24">
        <v>43272</v>
      </c>
    </row>
    <row r="317" spans="2:10" x14ac:dyDescent="0.2">
      <c r="B317" s="22">
        <v>313</v>
      </c>
      <c r="C317" s="21" t="s">
        <v>6246</v>
      </c>
      <c r="D317" s="21" t="s">
        <v>1332</v>
      </c>
      <c r="E317" s="20" t="s">
        <v>6247</v>
      </c>
      <c r="F317" s="22">
        <v>13</v>
      </c>
      <c r="G317" s="22" t="s">
        <v>6248</v>
      </c>
      <c r="H317" s="22">
        <v>13</v>
      </c>
      <c r="I317" s="25">
        <v>43116</v>
      </c>
      <c r="J317" s="24">
        <v>43139</v>
      </c>
    </row>
    <row r="318" spans="2:10" x14ac:dyDescent="0.2">
      <c r="B318" s="22">
        <v>314</v>
      </c>
      <c r="C318" s="21" t="s">
        <v>6249</v>
      </c>
      <c r="D318" s="21" t="s">
        <v>38</v>
      </c>
      <c r="E318" s="20" t="s">
        <v>6250</v>
      </c>
      <c r="F318" s="22">
        <v>54</v>
      </c>
      <c r="G318" s="22" t="s">
        <v>6251</v>
      </c>
      <c r="H318" s="22">
        <v>50</v>
      </c>
      <c r="I318" s="25">
        <v>43240</v>
      </c>
      <c r="J318" s="24">
        <v>43279</v>
      </c>
    </row>
    <row r="319" spans="2:10" x14ac:dyDescent="0.2">
      <c r="B319" s="22">
        <v>315</v>
      </c>
      <c r="C319" s="21" t="s">
        <v>6252</v>
      </c>
      <c r="D319" s="21" t="s">
        <v>1235</v>
      </c>
      <c r="E319" s="20" t="s">
        <v>6253</v>
      </c>
      <c r="F319" s="22">
        <v>13</v>
      </c>
      <c r="G319" s="22" t="s">
        <v>6254</v>
      </c>
      <c r="H319" s="22">
        <v>7</v>
      </c>
      <c r="I319" s="25">
        <v>43102</v>
      </c>
      <c r="J319" s="24">
        <v>43132</v>
      </c>
    </row>
    <row r="320" spans="2:10" x14ac:dyDescent="0.2">
      <c r="B320" s="22">
        <v>316</v>
      </c>
      <c r="C320" s="21" t="s">
        <v>6255</v>
      </c>
      <c r="D320" s="21" t="s">
        <v>1035</v>
      </c>
      <c r="E320" s="20" t="s">
        <v>6256</v>
      </c>
      <c r="F320" s="22">
        <v>158</v>
      </c>
      <c r="G320" s="22" t="s">
        <v>6257</v>
      </c>
      <c r="H320" s="22">
        <v>158</v>
      </c>
      <c r="I320" s="25">
        <v>43438</v>
      </c>
      <c r="J320" s="24">
        <v>43458</v>
      </c>
    </row>
    <row r="321" spans="2:10" x14ac:dyDescent="0.2">
      <c r="B321" s="22">
        <v>317</v>
      </c>
      <c r="C321" s="21" t="s">
        <v>6258</v>
      </c>
      <c r="D321" s="21" t="s">
        <v>1039</v>
      </c>
      <c r="E321" s="20" t="s">
        <v>6259</v>
      </c>
      <c r="F321" s="22">
        <v>17</v>
      </c>
      <c r="G321" s="22" t="s">
        <v>6260</v>
      </c>
      <c r="H321" s="22">
        <v>2</v>
      </c>
      <c r="I321" s="25">
        <v>43254</v>
      </c>
      <c r="J321" s="24">
        <v>43388</v>
      </c>
    </row>
    <row r="322" spans="2:10" x14ac:dyDescent="0.2">
      <c r="B322" s="22">
        <v>318</v>
      </c>
      <c r="C322" s="21" t="s">
        <v>6261</v>
      </c>
      <c r="D322" s="21" t="s">
        <v>1353</v>
      </c>
      <c r="E322" s="20" t="s">
        <v>6262</v>
      </c>
      <c r="F322" s="22">
        <v>49</v>
      </c>
      <c r="G322" s="22" t="s">
        <v>6263</v>
      </c>
      <c r="H322" s="22">
        <v>49</v>
      </c>
      <c r="I322" s="25">
        <v>43389</v>
      </c>
      <c r="J322" s="24">
        <v>43405</v>
      </c>
    </row>
    <row r="323" spans="2:10" x14ac:dyDescent="0.2">
      <c r="B323" s="22">
        <v>319</v>
      </c>
      <c r="C323" s="21" t="s">
        <v>6264</v>
      </c>
      <c r="D323" s="21" t="s">
        <v>2197</v>
      </c>
      <c r="E323" s="20" t="s">
        <v>6265</v>
      </c>
      <c r="F323" s="22">
        <v>24</v>
      </c>
      <c r="G323" s="22" t="s">
        <v>6266</v>
      </c>
      <c r="H323" s="22">
        <v>15</v>
      </c>
      <c r="I323" s="25">
        <v>43242</v>
      </c>
      <c r="J323" s="24">
        <v>43276</v>
      </c>
    </row>
    <row r="324" spans="2:10" x14ac:dyDescent="0.2">
      <c r="B324" s="22">
        <v>320</v>
      </c>
      <c r="C324" s="21" t="s">
        <v>6267</v>
      </c>
      <c r="D324" s="21" t="s">
        <v>1210</v>
      </c>
      <c r="E324" s="20" t="s">
        <v>6268</v>
      </c>
      <c r="F324" s="22">
        <v>36</v>
      </c>
      <c r="G324" s="22" t="s">
        <v>6269</v>
      </c>
      <c r="H324" s="22">
        <v>36</v>
      </c>
      <c r="I324" s="25">
        <v>43438</v>
      </c>
      <c r="J324" s="24">
        <v>43454</v>
      </c>
    </row>
    <row r="325" spans="2:10" x14ac:dyDescent="0.2">
      <c r="B325" s="22">
        <v>321</v>
      </c>
      <c r="C325" s="21" t="s">
        <v>6270</v>
      </c>
      <c r="D325" s="21" t="s">
        <v>570</v>
      </c>
      <c r="E325" s="20" t="s">
        <v>6271</v>
      </c>
      <c r="F325" s="22">
        <v>5</v>
      </c>
      <c r="G325" s="22" t="s">
        <v>1159</v>
      </c>
      <c r="H325" s="22" t="s">
        <v>1159</v>
      </c>
      <c r="I325" s="25">
        <v>43354</v>
      </c>
      <c r="J325" s="22" t="s">
        <v>558</v>
      </c>
    </row>
    <row r="326" spans="2:10" x14ac:dyDescent="0.2">
      <c r="B326" s="22">
        <v>322</v>
      </c>
      <c r="C326" s="21" t="s">
        <v>6272</v>
      </c>
      <c r="D326" s="21" t="s">
        <v>38</v>
      </c>
      <c r="E326" s="20" t="s">
        <v>6273</v>
      </c>
      <c r="F326" s="22">
        <v>151</v>
      </c>
      <c r="G326" s="22" t="s">
        <v>1159</v>
      </c>
      <c r="H326" s="22">
        <v>151</v>
      </c>
      <c r="I326" s="25">
        <v>43319</v>
      </c>
      <c r="J326" s="24">
        <v>43332</v>
      </c>
    </row>
    <row r="327" spans="2:10" x14ac:dyDescent="0.2">
      <c r="B327" s="22">
        <v>323</v>
      </c>
      <c r="C327" s="21" t="s">
        <v>6274</v>
      </c>
      <c r="D327" s="21" t="s">
        <v>1248</v>
      </c>
      <c r="E327" s="20" t="s">
        <v>6275</v>
      </c>
      <c r="F327" s="22">
        <v>42</v>
      </c>
      <c r="G327" s="22" t="s">
        <v>6276</v>
      </c>
      <c r="H327" s="22">
        <v>3</v>
      </c>
      <c r="I327" s="25">
        <v>43403</v>
      </c>
      <c r="J327" s="24">
        <v>43423</v>
      </c>
    </row>
    <row r="328" spans="2:10" x14ac:dyDescent="0.2">
      <c r="B328" s="22">
        <v>324</v>
      </c>
      <c r="C328" s="21" t="s">
        <v>6277</v>
      </c>
      <c r="D328" s="21" t="s">
        <v>5638</v>
      </c>
      <c r="E328" s="20" t="s">
        <v>6278</v>
      </c>
      <c r="F328" s="22">
        <v>105</v>
      </c>
      <c r="G328" s="22" t="s">
        <v>6279</v>
      </c>
      <c r="H328" s="22">
        <v>105</v>
      </c>
      <c r="I328" s="25">
        <v>43277</v>
      </c>
      <c r="J328" s="24">
        <v>43290</v>
      </c>
    </row>
    <row r="329" spans="2:10" x14ac:dyDescent="0.2">
      <c r="B329" s="22">
        <v>325</v>
      </c>
      <c r="C329" s="21" t="s">
        <v>6280</v>
      </c>
      <c r="D329" s="21" t="s">
        <v>1213</v>
      </c>
      <c r="E329" s="20" t="s">
        <v>6281</v>
      </c>
      <c r="F329" s="22">
        <v>29</v>
      </c>
      <c r="G329" s="22" t="s">
        <v>6282</v>
      </c>
      <c r="H329" s="22">
        <v>5</v>
      </c>
      <c r="I329" s="25">
        <v>43249</v>
      </c>
      <c r="J329" s="22" t="s">
        <v>558</v>
      </c>
    </row>
    <row r="330" spans="2:10" x14ac:dyDescent="0.2">
      <c r="B330" s="22">
        <v>326</v>
      </c>
      <c r="C330" s="21" t="s">
        <v>6283</v>
      </c>
      <c r="D330" s="21" t="s">
        <v>3627</v>
      </c>
      <c r="E330" s="20" t="s">
        <v>6284</v>
      </c>
      <c r="F330" s="22">
        <v>27</v>
      </c>
      <c r="G330" s="22" t="s">
        <v>6285</v>
      </c>
      <c r="H330" s="22">
        <v>2</v>
      </c>
      <c r="I330" s="25">
        <v>43235</v>
      </c>
      <c r="J330" s="22" t="s">
        <v>558</v>
      </c>
    </row>
    <row r="331" spans="2:10" x14ac:dyDescent="0.2">
      <c r="B331" s="22">
        <v>327</v>
      </c>
      <c r="C331" s="21" t="s">
        <v>6286</v>
      </c>
      <c r="D331" s="21" t="s">
        <v>1210</v>
      </c>
      <c r="E331" s="20" t="s">
        <v>6287</v>
      </c>
      <c r="F331" s="22">
        <v>24</v>
      </c>
      <c r="G331" s="22" t="s">
        <v>6288</v>
      </c>
      <c r="H331" s="22">
        <v>24</v>
      </c>
      <c r="I331" s="25">
        <v>43179</v>
      </c>
      <c r="J331" s="24">
        <v>43230</v>
      </c>
    </row>
    <row r="332" spans="2:10" x14ac:dyDescent="0.2">
      <c r="B332" s="22">
        <v>328</v>
      </c>
      <c r="C332" s="21" t="s">
        <v>6289</v>
      </c>
      <c r="D332" s="21" t="s">
        <v>1043</v>
      </c>
      <c r="E332" s="20" t="s">
        <v>6290</v>
      </c>
      <c r="F332" s="22">
        <v>129</v>
      </c>
      <c r="G332" s="22" t="s">
        <v>6291</v>
      </c>
      <c r="H332" s="22">
        <v>129</v>
      </c>
      <c r="I332" s="25">
        <v>43368</v>
      </c>
      <c r="J332" s="24">
        <v>43388</v>
      </c>
    </row>
    <row r="333" spans="2:10" x14ac:dyDescent="0.2">
      <c r="B333" s="22">
        <v>329</v>
      </c>
      <c r="C333" s="21" t="s">
        <v>6292</v>
      </c>
      <c r="D333" s="21" t="s">
        <v>1043</v>
      </c>
      <c r="E333" s="20" t="s">
        <v>6293</v>
      </c>
      <c r="F333" s="22">
        <v>79</v>
      </c>
      <c r="G333" s="22" t="s">
        <v>6294</v>
      </c>
      <c r="H333" s="22">
        <v>79</v>
      </c>
      <c r="I333" s="25">
        <v>43228</v>
      </c>
      <c r="J333" s="24">
        <v>43241</v>
      </c>
    </row>
    <row r="334" spans="2:10" x14ac:dyDescent="0.2">
      <c r="B334" s="22">
        <v>330</v>
      </c>
      <c r="C334" s="21" t="s">
        <v>6295</v>
      </c>
      <c r="D334" s="21" t="s">
        <v>1332</v>
      </c>
      <c r="E334" s="20" t="s">
        <v>6296</v>
      </c>
      <c r="F334" s="22">
        <v>19</v>
      </c>
      <c r="G334" s="22" t="s">
        <v>6297</v>
      </c>
      <c r="H334" s="22">
        <v>19</v>
      </c>
      <c r="I334" s="25">
        <v>43165</v>
      </c>
      <c r="J334" s="24">
        <v>43202</v>
      </c>
    </row>
    <row r="335" spans="2:10" x14ac:dyDescent="0.2">
      <c r="B335" s="22">
        <v>331</v>
      </c>
      <c r="C335" s="21" t="s">
        <v>6298</v>
      </c>
      <c r="D335" s="21" t="s">
        <v>1332</v>
      </c>
      <c r="E335" s="20" t="s">
        <v>6299</v>
      </c>
      <c r="F335" s="22">
        <v>13</v>
      </c>
      <c r="G335" s="22" t="s">
        <v>1159</v>
      </c>
      <c r="H335" s="22" t="s">
        <v>1159</v>
      </c>
      <c r="I335" s="25">
        <v>43430</v>
      </c>
      <c r="J335" s="24">
        <v>43458</v>
      </c>
    </row>
    <row r="336" spans="2:10" x14ac:dyDescent="0.2">
      <c r="B336" s="22">
        <v>332</v>
      </c>
      <c r="C336" s="21" t="s">
        <v>6300</v>
      </c>
      <c r="D336" s="21" t="s">
        <v>1015</v>
      </c>
      <c r="E336" s="20" t="s">
        <v>6301</v>
      </c>
      <c r="F336" s="22">
        <v>31</v>
      </c>
      <c r="G336" s="22" t="s">
        <v>6302</v>
      </c>
      <c r="H336" s="22">
        <v>3</v>
      </c>
      <c r="I336" s="25">
        <v>43193</v>
      </c>
      <c r="J336" s="24">
        <v>43311</v>
      </c>
    </row>
    <row r="337" spans="2:10" x14ac:dyDescent="0.2">
      <c r="B337" s="22">
        <v>333</v>
      </c>
      <c r="C337" s="21" t="s">
        <v>6303</v>
      </c>
      <c r="D337" s="21" t="s">
        <v>1248</v>
      </c>
      <c r="E337" s="20" t="s">
        <v>6304</v>
      </c>
      <c r="F337" s="22">
        <v>15</v>
      </c>
      <c r="G337" s="22" t="s">
        <v>6305</v>
      </c>
      <c r="H337" s="22">
        <v>2</v>
      </c>
      <c r="I337" s="25">
        <v>43165</v>
      </c>
      <c r="J337" s="24">
        <v>43262</v>
      </c>
    </row>
    <row r="338" spans="2:10" x14ac:dyDescent="0.2">
      <c r="B338" s="22">
        <v>334</v>
      </c>
      <c r="C338" s="21" t="s">
        <v>6306</v>
      </c>
      <c r="D338" s="21" t="s">
        <v>1039</v>
      </c>
      <c r="E338" s="20" t="s">
        <v>6307</v>
      </c>
      <c r="F338" s="22">
        <v>59</v>
      </c>
      <c r="G338" s="22" t="s">
        <v>6308</v>
      </c>
      <c r="H338" s="22">
        <v>59</v>
      </c>
      <c r="I338" s="25">
        <v>43186</v>
      </c>
      <c r="J338" s="24">
        <v>43234</v>
      </c>
    </row>
    <row r="339" spans="2:10" x14ac:dyDescent="0.2">
      <c r="B339" s="22">
        <v>335</v>
      </c>
      <c r="C339" s="21" t="s">
        <v>6309</v>
      </c>
      <c r="D339" s="21" t="s">
        <v>820</v>
      </c>
      <c r="E339" s="20" t="s">
        <v>6310</v>
      </c>
      <c r="F339" s="22">
        <v>100</v>
      </c>
      <c r="G339" s="22" t="s">
        <v>6311</v>
      </c>
      <c r="H339" s="22">
        <v>100</v>
      </c>
      <c r="I339" s="25">
        <v>43312</v>
      </c>
      <c r="J339" s="24">
        <v>43347</v>
      </c>
    </row>
    <row r="340" spans="2:10" x14ac:dyDescent="0.2">
      <c r="B340" s="22">
        <v>336</v>
      </c>
      <c r="C340" s="21" t="s">
        <v>6312</v>
      </c>
      <c r="D340" s="21" t="s">
        <v>1594</v>
      </c>
      <c r="E340" s="20" t="s">
        <v>6313</v>
      </c>
      <c r="F340" s="22">
        <v>14</v>
      </c>
      <c r="G340" s="22" t="s">
        <v>6314</v>
      </c>
      <c r="H340" s="22">
        <v>2</v>
      </c>
      <c r="I340" s="25">
        <v>43242</v>
      </c>
      <c r="J340" s="22" t="s">
        <v>558</v>
      </c>
    </row>
    <row r="341" spans="2:10" x14ac:dyDescent="0.2">
      <c r="B341" s="22">
        <v>337</v>
      </c>
      <c r="C341" s="21" t="s">
        <v>6315</v>
      </c>
      <c r="D341" s="21" t="s">
        <v>1631</v>
      </c>
      <c r="E341" s="20" t="s">
        <v>6316</v>
      </c>
      <c r="F341" s="22">
        <v>14</v>
      </c>
      <c r="G341" s="22" t="s">
        <v>6317</v>
      </c>
      <c r="H341" s="22">
        <v>2</v>
      </c>
      <c r="I341" s="25">
        <v>43389</v>
      </c>
      <c r="J341" s="24">
        <v>43447</v>
      </c>
    </row>
    <row r="342" spans="2:10" x14ac:dyDescent="0.2">
      <c r="B342" s="22">
        <v>338</v>
      </c>
      <c r="C342" s="21" t="s">
        <v>6318</v>
      </c>
      <c r="D342" s="21" t="s">
        <v>1594</v>
      </c>
      <c r="E342" s="20" t="s">
        <v>6319</v>
      </c>
      <c r="F342" s="22">
        <v>18</v>
      </c>
      <c r="G342" s="22" t="s">
        <v>6320</v>
      </c>
      <c r="H342" s="22">
        <v>3</v>
      </c>
      <c r="I342" s="25">
        <v>43354</v>
      </c>
      <c r="J342" s="24">
        <v>43405</v>
      </c>
    </row>
    <row r="343" spans="2:10" x14ac:dyDescent="0.2">
      <c r="B343" s="22">
        <v>339</v>
      </c>
      <c r="C343" s="21" t="s">
        <v>6321</v>
      </c>
      <c r="D343" s="21" t="s">
        <v>1294</v>
      </c>
      <c r="E343" s="20" t="s">
        <v>6322</v>
      </c>
      <c r="F343" s="22">
        <v>18</v>
      </c>
      <c r="G343" s="22" t="s">
        <v>6323</v>
      </c>
      <c r="H343" s="22">
        <v>3</v>
      </c>
      <c r="I343" s="25">
        <v>43352</v>
      </c>
      <c r="J343" s="24">
        <v>43416</v>
      </c>
    </row>
    <row r="344" spans="2:10" x14ac:dyDescent="0.2">
      <c r="B344" s="22">
        <v>340</v>
      </c>
      <c r="C344" s="21" t="s">
        <v>6324</v>
      </c>
      <c r="D344" s="21" t="s">
        <v>1235</v>
      </c>
      <c r="E344" s="20" t="s">
        <v>6325</v>
      </c>
      <c r="F344" s="22">
        <v>24</v>
      </c>
      <c r="G344" s="22" t="s">
        <v>6326</v>
      </c>
      <c r="H344" s="22">
        <v>24</v>
      </c>
      <c r="I344" s="25">
        <v>43158</v>
      </c>
      <c r="J344" s="24">
        <v>43209</v>
      </c>
    </row>
    <row r="345" spans="2:10" x14ac:dyDescent="0.2">
      <c r="B345" s="22">
        <v>341</v>
      </c>
      <c r="C345" s="21" t="s">
        <v>6327</v>
      </c>
      <c r="D345" s="21" t="s">
        <v>1332</v>
      </c>
      <c r="E345" s="20" t="s">
        <v>6328</v>
      </c>
      <c r="F345" s="22">
        <v>23</v>
      </c>
      <c r="G345" s="22" t="s">
        <v>1159</v>
      </c>
      <c r="H345" s="22" t="s">
        <v>1159</v>
      </c>
      <c r="I345" s="25">
        <v>43144</v>
      </c>
      <c r="J345" s="24">
        <v>43171</v>
      </c>
    </row>
    <row r="346" spans="2:10" x14ac:dyDescent="0.2">
      <c r="B346" s="22">
        <v>342</v>
      </c>
      <c r="C346" s="21" t="s">
        <v>6329</v>
      </c>
      <c r="D346" s="21" t="s">
        <v>1210</v>
      </c>
      <c r="E346" s="20" t="s">
        <v>6330</v>
      </c>
      <c r="F346" s="22">
        <v>17</v>
      </c>
      <c r="G346" s="22" t="s">
        <v>6331</v>
      </c>
      <c r="H346" s="22">
        <v>17</v>
      </c>
      <c r="I346" s="25">
        <v>43415</v>
      </c>
      <c r="J346" s="24">
        <v>43437</v>
      </c>
    </row>
    <row r="347" spans="2:10" x14ac:dyDescent="0.2">
      <c r="B347" s="22">
        <v>343</v>
      </c>
      <c r="C347" s="21" t="s">
        <v>6332</v>
      </c>
      <c r="D347" s="21" t="s">
        <v>1294</v>
      </c>
      <c r="E347" s="20" t="s">
        <v>6333</v>
      </c>
      <c r="F347" s="22">
        <v>27</v>
      </c>
      <c r="G347" s="22" t="s">
        <v>4901</v>
      </c>
      <c r="H347" s="22">
        <v>2</v>
      </c>
      <c r="I347" s="25">
        <v>43193</v>
      </c>
      <c r="J347" s="24">
        <v>43237</v>
      </c>
    </row>
    <row r="348" spans="2:10" x14ac:dyDescent="0.2">
      <c r="B348" s="22">
        <v>344</v>
      </c>
      <c r="C348" s="21" t="s">
        <v>6334</v>
      </c>
      <c r="D348" s="21" t="s">
        <v>2197</v>
      </c>
      <c r="E348" s="20" t="s">
        <v>6335</v>
      </c>
      <c r="F348" s="22">
        <v>43</v>
      </c>
      <c r="G348" s="22" t="s">
        <v>6336</v>
      </c>
      <c r="H348" s="22">
        <v>41</v>
      </c>
      <c r="I348" s="25">
        <v>43158</v>
      </c>
      <c r="J348" s="24">
        <v>43220</v>
      </c>
    </row>
    <row r="349" spans="2:10" x14ac:dyDescent="0.2">
      <c r="B349" s="22">
        <v>345</v>
      </c>
      <c r="C349" s="21" t="s">
        <v>6337</v>
      </c>
      <c r="D349" s="21" t="s">
        <v>1175</v>
      </c>
      <c r="E349" s="20" t="s">
        <v>6338</v>
      </c>
      <c r="F349" s="22">
        <v>29</v>
      </c>
      <c r="G349" s="22" t="s">
        <v>6339</v>
      </c>
      <c r="H349" s="22">
        <v>1</v>
      </c>
      <c r="I349" s="25">
        <v>43172</v>
      </c>
      <c r="J349" s="24">
        <v>43241</v>
      </c>
    </row>
    <row r="350" spans="2:10" x14ac:dyDescent="0.2">
      <c r="B350" s="22">
        <v>346</v>
      </c>
      <c r="C350" s="21" t="s">
        <v>6340</v>
      </c>
      <c r="D350" s="21" t="s">
        <v>1572</v>
      </c>
      <c r="E350" s="20" t="s">
        <v>6341</v>
      </c>
      <c r="F350" s="22">
        <v>11</v>
      </c>
      <c r="G350" s="22" t="s">
        <v>1159</v>
      </c>
      <c r="H350" s="22" t="s">
        <v>1159</v>
      </c>
      <c r="I350" s="25">
        <v>43109</v>
      </c>
      <c r="J350" s="24">
        <v>43213</v>
      </c>
    </row>
    <row r="351" spans="2:10" x14ac:dyDescent="0.2">
      <c r="B351" s="22">
        <v>347</v>
      </c>
      <c r="C351" s="21" t="s">
        <v>6342</v>
      </c>
      <c r="D351" s="21" t="s">
        <v>2197</v>
      </c>
      <c r="E351" s="20" t="s">
        <v>6343</v>
      </c>
      <c r="F351" s="22">
        <v>411</v>
      </c>
      <c r="G351" s="22" t="s">
        <v>6344</v>
      </c>
      <c r="H351" s="22">
        <v>411</v>
      </c>
      <c r="I351" s="25">
        <v>43375</v>
      </c>
      <c r="J351" s="24">
        <v>43391</v>
      </c>
    </row>
    <row r="352" spans="2:10" x14ac:dyDescent="0.2">
      <c r="B352" s="22">
        <v>348</v>
      </c>
      <c r="C352" s="21" t="s">
        <v>6345</v>
      </c>
      <c r="D352" s="21" t="s">
        <v>1039</v>
      </c>
      <c r="E352" s="20" t="s">
        <v>6346</v>
      </c>
      <c r="F352" s="22">
        <v>30</v>
      </c>
      <c r="G352" s="22" t="s">
        <v>6347</v>
      </c>
      <c r="H352" s="22">
        <v>3</v>
      </c>
      <c r="I352" s="25">
        <v>43389</v>
      </c>
      <c r="J352" s="24">
        <v>43451</v>
      </c>
    </row>
    <row r="353" spans="2:10" x14ac:dyDescent="0.2">
      <c r="B353" s="22">
        <v>349</v>
      </c>
      <c r="C353" s="21" t="s">
        <v>6348</v>
      </c>
      <c r="D353" s="21" t="s">
        <v>3464</v>
      </c>
      <c r="E353" s="20" t="s">
        <v>6349</v>
      </c>
      <c r="F353" s="22">
        <v>36</v>
      </c>
      <c r="G353" s="22" t="s">
        <v>6350</v>
      </c>
      <c r="H353" s="22">
        <v>23</v>
      </c>
      <c r="I353" s="25">
        <v>43200</v>
      </c>
      <c r="J353" s="24">
        <v>43248</v>
      </c>
    </row>
    <row r="354" spans="2:10" x14ac:dyDescent="0.2">
      <c r="B354" s="22">
        <v>350</v>
      </c>
      <c r="C354" s="21" t="s">
        <v>6351</v>
      </c>
      <c r="D354" s="21" t="s">
        <v>1204</v>
      </c>
      <c r="E354" s="20" t="s">
        <v>6352</v>
      </c>
      <c r="F354" s="22">
        <v>29</v>
      </c>
      <c r="G354" s="22" t="s">
        <v>6353</v>
      </c>
      <c r="H354" s="22">
        <v>15</v>
      </c>
      <c r="I354" s="25">
        <v>43130</v>
      </c>
      <c r="J354" s="24">
        <v>43150</v>
      </c>
    </row>
    <row r="355" spans="2:10" x14ac:dyDescent="0.2">
      <c r="B355" s="22">
        <v>351</v>
      </c>
      <c r="C355" s="21" t="s">
        <v>6354</v>
      </c>
      <c r="D355" s="21" t="s">
        <v>1631</v>
      </c>
      <c r="E355" s="20" t="s">
        <v>6355</v>
      </c>
      <c r="F355" s="22">
        <v>60</v>
      </c>
      <c r="G355" s="22" t="s">
        <v>6355</v>
      </c>
      <c r="H355" s="22">
        <v>60</v>
      </c>
      <c r="I355" s="25">
        <v>43130</v>
      </c>
      <c r="J355" s="24">
        <v>43132</v>
      </c>
    </row>
    <row r="356" spans="2:10" x14ac:dyDescent="0.2">
      <c r="B356" s="22">
        <v>352</v>
      </c>
      <c r="C356" s="21" t="s">
        <v>6356</v>
      </c>
      <c r="D356" s="21" t="s">
        <v>966</v>
      </c>
      <c r="E356" s="20" t="s">
        <v>6357</v>
      </c>
      <c r="F356" s="22">
        <v>27</v>
      </c>
      <c r="G356" s="22" t="s">
        <v>6358</v>
      </c>
      <c r="H356" s="22">
        <v>2</v>
      </c>
      <c r="I356" s="25">
        <v>43305</v>
      </c>
      <c r="J356" s="24">
        <v>43339</v>
      </c>
    </row>
    <row r="357" spans="2:10" x14ac:dyDescent="0.2">
      <c r="B357" s="22">
        <v>353</v>
      </c>
      <c r="C357" s="21" t="s">
        <v>6359</v>
      </c>
      <c r="D357" s="21" t="s">
        <v>3627</v>
      </c>
      <c r="E357" s="20" t="s">
        <v>6360</v>
      </c>
      <c r="F357" s="22">
        <v>13</v>
      </c>
      <c r="G357" s="22" t="s">
        <v>6361</v>
      </c>
      <c r="H357" s="22">
        <v>1</v>
      </c>
      <c r="I357" s="25">
        <v>43268</v>
      </c>
      <c r="J357" s="24">
        <v>43363</v>
      </c>
    </row>
    <row r="358" spans="2:10" x14ac:dyDescent="0.2">
      <c r="B358" s="22">
        <v>354</v>
      </c>
      <c r="C358" s="21" t="s">
        <v>6362</v>
      </c>
      <c r="D358" s="21" t="s">
        <v>1210</v>
      </c>
      <c r="E358" s="20" t="s">
        <v>6363</v>
      </c>
      <c r="F358" s="22">
        <v>14</v>
      </c>
      <c r="G358" s="22" t="s">
        <v>6364</v>
      </c>
      <c r="H358" s="22">
        <v>14</v>
      </c>
      <c r="I358" s="25">
        <v>43291</v>
      </c>
      <c r="J358" s="24">
        <v>43311</v>
      </c>
    </row>
    <row r="359" spans="2:10" x14ac:dyDescent="0.2">
      <c r="B359" s="22">
        <v>355</v>
      </c>
      <c r="C359" s="21" t="s">
        <v>6365</v>
      </c>
      <c r="D359" s="21" t="s">
        <v>1175</v>
      </c>
      <c r="E359" s="20" t="s">
        <v>6366</v>
      </c>
      <c r="F359" s="22">
        <v>45</v>
      </c>
      <c r="G359" s="22" t="s">
        <v>6367</v>
      </c>
      <c r="H359" s="22">
        <v>13</v>
      </c>
      <c r="I359" s="25">
        <v>43361</v>
      </c>
      <c r="J359" s="24">
        <v>43388</v>
      </c>
    </row>
    <row r="360" spans="2:10" x14ac:dyDescent="0.2">
      <c r="B360" s="22">
        <v>356</v>
      </c>
      <c r="C360" s="21" t="s">
        <v>6368</v>
      </c>
      <c r="D360" s="21" t="s">
        <v>5638</v>
      </c>
      <c r="E360" s="20" t="s">
        <v>6369</v>
      </c>
      <c r="F360" s="22">
        <v>36</v>
      </c>
      <c r="G360" s="22" t="s">
        <v>6370</v>
      </c>
      <c r="H360" s="22">
        <v>3</v>
      </c>
      <c r="I360" s="25">
        <v>43144</v>
      </c>
      <c r="J360" s="24">
        <v>43164</v>
      </c>
    </row>
    <row r="361" spans="2:10" x14ac:dyDescent="0.2">
      <c r="B361" s="22">
        <v>357</v>
      </c>
      <c r="C361" s="21" t="s">
        <v>6371</v>
      </c>
      <c r="D361" s="21" t="s">
        <v>1594</v>
      </c>
      <c r="E361" s="20" t="s">
        <v>6372</v>
      </c>
      <c r="F361" s="22">
        <v>12</v>
      </c>
      <c r="G361" s="22" t="s">
        <v>6373</v>
      </c>
      <c r="H361" s="22">
        <v>1</v>
      </c>
      <c r="I361" s="25">
        <v>43207</v>
      </c>
      <c r="J361" s="24">
        <v>43279</v>
      </c>
    </row>
    <row r="362" spans="2:10" x14ac:dyDescent="0.2">
      <c r="B362" s="22">
        <v>358</v>
      </c>
      <c r="C362" s="21" t="s">
        <v>6374</v>
      </c>
      <c r="D362" s="21" t="s">
        <v>6375</v>
      </c>
      <c r="E362" s="20" t="s">
        <v>6376</v>
      </c>
      <c r="F362" s="22">
        <v>40</v>
      </c>
      <c r="G362" s="22" t="s">
        <v>6377</v>
      </c>
      <c r="H362" s="22">
        <v>2</v>
      </c>
      <c r="I362" s="25">
        <v>43445</v>
      </c>
      <c r="J362" s="22" t="s">
        <v>558</v>
      </c>
    </row>
    <row r="363" spans="2:10" x14ac:dyDescent="0.2">
      <c r="B363" s="22">
        <v>359</v>
      </c>
      <c r="C363" s="21" t="s">
        <v>6378</v>
      </c>
      <c r="D363" s="21" t="s">
        <v>1294</v>
      </c>
      <c r="E363" s="20" t="s">
        <v>6379</v>
      </c>
      <c r="F363" s="22">
        <v>27</v>
      </c>
      <c r="G363" s="22" t="s">
        <v>6380</v>
      </c>
      <c r="H363" s="22">
        <v>3</v>
      </c>
      <c r="I363" s="25">
        <v>43270</v>
      </c>
      <c r="J363" s="24">
        <v>43307</v>
      </c>
    </row>
    <row r="364" spans="2:10" x14ac:dyDescent="0.2">
      <c r="B364" s="22">
        <v>360</v>
      </c>
      <c r="C364" s="21" t="s">
        <v>6381</v>
      </c>
      <c r="D364" s="21" t="s">
        <v>1942</v>
      </c>
      <c r="E364" s="20" t="s">
        <v>6382</v>
      </c>
      <c r="F364" s="22">
        <v>13</v>
      </c>
      <c r="G364" s="22" t="s">
        <v>6383</v>
      </c>
      <c r="H364" s="22">
        <v>1</v>
      </c>
      <c r="I364" s="25">
        <v>43417</v>
      </c>
      <c r="J364" s="24">
        <v>43393</v>
      </c>
    </row>
    <row r="365" spans="2:10" x14ac:dyDescent="0.2">
      <c r="B365" s="22">
        <v>361</v>
      </c>
      <c r="C365" s="21" t="s">
        <v>6384</v>
      </c>
      <c r="D365" s="21" t="s">
        <v>1332</v>
      </c>
      <c r="E365" s="20" t="s">
        <v>6385</v>
      </c>
      <c r="F365" s="22">
        <v>25</v>
      </c>
      <c r="G365" s="22" t="s">
        <v>1159</v>
      </c>
      <c r="H365" s="22" t="s">
        <v>1159</v>
      </c>
      <c r="I365" s="25">
        <v>43207</v>
      </c>
      <c r="J365" s="24">
        <v>43230</v>
      </c>
    </row>
    <row r="366" spans="2:10" x14ac:dyDescent="0.2">
      <c r="B366" s="22">
        <v>362</v>
      </c>
      <c r="C366" s="21" t="s">
        <v>6386</v>
      </c>
      <c r="D366" s="21" t="s">
        <v>1532</v>
      </c>
      <c r="E366" s="20" t="s">
        <v>6387</v>
      </c>
      <c r="F366" s="22">
        <v>6</v>
      </c>
      <c r="G366" s="22" t="s">
        <v>1159</v>
      </c>
      <c r="H366" s="22" t="s">
        <v>1159</v>
      </c>
      <c r="I366" s="25">
        <v>43179</v>
      </c>
      <c r="J366" s="24">
        <v>43367</v>
      </c>
    </row>
    <row r="367" spans="2:10" x14ac:dyDescent="0.2">
      <c r="B367" s="22">
        <v>363</v>
      </c>
      <c r="C367" s="21" t="s">
        <v>6388</v>
      </c>
      <c r="D367" s="21" t="s">
        <v>740</v>
      </c>
      <c r="E367" s="20" t="s">
        <v>6389</v>
      </c>
      <c r="F367" s="22">
        <v>60</v>
      </c>
      <c r="G367" s="22" t="s">
        <v>6390</v>
      </c>
      <c r="H367" s="22">
        <v>3</v>
      </c>
      <c r="I367" s="25">
        <v>43319</v>
      </c>
      <c r="J367" s="24">
        <v>43339</v>
      </c>
    </row>
    <row r="368" spans="2:10" x14ac:dyDescent="0.2">
      <c r="B368" s="22">
        <v>364</v>
      </c>
      <c r="C368" s="21" t="s">
        <v>6391</v>
      </c>
      <c r="D368" s="21" t="s">
        <v>1739</v>
      </c>
      <c r="E368" s="20" t="s">
        <v>6392</v>
      </c>
      <c r="F368" s="22">
        <v>7</v>
      </c>
      <c r="G368" s="22" t="s">
        <v>6393</v>
      </c>
      <c r="H368" s="22">
        <v>3</v>
      </c>
      <c r="I368" s="25">
        <v>43212</v>
      </c>
      <c r="J368" s="24">
        <v>43318</v>
      </c>
    </row>
    <row r="369" spans="2:10" x14ac:dyDescent="0.2">
      <c r="B369" s="22">
        <v>365</v>
      </c>
      <c r="C369" s="21" t="s">
        <v>6394</v>
      </c>
      <c r="D369" s="21" t="s">
        <v>1294</v>
      </c>
      <c r="E369" s="20" t="s">
        <v>6395</v>
      </c>
      <c r="F369" s="22">
        <v>16</v>
      </c>
      <c r="G369" s="22" t="s">
        <v>6396</v>
      </c>
      <c r="H369" s="22">
        <v>2</v>
      </c>
      <c r="I369" s="25">
        <v>43387</v>
      </c>
      <c r="J369" s="24">
        <v>43426</v>
      </c>
    </row>
    <row r="370" spans="2:10" x14ac:dyDescent="0.2">
      <c r="B370" s="22">
        <v>366</v>
      </c>
      <c r="C370" s="21" t="s">
        <v>6397</v>
      </c>
      <c r="D370" s="21" t="s">
        <v>1210</v>
      </c>
      <c r="E370" s="20" t="s">
        <v>6398</v>
      </c>
      <c r="F370" s="22">
        <v>12</v>
      </c>
      <c r="G370" s="22" t="s">
        <v>6399</v>
      </c>
      <c r="H370" s="22">
        <v>12</v>
      </c>
      <c r="I370" s="25">
        <v>43465</v>
      </c>
      <c r="J370" s="24">
        <v>43121</v>
      </c>
    </row>
    <row r="371" spans="2:10" x14ac:dyDescent="0.2">
      <c r="B371" s="22">
        <v>367</v>
      </c>
      <c r="C371" s="21" t="s">
        <v>6400</v>
      </c>
      <c r="D371" s="21" t="s">
        <v>38</v>
      </c>
      <c r="E371" s="20" t="s">
        <v>6401</v>
      </c>
      <c r="F371" s="22">
        <v>46</v>
      </c>
      <c r="G371" s="22" t="s">
        <v>6402</v>
      </c>
      <c r="H371" s="22">
        <v>1</v>
      </c>
      <c r="I371" s="25">
        <v>43368</v>
      </c>
      <c r="J371" s="24">
        <v>43405</v>
      </c>
    </row>
    <row r="372" spans="2:10" x14ac:dyDescent="0.2">
      <c r="B372" s="22">
        <v>368</v>
      </c>
      <c r="C372" s="21" t="s">
        <v>6403</v>
      </c>
      <c r="D372" s="21" t="s">
        <v>1235</v>
      </c>
      <c r="E372" s="20" t="s">
        <v>6404</v>
      </c>
      <c r="F372" s="22">
        <v>28</v>
      </c>
      <c r="G372" s="22" t="s">
        <v>6405</v>
      </c>
      <c r="H372" s="22">
        <v>28</v>
      </c>
      <c r="I372" s="25">
        <v>43214</v>
      </c>
      <c r="J372" s="24">
        <v>43255</v>
      </c>
    </row>
    <row r="373" spans="2:10" x14ac:dyDescent="0.2">
      <c r="B373" s="22">
        <v>369</v>
      </c>
      <c r="C373" s="21" t="s">
        <v>6406</v>
      </c>
      <c r="D373" s="21" t="s">
        <v>1559</v>
      </c>
      <c r="E373" s="20" t="s">
        <v>6407</v>
      </c>
      <c r="F373" s="22">
        <v>26</v>
      </c>
      <c r="G373" s="22" t="s">
        <v>6408</v>
      </c>
      <c r="H373" s="22">
        <v>2</v>
      </c>
      <c r="I373" s="25">
        <v>43445</v>
      </c>
      <c r="J373" s="24">
        <v>43176</v>
      </c>
    </row>
    <row r="374" spans="2:10" x14ac:dyDescent="0.2">
      <c r="B374" s="22">
        <v>370</v>
      </c>
      <c r="C374" s="21" t="s">
        <v>6409</v>
      </c>
      <c r="D374" s="21" t="s">
        <v>1210</v>
      </c>
      <c r="E374" s="20" t="s">
        <v>6410</v>
      </c>
      <c r="F374" s="22">
        <v>17</v>
      </c>
      <c r="G374" s="22" t="s">
        <v>6411</v>
      </c>
      <c r="H374" s="22">
        <v>17</v>
      </c>
      <c r="I374" s="25">
        <v>43422</v>
      </c>
      <c r="J374" s="24">
        <v>43440</v>
      </c>
    </row>
    <row r="375" spans="2:10" x14ac:dyDescent="0.2">
      <c r="B375" s="22">
        <v>371</v>
      </c>
      <c r="C375" s="21" t="s">
        <v>6412</v>
      </c>
      <c r="D375" s="21" t="s">
        <v>4084</v>
      </c>
      <c r="E375" s="20" t="s">
        <v>6413</v>
      </c>
      <c r="F375" s="22">
        <v>11</v>
      </c>
      <c r="G375" s="22" t="s">
        <v>4445</v>
      </c>
      <c r="H375" s="22">
        <v>1</v>
      </c>
      <c r="I375" s="25">
        <v>43291</v>
      </c>
      <c r="J375" s="24">
        <v>43328</v>
      </c>
    </row>
    <row r="376" spans="2:10" x14ac:dyDescent="0.2">
      <c r="B376" s="22">
        <v>372</v>
      </c>
      <c r="C376" s="21" t="s">
        <v>6414</v>
      </c>
      <c r="D376" s="21" t="s">
        <v>1043</v>
      </c>
      <c r="E376" s="20" t="s">
        <v>6415</v>
      </c>
      <c r="F376" s="22">
        <v>29</v>
      </c>
      <c r="G376" s="22" t="s">
        <v>6416</v>
      </c>
      <c r="H376" s="22">
        <v>29</v>
      </c>
      <c r="I376" s="25">
        <v>43340</v>
      </c>
      <c r="J376" s="24">
        <v>43360</v>
      </c>
    </row>
    <row r="377" spans="2:10" x14ac:dyDescent="0.2">
      <c r="B377" s="22">
        <v>373</v>
      </c>
      <c r="C377" s="21" t="s">
        <v>6417</v>
      </c>
      <c r="D377" s="21" t="s">
        <v>1723</v>
      </c>
      <c r="E377" s="20" t="s">
        <v>6418</v>
      </c>
      <c r="F377" s="22">
        <v>8</v>
      </c>
      <c r="G377" s="22" t="s">
        <v>6419</v>
      </c>
      <c r="H377" s="22">
        <v>1</v>
      </c>
      <c r="I377" s="25">
        <v>43408</v>
      </c>
      <c r="J377" s="24">
        <v>43156</v>
      </c>
    </row>
    <row r="378" spans="2:10" x14ac:dyDescent="0.2">
      <c r="B378" s="22">
        <v>374</v>
      </c>
      <c r="C378" s="21" t="s">
        <v>6420</v>
      </c>
      <c r="D378" s="21" t="s">
        <v>1294</v>
      </c>
      <c r="E378" s="20" t="s">
        <v>6421</v>
      </c>
      <c r="F378" s="22">
        <v>18</v>
      </c>
      <c r="G378" s="22" t="s">
        <v>6422</v>
      </c>
      <c r="H378" s="22">
        <v>1</v>
      </c>
      <c r="I378" s="25">
        <v>43291</v>
      </c>
      <c r="J378" s="24">
        <v>43332</v>
      </c>
    </row>
    <row r="379" spans="2:10" x14ac:dyDescent="0.2">
      <c r="B379" s="22">
        <v>375</v>
      </c>
      <c r="C379" s="21" t="s">
        <v>6423</v>
      </c>
      <c r="D379" s="21" t="s">
        <v>1095</v>
      </c>
      <c r="E379" s="20" t="s">
        <v>6424</v>
      </c>
      <c r="F379" s="22">
        <v>30</v>
      </c>
      <c r="G379" s="22" t="s">
        <v>6425</v>
      </c>
      <c r="H379" s="22">
        <v>3</v>
      </c>
      <c r="I379" s="25">
        <v>43333</v>
      </c>
      <c r="J379" s="24">
        <v>43370</v>
      </c>
    </row>
    <row r="380" spans="2:10" x14ac:dyDescent="0.2">
      <c r="B380" s="22">
        <v>376</v>
      </c>
      <c r="C380" s="21" t="s">
        <v>6426</v>
      </c>
      <c r="D380" s="21" t="s">
        <v>6427</v>
      </c>
      <c r="E380" s="20" t="s">
        <v>6428</v>
      </c>
      <c r="F380" s="22">
        <v>28</v>
      </c>
      <c r="G380" s="22" t="s">
        <v>6428</v>
      </c>
      <c r="H380" s="22">
        <v>28</v>
      </c>
      <c r="I380" s="25">
        <v>43354</v>
      </c>
      <c r="J380" s="24">
        <v>43356</v>
      </c>
    </row>
    <row r="381" spans="2:10" x14ac:dyDescent="0.2">
      <c r="B381" s="22">
        <v>377</v>
      </c>
      <c r="C381" s="21" t="s">
        <v>6429</v>
      </c>
      <c r="D381" s="21" t="s">
        <v>2282</v>
      </c>
      <c r="E381" s="20" t="s">
        <v>6430</v>
      </c>
      <c r="F381" s="22">
        <v>22</v>
      </c>
      <c r="G381" s="22" t="s">
        <v>6431</v>
      </c>
      <c r="H381" s="22">
        <v>22</v>
      </c>
      <c r="I381" s="25">
        <v>43165</v>
      </c>
      <c r="J381" s="24">
        <v>43171</v>
      </c>
    </row>
    <row r="382" spans="2:10" x14ac:dyDescent="0.2">
      <c r="B382" s="22">
        <v>378</v>
      </c>
      <c r="C382" s="21" t="s">
        <v>6432</v>
      </c>
      <c r="D382" s="21" t="s">
        <v>6433</v>
      </c>
      <c r="E382" s="20" t="s">
        <v>6434</v>
      </c>
      <c r="F382" s="22">
        <v>26</v>
      </c>
      <c r="G382" s="22" t="s">
        <v>1159</v>
      </c>
      <c r="H382" s="22" t="s">
        <v>1159</v>
      </c>
      <c r="I382" s="25">
        <v>43333</v>
      </c>
      <c r="J382" s="24">
        <v>43353</v>
      </c>
    </row>
    <row r="383" spans="2:10" x14ac:dyDescent="0.2">
      <c r="B383" s="22">
        <v>379</v>
      </c>
      <c r="C383" s="21">
        <v>1915</v>
      </c>
      <c r="D383" s="21" t="s">
        <v>6435</v>
      </c>
      <c r="E383" s="20" t="s">
        <v>6436</v>
      </c>
      <c r="F383" s="22">
        <v>10</v>
      </c>
      <c r="G383" s="22" t="s">
        <v>6437</v>
      </c>
      <c r="H383" s="22">
        <v>8</v>
      </c>
      <c r="I383" s="25">
        <v>43207</v>
      </c>
      <c r="J383" s="22" t="s">
        <v>558</v>
      </c>
    </row>
    <row r="384" spans="2:10" x14ac:dyDescent="0.2">
      <c r="B384" s="22">
        <v>380</v>
      </c>
      <c r="C384" s="21" t="s">
        <v>6438</v>
      </c>
      <c r="D384" s="21" t="s">
        <v>1235</v>
      </c>
      <c r="E384" s="20" t="s">
        <v>6439</v>
      </c>
      <c r="F384" s="22">
        <v>22</v>
      </c>
      <c r="G384" s="22" t="s">
        <v>6440</v>
      </c>
      <c r="H384" s="22">
        <v>22</v>
      </c>
      <c r="I384" s="25">
        <v>43340</v>
      </c>
      <c r="J384" s="24">
        <v>43360</v>
      </c>
    </row>
    <row r="385" spans="2:10" x14ac:dyDescent="0.2">
      <c r="B385" s="22">
        <v>381</v>
      </c>
      <c r="C385" s="21" t="s">
        <v>6441</v>
      </c>
      <c r="D385" s="21" t="s">
        <v>3627</v>
      </c>
      <c r="E385" s="20" t="s">
        <v>6442</v>
      </c>
      <c r="F385" s="22">
        <v>19</v>
      </c>
      <c r="G385" s="22" t="s">
        <v>6443</v>
      </c>
      <c r="H385" s="22">
        <v>5</v>
      </c>
      <c r="I385" s="25">
        <v>43205</v>
      </c>
      <c r="J385" s="24">
        <v>43325</v>
      </c>
    </row>
    <row r="386" spans="2:10" x14ac:dyDescent="0.2">
      <c r="B386" s="22">
        <v>382</v>
      </c>
      <c r="C386" s="21" t="s">
        <v>6444</v>
      </c>
      <c r="D386" s="21" t="s">
        <v>3627</v>
      </c>
      <c r="E386" s="20" t="s">
        <v>6445</v>
      </c>
      <c r="F386" s="22">
        <v>14</v>
      </c>
      <c r="G386" s="22" t="s">
        <v>6446</v>
      </c>
      <c r="H386" s="22">
        <v>1</v>
      </c>
      <c r="I386" s="25">
        <v>43298</v>
      </c>
      <c r="J386" s="24">
        <v>43416</v>
      </c>
    </row>
    <row r="387" spans="2:10" x14ac:dyDescent="0.2">
      <c r="B387" s="22">
        <v>383</v>
      </c>
      <c r="C387" s="21" t="s">
        <v>6447</v>
      </c>
      <c r="D387" s="21" t="s">
        <v>5638</v>
      </c>
      <c r="E387" s="20" t="s">
        <v>6448</v>
      </c>
      <c r="F387" s="22">
        <v>54</v>
      </c>
      <c r="G387" s="22" t="s">
        <v>6449</v>
      </c>
      <c r="H387" s="22">
        <v>10</v>
      </c>
      <c r="I387" s="25">
        <v>43214</v>
      </c>
      <c r="J387" s="24">
        <v>43255</v>
      </c>
    </row>
    <row r="388" spans="2:10" x14ac:dyDescent="0.2">
      <c r="B388" s="22">
        <v>384</v>
      </c>
      <c r="C388" s="21" t="s">
        <v>6450</v>
      </c>
      <c r="D388" s="21" t="s">
        <v>1235</v>
      </c>
      <c r="E388" s="20" t="s">
        <v>6451</v>
      </c>
      <c r="F388" s="22">
        <v>23</v>
      </c>
      <c r="G388" s="22" t="s">
        <v>6452</v>
      </c>
      <c r="H388" s="22">
        <v>23</v>
      </c>
      <c r="I388" s="25">
        <v>43354</v>
      </c>
      <c r="J388" s="24">
        <v>43374</v>
      </c>
    </row>
    <row r="389" spans="2:10" x14ac:dyDescent="0.2">
      <c r="B389" s="22">
        <v>385</v>
      </c>
      <c r="C389" s="21" t="s">
        <v>6453</v>
      </c>
      <c r="D389" s="21" t="s">
        <v>1332</v>
      </c>
      <c r="E389" s="20" t="s">
        <v>6454</v>
      </c>
      <c r="F389" s="22">
        <v>13</v>
      </c>
      <c r="G389" s="22" t="s">
        <v>1159</v>
      </c>
      <c r="H389" s="22" t="s">
        <v>1159</v>
      </c>
      <c r="I389" s="25">
        <v>43235</v>
      </c>
      <c r="J389" s="24">
        <v>43262</v>
      </c>
    </row>
    <row r="390" spans="2:10" x14ac:dyDescent="0.2">
      <c r="B390" s="22">
        <v>386</v>
      </c>
      <c r="C390" s="21" t="s">
        <v>6455</v>
      </c>
      <c r="D390" s="21" t="s">
        <v>1039</v>
      </c>
      <c r="E390" s="20" t="s">
        <v>6456</v>
      </c>
      <c r="F390" s="22">
        <v>21</v>
      </c>
      <c r="G390" s="22" t="s">
        <v>6457</v>
      </c>
      <c r="H390" s="22">
        <v>3</v>
      </c>
      <c r="I390" s="25">
        <v>43249</v>
      </c>
      <c r="J390" s="24">
        <v>43283</v>
      </c>
    </row>
    <row r="391" spans="2:10" x14ac:dyDescent="0.2">
      <c r="B391" s="22">
        <v>387</v>
      </c>
      <c r="C391" s="21" t="s">
        <v>6458</v>
      </c>
      <c r="D391" s="21" t="s">
        <v>4084</v>
      </c>
      <c r="E391" s="20" t="s">
        <v>6459</v>
      </c>
      <c r="F391" s="22">
        <v>20</v>
      </c>
      <c r="G391" s="22" t="s">
        <v>6460</v>
      </c>
      <c r="H391" s="22">
        <v>20</v>
      </c>
      <c r="I391" s="25">
        <v>43235</v>
      </c>
      <c r="J391" s="24">
        <v>43241</v>
      </c>
    </row>
    <row r="392" spans="2:10" x14ac:dyDescent="0.2">
      <c r="B392" s="22">
        <v>388</v>
      </c>
      <c r="C392" s="21" t="s">
        <v>6461</v>
      </c>
      <c r="D392" s="21" t="s">
        <v>5638</v>
      </c>
      <c r="E392" s="20" t="s">
        <v>6462</v>
      </c>
      <c r="F392" s="22">
        <v>93</v>
      </c>
      <c r="G392" s="22" t="s">
        <v>6463</v>
      </c>
      <c r="H392" s="22">
        <v>93</v>
      </c>
      <c r="I392" s="25">
        <v>43312</v>
      </c>
      <c r="J392" s="24">
        <v>43339</v>
      </c>
    </row>
    <row r="393" spans="2:10" x14ac:dyDescent="0.2">
      <c r="B393" s="22">
        <v>389</v>
      </c>
      <c r="C393" s="21" t="s">
        <v>6464</v>
      </c>
      <c r="D393" s="21" t="s">
        <v>6465</v>
      </c>
      <c r="E393" s="20" t="s">
        <v>6466</v>
      </c>
      <c r="F393" s="22">
        <v>7</v>
      </c>
      <c r="G393" s="22" t="s">
        <v>6467</v>
      </c>
      <c r="H393" s="22">
        <v>4</v>
      </c>
      <c r="I393" s="25">
        <v>43186</v>
      </c>
      <c r="J393" s="24">
        <v>43234</v>
      </c>
    </row>
    <row r="394" spans="2:10" x14ac:dyDescent="0.2">
      <c r="B394" s="22">
        <v>390</v>
      </c>
      <c r="C394" s="21" t="s">
        <v>6468</v>
      </c>
      <c r="D394" s="21" t="s">
        <v>1568</v>
      </c>
      <c r="E394" s="20" t="s">
        <v>6469</v>
      </c>
      <c r="F394" s="22">
        <v>12</v>
      </c>
      <c r="G394" s="22" t="s">
        <v>6470</v>
      </c>
      <c r="H394" s="22">
        <v>1</v>
      </c>
      <c r="I394" s="25">
        <v>43417</v>
      </c>
      <c r="J394" s="24">
        <v>43454</v>
      </c>
    </row>
    <row r="395" spans="2:10" x14ac:dyDescent="0.2">
      <c r="B395" s="22">
        <v>391</v>
      </c>
      <c r="C395" s="21" t="s">
        <v>6471</v>
      </c>
      <c r="D395" s="21" t="s">
        <v>1087</v>
      </c>
      <c r="E395" s="20" t="s">
        <v>6472</v>
      </c>
      <c r="F395" s="22">
        <v>267</v>
      </c>
      <c r="G395" s="22" t="s">
        <v>1159</v>
      </c>
      <c r="H395" s="22" t="s">
        <v>1159</v>
      </c>
      <c r="I395" s="25">
        <v>43414</v>
      </c>
      <c r="J395" s="24">
        <v>43416</v>
      </c>
    </row>
    <row r="396" spans="2:10" x14ac:dyDescent="0.2">
      <c r="B396" s="22">
        <v>392</v>
      </c>
      <c r="C396" s="21" t="s">
        <v>6473</v>
      </c>
      <c r="D396" s="21" t="s">
        <v>5884</v>
      </c>
      <c r="E396" s="20" t="s">
        <v>6474</v>
      </c>
      <c r="F396" s="22">
        <v>11</v>
      </c>
      <c r="G396" s="22" t="s">
        <v>6475</v>
      </c>
      <c r="H396" s="22">
        <v>2</v>
      </c>
      <c r="I396" s="25">
        <v>43200</v>
      </c>
      <c r="J396" s="24">
        <v>43255</v>
      </c>
    </row>
    <row r="397" spans="2:10" x14ac:dyDescent="0.2">
      <c r="B397" s="22">
        <v>393</v>
      </c>
      <c r="C397" s="21" t="s">
        <v>6476</v>
      </c>
      <c r="D397" s="21" t="s">
        <v>1576</v>
      </c>
      <c r="E397" s="20" t="s">
        <v>6477</v>
      </c>
      <c r="F397" s="22">
        <v>5</v>
      </c>
      <c r="G397" s="22" t="s">
        <v>6478</v>
      </c>
      <c r="H397" s="22">
        <v>1</v>
      </c>
      <c r="I397" s="25">
        <v>43282</v>
      </c>
      <c r="J397" s="24">
        <v>43339</v>
      </c>
    </row>
    <row r="398" spans="2:10" x14ac:dyDescent="0.2">
      <c r="B398" s="22">
        <v>394</v>
      </c>
      <c r="C398" s="21" t="s">
        <v>6479</v>
      </c>
      <c r="D398" s="21" t="s">
        <v>6480</v>
      </c>
      <c r="E398" s="20" t="s">
        <v>6481</v>
      </c>
      <c r="F398" s="22">
        <v>24</v>
      </c>
      <c r="G398" s="22" t="s">
        <v>1159</v>
      </c>
      <c r="H398" s="22">
        <v>24</v>
      </c>
      <c r="I398" s="25">
        <v>43375</v>
      </c>
      <c r="J398" s="24">
        <v>43398</v>
      </c>
    </row>
    <row r="399" spans="2:10" x14ac:dyDescent="0.2">
      <c r="B399" s="22">
        <v>395</v>
      </c>
      <c r="C399" s="21" t="s">
        <v>6482</v>
      </c>
      <c r="D399" s="21" t="s">
        <v>1942</v>
      </c>
      <c r="E399" s="20" t="s">
        <v>6483</v>
      </c>
      <c r="F399" s="22">
        <v>9</v>
      </c>
      <c r="G399" s="22" t="s">
        <v>6484</v>
      </c>
      <c r="H399" s="22">
        <v>2</v>
      </c>
      <c r="I399" s="25">
        <v>43172</v>
      </c>
      <c r="J399" s="24">
        <v>43265</v>
      </c>
    </row>
    <row r="400" spans="2:10" x14ac:dyDescent="0.2">
      <c r="B400" s="22">
        <v>396</v>
      </c>
      <c r="C400" s="21" t="s">
        <v>6485</v>
      </c>
      <c r="D400" s="21" t="s">
        <v>6486</v>
      </c>
      <c r="E400" s="20" t="s">
        <v>6487</v>
      </c>
      <c r="F400" s="22">
        <v>8</v>
      </c>
      <c r="G400" s="22" t="s">
        <v>6488</v>
      </c>
      <c r="H400" s="22">
        <v>8</v>
      </c>
      <c r="I400" s="25">
        <v>43130</v>
      </c>
      <c r="J400" s="22" t="s">
        <v>558</v>
      </c>
    </row>
    <row r="401" spans="2:10" x14ac:dyDescent="0.2">
      <c r="B401" s="22">
        <v>397</v>
      </c>
      <c r="C401" s="21" t="s">
        <v>6489</v>
      </c>
      <c r="D401" s="21" t="s">
        <v>3810</v>
      </c>
      <c r="E401" s="20" t="s">
        <v>6490</v>
      </c>
      <c r="F401" s="22">
        <v>44</v>
      </c>
      <c r="G401" s="22" t="s">
        <v>6491</v>
      </c>
      <c r="H401" s="22">
        <v>44</v>
      </c>
      <c r="I401" s="25">
        <v>43438</v>
      </c>
      <c r="J401" s="22" t="s">
        <v>558</v>
      </c>
    </row>
    <row r="402" spans="2:10" x14ac:dyDescent="0.2">
      <c r="B402" s="22">
        <v>398</v>
      </c>
      <c r="C402" s="21" t="s">
        <v>6492</v>
      </c>
      <c r="D402" s="21" t="s">
        <v>1294</v>
      </c>
      <c r="E402" s="20" t="s">
        <v>6493</v>
      </c>
      <c r="F402" s="22">
        <v>12</v>
      </c>
      <c r="G402" s="22" t="s">
        <v>6494</v>
      </c>
      <c r="H402" s="22">
        <v>2</v>
      </c>
      <c r="I402" s="25">
        <v>43338</v>
      </c>
      <c r="J402" s="24">
        <v>43374</v>
      </c>
    </row>
    <row r="403" spans="2:10" x14ac:dyDescent="0.2">
      <c r="B403" s="22">
        <v>399</v>
      </c>
      <c r="C403" s="21" t="s">
        <v>6495</v>
      </c>
      <c r="D403" s="21" t="s">
        <v>869</v>
      </c>
      <c r="E403" s="20" t="s">
        <v>6496</v>
      </c>
      <c r="F403" s="22">
        <v>31</v>
      </c>
      <c r="G403" s="22" t="s">
        <v>6497</v>
      </c>
      <c r="H403" s="22">
        <v>31</v>
      </c>
      <c r="I403" s="25">
        <v>43389</v>
      </c>
      <c r="J403" s="24">
        <v>43402</v>
      </c>
    </row>
    <row r="404" spans="2:10" x14ac:dyDescent="0.2">
      <c r="B404" s="22">
        <v>400</v>
      </c>
      <c r="C404" s="21" t="s">
        <v>6498</v>
      </c>
      <c r="D404" s="21" t="s">
        <v>4021</v>
      </c>
      <c r="E404" s="20" t="s">
        <v>6499</v>
      </c>
      <c r="F404" s="22">
        <v>7</v>
      </c>
      <c r="G404" s="22" t="s">
        <v>6500</v>
      </c>
      <c r="H404" s="22">
        <v>1</v>
      </c>
      <c r="I404" s="25">
        <v>43363</v>
      </c>
      <c r="J404" s="24">
        <v>43390</v>
      </c>
    </row>
    <row r="405" spans="2:10" x14ac:dyDescent="0.2">
      <c r="B405" s="22">
        <v>401</v>
      </c>
      <c r="C405" s="21" t="s">
        <v>6501</v>
      </c>
      <c r="D405" s="21" t="s">
        <v>1415</v>
      </c>
      <c r="E405" s="20" t="s">
        <v>6502</v>
      </c>
      <c r="F405" s="22">
        <v>53</v>
      </c>
      <c r="G405" s="22" t="s">
        <v>6503</v>
      </c>
      <c r="H405" s="22">
        <v>53</v>
      </c>
      <c r="I405" s="25">
        <v>43354</v>
      </c>
      <c r="J405" s="24">
        <v>43367</v>
      </c>
    </row>
    <row r="406" spans="2:10" x14ac:dyDescent="0.2">
      <c r="B406" s="22">
        <v>402</v>
      </c>
      <c r="C406" s="21" t="s">
        <v>6504</v>
      </c>
      <c r="D406" s="21" t="s">
        <v>1039</v>
      </c>
      <c r="E406" s="20" t="s">
        <v>6505</v>
      </c>
      <c r="F406" s="22">
        <v>21</v>
      </c>
      <c r="G406" s="22" t="s">
        <v>6506</v>
      </c>
      <c r="H406" s="22">
        <v>3</v>
      </c>
      <c r="I406" s="25">
        <v>43242</v>
      </c>
      <c r="J406" s="22" t="s">
        <v>558</v>
      </c>
    </row>
    <row r="407" spans="2:10" x14ac:dyDescent="0.2">
      <c r="B407" s="22">
        <v>403</v>
      </c>
      <c r="C407" s="21" t="s">
        <v>6507</v>
      </c>
      <c r="D407" s="21" t="s">
        <v>2270</v>
      </c>
      <c r="E407" s="20" t="s">
        <v>6508</v>
      </c>
      <c r="F407" s="22">
        <v>9</v>
      </c>
      <c r="G407" s="22" t="s">
        <v>6509</v>
      </c>
      <c r="H407" s="22">
        <v>2</v>
      </c>
      <c r="I407" s="25">
        <v>43389</v>
      </c>
      <c r="J407" s="22" t="s">
        <v>558</v>
      </c>
    </row>
    <row r="408" spans="2:10" x14ac:dyDescent="0.2">
      <c r="B408" s="22">
        <v>404</v>
      </c>
      <c r="C408" s="21" t="s">
        <v>6510</v>
      </c>
      <c r="D408" s="21" t="s">
        <v>1422</v>
      </c>
      <c r="E408" s="20" t="s">
        <v>6511</v>
      </c>
      <c r="F408" s="22">
        <v>7</v>
      </c>
      <c r="G408" s="22" t="s">
        <v>1159</v>
      </c>
      <c r="H408" s="22" t="s">
        <v>1159</v>
      </c>
      <c r="I408" s="25">
        <v>43102</v>
      </c>
      <c r="J408" s="24">
        <v>43400</v>
      </c>
    </row>
    <row r="409" spans="2:10" x14ac:dyDescent="0.2">
      <c r="B409" s="22">
        <v>405</v>
      </c>
      <c r="C409" s="21" t="s">
        <v>6512</v>
      </c>
      <c r="D409" s="21" t="s">
        <v>5638</v>
      </c>
      <c r="E409" s="20" t="s">
        <v>6513</v>
      </c>
      <c r="F409" s="22">
        <v>14</v>
      </c>
      <c r="G409" s="22" t="s">
        <v>6514</v>
      </c>
      <c r="H409" s="22">
        <v>2</v>
      </c>
      <c r="I409" s="25">
        <v>43249</v>
      </c>
      <c r="J409" s="24">
        <v>43318</v>
      </c>
    </row>
    <row r="410" spans="2:10" x14ac:dyDescent="0.2">
      <c r="B410" s="22">
        <v>406</v>
      </c>
      <c r="C410" s="21" t="s">
        <v>6515</v>
      </c>
      <c r="D410" s="21" t="s">
        <v>1095</v>
      </c>
      <c r="E410" s="20" t="s">
        <v>6516</v>
      </c>
      <c r="F410" s="22">
        <v>18</v>
      </c>
      <c r="G410" s="22" t="s">
        <v>6517</v>
      </c>
      <c r="H410" s="22">
        <v>2</v>
      </c>
      <c r="I410" s="25">
        <v>43396</v>
      </c>
      <c r="J410" s="24">
        <v>43419</v>
      </c>
    </row>
    <row r="411" spans="2:10" x14ac:dyDescent="0.2">
      <c r="B411" s="22">
        <v>407</v>
      </c>
      <c r="C411" s="21" t="s">
        <v>6518</v>
      </c>
      <c r="D411" s="21" t="s">
        <v>6519</v>
      </c>
      <c r="E411" s="20" t="s">
        <v>6520</v>
      </c>
      <c r="F411" s="22">
        <v>13</v>
      </c>
      <c r="G411" s="22" t="s">
        <v>6521</v>
      </c>
      <c r="H411" s="22">
        <v>13</v>
      </c>
      <c r="I411" s="25">
        <v>43214</v>
      </c>
      <c r="J411" s="24">
        <v>43237</v>
      </c>
    </row>
    <row r="412" spans="2:10" x14ac:dyDescent="0.2">
      <c r="B412" s="22">
        <v>408</v>
      </c>
      <c r="C412" s="21" t="s">
        <v>6522</v>
      </c>
      <c r="D412" s="21" t="s">
        <v>574</v>
      </c>
      <c r="E412" s="20" t="s">
        <v>6523</v>
      </c>
      <c r="F412" s="22">
        <v>14</v>
      </c>
      <c r="G412" s="22" t="s">
        <v>6524</v>
      </c>
      <c r="H412" s="22">
        <v>4</v>
      </c>
      <c r="I412" s="25">
        <v>43277</v>
      </c>
      <c r="J412" s="24">
        <v>43318</v>
      </c>
    </row>
    <row r="413" spans="2:10" x14ac:dyDescent="0.2">
      <c r="B413" s="22">
        <v>409</v>
      </c>
      <c r="C413" s="21" t="s">
        <v>6525</v>
      </c>
      <c r="D413" s="21" t="s">
        <v>6433</v>
      </c>
      <c r="E413" s="20" t="s">
        <v>6526</v>
      </c>
      <c r="F413" s="22">
        <v>14</v>
      </c>
      <c r="G413" s="22" t="s">
        <v>6527</v>
      </c>
      <c r="H413" s="22">
        <v>14</v>
      </c>
      <c r="I413" s="25">
        <v>43347</v>
      </c>
      <c r="J413" s="24">
        <v>43367</v>
      </c>
    </row>
    <row r="414" spans="2:10" x14ac:dyDescent="0.2">
      <c r="B414" s="22">
        <v>410</v>
      </c>
      <c r="C414" s="21" t="s">
        <v>6528</v>
      </c>
      <c r="D414" s="21" t="s">
        <v>1142</v>
      </c>
      <c r="E414" s="20" t="s">
        <v>6529</v>
      </c>
      <c r="F414" s="22">
        <v>15</v>
      </c>
      <c r="G414" s="22" t="s">
        <v>1159</v>
      </c>
      <c r="H414" s="22" t="s">
        <v>1159</v>
      </c>
      <c r="I414" s="25">
        <v>43403</v>
      </c>
      <c r="J414" s="24">
        <v>43107</v>
      </c>
    </row>
    <row r="415" spans="2:10" x14ac:dyDescent="0.2">
      <c r="B415" s="22">
        <v>411</v>
      </c>
      <c r="C415" s="21" t="s">
        <v>6530</v>
      </c>
      <c r="D415" s="21" t="s">
        <v>570</v>
      </c>
      <c r="E415" s="20" t="s">
        <v>6531</v>
      </c>
      <c r="F415" s="22">
        <v>107</v>
      </c>
      <c r="G415" s="22" t="s">
        <v>6532</v>
      </c>
      <c r="H415" s="22">
        <v>107</v>
      </c>
      <c r="I415" s="25">
        <v>43403</v>
      </c>
      <c r="J415" s="24">
        <v>43416</v>
      </c>
    </row>
    <row r="416" spans="2:10" x14ac:dyDescent="0.2">
      <c r="B416" s="22">
        <v>412</v>
      </c>
      <c r="C416" s="21" t="s">
        <v>6533</v>
      </c>
      <c r="D416" s="21" t="s">
        <v>2121</v>
      </c>
      <c r="E416" s="20" t="s">
        <v>6534</v>
      </c>
      <c r="F416" s="22">
        <v>20</v>
      </c>
      <c r="G416" s="22" t="s">
        <v>6535</v>
      </c>
      <c r="H416" s="22">
        <v>20</v>
      </c>
      <c r="I416" s="25">
        <v>43109</v>
      </c>
      <c r="J416" s="24">
        <v>43129</v>
      </c>
    </row>
    <row r="417" spans="2:10" x14ac:dyDescent="0.2">
      <c r="B417" s="22">
        <v>413</v>
      </c>
      <c r="C417" s="21" t="s">
        <v>6536</v>
      </c>
      <c r="D417" s="21" t="s">
        <v>6537</v>
      </c>
      <c r="E417" s="20" t="s">
        <v>6538</v>
      </c>
      <c r="F417" s="22">
        <v>17</v>
      </c>
      <c r="G417" s="22" t="s">
        <v>6539</v>
      </c>
      <c r="H417" s="22">
        <v>1</v>
      </c>
      <c r="I417" s="25">
        <v>43226</v>
      </c>
      <c r="J417" s="24">
        <v>43290</v>
      </c>
    </row>
    <row r="418" spans="2:10" x14ac:dyDescent="0.2">
      <c r="B418" s="22">
        <v>414</v>
      </c>
      <c r="C418" s="21" t="s">
        <v>6540</v>
      </c>
      <c r="D418" s="21" t="s">
        <v>1532</v>
      </c>
      <c r="E418" s="20" t="s">
        <v>6541</v>
      </c>
      <c r="F418" s="22">
        <v>9</v>
      </c>
      <c r="G418" s="22" t="s">
        <v>1159</v>
      </c>
      <c r="H418" s="22" t="s">
        <v>1159</v>
      </c>
      <c r="I418" s="25">
        <v>43438</v>
      </c>
      <c r="J418" s="22" t="s">
        <v>558</v>
      </c>
    </row>
    <row r="419" spans="2:10" x14ac:dyDescent="0.2">
      <c r="B419" s="22">
        <v>415</v>
      </c>
      <c r="C419" s="21" t="s">
        <v>6542</v>
      </c>
      <c r="D419" s="21" t="s">
        <v>2254</v>
      </c>
      <c r="E419" s="20" t="s">
        <v>6543</v>
      </c>
      <c r="F419" s="22">
        <v>31</v>
      </c>
      <c r="G419" s="22" t="s">
        <v>6544</v>
      </c>
      <c r="H419" s="22">
        <v>26</v>
      </c>
      <c r="I419" s="25">
        <v>43340</v>
      </c>
      <c r="J419" s="24">
        <v>43377</v>
      </c>
    </row>
    <row r="420" spans="2:10" x14ac:dyDescent="0.2">
      <c r="B420" s="22">
        <v>416</v>
      </c>
      <c r="C420" s="21" t="s">
        <v>6545</v>
      </c>
      <c r="D420" s="21" t="s">
        <v>1568</v>
      </c>
      <c r="E420" s="20" t="s">
        <v>6546</v>
      </c>
      <c r="F420" s="22">
        <v>19</v>
      </c>
      <c r="G420" s="22" t="s">
        <v>6547</v>
      </c>
      <c r="H420" s="22">
        <v>19</v>
      </c>
      <c r="I420" s="25">
        <v>43326</v>
      </c>
      <c r="J420" s="22" t="s">
        <v>558</v>
      </c>
    </row>
    <row r="421" spans="2:10" x14ac:dyDescent="0.2">
      <c r="B421" s="22">
        <v>417</v>
      </c>
      <c r="C421" s="21" t="s">
        <v>6548</v>
      </c>
      <c r="D421" s="21" t="s">
        <v>966</v>
      </c>
      <c r="E421" s="20" t="s">
        <v>6549</v>
      </c>
      <c r="F421" s="22">
        <v>15</v>
      </c>
      <c r="G421" s="22" t="s">
        <v>6550</v>
      </c>
      <c r="H421" s="22">
        <v>3</v>
      </c>
      <c r="I421" s="25">
        <v>43270</v>
      </c>
      <c r="J421" s="24">
        <v>43297</v>
      </c>
    </row>
    <row r="422" spans="2:10" x14ac:dyDescent="0.2">
      <c r="B422" s="22">
        <v>418</v>
      </c>
      <c r="C422" s="21" t="s">
        <v>6551</v>
      </c>
      <c r="D422" s="21" t="s">
        <v>1294</v>
      </c>
      <c r="E422" s="20" t="s">
        <v>6552</v>
      </c>
      <c r="F422" s="22">
        <v>10</v>
      </c>
      <c r="G422" s="22" t="s">
        <v>6553</v>
      </c>
      <c r="H422" s="22">
        <v>3</v>
      </c>
      <c r="I422" s="25">
        <v>43123</v>
      </c>
      <c r="J422" s="24">
        <v>43181</v>
      </c>
    </row>
    <row r="423" spans="2:10" x14ac:dyDescent="0.2">
      <c r="B423" s="22">
        <v>419</v>
      </c>
      <c r="C423" s="21" t="s">
        <v>6554</v>
      </c>
      <c r="D423" s="21" t="s">
        <v>4021</v>
      </c>
      <c r="E423" s="20" t="s">
        <v>6555</v>
      </c>
      <c r="F423" s="22">
        <v>10</v>
      </c>
      <c r="G423" s="22" t="s">
        <v>6556</v>
      </c>
      <c r="H423" s="22">
        <v>1</v>
      </c>
      <c r="I423" s="25">
        <v>43366</v>
      </c>
      <c r="J423" s="24">
        <v>43400</v>
      </c>
    </row>
    <row r="424" spans="2:10" x14ac:dyDescent="0.2">
      <c r="B424" s="22">
        <v>420</v>
      </c>
      <c r="C424" s="21" t="s">
        <v>6557</v>
      </c>
      <c r="D424" s="21" t="s">
        <v>1210</v>
      </c>
      <c r="E424" s="20" t="s">
        <v>6558</v>
      </c>
      <c r="F424" s="22">
        <v>15</v>
      </c>
      <c r="G424" s="22" t="s">
        <v>6559</v>
      </c>
      <c r="H424" s="22">
        <v>15</v>
      </c>
      <c r="I424" s="25">
        <v>43361</v>
      </c>
      <c r="J424" s="24">
        <v>43377</v>
      </c>
    </row>
    <row r="425" spans="2:10" x14ac:dyDescent="0.2">
      <c r="B425" s="22">
        <v>421</v>
      </c>
      <c r="C425" s="21" t="s">
        <v>6560</v>
      </c>
      <c r="D425" s="21" t="s">
        <v>1039</v>
      </c>
      <c r="E425" s="20" t="s">
        <v>6561</v>
      </c>
      <c r="F425" s="22">
        <v>22</v>
      </c>
      <c r="G425" s="22" t="s">
        <v>6562</v>
      </c>
      <c r="H425" s="22">
        <v>1</v>
      </c>
      <c r="I425" s="25">
        <v>43368</v>
      </c>
      <c r="J425" s="24">
        <v>43430</v>
      </c>
    </row>
    <row r="426" spans="2:10" x14ac:dyDescent="0.2">
      <c r="B426" s="22">
        <v>422</v>
      </c>
      <c r="C426" s="21" t="s">
        <v>6563</v>
      </c>
      <c r="D426" s="21" t="s">
        <v>1213</v>
      </c>
      <c r="E426" s="20" t="s">
        <v>6564</v>
      </c>
      <c r="F426" s="22">
        <v>5</v>
      </c>
      <c r="G426" s="22" t="s">
        <v>6565</v>
      </c>
      <c r="H426" s="22">
        <v>1</v>
      </c>
      <c r="I426" s="25">
        <v>43403</v>
      </c>
      <c r="J426" s="24">
        <v>43128</v>
      </c>
    </row>
    <row r="427" spans="2:10" x14ac:dyDescent="0.2">
      <c r="B427" s="22">
        <v>423</v>
      </c>
      <c r="C427" s="21" t="s">
        <v>6566</v>
      </c>
      <c r="D427" s="21" t="s">
        <v>1210</v>
      </c>
      <c r="E427" s="20" t="s">
        <v>6567</v>
      </c>
      <c r="F427" s="22">
        <v>13</v>
      </c>
      <c r="G427" s="22" t="s">
        <v>6568</v>
      </c>
      <c r="H427" s="22">
        <v>13</v>
      </c>
      <c r="I427" s="25">
        <v>43305</v>
      </c>
      <c r="J427" s="22" t="s">
        <v>558</v>
      </c>
    </row>
    <row r="428" spans="2:10" x14ac:dyDescent="0.2">
      <c r="B428" s="22">
        <v>424</v>
      </c>
      <c r="C428" s="21" t="s">
        <v>6569</v>
      </c>
      <c r="D428" s="21" t="s">
        <v>2148</v>
      </c>
      <c r="E428" s="20" t="s">
        <v>6570</v>
      </c>
      <c r="F428" s="22">
        <v>10</v>
      </c>
      <c r="G428" s="22" t="s">
        <v>6571</v>
      </c>
      <c r="H428" s="22">
        <v>5</v>
      </c>
      <c r="I428" s="25">
        <v>43235</v>
      </c>
      <c r="J428" s="24">
        <v>43350</v>
      </c>
    </row>
    <row r="429" spans="2:10" x14ac:dyDescent="0.2">
      <c r="B429" s="22">
        <v>425</v>
      </c>
      <c r="C429" s="21" t="s">
        <v>6572</v>
      </c>
      <c r="D429" s="21" t="s">
        <v>1804</v>
      </c>
      <c r="E429" s="20" t="s">
        <v>6573</v>
      </c>
      <c r="F429" s="22">
        <v>5</v>
      </c>
      <c r="G429" s="22" t="s">
        <v>6574</v>
      </c>
      <c r="H429" s="22">
        <v>2</v>
      </c>
      <c r="I429" s="25">
        <v>43130</v>
      </c>
      <c r="J429" s="24">
        <v>43234</v>
      </c>
    </row>
    <row r="430" spans="2:10" x14ac:dyDescent="0.2">
      <c r="B430" s="22">
        <v>426</v>
      </c>
      <c r="C430" s="21" t="s">
        <v>6575</v>
      </c>
      <c r="D430" s="21" t="s">
        <v>2010</v>
      </c>
      <c r="E430" s="20" t="s">
        <v>6576</v>
      </c>
      <c r="F430" s="22">
        <v>3</v>
      </c>
      <c r="G430" s="22" t="s">
        <v>6577</v>
      </c>
      <c r="H430" s="22">
        <v>2</v>
      </c>
      <c r="I430" s="25">
        <v>43179</v>
      </c>
      <c r="J430" s="24">
        <v>43377</v>
      </c>
    </row>
    <row r="431" spans="2:10" x14ac:dyDescent="0.2">
      <c r="B431" s="22">
        <v>427</v>
      </c>
      <c r="C431" s="21" t="s">
        <v>6578</v>
      </c>
      <c r="D431" s="21" t="s">
        <v>1532</v>
      </c>
      <c r="E431" s="20" t="s">
        <v>6579</v>
      </c>
      <c r="F431" s="22">
        <v>5</v>
      </c>
      <c r="G431" s="22" t="s">
        <v>1159</v>
      </c>
      <c r="H431" s="22" t="s">
        <v>1159</v>
      </c>
      <c r="I431" s="25">
        <v>43240</v>
      </c>
      <c r="J431" s="24">
        <v>43430</v>
      </c>
    </row>
    <row r="432" spans="2:10" x14ac:dyDescent="0.2">
      <c r="B432" s="22">
        <v>428</v>
      </c>
      <c r="C432" s="21" t="s">
        <v>6580</v>
      </c>
      <c r="D432" s="21" t="s">
        <v>6433</v>
      </c>
      <c r="E432" s="20" t="s">
        <v>6581</v>
      </c>
      <c r="F432" s="22">
        <v>29</v>
      </c>
      <c r="G432" s="22" t="s">
        <v>6582</v>
      </c>
      <c r="H432" s="22">
        <v>29</v>
      </c>
      <c r="I432" s="25">
        <v>43361</v>
      </c>
      <c r="J432" s="24">
        <v>43374</v>
      </c>
    </row>
    <row r="433" spans="2:10" x14ac:dyDescent="0.2">
      <c r="B433" s="22">
        <v>429</v>
      </c>
      <c r="C433" s="21" t="s">
        <v>6583</v>
      </c>
      <c r="D433" s="21" t="s">
        <v>966</v>
      </c>
      <c r="E433" s="20" t="s">
        <v>6584</v>
      </c>
      <c r="F433" s="22">
        <v>18</v>
      </c>
      <c r="G433" s="22" t="s">
        <v>6585</v>
      </c>
      <c r="H433" s="22">
        <v>2</v>
      </c>
      <c r="I433" s="25">
        <v>43396</v>
      </c>
      <c r="J433" s="24">
        <v>43396</v>
      </c>
    </row>
    <row r="434" spans="2:10" x14ac:dyDescent="0.2">
      <c r="B434" s="22">
        <v>430</v>
      </c>
      <c r="C434" s="21" t="s">
        <v>6586</v>
      </c>
      <c r="D434" s="21" t="s">
        <v>1942</v>
      </c>
      <c r="E434" s="20" t="s">
        <v>6587</v>
      </c>
      <c r="F434" s="22">
        <v>2</v>
      </c>
      <c r="G434" s="22" t="s">
        <v>6588</v>
      </c>
      <c r="H434" s="22">
        <v>2</v>
      </c>
      <c r="I434" s="25">
        <v>43345</v>
      </c>
      <c r="J434" s="24">
        <v>43437</v>
      </c>
    </row>
    <row r="435" spans="2:10" x14ac:dyDescent="0.2">
      <c r="B435" s="22">
        <v>431</v>
      </c>
      <c r="C435" s="21" t="s">
        <v>6589</v>
      </c>
      <c r="D435" s="21" t="s">
        <v>1039</v>
      </c>
      <c r="E435" s="20" t="s">
        <v>6590</v>
      </c>
      <c r="F435" s="22">
        <v>9</v>
      </c>
      <c r="G435" s="22" t="s">
        <v>6591</v>
      </c>
      <c r="H435" s="22">
        <v>2</v>
      </c>
      <c r="I435" s="25">
        <v>43417</v>
      </c>
      <c r="J435" s="24">
        <v>43121</v>
      </c>
    </row>
    <row r="436" spans="2:10" x14ac:dyDescent="0.2">
      <c r="B436" s="22">
        <v>432</v>
      </c>
      <c r="C436" s="21" t="s">
        <v>6592</v>
      </c>
      <c r="D436" s="21" t="s">
        <v>1294</v>
      </c>
      <c r="E436" s="20" t="s">
        <v>6593</v>
      </c>
      <c r="F436" s="22">
        <v>13</v>
      </c>
      <c r="G436" s="22" t="s">
        <v>6594</v>
      </c>
      <c r="H436" s="22">
        <v>2</v>
      </c>
      <c r="I436" s="25">
        <v>43102</v>
      </c>
      <c r="J436" s="24">
        <v>43150</v>
      </c>
    </row>
    <row r="437" spans="2:10" x14ac:dyDescent="0.2">
      <c r="B437" s="22">
        <v>433</v>
      </c>
      <c r="C437" s="21" t="s">
        <v>6595</v>
      </c>
      <c r="D437" s="21" t="s">
        <v>1210</v>
      </c>
      <c r="E437" s="20" t="s">
        <v>6596</v>
      </c>
      <c r="F437" s="22">
        <v>12</v>
      </c>
      <c r="G437" s="22" t="s">
        <v>6597</v>
      </c>
      <c r="H437" s="22">
        <v>12</v>
      </c>
      <c r="I437" s="25">
        <v>43270</v>
      </c>
      <c r="J437" s="24">
        <v>43290</v>
      </c>
    </row>
    <row r="438" spans="2:10" x14ac:dyDescent="0.2">
      <c r="B438" s="22">
        <v>434</v>
      </c>
      <c r="C438" s="21" t="s">
        <v>6598</v>
      </c>
      <c r="D438" s="21" t="s">
        <v>1213</v>
      </c>
      <c r="E438" s="20" t="s">
        <v>6599</v>
      </c>
      <c r="F438" s="22">
        <v>9</v>
      </c>
      <c r="G438" s="22" t="s">
        <v>6600</v>
      </c>
      <c r="H438" s="22">
        <v>9</v>
      </c>
      <c r="I438" s="25">
        <v>43109</v>
      </c>
      <c r="J438" s="24">
        <v>43206</v>
      </c>
    </row>
    <row r="439" spans="2:10" x14ac:dyDescent="0.2">
      <c r="B439" s="22">
        <v>435</v>
      </c>
      <c r="C439" s="21" t="s">
        <v>6601</v>
      </c>
      <c r="D439" s="21" t="s">
        <v>1015</v>
      </c>
      <c r="E439" s="20" t="s">
        <v>6602</v>
      </c>
      <c r="F439" s="22">
        <v>17</v>
      </c>
      <c r="G439" s="22" t="s">
        <v>6603</v>
      </c>
      <c r="H439" s="22">
        <v>2</v>
      </c>
      <c r="I439" s="25">
        <v>43242</v>
      </c>
      <c r="J439" s="24">
        <v>43325</v>
      </c>
    </row>
    <row r="440" spans="2:10" x14ac:dyDescent="0.2">
      <c r="B440" s="22">
        <v>436</v>
      </c>
      <c r="C440" s="21" t="s">
        <v>6604</v>
      </c>
      <c r="D440" s="21" t="s">
        <v>1640</v>
      </c>
      <c r="E440" s="20" t="s">
        <v>6605</v>
      </c>
      <c r="F440" s="22">
        <v>2</v>
      </c>
      <c r="G440" s="22" t="s">
        <v>6606</v>
      </c>
      <c r="H440" s="22">
        <v>1</v>
      </c>
      <c r="I440" s="25">
        <v>43331</v>
      </c>
      <c r="J440" s="24">
        <v>43395</v>
      </c>
    </row>
    <row r="441" spans="2:10" x14ac:dyDescent="0.2">
      <c r="B441" s="22">
        <v>437</v>
      </c>
      <c r="C441" s="21" t="s">
        <v>6607</v>
      </c>
      <c r="D441" s="21" t="s">
        <v>1873</v>
      </c>
      <c r="E441" s="20" t="s">
        <v>6608</v>
      </c>
      <c r="F441" s="22">
        <v>8</v>
      </c>
      <c r="G441" s="22" t="s">
        <v>1159</v>
      </c>
      <c r="H441" s="22" t="s">
        <v>1159</v>
      </c>
      <c r="I441" s="25">
        <v>43326</v>
      </c>
      <c r="J441" s="22" t="s">
        <v>558</v>
      </c>
    </row>
    <row r="442" spans="2:10" x14ac:dyDescent="0.2">
      <c r="B442" s="22">
        <v>438</v>
      </c>
      <c r="C442" s="21" t="s">
        <v>6609</v>
      </c>
      <c r="D442" s="21" t="s">
        <v>1095</v>
      </c>
      <c r="E442" s="20" t="s">
        <v>6610</v>
      </c>
      <c r="F442" s="22">
        <v>20</v>
      </c>
      <c r="G442" s="22" t="s">
        <v>6611</v>
      </c>
      <c r="H442" s="22">
        <v>10</v>
      </c>
      <c r="I442" s="25">
        <v>43263</v>
      </c>
      <c r="J442" s="24">
        <v>43311</v>
      </c>
    </row>
    <row r="443" spans="2:10" x14ac:dyDescent="0.2">
      <c r="B443" s="22">
        <v>439</v>
      </c>
      <c r="C443" s="21" t="s">
        <v>6612</v>
      </c>
      <c r="D443" s="21" t="s">
        <v>1332</v>
      </c>
      <c r="E443" s="20" t="s">
        <v>6613</v>
      </c>
      <c r="F443" s="22">
        <v>9</v>
      </c>
      <c r="G443" s="22" t="s">
        <v>6614</v>
      </c>
      <c r="H443" s="22">
        <v>9</v>
      </c>
      <c r="I443" s="25">
        <v>43396</v>
      </c>
      <c r="J443" s="24">
        <v>43409</v>
      </c>
    </row>
    <row r="444" spans="2:10" x14ac:dyDescent="0.2">
      <c r="B444" s="22">
        <v>440</v>
      </c>
      <c r="C444" s="21" t="s">
        <v>6615</v>
      </c>
      <c r="D444" s="21" t="s">
        <v>6433</v>
      </c>
      <c r="E444" s="20" t="s">
        <v>6616</v>
      </c>
      <c r="F444" s="22">
        <v>24</v>
      </c>
      <c r="G444" s="22" t="s">
        <v>6617</v>
      </c>
      <c r="H444" s="22">
        <v>24</v>
      </c>
      <c r="I444" s="25">
        <v>43417</v>
      </c>
      <c r="J444" s="24">
        <v>43430</v>
      </c>
    </row>
    <row r="445" spans="2:10" x14ac:dyDescent="0.2">
      <c r="B445" s="22">
        <v>441</v>
      </c>
      <c r="C445" s="21" t="s">
        <v>6618</v>
      </c>
      <c r="D445" s="21" t="s">
        <v>3627</v>
      </c>
      <c r="E445" s="20" t="s">
        <v>6619</v>
      </c>
      <c r="F445" s="22">
        <v>15</v>
      </c>
      <c r="G445" s="22" t="s">
        <v>6620</v>
      </c>
      <c r="H445" s="22">
        <v>12</v>
      </c>
      <c r="I445" s="25">
        <v>43179</v>
      </c>
      <c r="J445" s="24">
        <v>43241</v>
      </c>
    </row>
    <row r="446" spans="2:10" x14ac:dyDescent="0.2">
      <c r="B446" s="22">
        <v>442</v>
      </c>
      <c r="C446" s="21" t="s">
        <v>6621</v>
      </c>
      <c r="D446" s="21" t="s">
        <v>6622</v>
      </c>
      <c r="E446" s="20" t="s">
        <v>6623</v>
      </c>
      <c r="F446" s="22">
        <v>4</v>
      </c>
      <c r="G446" s="22" t="s">
        <v>6624</v>
      </c>
      <c r="H446" s="22">
        <v>1</v>
      </c>
      <c r="I446" s="25">
        <v>43396</v>
      </c>
      <c r="J446" s="22" t="s">
        <v>558</v>
      </c>
    </row>
    <row r="447" spans="2:10" x14ac:dyDescent="0.2">
      <c r="B447" s="22">
        <v>443</v>
      </c>
      <c r="C447" s="21" t="s">
        <v>6625</v>
      </c>
      <c r="D447" s="21" t="s">
        <v>1797</v>
      </c>
      <c r="E447" s="20" t="s">
        <v>6626</v>
      </c>
      <c r="F447" s="22">
        <v>28</v>
      </c>
      <c r="G447" s="22" t="s">
        <v>6627</v>
      </c>
      <c r="H447" s="22">
        <v>28</v>
      </c>
      <c r="I447" s="25">
        <v>43403</v>
      </c>
      <c r="J447" s="24">
        <v>43430</v>
      </c>
    </row>
    <row r="448" spans="2:10" x14ac:dyDescent="0.2">
      <c r="B448" s="22">
        <v>444</v>
      </c>
      <c r="C448" s="21" t="s">
        <v>6628</v>
      </c>
      <c r="D448" s="21" t="s">
        <v>1294</v>
      </c>
      <c r="E448" s="20" t="s">
        <v>6629</v>
      </c>
      <c r="F448" s="22">
        <v>5</v>
      </c>
      <c r="G448" s="22" t="s">
        <v>6630</v>
      </c>
      <c r="H448" s="22">
        <v>2</v>
      </c>
      <c r="I448" s="25">
        <v>43228</v>
      </c>
      <c r="J448" s="24">
        <v>43248</v>
      </c>
    </row>
    <row r="449" spans="2:10" x14ac:dyDescent="0.2">
      <c r="B449" s="22">
        <v>445</v>
      </c>
      <c r="C449" s="21" t="s">
        <v>6631</v>
      </c>
      <c r="D449" s="21" t="s">
        <v>1415</v>
      </c>
      <c r="E449" s="20" t="s">
        <v>6632</v>
      </c>
      <c r="F449" s="22">
        <v>41</v>
      </c>
      <c r="G449" s="22" t="s">
        <v>6633</v>
      </c>
      <c r="H449" s="22">
        <v>41</v>
      </c>
      <c r="I449" s="25">
        <v>43319</v>
      </c>
      <c r="J449" s="24">
        <v>43332</v>
      </c>
    </row>
    <row r="450" spans="2:10" x14ac:dyDescent="0.2">
      <c r="B450" s="22">
        <v>446</v>
      </c>
      <c r="C450" s="21" t="s">
        <v>6634</v>
      </c>
      <c r="D450" s="21" t="s">
        <v>1631</v>
      </c>
      <c r="E450" s="20" t="s">
        <v>6635</v>
      </c>
      <c r="F450" s="22">
        <v>11</v>
      </c>
      <c r="G450" s="22" t="s">
        <v>6636</v>
      </c>
      <c r="H450" s="22">
        <v>11</v>
      </c>
      <c r="I450" s="25">
        <v>43116</v>
      </c>
      <c r="J450" s="24">
        <v>43153</v>
      </c>
    </row>
    <row r="451" spans="2:10" x14ac:dyDescent="0.2">
      <c r="B451" s="22">
        <v>447</v>
      </c>
      <c r="C451" s="21" t="s">
        <v>6637</v>
      </c>
      <c r="D451" s="21" t="s">
        <v>820</v>
      </c>
      <c r="E451" s="20" t="s">
        <v>6638</v>
      </c>
      <c r="F451" s="22">
        <v>103</v>
      </c>
      <c r="G451" s="22" t="s">
        <v>6639</v>
      </c>
      <c r="H451" s="22">
        <v>103</v>
      </c>
      <c r="I451" s="25">
        <v>43375</v>
      </c>
      <c r="J451" s="24">
        <v>43388</v>
      </c>
    </row>
    <row r="452" spans="2:10" x14ac:dyDescent="0.2">
      <c r="B452" s="22">
        <v>448</v>
      </c>
      <c r="C452" s="21" t="s">
        <v>6640</v>
      </c>
      <c r="D452" s="21" t="s">
        <v>1043</v>
      </c>
      <c r="E452" s="20" t="s">
        <v>6641</v>
      </c>
      <c r="F452" s="22">
        <v>27</v>
      </c>
      <c r="G452" s="22" t="s">
        <v>6642</v>
      </c>
      <c r="H452" s="22">
        <v>27</v>
      </c>
      <c r="I452" s="25">
        <v>43207</v>
      </c>
      <c r="J452" s="24">
        <v>43220</v>
      </c>
    </row>
    <row r="453" spans="2:10" x14ac:dyDescent="0.2">
      <c r="B453" s="22">
        <v>449</v>
      </c>
      <c r="C453" s="21" t="s">
        <v>6643</v>
      </c>
      <c r="D453" s="21" t="s">
        <v>563</v>
      </c>
      <c r="E453" s="20" t="s">
        <v>6644</v>
      </c>
      <c r="F453" s="22">
        <v>3</v>
      </c>
      <c r="G453" s="22" t="s">
        <v>6645</v>
      </c>
      <c r="H453" s="22">
        <v>3</v>
      </c>
      <c r="I453" s="25">
        <v>43200</v>
      </c>
      <c r="J453" s="24">
        <v>43220</v>
      </c>
    </row>
    <row r="454" spans="2:10" x14ac:dyDescent="0.2">
      <c r="B454" s="22">
        <v>450</v>
      </c>
      <c r="C454" s="21" t="s">
        <v>6646</v>
      </c>
      <c r="D454" s="21" t="s">
        <v>1204</v>
      </c>
      <c r="E454" s="20" t="s">
        <v>6647</v>
      </c>
      <c r="F454" s="22">
        <v>52</v>
      </c>
      <c r="G454" s="22" t="s">
        <v>6648</v>
      </c>
      <c r="H454" s="22">
        <v>52</v>
      </c>
      <c r="I454" s="25">
        <v>43207</v>
      </c>
      <c r="J454" s="24">
        <v>43213</v>
      </c>
    </row>
    <row r="455" spans="2:10" x14ac:dyDescent="0.2">
      <c r="B455" s="22">
        <v>451</v>
      </c>
      <c r="C455" s="21" t="s">
        <v>6649</v>
      </c>
      <c r="D455" s="21" t="s">
        <v>1294</v>
      </c>
      <c r="E455" s="20" t="s">
        <v>6650</v>
      </c>
      <c r="F455" s="22">
        <v>28</v>
      </c>
      <c r="G455" s="22" t="s">
        <v>2603</v>
      </c>
      <c r="H455" s="22">
        <v>2</v>
      </c>
      <c r="I455" s="25">
        <v>43158</v>
      </c>
      <c r="J455" s="24">
        <v>43192</v>
      </c>
    </row>
    <row r="456" spans="2:10" x14ac:dyDescent="0.2">
      <c r="B456" s="22">
        <v>452</v>
      </c>
      <c r="C456" s="21" t="s">
        <v>6651</v>
      </c>
      <c r="D456" s="21" t="s">
        <v>4383</v>
      </c>
      <c r="E456" s="20" t="s">
        <v>6652</v>
      </c>
      <c r="F456" s="22">
        <v>2</v>
      </c>
      <c r="G456" s="22" t="s">
        <v>6653</v>
      </c>
      <c r="H456" s="22">
        <v>1</v>
      </c>
      <c r="I456" s="25">
        <v>43438</v>
      </c>
      <c r="J456" s="24">
        <v>43260</v>
      </c>
    </row>
    <row r="457" spans="2:10" x14ac:dyDescent="0.2">
      <c r="B457" s="22">
        <v>453</v>
      </c>
      <c r="C457" s="21" t="s">
        <v>6654</v>
      </c>
      <c r="D457" s="21" t="s">
        <v>5884</v>
      </c>
      <c r="E457" s="20" t="s">
        <v>6655</v>
      </c>
      <c r="F457" s="22">
        <v>15</v>
      </c>
      <c r="G457" s="22" t="s">
        <v>6656</v>
      </c>
      <c r="H457" s="22">
        <v>15</v>
      </c>
      <c r="I457" s="25">
        <v>43263</v>
      </c>
      <c r="J457" s="24">
        <v>43272</v>
      </c>
    </row>
    <row r="458" spans="2:10" x14ac:dyDescent="0.2">
      <c r="B458" s="22">
        <v>454</v>
      </c>
      <c r="C458" s="21" t="s">
        <v>6657</v>
      </c>
      <c r="D458" s="21" t="s">
        <v>2516</v>
      </c>
      <c r="E458" s="20" t="s">
        <v>6658</v>
      </c>
      <c r="F458" s="22">
        <v>8</v>
      </c>
      <c r="G458" s="22" t="s">
        <v>6659</v>
      </c>
      <c r="H458" s="22">
        <v>4</v>
      </c>
      <c r="I458" s="25">
        <v>43256</v>
      </c>
      <c r="J458" s="24">
        <v>43388</v>
      </c>
    </row>
    <row r="459" spans="2:10" x14ac:dyDescent="0.2">
      <c r="B459" s="22">
        <v>455</v>
      </c>
      <c r="C459" s="21" t="s">
        <v>458</v>
      </c>
      <c r="D459" s="21" t="s">
        <v>1572</v>
      </c>
      <c r="E459" s="20" t="s">
        <v>6660</v>
      </c>
      <c r="F459" s="22">
        <v>13</v>
      </c>
      <c r="G459" s="22" t="s">
        <v>6661</v>
      </c>
      <c r="H459" s="22">
        <v>1</v>
      </c>
      <c r="I459" s="25">
        <v>43354</v>
      </c>
      <c r="J459" s="24">
        <v>43451</v>
      </c>
    </row>
    <row r="460" spans="2:10" x14ac:dyDescent="0.2">
      <c r="B460" s="22">
        <v>456</v>
      </c>
      <c r="C460" s="21" t="s">
        <v>6662</v>
      </c>
      <c r="D460" s="21" t="s">
        <v>1532</v>
      </c>
      <c r="E460" s="20" t="s">
        <v>4571</v>
      </c>
      <c r="F460" s="22">
        <v>5</v>
      </c>
      <c r="G460" s="22" t="s">
        <v>1159</v>
      </c>
      <c r="H460" s="22" t="s">
        <v>1159</v>
      </c>
      <c r="I460" s="25">
        <v>43396</v>
      </c>
      <c r="J460" s="24">
        <v>43176</v>
      </c>
    </row>
    <row r="461" spans="2:10" x14ac:dyDescent="0.2">
      <c r="B461" s="22">
        <v>457</v>
      </c>
      <c r="C461" s="21" t="s">
        <v>6663</v>
      </c>
      <c r="D461" s="21" t="s">
        <v>1039</v>
      </c>
      <c r="E461" s="20" t="s">
        <v>6664</v>
      </c>
      <c r="F461" s="22">
        <v>4</v>
      </c>
      <c r="G461" s="22" t="s">
        <v>6665</v>
      </c>
      <c r="H461" s="22">
        <v>4</v>
      </c>
      <c r="I461" s="25">
        <v>43291</v>
      </c>
      <c r="J461" s="24">
        <v>43318</v>
      </c>
    </row>
    <row r="462" spans="2:10" x14ac:dyDescent="0.2">
      <c r="B462" s="22">
        <v>458</v>
      </c>
      <c r="C462" s="21" t="s">
        <v>6666</v>
      </c>
      <c r="D462" s="21" t="s">
        <v>1873</v>
      </c>
      <c r="E462" s="20" t="s">
        <v>6667</v>
      </c>
      <c r="F462" s="22">
        <v>9</v>
      </c>
      <c r="G462" s="22" t="s">
        <v>6668</v>
      </c>
      <c r="H462" s="22">
        <v>1</v>
      </c>
      <c r="I462" s="25">
        <v>43149</v>
      </c>
      <c r="J462" s="24">
        <v>43164</v>
      </c>
    </row>
    <row r="463" spans="2:10" x14ac:dyDescent="0.2">
      <c r="B463" s="22">
        <v>459</v>
      </c>
      <c r="C463" s="21" t="s">
        <v>6669</v>
      </c>
      <c r="D463" s="21" t="s">
        <v>1213</v>
      </c>
      <c r="E463" s="20" t="s">
        <v>6670</v>
      </c>
      <c r="F463" s="22">
        <v>6</v>
      </c>
      <c r="G463" s="22" t="s">
        <v>6671</v>
      </c>
      <c r="H463" s="22">
        <v>2</v>
      </c>
      <c r="I463" s="25">
        <v>43424</v>
      </c>
      <c r="J463" s="24">
        <v>43128</v>
      </c>
    </row>
    <row r="464" spans="2:10" x14ac:dyDescent="0.2">
      <c r="B464" s="22">
        <v>460</v>
      </c>
      <c r="C464" s="21" t="s">
        <v>6672</v>
      </c>
      <c r="D464" s="21" t="s">
        <v>6673</v>
      </c>
      <c r="E464" s="20" t="s">
        <v>6674</v>
      </c>
      <c r="F464" s="22">
        <v>17</v>
      </c>
      <c r="G464" s="22" t="s">
        <v>1159</v>
      </c>
      <c r="H464" s="22" t="s">
        <v>1159</v>
      </c>
      <c r="I464" s="25">
        <v>43150</v>
      </c>
      <c r="J464" s="24">
        <v>43236</v>
      </c>
    </row>
    <row r="465" spans="2:10" x14ac:dyDescent="0.2">
      <c r="B465" s="22">
        <v>461</v>
      </c>
      <c r="C465" s="21" t="s">
        <v>6675</v>
      </c>
      <c r="D465" s="21" t="s">
        <v>1880</v>
      </c>
      <c r="E465" s="20" t="s">
        <v>6676</v>
      </c>
      <c r="F465" s="22">
        <v>5</v>
      </c>
      <c r="G465" s="22" t="s">
        <v>6677</v>
      </c>
      <c r="H465" s="22">
        <v>3</v>
      </c>
      <c r="I465" s="25">
        <v>43270</v>
      </c>
      <c r="J465" s="24">
        <v>43388</v>
      </c>
    </row>
    <row r="466" spans="2:10" x14ac:dyDescent="0.2">
      <c r="B466" s="22">
        <v>462</v>
      </c>
      <c r="C466" s="21" t="s">
        <v>6678</v>
      </c>
      <c r="D466" s="21" t="s">
        <v>1332</v>
      </c>
      <c r="E466" s="20" t="s">
        <v>6679</v>
      </c>
      <c r="F466" s="22">
        <v>11</v>
      </c>
      <c r="G466" s="22" t="s">
        <v>6680</v>
      </c>
      <c r="H466" s="22">
        <v>1</v>
      </c>
      <c r="I466" s="25">
        <v>43410</v>
      </c>
      <c r="J466" s="24">
        <v>43426</v>
      </c>
    </row>
    <row r="467" spans="2:10" x14ac:dyDescent="0.2">
      <c r="B467" s="22">
        <v>463</v>
      </c>
      <c r="C467" s="21" t="s">
        <v>6681</v>
      </c>
      <c r="D467" s="21" t="s">
        <v>1142</v>
      </c>
      <c r="E467" s="20" t="s">
        <v>6682</v>
      </c>
      <c r="F467" s="22">
        <v>14</v>
      </c>
      <c r="G467" s="22" t="s">
        <v>6683</v>
      </c>
      <c r="H467" s="22">
        <v>2</v>
      </c>
      <c r="I467" s="25">
        <v>43410</v>
      </c>
      <c r="J467" s="24">
        <v>43430</v>
      </c>
    </row>
    <row r="468" spans="2:10" x14ac:dyDescent="0.2">
      <c r="B468" s="22">
        <v>465</v>
      </c>
      <c r="C468" s="21" t="s">
        <v>6685</v>
      </c>
      <c r="D468" s="21" t="s">
        <v>1594</v>
      </c>
      <c r="E468" s="20" t="s">
        <v>6686</v>
      </c>
      <c r="F468" s="22">
        <v>22</v>
      </c>
      <c r="G468" s="22" t="s">
        <v>6687</v>
      </c>
      <c r="H468" s="22">
        <v>22</v>
      </c>
      <c r="I468" s="25">
        <v>43298</v>
      </c>
      <c r="J468" s="24">
        <v>43318</v>
      </c>
    </row>
    <row r="469" spans="2:10" x14ac:dyDescent="0.2">
      <c r="B469" s="22">
        <v>466</v>
      </c>
      <c r="C469" s="21" t="s">
        <v>6688</v>
      </c>
      <c r="D469" s="21" t="s">
        <v>1294</v>
      </c>
      <c r="E469" s="20" t="s">
        <v>6689</v>
      </c>
      <c r="F469" s="22">
        <v>9</v>
      </c>
      <c r="G469" s="22" t="s">
        <v>6690</v>
      </c>
      <c r="H469" s="22">
        <v>3</v>
      </c>
      <c r="I469" s="25">
        <v>43114</v>
      </c>
      <c r="J469" s="24">
        <v>43150</v>
      </c>
    </row>
    <row r="470" spans="2:10" x14ac:dyDescent="0.2">
      <c r="B470" s="22">
        <v>467</v>
      </c>
      <c r="C470" s="21" t="s">
        <v>6691</v>
      </c>
      <c r="D470" s="21" t="s">
        <v>5638</v>
      </c>
      <c r="E470" s="20" t="s">
        <v>6692</v>
      </c>
      <c r="F470" s="22">
        <v>21</v>
      </c>
      <c r="G470" s="22" t="s">
        <v>6693</v>
      </c>
      <c r="H470" s="22">
        <v>21</v>
      </c>
      <c r="I470" s="25">
        <v>43347</v>
      </c>
      <c r="J470" s="24">
        <v>43374</v>
      </c>
    </row>
    <row r="471" spans="2:10" x14ac:dyDescent="0.2">
      <c r="B471" s="22">
        <v>468</v>
      </c>
      <c r="C471" s="21" t="s">
        <v>6694</v>
      </c>
      <c r="D471" s="21" t="s">
        <v>1338</v>
      </c>
      <c r="E471" s="20" t="s">
        <v>6695</v>
      </c>
      <c r="F471" s="22">
        <v>5</v>
      </c>
      <c r="G471" s="22" t="s">
        <v>1159</v>
      </c>
      <c r="H471" s="22" t="s">
        <v>1159</v>
      </c>
      <c r="I471" s="25">
        <v>43165</v>
      </c>
      <c r="J471" s="24">
        <v>43230</v>
      </c>
    </row>
    <row r="472" spans="2:10" x14ac:dyDescent="0.2">
      <c r="B472" s="22">
        <v>469</v>
      </c>
      <c r="C472" s="21" t="s">
        <v>6696</v>
      </c>
      <c r="D472" s="21" t="s">
        <v>1576</v>
      </c>
      <c r="E472" s="20" t="s">
        <v>6697</v>
      </c>
      <c r="F472" s="22">
        <v>1</v>
      </c>
      <c r="G472" s="22" t="s">
        <v>6698</v>
      </c>
      <c r="H472" s="22">
        <v>1</v>
      </c>
      <c r="I472" s="25">
        <v>43165</v>
      </c>
      <c r="J472" s="24">
        <v>43178</v>
      </c>
    </row>
    <row r="473" spans="2:10" x14ac:dyDescent="0.2">
      <c r="B473" s="22">
        <v>470</v>
      </c>
      <c r="C473" s="21" t="s">
        <v>6699</v>
      </c>
      <c r="D473" s="21" t="s">
        <v>6433</v>
      </c>
      <c r="E473" s="20" t="s">
        <v>6700</v>
      </c>
      <c r="F473" s="22">
        <v>22</v>
      </c>
      <c r="G473" s="22" t="s">
        <v>6701</v>
      </c>
      <c r="H473" s="22">
        <v>22</v>
      </c>
      <c r="I473" s="25">
        <v>43382</v>
      </c>
      <c r="J473" s="24">
        <v>43395</v>
      </c>
    </row>
    <row r="474" spans="2:10" x14ac:dyDescent="0.2">
      <c r="B474" s="22">
        <v>471</v>
      </c>
      <c r="C474" s="21" t="s">
        <v>6702</v>
      </c>
      <c r="D474" s="21" t="s">
        <v>1532</v>
      </c>
      <c r="E474" s="20" t="s">
        <v>6703</v>
      </c>
      <c r="F474" s="22">
        <v>4</v>
      </c>
      <c r="G474" s="22" t="s">
        <v>1159</v>
      </c>
      <c r="H474" s="22" t="s">
        <v>1159</v>
      </c>
      <c r="I474" s="25">
        <v>43312</v>
      </c>
      <c r="J474" s="24">
        <v>43465</v>
      </c>
    </row>
    <row r="475" spans="2:10" x14ac:dyDescent="0.2">
      <c r="B475" s="22">
        <v>472</v>
      </c>
      <c r="C475" s="21" t="s">
        <v>6704</v>
      </c>
      <c r="D475" s="21" t="s">
        <v>1880</v>
      </c>
      <c r="E475" s="20" t="s">
        <v>6705</v>
      </c>
      <c r="F475" s="22">
        <v>5</v>
      </c>
      <c r="G475" s="22" t="s">
        <v>6706</v>
      </c>
      <c r="H475" s="22">
        <v>1</v>
      </c>
      <c r="I475" s="25">
        <v>43352</v>
      </c>
      <c r="J475" s="24">
        <v>43451</v>
      </c>
    </row>
    <row r="476" spans="2:10" x14ac:dyDescent="0.2">
      <c r="B476" s="22">
        <v>473</v>
      </c>
      <c r="C476" s="21" t="s">
        <v>6707</v>
      </c>
      <c r="D476" s="21" t="s">
        <v>1095</v>
      </c>
      <c r="E476" s="20" t="s">
        <v>6708</v>
      </c>
      <c r="F476" s="22">
        <v>32</v>
      </c>
      <c r="G476" s="22" t="s">
        <v>6709</v>
      </c>
      <c r="H476" s="22">
        <v>5</v>
      </c>
      <c r="I476" s="25">
        <v>43368</v>
      </c>
      <c r="J476" s="24">
        <v>43405</v>
      </c>
    </row>
    <row r="477" spans="2:10" x14ac:dyDescent="0.2">
      <c r="B477" s="22">
        <v>474</v>
      </c>
      <c r="C477" s="21" t="s">
        <v>6710</v>
      </c>
      <c r="D477" s="21" t="s">
        <v>1235</v>
      </c>
      <c r="E477" s="20" t="s">
        <v>6711</v>
      </c>
      <c r="F477" s="22">
        <v>11</v>
      </c>
      <c r="G477" s="22" t="s">
        <v>2301</v>
      </c>
      <c r="H477" s="22">
        <v>11</v>
      </c>
      <c r="I477" s="25">
        <v>43312</v>
      </c>
      <c r="J477" s="24">
        <v>43325</v>
      </c>
    </row>
    <row r="478" spans="2:10" x14ac:dyDescent="0.2">
      <c r="B478" s="22">
        <v>475</v>
      </c>
      <c r="C478" s="21" t="s">
        <v>6712</v>
      </c>
      <c r="D478" s="21" t="s">
        <v>1532</v>
      </c>
      <c r="E478" s="20" t="s">
        <v>6713</v>
      </c>
      <c r="F478" s="22">
        <v>5</v>
      </c>
      <c r="G478" s="22" t="s">
        <v>1159</v>
      </c>
      <c r="H478" s="22" t="s">
        <v>1159</v>
      </c>
      <c r="I478" s="25">
        <v>43380</v>
      </c>
      <c r="J478" s="24">
        <v>43169</v>
      </c>
    </row>
    <row r="479" spans="2:10" x14ac:dyDescent="0.2">
      <c r="B479" s="22">
        <v>476</v>
      </c>
      <c r="C479" s="21" t="s">
        <v>6714</v>
      </c>
      <c r="D479" s="21" t="s">
        <v>1942</v>
      </c>
      <c r="E479" s="20" t="s">
        <v>6715</v>
      </c>
      <c r="F479" s="22">
        <v>1</v>
      </c>
      <c r="G479" s="22" t="s">
        <v>6716</v>
      </c>
      <c r="H479" s="22">
        <v>1</v>
      </c>
      <c r="I479" s="25">
        <v>43452</v>
      </c>
      <c r="J479" s="24">
        <v>43162</v>
      </c>
    </row>
    <row r="480" spans="2:10" x14ac:dyDescent="0.2">
      <c r="B480" s="22">
        <v>477</v>
      </c>
      <c r="C480" s="21" t="s">
        <v>6717</v>
      </c>
      <c r="D480" s="21" t="s">
        <v>1739</v>
      </c>
      <c r="E480" s="20" t="s">
        <v>6718</v>
      </c>
      <c r="F480" s="22">
        <v>3</v>
      </c>
      <c r="G480" s="22" t="s">
        <v>2570</v>
      </c>
      <c r="H480" s="22">
        <v>3</v>
      </c>
      <c r="I480" s="25">
        <v>43450</v>
      </c>
      <c r="J480" s="22" t="s">
        <v>558</v>
      </c>
    </row>
    <row r="481" spans="2:10" x14ac:dyDescent="0.2">
      <c r="B481" s="22">
        <v>478</v>
      </c>
      <c r="C481" s="21" t="s">
        <v>6719</v>
      </c>
      <c r="D481" s="21" t="s">
        <v>1568</v>
      </c>
      <c r="E481" s="20" t="s">
        <v>6720</v>
      </c>
      <c r="F481" s="22">
        <v>27</v>
      </c>
      <c r="G481" s="22" t="s">
        <v>6721</v>
      </c>
      <c r="H481" s="22">
        <v>27</v>
      </c>
      <c r="I481" s="25">
        <v>43123</v>
      </c>
      <c r="J481" s="24">
        <v>43136</v>
      </c>
    </row>
    <row r="482" spans="2:10" x14ac:dyDescent="0.2">
      <c r="B482" s="22">
        <v>479</v>
      </c>
      <c r="C482" s="21" t="s">
        <v>6722</v>
      </c>
      <c r="D482" s="21" t="s">
        <v>1332</v>
      </c>
      <c r="E482" s="20" t="s">
        <v>6723</v>
      </c>
      <c r="F482" s="22">
        <v>1</v>
      </c>
      <c r="G482" s="22" t="s">
        <v>4613</v>
      </c>
      <c r="H482" s="22">
        <v>1</v>
      </c>
      <c r="I482" s="25">
        <v>43123</v>
      </c>
      <c r="J482" s="24">
        <v>43139</v>
      </c>
    </row>
    <row r="483" spans="2:10" x14ac:dyDescent="0.2">
      <c r="B483" s="22">
        <v>480</v>
      </c>
      <c r="C483" s="21" t="s">
        <v>6724</v>
      </c>
      <c r="D483" s="21" t="s">
        <v>3627</v>
      </c>
      <c r="E483" s="20" t="s">
        <v>6725</v>
      </c>
      <c r="F483" s="22">
        <v>10</v>
      </c>
      <c r="G483" s="22" t="s">
        <v>6726</v>
      </c>
      <c r="H483" s="22">
        <v>9</v>
      </c>
      <c r="I483" s="25">
        <v>43130</v>
      </c>
      <c r="J483" s="24">
        <v>43167</v>
      </c>
    </row>
    <row r="484" spans="2:10" x14ac:dyDescent="0.2">
      <c r="B484" s="22">
        <v>481</v>
      </c>
      <c r="C484" s="21" t="s">
        <v>6727</v>
      </c>
      <c r="D484" s="21" t="s">
        <v>6728</v>
      </c>
      <c r="E484" s="20" t="s">
        <v>6729</v>
      </c>
      <c r="F484" s="22">
        <v>4</v>
      </c>
      <c r="G484" s="22" t="s">
        <v>6730</v>
      </c>
      <c r="H484" s="22">
        <v>4</v>
      </c>
      <c r="I484" s="25">
        <v>43410</v>
      </c>
      <c r="J484" s="24">
        <v>43447</v>
      </c>
    </row>
    <row r="485" spans="2:10" x14ac:dyDescent="0.2">
      <c r="B485" s="22">
        <v>482</v>
      </c>
      <c r="C485" s="21" t="s">
        <v>6731</v>
      </c>
      <c r="D485" s="21" t="s">
        <v>6433</v>
      </c>
      <c r="E485" s="20" t="s">
        <v>6732</v>
      </c>
      <c r="F485" s="22">
        <v>40</v>
      </c>
      <c r="G485" s="22" t="s">
        <v>6733</v>
      </c>
      <c r="H485" s="22">
        <v>40</v>
      </c>
      <c r="I485" s="25">
        <v>43445</v>
      </c>
      <c r="J485" s="24">
        <v>43458</v>
      </c>
    </row>
    <row r="486" spans="2:10" x14ac:dyDescent="0.2">
      <c r="B486" s="22">
        <v>483</v>
      </c>
      <c r="C486" s="21" t="s">
        <v>6734</v>
      </c>
      <c r="D486" s="21" t="s">
        <v>6735</v>
      </c>
      <c r="E486" s="20" t="s">
        <v>6736</v>
      </c>
      <c r="F486" s="22">
        <v>8</v>
      </c>
      <c r="G486" s="22" t="s">
        <v>6737</v>
      </c>
      <c r="H486" s="22">
        <v>1</v>
      </c>
      <c r="I486" s="25">
        <v>43270</v>
      </c>
      <c r="J486" s="24">
        <v>43350</v>
      </c>
    </row>
    <row r="487" spans="2:10" x14ac:dyDescent="0.2">
      <c r="B487" s="22">
        <v>484</v>
      </c>
      <c r="C487" s="21" t="s">
        <v>6738</v>
      </c>
      <c r="D487" s="21" t="s">
        <v>2051</v>
      </c>
      <c r="E487" s="20" t="s">
        <v>6739</v>
      </c>
      <c r="F487" s="22">
        <v>6</v>
      </c>
      <c r="G487" s="22" t="s">
        <v>6740</v>
      </c>
      <c r="H487" s="22">
        <v>1</v>
      </c>
      <c r="I487" s="25">
        <v>43277</v>
      </c>
      <c r="J487" s="24">
        <v>43346</v>
      </c>
    </row>
    <row r="488" spans="2:10" x14ac:dyDescent="0.2">
      <c r="B488" s="22">
        <v>485</v>
      </c>
      <c r="C488" s="21" t="s">
        <v>6741</v>
      </c>
      <c r="D488" s="21" t="s">
        <v>1345</v>
      </c>
      <c r="E488" s="20" t="s">
        <v>6742</v>
      </c>
      <c r="F488" s="22">
        <v>7</v>
      </c>
      <c r="G488" s="22" t="s">
        <v>6743</v>
      </c>
      <c r="H488" s="22">
        <v>1</v>
      </c>
      <c r="I488" s="25">
        <v>43354</v>
      </c>
      <c r="J488" s="24">
        <v>43465</v>
      </c>
    </row>
    <row r="489" spans="2:10" x14ac:dyDescent="0.2">
      <c r="B489" s="22">
        <v>486</v>
      </c>
      <c r="C489" s="21" t="s">
        <v>6744</v>
      </c>
      <c r="D489" s="21" t="s">
        <v>1175</v>
      </c>
      <c r="E489" s="20" t="s">
        <v>6745</v>
      </c>
      <c r="F489" s="22">
        <v>2</v>
      </c>
      <c r="G489" s="22" t="s">
        <v>6746</v>
      </c>
      <c r="H489" s="22">
        <v>1</v>
      </c>
      <c r="I489" s="25">
        <v>43326</v>
      </c>
      <c r="J489" s="24">
        <v>43356</v>
      </c>
    </row>
    <row r="490" spans="2:10" x14ac:dyDescent="0.2">
      <c r="B490" s="22">
        <v>487</v>
      </c>
      <c r="C490" s="21" t="s">
        <v>6747</v>
      </c>
      <c r="D490" s="21" t="s">
        <v>2114</v>
      </c>
      <c r="E490" s="20" t="s">
        <v>6748</v>
      </c>
      <c r="F490" s="22">
        <v>4</v>
      </c>
      <c r="G490" s="22" t="s">
        <v>1159</v>
      </c>
      <c r="H490" s="22" t="s">
        <v>1159</v>
      </c>
      <c r="I490" s="25">
        <v>43200</v>
      </c>
      <c r="J490" s="24">
        <v>43304</v>
      </c>
    </row>
    <row r="491" spans="2:10" x14ac:dyDescent="0.2">
      <c r="B491" s="22">
        <v>488</v>
      </c>
      <c r="C491" s="21" t="s">
        <v>6749</v>
      </c>
      <c r="D491" s="21" t="s">
        <v>2548</v>
      </c>
      <c r="E491" s="20" t="s">
        <v>6750</v>
      </c>
      <c r="F491" s="22">
        <v>14</v>
      </c>
      <c r="G491" s="22" t="s">
        <v>6751</v>
      </c>
      <c r="H491" s="22">
        <v>14</v>
      </c>
      <c r="I491" s="25">
        <v>43123</v>
      </c>
      <c r="J491" s="24">
        <v>43136</v>
      </c>
    </row>
    <row r="492" spans="2:10" x14ac:dyDescent="0.2">
      <c r="B492" s="22">
        <v>489</v>
      </c>
      <c r="C492" s="21" t="s">
        <v>6752</v>
      </c>
      <c r="D492" s="21" t="s">
        <v>1532</v>
      </c>
      <c r="E492" s="20" t="s">
        <v>6753</v>
      </c>
      <c r="F492" s="22">
        <v>3</v>
      </c>
      <c r="G492" s="22" t="s">
        <v>1159</v>
      </c>
      <c r="H492" s="22" t="s">
        <v>1159</v>
      </c>
      <c r="I492" s="25">
        <v>43130</v>
      </c>
      <c r="J492" s="24">
        <v>43258</v>
      </c>
    </row>
    <row r="493" spans="2:10" x14ac:dyDescent="0.2">
      <c r="B493" s="22">
        <v>490</v>
      </c>
      <c r="C493" s="21" t="s">
        <v>6754</v>
      </c>
      <c r="D493" s="21" t="s">
        <v>1631</v>
      </c>
      <c r="E493" s="20" t="s">
        <v>6755</v>
      </c>
      <c r="F493" s="22">
        <v>16</v>
      </c>
      <c r="G493" s="22" t="s">
        <v>6756</v>
      </c>
      <c r="H493" s="22">
        <v>16</v>
      </c>
      <c r="I493" s="25">
        <v>43256</v>
      </c>
      <c r="J493" s="24">
        <v>43286</v>
      </c>
    </row>
    <row r="494" spans="2:10" x14ac:dyDescent="0.2">
      <c r="B494" s="22">
        <v>491</v>
      </c>
      <c r="C494" s="21" t="s">
        <v>6757</v>
      </c>
      <c r="D494" s="21" t="s">
        <v>2051</v>
      </c>
      <c r="E494" s="20" t="s">
        <v>6758</v>
      </c>
      <c r="F494" s="22">
        <v>6</v>
      </c>
      <c r="G494" s="22" t="s">
        <v>6759</v>
      </c>
      <c r="H494" s="22">
        <v>2</v>
      </c>
      <c r="I494" s="25">
        <v>43165</v>
      </c>
      <c r="J494" s="24">
        <v>43227</v>
      </c>
    </row>
    <row r="495" spans="2:10" x14ac:dyDescent="0.2">
      <c r="B495" s="22">
        <v>492</v>
      </c>
      <c r="C495" s="21" t="s">
        <v>6760</v>
      </c>
      <c r="D495" s="21" t="s">
        <v>1183</v>
      </c>
      <c r="E495" s="20" t="s">
        <v>6761</v>
      </c>
      <c r="F495" s="22">
        <v>8</v>
      </c>
      <c r="G495" s="22" t="s">
        <v>1159</v>
      </c>
      <c r="H495" s="22" t="s">
        <v>1159</v>
      </c>
      <c r="I495" s="25">
        <v>43340</v>
      </c>
      <c r="J495" s="24">
        <v>43367</v>
      </c>
    </row>
    <row r="496" spans="2:10" x14ac:dyDescent="0.2">
      <c r="B496" s="22">
        <v>493</v>
      </c>
      <c r="C496" s="21" t="s">
        <v>6762</v>
      </c>
      <c r="D496" s="21" t="s">
        <v>1532</v>
      </c>
      <c r="E496" s="20" t="s">
        <v>6763</v>
      </c>
      <c r="F496" s="22">
        <v>2</v>
      </c>
      <c r="G496" s="22" t="s">
        <v>1159</v>
      </c>
      <c r="H496" s="22" t="s">
        <v>1159</v>
      </c>
      <c r="I496" s="25">
        <v>43438</v>
      </c>
      <c r="J496" s="22" t="s">
        <v>558</v>
      </c>
    </row>
    <row r="497" spans="2:10" x14ac:dyDescent="0.2">
      <c r="B497" s="22">
        <v>494</v>
      </c>
      <c r="C497" s="21" t="s">
        <v>6764</v>
      </c>
      <c r="D497" s="21" t="s">
        <v>1804</v>
      </c>
      <c r="E497" s="20" t="s">
        <v>6765</v>
      </c>
      <c r="F497" s="22">
        <v>5</v>
      </c>
      <c r="G497" s="22" t="s">
        <v>6766</v>
      </c>
      <c r="H497" s="22">
        <v>5</v>
      </c>
      <c r="I497" s="25">
        <v>43361</v>
      </c>
      <c r="J497" s="24">
        <v>43423</v>
      </c>
    </row>
    <row r="498" spans="2:10" x14ac:dyDescent="0.2">
      <c r="B498" s="22">
        <v>495</v>
      </c>
      <c r="C498" s="21" t="s">
        <v>6767</v>
      </c>
      <c r="D498" s="21" t="s">
        <v>1532</v>
      </c>
      <c r="E498" s="20" t="s">
        <v>6768</v>
      </c>
      <c r="F498" s="22">
        <v>3</v>
      </c>
      <c r="G498" s="22" t="s">
        <v>1159</v>
      </c>
      <c r="H498" s="22" t="s">
        <v>1159</v>
      </c>
      <c r="I498" s="25">
        <v>43417</v>
      </c>
      <c r="J498" s="22" t="s">
        <v>558</v>
      </c>
    </row>
    <row r="499" spans="2:10" x14ac:dyDescent="0.2">
      <c r="B499" s="22">
        <v>496</v>
      </c>
      <c r="C499" s="21" t="s">
        <v>6769</v>
      </c>
      <c r="D499" s="21" t="s">
        <v>3627</v>
      </c>
      <c r="E499" s="20" t="s">
        <v>6770</v>
      </c>
      <c r="F499" s="22">
        <v>10</v>
      </c>
      <c r="G499" s="22" t="s">
        <v>6771</v>
      </c>
      <c r="H499" s="22">
        <v>2</v>
      </c>
      <c r="I499" s="25">
        <v>43368</v>
      </c>
      <c r="J499" s="24">
        <v>43437</v>
      </c>
    </row>
    <row r="500" spans="2:10" x14ac:dyDescent="0.2">
      <c r="B500" s="22">
        <v>497</v>
      </c>
      <c r="C500" s="21" t="s">
        <v>6772</v>
      </c>
      <c r="D500" s="21" t="s">
        <v>1519</v>
      </c>
      <c r="E500" s="20" t="s">
        <v>6773</v>
      </c>
      <c r="F500" s="22">
        <v>3</v>
      </c>
      <c r="G500" s="22" t="s">
        <v>6774</v>
      </c>
      <c r="H500" s="22">
        <v>3</v>
      </c>
      <c r="I500" s="25">
        <v>43291</v>
      </c>
      <c r="J500" s="24">
        <v>43328</v>
      </c>
    </row>
    <row r="501" spans="2:10" x14ac:dyDescent="0.2">
      <c r="B501" s="22">
        <v>498</v>
      </c>
      <c r="C501" s="21" t="s">
        <v>6775</v>
      </c>
      <c r="D501" s="21" t="s">
        <v>1761</v>
      </c>
      <c r="E501" s="20" t="s">
        <v>6776</v>
      </c>
      <c r="F501" s="22">
        <v>11</v>
      </c>
      <c r="G501" s="22" t="s">
        <v>1159</v>
      </c>
      <c r="H501" s="22" t="s">
        <v>1159</v>
      </c>
      <c r="I501" s="25">
        <v>43359</v>
      </c>
      <c r="J501" s="24">
        <v>43384</v>
      </c>
    </row>
    <row r="502" spans="2:10" x14ac:dyDescent="0.2">
      <c r="B502" s="22">
        <v>499</v>
      </c>
      <c r="C502" s="21" t="s">
        <v>6777</v>
      </c>
      <c r="D502" s="21" t="s">
        <v>1942</v>
      </c>
      <c r="E502" s="20" t="s">
        <v>6778</v>
      </c>
      <c r="F502" s="22">
        <v>1</v>
      </c>
      <c r="G502" s="22" t="s">
        <v>6779</v>
      </c>
      <c r="H502" s="22">
        <v>1</v>
      </c>
      <c r="I502" s="25">
        <v>43338</v>
      </c>
      <c r="J502" s="24">
        <v>43395</v>
      </c>
    </row>
    <row r="503" spans="2:10" x14ac:dyDescent="0.2">
      <c r="B503" s="22">
        <v>500</v>
      </c>
      <c r="C503" s="21" t="s">
        <v>6780</v>
      </c>
      <c r="D503" s="21" t="s">
        <v>1942</v>
      </c>
      <c r="E503" s="20" t="s">
        <v>6781</v>
      </c>
      <c r="F503" s="22">
        <v>1</v>
      </c>
      <c r="G503" s="22" t="s">
        <v>1159</v>
      </c>
      <c r="H503" s="22" t="s">
        <v>1159</v>
      </c>
      <c r="I503" s="25">
        <v>43263</v>
      </c>
      <c r="J503" s="22" t="s">
        <v>558</v>
      </c>
    </row>
    <row r="504" spans="2:10" x14ac:dyDescent="0.2">
      <c r="B504" s="22">
        <v>501</v>
      </c>
      <c r="C504" s="21" t="s">
        <v>6782</v>
      </c>
      <c r="D504" s="21" t="s">
        <v>1804</v>
      </c>
      <c r="E504" s="20" t="s">
        <v>6783</v>
      </c>
      <c r="F504" s="22">
        <v>7</v>
      </c>
      <c r="G504" s="22" t="s">
        <v>6784</v>
      </c>
      <c r="H504" s="22">
        <v>2</v>
      </c>
      <c r="I504" s="25">
        <v>43242</v>
      </c>
      <c r="J504" s="24">
        <v>43311</v>
      </c>
    </row>
    <row r="505" spans="2:10" x14ac:dyDescent="0.2">
      <c r="B505" s="22">
        <v>502</v>
      </c>
      <c r="C505" s="21" t="s">
        <v>6785</v>
      </c>
      <c r="D505" s="21" t="s">
        <v>3627</v>
      </c>
      <c r="E505" s="20" t="s">
        <v>6786</v>
      </c>
      <c r="F505" s="22">
        <v>11</v>
      </c>
      <c r="G505" s="22" t="s">
        <v>6787</v>
      </c>
      <c r="H505" s="22">
        <v>10</v>
      </c>
      <c r="I505" s="25">
        <v>43123</v>
      </c>
      <c r="J505" s="22" t="s">
        <v>558</v>
      </c>
    </row>
    <row r="506" spans="2:10" x14ac:dyDescent="0.2">
      <c r="B506" s="22">
        <v>503</v>
      </c>
      <c r="C506" s="21" t="s">
        <v>6788</v>
      </c>
      <c r="D506" s="21" t="s">
        <v>1930</v>
      </c>
      <c r="E506" s="20" t="s">
        <v>6789</v>
      </c>
      <c r="F506" s="22">
        <v>1</v>
      </c>
      <c r="G506" s="22" t="s">
        <v>6790</v>
      </c>
      <c r="H506" s="22">
        <v>1</v>
      </c>
      <c r="I506" s="25">
        <v>43361</v>
      </c>
      <c r="J506" s="24">
        <v>43437</v>
      </c>
    </row>
    <row r="507" spans="2:10" x14ac:dyDescent="0.2">
      <c r="B507" s="22">
        <v>504</v>
      </c>
      <c r="C507" s="21" t="s">
        <v>6791</v>
      </c>
      <c r="D507" s="21" t="s">
        <v>3448</v>
      </c>
      <c r="E507" s="20" t="s">
        <v>6792</v>
      </c>
      <c r="F507" s="22">
        <v>11</v>
      </c>
      <c r="G507" s="22" t="s">
        <v>6793</v>
      </c>
      <c r="H507" s="22">
        <v>11</v>
      </c>
      <c r="I507" s="25">
        <v>43277</v>
      </c>
      <c r="J507" s="24">
        <v>43283</v>
      </c>
    </row>
    <row r="508" spans="2:10" x14ac:dyDescent="0.2">
      <c r="B508" s="22">
        <v>505</v>
      </c>
      <c r="C508" s="21" t="s">
        <v>6794</v>
      </c>
      <c r="D508" s="21" t="s">
        <v>1039</v>
      </c>
      <c r="E508" s="20" t="s">
        <v>6795</v>
      </c>
      <c r="F508" s="22">
        <v>16</v>
      </c>
      <c r="G508" s="22" t="s">
        <v>6796</v>
      </c>
      <c r="H508" s="22">
        <v>16</v>
      </c>
      <c r="I508" s="25">
        <v>43200</v>
      </c>
      <c r="J508" s="24">
        <v>43234</v>
      </c>
    </row>
    <row r="509" spans="2:10" x14ac:dyDescent="0.2">
      <c r="B509" s="22">
        <v>506</v>
      </c>
      <c r="C509" s="21" t="s">
        <v>6797</v>
      </c>
      <c r="D509" s="21" t="s">
        <v>1568</v>
      </c>
      <c r="E509" s="20" t="s">
        <v>4783</v>
      </c>
      <c r="F509" s="22">
        <v>32</v>
      </c>
      <c r="G509" s="22" t="s">
        <v>1159</v>
      </c>
      <c r="H509" s="22" t="s">
        <v>1159</v>
      </c>
      <c r="I509" s="25">
        <v>43305</v>
      </c>
      <c r="J509" s="24">
        <v>43366</v>
      </c>
    </row>
    <row r="510" spans="2:10" x14ac:dyDescent="0.2">
      <c r="B510" s="22">
        <v>507</v>
      </c>
      <c r="C510" s="21" t="s">
        <v>6798</v>
      </c>
      <c r="D510" s="21" t="s">
        <v>1930</v>
      </c>
      <c r="E510" s="20" t="s">
        <v>6799</v>
      </c>
      <c r="F510" s="22">
        <v>5</v>
      </c>
      <c r="G510" s="22" t="s">
        <v>6800</v>
      </c>
      <c r="H510" s="22">
        <v>2</v>
      </c>
      <c r="I510" s="25">
        <v>43179</v>
      </c>
      <c r="J510" s="24">
        <v>43230</v>
      </c>
    </row>
    <row r="511" spans="2:10" x14ac:dyDescent="0.2">
      <c r="B511" s="22">
        <v>508</v>
      </c>
      <c r="C511" s="21" t="s">
        <v>6801</v>
      </c>
      <c r="D511" s="21" t="s">
        <v>1338</v>
      </c>
      <c r="E511" s="20" t="s">
        <v>6802</v>
      </c>
      <c r="F511" s="22">
        <v>2</v>
      </c>
      <c r="G511" s="22" t="s">
        <v>1159</v>
      </c>
      <c r="H511" s="22" t="s">
        <v>1159</v>
      </c>
      <c r="I511" s="25">
        <v>43270</v>
      </c>
      <c r="J511" s="24">
        <v>43332</v>
      </c>
    </row>
    <row r="512" spans="2:10" x14ac:dyDescent="0.2">
      <c r="B512" s="22">
        <v>509</v>
      </c>
      <c r="C512" s="21" t="s">
        <v>6803</v>
      </c>
      <c r="D512" s="21" t="s">
        <v>1640</v>
      </c>
      <c r="E512" s="20" t="s">
        <v>6804</v>
      </c>
      <c r="F512" s="22">
        <v>2</v>
      </c>
      <c r="G512" s="22" t="s">
        <v>6805</v>
      </c>
      <c r="H512" s="22">
        <v>1</v>
      </c>
      <c r="I512" s="25">
        <v>43296</v>
      </c>
      <c r="J512" s="24">
        <v>43318</v>
      </c>
    </row>
    <row r="513" spans="2:10" x14ac:dyDescent="0.2">
      <c r="B513" s="22">
        <v>510</v>
      </c>
      <c r="C513" s="21" t="s">
        <v>6806</v>
      </c>
      <c r="D513" s="21" t="s">
        <v>1332</v>
      </c>
      <c r="E513" s="20" t="s">
        <v>6807</v>
      </c>
      <c r="F513" s="22">
        <v>1</v>
      </c>
      <c r="G513" s="22" t="s">
        <v>4506</v>
      </c>
      <c r="H513" s="22">
        <v>1</v>
      </c>
      <c r="I513" s="25">
        <v>43200</v>
      </c>
      <c r="J513" s="24">
        <v>43216</v>
      </c>
    </row>
    <row r="514" spans="2:10" x14ac:dyDescent="0.2">
      <c r="B514" s="22">
        <v>511</v>
      </c>
      <c r="C514" s="21" t="s">
        <v>6808</v>
      </c>
      <c r="D514" s="21" t="s">
        <v>1942</v>
      </c>
      <c r="E514" s="20" t="s">
        <v>6809</v>
      </c>
      <c r="F514" s="22">
        <v>3</v>
      </c>
      <c r="G514" s="22" t="s">
        <v>6810</v>
      </c>
      <c r="H514" s="22">
        <v>1</v>
      </c>
      <c r="I514" s="25">
        <v>43319</v>
      </c>
      <c r="J514" s="24">
        <v>43451</v>
      </c>
    </row>
    <row r="515" spans="2:10" x14ac:dyDescent="0.2">
      <c r="B515" s="22">
        <v>512</v>
      </c>
      <c r="C515" s="21" t="s">
        <v>6811</v>
      </c>
      <c r="D515" s="21" t="s">
        <v>1294</v>
      </c>
      <c r="E515" s="20" t="s">
        <v>6812</v>
      </c>
      <c r="F515" s="22">
        <v>6</v>
      </c>
      <c r="G515" s="22" t="s">
        <v>6813</v>
      </c>
      <c r="H515" s="22">
        <v>1</v>
      </c>
      <c r="I515" s="25">
        <v>43331</v>
      </c>
      <c r="J515" s="24">
        <v>43367</v>
      </c>
    </row>
    <row r="516" spans="2:10" x14ac:dyDescent="0.2">
      <c r="B516" s="22">
        <v>513</v>
      </c>
      <c r="C516" s="21" t="s">
        <v>6814</v>
      </c>
      <c r="D516" s="21" t="s">
        <v>6815</v>
      </c>
      <c r="E516" s="20" t="s">
        <v>6816</v>
      </c>
      <c r="F516" s="22">
        <v>4</v>
      </c>
      <c r="G516" s="22" t="s">
        <v>1159</v>
      </c>
      <c r="H516" s="22" t="s">
        <v>1159</v>
      </c>
      <c r="I516" s="25">
        <v>43309</v>
      </c>
      <c r="J516" s="24">
        <v>43437</v>
      </c>
    </row>
    <row r="517" spans="2:10" x14ac:dyDescent="0.2">
      <c r="B517" s="22">
        <v>514</v>
      </c>
      <c r="C517" s="21" t="s">
        <v>6817</v>
      </c>
      <c r="D517" s="21" t="s">
        <v>1294</v>
      </c>
      <c r="E517" s="20" t="s">
        <v>6818</v>
      </c>
      <c r="F517" s="22">
        <v>2</v>
      </c>
      <c r="G517" s="22" t="s">
        <v>6819</v>
      </c>
      <c r="H517" s="22">
        <v>2</v>
      </c>
      <c r="I517" s="25">
        <v>43424</v>
      </c>
      <c r="J517" s="24">
        <v>43426</v>
      </c>
    </row>
    <row r="518" spans="2:10" x14ac:dyDescent="0.2">
      <c r="B518" s="22">
        <v>515</v>
      </c>
      <c r="C518" s="21" t="s">
        <v>6820</v>
      </c>
      <c r="D518" s="21" t="s">
        <v>1142</v>
      </c>
      <c r="E518" s="20" t="s">
        <v>6821</v>
      </c>
      <c r="F518" s="22">
        <v>11</v>
      </c>
      <c r="G518" s="22" t="s">
        <v>6822</v>
      </c>
      <c r="H518" s="22">
        <v>10</v>
      </c>
      <c r="I518" s="25">
        <v>43235</v>
      </c>
      <c r="J518" s="24">
        <v>43255</v>
      </c>
    </row>
    <row r="519" spans="2:10" x14ac:dyDescent="0.2">
      <c r="B519" s="22">
        <v>516</v>
      </c>
      <c r="C519" s="21" t="s">
        <v>6823</v>
      </c>
      <c r="D519" s="21" t="s">
        <v>1039</v>
      </c>
      <c r="E519" s="20" t="s">
        <v>6824</v>
      </c>
      <c r="F519" s="22">
        <v>5</v>
      </c>
      <c r="G519" s="22" t="s">
        <v>6825</v>
      </c>
      <c r="H519" s="22">
        <v>4</v>
      </c>
      <c r="I519" s="25">
        <v>43452</v>
      </c>
      <c r="J519" s="24">
        <v>43121</v>
      </c>
    </row>
    <row r="520" spans="2:10" x14ac:dyDescent="0.2">
      <c r="B520" s="22">
        <v>517</v>
      </c>
      <c r="C520" s="21" t="s">
        <v>6826</v>
      </c>
      <c r="D520" s="21" t="s">
        <v>1422</v>
      </c>
      <c r="E520" s="20" t="s">
        <v>6827</v>
      </c>
      <c r="F520" s="22">
        <v>3</v>
      </c>
      <c r="G520" s="22" t="s">
        <v>1159</v>
      </c>
      <c r="H520" s="22" t="s">
        <v>1159</v>
      </c>
      <c r="I520" s="25">
        <v>43414</v>
      </c>
      <c r="J520" s="22" t="s">
        <v>558</v>
      </c>
    </row>
    <row r="521" spans="2:10" x14ac:dyDescent="0.2">
      <c r="B521" s="22">
        <v>518</v>
      </c>
      <c r="C521" s="21" t="s">
        <v>6828</v>
      </c>
      <c r="D521" s="21" t="s">
        <v>6829</v>
      </c>
      <c r="E521" s="20" t="s">
        <v>6830</v>
      </c>
      <c r="F521" s="22">
        <v>4</v>
      </c>
      <c r="G521" s="22" t="s">
        <v>6831</v>
      </c>
      <c r="H521" s="22">
        <v>1</v>
      </c>
      <c r="I521" s="25">
        <v>43137</v>
      </c>
      <c r="J521" s="24">
        <v>43185</v>
      </c>
    </row>
    <row r="522" spans="2:10" x14ac:dyDescent="0.2">
      <c r="B522" s="22">
        <v>519</v>
      </c>
      <c r="C522" s="21" t="s">
        <v>6832</v>
      </c>
      <c r="D522" s="21" t="s">
        <v>1568</v>
      </c>
      <c r="E522" s="20" t="s">
        <v>4843</v>
      </c>
      <c r="F522" s="22">
        <v>15</v>
      </c>
      <c r="G522" s="22" t="s">
        <v>6833</v>
      </c>
      <c r="H522" s="22">
        <v>15</v>
      </c>
      <c r="I522" s="25">
        <v>43137</v>
      </c>
      <c r="J522" s="24">
        <v>43143</v>
      </c>
    </row>
    <row r="523" spans="2:10" x14ac:dyDescent="0.2">
      <c r="B523" s="22">
        <v>520</v>
      </c>
      <c r="C523" s="21" t="s">
        <v>6834</v>
      </c>
      <c r="D523" s="21" t="s">
        <v>1804</v>
      </c>
      <c r="E523" s="20" t="s">
        <v>6835</v>
      </c>
      <c r="F523" s="22">
        <v>4</v>
      </c>
      <c r="G523" s="22" t="s">
        <v>6836</v>
      </c>
      <c r="H523" s="22">
        <v>1</v>
      </c>
      <c r="I523" s="25">
        <v>43158</v>
      </c>
      <c r="J523" s="24">
        <v>43234</v>
      </c>
    </row>
    <row r="524" spans="2:10" x14ac:dyDescent="0.2">
      <c r="B524" s="22">
        <v>521</v>
      </c>
      <c r="C524" s="21" t="s">
        <v>6837</v>
      </c>
      <c r="D524" s="21" t="s">
        <v>1612</v>
      </c>
      <c r="E524" s="20" t="s">
        <v>6838</v>
      </c>
      <c r="F524" s="22">
        <v>14</v>
      </c>
      <c r="G524" s="22" t="s">
        <v>1159</v>
      </c>
      <c r="H524" s="22">
        <v>1</v>
      </c>
      <c r="I524" s="25">
        <v>43396</v>
      </c>
      <c r="J524" s="24">
        <v>43430</v>
      </c>
    </row>
    <row r="525" spans="2:10" x14ac:dyDescent="0.2">
      <c r="B525" s="22">
        <v>522</v>
      </c>
      <c r="C525" s="21" t="s">
        <v>6839</v>
      </c>
      <c r="D525" s="21" t="s">
        <v>1942</v>
      </c>
      <c r="E525" s="20" t="s">
        <v>6840</v>
      </c>
      <c r="F525" s="22">
        <v>1</v>
      </c>
      <c r="G525" s="22" t="s">
        <v>6841</v>
      </c>
      <c r="H525" s="22">
        <v>1</v>
      </c>
      <c r="I525" s="25">
        <v>43214</v>
      </c>
      <c r="J525" s="24">
        <v>43346</v>
      </c>
    </row>
    <row r="526" spans="2:10" x14ac:dyDescent="0.2">
      <c r="B526" s="22">
        <v>523</v>
      </c>
      <c r="C526" s="21" t="s">
        <v>6842</v>
      </c>
      <c r="D526" s="21" t="s">
        <v>1294</v>
      </c>
      <c r="E526" s="20" t="s">
        <v>6843</v>
      </c>
      <c r="F526" s="22">
        <v>4</v>
      </c>
      <c r="G526" s="22" t="s">
        <v>6844</v>
      </c>
      <c r="H526" s="22">
        <v>1</v>
      </c>
      <c r="I526" s="25">
        <v>43156</v>
      </c>
      <c r="J526" s="24">
        <v>43181</v>
      </c>
    </row>
    <row r="527" spans="2:10" x14ac:dyDescent="0.2">
      <c r="B527" s="22">
        <v>524</v>
      </c>
      <c r="C527" s="21" t="s">
        <v>6845</v>
      </c>
      <c r="D527" s="21" t="s">
        <v>6537</v>
      </c>
      <c r="E527" s="20" t="s">
        <v>6846</v>
      </c>
      <c r="F527" s="22">
        <v>8</v>
      </c>
      <c r="G527" s="22" t="s">
        <v>6847</v>
      </c>
      <c r="H527" s="22">
        <v>1</v>
      </c>
      <c r="I527" s="25">
        <v>43214</v>
      </c>
      <c r="J527" s="24">
        <v>43255</v>
      </c>
    </row>
    <row r="528" spans="2:10" x14ac:dyDescent="0.2">
      <c r="B528" s="22">
        <v>525</v>
      </c>
      <c r="C528" s="21" t="s">
        <v>6848</v>
      </c>
      <c r="D528" s="21" t="s">
        <v>1175</v>
      </c>
      <c r="E528" s="20" t="s">
        <v>6849</v>
      </c>
      <c r="F528" s="22">
        <v>1</v>
      </c>
      <c r="G528" s="22" t="s">
        <v>6850</v>
      </c>
      <c r="H528" s="22">
        <v>1</v>
      </c>
      <c r="I528" s="25">
        <v>43375</v>
      </c>
      <c r="J528" s="24">
        <v>43388</v>
      </c>
    </row>
    <row r="529" spans="2:10" x14ac:dyDescent="0.2">
      <c r="B529" s="22">
        <v>526</v>
      </c>
      <c r="C529" s="21" t="s">
        <v>6851</v>
      </c>
      <c r="D529" s="21" t="s">
        <v>2148</v>
      </c>
      <c r="E529" s="20" t="s">
        <v>6852</v>
      </c>
      <c r="F529" s="22">
        <v>4</v>
      </c>
      <c r="G529" s="22" t="s">
        <v>6853</v>
      </c>
      <c r="H529" s="22">
        <v>1</v>
      </c>
      <c r="I529" s="25">
        <v>43374</v>
      </c>
      <c r="J529" s="22" t="s">
        <v>558</v>
      </c>
    </row>
    <row r="530" spans="2:10" x14ac:dyDescent="0.2">
      <c r="B530" s="22">
        <v>527</v>
      </c>
      <c r="C530" s="21" t="s">
        <v>6854</v>
      </c>
      <c r="D530" s="21" t="s">
        <v>1532</v>
      </c>
      <c r="E530" s="20" t="s">
        <v>6855</v>
      </c>
      <c r="F530" s="22">
        <v>2</v>
      </c>
      <c r="G530" s="22" t="s">
        <v>1159</v>
      </c>
      <c r="H530" s="22" t="s">
        <v>1159</v>
      </c>
      <c r="I530" s="25">
        <v>43298</v>
      </c>
      <c r="J530" s="24">
        <v>43433</v>
      </c>
    </row>
    <row r="531" spans="2:10" x14ac:dyDescent="0.2">
      <c r="B531" s="22">
        <v>528</v>
      </c>
      <c r="C531" s="21" t="s">
        <v>6856</v>
      </c>
      <c r="D531" s="21" t="s">
        <v>6857</v>
      </c>
      <c r="E531" s="20" t="s">
        <v>6858</v>
      </c>
      <c r="F531" s="22">
        <v>28</v>
      </c>
      <c r="G531" s="22" t="s">
        <v>6859</v>
      </c>
      <c r="H531" s="22">
        <v>28</v>
      </c>
      <c r="I531" s="25">
        <v>43354</v>
      </c>
      <c r="J531" s="24">
        <v>43363</v>
      </c>
    </row>
    <row r="532" spans="2:10" x14ac:dyDescent="0.2">
      <c r="B532" s="22">
        <v>529</v>
      </c>
      <c r="C532" s="21" t="s">
        <v>6860</v>
      </c>
      <c r="D532" s="21" t="s">
        <v>6735</v>
      </c>
      <c r="E532" s="20" t="s">
        <v>6861</v>
      </c>
      <c r="F532" s="22">
        <v>17</v>
      </c>
      <c r="G532" s="22" t="s">
        <v>6862</v>
      </c>
      <c r="H532" s="22">
        <v>17</v>
      </c>
      <c r="I532" s="25">
        <v>43298</v>
      </c>
      <c r="J532" s="24">
        <v>43307</v>
      </c>
    </row>
    <row r="533" spans="2:10" x14ac:dyDescent="0.2">
      <c r="B533" s="22">
        <v>530</v>
      </c>
      <c r="C533" s="21" t="s">
        <v>6863</v>
      </c>
      <c r="D533" s="21" t="s">
        <v>1039</v>
      </c>
      <c r="E533" s="20" t="s">
        <v>6864</v>
      </c>
      <c r="F533" s="22">
        <v>4</v>
      </c>
      <c r="G533" s="22" t="s">
        <v>6865</v>
      </c>
      <c r="H533" s="22">
        <v>2</v>
      </c>
      <c r="I533" s="25">
        <v>43277</v>
      </c>
      <c r="J533" s="22" t="s">
        <v>558</v>
      </c>
    </row>
    <row r="534" spans="2:10" x14ac:dyDescent="0.2">
      <c r="B534" s="22">
        <v>531</v>
      </c>
      <c r="C534" s="21" t="s">
        <v>6866</v>
      </c>
      <c r="D534" s="21" t="s">
        <v>1332</v>
      </c>
      <c r="E534" s="20" t="s">
        <v>6867</v>
      </c>
      <c r="F534" s="22">
        <v>1</v>
      </c>
      <c r="G534" s="22" t="s">
        <v>6867</v>
      </c>
      <c r="H534" s="22">
        <v>1</v>
      </c>
      <c r="I534" s="25">
        <v>43137</v>
      </c>
      <c r="J534" s="24">
        <v>43139</v>
      </c>
    </row>
    <row r="535" spans="2:10" x14ac:dyDescent="0.2">
      <c r="B535" s="22">
        <v>532</v>
      </c>
      <c r="C535" s="21" t="s">
        <v>6868</v>
      </c>
      <c r="D535" s="21" t="s">
        <v>1797</v>
      </c>
      <c r="E535" s="20" t="s">
        <v>6869</v>
      </c>
      <c r="F535" s="22">
        <v>6</v>
      </c>
      <c r="G535" s="22" t="s">
        <v>6870</v>
      </c>
      <c r="H535" s="22">
        <v>6</v>
      </c>
      <c r="I535" s="25">
        <v>43277</v>
      </c>
      <c r="J535" s="24">
        <v>43381</v>
      </c>
    </row>
    <row r="536" spans="2:10" x14ac:dyDescent="0.2">
      <c r="B536" s="22">
        <v>533</v>
      </c>
      <c r="C536" s="21" t="s">
        <v>6871</v>
      </c>
      <c r="D536" s="21" t="s">
        <v>1797</v>
      </c>
      <c r="E536" s="20" t="s">
        <v>6872</v>
      </c>
      <c r="F536" s="22">
        <v>3</v>
      </c>
      <c r="G536" s="22" t="s">
        <v>6873</v>
      </c>
      <c r="H536" s="22">
        <v>2</v>
      </c>
      <c r="I536" s="25">
        <v>43193</v>
      </c>
      <c r="J536" s="24">
        <v>43449</v>
      </c>
    </row>
    <row r="537" spans="2:10" x14ac:dyDescent="0.2">
      <c r="B537" s="22">
        <v>534</v>
      </c>
      <c r="C537" s="21" t="s">
        <v>6874</v>
      </c>
      <c r="D537" s="21" t="s">
        <v>1459</v>
      </c>
      <c r="E537" s="20" t="s">
        <v>6875</v>
      </c>
      <c r="F537" s="22">
        <v>17</v>
      </c>
      <c r="G537" s="22" t="s">
        <v>6876</v>
      </c>
      <c r="H537" s="22">
        <v>17</v>
      </c>
      <c r="I537" s="25">
        <v>43382</v>
      </c>
      <c r="J537" s="24">
        <v>43388</v>
      </c>
    </row>
    <row r="538" spans="2:10" x14ac:dyDescent="0.2">
      <c r="B538" s="22">
        <v>535</v>
      </c>
      <c r="C538" s="21" t="s">
        <v>6877</v>
      </c>
      <c r="D538" s="21" t="s">
        <v>5884</v>
      </c>
      <c r="E538" s="20" t="s">
        <v>6878</v>
      </c>
      <c r="F538" s="22">
        <v>15</v>
      </c>
      <c r="G538" s="22" t="s">
        <v>6878</v>
      </c>
      <c r="H538" s="22">
        <v>15</v>
      </c>
      <c r="I538" s="25">
        <v>43291</v>
      </c>
      <c r="J538" s="24">
        <v>43293</v>
      </c>
    </row>
    <row r="539" spans="2:10" x14ac:dyDescent="0.2">
      <c r="B539" s="22">
        <v>536</v>
      </c>
      <c r="C539" s="21" t="s">
        <v>6879</v>
      </c>
      <c r="D539" s="21" t="s">
        <v>1532</v>
      </c>
      <c r="E539" s="20" t="s">
        <v>6880</v>
      </c>
      <c r="F539" s="22">
        <v>1</v>
      </c>
      <c r="G539" s="22" t="s">
        <v>1159</v>
      </c>
      <c r="H539" s="22" t="s">
        <v>1159</v>
      </c>
      <c r="I539" s="25">
        <v>43284</v>
      </c>
      <c r="J539" s="24">
        <v>43290</v>
      </c>
    </row>
    <row r="540" spans="2:10" x14ac:dyDescent="0.2">
      <c r="B540" s="22">
        <v>537</v>
      </c>
      <c r="C540" s="21" t="s">
        <v>6881</v>
      </c>
      <c r="D540" s="21" t="s">
        <v>1880</v>
      </c>
      <c r="E540" s="20" t="s">
        <v>6882</v>
      </c>
      <c r="F540" s="22">
        <v>2</v>
      </c>
      <c r="G540" s="22" t="s">
        <v>6883</v>
      </c>
      <c r="H540" s="22">
        <v>1</v>
      </c>
      <c r="I540" s="25">
        <v>43158</v>
      </c>
      <c r="J540" s="24">
        <v>43227</v>
      </c>
    </row>
    <row r="541" spans="2:10" x14ac:dyDescent="0.2">
      <c r="B541" s="22">
        <v>538</v>
      </c>
      <c r="C541" s="21" t="s">
        <v>6884</v>
      </c>
      <c r="D541" s="21" t="s">
        <v>6433</v>
      </c>
      <c r="E541" s="20" t="s">
        <v>6885</v>
      </c>
      <c r="F541" s="22">
        <v>13</v>
      </c>
      <c r="G541" s="22" t="s">
        <v>6886</v>
      </c>
      <c r="H541" s="22">
        <v>13</v>
      </c>
      <c r="I541" s="25">
        <v>43452</v>
      </c>
      <c r="J541" s="24">
        <v>43458</v>
      </c>
    </row>
    <row r="542" spans="2:10" x14ac:dyDescent="0.2">
      <c r="B542" s="22">
        <v>539</v>
      </c>
      <c r="C542" s="21" t="s">
        <v>6887</v>
      </c>
      <c r="D542" s="21" t="s">
        <v>820</v>
      </c>
      <c r="E542" s="20" t="s">
        <v>6888</v>
      </c>
      <c r="F542" s="22">
        <v>50</v>
      </c>
      <c r="G542" s="22" t="s">
        <v>6889</v>
      </c>
      <c r="H542" s="22">
        <v>50</v>
      </c>
      <c r="I542" s="25">
        <v>43172</v>
      </c>
      <c r="J542" s="24">
        <v>43178</v>
      </c>
    </row>
    <row r="543" spans="2:10" x14ac:dyDescent="0.2">
      <c r="B543" s="22">
        <v>540</v>
      </c>
      <c r="C543" s="21" t="s">
        <v>6890</v>
      </c>
      <c r="D543" s="21" t="s">
        <v>1248</v>
      </c>
      <c r="E543" s="20" t="s">
        <v>6891</v>
      </c>
      <c r="F543" s="22">
        <v>1</v>
      </c>
      <c r="G543" s="22" t="s">
        <v>6892</v>
      </c>
      <c r="H543" s="22">
        <v>1</v>
      </c>
      <c r="I543" s="25">
        <v>43376</v>
      </c>
      <c r="J543" s="24">
        <v>43381</v>
      </c>
    </row>
    <row r="544" spans="2:10" x14ac:dyDescent="0.2">
      <c r="B544" s="22">
        <v>541</v>
      </c>
      <c r="C544" s="21" t="s">
        <v>6893</v>
      </c>
      <c r="D544" s="21" t="s">
        <v>3627</v>
      </c>
      <c r="E544" s="20" t="s">
        <v>6894</v>
      </c>
      <c r="F544" s="22">
        <v>12</v>
      </c>
      <c r="G544" s="22" t="s">
        <v>6895</v>
      </c>
      <c r="H544" s="22">
        <v>11</v>
      </c>
      <c r="I544" s="25">
        <v>43438</v>
      </c>
      <c r="J544" s="22" t="s">
        <v>558</v>
      </c>
    </row>
    <row r="545" spans="2:10" x14ac:dyDescent="0.2">
      <c r="B545" s="22">
        <v>542</v>
      </c>
      <c r="C545" s="21" t="s">
        <v>6896</v>
      </c>
      <c r="D545" s="21" t="s">
        <v>6897</v>
      </c>
      <c r="E545" s="20" t="s">
        <v>6898</v>
      </c>
      <c r="F545" s="22">
        <v>2</v>
      </c>
      <c r="G545" s="22" t="s">
        <v>6899</v>
      </c>
      <c r="H545" s="22">
        <v>1</v>
      </c>
      <c r="I545" s="25">
        <v>43214</v>
      </c>
      <c r="J545" s="24">
        <v>43227</v>
      </c>
    </row>
    <row r="546" spans="2:10" x14ac:dyDescent="0.2">
      <c r="B546" s="22">
        <v>543</v>
      </c>
      <c r="C546" s="21" t="s">
        <v>6900</v>
      </c>
      <c r="D546" s="21" t="s">
        <v>1422</v>
      </c>
      <c r="E546" s="20" t="s">
        <v>6901</v>
      </c>
      <c r="F546" s="22">
        <v>1</v>
      </c>
      <c r="G546" s="22" t="s">
        <v>1159</v>
      </c>
      <c r="H546" s="22" t="s">
        <v>1159</v>
      </c>
      <c r="I546" s="25">
        <v>43345</v>
      </c>
      <c r="J546" s="24">
        <v>43437</v>
      </c>
    </row>
    <row r="547" spans="2:10" x14ac:dyDescent="0.2">
      <c r="B547" s="22">
        <v>544</v>
      </c>
      <c r="C547" s="21" t="s">
        <v>6902</v>
      </c>
      <c r="D547" s="21" t="s">
        <v>1294</v>
      </c>
      <c r="E547" s="20" t="s">
        <v>6903</v>
      </c>
      <c r="F547" s="22">
        <v>23</v>
      </c>
      <c r="G547" s="22" t="s">
        <v>1159</v>
      </c>
      <c r="H547" s="22">
        <v>2</v>
      </c>
      <c r="I547" s="25">
        <v>43242</v>
      </c>
      <c r="J547" s="24">
        <v>43258</v>
      </c>
    </row>
    <row r="548" spans="2:10" x14ac:dyDescent="0.2">
      <c r="B548" s="22">
        <v>545</v>
      </c>
      <c r="C548" s="21" t="s">
        <v>6904</v>
      </c>
      <c r="D548" s="21" t="s">
        <v>1422</v>
      </c>
      <c r="E548" s="20" t="s">
        <v>6905</v>
      </c>
      <c r="F548" s="22">
        <v>13</v>
      </c>
      <c r="G548" s="22" t="s">
        <v>1159</v>
      </c>
      <c r="H548" s="22" t="s">
        <v>1159</v>
      </c>
      <c r="I548" s="25">
        <v>43431</v>
      </c>
      <c r="J548" s="22" t="s">
        <v>558</v>
      </c>
    </row>
    <row r="549" spans="2:10" x14ac:dyDescent="0.2">
      <c r="B549" s="22">
        <v>546</v>
      </c>
      <c r="C549" s="21" t="s">
        <v>6906</v>
      </c>
      <c r="D549" s="21" t="s">
        <v>1797</v>
      </c>
      <c r="E549" s="20" t="s">
        <v>6907</v>
      </c>
      <c r="F549" s="22">
        <v>4</v>
      </c>
      <c r="G549" s="22" t="s">
        <v>6908</v>
      </c>
      <c r="H549" s="22">
        <v>3</v>
      </c>
      <c r="I549" s="25">
        <v>43340</v>
      </c>
      <c r="J549" s="24">
        <v>43449</v>
      </c>
    </row>
    <row r="550" spans="2:10" x14ac:dyDescent="0.2">
      <c r="B550" s="22">
        <v>547</v>
      </c>
      <c r="C550" s="21" t="s">
        <v>6909</v>
      </c>
      <c r="D550" s="21" t="s">
        <v>1572</v>
      </c>
      <c r="E550" s="20" t="s">
        <v>6910</v>
      </c>
      <c r="F550" s="22">
        <v>1</v>
      </c>
      <c r="G550" s="22" t="s">
        <v>6911</v>
      </c>
      <c r="H550" s="22">
        <v>1</v>
      </c>
      <c r="I550" s="25">
        <v>43207</v>
      </c>
      <c r="J550" s="24">
        <v>43290</v>
      </c>
    </row>
    <row r="551" spans="2:10" x14ac:dyDescent="0.2">
      <c r="B551" s="22">
        <v>548</v>
      </c>
      <c r="C551" s="21" t="s">
        <v>6912</v>
      </c>
      <c r="D551" s="21" t="s">
        <v>1338</v>
      </c>
      <c r="E551" s="20" t="s">
        <v>6913</v>
      </c>
      <c r="F551" s="22">
        <v>1</v>
      </c>
      <c r="G551" s="22" t="s">
        <v>6914</v>
      </c>
      <c r="H551" s="22">
        <v>1</v>
      </c>
      <c r="I551" s="25">
        <v>43347</v>
      </c>
      <c r="J551" s="24">
        <v>43402</v>
      </c>
    </row>
    <row r="552" spans="2:10" x14ac:dyDescent="0.2">
      <c r="B552" s="22">
        <v>549</v>
      </c>
      <c r="C552" s="21" t="s">
        <v>6915</v>
      </c>
      <c r="D552" s="21" t="s">
        <v>6916</v>
      </c>
      <c r="E552" s="20" t="s">
        <v>6917</v>
      </c>
      <c r="F552" s="22">
        <v>10</v>
      </c>
      <c r="G552" s="22" t="s">
        <v>1159</v>
      </c>
      <c r="H552" s="22" t="s">
        <v>1159</v>
      </c>
      <c r="I552" s="25">
        <v>43193</v>
      </c>
      <c r="J552" s="24">
        <v>43227</v>
      </c>
    </row>
    <row r="553" spans="2:10" x14ac:dyDescent="0.2">
      <c r="B553" s="22">
        <v>550</v>
      </c>
      <c r="C553" s="21" t="s">
        <v>6918</v>
      </c>
      <c r="D553" s="21" t="s">
        <v>2197</v>
      </c>
      <c r="E553" s="20" t="s">
        <v>6919</v>
      </c>
      <c r="F553" s="22">
        <v>11</v>
      </c>
      <c r="G553" s="22" t="s">
        <v>6920</v>
      </c>
      <c r="H553" s="22">
        <v>11</v>
      </c>
      <c r="I553" s="25">
        <v>43179</v>
      </c>
      <c r="J553" s="24">
        <v>43195</v>
      </c>
    </row>
    <row r="554" spans="2:10" x14ac:dyDescent="0.2">
      <c r="B554" s="22">
        <v>551</v>
      </c>
      <c r="C554" s="21" t="s">
        <v>6921</v>
      </c>
      <c r="D554" s="21" t="s">
        <v>5974</v>
      </c>
      <c r="E554" s="20" t="s">
        <v>6922</v>
      </c>
      <c r="F554" s="22">
        <v>3</v>
      </c>
      <c r="G554" s="22" t="s">
        <v>6923</v>
      </c>
      <c r="H554" s="22">
        <v>3</v>
      </c>
      <c r="I554" s="25">
        <v>43298</v>
      </c>
      <c r="J554" s="24">
        <v>43367</v>
      </c>
    </row>
    <row r="555" spans="2:10" x14ac:dyDescent="0.2">
      <c r="B555" s="22">
        <v>552</v>
      </c>
      <c r="C555" s="21" t="s">
        <v>6924</v>
      </c>
      <c r="D555" s="21" t="s">
        <v>6925</v>
      </c>
      <c r="E555" s="20" t="s">
        <v>6926</v>
      </c>
      <c r="F555" s="22">
        <v>10</v>
      </c>
      <c r="G555" s="22" t="s">
        <v>6927</v>
      </c>
      <c r="H555" s="22">
        <v>1</v>
      </c>
      <c r="I555" s="25">
        <v>43415</v>
      </c>
      <c r="J555" s="24">
        <v>43426</v>
      </c>
    </row>
    <row r="556" spans="2:10" x14ac:dyDescent="0.2">
      <c r="B556" s="22">
        <v>553</v>
      </c>
      <c r="C556" s="21" t="s">
        <v>6928</v>
      </c>
      <c r="D556" s="21" t="s">
        <v>1142</v>
      </c>
      <c r="E556" s="20" t="s">
        <v>6929</v>
      </c>
      <c r="F556" s="22">
        <v>11</v>
      </c>
      <c r="G556" s="22" t="s">
        <v>6930</v>
      </c>
      <c r="H556" s="22">
        <v>11</v>
      </c>
      <c r="I556" s="25">
        <v>43165</v>
      </c>
      <c r="J556" s="24">
        <v>43178</v>
      </c>
    </row>
    <row r="557" spans="2:10" x14ac:dyDescent="0.2">
      <c r="B557" s="22">
        <v>554</v>
      </c>
      <c r="C557" s="21" t="s">
        <v>6931</v>
      </c>
      <c r="D557" s="21" t="s">
        <v>1797</v>
      </c>
      <c r="E557" s="20" t="s">
        <v>6932</v>
      </c>
      <c r="F557" s="22">
        <v>5</v>
      </c>
      <c r="G557" s="22" t="s">
        <v>6933</v>
      </c>
      <c r="H557" s="22">
        <v>2</v>
      </c>
      <c r="I557" s="25">
        <v>43277</v>
      </c>
      <c r="J557" s="24">
        <v>43449</v>
      </c>
    </row>
    <row r="558" spans="2:10" x14ac:dyDescent="0.2">
      <c r="B558" s="22">
        <v>555</v>
      </c>
      <c r="C558" s="21" t="s">
        <v>6934</v>
      </c>
      <c r="D558" s="21" t="s">
        <v>1294</v>
      </c>
      <c r="E558" s="20" t="s">
        <v>6935</v>
      </c>
      <c r="F558" s="22">
        <v>8</v>
      </c>
      <c r="G558" s="22" t="s">
        <v>6936</v>
      </c>
      <c r="H558" s="22">
        <v>1</v>
      </c>
      <c r="I558" s="25">
        <v>43410</v>
      </c>
      <c r="J558" s="24">
        <v>43426</v>
      </c>
    </row>
    <row r="559" spans="2:10" x14ac:dyDescent="0.2">
      <c r="B559" s="22">
        <v>556</v>
      </c>
      <c r="C559" s="21" t="s">
        <v>6937</v>
      </c>
      <c r="D559" s="21" t="s">
        <v>1294</v>
      </c>
      <c r="E559" s="20" t="s">
        <v>6938</v>
      </c>
      <c r="F559" s="22">
        <v>1</v>
      </c>
      <c r="G559" s="22" t="s">
        <v>6939</v>
      </c>
      <c r="H559" s="22">
        <v>1</v>
      </c>
      <c r="I559" s="25">
        <v>43179</v>
      </c>
      <c r="J559" s="22" t="s">
        <v>558</v>
      </c>
    </row>
    <row r="560" spans="2:10" x14ac:dyDescent="0.2">
      <c r="B560" s="22">
        <v>557</v>
      </c>
      <c r="C560" s="21" t="s">
        <v>6940</v>
      </c>
      <c r="D560" s="21" t="s">
        <v>1572</v>
      </c>
      <c r="E560" s="20" t="s">
        <v>6941</v>
      </c>
      <c r="F560" s="22">
        <v>3</v>
      </c>
      <c r="G560" s="22" t="s">
        <v>6942</v>
      </c>
      <c r="H560" s="22">
        <v>3</v>
      </c>
      <c r="I560" s="25">
        <v>43177</v>
      </c>
      <c r="J560" s="24">
        <v>43255</v>
      </c>
    </row>
    <row r="561" spans="2:10" x14ac:dyDescent="0.2">
      <c r="B561" s="22">
        <v>558</v>
      </c>
      <c r="C561" s="21" t="s">
        <v>6943</v>
      </c>
      <c r="D561" s="21" t="s">
        <v>1415</v>
      </c>
      <c r="E561" s="20" t="s">
        <v>6944</v>
      </c>
      <c r="F561" s="22">
        <v>18</v>
      </c>
      <c r="G561" s="22" t="s">
        <v>6945</v>
      </c>
      <c r="H561" s="22">
        <v>18</v>
      </c>
      <c r="I561" s="25">
        <v>43270</v>
      </c>
      <c r="J561" s="24">
        <v>43279</v>
      </c>
    </row>
    <row r="562" spans="2:10" x14ac:dyDescent="0.2">
      <c r="B562" s="22">
        <v>559</v>
      </c>
      <c r="C562" s="21" t="s">
        <v>6946</v>
      </c>
      <c r="D562" s="21" t="s">
        <v>1594</v>
      </c>
      <c r="E562" s="20" t="s">
        <v>6947</v>
      </c>
      <c r="F562" s="22">
        <v>1</v>
      </c>
      <c r="G562" s="22" t="s">
        <v>1159</v>
      </c>
      <c r="H562" s="22" t="s">
        <v>1159</v>
      </c>
      <c r="I562" s="25">
        <v>43382</v>
      </c>
      <c r="J562" s="24">
        <v>43405</v>
      </c>
    </row>
    <row r="563" spans="2:10" x14ac:dyDescent="0.2">
      <c r="B563" s="22">
        <v>560</v>
      </c>
      <c r="C563" s="21" t="s">
        <v>6948</v>
      </c>
      <c r="D563" s="21" t="s">
        <v>966</v>
      </c>
      <c r="E563" s="20" t="s">
        <v>6949</v>
      </c>
      <c r="F563" s="22">
        <v>11</v>
      </c>
      <c r="G563" s="22" t="s">
        <v>6950</v>
      </c>
      <c r="H563" s="22">
        <v>11</v>
      </c>
      <c r="I563" s="25">
        <v>43291</v>
      </c>
      <c r="J563" s="24">
        <v>43297</v>
      </c>
    </row>
    <row r="564" spans="2:10" x14ac:dyDescent="0.2">
      <c r="B564" s="22">
        <v>561</v>
      </c>
      <c r="C564" s="21" t="s">
        <v>6951</v>
      </c>
      <c r="D564" s="21" t="s">
        <v>6952</v>
      </c>
      <c r="E564" s="20" t="s">
        <v>6953</v>
      </c>
      <c r="F564" s="22">
        <v>26</v>
      </c>
      <c r="G564" s="22" t="s">
        <v>1159</v>
      </c>
      <c r="H564" s="22" t="s">
        <v>1159</v>
      </c>
      <c r="I564" s="25">
        <v>43403</v>
      </c>
      <c r="J564" s="24">
        <v>43409</v>
      </c>
    </row>
    <row r="565" spans="2:10" x14ac:dyDescent="0.2">
      <c r="B565" s="22">
        <v>562</v>
      </c>
      <c r="C565" s="21" t="s">
        <v>6954</v>
      </c>
      <c r="D565" s="21" t="s">
        <v>1532</v>
      </c>
      <c r="E565" s="20" t="s">
        <v>6955</v>
      </c>
      <c r="F565" s="22">
        <v>3</v>
      </c>
      <c r="G565" s="22" t="s">
        <v>1159</v>
      </c>
      <c r="H565" s="22" t="s">
        <v>1159</v>
      </c>
      <c r="I565" s="25">
        <v>43438</v>
      </c>
      <c r="J565" s="22" t="s">
        <v>558</v>
      </c>
    </row>
    <row r="566" spans="2:10" x14ac:dyDescent="0.2">
      <c r="B566" s="22">
        <v>563</v>
      </c>
      <c r="C566" s="21" t="s">
        <v>6956</v>
      </c>
      <c r="D566" s="21" t="s">
        <v>1918</v>
      </c>
      <c r="E566" s="20" t="s">
        <v>6957</v>
      </c>
      <c r="F566" s="22">
        <v>1</v>
      </c>
      <c r="G566" s="22" t="s">
        <v>6958</v>
      </c>
      <c r="H566" s="22">
        <v>1</v>
      </c>
      <c r="I566" s="25">
        <v>43200</v>
      </c>
      <c r="J566" s="24">
        <v>43220</v>
      </c>
    </row>
    <row r="567" spans="2:10" x14ac:dyDescent="0.2">
      <c r="B567" s="22">
        <v>564</v>
      </c>
      <c r="C567" s="21" t="s">
        <v>6959</v>
      </c>
      <c r="D567" s="21" t="s">
        <v>1294</v>
      </c>
      <c r="E567" s="20" t="s">
        <v>6960</v>
      </c>
      <c r="F567" s="22">
        <v>3</v>
      </c>
      <c r="G567" s="22" t="s">
        <v>6961</v>
      </c>
      <c r="H567" s="22">
        <v>1</v>
      </c>
      <c r="I567" s="25">
        <v>43277</v>
      </c>
      <c r="J567" s="24">
        <v>43297</v>
      </c>
    </row>
    <row r="568" spans="2:10" x14ac:dyDescent="0.2">
      <c r="B568" s="22">
        <v>565</v>
      </c>
      <c r="C568" s="21" t="s">
        <v>6962</v>
      </c>
      <c r="D568" s="21" t="s">
        <v>5117</v>
      </c>
      <c r="E568" s="20" t="s">
        <v>6963</v>
      </c>
      <c r="F568" s="22">
        <v>1</v>
      </c>
      <c r="G568" s="22" t="s">
        <v>6964</v>
      </c>
      <c r="H568" s="22">
        <v>1</v>
      </c>
      <c r="I568" s="25">
        <v>43237</v>
      </c>
      <c r="J568" s="24">
        <v>43304</v>
      </c>
    </row>
    <row r="569" spans="2:10" x14ac:dyDescent="0.2">
      <c r="B569" s="22">
        <v>566</v>
      </c>
      <c r="C569" s="21" t="s">
        <v>6965</v>
      </c>
      <c r="D569" s="21" t="s">
        <v>1213</v>
      </c>
      <c r="E569" s="20" t="s">
        <v>6966</v>
      </c>
      <c r="F569" s="22">
        <v>2</v>
      </c>
      <c r="G569" s="22" t="s">
        <v>6967</v>
      </c>
      <c r="H569" s="22">
        <v>1</v>
      </c>
      <c r="I569" s="25">
        <v>43165</v>
      </c>
      <c r="J569" s="24">
        <v>43213</v>
      </c>
    </row>
    <row r="570" spans="2:10" x14ac:dyDescent="0.2">
      <c r="B570" s="22">
        <v>567</v>
      </c>
      <c r="C570" s="21" t="s">
        <v>6968</v>
      </c>
      <c r="D570" s="21" t="s">
        <v>2148</v>
      </c>
      <c r="E570" s="20" t="s">
        <v>6969</v>
      </c>
      <c r="F570" s="22">
        <v>4</v>
      </c>
      <c r="G570" s="22" t="s">
        <v>1159</v>
      </c>
      <c r="H570" s="22" t="s">
        <v>1159</v>
      </c>
      <c r="I570" s="25">
        <v>43416</v>
      </c>
      <c r="J570" s="22" t="s">
        <v>558</v>
      </c>
    </row>
    <row r="571" spans="2:10" x14ac:dyDescent="0.2">
      <c r="B571" s="22">
        <v>568</v>
      </c>
      <c r="C571" s="21" t="s">
        <v>6970</v>
      </c>
      <c r="D571" s="21" t="s">
        <v>1213</v>
      </c>
      <c r="E571" s="20" t="s">
        <v>6971</v>
      </c>
      <c r="F571" s="22">
        <v>2</v>
      </c>
      <c r="G571" s="22" t="s">
        <v>6972</v>
      </c>
      <c r="H571" s="22">
        <v>2</v>
      </c>
      <c r="I571" s="25">
        <v>43212</v>
      </c>
      <c r="J571" s="24">
        <v>43220</v>
      </c>
    </row>
    <row r="572" spans="2:10" x14ac:dyDescent="0.2">
      <c r="B572" s="22">
        <v>569</v>
      </c>
      <c r="C572" s="21" t="s">
        <v>6973</v>
      </c>
      <c r="D572" s="21" t="s">
        <v>1572</v>
      </c>
      <c r="E572" s="20" t="s">
        <v>6974</v>
      </c>
      <c r="F572" s="22">
        <v>8</v>
      </c>
      <c r="G572" s="22" t="s">
        <v>1159</v>
      </c>
      <c r="H572" s="22" t="s">
        <v>1159</v>
      </c>
      <c r="I572" s="25">
        <v>43221</v>
      </c>
      <c r="J572" s="22" t="s">
        <v>558</v>
      </c>
    </row>
    <row r="573" spans="2:10" x14ac:dyDescent="0.2">
      <c r="B573" s="22">
        <v>570</v>
      </c>
      <c r="C573" s="21" t="s">
        <v>6975</v>
      </c>
      <c r="D573" s="21" t="s">
        <v>1532</v>
      </c>
      <c r="E573" s="20" t="s">
        <v>6976</v>
      </c>
      <c r="F573" s="22">
        <v>1</v>
      </c>
      <c r="G573" s="22" t="s">
        <v>1159</v>
      </c>
      <c r="H573" s="22" t="s">
        <v>1159</v>
      </c>
      <c r="I573" s="25">
        <v>43184</v>
      </c>
      <c r="J573" s="24">
        <v>43279</v>
      </c>
    </row>
    <row r="574" spans="2:10" x14ac:dyDescent="0.2">
      <c r="B574" s="22">
        <v>571</v>
      </c>
      <c r="C574" s="21" t="s">
        <v>6977</v>
      </c>
      <c r="D574" s="21" t="s">
        <v>2197</v>
      </c>
      <c r="E574" s="20" t="s">
        <v>6978</v>
      </c>
      <c r="F574" s="22">
        <v>10</v>
      </c>
      <c r="G574" s="22" t="s">
        <v>6979</v>
      </c>
      <c r="H574" s="22">
        <v>10</v>
      </c>
      <c r="I574" s="25">
        <v>43130</v>
      </c>
      <c r="J574" s="24">
        <v>43136</v>
      </c>
    </row>
    <row r="575" spans="2:10" x14ac:dyDescent="0.2">
      <c r="B575" s="22">
        <v>572</v>
      </c>
      <c r="C575" s="21" t="s">
        <v>6980</v>
      </c>
      <c r="D575" s="21" t="s">
        <v>1532</v>
      </c>
      <c r="E575" s="20" t="s">
        <v>6981</v>
      </c>
      <c r="F575" s="22">
        <v>1</v>
      </c>
      <c r="G575" s="22" t="s">
        <v>1159</v>
      </c>
      <c r="H575" s="22" t="s">
        <v>1159</v>
      </c>
      <c r="I575" s="25">
        <v>43228</v>
      </c>
      <c r="J575" s="24">
        <v>43402</v>
      </c>
    </row>
    <row r="576" spans="2:10" x14ac:dyDescent="0.2">
      <c r="B576" s="22">
        <v>573</v>
      </c>
      <c r="C576" s="21" t="s">
        <v>6982</v>
      </c>
      <c r="D576" s="21" t="s">
        <v>5254</v>
      </c>
      <c r="E576" s="20" t="s">
        <v>6983</v>
      </c>
      <c r="F576" s="22">
        <v>2</v>
      </c>
      <c r="G576" s="22" t="s">
        <v>6984</v>
      </c>
      <c r="H576" s="22">
        <v>2</v>
      </c>
      <c r="I576" s="25">
        <v>43214</v>
      </c>
      <c r="J576" s="24">
        <v>43241</v>
      </c>
    </row>
    <row r="577" spans="2:10" x14ac:dyDescent="0.2">
      <c r="B577" s="22">
        <v>574</v>
      </c>
      <c r="C577" s="21" t="s">
        <v>6985</v>
      </c>
      <c r="D577" s="21" t="s">
        <v>6986</v>
      </c>
      <c r="E577" s="20" t="s">
        <v>6987</v>
      </c>
      <c r="F577" s="22">
        <v>1</v>
      </c>
      <c r="G577" s="22" t="s">
        <v>1159</v>
      </c>
      <c r="H577" s="22" t="s">
        <v>1159</v>
      </c>
      <c r="I577" s="25">
        <v>43143</v>
      </c>
      <c r="J577" s="24">
        <v>43153</v>
      </c>
    </row>
    <row r="578" spans="2:10" x14ac:dyDescent="0.2">
      <c r="B578" s="22">
        <v>575</v>
      </c>
      <c r="C578" s="21" t="s">
        <v>6988</v>
      </c>
      <c r="D578" s="21" t="s">
        <v>1804</v>
      </c>
      <c r="E578" s="20" t="s">
        <v>6989</v>
      </c>
      <c r="F578" s="22">
        <v>2</v>
      </c>
      <c r="G578" s="22" t="s">
        <v>6990</v>
      </c>
      <c r="H578" s="22">
        <v>2</v>
      </c>
      <c r="I578" s="25">
        <v>43282</v>
      </c>
      <c r="J578" s="24">
        <v>43374</v>
      </c>
    </row>
    <row r="579" spans="2:10" x14ac:dyDescent="0.2">
      <c r="B579" s="22">
        <v>576</v>
      </c>
      <c r="C579" s="21" t="s">
        <v>6991</v>
      </c>
      <c r="D579" s="21" t="s">
        <v>1332</v>
      </c>
      <c r="E579" s="20" t="s">
        <v>6992</v>
      </c>
      <c r="F579" s="22">
        <v>1</v>
      </c>
      <c r="G579" s="22" t="s">
        <v>6993</v>
      </c>
      <c r="H579" s="22">
        <v>1</v>
      </c>
      <c r="I579" s="25">
        <v>43165</v>
      </c>
      <c r="J579" s="24">
        <v>43185</v>
      </c>
    </row>
    <row r="580" spans="2:10" x14ac:dyDescent="0.2">
      <c r="B580" s="22">
        <v>577</v>
      </c>
      <c r="C580" s="21" t="s">
        <v>6994</v>
      </c>
      <c r="D580" s="21" t="s">
        <v>6995</v>
      </c>
      <c r="E580" s="20" t="s">
        <v>6996</v>
      </c>
      <c r="F580" s="22">
        <v>1</v>
      </c>
      <c r="G580" s="22" t="s">
        <v>1159</v>
      </c>
      <c r="H580" s="22" t="s">
        <v>1159</v>
      </c>
      <c r="I580" s="25">
        <v>43186</v>
      </c>
      <c r="J580" s="24">
        <v>43206</v>
      </c>
    </row>
    <row r="581" spans="2:10" x14ac:dyDescent="0.2">
      <c r="B581" s="22">
        <v>578</v>
      </c>
      <c r="C581" s="21" t="s">
        <v>6997</v>
      </c>
      <c r="D581" s="21" t="s">
        <v>3810</v>
      </c>
      <c r="E581" s="20" t="s">
        <v>6998</v>
      </c>
      <c r="F581" s="22">
        <v>17</v>
      </c>
      <c r="G581" s="22" t="s">
        <v>6999</v>
      </c>
      <c r="H581" s="22">
        <v>17</v>
      </c>
      <c r="I581" s="25">
        <v>43116</v>
      </c>
      <c r="J581" s="24">
        <v>43119</v>
      </c>
    </row>
    <row r="582" spans="2:10" x14ac:dyDescent="0.2">
      <c r="B582" s="22">
        <v>579</v>
      </c>
      <c r="C582" s="21" t="s">
        <v>7000</v>
      </c>
      <c r="D582" s="21" t="s">
        <v>7001</v>
      </c>
      <c r="E582" s="20" t="s">
        <v>7002</v>
      </c>
      <c r="F582" s="22">
        <v>6</v>
      </c>
      <c r="G582" s="22" t="s">
        <v>1159</v>
      </c>
      <c r="H582" s="22" t="s">
        <v>1159</v>
      </c>
      <c r="I582" s="25">
        <v>43165</v>
      </c>
      <c r="J582" s="24">
        <v>43178</v>
      </c>
    </row>
    <row r="583" spans="2:10" x14ac:dyDescent="0.2">
      <c r="B583" s="22">
        <v>580</v>
      </c>
      <c r="C583" s="21" t="s">
        <v>7003</v>
      </c>
      <c r="D583" s="21" t="s">
        <v>6537</v>
      </c>
      <c r="E583" s="20" t="s">
        <v>7004</v>
      </c>
      <c r="F583" s="22">
        <v>5</v>
      </c>
      <c r="G583" s="22" t="s">
        <v>1159</v>
      </c>
      <c r="H583" s="22" t="s">
        <v>1159</v>
      </c>
      <c r="I583" s="25">
        <v>43116</v>
      </c>
      <c r="J583" s="24">
        <v>43143</v>
      </c>
    </row>
    <row r="584" spans="2:10" x14ac:dyDescent="0.2">
      <c r="B584" s="22">
        <v>581</v>
      </c>
      <c r="C584" s="21" t="s">
        <v>7005</v>
      </c>
      <c r="D584" s="21" t="s">
        <v>1880</v>
      </c>
      <c r="E584" s="20" t="s">
        <v>7006</v>
      </c>
      <c r="F584" s="22">
        <v>2</v>
      </c>
      <c r="G584" s="22" t="s">
        <v>7007</v>
      </c>
      <c r="H584" s="22">
        <v>2</v>
      </c>
      <c r="I584" s="25">
        <v>43233</v>
      </c>
      <c r="J584" s="24">
        <v>43339</v>
      </c>
    </row>
    <row r="585" spans="2:10" x14ac:dyDescent="0.2">
      <c r="B585" s="22">
        <v>582</v>
      </c>
      <c r="C585" s="21" t="s">
        <v>7008</v>
      </c>
      <c r="D585" s="21" t="s">
        <v>1294</v>
      </c>
      <c r="E585" s="20" t="s">
        <v>7009</v>
      </c>
      <c r="F585" s="22">
        <v>2</v>
      </c>
      <c r="G585" s="22" t="s">
        <v>7010</v>
      </c>
      <c r="H585" s="22">
        <v>2</v>
      </c>
      <c r="I585" s="25">
        <v>43438</v>
      </c>
      <c r="J585" s="22" t="s">
        <v>558</v>
      </c>
    </row>
    <row r="586" spans="2:10" x14ac:dyDescent="0.2">
      <c r="B586" s="22">
        <v>583</v>
      </c>
      <c r="C586" s="21" t="s">
        <v>7011</v>
      </c>
      <c r="D586" s="21" t="s">
        <v>1804</v>
      </c>
      <c r="E586" s="20" t="s">
        <v>2446</v>
      </c>
      <c r="F586" s="22">
        <v>3</v>
      </c>
      <c r="G586" s="22" t="s">
        <v>7012</v>
      </c>
      <c r="H586" s="22">
        <v>1</v>
      </c>
      <c r="I586" s="25">
        <v>43186</v>
      </c>
      <c r="J586" s="24">
        <v>43234</v>
      </c>
    </row>
    <row r="587" spans="2:10" x14ac:dyDescent="0.2">
      <c r="B587" s="22">
        <v>584</v>
      </c>
      <c r="C587" s="21" t="s">
        <v>7013</v>
      </c>
      <c r="D587" s="21" t="s">
        <v>1572</v>
      </c>
      <c r="E587" s="20" t="s">
        <v>7014</v>
      </c>
      <c r="F587" s="22">
        <v>1</v>
      </c>
      <c r="G587" s="22" t="s">
        <v>1159</v>
      </c>
      <c r="H587" s="22" t="s">
        <v>1159</v>
      </c>
      <c r="I587" s="25">
        <v>43163</v>
      </c>
      <c r="J587" s="24">
        <v>43248</v>
      </c>
    </row>
    <row r="588" spans="2:10" x14ac:dyDescent="0.2">
      <c r="B588" s="22">
        <v>585</v>
      </c>
      <c r="C588" s="21" t="s">
        <v>7015</v>
      </c>
      <c r="D588" s="21" t="s">
        <v>1761</v>
      </c>
      <c r="E588" s="20" t="s">
        <v>7016</v>
      </c>
      <c r="F588" s="22">
        <v>1</v>
      </c>
      <c r="G588" s="22" t="s">
        <v>7016</v>
      </c>
      <c r="H588" s="22">
        <v>1</v>
      </c>
      <c r="I588" s="25">
        <v>43333</v>
      </c>
      <c r="J588" s="24">
        <v>43335</v>
      </c>
    </row>
    <row r="589" spans="2:10" x14ac:dyDescent="0.2">
      <c r="B589" s="22">
        <v>586</v>
      </c>
      <c r="C589" s="21" t="s">
        <v>7017</v>
      </c>
      <c r="D589" s="21" t="s">
        <v>2516</v>
      </c>
      <c r="E589" s="20" t="s">
        <v>7018</v>
      </c>
      <c r="F589" s="22">
        <v>2</v>
      </c>
      <c r="G589" s="22" t="s">
        <v>7019</v>
      </c>
      <c r="H589" s="22">
        <v>1</v>
      </c>
      <c r="I589" s="25">
        <v>43340</v>
      </c>
      <c r="J589" s="22" t="s">
        <v>558</v>
      </c>
    </row>
    <row r="590" spans="2:10" x14ac:dyDescent="0.2">
      <c r="B590" s="22">
        <v>587</v>
      </c>
      <c r="C590" s="21" t="s">
        <v>7020</v>
      </c>
      <c r="D590" s="21" t="s">
        <v>2197</v>
      </c>
      <c r="E590" s="20" t="s">
        <v>7021</v>
      </c>
      <c r="F590" s="22">
        <v>10</v>
      </c>
      <c r="G590" s="22" t="s">
        <v>7022</v>
      </c>
      <c r="H590" s="22">
        <v>10</v>
      </c>
      <c r="I590" s="25">
        <v>43375</v>
      </c>
      <c r="J590" s="24">
        <v>43381</v>
      </c>
    </row>
    <row r="591" spans="2:10" x14ac:dyDescent="0.2">
      <c r="B591" s="22">
        <v>588</v>
      </c>
      <c r="C591" s="21" t="s">
        <v>7023</v>
      </c>
      <c r="D591" s="21" t="s">
        <v>1797</v>
      </c>
      <c r="E591" s="20" t="s">
        <v>7024</v>
      </c>
      <c r="F591" s="22">
        <v>3</v>
      </c>
      <c r="G591" s="22" t="s">
        <v>7025</v>
      </c>
      <c r="H591" s="22">
        <v>3</v>
      </c>
      <c r="I591" s="25">
        <v>43291</v>
      </c>
      <c r="J591" s="24">
        <v>43342</v>
      </c>
    </row>
    <row r="592" spans="2:10" x14ac:dyDescent="0.2">
      <c r="B592" s="22">
        <v>589</v>
      </c>
      <c r="C592" s="21" t="s">
        <v>7026</v>
      </c>
      <c r="D592" s="21" t="s">
        <v>2051</v>
      </c>
      <c r="E592" s="20" t="s">
        <v>7027</v>
      </c>
      <c r="F592" s="22">
        <v>3</v>
      </c>
      <c r="G592" s="22" t="s">
        <v>7028</v>
      </c>
      <c r="H592" s="22">
        <v>1</v>
      </c>
      <c r="I592" s="25">
        <v>43277</v>
      </c>
      <c r="J592" s="22" t="s">
        <v>558</v>
      </c>
    </row>
    <row r="593" spans="2:10" x14ac:dyDescent="0.2">
      <c r="B593" s="22">
        <v>590</v>
      </c>
      <c r="C593" s="21" t="s">
        <v>7029</v>
      </c>
      <c r="D593" s="21" t="s">
        <v>1213</v>
      </c>
      <c r="E593" s="20" t="s">
        <v>7030</v>
      </c>
      <c r="F593" s="22">
        <v>5</v>
      </c>
      <c r="G593" s="22" t="s">
        <v>7031</v>
      </c>
      <c r="H593" s="22">
        <v>5</v>
      </c>
      <c r="I593" s="25">
        <v>43312</v>
      </c>
      <c r="J593" s="22" t="s">
        <v>558</v>
      </c>
    </row>
    <row r="594" spans="2:10" x14ac:dyDescent="0.2">
      <c r="B594" s="22">
        <v>591</v>
      </c>
      <c r="C594" s="21" t="s">
        <v>7032</v>
      </c>
      <c r="D594" s="21" t="s">
        <v>1797</v>
      </c>
      <c r="E594" s="20" t="s">
        <v>7033</v>
      </c>
      <c r="F594" s="22">
        <v>3</v>
      </c>
      <c r="G594" s="22" t="s">
        <v>7034</v>
      </c>
      <c r="H594" s="22">
        <v>3</v>
      </c>
      <c r="I594" s="25">
        <v>43305</v>
      </c>
      <c r="J594" s="24">
        <v>43342</v>
      </c>
    </row>
    <row r="595" spans="2:10" x14ac:dyDescent="0.2">
      <c r="B595" s="22">
        <v>592</v>
      </c>
      <c r="C595" s="21" t="s">
        <v>7035</v>
      </c>
      <c r="D595" s="21" t="s">
        <v>1095</v>
      </c>
      <c r="E595" s="20" t="s">
        <v>7036</v>
      </c>
      <c r="F595" s="22">
        <v>10</v>
      </c>
      <c r="G595" s="22" t="s">
        <v>7037</v>
      </c>
      <c r="H595" s="22">
        <v>10</v>
      </c>
      <c r="I595" s="25">
        <v>43291</v>
      </c>
      <c r="J595" s="24">
        <v>43311</v>
      </c>
    </row>
    <row r="596" spans="2:10" x14ac:dyDescent="0.2">
      <c r="B596" s="22">
        <v>593</v>
      </c>
      <c r="C596" s="21" t="s">
        <v>7038</v>
      </c>
      <c r="D596" s="21" t="s">
        <v>4383</v>
      </c>
      <c r="E596" s="20" t="s">
        <v>7039</v>
      </c>
      <c r="F596" s="22">
        <v>3</v>
      </c>
      <c r="G596" s="22" t="s">
        <v>7040</v>
      </c>
      <c r="H596" s="22">
        <v>1</v>
      </c>
      <c r="I596" s="25">
        <v>43156</v>
      </c>
      <c r="J596" s="24">
        <v>43213</v>
      </c>
    </row>
    <row r="597" spans="2:10" x14ac:dyDescent="0.2">
      <c r="B597" s="22">
        <v>594</v>
      </c>
      <c r="C597" s="21" t="s">
        <v>7041</v>
      </c>
      <c r="D597" s="21" t="s">
        <v>2010</v>
      </c>
      <c r="E597" s="20" t="s">
        <v>7042</v>
      </c>
      <c r="F597" s="22">
        <v>1</v>
      </c>
      <c r="G597" s="22" t="s">
        <v>7043</v>
      </c>
      <c r="H597" s="22">
        <v>1</v>
      </c>
      <c r="I597" s="25">
        <v>43312</v>
      </c>
      <c r="J597" s="24">
        <v>43374</v>
      </c>
    </row>
    <row r="598" spans="2:10" x14ac:dyDescent="0.2">
      <c r="B598" s="22">
        <v>595</v>
      </c>
      <c r="C598" s="21" t="s">
        <v>7044</v>
      </c>
      <c r="D598" s="21" t="s">
        <v>2197</v>
      </c>
      <c r="E598" s="20" t="s">
        <v>7045</v>
      </c>
      <c r="F598" s="22">
        <v>10</v>
      </c>
      <c r="G598" s="22" t="s">
        <v>7046</v>
      </c>
      <c r="H598" s="22">
        <v>10</v>
      </c>
      <c r="I598" s="25">
        <v>43445</v>
      </c>
      <c r="J598" s="24">
        <v>43451</v>
      </c>
    </row>
    <row r="599" spans="2:10" x14ac:dyDescent="0.2">
      <c r="B599" s="22">
        <v>596</v>
      </c>
      <c r="C599" s="21" t="s">
        <v>7047</v>
      </c>
      <c r="D599" s="21" t="s">
        <v>1210</v>
      </c>
      <c r="E599" s="20" t="s">
        <v>7048</v>
      </c>
      <c r="F599" s="22">
        <v>2</v>
      </c>
      <c r="G599" s="22" t="s">
        <v>7049</v>
      </c>
      <c r="H599" s="22">
        <v>2</v>
      </c>
      <c r="I599" s="25">
        <v>43431</v>
      </c>
      <c r="J599" s="24">
        <v>43437</v>
      </c>
    </row>
    <row r="600" spans="2:10" x14ac:dyDescent="0.2">
      <c r="B600" s="22">
        <v>597</v>
      </c>
      <c r="C600" s="21" t="s">
        <v>7050</v>
      </c>
      <c r="D600" s="21" t="s">
        <v>1576</v>
      </c>
      <c r="E600" s="20" t="s">
        <v>7051</v>
      </c>
      <c r="F600" s="22">
        <v>1</v>
      </c>
      <c r="G600" s="22" t="s">
        <v>7052</v>
      </c>
      <c r="H600" s="22">
        <v>1</v>
      </c>
      <c r="I600" s="25">
        <v>43296</v>
      </c>
      <c r="J600" s="24">
        <v>43311</v>
      </c>
    </row>
    <row r="601" spans="2:10" x14ac:dyDescent="0.2">
      <c r="B601" s="22">
        <v>598</v>
      </c>
      <c r="C601" s="21" t="s">
        <v>7053</v>
      </c>
      <c r="D601" s="21" t="s">
        <v>1532</v>
      </c>
      <c r="E601" s="20" t="s">
        <v>7054</v>
      </c>
      <c r="F601" s="22">
        <v>7</v>
      </c>
      <c r="G601" s="22" t="s">
        <v>1159</v>
      </c>
      <c r="H601" s="22" t="s">
        <v>1159</v>
      </c>
      <c r="I601" s="25">
        <v>43298</v>
      </c>
      <c r="J601" s="24">
        <v>43388</v>
      </c>
    </row>
    <row r="602" spans="2:10" x14ac:dyDescent="0.2">
      <c r="B602" s="22">
        <v>599</v>
      </c>
      <c r="C602" s="21" t="s">
        <v>7055</v>
      </c>
      <c r="D602" s="21" t="s">
        <v>1797</v>
      </c>
      <c r="E602" s="20" t="s">
        <v>7056</v>
      </c>
      <c r="F602" s="22">
        <v>2</v>
      </c>
      <c r="G602" s="22" t="s">
        <v>7057</v>
      </c>
      <c r="H602" s="22">
        <v>2</v>
      </c>
      <c r="I602" s="25">
        <v>43165</v>
      </c>
      <c r="J602" s="24">
        <v>43378</v>
      </c>
    </row>
    <row r="603" spans="2:10" x14ac:dyDescent="0.2">
      <c r="B603" s="22">
        <v>600</v>
      </c>
      <c r="C603" s="21" t="s">
        <v>7058</v>
      </c>
      <c r="D603" s="21" t="s">
        <v>2197</v>
      </c>
      <c r="E603" s="20" t="s">
        <v>7059</v>
      </c>
      <c r="F603" s="22">
        <v>10</v>
      </c>
      <c r="G603" s="22" t="s">
        <v>7060</v>
      </c>
      <c r="H603" s="22">
        <v>10</v>
      </c>
      <c r="I603" s="25">
        <v>43137</v>
      </c>
      <c r="J603" s="24">
        <v>43143</v>
      </c>
    </row>
    <row r="604" spans="2:10" x14ac:dyDescent="0.2">
      <c r="B604" s="22">
        <v>601</v>
      </c>
      <c r="C604" s="21" t="s">
        <v>7061</v>
      </c>
      <c r="D604" s="21" t="s">
        <v>7062</v>
      </c>
      <c r="E604" s="20" t="s">
        <v>7063</v>
      </c>
      <c r="F604" s="22">
        <v>11</v>
      </c>
      <c r="G604" s="22" t="s">
        <v>1159</v>
      </c>
      <c r="H604" s="22" t="s">
        <v>1159</v>
      </c>
      <c r="I604" s="25">
        <v>43417</v>
      </c>
      <c r="J604" s="24">
        <v>43423</v>
      </c>
    </row>
    <row r="605" spans="2:10" x14ac:dyDescent="0.2">
      <c r="B605" s="22">
        <v>602</v>
      </c>
      <c r="C605" s="21" t="s">
        <v>7064</v>
      </c>
      <c r="D605" s="21" t="s">
        <v>1338</v>
      </c>
      <c r="E605" s="20" t="s">
        <v>7065</v>
      </c>
      <c r="F605" s="22">
        <v>1</v>
      </c>
      <c r="G605" s="22" t="s">
        <v>7066</v>
      </c>
      <c r="H605" s="22">
        <v>1</v>
      </c>
      <c r="I605" s="25">
        <v>43326</v>
      </c>
      <c r="J605" s="24">
        <v>43346</v>
      </c>
    </row>
    <row r="606" spans="2:10" x14ac:dyDescent="0.2">
      <c r="B606" s="22">
        <v>603</v>
      </c>
      <c r="C606" s="21" t="s">
        <v>7067</v>
      </c>
      <c r="D606" s="21" t="s">
        <v>1294</v>
      </c>
      <c r="E606" s="20" t="s">
        <v>7068</v>
      </c>
      <c r="F606" s="22">
        <v>5</v>
      </c>
      <c r="G606" s="22" t="s">
        <v>7069</v>
      </c>
      <c r="H606" s="22">
        <v>1</v>
      </c>
      <c r="I606" s="25">
        <v>43186</v>
      </c>
      <c r="J606" s="24">
        <v>43209</v>
      </c>
    </row>
    <row r="607" spans="2:10" x14ac:dyDescent="0.2">
      <c r="B607" s="22">
        <v>604</v>
      </c>
      <c r="C607" s="21" t="s">
        <v>7070</v>
      </c>
      <c r="D607" s="21" t="s">
        <v>7071</v>
      </c>
      <c r="E607" s="20" t="s">
        <v>7072</v>
      </c>
      <c r="F607" s="22">
        <v>16</v>
      </c>
      <c r="G607" s="22" t="s">
        <v>7072</v>
      </c>
      <c r="H607" s="22">
        <v>16</v>
      </c>
      <c r="I607" s="25">
        <v>43235</v>
      </c>
      <c r="J607" s="24">
        <v>43237</v>
      </c>
    </row>
    <row r="608" spans="2:10" x14ac:dyDescent="0.2">
      <c r="B608" s="22">
        <v>605</v>
      </c>
      <c r="C608" s="21" t="s">
        <v>7073</v>
      </c>
      <c r="D608" s="21" t="s">
        <v>1338</v>
      </c>
      <c r="E608" s="20" t="s">
        <v>7074</v>
      </c>
      <c r="F608" s="22">
        <v>2</v>
      </c>
      <c r="G608" s="22" t="s">
        <v>1159</v>
      </c>
      <c r="H608" s="22" t="s">
        <v>1159</v>
      </c>
      <c r="I608" s="25">
        <v>43137</v>
      </c>
      <c r="J608" s="24">
        <v>43199</v>
      </c>
    </row>
    <row r="609" spans="2:10" x14ac:dyDescent="0.2">
      <c r="B609" s="22">
        <v>606</v>
      </c>
      <c r="C609" s="21" t="s">
        <v>7075</v>
      </c>
      <c r="D609" s="21" t="s">
        <v>7076</v>
      </c>
      <c r="E609" s="20" t="s">
        <v>7077</v>
      </c>
      <c r="F609" s="22">
        <v>3</v>
      </c>
      <c r="G609" s="22" t="s">
        <v>1159</v>
      </c>
      <c r="H609" s="22" t="s">
        <v>1159</v>
      </c>
      <c r="I609" s="25">
        <v>43270</v>
      </c>
      <c r="J609" s="24">
        <v>43276</v>
      </c>
    </row>
    <row r="610" spans="2:10" x14ac:dyDescent="0.2">
      <c r="B610" s="22">
        <v>607</v>
      </c>
      <c r="C610" s="21" t="s">
        <v>7078</v>
      </c>
      <c r="D610" s="21" t="s">
        <v>1213</v>
      </c>
      <c r="E610" s="20" t="s">
        <v>7079</v>
      </c>
      <c r="F610" s="22">
        <v>2</v>
      </c>
      <c r="G610" s="22" t="s">
        <v>7080</v>
      </c>
      <c r="H610" s="22">
        <v>2</v>
      </c>
      <c r="I610" s="25">
        <v>43235</v>
      </c>
      <c r="J610" s="22" t="s">
        <v>558</v>
      </c>
    </row>
    <row r="611" spans="2:10" x14ac:dyDescent="0.2">
      <c r="B611" s="22">
        <v>608</v>
      </c>
      <c r="C611" s="21" t="s">
        <v>250</v>
      </c>
      <c r="D611" s="21" t="s">
        <v>1572</v>
      </c>
      <c r="E611" s="20" t="s">
        <v>7081</v>
      </c>
      <c r="F611" s="22">
        <v>2</v>
      </c>
      <c r="G611" s="22" t="s">
        <v>7082</v>
      </c>
      <c r="H611" s="22">
        <v>1</v>
      </c>
      <c r="I611" s="25">
        <v>43319</v>
      </c>
      <c r="J611" s="24">
        <v>43367</v>
      </c>
    </row>
    <row r="612" spans="2:10" x14ac:dyDescent="0.2">
      <c r="B612" s="22">
        <v>609</v>
      </c>
      <c r="C612" s="21" t="s">
        <v>7083</v>
      </c>
      <c r="D612" s="21" t="s">
        <v>1880</v>
      </c>
      <c r="E612" s="20" t="s">
        <v>7084</v>
      </c>
      <c r="F612" s="22">
        <v>1</v>
      </c>
      <c r="G612" s="22" t="s">
        <v>7085</v>
      </c>
      <c r="H612" s="22">
        <v>1</v>
      </c>
      <c r="I612" s="25">
        <v>43207</v>
      </c>
      <c r="J612" s="24">
        <v>43269</v>
      </c>
    </row>
    <row r="613" spans="2:10" x14ac:dyDescent="0.2">
      <c r="B613" s="22">
        <v>610</v>
      </c>
      <c r="C613" s="21" t="s">
        <v>7086</v>
      </c>
      <c r="D613" s="21" t="s">
        <v>1532</v>
      </c>
      <c r="E613" s="20" t="s">
        <v>7087</v>
      </c>
      <c r="F613" s="22">
        <v>2</v>
      </c>
      <c r="G613" s="22" t="s">
        <v>7088</v>
      </c>
      <c r="H613" s="22">
        <v>1</v>
      </c>
      <c r="I613" s="25">
        <v>43102</v>
      </c>
      <c r="J613" s="24">
        <v>43311</v>
      </c>
    </row>
    <row r="614" spans="2:10" x14ac:dyDescent="0.2">
      <c r="B614" s="22">
        <v>611</v>
      </c>
      <c r="C614" s="21" t="s">
        <v>7089</v>
      </c>
      <c r="D614" s="21" t="s">
        <v>1294</v>
      </c>
      <c r="E614" s="20" t="s">
        <v>7090</v>
      </c>
      <c r="F614" s="22">
        <v>6</v>
      </c>
      <c r="G614" s="22" t="s">
        <v>7091</v>
      </c>
      <c r="H614" s="22">
        <v>2</v>
      </c>
      <c r="I614" s="25">
        <v>43256</v>
      </c>
      <c r="J614" s="24">
        <v>43283</v>
      </c>
    </row>
    <row r="615" spans="2:10" x14ac:dyDescent="0.2">
      <c r="B615" s="22">
        <v>612</v>
      </c>
      <c r="C615" s="21" t="s">
        <v>7092</v>
      </c>
      <c r="D615" s="21" t="s">
        <v>2197</v>
      </c>
      <c r="E615" s="20" t="s">
        <v>7093</v>
      </c>
      <c r="F615" s="22">
        <v>10</v>
      </c>
      <c r="G615" s="22" t="s">
        <v>7094</v>
      </c>
      <c r="H615" s="22">
        <v>10</v>
      </c>
      <c r="I615" s="25">
        <v>43200</v>
      </c>
      <c r="J615" s="24">
        <v>43206</v>
      </c>
    </row>
    <row r="616" spans="2:10" x14ac:dyDescent="0.2">
      <c r="B616" s="22">
        <v>613</v>
      </c>
      <c r="C616" s="21" t="s">
        <v>7095</v>
      </c>
      <c r="D616" s="21" t="s">
        <v>157</v>
      </c>
      <c r="E616" s="20" t="s">
        <v>7096</v>
      </c>
      <c r="F616" s="22">
        <v>2</v>
      </c>
      <c r="G616" s="22" t="s">
        <v>7097</v>
      </c>
      <c r="H616" s="22">
        <v>2</v>
      </c>
      <c r="I616" s="25">
        <v>43417</v>
      </c>
      <c r="J616" s="24">
        <v>43423</v>
      </c>
    </row>
    <row r="617" spans="2:10" x14ac:dyDescent="0.2">
      <c r="B617" s="22">
        <v>614</v>
      </c>
      <c r="C617" s="21" t="s">
        <v>7098</v>
      </c>
      <c r="D617" s="21" t="s">
        <v>638</v>
      </c>
      <c r="E617" s="20" t="s">
        <v>7099</v>
      </c>
      <c r="F617" s="22">
        <v>20</v>
      </c>
      <c r="G617" s="22" t="s">
        <v>7099</v>
      </c>
      <c r="H617" s="22">
        <v>20</v>
      </c>
      <c r="I617" s="25">
        <v>43438</v>
      </c>
      <c r="J617" s="24">
        <v>43440</v>
      </c>
    </row>
    <row r="618" spans="2:10" x14ac:dyDescent="0.2">
      <c r="B618" s="22">
        <v>615</v>
      </c>
      <c r="C618" s="21" t="s">
        <v>7100</v>
      </c>
      <c r="D618" s="21" t="s">
        <v>2010</v>
      </c>
      <c r="E618" s="20" t="s">
        <v>7101</v>
      </c>
      <c r="F618" s="22">
        <v>1</v>
      </c>
      <c r="G618" s="22" t="s">
        <v>7102</v>
      </c>
      <c r="H618" s="22">
        <v>1</v>
      </c>
      <c r="I618" s="25">
        <v>43305</v>
      </c>
      <c r="J618" s="22" t="s">
        <v>558</v>
      </c>
    </row>
    <row r="619" spans="2:10" x14ac:dyDescent="0.2">
      <c r="B619" s="22">
        <v>616</v>
      </c>
      <c r="C619" s="21" t="s">
        <v>7103</v>
      </c>
      <c r="D619" s="21" t="s">
        <v>2197</v>
      </c>
      <c r="E619" s="20" t="s">
        <v>7104</v>
      </c>
      <c r="F619" s="22">
        <v>10</v>
      </c>
      <c r="G619" s="22" t="s">
        <v>7105</v>
      </c>
      <c r="H619" s="22">
        <v>10</v>
      </c>
      <c r="I619" s="25">
        <v>43291</v>
      </c>
      <c r="J619" s="24">
        <v>43297</v>
      </c>
    </row>
    <row r="620" spans="2:10" x14ac:dyDescent="0.2">
      <c r="B620" s="22">
        <v>617</v>
      </c>
      <c r="C620" s="21" t="s">
        <v>7106</v>
      </c>
      <c r="D620" s="21" t="s">
        <v>1532</v>
      </c>
      <c r="E620" s="20" t="s">
        <v>7107</v>
      </c>
      <c r="F620" s="22">
        <v>3</v>
      </c>
      <c r="G620" s="22" t="s">
        <v>1159</v>
      </c>
      <c r="H620" s="22" t="s">
        <v>1159</v>
      </c>
      <c r="I620" s="25">
        <v>43445</v>
      </c>
      <c r="J620" s="22" t="s">
        <v>558</v>
      </c>
    </row>
    <row r="621" spans="2:10" x14ac:dyDescent="0.2">
      <c r="B621" s="22">
        <v>618</v>
      </c>
      <c r="C621" s="21" t="s">
        <v>7108</v>
      </c>
      <c r="D621" s="21" t="s">
        <v>1213</v>
      </c>
      <c r="E621" s="20" t="s">
        <v>7109</v>
      </c>
      <c r="F621" s="22">
        <v>3</v>
      </c>
      <c r="G621" s="22" t="s">
        <v>7110</v>
      </c>
      <c r="H621" s="22">
        <v>3</v>
      </c>
      <c r="I621" s="25">
        <v>43298</v>
      </c>
      <c r="J621" s="24">
        <v>43332</v>
      </c>
    </row>
    <row r="622" spans="2:10" x14ac:dyDescent="0.2">
      <c r="B622" s="22">
        <v>619</v>
      </c>
      <c r="C622" s="21" t="s">
        <v>7111</v>
      </c>
      <c r="D622" s="21" t="s">
        <v>1175</v>
      </c>
      <c r="E622" s="20" t="s">
        <v>7112</v>
      </c>
      <c r="F622" s="22">
        <v>1</v>
      </c>
      <c r="G622" s="22" t="s">
        <v>7113</v>
      </c>
      <c r="H622" s="22">
        <v>1</v>
      </c>
      <c r="I622" s="25">
        <v>43324</v>
      </c>
      <c r="J622" s="22" t="s">
        <v>558</v>
      </c>
    </row>
    <row r="623" spans="2:10" x14ac:dyDescent="0.2">
      <c r="B623" s="22">
        <v>620</v>
      </c>
      <c r="C623" s="21" t="s">
        <v>7114</v>
      </c>
      <c r="D623" s="21" t="s">
        <v>38</v>
      </c>
      <c r="E623" s="20" t="s">
        <v>7115</v>
      </c>
      <c r="F623" s="22">
        <v>22</v>
      </c>
      <c r="G623" s="22" t="s">
        <v>1159</v>
      </c>
      <c r="H623" s="22" t="s">
        <v>1159</v>
      </c>
      <c r="I623" s="25">
        <v>43220</v>
      </c>
      <c r="J623" s="24">
        <v>43279</v>
      </c>
    </row>
    <row r="624" spans="2:10" x14ac:dyDescent="0.2">
      <c r="B624" s="22">
        <v>621</v>
      </c>
      <c r="C624" s="21" t="s">
        <v>7116</v>
      </c>
      <c r="D624" s="21" t="s">
        <v>1572</v>
      </c>
      <c r="E624" s="20" t="s">
        <v>7117</v>
      </c>
      <c r="F624" s="22">
        <v>2</v>
      </c>
      <c r="G624" s="22" t="s">
        <v>1159</v>
      </c>
      <c r="H624" s="22" t="s">
        <v>1159</v>
      </c>
      <c r="I624" s="25">
        <v>43186</v>
      </c>
      <c r="J624" s="24">
        <v>43346</v>
      </c>
    </row>
    <row r="625" spans="2:10" x14ac:dyDescent="0.2">
      <c r="B625" s="22">
        <v>622</v>
      </c>
      <c r="C625" s="21" t="s">
        <v>7118</v>
      </c>
      <c r="D625" s="21" t="s">
        <v>2051</v>
      </c>
      <c r="E625" s="20" t="s">
        <v>7119</v>
      </c>
      <c r="F625" s="22">
        <v>3</v>
      </c>
      <c r="G625" s="22" t="s">
        <v>7120</v>
      </c>
      <c r="H625" s="22">
        <v>1</v>
      </c>
      <c r="I625" s="25">
        <v>43403</v>
      </c>
      <c r="J625" s="24">
        <v>43444</v>
      </c>
    </row>
    <row r="626" spans="2:10" x14ac:dyDescent="0.2">
      <c r="B626" s="22">
        <v>623</v>
      </c>
      <c r="C626" s="21" t="s">
        <v>7121</v>
      </c>
      <c r="D626" s="21" t="s">
        <v>1142</v>
      </c>
      <c r="E626" s="20" t="s">
        <v>7122</v>
      </c>
      <c r="F626" s="22">
        <v>3</v>
      </c>
      <c r="G626" s="22" t="s">
        <v>7123</v>
      </c>
      <c r="H626" s="22">
        <v>1</v>
      </c>
      <c r="I626" s="25">
        <v>43270</v>
      </c>
      <c r="J626" s="24">
        <v>43290</v>
      </c>
    </row>
    <row r="627" spans="2:10" x14ac:dyDescent="0.2">
      <c r="B627" s="22">
        <v>624</v>
      </c>
      <c r="C627" s="21" t="s">
        <v>7124</v>
      </c>
      <c r="D627" s="21" t="s">
        <v>7125</v>
      </c>
      <c r="E627" s="20" t="s">
        <v>7126</v>
      </c>
      <c r="F627" s="22">
        <v>2</v>
      </c>
      <c r="G627" s="22" t="s">
        <v>7127</v>
      </c>
      <c r="H627" s="22">
        <v>1</v>
      </c>
      <c r="I627" s="25">
        <v>43116</v>
      </c>
      <c r="J627" s="24">
        <v>43181</v>
      </c>
    </row>
    <row r="628" spans="2:10" x14ac:dyDescent="0.2">
      <c r="B628" s="22">
        <v>625</v>
      </c>
      <c r="C628" s="21" t="s">
        <v>7128</v>
      </c>
      <c r="D628" s="21" t="s">
        <v>1880</v>
      </c>
      <c r="E628" s="20" t="s">
        <v>7129</v>
      </c>
      <c r="F628" s="22">
        <v>4</v>
      </c>
      <c r="G628" s="22" t="s">
        <v>7130</v>
      </c>
      <c r="H628" s="22">
        <v>1</v>
      </c>
      <c r="I628" s="25">
        <v>43333</v>
      </c>
      <c r="J628" s="24">
        <v>43437</v>
      </c>
    </row>
    <row r="629" spans="2:10" x14ac:dyDescent="0.2">
      <c r="B629" s="22">
        <v>626</v>
      </c>
      <c r="C629" s="21" t="s">
        <v>7131</v>
      </c>
      <c r="D629" s="21" t="s">
        <v>4383</v>
      </c>
      <c r="E629" s="20" t="s">
        <v>7132</v>
      </c>
      <c r="F629" s="22">
        <v>2</v>
      </c>
      <c r="G629" s="22" t="s">
        <v>7133</v>
      </c>
      <c r="H629" s="22">
        <v>2</v>
      </c>
      <c r="I629" s="25">
        <v>43375</v>
      </c>
      <c r="J629" s="24">
        <v>43388</v>
      </c>
    </row>
    <row r="630" spans="2:10" x14ac:dyDescent="0.2">
      <c r="B630" s="22">
        <v>627</v>
      </c>
      <c r="C630" s="21" t="s">
        <v>7134</v>
      </c>
      <c r="D630" s="21" t="s">
        <v>7135</v>
      </c>
      <c r="E630" s="20" t="s">
        <v>7136</v>
      </c>
      <c r="F630" s="22" t="s">
        <v>1159</v>
      </c>
      <c r="G630" s="22" t="s">
        <v>1159</v>
      </c>
      <c r="H630" s="22" t="s">
        <v>1159</v>
      </c>
      <c r="I630" s="25">
        <v>43109</v>
      </c>
      <c r="J630" s="22" t="s">
        <v>558</v>
      </c>
    </row>
    <row r="631" spans="2:10" x14ac:dyDescent="0.2">
      <c r="B631" s="22">
        <v>628</v>
      </c>
      <c r="C631" s="21" t="s">
        <v>7137</v>
      </c>
      <c r="D631" s="21" t="s">
        <v>1532</v>
      </c>
      <c r="E631" s="20" t="s">
        <v>7138</v>
      </c>
      <c r="F631" s="22">
        <v>2</v>
      </c>
      <c r="G631" s="22" t="s">
        <v>7139</v>
      </c>
      <c r="H631" s="22">
        <v>2</v>
      </c>
      <c r="I631" s="25">
        <v>43270</v>
      </c>
      <c r="J631" s="24">
        <v>43388</v>
      </c>
    </row>
    <row r="632" spans="2:10" x14ac:dyDescent="0.2">
      <c r="B632" s="22">
        <v>629</v>
      </c>
      <c r="C632" s="21" t="s">
        <v>7140</v>
      </c>
      <c r="D632" s="21" t="s">
        <v>7141</v>
      </c>
      <c r="E632" s="20" t="s">
        <v>7142</v>
      </c>
      <c r="F632" s="22">
        <v>1</v>
      </c>
      <c r="G632" s="22" t="s">
        <v>1159</v>
      </c>
      <c r="H632" s="22" t="s">
        <v>1159</v>
      </c>
      <c r="I632" s="25">
        <v>43249</v>
      </c>
      <c r="J632" s="24">
        <v>43402</v>
      </c>
    </row>
    <row r="633" spans="2:10" x14ac:dyDescent="0.2">
      <c r="B633" s="22">
        <v>630</v>
      </c>
      <c r="C633" s="21" t="s">
        <v>7143</v>
      </c>
      <c r="D633" s="21" t="s">
        <v>7144</v>
      </c>
      <c r="E633" s="20" t="s">
        <v>7145</v>
      </c>
      <c r="F633" s="22">
        <v>1</v>
      </c>
      <c r="G633" s="22" t="s">
        <v>7146</v>
      </c>
      <c r="H633" s="22">
        <v>1</v>
      </c>
      <c r="I633" s="25">
        <v>43410</v>
      </c>
      <c r="J633" s="24">
        <v>43416</v>
      </c>
    </row>
    <row r="634" spans="2:10" x14ac:dyDescent="0.2">
      <c r="B634" s="22">
        <v>631</v>
      </c>
      <c r="C634" s="21" t="s">
        <v>7147</v>
      </c>
      <c r="D634" s="21" t="s">
        <v>1338</v>
      </c>
      <c r="E634" s="20" t="s">
        <v>7148</v>
      </c>
      <c r="F634" s="22">
        <v>1</v>
      </c>
      <c r="G634" s="22" t="s">
        <v>7149</v>
      </c>
      <c r="H634" s="22">
        <v>1</v>
      </c>
      <c r="I634" s="25">
        <v>43221</v>
      </c>
      <c r="J634" s="24">
        <v>43227</v>
      </c>
    </row>
    <row r="635" spans="2:10" x14ac:dyDescent="0.2">
      <c r="B635" s="22">
        <v>632</v>
      </c>
      <c r="C635" s="21" t="s">
        <v>7150</v>
      </c>
      <c r="D635" s="21" t="s">
        <v>1880</v>
      </c>
      <c r="E635" s="20" t="s">
        <v>7151</v>
      </c>
      <c r="F635" s="22">
        <v>3</v>
      </c>
      <c r="G635" s="22" t="s">
        <v>7152</v>
      </c>
      <c r="H635" s="22">
        <v>1</v>
      </c>
      <c r="I635" s="25">
        <v>43235</v>
      </c>
      <c r="J635" s="22" t="s">
        <v>558</v>
      </c>
    </row>
    <row r="636" spans="2:10" x14ac:dyDescent="0.2">
      <c r="B636" s="22">
        <v>633</v>
      </c>
      <c r="C636" s="21" t="s">
        <v>7153</v>
      </c>
      <c r="D636" s="21" t="s">
        <v>2051</v>
      </c>
      <c r="E636" s="20" t="s">
        <v>7154</v>
      </c>
      <c r="F636" s="22">
        <v>4</v>
      </c>
      <c r="G636" s="22" t="s">
        <v>7155</v>
      </c>
      <c r="H636" s="22">
        <v>1</v>
      </c>
      <c r="I636" s="25">
        <v>43193</v>
      </c>
      <c r="J636" s="24">
        <v>43262</v>
      </c>
    </row>
    <row r="637" spans="2:10" x14ac:dyDescent="0.2">
      <c r="B637" s="22">
        <v>634</v>
      </c>
      <c r="C637" s="21" t="s">
        <v>7156</v>
      </c>
      <c r="D637" s="21" t="s">
        <v>6537</v>
      </c>
      <c r="E637" s="20" t="s">
        <v>7157</v>
      </c>
      <c r="F637" s="22">
        <v>2</v>
      </c>
      <c r="G637" s="22" t="s">
        <v>1159</v>
      </c>
      <c r="H637" s="22" t="s">
        <v>1159</v>
      </c>
      <c r="I637" s="25">
        <v>43221</v>
      </c>
      <c r="J637" s="24">
        <v>43234</v>
      </c>
    </row>
    <row r="638" spans="2:10" x14ac:dyDescent="0.2">
      <c r="B638" s="22">
        <v>635</v>
      </c>
      <c r="C638" s="21" t="s">
        <v>7158</v>
      </c>
      <c r="D638" s="21" t="s">
        <v>2516</v>
      </c>
      <c r="E638" s="20" t="s">
        <v>7159</v>
      </c>
      <c r="F638" s="22">
        <v>1</v>
      </c>
      <c r="G638" s="22" t="s">
        <v>2710</v>
      </c>
      <c r="H638" s="22">
        <v>1</v>
      </c>
      <c r="I638" s="25">
        <v>43179</v>
      </c>
      <c r="J638" s="24">
        <v>43241</v>
      </c>
    </row>
    <row r="639" spans="2:10" x14ac:dyDescent="0.2">
      <c r="B639" s="22">
        <v>636</v>
      </c>
      <c r="C639" s="21" t="s">
        <v>7160</v>
      </c>
      <c r="D639" s="21" t="s">
        <v>7161</v>
      </c>
      <c r="E639" s="20" t="s">
        <v>7162</v>
      </c>
      <c r="F639" s="22">
        <v>1</v>
      </c>
      <c r="G639" s="22" t="s">
        <v>7162</v>
      </c>
      <c r="H639" s="22">
        <v>1</v>
      </c>
      <c r="I639" s="25">
        <v>43186</v>
      </c>
      <c r="J639" s="24">
        <v>43188</v>
      </c>
    </row>
    <row r="640" spans="2:10" x14ac:dyDescent="0.2">
      <c r="B640" s="22">
        <v>637</v>
      </c>
      <c r="C640" s="21" t="s">
        <v>7163</v>
      </c>
      <c r="D640" s="21" t="s">
        <v>1039</v>
      </c>
      <c r="E640" s="20" t="s">
        <v>7164</v>
      </c>
      <c r="F640" s="22">
        <v>3</v>
      </c>
      <c r="G640" s="22" t="s">
        <v>7165</v>
      </c>
      <c r="H640" s="22">
        <v>3</v>
      </c>
      <c r="I640" s="25">
        <v>43207</v>
      </c>
      <c r="J640" s="24">
        <v>43227</v>
      </c>
    </row>
    <row r="641" spans="2:10" x14ac:dyDescent="0.2">
      <c r="B641" s="22">
        <v>638</v>
      </c>
      <c r="C641" s="21" t="s">
        <v>7166</v>
      </c>
      <c r="D641" s="21" t="s">
        <v>2010</v>
      </c>
      <c r="E641" s="20" t="s">
        <v>7167</v>
      </c>
      <c r="F641" s="22">
        <v>1</v>
      </c>
      <c r="G641" s="22" t="s">
        <v>1159</v>
      </c>
      <c r="H641" s="22" t="s">
        <v>1159</v>
      </c>
      <c r="I641" s="25">
        <v>43277</v>
      </c>
      <c r="J641" s="24">
        <v>43374</v>
      </c>
    </row>
    <row r="642" spans="2:10" x14ac:dyDescent="0.2">
      <c r="B642" s="22">
        <v>639</v>
      </c>
      <c r="C642" s="21" t="s">
        <v>7168</v>
      </c>
      <c r="D642" s="21" t="s">
        <v>1797</v>
      </c>
      <c r="E642" s="20" t="s">
        <v>1900</v>
      </c>
      <c r="F642" s="22">
        <v>2</v>
      </c>
      <c r="G642" s="22" t="s">
        <v>7169</v>
      </c>
      <c r="H642" s="22">
        <v>2</v>
      </c>
      <c r="I642" s="25">
        <v>43389</v>
      </c>
      <c r="J642" s="24">
        <v>43398</v>
      </c>
    </row>
    <row r="643" spans="2:10" x14ac:dyDescent="0.2">
      <c r="B643" s="22">
        <v>640</v>
      </c>
      <c r="C643" s="21" t="s">
        <v>7170</v>
      </c>
      <c r="D643" s="21" t="s">
        <v>1797</v>
      </c>
      <c r="E643" s="20" t="s">
        <v>7171</v>
      </c>
      <c r="F643" s="22">
        <v>2</v>
      </c>
      <c r="G643" s="22" t="s">
        <v>7172</v>
      </c>
      <c r="H643" s="22">
        <v>1</v>
      </c>
      <c r="I643" s="25">
        <v>43424</v>
      </c>
      <c r="J643" s="24">
        <v>43183</v>
      </c>
    </row>
    <row r="644" spans="2:10" x14ac:dyDescent="0.2">
      <c r="B644" s="22">
        <v>641</v>
      </c>
      <c r="C644" s="21" t="s">
        <v>7173</v>
      </c>
      <c r="D644" s="21" t="s">
        <v>7174</v>
      </c>
      <c r="E644" s="20" t="s">
        <v>7175</v>
      </c>
      <c r="F644" s="22">
        <v>6</v>
      </c>
      <c r="G644" s="22" t="s">
        <v>7176</v>
      </c>
      <c r="H644" s="22">
        <v>6</v>
      </c>
      <c r="I644" s="25">
        <v>43193</v>
      </c>
      <c r="J644" s="24">
        <v>43199</v>
      </c>
    </row>
    <row r="645" spans="2:10" x14ac:dyDescent="0.2">
      <c r="B645" s="22">
        <v>642</v>
      </c>
      <c r="C645" s="21" t="s">
        <v>7177</v>
      </c>
      <c r="D645" s="21" t="s">
        <v>1804</v>
      </c>
      <c r="E645" s="20" t="s">
        <v>7178</v>
      </c>
      <c r="F645" s="22">
        <v>1</v>
      </c>
      <c r="G645" s="22" t="s">
        <v>7052</v>
      </c>
      <c r="H645" s="22">
        <v>1</v>
      </c>
      <c r="I645" s="25">
        <v>43221</v>
      </c>
      <c r="J645" s="24">
        <v>43248</v>
      </c>
    </row>
    <row r="646" spans="2:10" x14ac:dyDescent="0.2">
      <c r="B646" s="22">
        <v>643</v>
      </c>
      <c r="C646" s="21" t="s">
        <v>7179</v>
      </c>
      <c r="D646" s="21" t="s">
        <v>1804</v>
      </c>
      <c r="E646" s="20" t="s">
        <v>7180</v>
      </c>
      <c r="F646" s="22">
        <v>2</v>
      </c>
      <c r="G646" s="22" t="s">
        <v>1159</v>
      </c>
      <c r="H646" s="22" t="s">
        <v>1159</v>
      </c>
      <c r="I646" s="25">
        <v>43333</v>
      </c>
      <c r="J646" s="24">
        <v>43374</v>
      </c>
    </row>
    <row r="647" spans="2:10" x14ac:dyDescent="0.2">
      <c r="B647" s="22">
        <v>644</v>
      </c>
      <c r="C647" s="21" t="s">
        <v>7181</v>
      </c>
      <c r="D647" s="21" t="s">
        <v>1880</v>
      </c>
      <c r="E647" s="20" t="s">
        <v>7182</v>
      </c>
      <c r="F647" s="22">
        <v>1</v>
      </c>
      <c r="G647" s="22" t="s">
        <v>7183</v>
      </c>
      <c r="H647" s="22">
        <v>1</v>
      </c>
      <c r="I647" s="25">
        <v>43123</v>
      </c>
      <c r="J647" s="24">
        <v>43164</v>
      </c>
    </row>
    <row r="648" spans="2:10" x14ac:dyDescent="0.2">
      <c r="B648" s="22">
        <v>645</v>
      </c>
      <c r="C648" s="21" t="s">
        <v>7184</v>
      </c>
      <c r="D648" s="21" t="s">
        <v>1294</v>
      </c>
      <c r="E648" s="20" t="s">
        <v>7185</v>
      </c>
      <c r="F648" s="22">
        <v>2</v>
      </c>
      <c r="G648" s="22" t="s">
        <v>7186</v>
      </c>
      <c r="H648" s="22">
        <v>2</v>
      </c>
      <c r="I648" s="25">
        <v>43312</v>
      </c>
      <c r="J648" s="24">
        <v>43332</v>
      </c>
    </row>
    <row r="649" spans="2:10" x14ac:dyDescent="0.2">
      <c r="B649" s="22">
        <v>646</v>
      </c>
      <c r="C649" s="21" t="s">
        <v>7187</v>
      </c>
      <c r="D649" s="21" t="s">
        <v>7188</v>
      </c>
      <c r="E649" s="20" t="s">
        <v>7189</v>
      </c>
      <c r="F649" s="22">
        <v>11</v>
      </c>
      <c r="G649" s="22" t="s">
        <v>7190</v>
      </c>
      <c r="H649" s="22">
        <v>11</v>
      </c>
      <c r="I649" s="25">
        <v>43123</v>
      </c>
      <c r="J649" s="24">
        <v>43129</v>
      </c>
    </row>
    <row r="650" spans="2:10" x14ac:dyDescent="0.2">
      <c r="B650" s="22">
        <v>647</v>
      </c>
      <c r="C650" s="21" t="s">
        <v>7191</v>
      </c>
      <c r="D650" s="21" t="s">
        <v>1568</v>
      </c>
      <c r="E650" s="20" t="s">
        <v>7192</v>
      </c>
      <c r="F650" s="22">
        <v>15</v>
      </c>
      <c r="G650" s="22" t="s">
        <v>7192</v>
      </c>
      <c r="H650" s="22">
        <v>15</v>
      </c>
      <c r="I650" s="25">
        <v>43368</v>
      </c>
      <c r="J650" s="24">
        <v>43370</v>
      </c>
    </row>
    <row r="651" spans="2:10" x14ac:dyDescent="0.2">
      <c r="B651" s="22">
        <v>648</v>
      </c>
      <c r="C651" s="21" t="s">
        <v>7193</v>
      </c>
      <c r="D651" s="21" t="s">
        <v>1532</v>
      </c>
      <c r="E651" s="20" t="s">
        <v>4242</v>
      </c>
      <c r="F651" s="22">
        <v>2</v>
      </c>
      <c r="G651" s="22" t="s">
        <v>1159</v>
      </c>
      <c r="H651" s="22" t="s">
        <v>1159</v>
      </c>
      <c r="I651" s="25">
        <v>43242</v>
      </c>
      <c r="J651" s="24">
        <v>43262</v>
      </c>
    </row>
    <row r="652" spans="2:10" x14ac:dyDescent="0.2">
      <c r="B652" s="22">
        <v>649</v>
      </c>
      <c r="C652" s="21" t="s">
        <v>7194</v>
      </c>
      <c r="D652" s="21" t="s">
        <v>1532</v>
      </c>
      <c r="E652" s="20" t="s">
        <v>7195</v>
      </c>
      <c r="F652" s="22">
        <v>3</v>
      </c>
      <c r="G652" s="22" t="s">
        <v>1159</v>
      </c>
      <c r="H652" s="22" t="s">
        <v>1159</v>
      </c>
      <c r="I652" s="25">
        <v>43452</v>
      </c>
      <c r="J652" s="22" t="s">
        <v>558</v>
      </c>
    </row>
    <row r="653" spans="2:10" x14ac:dyDescent="0.2">
      <c r="B653" s="22">
        <v>650</v>
      </c>
      <c r="C653" s="21" t="s">
        <v>7196</v>
      </c>
      <c r="D653" s="21" t="s">
        <v>1804</v>
      </c>
      <c r="E653" s="20" t="s">
        <v>7197</v>
      </c>
      <c r="F653" s="22">
        <v>2</v>
      </c>
      <c r="G653" s="22" t="s">
        <v>7198</v>
      </c>
      <c r="H653" s="22">
        <v>1</v>
      </c>
      <c r="I653" s="25">
        <v>43424</v>
      </c>
      <c r="J653" s="24">
        <v>43156</v>
      </c>
    </row>
    <row r="654" spans="2:10" x14ac:dyDescent="0.2">
      <c r="B654" s="22">
        <v>651</v>
      </c>
      <c r="C654" s="21" t="s">
        <v>7199</v>
      </c>
      <c r="D654" s="21" t="s">
        <v>1532</v>
      </c>
      <c r="E654" s="20" t="s">
        <v>7200</v>
      </c>
      <c r="F654" s="22">
        <v>2</v>
      </c>
      <c r="G654" s="22" t="s">
        <v>1159</v>
      </c>
      <c r="H654" s="22" t="s">
        <v>1159</v>
      </c>
      <c r="I654" s="25">
        <v>43109</v>
      </c>
      <c r="J654" s="24">
        <v>43115</v>
      </c>
    </row>
    <row r="655" spans="2:10" x14ac:dyDescent="0.2">
      <c r="B655" s="22">
        <v>652</v>
      </c>
      <c r="C655" s="21" t="s">
        <v>7201</v>
      </c>
      <c r="D655" s="21" t="s">
        <v>1095</v>
      </c>
      <c r="E655" s="20" t="s">
        <v>7202</v>
      </c>
      <c r="F655" s="22">
        <v>7</v>
      </c>
      <c r="G655" s="22" t="s">
        <v>1159</v>
      </c>
      <c r="H655" s="22" t="s">
        <v>1159</v>
      </c>
      <c r="I655" s="25">
        <v>43249</v>
      </c>
      <c r="J655" s="24">
        <v>43269</v>
      </c>
    </row>
    <row r="656" spans="2:10" x14ac:dyDescent="0.2">
      <c r="B656" s="22">
        <v>653</v>
      </c>
      <c r="C656" s="21" t="s">
        <v>7203</v>
      </c>
      <c r="D656" s="21" t="s">
        <v>1332</v>
      </c>
      <c r="E656" s="20" t="s">
        <v>7204</v>
      </c>
      <c r="F656" s="22">
        <v>8</v>
      </c>
      <c r="G656" s="22" t="s">
        <v>1159</v>
      </c>
      <c r="H656" s="22" t="s">
        <v>1159</v>
      </c>
      <c r="I656" s="25">
        <v>43260</v>
      </c>
      <c r="J656" s="24">
        <v>43269</v>
      </c>
    </row>
    <row r="657" spans="2:10" x14ac:dyDescent="0.2">
      <c r="B657" s="22">
        <v>654</v>
      </c>
      <c r="C657" s="21" t="s">
        <v>7205</v>
      </c>
      <c r="D657" s="21" t="s">
        <v>7206</v>
      </c>
      <c r="E657" s="20" t="s">
        <v>2559</v>
      </c>
      <c r="F657" s="22">
        <v>1</v>
      </c>
      <c r="G657" s="22" t="s">
        <v>7207</v>
      </c>
      <c r="H657" s="22">
        <v>1</v>
      </c>
      <c r="I657" s="25">
        <v>43221</v>
      </c>
      <c r="J657" s="24">
        <v>43237</v>
      </c>
    </row>
    <row r="658" spans="2:10" x14ac:dyDescent="0.2">
      <c r="B658" s="22">
        <v>655</v>
      </c>
      <c r="C658" s="21" t="s">
        <v>7208</v>
      </c>
      <c r="D658" s="21" t="s">
        <v>1804</v>
      </c>
      <c r="E658" s="20" t="s">
        <v>7209</v>
      </c>
      <c r="F658" s="22">
        <v>3</v>
      </c>
      <c r="G658" s="22" t="s">
        <v>7210</v>
      </c>
      <c r="H658" s="22">
        <v>1</v>
      </c>
      <c r="I658" s="25">
        <v>43263</v>
      </c>
      <c r="J658" s="24">
        <v>43297</v>
      </c>
    </row>
    <row r="659" spans="2:10" x14ac:dyDescent="0.2">
      <c r="B659" s="22">
        <v>656</v>
      </c>
      <c r="C659" s="21" t="s">
        <v>7211</v>
      </c>
      <c r="D659" s="21" t="s">
        <v>1797</v>
      </c>
      <c r="E659" s="20" t="s">
        <v>7212</v>
      </c>
      <c r="F659" s="22">
        <v>2</v>
      </c>
      <c r="G659" s="22" t="s">
        <v>7213</v>
      </c>
      <c r="H659" s="22">
        <v>2</v>
      </c>
      <c r="I659" s="25">
        <v>43382</v>
      </c>
      <c r="J659" s="24">
        <v>43398</v>
      </c>
    </row>
    <row r="660" spans="2:10" x14ac:dyDescent="0.2">
      <c r="B660" s="22">
        <v>657</v>
      </c>
      <c r="C660" s="21" t="s">
        <v>7214</v>
      </c>
      <c r="D660" s="21" t="s">
        <v>2197</v>
      </c>
      <c r="E660" s="20" t="s">
        <v>7215</v>
      </c>
      <c r="F660" s="22">
        <v>10</v>
      </c>
      <c r="G660" s="22" t="s">
        <v>7216</v>
      </c>
      <c r="H660" s="22">
        <v>10</v>
      </c>
      <c r="I660" s="25">
        <v>43116</v>
      </c>
      <c r="J660" s="24">
        <v>43122</v>
      </c>
    </row>
    <row r="661" spans="2:10" x14ac:dyDescent="0.2">
      <c r="B661" s="22">
        <v>658</v>
      </c>
      <c r="C661" s="21" t="s">
        <v>7217</v>
      </c>
      <c r="D661" s="21" t="s">
        <v>1804</v>
      </c>
      <c r="E661" s="20" t="s">
        <v>7218</v>
      </c>
      <c r="F661" s="22">
        <v>1</v>
      </c>
      <c r="G661" s="22" t="s">
        <v>7219</v>
      </c>
      <c r="H661" s="22">
        <v>1</v>
      </c>
      <c r="I661" s="25">
        <v>43123</v>
      </c>
      <c r="J661" s="24">
        <v>43136</v>
      </c>
    </row>
    <row r="662" spans="2:10" x14ac:dyDescent="0.2">
      <c r="B662" s="22">
        <v>659</v>
      </c>
      <c r="C662" s="21" t="s">
        <v>7220</v>
      </c>
      <c r="D662" s="21" t="s">
        <v>7221</v>
      </c>
      <c r="E662" s="20" t="s">
        <v>7222</v>
      </c>
      <c r="F662" s="22">
        <v>8</v>
      </c>
      <c r="G662" s="22" t="s">
        <v>1159</v>
      </c>
      <c r="H662" s="22" t="s">
        <v>1159</v>
      </c>
      <c r="I662" s="25">
        <v>43249</v>
      </c>
      <c r="J662" s="24">
        <v>43262</v>
      </c>
    </row>
    <row r="663" spans="2:10" x14ac:dyDescent="0.2">
      <c r="B663" s="22">
        <v>660</v>
      </c>
      <c r="C663" s="21" t="s">
        <v>7223</v>
      </c>
      <c r="D663" s="21" t="s">
        <v>7224</v>
      </c>
      <c r="E663" s="20" t="s">
        <v>7225</v>
      </c>
      <c r="F663" s="22">
        <v>5</v>
      </c>
      <c r="G663" s="22" t="s">
        <v>1159</v>
      </c>
      <c r="H663" s="22" t="s">
        <v>1159</v>
      </c>
      <c r="I663" s="25">
        <v>43409</v>
      </c>
      <c r="J663" s="24">
        <v>43411</v>
      </c>
    </row>
    <row r="664" spans="2:10" x14ac:dyDescent="0.2">
      <c r="B664" s="22">
        <v>661</v>
      </c>
      <c r="C664" s="21" t="s">
        <v>7226</v>
      </c>
      <c r="D664" s="21" t="s">
        <v>1804</v>
      </c>
      <c r="E664" s="20" t="s">
        <v>7227</v>
      </c>
      <c r="F664" s="22">
        <v>1</v>
      </c>
      <c r="G664" s="22" t="s">
        <v>7228</v>
      </c>
      <c r="H664" s="22">
        <v>1</v>
      </c>
      <c r="I664" s="25">
        <v>43410</v>
      </c>
      <c r="J664" s="24">
        <v>43444</v>
      </c>
    </row>
    <row r="665" spans="2:10" x14ac:dyDescent="0.2">
      <c r="B665" s="22">
        <v>663</v>
      </c>
      <c r="C665" s="21" t="s">
        <v>7229</v>
      </c>
      <c r="D665" s="21" t="s">
        <v>1594</v>
      </c>
      <c r="E665" s="20" t="s">
        <v>7230</v>
      </c>
      <c r="F665" s="22">
        <v>10</v>
      </c>
      <c r="G665" s="22" t="s">
        <v>7230</v>
      </c>
      <c r="H665" s="22">
        <v>10</v>
      </c>
      <c r="I665" s="25">
        <v>43312</v>
      </c>
      <c r="J665" s="22" t="s">
        <v>558</v>
      </c>
    </row>
    <row r="666" spans="2:10" x14ac:dyDescent="0.2">
      <c r="B666" s="22">
        <v>664</v>
      </c>
      <c r="C666" s="21" t="s">
        <v>7231</v>
      </c>
      <c r="D666" s="21" t="s">
        <v>6537</v>
      </c>
      <c r="E666" s="20" t="s">
        <v>7232</v>
      </c>
      <c r="F666" s="22">
        <v>6</v>
      </c>
      <c r="G666" s="22" t="s">
        <v>1159</v>
      </c>
      <c r="H666" s="22" t="s">
        <v>1159</v>
      </c>
      <c r="I666" s="25">
        <v>43221</v>
      </c>
      <c r="J666" s="24">
        <v>43241</v>
      </c>
    </row>
    <row r="667" spans="2:10" x14ac:dyDescent="0.2">
      <c r="B667" s="22">
        <v>665</v>
      </c>
      <c r="C667" s="21" t="s">
        <v>7233</v>
      </c>
      <c r="D667" s="21" t="s">
        <v>7234</v>
      </c>
      <c r="E667" s="20" t="s">
        <v>7235</v>
      </c>
      <c r="F667" s="22">
        <v>1</v>
      </c>
      <c r="G667" s="22" t="s">
        <v>7235</v>
      </c>
      <c r="H667" s="22">
        <v>1</v>
      </c>
      <c r="I667" s="25">
        <v>43389</v>
      </c>
      <c r="J667" s="24">
        <v>43391</v>
      </c>
    </row>
    <row r="668" spans="2:10" x14ac:dyDescent="0.2">
      <c r="B668" s="22">
        <v>666</v>
      </c>
      <c r="C668" s="21" t="s">
        <v>7236</v>
      </c>
      <c r="D668" s="21" t="s">
        <v>1880</v>
      </c>
      <c r="E668" s="20" t="s">
        <v>7237</v>
      </c>
      <c r="F668" s="22">
        <v>2</v>
      </c>
      <c r="G668" s="22" t="s">
        <v>7238</v>
      </c>
      <c r="H668" s="22">
        <v>2</v>
      </c>
      <c r="I668" s="25">
        <v>43235</v>
      </c>
      <c r="J668" s="24">
        <v>43241</v>
      </c>
    </row>
    <row r="669" spans="2:10" x14ac:dyDescent="0.2">
      <c r="B669" s="22">
        <v>667</v>
      </c>
      <c r="C669" s="21" t="s">
        <v>7239</v>
      </c>
      <c r="D669" s="21" t="s">
        <v>7071</v>
      </c>
      <c r="E669" s="20" t="s">
        <v>7240</v>
      </c>
      <c r="F669" s="22">
        <v>16</v>
      </c>
      <c r="G669" s="22" t="s">
        <v>7240</v>
      </c>
      <c r="H669" s="22">
        <v>16</v>
      </c>
      <c r="I669" s="25">
        <v>43242</v>
      </c>
      <c r="J669" s="24">
        <v>43244</v>
      </c>
    </row>
    <row r="670" spans="2:10" x14ac:dyDescent="0.2">
      <c r="B670" s="22">
        <v>668</v>
      </c>
      <c r="C670" s="21" t="s">
        <v>7241</v>
      </c>
      <c r="D670" s="21" t="s">
        <v>1797</v>
      </c>
      <c r="E670" s="20" t="s">
        <v>4856</v>
      </c>
      <c r="F670" s="22">
        <v>2</v>
      </c>
      <c r="G670" s="22" t="s">
        <v>7242</v>
      </c>
      <c r="H670" s="22">
        <v>2</v>
      </c>
      <c r="I670" s="25">
        <v>43340</v>
      </c>
      <c r="J670" s="22" t="s">
        <v>558</v>
      </c>
    </row>
    <row r="671" spans="2:10" x14ac:dyDescent="0.2">
      <c r="B671" s="22">
        <v>669</v>
      </c>
      <c r="C671" s="21" t="s">
        <v>7243</v>
      </c>
      <c r="D671" s="21" t="s">
        <v>7244</v>
      </c>
      <c r="E671" s="20" t="s">
        <v>7245</v>
      </c>
      <c r="F671" s="22">
        <v>1</v>
      </c>
      <c r="G671" s="22" t="s">
        <v>7066</v>
      </c>
      <c r="H671" s="22">
        <v>1</v>
      </c>
      <c r="I671" s="25">
        <v>43396</v>
      </c>
      <c r="J671" s="24">
        <v>43402</v>
      </c>
    </row>
    <row r="672" spans="2:10" x14ac:dyDescent="0.2">
      <c r="B672" s="22">
        <v>670</v>
      </c>
      <c r="C672" s="21" t="s">
        <v>7246</v>
      </c>
      <c r="D672" s="21" t="s">
        <v>1804</v>
      </c>
      <c r="E672" s="20" t="s">
        <v>7247</v>
      </c>
      <c r="F672" s="22">
        <v>3</v>
      </c>
      <c r="G672" s="22" t="s">
        <v>7248</v>
      </c>
      <c r="H672" s="22">
        <v>1</v>
      </c>
      <c r="I672" s="25">
        <v>43382</v>
      </c>
      <c r="J672" s="24">
        <v>43444</v>
      </c>
    </row>
    <row r="673" spans="2:10" x14ac:dyDescent="0.2">
      <c r="B673" s="22">
        <v>671</v>
      </c>
      <c r="C673" s="21" t="s">
        <v>7249</v>
      </c>
      <c r="D673" s="21" t="s">
        <v>2148</v>
      </c>
      <c r="E673" s="20" t="s">
        <v>7250</v>
      </c>
      <c r="F673" s="22">
        <v>3</v>
      </c>
      <c r="G673" s="22" t="s">
        <v>7251</v>
      </c>
      <c r="H673" s="22">
        <v>3</v>
      </c>
      <c r="I673" s="25">
        <v>43333</v>
      </c>
      <c r="J673" s="24">
        <v>43454</v>
      </c>
    </row>
    <row r="674" spans="2:10" x14ac:dyDescent="0.2">
      <c r="B674" s="22">
        <v>672</v>
      </c>
      <c r="C674" s="21" t="s">
        <v>7252</v>
      </c>
      <c r="D674" s="21" t="s">
        <v>1532</v>
      </c>
      <c r="E674" s="20" t="s">
        <v>7253</v>
      </c>
      <c r="F674" s="22">
        <v>4</v>
      </c>
      <c r="G674" s="22" t="s">
        <v>4936</v>
      </c>
      <c r="H674" s="22">
        <v>1</v>
      </c>
      <c r="I674" s="25">
        <v>43417</v>
      </c>
      <c r="J674" s="24">
        <v>43156</v>
      </c>
    </row>
    <row r="675" spans="2:10" x14ac:dyDescent="0.2">
      <c r="B675" s="22">
        <v>674</v>
      </c>
      <c r="C675" s="21" t="s">
        <v>7254</v>
      </c>
      <c r="D675" s="21" t="s">
        <v>7255</v>
      </c>
      <c r="E675" s="20" t="s">
        <v>7256</v>
      </c>
      <c r="F675" s="22">
        <v>5</v>
      </c>
      <c r="G675" s="22" t="s">
        <v>7257</v>
      </c>
      <c r="H675" s="22">
        <v>5</v>
      </c>
      <c r="I675" s="25">
        <v>43396</v>
      </c>
      <c r="J675" s="24">
        <v>43402</v>
      </c>
    </row>
    <row r="676" spans="2:10" x14ac:dyDescent="0.2">
      <c r="B676" s="22">
        <v>673</v>
      </c>
      <c r="C676" s="21" t="s">
        <v>7258</v>
      </c>
      <c r="D676" s="21" t="s">
        <v>7259</v>
      </c>
      <c r="E676" s="20" t="s">
        <v>7256</v>
      </c>
      <c r="F676" s="22">
        <v>1</v>
      </c>
      <c r="G676" s="22" t="s">
        <v>7256</v>
      </c>
      <c r="H676" s="22">
        <v>1</v>
      </c>
      <c r="I676" s="25">
        <v>43361</v>
      </c>
      <c r="J676" s="24">
        <v>43363</v>
      </c>
    </row>
    <row r="677" spans="2:10" x14ac:dyDescent="0.2">
      <c r="B677" s="22">
        <v>675</v>
      </c>
      <c r="C677" s="21" t="s">
        <v>7260</v>
      </c>
      <c r="D677" s="21" t="s">
        <v>1142</v>
      </c>
      <c r="E677" s="20" t="s">
        <v>7261</v>
      </c>
      <c r="F677" s="22">
        <v>1</v>
      </c>
      <c r="G677" s="22" t="s">
        <v>7262</v>
      </c>
      <c r="H677" s="22">
        <v>1</v>
      </c>
      <c r="I677" s="25">
        <v>43445</v>
      </c>
      <c r="J677" s="24">
        <v>43451</v>
      </c>
    </row>
    <row r="678" spans="2:10" x14ac:dyDescent="0.2">
      <c r="B678" s="22">
        <v>676</v>
      </c>
      <c r="C678" s="21" t="s">
        <v>7263</v>
      </c>
      <c r="D678" s="21" t="s">
        <v>2197</v>
      </c>
      <c r="E678" s="20" t="s">
        <v>2573</v>
      </c>
      <c r="F678" s="22">
        <v>10</v>
      </c>
      <c r="G678" s="22" t="s">
        <v>7264</v>
      </c>
      <c r="H678" s="22">
        <v>10</v>
      </c>
      <c r="I678" s="25">
        <v>43165</v>
      </c>
      <c r="J678" s="24">
        <v>43171</v>
      </c>
    </row>
    <row r="679" spans="2:10" x14ac:dyDescent="0.2">
      <c r="B679" s="22">
        <v>677</v>
      </c>
      <c r="C679" s="21" t="s">
        <v>7265</v>
      </c>
      <c r="D679" s="21" t="s">
        <v>2548</v>
      </c>
      <c r="E679" s="20" t="s">
        <v>7266</v>
      </c>
      <c r="F679" s="22">
        <v>7</v>
      </c>
      <c r="G679" s="22" t="s">
        <v>7266</v>
      </c>
      <c r="H679" s="22">
        <v>7</v>
      </c>
      <c r="I679" s="25">
        <v>43277</v>
      </c>
      <c r="J679" s="24">
        <v>43279</v>
      </c>
    </row>
    <row r="680" spans="2:10" x14ac:dyDescent="0.2">
      <c r="B680" s="22">
        <v>678</v>
      </c>
      <c r="C680" s="21" t="s">
        <v>7267</v>
      </c>
      <c r="D680" s="21" t="s">
        <v>1797</v>
      </c>
      <c r="E680" s="20" t="s">
        <v>7268</v>
      </c>
      <c r="F680" s="22">
        <v>1</v>
      </c>
      <c r="G680" s="22" t="s">
        <v>7268</v>
      </c>
      <c r="H680" s="22">
        <v>1</v>
      </c>
      <c r="I680" s="25">
        <v>43158</v>
      </c>
      <c r="J680" s="24">
        <v>43160</v>
      </c>
    </row>
    <row r="681" spans="2:10" x14ac:dyDescent="0.2">
      <c r="B681" s="22">
        <v>679</v>
      </c>
      <c r="C681" s="21" t="s">
        <v>7269</v>
      </c>
      <c r="D681" s="21" t="s">
        <v>1039</v>
      </c>
      <c r="E681" s="20" t="s">
        <v>7270</v>
      </c>
      <c r="F681" s="22">
        <v>2</v>
      </c>
      <c r="G681" s="22" t="s">
        <v>7271</v>
      </c>
      <c r="H681" s="22">
        <v>2</v>
      </c>
      <c r="I681" s="25">
        <v>43452</v>
      </c>
      <c r="J681" s="24">
        <v>43121</v>
      </c>
    </row>
    <row r="682" spans="2:10" x14ac:dyDescent="0.2">
      <c r="B682" s="22">
        <v>680</v>
      </c>
      <c r="C682" s="21" t="s">
        <v>7272</v>
      </c>
      <c r="D682" s="21" t="s">
        <v>1797</v>
      </c>
      <c r="E682" s="20" t="s">
        <v>7273</v>
      </c>
      <c r="F682" s="22">
        <v>2</v>
      </c>
      <c r="G682" s="22" t="s">
        <v>7274</v>
      </c>
      <c r="H682" s="22">
        <v>2</v>
      </c>
      <c r="I682" s="25">
        <v>43368</v>
      </c>
      <c r="J682" s="24">
        <v>43388</v>
      </c>
    </row>
    <row r="683" spans="2:10" x14ac:dyDescent="0.2">
      <c r="B683" s="22">
        <v>681</v>
      </c>
      <c r="C683" s="21" t="s">
        <v>7275</v>
      </c>
      <c r="D683" s="21" t="s">
        <v>1761</v>
      </c>
      <c r="E683" s="20" t="s">
        <v>7276</v>
      </c>
      <c r="F683" s="22">
        <v>3</v>
      </c>
      <c r="G683" s="22" t="s">
        <v>7276</v>
      </c>
      <c r="H683" s="22">
        <v>3</v>
      </c>
      <c r="I683" s="25">
        <v>43319</v>
      </c>
      <c r="J683" s="22" t="s">
        <v>558</v>
      </c>
    </row>
    <row r="684" spans="2:10" x14ac:dyDescent="0.2">
      <c r="B684" s="22">
        <v>682</v>
      </c>
      <c r="C684" s="21" t="s">
        <v>7277</v>
      </c>
      <c r="D684" s="21" t="s">
        <v>1880</v>
      </c>
      <c r="E684" s="20" t="s">
        <v>7278</v>
      </c>
      <c r="F684" s="22">
        <v>1</v>
      </c>
      <c r="G684" s="22" t="s">
        <v>7279</v>
      </c>
      <c r="H684" s="22">
        <v>1</v>
      </c>
      <c r="I684" s="25">
        <v>43137</v>
      </c>
      <c r="J684" s="24">
        <v>43143</v>
      </c>
    </row>
    <row r="685" spans="2:10" x14ac:dyDescent="0.2">
      <c r="B685" s="22">
        <v>683</v>
      </c>
      <c r="C685" s="21" t="s">
        <v>7280</v>
      </c>
      <c r="D685" s="21" t="s">
        <v>7281</v>
      </c>
      <c r="E685" s="20" t="s">
        <v>7282</v>
      </c>
      <c r="F685" s="22">
        <v>1</v>
      </c>
      <c r="G685" s="22" t="s">
        <v>7282</v>
      </c>
      <c r="H685" s="22">
        <v>1</v>
      </c>
      <c r="I685" s="25">
        <v>43333</v>
      </c>
      <c r="J685" s="24">
        <v>43335</v>
      </c>
    </row>
    <row r="686" spans="2:10" x14ac:dyDescent="0.2">
      <c r="B686" s="22">
        <v>684</v>
      </c>
      <c r="C686" s="21" t="s">
        <v>7283</v>
      </c>
      <c r="D686" s="21" t="s">
        <v>1880</v>
      </c>
      <c r="E686" s="20" t="s">
        <v>7284</v>
      </c>
      <c r="F686" s="22">
        <v>2</v>
      </c>
      <c r="G686" s="22" t="s">
        <v>7285</v>
      </c>
      <c r="H686" s="22">
        <v>2</v>
      </c>
      <c r="I686" s="25">
        <v>43396</v>
      </c>
      <c r="J686" s="24">
        <v>43437</v>
      </c>
    </row>
    <row r="687" spans="2:10" x14ac:dyDescent="0.2">
      <c r="B687" s="22">
        <v>685</v>
      </c>
      <c r="C687" s="21" t="s">
        <v>7286</v>
      </c>
      <c r="D687" s="21" t="s">
        <v>1804</v>
      </c>
      <c r="E687" s="20" t="s">
        <v>7287</v>
      </c>
      <c r="F687" s="22">
        <v>1</v>
      </c>
      <c r="G687" s="22" t="s">
        <v>5168</v>
      </c>
      <c r="H687" s="22">
        <v>1</v>
      </c>
      <c r="I687" s="25">
        <v>43340</v>
      </c>
      <c r="J687" s="24">
        <v>43426</v>
      </c>
    </row>
    <row r="688" spans="2:10" x14ac:dyDescent="0.2">
      <c r="B688" s="22">
        <v>686</v>
      </c>
      <c r="C688" s="21" t="s">
        <v>7288</v>
      </c>
      <c r="D688" s="21" t="s">
        <v>2051</v>
      </c>
      <c r="E688" s="20" t="s">
        <v>7289</v>
      </c>
      <c r="F688" s="22">
        <v>3</v>
      </c>
      <c r="G688" s="22" t="s">
        <v>7290</v>
      </c>
      <c r="H688" s="22">
        <v>1</v>
      </c>
      <c r="I688" s="25">
        <v>43380</v>
      </c>
      <c r="J688" s="24">
        <v>43419</v>
      </c>
    </row>
    <row r="689" spans="2:10" x14ac:dyDescent="0.2">
      <c r="B689" s="22">
        <v>687</v>
      </c>
      <c r="C689" s="21" t="s">
        <v>7291</v>
      </c>
      <c r="D689" s="21" t="s">
        <v>2051</v>
      </c>
      <c r="E689" s="20" t="s">
        <v>5267</v>
      </c>
      <c r="F689" s="22">
        <v>1</v>
      </c>
      <c r="G689" s="22" t="s">
        <v>1159</v>
      </c>
      <c r="H689" s="22" t="s">
        <v>1159</v>
      </c>
      <c r="I689" s="25">
        <v>43354</v>
      </c>
      <c r="J689" s="24">
        <v>43388</v>
      </c>
    </row>
    <row r="690" spans="2:10" x14ac:dyDescent="0.2">
      <c r="B690" s="22">
        <v>688</v>
      </c>
      <c r="C690" s="21" t="s">
        <v>7292</v>
      </c>
      <c r="D690" s="21" t="s">
        <v>1572</v>
      </c>
      <c r="E690" s="20" t="s">
        <v>2383</v>
      </c>
      <c r="F690" s="22">
        <v>1</v>
      </c>
      <c r="G690" s="22" t="s">
        <v>7293</v>
      </c>
      <c r="H690" s="22">
        <v>1</v>
      </c>
      <c r="I690" s="25">
        <v>43291</v>
      </c>
      <c r="J690" s="24">
        <v>43304</v>
      </c>
    </row>
    <row r="691" spans="2:10" x14ac:dyDescent="0.2">
      <c r="B691" s="22">
        <v>689</v>
      </c>
      <c r="C691" s="21" t="s">
        <v>7294</v>
      </c>
      <c r="D691" s="21" t="s">
        <v>1880</v>
      </c>
      <c r="E691" s="20" t="s">
        <v>7295</v>
      </c>
      <c r="F691" s="22">
        <v>1</v>
      </c>
      <c r="G691" s="22" t="s">
        <v>7296</v>
      </c>
      <c r="H691" s="22">
        <v>1</v>
      </c>
      <c r="I691" s="25">
        <v>43403</v>
      </c>
      <c r="J691" s="24">
        <v>43409</v>
      </c>
    </row>
    <row r="692" spans="2:10" x14ac:dyDescent="0.2">
      <c r="B692" s="22">
        <v>690</v>
      </c>
      <c r="C692" s="21" t="s">
        <v>7297</v>
      </c>
      <c r="D692" s="21" t="s">
        <v>1797</v>
      </c>
      <c r="E692" s="20" t="s">
        <v>7298</v>
      </c>
      <c r="F692" s="22" t="s">
        <v>1159</v>
      </c>
      <c r="G692" s="22" t="s">
        <v>7299</v>
      </c>
      <c r="H692" s="22" t="s">
        <v>1159</v>
      </c>
      <c r="I692" s="25">
        <v>43186</v>
      </c>
      <c r="J692" s="24">
        <v>43378</v>
      </c>
    </row>
    <row r="693" spans="2:10" x14ac:dyDescent="0.2">
      <c r="B693" s="22">
        <v>691</v>
      </c>
      <c r="C693" s="21" t="s">
        <v>7300</v>
      </c>
      <c r="D693" s="21" t="s">
        <v>2051</v>
      </c>
      <c r="E693" s="20" t="s">
        <v>7301</v>
      </c>
      <c r="F693" s="22">
        <v>2</v>
      </c>
      <c r="G693" s="22" t="s">
        <v>7302</v>
      </c>
      <c r="H693" s="22">
        <v>2</v>
      </c>
      <c r="I693" s="25">
        <v>43137</v>
      </c>
      <c r="J693" s="24">
        <v>43195</v>
      </c>
    </row>
    <row r="694" spans="2:10" x14ac:dyDescent="0.2">
      <c r="B694" s="22">
        <v>692</v>
      </c>
      <c r="C694" s="21" t="s">
        <v>7303</v>
      </c>
      <c r="D694" s="21" t="s">
        <v>1039</v>
      </c>
      <c r="E694" s="20" t="s">
        <v>7304</v>
      </c>
      <c r="F694" s="22">
        <v>1</v>
      </c>
      <c r="G694" s="22" t="s">
        <v>7305</v>
      </c>
      <c r="H694" s="22">
        <v>1</v>
      </c>
      <c r="I694" s="25">
        <v>43228</v>
      </c>
      <c r="J694" s="24">
        <v>43248</v>
      </c>
    </row>
    <row r="695" spans="2:10" x14ac:dyDescent="0.2">
      <c r="B695" s="22">
        <v>693</v>
      </c>
      <c r="C695" s="21" t="s">
        <v>7306</v>
      </c>
      <c r="D695" s="21" t="s">
        <v>1338</v>
      </c>
      <c r="E695" s="20" t="s">
        <v>7307</v>
      </c>
      <c r="F695" s="22">
        <v>1</v>
      </c>
      <c r="G695" s="22" t="s">
        <v>7308</v>
      </c>
      <c r="H695" s="22">
        <v>1</v>
      </c>
      <c r="I695" s="25">
        <v>43207</v>
      </c>
      <c r="J695" s="24">
        <v>43213</v>
      </c>
    </row>
    <row r="696" spans="2:10" x14ac:dyDescent="0.2">
      <c r="B696" s="22">
        <v>694</v>
      </c>
      <c r="C696" s="21" t="s">
        <v>7309</v>
      </c>
      <c r="D696" s="21" t="s">
        <v>2051</v>
      </c>
      <c r="E696" s="20" t="s">
        <v>7310</v>
      </c>
      <c r="F696" s="22">
        <v>1</v>
      </c>
      <c r="G696" s="22" t="s">
        <v>7311</v>
      </c>
      <c r="H696" s="22">
        <v>1</v>
      </c>
      <c r="I696" s="25">
        <v>43235</v>
      </c>
      <c r="J696" s="24">
        <v>43241</v>
      </c>
    </row>
    <row r="697" spans="2:10" x14ac:dyDescent="0.2">
      <c r="B697" s="22">
        <v>695</v>
      </c>
      <c r="C697" s="21" t="s">
        <v>7312</v>
      </c>
      <c r="D697" s="21" t="s">
        <v>2148</v>
      </c>
      <c r="E697" s="20" t="s">
        <v>2710</v>
      </c>
      <c r="F697" s="22">
        <v>1</v>
      </c>
      <c r="G697" s="22" t="s">
        <v>7313</v>
      </c>
      <c r="H697" s="22">
        <v>1</v>
      </c>
      <c r="I697" s="25">
        <v>43277</v>
      </c>
      <c r="J697" s="24">
        <v>43283</v>
      </c>
    </row>
    <row r="698" spans="2:10" x14ac:dyDescent="0.2">
      <c r="B698" s="22">
        <v>696</v>
      </c>
      <c r="C698" s="21" t="s">
        <v>7314</v>
      </c>
      <c r="D698" s="21" t="s">
        <v>1338</v>
      </c>
      <c r="E698" s="20" t="s">
        <v>7315</v>
      </c>
      <c r="F698" s="22">
        <v>1</v>
      </c>
      <c r="G698" s="22" t="s">
        <v>7149</v>
      </c>
      <c r="H698" s="22">
        <v>1</v>
      </c>
      <c r="I698" s="25">
        <v>43445</v>
      </c>
      <c r="J698" s="24">
        <v>43451</v>
      </c>
    </row>
    <row r="699" spans="2:10" x14ac:dyDescent="0.2">
      <c r="B699" s="22">
        <v>697</v>
      </c>
      <c r="C699" s="21" t="s">
        <v>7316</v>
      </c>
      <c r="D699" s="21" t="s">
        <v>2051</v>
      </c>
      <c r="E699" s="20" t="s">
        <v>7317</v>
      </c>
      <c r="F699" s="22">
        <v>3</v>
      </c>
      <c r="G699" s="22" t="s">
        <v>7318</v>
      </c>
      <c r="H699" s="22">
        <v>2</v>
      </c>
      <c r="I699" s="25">
        <v>43123</v>
      </c>
      <c r="J699" s="24">
        <v>43199</v>
      </c>
    </row>
    <row r="700" spans="2:10" x14ac:dyDescent="0.2">
      <c r="B700" s="22">
        <v>698</v>
      </c>
      <c r="C700" s="21" t="s">
        <v>7319</v>
      </c>
      <c r="D700" s="21" t="s">
        <v>1039</v>
      </c>
      <c r="E700" s="20" t="s">
        <v>7320</v>
      </c>
      <c r="F700" s="22">
        <v>5</v>
      </c>
      <c r="G700" s="22" t="s">
        <v>7321</v>
      </c>
      <c r="H700" s="22">
        <v>5</v>
      </c>
      <c r="I700" s="25">
        <v>43102</v>
      </c>
      <c r="J700" s="24">
        <v>43108</v>
      </c>
    </row>
    <row r="701" spans="2:10" x14ac:dyDescent="0.2">
      <c r="B701" s="22">
        <v>699</v>
      </c>
      <c r="C701" s="21" t="s">
        <v>7322</v>
      </c>
      <c r="D701" s="21" t="s">
        <v>2114</v>
      </c>
      <c r="E701" s="20" t="s">
        <v>7323</v>
      </c>
      <c r="F701" s="22">
        <v>1</v>
      </c>
      <c r="G701" s="22" t="s">
        <v>7324</v>
      </c>
      <c r="H701" s="22">
        <v>1</v>
      </c>
      <c r="I701" s="25">
        <v>43109</v>
      </c>
      <c r="J701" s="24">
        <v>43115</v>
      </c>
    </row>
    <row r="702" spans="2:10" x14ac:dyDescent="0.2">
      <c r="B702" s="22">
        <v>700</v>
      </c>
      <c r="C702" s="21" t="s">
        <v>7325</v>
      </c>
      <c r="D702" s="21" t="s">
        <v>1532</v>
      </c>
      <c r="E702" s="20" t="s">
        <v>7326</v>
      </c>
      <c r="F702" s="22">
        <v>7</v>
      </c>
      <c r="G702" s="22" t="s">
        <v>1159</v>
      </c>
      <c r="H702" s="22" t="s">
        <v>1159</v>
      </c>
      <c r="I702" s="25">
        <v>43172</v>
      </c>
      <c r="J702" s="24">
        <v>43199</v>
      </c>
    </row>
    <row r="703" spans="2:10" x14ac:dyDescent="0.2">
      <c r="B703" s="22">
        <v>701</v>
      </c>
      <c r="C703" s="21" t="s">
        <v>7327</v>
      </c>
      <c r="D703" s="21" t="s">
        <v>1183</v>
      </c>
      <c r="E703" s="20" t="s">
        <v>7328</v>
      </c>
      <c r="F703" s="22">
        <v>10</v>
      </c>
      <c r="G703" s="22" t="s">
        <v>7328</v>
      </c>
      <c r="H703" s="22">
        <v>10</v>
      </c>
      <c r="I703" s="25">
        <v>43256</v>
      </c>
      <c r="J703" s="24">
        <v>43258</v>
      </c>
    </row>
    <row r="704" spans="2:10" x14ac:dyDescent="0.2">
      <c r="B704" s="22">
        <v>702</v>
      </c>
      <c r="C704" s="21" t="s">
        <v>7329</v>
      </c>
      <c r="D704" s="21" t="s">
        <v>1572</v>
      </c>
      <c r="E704" s="20" t="s">
        <v>7330</v>
      </c>
      <c r="F704" s="22">
        <v>1</v>
      </c>
      <c r="G704" s="22" t="s">
        <v>1159</v>
      </c>
      <c r="H704" s="22" t="s">
        <v>1159</v>
      </c>
      <c r="I704" s="25">
        <v>43249</v>
      </c>
      <c r="J704" s="24">
        <v>43255</v>
      </c>
    </row>
    <row r="705" spans="2:10" x14ac:dyDescent="0.2">
      <c r="B705" s="22">
        <v>703</v>
      </c>
      <c r="C705" s="21" t="s">
        <v>7331</v>
      </c>
      <c r="D705" s="21" t="s">
        <v>1338</v>
      </c>
      <c r="E705" s="20" t="s">
        <v>7332</v>
      </c>
      <c r="F705" s="22">
        <v>1</v>
      </c>
      <c r="G705" s="22" t="s">
        <v>7333</v>
      </c>
      <c r="H705" s="22">
        <v>1</v>
      </c>
      <c r="I705" s="25">
        <v>43214</v>
      </c>
      <c r="J705" s="24">
        <v>43220</v>
      </c>
    </row>
    <row r="706" spans="2:10" x14ac:dyDescent="0.2">
      <c r="B706" s="22">
        <v>704</v>
      </c>
      <c r="C706" s="21" t="s">
        <v>7334</v>
      </c>
      <c r="D706" s="21" t="s">
        <v>1159</v>
      </c>
      <c r="E706" s="20" t="s">
        <v>7335</v>
      </c>
      <c r="F706" s="22">
        <v>1</v>
      </c>
      <c r="G706" s="22" t="s">
        <v>7336</v>
      </c>
      <c r="H706" s="22">
        <v>1</v>
      </c>
      <c r="I706" s="25">
        <v>43417</v>
      </c>
      <c r="J706" s="24">
        <v>43423</v>
      </c>
    </row>
    <row r="707" spans="2:10" x14ac:dyDescent="0.2">
      <c r="B707" s="22">
        <v>705</v>
      </c>
      <c r="C707" s="21" t="s">
        <v>7337</v>
      </c>
      <c r="D707" s="21" t="s">
        <v>1175</v>
      </c>
      <c r="E707" s="20" t="s">
        <v>7155</v>
      </c>
      <c r="F707" s="22">
        <v>1</v>
      </c>
      <c r="G707" s="22" t="s">
        <v>7338</v>
      </c>
      <c r="H707" s="22">
        <v>1</v>
      </c>
      <c r="I707" s="25">
        <v>43368</v>
      </c>
      <c r="J707" s="24">
        <v>43374</v>
      </c>
    </row>
  </sheetData>
  <mergeCells count="2">
    <mergeCell ref="C3:C4"/>
    <mergeCell ref="B3:B4"/>
  </mergeCells>
  <hyperlinks>
    <hyperlink ref="B3" r:id="rId1"/>
    <hyperlink ref="C3" r:id="rId2"/>
    <hyperlink ref="D3" r:id="rId3"/>
    <hyperlink ref="E5" r:id="rId4"/>
    <hyperlink ref="F5" r:id="rId5"/>
    <hyperlink ref="C6" r:id="rId6"/>
    <hyperlink ref="D6" r:id="rId7"/>
    <hyperlink ref="I6" r:id="rId8" display="http://www.boxofficemojo.com/schedule/?view=bydate&amp;release=theatrical&amp;date=2015-12-18&amp;p=.htm"/>
    <hyperlink ref="C7" r:id="rId9"/>
    <hyperlink ref="D7" r:id="rId10"/>
    <hyperlink ref="I7" r:id="rId11" display="http://www.boxofficemojo.com/schedule/?view=bydate&amp;release=theatrical&amp;date=2015-06-12&amp;p=.htm"/>
    <hyperlink ref="C8" r:id="rId12"/>
    <hyperlink ref="D8" r:id="rId13"/>
    <hyperlink ref="I8" r:id="rId14" display="http://www.boxofficemojo.com/schedule/?view=bydate&amp;release=theatrical&amp;date=2015-05-01&amp;p=.htm"/>
    <hyperlink ref="C9" r:id="rId15"/>
    <hyperlink ref="D9" r:id="rId16"/>
    <hyperlink ref="I9" r:id="rId17" display="http://www.boxofficemojo.com/schedule/?view=bydate&amp;release=theatrical&amp;date=2015-06-19&amp;p=.htm"/>
    <hyperlink ref="C10" r:id="rId18"/>
    <hyperlink ref="D10" r:id="rId19"/>
    <hyperlink ref="I10" r:id="rId20" display="http://www.boxofficemojo.com/schedule/?view=bydate&amp;release=theatrical&amp;date=2015-04-03&amp;p=.htm"/>
    <hyperlink ref="C11" r:id="rId21"/>
    <hyperlink ref="D11" r:id="rId22"/>
    <hyperlink ref="I11" r:id="rId23" display="http://www.boxofficemojo.com/schedule/?view=bydate&amp;release=theatrical&amp;date=2015-07-10&amp;p=.htm"/>
    <hyperlink ref="C12" r:id="rId24"/>
    <hyperlink ref="D12" r:id="rId25"/>
    <hyperlink ref="I12" r:id="rId26" display="http://www.boxofficemojo.com/schedule/?view=bydate&amp;release=theatrical&amp;date=2015-11-20&amp;p=.htm"/>
    <hyperlink ref="C13" r:id="rId27"/>
    <hyperlink ref="D13" r:id="rId28"/>
    <hyperlink ref="I13" r:id="rId29" display="http://www.boxofficemojo.com/schedule/?view=bydate&amp;release=theatrical&amp;date=2015-10-02&amp;p=.htm"/>
    <hyperlink ref="C14" r:id="rId30"/>
    <hyperlink ref="D14" r:id="rId31"/>
    <hyperlink ref="I14" r:id="rId32" display="http://www.boxofficemojo.com/schedule/?view=bydate&amp;release=theatrical&amp;date=2015-03-13&amp;p=.htm"/>
    <hyperlink ref="C15" r:id="rId33"/>
    <hyperlink ref="D15" r:id="rId34"/>
    <hyperlink ref="I15" r:id="rId35" display="http://www.boxofficemojo.com/schedule/?view=bydate&amp;release=theatrical&amp;date=2015-11-06&amp;p=.htm"/>
    <hyperlink ref="C16" r:id="rId36"/>
    <hyperlink ref="D16" r:id="rId37"/>
    <hyperlink ref="I16" r:id="rId38" display="http://www.boxofficemojo.com/schedule/?view=bydate&amp;release=theatrical&amp;date=2015-07-31&amp;p=.htm"/>
    <hyperlink ref="C17" r:id="rId39"/>
    <hyperlink ref="D17" r:id="rId40"/>
    <hyperlink ref="I17" r:id="rId41" display="http://www.boxofficemojo.com/schedule/?view=bydate&amp;release=theatrical&amp;date=2015-05-15&amp;p=.htm"/>
    <hyperlink ref="C18" r:id="rId42"/>
    <hyperlink ref="D18" r:id="rId43"/>
    <hyperlink ref="I18" r:id="rId44" display="http://www.boxofficemojo.com/schedule/?view=bydate&amp;release=theatrical&amp;date=2015-12-25&amp;p=.htm"/>
    <hyperlink ref="C19" r:id="rId45"/>
    <hyperlink ref="D19" r:id="rId46"/>
    <hyperlink ref="I19" r:id="rId47" display="http://www.boxofficemojo.com/schedule/?view=bydate&amp;release=theatrical&amp;date=2015-07-17&amp;p=.htm"/>
    <hyperlink ref="C20" r:id="rId48"/>
    <hyperlink ref="D20" r:id="rId49"/>
    <hyperlink ref="I20" r:id="rId50" display="http://www.boxofficemojo.com/schedule/?view=bydate&amp;release=theatrical&amp;date=2015-03-27&amp;p=.htm"/>
    <hyperlink ref="C21" r:id="rId51"/>
    <hyperlink ref="D21" r:id="rId52"/>
    <hyperlink ref="I21" r:id="rId53" display="http://www.boxofficemojo.com/schedule/?view=bydate&amp;release=theatrical&amp;date=2015-09-25&amp;p=.htm"/>
    <hyperlink ref="C22" r:id="rId54"/>
    <hyperlink ref="D22" r:id="rId55"/>
    <hyperlink ref="I22" r:id="rId56" display="http://www.boxofficemojo.com/schedule/?view=bydate&amp;release=theatrical&amp;date=2015-02-13&amp;p=.htm"/>
    <hyperlink ref="C23" r:id="rId57"/>
    <hyperlink ref="D23" r:id="rId58"/>
    <hyperlink ref="I23" r:id="rId59" display="http://www.boxofficemojo.com/schedule/?view=bydate&amp;release=theatrical&amp;date=2015-02-06&amp;p=.htm"/>
    <hyperlink ref="C24" r:id="rId60"/>
    <hyperlink ref="D24" r:id="rId61"/>
    <hyperlink ref="I24" r:id="rId62" display="http://www.boxofficemojo.com/schedule/?view=bydate&amp;release=theatrical&amp;date=2015-08-14&amp;p=.htm"/>
    <hyperlink ref="C25" r:id="rId63"/>
    <hyperlink ref="D25" r:id="rId64"/>
    <hyperlink ref="I25" r:id="rId65" display="http://www.boxofficemojo.com/schedule/?view=bydate&amp;release=theatrical&amp;date=2015-05-29&amp;p=.htm"/>
    <hyperlink ref="C26" r:id="rId66"/>
    <hyperlink ref="D26" r:id="rId67"/>
    <hyperlink ref="I26" r:id="rId68" display="http://www.boxofficemojo.com/schedule/?view=bydate&amp;release=theatrical&amp;date=2015-05-15&amp;p=.htm"/>
    <hyperlink ref="C27" r:id="rId69"/>
    <hyperlink ref="D27" r:id="rId70"/>
    <hyperlink ref="I27" r:id="rId71" display="http://www.boxofficemojo.com/schedule/?view=bydate&amp;release=theatrical&amp;date=2015-12-25&amp;p=.htm"/>
    <hyperlink ref="C28" r:id="rId72"/>
    <hyperlink ref="D28" r:id="rId73"/>
    <hyperlink ref="I28" r:id="rId74" display="http://www.boxofficemojo.com/schedule/?view=bydate&amp;release=theatrical&amp;date=2015-03-20&amp;p=.htm"/>
    <hyperlink ref="C29" r:id="rId75"/>
    <hyperlink ref="D29" r:id="rId76"/>
    <hyperlink ref="I29" r:id="rId77" display="http://www.boxofficemojo.com/schedule/?view=bydate&amp;release=theatrical&amp;date=2015-11-06&amp;p=.htm"/>
    <hyperlink ref="C30" r:id="rId78"/>
    <hyperlink ref="D30" r:id="rId79"/>
    <hyperlink ref="I30" r:id="rId80" display="http://www.boxofficemojo.com/schedule/?view=bydate&amp;release=theatrical&amp;date=2015-02-13&amp;p=.htm"/>
    <hyperlink ref="C31" r:id="rId81"/>
    <hyperlink ref="D31" r:id="rId82"/>
    <hyperlink ref="I31" r:id="rId83" display="http://www.boxofficemojo.com/schedule/?view=bydate&amp;release=theatrical&amp;date=2015-11-25&amp;p=.htm"/>
    <hyperlink ref="C32" r:id="rId84"/>
    <hyperlink ref="D32" r:id="rId85"/>
    <hyperlink ref="I32" r:id="rId86" display="http://www.boxofficemojo.com/schedule/?view=bydate&amp;release=theatrical&amp;date=2015-06-05&amp;p=.htm"/>
    <hyperlink ref="C33" r:id="rId87"/>
    <hyperlink ref="D33" r:id="rId88"/>
    <hyperlink ref="I33" r:id="rId89" display="http://www.boxofficemojo.com/schedule/?view=bydate&amp;release=theatrical&amp;date=2015-07-17&amp;p=.htm"/>
    <hyperlink ref="C34" r:id="rId90"/>
    <hyperlink ref="D34" r:id="rId91"/>
    <hyperlink ref="I34" r:id="rId92" display="http://www.boxofficemojo.com/schedule/?view=bydate&amp;release=theatrical&amp;date=2015-11-25&amp;p=.htm"/>
    <hyperlink ref="C35" r:id="rId93"/>
    <hyperlink ref="D35" r:id="rId94"/>
    <hyperlink ref="I35" r:id="rId95" display="http://www.boxofficemojo.com/schedule/?view=bydate&amp;release=theatrical&amp;date=2015-05-22&amp;p=.htm"/>
    <hyperlink ref="C36" r:id="rId96"/>
    <hyperlink ref="D36" r:id="rId97"/>
    <hyperlink ref="I36" r:id="rId98" display="http://www.boxofficemojo.com/schedule/?view=bydate&amp;release=theatrical&amp;date=2015-03-27&amp;p=.htm"/>
    <hyperlink ref="C37" r:id="rId99"/>
    <hyperlink ref="D37" r:id="rId100"/>
    <hyperlink ref="I37" r:id="rId101" display="http://www.boxofficemojo.com/schedule/?view=bydate&amp;release=theatrical&amp;date=2015-07-01&amp;p=.htm"/>
    <hyperlink ref="C38" r:id="rId102"/>
    <hyperlink ref="D38" r:id="rId103"/>
    <hyperlink ref="I38" r:id="rId104" display="http://www.boxofficemojo.com/schedule/?view=bydate&amp;release=theatrical&amp;date=2015-01-09&amp;p=.htm"/>
    <hyperlink ref="C39" r:id="rId105"/>
    <hyperlink ref="D39" r:id="rId106"/>
    <hyperlink ref="I39" r:id="rId107" display="http://www.boxofficemojo.com/schedule/?view=bydate&amp;release=theatrical&amp;date=2015-12-18&amp;p=.htm"/>
    <hyperlink ref="C40" r:id="rId108"/>
    <hyperlink ref="D40" r:id="rId109"/>
    <hyperlink ref="I40" r:id="rId110" display="http://www.boxofficemojo.com/schedule/?view=bydate&amp;release=theatrical&amp;date=2015-12-18&amp;p=.htm"/>
    <hyperlink ref="C41" r:id="rId111"/>
    <hyperlink ref="D41" r:id="rId112"/>
    <hyperlink ref="I41" r:id="rId113" display="http://www.boxofficemojo.com/schedule/?view=bydate&amp;release=theatrical&amp;date=2015-09-18&amp;p=.htm"/>
    <hyperlink ref="C42" r:id="rId114"/>
    <hyperlink ref="D42" r:id="rId115"/>
    <hyperlink ref="I42" r:id="rId116" display="http://www.boxofficemojo.com/schedule/?view=bydate&amp;release=theatrical&amp;date=2015-06-26&amp;p=.htm"/>
    <hyperlink ref="C43" r:id="rId117"/>
    <hyperlink ref="D43" r:id="rId118"/>
    <hyperlink ref="I43" r:id="rId119" display="http://www.boxofficemojo.com/schedule/?view=bydate&amp;release=theatrical&amp;date=2015-10-16&amp;p=.htm"/>
    <hyperlink ref="C44" r:id="rId120"/>
    <hyperlink ref="D44" r:id="rId121"/>
    <hyperlink ref="I44" r:id="rId122" display="http://www.boxofficemojo.com/schedule/?view=bydate&amp;release=theatrical&amp;date=2015-07-24&amp;p=.htm"/>
    <hyperlink ref="C45" r:id="rId123"/>
    <hyperlink ref="D45" r:id="rId124"/>
    <hyperlink ref="I45" r:id="rId125" display="http://www.boxofficemojo.com/schedule/?view=bydate&amp;release=theatrical&amp;date=2015-01-16&amp;p=.htm"/>
    <hyperlink ref="C46" r:id="rId126"/>
    <hyperlink ref="D46" r:id="rId127"/>
    <hyperlink ref="I46" r:id="rId128" display="http://www.boxofficemojo.com/schedule/?view=bydate&amp;release=theatrical&amp;date=2015-09-25&amp;p=.htm"/>
    <hyperlink ref="C47" r:id="rId129"/>
    <hyperlink ref="D47" r:id="rId130"/>
    <hyperlink ref="I47" r:id="rId131" display="http://www.boxofficemojo.com/schedule/?view=bydate&amp;release=theatrical&amp;date=2015-10-16&amp;p=.htm"/>
    <hyperlink ref="C48" r:id="rId132"/>
    <hyperlink ref="D48" r:id="rId133"/>
    <hyperlink ref="I48" r:id="rId134" display="http://www.boxofficemojo.com/schedule/?view=bydate&amp;release=theatrical&amp;date=2015-04-17&amp;p=.htm"/>
    <hyperlink ref="C49" r:id="rId135"/>
    <hyperlink ref="D49" r:id="rId136"/>
    <hyperlink ref="I49" r:id="rId137" display="http://www.boxofficemojo.com/schedule/?view=bydate&amp;release=theatrical&amp;date=2015-12-11&amp;p=.htm"/>
    <hyperlink ref="C50" r:id="rId138"/>
    <hyperlink ref="D50" r:id="rId139"/>
    <hyperlink ref="I50" r:id="rId140" display="http://www.boxofficemojo.com/schedule/?view=bydate&amp;release=theatrical&amp;date=2015-08-28&amp;p=.htm"/>
    <hyperlink ref="C51" r:id="rId141"/>
    <hyperlink ref="D51" r:id="rId142"/>
    <hyperlink ref="I51" r:id="rId143" display="http://www.boxofficemojo.com/schedule/?view=bydate&amp;release=theatrical&amp;date=2015-07-01&amp;p=.htm"/>
    <hyperlink ref="C52" r:id="rId144"/>
    <hyperlink ref="D52" r:id="rId145"/>
    <hyperlink ref="I52" r:id="rId146" display="http://www.boxofficemojo.com/schedule/?view=bydate&amp;release=theatrical&amp;date=2015-09-11&amp;p=.htm"/>
    <hyperlink ref="C53" r:id="rId147"/>
    <hyperlink ref="D53" r:id="rId148"/>
    <hyperlink ref="I53" r:id="rId149" display="http://www.boxofficemojo.com/schedule/?view=bydate&amp;release=theatrical&amp;date=2015-01-16&amp;p=.htm"/>
    <hyperlink ref="C54" r:id="rId150"/>
    <hyperlink ref="D54" r:id="rId151"/>
    <hyperlink ref="I54" r:id="rId152" display="http://www.boxofficemojo.com/schedule/?view=bydate&amp;release=theatrical&amp;date=2015-09-18&amp;p=.htm"/>
    <hyperlink ref="C55" r:id="rId153"/>
    <hyperlink ref="D55" r:id="rId154"/>
    <hyperlink ref="I55" r:id="rId155" display="http://www.boxofficemojo.com/schedule/?view=bydate&amp;release=theatrical&amp;date=2015-07-29&amp;p=.htm"/>
    <hyperlink ref="C56" r:id="rId156"/>
    <hyperlink ref="D56" r:id="rId157"/>
    <hyperlink ref="I56" r:id="rId158" display="http://www.boxofficemojo.com/schedule/?view=bydate&amp;release=theatrical&amp;date=2015-09-11&amp;p=.htm"/>
    <hyperlink ref="C57" r:id="rId159"/>
    <hyperlink ref="D57" r:id="rId160"/>
    <hyperlink ref="I57" r:id="rId161" display="http://www.boxofficemojo.com/schedule/?view=bydate&amp;release=theatrical&amp;date=2015-12-25&amp;p=.htm"/>
    <hyperlink ref="C58" r:id="rId162"/>
    <hyperlink ref="D58" r:id="rId163"/>
    <hyperlink ref="I58" r:id="rId164" display="http://www.boxofficemojo.com/schedule/?view=bydate&amp;release=theatrical&amp;date=2015-08-07&amp;p=.htm"/>
    <hyperlink ref="C59" r:id="rId165"/>
    <hyperlink ref="D59" r:id="rId166"/>
    <hyperlink ref="I59" r:id="rId167" display="http://www.boxofficemojo.com/schedule/?view=bydate&amp;release=theatrical&amp;date=2015-12-25&amp;p=.htm"/>
    <hyperlink ref="C60" r:id="rId168"/>
    <hyperlink ref="D60" r:id="rId169"/>
    <hyperlink ref="I60" r:id="rId170" display="http://www.boxofficemojo.com/schedule/?view=bydate&amp;release=theatrical&amp;date=2015-02-27&amp;p=.htm"/>
    <hyperlink ref="C61" r:id="rId171"/>
    <hyperlink ref="D61" r:id="rId172"/>
    <hyperlink ref="I61" r:id="rId173" display="http://www.boxofficemojo.com/schedule/?view=bydate&amp;release=theatrical&amp;date=2015-07-24&amp;p=.htm"/>
    <hyperlink ref="C62" r:id="rId174"/>
    <hyperlink ref="D62" r:id="rId175"/>
    <hyperlink ref="I62" r:id="rId176" display="http://www.boxofficemojo.com/schedule/?view=bydate&amp;release=theatrical&amp;date=2015-06-05&amp;p=.htm"/>
    <hyperlink ref="C63" r:id="rId177"/>
    <hyperlink ref="D63" r:id="rId178"/>
    <hyperlink ref="I63" r:id="rId179" display="http://www.boxofficemojo.com/schedule/?view=bydate&amp;release=theatrical&amp;date=2015-05-22&amp;p=.htm"/>
    <hyperlink ref="C64" r:id="rId180"/>
    <hyperlink ref="D64" r:id="rId181"/>
    <hyperlink ref="I64" r:id="rId182" display="http://www.boxofficemojo.com/schedule/?view=bydate&amp;release=theatrical&amp;date=2015-02-06&amp;p=.htm"/>
    <hyperlink ref="C65" r:id="rId183"/>
    <hyperlink ref="D65" r:id="rId184"/>
    <hyperlink ref="I65" r:id="rId185" display="http://www.boxofficemojo.com/schedule/?view=bydate&amp;release=theatrical&amp;date=2015-09-18&amp;p=.htm"/>
    <hyperlink ref="C66" r:id="rId186"/>
    <hyperlink ref="D66" r:id="rId187"/>
    <hyperlink ref="I66" r:id="rId188" display="http://www.boxofficemojo.com/schedule/?view=bydate&amp;release=theatrical&amp;date=2015-08-14&amp;p=.htm"/>
    <hyperlink ref="C67" r:id="rId189"/>
    <hyperlink ref="D67" r:id="rId190"/>
    <hyperlink ref="I67" r:id="rId191" display="http://www.boxofficemojo.com/schedule/?view=bydate&amp;release=theatrical&amp;date=2015-11-06&amp;p=.htm"/>
    <hyperlink ref="C68" r:id="rId192"/>
    <hyperlink ref="D68" r:id="rId193"/>
    <hyperlink ref="I68" r:id="rId194" display="http://www.boxofficemojo.com/schedule/?view=bydate&amp;release=theatrical&amp;date=2015-02-20&amp;p=.htm"/>
    <hyperlink ref="C69" r:id="rId195"/>
    <hyperlink ref="D69" r:id="rId196"/>
    <hyperlink ref="I69" r:id="rId197" display="http://www.boxofficemojo.com/schedule/?view=bydate&amp;release=theatrical&amp;date=2015-08-07&amp;p=.htm"/>
    <hyperlink ref="C70" r:id="rId198"/>
    <hyperlink ref="D70" r:id="rId199"/>
    <hyperlink ref="I70" r:id="rId200" display="http://www.boxofficemojo.com/schedule/?view=bydate&amp;release=theatrical&amp;date=2015-09-18&amp;p=.htm"/>
    <hyperlink ref="C71" r:id="rId201"/>
    <hyperlink ref="D71" r:id="rId202"/>
    <hyperlink ref="I71" r:id="rId203" display="http://www.boxofficemojo.com/schedule/?view=bydate&amp;release=theatrical&amp;date=2015-11-20&amp;p=.htm"/>
    <hyperlink ref="C72" r:id="rId204"/>
    <hyperlink ref="D72" r:id="rId205"/>
    <hyperlink ref="I72" r:id="rId206" display="http://www.boxofficemojo.com/schedule/?view=bydate&amp;release=theatrical&amp;date=2015-12-04&amp;p=.htm"/>
    <hyperlink ref="C73" r:id="rId207"/>
    <hyperlink ref="D73" r:id="rId208"/>
    <hyperlink ref="I73" r:id="rId209" display="http://www.boxofficemojo.com/schedule/?view=bydate&amp;release=theatrical&amp;date=2015-06-26&amp;p=.htm"/>
    <hyperlink ref="C74" r:id="rId210"/>
    <hyperlink ref="D74" r:id="rId211"/>
    <hyperlink ref="I74" r:id="rId212" display="http://www.boxofficemojo.com/schedule/?view=bydate&amp;release=theatrical&amp;date=2015-04-24&amp;p=.htm"/>
    <hyperlink ref="C75" r:id="rId213"/>
    <hyperlink ref="D75" r:id="rId214"/>
    <hyperlink ref="I75" r:id="rId215" display="http://www.boxofficemojo.com/schedule/?view=bydate&amp;release=theatrical&amp;date=2015-11-04&amp;p=.htm"/>
    <hyperlink ref="C76" r:id="rId216"/>
    <hyperlink ref="D76" r:id="rId217"/>
    <hyperlink ref="I76" r:id="rId218" display="http://www.boxofficemojo.com/schedule/?view=bydate&amp;release=theatrical&amp;date=2015-04-10&amp;p=.htm"/>
    <hyperlink ref="C77" r:id="rId219"/>
    <hyperlink ref="D77" r:id="rId220"/>
    <hyperlink ref="I77" r:id="rId221" display="http://www.boxofficemojo.com/schedule/?view=bydate&amp;release=theatrical&amp;date=2015-01-23&amp;p=.htm"/>
    <hyperlink ref="C78" r:id="rId222"/>
    <hyperlink ref="D78" r:id="rId223"/>
    <hyperlink ref="I78" r:id="rId224" display="http://www.boxofficemojo.com/schedule/?view=bydate&amp;release=theatrical&amp;date=2015-10-09&amp;p=.htm"/>
    <hyperlink ref="C79" r:id="rId225"/>
    <hyperlink ref="D79" r:id="rId226"/>
    <hyperlink ref="I79" r:id="rId227" display="http://www.boxofficemojo.com/schedule/?view=bydate&amp;release=theatrical&amp;date=2015-05-08&amp;p=.htm"/>
    <hyperlink ref="C80" r:id="rId228"/>
    <hyperlink ref="D80" r:id="rId229"/>
    <hyperlink ref="I80" r:id="rId230" display="http://www.boxofficemojo.com/schedule/?view=bydate&amp;release=theatrical&amp;date=2015-12-25&amp;p=.htm"/>
    <hyperlink ref="C81" r:id="rId231"/>
    <hyperlink ref="D81" r:id="rId232"/>
    <hyperlink ref="I81" r:id="rId233" display="http://www.boxofficemojo.com/schedule/?view=bydate&amp;release=theatrical&amp;date=2015-02-20&amp;p=.htm"/>
    <hyperlink ref="C82" r:id="rId234"/>
    <hyperlink ref="D82" r:id="rId235"/>
    <hyperlink ref="I82" r:id="rId236" display="http://www.boxofficemojo.com/schedule/?view=bydate&amp;release=theatrical&amp;date=2015-04-01&amp;p=.htm"/>
    <hyperlink ref="C83" r:id="rId237"/>
    <hyperlink ref="D83" r:id="rId238"/>
    <hyperlink ref="I83" r:id="rId239" display="http://www.boxofficemojo.com/schedule/?view=bydate&amp;release=theatrical&amp;date=2015-03-06&amp;p=.htm"/>
    <hyperlink ref="C84" r:id="rId240"/>
    <hyperlink ref="D84" r:id="rId241"/>
    <hyperlink ref="I84" r:id="rId242" display="http://www.boxofficemojo.com/schedule/?view=bydate&amp;release=theatrical&amp;date=2015-04-17&amp;p=.htm"/>
    <hyperlink ref="C85" r:id="rId243"/>
    <hyperlink ref="D85" r:id="rId244"/>
    <hyperlink ref="I85" r:id="rId245" display="http://www.boxofficemojo.com/schedule/?view=bydate&amp;release=theatrical&amp;date=2015-06-03&amp;p=.htm"/>
    <hyperlink ref="C86" r:id="rId246"/>
    <hyperlink ref="D86" r:id="rId247"/>
    <hyperlink ref="I86" r:id="rId248" display="http://www.boxofficemojo.com/schedule/?view=bydate&amp;release=theatrical&amp;date=2015-07-24&amp;p=.htm"/>
    <hyperlink ref="C87" r:id="rId249"/>
    <hyperlink ref="D87" r:id="rId250"/>
    <hyperlink ref="I87" r:id="rId251" display="http://www.boxofficemojo.com/schedule/?view=bydate&amp;release=theatrical&amp;date=2015-03-06&amp;p=.htm"/>
    <hyperlink ref="C88" r:id="rId252"/>
    <hyperlink ref="D88" r:id="rId253"/>
    <hyperlink ref="I88" r:id="rId254" display="http://www.boxofficemojo.com/schedule/?view=bydate&amp;release=theatrical&amp;date=2015-10-16&amp;p=.htm"/>
    <hyperlink ref="C89" r:id="rId255"/>
    <hyperlink ref="D89" r:id="rId256"/>
    <hyperlink ref="I89" r:id="rId257" display="http://www.boxofficemojo.com/schedule/?view=bydate&amp;release=theatrical&amp;date=2015-09-02&amp;p=.htm"/>
    <hyperlink ref="C90" r:id="rId258"/>
    <hyperlink ref="D90" r:id="rId259"/>
    <hyperlink ref="I90" r:id="rId260" display="http://www.boxofficemojo.com/schedule/?view=bydate&amp;release=theatrical&amp;date=2015-12-25&amp;p=.htm"/>
    <hyperlink ref="C91" r:id="rId261"/>
    <hyperlink ref="D91" r:id="rId262"/>
    <hyperlink ref="I91" r:id="rId263" display="http://www.boxofficemojo.com/schedule/?view=bydate&amp;release=theatrical&amp;date=2015-08-21&amp;p=.htm"/>
    <hyperlink ref="C92" r:id="rId264"/>
    <hyperlink ref="D92" r:id="rId265"/>
    <hyperlink ref="I92" r:id="rId266" display="http://www.boxofficemojo.com/schedule/?view=bydate&amp;release=theatrical&amp;date=2015-10-23&amp;p=.htm"/>
    <hyperlink ref="C93" r:id="rId267"/>
    <hyperlink ref="D93" r:id="rId268"/>
    <hyperlink ref="I93" r:id="rId269" display="http://www.boxofficemojo.com/schedule/?view=bydate&amp;release=theatrical&amp;date=2015-08-26&amp;p=.htm"/>
    <hyperlink ref="C94" r:id="rId270"/>
    <hyperlink ref="D94" r:id="rId271"/>
    <hyperlink ref="I94" r:id="rId272" display="http://www.boxofficemojo.com/schedule/?view=bydate&amp;release=theatrical&amp;date=2015-08-07&amp;p=.htm"/>
    <hyperlink ref="C95" r:id="rId273"/>
    <hyperlink ref="D95" r:id="rId274"/>
    <hyperlink ref="I95" r:id="rId275" display="http://www.boxofficemojo.com/schedule/?view=bydate&amp;release=theatrical&amp;date=2015-01-02&amp;p=.htm"/>
    <hyperlink ref="C96" r:id="rId276"/>
    <hyperlink ref="D96" r:id="rId277"/>
    <hyperlink ref="I96" r:id="rId278" display="http://www.boxofficemojo.com/schedule/?view=bydate&amp;release=theatrical&amp;date=2015-03-13&amp;p=.htm"/>
    <hyperlink ref="C97" r:id="rId279"/>
    <hyperlink ref="D97" r:id="rId280"/>
    <hyperlink ref="I97" r:id="rId281" display="http://www.boxofficemojo.com/schedule/?view=bydate&amp;release=theatrical&amp;date=2015-11-13&amp;p=.htm"/>
    <hyperlink ref="C98" r:id="rId282"/>
    <hyperlink ref="D98" r:id="rId283"/>
    <hyperlink ref="I98" r:id="rId284" display="http://www.boxofficemojo.com/schedule/?view=bydate&amp;release=theatrical&amp;date=2015-02-27&amp;p=.htm"/>
    <hyperlink ref="C99" r:id="rId285"/>
    <hyperlink ref="D99" r:id="rId286"/>
    <hyperlink ref="I99" r:id="rId287" display="http://www.boxofficemojo.com/schedule/?view=bydate&amp;release=theatrical&amp;date=2015-04-10&amp;p=.htm"/>
    <hyperlink ref="C100" r:id="rId288"/>
    <hyperlink ref="D100" r:id="rId289"/>
    <hyperlink ref="I100" r:id="rId290" display="http://www.boxofficemojo.com/schedule/?view=bydate&amp;release=theatrical&amp;date=2015-12-11&amp;p=.htm"/>
    <hyperlink ref="C101" r:id="rId291"/>
    <hyperlink ref="D101" r:id="rId292"/>
    <hyperlink ref="I101" r:id="rId293" display="http://www.boxofficemojo.com/schedule/?view=bydate&amp;release=theatrical&amp;date=2015-07-10&amp;p=.htm"/>
    <hyperlink ref="C102" r:id="rId294"/>
    <hyperlink ref="D102" r:id="rId295"/>
    <hyperlink ref="I102" r:id="rId296" display="http://www.boxofficemojo.com/schedule/?view=bydate&amp;release=theatrical&amp;date=2015-08-21&amp;p=.htm"/>
    <hyperlink ref="C103" r:id="rId297"/>
    <hyperlink ref="D103" r:id="rId298"/>
    <hyperlink ref="I103" r:id="rId299" display="http://www.boxofficemojo.com/schedule/?view=bydate&amp;release=theatrical&amp;date=2015-01-30&amp;p=.htm"/>
    <hyperlink ref="C104" r:id="rId300"/>
    <hyperlink ref="D104" r:id="rId301"/>
    <hyperlink ref="I104" r:id="rId302" display="http://www.boxofficemojo.com/schedule/?view=bydate&amp;release=theatrical&amp;date=2015-01-30&amp;p=.htm"/>
    <hyperlink ref="C105" r:id="rId303"/>
    <hyperlink ref="D105" r:id="rId304"/>
    <hyperlink ref="I105" r:id="rId305" display="http://www.boxofficemojo.com/schedule/?view=bydate&amp;release=theatrical&amp;date=2015-05-29&amp;p=.htm"/>
    <hyperlink ref="C106" r:id="rId306"/>
    <hyperlink ref="D106" r:id="rId307"/>
    <hyperlink ref="I106" r:id="rId308" display="http://www.boxofficemojo.com/schedule/?view=bydate&amp;release=theatrical&amp;date=2015-11-20&amp;p=.htm"/>
    <hyperlink ref="C107" r:id="rId309"/>
    <hyperlink ref="D107" r:id="rId310"/>
    <hyperlink ref="I107" r:id="rId311" display="http://www.boxofficemojo.com/schedule/?view=bydate&amp;release=theatrical&amp;date=2015-08-05&amp;p=.htm"/>
    <hyperlink ref="C108" r:id="rId312"/>
    <hyperlink ref="D108" r:id="rId313"/>
    <hyperlink ref="I108" r:id="rId314" display="http://www.boxofficemojo.com/schedule/?view=bydate&amp;release=theatrical&amp;date=2015-01-16&amp;p=.htm"/>
    <hyperlink ref="C109" r:id="rId315"/>
    <hyperlink ref="D109" r:id="rId316"/>
    <hyperlink ref="I109" r:id="rId317" display="http://www.boxofficemojo.com/schedule/?view=bydate&amp;release=theatrical&amp;date=2015-10-23&amp;p=.htm"/>
    <hyperlink ref="C110" r:id="rId318"/>
    <hyperlink ref="D110" r:id="rId319"/>
    <hyperlink ref="I110" r:id="rId320" display="http://www.boxofficemojo.com/schedule/?view=bydate&amp;release=theatrical&amp;date=2015-10-09&amp;p=.htm"/>
    <hyperlink ref="C111" r:id="rId321"/>
    <hyperlink ref="D111" r:id="rId322"/>
    <hyperlink ref="I111" r:id="rId323" display="http://www.boxofficemojo.com/schedule/?view=bydate&amp;release=theatrical&amp;date=2015-07-17&amp;p=.htm"/>
    <hyperlink ref="C112" r:id="rId324"/>
    <hyperlink ref="D112" r:id="rId325"/>
    <hyperlink ref="I112" r:id="rId326" display="http://www.boxofficemojo.com/schedule/?view=bydate&amp;release=theatrical&amp;date=2015-06-19&amp;p=.htm"/>
    <hyperlink ref="C113" r:id="rId327"/>
    <hyperlink ref="D113" r:id="rId328"/>
    <hyperlink ref="I113" r:id="rId329" display="http://www.boxofficemojo.com/schedule/?view=bydate&amp;release=theatrical&amp;date=2015-02-06&amp;p=.htm"/>
    <hyperlink ref="C114" r:id="rId330"/>
    <hyperlink ref="D114" r:id="rId331"/>
    <hyperlink ref="I114" r:id="rId332" display="http://www.boxofficemojo.com/schedule/?view=bydate&amp;release=theatrical&amp;date=2015-04-17&amp;p=.htm"/>
    <hyperlink ref="C115" r:id="rId333"/>
    <hyperlink ref="D115" r:id="rId334"/>
    <hyperlink ref="I115" r:id="rId335" display="http://www.boxofficemojo.com/schedule/?view=bydate&amp;release=theatrical&amp;date=2015-09-04&amp;p=.htm"/>
    <hyperlink ref="C116" r:id="rId336"/>
    <hyperlink ref="D116" r:id="rId337"/>
    <hyperlink ref="I116" r:id="rId338" display="http://www.boxofficemojo.com/schedule/?view=bydate&amp;release=theatrical&amp;date=2015-10-16&amp;p=.htm"/>
    <hyperlink ref="C117" r:id="rId339"/>
    <hyperlink ref="D117" r:id="rId340"/>
    <hyperlink ref="I117" r:id="rId341" display="http://www.boxofficemojo.com/schedule/?view=bydate&amp;release=theatrical&amp;date=2015-03-13&amp;p=.htm"/>
    <hyperlink ref="C118" r:id="rId342"/>
    <hyperlink ref="D118" r:id="rId343"/>
    <hyperlink ref="I118" r:id="rId344" display="http://www.boxofficemojo.com/schedule/?view=bydate&amp;release=theatrical&amp;date=2015-08-21&amp;p=.htm"/>
    <hyperlink ref="C119" r:id="rId345"/>
    <hyperlink ref="D119" r:id="rId346"/>
    <hyperlink ref="I119" r:id="rId347" display="http://www.boxofficemojo.com/schedule/?view=bydate&amp;release=theatrical&amp;date=2015-10-16&amp;p=.htm"/>
    <hyperlink ref="C120" r:id="rId348"/>
    <hyperlink ref="D120" r:id="rId349"/>
    <hyperlink ref="I120" r:id="rId350" display="http://www.boxofficemojo.com/schedule/?view=bydate&amp;release=theatrical&amp;date=2015-10-30&amp;p=.htm"/>
    <hyperlink ref="C121" r:id="rId351"/>
    <hyperlink ref="D121" r:id="rId352"/>
    <hyperlink ref="I121" r:id="rId353" display="http://www.boxofficemojo.com/schedule/?view=bydate&amp;release=theatrical&amp;date=2015-03-20&amp;p=.htm"/>
    <hyperlink ref="C122" r:id="rId354"/>
    <hyperlink ref="D122" r:id="rId355"/>
    <hyperlink ref="I122" r:id="rId356" display="http://www.boxofficemojo.com/schedule/?view=bydate&amp;release=theatrical&amp;date=2015-11-20&amp;p=.htm"/>
    <hyperlink ref="C123" r:id="rId357"/>
    <hyperlink ref="D123" r:id="rId358"/>
    <hyperlink ref="I123" r:id="rId359" display="http://www.boxofficemojo.com/schedule/?view=bydate&amp;release=theatrical&amp;date=2015-06-05&amp;p=.htm"/>
    <hyperlink ref="C124" r:id="rId360"/>
    <hyperlink ref="D124" r:id="rId361"/>
    <hyperlink ref="I124" r:id="rId362" display="http://www.boxofficemojo.com/schedule/?view=bydate&amp;release=theatrical&amp;date=2015-01-23&amp;p=.htm"/>
    <hyperlink ref="C125" r:id="rId363"/>
    <hyperlink ref="D125" r:id="rId364"/>
    <hyperlink ref="I125" r:id="rId365" display="http://www.boxofficemojo.com/schedule/?view=bydate&amp;release=theatrical&amp;date=2015-02-20&amp;p=.htm"/>
    <hyperlink ref="C126" r:id="rId366"/>
    <hyperlink ref="D126" r:id="rId367"/>
    <hyperlink ref="I126" r:id="rId368" display="http://www.boxofficemojo.com/schedule/?view=bydate&amp;release=theatrical&amp;date=2015-07-10&amp;p=.htm"/>
    <hyperlink ref="C127" r:id="rId369"/>
    <hyperlink ref="D127" r:id="rId370"/>
    <hyperlink ref="I127" r:id="rId371" display="http://www.boxofficemojo.com/schedule/?view=bydate&amp;release=theatrical&amp;date=2015-05-01&amp;p=.htm"/>
    <hyperlink ref="C128" r:id="rId372"/>
    <hyperlink ref="D128" r:id="rId373"/>
    <hyperlink ref="I128" r:id="rId374" display="http://www.boxofficemojo.com/schedule/?view=bydate&amp;release=theatrical&amp;date=2015-11-13&amp;p=.htm"/>
    <hyperlink ref="C129" r:id="rId375"/>
    <hyperlink ref="D129" r:id="rId376"/>
    <hyperlink ref="I129" r:id="rId377" display="http://www.boxofficemojo.com/schedule/?view=bydate&amp;release=theatrical&amp;date=2015-11-27&amp;p=.htm"/>
    <hyperlink ref="C130" r:id="rId378"/>
    <hyperlink ref="D130" r:id="rId379"/>
    <hyperlink ref="I130" r:id="rId380" display="http://www.boxofficemojo.com/schedule/?view=bydate&amp;release=theatrical&amp;date=2015-03-20&amp;p=.htm"/>
    <hyperlink ref="C131" r:id="rId381"/>
    <hyperlink ref="D131" r:id="rId382"/>
    <hyperlink ref="I131" r:id="rId383" display="http://www.boxofficemojo.com/schedule/?view=bydate&amp;release=theatrical&amp;date=2015-03-06&amp;p=.htm"/>
    <hyperlink ref="C132" r:id="rId384"/>
    <hyperlink ref="D132" r:id="rId385"/>
    <hyperlink ref="I132" r:id="rId386" display="http://www.boxofficemojo.com/schedule/?view=bydate&amp;release=theatrical&amp;date=2015-09-30&amp;p=.htm"/>
    <hyperlink ref="C133" r:id="rId387"/>
    <hyperlink ref="D133" r:id="rId388"/>
    <hyperlink ref="I133" r:id="rId389" display="http://www.boxofficemojo.com/schedule/?view=bydate&amp;release=theatrical&amp;date=2015-12-04&amp;p=.htm"/>
    <hyperlink ref="C134" r:id="rId390"/>
    <hyperlink ref="D134" r:id="rId391"/>
    <hyperlink ref="I134" r:id="rId392" display="http://www.boxofficemojo.com/schedule/?view=bydate&amp;release=theatrical&amp;date=2015-09-04&amp;p=.htm"/>
    <hyperlink ref="C135" r:id="rId393"/>
    <hyperlink ref="D135" r:id="rId394"/>
    <hyperlink ref="I135" r:id="rId395" display="http://www.boxofficemojo.com/schedule/?view=bydate&amp;release=theatrical&amp;date=2015-07-03&amp;p=.htm"/>
    <hyperlink ref="C136" r:id="rId396"/>
    <hyperlink ref="D136" r:id="rId397"/>
    <hyperlink ref="I136" r:id="rId398" display="http://www.boxofficemojo.com/schedule/?view=bydate&amp;release=theatrical&amp;date=2015-07-17&amp;p=.htm"/>
    <hyperlink ref="C137" r:id="rId399"/>
    <hyperlink ref="D137" r:id="rId400"/>
    <hyperlink ref="I137" r:id="rId401" display="http://www.boxofficemojo.com/schedule/?view=bydate&amp;release=theatrical&amp;date=2015-08-04&amp;p=.htm"/>
    <hyperlink ref="C138" r:id="rId402"/>
    <hyperlink ref="D138" r:id="rId403"/>
    <hyperlink ref="I138" r:id="rId404" display="http://www.boxofficemojo.com/schedule/?view=bydate&amp;release=theatrical&amp;date=2015-01-16&amp;p=.htm"/>
    <hyperlink ref="C139" r:id="rId405"/>
    <hyperlink ref="D139" r:id="rId406"/>
    <hyperlink ref="I139" r:id="rId407" display="http://www.boxofficemojo.com/schedule/?view=bydate&amp;release=theatrical&amp;date=2015-11-06&amp;p=.htm"/>
    <hyperlink ref="C140" r:id="rId408"/>
    <hyperlink ref="D140" r:id="rId409"/>
    <hyperlink ref="I140" r:id="rId410" display="http://www.boxofficemojo.com/schedule/?view=bydate&amp;release=theatrical&amp;date=2015-01-23&amp;p=.htm"/>
    <hyperlink ref="C141" r:id="rId411"/>
    <hyperlink ref="D141" r:id="rId412"/>
    <hyperlink ref="I141" r:id="rId413" display="http://www.boxofficemojo.com/schedule/?view=bydate&amp;release=theatrical&amp;date=2015-03-27&amp;p=.htm"/>
    <hyperlink ref="C142" r:id="rId414"/>
    <hyperlink ref="D142" r:id="rId415"/>
    <hyperlink ref="I142" r:id="rId416" display="http://www.boxofficemojo.com/schedule/?view=bydate&amp;release=theatrical&amp;date=2015-05-15&amp;p=.htm"/>
    <hyperlink ref="C143" r:id="rId417"/>
    <hyperlink ref="D143" r:id="rId418"/>
    <hyperlink ref="I143" r:id="rId419" display="http://www.boxofficemojo.com/schedule/?view=bydate&amp;release=theatrical&amp;date=2015-09-25&amp;p=.htm"/>
    <hyperlink ref="C144" r:id="rId420"/>
    <hyperlink ref="D144" r:id="rId421"/>
    <hyperlink ref="I144" r:id="rId422" display="http://www.boxofficemojo.com/schedule/?view=bydate&amp;release=theatrical&amp;date=2015-10-30&amp;p=.htm"/>
    <hyperlink ref="C145" r:id="rId423"/>
    <hyperlink ref="D145" r:id="rId424"/>
    <hyperlink ref="I145" r:id="rId425" display="http://www.boxofficemojo.com/schedule/?view=bydate&amp;release=theatrical&amp;date=2015-08-21&amp;p=.htm"/>
    <hyperlink ref="C146" r:id="rId426"/>
    <hyperlink ref="D146" r:id="rId427"/>
    <hyperlink ref="I146" r:id="rId428" display="http://www.boxofficemojo.com/schedule/?view=bydate&amp;release=theatrical&amp;date=2015-06-12&amp;p=.htm"/>
    <hyperlink ref="C147" r:id="rId429"/>
    <hyperlink ref="D147" r:id="rId430"/>
    <hyperlink ref="I147" r:id="rId431" display="http://www.boxofficemojo.com/schedule/?view=bydate&amp;release=theatrical&amp;date=2015-07-09&amp;p=.htm"/>
    <hyperlink ref="C148" r:id="rId432"/>
    <hyperlink ref="D148" r:id="rId433"/>
    <hyperlink ref="I148" r:id="rId434" display="http://www.boxofficemojo.com/schedule/?view=bydate&amp;release=theatrical&amp;date=2015-12-18&amp;p=.htm"/>
    <hyperlink ref="C149" r:id="rId435"/>
    <hyperlink ref="D149" r:id="rId436"/>
    <hyperlink ref="I149" r:id="rId437" display="http://www.boxofficemojo.com/schedule/?view=bydate&amp;release=theatrical&amp;date=2015-04-24&amp;p=.htm"/>
    <hyperlink ref="C150" r:id="rId438"/>
    <hyperlink ref="D150" r:id="rId439"/>
    <hyperlink ref="I150" r:id="rId440" display="http://www.boxofficemojo.com/schedule/?view=bydate&amp;release=theatrical&amp;date=2015-01-30&amp;p=.htm"/>
    <hyperlink ref="C151" r:id="rId441"/>
    <hyperlink ref="D151" r:id="rId442"/>
    <hyperlink ref="I151" r:id="rId443" display="http://www.boxofficemojo.com/schedule/?view=bydate&amp;release=theatrical&amp;date=2015-11-25&amp;p=.htm"/>
    <hyperlink ref="C152" r:id="rId444"/>
    <hyperlink ref="D152" r:id="rId445"/>
    <hyperlink ref="I152" r:id="rId446" display="http://www.boxofficemojo.com/schedule/?view=bydate&amp;release=theatrical&amp;date=2015-03-20&amp;p=.htm"/>
    <hyperlink ref="C153" r:id="rId447"/>
    <hyperlink ref="D153" r:id="rId448"/>
    <hyperlink ref="I153" r:id="rId449" display="http://www.boxofficemojo.com/schedule/?view=bydate&amp;release=theatrical&amp;date=2015-12-17&amp;p=.htm"/>
    <hyperlink ref="C154" r:id="rId450"/>
    <hyperlink ref="D154" r:id="rId451"/>
    <hyperlink ref="I154" r:id="rId452" display="http://www.boxofficemojo.com/schedule/?view=bydate&amp;release=theatrical&amp;date=2015-09-11&amp;p=.htm"/>
    <hyperlink ref="C155" r:id="rId453"/>
    <hyperlink ref="D155" r:id="rId454"/>
    <hyperlink ref="I155" r:id="rId455" display="http://www.boxofficemojo.com/schedule/?view=bydate&amp;release=theatrical&amp;date=2015-04-17&amp;p=.htm"/>
    <hyperlink ref="C156" r:id="rId456"/>
    <hyperlink ref="D156" r:id="rId457"/>
    <hyperlink ref="I156" r:id="rId458" display="http://www.boxofficemojo.com/schedule/?view=bydate&amp;release=theatrical&amp;date=2015-10-23&amp;p=.htm"/>
    <hyperlink ref="C157" r:id="rId459"/>
    <hyperlink ref="D157" r:id="rId460"/>
    <hyperlink ref="I157" r:id="rId461" display="http://www.boxofficemojo.com/schedule/?view=bydate&amp;release=theatrical&amp;date=2015-11-12&amp;p=.htm"/>
    <hyperlink ref="C158" r:id="rId462"/>
    <hyperlink ref="D158" r:id="rId463"/>
    <hyperlink ref="I158" r:id="rId464" display="http://www.boxofficemojo.com/schedule/?view=bydate&amp;release=theatrical&amp;date=2015-12-23&amp;p=.htm"/>
    <hyperlink ref="C159" r:id="rId465"/>
    <hyperlink ref="D159" r:id="rId466"/>
    <hyperlink ref="I159" r:id="rId467" display="http://www.boxofficemojo.com/schedule/?view=bydate&amp;release=theatrical&amp;date=2015-04-24&amp;p=.htm"/>
    <hyperlink ref="C160" r:id="rId468"/>
    <hyperlink ref="D160" r:id="rId469"/>
    <hyperlink ref="I160" r:id="rId470" display="http://www.boxofficemojo.com/schedule/?view=bydate&amp;release=theatrical&amp;date=2015-07-17&amp;p=.htm"/>
    <hyperlink ref="C161" r:id="rId471"/>
    <hyperlink ref="D161" r:id="rId472"/>
    <hyperlink ref="I161" r:id="rId473" display="http://www.boxofficemojo.com/schedule/?view=bydate&amp;release=theatrical&amp;date=2015-12-30&amp;p=.htm"/>
    <hyperlink ref="C162" r:id="rId474"/>
    <hyperlink ref="D162" r:id="rId475"/>
    <hyperlink ref="I162" r:id="rId476" display="http://www.boxofficemojo.com/schedule/?view=bydate&amp;release=theatrical&amp;date=2015-10-30&amp;p=.htm"/>
    <hyperlink ref="C163" r:id="rId477"/>
    <hyperlink ref="D163" r:id="rId478"/>
    <hyperlink ref="I163" r:id="rId479" display="http://www.boxofficemojo.com/schedule/?view=bydate&amp;release=theatrical&amp;date=2015-02-27&amp;p=.htm"/>
    <hyperlink ref="C164" r:id="rId480"/>
    <hyperlink ref="D164" r:id="rId481"/>
    <hyperlink ref="I164" r:id="rId482" display="http://www.boxofficemojo.com/schedule/?view=bydate&amp;release=theatrical&amp;date=2015-01-16&amp;p=.htm"/>
    <hyperlink ref="C165" r:id="rId483"/>
    <hyperlink ref="D165" r:id="rId484"/>
    <hyperlink ref="I165" r:id="rId485" display="http://www.boxofficemojo.com/schedule/?view=bydate&amp;release=theatrical&amp;date=2015-08-28&amp;p=.htm"/>
    <hyperlink ref="C166" r:id="rId486"/>
    <hyperlink ref="D166" r:id="rId487"/>
    <hyperlink ref="I166" r:id="rId488" display="http://www.boxofficemojo.com/schedule/?view=bydate&amp;release=theatrical&amp;date=2015-02-13&amp;p=.htm"/>
    <hyperlink ref="C167" r:id="rId489"/>
    <hyperlink ref="D167" r:id="rId490"/>
    <hyperlink ref="I167" r:id="rId491" display="http://www.boxofficemojo.com/schedule/?view=bydate&amp;release=theatrical&amp;date=2015-08-21&amp;p=.htm"/>
    <hyperlink ref="C168" r:id="rId492"/>
    <hyperlink ref="D168" r:id="rId493"/>
    <hyperlink ref="I168" r:id="rId494" display="http://www.boxofficemojo.com/schedule/?view=bydate&amp;release=theatrical&amp;date=2015-07-24&amp;p=.htm"/>
    <hyperlink ref="C169" r:id="rId495"/>
    <hyperlink ref="D169" r:id="rId496"/>
    <hyperlink ref="I169" r:id="rId497" display="http://www.boxofficemojo.com/schedule/?view=bydate&amp;release=theatrical&amp;date=2015-02-20&amp;p=.htm"/>
    <hyperlink ref="C170" r:id="rId498"/>
    <hyperlink ref="D170" r:id="rId499"/>
    <hyperlink ref="I170" r:id="rId500" display="http://www.boxofficemojo.com/schedule/?view=bydate&amp;release=theatrical&amp;date=2015-06-05&amp;p=.htm"/>
    <hyperlink ref="C171" r:id="rId501"/>
    <hyperlink ref="D171" r:id="rId502"/>
    <hyperlink ref="I171" r:id="rId503" display="http://www.boxofficemojo.com/schedule/?view=bydate&amp;release=theatrical&amp;date=2015-10-09&amp;p=.htm"/>
    <hyperlink ref="C172" r:id="rId504"/>
    <hyperlink ref="D172" r:id="rId505"/>
    <hyperlink ref="I172" r:id="rId506" display="http://www.boxofficemojo.com/schedule/?view=bydate&amp;release=theatrical&amp;date=2015-05-22&amp;p=.htm"/>
    <hyperlink ref="C173" r:id="rId507"/>
    <hyperlink ref="D173" r:id="rId508"/>
    <hyperlink ref="I173" r:id="rId509" display="http://www.boxofficemojo.com/schedule/?view=bydate&amp;release=theatrical&amp;date=2015-10-23&amp;p=.htm"/>
    <hyperlink ref="C174" r:id="rId510"/>
    <hyperlink ref="D174" r:id="rId511"/>
    <hyperlink ref="I174" r:id="rId512" display="http://www.boxofficemojo.com/schedule/?view=bydate&amp;release=theatrical&amp;date=2015-07-31&amp;p=.htm"/>
    <hyperlink ref="C175" r:id="rId513"/>
    <hyperlink ref="D175" r:id="rId514"/>
    <hyperlink ref="I175" r:id="rId515" display="http://www.boxofficemojo.com/schedule/?view=bydate&amp;release=theatrical&amp;date=2015-12-04&amp;p=.htm"/>
    <hyperlink ref="C176" r:id="rId516"/>
    <hyperlink ref="D176" r:id="rId517"/>
    <hyperlink ref="I176" r:id="rId518" display="http://www.boxofficemojo.com/schedule/?view=bydate&amp;release=theatrical&amp;date=2015-10-02&amp;p=.htm"/>
    <hyperlink ref="C177" r:id="rId519"/>
    <hyperlink ref="D177" r:id="rId520"/>
    <hyperlink ref="I177" r:id="rId521" display="http://www.boxofficemojo.com/schedule/?view=bydate&amp;release=theatrical&amp;date=2015-12-04&amp;p=.htm"/>
    <hyperlink ref="C178" r:id="rId522"/>
    <hyperlink ref="D178" r:id="rId523"/>
    <hyperlink ref="I178" r:id="rId524" display="http://www.boxofficemojo.com/schedule/?view=bydate&amp;release=theatrical&amp;date=2015-09-18&amp;p=.htm"/>
    <hyperlink ref="C179" r:id="rId525"/>
    <hyperlink ref="D179" r:id="rId526"/>
    <hyperlink ref="I179" r:id="rId527" display="http://www.boxofficemojo.com/schedule/?view=bydate&amp;release=theatrical&amp;date=2015-10-16&amp;p=.htm"/>
    <hyperlink ref="C180" r:id="rId528"/>
    <hyperlink ref="D180" r:id="rId529"/>
    <hyperlink ref="I180" r:id="rId530" display="http://www.boxofficemojo.com/schedule/?view=bydate&amp;release=theatrical&amp;date=2015-08-14&amp;p=.htm"/>
    <hyperlink ref="C181" r:id="rId531"/>
    <hyperlink ref="D181" r:id="rId532"/>
    <hyperlink ref="I181" r:id="rId533" display="http://www.boxofficemojo.com/schedule/?view=bydate&amp;release=theatrical&amp;date=2015-09-16&amp;p=.htm"/>
    <hyperlink ref="C182" r:id="rId534"/>
    <hyperlink ref="D182" r:id="rId535"/>
    <hyperlink ref="I182" r:id="rId536" display="http://www.boxofficemojo.com/schedule/?view=bydate&amp;release=theatrical&amp;date=2015-01-30&amp;p=.htm"/>
    <hyperlink ref="C183" r:id="rId537"/>
    <hyperlink ref="D183" r:id="rId538"/>
    <hyperlink ref="I183" r:id="rId539" display="http://www.boxofficemojo.com/schedule/?view=bydate&amp;release=theatrical&amp;date=2015-08-14&amp;p=.htm"/>
    <hyperlink ref="C184" r:id="rId540"/>
    <hyperlink ref="D184" r:id="rId541"/>
    <hyperlink ref="I184" r:id="rId542" display="http://www.boxofficemojo.com/schedule/?view=bydate&amp;release=theatrical&amp;date=2015-09-18&amp;p=.htm"/>
    <hyperlink ref="C185" r:id="rId543"/>
    <hyperlink ref="D185" r:id="rId544"/>
    <hyperlink ref="I185" r:id="rId545" display="http://www.boxofficemojo.com/schedule/?view=bydate&amp;release=theatrical&amp;date=2015-11-13&amp;p=.htm"/>
    <hyperlink ref="C186" r:id="rId546"/>
    <hyperlink ref="D186" r:id="rId547"/>
    <hyperlink ref="I186" r:id="rId548" display="http://www.boxofficemojo.com/schedule/?view=bydate&amp;release=theatrical&amp;date=2015-10-23&amp;p=.htm"/>
    <hyperlink ref="C187" r:id="rId549"/>
    <hyperlink ref="D187" r:id="rId550"/>
    <hyperlink ref="I187" r:id="rId551" display="http://www.boxofficemojo.com/schedule/?view=bydate&amp;release=theatrical&amp;date=2015-11-25&amp;p=.htm"/>
    <hyperlink ref="C188" r:id="rId552"/>
    <hyperlink ref="D188" r:id="rId553"/>
    <hyperlink ref="I188" r:id="rId554" display="http://www.boxofficemojo.com/schedule/?view=bydate&amp;release=theatrical&amp;date=2015-01-23&amp;p=.htm"/>
    <hyperlink ref="C189" r:id="rId555"/>
    <hyperlink ref="D189" r:id="rId556"/>
    <hyperlink ref="I189" r:id="rId557" display="http://www.boxofficemojo.com/schedule/?view=bydate&amp;release=theatrical&amp;date=2015-02-06&amp;p=.htm"/>
    <hyperlink ref="C190" r:id="rId558"/>
    <hyperlink ref="D190" r:id="rId559"/>
    <hyperlink ref="I190" r:id="rId560" display="http://www.boxofficemojo.com/schedule/?view=bydate&amp;release=theatrical&amp;date=2015-08-07&amp;p=.htm"/>
    <hyperlink ref="C191" r:id="rId561"/>
    <hyperlink ref="D191" r:id="rId562"/>
    <hyperlink ref="I191" r:id="rId563" display="http://www.boxofficemojo.com/schedule/?view=bydate&amp;release=theatrical&amp;date=2015-01-30&amp;p=.htm"/>
    <hyperlink ref="C192" r:id="rId564"/>
    <hyperlink ref="D192" r:id="rId565"/>
    <hyperlink ref="I192" r:id="rId566" display="http://www.boxofficemojo.com/schedule/?view=bydate&amp;release=theatrical&amp;date=2015-11-20&amp;p=.htm"/>
    <hyperlink ref="C193" r:id="rId567"/>
    <hyperlink ref="D193" r:id="rId568"/>
    <hyperlink ref="I193" r:id="rId569" display="http://www.boxofficemojo.com/schedule/?view=bydate&amp;release=theatrical&amp;date=2015-04-10&amp;p=.htm"/>
    <hyperlink ref="C194" r:id="rId570"/>
    <hyperlink ref="D194" r:id="rId571"/>
    <hyperlink ref="I194" r:id="rId572" display="http://www.boxofficemojo.com/schedule/?view=bydate&amp;release=theatrical&amp;date=2015-06-05&amp;p=.htm"/>
    <hyperlink ref="C195" r:id="rId573"/>
    <hyperlink ref="D195" r:id="rId574"/>
    <hyperlink ref="I195" r:id="rId575" display="http://www.boxofficemojo.com/schedule/?view=bydate&amp;release=theatrical&amp;date=2015-05-08&amp;p=.htm"/>
    <hyperlink ref="C196" r:id="rId576"/>
    <hyperlink ref="D196" r:id="rId577"/>
    <hyperlink ref="I196" r:id="rId578" display="http://www.boxofficemojo.com/schedule/?view=bydate&amp;release=theatrical&amp;date=2015-07-24&amp;p=.htm"/>
    <hyperlink ref="C197" r:id="rId579"/>
    <hyperlink ref="D197" r:id="rId580"/>
    <hyperlink ref="I197" r:id="rId581" display="http://www.boxofficemojo.com/schedule/?view=bydate&amp;release=theatrical&amp;date=2015-12-18&amp;p=.htm"/>
    <hyperlink ref="C198" r:id="rId582"/>
    <hyperlink ref="D198" r:id="rId583"/>
    <hyperlink ref="I198" r:id="rId584" display="http://www.boxofficemojo.com/schedule/?view=bydate&amp;release=theatrical&amp;date=2015-09-11&amp;p=.htm"/>
    <hyperlink ref="C199" r:id="rId585"/>
    <hyperlink ref="D199" r:id="rId586"/>
    <hyperlink ref="I199" r:id="rId587" display="http://www.boxofficemojo.com/schedule/?view=bydate&amp;release=theatrical&amp;date=2015-10-21&amp;p=.htm"/>
    <hyperlink ref="C200" r:id="rId588"/>
    <hyperlink ref="D200" r:id="rId589"/>
    <hyperlink ref="I200" r:id="rId590" display="http://www.boxofficemojo.com/schedule/?view=bydate&amp;release=theatrical&amp;date=2015-12-04&amp;p=.htm"/>
    <hyperlink ref="C201" r:id="rId591"/>
    <hyperlink ref="D201" r:id="rId592"/>
    <hyperlink ref="I201" r:id="rId593" display="http://www.boxofficemojo.com/schedule/?view=bydate&amp;release=theatrical&amp;date=2015-08-07&amp;p=.htm"/>
    <hyperlink ref="C202" r:id="rId594"/>
    <hyperlink ref="D202" r:id="rId595"/>
    <hyperlink ref="I202" r:id="rId596" display="http://www.boxofficemojo.com/schedule/?view=bydate&amp;release=theatrical&amp;date=2015-01-13&amp;p=.htm"/>
    <hyperlink ref="C203" r:id="rId597"/>
    <hyperlink ref="D203" r:id="rId598"/>
    <hyperlink ref="I203" r:id="rId599" display="http://www.boxofficemojo.com/schedule/?view=bydate&amp;release=theatrical&amp;date=2015-06-19&amp;p=.htm"/>
    <hyperlink ref="C204" r:id="rId600"/>
    <hyperlink ref="D204" r:id="rId601"/>
    <hyperlink ref="I204" r:id="rId602" display="http://www.boxofficemojo.com/schedule/?view=bydate&amp;release=theatrical&amp;date=2015-12-24&amp;p=.htm"/>
    <hyperlink ref="C205" r:id="rId603"/>
    <hyperlink ref="D205" r:id="rId604"/>
    <hyperlink ref="I205" r:id="rId605" display="http://www.boxofficemojo.com/schedule/?view=bydate&amp;release=theatrical&amp;date=2015-09-25&amp;p=.htm"/>
    <hyperlink ref="C206" r:id="rId606"/>
    <hyperlink ref="D206" r:id="rId607"/>
    <hyperlink ref="I206" r:id="rId608" display="http://www.boxofficemojo.com/schedule/?view=bydate&amp;release=theatrical&amp;date=2015-09-04&amp;p=.htm"/>
    <hyperlink ref="C207" r:id="rId609"/>
    <hyperlink ref="D207" r:id="rId610"/>
    <hyperlink ref="I207" r:id="rId611" display="http://www.boxofficemojo.com/schedule/?view=bydate&amp;release=theatrical&amp;date=2015-06-05&amp;p=.htm"/>
    <hyperlink ref="C208" r:id="rId612"/>
    <hyperlink ref="D208" r:id="rId613"/>
    <hyperlink ref="I208" r:id="rId614" display="http://www.boxofficemojo.com/schedule/?view=bydate&amp;release=theatrical&amp;date=2015-03-27&amp;p=.htm"/>
    <hyperlink ref="C209" r:id="rId615"/>
    <hyperlink ref="D209" r:id="rId616"/>
    <hyperlink ref="I209" r:id="rId617" display="http://www.boxofficemojo.com/schedule/?view=bydate&amp;release=theatrical&amp;date=2015-04-29&amp;p=.htm"/>
    <hyperlink ref="C210" r:id="rId618"/>
    <hyperlink ref="D210" r:id="rId619"/>
    <hyperlink ref="I210" r:id="rId620" display="http://www.boxofficemojo.com/schedule/?view=bydate&amp;release=theatrical&amp;date=2015-09-25&amp;p=.htm"/>
    <hyperlink ref="C211" r:id="rId621"/>
    <hyperlink ref="D211" r:id="rId622"/>
    <hyperlink ref="I211" r:id="rId623" display="http://www.boxofficemojo.com/schedule/?view=bydate&amp;release=theatrical&amp;date=2015-06-12&amp;p=.htm"/>
    <hyperlink ref="C212" r:id="rId624"/>
    <hyperlink ref="D212" r:id="rId625"/>
    <hyperlink ref="I212" r:id="rId626" display="http://www.boxofficemojo.com/schedule/?view=bydate&amp;release=theatrical&amp;date=2015-10-09&amp;p=.htm"/>
    <hyperlink ref="C213" r:id="rId627"/>
    <hyperlink ref="D213" r:id="rId628"/>
    <hyperlink ref="I213" r:id="rId629" display="http://www.boxofficemojo.com/schedule/?view=bydate&amp;release=theatrical&amp;date=2015-02-27&amp;p=.htm"/>
    <hyperlink ref="C214" r:id="rId630"/>
    <hyperlink ref="D214" r:id="rId631"/>
    <hyperlink ref="I214" r:id="rId632" display="http://www.boxofficemojo.com/schedule/?view=bydate&amp;release=theatrical&amp;date=2015-12-18&amp;p=.htm"/>
    <hyperlink ref="C215" r:id="rId633"/>
    <hyperlink ref="D215" r:id="rId634"/>
    <hyperlink ref="I215" r:id="rId635" display="http://www.boxofficemojo.com/schedule/?view=bydate&amp;release=theatrical&amp;date=2015-04-06&amp;p=.htm"/>
    <hyperlink ref="C216" r:id="rId636"/>
    <hyperlink ref="D216" r:id="rId637"/>
    <hyperlink ref="I216" r:id="rId638" display="http://www.boxofficemojo.com/schedule/?view=bydate&amp;release=theatrical&amp;date=2015-04-17&amp;p=.htm"/>
    <hyperlink ref="C217" r:id="rId639"/>
    <hyperlink ref="D217" r:id="rId640"/>
    <hyperlink ref="I217" r:id="rId641" display="http://www.boxofficemojo.com/schedule/?view=bydate&amp;release=theatrical&amp;date=2015-09-18&amp;p=.htm"/>
    <hyperlink ref="C218" r:id="rId642"/>
    <hyperlink ref="D218" r:id="rId643"/>
    <hyperlink ref="I218" r:id="rId644" display="http://www.boxofficemojo.com/schedule/?view=bydate&amp;release=theatrical&amp;date=2015-09-11&amp;p=.htm"/>
    <hyperlink ref="C219" r:id="rId645"/>
    <hyperlink ref="D219" r:id="rId646"/>
    <hyperlink ref="I219" r:id="rId647" display="http://www.boxofficemojo.com/schedule/?view=bydate&amp;release=theatrical&amp;date=2015-01-23&amp;p=.htm"/>
    <hyperlink ref="C220" r:id="rId648"/>
    <hyperlink ref="D220" r:id="rId649"/>
    <hyperlink ref="I220" r:id="rId650" display="http://www.boxofficemojo.com/schedule/?view=bydate&amp;release=theatrical&amp;date=2015-11-06&amp;p=.htm"/>
    <hyperlink ref="C221" r:id="rId651"/>
    <hyperlink ref="D221" r:id="rId652"/>
    <hyperlink ref="I221" r:id="rId653" display="http://www.boxofficemojo.com/schedule/?view=bydate&amp;release=theatrical&amp;date=2015-05-15&amp;p=.htm"/>
    <hyperlink ref="C222" r:id="rId654"/>
    <hyperlink ref="D222" r:id="rId655"/>
    <hyperlink ref="I222" r:id="rId656" display="http://www.boxofficemojo.com/schedule/?view=bydate&amp;release=theatrical&amp;date=2015-12-04&amp;p=.htm"/>
    <hyperlink ref="C223" r:id="rId657"/>
    <hyperlink ref="D223" r:id="rId658"/>
    <hyperlink ref="I223" r:id="rId659" display="http://www.boxofficemojo.com/schedule/?view=bydate&amp;release=theatrical&amp;date=2015-06-19&amp;p=.htm"/>
    <hyperlink ref="C224" r:id="rId660"/>
    <hyperlink ref="D224" r:id="rId661"/>
    <hyperlink ref="I224" r:id="rId662" display="http://www.boxofficemojo.com/schedule/?view=bydate&amp;release=theatrical&amp;date=2015-01-28&amp;p=.htm"/>
    <hyperlink ref="C225" r:id="rId663"/>
    <hyperlink ref="D225" r:id="rId664"/>
    <hyperlink ref="I225" r:id="rId665" display="http://www.boxofficemojo.com/schedule/?view=bydate&amp;release=theatrical&amp;date=2015-04-10&amp;p=.htm"/>
    <hyperlink ref="C226" r:id="rId666"/>
    <hyperlink ref="D226" r:id="rId667"/>
    <hyperlink ref="I226" r:id="rId668" display="http://www.boxofficemojo.com/schedule/?view=bydate&amp;release=theatrical&amp;date=2015-05-08&amp;p=.htm"/>
    <hyperlink ref="C227" r:id="rId669"/>
    <hyperlink ref="D227" r:id="rId670"/>
    <hyperlink ref="I227" r:id="rId671" display="http://www.boxofficemojo.com/schedule/?view=bydate&amp;release=theatrical&amp;date=2015-10-09&amp;p=.htm"/>
    <hyperlink ref="C228" r:id="rId672"/>
    <hyperlink ref="D228" r:id="rId673"/>
    <hyperlink ref="I228" r:id="rId674" display="http://www.boxofficemojo.com/schedule/?view=bydate&amp;release=theatrical&amp;date=2015-07-01&amp;p=.htm"/>
    <hyperlink ref="C229" r:id="rId675"/>
    <hyperlink ref="D229" r:id="rId676"/>
    <hyperlink ref="I229" r:id="rId677" display="http://www.boxofficemojo.com/schedule/?view=bydate&amp;release=theatrical&amp;date=2015-02-13&amp;p=.htm"/>
    <hyperlink ref="C230" r:id="rId678"/>
    <hyperlink ref="D230" r:id="rId679"/>
    <hyperlink ref="I230" r:id="rId680" display="http://www.boxofficemojo.com/schedule/?view=bydate&amp;release=theatrical&amp;date=2015-05-01&amp;p=.htm"/>
    <hyperlink ref="C231" r:id="rId681"/>
    <hyperlink ref="D231" r:id="rId682"/>
    <hyperlink ref="I231" r:id="rId683" display="http://www.boxofficemojo.com/schedule/?view=bydate&amp;release=theatrical&amp;date=2015-01-19&amp;p=.htm"/>
    <hyperlink ref="C232" r:id="rId684"/>
    <hyperlink ref="D232" r:id="rId685"/>
    <hyperlink ref="I232" r:id="rId686" display="http://www.boxofficemojo.com/schedule/?view=bydate&amp;release=theatrical&amp;date=2015-10-10&amp;p=.htm"/>
    <hyperlink ref="C233" r:id="rId687"/>
    <hyperlink ref="D233" r:id="rId688"/>
    <hyperlink ref="I233" r:id="rId689" display="http://www.boxofficemojo.com/schedule/?view=bydate&amp;release=theatrical&amp;date=2015-10-02&amp;p=.htm"/>
    <hyperlink ref="C234" r:id="rId690"/>
    <hyperlink ref="D234" r:id="rId691"/>
    <hyperlink ref="I234" r:id="rId692" display="http://www.boxofficemojo.com/schedule/?view=bydate&amp;release=theatrical&amp;date=2015-07-31&amp;p=.htm"/>
    <hyperlink ref="C235" r:id="rId693"/>
    <hyperlink ref="D235" r:id="rId694"/>
    <hyperlink ref="I235" r:id="rId695" display="http://www.boxofficemojo.com/schedule/?view=bydate&amp;release=theatrical&amp;date=2015-06-19&amp;p=.htm"/>
    <hyperlink ref="C236" r:id="rId696"/>
    <hyperlink ref="D236" r:id="rId697"/>
    <hyperlink ref="I236" r:id="rId698" display="http://www.boxofficemojo.com/schedule/?view=bydate&amp;release=theatrical&amp;date=2015-11-20&amp;p=.htm"/>
    <hyperlink ref="C237" r:id="rId699"/>
    <hyperlink ref="D237" r:id="rId700"/>
    <hyperlink ref="I237" r:id="rId701" display="http://www.boxofficemojo.com/schedule/?view=bydate&amp;release=theatrical&amp;date=2015-09-11&amp;p=.htm"/>
    <hyperlink ref="C238" r:id="rId702"/>
    <hyperlink ref="D238" r:id="rId703"/>
    <hyperlink ref="I238" r:id="rId704" display="http://www.boxofficemojo.com/schedule/?view=bydate&amp;release=theatrical&amp;date=2015-03-13&amp;p=.htm"/>
    <hyperlink ref="C239" r:id="rId705"/>
    <hyperlink ref="D239" r:id="rId706"/>
    <hyperlink ref="I239" r:id="rId707" display="http://www.boxofficemojo.com/schedule/?view=bydate&amp;release=theatrical&amp;date=2015-09-30&amp;p=.htm"/>
    <hyperlink ref="C240" r:id="rId708"/>
    <hyperlink ref="D240" r:id="rId709"/>
    <hyperlink ref="I240" r:id="rId710" display="http://www.boxofficemojo.com/schedule/?view=bydate&amp;release=theatrical&amp;date=2015-03-13&amp;p=.htm"/>
    <hyperlink ref="C241" r:id="rId711"/>
    <hyperlink ref="D241" r:id="rId712"/>
    <hyperlink ref="I241" r:id="rId713" display="http://www.boxofficemojo.com/schedule/?view=bydate&amp;release=theatrical&amp;date=2015-08-14&amp;p=.htm"/>
    <hyperlink ref="C242" r:id="rId714"/>
    <hyperlink ref="D242" r:id="rId715"/>
    <hyperlink ref="I242" r:id="rId716" display="http://www.boxofficemojo.com/schedule/?view=bydate&amp;release=theatrical&amp;date=2015-07-03&amp;p=.htm"/>
    <hyperlink ref="C243" r:id="rId717"/>
    <hyperlink ref="D243" r:id="rId718"/>
    <hyperlink ref="I243" r:id="rId719" display="http://www.boxofficemojo.com/schedule/?view=bydate&amp;release=theatrical&amp;date=2015-07-10&amp;p=.htm"/>
    <hyperlink ref="C244" r:id="rId720"/>
    <hyperlink ref="D244" r:id="rId721"/>
    <hyperlink ref="I244" r:id="rId722" display="http://www.boxofficemojo.com/schedule/?view=bydate&amp;release=theatrical&amp;date=2015-12-18&amp;p=.htm"/>
    <hyperlink ref="C245" r:id="rId723"/>
    <hyperlink ref="D245" r:id="rId724"/>
    <hyperlink ref="I245" r:id="rId725" display="http://www.boxofficemojo.com/schedule/?view=bydate&amp;release=theatrical&amp;date=2015-01-23&amp;p=.htm"/>
    <hyperlink ref="C246" r:id="rId726"/>
    <hyperlink ref="D246" r:id="rId727"/>
    <hyperlink ref="I246" r:id="rId728" display="http://www.boxofficemojo.com/schedule/?view=bydate&amp;release=theatrical&amp;date=2015-05-08&amp;p=.htm"/>
    <hyperlink ref="C247" r:id="rId729"/>
    <hyperlink ref="D247" r:id="rId730"/>
    <hyperlink ref="I247" r:id="rId731" display="http://www.boxofficemojo.com/schedule/?view=bydate&amp;release=theatrical&amp;date=2015-07-17&amp;p=.htm"/>
    <hyperlink ref="C248" r:id="rId732"/>
    <hyperlink ref="D248" r:id="rId733"/>
    <hyperlink ref="I248" r:id="rId734" display="http://www.boxofficemojo.com/schedule/?view=bydate&amp;release=theatrical&amp;date=2015-10-16&amp;p=.htm"/>
    <hyperlink ref="C249" r:id="rId735"/>
    <hyperlink ref="D249" r:id="rId736"/>
    <hyperlink ref="I249" r:id="rId737" display="http://www.boxofficemojo.com/schedule/?view=bydate&amp;release=theatrical&amp;date=2015-03-18&amp;p=.htm"/>
    <hyperlink ref="C250" r:id="rId738"/>
    <hyperlink ref="D250" r:id="rId739"/>
    <hyperlink ref="I250" r:id="rId740" display="http://www.boxofficemojo.com/schedule/?view=bydate&amp;release=theatrical&amp;date=2015-08-14&amp;p=.htm"/>
    <hyperlink ref="C251" r:id="rId741"/>
    <hyperlink ref="D251" r:id="rId742"/>
    <hyperlink ref="I251" r:id="rId743" display="http://www.boxofficemojo.com/schedule/?view=bydate&amp;release=theatrical&amp;date=2015-05-01&amp;p=.htm"/>
    <hyperlink ref="C252" r:id="rId744"/>
    <hyperlink ref="D252" r:id="rId745"/>
    <hyperlink ref="I252" r:id="rId746" display="http://www.boxofficemojo.com/schedule/?view=bydate&amp;release=theatrical&amp;date=2015-04-03&amp;p=.htm"/>
    <hyperlink ref="C253" r:id="rId747"/>
    <hyperlink ref="D253" r:id="rId748"/>
    <hyperlink ref="I253" r:id="rId749" display="http://www.boxofficemojo.com/schedule/?view=bydate&amp;release=theatrical&amp;date=2015-10-02&amp;p=.htm"/>
    <hyperlink ref="C254" r:id="rId750"/>
    <hyperlink ref="D254" r:id="rId751"/>
    <hyperlink ref="I254" r:id="rId752" display="http://www.boxofficemojo.com/schedule/?view=bydate&amp;release=theatrical&amp;date=2015-05-22&amp;p=.htm"/>
    <hyperlink ref="C255" r:id="rId753"/>
    <hyperlink ref="D255" r:id="rId754"/>
    <hyperlink ref="I255" r:id="rId755" display="http://www.boxofficemojo.com/schedule/?view=bydate&amp;release=theatrical&amp;date=2015-07-03&amp;p=.htm"/>
    <hyperlink ref="C256" r:id="rId756"/>
    <hyperlink ref="D256" r:id="rId757"/>
    <hyperlink ref="I256" r:id="rId758" display="http://www.boxofficemojo.com/schedule/?view=bydate&amp;release=theatrical&amp;date=2015-06-26&amp;p=.htm"/>
    <hyperlink ref="C257" r:id="rId759"/>
    <hyperlink ref="D257" r:id="rId760"/>
    <hyperlink ref="I257" r:id="rId761" display="http://www.boxofficemojo.com/schedule/?view=bydate&amp;release=theatrical&amp;date=2015-10-16&amp;p=.htm"/>
    <hyperlink ref="C258" r:id="rId762"/>
    <hyperlink ref="D258" r:id="rId763"/>
    <hyperlink ref="I258" r:id="rId764" display="http://www.boxofficemojo.com/schedule/?view=bydate&amp;release=theatrical&amp;date=2015-11-13&amp;p=.htm"/>
    <hyperlink ref="C259" r:id="rId765"/>
    <hyperlink ref="D259" r:id="rId766"/>
    <hyperlink ref="I259" r:id="rId767" display="http://www.boxofficemojo.com/schedule/?view=bydate&amp;release=theatrical&amp;date=2015-05-01&amp;p=.htm"/>
    <hyperlink ref="C260" r:id="rId768"/>
    <hyperlink ref="D260" r:id="rId769"/>
    <hyperlink ref="I260" r:id="rId770" display="http://www.boxofficemojo.com/schedule/?view=bydate&amp;release=theatrical&amp;date=2015-02-20&amp;p=.htm"/>
    <hyperlink ref="C261" r:id="rId771"/>
    <hyperlink ref="D261" r:id="rId772"/>
    <hyperlink ref="I261" r:id="rId773" display="http://www.boxofficemojo.com/schedule/?view=bydate&amp;release=theatrical&amp;date=2015-10-22&amp;p=.htm"/>
    <hyperlink ref="C262" r:id="rId774"/>
    <hyperlink ref="D262" r:id="rId775"/>
    <hyperlink ref="I262" r:id="rId776" display="http://www.boxofficemojo.com/schedule/?view=bydate&amp;release=theatrical&amp;date=2015-09-02&amp;p=.htm"/>
    <hyperlink ref="C263" r:id="rId777"/>
    <hyperlink ref="D263" r:id="rId778"/>
    <hyperlink ref="I263" r:id="rId779" display="http://www.boxofficemojo.com/schedule/?view=bydate&amp;release=theatrical&amp;date=2015-02-27&amp;p=.htm"/>
    <hyperlink ref="C264" r:id="rId780"/>
    <hyperlink ref="D264" r:id="rId781"/>
    <hyperlink ref="I264" r:id="rId782" display="http://www.boxofficemojo.com/schedule/?view=bydate&amp;release=theatrical&amp;date=2015-11-06&amp;p=.htm"/>
    <hyperlink ref="C265" r:id="rId783"/>
    <hyperlink ref="D265" r:id="rId784"/>
    <hyperlink ref="I265" r:id="rId785" display="http://www.boxofficemojo.com/schedule/?view=bydate&amp;release=theatrical&amp;date=2015-09-04&amp;p=.htm"/>
    <hyperlink ref="C266" r:id="rId786"/>
    <hyperlink ref="D266" r:id="rId787"/>
    <hyperlink ref="I266" r:id="rId788" display="http://www.boxofficemojo.com/schedule/?view=bydate&amp;release=theatrical&amp;date=2015-08-28&amp;p=.htm"/>
    <hyperlink ref="C267" r:id="rId789"/>
    <hyperlink ref="D267" r:id="rId790"/>
    <hyperlink ref="I267" r:id="rId791" display="http://www.boxofficemojo.com/schedule/?view=bydate&amp;release=theatrical&amp;date=2015-02-13&amp;p=.htm"/>
    <hyperlink ref="C268" r:id="rId792"/>
    <hyperlink ref="D268" r:id="rId793"/>
    <hyperlink ref="I268" r:id="rId794" display="http://www.boxofficemojo.com/schedule/?view=bydate&amp;release=theatrical&amp;date=2015-04-24&amp;p=.htm"/>
    <hyperlink ref="C269" r:id="rId795"/>
    <hyperlink ref="D269" r:id="rId796"/>
    <hyperlink ref="I269" r:id="rId797" display="http://www.boxofficemojo.com/schedule/?view=bydate&amp;release=theatrical&amp;date=2015-04-08&amp;p=.htm"/>
    <hyperlink ref="C270" r:id="rId798"/>
    <hyperlink ref="D270" r:id="rId799"/>
    <hyperlink ref="I270" r:id="rId800" display="http://www.boxofficemojo.com/schedule/?view=bydate&amp;release=theatrical&amp;date=2015-04-03&amp;p=.htm"/>
    <hyperlink ref="C271" r:id="rId801"/>
    <hyperlink ref="D271" r:id="rId802"/>
    <hyperlink ref="I271" r:id="rId803" display="http://www.boxofficemojo.com/schedule/?view=bydate&amp;release=theatrical&amp;date=2015-05-15&amp;p=.htm"/>
    <hyperlink ref="C272" r:id="rId804"/>
    <hyperlink ref="D272" r:id="rId805"/>
    <hyperlink ref="I272" r:id="rId806" display="http://www.boxofficemojo.com/schedule/?view=bydate&amp;release=theatrical&amp;date=2015-09-30&amp;p=.htm"/>
    <hyperlink ref="C273" r:id="rId807"/>
    <hyperlink ref="D273" r:id="rId808"/>
    <hyperlink ref="I273" r:id="rId809" display="http://www.boxofficemojo.com/schedule/?view=bydate&amp;release=theatrical&amp;date=2015-06-26&amp;p=.htm"/>
    <hyperlink ref="C274" r:id="rId810"/>
    <hyperlink ref="D274" r:id="rId811"/>
    <hyperlink ref="I274" r:id="rId812" display="http://www.boxofficemojo.com/schedule/?view=bydate&amp;release=theatrical&amp;date=2015-04-17&amp;p=.htm"/>
    <hyperlink ref="C275" r:id="rId813"/>
    <hyperlink ref="D275" r:id="rId814"/>
    <hyperlink ref="I275" r:id="rId815" display="http://www.boxofficemojo.com/schedule/?view=bydate&amp;release=theatrical&amp;date=2015-08-14&amp;p=.htm"/>
    <hyperlink ref="C276" r:id="rId816"/>
    <hyperlink ref="D276" r:id="rId817"/>
    <hyperlink ref="I276" r:id="rId818" display="http://www.boxofficemojo.com/schedule/?view=bydate&amp;release=theatrical&amp;date=2015-05-08&amp;p=.htm"/>
    <hyperlink ref="C277" r:id="rId819"/>
    <hyperlink ref="D277" r:id="rId820"/>
    <hyperlink ref="I277" r:id="rId821" display="http://www.boxofficemojo.com/schedule/?view=bydate&amp;release=theatrical&amp;date=2015-07-29&amp;p=.htm"/>
    <hyperlink ref="C278" r:id="rId822"/>
    <hyperlink ref="D278" r:id="rId823"/>
    <hyperlink ref="I278" r:id="rId824" display="http://www.boxofficemojo.com/schedule/?view=bydate&amp;release=theatrical&amp;date=2015-10-21&amp;p=.htm"/>
    <hyperlink ref="C279" r:id="rId825"/>
    <hyperlink ref="D279" r:id="rId826"/>
    <hyperlink ref="I279" r:id="rId827" display="http://www.boxofficemojo.com/schedule/?view=bydate&amp;release=theatrical&amp;date=2015-10-30&amp;p=.htm"/>
    <hyperlink ref="C280" r:id="rId828"/>
    <hyperlink ref="D280" r:id="rId829"/>
    <hyperlink ref="I280" r:id="rId830" display="http://www.boxofficemojo.com/schedule/?view=bydate&amp;release=theatrical&amp;date=2015-11-27&amp;p=.htm"/>
    <hyperlink ref="C281" r:id="rId831"/>
    <hyperlink ref="D281" r:id="rId832"/>
    <hyperlink ref="I281" r:id="rId833" display="http://www.boxofficemojo.com/schedule/?view=bydate&amp;release=theatrical&amp;date=2015-09-25&amp;p=.htm"/>
    <hyperlink ref="C282" r:id="rId834"/>
    <hyperlink ref="D282" r:id="rId835"/>
    <hyperlink ref="I282" r:id="rId836" display="http://www.boxofficemojo.com/schedule/?view=bydate&amp;release=theatrical&amp;date=2015-02-20&amp;p=.htm"/>
    <hyperlink ref="C283" r:id="rId837"/>
    <hyperlink ref="D283" r:id="rId838"/>
    <hyperlink ref="I283" r:id="rId839" display="http://www.boxofficemojo.com/schedule/?view=bydate&amp;release=theatrical&amp;date=2015-02-27&amp;p=.htm"/>
    <hyperlink ref="C284" r:id="rId840"/>
    <hyperlink ref="D284" r:id="rId841"/>
    <hyperlink ref="I284" r:id="rId842" display="http://www.boxofficemojo.com/schedule/?view=bydate&amp;release=theatrical&amp;date=2015-05-08&amp;p=.htm"/>
    <hyperlink ref="C285" r:id="rId843"/>
    <hyperlink ref="D285" r:id="rId844"/>
    <hyperlink ref="I285" r:id="rId845" display="http://www.boxofficemojo.com/schedule/?view=bydate&amp;release=theatrical&amp;date=2015-04-08&amp;p=.htm"/>
    <hyperlink ref="C286" r:id="rId846"/>
    <hyperlink ref="D286" r:id="rId847"/>
    <hyperlink ref="I286" r:id="rId848" display="http://www.boxofficemojo.com/schedule/?view=bydate&amp;release=theatrical&amp;date=2015-09-09&amp;p=.htm"/>
    <hyperlink ref="C287" r:id="rId849"/>
    <hyperlink ref="D287" r:id="rId850"/>
    <hyperlink ref="I287" r:id="rId851" display="http://www.boxofficemojo.com/schedule/?view=bydate&amp;release=theatrical&amp;date=2015-08-28&amp;p=.htm"/>
    <hyperlink ref="C288" r:id="rId852"/>
    <hyperlink ref="D288" r:id="rId853"/>
    <hyperlink ref="I288" r:id="rId854" display="http://www.boxofficemojo.com/schedule/?view=bydate&amp;release=theatrical&amp;date=2015-10-01&amp;p=.htm"/>
    <hyperlink ref="C289" r:id="rId855"/>
    <hyperlink ref="D289" r:id="rId856"/>
    <hyperlink ref="I289" r:id="rId857" display="http://www.boxofficemojo.com/schedule/?view=bydate&amp;release=theatrical&amp;date=2015-09-18&amp;p=.htm"/>
    <hyperlink ref="C290" r:id="rId858"/>
    <hyperlink ref="D290" r:id="rId859"/>
    <hyperlink ref="I290" r:id="rId860" display="http://www.boxofficemojo.com/schedule/?view=bydate&amp;release=theatrical&amp;date=2015-08-07&amp;p=.htm"/>
    <hyperlink ref="C291" r:id="rId861"/>
    <hyperlink ref="D291" r:id="rId862"/>
    <hyperlink ref="I291" r:id="rId863" display="http://www.boxofficemojo.com/schedule/?view=bydate&amp;release=theatrical&amp;date=2015-04-03&amp;p=.htm"/>
    <hyperlink ref="C292" r:id="rId864"/>
    <hyperlink ref="D292" r:id="rId865"/>
    <hyperlink ref="I292" r:id="rId866" display="http://www.boxofficemojo.com/schedule/?view=bydate&amp;release=theatrical&amp;date=2015-02-27&amp;p=.htm"/>
    <hyperlink ref="C293" r:id="rId867"/>
    <hyperlink ref="D293" r:id="rId868"/>
    <hyperlink ref="I293" r:id="rId869" display="http://www.boxofficemojo.com/schedule/?view=bydate&amp;release=theatrical&amp;date=2015-05-08&amp;p=.htm"/>
    <hyperlink ref="C294" r:id="rId870"/>
    <hyperlink ref="D294" r:id="rId871"/>
    <hyperlink ref="I294" r:id="rId872" display="http://www.boxofficemojo.com/schedule/?view=bydate&amp;release=theatrical&amp;date=2015-10-02&amp;p=.htm"/>
    <hyperlink ref="C295" r:id="rId873"/>
    <hyperlink ref="D295" r:id="rId874"/>
    <hyperlink ref="I295" r:id="rId875" display="http://www.boxofficemojo.com/schedule/?view=bydate&amp;release=theatrical&amp;date=2015-07-17&amp;p=.htm"/>
    <hyperlink ref="C296" r:id="rId876"/>
    <hyperlink ref="D296" r:id="rId877"/>
    <hyperlink ref="I296" r:id="rId878" display="http://www.boxofficemojo.com/schedule/?view=bydate&amp;release=theatrical&amp;date=2015-02-06&amp;p=.htm"/>
    <hyperlink ref="C297" r:id="rId879"/>
    <hyperlink ref="D297" r:id="rId880"/>
    <hyperlink ref="I297" r:id="rId881" display="http://www.boxofficemojo.com/schedule/?view=bydate&amp;release=theatrical&amp;date=2015-02-06&amp;p=.htm"/>
    <hyperlink ref="C298" r:id="rId882"/>
    <hyperlink ref="D298" r:id="rId883"/>
    <hyperlink ref="I298" r:id="rId884" display="http://www.boxofficemojo.com/schedule/?view=bydate&amp;release=theatrical&amp;date=2015-10-02&amp;p=.htm"/>
    <hyperlink ref="C299" r:id="rId885"/>
    <hyperlink ref="D299" r:id="rId886"/>
    <hyperlink ref="I299" r:id="rId887" display="http://www.boxofficemojo.com/schedule/?view=bydate&amp;release=theatrical&amp;date=2015-05-15&amp;p=.htm"/>
    <hyperlink ref="C300" r:id="rId888"/>
    <hyperlink ref="D300" r:id="rId889"/>
    <hyperlink ref="I300" r:id="rId890" display="http://www.boxofficemojo.com/schedule/?view=bydate&amp;release=theatrical&amp;date=2015-04-03&amp;p=.htm"/>
    <hyperlink ref="C301" r:id="rId891"/>
    <hyperlink ref="D301" r:id="rId892"/>
    <hyperlink ref="I301" r:id="rId893" display="http://www.boxofficemojo.com/schedule/?view=bydate&amp;release=theatrical&amp;date=2015-01-30&amp;p=.htm"/>
    <hyperlink ref="C302" r:id="rId894"/>
    <hyperlink ref="D302" r:id="rId895"/>
    <hyperlink ref="I302" r:id="rId896" display="http://www.boxofficemojo.com/schedule/?view=bydate&amp;release=theatrical&amp;date=2015-03-06&amp;p=.htm"/>
    <hyperlink ref="C303" r:id="rId897"/>
    <hyperlink ref="D303" r:id="rId898"/>
    <hyperlink ref="I303" r:id="rId899" display="http://www.boxofficemojo.com/schedule/?view=bydate&amp;release=theatrical&amp;date=2015-10-20&amp;p=.htm"/>
    <hyperlink ref="C304" r:id="rId900"/>
    <hyperlink ref="D304" r:id="rId901"/>
    <hyperlink ref="I304" r:id="rId902" display="http://www.boxofficemojo.com/schedule/?view=bydate&amp;release=theatrical&amp;date=2015-03-13&amp;p=.htm"/>
    <hyperlink ref="C305" r:id="rId903"/>
    <hyperlink ref="D305" r:id="rId904"/>
    <hyperlink ref="I305" r:id="rId905" display="http://www.boxofficemojo.com/schedule/?view=bydate&amp;release=theatrical&amp;date=2015-11-06&amp;p=.htm"/>
    <hyperlink ref="C306" r:id="rId906"/>
    <hyperlink ref="D306" r:id="rId907"/>
    <hyperlink ref="I306" r:id="rId908" display="http://www.boxofficemojo.com/schedule/?view=bydate&amp;release=theatrical&amp;date=2015-01-30&amp;p=.htm"/>
    <hyperlink ref="C307" r:id="rId909"/>
    <hyperlink ref="D307" r:id="rId910"/>
    <hyperlink ref="I307" r:id="rId911" display="http://www.boxofficemojo.com/schedule/?view=bydate&amp;release=theatrical&amp;date=2015-08-14&amp;p=.htm"/>
    <hyperlink ref="C308" r:id="rId912"/>
    <hyperlink ref="D308" r:id="rId913"/>
    <hyperlink ref="I308" r:id="rId914" display="http://www.boxofficemojo.com/schedule/?view=bydate&amp;release=theatrical&amp;date=2015-11-06&amp;p=.htm"/>
    <hyperlink ref="C309" r:id="rId915"/>
    <hyperlink ref="D309" r:id="rId916"/>
    <hyperlink ref="I309" r:id="rId917" display="http://www.boxofficemojo.com/schedule/?view=bydate&amp;release=theatrical&amp;date=2015-03-27&amp;p=.htm"/>
    <hyperlink ref="C310" r:id="rId918"/>
    <hyperlink ref="D310" r:id="rId919"/>
    <hyperlink ref="I310" r:id="rId920" display="http://www.boxofficemojo.com/schedule/?view=bydate&amp;release=theatrical&amp;date=2015-06-26&amp;p=.htm"/>
    <hyperlink ref="C311" r:id="rId921"/>
    <hyperlink ref="D311" r:id="rId922"/>
    <hyperlink ref="I311" r:id="rId923" display="http://www.boxofficemojo.com/schedule/?view=bydate&amp;release=theatrical&amp;date=2015-05-15&amp;p=.htm"/>
    <hyperlink ref="C312" r:id="rId924"/>
    <hyperlink ref="D312" r:id="rId925"/>
    <hyperlink ref="I312" r:id="rId926" display="http://www.boxofficemojo.com/schedule/?view=bydate&amp;release=theatrical&amp;date=2015-12-02&amp;p=.htm"/>
    <hyperlink ref="C313" r:id="rId927"/>
    <hyperlink ref="D313" r:id="rId928"/>
    <hyperlink ref="I313" r:id="rId929" display="http://www.boxofficemojo.com/schedule/?view=bydate&amp;release=theatrical&amp;date=2015-10-30&amp;p=.htm"/>
    <hyperlink ref="C314" r:id="rId930"/>
    <hyperlink ref="D314" r:id="rId931"/>
    <hyperlink ref="I314" r:id="rId932" display="http://www.boxofficemojo.com/schedule/?view=bydate&amp;release=theatrical&amp;date=2015-10-30&amp;p=.htm"/>
    <hyperlink ref="C315" r:id="rId933"/>
    <hyperlink ref="D315" r:id="rId934"/>
    <hyperlink ref="I315" r:id="rId935" display="http://www.boxofficemojo.com/schedule/?view=bydate&amp;release=theatrical&amp;date=2015-01-09&amp;p=.htm"/>
    <hyperlink ref="C316" r:id="rId936"/>
    <hyperlink ref="D316" r:id="rId937"/>
    <hyperlink ref="I316" r:id="rId938" display="http://www.boxofficemojo.com/schedule/?view=bydate&amp;release=theatrical&amp;date=2015-06-12&amp;p=.htm"/>
    <hyperlink ref="C317" r:id="rId939"/>
    <hyperlink ref="D317" r:id="rId940"/>
    <hyperlink ref="I317" r:id="rId941" display="http://www.boxofficemojo.com/schedule/?view=bydate&amp;release=theatrical&amp;date=2015-01-16&amp;p=.htm"/>
    <hyperlink ref="C318" r:id="rId942"/>
    <hyperlink ref="D318" r:id="rId943"/>
    <hyperlink ref="I318" r:id="rId944" display="http://www.boxofficemojo.com/schedule/?view=bydate&amp;release=theatrical&amp;date=2015-05-20&amp;p=.htm"/>
    <hyperlink ref="C319" r:id="rId945"/>
    <hyperlink ref="D319" r:id="rId946"/>
    <hyperlink ref="I319" r:id="rId947" display="http://www.boxofficemojo.com/schedule/?view=bydate&amp;release=theatrical&amp;date=2015-01-02&amp;p=.htm"/>
    <hyperlink ref="C320" r:id="rId948"/>
    <hyperlink ref="D320" r:id="rId949"/>
    <hyperlink ref="I320" r:id="rId950" display="http://www.boxofficemojo.com/schedule/?view=bydate&amp;release=theatrical&amp;date=2015-12-04&amp;p=.htm"/>
    <hyperlink ref="C321" r:id="rId951"/>
    <hyperlink ref="D321" r:id="rId952"/>
    <hyperlink ref="I321" r:id="rId953" display="http://www.boxofficemojo.com/schedule/?view=bydate&amp;release=theatrical&amp;date=2015-06-03&amp;p=.htm"/>
    <hyperlink ref="C322" r:id="rId954"/>
    <hyperlink ref="D322" r:id="rId955"/>
    <hyperlink ref="I322" r:id="rId956" display="http://www.boxofficemojo.com/schedule/?view=bydate&amp;release=theatrical&amp;date=2015-10-16&amp;p=.htm"/>
    <hyperlink ref="C323" r:id="rId957"/>
    <hyperlink ref="D323" r:id="rId958"/>
    <hyperlink ref="I323" r:id="rId959" display="http://www.boxofficemojo.com/schedule/?view=bydate&amp;release=theatrical&amp;date=2015-05-22&amp;p=.htm"/>
    <hyperlink ref="C324" r:id="rId960"/>
    <hyperlink ref="D324" r:id="rId961"/>
    <hyperlink ref="I324" r:id="rId962" display="http://www.boxofficemojo.com/schedule/?view=bydate&amp;release=theatrical&amp;date=2015-12-04&amp;p=.htm"/>
    <hyperlink ref="C325" r:id="rId963"/>
    <hyperlink ref="D325" r:id="rId964"/>
    <hyperlink ref="I325" r:id="rId965" display="http://www.boxofficemojo.com/schedule/?view=bydate&amp;release=theatrical&amp;date=2015-09-11&amp;p=.htm"/>
    <hyperlink ref="C326" r:id="rId966"/>
    <hyperlink ref="D326" r:id="rId967"/>
    <hyperlink ref="I326" r:id="rId968" display="http://www.boxofficemojo.com/schedule/?view=bydate&amp;release=theatrical&amp;date=2015-08-07&amp;p=.htm"/>
    <hyperlink ref="C327" r:id="rId969"/>
    <hyperlink ref="D327" r:id="rId970"/>
    <hyperlink ref="I327" r:id="rId971" display="http://www.boxofficemojo.com/schedule/?view=bydate&amp;release=theatrical&amp;date=2015-10-30&amp;p=.htm"/>
    <hyperlink ref="C328" r:id="rId972"/>
    <hyperlink ref="D328" r:id="rId973"/>
    <hyperlink ref="I328" r:id="rId974" display="http://www.boxofficemojo.com/schedule/?view=bydate&amp;release=theatrical&amp;date=2015-06-26&amp;p=.htm"/>
    <hyperlink ref="C329" r:id="rId975"/>
    <hyperlink ref="D329" r:id="rId976"/>
    <hyperlink ref="I329" r:id="rId977" display="http://www.boxofficemojo.com/schedule/?view=bydate&amp;release=theatrical&amp;date=2015-05-29&amp;p=.htm"/>
    <hyperlink ref="C330" r:id="rId978"/>
    <hyperlink ref="D330" r:id="rId979"/>
    <hyperlink ref="I330" r:id="rId980" display="http://www.boxofficemojo.com/schedule/?view=bydate&amp;release=theatrical&amp;date=2015-05-15&amp;p=.htm"/>
    <hyperlink ref="C331" r:id="rId981"/>
    <hyperlink ref="D331" r:id="rId982"/>
    <hyperlink ref="I331" r:id="rId983" display="http://www.boxofficemojo.com/schedule/?view=bydate&amp;release=theatrical&amp;date=2015-03-20&amp;p=.htm"/>
    <hyperlink ref="C332" r:id="rId984"/>
    <hyperlink ref="D332" r:id="rId985"/>
    <hyperlink ref="I332" r:id="rId986" display="http://www.boxofficemojo.com/schedule/?view=bydate&amp;release=theatrical&amp;date=2015-09-25&amp;p=.htm"/>
    <hyperlink ref="C333" r:id="rId987"/>
    <hyperlink ref="D333" r:id="rId988"/>
    <hyperlink ref="I333" r:id="rId989" display="http://www.boxofficemojo.com/schedule/?view=bydate&amp;release=theatrical&amp;date=2015-05-08&amp;p=.htm"/>
    <hyperlink ref="C334" r:id="rId990"/>
    <hyperlink ref="D334" r:id="rId991"/>
    <hyperlink ref="I334" r:id="rId992" display="http://www.boxofficemojo.com/schedule/?view=bydate&amp;release=theatrical&amp;date=2015-03-06&amp;p=.htm"/>
    <hyperlink ref="C335" r:id="rId993"/>
    <hyperlink ref="D335" r:id="rId994"/>
    <hyperlink ref="I335" r:id="rId995" display="http://www.boxofficemojo.com/schedule/?view=bydate&amp;release=theatrical&amp;date=2015-11-26&amp;p=.htm"/>
    <hyperlink ref="C336" r:id="rId996"/>
    <hyperlink ref="D336" r:id="rId997"/>
    <hyperlink ref="I336" r:id="rId998" display="http://www.boxofficemojo.com/schedule/?view=bydate&amp;release=theatrical&amp;date=2015-04-03&amp;p=.htm"/>
    <hyperlink ref="C337" r:id="rId999"/>
    <hyperlink ref="D337" r:id="rId1000"/>
    <hyperlink ref="I337" r:id="rId1001" display="http://www.boxofficemojo.com/schedule/?view=bydate&amp;release=theatrical&amp;date=2015-03-06&amp;p=.htm"/>
    <hyperlink ref="C338" r:id="rId1002"/>
    <hyperlink ref="D338" r:id="rId1003"/>
    <hyperlink ref="I338" r:id="rId1004" display="http://www.boxofficemojo.com/schedule/?view=bydate&amp;release=theatrical&amp;date=2015-03-27&amp;p=.htm"/>
    <hyperlink ref="C339" r:id="rId1005"/>
    <hyperlink ref="D339" r:id="rId1006"/>
    <hyperlink ref="I339" r:id="rId1007" display="http://www.boxofficemojo.com/schedule/?view=bydate&amp;release=theatrical&amp;date=2015-07-31&amp;p=.htm"/>
    <hyperlink ref="C340" r:id="rId1008"/>
    <hyperlink ref="D340" r:id="rId1009"/>
    <hyperlink ref="I340" r:id="rId1010" display="http://www.boxofficemojo.com/schedule/?view=bydate&amp;release=theatrical&amp;date=2015-05-22&amp;p=.htm"/>
    <hyperlink ref="C341" r:id="rId1011"/>
    <hyperlink ref="D341" r:id="rId1012"/>
    <hyperlink ref="I341" r:id="rId1013" display="http://www.boxofficemojo.com/schedule/?view=bydate&amp;release=theatrical&amp;date=2015-10-16&amp;p=.htm"/>
    <hyperlink ref="C342" r:id="rId1014"/>
    <hyperlink ref="D342" r:id="rId1015"/>
    <hyperlink ref="I342" r:id="rId1016" display="http://www.boxofficemojo.com/schedule/?view=bydate&amp;release=theatrical&amp;date=2015-09-11&amp;p=.htm"/>
    <hyperlink ref="C343" r:id="rId1017"/>
    <hyperlink ref="D343" r:id="rId1018"/>
    <hyperlink ref="I343" r:id="rId1019" display="http://www.boxofficemojo.com/schedule/?view=bydate&amp;release=theatrical&amp;date=2015-09-09&amp;p=.htm"/>
    <hyperlink ref="C344" r:id="rId1020"/>
    <hyperlink ref="D344" r:id="rId1021"/>
    <hyperlink ref="I344" r:id="rId1022" display="http://www.boxofficemojo.com/schedule/?view=bydate&amp;release=theatrical&amp;date=2015-02-27&amp;p=.htm"/>
    <hyperlink ref="C345" r:id="rId1023"/>
    <hyperlink ref="D345" r:id="rId1024"/>
    <hyperlink ref="I345" r:id="rId1025" display="http://www.boxofficemojo.com/schedule/?view=bydate&amp;release=theatrical&amp;date=2015-02-13&amp;p=.htm"/>
    <hyperlink ref="C346" r:id="rId1026"/>
    <hyperlink ref="D346" r:id="rId1027"/>
    <hyperlink ref="I346" r:id="rId1028" display="http://www.boxofficemojo.com/schedule/?view=bydate&amp;release=theatrical&amp;date=2015-11-11&amp;p=.htm"/>
    <hyperlink ref="C347" r:id="rId1029"/>
    <hyperlink ref="D347" r:id="rId1030"/>
    <hyperlink ref="I347" r:id="rId1031" display="http://www.boxofficemojo.com/schedule/?view=bydate&amp;release=theatrical&amp;date=2015-04-03&amp;p=.htm"/>
    <hyperlink ref="C348" r:id="rId1032"/>
    <hyperlink ref="D348" r:id="rId1033"/>
    <hyperlink ref="I348" r:id="rId1034" display="http://www.boxofficemojo.com/schedule/?view=bydate&amp;release=theatrical&amp;date=2015-02-27&amp;p=.htm"/>
    <hyperlink ref="C349" r:id="rId1035"/>
    <hyperlink ref="D349" r:id="rId1036"/>
    <hyperlink ref="I349" r:id="rId1037" display="http://www.boxofficemojo.com/schedule/?view=bydate&amp;release=theatrical&amp;date=2015-03-13&amp;p=.htm"/>
    <hyperlink ref="C350" r:id="rId1038"/>
    <hyperlink ref="D350" r:id="rId1039"/>
    <hyperlink ref="I350" r:id="rId1040" display="http://www.boxofficemojo.com/schedule/?view=bydate&amp;release=theatrical&amp;date=2015-01-09&amp;p=.htm"/>
    <hyperlink ref="C351" r:id="rId1041"/>
    <hyperlink ref="D351" r:id="rId1042"/>
    <hyperlink ref="I351" r:id="rId1043" display="http://www.boxofficemojo.com/schedule/?view=bydate&amp;release=theatrical&amp;date=2015-10-02&amp;p=.htm"/>
    <hyperlink ref="C352" r:id="rId1044"/>
    <hyperlink ref="D352" r:id="rId1045"/>
    <hyperlink ref="I352" r:id="rId1046" display="http://www.boxofficemojo.com/schedule/?view=bydate&amp;release=theatrical&amp;date=2015-10-16&amp;p=.htm"/>
    <hyperlink ref="C353" r:id="rId1047"/>
    <hyperlink ref="D353" r:id="rId1048"/>
    <hyperlink ref="I353" r:id="rId1049" display="http://www.boxofficemojo.com/schedule/?view=bydate&amp;release=theatrical&amp;date=2015-04-10&amp;p=.htm"/>
    <hyperlink ref="C354" r:id="rId1050"/>
    <hyperlink ref="D354" r:id="rId1051"/>
    <hyperlink ref="I354" r:id="rId1052" display="http://www.boxofficemojo.com/schedule/?view=bydate&amp;release=theatrical&amp;date=2015-01-30&amp;p=.htm"/>
    <hyperlink ref="C355" r:id="rId1053"/>
    <hyperlink ref="D355" r:id="rId1054"/>
    <hyperlink ref="I355" r:id="rId1055" display="http://www.boxofficemojo.com/schedule/?view=bydate&amp;release=theatrical&amp;date=2015-01-30&amp;p=.htm"/>
    <hyperlink ref="C356" r:id="rId1056"/>
    <hyperlink ref="D356" r:id="rId1057"/>
    <hyperlink ref="I356" r:id="rId1058" display="http://www.boxofficemojo.com/schedule/?view=bydate&amp;release=theatrical&amp;date=2015-07-24&amp;p=.htm"/>
    <hyperlink ref="C357" r:id="rId1059"/>
    <hyperlink ref="D357" r:id="rId1060"/>
    <hyperlink ref="I357" r:id="rId1061" display="http://www.boxofficemojo.com/schedule/?view=bydate&amp;release=theatrical&amp;date=2015-06-17&amp;p=.htm"/>
    <hyperlink ref="C358" r:id="rId1062"/>
    <hyperlink ref="D358" r:id="rId1063"/>
    <hyperlink ref="I358" r:id="rId1064" display="http://www.boxofficemojo.com/schedule/?view=bydate&amp;release=theatrical&amp;date=2015-07-10&amp;p=.htm"/>
    <hyperlink ref="C359" r:id="rId1065"/>
    <hyperlink ref="D359" r:id="rId1066"/>
    <hyperlink ref="I359" r:id="rId1067" display="http://www.boxofficemojo.com/schedule/?view=bydate&amp;release=theatrical&amp;date=2015-09-18&amp;p=.htm"/>
    <hyperlink ref="C360" r:id="rId1068"/>
    <hyperlink ref="D360" r:id="rId1069"/>
    <hyperlink ref="I360" r:id="rId1070" display="http://www.boxofficemojo.com/schedule/?view=bydate&amp;release=theatrical&amp;date=2015-02-13&amp;p=.htm"/>
    <hyperlink ref="C361" r:id="rId1071"/>
    <hyperlink ref="D361" r:id="rId1072"/>
    <hyperlink ref="I361" r:id="rId1073" display="http://www.boxofficemojo.com/schedule/?view=bydate&amp;release=theatrical&amp;date=2015-04-17&amp;p=.htm"/>
    <hyperlink ref="C362" r:id="rId1074"/>
    <hyperlink ref="D362" r:id="rId1075"/>
    <hyperlink ref="I362" r:id="rId1076" display="http://www.boxofficemojo.com/schedule/?view=bydate&amp;release=theatrical&amp;date=2015-12-11&amp;p=.htm"/>
    <hyperlink ref="C363" r:id="rId1077"/>
    <hyperlink ref="D363" r:id="rId1078"/>
    <hyperlink ref="I363" r:id="rId1079" display="http://www.boxofficemojo.com/schedule/?view=bydate&amp;release=theatrical&amp;date=2015-06-19&amp;p=.htm"/>
    <hyperlink ref="C364" r:id="rId1080"/>
    <hyperlink ref="D364" r:id="rId1081"/>
    <hyperlink ref="I364" r:id="rId1082" display="http://www.boxofficemojo.com/schedule/?view=bydate&amp;release=theatrical&amp;date=2015-11-13&amp;p=.htm"/>
    <hyperlink ref="C365" r:id="rId1083"/>
    <hyperlink ref="D365" r:id="rId1084"/>
    <hyperlink ref="I365" r:id="rId1085" display="http://www.boxofficemojo.com/schedule/?view=bydate&amp;release=theatrical&amp;date=2015-04-17&amp;p=.htm"/>
    <hyperlink ref="C366" r:id="rId1086"/>
    <hyperlink ref="D366" r:id="rId1087"/>
    <hyperlink ref="I366" r:id="rId1088" display="http://www.boxofficemojo.com/schedule/?view=bydate&amp;release=theatrical&amp;date=2015-03-20&amp;p=.htm"/>
    <hyperlink ref="C367" r:id="rId1089"/>
    <hyperlink ref="D367" r:id="rId1090"/>
    <hyperlink ref="I367" r:id="rId1091" display="http://www.boxofficemojo.com/schedule/?view=bydate&amp;release=theatrical&amp;date=2015-08-07&amp;p=.htm"/>
    <hyperlink ref="C368" r:id="rId1092"/>
    <hyperlink ref="D368" r:id="rId1093"/>
    <hyperlink ref="I368" r:id="rId1094" display="http://www.boxofficemojo.com/schedule/?view=bydate&amp;release=theatrical&amp;date=2015-04-22&amp;p=.htm"/>
    <hyperlink ref="C369" r:id="rId1095"/>
    <hyperlink ref="D369" r:id="rId1096"/>
    <hyperlink ref="I369" r:id="rId1097" display="http://www.boxofficemojo.com/schedule/?view=bydate&amp;release=theatrical&amp;date=2015-10-14&amp;p=.htm"/>
    <hyperlink ref="C370" r:id="rId1098"/>
    <hyperlink ref="D370" r:id="rId1099"/>
    <hyperlink ref="I370" r:id="rId1100" display="http://www.boxofficemojo.com/schedule/?view=bydate&amp;release=theatrical&amp;date=2015-12-31&amp;p=.htm"/>
    <hyperlink ref="C371" r:id="rId1101"/>
    <hyperlink ref="D371" r:id="rId1102"/>
    <hyperlink ref="I371" r:id="rId1103" display="http://www.boxofficemojo.com/schedule/?view=bydate&amp;release=theatrical&amp;date=2015-09-25&amp;p=.htm"/>
    <hyperlink ref="C372" r:id="rId1104"/>
    <hyperlink ref="D372" r:id="rId1105"/>
    <hyperlink ref="I372" r:id="rId1106" display="http://www.boxofficemojo.com/schedule/?view=bydate&amp;release=theatrical&amp;date=2015-04-24&amp;p=.htm"/>
    <hyperlink ref="C373" r:id="rId1107"/>
    <hyperlink ref="D373" r:id="rId1108"/>
    <hyperlink ref="I373" r:id="rId1109" display="http://www.boxofficemojo.com/schedule/?view=bydate&amp;release=theatrical&amp;date=2015-12-11&amp;p=.htm"/>
    <hyperlink ref="C374" r:id="rId1110"/>
    <hyperlink ref="D374" r:id="rId1111"/>
    <hyperlink ref="I374" r:id="rId1112" display="http://www.boxofficemojo.com/schedule/?view=bydate&amp;release=theatrical&amp;date=2015-11-18&amp;p=.htm"/>
    <hyperlink ref="C375" r:id="rId1113"/>
    <hyperlink ref="D375" r:id="rId1114"/>
    <hyperlink ref="I375" r:id="rId1115" display="http://www.boxofficemojo.com/schedule/?view=bydate&amp;release=theatrical&amp;date=2015-07-10&amp;p=.htm"/>
    <hyperlink ref="C376" r:id="rId1116"/>
    <hyperlink ref="D376" r:id="rId1117"/>
    <hyperlink ref="I376" r:id="rId1118" display="http://www.boxofficemojo.com/schedule/?view=bydate&amp;release=theatrical&amp;date=2015-08-28&amp;p=.htm"/>
    <hyperlink ref="C377" r:id="rId1119"/>
    <hyperlink ref="D377" r:id="rId1120"/>
    <hyperlink ref="I377" r:id="rId1121" display="http://www.boxofficemojo.com/schedule/?view=bydate&amp;release=theatrical&amp;date=2015-11-04&amp;p=.htm"/>
    <hyperlink ref="C378" r:id="rId1122"/>
    <hyperlink ref="D378" r:id="rId1123"/>
    <hyperlink ref="I378" r:id="rId1124" display="http://www.boxofficemojo.com/schedule/?view=bydate&amp;release=theatrical&amp;date=2015-07-10&amp;p=.htm"/>
    <hyperlink ref="C379" r:id="rId1125"/>
    <hyperlink ref="D379" r:id="rId1126"/>
    <hyperlink ref="I379" r:id="rId1127" display="http://www.boxofficemojo.com/schedule/?view=bydate&amp;release=theatrical&amp;date=2015-08-21&amp;p=.htm"/>
    <hyperlink ref="C380" r:id="rId1128"/>
    <hyperlink ref="D380" r:id="rId1129"/>
    <hyperlink ref="I380" r:id="rId1130" display="http://www.boxofficemojo.com/schedule/?view=bydate&amp;release=theatrical&amp;date=2015-09-11&amp;p=.htm"/>
    <hyperlink ref="C381" r:id="rId1131"/>
    <hyperlink ref="D381" r:id="rId1132"/>
    <hyperlink ref="I381" r:id="rId1133" display="http://www.boxofficemojo.com/schedule/?view=bydate&amp;release=theatrical&amp;date=2015-03-06&amp;p=.htm"/>
    <hyperlink ref="C382" r:id="rId1134"/>
    <hyperlink ref="D382" r:id="rId1135"/>
    <hyperlink ref="I382" r:id="rId1136" display="http://www.boxofficemojo.com/schedule/?view=bydate&amp;release=theatrical&amp;date=2015-08-21&amp;p=.htm"/>
    <hyperlink ref="C383" r:id="rId1137" display="http://www.boxofficemojo.com/movies/?id=1915.htm"/>
    <hyperlink ref="D383" r:id="rId1138"/>
    <hyperlink ref="I383" r:id="rId1139" display="http://www.boxofficemojo.com/schedule/?view=bydate&amp;release=theatrical&amp;date=2015-04-17&amp;p=.htm"/>
    <hyperlink ref="C384" r:id="rId1140"/>
    <hyperlink ref="D384" r:id="rId1141"/>
    <hyperlink ref="I384" r:id="rId1142" display="http://www.boxofficemojo.com/schedule/?view=bydate&amp;release=theatrical&amp;date=2015-08-28&amp;p=.htm"/>
    <hyperlink ref="C385" r:id="rId1143"/>
    <hyperlink ref="D385" r:id="rId1144"/>
    <hyperlink ref="I385" r:id="rId1145" display="http://www.boxofficemojo.com/schedule/?view=bydate&amp;release=theatrical&amp;date=2015-04-15&amp;p=.htm"/>
    <hyperlink ref="C386" r:id="rId1146"/>
    <hyperlink ref="D386" r:id="rId1147"/>
    <hyperlink ref="I386" r:id="rId1148" display="http://www.boxofficemojo.com/schedule/?view=bydate&amp;release=theatrical&amp;date=2015-07-17&amp;p=.htm"/>
    <hyperlink ref="C387" r:id="rId1149"/>
    <hyperlink ref="D387" r:id="rId1150"/>
    <hyperlink ref="I387" r:id="rId1151" display="http://www.boxofficemojo.com/schedule/?view=bydate&amp;release=theatrical&amp;date=2015-04-24&amp;p=.htm"/>
    <hyperlink ref="C388" r:id="rId1152"/>
    <hyperlink ref="D388" r:id="rId1153"/>
    <hyperlink ref="I388" r:id="rId1154" display="http://www.boxofficemojo.com/schedule/?view=bydate&amp;release=theatrical&amp;date=2015-09-11&amp;p=.htm"/>
    <hyperlink ref="C389" r:id="rId1155"/>
    <hyperlink ref="D389" r:id="rId1156"/>
    <hyperlink ref="I389" r:id="rId1157" display="http://www.boxofficemojo.com/schedule/?view=bydate&amp;release=theatrical&amp;date=2015-05-15&amp;p=.htm"/>
    <hyperlink ref="C390" r:id="rId1158"/>
    <hyperlink ref="D390" r:id="rId1159"/>
    <hyperlink ref="I390" r:id="rId1160" display="http://www.boxofficemojo.com/schedule/?view=bydate&amp;release=theatrical&amp;date=2015-05-29&amp;p=.htm"/>
    <hyperlink ref="C391" r:id="rId1161"/>
    <hyperlink ref="D391" r:id="rId1162"/>
    <hyperlink ref="I391" r:id="rId1163" display="http://www.boxofficemojo.com/schedule/?view=bydate&amp;release=theatrical&amp;date=2015-05-15&amp;p=.htm"/>
    <hyperlink ref="C392" r:id="rId1164"/>
    <hyperlink ref="D392" r:id="rId1165"/>
    <hyperlink ref="I392" r:id="rId1166" display="http://www.boxofficemojo.com/schedule/?view=bydate&amp;release=theatrical&amp;date=2015-07-31&amp;p=.htm"/>
    <hyperlink ref="C393" r:id="rId1167"/>
    <hyperlink ref="D393" r:id="rId1168"/>
    <hyperlink ref="I393" r:id="rId1169" display="http://www.boxofficemojo.com/schedule/?view=bydate&amp;release=theatrical&amp;date=2015-03-27&amp;p=.htm"/>
    <hyperlink ref="C394" r:id="rId1170"/>
    <hyperlink ref="D394" r:id="rId1171"/>
    <hyperlink ref="I394" r:id="rId1172" display="http://www.boxofficemojo.com/schedule/?view=bydate&amp;release=theatrical&amp;date=2015-11-13&amp;p=.htm"/>
    <hyperlink ref="C395" r:id="rId1173"/>
    <hyperlink ref="D395" r:id="rId1174"/>
    <hyperlink ref="I395" r:id="rId1175" display="http://www.boxofficemojo.com/schedule/?view=bydate&amp;release=theatrical&amp;date=2015-11-10&amp;p=.htm"/>
    <hyperlink ref="C396" r:id="rId1176"/>
    <hyperlink ref="D396" r:id="rId1177"/>
    <hyperlink ref="I396" r:id="rId1178" display="http://www.boxofficemojo.com/schedule/?view=bydate&amp;release=theatrical&amp;date=2015-04-10&amp;p=.htm"/>
    <hyperlink ref="C397" r:id="rId1179"/>
    <hyperlink ref="D397" r:id="rId1180"/>
    <hyperlink ref="I397" r:id="rId1181" display="http://www.boxofficemojo.com/schedule/?view=bydate&amp;release=theatrical&amp;date=2015-07-01&amp;p=.htm"/>
    <hyperlink ref="C398" r:id="rId1182"/>
    <hyperlink ref="D398" r:id="rId1183"/>
    <hyperlink ref="I398" r:id="rId1184" display="http://www.boxofficemojo.com/schedule/?view=bydate&amp;release=theatrical&amp;date=2015-10-02&amp;p=.htm"/>
    <hyperlink ref="C399" r:id="rId1185"/>
    <hyperlink ref="D399" r:id="rId1186"/>
    <hyperlink ref="I399" r:id="rId1187" display="http://www.boxofficemojo.com/schedule/?view=bydate&amp;release=theatrical&amp;date=2015-03-13&amp;p=.htm"/>
    <hyperlink ref="C400" r:id="rId1188"/>
    <hyperlink ref="D400" r:id="rId1189"/>
    <hyperlink ref="I400" r:id="rId1190" display="http://www.boxofficemojo.com/schedule/?view=bydate&amp;release=theatrical&amp;date=2015-01-30&amp;p=.htm"/>
    <hyperlink ref="C401" r:id="rId1191"/>
    <hyperlink ref="D401" r:id="rId1192"/>
    <hyperlink ref="I401" r:id="rId1193" display="http://www.boxofficemojo.com/schedule/?view=bydate&amp;release=theatrical&amp;date=2015-12-04&amp;p=.htm"/>
    <hyperlink ref="C402" r:id="rId1194"/>
    <hyperlink ref="D402" r:id="rId1195"/>
    <hyperlink ref="I402" r:id="rId1196" display="http://www.boxofficemojo.com/schedule/?view=bydate&amp;release=theatrical&amp;date=2015-08-26&amp;p=.htm"/>
    <hyperlink ref="C403" r:id="rId1197"/>
    <hyperlink ref="D403" r:id="rId1198"/>
    <hyperlink ref="I403" r:id="rId1199" display="http://www.boxofficemojo.com/schedule/?view=bydate&amp;release=theatrical&amp;date=2015-10-16&amp;p=.htm"/>
    <hyperlink ref="C404" r:id="rId1200"/>
    <hyperlink ref="D404" r:id="rId1201"/>
    <hyperlink ref="I404" r:id="rId1202" display="http://www.boxofficemojo.com/schedule/?view=bydate&amp;release=theatrical&amp;date=2015-09-20&amp;p=.htm"/>
    <hyperlink ref="C405" r:id="rId1203"/>
    <hyperlink ref="D405" r:id="rId1204"/>
    <hyperlink ref="I405" r:id="rId1205" display="http://www.boxofficemojo.com/schedule/?view=bydate&amp;release=theatrical&amp;date=2015-09-11&amp;p=.htm"/>
    <hyperlink ref="C406" r:id="rId1206"/>
    <hyperlink ref="D406" r:id="rId1207"/>
    <hyperlink ref="I406" r:id="rId1208" display="http://www.boxofficemojo.com/schedule/?view=bydate&amp;release=theatrical&amp;date=2015-05-22&amp;p=.htm"/>
    <hyperlink ref="C407" r:id="rId1209"/>
    <hyperlink ref="D407" r:id="rId1210"/>
    <hyperlink ref="I407" r:id="rId1211" display="http://www.boxofficemojo.com/schedule/?view=bydate&amp;release=theatrical&amp;date=2015-10-16&amp;p=.htm"/>
    <hyperlink ref="C408" r:id="rId1212"/>
    <hyperlink ref="D408" r:id="rId1213"/>
    <hyperlink ref="I408" r:id="rId1214" display="http://www.boxofficemojo.com/schedule/?view=bydate&amp;release=theatrical&amp;date=2015-01-02&amp;p=.htm"/>
    <hyperlink ref="C409" r:id="rId1215"/>
    <hyperlink ref="D409" r:id="rId1216"/>
    <hyperlink ref="I409" r:id="rId1217" display="http://www.boxofficemojo.com/schedule/?view=bydate&amp;release=theatrical&amp;date=2015-05-29&amp;p=.htm"/>
    <hyperlink ref="C410" r:id="rId1218"/>
    <hyperlink ref="D410" r:id="rId1219"/>
    <hyperlink ref="I410" r:id="rId1220" display="http://www.boxofficemojo.com/schedule/?view=bydate&amp;release=theatrical&amp;date=2015-10-23&amp;p=.htm"/>
    <hyperlink ref="C411" r:id="rId1221"/>
    <hyperlink ref="D411" r:id="rId1222"/>
    <hyperlink ref="I411" r:id="rId1223" display="http://www.boxofficemojo.com/schedule/?view=bydate&amp;release=theatrical&amp;date=2015-04-24&amp;p=.htm"/>
    <hyperlink ref="C412" r:id="rId1224"/>
    <hyperlink ref="D412" r:id="rId1225"/>
    <hyperlink ref="I412" r:id="rId1226" display="http://www.boxofficemojo.com/schedule/?view=bydate&amp;release=theatrical&amp;date=2015-06-26&amp;p=.htm"/>
    <hyperlink ref="C413" r:id="rId1227"/>
    <hyperlink ref="D413" r:id="rId1228"/>
    <hyperlink ref="I413" r:id="rId1229" display="http://www.boxofficemojo.com/schedule/?view=bydate&amp;release=theatrical&amp;date=2015-09-04&amp;p=.htm"/>
    <hyperlink ref="C414" r:id="rId1230"/>
    <hyperlink ref="D414" r:id="rId1231"/>
    <hyperlink ref="I414" r:id="rId1232" display="http://www.boxofficemojo.com/schedule/?view=bydate&amp;release=theatrical&amp;date=2015-10-30&amp;p=.htm"/>
    <hyperlink ref="C415" r:id="rId1233"/>
    <hyperlink ref="D415" r:id="rId1234"/>
    <hyperlink ref="I415" r:id="rId1235" display="http://www.boxofficemojo.com/schedule/?view=bydate&amp;release=theatrical&amp;date=2015-10-30&amp;p=.htm"/>
    <hyperlink ref="C416" r:id="rId1236"/>
    <hyperlink ref="D416" r:id="rId1237"/>
    <hyperlink ref="I416" r:id="rId1238" display="http://www.boxofficemojo.com/schedule/?view=bydate&amp;release=theatrical&amp;date=2015-01-09&amp;p=.htm"/>
    <hyperlink ref="C417" r:id="rId1239"/>
    <hyperlink ref="D417" r:id="rId1240"/>
    <hyperlink ref="I417" r:id="rId1241" display="http://www.boxofficemojo.com/schedule/?view=bydate&amp;release=theatrical&amp;date=2015-05-06&amp;p=.htm"/>
    <hyperlink ref="C418" r:id="rId1242"/>
    <hyperlink ref="D418" r:id="rId1243"/>
    <hyperlink ref="I418" r:id="rId1244" display="http://www.boxofficemojo.com/schedule/?view=bydate&amp;release=theatrical&amp;date=2015-12-04&amp;p=.htm"/>
    <hyperlink ref="C419" r:id="rId1245"/>
    <hyperlink ref="D419" r:id="rId1246"/>
    <hyperlink ref="I419" r:id="rId1247" display="http://www.boxofficemojo.com/schedule/?view=bydate&amp;release=theatrical&amp;date=2015-08-28&amp;p=.htm"/>
    <hyperlink ref="C420" r:id="rId1248"/>
    <hyperlink ref="D420" r:id="rId1249"/>
    <hyperlink ref="I420" r:id="rId1250" display="http://www.boxofficemojo.com/schedule/?view=bydate&amp;release=theatrical&amp;date=2015-08-14&amp;p=.htm"/>
    <hyperlink ref="C421" r:id="rId1251"/>
    <hyperlink ref="D421" r:id="rId1252"/>
    <hyperlink ref="I421" r:id="rId1253" display="http://www.boxofficemojo.com/schedule/?view=bydate&amp;release=theatrical&amp;date=2015-06-19&amp;p=.htm"/>
    <hyperlink ref="C422" r:id="rId1254"/>
    <hyperlink ref="D422" r:id="rId1255"/>
    <hyperlink ref="I422" r:id="rId1256" display="http://www.boxofficemojo.com/schedule/?view=bydate&amp;release=theatrical&amp;date=2015-01-23&amp;p=.htm"/>
    <hyperlink ref="C423" r:id="rId1257"/>
    <hyperlink ref="D423" r:id="rId1258"/>
    <hyperlink ref="I423" r:id="rId1259" display="http://www.boxofficemojo.com/schedule/?view=bydate&amp;release=theatrical&amp;date=2015-09-23&amp;p=.htm"/>
    <hyperlink ref="C424" r:id="rId1260"/>
    <hyperlink ref="D424" r:id="rId1261"/>
    <hyperlink ref="I424" r:id="rId1262" display="http://www.boxofficemojo.com/schedule/?view=bydate&amp;release=theatrical&amp;date=2015-09-18&amp;p=.htm"/>
    <hyperlink ref="C425" r:id="rId1263"/>
    <hyperlink ref="D425" r:id="rId1264"/>
    <hyperlink ref="I425" r:id="rId1265" display="http://www.boxofficemojo.com/schedule/?view=bydate&amp;release=theatrical&amp;date=2015-09-25&amp;p=.htm"/>
    <hyperlink ref="C426" r:id="rId1266"/>
    <hyperlink ref="D426" r:id="rId1267"/>
    <hyperlink ref="I426" r:id="rId1268" display="http://www.boxofficemojo.com/schedule/?view=bydate&amp;release=theatrical&amp;date=2015-10-30&amp;p=.htm"/>
    <hyperlink ref="C427" r:id="rId1269"/>
    <hyperlink ref="D427" r:id="rId1270"/>
    <hyperlink ref="I427" r:id="rId1271" display="http://www.boxofficemojo.com/schedule/?view=bydate&amp;release=theatrical&amp;date=2015-07-24&amp;p=.htm"/>
    <hyperlink ref="C428" r:id="rId1272"/>
    <hyperlink ref="D428" r:id="rId1273"/>
    <hyperlink ref="I428" r:id="rId1274" display="http://www.boxofficemojo.com/schedule/?view=bydate&amp;release=theatrical&amp;date=2015-05-15&amp;p=.htm"/>
    <hyperlink ref="C429" r:id="rId1275"/>
    <hyperlink ref="D429" r:id="rId1276"/>
    <hyperlink ref="I429" r:id="rId1277" display="http://www.boxofficemojo.com/schedule/?view=bydate&amp;release=theatrical&amp;date=2015-01-30&amp;p=.htm"/>
    <hyperlink ref="C430" r:id="rId1278"/>
    <hyperlink ref="D430" r:id="rId1279"/>
    <hyperlink ref="I430" r:id="rId1280" display="http://www.boxofficemojo.com/schedule/?view=bydate&amp;release=theatrical&amp;date=2015-03-20&amp;p=.htm"/>
    <hyperlink ref="C431" r:id="rId1281"/>
    <hyperlink ref="D431" r:id="rId1282"/>
    <hyperlink ref="I431" r:id="rId1283" display="http://www.boxofficemojo.com/schedule/?view=bydate&amp;release=theatrical&amp;date=2015-05-20&amp;p=.htm"/>
    <hyperlink ref="C432" r:id="rId1284"/>
    <hyperlink ref="D432" r:id="rId1285"/>
    <hyperlink ref="I432" r:id="rId1286" display="http://www.boxofficemojo.com/schedule/?view=bydate&amp;release=theatrical&amp;date=2015-09-18&amp;p=.htm"/>
    <hyperlink ref="C433" r:id="rId1287"/>
    <hyperlink ref="D433" r:id="rId1288"/>
    <hyperlink ref="I433" r:id="rId1289" display="http://www.boxofficemojo.com/schedule/?view=bydate&amp;release=theatrical&amp;date=2015-10-23&amp;p=.htm"/>
    <hyperlink ref="C434" r:id="rId1290"/>
    <hyperlink ref="D434" r:id="rId1291"/>
    <hyperlink ref="I434" r:id="rId1292" display="http://www.boxofficemojo.com/schedule/?view=bydate&amp;release=theatrical&amp;date=2015-09-02&amp;p=.htm"/>
    <hyperlink ref="C435" r:id="rId1293"/>
    <hyperlink ref="D435" r:id="rId1294"/>
    <hyperlink ref="I435" r:id="rId1295" display="http://www.boxofficemojo.com/schedule/?view=bydate&amp;release=theatrical&amp;date=2015-11-13&amp;p=.htm"/>
    <hyperlink ref="C436" r:id="rId1296"/>
    <hyperlink ref="D436" r:id="rId1297"/>
    <hyperlink ref="I436" r:id="rId1298" display="http://www.boxofficemojo.com/schedule/?view=bydate&amp;release=theatrical&amp;date=2015-01-02&amp;p=.htm"/>
    <hyperlink ref="C437" r:id="rId1299"/>
    <hyperlink ref="D437" r:id="rId1300"/>
    <hyperlink ref="I437" r:id="rId1301" display="http://www.boxofficemojo.com/schedule/?view=bydate&amp;release=theatrical&amp;date=2015-06-19&amp;p=.htm"/>
    <hyperlink ref="C438" r:id="rId1302"/>
    <hyperlink ref="D438" r:id="rId1303"/>
    <hyperlink ref="I438" r:id="rId1304" display="http://www.boxofficemojo.com/schedule/?view=bydate&amp;release=theatrical&amp;date=2015-01-09&amp;p=.htm"/>
    <hyperlink ref="C439" r:id="rId1305"/>
    <hyperlink ref="D439" r:id="rId1306"/>
    <hyperlink ref="I439" r:id="rId1307" display="http://www.boxofficemojo.com/schedule/?view=bydate&amp;release=theatrical&amp;date=2015-05-22&amp;p=.htm"/>
    <hyperlink ref="C440" r:id="rId1308"/>
    <hyperlink ref="D440" r:id="rId1309"/>
    <hyperlink ref="I440" r:id="rId1310" display="http://www.boxofficemojo.com/schedule/?view=bydate&amp;release=theatrical&amp;date=2015-08-19&amp;p=.htm"/>
    <hyperlink ref="C441" r:id="rId1311"/>
    <hyperlink ref="D441" r:id="rId1312"/>
    <hyperlink ref="I441" r:id="rId1313" display="http://www.boxofficemojo.com/schedule/?view=bydate&amp;release=theatrical&amp;date=2015-08-14&amp;p=.htm"/>
    <hyperlink ref="C442" r:id="rId1314"/>
    <hyperlink ref="D442" r:id="rId1315"/>
    <hyperlink ref="I442" r:id="rId1316" display="http://www.boxofficemojo.com/schedule/?view=bydate&amp;release=theatrical&amp;date=2015-06-12&amp;p=.htm"/>
    <hyperlink ref="C443" r:id="rId1317"/>
    <hyperlink ref="D443" r:id="rId1318"/>
    <hyperlink ref="I443" r:id="rId1319" display="http://www.boxofficemojo.com/schedule/?view=bydate&amp;release=theatrical&amp;date=2015-10-23&amp;p=.htm"/>
    <hyperlink ref="C444" r:id="rId1320"/>
    <hyperlink ref="D444" r:id="rId1321"/>
    <hyperlink ref="I444" r:id="rId1322" display="http://www.boxofficemojo.com/schedule/?view=bydate&amp;release=theatrical&amp;date=2015-11-13&amp;p=.htm"/>
    <hyperlink ref="C445" r:id="rId1323"/>
    <hyperlink ref="D445" r:id="rId1324"/>
    <hyperlink ref="I445" r:id="rId1325" display="http://www.boxofficemojo.com/schedule/?view=bydate&amp;release=theatrical&amp;date=2015-03-20&amp;p=.htm"/>
    <hyperlink ref="C446" r:id="rId1326"/>
    <hyperlink ref="D446" r:id="rId1327"/>
    <hyperlink ref="I446" r:id="rId1328" display="http://www.boxofficemojo.com/schedule/?view=bydate&amp;release=theatrical&amp;date=2015-10-23&amp;p=.htm"/>
    <hyperlink ref="C447" r:id="rId1329"/>
    <hyperlink ref="D447" r:id="rId1330"/>
    <hyperlink ref="I447" r:id="rId1331" display="http://www.boxofficemojo.com/schedule/?view=bydate&amp;release=theatrical&amp;date=2015-10-30&amp;p=.htm"/>
    <hyperlink ref="C448" r:id="rId1332"/>
    <hyperlink ref="D448" r:id="rId1333"/>
    <hyperlink ref="I448" r:id="rId1334" display="http://www.boxofficemojo.com/schedule/?view=bydate&amp;release=theatrical&amp;date=2015-05-08&amp;p=.htm"/>
    <hyperlink ref="C449" r:id="rId1335"/>
    <hyperlink ref="D449" r:id="rId1336"/>
    <hyperlink ref="I449" r:id="rId1337" display="http://www.boxofficemojo.com/schedule/?view=bydate&amp;release=theatrical&amp;date=2015-08-07&amp;p=.htm"/>
    <hyperlink ref="C450" r:id="rId1338"/>
    <hyperlink ref="D450" r:id="rId1339"/>
    <hyperlink ref="I450" r:id="rId1340" display="http://www.boxofficemojo.com/schedule/?view=bydate&amp;release=theatrical&amp;date=2015-01-16&amp;p=.htm"/>
    <hyperlink ref="C451" r:id="rId1341"/>
    <hyperlink ref="D451" r:id="rId1342"/>
    <hyperlink ref="I451" r:id="rId1343" display="http://www.boxofficemojo.com/schedule/?view=bydate&amp;release=theatrical&amp;date=2015-10-02&amp;p=.htm"/>
    <hyperlink ref="C452" r:id="rId1344"/>
    <hyperlink ref="D452" r:id="rId1345"/>
    <hyperlink ref="I452" r:id="rId1346" display="http://www.boxofficemojo.com/schedule/?view=bydate&amp;release=theatrical&amp;date=2015-04-17&amp;p=.htm"/>
    <hyperlink ref="C453" r:id="rId1347"/>
    <hyperlink ref="D453" r:id="rId1348"/>
    <hyperlink ref="I453" r:id="rId1349" display="http://www.boxofficemojo.com/schedule/?view=bydate&amp;release=theatrical&amp;date=2015-04-10&amp;p=.htm"/>
    <hyperlink ref="C454" r:id="rId1350"/>
    <hyperlink ref="D454" r:id="rId1351"/>
    <hyperlink ref="I454" r:id="rId1352" display="http://www.boxofficemojo.com/schedule/?view=bydate&amp;release=theatrical&amp;date=2015-04-17&amp;p=.htm"/>
    <hyperlink ref="C455" r:id="rId1353"/>
    <hyperlink ref="D455" r:id="rId1354"/>
    <hyperlink ref="I455" r:id="rId1355" display="http://www.boxofficemojo.com/schedule/?view=bydate&amp;release=theatrical&amp;date=2015-02-27&amp;p=.htm"/>
    <hyperlink ref="C456" r:id="rId1356"/>
    <hyperlink ref="D456" r:id="rId1357"/>
    <hyperlink ref="I456" r:id="rId1358" display="http://www.boxofficemojo.com/schedule/?view=bydate&amp;release=theatrical&amp;date=2015-12-04&amp;p=.htm"/>
    <hyperlink ref="C457" r:id="rId1359"/>
    <hyperlink ref="D457" r:id="rId1360"/>
    <hyperlink ref="I457" r:id="rId1361" display="http://www.boxofficemojo.com/schedule/?view=bydate&amp;release=theatrical&amp;date=2015-06-12&amp;p=.htm"/>
    <hyperlink ref="C458" r:id="rId1362"/>
    <hyperlink ref="D458" r:id="rId1363"/>
    <hyperlink ref="I458" r:id="rId1364" display="http://www.boxofficemojo.com/schedule/?view=bydate&amp;release=theatrical&amp;date=2015-06-05&amp;p=.htm"/>
    <hyperlink ref="C459" r:id="rId1365"/>
    <hyperlink ref="D459" r:id="rId1366"/>
    <hyperlink ref="I459" r:id="rId1367" display="http://www.boxofficemojo.com/schedule/?view=bydate&amp;release=theatrical&amp;date=2015-09-11&amp;p=.htm"/>
    <hyperlink ref="C460" r:id="rId1368"/>
    <hyperlink ref="D460" r:id="rId1369"/>
    <hyperlink ref="I460" r:id="rId1370" display="http://www.boxofficemojo.com/schedule/?view=bydate&amp;release=theatrical&amp;date=2015-10-23&amp;p=.htm"/>
    <hyperlink ref="C461" r:id="rId1371"/>
    <hyperlink ref="D461" r:id="rId1372"/>
    <hyperlink ref="I461" r:id="rId1373" display="http://www.boxofficemojo.com/schedule/?view=bydate&amp;release=theatrical&amp;date=2015-07-10&amp;p=.htm"/>
    <hyperlink ref="C462" r:id="rId1374"/>
    <hyperlink ref="D462" r:id="rId1375"/>
    <hyperlink ref="I462" r:id="rId1376" display="http://www.boxofficemojo.com/schedule/?view=bydate&amp;release=theatrical&amp;date=2015-02-18&amp;p=.htm"/>
    <hyperlink ref="C463" r:id="rId1377"/>
    <hyperlink ref="D463" r:id="rId1378"/>
    <hyperlink ref="I463" r:id="rId1379" display="http://www.boxofficemojo.com/schedule/?view=bydate&amp;release=theatrical&amp;date=2015-11-20&amp;p=.htm"/>
    <hyperlink ref="C464" r:id="rId1380"/>
    <hyperlink ref="D464" r:id="rId1381"/>
    <hyperlink ref="I464" r:id="rId1382" display="http://www.boxofficemojo.com/schedule/?view=bydate&amp;release=theatrical&amp;date=2015-02-19&amp;p=.htm"/>
    <hyperlink ref="C465" r:id="rId1383"/>
    <hyperlink ref="D465" r:id="rId1384"/>
    <hyperlink ref="I465" r:id="rId1385" display="http://www.boxofficemojo.com/schedule/?view=bydate&amp;release=theatrical&amp;date=2015-06-19&amp;p=.htm"/>
    <hyperlink ref="C466" r:id="rId1386"/>
    <hyperlink ref="D466" r:id="rId1387"/>
    <hyperlink ref="I466" r:id="rId1388" display="http://www.boxofficemojo.com/schedule/?view=bydate&amp;release=theatrical&amp;date=2015-11-06&amp;p=.htm"/>
    <hyperlink ref="C467" r:id="rId1389"/>
    <hyperlink ref="D467" r:id="rId1390"/>
    <hyperlink ref="I467" r:id="rId1391" display="http://www.boxofficemojo.com/schedule/?view=bydate&amp;release=theatrical&amp;date=2015-11-06&amp;p=.htm"/>
    <hyperlink ref="C468" r:id="rId1392"/>
    <hyperlink ref="D468" r:id="rId1393"/>
    <hyperlink ref="I468" r:id="rId1394" display="http://www.boxofficemojo.com/schedule/?view=bydate&amp;release=theatrical&amp;date=2015-07-17&amp;p=.htm"/>
    <hyperlink ref="C469" r:id="rId1395"/>
    <hyperlink ref="D469" r:id="rId1396"/>
    <hyperlink ref="I469" r:id="rId1397" display="http://www.boxofficemojo.com/schedule/?view=bydate&amp;release=theatrical&amp;date=2015-01-14&amp;p=.htm"/>
    <hyperlink ref="C470" r:id="rId1398"/>
    <hyperlink ref="D470" r:id="rId1399"/>
    <hyperlink ref="I470" r:id="rId1400" display="http://www.boxofficemojo.com/schedule/?view=bydate&amp;release=theatrical&amp;date=2015-09-04&amp;p=.htm"/>
    <hyperlink ref="C471" r:id="rId1401"/>
    <hyperlink ref="D471" r:id="rId1402"/>
    <hyperlink ref="I471" r:id="rId1403" display="http://www.boxofficemojo.com/schedule/?view=bydate&amp;release=theatrical&amp;date=2015-03-06&amp;p=.htm"/>
    <hyperlink ref="C472" r:id="rId1404"/>
    <hyperlink ref="D472" r:id="rId1405"/>
    <hyperlink ref="I472" r:id="rId1406" display="http://www.boxofficemojo.com/schedule/?view=bydate&amp;release=theatrical&amp;date=2015-03-06&amp;p=.htm"/>
    <hyperlink ref="C473" r:id="rId1407"/>
    <hyperlink ref="D473" r:id="rId1408"/>
    <hyperlink ref="I473" r:id="rId1409" display="http://www.boxofficemojo.com/schedule/?view=bydate&amp;release=theatrical&amp;date=2015-10-09&amp;p=.htm"/>
    <hyperlink ref="C474" r:id="rId1410"/>
    <hyperlink ref="D474" r:id="rId1411"/>
    <hyperlink ref="I474" r:id="rId1412" display="http://www.boxofficemojo.com/schedule/?view=bydate&amp;release=theatrical&amp;date=2015-07-31&amp;p=.htm"/>
    <hyperlink ref="C475" r:id="rId1413"/>
    <hyperlink ref="D475" r:id="rId1414"/>
    <hyperlink ref="I475" r:id="rId1415" display="http://www.boxofficemojo.com/schedule/?view=bydate&amp;release=theatrical&amp;date=2015-09-09&amp;p=.htm"/>
    <hyperlink ref="C476" r:id="rId1416"/>
    <hyperlink ref="D476" r:id="rId1417"/>
    <hyperlink ref="I476" r:id="rId1418" display="http://www.boxofficemojo.com/schedule/?view=bydate&amp;release=theatrical&amp;date=2015-09-25&amp;p=.htm"/>
    <hyperlink ref="C477" r:id="rId1419"/>
    <hyperlink ref="D477" r:id="rId1420"/>
    <hyperlink ref="I477" r:id="rId1421" display="http://www.boxofficemojo.com/schedule/?view=bydate&amp;release=theatrical&amp;date=2015-07-31&amp;p=.htm"/>
    <hyperlink ref="C478" r:id="rId1422"/>
    <hyperlink ref="D478" r:id="rId1423"/>
    <hyperlink ref="I478" r:id="rId1424" display="http://www.boxofficemojo.com/schedule/?view=bydate&amp;release=theatrical&amp;date=2015-10-07&amp;p=.htm"/>
    <hyperlink ref="C479" r:id="rId1425"/>
    <hyperlink ref="D479" r:id="rId1426"/>
    <hyperlink ref="I479" r:id="rId1427" display="http://www.boxofficemojo.com/schedule/?view=bydate&amp;release=theatrical&amp;date=2015-12-18&amp;p=.htm"/>
    <hyperlink ref="C480" r:id="rId1428"/>
    <hyperlink ref="D480" r:id="rId1429"/>
    <hyperlink ref="I480" r:id="rId1430" display="http://www.boxofficemojo.com/schedule/?view=bydate&amp;release=theatrical&amp;date=2015-12-16&amp;p=.htm"/>
    <hyperlink ref="C481" r:id="rId1431"/>
    <hyperlink ref="D481" r:id="rId1432"/>
    <hyperlink ref="I481" r:id="rId1433" display="http://www.boxofficemojo.com/schedule/?view=bydate&amp;release=theatrical&amp;date=2015-01-23&amp;p=.htm"/>
    <hyperlink ref="C482" r:id="rId1434"/>
    <hyperlink ref="D482" r:id="rId1435"/>
    <hyperlink ref="I482" r:id="rId1436" display="http://www.boxofficemojo.com/schedule/?view=bydate&amp;release=theatrical&amp;date=2015-01-23&amp;p=.htm"/>
    <hyperlink ref="C483" r:id="rId1437"/>
    <hyperlink ref="D483" r:id="rId1438"/>
    <hyperlink ref="I483" r:id="rId1439" display="http://www.boxofficemojo.com/schedule/?view=bydate&amp;release=theatrical&amp;date=2015-01-30&amp;p=.htm"/>
    <hyperlink ref="C484" r:id="rId1440"/>
    <hyperlink ref="D484" r:id="rId1441"/>
    <hyperlink ref="I484" r:id="rId1442" display="http://www.boxofficemojo.com/schedule/?view=bydate&amp;release=theatrical&amp;date=2015-11-06&amp;p=.htm"/>
    <hyperlink ref="C485" r:id="rId1443"/>
    <hyperlink ref="D485" r:id="rId1444"/>
    <hyperlink ref="I485" r:id="rId1445" display="http://www.boxofficemojo.com/schedule/?view=bydate&amp;release=theatrical&amp;date=2015-12-11&amp;p=.htm"/>
    <hyperlink ref="C486" r:id="rId1446"/>
    <hyperlink ref="D486" r:id="rId1447"/>
    <hyperlink ref="I486" r:id="rId1448" display="http://www.boxofficemojo.com/schedule/?view=bydate&amp;release=theatrical&amp;date=2015-06-19&amp;p=.htm"/>
    <hyperlink ref="C487" r:id="rId1449"/>
    <hyperlink ref="D487" r:id="rId1450"/>
    <hyperlink ref="I487" r:id="rId1451" display="http://www.boxofficemojo.com/schedule/?view=bydate&amp;release=theatrical&amp;date=2015-06-26&amp;p=.htm"/>
    <hyperlink ref="C488" r:id="rId1452"/>
    <hyperlink ref="D488" r:id="rId1453"/>
    <hyperlink ref="I488" r:id="rId1454" display="http://www.boxofficemojo.com/schedule/?view=bydate&amp;release=theatrical&amp;date=2015-09-11&amp;p=.htm"/>
    <hyperlink ref="C489" r:id="rId1455"/>
    <hyperlink ref="D489" r:id="rId1456"/>
    <hyperlink ref="I489" r:id="rId1457" display="http://www.boxofficemojo.com/schedule/?view=bydate&amp;release=theatrical&amp;date=2015-08-14&amp;p=.htm"/>
    <hyperlink ref="C490" r:id="rId1458"/>
    <hyperlink ref="D490" r:id="rId1459"/>
    <hyperlink ref="I490" r:id="rId1460" display="http://www.boxofficemojo.com/schedule/?view=bydate&amp;release=theatrical&amp;date=2015-04-10&amp;p=.htm"/>
    <hyperlink ref="C491" r:id="rId1461"/>
    <hyperlink ref="D491" r:id="rId1462"/>
    <hyperlink ref="I491" r:id="rId1463" display="http://www.boxofficemojo.com/schedule/?view=bydate&amp;release=theatrical&amp;date=2015-01-23&amp;p=.htm"/>
    <hyperlink ref="C492" r:id="rId1464"/>
    <hyperlink ref="D492" r:id="rId1465"/>
    <hyperlink ref="I492" r:id="rId1466" display="http://www.boxofficemojo.com/schedule/?view=bydate&amp;release=theatrical&amp;date=2015-01-30&amp;p=.htm"/>
    <hyperlink ref="C493" r:id="rId1467"/>
    <hyperlink ref="D493" r:id="rId1468"/>
    <hyperlink ref="I493" r:id="rId1469" display="http://www.boxofficemojo.com/schedule/?view=bydate&amp;release=theatrical&amp;date=2015-06-05&amp;p=.htm"/>
    <hyperlink ref="C494" r:id="rId1470"/>
    <hyperlink ref="D494" r:id="rId1471"/>
    <hyperlink ref="I494" r:id="rId1472" display="http://www.boxofficemojo.com/schedule/?view=bydate&amp;release=theatrical&amp;date=2015-03-06&amp;p=.htm"/>
    <hyperlink ref="C495" r:id="rId1473"/>
    <hyperlink ref="D495" r:id="rId1474"/>
    <hyperlink ref="I495" r:id="rId1475" display="http://www.boxofficemojo.com/schedule/?view=bydate&amp;release=theatrical&amp;date=2015-08-28&amp;p=.htm"/>
    <hyperlink ref="C496" r:id="rId1476"/>
    <hyperlink ref="D496" r:id="rId1477"/>
    <hyperlink ref="I496" r:id="rId1478" display="http://www.boxofficemojo.com/schedule/?view=bydate&amp;release=theatrical&amp;date=2015-12-04&amp;p=.htm"/>
    <hyperlink ref="C497" r:id="rId1479"/>
    <hyperlink ref="D497" r:id="rId1480"/>
    <hyperlink ref="I497" r:id="rId1481" display="http://www.boxofficemojo.com/schedule/?view=bydate&amp;release=theatrical&amp;date=2015-09-18&amp;p=.htm"/>
    <hyperlink ref="C498" r:id="rId1482"/>
    <hyperlink ref="D498" r:id="rId1483"/>
    <hyperlink ref="I498" r:id="rId1484" display="http://www.boxofficemojo.com/schedule/?view=bydate&amp;release=theatrical&amp;date=2015-11-13&amp;p=.htm"/>
    <hyperlink ref="C499" r:id="rId1485"/>
    <hyperlink ref="D499" r:id="rId1486"/>
    <hyperlink ref="I499" r:id="rId1487" display="http://www.boxofficemojo.com/schedule/?view=bydate&amp;release=theatrical&amp;date=2015-09-25&amp;p=.htm"/>
    <hyperlink ref="C500" r:id="rId1488"/>
    <hyperlink ref="D500" r:id="rId1489"/>
    <hyperlink ref="I500" r:id="rId1490" display="http://www.boxofficemojo.com/schedule/?view=bydate&amp;release=theatrical&amp;date=2015-07-10&amp;p=.htm"/>
    <hyperlink ref="C501" r:id="rId1491"/>
    <hyperlink ref="D501" r:id="rId1492"/>
    <hyperlink ref="I501" r:id="rId1493" display="http://www.boxofficemojo.com/schedule/?view=bydate&amp;release=theatrical&amp;date=2015-09-16&amp;p=.htm"/>
    <hyperlink ref="C502" r:id="rId1494"/>
    <hyperlink ref="D502" r:id="rId1495"/>
    <hyperlink ref="I502" r:id="rId1496" display="http://www.boxofficemojo.com/schedule/?view=bydate&amp;release=theatrical&amp;date=2015-08-26&amp;p=.htm"/>
    <hyperlink ref="C503" r:id="rId1497"/>
    <hyperlink ref="D503" r:id="rId1498"/>
    <hyperlink ref="I503" r:id="rId1499" display="http://www.boxofficemojo.com/schedule/?view=bydate&amp;release=theatrical&amp;date=2015-06-12&amp;p=.htm"/>
    <hyperlink ref="C504" r:id="rId1500"/>
    <hyperlink ref="D504" r:id="rId1501"/>
    <hyperlink ref="I504" r:id="rId1502" display="http://www.boxofficemojo.com/schedule/?view=bydate&amp;release=theatrical&amp;date=2015-05-22&amp;p=.htm"/>
    <hyperlink ref="C505" r:id="rId1503"/>
    <hyperlink ref="D505" r:id="rId1504"/>
    <hyperlink ref="I505" r:id="rId1505" display="http://www.boxofficemojo.com/schedule/?view=bydate&amp;release=theatrical&amp;date=2015-01-23&amp;p=.htm"/>
    <hyperlink ref="C506" r:id="rId1506"/>
    <hyperlink ref="D506" r:id="rId1507"/>
    <hyperlink ref="I506" r:id="rId1508" display="http://www.boxofficemojo.com/schedule/?view=bydate&amp;release=theatrical&amp;date=2015-09-18&amp;p=.htm"/>
    <hyperlink ref="C507" r:id="rId1509"/>
    <hyperlink ref="D507" r:id="rId1510"/>
    <hyperlink ref="I507" r:id="rId1511" display="http://www.boxofficemojo.com/schedule/?view=bydate&amp;release=theatrical&amp;date=2015-06-26&amp;p=.htm"/>
    <hyperlink ref="C508" r:id="rId1512"/>
    <hyperlink ref="D508" r:id="rId1513"/>
    <hyperlink ref="I508" r:id="rId1514" display="http://www.boxofficemojo.com/schedule/?view=bydate&amp;release=theatrical&amp;date=2015-04-10&amp;p=.htm"/>
    <hyperlink ref="C509" r:id="rId1515"/>
    <hyperlink ref="D509" r:id="rId1516"/>
    <hyperlink ref="I509" r:id="rId1517" display="http://www.boxofficemojo.com/schedule/?view=bydate&amp;release=theatrical&amp;date=2015-07-24&amp;p=.htm"/>
    <hyperlink ref="C510" r:id="rId1518"/>
    <hyperlink ref="D510" r:id="rId1519"/>
    <hyperlink ref="I510" r:id="rId1520" display="http://www.boxofficemojo.com/schedule/?view=bydate&amp;release=theatrical&amp;date=2015-03-20&amp;p=.htm"/>
    <hyperlink ref="C511" r:id="rId1521"/>
    <hyperlink ref="D511" r:id="rId1522"/>
    <hyperlink ref="I511" r:id="rId1523" display="http://www.boxofficemojo.com/schedule/?view=bydate&amp;release=theatrical&amp;date=2015-06-19&amp;p=.htm"/>
    <hyperlink ref="C512" r:id="rId1524"/>
    <hyperlink ref="D512" r:id="rId1525"/>
    <hyperlink ref="I512" r:id="rId1526" display="http://www.boxofficemojo.com/schedule/?view=bydate&amp;release=theatrical&amp;date=2015-07-15&amp;p=.htm"/>
    <hyperlink ref="C513" r:id="rId1527"/>
    <hyperlink ref="D513" r:id="rId1528"/>
    <hyperlink ref="I513" r:id="rId1529" display="http://www.boxofficemojo.com/schedule/?view=bydate&amp;release=theatrical&amp;date=2015-04-10&amp;p=.htm"/>
    <hyperlink ref="C514" r:id="rId1530"/>
    <hyperlink ref="D514" r:id="rId1531"/>
    <hyperlink ref="I514" r:id="rId1532" display="http://www.boxofficemojo.com/schedule/?view=bydate&amp;release=theatrical&amp;date=2015-08-07&amp;p=.htm"/>
    <hyperlink ref="C515" r:id="rId1533"/>
    <hyperlink ref="D515" r:id="rId1534"/>
    <hyperlink ref="I515" r:id="rId1535" display="http://www.boxofficemojo.com/schedule/?view=bydate&amp;release=theatrical&amp;date=2015-08-19&amp;p=.htm"/>
    <hyperlink ref="C516" r:id="rId1536"/>
    <hyperlink ref="D516" r:id="rId1537"/>
    <hyperlink ref="I516" r:id="rId1538" display="http://www.boxofficemojo.com/schedule/?view=bydate&amp;release=theatrical&amp;date=2015-07-28&amp;p=.htm"/>
    <hyperlink ref="C517" r:id="rId1539"/>
    <hyperlink ref="D517" r:id="rId1540"/>
    <hyperlink ref="I517" r:id="rId1541" display="http://www.boxofficemojo.com/schedule/?view=bydate&amp;release=theatrical&amp;date=2015-11-20&amp;p=.htm"/>
    <hyperlink ref="C518" r:id="rId1542"/>
    <hyperlink ref="D518" r:id="rId1543"/>
    <hyperlink ref="I518" r:id="rId1544" display="http://www.boxofficemojo.com/schedule/?view=bydate&amp;release=theatrical&amp;date=2015-05-15&amp;p=.htm"/>
    <hyperlink ref="C519" r:id="rId1545"/>
    <hyperlink ref="D519" r:id="rId1546"/>
    <hyperlink ref="I519" r:id="rId1547" display="http://www.boxofficemojo.com/schedule/?view=bydate&amp;release=theatrical&amp;date=2015-12-18&amp;p=.htm"/>
    <hyperlink ref="C520" r:id="rId1548"/>
    <hyperlink ref="D520" r:id="rId1549"/>
    <hyperlink ref="I520" r:id="rId1550" display="http://www.boxofficemojo.com/schedule/?view=bydate&amp;release=theatrical&amp;date=2015-11-10&amp;p=.htm"/>
    <hyperlink ref="C521" r:id="rId1551"/>
    <hyperlink ref="D521" r:id="rId1552"/>
    <hyperlink ref="I521" r:id="rId1553" display="http://www.boxofficemojo.com/schedule/?view=bydate&amp;release=theatrical&amp;date=2015-02-06&amp;p=.htm"/>
    <hyperlink ref="C522" r:id="rId1554"/>
    <hyperlink ref="D522" r:id="rId1555"/>
    <hyperlink ref="I522" r:id="rId1556" display="http://www.boxofficemojo.com/schedule/?view=bydate&amp;release=theatrical&amp;date=2015-02-06&amp;p=.htm"/>
    <hyperlink ref="C523" r:id="rId1557"/>
    <hyperlink ref="D523" r:id="rId1558"/>
    <hyperlink ref="I523" r:id="rId1559" display="http://www.boxofficemojo.com/schedule/?view=bydate&amp;release=theatrical&amp;date=2015-02-27&amp;p=.htm"/>
    <hyperlink ref="C524" r:id="rId1560"/>
    <hyperlink ref="D524" r:id="rId1561"/>
    <hyperlink ref="I524" r:id="rId1562" display="http://www.boxofficemojo.com/schedule/?view=bydate&amp;release=theatrical&amp;date=2015-10-23&amp;p=.htm"/>
    <hyperlink ref="C525" r:id="rId1563"/>
    <hyperlink ref="D525" r:id="rId1564"/>
    <hyperlink ref="I525" r:id="rId1565" display="http://www.boxofficemojo.com/schedule/?view=bydate&amp;release=theatrical&amp;date=2015-04-24&amp;p=.htm"/>
    <hyperlink ref="C526" r:id="rId1566"/>
    <hyperlink ref="D526" r:id="rId1567"/>
    <hyperlink ref="I526" r:id="rId1568" display="http://www.boxofficemojo.com/schedule/?view=bydate&amp;release=theatrical&amp;date=2015-02-25&amp;p=.htm"/>
    <hyperlink ref="C527" r:id="rId1569"/>
    <hyperlink ref="D527" r:id="rId1570"/>
    <hyperlink ref="I527" r:id="rId1571" display="http://www.boxofficemojo.com/schedule/?view=bydate&amp;release=theatrical&amp;date=2015-04-24&amp;p=.htm"/>
    <hyperlink ref="C528" r:id="rId1572"/>
    <hyperlink ref="D528" r:id="rId1573"/>
    <hyperlink ref="I528" r:id="rId1574" display="http://www.boxofficemojo.com/schedule/?view=bydate&amp;release=theatrical&amp;date=2015-10-02&amp;p=.htm"/>
    <hyperlink ref="C529" r:id="rId1575"/>
    <hyperlink ref="D529" r:id="rId1576"/>
    <hyperlink ref="I529" r:id="rId1577" display="http://www.boxofficemojo.com/schedule/?view=bydate&amp;release=theatrical&amp;date=2015-10-01&amp;p=.htm"/>
    <hyperlink ref="C530" r:id="rId1578"/>
    <hyperlink ref="D530" r:id="rId1579"/>
    <hyperlink ref="I530" r:id="rId1580" display="http://www.boxofficemojo.com/schedule/?view=bydate&amp;release=theatrical&amp;date=2015-07-17&amp;p=.htm"/>
    <hyperlink ref="C531" r:id="rId1581"/>
    <hyperlink ref="D531" r:id="rId1582"/>
    <hyperlink ref="I531" r:id="rId1583" display="http://www.boxofficemojo.com/schedule/?view=bydate&amp;release=theatrical&amp;date=2015-09-11&amp;p=.htm"/>
    <hyperlink ref="C532" r:id="rId1584"/>
    <hyperlink ref="D532" r:id="rId1585"/>
    <hyperlink ref="I532" r:id="rId1586" display="http://www.boxofficemojo.com/schedule/?view=bydate&amp;release=theatrical&amp;date=2015-07-17&amp;p=.htm"/>
    <hyperlink ref="C533" r:id="rId1587"/>
    <hyperlink ref="D533" r:id="rId1588"/>
    <hyperlink ref="I533" r:id="rId1589" display="http://www.boxofficemojo.com/schedule/?view=bydate&amp;release=theatrical&amp;date=2015-06-26&amp;p=.htm"/>
    <hyperlink ref="C534" r:id="rId1590"/>
    <hyperlink ref="D534" r:id="rId1591"/>
    <hyperlink ref="I534" r:id="rId1592" display="http://www.boxofficemojo.com/schedule/?view=bydate&amp;release=theatrical&amp;date=2015-02-06&amp;p=.htm"/>
    <hyperlink ref="C535" r:id="rId1593"/>
    <hyperlink ref="D535" r:id="rId1594"/>
    <hyperlink ref="I535" r:id="rId1595" display="http://www.boxofficemojo.com/schedule/?view=bydate&amp;release=theatrical&amp;date=2015-06-26&amp;p=.htm"/>
    <hyperlink ref="C536" r:id="rId1596"/>
    <hyperlink ref="D536" r:id="rId1597"/>
    <hyperlink ref="I536" r:id="rId1598" display="http://www.boxofficemojo.com/schedule/?view=bydate&amp;release=theatrical&amp;date=2015-04-03&amp;p=.htm"/>
    <hyperlink ref="C537" r:id="rId1599"/>
    <hyperlink ref="D537" r:id="rId1600"/>
    <hyperlink ref="I537" r:id="rId1601" display="http://www.boxofficemojo.com/schedule/?view=bydate&amp;release=theatrical&amp;date=2015-10-09&amp;p=.htm"/>
    <hyperlink ref="C538" r:id="rId1602"/>
    <hyperlink ref="D538" r:id="rId1603"/>
    <hyperlink ref="I538" r:id="rId1604" display="http://www.boxofficemojo.com/schedule/?view=bydate&amp;release=theatrical&amp;date=2015-07-10&amp;p=.htm"/>
    <hyperlink ref="C539" r:id="rId1605"/>
    <hyperlink ref="D539" r:id="rId1606"/>
    <hyperlink ref="I539" r:id="rId1607" display="http://www.boxofficemojo.com/schedule/?view=bydate&amp;release=theatrical&amp;date=2015-07-03&amp;p=.htm"/>
    <hyperlink ref="C540" r:id="rId1608"/>
    <hyperlink ref="D540" r:id="rId1609"/>
    <hyperlink ref="I540" r:id="rId1610" display="http://www.boxofficemojo.com/schedule/?view=bydate&amp;release=theatrical&amp;date=2015-02-27&amp;p=.htm"/>
    <hyperlink ref="C541" r:id="rId1611"/>
    <hyperlink ref="D541" r:id="rId1612"/>
    <hyperlink ref="I541" r:id="rId1613" display="http://www.boxofficemojo.com/schedule/?view=bydate&amp;release=theatrical&amp;date=2015-12-18&amp;p=.htm"/>
    <hyperlink ref="C542" r:id="rId1614"/>
    <hyperlink ref="D542" r:id="rId1615"/>
    <hyperlink ref="I542" r:id="rId1616" display="http://www.boxofficemojo.com/schedule/?view=bydate&amp;release=theatrical&amp;date=2015-03-13&amp;p=.htm"/>
    <hyperlink ref="C543" r:id="rId1617"/>
    <hyperlink ref="D543" r:id="rId1618"/>
    <hyperlink ref="I543" r:id="rId1619" display="http://www.boxofficemojo.com/schedule/?view=bydate&amp;release=theatrical&amp;date=2015-10-03&amp;p=.htm"/>
    <hyperlink ref="C544" r:id="rId1620"/>
    <hyperlink ref="D544" r:id="rId1621"/>
    <hyperlink ref="I544" r:id="rId1622" display="http://www.boxofficemojo.com/schedule/?view=bydate&amp;release=theatrical&amp;date=2015-12-04&amp;p=.htm"/>
    <hyperlink ref="C545" r:id="rId1623"/>
    <hyperlink ref="D545" r:id="rId1624"/>
    <hyperlink ref="I545" r:id="rId1625" display="http://www.boxofficemojo.com/schedule/?view=bydate&amp;release=theatrical&amp;date=2015-04-24&amp;p=.htm"/>
    <hyperlink ref="C546" r:id="rId1626"/>
    <hyperlink ref="D546" r:id="rId1627"/>
    <hyperlink ref="I546" r:id="rId1628" display="http://www.boxofficemojo.com/schedule/?view=bydate&amp;release=theatrical&amp;date=2015-09-02&amp;p=.htm"/>
    <hyperlink ref="C547" r:id="rId1629"/>
    <hyperlink ref="D547" r:id="rId1630"/>
    <hyperlink ref="I547" r:id="rId1631" display="http://www.boxofficemojo.com/schedule/?view=bydate&amp;release=theatrical&amp;date=2015-05-22&amp;p=.htm"/>
    <hyperlink ref="C548" r:id="rId1632"/>
    <hyperlink ref="D548" r:id="rId1633"/>
    <hyperlink ref="I548" r:id="rId1634" display="http://www.boxofficemojo.com/schedule/?view=bydate&amp;release=theatrical&amp;date=2015-11-27&amp;p=.htm"/>
    <hyperlink ref="C549" r:id="rId1635"/>
    <hyperlink ref="D549" r:id="rId1636"/>
    <hyperlink ref="I549" r:id="rId1637" display="http://www.boxofficemojo.com/schedule/?view=bydate&amp;release=theatrical&amp;date=2015-08-28&amp;p=.htm"/>
    <hyperlink ref="C550" r:id="rId1638"/>
    <hyperlink ref="D550" r:id="rId1639"/>
    <hyperlink ref="I550" r:id="rId1640" display="http://www.boxofficemojo.com/schedule/?view=bydate&amp;release=theatrical&amp;date=2015-04-17&amp;p=.htm"/>
    <hyperlink ref="C551" r:id="rId1641"/>
    <hyperlink ref="D551" r:id="rId1642"/>
    <hyperlink ref="I551" r:id="rId1643" display="http://www.boxofficemojo.com/schedule/?view=bydate&amp;release=theatrical&amp;date=2015-09-04&amp;p=.htm"/>
    <hyperlink ref="C552" r:id="rId1644"/>
    <hyperlink ref="D552" r:id="rId1645"/>
    <hyperlink ref="I552" r:id="rId1646" display="http://www.boxofficemojo.com/schedule/?view=bydate&amp;release=theatrical&amp;date=2015-04-03&amp;p=.htm"/>
    <hyperlink ref="C553" r:id="rId1647"/>
    <hyperlink ref="D553" r:id="rId1648"/>
    <hyperlink ref="I553" r:id="rId1649" display="http://www.boxofficemojo.com/schedule/?view=bydate&amp;release=theatrical&amp;date=2015-03-20&amp;p=.htm"/>
    <hyperlink ref="C554" r:id="rId1650"/>
    <hyperlink ref="D554" r:id="rId1651"/>
    <hyperlink ref="I554" r:id="rId1652" display="http://www.boxofficemojo.com/schedule/?view=bydate&amp;release=theatrical&amp;date=2015-07-17&amp;p=.htm"/>
    <hyperlink ref="C555" r:id="rId1653"/>
    <hyperlink ref="D555" r:id="rId1654"/>
    <hyperlink ref="I555" r:id="rId1655" display="http://www.boxofficemojo.com/schedule/?view=bydate&amp;release=theatrical&amp;date=2015-11-11&amp;p=.htm"/>
    <hyperlink ref="C556" r:id="rId1656"/>
    <hyperlink ref="D556" r:id="rId1657"/>
    <hyperlink ref="I556" r:id="rId1658" display="http://www.boxofficemojo.com/schedule/?view=bydate&amp;release=theatrical&amp;date=2015-03-06&amp;p=.htm"/>
    <hyperlink ref="C557" r:id="rId1659"/>
    <hyperlink ref="D557" r:id="rId1660"/>
    <hyperlink ref="I557" r:id="rId1661" display="http://www.boxofficemojo.com/schedule/?view=bydate&amp;release=theatrical&amp;date=2015-06-26&amp;p=.htm"/>
    <hyperlink ref="C558" r:id="rId1662"/>
    <hyperlink ref="D558" r:id="rId1663"/>
    <hyperlink ref="I558" r:id="rId1664" display="http://www.boxofficemojo.com/schedule/?view=bydate&amp;release=theatrical&amp;date=2015-11-06&amp;p=.htm"/>
    <hyperlink ref="C559" r:id="rId1665"/>
    <hyperlink ref="D559" r:id="rId1666"/>
    <hyperlink ref="I559" r:id="rId1667" display="http://www.boxofficemojo.com/schedule/?view=bydate&amp;release=theatrical&amp;date=2015-03-20&amp;p=.htm"/>
    <hyperlink ref="C560" r:id="rId1668"/>
    <hyperlink ref="D560" r:id="rId1669"/>
    <hyperlink ref="I560" r:id="rId1670" display="http://www.boxofficemojo.com/schedule/?view=bydate&amp;release=theatrical&amp;date=2015-03-18&amp;p=.htm"/>
    <hyperlink ref="C561" r:id="rId1671"/>
    <hyperlink ref="D561" r:id="rId1672"/>
    <hyperlink ref="I561" r:id="rId1673" display="http://www.boxofficemojo.com/schedule/?view=bydate&amp;release=theatrical&amp;date=2015-06-19&amp;p=.htm"/>
    <hyperlink ref="C562" r:id="rId1674"/>
    <hyperlink ref="D562" r:id="rId1675"/>
    <hyperlink ref="I562" r:id="rId1676" display="http://www.boxofficemojo.com/schedule/?view=bydate&amp;release=theatrical&amp;date=2015-10-09&amp;p=.htm"/>
    <hyperlink ref="C563" r:id="rId1677"/>
    <hyperlink ref="D563" r:id="rId1678"/>
    <hyperlink ref="I563" r:id="rId1679" display="http://www.boxofficemojo.com/schedule/?view=bydate&amp;release=theatrical&amp;date=2015-07-10&amp;p=.htm"/>
    <hyperlink ref="C564" r:id="rId1680"/>
    <hyperlink ref="D564" r:id="rId1681"/>
    <hyperlink ref="I564" r:id="rId1682" display="http://www.boxofficemojo.com/schedule/?view=bydate&amp;release=theatrical&amp;date=2015-10-30&amp;p=.htm"/>
    <hyperlink ref="C565" r:id="rId1683"/>
    <hyperlink ref="D565" r:id="rId1684"/>
    <hyperlink ref="I565" r:id="rId1685" display="http://www.boxofficemojo.com/schedule/?view=bydate&amp;release=theatrical&amp;date=2015-12-04&amp;p=.htm"/>
    <hyperlink ref="C566" r:id="rId1686"/>
    <hyperlink ref="D566" r:id="rId1687"/>
    <hyperlink ref="I566" r:id="rId1688" display="http://www.boxofficemojo.com/schedule/?view=bydate&amp;release=theatrical&amp;date=2015-04-10&amp;p=.htm"/>
    <hyperlink ref="C567" r:id="rId1689"/>
    <hyperlink ref="D567" r:id="rId1690"/>
    <hyperlink ref="I567" r:id="rId1691" display="http://www.boxofficemojo.com/schedule/?view=bydate&amp;release=theatrical&amp;date=2015-06-26&amp;p=.htm"/>
    <hyperlink ref="C568" r:id="rId1692"/>
    <hyperlink ref="D568" r:id="rId1693"/>
    <hyperlink ref="I568" r:id="rId1694" display="http://www.boxofficemojo.com/schedule/?view=bydate&amp;release=theatrical&amp;date=2015-05-17&amp;p=.htm"/>
    <hyperlink ref="C569" r:id="rId1695"/>
    <hyperlink ref="D569" r:id="rId1696"/>
    <hyperlink ref="I569" r:id="rId1697" display="http://www.boxofficemojo.com/schedule/?view=bydate&amp;release=theatrical&amp;date=2015-03-06&amp;p=.htm"/>
    <hyperlink ref="C570" r:id="rId1698"/>
    <hyperlink ref="D570" r:id="rId1699"/>
    <hyperlink ref="I570" r:id="rId1700" display="http://www.boxofficemojo.com/schedule/?view=bydate&amp;release=theatrical&amp;date=2015-11-12&amp;p=.htm"/>
    <hyperlink ref="C571" r:id="rId1701"/>
    <hyperlink ref="D571" r:id="rId1702"/>
    <hyperlink ref="I571" r:id="rId1703" display="http://www.boxofficemojo.com/schedule/?view=bydate&amp;release=theatrical&amp;date=2015-04-22&amp;p=.htm"/>
    <hyperlink ref="C572" r:id="rId1704"/>
    <hyperlink ref="D572" r:id="rId1705"/>
    <hyperlink ref="I572" r:id="rId1706" display="http://www.boxofficemojo.com/schedule/?view=bydate&amp;release=theatrical&amp;date=2015-05-01&amp;p=.htm"/>
    <hyperlink ref="C573" r:id="rId1707"/>
    <hyperlink ref="D573" r:id="rId1708"/>
    <hyperlink ref="I573" r:id="rId1709" display="http://www.boxofficemojo.com/schedule/?view=bydate&amp;release=theatrical&amp;date=2015-03-25&amp;p=.htm"/>
    <hyperlink ref="C574" r:id="rId1710"/>
    <hyperlink ref="D574" r:id="rId1711"/>
    <hyperlink ref="I574" r:id="rId1712" display="http://www.boxofficemojo.com/schedule/?view=bydate&amp;release=theatrical&amp;date=2015-01-30&amp;p=.htm"/>
    <hyperlink ref="C575" r:id="rId1713"/>
    <hyperlink ref="D575" r:id="rId1714"/>
    <hyperlink ref="I575" r:id="rId1715" display="http://www.boxofficemojo.com/schedule/?view=bydate&amp;release=theatrical&amp;date=2015-05-08&amp;p=.htm"/>
    <hyperlink ref="C576" r:id="rId1716"/>
    <hyperlink ref="D576" r:id="rId1717"/>
    <hyperlink ref="I576" r:id="rId1718" display="http://www.boxofficemojo.com/schedule/?view=bydate&amp;release=theatrical&amp;date=2015-04-24&amp;p=.htm"/>
    <hyperlink ref="C577" r:id="rId1719"/>
    <hyperlink ref="D577" r:id="rId1720"/>
    <hyperlink ref="I577" r:id="rId1721" display="http://www.boxofficemojo.com/schedule/?view=bydate&amp;release=theatrical&amp;date=2015-02-12&amp;p=.htm"/>
    <hyperlink ref="C578" r:id="rId1722"/>
    <hyperlink ref="D578" r:id="rId1723"/>
    <hyperlink ref="I578" r:id="rId1724" display="http://www.boxofficemojo.com/schedule/?view=bydate&amp;release=theatrical&amp;date=2015-07-01&amp;p=.htm"/>
    <hyperlink ref="C579" r:id="rId1725"/>
    <hyperlink ref="D579" r:id="rId1726"/>
    <hyperlink ref="I579" r:id="rId1727" display="http://www.boxofficemojo.com/schedule/?view=bydate&amp;release=theatrical&amp;date=2015-03-06&amp;p=.htm"/>
    <hyperlink ref="C580" r:id="rId1728"/>
    <hyperlink ref="D580" r:id="rId1729"/>
    <hyperlink ref="I580" r:id="rId1730" display="http://www.boxofficemojo.com/schedule/?view=bydate&amp;release=theatrical&amp;date=2015-03-27&amp;p=.htm"/>
    <hyperlink ref="C581" r:id="rId1731"/>
    <hyperlink ref="D581" r:id="rId1732"/>
    <hyperlink ref="I581" r:id="rId1733" display="http://www.boxofficemojo.com/schedule/?view=bydate&amp;release=theatrical&amp;date=2015-01-16&amp;p=.htm"/>
    <hyperlink ref="C582" r:id="rId1734"/>
    <hyperlink ref="D582" r:id="rId1735"/>
    <hyperlink ref="I582" r:id="rId1736" display="http://www.boxofficemojo.com/schedule/?view=bydate&amp;release=theatrical&amp;date=2015-03-06&amp;p=.htm"/>
    <hyperlink ref="C583" r:id="rId1737"/>
    <hyperlink ref="D583" r:id="rId1738"/>
    <hyperlink ref="I583" r:id="rId1739" display="http://www.boxofficemojo.com/schedule/?view=bydate&amp;release=theatrical&amp;date=2015-01-16&amp;p=.htm"/>
    <hyperlink ref="C584" r:id="rId1740"/>
    <hyperlink ref="D584" r:id="rId1741"/>
    <hyperlink ref="I584" r:id="rId1742" display="http://www.boxofficemojo.com/schedule/?view=bydate&amp;release=theatrical&amp;date=2015-05-13&amp;p=.htm"/>
    <hyperlink ref="C585" r:id="rId1743"/>
    <hyperlink ref="D585" r:id="rId1744"/>
    <hyperlink ref="I585" r:id="rId1745" display="http://www.boxofficemojo.com/schedule/?view=bydate&amp;release=theatrical&amp;date=2015-12-04&amp;p=.htm"/>
    <hyperlink ref="C586" r:id="rId1746"/>
    <hyperlink ref="D586" r:id="rId1747"/>
    <hyperlink ref="I586" r:id="rId1748" display="http://www.boxofficemojo.com/schedule/?view=bydate&amp;release=theatrical&amp;date=2015-03-27&amp;p=.htm"/>
    <hyperlink ref="C587" r:id="rId1749"/>
    <hyperlink ref="D587" r:id="rId1750"/>
    <hyperlink ref="I587" r:id="rId1751" display="http://www.boxofficemojo.com/schedule/?view=bydate&amp;release=theatrical&amp;date=2015-03-04&amp;p=.htm"/>
    <hyperlink ref="C588" r:id="rId1752"/>
    <hyperlink ref="D588" r:id="rId1753"/>
    <hyperlink ref="I588" r:id="rId1754" display="http://www.boxofficemojo.com/schedule/?view=bydate&amp;release=theatrical&amp;date=2015-08-21&amp;p=.htm"/>
    <hyperlink ref="C589" r:id="rId1755"/>
    <hyperlink ref="D589" r:id="rId1756"/>
    <hyperlink ref="I589" r:id="rId1757" display="http://www.boxofficemojo.com/schedule/?view=bydate&amp;release=theatrical&amp;date=2015-08-28&amp;p=.htm"/>
    <hyperlink ref="C590" r:id="rId1758"/>
    <hyperlink ref="D590" r:id="rId1759"/>
    <hyperlink ref="I590" r:id="rId1760" display="http://www.boxofficemojo.com/schedule/?view=bydate&amp;release=theatrical&amp;date=2015-10-02&amp;p=.htm"/>
    <hyperlink ref="C591" r:id="rId1761"/>
    <hyperlink ref="D591" r:id="rId1762"/>
    <hyperlink ref="I591" r:id="rId1763" display="http://www.boxofficemojo.com/schedule/?view=bydate&amp;release=theatrical&amp;date=2015-07-10&amp;p=.htm"/>
    <hyperlink ref="C592" r:id="rId1764"/>
    <hyperlink ref="D592" r:id="rId1765"/>
    <hyperlink ref="I592" r:id="rId1766" display="http://www.boxofficemojo.com/schedule/?view=bydate&amp;release=theatrical&amp;date=2015-06-26&amp;p=.htm"/>
    <hyperlink ref="C593" r:id="rId1767"/>
    <hyperlink ref="D593" r:id="rId1768"/>
    <hyperlink ref="I593" r:id="rId1769" display="http://www.boxofficemojo.com/schedule/?view=bydate&amp;release=theatrical&amp;date=2015-07-31&amp;p=.htm"/>
    <hyperlink ref="C594" r:id="rId1770"/>
    <hyperlink ref="D594" r:id="rId1771"/>
    <hyperlink ref="I594" r:id="rId1772" display="http://www.boxofficemojo.com/schedule/?view=bydate&amp;release=theatrical&amp;date=2015-07-24&amp;p=.htm"/>
    <hyperlink ref="C595" r:id="rId1773"/>
    <hyperlink ref="D595" r:id="rId1774"/>
    <hyperlink ref="I595" r:id="rId1775" display="http://www.boxofficemojo.com/schedule/?view=bydate&amp;release=theatrical&amp;date=2015-07-10&amp;p=.htm"/>
    <hyperlink ref="C596" r:id="rId1776"/>
    <hyperlink ref="D596" r:id="rId1777"/>
    <hyperlink ref="I596" r:id="rId1778" display="http://www.boxofficemojo.com/schedule/?view=bydate&amp;release=theatrical&amp;date=2015-02-25&amp;p=.htm"/>
    <hyperlink ref="C597" r:id="rId1779"/>
    <hyperlink ref="D597" r:id="rId1780"/>
    <hyperlink ref="I597" r:id="rId1781" display="http://www.boxofficemojo.com/schedule/?view=bydate&amp;release=theatrical&amp;date=2015-07-31&amp;p=.htm"/>
    <hyperlink ref="C598" r:id="rId1782"/>
    <hyperlink ref="D598" r:id="rId1783"/>
    <hyperlink ref="I598" r:id="rId1784" display="http://www.boxofficemojo.com/schedule/?view=bydate&amp;release=theatrical&amp;date=2015-12-11&amp;p=.htm"/>
    <hyperlink ref="C599" r:id="rId1785"/>
    <hyperlink ref="D599" r:id="rId1786"/>
    <hyperlink ref="I599" r:id="rId1787" display="http://www.boxofficemojo.com/schedule/?view=bydate&amp;release=theatrical&amp;date=2015-11-27&amp;p=.htm"/>
    <hyperlink ref="C600" r:id="rId1788"/>
    <hyperlink ref="D600" r:id="rId1789"/>
    <hyperlink ref="I600" r:id="rId1790" display="http://www.boxofficemojo.com/schedule/?view=bydate&amp;release=theatrical&amp;date=2015-07-15&amp;p=.htm"/>
    <hyperlink ref="C601" r:id="rId1791"/>
    <hyperlink ref="D601" r:id="rId1792"/>
    <hyperlink ref="I601" r:id="rId1793" display="http://www.boxofficemojo.com/schedule/?view=bydate&amp;release=theatrical&amp;date=2015-07-17&amp;p=.htm"/>
    <hyperlink ref="C602" r:id="rId1794"/>
    <hyperlink ref="D602" r:id="rId1795"/>
    <hyperlink ref="I602" r:id="rId1796" display="http://www.boxofficemojo.com/schedule/?view=bydate&amp;release=theatrical&amp;date=2015-03-06&amp;p=.htm"/>
    <hyperlink ref="C603" r:id="rId1797"/>
    <hyperlink ref="D603" r:id="rId1798"/>
    <hyperlink ref="I603" r:id="rId1799" display="http://www.boxofficemojo.com/schedule/?view=bydate&amp;release=theatrical&amp;date=2015-02-06&amp;p=.htm"/>
    <hyperlink ref="C604" r:id="rId1800"/>
    <hyperlink ref="D604" r:id="rId1801"/>
    <hyperlink ref="I604" r:id="rId1802" display="http://www.boxofficemojo.com/schedule/?view=bydate&amp;release=theatrical&amp;date=2015-11-13&amp;p=.htm"/>
    <hyperlink ref="C605" r:id="rId1803"/>
    <hyperlink ref="D605" r:id="rId1804"/>
    <hyperlink ref="I605" r:id="rId1805" display="http://www.boxofficemojo.com/schedule/?view=bydate&amp;release=theatrical&amp;date=2015-08-14&amp;p=.htm"/>
    <hyperlink ref="C606" r:id="rId1806"/>
    <hyperlink ref="D606" r:id="rId1807"/>
    <hyperlink ref="I606" r:id="rId1808" display="http://www.boxofficemojo.com/schedule/?view=bydate&amp;release=theatrical&amp;date=2015-03-27&amp;p=.htm"/>
    <hyperlink ref="C607" r:id="rId1809"/>
    <hyperlink ref="D607" r:id="rId1810"/>
    <hyperlink ref="I607" r:id="rId1811" display="http://www.boxofficemojo.com/schedule/?view=bydate&amp;release=theatrical&amp;date=2015-05-15&amp;p=.htm"/>
    <hyperlink ref="C608" r:id="rId1812"/>
    <hyperlink ref="D608" r:id="rId1813"/>
    <hyperlink ref="I608" r:id="rId1814" display="http://www.boxofficemojo.com/schedule/?view=bydate&amp;release=theatrical&amp;date=2015-02-06&amp;p=.htm"/>
    <hyperlink ref="C609" r:id="rId1815"/>
    <hyperlink ref="D609" r:id="rId1816"/>
    <hyperlink ref="I609" r:id="rId1817" display="http://www.boxofficemojo.com/schedule/?view=bydate&amp;release=theatrical&amp;date=2015-06-19&amp;p=.htm"/>
    <hyperlink ref="C610" r:id="rId1818"/>
    <hyperlink ref="D610" r:id="rId1819"/>
    <hyperlink ref="I610" r:id="rId1820" display="http://www.boxofficemojo.com/schedule/?view=bydate&amp;release=theatrical&amp;date=2015-05-15&amp;p=.htm"/>
    <hyperlink ref="C611" r:id="rId1821"/>
    <hyperlink ref="D611" r:id="rId1822"/>
    <hyperlink ref="I611" r:id="rId1823" display="http://www.boxofficemojo.com/schedule/?view=bydate&amp;release=theatrical&amp;date=2015-08-07&amp;p=.htm"/>
    <hyperlink ref="C612" r:id="rId1824"/>
    <hyperlink ref="D612" r:id="rId1825"/>
    <hyperlink ref="I612" r:id="rId1826" display="http://www.boxofficemojo.com/schedule/?view=bydate&amp;release=theatrical&amp;date=2015-04-17&amp;p=.htm"/>
    <hyperlink ref="C613" r:id="rId1827"/>
    <hyperlink ref="D613" r:id="rId1828"/>
    <hyperlink ref="I613" r:id="rId1829" display="http://www.boxofficemojo.com/schedule/?view=bydate&amp;release=theatrical&amp;date=2015-01-02&amp;p=.htm"/>
    <hyperlink ref="C614" r:id="rId1830"/>
    <hyperlink ref="D614" r:id="rId1831"/>
    <hyperlink ref="I614" r:id="rId1832" display="http://www.boxofficemojo.com/schedule/?view=bydate&amp;release=theatrical&amp;date=2015-06-05&amp;p=.htm"/>
    <hyperlink ref="C615" r:id="rId1833"/>
    <hyperlink ref="D615" r:id="rId1834"/>
    <hyperlink ref="I615" r:id="rId1835" display="http://www.boxofficemojo.com/schedule/?view=bydate&amp;release=theatrical&amp;date=2015-04-10&amp;p=.htm"/>
    <hyperlink ref="C616" r:id="rId1836"/>
    <hyperlink ref="D616" r:id="rId1837"/>
    <hyperlink ref="I616" r:id="rId1838" display="http://www.boxofficemojo.com/schedule/?view=bydate&amp;release=theatrical&amp;date=2015-11-13&amp;p=.htm"/>
    <hyperlink ref="C617" r:id="rId1839"/>
    <hyperlink ref="D617" r:id="rId1840"/>
    <hyperlink ref="I617" r:id="rId1841" display="http://www.boxofficemojo.com/schedule/?view=bydate&amp;release=theatrical&amp;date=2015-12-04&amp;p=.htm"/>
    <hyperlink ref="C618" r:id="rId1842"/>
    <hyperlink ref="D618" r:id="rId1843"/>
    <hyperlink ref="I618" r:id="rId1844" display="http://www.boxofficemojo.com/schedule/?view=bydate&amp;release=theatrical&amp;date=2015-07-24&amp;p=.htm"/>
    <hyperlink ref="C619" r:id="rId1845"/>
    <hyperlink ref="D619" r:id="rId1846"/>
    <hyperlink ref="I619" r:id="rId1847" display="http://www.boxofficemojo.com/schedule/?view=bydate&amp;release=theatrical&amp;date=2015-07-10&amp;p=.htm"/>
    <hyperlink ref="C620" r:id="rId1848"/>
    <hyperlink ref="D620" r:id="rId1849"/>
    <hyperlink ref="I620" r:id="rId1850" display="http://www.boxofficemojo.com/schedule/?view=bydate&amp;release=theatrical&amp;date=2015-12-11&amp;p=.htm"/>
    <hyperlink ref="C621" r:id="rId1851"/>
    <hyperlink ref="D621" r:id="rId1852"/>
    <hyperlink ref="I621" r:id="rId1853" display="http://www.boxofficemojo.com/schedule/?view=bydate&amp;release=theatrical&amp;date=2015-07-17&amp;p=.htm"/>
    <hyperlink ref="C622" r:id="rId1854"/>
    <hyperlink ref="D622" r:id="rId1855"/>
    <hyperlink ref="I622" r:id="rId1856" display="http://www.boxofficemojo.com/schedule/?view=bydate&amp;release=theatrical&amp;date=2015-08-12&amp;p=.htm"/>
    <hyperlink ref="C623" r:id="rId1857"/>
    <hyperlink ref="D623" r:id="rId1858"/>
    <hyperlink ref="I623" r:id="rId1859" display="http://www.boxofficemojo.com/schedule/?view=bydate&amp;release=theatrical&amp;date=2015-04-30&amp;p=.htm"/>
    <hyperlink ref="C624" r:id="rId1860"/>
    <hyperlink ref="D624" r:id="rId1861"/>
    <hyperlink ref="I624" r:id="rId1862" display="http://www.boxofficemojo.com/schedule/?view=bydate&amp;release=theatrical&amp;date=2015-03-27&amp;p=.htm"/>
    <hyperlink ref="C625" r:id="rId1863"/>
    <hyperlink ref="D625" r:id="rId1864"/>
    <hyperlink ref="I625" r:id="rId1865" display="http://www.boxofficemojo.com/schedule/?view=bydate&amp;release=theatrical&amp;date=2015-10-30&amp;p=.htm"/>
    <hyperlink ref="C626" r:id="rId1866"/>
    <hyperlink ref="D626" r:id="rId1867"/>
    <hyperlink ref="I626" r:id="rId1868" display="http://www.boxofficemojo.com/schedule/?view=bydate&amp;release=theatrical&amp;date=2015-06-19&amp;p=.htm"/>
    <hyperlink ref="C627" r:id="rId1869"/>
    <hyperlink ref="D627" r:id="rId1870"/>
    <hyperlink ref="I627" r:id="rId1871" display="http://www.boxofficemojo.com/schedule/?view=bydate&amp;release=theatrical&amp;date=2015-01-16&amp;p=.htm"/>
    <hyperlink ref="C628" r:id="rId1872"/>
    <hyperlink ref="D628" r:id="rId1873"/>
    <hyperlink ref="I628" r:id="rId1874" display="http://www.boxofficemojo.com/schedule/?view=bydate&amp;release=theatrical&amp;date=2015-08-21&amp;p=.htm"/>
    <hyperlink ref="C629" r:id="rId1875"/>
    <hyperlink ref="D629" r:id="rId1876"/>
    <hyperlink ref="I629" r:id="rId1877" display="http://www.boxofficemojo.com/schedule/?view=bydate&amp;release=theatrical&amp;date=2015-10-02&amp;p=.htm"/>
    <hyperlink ref="C630" r:id="rId1878"/>
    <hyperlink ref="D630" r:id="rId1879"/>
    <hyperlink ref="I630" r:id="rId1880" display="http://www.boxofficemojo.com/schedule/?view=bydate&amp;release=theatrical&amp;date=2015-01-09&amp;p=.htm"/>
    <hyperlink ref="C631" r:id="rId1881"/>
    <hyperlink ref="D631" r:id="rId1882"/>
    <hyperlink ref="I631" r:id="rId1883" display="http://www.boxofficemojo.com/schedule/?view=bydate&amp;release=theatrical&amp;date=2015-06-19&amp;p=.htm"/>
    <hyperlink ref="C632" r:id="rId1884"/>
    <hyperlink ref="D632" r:id="rId1885"/>
    <hyperlink ref="I632" r:id="rId1886" display="http://www.boxofficemojo.com/schedule/?view=bydate&amp;release=theatrical&amp;date=2015-05-29&amp;p=.htm"/>
    <hyperlink ref="C633" r:id="rId1887"/>
    <hyperlink ref="D633" r:id="rId1888"/>
    <hyperlink ref="I633" r:id="rId1889" display="http://www.boxofficemojo.com/schedule/?view=bydate&amp;release=theatrical&amp;date=2015-11-06&amp;p=.htm"/>
    <hyperlink ref="C634" r:id="rId1890"/>
    <hyperlink ref="D634" r:id="rId1891"/>
    <hyperlink ref="I634" r:id="rId1892" display="http://www.boxofficemojo.com/schedule/?view=bydate&amp;release=theatrical&amp;date=2015-05-01&amp;p=.htm"/>
    <hyperlink ref="C635" r:id="rId1893"/>
    <hyperlink ref="D635" r:id="rId1894"/>
    <hyperlink ref="I635" r:id="rId1895" display="http://www.boxofficemojo.com/schedule/?view=bydate&amp;release=theatrical&amp;date=2015-05-15&amp;p=.htm"/>
    <hyperlink ref="C636" r:id="rId1896"/>
    <hyperlink ref="D636" r:id="rId1897"/>
    <hyperlink ref="I636" r:id="rId1898" display="http://www.boxofficemojo.com/schedule/?view=bydate&amp;release=theatrical&amp;date=2015-04-03&amp;p=.htm"/>
    <hyperlink ref="C637" r:id="rId1899"/>
    <hyperlink ref="D637" r:id="rId1900"/>
    <hyperlink ref="I637" r:id="rId1901" display="http://www.boxofficemojo.com/schedule/?view=bydate&amp;release=theatrical&amp;date=2015-05-01&amp;p=.htm"/>
    <hyperlink ref="C638" r:id="rId1902"/>
    <hyperlink ref="D638" r:id="rId1903"/>
    <hyperlink ref="I638" r:id="rId1904" display="http://www.boxofficemojo.com/schedule/?view=bydate&amp;release=theatrical&amp;date=2015-03-20&amp;p=.htm"/>
    <hyperlink ref="C639" r:id="rId1905"/>
    <hyperlink ref="D639" r:id="rId1906"/>
    <hyperlink ref="I639" r:id="rId1907" display="http://www.boxofficemojo.com/schedule/?view=bydate&amp;release=theatrical&amp;date=2015-03-27&amp;p=.htm"/>
    <hyperlink ref="C640" r:id="rId1908"/>
    <hyperlink ref="D640" r:id="rId1909"/>
    <hyperlink ref="I640" r:id="rId1910" display="http://www.boxofficemojo.com/schedule/?view=bydate&amp;release=theatrical&amp;date=2015-04-17&amp;p=.htm"/>
    <hyperlink ref="C641" r:id="rId1911"/>
    <hyperlink ref="D641" r:id="rId1912"/>
    <hyperlink ref="I641" r:id="rId1913" display="http://www.boxofficemojo.com/schedule/?view=bydate&amp;release=theatrical&amp;date=2015-06-26&amp;p=.htm"/>
    <hyperlink ref="C642" r:id="rId1914"/>
    <hyperlink ref="D642" r:id="rId1915"/>
    <hyperlink ref="I642" r:id="rId1916" display="http://www.boxofficemojo.com/schedule/?view=bydate&amp;release=theatrical&amp;date=2015-10-16&amp;p=.htm"/>
    <hyperlink ref="C643" r:id="rId1917"/>
    <hyperlink ref="D643" r:id="rId1918"/>
    <hyperlink ref="I643" r:id="rId1919" display="http://www.boxofficemojo.com/schedule/?view=bydate&amp;release=theatrical&amp;date=2015-11-20&amp;p=.htm"/>
    <hyperlink ref="C644" r:id="rId1920"/>
    <hyperlink ref="D644" r:id="rId1921"/>
    <hyperlink ref="I644" r:id="rId1922" display="http://www.boxofficemojo.com/schedule/?view=bydate&amp;release=theatrical&amp;date=2015-04-03&amp;p=.htm"/>
    <hyperlink ref="C645" r:id="rId1923"/>
    <hyperlink ref="D645" r:id="rId1924"/>
    <hyperlink ref="I645" r:id="rId1925" display="http://www.boxofficemojo.com/schedule/?view=bydate&amp;release=theatrical&amp;date=2015-05-01&amp;p=.htm"/>
    <hyperlink ref="C646" r:id="rId1926"/>
    <hyperlink ref="D646" r:id="rId1927"/>
    <hyperlink ref="I646" r:id="rId1928" display="http://www.boxofficemojo.com/schedule/?view=bydate&amp;release=theatrical&amp;date=2015-08-21&amp;p=.htm"/>
    <hyperlink ref="C647" r:id="rId1929"/>
    <hyperlink ref="D647" r:id="rId1930"/>
    <hyperlink ref="I647" r:id="rId1931" display="http://www.boxofficemojo.com/schedule/?view=bydate&amp;release=theatrical&amp;date=2015-01-23&amp;p=.htm"/>
    <hyperlink ref="C648" r:id="rId1932"/>
    <hyperlink ref="D648" r:id="rId1933"/>
    <hyperlink ref="I648" r:id="rId1934" display="http://www.boxofficemojo.com/schedule/?view=bydate&amp;release=theatrical&amp;date=2015-07-31&amp;p=.htm"/>
    <hyperlink ref="C649" r:id="rId1935"/>
    <hyperlink ref="D649" r:id="rId1936"/>
    <hyperlink ref="I649" r:id="rId1937" display="http://www.boxofficemojo.com/schedule/?view=bydate&amp;release=theatrical&amp;date=2015-01-23&amp;p=.htm"/>
    <hyperlink ref="C650" r:id="rId1938"/>
    <hyperlink ref="D650" r:id="rId1939"/>
    <hyperlink ref="I650" r:id="rId1940" display="http://www.boxofficemojo.com/schedule/?view=bydate&amp;release=theatrical&amp;date=2015-09-25&amp;p=.htm"/>
    <hyperlink ref="C651" r:id="rId1941"/>
    <hyperlink ref="D651" r:id="rId1942"/>
    <hyperlink ref="I651" r:id="rId1943" display="http://www.boxofficemojo.com/schedule/?view=bydate&amp;release=theatrical&amp;date=2015-05-22&amp;p=.htm"/>
    <hyperlink ref="C652" r:id="rId1944"/>
    <hyperlink ref="D652" r:id="rId1945"/>
    <hyperlink ref="I652" r:id="rId1946" display="http://www.boxofficemojo.com/schedule/?view=bydate&amp;release=theatrical&amp;date=2015-12-18&amp;p=.htm"/>
    <hyperlink ref="C653" r:id="rId1947"/>
    <hyperlink ref="D653" r:id="rId1948"/>
    <hyperlink ref="I653" r:id="rId1949" display="http://www.boxofficemojo.com/schedule/?view=bydate&amp;release=theatrical&amp;date=2015-11-20&amp;p=.htm"/>
    <hyperlink ref="C654" r:id="rId1950"/>
    <hyperlink ref="D654" r:id="rId1951"/>
    <hyperlink ref="I654" r:id="rId1952" display="http://www.boxofficemojo.com/schedule/?view=bydate&amp;release=theatrical&amp;date=2015-01-09&amp;p=.htm"/>
    <hyperlink ref="C655" r:id="rId1953"/>
    <hyperlink ref="D655" r:id="rId1954"/>
    <hyperlink ref="I655" r:id="rId1955" display="http://www.boxofficemojo.com/schedule/?view=bydate&amp;release=theatrical&amp;date=2015-05-29&amp;p=.htm"/>
    <hyperlink ref="C656" r:id="rId1956"/>
    <hyperlink ref="D656" r:id="rId1957"/>
    <hyperlink ref="I656" r:id="rId1958" display="http://www.boxofficemojo.com/schedule/?view=bydate&amp;release=theatrical&amp;date=2015-06-09&amp;p=.htm"/>
    <hyperlink ref="C657" r:id="rId1959"/>
    <hyperlink ref="D657" r:id="rId1960"/>
    <hyperlink ref="I657" r:id="rId1961" display="http://www.boxofficemojo.com/schedule/?view=bydate&amp;release=theatrical&amp;date=2015-05-01&amp;p=.htm"/>
    <hyperlink ref="C658" r:id="rId1962"/>
    <hyperlink ref="D658" r:id="rId1963"/>
    <hyperlink ref="I658" r:id="rId1964" display="http://www.boxofficemojo.com/schedule/?view=bydate&amp;release=theatrical&amp;date=2015-06-12&amp;p=.htm"/>
    <hyperlink ref="C659" r:id="rId1965"/>
    <hyperlink ref="D659" r:id="rId1966"/>
    <hyperlink ref="I659" r:id="rId1967" display="http://www.boxofficemojo.com/schedule/?view=bydate&amp;release=theatrical&amp;date=2015-10-09&amp;p=.htm"/>
    <hyperlink ref="C660" r:id="rId1968"/>
    <hyperlink ref="D660" r:id="rId1969"/>
    <hyperlink ref="I660" r:id="rId1970" display="http://www.boxofficemojo.com/schedule/?view=bydate&amp;release=theatrical&amp;date=2015-01-16&amp;p=.htm"/>
    <hyperlink ref="C661" r:id="rId1971"/>
    <hyperlink ref="D661" r:id="rId1972"/>
    <hyperlink ref="I661" r:id="rId1973" display="http://www.boxofficemojo.com/schedule/?view=bydate&amp;release=theatrical&amp;date=2015-01-23&amp;p=.htm"/>
    <hyperlink ref="C662" r:id="rId1974"/>
    <hyperlink ref="D662" r:id="rId1975"/>
    <hyperlink ref="I662" r:id="rId1976" display="http://www.boxofficemojo.com/schedule/?view=bydate&amp;release=theatrical&amp;date=2015-05-29&amp;p=.htm"/>
    <hyperlink ref="C663" r:id="rId1977"/>
    <hyperlink ref="D663" r:id="rId1978"/>
    <hyperlink ref="I663" r:id="rId1979" display="http://www.boxofficemojo.com/schedule/?view=bydate&amp;release=theatrical&amp;date=2015-11-05&amp;p=.htm"/>
    <hyperlink ref="C664" r:id="rId1980"/>
    <hyperlink ref="D664" r:id="rId1981"/>
    <hyperlink ref="I664" r:id="rId1982" display="http://www.boxofficemojo.com/schedule/?view=bydate&amp;release=theatrical&amp;date=2015-11-06&amp;p=.htm"/>
    <hyperlink ref="C665" r:id="rId1983"/>
    <hyperlink ref="D665" r:id="rId1984"/>
    <hyperlink ref="I665" r:id="rId1985" display="http://www.boxofficemojo.com/schedule/?view=bydate&amp;release=theatrical&amp;date=2015-07-31&amp;p=.htm"/>
    <hyperlink ref="C666" r:id="rId1986"/>
    <hyperlink ref="D666" r:id="rId1987"/>
    <hyperlink ref="I666" r:id="rId1988" display="http://www.boxofficemojo.com/schedule/?view=bydate&amp;release=theatrical&amp;date=2015-05-01&amp;p=.htm"/>
    <hyperlink ref="C667" r:id="rId1989"/>
    <hyperlink ref="D667" r:id="rId1990"/>
    <hyperlink ref="I667" r:id="rId1991" display="http://www.boxofficemojo.com/schedule/?view=bydate&amp;release=theatrical&amp;date=2015-10-16&amp;p=.htm"/>
    <hyperlink ref="C668" r:id="rId1992"/>
    <hyperlink ref="D668" r:id="rId1993"/>
    <hyperlink ref="I668" r:id="rId1994" display="http://www.boxofficemojo.com/schedule/?view=bydate&amp;release=theatrical&amp;date=2015-05-15&amp;p=.htm"/>
    <hyperlink ref="C669" r:id="rId1995"/>
    <hyperlink ref="D669" r:id="rId1996"/>
    <hyperlink ref="I669" r:id="rId1997" display="http://www.boxofficemojo.com/schedule/?view=bydate&amp;release=theatrical&amp;date=2015-05-22&amp;p=.htm"/>
    <hyperlink ref="C670" r:id="rId1998"/>
    <hyperlink ref="D670" r:id="rId1999"/>
    <hyperlink ref="I670" r:id="rId2000" display="http://www.boxofficemojo.com/schedule/?view=bydate&amp;release=theatrical&amp;date=2015-08-28&amp;p=.htm"/>
    <hyperlink ref="C671" r:id="rId2001"/>
    <hyperlink ref="D671" r:id="rId2002"/>
    <hyperlink ref="I671" r:id="rId2003" display="http://www.boxofficemojo.com/schedule/?view=bydate&amp;release=theatrical&amp;date=2015-10-23&amp;p=.htm"/>
    <hyperlink ref="C672" r:id="rId2004"/>
    <hyperlink ref="D672" r:id="rId2005"/>
    <hyperlink ref="I672" r:id="rId2006" display="http://www.boxofficemojo.com/schedule/?view=bydate&amp;release=theatrical&amp;date=2015-10-09&amp;p=.htm"/>
    <hyperlink ref="C673" r:id="rId2007"/>
    <hyperlink ref="D673" r:id="rId2008"/>
    <hyperlink ref="I673" r:id="rId2009" display="http://www.boxofficemojo.com/schedule/?view=bydate&amp;release=theatrical&amp;date=2015-08-21&amp;p=.htm"/>
    <hyperlink ref="C674" r:id="rId2010"/>
    <hyperlink ref="D674" r:id="rId2011"/>
    <hyperlink ref="I674" r:id="rId2012" display="http://www.boxofficemojo.com/schedule/?view=bydate&amp;release=theatrical&amp;date=2015-11-13&amp;p=.htm"/>
    <hyperlink ref="C675" r:id="rId2013"/>
    <hyperlink ref="D675" r:id="rId2014"/>
    <hyperlink ref="I675" r:id="rId2015" display="http://www.boxofficemojo.com/schedule/?view=bydate&amp;release=theatrical&amp;date=2015-10-23&amp;p=.htm"/>
    <hyperlink ref="C676" r:id="rId2016"/>
    <hyperlink ref="D676" r:id="rId2017"/>
    <hyperlink ref="I676" r:id="rId2018" display="http://www.boxofficemojo.com/schedule/?view=bydate&amp;release=theatrical&amp;date=2015-09-18&amp;p=.htm"/>
    <hyperlink ref="C677" r:id="rId2019"/>
    <hyperlink ref="D677" r:id="rId2020"/>
    <hyperlink ref="I677" r:id="rId2021" display="http://www.boxofficemojo.com/schedule/?view=bydate&amp;release=theatrical&amp;date=2015-12-11&amp;p=.htm"/>
    <hyperlink ref="C678" r:id="rId2022"/>
    <hyperlink ref="D678" r:id="rId2023"/>
    <hyperlink ref="I678" r:id="rId2024" display="http://www.boxofficemojo.com/schedule/?view=bydate&amp;release=theatrical&amp;date=2015-03-06&amp;p=.htm"/>
    <hyperlink ref="C679" r:id="rId2025"/>
    <hyperlink ref="D679" r:id="rId2026"/>
    <hyperlink ref="I679" r:id="rId2027" display="http://www.boxofficemojo.com/schedule/?view=bydate&amp;release=theatrical&amp;date=2015-06-26&amp;p=.htm"/>
    <hyperlink ref="C680" r:id="rId2028"/>
    <hyperlink ref="D680" r:id="rId2029"/>
    <hyperlink ref="I680" r:id="rId2030" display="http://www.boxofficemojo.com/schedule/?view=bydate&amp;release=theatrical&amp;date=2015-02-27&amp;p=.htm"/>
    <hyperlink ref="C681" r:id="rId2031"/>
    <hyperlink ref="D681" r:id="rId2032"/>
    <hyperlink ref="I681" r:id="rId2033" display="http://www.boxofficemojo.com/schedule/?view=bydate&amp;release=theatrical&amp;date=2015-12-18&amp;p=.htm"/>
    <hyperlink ref="C682" r:id="rId2034"/>
    <hyperlink ref="D682" r:id="rId2035"/>
    <hyperlink ref="I682" r:id="rId2036" display="http://www.boxofficemojo.com/schedule/?view=bydate&amp;release=theatrical&amp;date=2015-09-25&amp;p=.htm"/>
    <hyperlink ref="C683" r:id="rId2037"/>
    <hyperlink ref="D683" r:id="rId2038"/>
    <hyperlink ref="I683" r:id="rId2039" display="http://www.boxofficemojo.com/schedule/?view=bydate&amp;release=theatrical&amp;date=2015-08-07&amp;p=.htm"/>
    <hyperlink ref="C684" r:id="rId2040"/>
    <hyperlink ref="D684" r:id="rId2041"/>
    <hyperlink ref="I684" r:id="rId2042" display="http://www.boxofficemojo.com/schedule/?view=bydate&amp;release=theatrical&amp;date=2015-02-06&amp;p=.htm"/>
    <hyperlink ref="C685" r:id="rId2043"/>
    <hyperlink ref="D685" r:id="rId2044"/>
    <hyperlink ref="I685" r:id="rId2045" display="http://www.boxofficemojo.com/schedule/?view=bydate&amp;release=theatrical&amp;date=2015-08-21&amp;p=.htm"/>
    <hyperlink ref="C686" r:id="rId2046"/>
    <hyperlink ref="D686" r:id="rId2047"/>
    <hyperlink ref="I686" r:id="rId2048" display="http://www.boxofficemojo.com/schedule/?view=bydate&amp;release=theatrical&amp;date=2015-10-23&amp;p=.htm"/>
    <hyperlink ref="C687" r:id="rId2049"/>
    <hyperlink ref="D687" r:id="rId2050"/>
    <hyperlink ref="I687" r:id="rId2051" display="http://www.boxofficemojo.com/schedule/?view=bydate&amp;release=theatrical&amp;date=2015-08-28&amp;p=.htm"/>
    <hyperlink ref="C688" r:id="rId2052"/>
    <hyperlink ref="D688" r:id="rId2053"/>
    <hyperlink ref="I688" r:id="rId2054" display="http://www.boxofficemojo.com/schedule/?view=bydate&amp;release=theatrical&amp;date=2015-10-07&amp;p=.htm"/>
    <hyperlink ref="C689" r:id="rId2055"/>
    <hyperlink ref="D689" r:id="rId2056"/>
    <hyperlink ref="I689" r:id="rId2057" display="http://www.boxofficemojo.com/schedule/?view=bydate&amp;release=theatrical&amp;date=2015-09-11&amp;p=.htm"/>
    <hyperlink ref="C690" r:id="rId2058"/>
    <hyperlink ref="D690" r:id="rId2059"/>
    <hyperlink ref="I690" r:id="rId2060" display="http://www.boxofficemojo.com/schedule/?view=bydate&amp;release=theatrical&amp;date=2015-07-10&amp;p=.htm"/>
    <hyperlink ref="C691" r:id="rId2061"/>
    <hyperlink ref="D691" r:id="rId2062"/>
    <hyperlink ref="I691" r:id="rId2063" display="http://www.boxofficemojo.com/schedule/?view=bydate&amp;release=theatrical&amp;date=2015-10-30&amp;p=.htm"/>
    <hyperlink ref="C692" r:id="rId2064"/>
    <hyperlink ref="D692" r:id="rId2065"/>
    <hyperlink ref="I692" r:id="rId2066" display="http://www.boxofficemojo.com/schedule/?view=bydate&amp;release=theatrical&amp;date=2015-03-27&amp;p=.htm"/>
    <hyperlink ref="C693" r:id="rId2067"/>
    <hyperlink ref="D693" r:id="rId2068"/>
    <hyperlink ref="I693" r:id="rId2069" display="http://www.boxofficemojo.com/schedule/?view=bydate&amp;release=theatrical&amp;date=2015-02-06&amp;p=.htm"/>
    <hyperlink ref="C694" r:id="rId2070"/>
    <hyperlink ref="D694" r:id="rId2071"/>
    <hyperlink ref="I694" r:id="rId2072" display="http://www.boxofficemojo.com/schedule/?view=bydate&amp;release=theatrical&amp;date=2015-05-08&amp;p=.htm"/>
    <hyperlink ref="C695" r:id="rId2073"/>
    <hyperlink ref="D695" r:id="rId2074"/>
    <hyperlink ref="I695" r:id="rId2075" display="http://www.boxofficemojo.com/schedule/?view=bydate&amp;release=theatrical&amp;date=2015-04-17&amp;p=.htm"/>
    <hyperlink ref="C696" r:id="rId2076"/>
    <hyperlink ref="D696" r:id="rId2077"/>
    <hyperlink ref="I696" r:id="rId2078" display="http://www.boxofficemojo.com/schedule/?view=bydate&amp;release=theatrical&amp;date=2015-05-15&amp;p=.htm"/>
    <hyperlink ref="C697" r:id="rId2079"/>
    <hyperlink ref="D697" r:id="rId2080"/>
    <hyperlink ref="I697" r:id="rId2081" display="http://www.boxofficemojo.com/schedule/?view=bydate&amp;release=theatrical&amp;date=2015-06-26&amp;p=.htm"/>
    <hyperlink ref="C698" r:id="rId2082"/>
    <hyperlink ref="D698" r:id="rId2083"/>
    <hyperlink ref="I698" r:id="rId2084" display="http://www.boxofficemojo.com/schedule/?view=bydate&amp;release=theatrical&amp;date=2015-12-11&amp;p=.htm"/>
    <hyperlink ref="C699" r:id="rId2085"/>
    <hyperlink ref="D699" r:id="rId2086"/>
    <hyperlink ref="I699" r:id="rId2087" display="http://www.boxofficemojo.com/schedule/?view=bydate&amp;release=theatrical&amp;date=2015-01-23&amp;p=.htm"/>
    <hyperlink ref="C700" r:id="rId2088"/>
    <hyperlink ref="D700" r:id="rId2089"/>
    <hyperlink ref="I700" r:id="rId2090" display="http://www.boxofficemojo.com/schedule/?view=bydate&amp;release=theatrical&amp;date=2015-01-02&amp;p=.htm"/>
    <hyperlink ref="C701" r:id="rId2091"/>
    <hyperlink ref="D701" r:id="rId2092"/>
    <hyperlink ref="I701" r:id="rId2093" display="http://www.boxofficemojo.com/schedule/?view=bydate&amp;release=theatrical&amp;date=2015-01-09&amp;p=.htm"/>
    <hyperlink ref="C702" r:id="rId2094"/>
    <hyperlink ref="D702" r:id="rId2095"/>
    <hyperlink ref="I702" r:id="rId2096" display="http://www.boxofficemojo.com/schedule/?view=bydate&amp;release=theatrical&amp;date=2015-03-13&amp;p=.htm"/>
    <hyperlink ref="C703" r:id="rId2097"/>
    <hyperlink ref="D703" r:id="rId2098"/>
    <hyperlink ref="I703" r:id="rId2099" display="http://www.boxofficemojo.com/schedule/?view=bydate&amp;release=theatrical&amp;date=2015-06-05&amp;p=.htm"/>
    <hyperlink ref="C704" r:id="rId2100"/>
    <hyperlink ref="D704" r:id="rId2101"/>
    <hyperlink ref="I704" r:id="rId2102" display="http://www.boxofficemojo.com/schedule/?view=bydate&amp;release=theatrical&amp;date=2015-05-29&amp;p=.htm"/>
    <hyperlink ref="C705" r:id="rId2103"/>
    <hyperlink ref="D705" r:id="rId2104"/>
    <hyperlink ref="I705" r:id="rId2105" display="http://www.boxofficemojo.com/schedule/?view=bydate&amp;release=theatrical&amp;date=2015-04-24&amp;p=.htm"/>
    <hyperlink ref="C706" r:id="rId2106"/>
    <hyperlink ref="D706" r:id="rId2107"/>
    <hyperlink ref="I706" r:id="rId2108" display="http://www.boxofficemojo.com/schedule/?view=bydate&amp;release=theatrical&amp;date=2015-11-13&amp;p=.htm"/>
    <hyperlink ref="C707" r:id="rId2109"/>
    <hyperlink ref="D707" r:id="rId2110"/>
    <hyperlink ref="I707" r:id="rId2111" display="http://www.boxofficemojo.com/schedule/?view=bydate&amp;release=theatrical&amp;date=2015-09-25&amp;p=.htm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738"/>
  <sheetViews>
    <sheetView topLeftCell="A482" workbookViewId="0">
      <selection activeCell="M502" sqref="M502"/>
    </sheetView>
  </sheetViews>
  <sheetFormatPr baseColWidth="10" defaultRowHeight="16" x14ac:dyDescent="0.2"/>
  <sheetData>
    <row r="3" spans="2:10" x14ac:dyDescent="0.2">
      <c r="B3" s="26" t="s">
        <v>550</v>
      </c>
      <c r="C3" s="26" t="s">
        <v>551</v>
      </c>
      <c r="D3" s="21" t="s">
        <v>0</v>
      </c>
    </row>
    <row r="4" spans="2:10" x14ac:dyDescent="0.2">
      <c r="B4" s="26"/>
      <c r="C4" s="26"/>
    </row>
    <row r="5" spans="2:10" x14ac:dyDescent="0.2">
      <c r="B5" s="22"/>
      <c r="C5" s="20" t="s">
        <v>7639</v>
      </c>
      <c r="D5" s="22" t="s">
        <v>5303</v>
      </c>
      <c r="E5" s="21" t="s">
        <v>552</v>
      </c>
      <c r="F5" s="21" t="s">
        <v>553</v>
      </c>
    </row>
    <row r="6" spans="2:10" x14ac:dyDescent="0.2">
      <c r="B6" s="22">
        <v>1</v>
      </c>
      <c r="C6" s="21" t="s">
        <v>3123</v>
      </c>
      <c r="D6" s="21" t="s">
        <v>554</v>
      </c>
      <c r="E6" s="20" t="s">
        <v>3124</v>
      </c>
      <c r="F6" s="22">
        <v>4.157</v>
      </c>
      <c r="G6" s="22" t="s">
        <v>3125</v>
      </c>
      <c r="H6" s="22">
        <v>4.157</v>
      </c>
      <c r="I6" s="25">
        <v>43450</v>
      </c>
      <c r="J6" s="24">
        <v>43224</v>
      </c>
    </row>
    <row r="7" spans="2:10" x14ac:dyDescent="0.2">
      <c r="B7" s="22">
        <v>2</v>
      </c>
      <c r="C7" s="21" t="s">
        <v>3126</v>
      </c>
      <c r="D7" s="21" t="s">
        <v>554</v>
      </c>
      <c r="E7" s="20" t="s">
        <v>3127</v>
      </c>
      <c r="F7" s="22">
        <v>4.3049999999999997</v>
      </c>
      <c r="G7" s="22" t="s">
        <v>3128</v>
      </c>
      <c r="H7" s="22">
        <v>4.3049999999999997</v>
      </c>
      <c r="I7" s="25">
        <v>43268</v>
      </c>
      <c r="J7" s="24">
        <v>43442</v>
      </c>
    </row>
    <row r="8" spans="2:10" x14ac:dyDescent="0.2">
      <c r="B8" s="22">
        <v>3</v>
      </c>
      <c r="C8" s="21" t="s">
        <v>3129</v>
      </c>
      <c r="D8" s="21" t="s">
        <v>554</v>
      </c>
      <c r="E8" s="20" t="s">
        <v>3130</v>
      </c>
      <c r="F8" s="22">
        <v>4.226</v>
      </c>
      <c r="G8" s="22" t="s">
        <v>3131</v>
      </c>
      <c r="H8" s="22">
        <v>4.226</v>
      </c>
      <c r="I8" s="25">
        <v>43226</v>
      </c>
      <c r="J8" s="24">
        <v>43365</v>
      </c>
    </row>
    <row r="9" spans="2:10" x14ac:dyDescent="0.2">
      <c r="B9" s="22">
        <v>4</v>
      </c>
      <c r="C9" s="21" t="s">
        <v>3132</v>
      </c>
      <c r="D9" s="21" t="s">
        <v>586</v>
      </c>
      <c r="E9" s="20" t="s">
        <v>3133</v>
      </c>
      <c r="F9" s="22">
        <v>4.3810000000000002</v>
      </c>
      <c r="G9" s="22" t="s">
        <v>3134</v>
      </c>
      <c r="H9" s="22">
        <v>4.37</v>
      </c>
      <c r="I9" s="25">
        <v>43289</v>
      </c>
      <c r="J9" s="24">
        <v>43463</v>
      </c>
    </row>
    <row r="10" spans="2:10" x14ac:dyDescent="0.2">
      <c r="B10" s="22">
        <v>5</v>
      </c>
      <c r="C10" s="21" t="s">
        <v>3135</v>
      </c>
      <c r="D10" s="21" t="s">
        <v>554</v>
      </c>
      <c r="E10" s="20" t="s">
        <v>3136</v>
      </c>
      <c r="F10" s="22">
        <v>4.1440000000000001</v>
      </c>
      <c r="G10" s="22" t="s">
        <v>3137</v>
      </c>
      <c r="H10" s="22">
        <v>4.0279999999999996</v>
      </c>
      <c r="I10" s="25">
        <v>43205</v>
      </c>
      <c r="J10" s="24">
        <v>43372</v>
      </c>
    </row>
    <row r="11" spans="2:10" x14ac:dyDescent="0.2">
      <c r="B11" s="22">
        <v>6</v>
      </c>
      <c r="C11" s="21" t="s">
        <v>3138</v>
      </c>
      <c r="D11" s="21" t="s">
        <v>594</v>
      </c>
      <c r="E11" s="20" t="s">
        <v>3139</v>
      </c>
      <c r="F11" s="22">
        <v>3.8559999999999999</v>
      </c>
      <c r="G11" s="22" t="s">
        <v>3140</v>
      </c>
      <c r="H11" s="22">
        <v>3.5579999999999998</v>
      </c>
      <c r="I11" s="25">
        <v>43143</v>
      </c>
      <c r="J11" s="24">
        <v>43267</v>
      </c>
    </row>
    <row r="12" spans="2:10" x14ac:dyDescent="0.2">
      <c r="B12" s="22">
        <v>7</v>
      </c>
      <c r="C12" s="21" t="s">
        <v>3141</v>
      </c>
      <c r="D12" s="21" t="s">
        <v>554</v>
      </c>
      <c r="E12" s="20" t="s">
        <v>3142</v>
      </c>
      <c r="F12" s="22">
        <v>3.9590000000000001</v>
      </c>
      <c r="G12" s="22" t="s">
        <v>3143</v>
      </c>
      <c r="H12" s="22">
        <v>3.827</v>
      </c>
      <c r="I12" s="25">
        <v>43163</v>
      </c>
      <c r="J12" s="24">
        <v>43316</v>
      </c>
    </row>
    <row r="13" spans="2:10" x14ac:dyDescent="0.2">
      <c r="B13" s="22">
        <v>8</v>
      </c>
      <c r="C13" s="21" t="s">
        <v>3144</v>
      </c>
      <c r="D13" s="21" t="s">
        <v>563</v>
      </c>
      <c r="E13" s="20" t="s">
        <v>3145</v>
      </c>
      <c r="F13" s="22">
        <v>4.2560000000000002</v>
      </c>
      <c r="G13" s="22" t="s">
        <v>3146</v>
      </c>
      <c r="H13" s="22">
        <v>4.242</v>
      </c>
      <c r="I13" s="25">
        <v>43184</v>
      </c>
      <c r="J13" s="24">
        <v>43267</v>
      </c>
    </row>
    <row r="14" spans="2:10" x14ac:dyDescent="0.2">
      <c r="B14" s="22">
        <v>9</v>
      </c>
      <c r="C14" s="21" t="s">
        <v>3147</v>
      </c>
      <c r="D14" s="21" t="s">
        <v>563</v>
      </c>
      <c r="E14" s="20" t="s">
        <v>3148</v>
      </c>
      <c r="F14" s="22">
        <v>4.2549999999999999</v>
      </c>
      <c r="G14" s="22" t="s">
        <v>3149</v>
      </c>
      <c r="H14" s="22">
        <v>4.2549999999999999</v>
      </c>
      <c r="I14" s="25">
        <v>43317</v>
      </c>
      <c r="J14" s="24">
        <v>43414</v>
      </c>
    </row>
    <row r="15" spans="2:10" x14ac:dyDescent="0.2">
      <c r="B15" s="22">
        <v>10</v>
      </c>
      <c r="C15" s="21" t="s">
        <v>3150</v>
      </c>
      <c r="D15" s="21" t="s">
        <v>586</v>
      </c>
      <c r="E15" s="20" t="s">
        <v>3151</v>
      </c>
      <c r="F15" s="22">
        <v>4.0289999999999999</v>
      </c>
      <c r="G15" s="22" t="s">
        <v>3152</v>
      </c>
      <c r="H15" s="22">
        <v>4.0220000000000002</v>
      </c>
      <c r="I15" s="25">
        <v>43455</v>
      </c>
      <c r="J15" s="24">
        <v>43231</v>
      </c>
    </row>
    <row r="16" spans="2:10" x14ac:dyDescent="0.2">
      <c r="B16" s="22">
        <v>11</v>
      </c>
      <c r="C16" s="21" t="s">
        <v>3153</v>
      </c>
      <c r="D16" s="21" t="s">
        <v>554</v>
      </c>
      <c r="E16" s="20" t="s">
        <v>3154</v>
      </c>
      <c r="F16" s="22">
        <v>3.875</v>
      </c>
      <c r="G16" s="22" t="s">
        <v>3155</v>
      </c>
      <c r="H16" s="22">
        <v>3.875</v>
      </c>
      <c r="I16" s="25">
        <v>43427</v>
      </c>
      <c r="J16" s="24">
        <v>43217</v>
      </c>
    </row>
    <row r="17" spans="2:10" x14ac:dyDescent="0.2">
      <c r="B17" s="22">
        <v>12</v>
      </c>
      <c r="C17" s="21" t="s">
        <v>3156</v>
      </c>
      <c r="D17" s="21" t="s">
        <v>563</v>
      </c>
      <c r="E17" s="20" t="s">
        <v>3157</v>
      </c>
      <c r="F17" s="22">
        <v>4.1440000000000001</v>
      </c>
      <c r="G17" s="22" t="s">
        <v>3158</v>
      </c>
      <c r="H17" s="22">
        <v>4.1440000000000001</v>
      </c>
      <c r="I17" s="25">
        <v>43422</v>
      </c>
      <c r="J17" s="24">
        <v>43189</v>
      </c>
    </row>
    <row r="18" spans="2:10" x14ac:dyDescent="0.2">
      <c r="B18" s="22">
        <v>13</v>
      </c>
      <c r="C18" s="21" t="s">
        <v>3159</v>
      </c>
      <c r="D18" s="21" t="s">
        <v>554</v>
      </c>
      <c r="E18" s="20" t="s">
        <v>3160</v>
      </c>
      <c r="F18" s="22">
        <v>3.8820000000000001</v>
      </c>
      <c r="G18" s="22" t="s">
        <v>3161</v>
      </c>
      <c r="H18" s="22">
        <v>3.8820000000000001</v>
      </c>
      <c r="I18" s="25">
        <v>43408</v>
      </c>
      <c r="J18" s="24">
        <v>43175</v>
      </c>
    </row>
    <row r="19" spans="2:10" x14ac:dyDescent="0.2">
      <c r="B19" s="22">
        <v>14</v>
      </c>
      <c r="C19" s="21" t="s">
        <v>3162</v>
      </c>
      <c r="D19" s="21" t="s">
        <v>594</v>
      </c>
      <c r="E19" s="20" t="s">
        <v>3163</v>
      </c>
      <c r="F19" s="22">
        <v>3.4159999999999999</v>
      </c>
      <c r="G19" s="22" t="s">
        <v>3164</v>
      </c>
      <c r="H19" s="22">
        <v>25</v>
      </c>
      <c r="I19" s="25">
        <v>43459</v>
      </c>
      <c r="J19" s="24">
        <v>43413</v>
      </c>
    </row>
    <row r="20" spans="2:10" x14ac:dyDescent="0.2">
      <c r="B20" s="22">
        <v>15</v>
      </c>
      <c r="C20" s="21" t="s">
        <v>3165</v>
      </c>
      <c r="D20" s="21" t="s">
        <v>586</v>
      </c>
      <c r="E20" s="20" t="s">
        <v>3166</v>
      </c>
      <c r="F20" s="22">
        <v>4.0389999999999997</v>
      </c>
      <c r="G20" s="22" t="s">
        <v>3167</v>
      </c>
      <c r="H20" s="22">
        <v>4.0259999999999998</v>
      </c>
      <c r="I20" s="25">
        <v>43310</v>
      </c>
      <c r="J20" s="24">
        <v>43456</v>
      </c>
    </row>
    <row r="21" spans="2:10" x14ac:dyDescent="0.2">
      <c r="B21" s="22">
        <v>16</v>
      </c>
      <c r="C21" s="21" t="s">
        <v>3168</v>
      </c>
      <c r="D21" s="21" t="s">
        <v>638</v>
      </c>
      <c r="E21" s="20" t="s">
        <v>3169</v>
      </c>
      <c r="F21" s="22">
        <v>3.9279999999999999</v>
      </c>
      <c r="G21" s="22" t="s">
        <v>3170</v>
      </c>
      <c r="H21" s="22">
        <v>3.9279999999999999</v>
      </c>
      <c r="I21" s="25">
        <v>43303</v>
      </c>
      <c r="J21" s="24">
        <v>43393</v>
      </c>
    </row>
    <row r="22" spans="2:10" x14ac:dyDescent="0.2">
      <c r="B22" s="22">
        <v>17</v>
      </c>
      <c r="C22" s="21" t="s">
        <v>3171</v>
      </c>
      <c r="D22" s="21" t="s">
        <v>594</v>
      </c>
      <c r="E22" s="20" t="s">
        <v>3172</v>
      </c>
      <c r="F22" s="22">
        <v>4.1529999999999996</v>
      </c>
      <c r="G22" s="22" t="s">
        <v>3173</v>
      </c>
      <c r="H22" s="22">
        <v>4.1500000000000004</v>
      </c>
      <c r="I22" s="25">
        <v>43247</v>
      </c>
      <c r="J22" s="24">
        <v>43309</v>
      </c>
    </row>
    <row r="23" spans="2:10" x14ac:dyDescent="0.2">
      <c r="B23" s="22">
        <v>18</v>
      </c>
      <c r="C23" s="21" t="s">
        <v>3174</v>
      </c>
      <c r="D23" s="21" t="s">
        <v>594</v>
      </c>
      <c r="E23" s="20" t="s">
        <v>3175</v>
      </c>
      <c r="F23" s="22">
        <v>4.0659999999999998</v>
      </c>
      <c r="G23" s="22" t="s">
        <v>3176</v>
      </c>
      <c r="H23" s="22">
        <v>4.0599999999999996</v>
      </c>
      <c r="I23" s="25">
        <v>43408</v>
      </c>
      <c r="J23" s="24">
        <v>43189</v>
      </c>
    </row>
    <row r="24" spans="2:10" x14ac:dyDescent="0.2">
      <c r="B24" s="22">
        <v>19</v>
      </c>
      <c r="C24" s="21" t="s">
        <v>3177</v>
      </c>
      <c r="D24" s="21" t="s">
        <v>685</v>
      </c>
      <c r="E24" s="20" t="s">
        <v>3178</v>
      </c>
      <c r="F24" s="22">
        <v>3.2360000000000002</v>
      </c>
      <c r="G24" s="22" t="s">
        <v>3179</v>
      </c>
      <c r="H24" s="22">
        <v>5</v>
      </c>
      <c r="I24" s="25">
        <v>43443</v>
      </c>
      <c r="J24" s="24">
        <v>43217</v>
      </c>
    </row>
    <row r="25" spans="2:10" x14ac:dyDescent="0.2">
      <c r="B25" s="22">
        <v>20</v>
      </c>
      <c r="C25" s="21" t="s">
        <v>3180</v>
      </c>
      <c r="D25" s="21" t="s">
        <v>594</v>
      </c>
      <c r="E25" s="20" t="s">
        <v>3181</v>
      </c>
      <c r="F25" s="22">
        <v>3.9870000000000001</v>
      </c>
      <c r="G25" s="22" t="s">
        <v>3182</v>
      </c>
      <c r="H25" s="22">
        <v>3.9550000000000001</v>
      </c>
      <c r="I25" s="25">
        <v>43129</v>
      </c>
      <c r="J25" s="24">
        <v>43302</v>
      </c>
    </row>
    <row r="26" spans="2:10" x14ac:dyDescent="0.2">
      <c r="B26" s="22">
        <v>21</v>
      </c>
      <c r="C26" s="21" t="s">
        <v>3183</v>
      </c>
      <c r="D26" s="21" t="s">
        <v>570</v>
      </c>
      <c r="E26" s="20" t="s">
        <v>3184</v>
      </c>
      <c r="F26" s="22">
        <v>3.9630000000000001</v>
      </c>
      <c r="G26" s="22" t="s">
        <v>3185</v>
      </c>
      <c r="H26" s="22">
        <v>3.9630000000000001</v>
      </c>
      <c r="I26" s="25">
        <v>43296</v>
      </c>
      <c r="J26" s="24">
        <v>43414</v>
      </c>
    </row>
    <row r="27" spans="2:10" x14ac:dyDescent="0.2">
      <c r="B27" s="22">
        <v>22</v>
      </c>
      <c r="C27" s="21" t="s">
        <v>3186</v>
      </c>
      <c r="D27" s="21" t="s">
        <v>574</v>
      </c>
      <c r="E27" s="20" t="s">
        <v>3187</v>
      </c>
      <c r="F27" s="22">
        <v>3.508</v>
      </c>
      <c r="G27" s="22" t="s">
        <v>3188</v>
      </c>
      <c r="H27" s="22">
        <v>3.508</v>
      </c>
      <c r="I27" s="25">
        <v>43268</v>
      </c>
      <c r="J27" s="24">
        <v>43344</v>
      </c>
    </row>
    <row r="28" spans="2:10" x14ac:dyDescent="0.2">
      <c r="B28" s="22">
        <v>23</v>
      </c>
      <c r="C28" s="21" t="s">
        <v>3189</v>
      </c>
      <c r="D28" s="21" t="s">
        <v>563</v>
      </c>
      <c r="E28" s="20" t="s">
        <v>3190</v>
      </c>
      <c r="F28" s="22">
        <v>3.5910000000000002</v>
      </c>
      <c r="G28" s="22" t="s">
        <v>3191</v>
      </c>
      <c r="H28" s="22">
        <v>3.5609999999999999</v>
      </c>
      <c r="I28" s="25">
        <v>43282</v>
      </c>
      <c r="J28" s="24">
        <v>43358</v>
      </c>
    </row>
    <row r="29" spans="2:10" x14ac:dyDescent="0.2">
      <c r="B29" s="22">
        <v>24</v>
      </c>
      <c r="C29" s="21" t="s">
        <v>3192</v>
      </c>
      <c r="D29" s="21" t="s">
        <v>563</v>
      </c>
      <c r="E29" s="20" t="s">
        <v>3193</v>
      </c>
      <c r="F29" s="22">
        <v>3.9550000000000001</v>
      </c>
      <c r="G29" s="22" t="s">
        <v>3194</v>
      </c>
      <c r="H29" s="22">
        <v>3.5249999999999999</v>
      </c>
      <c r="I29" s="25">
        <v>43352</v>
      </c>
      <c r="J29" s="24">
        <v>43126</v>
      </c>
    </row>
    <row r="30" spans="2:10" x14ac:dyDescent="0.2">
      <c r="B30" s="22">
        <v>25</v>
      </c>
      <c r="C30" s="21" t="s">
        <v>3195</v>
      </c>
      <c r="D30" s="21" t="s">
        <v>718</v>
      </c>
      <c r="E30" s="20" t="s">
        <v>3196</v>
      </c>
      <c r="F30" s="22">
        <v>3.2149999999999999</v>
      </c>
      <c r="G30" s="22" t="s">
        <v>3197</v>
      </c>
      <c r="H30" s="22">
        <v>3.2149999999999999</v>
      </c>
      <c r="I30" s="25">
        <v>43310</v>
      </c>
      <c r="J30" s="24">
        <v>43400</v>
      </c>
    </row>
    <row r="31" spans="2:10" x14ac:dyDescent="0.2">
      <c r="B31" s="22">
        <v>26</v>
      </c>
      <c r="C31" s="21" t="s">
        <v>3198</v>
      </c>
      <c r="D31" s="21" t="s">
        <v>570</v>
      </c>
      <c r="E31" s="20" t="s">
        <v>3199</v>
      </c>
      <c r="F31" s="22">
        <v>3.9319999999999999</v>
      </c>
      <c r="G31" s="22" t="s">
        <v>3200</v>
      </c>
      <c r="H31" s="22">
        <v>3.9319999999999999</v>
      </c>
      <c r="I31" s="25">
        <v>43240</v>
      </c>
      <c r="J31" s="24">
        <v>43358</v>
      </c>
    </row>
    <row r="32" spans="2:10" x14ac:dyDescent="0.2">
      <c r="B32" s="22">
        <v>27</v>
      </c>
      <c r="C32" s="21" t="s">
        <v>3201</v>
      </c>
      <c r="D32" s="21" t="s">
        <v>594</v>
      </c>
      <c r="E32" s="20" t="s">
        <v>3202</v>
      </c>
      <c r="F32" s="22">
        <v>4.13</v>
      </c>
      <c r="G32" s="22" t="s">
        <v>3203</v>
      </c>
      <c r="H32" s="22">
        <v>4.13</v>
      </c>
      <c r="I32" s="25">
        <v>43275</v>
      </c>
      <c r="J32" s="24">
        <v>43358</v>
      </c>
    </row>
    <row r="33" spans="2:10" x14ac:dyDescent="0.2">
      <c r="B33" s="22">
        <v>28</v>
      </c>
      <c r="C33" s="21" t="s">
        <v>3204</v>
      </c>
      <c r="D33" s="21" t="s">
        <v>574</v>
      </c>
      <c r="E33" s="20" t="s">
        <v>3205</v>
      </c>
      <c r="F33" s="22">
        <v>3.3559999999999999</v>
      </c>
      <c r="G33" s="22" t="s">
        <v>3206</v>
      </c>
      <c r="H33" s="22">
        <v>3.343</v>
      </c>
      <c r="I33" s="25">
        <v>43261</v>
      </c>
      <c r="J33" s="24">
        <v>43337</v>
      </c>
    </row>
    <row r="34" spans="2:10" x14ac:dyDescent="0.2">
      <c r="B34" s="22">
        <v>29</v>
      </c>
      <c r="C34" s="21" t="s">
        <v>3207</v>
      </c>
      <c r="D34" s="21" t="s">
        <v>638</v>
      </c>
      <c r="E34" s="20" t="s">
        <v>3208</v>
      </c>
      <c r="F34" s="22">
        <v>3.1150000000000002</v>
      </c>
      <c r="G34" s="22" t="s">
        <v>3209</v>
      </c>
      <c r="H34" s="22">
        <v>2.3170000000000002</v>
      </c>
      <c r="I34" s="25">
        <v>43415</v>
      </c>
      <c r="J34" s="24">
        <v>43168</v>
      </c>
    </row>
    <row r="35" spans="2:10" x14ac:dyDescent="0.2">
      <c r="B35" s="22">
        <v>30</v>
      </c>
      <c r="C35" s="21" t="s">
        <v>3210</v>
      </c>
      <c r="D35" s="21" t="s">
        <v>570</v>
      </c>
      <c r="E35" s="20" t="s">
        <v>3211</v>
      </c>
      <c r="F35" s="22">
        <v>3.4780000000000002</v>
      </c>
      <c r="G35" s="22" t="s">
        <v>3212</v>
      </c>
      <c r="H35" s="22">
        <v>3.4780000000000002</v>
      </c>
      <c r="I35" s="25">
        <v>43455</v>
      </c>
      <c r="J35" s="24">
        <v>43210</v>
      </c>
    </row>
    <row r="36" spans="2:10" x14ac:dyDescent="0.2">
      <c r="B36" s="22">
        <v>31</v>
      </c>
      <c r="C36" s="21" t="s">
        <v>3213</v>
      </c>
      <c r="D36" s="21" t="s">
        <v>570</v>
      </c>
      <c r="E36" s="20" t="s">
        <v>3214</v>
      </c>
      <c r="F36" s="22">
        <v>3.1349999999999998</v>
      </c>
      <c r="G36" s="22" t="s">
        <v>3215</v>
      </c>
      <c r="H36" s="22">
        <v>3.1030000000000002</v>
      </c>
      <c r="I36" s="25">
        <v>43324</v>
      </c>
      <c r="J36" s="24">
        <v>43456</v>
      </c>
    </row>
    <row r="37" spans="2:10" x14ac:dyDescent="0.2">
      <c r="B37" s="22">
        <v>32</v>
      </c>
      <c r="C37" s="21" t="s">
        <v>3216</v>
      </c>
      <c r="D37" s="21" t="s">
        <v>570</v>
      </c>
      <c r="E37" s="20" t="s">
        <v>3217</v>
      </c>
      <c r="F37" s="22">
        <v>3.6960000000000002</v>
      </c>
      <c r="G37" s="22" t="s">
        <v>3218</v>
      </c>
      <c r="H37" s="22">
        <v>3.6739999999999999</v>
      </c>
      <c r="I37" s="25">
        <v>43366</v>
      </c>
      <c r="J37" s="24">
        <v>43105</v>
      </c>
    </row>
    <row r="38" spans="2:10" x14ac:dyDescent="0.2">
      <c r="B38" s="22">
        <v>33</v>
      </c>
      <c r="C38" s="21" t="s">
        <v>3219</v>
      </c>
      <c r="D38" s="21" t="s">
        <v>586</v>
      </c>
      <c r="E38" s="20" t="s">
        <v>3220</v>
      </c>
      <c r="F38" s="22">
        <v>3.1920000000000002</v>
      </c>
      <c r="G38" s="22" t="s">
        <v>3221</v>
      </c>
      <c r="H38" s="22">
        <v>3.1749999999999998</v>
      </c>
      <c r="I38" s="25">
        <v>43115</v>
      </c>
      <c r="J38" s="24">
        <v>43267</v>
      </c>
    </row>
    <row r="39" spans="2:10" x14ac:dyDescent="0.2">
      <c r="B39" s="22">
        <v>34</v>
      </c>
      <c r="C39" s="21" t="s">
        <v>3222</v>
      </c>
      <c r="D39" s="21" t="s">
        <v>851</v>
      </c>
      <c r="E39" s="20" t="s">
        <v>3223</v>
      </c>
      <c r="F39" s="22">
        <v>3.3839999999999999</v>
      </c>
      <c r="G39" s="22" t="s">
        <v>3224</v>
      </c>
      <c r="H39" s="22">
        <v>3.0510000000000002</v>
      </c>
      <c r="I39" s="25">
        <v>43338</v>
      </c>
      <c r="J39" s="24">
        <v>43456</v>
      </c>
    </row>
    <row r="40" spans="2:10" x14ac:dyDescent="0.2">
      <c r="B40" s="22">
        <v>35</v>
      </c>
      <c r="C40" s="21" t="s">
        <v>3225</v>
      </c>
      <c r="D40" s="21" t="s">
        <v>594</v>
      </c>
      <c r="E40" s="20" t="s">
        <v>3226</v>
      </c>
      <c r="F40" s="22">
        <v>3.835</v>
      </c>
      <c r="G40" s="22" t="s">
        <v>3227</v>
      </c>
      <c r="H40" s="22">
        <v>3.5219999999999998</v>
      </c>
      <c r="I40" s="25">
        <v>43373</v>
      </c>
      <c r="J40" s="24">
        <v>43140</v>
      </c>
    </row>
    <row r="41" spans="2:10" x14ac:dyDescent="0.2">
      <c r="B41" s="22">
        <v>36</v>
      </c>
      <c r="C41" s="21" t="s">
        <v>3228</v>
      </c>
      <c r="D41" s="21" t="s">
        <v>563</v>
      </c>
      <c r="E41" s="20" t="s">
        <v>3229</v>
      </c>
      <c r="F41" s="22">
        <v>3.4020000000000001</v>
      </c>
      <c r="G41" s="22" t="s">
        <v>3230</v>
      </c>
      <c r="H41" s="22">
        <v>3.3319999999999999</v>
      </c>
      <c r="I41" s="25">
        <v>43387</v>
      </c>
      <c r="J41" s="24">
        <v>43112</v>
      </c>
    </row>
    <row r="42" spans="2:10" x14ac:dyDescent="0.2">
      <c r="B42" s="22">
        <v>37</v>
      </c>
      <c r="C42" s="21" t="s">
        <v>3231</v>
      </c>
      <c r="D42" s="21" t="s">
        <v>638</v>
      </c>
      <c r="E42" s="20" t="s">
        <v>3232</v>
      </c>
      <c r="F42" s="22">
        <v>4.0709999999999997</v>
      </c>
      <c r="G42" s="22" t="s">
        <v>3233</v>
      </c>
      <c r="H42" s="22">
        <v>4.0709999999999997</v>
      </c>
      <c r="I42" s="25">
        <v>43254</v>
      </c>
      <c r="J42" s="24">
        <v>43351</v>
      </c>
    </row>
    <row r="43" spans="2:10" x14ac:dyDescent="0.2">
      <c r="B43" s="22">
        <v>38</v>
      </c>
      <c r="C43" s="21" t="s">
        <v>3234</v>
      </c>
      <c r="D43" s="21" t="s">
        <v>586</v>
      </c>
      <c r="E43" s="20" t="s">
        <v>3235</v>
      </c>
      <c r="F43" s="22">
        <v>2.8210000000000002</v>
      </c>
      <c r="G43" s="22" t="s">
        <v>3236</v>
      </c>
      <c r="H43" s="22">
        <v>2.7959999999999998</v>
      </c>
      <c r="I43" s="25">
        <v>43282</v>
      </c>
      <c r="J43" s="24">
        <v>43386</v>
      </c>
    </row>
    <row r="44" spans="2:10" x14ac:dyDescent="0.2">
      <c r="B44" s="22">
        <v>39</v>
      </c>
      <c r="C44" s="21" t="s">
        <v>3237</v>
      </c>
      <c r="D44" s="21" t="s">
        <v>554</v>
      </c>
      <c r="E44" s="20" t="s">
        <v>3238</v>
      </c>
      <c r="F44" s="22">
        <v>3.7629999999999999</v>
      </c>
      <c r="G44" s="22" t="s">
        <v>3239</v>
      </c>
      <c r="H44" s="22">
        <v>3.7629999999999999</v>
      </c>
      <c r="I44" s="25">
        <v>43247</v>
      </c>
      <c r="J44" s="24">
        <v>43344</v>
      </c>
    </row>
    <row r="45" spans="2:10" x14ac:dyDescent="0.2">
      <c r="B45" s="22">
        <v>40</v>
      </c>
      <c r="C45" s="21" t="s">
        <v>3240</v>
      </c>
      <c r="D45" s="21" t="s">
        <v>554</v>
      </c>
      <c r="E45" s="20" t="s">
        <v>3241</v>
      </c>
      <c r="F45" s="22">
        <v>3.702</v>
      </c>
      <c r="G45" s="22" t="s">
        <v>3242</v>
      </c>
      <c r="H45" s="22">
        <v>3.702</v>
      </c>
      <c r="I45" s="25">
        <v>43324</v>
      </c>
      <c r="J45" s="24">
        <v>43449</v>
      </c>
    </row>
    <row r="46" spans="2:10" x14ac:dyDescent="0.2">
      <c r="B46" s="22">
        <v>41</v>
      </c>
      <c r="C46" s="21" t="s">
        <v>3243</v>
      </c>
      <c r="D46" s="21" t="s">
        <v>586</v>
      </c>
      <c r="E46" s="20" t="s">
        <v>3244</v>
      </c>
      <c r="F46" s="22">
        <v>3.2410000000000001</v>
      </c>
      <c r="G46" s="22" t="s">
        <v>3245</v>
      </c>
      <c r="H46" s="22">
        <v>3.1440000000000001</v>
      </c>
      <c r="I46" s="25">
        <v>43380</v>
      </c>
      <c r="J46" s="24">
        <v>43463</v>
      </c>
    </row>
    <row r="47" spans="2:10" x14ac:dyDescent="0.2">
      <c r="B47" s="22">
        <v>42</v>
      </c>
      <c r="C47" s="21" t="s">
        <v>3246</v>
      </c>
      <c r="D47" s="21" t="s">
        <v>643</v>
      </c>
      <c r="E47" s="20" t="s">
        <v>3247</v>
      </c>
      <c r="F47" s="22">
        <v>2.2989999999999999</v>
      </c>
      <c r="G47" s="22" t="s">
        <v>3248</v>
      </c>
      <c r="H47" s="22">
        <v>2.2599999999999998</v>
      </c>
      <c r="I47" s="25">
        <v>43394</v>
      </c>
      <c r="J47" s="24">
        <v>43456</v>
      </c>
    </row>
    <row r="48" spans="2:10" x14ac:dyDescent="0.2">
      <c r="B48" s="22">
        <v>43</v>
      </c>
      <c r="C48" s="21" t="s">
        <v>3249</v>
      </c>
      <c r="D48" s="21" t="s">
        <v>563</v>
      </c>
      <c r="E48" s="20" t="s">
        <v>3250</v>
      </c>
      <c r="F48" s="22">
        <v>3.9220000000000002</v>
      </c>
      <c r="G48" s="22" t="s">
        <v>3251</v>
      </c>
      <c r="H48" s="22">
        <v>3.9220000000000002</v>
      </c>
      <c r="I48" s="25">
        <v>43366</v>
      </c>
      <c r="J48" s="24">
        <v>43112</v>
      </c>
    </row>
    <row r="49" spans="2:10" x14ac:dyDescent="0.2">
      <c r="B49" s="22">
        <v>44</v>
      </c>
      <c r="C49" s="21" t="s">
        <v>3252</v>
      </c>
      <c r="D49" s="21" t="s">
        <v>638</v>
      </c>
      <c r="E49" s="20" t="s">
        <v>3253</v>
      </c>
      <c r="F49" s="22">
        <v>3.427</v>
      </c>
      <c r="G49" s="22" t="s">
        <v>3254</v>
      </c>
      <c r="H49" s="22">
        <v>3.391</v>
      </c>
      <c r="I49" s="25">
        <v>43170</v>
      </c>
      <c r="J49" s="24">
        <v>43253</v>
      </c>
    </row>
    <row r="50" spans="2:10" x14ac:dyDescent="0.2">
      <c r="B50" s="22">
        <v>45</v>
      </c>
      <c r="C50" s="21" t="s">
        <v>3255</v>
      </c>
      <c r="D50" s="21" t="s">
        <v>574</v>
      </c>
      <c r="E50" s="20" t="s">
        <v>3256</v>
      </c>
      <c r="F50" s="22">
        <v>2.835</v>
      </c>
      <c r="G50" s="22" t="s">
        <v>3257</v>
      </c>
      <c r="H50" s="22">
        <v>2.8180000000000001</v>
      </c>
      <c r="I50" s="25">
        <v>43303</v>
      </c>
      <c r="J50" s="24">
        <v>43372</v>
      </c>
    </row>
    <row r="51" spans="2:10" x14ac:dyDescent="0.2">
      <c r="B51" s="22">
        <v>46</v>
      </c>
      <c r="C51" s="21" t="s">
        <v>3258</v>
      </c>
      <c r="D51" s="21" t="s">
        <v>643</v>
      </c>
      <c r="E51" s="20" t="s">
        <v>3259</v>
      </c>
      <c r="F51" s="22">
        <v>2.9710000000000001</v>
      </c>
      <c r="G51" s="22" t="s">
        <v>3260</v>
      </c>
      <c r="H51" s="22">
        <v>2.8860000000000001</v>
      </c>
      <c r="I51" s="25">
        <v>43408</v>
      </c>
      <c r="J51" s="24">
        <v>43168</v>
      </c>
    </row>
    <row r="52" spans="2:10" x14ac:dyDescent="0.2">
      <c r="B52" s="22">
        <v>47</v>
      </c>
      <c r="C52" s="21" t="s">
        <v>3261</v>
      </c>
      <c r="D52" s="21" t="s">
        <v>685</v>
      </c>
      <c r="E52" s="20" t="s">
        <v>3262</v>
      </c>
      <c r="F52" s="22">
        <v>3.74</v>
      </c>
      <c r="G52" s="22" t="s">
        <v>3263</v>
      </c>
      <c r="H52" s="22">
        <v>3.74</v>
      </c>
      <c r="I52" s="25">
        <v>43177</v>
      </c>
      <c r="J52" s="24">
        <v>43253</v>
      </c>
    </row>
    <row r="53" spans="2:10" x14ac:dyDescent="0.2">
      <c r="B53" s="22">
        <v>48</v>
      </c>
      <c r="C53" s="21" t="s">
        <v>3264</v>
      </c>
      <c r="D53" s="21" t="s">
        <v>685</v>
      </c>
      <c r="E53" s="20" t="s">
        <v>3265</v>
      </c>
      <c r="F53" s="22">
        <v>3.2320000000000002</v>
      </c>
      <c r="G53" s="22" t="s">
        <v>3266</v>
      </c>
      <c r="H53" s="22">
        <v>3.2320000000000002</v>
      </c>
      <c r="I53" s="25">
        <v>43261</v>
      </c>
      <c r="J53" s="24">
        <v>43337</v>
      </c>
    </row>
    <row r="54" spans="2:10" x14ac:dyDescent="0.2">
      <c r="B54" s="22">
        <v>49</v>
      </c>
      <c r="C54" s="21" t="s">
        <v>3267</v>
      </c>
      <c r="D54" s="21" t="s">
        <v>594</v>
      </c>
      <c r="E54" s="20" t="s">
        <v>3268</v>
      </c>
      <c r="F54" s="22">
        <v>3.9969999999999999</v>
      </c>
      <c r="G54" s="22" t="s">
        <v>3269</v>
      </c>
      <c r="H54" s="22">
        <v>3.992</v>
      </c>
      <c r="I54" s="25">
        <v>43303</v>
      </c>
      <c r="J54" s="24">
        <v>43407</v>
      </c>
    </row>
    <row r="55" spans="2:10" x14ac:dyDescent="0.2">
      <c r="B55" s="22">
        <v>50</v>
      </c>
      <c r="C55" s="21" t="s">
        <v>3270</v>
      </c>
      <c r="D55" s="21" t="s">
        <v>586</v>
      </c>
      <c r="E55" s="20" t="s">
        <v>3271</v>
      </c>
      <c r="F55" s="22">
        <v>3.4950000000000001</v>
      </c>
      <c r="G55" s="22" t="s">
        <v>3272</v>
      </c>
      <c r="H55" s="22">
        <v>3.48</v>
      </c>
      <c r="I55" s="25">
        <v>43198</v>
      </c>
      <c r="J55" s="24">
        <v>43316</v>
      </c>
    </row>
    <row r="56" spans="2:10" x14ac:dyDescent="0.2">
      <c r="B56" s="22">
        <v>51</v>
      </c>
      <c r="C56" s="21" t="s">
        <v>3273</v>
      </c>
      <c r="D56" s="21" t="s">
        <v>740</v>
      </c>
      <c r="E56" s="20" t="s">
        <v>3274</v>
      </c>
      <c r="F56" s="22">
        <v>3.492</v>
      </c>
      <c r="G56" s="22" t="s">
        <v>3275</v>
      </c>
      <c r="H56" s="22">
        <v>3.49</v>
      </c>
      <c r="I56" s="25">
        <v>43163</v>
      </c>
      <c r="J56" s="24">
        <v>43253</v>
      </c>
    </row>
    <row r="57" spans="2:10" x14ac:dyDescent="0.2">
      <c r="B57" s="22">
        <v>52</v>
      </c>
      <c r="C57" s="21" t="s">
        <v>3276</v>
      </c>
      <c r="D57" s="21" t="s">
        <v>660</v>
      </c>
      <c r="E57" s="20" t="s">
        <v>3277</v>
      </c>
      <c r="F57" s="22">
        <v>3.1549999999999998</v>
      </c>
      <c r="G57" s="22" t="s">
        <v>3278</v>
      </c>
      <c r="H57" s="22">
        <v>3.0470000000000002</v>
      </c>
      <c r="I57" s="25">
        <v>43175</v>
      </c>
      <c r="J57" s="24">
        <v>43302</v>
      </c>
    </row>
    <row r="58" spans="2:10" x14ac:dyDescent="0.2">
      <c r="B58" s="22">
        <v>53</v>
      </c>
      <c r="C58" s="21" t="s">
        <v>3279</v>
      </c>
      <c r="D58" s="21" t="s">
        <v>685</v>
      </c>
      <c r="E58" s="20" t="s">
        <v>3280</v>
      </c>
      <c r="F58" s="22">
        <v>3.403</v>
      </c>
      <c r="G58" s="22" t="s">
        <v>3281</v>
      </c>
      <c r="H58" s="22">
        <v>3.2589999999999999</v>
      </c>
      <c r="I58" s="25">
        <v>43373</v>
      </c>
      <c r="J58" s="24">
        <v>43449</v>
      </c>
    </row>
    <row r="59" spans="2:10" x14ac:dyDescent="0.2">
      <c r="B59" s="22">
        <v>54</v>
      </c>
      <c r="C59" s="21" t="s">
        <v>3282</v>
      </c>
      <c r="D59" s="21" t="s">
        <v>594</v>
      </c>
      <c r="E59" s="20" t="s">
        <v>3283</v>
      </c>
      <c r="F59" s="22">
        <v>3.008</v>
      </c>
      <c r="G59" s="22" t="s">
        <v>3284</v>
      </c>
      <c r="H59" s="22">
        <v>2.9169999999999998</v>
      </c>
      <c r="I59" s="25">
        <v>43457</v>
      </c>
      <c r="J59" s="24">
        <v>43182</v>
      </c>
    </row>
    <row r="60" spans="2:10" x14ac:dyDescent="0.2">
      <c r="B60" s="22">
        <v>55</v>
      </c>
      <c r="C60" s="21" t="s">
        <v>3285</v>
      </c>
      <c r="D60" s="21" t="s">
        <v>586</v>
      </c>
      <c r="E60" s="20" t="s">
        <v>3286</v>
      </c>
      <c r="F60" s="22">
        <v>3.1789999999999998</v>
      </c>
      <c r="G60" s="22" t="s">
        <v>3287</v>
      </c>
      <c r="H60" s="22">
        <v>3.133</v>
      </c>
      <c r="I60" s="25">
        <v>43184</v>
      </c>
      <c r="J60" s="24">
        <v>43246</v>
      </c>
    </row>
    <row r="61" spans="2:10" x14ac:dyDescent="0.2">
      <c r="B61" s="22">
        <v>56</v>
      </c>
      <c r="C61" s="21" t="s">
        <v>3288</v>
      </c>
      <c r="D61" s="21" t="s">
        <v>638</v>
      </c>
      <c r="E61" s="20" t="s">
        <v>3289</v>
      </c>
      <c r="F61" s="22">
        <v>3.78</v>
      </c>
      <c r="G61" s="22" t="s">
        <v>3290</v>
      </c>
      <c r="H61" s="22">
        <v>3.78</v>
      </c>
      <c r="I61" s="25">
        <v>43394</v>
      </c>
      <c r="J61" s="24">
        <v>43112</v>
      </c>
    </row>
    <row r="62" spans="2:10" x14ac:dyDescent="0.2">
      <c r="B62" s="22">
        <v>57</v>
      </c>
      <c r="C62" s="21" t="s">
        <v>3291</v>
      </c>
      <c r="D62" s="21" t="s">
        <v>638</v>
      </c>
      <c r="E62" s="20" t="s">
        <v>3292</v>
      </c>
      <c r="F62" s="22">
        <v>2.3679999999999999</v>
      </c>
      <c r="G62" s="22" t="s">
        <v>3293</v>
      </c>
      <c r="H62" s="22">
        <v>4</v>
      </c>
      <c r="I62" s="25">
        <v>43450</v>
      </c>
      <c r="J62" s="24">
        <v>43189</v>
      </c>
    </row>
    <row r="63" spans="2:10" x14ac:dyDescent="0.2">
      <c r="B63" s="22">
        <v>58</v>
      </c>
      <c r="C63" s="21" t="s">
        <v>3294</v>
      </c>
      <c r="D63" s="21" t="s">
        <v>574</v>
      </c>
      <c r="E63" s="20" t="s">
        <v>3295</v>
      </c>
      <c r="F63" s="22">
        <v>2.762</v>
      </c>
      <c r="G63" s="22" t="s">
        <v>3296</v>
      </c>
      <c r="H63" s="22">
        <v>2.7040000000000002</v>
      </c>
      <c r="I63" s="25">
        <v>43254</v>
      </c>
      <c r="J63" s="24">
        <v>43330</v>
      </c>
    </row>
    <row r="64" spans="2:10" x14ac:dyDescent="0.2">
      <c r="B64" s="22">
        <v>59</v>
      </c>
      <c r="C64" s="21" t="s">
        <v>3297</v>
      </c>
      <c r="D64" s="21" t="s">
        <v>554</v>
      </c>
      <c r="E64" s="20" t="s">
        <v>3298</v>
      </c>
      <c r="F64" s="22">
        <v>3.3919999999999999</v>
      </c>
      <c r="G64" s="22" t="s">
        <v>3299</v>
      </c>
      <c r="H64" s="22">
        <v>3.3570000000000002</v>
      </c>
      <c r="I64" s="25">
        <v>43282</v>
      </c>
      <c r="J64" s="24">
        <v>43386</v>
      </c>
    </row>
    <row r="65" spans="2:10" x14ac:dyDescent="0.2">
      <c r="B65" s="22">
        <v>60</v>
      </c>
      <c r="C65" s="21" t="s">
        <v>3300</v>
      </c>
      <c r="D65" s="21" t="s">
        <v>586</v>
      </c>
      <c r="E65" s="20" t="s">
        <v>3301</v>
      </c>
      <c r="F65" s="22">
        <v>3.4159999999999999</v>
      </c>
      <c r="G65" s="22" t="s">
        <v>3302</v>
      </c>
      <c r="H65" s="22">
        <v>3.3839999999999999</v>
      </c>
      <c r="I65" s="25">
        <v>43240</v>
      </c>
      <c r="J65" s="24">
        <v>43295</v>
      </c>
    </row>
    <row r="66" spans="2:10" x14ac:dyDescent="0.2">
      <c r="B66" s="22">
        <v>61</v>
      </c>
      <c r="C66" s="21" t="s">
        <v>3303</v>
      </c>
      <c r="D66" s="21" t="s">
        <v>570</v>
      </c>
      <c r="E66" s="20" t="s">
        <v>3304</v>
      </c>
      <c r="F66" s="22">
        <v>2.9620000000000002</v>
      </c>
      <c r="G66" s="22" t="s">
        <v>3305</v>
      </c>
      <c r="H66" s="22">
        <v>2.9620000000000002</v>
      </c>
      <c r="I66" s="25">
        <v>43275</v>
      </c>
      <c r="J66" s="24">
        <v>43372</v>
      </c>
    </row>
    <row r="67" spans="2:10" x14ac:dyDescent="0.2">
      <c r="B67" s="22">
        <v>62</v>
      </c>
      <c r="C67" s="21" t="s">
        <v>3306</v>
      </c>
      <c r="D67" s="21" t="s">
        <v>638</v>
      </c>
      <c r="E67" s="20" t="s">
        <v>3307</v>
      </c>
      <c r="F67" s="22">
        <v>3.21</v>
      </c>
      <c r="G67" s="22" t="s">
        <v>3308</v>
      </c>
      <c r="H67" s="22">
        <v>3.21</v>
      </c>
      <c r="I67" s="25">
        <v>43443</v>
      </c>
      <c r="J67" s="24">
        <v>43126</v>
      </c>
    </row>
    <row r="68" spans="2:10" x14ac:dyDescent="0.2">
      <c r="B68" s="22">
        <v>63</v>
      </c>
      <c r="C68" s="21" t="s">
        <v>3309</v>
      </c>
      <c r="D68" s="21" t="s">
        <v>594</v>
      </c>
      <c r="E68" s="20" t="s">
        <v>3310</v>
      </c>
      <c r="F68" s="22">
        <v>2.996</v>
      </c>
      <c r="G68" s="22" t="s">
        <v>3311</v>
      </c>
      <c r="H68" s="22">
        <v>2.97</v>
      </c>
      <c r="I68" s="25">
        <v>43455</v>
      </c>
      <c r="J68" s="24">
        <v>43168</v>
      </c>
    </row>
    <row r="69" spans="2:10" x14ac:dyDescent="0.2">
      <c r="B69" s="22">
        <v>64</v>
      </c>
      <c r="C69" s="21" t="s">
        <v>3312</v>
      </c>
      <c r="D69" s="21" t="s">
        <v>574</v>
      </c>
      <c r="E69" s="20" t="s">
        <v>3313</v>
      </c>
      <c r="F69" s="22">
        <v>2.6760000000000002</v>
      </c>
      <c r="G69" s="22" t="s">
        <v>3314</v>
      </c>
      <c r="H69" s="22">
        <v>2.661</v>
      </c>
      <c r="I69" s="25">
        <v>43205</v>
      </c>
      <c r="J69" s="24">
        <v>43295</v>
      </c>
    </row>
    <row r="70" spans="2:10" x14ac:dyDescent="0.2">
      <c r="B70" s="22">
        <v>65</v>
      </c>
      <c r="C70" s="21" t="s">
        <v>3315</v>
      </c>
      <c r="D70" s="21" t="s">
        <v>638</v>
      </c>
      <c r="E70" s="20" t="s">
        <v>3316</v>
      </c>
      <c r="F70" s="22">
        <v>2.9169999999999998</v>
      </c>
      <c r="G70" s="22" t="s">
        <v>3317</v>
      </c>
      <c r="H70" s="22">
        <v>2.3889999999999998</v>
      </c>
      <c r="I70" s="25">
        <v>43115</v>
      </c>
      <c r="J70" s="24">
        <v>43183</v>
      </c>
    </row>
    <row r="71" spans="2:10" x14ac:dyDescent="0.2">
      <c r="B71" s="22">
        <v>66</v>
      </c>
      <c r="C71" s="21" t="s">
        <v>3318</v>
      </c>
      <c r="D71" s="21" t="s">
        <v>820</v>
      </c>
      <c r="E71" s="20" t="s">
        <v>3319</v>
      </c>
      <c r="F71" s="22">
        <v>1.802</v>
      </c>
      <c r="G71" s="22" t="s">
        <v>3320</v>
      </c>
      <c r="H71" s="22">
        <v>4</v>
      </c>
      <c r="I71" s="25">
        <v>43429</v>
      </c>
      <c r="J71" s="24">
        <v>43231</v>
      </c>
    </row>
    <row r="72" spans="2:10" x14ac:dyDescent="0.2">
      <c r="B72" s="22">
        <v>67</v>
      </c>
      <c r="C72" s="21" t="s">
        <v>3321</v>
      </c>
      <c r="D72" s="21" t="s">
        <v>586</v>
      </c>
      <c r="E72" s="20" t="s">
        <v>3322</v>
      </c>
      <c r="F72" s="22">
        <v>3.802</v>
      </c>
      <c r="G72" s="22" t="s">
        <v>3323</v>
      </c>
      <c r="H72" s="22">
        <v>3.7909999999999999</v>
      </c>
      <c r="I72" s="25">
        <v>43212</v>
      </c>
      <c r="J72" s="24">
        <v>43316</v>
      </c>
    </row>
    <row r="73" spans="2:10" x14ac:dyDescent="0.2">
      <c r="B73" s="22">
        <v>68</v>
      </c>
      <c r="C73" s="21" t="s">
        <v>3324</v>
      </c>
      <c r="D73" s="21" t="s">
        <v>740</v>
      </c>
      <c r="E73" s="20" t="s">
        <v>3325</v>
      </c>
      <c r="F73" s="22">
        <v>3.2789999999999999</v>
      </c>
      <c r="G73" s="22" t="s">
        <v>3326</v>
      </c>
      <c r="H73" s="22">
        <v>3.26</v>
      </c>
      <c r="I73" s="25">
        <v>43331</v>
      </c>
      <c r="J73" s="24">
        <v>43435</v>
      </c>
    </row>
    <row r="74" spans="2:10" x14ac:dyDescent="0.2">
      <c r="B74" s="22">
        <v>69</v>
      </c>
      <c r="C74" s="21" t="s">
        <v>3327</v>
      </c>
      <c r="D74" s="21" t="s">
        <v>1043</v>
      </c>
      <c r="E74" s="20" t="s">
        <v>3328</v>
      </c>
      <c r="F74" s="22">
        <v>1.2130000000000001</v>
      </c>
      <c r="G74" s="22" t="s">
        <v>3329</v>
      </c>
      <c r="H74" s="22">
        <v>4</v>
      </c>
      <c r="I74" s="25">
        <v>43422</v>
      </c>
      <c r="J74" s="24">
        <v>43217</v>
      </c>
    </row>
    <row r="75" spans="2:10" x14ac:dyDescent="0.2">
      <c r="B75" s="22">
        <v>70</v>
      </c>
      <c r="C75" s="21" t="s">
        <v>3330</v>
      </c>
      <c r="D75" s="21" t="s">
        <v>586</v>
      </c>
      <c r="E75" s="20" t="s">
        <v>3331</v>
      </c>
      <c r="F75" s="22">
        <v>3.4060000000000001</v>
      </c>
      <c r="G75" s="22" t="s">
        <v>3332</v>
      </c>
      <c r="H75" s="22">
        <v>3.4</v>
      </c>
      <c r="I75" s="25">
        <v>43261</v>
      </c>
      <c r="J75" s="24">
        <v>43351</v>
      </c>
    </row>
    <row r="76" spans="2:10" x14ac:dyDescent="0.2">
      <c r="B76" s="22">
        <v>71</v>
      </c>
      <c r="C76" s="21" t="s">
        <v>3333</v>
      </c>
      <c r="D76" s="21" t="s">
        <v>574</v>
      </c>
      <c r="E76" s="20" t="s">
        <v>3334</v>
      </c>
      <c r="F76" s="22">
        <v>3.3570000000000002</v>
      </c>
      <c r="G76" s="22" t="s">
        <v>3335</v>
      </c>
      <c r="H76" s="22">
        <v>3.343</v>
      </c>
      <c r="I76" s="25">
        <v>43143</v>
      </c>
      <c r="J76" s="24">
        <v>43204</v>
      </c>
    </row>
    <row r="77" spans="2:10" x14ac:dyDescent="0.2">
      <c r="B77" s="22">
        <v>72</v>
      </c>
      <c r="C77" s="21" t="s">
        <v>3336</v>
      </c>
      <c r="D77" s="21" t="s">
        <v>594</v>
      </c>
      <c r="E77" s="20" t="s">
        <v>3337</v>
      </c>
      <c r="F77" s="22">
        <v>3.008</v>
      </c>
      <c r="G77" s="22" t="s">
        <v>3338</v>
      </c>
      <c r="H77" s="22">
        <v>2.9820000000000002</v>
      </c>
      <c r="I77" s="25">
        <v>43289</v>
      </c>
      <c r="J77" s="24">
        <v>43386</v>
      </c>
    </row>
    <row r="78" spans="2:10" x14ac:dyDescent="0.2">
      <c r="B78" s="22">
        <v>73</v>
      </c>
      <c r="C78" s="21" t="s">
        <v>3339</v>
      </c>
      <c r="D78" s="21" t="s">
        <v>563</v>
      </c>
      <c r="E78" s="20" t="s">
        <v>3340</v>
      </c>
      <c r="F78" s="22">
        <v>3.258</v>
      </c>
      <c r="G78" s="22" t="s">
        <v>3341</v>
      </c>
      <c r="H78" s="22">
        <v>3.258</v>
      </c>
      <c r="I78" s="25">
        <v>43331</v>
      </c>
      <c r="J78" s="24">
        <v>43393</v>
      </c>
    </row>
    <row r="79" spans="2:10" x14ac:dyDescent="0.2">
      <c r="B79" s="22">
        <v>74</v>
      </c>
      <c r="C79" s="21" t="s">
        <v>3342</v>
      </c>
      <c r="D79" s="21" t="s">
        <v>586</v>
      </c>
      <c r="E79" s="20" t="s">
        <v>3343</v>
      </c>
      <c r="F79" s="22">
        <v>2.379</v>
      </c>
      <c r="G79" s="22" t="s">
        <v>3344</v>
      </c>
      <c r="H79" s="22">
        <v>2.3759999999999999</v>
      </c>
      <c r="I79" s="25">
        <v>43415</v>
      </c>
      <c r="J79" s="24">
        <v>43112</v>
      </c>
    </row>
    <row r="80" spans="2:10" x14ac:dyDescent="0.2">
      <c r="B80" s="22">
        <v>75</v>
      </c>
      <c r="C80" s="21" t="s">
        <v>3345</v>
      </c>
      <c r="D80" s="21" t="s">
        <v>660</v>
      </c>
      <c r="E80" s="20" t="s">
        <v>3346</v>
      </c>
      <c r="F80" s="22">
        <v>3.1040000000000001</v>
      </c>
      <c r="G80" s="22" t="s">
        <v>3347</v>
      </c>
      <c r="H80" s="22">
        <v>3.1040000000000001</v>
      </c>
      <c r="I80" s="25">
        <v>43233</v>
      </c>
      <c r="J80" s="24">
        <v>43316</v>
      </c>
    </row>
    <row r="81" spans="2:10" x14ac:dyDescent="0.2">
      <c r="B81" s="22">
        <v>76</v>
      </c>
      <c r="C81" s="21" t="s">
        <v>3348</v>
      </c>
      <c r="D81" s="21" t="s">
        <v>638</v>
      </c>
      <c r="E81" s="20" t="s">
        <v>3349</v>
      </c>
      <c r="F81" s="22">
        <v>3.16</v>
      </c>
      <c r="G81" s="22" t="s">
        <v>3350</v>
      </c>
      <c r="H81" s="22">
        <v>3.16</v>
      </c>
      <c r="I81" s="25">
        <v>43427</v>
      </c>
      <c r="J81" s="24">
        <v>43126</v>
      </c>
    </row>
    <row r="82" spans="2:10" x14ac:dyDescent="0.2">
      <c r="B82" s="22">
        <v>77</v>
      </c>
      <c r="C82" s="21" t="s">
        <v>3351</v>
      </c>
      <c r="D82" s="21" t="s">
        <v>643</v>
      </c>
      <c r="E82" s="20" t="s">
        <v>3352</v>
      </c>
      <c r="F82" s="22">
        <v>2.5379999999999998</v>
      </c>
      <c r="G82" s="22" t="s">
        <v>3353</v>
      </c>
      <c r="H82" s="22">
        <v>2.5379999999999998</v>
      </c>
      <c r="I82" s="25">
        <v>43308</v>
      </c>
      <c r="J82" s="24">
        <v>43379</v>
      </c>
    </row>
    <row r="83" spans="2:10" x14ac:dyDescent="0.2">
      <c r="B83" s="22">
        <v>78</v>
      </c>
      <c r="C83" s="21" t="s">
        <v>3354</v>
      </c>
      <c r="D83" s="21" t="s">
        <v>570</v>
      </c>
      <c r="E83" s="20" t="s">
        <v>3355</v>
      </c>
      <c r="F83" s="22">
        <v>2.915</v>
      </c>
      <c r="G83" s="22" t="s">
        <v>3356</v>
      </c>
      <c r="H83" s="22">
        <v>2.915</v>
      </c>
      <c r="I83" s="25">
        <v>43150</v>
      </c>
      <c r="J83" s="24">
        <v>43239</v>
      </c>
    </row>
    <row r="84" spans="2:10" x14ac:dyDescent="0.2">
      <c r="B84" s="22">
        <v>79</v>
      </c>
      <c r="C84" s="21" t="s">
        <v>3357</v>
      </c>
      <c r="D84" s="21" t="s">
        <v>563</v>
      </c>
      <c r="E84" s="20" t="s">
        <v>3358</v>
      </c>
      <c r="F84" s="22">
        <v>2.8650000000000002</v>
      </c>
      <c r="G84" s="22" t="s">
        <v>3359</v>
      </c>
      <c r="H84" s="22">
        <v>2.8650000000000002</v>
      </c>
      <c r="I84" s="25">
        <v>43240</v>
      </c>
      <c r="J84" s="24">
        <v>43316</v>
      </c>
    </row>
    <row r="85" spans="2:10" x14ac:dyDescent="0.2">
      <c r="B85" s="22">
        <v>80</v>
      </c>
      <c r="C85" s="21" t="s">
        <v>3360</v>
      </c>
      <c r="D85" s="21" t="s">
        <v>718</v>
      </c>
      <c r="E85" s="20" t="s">
        <v>3361</v>
      </c>
      <c r="F85" s="22">
        <v>2.6709999999999998</v>
      </c>
      <c r="G85" s="22" t="s">
        <v>3362</v>
      </c>
      <c r="H85" s="22">
        <v>2.6709999999999998</v>
      </c>
      <c r="I85" s="25">
        <v>43122</v>
      </c>
      <c r="J85" s="24">
        <v>43190</v>
      </c>
    </row>
    <row r="86" spans="2:10" x14ac:dyDescent="0.2">
      <c r="B86" s="22">
        <v>81</v>
      </c>
      <c r="C86" s="21" t="s">
        <v>3363</v>
      </c>
      <c r="D86" s="21" t="s">
        <v>643</v>
      </c>
      <c r="E86" s="20" t="s">
        <v>3364</v>
      </c>
      <c r="F86" s="22">
        <v>2.9119999999999999</v>
      </c>
      <c r="G86" s="22" t="s">
        <v>3365</v>
      </c>
      <c r="H86" s="22">
        <v>2.9119999999999999</v>
      </c>
      <c r="I86" s="25">
        <v>43122</v>
      </c>
      <c r="J86" s="24">
        <v>43176</v>
      </c>
    </row>
    <row r="87" spans="2:10" x14ac:dyDescent="0.2">
      <c r="B87" s="22">
        <v>82</v>
      </c>
      <c r="C87" s="21" t="s">
        <v>3366</v>
      </c>
      <c r="D87" s="21" t="s">
        <v>586</v>
      </c>
      <c r="E87" s="20" t="s">
        <v>3367</v>
      </c>
      <c r="F87" s="22">
        <v>3.1680000000000001</v>
      </c>
      <c r="G87" s="22" t="s">
        <v>3368</v>
      </c>
      <c r="H87" s="22">
        <v>3.1669999999999998</v>
      </c>
      <c r="I87" s="25">
        <v>43394</v>
      </c>
      <c r="J87" s="24">
        <v>43463</v>
      </c>
    </row>
    <row r="88" spans="2:10" x14ac:dyDescent="0.2">
      <c r="B88" s="22">
        <v>83</v>
      </c>
      <c r="C88" s="21" t="s">
        <v>3369</v>
      </c>
      <c r="D88" s="21" t="s">
        <v>570</v>
      </c>
      <c r="E88" s="20" t="s">
        <v>3370</v>
      </c>
      <c r="F88" s="22">
        <v>2.9079999999999999</v>
      </c>
      <c r="G88" s="22" t="s">
        <v>3371</v>
      </c>
      <c r="H88" s="22">
        <v>2.9079999999999999</v>
      </c>
      <c r="I88" s="25">
        <v>43122</v>
      </c>
      <c r="J88" s="24">
        <v>43246</v>
      </c>
    </row>
    <row r="89" spans="2:10" x14ac:dyDescent="0.2">
      <c r="B89" s="22">
        <v>84</v>
      </c>
      <c r="C89" s="21" t="s">
        <v>3372</v>
      </c>
      <c r="D89" s="21" t="s">
        <v>570</v>
      </c>
      <c r="E89" s="20" t="s">
        <v>3373</v>
      </c>
      <c r="F89" s="22">
        <v>3.5760000000000001</v>
      </c>
      <c r="G89" s="22" t="s">
        <v>3374</v>
      </c>
      <c r="H89" s="22">
        <v>3.5760000000000001</v>
      </c>
      <c r="I89" s="25">
        <v>43401</v>
      </c>
      <c r="J89" s="24">
        <v>43119</v>
      </c>
    </row>
    <row r="90" spans="2:10" x14ac:dyDescent="0.2">
      <c r="B90" s="22">
        <v>85</v>
      </c>
      <c r="C90" s="21" t="s">
        <v>3375</v>
      </c>
      <c r="D90" s="21" t="s">
        <v>863</v>
      </c>
      <c r="E90" s="20" t="s">
        <v>3376</v>
      </c>
      <c r="F90" s="22">
        <v>3.2909999999999999</v>
      </c>
      <c r="G90" s="22" t="s">
        <v>3377</v>
      </c>
      <c r="H90" s="22">
        <v>3.0350000000000001</v>
      </c>
      <c r="I90" s="25">
        <v>43219</v>
      </c>
      <c r="J90" s="24">
        <v>43267</v>
      </c>
    </row>
    <row r="91" spans="2:10" x14ac:dyDescent="0.2">
      <c r="B91" s="22">
        <v>86</v>
      </c>
      <c r="C91" s="21" t="s">
        <v>3378</v>
      </c>
      <c r="D91" s="21" t="s">
        <v>643</v>
      </c>
      <c r="E91" s="20" t="s">
        <v>3379</v>
      </c>
      <c r="F91" s="22">
        <v>3.12</v>
      </c>
      <c r="G91" s="22" t="s">
        <v>3380</v>
      </c>
      <c r="H91" s="22">
        <v>7</v>
      </c>
      <c r="I91" s="25">
        <v>43455</v>
      </c>
      <c r="J91" s="24">
        <v>43168</v>
      </c>
    </row>
    <row r="92" spans="2:10" x14ac:dyDescent="0.2">
      <c r="B92" s="22">
        <v>87</v>
      </c>
      <c r="C92" s="21" t="s">
        <v>3381</v>
      </c>
      <c r="D92" s="21" t="s">
        <v>685</v>
      </c>
      <c r="E92" s="20" t="s">
        <v>3382</v>
      </c>
      <c r="F92" s="22">
        <v>3.117</v>
      </c>
      <c r="G92" s="22" t="s">
        <v>3383</v>
      </c>
      <c r="H92" s="22">
        <v>3.117</v>
      </c>
      <c r="I92" s="25">
        <v>43157</v>
      </c>
      <c r="J92" s="24">
        <v>43232</v>
      </c>
    </row>
    <row r="93" spans="2:10" x14ac:dyDescent="0.2">
      <c r="B93" s="22">
        <v>88</v>
      </c>
      <c r="C93" s="21" t="s">
        <v>3384</v>
      </c>
      <c r="D93" s="21" t="s">
        <v>574</v>
      </c>
      <c r="E93" s="20" t="s">
        <v>3385</v>
      </c>
      <c r="F93" s="22">
        <v>3.028</v>
      </c>
      <c r="G93" s="22" t="s">
        <v>3386</v>
      </c>
      <c r="H93" s="22">
        <v>3.028</v>
      </c>
      <c r="I93" s="25">
        <v>43450</v>
      </c>
      <c r="J93" s="24">
        <v>43140</v>
      </c>
    </row>
    <row r="94" spans="2:10" x14ac:dyDescent="0.2">
      <c r="B94" s="22">
        <v>89</v>
      </c>
      <c r="C94" s="21" t="s">
        <v>3387</v>
      </c>
      <c r="D94" s="21" t="s">
        <v>586</v>
      </c>
      <c r="E94" s="20" t="s">
        <v>3388</v>
      </c>
      <c r="F94" s="22">
        <v>2.2480000000000002</v>
      </c>
      <c r="G94" s="22" t="s">
        <v>3389</v>
      </c>
      <c r="H94" s="22">
        <v>2.2320000000000002</v>
      </c>
      <c r="I94" s="25">
        <v>43136</v>
      </c>
      <c r="J94" s="24">
        <v>43281</v>
      </c>
    </row>
    <row r="95" spans="2:10" x14ac:dyDescent="0.2">
      <c r="B95" s="22">
        <v>90</v>
      </c>
      <c r="C95" s="21" t="s">
        <v>3390</v>
      </c>
      <c r="D95" s="21" t="s">
        <v>851</v>
      </c>
      <c r="E95" s="20" t="s">
        <v>3391</v>
      </c>
      <c r="F95" s="22">
        <v>2.246</v>
      </c>
      <c r="G95" s="22" t="s">
        <v>3392</v>
      </c>
      <c r="H95" s="22">
        <v>2.246</v>
      </c>
      <c r="I95" s="25">
        <v>43352</v>
      </c>
      <c r="J95" s="24">
        <v>43421</v>
      </c>
    </row>
    <row r="96" spans="2:10" x14ac:dyDescent="0.2">
      <c r="B96" s="22">
        <v>91</v>
      </c>
      <c r="C96" s="21" t="s">
        <v>3393</v>
      </c>
      <c r="D96" s="21" t="s">
        <v>638</v>
      </c>
      <c r="E96" s="20" t="s">
        <v>3394</v>
      </c>
      <c r="F96" s="22">
        <v>3.4180000000000001</v>
      </c>
      <c r="G96" s="22" t="s">
        <v>3395</v>
      </c>
      <c r="H96" s="22">
        <v>3.3940000000000001</v>
      </c>
      <c r="I96" s="25">
        <v>43143</v>
      </c>
      <c r="J96" s="24">
        <v>43190</v>
      </c>
    </row>
    <row r="97" spans="2:10" x14ac:dyDescent="0.2">
      <c r="B97" s="22">
        <v>92</v>
      </c>
      <c r="C97" s="21" t="s">
        <v>3396</v>
      </c>
      <c r="D97" s="21" t="s">
        <v>38</v>
      </c>
      <c r="E97" s="20" t="s">
        <v>3397</v>
      </c>
      <c r="F97" s="22">
        <v>1.5640000000000001</v>
      </c>
      <c r="G97" s="22" t="s">
        <v>3398</v>
      </c>
      <c r="H97" s="22">
        <v>4</v>
      </c>
      <c r="I97" s="25">
        <v>43394</v>
      </c>
      <c r="J97" s="24">
        <v>43224</v>
      </c>
    </row>
    <row r="98" spans="2:10" x14ac:dyDescent="0.2">
      <c r="B98" s="22">
        <v>93</v>
      </c>
      <c r="C98" s="21" t="s">
        <v>3399</v>
      </c>
      <c r="D98" s="21" t="s">
        <v>554</v>
      </c>
      <c r="E98" s="20" t="s">
        <v>3400</v>
      </c>
      <c r="F98" s="22">
        <v>3.1429999999999998</v>
      </c>
      <c r="G98" s="22" t="s">
        <v>3401</v>
      </c>
      <c r="H98" s="22">
        <v>3.1429999999999998</v>
      </c>
      <c r="I98" s="25">
        <v>43129</v>
      </c>
      <c r="J98" s="24">
        <v>43197</v>
      </c>
    </row>
    <row r="99" spans="2:10" x14ac:dyDescent="0.2">
      <c r="B99" s="22">
        <v>94</v>
      </c>
      <c r="C99" s="21" t="s">
        <v>3402</v>
      </c>
      <c r="D99" s="21" t="s">
        <v>638</v>
      </c>
      <c r="E99" s="20" t="s">
        <v>3403</v>
      </c>
      <c r="F99" s="22">
        <v>1.528</v>
      </c>
      <c r="G99" s="22" t="s">
        <v>3404</v>
      </c>
      <c r="H99" s="22">
        <v>1.528</v>
      </c>
      <c r="I99" s="25">
        <v>43324</v>
      </c>
      <c r="J99" s="24">
        <v>43400</v>
      </c>
    </row>
    <row r="100" spans="2:10" x14ac:dyDescent="0.2">
      <c r="B100" s="22">
        <v>95</v>
      </c>
      <c r="C100" s="21" t="s">
        <v>3405</v>
      </c>
      <c r="D100" s="21" t="s">
        <v>643</v>
      </c>
      <c r="E100" s="20" t="s">
        <v>3406</v>
      </c>
      <c r="F100" s="22">
        <v>1.5049999999999999</v>
      </c>
      <c r="G100" s="22" t="s">
        <v>3407</v>
      </c>
      <c r="H100" s="22">
        <v>32</v>
      </c>
      <c r="I100" s="25">
        <v>43324</v>
      </c>
      <c r="J100" s="24">
        <v>43421</v>
      </c>
    </row>
    <row r="101" spans="2:10" x14ac:dyDescent="0.2">
      <c r="B101" s="22">
        <v>96</v>
      </c>
      <c r="C101" s="21" t="s">
        <v>3408</v>
      </c>
      <c r="D101" s="21" t="s">
        <v>740</v>
      </c>
      <c r="E101" s="20" t="s">
        <v>3409</v>
      </c>
      <c r="F101" s="22">
        <v>2.5089999999999999</v>
      </c>
      <c r="G101" s="22" t="s">
        <v>3410</v>
      </c>
      <c r="H101" s="22">
        <v>2.4510000000000001</v>
      </c>
      <c r="I101" s="25">
        <v>43108</v>
      </c>
      <c r="J101" s="24">
        <v>43176</v>
      </c>
    </row>
    <row r="102" spans="2:10" x14ac:dyDescent="0.2">
      <c r="B102" s="22">
        <v>97</v>
      </c>
      <c r="C102" s="21" t="s">
        <v>3411</v>
      </c>
      <c r="D102" s="21" t="s">
        <v>638</v>
      </c>
      <c r="E102" s="20" t="s">
        <v>3412</v>
      </c>
      <c r="F102" s="22">
        <v>3.0840000000000001</v>
      </c>
      <c r="G102" s="22" t="s">
        <v>3413</v>
      </c>
      <c r="H102" s="22">
        <v>3.0840000000000001</v>
      </c>
      <c r="I102" s="25">
        <v>43331</v>
      </c>
      <c r="J102" s="24">
        <v>43379</v>
      </c>
    </row>
    <row r="103" spans="2:10" x14ac:dyDescent="0.2">
      <c r="B103" s="22">
        <v>98</v>
      </c>
      <c r="C103" s="21" t="s">
        <v>3414</v>
      </c>
      <c r="D103" s="21" t="s">
        <v>38</v>
      </c>
      <c r="E103" s="20" t="s">
        <v>3415</v>
      </c>
      <c r="F103" s="22">
        <v>2.2040000000000002</v>
      </c>
      <c r="G103" s="22" t="s">
        <v>3416</v>
      </c>
      <c r="H103" s="22">
        <v>2.0459999999999998</v>
      </c>
      <c r="I103" s="25">
        <v>43150</v>
      </c>
      <c r="J103" s="24">
        <v>43246</v>
      </c>
    </row>
    <row r="104" spans="2:10" x14ac:dyDescent="0.2">
      <c r="B104" s="22">
        <v>99</v>
      </c>
      <c r="C104" s="21" t="s">
        <v>3417</v>
      </c>
      <c r="D104" s="21" t="s">
        <v>586</v>
      </c>
      <c r="E104" s="20" t="s">
        <v>3418</v>
      </c>
      <c r="F104" s="22">
        <v>2.93</v>
      </c>
      <c r="G104" s="22" t="s">
        <v>3419</v>
      </c>
      <c r="H104" s="22">
        <v>2.927</v>
      </c>
      <c r="I104" s="25">
        <v>43359</v>
      </c>
      <c r="J104" s="24">
        <v>43449</v>
      </c>
    </row>
    <row r="105" spans="2:10" x14ac:dyDescent="0.2">
      <c r="B105" s="22">
        <v>100</v>
      </c>
      <c r="C105" s="21" t="s">
        <v>3420</v>
      </c>
      <c r="D105" s="21" t="s">
        <v>586</v>
      </c>
      <c r="E105" s="20" t="s">
        <v>3421</v>
      </c>
      <c r="F105" s="22">
        <v>2.5670000000000002</v>
      </c>
      <c r="G105" s="22" t="s">
        <v>3422</v>
      </c>
      <c r="H105" s="22">
        <v>2.5670000000000002</v>
      </c>
      <c r="I105" s="25">
        <v>43387</v>
      </c>
      <c r="J105" s="24">
        <v>43449</v>
      </c>
    </row>
    <row r="106" spans="2:10" x14ac:dyDescent="0.2">
      <c r="B106" s="22">
        <v>101</v>
      </c>
      <c r="C106" s="21" t="s">
        <v>3423</v>
      </c>
      <c r="D106" s="21" t="s">
        <v>638</v>
      </c>
      <c r="E106" s="20" t="s">
        <v>3424</v>
      </c>
      <c r="F106" s="22">
        <v>2.4129999999999998</v>
      </c>
      <c r="G106" s="22" t="s">
        <v>3425</v>
      </c>
      <c r="H106" s="22">
        <v>2.3740000000000001</v>
      </c>
      <c r="I106" s="25">
        <v>43163</v>
      </c>
      <c r="J106" s="24">
        <v>43218</v>
      </c>
    </row>
    <row r="107" spans="2:10" x14ac:dyDescent="0.2">
      <c r="B107" s="22">
        <v>102</v>
      </c>
      <c r="C107" s="21" t="s">
        <v>3426</v>
      </c>
      <c r="D107" s="21" t="s">
        <v>863</v>
      </c>
      <c r="E107" s="20" t="s">
        <v>3427</v>
      </c>
      <c r="F107" s="22">
        <v>2.4430000000000001</v>
      </c>
      <c r="G107" s="22" t="s">
        <v>3428</v>
      </c>
      <c r="H107" s="22">
        <v>2.4430000000000001</v>
      </c>
      <c r="I107" s="25">
        <v>43359</v>
      </c>
      <c r="J107" s="24">
        <v>43421</v>
      </c>
    </row>
    <row r="108" spans="2:10" x14ac:dyDescent="0.2">
      <c r="B108" s="22">
        <v>103</v>
      </c>
      <c r="C108" s="21" t="s">
        <v>3429</v>
      </c>
      <c r="D108" s="21" t="s">
        <v>685</v>
      </c>
      <c r="E108" s="20" t="s">
        <v>3430</v>
      </c>
      <c r="F108" s="22">
        <v>2.258</v>
      </c>
      <c r="G108" s="22" t="s">
        <v>3431</v>
      </c>
      <c r="H108" s="22">
        <v>2.258</v>
      </c>
      <c r="I108" s="25">
        <v>43338</v>
      </c>
      <c r="J108" s="24">
        <v>43400</v>
      </c>
    </row>
    <row r="109" spans="2:10" x14ac:dyDescent="0.2">
      <c r="B109" s="22">
        <v>104</v>
      </c>
      <c r="C109" s="21" t="s">
        <v>3432</v>
      </c>
      <c r="D109" s="21" t="s">
        <v>718</v>
      </c>
      <c r="E109" s="20" t="s">
        <v>3433</v>
      </c>
      <c r="F109" s="22">
        <v>2.8149999999999999</v>
      </c>
      <c r="G109" s="22" t="s">
        <v>3434</v>
      </c>
      <c r="H109" s="22">
        <v>2.8149999999999999</v>
      </c>
      <c r="I109" s="25">
        <v>43275</v>
      </c>
      <c r="J109" s="24">
        <v>43309</v>
      </c>
    </row>
    <row r="110" spans="2:10" x14ac:dyDescent="0.2">
      <c r="B110" s="22">
        <v>105</v>
      </c>
      <c r="C110" s="21" t="s">
        <v>3435</v>
      </c>
      <c r="D110" s="21" t="s">
        <v>643</v>
      </c>
      <c r="E110" s="20" t="s">
        <v>3436</v>
      </c>
      <c r="F110" s="22">
        <v>3.121</v>
      </c>
      <c r="G110" s="22" t="s">
        <v>3437</v>
      </c>
      <c r="H110" s="22">
        <v>3.121</v>
      </c>
      <c r="I110" s="25">
        <v>43359</v>
      </c>
      <c r="J110" s="24">
        <v>43400</v>
      </c>
    </row>
    <row r="111" spans="2:10" x14ac:dyDescent="0.2">
      <c r="B111" s="22">
        <v>106</v>
      </c>
      <c r="C111" s="21" t="s">
        <v>3438</v>
      </c>
      <c r="D111" s="21" t="s">
        <v>961</v>
      </c>
      <c r="E111" s="20" t="s">
        <v>3439</v>
      </c>
      <c r="F111" s="22">
        <v>2.419</v>
      </c>
      <c r="G111" s="22" t="s">
        <v>3440</v>
      </c>
      <c r="H111" s="22">
        <v>2.419</v>
      </c>
      <c r="I111" s="25">
        <v>43191</v>
      </c>
      <c r="J111" s="24">
        <v>43302</v>
      </c>
    </row>
    <row r="112" spans="2:10" x14ac:dyDescent="0.2">
      <c r="B112" s="22">
        <v>107</v>
      </c>
      <c r="C112" s="21" t="s">
        <v>3441</v>
      </c>
      <c r="D112" s="21" t="s">
        <v>574</v>
      </c>
      <c r="E112" s="20" t="s">
        <v>3442</v>
      </c>
      <c r="F112" s="22">
        <v>2.681</v>
      </c>
      <c r="G112" s="22" t="s">
        <v>3443</v>
      </c>
      <c r="H112" s="22">
        <v>2.6579999999999999</v>
      </c>
      <c r="I112" s="25">
        <v>43219</v>
      </c>
      <c r="J112" s="24">
        <v>43281</v>
      </c>
    </row>
    <row r="113" spans="2:10" x14ac:dyDescent="0.2">
      <c r="B113" s="22">
        <v>108</v>
      </c>
      <c r="C113" s="21" t="s">
        <v>3444</v>
      </c>
      <c r="D113" s="21" t="s">
        <v>643</v>
      </c>
      <c r="E113" s="20" t="s">
        <v>3445</v>
      </c>
      <c r="F113" s="22">
        <v>2.8220000000000001</v>
      </c>
      <c r="G113" s="22" t="s">
        <v>3446</v>
      </c>
      <c r="H113" s="22">
        <v>2.8220000000000001</v>
      </c>
      <c r="I113" s="25">
        <v>43380</v>
      </c>
      <c r="J113" s="24">
        <v>43435</v>
      </c>
    </row>
    <row r="114" spans="2:10" x14ac:dyDescent="0.2">
      <c r="B114" s="22">
        <v>109</v>
      </c>
      <c r="C114" s="21" t="s">
        <v>3447</v>
      </c>
      <c r="D114" s="21" t="s">
        <v>3448</v>
      </c>
      <c r="E114" s="20" t="s">
        <v>3449</v>
      </c>
      <c r="F114" s="22">
        <v>2.2639999999999998</v>
      </c>
      <c r="G114" s="22" t="s">
        <v>3450</v>
      </c>
      <c r="H114" s="22">
        <v>2.2639999999999998</v>
      </c>
      <c r="I114" s="25">
        <v>43317</v>
      </c>
      <c r="J114" s="24">
        <v>43400</v>
      </c>
    </row>
    <row r="115" spans="2:10" x14ac:dyDescent="0.2">
      <c r="B115" s="22">
        <v>110</v>
      </c>
      <c r="C115" s="21" t="s">
        <v>3451</v>
      </c>
      <c r="D115" s="21" t="s">
        <v>740</v>
      </c>
      <c r="E115" s="20" t="s">
        <v>3452</v>
      </c>
      <c r="F115" s="22">
        <v>2.387</v>
      </c>
      <c r="G115" s="22" t="s">
        <v>3453</v>
      </c>
      <c r="H115" s="22">
        <v>2.3690000000000002</v>
      </c>
      <c r="I115" s="25">
        <v>43150</v>
      </c>
      <c r="J115" s="24">
        <v>43211</v>
      </c>
    </row>
    <row r="116" spans="2:10" x14ac:dyDescent="0.2">
      <c r="B116" s="22">
        <v>111</v>
      </c>
      <c r="C116" s="21" t="s">
        <v>3454</v>
      </c>
      <c r="D116" s="21" t="s">
        <v>643</v>
      </c>
      <c r="E116" s="20" t="s">
        <v>3455</v>
      </c>
      <c r="F116" s="22">
        <v>2.6309999999999998</v>
      </c>
      <c r="G116" s="22" t="s">
        <v>3456</v>
      </c>
      <c r="H116" s="22">
        <v>2.6309999999999998</v>
      </c>
      <c r="I116" s="25">
        <v>43136</v>
      </c>
      <c r="J116" s="24">
        <v>43190</v>
      </c>
    </row>
    <row r="117" spans="2:10" x14ac:dyDescent="0.2">
      <c r="B117" s="22">
        <v>112</v>
      </c>
      <c r="C117" s="21" t="s">
        <v>3457</v>
      </c>
      <c r="D117" s="21" t="s">
        <v>869</v>
      </c>
      <c r="E117" s="20" t="s">
        <v>3458</v>
      </c>
      <c r="F117" s="22">
        <v>1.089</v>
      </c>
      <c r="G117" s="22" t="s">
        <v>3459</v>
      </c>
      <c r="H117" s="22">
        <v>5</v>
      </c>
      <c r="I117" s="25">
        <v>43170</v>
      </c>
      <c r="J117" s="24">
        <v>43302</v>
      </c>
    </row>
    <row r="118" spans="2:10" x14ac:dyDescent="0.2">
      <c r="B118" s="22">
        <v>113</v>
      </c>
      <c r="C118" s="21" t="s">
        <v>3460</v>
      </c>
      <c r="D118" s="21" t="s">
        <v>966</v>
      </c>
      <c r="E118" s="20" t="s">
        <v>3461</v>
      </c>
      <c r="F118" s="22">
        <v>2.9449999999999998</v>
      </c>
      <c r="G118" s="22" t="s">
        <v>3462</v>
      </c>
      <c r="H118" s="22">
        <v>2.92</v>
      </c>
      <c r="I118" s="25">
        <v>43427</v>
      </c>
      <c r="J118" s="24">
        <v>43126</v>
      </c>
    </row>
    <row r="119" spans="2:10" x14ac:dyDescent="0.2">
      <c r="B119" s="22">
        <v>114</v>
      </c>
      <c r="C119" s="21" t="s">
        <v>3463</v>
      </c>
      <c r="D119" s="21" t="s">
        <v>3464</v>
      </c>
      <c r="E119" s="20" t="s">
        <v>3465</v>
      </c>
      <c r="F119" s="22">
        <v>3.0419999999999998</v>
      </c>
      <c r="G119" s="22" t="s">
        <v>3466</v>
      </c>
      <c r="H119" s="22">
        <v>3.0419999999999998</v>
      </c>
      <c r="I119" s="25">
        <v>43373</v>
      </c>
      <c r="J119" s="24">
        <v>43414</v>
      </c>
    </row>
    <row r="120" spans="2:10" x14ac:dyDescent="0.2">
      <c r="B120" s="22">
        <v>115</v>
      </c>
      <c r="C120" s="21" t="s">
        <v>3467</v>
      </c>
      <c r="D120" s="21" t="s">
        <v>643</v>
      </c>
      <c r="E120" s="20" t="s">
        <v>3468</v>
      </c>
      <c r="F120" s="22">
        <v>2.411</v>
      </c>
      <c r="G120" s="22" t="s">
        <v>3469</v>
      </c>
      <c r="H120" s="22">
        <v>2.411</v>
      </c>
      <c r="I120" s="25">
        <v>43115</v>
      </c>
      <c r="J120" s="24">
        <v>43176</v>
      </c>
    </row>
    <row r="121" spans="2:10" x14ac:dyDescent="0.2">
      <c r="B121" s="22">
        <v>116</v>
      </c>
      <c r="C121" s="21" t="s">
        <v>3470</v>
      </c>
      <c r="D121" s="21" t="s">
        <v>830</v>
      </c>
      <c r="E121" s="20" t="s">
        <v>3471</v>
      </c>
      <c r="F121" s="22">
        <v>2.105</v>
      </c>
      <c r="G121" s="22" t="s">
        <v>3472</v>
      </c>
      <c r="H121" s="22">
        <v>2.105</v>
      </c>
      <c r="I121" s="25">
        <v>43380</v>
      </c>
      <c r="J121" s="24">
        <v>43442</v>
      </c>
    </row>
    <row r="122" spans="2:10" x14ac:dyDescent="0.2">
      <c r="B122" s="22">
        <v>117</v>
      </c>
      <c r="C122" s="21" t="s">
        <v>3473</v>
      </c>
      <c r="D122" s="21" t="s">
        <v>594</v>
      </c>
      <c r="E122" s="20" t="s">
        <v>3474</v>
      </c>
      <c r="F122" s="22">
        <v>2.044</v>
      </c>
      <c r="G122" s="22" t="s">
        <v>3475</v>
      </c>
      <c r="H122" s="22">
        <v>2.0419999999999998</v>
      </c>
      <c r="I122" s="25">
        <v>43157</v>
      </c>
      <c r="J122" s="24">
        <v>43246</v>
      </c>
    </row>
    <row r="123" spans="2:10" x14ac:dyDescent="0.2">
      <c r="B123" s="22">
        <v>118</v>
      </c>
      <c r="C123" s="21" t="s">
        <v>3476</v>
      </c>
      <c r="D123" s="21" t="s">
        <v>966</v>
      </c>
      <c r="E123" s="20" t="s">
        <v>3477</v>
      </c>
      <c r="F123" s="22">
        <v>1.601</v>
      </c>
      <c r="G123" s="22" t="s">
        <v>3478</v>
      </c>
      <c r="H123" s="22">
        <v>1.601</v>
      </c>
      <c r="I123" s="25">
        <v>43294</v>
      </c>
      <c r="J123" s="24">
        <v>43379</v>
      </c>
    </row>
    <row r="124" spans="2:10" x14ac:dyDescent="0.2">
      <c r="B124" s="22">
        <v>119</v>
      </c>
      <c r="C124" s="21" t="s">
        <v>3479</v>
      </c>
      <c r="D124" s="21" t="s">
        <v>594</v>
      </c>
      <c r="E124" s="20" t="s">
        <v>3480</v>
      </c>
      <c r="F124" s="22">
        <v>3.0219999999999998</v>
      </c>
      <c r="G124" s="22" t="s">
        <v>3481</v>
      </c>
      <c r="H124" s="22">
        <v>3.0219999999999998</v>
      </c>
      <c r="I124" s="25">
        <v>43394</v>
      </c>
      <c r="J124" s="24">
        <v>43463</v>
      </c>
    </row>
    <row r="125" spans="2:10" x14ac:dyDescent="0.2">
      <c r="B125" s="22">
        <v>120</v>
      </c>
      <c r="C125" s="21" t="s">
        <v>3482</v>
      </c>
      <c r="D125" s="21" t="s">
        <v>685</v>
      </c>
      <c r="E125" s="20" t="s">
        <v>3483</v>
      </c>
      <c r="F125" s="22">
        <v>2.6829999999999998</v>
      </c>
      <c r="G125" s="22" t="s">
        <v>3484</v>
      </c>
      <c r="H125" s="22">
        <v>2.6829999999999998</v>
      </c>
      <c r="I125" s="25">
        <v>43205</v>
      </c>
      <c r="J125" s="24">
        <v>43246</v>
      </c>
    </row>
    <row r="126" spans="2:10" x14ac:dyDescent="0.2">
      <c r="B126" s="22">
        <v>121</v>
      </c>
      <c r="C126" s="21" t="s">
        <v>3485</v>
      </c>
      <c r="D126" s="21" t="s">
        <v>1043</v>
      </c>
      <c r="E126" s="20" t="s">
        <v>3486</v>
      </c>
      <c r="F126" s="22">
        <v>979</v>
      </c>
      <c r="G126" s="22" t="s">
        <v>3487</v>
      </c>
      <c r="H126" s="22">
        <v>4</v>
      </c>
      <c r="I126" s="25">
        <v>43170</v>
      </c>
      <c r="J126" s="24">
        <v>43309</v>
      </c>
    </row>
    <row r="127" spans="2:10" x14ac:dyDescent="0.2">
      <c r="B127" s="22">
        <v>122</v>
      </c>
      <c r="C127" s="21" t="s">
        <v>3488</v>
      </c>
      <c r="D127" s="21" t="s">
        <v>718</v>
      </c>
      <c r="E127" s="20" t="s">
        <v>3489</v>
      </c>
      <c r="F127" s="22">
        <v>1.9450000000000001</v>
      </c>
      <c r="G127" s="22" t="s">
        <v>3490</v>
      </c>
      <c r="H127" s="22">
        <v>1.9450000000000001</v>
      </c>
      <c r="I127" s="25">
        <v>43422</v>
      </c>
      <c r="J127" s="24">
        <v>43105</v>
      </c>
    </row>
    <row r="128" spans="2:10" x14ac:dyDescent="0.2">
      <c r="B128" s="22">
        <v>123</v>
      </c>
      <c r="C128" s="21" t="s">
        <v>3491</v>
      </c>
      <c r="D128" s="21" t="s">
        <v>1043</v>
      </c>
      <c r="E128" s="20" t="s">
        <v>3492</v>
      </c>
      <c r="F128" s="22">
        <v>826</v>
      </c>
      <c r="G128" s="22" t="s">
        <v>3493</v>
      </c>
      <c r="H128" s="22">
        <v>4</v>
      </c>
      <c r="I128" s="25">
        <v>43233</v>
      </c>
      <c r="J128" s="24">
        <v>43365</v>
      </c>
    </row>
    <row r="129" spans="2:10" x14ac:dyDescent="0.2">
      <c r="B129" s="22">
        <v>124</v>
      </c>
      <c r="C129" s="21" t="s">
        <v>3494</v>
      </c>
      <c r="D129" s="21" t="s">
        <v>830</v>
      </c>
      <c r="E129" s="20" t="s">
        <v>3495</v>
      </c>
      <c r="F129" s="22">
        <v>508</v>
      </c>
      <c r="G129" s="22" t="s">
        <v>3496</v>
      </c>
      <c r="H129" s="22">
        <v>5</v>
      </c>
      <c r="I129" s="25">
        <v>43436</v>
      </c>
      <c r="J129" s="24">
        <v>43210</v>
      </c>
    </row>
    <row r="130" spans="2:10" x14ac:dyDescent="0.2">
      <c r="B130" s="22">
        <v>125</v>
      </c>
      <c r="C130" s="21" t="s">
        <v>3497</v>
      </c>
      <c r="D130" s="21" t="s">
        <v>1273</v>
      </c>
      <c r="E130" s="20" t="s">
        <v>3498</v>
      </c>
      <c r="F130" s="22">
        <v>155</v>
      </c>
      <c r="G130" s="22" t="s">
        <v>3499</v>
      </c>
      <c r="H130" s="22">
        <v>137</v>
      </c>
      <c r="I130" s="25">
        <v>43219</v>
      </c>
      <c r="J130" s="22" t="s">
        <v>558</v>
      </c>
    </row>
    <row r="131" spans="2:10" x14ac:dyDescent="0.2">
      <c r="B131" s="22">
        <v>126</v>
      </c>
      <c r="C131" s="21" t="s">
        <v>3500</v>
      </c>
      <c r="D131" s="21" t="s">
        <v>3501</v>
      </c>
      <c r="E131" s="20" t="s">
        <v>3502</v>
      </c>
      <c r="F131" s="22">
        <v>1.2170000000000001</v>
      </c>
      <c r="G131" s="22" t="s">
        <v>3503</v>
      </c>
      <c r="H131" s="22">
        <v>3</v>
      </c>
      <c r="I131" s="25">
        <v>43296</v>
      </c>
      <c r="J131" s="24">
        <v>43386</v>
      </c>
    </row>
    <row r="132" spans="2:10" x14ac:dyDescent="0.2">
      <c r="B132" s="22">
        <v>127</v>
      </c>
      <c r="C132" s="21" t="s">
        <v>3504</v>
      </c>
      <c r="D132" s="21" t="s">
        <v>863</v>
      </c>
      <c r="E132" s="20" t="s">
        <v>3505</v>
      </c>
      <c r="F132" s="22">
        <v>2.2050000000000001</v>
      </c>
      <c r="G132" s="22" t="s">
        <v>3506</v>
      </c>
      <c r="H132" s="22">
        <v>2.2050000000000001</v>
      </c>
      <c r="I132" s="25">
        <v>43157</v>
      </c>
      <c r="J132" s="24">
        <v>43204</v>
      </c>
    </row>
    <row r="133" spans="2:10" x14ac:dyDescent="0.2">
      <c r="B133" s="22">
        <v>128</v>
      </c>
      <c r="C133" s="21" t="s">
        <v>3507</v>
      </c>
      <c r="D133" s="21" t="s">
        <v>554</v>
      </c>
      <c r="E133" s="20" t="s">
        <v>3508</v>
      </c>
      <c r="F133" s="22">
        <v>1.5</v>
      </c>
      <c r="G133" s="22" t="s">
        <v>3509</v>
      </c>
      <c r="H133" s="22">
        <v>1.5</v>
      </c>
      <c r="I133" s="25">
        <v>43345</v>
      </c>
      <c r="J133" s="24">
        <v>43407</v>
      </c>
    </row>
    <row r="134" spans="2:10" x14ac:dyDescent="0.2">
      <c r="B134" s="22">
        <v>129</v>
      </c>
      <c r="C134" s="21" t="s">
        <v>244</v>
      </c>
      <c r="D134" s="21" t="s">
        <v>1377</v>
      </c>
      <c r="E134" s="20" t="s">
        <v>3510</v>
      </c>
      <c r="F134" s="22">
        <v>338</v>
      </c>
      <c r="G134" s="22" t="s">
        <v>3511</v>
      </c>
      <c r="H134" s="22">
        <v>331</v>
      </c>
      <c r="I134" s="25">
        <v>43455</v>
      </c>
      <c r="J134" s="24">
        <v>43140</v>
      </c>
    </row>
    <row r="135" spans="2:10" x14ac:dyDescent="0.2">
      <c r="B135" s="22">
        <v>130</v>
      </c>
      <c r="C135" s="21" t="s">
        <v>3512</v>
      </c>
      <c r="D135" s="21" t="s">
        <v>863</v>
      </c>
      <c r="E135" s="20" t="s">
        <v>3513</v>
      </c>
      <c r="F135" s="22">
        <v>2.0750000000000002</v>
      </c>
      <c r="G135" s="22" t="s">
        <v>3514</v>
      </c>
      <c r="H135" s="22">
        <v>2.0750000000000002</v>
      </c>
      <c r="I135" s="25">
        <v>43129</v>
      </c>
      <c r="J135" s="24">
        <v>43184</v>
      </c>
    </row>
    <row r="136" spans="2:10" x14ac:dyDescent="0.2">
      <c r="B136" s="22">
        <v>131</v>
      </c>
      <c r="C136" s="21" t="s">
        <v>3515</v>
      </c>
      <c r="D136" s="21" t="s">
        <v>838</v>
      </c>
      <c r="E136" s="20" t="s">
        <v>3516</v>
      </c>
      <c r="F136" s="22">
        <v>465</v>
      </c>
      <c r="G136" s="22" t="s">
        <v>3517</v>
      </c>
      <c r="H136" s="22">
        <v>362</v>
      </c>
      <c r="I136" s="25">
        <v>43345</v>
      </c>
      <c r="J136" s="24">
        <v>43407</v>
      </c>
    </row>
    <row r="137" spans="2:10" x14ac:dyDescent="0.2">
      <c r="B137" s="22">
        <v>132</v>
      </c>
      <c r="C137" s="21" t="s">
        <v>3518</v>
      </c>
      <c r="D137" s="21" t="s">
        <v>643</v>
      </c>
      <c r="E137" s="20" t="s">
        <v>3519</v>
      </c>
      <c r="F137" s="22">
        <v>631</v>
      </c>
      <c r="G137" s="22" t="s">
        <v>3520</v>
      </c>
      <c r="H137" s="22">
        <v>5</v>
      </c>
      <c r="I137" s="25">
        <v>43296</v>
      </c>
      <c r="J137" s="24">
        <v>43379</v>
      </c>
    </row>
    <row r="138" spans="2:10" x14ac:dyDescent="0.2">
      <c r="B138" s="22">
        <v>133</v>
      </c>
      <c r="C138" s="21" t="s">
        <v>3521</v>
      </c>
      <c r="D138" s="21" t="s">
        <v>851</v>
      </c>
      <c r="E138" s="20" t="s">
        <v>3522</v>
      </c>
      <c r="F138" s="22">
        <v>2.931</v>
      </c>
      <c r="G138" s="22" t="s">
        <v>3523</v>
      </c>
      <c r="H138" s="22">
        <v>2.931</v>
      </c>
      <c r="I138" s="25">
        <v>43136</v>
      </c>
      <c r="J138" s="24">
        <v>43162</v>
      </c>
    </row>
    <row r="139" spans="2:10" x14ac:dyDescent="0.2">
      <c r="B139" s="22">
        <v>134</v>
      </c>
      <c r="C139" s="21" t="s">
        <v>3524</v>
      </c>
      <c r="D139" s="21" t="s">
        <v>1000</v>
      </c>
      <c r="E139" s="20" t="s">
        <v>3525</v>
      </c>
      <c r="F139" s="22">
        <v>1.7689999999999999</v>
      </c>
      <c r="G139" s="22" t="s">
        <v>3526</v>
      </c>
      <c r="H139" s="22">
        <v>1.7549999999999999</v>
      </c>
      <c r="I139" s="25">
        <v>43233</v>
      </c>
      <c r="J139" s="24">
        <v>43281</v>
      </c>
    </row>
    <row r="140" spans="2:10" x14ac:dyDescent="0.2">
      <c r="B140" s="22">
        <v>135</v>
      </c>
      <c r="C140" s="21" t="s">
        <v>3527</v>
      </c>
      <c r="D140" s="21" t="s">
        <v>740</v>
      </c>
      <c r="E140" s="20" t="s">
        <v>3528</v>
      </c>
      <c r="F140" s="22">
        <v>1.262</v>
      </c>
      <c r="G140" s="22" t="s">
        <v>3529</v>
      </c>
      <c r="H140" s="22">
        <v>37</v>
      </c>
      <c r="I140" s="25">
        <v>43422</v>
      </c>
      <c r="J140" s="24">
        <v>43126</v>
      </c>
    </row>
    <row r="141" spans="2:10" x14ac:dyDescent="0.2">
      <c r="B141" s="22">
        <v>136</v>
      </c>
      <c r="C141" s="21" t="s">
        <v>3530</v>
      </c>
      <c r="D141" s="21" t="s">
        <v>563</v>
      </c>
      <c r="E141" s="20" t="s">
        <v>3531</v>
      </c>
      <c r="F141" s="22">
        <v>2.8220000000000001</v>
      </c>
      <c r="G141" s="22" t="s">
        <v>3532</v>
      </c>
      <c r="H141" s="22">
        <v>4</v>
      </c>
      <c r="I141" s="25">
        <v>43459</v>
      </c>
      <c r="J141" s="24">
        <v>43168</v>
      </c>
    </row>
    <row r="142" spans="2:10" x14ac:dyDescent="0.2">
      <c r="B142" s="22">
        <v>137</v>
      </c>
      <c r="C142" s="21" t="s">
        <v>3533</v>
      </c>
      <c r="D142" s="21" t="s">
        <v>643</v>
      </c>
      <c r="E142" s="20" t="s">
        <v>3534</v>
      </c>
      <c r="F142" s="22">
        <v>925</v>
      </c>
      <c r="G142" s="22" t="s">
        <v>3535</v>
      </c>
      <c r="H142" s="22">
        <v>925</v>
      </c>
      <c r="I142" s="25">
        <v>43170</v>
      </c>
      <c r="J142" s="24">
        <v>43218</v>
      </c>
    </row>
    <row r="143" spans="2:10" x14ac:dyDescent="0.2">
      <c r="B143" s="22">
        <v>138</v>
      </c>
      <c r="C143" s="21" t="s">
        <v>3536</v>
      </c>
      <c r="D143" s="21" t="s">
        <v>586</v>
      </c>
      <c r="E143" s="20" t="s">
        <v>3537</v>
      </c>
      <c r="F143" s="22">
        <v>2.3130000000000002</v>
      </c>
      <c r="G143" s="22" t="s">
        <v>3538</v>
      </c>
      <c r="H143" s="22">
        <v>2.3109999999999999</v>
      </c>
      <c r="I143" s="25">
        <v>43254</v>
      </c>
      <c r="J143" s="24">
        <v>43309</v>
      </c>
    </row>
    <row r="144" spans="2:10" x14ac:dyDescent="0.2">
      <c r="B144" s="22">
        <v>139</v>
      </c>
      <c r="C144" s="21" t="s">
        <v>3539</v>
      </c>
      <c r="D144" s="21" t="s">
        <v>718</v>
      </c>
      <c r="E144" s="20" t="s">
        <v>3540</v>
      </c>
      <c r="F144" s="22">
        <v>3.0150000000000001</v>
      </c>
      <c r="G144" s="22" t="s">
        <v>3541</v>
      </c>
      <c r="H144" s="22">
        <v>3.0150000000000001</v>
      </c>
      <c r="I144" s="25">
        <v>43198</v>
      </c>
      <c r="J144" s="24">
        <v>43232</v>
      </c>
    </row>
    <row r="145" spans="2:10" x14ac:dyDescent="0.2">
      <c r="B145" s="22">
        <v>140</v>
      </c>
      <c r="C145" s="21" t="s">
        <v>3542</v>
      </c>
      <c r="D145" s="21" t="s">
        <v>2197</v>
      </c>
      <c r="E145" s="20" t="s">
        <v>3543</v>
      </c>
      <c r="F145" s="22">
        <v>1.0149999999999999</v>
      </c>
      <c r="G145" s="22" t="s">
        <v>3544</v>
      </c>
      <c r="H145" s="22">
        <v>1.0149999999999999</v>
      </c>
      <c r="I145" s="25">
        <v>43191</v>
      </c>
      <c r="J145" s="24">
        <v>43272</v>
      </c>
    </row>
    <row r="146" spans="2:10" x14ac:dyDescent="0.2">
      <c r="B146" s="22">
        <v>141</v>
      </c>
      <c r="C146" s="21" t="s">
        <v>3545</v>
      </c>
      <c r="D146" s="21" t="s">
        <v>554</v>
      </c>
      <c r="E146" s="20" t="s">
        <v>3546</v>
      </c>
      <c r="F146" s="22">
        <v>1.2589999999999999</v>
      </c>
      <c r="G146" s="22" t="s">
        <v>3547</v>
      </c>
      <c r="H146" s="22">
        <v>52</v>
      </c>
      <c r="I146" s="25">
        <v>43366</v>
      </c>
      <c r="J146" s="24">
        <v>43105</v>
      </c>
    </row>
    <row r="147" spans="2:10" x14ac:dyDescent="0.2">
      <c r="B147" s="22">
        <v>142</v>
      </c>
      <c r="C147" s="21" t="s">
        <v>3548</v>
      </c>
      <c r="D147" s="21" t="s">
        <v>740</v>
      </c>
      <c r="E147" s="20" t="s">
        <v>3549</v>
      </c>
      <c r="F147" s="22">
        <v>2.895</v>
      </c>
      <c r="G147" s="22" t="s">
        <v>3550</v>
      </c>
      <c r="H147" s="22">
        <v>2.891</v>
      </c>
      <c r="I147" s="25">
        <v>43219</v>
      </c>
      <c r="J147" s="24">
        <v>43253</v>
      </c>
    </row>
    <row r="148" spans="2:10" x14ac:dyDescent="0.2">
      <c r="B148" s="22">
        <v>143</v>
      </c>
      <c r="C148" s="21" t="s">
        <v>3551</v>
      </c>
      <c r="D148" s="21" t="s">
        <v>38</v>
      </c>
      <c r="E148" s="20" t="s">
        <v>3552</v>
      </c>
      <c r="F148" s="22">
        <v>560</v>
      </c>
      <c r="G148" s="22" t="s">
        <v>3553</v>
      </c>
      <c r="H148" s="22">
        <v>4</v>
      </c>
      <c r="I148" s="25">
        <v>43233</v>
      </c>
      <c r="J148" s="24">
        <v>43372</v>
      </c>
    </row>
    <row r="149" spans="2:10" x14ac:dyDescent="0.2">
      <c r="B149" s="22">
        <v>144</v>
      </c>
      <c r="C149" s="21" t="s">
        <v>3554</v>
      </c>
      <c r="D149" s="21" t="s">
        <v>685</v>
      </c>
      <c r="E149" s="20" t="s">
        <v>3555</v>
      </c>
      <c r="F149" s="22">
        <v>2.4929999999999999</v>
      </c>
      <c r="G149" s="22" t="s">
        <v>3556</v>
      </c>
      <c r="H149" s="22">
        <v>2.4929999999999999</v>
      </c>
      <c r="I149" s="25">
        <v>43352</v>
      </c>
      <c r="J149" s="24">
        <v>43386</v>
      </c>
    </row>
    <row r="150" spans="2:10" x14ac:dyDescent="0.2">
      <c r="B150" s="22">
        <v>145</v>
      </c>
      <c r="C150" s="21" t="s">
        <v>9380</v>
      </c>
      <c r="D150" s="21" t="s">
        <v>740</v>
      </c>
      <c r="E150" s="20" t="s">
        <v>3557</v>
      </c>
      <c r="F150" s="22">
        <v>572</v>
      </c>
      <c r="G150" s="22" t="s">
        <v>3558</v>
      </c>
      <c r="H150" s="22">
        <v>4</v>
      </c>
      <c r="I150" s="25">
        <v>43408</v>
      </c>
      <c r="J150" s="24">
        <v>43133</v>
      </c>
    </row>
    <row r="151" spans="2:10" x14ac:dyDescent="0.2">
      <c r="B151" s="22">
        <v>146</v>
      </c>
      <c r="C151" s="21" t="s">
        <v>3559</v>
      </c>
      <c r="D151" s="21" t="s">
        <v>638</v>
      </c>
      <c r="E151" s="20" t="s">
        <v>3560</v>
      </c>
      <c r="F151" s="22">
        <v>1.58</v>
      </c>
      <c r="G151" s="22" t="s">
        <v>3561</v>
      </c>
      <c r="H151" s="22">
        <v>4</v>
      </c>
      <c r="I151" s="25">
        <v>43457</v>
      </c>
      <c r="J151" s="24">
        <v>43154</v>
      </c>
    </row>
    <row r="152" spans="2:10" x14ac:dyDescent="0.2">
      <c r="B152" s="22">
        <v>147</v>
      </c>
      <c r="C152" s="21" t="s">
        <v>3562</v>
      </c>
      <c r="D152" s="21" t="s">
        <v>3448</v>
      </c>
      <c r="E152" s="20" t="s">
        <v>3563</v>
      </c>
      <c r="F152" s="22">
        <v>2.0579999999999998</v>
      </c>
      <c r="G152" s="22" t="s">
        <v>3564</v>
      </c>
      <c r="H152" s="22">
        <v>2.0579999999999998</v>
      </c>
      <c r="I152" s="25">
        <v>43415</v>
      </c>
      <c r="J152" s="24">
        <v>43102</v>
      </c>
    </row>
    <row r="153" spans="2:10" x14ac:dyDescent="0.2">
      <c r="B153" s="22">
        <v>148</v>
      </c>
      <c r="C153" s="21" t="s">
        <v>3565</v>
      </c>
      <c r="D153" s="21" t="s">
        <v>570</v>
      </c>
      <c r="E153" s="20" t="s">
        <v>3566</v>
      </c>
      <c r="F153" s="22">
        <v>2.2349999999999999</v>
      </c>
      <c r="G153" s="22" t="s">
        <v>3567</v>
      </c>
      <c r="H153" s="22">
        <v>2.2349999999999999</v>
      </c>
      <c r="I153" s="25">
        <v>43170</v>
      </c>
      <c r="J153" s="24">
        <v>43204</v>
      </c>
    </row>
    <row r="154" spans="2:10" x14ac:dyDescent="0.2">
      <c r="B154" s="22">
        <v>149</v>
      </c>
      <c r="C154" s="21" t="s">
        <v>3568</v>
      </c>
      <c r="D154" s="21" t="s">
        <v>740</v>
      </c>
      <c r="E154" s="20" t="s">
        <v>3569</v>
      </c>
      <c r="F154" s="22">
        <v>1.7689999999999999</v>
      </c>
      <c r="G154" s="22" t="s">
        <v>3570</v>
      </c>
      <c r="H154" s="22">
        <v>1.7609999999999999</v>
      </c>
      <c r="I154" s="25">
        <v>43170</v>
      </c>
      <c r="J154" s="24">
        <v>43211</v>
      </c>
    </row>
    <row r="155" spans="2:10" x14ac:dyDescent="0.2">
      <c r="B155" s="22">
        <v>150</v>
      </c>
      <c r="C155" s="21" t="s">
        <v>3571</v>
      </c>
      <c r="D155" s="21" t="s">
        <v>1043</v>
      </c>
      <c r="E155" s="20" t="s">
        <v>3572</v>
      </c>
      <c r="F155" s="22">
        <v>897</v>
      </c>
      <c r="G155" s="22" t="s">
        <v>3573</v>
      </c>
      <c r="H155" s="22">
        <v>813</v>
      </c>
      <c r="I155" s="25">
        <v>43338</v>
      </c>
      <c r="J155" s="24">
        <v>43407</v>
      </c>
    </row>
    <row r="156" spans="2:10" x14ac:dyDescent="0.2">
      <c r="B156" s="22">
        <v>151</v>
      </c>
      <c r="C156" s="21" t="s">
        <v>3574</v>
      </c>
      <c r="D156" s="21" t="s">
        <v>1083</v>
      </c>
      <c r="E156" s="20" t="s">
        <v>3575</v>
      </c>
      <c r="F156" s="22">
        <v>283</v>
      </c>
      <c r="G156" s="22" t="s">
        <v>3576</v>
      </c>
      <c r="H156" s="22">
        <v>282</v>
      </c>
      <c r="I156" s="25">
        <v>43287</v>
      </c>
      <c r="J156" s="24">
        <v>43302</v>
      </c>
    </row>
    <row r="157" spans="2:10" x14ac:dyDescent="0.2">
      <c r="B157" s="22">
        <v>152</v>
      </c>
      <c r="C157" s="21" t="s">
        <v>3577</v>
      </c>
      <c r="D157" s="21" t="s">
        <v>869</v>
      </c>
      <c r="E157" s="20" t="s">
        <v>3578</v>
      </c>
      <c r="F157" s="22">
        <v>550</v>
      </c>
      <c r="G157" s="22" t="s">
        <v>3579</v>
      </c>
      <c r="H157" s="22">
        <v>4</v>
      </c>
      <c r="I157" s="25">
        <v>43289</v>
      </c>
      <c r="J157" s="24">
        <v>43400</v>
      </c>
    </row>
    <row r="158" spans="2:10" x14ac:dyDescent="0.2">
      <c r="B158" s="22">
        <v>153</v>
      </c>
      <c r="C158" s="21" t="s">
        <v>3580</v>
      </c>
      <c r="D158" s="21" t="s">
        <v>38</v>
      </c>
      <c r="E158" s="20" t="s">
        <v>3581</v>
      </c>
      <c r="F158" s="22">
        <v>650</v>
      </c>
      <c r="G158" s="22" t="s">
        <v>3582</v>
      </c>
      <c r="H158" s="22">
        <v>4</v>
      </c>
      <c r="I158" s="25">
        <v>43462</v>
      </c>
      <c r="J158" s="24">
        <v>43224</v>
      </c>
    </row>
    <row r="159" spans="2:10" x14ac:dyDescent="0.2">
      <c r="B159" s="22">
        <v>154</v>
      </c>
      <c r="C159" s="21" t="s">
        <v>3583</v>
      </c>
      <c r="D159" s="21" t="s">
        <v>1095</v>
      </c>
      <c r="E159" s="20" t="s">
        <v>3584</v>
      </c>
      <c r="F159" s="22">
        <v>200</v>
      </c>
      <c r="G159" s="22" t="s">
        <v>3585</v>
      </c>
      <c r="H159" s="22">
        <v>5</v>
      </c>
      <c r="I159" s="25">
        <v>43275</v>
      </c>
      <c r="J159" s="24">
        <v>43407</v>
      </c>
    </row>
    <row r="160" spans="2:10" x14ac:dyDescent="0.2">
      <c r="B160" s="22">
        <v>155</v>
      </c>
      <c r="C160" s="21" t="s">
        <v>3586</v>
      </c>
      <c r="D160" s="21" t="s">
        <v>863</v>
      </c>
      <c r="E160" s="20" t="s">
        <v>3587</v>
      </c>
      <c r="F160" s="22">
        <v>1.5489999999999999</v>
      </c>
      <c r="G160" s="22" t="s">
        <v>3588</v>
      </c>
      <c r="H160" s="22">
        <v>1.5489999999999999</v>
      </c>
      <c r="I160" s="25">
        <v>43422</v>
      </c>
      <c r="J160" s="24">
        <v>43449</v>
      </c>
    </row>
    <row r="161" spans="2:10" x14ac:dyDescent="0.2">
      <c r="B161" s="22">
        <v>156</v>
      </c>
      <c r="C161" s="21" t="s">
        <v>3589</v>
      </c>
      <c r="D161" s="21" t="s">
        <v>1000</v>
      </c>
      <c r="E161" s="20" t="s">
        <v>3590</v>
      </c>
      <c r="F161" s="22">
        <v>1.7370000000000001</v>
      </c>
      <c r="G161" s="22" t="s">
        <v>3591</v>
      </c>
      <c r="H161" s="22">
        <v>1.7370000000000001</v>
      </c>
      <c r="I161" s="25">
        <v>43436</v>
      </c>
      <c r="J161" s="24">
        <v>43463</v>
      </c>
    </row>
    <row r="162" spans="2:10" x14ac:dyDescent="0.2">
      <c r="B162" s="22">
        <v>157</v>
      </c>
      <c r="C162" s="21" t="s">
        <v>3592</v>
      </c>
      <c r="D162" s="21" t="s">
        <v>830</v>
      </c>
      <c r="E162" s="20" t="s">
        <v>3593</v>
      </c>
      <c r="F162" s="22">
        <v>355</v>
      </c>
      <c r="G162" s="22" t="s">
        <v>3594</v>
      </c>
      <c r="H162" s="22">
        <v>313</v>
      </c>
      <c r="I162" s="25">
        <v>43303</v>
      </c>
      <c r="J162" s="24">
        <v>43372</v>
      </c>
    </row>
    <row r="163" spans="2:10" x14ac:dyDescent="0.2">
      <c r="B163" s="22">
        <v>158</v>
      </c>
      <c r="C163" s="21" t="s">
        <v>3595</v>
      </c>
      <c r="D163" s="21" t="s">
        <v>820</v>
      </c>
      <c r="E163" s="20" t="s">
        <v>3596</v>
      </c>
      <c r="F163" s="22">
        <v>2.0110000000000001</v>
      </c>
      <c r="G163" s="22" t="s">
        <v>3597</v>
      </c>
      <c r="H163" s="22">
        <v>810</v>
      </c>
      <c r="I163" s="25">
        <v>43338</v>
      </c>
      <c r="J163" s="24">
        <v>43386</v>
      </c>
    </row>
    <row r="164" spans="2:10" x14ac:dyDescent="0.2">
      <c r="B164" s="22">
        <v>159</v>
      </c>
      <c r="C164" s="21" t="s">
        <v>3598</v>
      </c>
      <c r="D164" s="21" t="s">
        <v>1568</v>
      </c>
      <c r="E164" s="20" t="s">
        <v>3599</v>
      </c>
      <c r="F164" s="22">
        <v>175</v>
      </c>
      <c r="G164" s="22" t="s">
        <v>3600</v>
      </c>
      <c r="H164" s="22">
        <v>1</v>
      </c>
      <c r="I164" s="25">
        <v>43303</v>
      </c>
      <c r="J164" s="22" t="s">
        <v>558</v>
      </c>
    </row>
    <row r="165" spans="2:10" x14ac:dyDescent="0.2">
      <c r="B165" s="22">
        <v>160</v>
      </c>
      <c r="C165" s="21" t="s">
        <v>3601</v>
      </c>
      <c r="D165" s="21" t="s">
        <v>1015</v>
      </c>
      <c r="E165" s="20" t="s">
        <v>3602</v>
      </c>
      <c r="F165" s="22">
        <v>464</v>
      </c>
      <c r="G165" s="22" t="s">
        <v>3603</v>
      </c>
      <c r="H165" s="22">
        <v>4</v>
      </c>
      <c r="I165" s="25">
        <v>43212</v>
      </c>
      <c r="J165" s="24">
        <v>43337</v>
      </c>
    </row>
    <row r="166" spans="2:10" x14ac:dyDescent="0.2">
      <c r="B166" s="22">
        <v>161</v>
      </c>
      <c r="C166" s="21" t="s">
        <v>3604</v>
      </c>
      <c r="D166" s="21" t="s">
        <v>1204</v>
      </c>
      <c r="E166" s="20" t="s">
        <v>3605</v>
      </c>
      <c r="F166" s="22">
        <v>302</v>
      </c>
      <c r="G166" s="22" t="s">
        <v>3606</v>
      </c>
      <c r="H166" s="22">
        <v>302</v>
      </c>
      <c r="I166" s="25">
        <v>43401</v>
      </c>
      <c r="J166" s="24">
        <v>43428</v>
      </c>
    </row>
    <row r="167" spans="2:10" x14ac:dyDescent="0.2">
      <c r="B167" s="22">
        <v>162</v>
      </c>
      <c r="C167" s="21" t="s">
        <v>3607</v>
      </c>
      <c r="D167" s="21" t="s">
        <v>1043</v>
      </c>
      <c r="E167" s="20" t="s">
        <v>3608</v>
      </c>
      <c r="F167" s="22">
        <v>523</v>
      </c>
      <c r="G167" s="22" t="s">
        <v>3609</v>
      </c>
      <c r="H167" s="22">
        <v>401</v>
      </c>
      <c r="I167" s="25">
        <v>43212</v>
      </c>
      <c r="J167" s="24">
        <v>43288</v>
      </c>
    </row>
    <row r="168" spans="2:10" x14ac:dyDescent="0.2">
      <c r="B168" s="22">
        <v>163</v>
      </c>
      <c r="C168" s="21" t="s">
        <v>3610</v>
      </c>
      <c r="D168" s="21" t="s">
        <v>38</v>
      </c>
      <c r="E168" s="20" t="s">
        <v>3611</v>
      </c>
      <c r="F168" s="22">
        <v>636</v>
      </c>
      <c r="G168" s="22" t="s">
        <v>3612</v>
      </c>
      <c r="H168" s="22">
        <v>3</v>
      </c>
      <c r="I168" s="25">
        <v>43275</v>
      </c>
      <c r="J168" s="24">
        <v>43372</v>
      </c>
    </row>
    <row r="169" spans="2:10" x14ac:dyDescent="0.2">
      <c r="B169" s="22">
        <v>164</v>
      </c>
      <c r="C169" s="21" t="s">
        <v>3613</v>
      </c>
      <c r="D169" s="21" t="s">
        <v>869</v>
      </c>
      <c r="E169" s="20" t="s">
        <v>3614</v>
      </c>
      <c r="F169" s="22">
        <v>648</v>
      </c>
      <c r="G169" s="22" t="s">
        <v>3615</v>
      </c>
      <c r="H169" s="22">
        <v>5</v>
      </c>
      <c r="I169" s="25">
        <v>43373</v>
      </c>
      <c r="J169" s="24">
        <v>43453</v>
      </c>
    </row>
    <row r="170" spans="2:10" x14ac:dyDescent="0.2">
      <c r="B170" s="22">
        <v>165</v>
      </c>
      <c r="C170" s="21" t="s">
        <v>3616</v>
      </c>
      <c r="D170" s="21" t="s">
        <v>594</v>
      </c>
      <c r="E170" s="20" t="s">
        <v>3617</v>
      </c>
      <c r="F170" s="22">
        <v>2.02</v>
      </c>
      <c r="G170" s="22" t="s">
        <v>3618</v>
      </c>
      <c r="H170" s="22">
        <v>2.02</v>
      </c>
      <c r="I170" s="25">
        <v>43345</v>
      </c>
      <c r="J170" s="24">
        <v>43379</v>
      </c>
    </row>
    <row r="171" spans="2:10" x14ac:dyDescent="0.2">
      <c r="B171" s="22">
        <v>166</v>
      </c>
      <c r="C171" s="21" t="s">
        <v>3619</v>
      </c>
      <c r="D171" s="21" t="s">
        <v>3620</v>
      </c>
      <c r="E171" s="20" t="s">
        <v>3621</v>
      </c>
      <c r="F171" s="22">
        <v>236</v>
      </c>
      <c r="G171" s="22" t="s">
        <v>3622</v>
      </c>
      <c r="H171" s="22">
        <v>236</v>
      </c>
      <c r="I171" s="25">
        <v>43302</v>
      </c>
      <c r="J171" s="22" t="s">
        <v>558</v>
      </c>
    </row>
    <row r="172" spans="2:10" x14ac:dyDescent="0.2">
      <c r="B172" s="22">
        <v>167</v>
      </c>
      <c r="C172" s="21" t="s">
        <v>3623</v>
      </c>
      <c r="D172" s="21" t="s">
        <v>1294</v>
      </c>
      <c r="E172" s="20" t="s">
        <v>3624</v>
      </c>
      <c r="F172" s="22">
        <v>288</v>
      </c>
      <c r="G172" s="22" t="s">
        <v>3625</v>
      </c>
      <c r="H172" s="22">
        <v>6</v>
      </c>
      <c r="I172" s="25">
        <v>43219</v>
      </c>
      <c r="J172" s="24">
        <v>43316</v>
      </c>
    </row>
    <row r="173" spans="2:10" x14ac:dyDescent="0.2">
      <c r="B173" s="22">
        <v>168</v>
      </c>
      <c r="C173" s="21" t="s">
        <v>3626</v>
      </c>
      <c r="D173" s="21" t="s">
        <v>3627</v>
      </c>
      <c r="E173" s="20" t="s">
        <v>3628</v>
      </c>
      <c r="F173" s="22">
        <v>308</v>
      </c>
      <c r="G173" s="22" t="s">
        <v>3629</v>
      </c>
      <c r="H173" s="22">
        <v>308</v>
      </c>
      <c r="I173" s="25">
        <v>43143</v>
      </c>
      <c r="J173" s="24">
        <v>43218</v>
      </c>
    </row>
    <row r="174" spans="2:10" x14ac:dyDescent="0.2">
      <c r="B174" s="22">
        <v>169</v>
      </c>
      <c r="C174" s="21" t="s">
        <v>3630</v>
      </c>
      <c r="D174" s="21" t="s">
        <v>863</v>
      </c>
      <c r="E174" s="20" t="s">
        <v>3631</v>
      </c>
      <c r="F174" s="22">
        <v>2.0339999999999998</v>
      </c>
      <c r="G174" s="22" t="s">
        <v>3632</v>
      </c>
      <c r="H174" s="22">
        <v>2.0339999999999998</v>
      </c>
      <c r="I174" s="25">
        <v>43387</v>
      </c>
      <c r="J174" s="24">
        <v>43407</v>
      </c>
    </row>
    <row r="175" spans="2:10" x14ac:dyDescent="0.2">
      <c r="B175" s="22">
        <v>170</v>
      </c>
      <c r="C175" s="21" t="s">
        <v>3633</v>
      </c>
      <c r="D175" s="21" t="s">
        <v>1152</v>
      </c>
      <c r="E175" s="20" t="s">
        <v>3634</v>
      </c>
      <c r="F175" s="22">
        <v>1.325</v>
      </c>
      <c r="G175" s="22" t="s">
        <v>1159</v>
      </c>
      <c r="H175" s="22" t="s">
        <v>1159</v>
      </c>
      <c r="I175" s="25">
        <v>43306</v>
      </c>
      <c r="J175" s="24">
        <v>43307</v>
      </c>
    </row>
    <row r="176" spans="2:10" x14ac:dyDescent="0.2">
      <c r="B176" s="22">
        <v>171</v>
      </c>
      <c r="C176" s="21" t="s">
        <v>3635</v>
      </c>
      <c r="D176" s="21" t="s">
        <v>740</v>
      </c>
      <c r="E176" s="20" t="s">
        <v>3636</v>
      </c>
      <c r="F176" s="22">
        <v>1.5229999999999999</v>
      </c>
      <c r="G176" s="22" t="s">
        <v>3637</v>
      </c>
      <c r="H176" s="22">
        <v>4</v>
      </c>
      <c r="I176" s="25">
        <v>43457</v>
      </c>
      <c r="J176" s="24">
        <v>43126</v>
      </c>
    </row>
    <row r="177" spans="2:10" x14ac:dyDescent="0.2">
      <c r="B177" s="22">
        <v>172</v>
      </c>
      <c r="C177" s="21" t="s">
        <v>3638</v>
      </c>
      <c r="D177" s="21" t="s">
        <v>563</v>
      </c>
      <c r="E177" s="20" t="s">
        <v>3639</v>
      </c>
      <c r="F177" s="22">
        <v>521</v>
      </c>
      <c r="G177" s="22" t="s">
        <v>3640</v>
      </c>
      <c r="H177" s="22">
        <v>5</v>
      </c>
      <c r="I177" s="25">
        <v>43177</v>
      </c>
      <c r="J177" s="24">
        <v>43246</v>
      </c>
    </row>
    <row r="178" spans="2:10" x14ac:dyDescent="0.2">
      <c r="B178" s="22">
        <v>173</v>
      </c>
      <c r="C178" s="21" t="s">
        <v>3641</v>
      </c>
      <c r="D178" s="21" t="s">
        <v>594</v>
      </c>
      <c r="E178" s="20" t="s">
        <v>3642</v>
      </c>
      <c r="F178" s="22">
        <v>2.3860000000000001</v>
      </c>
      <c r="G178" s="22" t="s">
        <v>3643</v>
      </c>
      <c r="H178" s="22">
        <v>2.3820000000000001</v>
      </c>
      <c r="I178" s="25">
        <v>43427</v>
      </c>
      <c r="J178" s="24">
        <v>43456</v>
      </c>
    </row>
    <row r="179" spans="2:10" x14ac:dyDescent="0.2">
      <c r="B179" s="22">
        <v>174</v>
      </c>
      <c r="C179" s="21" t="s">
        <v>3644</v>
      </c>
      <c r="D179" s="21" t="s">
        <v>3448</v>
      </c>
      <c r="E179" s="20" t="s">
        <v>3645</v>
      </c>
      <c r="F179" s="22">
        <v>1.6479999999999999</v>
      </c>
      <c r="G179" s="22" t="s">
        <v>3646</v>
      </c>
      <c r="H179" s="22">
        <v>3</v>
      </c>
      <c r="I179" s="25">
        <v>43429</v>
      </c>
      <c r="J179" s="24">
        <v>43102</v>
      </c>
    </row>
    <row r="180" spans="2:10" x14ac:dyDescent="0.2">
      <c r="B180" s="22">
        <v>175</v>
      </c>
      <c r="C180" s="21" t="s">
        <v>3647</v>
      </c>
      <c r="D180" s="21" t="s">
        <v>1213</v>
      </c>
      <c r="E180" s="20" t="s">
        <v>3648</v>
      </c>
      <c r="F180" s="22">
        <v>194</v>
      </c>
      <c r="G180" s="22" t="s">
        <v>3649</v>
      </c>
      <c r="H180" s="22">
        <v>9</v>
      </c>
      <c r="I180" s="25">
        <v>43373</v>
      </c>
      <c r="J180" s="24">
        <v>43154</v>
      </c>
    </row>
    <row r="181" spans="2:10" x14ac:dyDescent="0.2">
      <c r="B181" s="22">
        <v>176</v>
      </c>
      <c r="C181" s="21" t="s">
        <v>3650</v>
      </c>
      <c r="D181" s="21" t="s">
        <v>1043</v>
      </c>
      <c r="E181" s="20" t="s">
        <v>3651</v>
      </c>
      <c r="F181" s="22">
        <v>317</v>
      </c>
      <c r="G181" s="22" t="s">
        <v>3652</v>
      </c>
      <c r="H181" s="22">
        <v>4</v>
      </c>
      <c r="I181" s="25">
        <v>43310</v>
      </c>
      <c r="J181" s="24">
        <v>43407</v>
      </c>
    </row>
    <row r="182" spans="2:10" x14ac:dyDescent="0.2">
      <c r="B182" s="22">
        <v>177</v>
      </c>
      <c r="C182" s="21" t="s">
        <v>3653</v>
      </c>
      <c r="D182" s="21" t="s">
        <v>638</v>
      </c>
      <c r="E182" s="20" t="s">
        <v>3654</v>
      </c>
      <c r="F182" s="22">
        <v>454</v>
      </c>
      <c r="G182" s="22" t="s">
        <v>3655</v>
      </c>
      <c r="H182" s="22">
        <v>19</v>
      </c>
      <c r="I182" s="25">
        <v>43189</v>
      </c>
      <c r="J182" s="24">
        <v>43239</v>
      </c>
    </row>
    <row r="183" spans="2:10" x14ac:dyDescent="0.2">
      <c r="B183" s="22">
        <v>178</v>
      </c>
      <c r="C183" s="21" t="s">
        <v>3656</v>
      </c>
      <c r="D183" s="21" t="s">
        <v>1015</v>
      </c>
      <c r="E183" s="20" t="s">
        <v>3657</v>
      </c>
      <c r="F183" s="22">
        <v>335</v>
      </c>
      <c r="G183" s="22" t="s">
        <v>3658</v>
      </c>
      <c r="H183" s="22">
        <v>5</v>
      </c>
      <c r="I183" s="25">
        <v>43240</v>
      </c>
      <c r="J183" s="24">
        <v>43372</v>
      </c>
    </row>
    <row r="184" spans="2:10" x14ac:dyDescent="0.2">
      <c r="B184" s="22">
        <v>179</v>
      </c>
      <c r="C184" s="21" t="s">
        <v>3659</v>
      </c>
      <c r="D184" s="21" t="s">
        <v>820</v>
      </c>
      <c r="E184" s="20" t="s">
        <v>3660</v>
      </c>
      <c r="F184" s="22">
        <v>525</v>
      </c>
      <c r="G184" s="22" t="s">
        <v>3661</v>
      </c>
      <c r="H184" s="22">
        <v>5</v>
      </c>
      <c r="I184" s="25">
        <v>43205</v>
      </c>
      <c r="J184" s="24">
        <v>43309</v>
      </c>
    </row>
    <row r="185" spans="2:10" x14ac:dyDescent="0.2">
      <c r="B185" s="22">
        <v>180</v>
      </c>
      <c r="C185" s="21" t="s">
        <v>3662</v>
      </c>
      <c r="D185" s="21" t="s">
        <v>570</v>
      </c>
      <c r="E185" s="20" t="s">
        <v>3663</v>
      </c>
      <c r="F185" s="22">
        <v>106</v>
      </c>
      <c r="G185" s="22" t="s">
        <v>3664</v>
      </c>
      <c r="H185" s="22">
        <v>35</v>
      </c>
      <c r="I185" s="25">
        <v>43150</v>
      </c>
      <c r="J185" s="24">
        <v>43197</v>
      </c>
    </row>
    <row r="186" spans="2:10" x14ac:dyDescent="0.2">
      <c r="B186" s="22">
        <v>181</v>
      </c>
      <c r="C186" s="21" t="s">
        <v>3665</v>
      </c>
      <c r="D186" s="21" t="s">
        <v>38</v>
      </c>
      <c r="E186" s="20" t="s">
        <v>3666</v>
      </c>
      <c r="F186" s="22">
        <v>777</v>
      </c>
      <c r="G186" s="22" t="s">
        <v>3667</v>
      </c>
      <c r="H186" s="22">
        <v>3</v>
      </c>
      <c r="I186" s="25">
        <v>43205</v>
      </c>
      <c r="J186" s="24">
        <v>43295</v>
      </c>
    </row>
    <row r="187" spans="2:10" x14ac:dyDescent="0.2">
      <c r="B187" s="22">
        <v>182</v>
      </c>
      <c r="C187" s="21" t="s">
        <v>3668</v>
      </c>
      <c r="D187" s="21" t="s">
        <v>1015</v>
      </c>
      <c r="E187" s="20" t="s">
        <v>3669</v>
      </c>
      <c r="F187" s="22">
        <v>122</v>
      </c>
      <c r="G187" s="22" t="s">
        <v>3670</v>
      </c>
      <c r="H187" s="22">
        <v>4</v>
      </c>
      <c r="I187" s="25">
        <v>43406</v>
      </c>
      <c r="J187" s="24">
        <v>43238</v>
      </c>
    </row>
    <row r="188" spans="2:10" x14ac:dyDescent="0.2">
      <c r="B188" s="22">
        <v>183</v>
      </c>
      <c r="C188" s="21" t="s">
        <v>3671</v>
      </c>
      <c r="D188" s="21" t="s">
        <v>1043</v>
      </c>
      <c r="E188" s="20" t="s">
        <v>3672</v>
      </c>
      <c r="F188" s="22">
        <v>399</v>
      </c>
      <c r="G188" s="22" t="s">
        <v>3673</v>
      </c>
      <c r="H188" s="22">
        <v>373</v>
      </c>
      <c r="I188" s="25">
        <v>43282</v>
      </c>
      <c r="J188" s="24">
        <v>43358</v>
      </c>
    </row>
    <row r="189" spans="2:10" x14ac:dyDescent="0.2">
      <c r="B189" s="22">
        <v>184</v>
      </c>
      <c r="C189" s="21" t="s">
        <v>3674</v>
      </c>
      <c r="D189" s="21" t="s">
        <v>838</v>
      </c>
      <c r="E189" s="20" t="s">
        <v>3675</v>
      </c>
      <c r="F189" s="22">
        <v>368</v>
      </c>
      <c r="G189" s="22" t="s">
        <v>3676</v>
      </c>
      <c r="H189" s="22">
        <v>368</v>
      </c>
      <c r="I189" s="25">
        <v>43212</v>
      </c>
      <c r="J189" s="24">
        <v>43246</v>
      </c>
    </row>
    <row r="190" spans="2:10" x14ac:dyDescent="0.2">
      <c r="B190" s="22">
        <v>185</v>
      </c>
      <c r="C190" s="21" t="s">
        <v>3677</v>
      </c>
      <c r="D190" s="21" t="s">
        <v>594</v>
      </c>
      <c r="E190" s="20" t="s">
        <v>3678</v>
      </c>
      <c r="F190" s="22">
        <v>585</v>
      </c>
      <c r="G190" s="22" t="s">
        <v>3679</v>
      </c>
      <c r="H190" s="22">
        <v>546</v>
      </c>
      <c r="I190" s="25">
        <v>43163</v>
      </c>
      <c r="J190" s="24">
        <v>43204</v>
      </c>
    </row>
    <row r="191" spans="2:10" x14ac:dyDescent="0.2">
      <c r="B191" s="22">
        <v>186</v>
      </c>
      <c r="C191" s="21" t="s">
        <v>3680</v>
      </c>
      <c r="D191" s="21" t="s">
        <v>869</v>
      </c>
      <c r="E191" s="20" t="s">
        <v>3681</v>
      </c>
      <c r="F191" s="22">
        <v>452</v>
      </c>
      <c r="G191" s="22" t="s">
        <v>3682</v>
      </c>
      <c r="H191" s="22">
        <v>452</v>
      </c>
      <c r="I191" s="25">
        <v>43324</v>
      </c>
      <c r="J191" s="24">
        <v>43365</v>
      </c>
    </row>
    <row r="192" spans="2:10" x14ac:dyDescent="0.2">
      <c r="B192" s="22">
        <v>187</v>
      </c>
      <c r="C192" s="21" t="s">
        <v>3683</v>
      </c>
      <c r="D192" s="21" t="s">
        <v>1248</v>
      </c>
      <c r="E192" s="20" t="s">
        <v>3684</v>
      </c>
      <c r="F192" s="22">
        <v>155</v>
      </c>
      <c r="G192" s="22" t="s">
        <v>3685</v>
      </c>
      <c r="H192" s="22">
        <v>85</v>
      </c>
      <c r="I192" s="25">
        <v>43358</v>
      </c>
      <c r="J192" s="24">
        <v>43108</v>
      </c>
    </row>
    <row r="193" spans="2:10" x14ac:dyDescent="0.2">
      <c r="B193" s="22">
        <v>188</v>
      </c>
      <c r="C193" s="21" t="s">
        <v>3686</v>
      </c>
      <c r="D193" s="21" t="s">
        <v>1139</v>
      </c>
      <c r="E193" s="20" t="s">
        <v>3687</v>
      </c>
      <c r="F193" s="22">
        <v>260</v>
      </c>
      <c r="G193" s="22" t="s">
        <v>3688</v>
      </c>
      <c r="H193" s="22">
        <v>123</v>
      </c>
      <c r="I193" s="25">
        <v>43129</v>
      </c>
      <c r="J193" s="24">
        <v>43183</v>
      </c>
    </row>
    <row r="194" spans="2:10" x14ac:dyDescent="0.2">
      <c r="B194" s="22">
        <v>189</v>
      </c>
      <c r="C194" s="21" t="s">
        <v>3689</v>
      </c>
      <c r="D194" s="21" t="s">
        <v>1235</v>
      </c>
      <c r="E194" s="20" t="s">
        <v>3690</v>
      </c>
      <c r="F194" s="22">
        <v>115</v>
      </c>
      <c r="G194" s="22" t="s">
        <v>3691</v>
      </c>
      <c r="H194" s="22">
        <v>103</v>
      </c>
      <c r="I194" s="25">
        <v>43122</v>
      </c>
      <c r="J194" s="24">
        <v>43159</v>
      </c>
    </row>
    <row r="195" spans="2:10" x14ac:dyDescent="0.2">
      <c r="B195" s="22">
        <v>190</v>
      </c>
      <c r="C195" s="21" t="s">
        <v>3692</v>
      </c>
      <c r="D195" s="21" t="s">
        <v>1015</v>
      </c>
      <c r="E195" s="20" t="s">
        <v>3693</v>
      </c>
      <c r="F195" s="22">
        <v>527</v>
      </c>
      <c r="G195" s="22" t="s">
        <v>3694</v>
      </c>
      <c r="H195" s="22">
        <v>4</v>
      </c>
      <c r="I195" s="25">
        <v>43191</v>
      </c>
      <c r="J195" s="24">
        <v>43309</v>
      </c>
    </row>
    <row r="196" spans="2:10" x14ac:dyDescent="0.2">
      <c r="B196" s="22">
        <v>191</v>
      </c>
      <c r="C196" s="21" t="s">
        <v>3695</v>
      </c>
      <c r="D196" s="21" t="s">
        <v>1204</v>
      </c>
      <c r="E196" s="20" t="s">
        <v>3696</v>
      </c>
      <c r="F196" s="22">
        <v>153</v>
      </c>
      <c r="G196" s="22" t="s">
        <v>3697</v>
      </c>
      <c r="H196" s="22">
        <v>143</v>
      </c>
      <c r="I196" s="25">
        <v>43177</v>
      </c>
      <c r="J196" s="24">
        <v>43204</v>
      </c>
    </row>
    <row r="197" spans="2:10" x14ac:dyDescent="0.2">
      <c r="B197" s="22">
        <v>192</v>
      </c>
      <c r="C197" s="21" t="s">
        <v>3698</v>
      </c>
      <c r="D197" s="21" t="s">
        <v>3464</v>
      </c>
      <c r="E197" s="20" t="s">
        <v>3699</v>
      </c>
      <c r="F197" s="22">
        <v>1.554</v>
      </c>
      <c r="G197" s="22" t="s">
        <v>3700</v>
      </c>
      <c r="H197" s="22">
        <v>1.554</v>
      </c>
      <c r="I197" s="25">
        <v>43352</v>
      </c>
      <c r="J197" s="24">
        <v>43400</v>
      </c>
    </row>
    <row r="198" spans="2:10" x14ac:dyDescent="0.2">
      <c r="B198" s="22">
        <v>193</v>
      </c>
      <c r="C198" s="21" t="s">
        <v>3701</v>
      </c>
      <c r="D198" s="21" t="s">
        <v>961</v>
      </c>
      <c r="E198" s="20" t="s">
        <v>3702</v>
      </c>
      <c r="F198" s="22">
        <v>816</v>
      </c>
      <c r="G198" s="22" t="s">
        <v>3703</v>
      </c>
      <c r="H198" s="22">
        <v>816</v>
      </c>
      <c r="I198" s="25">
        <v>43359</v>
      </c>
      <c r="J198" s="24">
        <v>43396</v>
      </c>
    </row>
    <row r="199" spans="2:10" x14ac:dyDescent="0.2">
      <c r="B199" s="22">
        <v>194</v>
      </c>
      <c r="C199" s="21" t="s">
        <v>3704</v>
      </c>
      <c r="D199" s="21" t="s">
        <v>1217</v>
      </c>
      <c r="E199" s="20" t="s">
        <v>3705</v>
      </c>
      <c r="F199" s="22">
        <v>156</v>
      </c>
      <c r="G199" s="22" t="s">
        <v>3706</v>
      </c>
      <c r="H199" s="22">
        <v>153</v>
      </c>
      <c r="I199" s="25">
        <v>43427</v>
      </c>
      <c r="J199" s="24">
        <v>43449</v>
      </c>
    </row>
    <row r="200" spans="2:10" x14ac:dyDescent="0.2">
      <c r="B200" s="22">
        <v>195</v>
      </c>
      <c r="C200" s="21" t="s">
        <v>3707</v>
      </c>
      <c r="D200" s="21" t="s">
        <v>1015</v>
      </c>
      <c r="E200" s="20" t="s">
        <v>3708</v>
      </c>
      <c r="F200" s="22">
        <v>209</v>
      </c>
      <c r="G200" s="22" t="s">
        <v>3709</v>
      </c>
      <c r="H200" s="22">
        <v>2</v>
      </c>
      <c r="I200" s="25">
        <v>43415</v>
      </c>
      <c r="J200" s="24">
        <v>43203</v>
      </c>
    </row>
    <row r="201" spans="2:10" x14ac:dyDescent="0.2">
      <c r="B201" s="22">
        <v>196</v>
      </c>
      <c r="C201" s="21" t="s">
        <v>3710</v>
      </c>
      <c r="D201" s="21" t="s">
        <v>3711</v>
      </c>
      <c r="E201" s="20" t="s">
        <v>3712</v>
      </c>
      <c r="F201" s="22">
        <v>115</v>
      </c>
      <c r="G201" s="22" t="s">
        <v>3713</v>
      </c>
      <c r="H201" s="22">
        <v>115</v>
      </c>
      <c r="I201" s="25">
        <v>43252</v>
      </c>
      <c r="J201" s="24">
        <v>43267</v>
      </c>
    </row>
    <row r="202" spans="2:10" x14ac:dyDescent="0.2">
      <c r="B202" s="22">
        <v>197</v>
      </c>
      <c r="C202" s="21" t="s">
        <v>3714</v>
      </c>
      <c r="D202" s="21" t="s">
        <v>1083</v>
      </c>
      <c r="E202" s="20" t="s">
        <v>3715</v>
      </c>
      <c r="F202" s="22">
        <v>307</v>
      </c>
      <c r="G202" s="22" t="s">
        <v>3716</v>
      </c>
      <c r="H202" s="22">
        <v>307</v>
      </c>
      <c r="I202" s="25">
        <v>43205</v>
      </c>
      <c r="J202" s="24">
        <v>43211</v>
      </c>
    </row>
    <row r="203" spans="2:10" x14ac:dyDescent="0.2">
      <c r="B203" s="22">
        <v>198</v>
      </c>
      <c r="C203" s="21" t="s">
        <v>3717</v>
      </c>
      <c r="D203" s="21" t="s">
        <v>869</v>
      </c>
      <c r="E203" s="20" t="s">
        <v>3718</v>
      </c>
      <c r="F203" s="22">
        <v>70</v>
      </c>
      <c r="G203" s="22" t="s">
        <v>3719</v>
      </c>
      <c r="H203" s="22">
        <v>4</v>
      </c>
      <c r="I203" s="25">
        <v>43462</v>
      </c>
      <c r="J203" s="24">
        <v>43203</v>
      </c>
    </row>
    <row r="204" spans="2:10" x14ac:dyDescent="0.2">
      <c r="B204" s="22">
        <v>199</v>
      </c>
      <c r="C204" s="21" t="s">
        <v>3720</v>
      </c>
      <c r="D204" s="21" t="s">
        <v>1235</v>
      </c>
      <c r="E204" s="20" t="s">
        <v>3721</v>
      </c>
      <c r="F204" s="22">
        <v>36</v>
      </c>
      <c r="G204" s="22" t="s">
        <v>3722</v>
      </c>
      <c r="H204" s="22">
        <v>27</v>
      </c>
      <c r="I204" s="25">
        <v>43303</v>
      </c>
      <c r="J204" s="22" t="s">
        <v>558</v>
      </c>
    </row>
    <row r="205" spans="2:10" x14ac:dyDescent="0.2">
      <c r="B205" s="22">
        <v>200</v>
      </c>
      <c r="C205" s="21" t="s">
        <v>3723</v>
      </c>
      <c r="D205" s="21" t="s">
        <v>961</v>
      </c>
      <c r="E205" s="20" t="s">
        <v>3724</v>
      </c>
      <c r="F205" s="22">
        <v>516</v>
      </c>
      <c r="G205" s="22" t="s">
        <v>3725</v>
      </c>
      <c r="H205" s="22">
        <v>505</v>
      </c>
      <c r="I205" s="25">
        <v>43394</v>
      </c>
      <c r="J205" s="24">
        <v>43435</v>
      </c>
    </row>
    <row r="206" spans="2:10" x14ac:dyDescent="0.2">
      <c r="B206" s="22">
        <v>201</v>
      </c>
      <c r="C206" s="21" t="s">
        <v>3726</v>
      </c>
      <c r="D206" s="21" t="s">
        <v>830</v>
      </c>
      <c r="E206" s="20" t="s">
        <v>3727</v>
      </c>
      <c r="F206" s="22">
        <v>378</v>
      </c>
      <c r="G206" s="22" t="s">
        <v>3728</v>
      </c>
      <c r="H206" s="22">
        <v>5</v>
      </c>
      <c r="I206" s="25">
        <v>43224</v>
      </c>
      <c r="J206" s="24">
        <v>43288</v>
      </c>
    </row>
    <row r="207" spans="2:10" x14ac:dyDescent="0.2">
      <c r="B207" s="22">
        <v>202</v>
      </c>
      <c r="C207" s="21" t="s">
        <v>3729</v>
      </c>
      <c r="D207" s="21" t="s">
        <v>966</v>
      </c>
      <c r="E207" s="20" t="s">
        <v>3730</v>
      </c>
      <c r="F207" s="22">
        <v>174</v>
      </c>
      <c r="G207" s="22" t="s">
        <v>3731</v>
      </c>
      <c r="H207" s="22">
        <v>36</v>
      </c>
      <c r="I207" s="25">
        <v>43366</v>
      </c>
      <c r="J207" s="24">
        <v>43456</v>
      </c>
    </row>
    <row r="208" spans="2:10" x14ac:dyDescent="0.2">
      <c r="B208" s="22">
        <v>203</v>
      </c>
      <c r="C208" s="21" t="s">
        <v>3732</v>
      </c>
      <c r="D208" s="21" t="s">
        <v>1039</v>
      </c>
      <c r="E208" s="20" t="s">
        <v>3733</v>
      </c>
      <c r="F208" s="22">
        <v>125</v>
      </c>
      <c r="G208" s="22" t="s">
        <v>3734</v>
      </c>
      <c r="H208" s="22">
        <v>5</v>
      </c>
      <c r="I208" s="25">
        <v>43394</v>
      </c>
      <c r="J208" s="24">
        <v>43154</v>
      </c>
    </row>
    <row r="209" spans="2:10" x14ac:dyDescent="0.2">
      <c r="B209" s="22">
        <v>204</v>
      </c>
      <c r="C209" s="21" t="s">
        <v>3735</v>
      </c>
      <c r="D209" s="21" t="s">
        <v>718</v>
      </c>
      <c r="E209" s="20" t="s">
        <v>3736</v>
      </c>
      <c r="F209" s="22">
        <v>168</v>
      </c>
      <c r="G209" s="22" t="s">
        <v>3737</v>
      </c>
      <c r="H209" s="22">
        <v>73</v>
      </c>
      <c r="I209" s="25">
        <v>43387</v>
      </c>
      <c r="J209" s="24">
        <v>43421</v>
      </c>
    </row>
    <row r="210" spans="2:10" x14ac:dyDescent="0.2">
      <c r="B210" s="22">
        <v>205</v>
      </c>
      <c r="C210" s="21" t="s">
        <v>3738</v>
      </c>
      <c r="D210" s="21" t="s">
        <v>3739</v>
      </c>
      <c r="E210" s="20" t="s">
        <v>3740</v>
      </c>
      <c r="F210" s="22">
        <v>340</v>
      </c>
      <c r="G210" s="22" t="s">
        <v>3741</v>
      </c>
      <c r="H210" s="22">
        <v>340</v>
      </c>
      <c r="I210" s="25">
        <v>43338</v>
      </c>
      <c r="J210" s="24">
        <v>43449</v>
      </c>
    </row>
    <row r="211" spans="2:10" x14ac:dyDescent="0.2">
      <c r="B211" s="22">
        <v>206</v>
      </c>
      <c r="C211" s="21" t="s">
        <v>3742</v>
      </c>
      <c r="D211" s="21" t="s">
        <v>830</v>
      </c>
      <c r="E211" s="20" t="s">
        <v>3743</v>
      </c>
      <c r="F211" s="22">
        <v>862</v>
      </c>
      <c r="G211" s="22" t="s">
        <v>3744</v>
      </c>
      <c r="H211" s="22">
        <v>854</v>
      </c>
      <c r="I211" s="25">
        <v>43198</v>
      </c>
      <c r="J211" s="24">
        <v>43211</v>
      </c>
    </row>
    <row r="212" spans="2:10" x14ac:dyDescent="0.2">
      <c r="B212" s="22">
        <v>207</v>
      </c>
      <c r="C212" s="21" t="s">
        <v>3745</v>
      </c>
      <c r="D212" s="21" t="s">
        <v>1087</v>
      </c>
      <c r="E212" s="20" t="s">
        <v>3746</v>
      </c>
      <c r="F212" s="22">
        <v>490</v>
      </c>
      <c r="G212" s="22" t="s">
        <v>3747</v>
      </c>
      <c r="H212" s="22">
        <v>34</v>
      </c>
      <c r="I212" s="25">
        <v>43384</v>
      </c>
      <c r="J212" s="24">
        <v>43414</v>
      </c>
    </row>
    <row r="213" spans="2:10" x14ac:dyDescent="0.2">
      <c r="B213" s="22">
        <v>208</v>
      </c>
      <c r="C213" s="21" t="s">
        <v>3748</v>
      </c>
      <c r="D213" s="21" t="s">
        <v>563</v>
      </c>
      <c r="E213" s="20" t="s">
        <v>3749</v>
      </c>
      <c r="F213" s="22">
        <v>87</v>
      </c>
      <c r="G213" s="22" t="s">
        <v>1159</v>
      </c>
      <c r="H213" s="22" t="s">
        <v>1159</v>
      </c>
      <c r="I213" s="25">
        <v>43213</v>
      </c>
      <c r="J213" s="24">
        <v>43217</v>
      </c>
    </row>
    <row r="214" spans="2:10" x14ac:dyDescent="0.2">
      <c r="B214" s="22">
        <v>209</v>
      </c>
      <c r="C214" s="21" t="s">
        <v>3750</v>
      </c>
      <c r="D214" s="21" t="s">
        <v>1204</v>
      </c>
      <c r="E214" s="20" t="s">
        <v>3751</v>
      </c>
      <c r="F214" s="22">
        <v>256</v>
      </c>
      <c r="G214" s="22" t="s">
        <v>3752</v>
      </c>
      <c r="H214" s="22">
        <v>256</v>
      </c>
      <c r="I214" s="25">
        <v>43373</v>
      </c>
      <c r="J214" s="24">
        <v>43393</v>
      </c>
    </row>
    <row r="215" spans="2:10" x14ac:dyDescent="0.2">
      <c r="B215" s="22">
        <v>210</v>
      </c>
      <c r="C215" s="21" t="s">
        <v>3753</v>
      </c>
      <c r="D215" s="21" t="s">
        <v>838</v>
      </c>
      <c r="E215" s="20" t="s">
        <v>3754</v>
      </c>
      <c r="F215" s="22">
        <v>357</v>
      </c>
      <c r="G215" s="22" t="s">
        <v>3755</v>
      </c>
      <c r="H215" s="22">
        <v>357</v>
      </c>
      <c r="I215" s="25">
        <v>43150</v>
      </c>
      <c r="J215" s="24">
        <v>43176</v>
      </c>
    </row>
    <row r="216" spans="2:10" x14ac:dyDescent="0.2">
      <c r="B216" s="22">
        <v>211</v>
      </c>
      <c r="C216" s="21" t="s">
        <v>3756</v>
      </c>
      <c r="D216" s="21" t="s">
        <v>660</v>
      </c>
      <c r="E216" s="20" t="s">
        <v>3757</v>
      </c>
      <c r="F216" s="22">
        <v>1.1759999999999999</v>
      </c>
      <c r="G216" s="22" t="s">
        <v>3758</v>
      </c>
      <c r="H216" s="22">
        <v>2</v>
      </c>
      <c r="I216" s="25">
        <v>43415</v>
      </c>
      <c r="J216" s="24">
        <v>43449</v>
      </c>
    </row>
    <row r="217" spans="2:10" x14ac:dyDescent="0.2">
      <c r="B217" s="22">
        <v>212</v>
      </c>
      <c r="C217" s="21" t="s">
        <v>3759</v>
      </c>
      <c r="D217" s="21" t="s">
        <v>1273</v>
      </c>
      <c r="E217" s="20" t="s">
        <v>3760</v>
      </c>
      <c r="F217" s="22">
        <v>330</v>
      </c>
      <c r="G217" s="22" t="s">
        <v>3761</v>
      </c>
      <c r="H217" s="22">
        <v>330</v>
      </c>
      <c r="I217" s="25">
        <v>43387</v>
      </c>
      <c r="J217" s="24">
        <v>43393</v>
      </c>
    </row>
    <row r="218" spans="2:10" x14ac:dyDescent="0.2">
      <c r="B218" s="22">
        <v>213</v>
      </c>
      <c r="C218" s="21" t="s">
        <v>3762</v>
      </c>
      <c r="D218" s="21" t="s">
        <v>1152</v>
      </c>
      <c r="E218" s="20" t="s">
        <v>3763</v>
      </c>
      <c r="F218" s="22">
        <v>753</v>
      </c>
      <c r="G218" s="22" t="s">
        <v>1159</v>
      </c>
      <c r="H218" s="22" t="s">
        <v>1159</v>
      </c>
      <c r="I218" s="25">
        <v>43363</v>
      </c>
      <c r="J218" s="24">
        <v>43379</v>
      </c>
    </row>
    <row r="219" spans="2:10" x14ac:dyDescent="0.2">
      <c r="B219" s="22">
        <v>214</v>
      </c>
      <c r="C219" s="21" t="s">
        <v>3764</v>
      </c>
      <c r="D219" s="21" t="s">
        <v>1294</v>
      </c>
      <c r="E219" s="20" t="s">
        <v>3765</v>
      </c>
      <c r="F219" s="22">
        <v>88</v>
      </c>
      <c r="G219" s="22" t="s">
        <v>3766</v>
      </c>
      <c r="H219" s="22">
        <v>5</v>
      </c>
      <c r="I219" s="25">
        <v>43240</v>
      </c>
      <c r="J219" s="24">
        <v>43348</v>
      </c>
    </row>
    <row r="220" spans="2:10" x14ac:dyDescent="0.2">
      <c r="B220" s="22">
        <v>215</v>
      </c>
      <c r="C220" s="21" t="s">
        <v>3767</v>
      </c>
      <c r="D220" s="21" t="s">
        <v>1015</v>
      </c>
      <c r="E220" s="20" t="s">
        <v>3768</v>
      </c>
      <c r="F220" s="22">
        <v>848</v>
      </c>
      <c r="G220" s="22" t="s">
        <v>3769</v>
      </c>
      <c r="H220" s="22">
        <v>2</v>
      </c>
      <c r="I220" s="25">
        <v>43443</v>
      </c>
      <c r="J220" s="24">
        <v>43182</v>
      </c>
    </row>
    <row r="221" spans="2:10" x14ac:dyDescent="0.2">
      <c r="B221" s="22">
        <v>216</v>
      </c>
      <c r="C221" s="21" t="s">
        <v>3770</v>
      </c>
      <c r="D221" s="21" t="s">
        <v>1015</v>
      </c>
      <c r="E221" s="20" t="s">
        <v>3771</v>
      </c>
      <c r="F221" s="22">
        <v>741</v>
      </c>
      <c r="G221" s="22" t="s">
        <v>3772</v>
      </c>
      <c r="H221" s="22">
        <v>5</v>
      </c>
      <c r="I221" s="25">
        <v>43184</v>
      </c>
      <c r="J221" s="24">
        <v>43260</v>
      </c>
    </row>
    <row r="222" spans="2:10" x14ac:dyDescent="0.2">
      <c r="B222" s="22">
        <v>217</v>
      </c>
      <c r="C222" s="21" t="s">
        <v>3773</v>
      </c>
      <c r="D222" s="21" t="s">
        <v>1015</v>
      </c>
      <c r="E222" s="20" t="s">
        <v>3774</v>
      </c>
      <c r="F222" s="22">
        <v>255</v>
      </c>
      <c r="G222" s="22" t="s">
        <v>3775</v>
      </c>
      <c r="H222" s="22">
        <v>4</v>
      </c>
      <c r="I222" s="25">
        <v>43310</v>
      </c>
      <c r="J222" s="24">
        <v>43421</v>
      </c>
    </row>
    <row r="223" spans="2:10" x14ac:dyDescent="0.2">
      <c r="B223" s="22">
        <v>218</v>
      </c>
      <c r="C223" s="21" t="s">
        <v>3776</v>
      </c>
      <c r="D223" s="21" t="s">
        <v>1204</v>
      </c>
      <c r="E223" s="20" t="s">
        <v>3777</v>
      </c>
      <c r="F223" s="22">
        <v>121</v>
      </c>
      <c r="G223" s="22" t="s">
        <v>3778</v>
      </c>
      <c r="H223" s="22">
        <v>73</v>
      </c>
      <c r="I223" s="25">
        <v>43150</v>
      </c>
      <c r="J223" s="24">
        <v>43169</v>
      </c>
    </row>
    <row r="224" spans="2:10" x14ac:dyDescent="0.2">
      <c r="B224" s="22">
        <v>219</v>
      </c>
      <c r="C224" s="21" t="s">
        <v>3779</v>
      </c>
      <c r="D224" s="21" t="s">
        <v>820</v>
      </c>
      <c r="E224" s="20" t="s">
        <v>3780</v>
      </c>
      <c r="F224" s="22">
        <v>1.21</v>
      </c>
      <c r="G224" s="22" t="s">
        <v>3781</v>
      </c>
      <c r="H224" s="22">
        <v>1.21</v>
      </c>
      <c r="I224" s="25">
        <v>43129</v>
      </c>
      <c r="J224" s="24">
        <v>43156</v>
      </c>
    </row>
    <row r="225" spans="2:10" x14ac:dyDescent="0.2">
      <c r="B225" s="22">
        <v>220</v>
      </c>
      <c r="C225" s="21" t="s">
        <v>3782</v>
      </c>
      <c r="D225" s="21" t="s">
        <v>1043</v>
      </c>
      <c r="E225" s="20" t="s">
        <v>3783</v>
      </c>
      <c r="F225" s="22">
        <v>303</v>
      </c>
      <c r="G225" s="22" t="s">
        <v>3784</v>
      </c>
      <c r="H225" s="22">
        <v>303</v>
      </c>
      <c r="I225" s="25">
        <v>43387</v>
      </c>
      <c r="J225" s="24">
        <v>43456</v>
      </c>
    </row>
    <row r="226" spans="2:10" x14ac:dyDescent="0.2">
      <c r="B226" s="22">
        <v>221</v>
      </c>
      <c r="C226" s="21" t="s">
        <v>3785</v>
      </c>
      <c r="D226" s="21" t="s">
        <v>1015</v>
      </c>
      <c r="E226" s="20" t="s">
        <v>3786</v>
      </c>
      <c r="F226" s="22">
        <v>63</v>
      </c>
      <c r="G226" s="22" t="s">
        <v>3787</v>
      </c>
      <c r="H226" s="22">
        <v>6</v>
      </c>
      <c r="I226" s="25">
        <v>43455</v>
      </c>
      <c r="J226" s="24">
        <v>43224</v>
      </c>
    </row>
    <row r="227" spans="2:10" x14ac:dyDescent="0.2">
      <c r="B227" s="22">
        <v>222</v>
      </c>
      <c r="C227" s="21" t="s">
        <v>3788</v>
      </c>
      <c r="D227" s="21" t="s">
        <v>1015</v>
      </c>
      <c r="E227" s="20" t="s">
        <v>3789</v>
      </c>
      <c r="F227" s="22">
        <v>112</v>
      </c>
      <c r="G227" s="22" t="s">
        <v>3790</v>
      </c>
      <c r="H227" s="22">
        <v>3</v>
      </c>
      <c r="I227" s="25">
        <v>43459</v>
      </c>
      <c r="J227" s="24">
        <v>43238</v>
      </c>
    </row>
    <row r="228" spans="2:10" x14ac:dyDescent="0.2">
      <c r="B228" s="22">
        <v>223</v>
      </c>
      <c r="C228" s="21" t="s">
        <v>3791</v>
      </c>
      <c r="D228" s="21" t="s">
        <v>1043</v>
      </c>
      <c r="E228" s="20" t="s">
        <v>3792</v>
      </c>
      <c r="F228" s="22">
        <v>152</v>
      </c>
      <c r="G228" s="22" t="s">
        <v>3793</v>
      </c>
      <c r="H228" s="22">
        <v>16</v>
      </c>
      <c r="I228" s="25">
        <v>43261</v>
      </c>
      <c r="J228" s="24">
        <v>43330</v>
      </c>
    </row>
    <row r="229" spans="2:10" x14ac:dyDescent="0.2">
      <c r="B229" s="22">
        <v>224</v>
      </c>
      <c r="C229" s="21" t="s">
        <v>3794</v>
      </c>
      <c r="D229" s="21" t="s">
        <v>1135</v>
      </c>
      <c r="E229" s="20" t="s">
        <v>3795</v>
      </c>
      <c r="F229" s="22">
        <v>163</v>
      </c>
      <c r="G229" s="22" t="s">
        <v>3796</v>
      </c>
      <c r="H229" s="22">
        <v>52</v>
      </c>
      <c r="I229" s="25">
        <v>43143</v>
      </c>
      <c r="J229" s="22" t="s">
        <v>558</v>
      </c>
    </row>
    <row r="230" spans="2:10" x14ac:dyDescent="0.2">
      <c r="B230" s="22">
        <v>225</v>
      </c>
      <c r="C230" s="21" t="s">
        <v>3797</v>
      </c>
      <c r="D230" s="21" t="s">
        <v>966</v>
      </c>
      <c r="E230" s="20" t="s">
        <v>3798</v>
      </c>
      <c r="F230" s="22">
        <v>783</v>
      </c>
      <c r="G230" s="22" t="s">
        <v>3799</v>
      </c>
      <c r="H230" s="22">
        <v>783</v>
      </c>
      <c r="I230" s="25">
        <v>43275</v>
      </c>
      <c r="J230" s="24">
        <v>43316</v>
      </c>
    </row>
    <row r="231" spans="2:10" x14ac:dyDescent="0.2">
      <c r="B231" s="22">
        <v>226</v>
      </c>
      <c r="C231" s="21" t="s">
        <v>3800</v>
      </c>
      <c r="D231" s="21" t="s">
        <v>1142</v>
      </c>
      <c r="E231" s="20" t="s">
        <v>3801</v>
      </c>
      <c r="F231" s="22">
        <v>93</v>
      </c>
      <c r="G231" s="22" t="s">
        <v>3802</v>
      </c>
      <c r="H231" s="22">
        <v>3</v>
      </c>
      <c r="I231" s="25">
        <v>43148</v>
      </c>
      <c r="J231" s="24">
        <v>43274</v>
      </c>
    </row>
    <row r="232" spans="2:10" x14ac:dyDescent="0.2">
      <c r="B232" s="22">
        <v>227</v>
      </c>
      <c r="C232" s="21" t="s">
        <v>3803</v>
      </c>
      <c r="D232" s="21" t="s">
        <v>1415</v>
      </c>
      <c r="E232" s="20" t="s">
        <v>3804</v>
      </c>
      <c r="F232" s="22">
        <v>145</v>
      </c>
      <c r="G232" s="22" t="s">
        <v>3805</v>
      </c>
      <c r="H232" s="22">
        <v>145</v>
      </c>
      <c r="I232" s="25">
        <v>43254</v>
      </c>
      <c r="J232" s="24">
        <v>43274</v>
      </c>
    </row>
    <row r="233" spans="2:10" x14ac:dyDescent="0.2">
      <c r="B233" s="22">
        <v>228</v>
      </c>
      <c r="C233" s="21" t="s">
        <v>3806</v>
      </c>
      <c r="D233" s="21" t="s">
        <v>1377</v>
      </c>
      <c r="E233" s="20" t="s">
        <v>3807</v>
      </c>
      <c r="F233" s="22">
        <v>246</v>
      </c>
      <c r="G233" s="22" t="s">
        <v>3808</v>
      </c>
      <c r="H233" s="22">
        <v>246</v>
      </c>
      <c r="I233" s="25">
        <v>43324</v>
      </c>
      <c r="J233" s="24">
        <v>43351</v>
      </c>
    </row>
    <row r="234" spans="2:10" x14ac:dyDescent="0.2">
      <c r="B234" s="22">
        <v>229</v>
      </c>
      <c r="C234" s="21" t="s">
        <v>3809</v>
      </c>
      <c r="D234" s="21" t="s">
        <v>3810</v>
      </c>
      <c r="E234" s="20" t="s">
        <v>3811</v>
      </c>
      <c r="F234" s="22">
        <v>35</v>
      </c>
      <c r="G234" s="22" t="s">
        <v>3812</v>
      </c>
      <c r="H234" s="22">
        <v>35</v>
      </c>
      <c r="I234" s="25">
        <v>43127</v>
      </c>
      <c r="J234" s="24">
        <v>43142</v>
      </c>
    </row>
    <row r="235" spans="2:10" x14ac:dyDescent="0.2">
      <c r="B235" s="22">
        <v>230</v>
      </c>
      <c r="C235" s="21" t="s">
        <v>3813</v>
      </c>
      <c r="D235" s="21" t="s">
        <v>1095</v>
      </c>
      <c r="E235" s="20" t="s">
        <v>3814</v>
      </c>
      <c r="F235" s="22">
        <v>82</v>
      </c>
      <c r="G235" s="22" t="s">
        <v>3815</v>
      </c>
      <c r="H235" s="22">
        <v>3</v>
      </c>
      <c r="I235" s="25">
        <v>43261</v>
      </c>
      <c r="J235" s="24">
        <v>43393</v>
      </c>
    </row>
    <row r="236" spans="2:10" x14ac:dyDescent="0.2">
      <c r="B236" s="22">
        <v>231</v>
      </c>
      <c r="C236" s="21" t="s">
        <v>3816</v>
      </c>
      <c r="D236" s="21" t="s">
        <v>1930</v>
      </c>
      <c r="E236" s="20" t="s">
        <v>3817</v>
      </c>
      <c r="F236" s="22">
        <v>95</v>
      </c>
      <c r="G236" s="22" t="s">
        <v>3818</v>
      </c>
      <c r="H236" s="22">
        <v>1</v>
      </c>
      <c r="I236" s="25">
        <v>43191</v>
      </c>
      <c r="J236" s="24">
        <v>43365</v>
      </c>
    </row>
    <row r="237" spans="2:10" x14ac:dyDescent="0.2">
      <c r="B237" s="22">
        <v>232</v>
      </c>
      <c r="C237" s="21" t="s">
        <v>3819</v>
      </c>
      <c r="D237" s="21" t="s">
        <v>1314</v>
      </c>
      <c r="E237" s="20" t="s">
        <v>3820</v>
      </c>
      <c r="F237" s="22">
        <v>55</v>
      </c>
      <c r="G237" s="22" t="s">
        <v>3821</v>
      </c>
      <c r="H237" s="22">
        <v>9</v>
      </c>
      <c r="I237" s="25">
        <v>43143</v>
      </c>
      <c r="J237" s="24">
        <v>43326</v>
      </c>
    </row>
    <row r="238" spans="2:10" x14ac:dyDescent="0.2">
      <c r="B238" s="22">
        <v>233</v>
      </c>
      <c r="C238" s="21" t="s">
        <v>3822</v>
      </c>
      <c r="D238" s="21" t="s">
        <v>1217</v>
      </c>
      <c r="E238" s="20" t="s">
        <v>3823</v>
      </c>
      <c r="F238" s="22">
        <v>111</v>
      </c>
      <c r="G238" s="22" t="s">
        <v>3824</v>
      </c>
      <c r="H238" s="22">
        <v>111</v>
      </c>
      <c r="I238" s="25">
        <v>43108</v>
      </c>
      <c r="J238" s="24">
        <v>43142</v>
      </c>
    </row>
    <row r="239" spans="2:10" x14ac:dyDescent="0.2">
      <c r="B239" s="22">
        <v>234</v>
      </c>
      <c r="C239" s="21" t="s">
        <v>3825</v>
      </c>
      <c r="D239" s="21" t="s">
        <v>3826</v>
      </c>
      <c r="E239" s="20" t="s">
        <v>3827</v>
      </c>
      <c r="F239" s="22">
        <v>325</v>
      </c>
      <c r="G239" s="22" t="s">
        <v>3828</v>
      </c>
      <c r="H239" s="22">
        <v>325</v>
      </c>
      <c r="I239" s="25">
        <v>43219</v>
      </c>
      <c r="J239" s="24">
        <v>43267</v>
      </c>
    </row>
    <row r="240" spans="2:10" x14ac:dyDescent="0.2">
      <c r="B240" s="22">
        <v>235</v>
      </c>
      <c r="C240" s="21" t="s">
        <v>3829</v>
      </c>
      <c r="D240" s="21" t="s">
        <v>3830</v>
      </c>
      <c r="E240" s="20" t="s">
        <v>3831</v>
      </c>
      <c r="F240" s="22">
        <v>531</v>
      </c>
      <c r="G240" s="22" t="s">
        <v>1159</v>
      </c>
      <c r="H240" s="22" t="s">
        <v>1159</v>
      </c>
      <c r="I240" s="25">
        <v>43342</v>
      </c>
      <c r="J240" s="24">
        <v>43356</v>
      </c>
    </row>
    <row r="241" spans="2:10" x14ac:dyDescent="0.2">
      <c r="B241" s="22">
        <v>236</v>
      </c>
      <c r="C241" s="21" t="s">
        <v>3832</v>
      </c>
      <c r="D241" s="21" t="s">
        <v>1294</v>
      </c>
      <c r="E241" s="20" t="s">
        <v>3833</v>
      </c>
      <c r="F241" s="22">
        <v>138</v>
      </c>
      <c r="G241" s="22" t="s">
        <v>3834</v>
      </c>
      <c r="H241" s="22">
        <v>5</v>
      </c>
      <c r="I241" s="25">
        <v>43387</v>
      </c>
      <c r="J241" s="24">
        <v>43456</v>
      </c>
    </row>
    <row r="242" spans="2:10" x14ac:dyDescent="0.2">
      <c r="B242" s="22">
        <v>237</v>
      </c>
      <c r="C242" s="21" t="s">
        <v>3835</v>
      </c>
      <c r="D242" s="21" t="s">
        <v>1124</v>
      </c>
      <c r="E242" s="20" t="s">
        <v>3836</v>
      </c>
      <c r="F242" s="22">
        <v>133</v>
      </c>
      <c r="G242" s="22" t="s">
        <v>3837</v>
      </c>
      <c r="H242" s="22">
        <v>133</v>
      </c>
      <c r="I242" s="25">
        <v>43324</v>
      </c>
      <c r="J242" s="24">
        <v>43330</v>
      </c>
    </row>
    <row r="243" spans="2:10" x14ac:dyDescent="0.2">
      <c r="B243" s="22">
        <v>238</v>
      </c>
      <c r="C243" s="21" t="s">
        <v>3838</v>
      </c>
      <c r="D243" s="21" t="s">
        <v>1213</v>
      </c>
      <c r="E243" s="20" t="s">
        <v>3839</v>
      </c>
      <c r="F243" s="22">
        <v>69</v>
      </c>
      <c r="G243" s="22" t="s">
        <v>3840</v>
      </c>
      <c r="H243" s="22">
        <v>3</v>
      </c>
      <c r="I243" s="25">
        <v>43282</v>
      </c>
      <c r="J243" s="24">
        <v>43379</v>
      </c>
    </row>
    <row r="244" spans="2:10" x14ac:dyDescent="0.2">
      <c r="B244" s="22">
        <v>239</v>
      </c>
      <c r="C244" s="21" t="s">
        <v>3841</v>
      </c>
      <c r="D244" s="21" t="s">
        <v>869</v>
      </c>
      <c r="E244" s="20" t="s">
        <v>3842</v>
      </c>
      <c r="F244" s="22">
        <v>381</v>
      </c>
      <c r="G244" s="22" t="s">
        <v>3843</v>
      </c>
      <c r="H244" s="22">
        <v>381</v>
      </c>
      <c r="I244" s="25">
        <v>43212</v>
      </c>
      <c r="J244" s="24">
        <v>43232</v>
      </c>
    </row>
    <row r="245" spans="2:10" x14ac:dyDescent="0.2">
      <c r="B245" s="22">
        <v>240</v>
      </c>
      <c r="C245" s="21" t="s">
        <v>3844</v>
      </c>
      <c r="D245" s="21" t="s">
        <v>1332</v>
      </c>
      <c r="E245" s="20" t="s">
        <v>3845</v>
      </c>
      <c r="F245" s="22">
        <v>114</v>
      </c>
      <c r="G245" s="22" t="s">
        <v>3846</v>
      </c>
      <c r="H245" s="22">
        <v>1</v>
      </c>
      <c r="I245" s="25">
        <v>43317</v>
      </c>
      <c r="J245" s="24">
        <v>43365</v>
      </c>
    </row>
    <row r="246" spans="2:10" x14ac:dyDescent="0.2">
      <c r="B246" s="22">
        <v>241</v>
      </c>
      <c r="C246" s="21" t="s">
        <v>3847</v>
      </c>
      <c r="D246" s="21" t="s">
        <v>1015</v>
      </c>
      <c r="E246" s="20" t="s">
        <v>3848</v>
      </c>
      <c r="F246" s="22">
        <v>298</v>
      </c>
      <c r="G246" s="22" t="s">
        <v>3849</v>
      </c>
      <c r="H246" s="22">
        <v>4</v>
      </c>
      <c r="I246" s="25">
        <v>43338</v>
      </c>
      <c r="J246" s="24">
        <v>43449</v>
      </c>
    </row>
    <row r="247" spans="2:10" x14ac:dyDescent="0.2">
      <c r="B247" s="22">
        <v>242</v>
      </c>
      <c r="C247" s="21" t="s">
        <v>3850</v>
      </c>
      <c r="D247" s="21" t="s">
        <v>1415</v>
      </c>
      <c r="E247" s="20" t="s">
        <v>3851</v>
      </c>
      <c r="F247" s="22">
        <v>146</v>
      </c>
      <c r="G247" s="22" t="s">
        <v>3852</v>
      </c>
      <c r="H247" s="22">
        <v>146</v>
      </c>
      <c r="I247" s="25">
        <v>43352</v>
      </c>
      <c r="J247" s="24">
        <v>43372</v>
      </c>
    </row>
    <row r="248" spans="2:10" x14ac:dyDescent="0.2">
      <c r="B248" s="22">
        <v>243</v>
      </c>
      <c r="C248" s="21" t="s">
        <v>3853</v>
      </c>
      <c r="D248" s="21" t="s">
        <v>1015</v>
      </c>
      <c r="E248" s="20" t="s">
        <v>3854</v>
      </c>
      <c r="F248" s="22">
        <v>74</v>
      </c>
      <c r="G248" s="22" t="s">
        <v>3855</v>
      </c>
      <c r="H248" s="22">
        <v>3</v>
      </c>
      <c r="I248" s="25">
        <v>43226</v>
      </c>
      <c r="J248" s="24">
        <v>43435</v>
      </c>
    </row>
    <row r="249" spans="2:10" x14ac:dyDescent="0.2">
      <c r="B249" s="22">
        <v>244</v>
      </c>
      <c r="C249" s="21" t="s">
        <v>3856</v>
      </c>
      <c r="D249" s="21" t="s">
        <v>1095</v>
      </c>
      <c r="E249" s="20" t="s">
        <v>3857</v>
      </c>
      <c r="F249" s="22">
        <v>46</v>
      </c>
      <c r="G249" s="22" t="s">
        <v>3858</v>
      </c>
      <c r="H249" s="22">
        <v>3</v>
      </c>
      <c r="I249" s="25">
        <v>43450</v>
      </c>
      <c r="J249" s="24">
        <v>43231</v>
      </c>
    </row>
    <row r="250" spans="2:10" x14ac:dyDescent="0.2">
      <c r="B250" s="22">
        <v>245</v>
      </c>
      <c r="C250" s="21" t="s">
        <v>3859</v>
      </c>
      <c r="D250" s="21" t="s">
        <v>3860</v>
      </c>
      <c r="E250" s="20" t="s">
        <v>3861</v>
      </c>
      <c r="F250" s="22">
        <v>126</v>
      </c>
      <c r="G250" s="22" t="s">
        <v>3862</v>
      </c>
      <c r="H250" s="22">
        <v>126</v>
      </c>
      <c r="I250" s="25">
        <v>43268</v>
      </c>
      <c r="J250" s="24">
        <v>43295</v>
      </c>
    </row>
    <row r="251" spans="2:10" x14ac:dyDescent="0.2">
      <c r="B251" s="22">
        <v>246</v>
      </c>
      <c r="C251" s="21" t="s">
        <v>3863</v>
      </c>
      <c r="D251" s="21" t="s">
        <v>2197</v>
      </c>
      <c r="E251" s="20" t="s">
        <v>3864</v>
      </c>
      <c r="F251" s="22">
        <v>638</v>
      </c>
      <c r="G251" s="22" t="s">
        <v>3865</v>
      </c>
      <c r="H251" s="22">
        <v>638</v>
      </c>
      <c r="I251" s="25">
        <v>43436</v>
      </c>
      <c r="J251" s="24">
        <v>43105</v>
      </c>
    </row>
    <row r="252" spans="2:10" x14ac:dyDescent="0.2">
      <c r="B252" s="22">
        <v>247</v>
      </c>
      <c r="C252" s="21" t="s">
        <v>3866</v>
      </c>
      <c r="D252" s="21" t="s">
        <v>1415</v>
      </c>
      <c r="E252" s="20" t="s">
        <v>3867</v>
      </c>
      <c r="F252" s="22">
        <v>148</v>
      </c>
      <c r="G252" s="22" t="s">
        <v>3868</v>
      </c>
      <c r="H252" s="22">
        <v>148</v>
      </c>
      <c r="I252" s="25">
        <v>43191</v>
      </c>
      <c r="J252" s="24">
        <v>43204</v>
      </c>
    </row>
    <row r="253" spans="2:10" x14ac:dyDescent="0.2">
      <c r="B253" s="22">
        <v>248</v>
      </c>
      <c r="C253" s="21" t="s">
        <v>3869</v>
      </c>
      <c r="D253" s="21" t="s">
        <v>3711</v>
      </c>
      <c r="E253" s="20" t="s">
        <v>3870</v>
      </c>
      <c r="F253" s="22">
        <v>112</v>
      </c>
      <c r="G253" s="22" t="s">
        <v>3871</v>
      </c>
      <c r="H253" s="22">
        <v>112</v>
      </c>
      <c r="I253" s="25">
        <v>43379</v>
      </c>
      <c r="J253" s="24">
        <v>43418</v>
      </c>
    </row>
    <row r="254" spans="2:10" x14ac:dyDescent="0.2">
      <c r="B254" s="22">
        <v>249</v>
      </c>
      <c r="C254" s="21" t="s">
        <v>3872</v>
      </c>
      <c r="D254" s="21" t="s">
        <v>1415</v>
      </c>
      <c r="E254" s="20" t="s">
        <v>3873</v>
      </c>
      <c r="F254" s="22">
        <v>113</v>
      </c>
      <c r="G254" s="22" t="s">
        <v>3874</v>
      </c>
      <c r="H254" s="22">
        <v>113</v>
      </c>
      <c r="I254" s="25">
        <v>43310</v>
      </c>
      <c r="J254" s="24">
        <v>43330</v>
      </c>
    </row>
    <row r="255" spans="2:10" x14ac:dyDescent="0.2">
      <c r="B255" s="22">
        <v>250</v>
      </c>
      <c r="C255" s="21" t="s">
        <v>3875</v>
      </c>
      <c r="D255" s="21" t="s">
        <v>1235</v>
      </c>
      <c r="E255" s="20" t="s">
        <v>3876</v>
      </c>
      <c r="F255" s="22">
        <v>29</v>
      </c>
      <c r="G255" s="22" t="s">
        <v>3877</v>
      </c>
      <c r="H255" s="22">
        <v>25</v>
      </c>
      <c r="I255" s="25">
        <v>43373</v>
      </c>
      <c r="J255" s="24">
        <v>43428</v>
      </c>
    </row>
    <row r="256" spans="2:10" x14ac:dyDescent="0.2">
      <c r="B256" s="22">
        <v>251</v>
      </c>
      <c r="C256" s="21" t="s">
        <v>3878</v>
      </c>
      <c r="D256" s="21" t="s">
        <v>1235</v>
      </c>
      <c r="E256" s="20" t="s">
        <v>3879</v>
      </c>
      <c r="F256" s="22">
        <v>35</v>
      </c>
      <c r="G256" s="22" t="s">
        <v>3880</v>
      </c>
      <c r="H256" s="22">
        <v>2</v>
      </c>
      <c r="I256" s="25">
        <v>43240</v>
      </c>
      <c r="J256" s="24">
        <v>43372</v>
      </c>
    </row>
    <row r="257" spans="2:10" x14ac:dyDescent="0.2">
      <c r="B257" s="22">
        <v>252</v>
      </c>
      <c r="C257" s="21">
        <v>31</v>
      </c>
      <c r="D257" s="21" t="s">
        <v>3881</v>
      </c>
      <c r="E257" s="20" t="s">
        <v>3882</v>
      </c>
      <c r="F257" s="22">
        <v>538</v>
      </c>
      <c r="G257" s="22" t="s">
        <v>1159</v>
      </c>
      <c r="H257" s="22" t="s">
        <v>1159</v>
      </c>
      <c r="I257" s="25">
        <v>43338</v>
      </c>
      <c r="J257" s="24">
        <v>43403</v>
      </c>
    </row>
    <row r="258" spans="2:10" x14ac:dyDescent="0.2">
      <c r="B258" s="22">
        <v>253</v>
      </c>
      <c r="C258" s="21" t="s">
        <v>3883</v>
      </c>
      <c r="D258" s="21" t="s">
        <v>1210</v>
      </c>
      <c r="E258" s="20" t="s">
        <v>3884</v>
      </c>
      <c r="F258" s="22">
        <v>46</v>
      </c>
      <c r="G258" s="22" t="s">
        <v>3885</v>
      </c>
      <c r="H258" s="22">
        <v>20</v>
      </c>
      <c r="I258" s="25">
        <v>43191</v>
      </c>
      <c r="J258" s="24">
        <v>43216</v>
      </c>
    </row>
    <row r="259" spans="2:10" x14ac:dyDescent="0.2">
      <c r="B259" s="22">
        <v>254</v>
      </c>
      <c r="C259" s="21" t="s">
        <v>3886</v>
      </c>
      <c r="D259" s="21" t="s">
        <v>563</v>
      </c>
      <c r="E259" s="20" t="s">
        <v>3887</v>
      </c>
      <c r="F259" s="22">
        <v>129</v>
      </c>
      <c r="G259" s="22" t="s">
        <v>1159</v>
      </c>
      <c r="H259" s="22" t="s">
        <v>1159</v>
      </c>
      <c r="I259" s="25">
        <v>43415</v>
      </c>
      <c r="J259" s="22" t="s">
        <v>558</v>
      </c>
    </row>
    <row r="260" spans="2:10" x14ac:dyDescent="0.2">
      <c r="B260" s="22">
        <v>255</v>
      </c>
      <c r="C260" s="21" t="s">
        <v>3888</v>
      </c>
      <c r="D260" s="21" t="s">
        <v>1210</v>
      </c>
      <c r="E260" s="20" t="s">
        <v>3889</v>
      </c>
      <c r="F260" s="22">
        <v>50</v>
      </c>
      <c r="G260" s="22" t="s">
        <v>3890</v>
      </c>
      <c r="H260" s="22">
        <v>50</v>
      </c>
      <c r="I260" s="25">
        <v>43373</v>
      </c>
      <c r="J260" s="24">
        <v>43414</v>
      </c>
    </row>
    <row r="261" spans="2:10" x14ac:dyDescent="0.2">
      <c r="B261" s="22">
        <v>256</v>
      </c>
      <c r="C261" s="21" t="s">
        <v>3891</v>
      </c>
      <c r="D261" s="21" t="s">
        <v>1260</v>
      </c>
      <c r="E261" s="20" t="s">
        <v>3892</v>
      </c>
      <c r="F261" s="22">
        <v>28</v>
      </c>
      <c r="G261" s="22" t="s">
        <v>3893</v>
      </c>
      <c r="H261" s="22">
        <v>9</v>
      </c>
      <c r="I261" s="25">
        <v>43191</v>
      </c>
      <c r="J261" s="24">
        <v>43393</v>
      </c>
    </row>
    <row r="262" spans="2:10" x14ac:dyDescent="0.2">
      <c r="B262" s="22">
        <v>257</v>
      </c>
      <c r="C262" s="21" t="s">
        <v>3894</v>
      </c>
      <c r="D262" s="21" t="s">
        <v>1210</v>
      </c>
      <c r="E262" s="20" t="s">
        <v>3895</v>
      </c>
      <c r="F262" s="22">
        <v>38</v>
      </c>
      <c r="G262" s="22" t="s">
        <v>3896</v>
      </c>
      <c r="H262" s="22">
        <v>38</v>
      </c>
      <c r="I262" s="25">
        <v>43136</v>
      </c>
      <c r="J262" s="24">
        <v>43197</v>
      </c>
    </row>
    <row r="263" spans="2:10" x14ac:dyDescent="0.2">
      <c r="B263" s="22">
        <v>258</v>
      </c>
      <c r="C263" s="21" t="s">
        <v>3897</v>
      </c>
      <c r="D263" s="21" t="s">
        <v>1039</v>
      </c>
      <c r="E263" s="20" t="s">
        <v>3898</v>
      </c>
      <c r="F263" s="22">
        <v>61</v>
      </c>
      <c r="G263" s="22" t="s">
        <v>3899</v>
      </c>
      <c r="H263" s="22">
        <v>2</v>
      </c>
      <c r="I263" s="25">
        <v>43317</v>
      </c>
      <c r="J263" s="24">
        <v>43435</v>
      </c>
    </row>
    <row r="264" spans="2:10" x14ac:dyDescent="0.2">
      <c r="B264" s="22">
        <v>259</v>
      </c>
      <c r="C264" s="21" t="s">
        <v>3900</v>
      </c>
      <c r="D264" s="21" t="s">
        <v>1415</v>
      </c>
      <c r="E264" s="20" t="s">
        <v>3901</v>
      </c>
      <c r="F264" s="22">
        <v>103</v>
      </c>
      <c r="G264" s="22" t="s">
        <v>3902</v>
      </c>
      <c r="H264" s="22">
        <v>103</v>
      </c>
      <c r="I264" s="25">
        <v>43415</v>
      </c>
      <c r="J264" s="24">
        <v>43442</v>
      </c>
    </row>
    <row r="265" spans="2:10" x14ac:dyDescent="0.2">
      <c r="B265" s="22">
        <v>260</v>
      </c>
      <c r="C265" s="21" t="s">
        <v>3903</v>
      </c>
      <c r="D265" s="21" t="s">
        <v>2197</v>
      </c>
      <c r="E265" s="20" t="s">
        <v>3904</v>
      </c>
      <c r="F265" s="22">
        <v>354</v>
      </c>
      <c r="G265" s="22" t="s">
        <v>3905</v>
      </c>
      <c r="H265" s="22">
        <v>354</v>
      </c>
      <c r="I265" s="25">
        <v>43359</v>
      </c>
      <c r="J265" s="24">
        <v>43404</v>
      </c>
    </row>
    <row r="266" spans="2:10" x14ac:dyDescent="0.2">
      <c r="B266" s="22">
        <v>261</v>
      </c>
      <c r="C266" s="21" t="s">
        <v>3906</v>
      </c>
      <c r="D266" s="21" t="s">
        <v>1294</v>
      </c>
      <c r="E266" s="20" t="s">
        <v>3907</v>
      </c>
      <c r="F266" s="22">
        <v>79</v>
      </c>
      <c r="G266" s="22" t="s">
        <v>3908</v>
      </c>
      <c r="H266" s="22">
        <v>3</v>
      </c>
      <c r="I266" s="25">
        <v>43184</v>
      </c>
      <c r="J266" s="24">
        <v>43260</v>
      </c>
    </row>
    <row r="267" spans="2:10" x14ac:dyDescent="0.2">
      <c r="B267" s="22">
        <v>262</v>
      </c>
      <c r="C267" s="21" t="s">
        <v>3909</v>
      </c>
      <c r="D267" s="21" t="s">
        <v>38</v>
      </c>
      <c r="E267" s="20" t="s">
        <v>3910</v>
      </c>
      <c r="F267" s="22">
        <v>135</v>
      </c>
      <c r="G267" s="22" t="s">
        <v>3911</v>
      </c>
      <c r="H267" s="22">
        <v>4</v>
      </c>
      <c r="I267" s="25">
        <v>43373</v>
      </c>
      <c r="J267" s="24">
        <v>43442</v>
      </c>
    </row>
    <row r="268" spans="2:10" x14ac:dyDescent="0.2">
      <c r="B268" s="22">
        <v>263</v>
      </c>
      <c r="C268" s="21" t="s">
        <v>3912</v>
      </c>
      <c r="D268" s="21" t="s">
        <v>570</v>
      </c>
      <c r="E268" s="20" t="s">
        <v>3913</v>
      </c>
      <c r="F268" s="22">
        <v>192</v>
      </c>
      <c r="G268" s="22" t="s">
        <v>3914</v>
      </c>
      <c r="H268" s="22">
        <v>192</v>
      </c>
      <c r="I268" s="25">
        <v>43394</v>
      </c>
      <c r="J268" s="24">
        <v>43426</v>
      </c>
    </row>
    <row r="269" spans="2:10" x14ac:dyDescent="0.2">
      <c r="B269" s="22">
        <v>264</v>
      </c>
      <c r="C269" s="21" t="s">
        <v>3915</v>
      </c>
      <c r="D269" s="21" t="s">
        <v>1294</v>
      </c>
      <c r="E269" s="20" t="s">
        <v>3916</v>
      </c>
      <c r="F269" s="22">
        <v>50</v>
      </c>
      <c r="G269" s="22" t="s">
        <v>3917</v>
      </c>
      <c r="H269" s="22">
        <v>4</v>
      </c>
      <c r="I269" s="25">
        <v>43170</v>
      </c>
      <c r="J269" s="24">
        <v>43239</v>
      </c>
    </row>
    <row r="270" spans="2:10" x14ac:dyDescent="0.2">
      <c r="B270" s="22">
        <v>265</v>
      </c>
      <c r="C270" s="21" t="s">
        <v>3918</v>
      </c>
      <c r="D270" s="21" t="s">
        <v>38</v>
      </c>
      <c r="E270" s="20" t="s">
        <v>3919</v>
      </c>
      <c r="F270" s="22">
        <v>60</v>
      </c>
      <c r="G270" s="22" t="s">
        <v>3920</v>
      </c>
      <c r="H270" s="22">
        <v>2</v>
      </c>
      <c r="I270" s="25">
        <v>43170</v>
      </c>
      <c r="J270" s="24">
        <v>43256</v>
      </c>
    </row>
    <row r="271" spans="2:10" x14ac:dyDescent="0.2">
      <c r="B271" s="22">
        <v>266</v>
      </c>
      <c r="C271" s="21" t="s">
        <v>3921</v>
      </c>
      <c r="D271" s="21" t="s">
        <v>3922</v>
      </c>
      <c r="E271" s="20" t="s">
        <v>3923</v>
      </c>
      <c r="F271" s="22">
        <v>260</v>
      </c>
      <c r="G271" s="22" t="s">
        <v>3924</v>
      </c>
      <c r="H271" s="22">
        <v>1</v>
      </c>
      <c r="I271" s="25">
        <v>43266</v>
      </c>
      <c r="J271" s="22" t="s">
        <v>558</v>
      </c>
    </row>
    <row r="272" spans="2:10" x14ac:dyDescent="0.2">
      <c r="B272" s="22">
        <v>267</v>
      </c>
      <c r="C272" s="21" t="s">
        <v>3925</v>
      </c>
      <c r="D272" s="21" t="s">
        <v>1422</v>
      </c>
      <c r="E272" s="20" t="s">
        <v>3926</v>
      </c>
      <c r="F272" s="22">
        <v>77</v>
      </c>
      <c r="G272" s="22" t="s">
        <v>1159</v>
      </c>
      <c r="H272" s="22" t="s">
        <v>1159</v>
      </c>
      <c r="I272" s="25">
        <v>43362</v>
      </c>
      <c r="J272" s="22" t="s">
        <v>558</v>
      </c>
    </row>
    <row r="273" spans="2:10" x14ac:dyDescent="0.2">
      <c r="B273" s="22">
        <v>268</v>
      </c>
      <c r="C273" s="21" t="s">
        <v>3927</v>
      </c>
      <c r="D273" s="21" t="s">
        <v>1015</v>
      </c>
      <c r="E273" s="20" t="s">
        <v>3928</v>
      </c>
      <c r="F273" s="22">
        <v>1.167</v>
      </c>
      <c r="G273" s="22" t="s">
        <v>3929</v>
      </c>
      <c r="H273" s="22">
        <v>1.167</v>
      </c>
      <c r="I273" s="25">
        <v>43177</v>
      </c>
      <c r="J273" s="24">
        <v>43211</v>
      </c>
    </row>
    <row r="274" spans="2:10" x14ac:dyDescent="0.2">
      <c r="B274" s="22">
        <v>269</v>
      </c>
      <c r="C274" s="21" t="s">
        <v>3930</v>
      </c>
      <c r="D274" s="21" t="s">
        <v>1039</v>
      </c>
      <c r="E274" s="20" t="s">
        <v>3931</v>
      </c>
      <c r="F274" s="22">
        <v>53</v>
      </c>
      <c r="G274" s="22" t="s">
        <v>3932</v>
      </c>
      <c r="H274" s="22">
        <v>2</v>
      </c>
      <c r="I274" s="25">
        <v>43268</v>
      </c>
      <c r="J274" s="24">
        <v>43372</v>
      </c>
    </row>
    <row r="275" spans="2:10" x14ac:dyDescent="0.2">
      <c r="B275" s="22">
        <v>270</v>
      </c>
      <c r="C275" s="21" t="s">
        <v>3933</v>
      </c>
      <c r="D275" s="21" t="s">
        <v>1332</v>
      </c>
      <c r="E275" s="20" t="s">
        <v>3934</v>
      </c>
      <c r="F275" s="22">
        <v>39</v>
      </c>
      <c r="G275" s="22" t="s">
        <v>3935</v>
      </c>
      <c r="H275" s="22">
        <v>3</v>
      </c>
      <c r="I275" s="25">
        <v>43464</v>
      </c>
      <c r="J275" s="24">
        <v>43140</v>
      </c>
    </row>
    <row r="276" spans="2:10" x14ac:dyDescent="0.2">
      <c r="B276" s="22">
        <v>271</v>
      </c>
      <c r="C276" s="21" t="s">
        <v>3936</v>
      </c>
      <c r="D276" s="21" t="s">
        <v>1039</v>
      </c>
      <c r="E276" s="20" t="s">
        <v>3937</v>
      </c>
      <c r="F276" s="22">
        <v>51</v>
      </c>
      <c r="G276" s="22" t="s">
        <v>3938</v>
      </c>
      <c r="H276" s="22">
        <v>39</v>
      </c>
      <c r="I276" s="25">
        <v>43331</v>
      </c>
      <c r="J276" s="24">
        <v>43421</v>
      </c>
    </row>
    <row r="277" spans="2:10" x14ac:dyDescent="0.2">
      <c r="B277" s="22">
        <v>272</v>
      </c>
      <c r="C277" s="21" t="s">
        <v>3939</v>
      </c>
      <c r="D277" s="21" t="s">
        <v>863</v>
      </c>
      <c r="E277" s="20" t="s">
        <v>3940</v>
      </c>
      <c r="F277" s="22">
        <v>148</v>
      </c>
      <c r="G277" s="22" t="s">
        <v>3941</v>
      </c>
      <c r="H277" s="22">
        <v>9</v>
      </c>
      <c r="I277" s="25">
        <v>43310</v>
      </c>
      <c r="J277" s="24">
        <v>43344</v>
      </c>
    </row>
    <row r="278" spans="2:10" x14ac:dyDescent="0.2">
      <c r="B278" s="22">
        <v>273</v>
      </c>
      <c r="C278" s="21" t="s">
        <v>3942</v>
      </c>
      <c r="D278" s="21" t="s">
        <v>740</v>
      </c>
      <c r="E278" s="20" t="s">
        <v>3943</v>
      </c>
      <c r="F278" s="22">
        <v>66</v>
      </c>
      <c r="G278" s="22" t="s">
        <v>3944</v>
      </c>
      <c r="H278" s="22">
        <v>2</v>
      </c>
      <c r="I278" s="25">
        <v>43331</v>
      </c>
      <c r="J278" s="24">
        <v>43379</v>
      </c>
    </row>
    <row r="279" spans="2:10" x14ac:dyDescent="0.2">
      <c r="B279" s="22">
        <v>274</v>
      </c>
      <c r="C279" s="21" t="s">
        <v>3945</v>
      </c>
      <c r="D279" s="21" t="s">
        <v>1235</v>
      </c>
      <c r="E279" s="20" t="s">
        <v>3946</v>
      </c>
      <c r="F279" s="22">
        <v>36</v>
      </c>
      <c r="G279" s="22" t="s">
        <v>3947</v>
      </c>
      <c r="H279" s="22">
        <v>36</v>
      </c>
      <c r="I279" s="25">
        <v>43338</v>
      </c>
      <c r="J279" s="24">
        <v>43372</v>
      </c>
    </row>
    <row r="280" spans="2:10" x14ac:dyDescent="0.2">
      <c r="B280" s="22">
        <v>275</v>
      </c>
      <c r="C280" s="21" t="s">
        <v>3948</v>
      </c>
      <c r="D280" s="21" t="s">
        <v>966</v>
      </c>
      <c r="E280" s="20" t="s">
        <v>3949</v>
      </c>
      <c r="F280" s="22">
        <v>68</v>
      </c>
      <c r="G280" s="22" t="s">
        <v>3950</v>
      </c>
      <c r="H280" s="22">
        <v>4</v>
      </c>
      <c r="I280" s="25">
        <v>43163</v>
      </c>
      <c r="J280" s="24">
        <v>43232</v>
      </c>
    </row>
    <row r="281" spans="2:10" x14ac:dyDescent="0.2">
      <c r="B281" s="22">
        <v>276</v>
      </c>
      <c r="C281" s="21" t="s">
        <v>3951</v>
      </c>
      <c r="D281" s="21" t="s">
        <v>157</v>
      </c>
      <c r="E281" s="20" t="s">
        <v>3952</v>
      </c>
      <c r="F281" s="22">
        <v>25</v>
      </c>
      <c r="G281" s="22" t="s">
        <v>3953</v>
      </c>
      <c r="H281" s="22">
        <v>18</v>
      </c>
      <c r="I281" s="25">
        <v>43373</v>
      </c>
      <c r="J281" s="24">
        <v>43154</v>
      </c>
    </row>
    <row r="282" spans="2:10" x14ac:dyDescent="0.2">
      <c r="B282" s="22">
        <v>277</v>
      </c>
      <c r="C282" s="21" t="s">
        <v>3954</v>
      </c>
      <c r="D282" s="21" t="s">
        <v>1235</v>
      </c>
      <c r="E282" s="20" t="s">
        <v>3955</v>
      </c>
      <c r="F282" s="22">
        <v>23</v>
      </c>
      <c r="G282" s="22" t="s">
        <v>3956</v>
      </c>
      <c r="H282" s="22">
        <v>22</v>
      </c>
      <c r="I282" s="25">
        <v>43289</v>
      </c>
      <c r="J282" s="24">
        <v>43330</v>
      </c>
    </row>
    <row r="283" spans="2:10" x14ac:dyDescent="0.2">
      <c r="B283" s="22">
        <v>278</v>
      </c>
      <c r="C283" s="21" t="s">
        <v>3957</v>
      </c>
      <c r="D283" s="21" t="s">
        <v>643</v>
      </c>
      <c r="E283" s="20" t="s">
        <v>3958</v>
      </c>
      <c r="F283" s="22">
        <v>70</v>
      </c>
      <c r="G283" s="22" t="s">
        <v>3959</v>
      </c>
      <c r="H283" s="22">
        <v>50</v>
      </c>
      <c r="I283" s="25">
        <v>43394</v>
      </c>
      <c r="J283" s="24">
        <v>43435</v>
      </c>
    </row>
    <row r="284" spans="2:10" x14ac:dyDescent="0.2">
      <c r="B284" s="22">
        <v>279</v>
      </c>
      <c r="C284" s="21" t="s">
        <v>3960</v>
      </c>
      <c r="D284" s="21" t="s">
        <v>1332</v>
      </c>
      <c r="E284" s="20" t="s">
        <v>3961</v>
      </c>
      <c r="F284" s="22">
        <v>33</v>
      </c>
      <c r="G284" s="22" t="s">
        <v>3962</v>
      </c>
      <c r="H284" s="22">
        <v>33</v>
      </c>
      <c r="I284" s="25">
        <v>43366</v>
      </c>
      <c r="J284" s="24">
        <v>43407</v>
      </c>
    </row>
    <row r="285" spans="2:10" x14ac:dyDescent="0.2">
      <c r="B285" s="22">
        <v>280</v>
      </c>
      <c r="C285" s="21" t="s">
        <v>3963</v>
      </c>
      <c r="D285" s="21" t="s">
        <v>1377</v>
      </c>
      <c r="E285" s="20" t="s">
        <v>3964</v>
      </c>
      <c r="F285" s="22">
        <v>147</v>
      </c>
      <c r="G285" s="22" t="s">
        <v>3965</v>
      </c>
      <c r="H285" s="22">
        <v>147</v>
      </c>
      <c r="I285" s="25">
        <v>43143</v>
      </c>
      <c r="J285" s="24">
        <v>43159</v>
      </c>
    </row>
    <row r="286" spans="2:10" x14ac:dyDescent="0.2">
      <c r="B286" s="22">
        <v>281</v>
      </c>
      <c r="C286" s="21" t="s">
        <v>3966</v>
      </c>
      <c r="D286" s="21" t="s">
        <v>1039</v>
      </c>
      <c r="E286" s="20" t="s">
        <v>3967</v>
      </c>
      <c r="F286" s="22">
        <v>45</v>
      </c>
      <c r="G286" s="22" t="s">
        <v>3968</v>
      </c>
      <c r="H286" s="22">
        <v>20</v>
      </c>
      <c r="I286" s="25">
        <v>43205</v>
      </c>
      <c r="J286" s="24">
        <v>43267</v>
      </c>
    </row>
    <row r="287" spans="2:10" x14ac:dyDescent="0.2">
      <c r="B287" s="22">
        <v>282</v>
      </c>
      <c r="C287" s="21" t="s">
        <v>3969</v>
      </c>
      <c r="D287" s="21" t="s">
        <v>563</v>
      </c>
      <c r="E287" s="20" t="s">
        <v>3970</v>
      </c>
      <c r="F287" s="22">
        <v>155</v>
      </c>
      <c r="G287" s="22" t="s">
        <v>3970</v>
      </c>
      <c r="H287" s="22">
        <v>155</v>
      </c>
      <c r="I287" s="25">
        <v>43346</v>
      </c>
      <c r="J287" s="24">
        <v>43347</v>
      </c>
    </row>
    <row r="288" spans="2:10" x14ac:dyDescent="0.2">
      <c r="B288" s="22">
        <v>283</v>
      </c>
      <c r="C288" s="21" t="s">
        <v>3971</v>
      </c>
      <c r="D288" s="21" t="s">
        <v>1797</v>
      </c>
      <c r="E288" s="20" t="s">
        <v>3972</v>
      </c>
      <c r="F288" s="22">
        <v>102</v>
      </c>
      <c r="G288" s="22" t="s">
        <v>3973</v>
      </c>
      <c r="H288" s="22">
        <v>102</v>
      </c>
      <c r="I288" s="25">
        <v>43212</v>
      </c>
      <c r="J288" s="24">
        <v>43246</v>
      </c>
    </row>
    <row r="289" spans="2:10" x14ac:dyDescent="0.2">
      <c r="B289" s="22">
        <v>284</v>
      </c>
      <c r="C289" s="21" t="s">
        <v>3974</v>
      </c>
      <c r="D289" s="21" t="s">
        <v>1083</v>
      </c>
      <c r="E289" s="20" t="s">
        <v>3975</v>
      </c>
      <c r="F289" s="22">
        <v>284</v>
      </c>
      <c r="G289" s="22" t="s">
        <v>3975</v>
      </c>
      <c r="H289" s="22">
        <v>284</v>
      </c>
      <c r="I289" s="25">
        <v>43443</v>
      </c>
      <c r="J289" s="24">
        <v>43445</v>
      </c>
    </row>
    <row r="290" spans="2:10" x14ac:dyDescent="0.2">
      <c r="B290" s="22">
        <v>285</v>
      </c>
      <c r="C290" s="21" t="s">
        <v>3976</v>
      </c>
      <c r="D290" s="21" t="s">
        <v>1175</v>
      </c>
      <c r="E290" s="20" t="s">
        <v>3977</v>
      </c>
      <c r="F290" s="22">
        <v>46</v>
      </c>
      <c r="G290" s="22" t="s">
        <v>3978</v>
      </c>
      <c r="H290" s="22">
        <v>3</v>
      </c>
      <c r="I290" s="25">
        <v>43170</v>
      </c>
      <c r="J290" s="24">
        <v>43249</v>
      </c>
    </row>
    <row r="291" spans="2:10" x14ac:dyDescent="0.2">
      <c r="B291" s="22">
        <v>286</v>
      </c>
      <c r="C291" s="21" t="s">
        <v>3979</v>
      </c>
      <c r="D291" s="21" t="s">
        <v>1087</v>
      </c>
      <c r="E291" s="20" t="s">
        <v>3980</v>
      </c>
      <c r="F291" s="22">
        <v>123</v>
      </c>
      <c r="G291" s="22" t="s">
        <v>3981</v>
      </c>
      <c r="H291" s="22">
        <v>122</v>
      </c>
      <c r="I291" s="25">
        <v>43163</v>
      </c>
      <c r="J291" s="24">
        <v>43190</v>
      </c>
    </row>
    <row r="292" spans="2:10" x14ac:dyDescent="0.2">
      <c r="B292" s="22">
        <v>287</v>
      </c>
      <c r="C292" s="21" t="s">
        <v>3982</v>
      </c>
      <c r="D292" s="21" t="s">
        <v>1294</v>
      </c>
      <c r="E292" s="20" t="s">
        <v>3983</v>
      </c>
      <c r="F292" s="22">
        <v>73</v>
      </c>
      <c r="G292" s="22" t="s">
        <v>3984</v>
      </c>
      <c r="H292" s="22">
        <v>2</v>
      </c>
      <c r="I292" s="25">
        <v>43275</v>
      </c>
      <c r="J292" s="24">
        <v>43344</v>
      </c>
    </row>
    <row r="293" spans="2:10" x14ac:dyDescent="0.2">
      <c r="B293" s="22">
        <v>288</v>
      </c>
      <c r="C293" s="21" t="s">
        <v>3985</v>
      </c>
      <c r="D293" s="21" t="s">
        <v>1210</v>
      </c>
      <c r="E293" s="20" t="s">
        <v>3986</v>
      </c>
      <c r="F293" s="22">
        <v>36</v>
      </c>
      <c r="G293" s="22" t="s">
        <v>3987</v>
      </c>
      <c r="H293" s="22">
        <v>33</v>
      </c>
      <c r="I293" s="25">
        <v>43115</v>
      </c>
      <c r="J293" s="24">
        <v>43131</v>
      </c>
    </row>
    <row r="294" spans="2:10" x14ac:dyDescent="0.2">
      <c r="B294" s="22">
        <v>289</v>
      </c>
      <c r="C294" s="21" t="s">
        <v>3988</v>
      </c>
      <c r="D294" s="21" t="s">
        <v>1015</v>
      </c>
      <c r="E294" s="20" t="s">
        <v>3989</v>
      </c>
      <c r="F294" s="22">
        <v>33</v>
      </c>
      <c r="G294" s="22" t="s">
        <v>3990</v>
      </c>
      <c r="H294" s="22">
        <v>3</v>
      </c>
      <c r="I294" s="25">
        <v>43289</v>
      </c>
      <c r="J294" s="24">
        <v>43421</v>
      </c>
    </row>
    <row r="295" spans="2:10" x14ac:dyDescent="0.2">
      <c r="B295" s="22">
        <v>290</v>
      </c>
      <c r="C295" s="21" t="s">
        <v>3991</v>
      </c>
      <c r="D295" s="21" t="s">
        <v>3992</v>
      </c>
      <c r="E295" s="20" t="s">
        <v>3993</v>
      </c>
      <c r="F295" s="22">
        <v>26</v>
      </c>
      <c r="G295" s="22" t="s">
        <v>3994</v>
      </c>
      <c r="H295" s="22">
        <v>21</v>
      </c>
      <c r="I295" s="25">
        <v>43394</v>
      </c>
      <c r="J295" s="24">
        <v>43426</v>
      </c>
    </row>
    <row r="296" spans="2:10" x14ac:dyDescent="0.2">
      <c r="B296" s="22">
        <v>291</v>
      </c>
      <c r="C296" s="21" t="s">
        <v>3995</v>
      </c>
      <c r="D296" s="21" t="s">
        <v>1559</v>
      </c>
      <c r="E296" s="20" t="s">
        <v>3996</v>
      </c>
      <c r="F296" s="22">
        <v>44</v>
      </c>
      <c r="G296" s="22" t="s">
        <v>3997</v>
      </c>
      <c r="H296" s="22">
        <v>1</v>
      </c>
      <c r="I296" s="25">
        <v>43101</v>
      </c>
      <c r="J296" s="24">
        <v>43211</v>
      </c>
    </row>
    <row r="297" spans="2:10" x14ac:dyDescent="0.2">
      <c r="B297" s="22">
        <v>292</v>
      </c>
      <c r="C297" s="21" t="s">
        <v>3998</v>
      </c>
      <c r="D297" s="21" t="s">
        <v>1039</v>
      </c>
      <c r="E297" s="20" t="s">
        <v>3999</v>
      </c>
      <c r="F297" s="22">
        <v>71</v>
      </c>
      <c r="G297" s="22" t="s">
        <v>4000</v>
      </c>
      <c r="H297" s="22">
        <v>3</v>
      </c>
      <c r="I297" s="25">
        <v>43401</v>
      </c>
      <c r="J297" s="24">
        <v>43463</v>
      </c>
    </row>
    <row r="298" spans="2:10" x14ac:dyDescent="0.2">
      <c r="B298" s="22">
        <v>293</v>
      </c>
      <c r="C298" s="21" t="s">
        <v>4001</v>
      </c>
      <c r="D298" s="21" t="s">
        <v>1377</v>
      </c>
      <c r="E298" s="20" t="s">
        <v>4002</v>
      </c>
      <c r="F298" s="22">
        <v>78</v>
      </c>
      <c r="G298" s="22" t="s">
        <v>4003</v>
      </c>
      <c r="H298" s="22">
        <v>78</v>
      </c>
      <c r="I298" s="25">
        <v>43219</v>
      </c>
      <c r="J298" s="24">
        <v>43246</v>
      </c>
    </row>
    <row r="299" spans="2:10" x14ac:dyDescent="0.2">
      <c r="B299" s="22">
        <v>294</v>
      </c>
      <c r="C299" s="21" t="s">
        <v>4004</v>
      </c>
      <c r="D299" s="21" t="s">
        <v>1235</v>
      </c>
      <c r="E299" s="20" t="s">
        <v>4005</v>
      </c>
      <c r="F299" s="22">
        <v>39</v>
      </c>
      <c r="G299" s="22" t="s">
        <v>4006</v>
      </c>
      <c r="H299" s="22">
        <v>38</v>
      </c>
      <c r="I299" s="25">
        <v>43422</v>
      </c>
      <c r="J299" s="24">
        <v>43112</v>
      </c>
    </row>
    <row r="300" spans="2:10" x14ac:dyDescent="0.2">
      <c r="B300" s="22">
        <v>295</v>
      </c>
      <c r="C300" s="21" t="s">
        <v>117</v>
      </c>
      <c r="D300" s="21" t="s">
        <v>1015</v>
      </c>
      <c r="E300" s="20" t="s">
        <v>4007</v>
      </c>
      <c r="F300" s="22">
        <v>40</v>
      </c>
      <c r="G300" s="22" t="s">
        <v>4008</v>
      </c>
      <c r="H300" s="22">
        <v>3</v>
      </c>
      <c r="I300" s="25">
        <v>43450</v>
      </c>
      <c r="J300" s="24">
        <v>43245</v>
      </c>
    </row>
    <row r="301" spans="2:10" x14ac:dyDescent="0.2">
      <c r="B301" s="22">
        <v>296</v>
      </c>
      <c r="C301" s="21" t="s">
        <v>4009</v>
      </c>
      <c r="D301" s="21" t="s">
        <v>563</v>
      </c>
      <c r="E301" s="20" t="s">
        <v>4010</v>
      </c>
      <c r="F301" s="22" t="s">
        <v>1159</v>
      </c>
      <c r="G301" s="22" t="s">
        <v>1159</v>
      </c>
      <c r="H301" s="22" t="s">
        <v>1159</v>
      </c>
      <c r="I301" s="25">
        <v>43115</v>
      </c>
      <c r="J301" s="24">
        <v>43121</v>
      </c>
    </row>
    <row r="302" spans="2:10" x14ac:dyDescent="0.2">
      <c r="B302" s="22">
        <v>297</v>
      </c>
      <c r="C302" s="21" t="s">
        <v>4011</v>
      </c>
      <c r="D302" s="21" t="s">
        <v>1684</v>
      </c>
      <c r="E302" s="20" t="s">
        <v>4012</v>
      </c>
      <c r="F302" s="22">
        <v>100</v>
      </c>
      <c r="G302" s="22" t="s">
        <v>4013</v>
      </c>
      <c r="H302" s="22">
        <v>100</v>
      </c>
      <c r="I302" s="25">
        <v>43380</v>
      </c>
      <c r="J302" s="24">
        <v>43414</v>
      </c>
    </row>
    <row r="303" spans="2:10" x14ac:dyDescent="0.2">
      <c r="B303" s="22">
        <v>298</v>
      </c>
      <c r="C303" s="21" t="s">
        <v>4014</v>
      </c>
      <c r="D303" s="21" t="s">
        <v>1294</v>
      </c>
      <c r="E303" s="20" t="s">
        <v>4015</v>
      </c>
      <c r="F303" s="22">
        <v>22</v>
      </c>
      <c r="G303" s="22" t="s">
        <v>4016</v>
      </c>
      <c r="H303" s="22">
        <v>3</v>
      </c>
      <c r="I303" s="25">
        <v>43436</v>
      </c>
      <c r="J303" s="24">
        <v>43143</v>
      </c>
    </row>
    <row r="304" spans="2:10" x14ac:dyDescent="0.2">
      <c r="B304" s="22">
        <v>299</v>
      </c>
      <c r="C304" s="21" t="s">
        <v>4017</v>
      </c>
      <c r="D304" s="21" t="s">
        <v>1210</v>
      </c>
      <c r="E304" s="20" t="s">
        <v>4018</v>
      </c>
      <c r="F304" s="22">
        <v>20</v>
      </c>
      <c r="G304" s="22" t="s">
        <v>4019</v>
      </c>
      <c r="H304" s="22">
        <v>20</v>
      </c>
      <c r="I304" s="25">
        <v>43450</v>
      </c>
      <c r="J304" s="24">
        <v>43116</v>
      </c>
    </row>
    <row r="305" spans="2:10" x14ac:dyDescent="0.2">
      <c r="B305" s="22">
        <v>300</v>
      </c>
      <c r="C305" s="21" t="s">
        <v>4020</v>
      </c>
      <c r="D305" s="21" t="s">
        <v>4021</v>
      </c>
      <c r="E305" s="20" t="s">
        <v>4022</v>
      </c>
      <c r="F305" s="22">
        <v>15</v>
      </c>
      <c r="G305" s="22" t="s">
        <v>1159</v>
      </c>
      <c r="H305" s="22" t="s">
        <v>1159</v>
      </c>
      <c r="I305" s="25">
        <v>43184</v>
      </c>
      <c r="J305" s="24">
        <v>43270</v>
      </c>
    </row>
    <row r="306" spans="2:10" x14ac:dyDescent="0.2">
      <c r="B306" s="22">
        <v>301</v>
      </c>
      <c r="C306" s="21" t="s">
        <v>4023</v>
      </c>
      <c r="D306" s="21" t="s">
        <v>1210</v>
      </c>
      <c r="E306" s="20" t="s">
        <v>4024</v>
      </c>
      <c r="F306" s="22">
        <v>27</v>
      </c>
      <c r="G306" s="22" t="s">
        <v>4025</v>
      </c>
      <c r="H306" s="22">
        <v>20</v>
      </c>
      <c r="I306" s="25">
        <v>43401</v>
      </c>
      <c r="J306" s="24">
        <v>43442</v>
      </c>
    </row>
    <row r="307" spans="2:10" x14ac:dyDescent="0.2">
      <c r="B307" s="22">
        <v>302</v>
      </c>
      <c r="C307" s="21" t="s">
        <v>4026</v>
      </c>
      <c r="D307" s="21" t="s">
        <v>1015</v>
      </c>
      <c r="E307" s="20" t="s">
        <v>4027</v>
      </c>
      <c r="F307" s="22">
        <v>29</v>
      </c>
      <c r="G307" s="22" t="s">
        <v>4028</v>
      </c>
      <c r="H307" s="22">
        <v>2</v>
      </c>
      <c r="I307" s="25">
        <v>43275</v>
      </c>
      <c r="J307" s="24">
        <v>43414</v>
      </c>
    </row>
    <row r="308" spans="2:10" x14ac:dyDescent="0.2">
      <c r="B308" s="22">
        <v>303</v>
      </c>
      <c r="C308" s="21" t="s">
        <v>4029</v>
      </c>
      <c r="D308" s="21" t="s">
        <v>1415</v>
      </c>
      <c r="E308" s="20" t="s">
        <v>4030</v>
      </c>
      <c r="F308" s="22">
        <v>78</v>
      </c>
      <c r="G308" s="22" t="s">
        <v>4031</v>
      </c>
      <c r="H308" s="22">
        <v>78</v>
      </c>
      <c r="I308" s="25">
        <v>43331</v>
      </c>
      <c r="J308" s="24">
        <v>43365</v>
      </c>
    </row>
    <row r="309" spans="2:10" x14ac:dyDescent="0.2">
      <c r="B309" s="22">
        <v>304</v>
      </c>
      <c r="C309" s="21" t="s">
        <v>4032</v>
      </c>
      <c r="D309" s="21" t="s">
        <v>1415</v>
      </c>
      <c r="E309" s="20" t="s">
        <v>4033</v>
      </c>
      <c r="F309" s="22">
        <v>81</v>
      </c>
      <c r="G309" s="22" t="s">
        <v>4034</v>
      </c>
      <c r="H309" s="22">
        <v>81</v>
      </c>
      <c r="I309" s="25">
        <v>43436</v>
      </c>
      <c r="J309" s="24">
        <v>43442</v>
      </c>
    </row>
    <row r="310" spans="2:10" x14ac:dyDescent="0.2">
      <c r="B310" s="22">
        <v>305</v>
      </c>
      <c r="C310" s="21" t="s">
        <v>4035</v>
      </c>
      <c r="D310" s="21" t="s">
        <v>4036</v>
      </c>
      <c r="E310" s="20" t="s">
        <v>4037</v>
      </c>
      <c r="F310" s="22">
        <v>68</v>
      </c>
      <c r="G310" s="22" t="s">
        <v>4038</v>
      </c>
      <c r="H310" s="22">
        <v>68</v>
      </c>
      <c r="I310" s="25">
        <v>43373</v>
      </c>
      <c r="J310" s="24">
        <v>43393</v>
      </c>
    </row>
    <row r="311" spans="2:10" x14ac:dyDescent="0.2">
      <c r="B311" s="22">
        <v>306</v>
      </c>
      <c r="C311" s="21" t="s">
        <v>4039</v>
      </c>
      <c r="D311" s="21" t="s">
        <v>1039</v>
      </c>
      <c r="E311" s="20" t="s">
        <v>4040</v>
      </c>
      <c r="F311" s="22">
        <v>41</v>
      </c>
      <c r="G311" s="22" t="s">
        <v>4041</v>
      </c>
      <c r="H311" s="22">
        <v>39</v>
      </c>
      <c r="I311" s="25">
        <v>43233</v>
      </c>
      <c r="J311" s="24">
        <v>43316</v>
      </c>
    </row>
    <row r="312" spans="2:10" x14ac:dyDescent="0.2">
      <c r="B312" s="22">
        <v>307</v>
      </c>
      <c r="C312" s="21" t="s">
        <v>4042</v>
      </c>
      <c r="D312" s="21" t="s">
        <v>1353</v>
      </c>
      <c r="E312" s="20" t="s">
        <v>4043</v>
      </c>
      <c r="F312" s="22">
        <v>104</v>
      </c>
      <c r="G312" s="22" t="s">
        <v>4044</v>
      </c>
      <c r="H312" s="22">
        <v>104</v>
      </c>
      <c r="I312" s="25">
        <v>43261</v>
      </c>
      <c r="J312" s="24">
        <v>43277</v>
      </c>
    </row>
    <row r="313" spans="2:10" x14ac:dyDescent="0.2">
      <c r="B313" s="22">
        <v>308</v>
      </c>
      <c r="C313" s="21" t="s">
        <v>4045</v>
      </c>
      <c r="D313" s="21" t="s">
        <v>3620</v>
      </c>
      <c r="E313" s="20" t="s">
        <v>4046</v>
      </c>
      <c r="F313" s="22">
        <v>70</v>
      </c>
      <c r="G313" s="22" t="s">
        <v>4047</v>
      </c>
      <c r="H313" s="22">
        <v>70</v>
      </c>
      <c r="I313" s="25">
        <v>43401</v>
      </c>
      <c r="J313" s="24">
        <v>43406</v>
      </c>
    </row>
    <row r="314" spans="2:10" x14ac:dyDescent="0.2">
      <c r="B314" s="22">
        <v>309</v>
      </c>
      <c r="C314" s="21" t="s">
        <v>4048</v>
      </c>
      <c r="D314" s="21" t="s">
        <v>4049</v>
      </c>
      <c r="E314" s="20" t="s">
        <v>4050</v>
      </c>
      <c r="F314" s="22">
        <v>615</v>
      </c>
      <c r="G314" s="22" t="s">
        <v>4051</v>
      </c>
      <c r="H314" s="22">
        <v>615</v>
      </c>
      <c r="I314" s="25">
        <v>43443</v>
      </c>
      <c r="J314" s="24">
        <v>43456</v>
      </c>
    </row>
    <row r="315" spans="2:10" x14ac:dyDescent="0.2">
      <c r="B315" s="22">
        <v>310</v>
      </c>
      <c r="C315" s="21" t="s">
        <v>4052</v>
      </c>
      <c r="D315" s="21" t="s">
        <v>4053</v>
      </c>
      <c r="E315" s="20" t="s">
        <v>4054</v>
      </c>
      <c r="F315" s="22">
        <v>30</v>
      </c>
      <c r="G315" s="22" t="s">
        <v>4055</v>
      </c>
      <c r="H315" s="22">
        <v>30</v>
      </c>
      <c r="I315" s="25">
        <v>43233</v>
      </c>
      <c r="J315" s="24">
        <v>43277</v>
      </c>
    </row>
    <row r="316" spans="2:10" x14ac:dyDescent="0.2">
      <c r="B316" s="22">
        <v>311</v>
      </c>
      <c r="C316" s="21" t="s">
        <v>4056</v>
      </c>
      <c r="D316" s="21" t="s">
        <v>1213</v>
      </c>
      <c r="E316" s="20" t="s">
        <v>4057</v>
      </c>
      <c r="F316" s="22">
        <v>25</v>
      </c>
      <c r="G316" s="22" t="s">
        <v>4058</v>
      </c>
      <c r="H316" s="22">
        <v>2</v>
      </c>
      <c r="I316" s="25">
        <v>43191</v>
      </c>
      <c r="J316" s="24">
        <v>43288</v>
      </c>
    </row>
    <row r="317" spans="2:10" x14ac:dyDescent="0.2">
      <c r="B317" s="22">
        <v>312</v>
      </c>
      <c r="C317" s="21" t="s">
        <v>4059</v>
      </c>
      <c r="D317" s="21" t="s">
        <v>1213</v>
      </c>
      <c r="E317" s="20" t="s">
        <v>4060</v>
      </c>
      <c r="F317" s="22">
        <v>35</v>
      </c>
      <c r="G317" s="22" t="s">
        <v>4061</v>
      </c>
      <c r="H317" s="22">
        <v>6</v>
      </c>
      <c r="I317" s="25">
        <v>43338</v>
      </c>
      <c r="J317" s="24">
        <v>43407</v>
      </c>
    </row>
    <row r="318" spans="2:10" x14ac:dyDescent="0.2">
      <c r="B318" s="22">
        <v>313</v>
      </c>
      <c r="C318" s="21" t="s">
        <v>4062</v>
      </c>
      <c r="D318" s="21" t="s">
        <v>1095</v>
      </c>
      <c r="E318" s="20" t="s">
        <v>4063</v>
      </c>
      <c r="F318" s="22">
        <v>57</v>
      </c>
      <c r="G318" s="22" t="s">
        <v>4064</v>
      </c>
      <c r="H318" s="22">
        <v>1</v>
      </c>
      <c r="I318" s="25">
        <v>43387</v>
      </c>
      <c r="J318" s="24">
        <v>43112</v>
      </c>
    </row>
    <row r="319" spans="2:10" x14ac:dyDescent="0.2">
      <c r="B319" s="22">
        <v>314</v>
      </c>
      <c r="C319" s="21" t="s">
        <v>4065</v>
      </c>
      <c r="D319" s="21" t="s">
        <v>1559</v>
      </c>
      <c r="E319" s="20" t="s">
        <v>4066</v>
      </c>
      <c r="F319" s="22">
        <v>35</v>
      </c>
      <c r="G319" s="22" t="s">
        <v>4067</v>
      </c>
      <c r="H319" s="22">
        <v>1</v>
      </c>
      <c r="I319" s="25">
        <v>43184</v>
      </c>
      <c r="J319" s="24">
        <v>43260</v>
      </c>
    </row>
    <row r="320" spans="2:10" x14ac:dyDescent="0.2">
      <c r="B320" s="22">
        <v>315</v>
      </c>
      <c r="C320" s="21" t="s">
        <v>4068</v>
      </c>
      <c r="D320" s="21" t="s">
        <v>1532</v>
      </c>
      <c r="E320" s="20" t="s">
        <v>4069</v>
      </c>
      <c r="F320" s="22">
        <v>18</v>
      </c>
      <c r="G320" s="22" t="s">
        <v>4070</v>
      </c>
      <c r="H320" s="22">
        <v>1</v>
      </c>
      <c r="I320" s="25">
        <v>43199</v>
      </c>
      <c r="J320" s="24">
        <v>43449</v>
      </c>
    </row>
    <row r="321" spans="2:10" x14ac:dyDescent="0.2">
      <c r="B321" s="22">
        <v>316</v>
      </c>
      <c r="C321" s="21" t="s">
        <v>4071</v>
      </c>
      <c r="D321" s="21" t="s">
        <v>1175</v>
      </c>
      <c r="E321" s="20" t="s">
        <v>4072</v>
      </c>
      <c r="F321" s="22">
        <v>35</v>
      </c>
      <c r="G321" s="22" t="s">
        <v>4073</v>
      </c>
      <c r="H321" s="22">
        <v>6</v>
      </c>
      <c r="I321" s="25">
        <v>43331</v>
      </c>
      <c r="J321" s="24">
        <v>43372</v>
      </c>
    </row>
    <row r="322" spans="2:10" x14ac:dyDescent="0.2">
      <c r="B322" s="22">
        <v>317</v>
      </c>
      <c r="C322" s="21" t="s">
        <v>4074</v>
      </c>
      <c r="D322" s="21" t="s">
        <v>1519</v>
      </c>
      <c r="E322" s="20" t="s">
        <v>4075</v>
      </c>
      <c r="F322" s="22">
        <v>31</v>
      </c>
      <c r="G322" s="22" t="s">
        <v>4076</v>
      </c>
      <c r="H322" s="22">
        <v>3</v>
      </c>
      <c r="I322" s="25">
        <v>43387</v>
      </c>
      <c r="J322" s="24">
        <v>43424</v>
      </c>
    </row>
    <row r="323" spans="2:10" x14ac:dyDescent="0.2">
      <c r="B323" s="22">
        <v>318</v>
      </c>
      <c r="C323" s="21" t="s">
        <v>4077</v>
      </c>
      <c r="D323" s="21" t="s">
        <v>2121</v>
      </c>
      <c r="E323" s="20" t="s">
        <v>4078</v>
      </c>
      <c r="F323" s="22">
        <v>26</v>
      </c>
      <c r="G323" s="22" t="s">
        <v>4079</v>
      </c>
      <c r="H323" s="22">
        <v>24</v>
      </c>
      <c r="I323" s="25">
        <v>43331</v>
      </c>
      <c r="J323" s="24">
        <v>43358</v>
      </c>
    </row>
    <row r="324" spans="2:10" x14ac:dyDescent="0.2">
      <c r="B324" s="22">
        <v>319</v>
      </c>
      <c r="C324" s="21" t="s">
        <v>4080</v>
      </c>
      <c r="D324" s="21" t="s">
        <v>1039</v>
      </c>
      <c r="E324" s="20" t="s">
        <v>4081</v>
      </c>
      <c r="F324" s="22">
        <v>32</v>
      </c>
      <c r="G324" s="22" t="s">
        <v>4082</v>
      </c>
      <c r="H324" s="22">
        <v>3</v>
      </c>
      <c r="I324" s="25">
        <v>43177</v>
      </c>
      <c r="J324" s="24">
        <v>43246</v>
      </c>
    </row>
    <row r="325" spans="2:10" x14ac:dyDescent="0.2">
      <c r="B325" s="22">
        <v>320</v>
      </c>
      <c r="C325" s="21" t="s">
        <v>4083</v>
      </c>
      <c r="D325" s="21" t="s">
        <v>4084</v>
      </c>
      <c r="E325" s="20" t="s">
        <v>4085</v>
      </c>
      <c r="F325" s="22">
        <v>52</v>
      </c>
      <c r="G325" s="22" t="s">
        <v>4086</v>
      </c>
      <c r="H325" s="22">
        <v>1</v>
      </c>
      <c r="I325" s="25">
        <v>43219</v>
      </c>
      <c r="J325" s="24">
        <v>43281</v>
      </c>
    </row>
    <row r="326" spans="2:10" x14ac:dyDescent="0.2">
      <c r="B326" s="22">
        <v>321</v>
      </c>
      <c r="C326" s="21" t="s">
        <v>4087</v>
      </c>
      <c r="D326" s="21" t="s">
        <v>1422</v>
      </c>
      <c r="E326" s="20" t="s">
        <v>4088</v>
      </c>
      <c r="F326" s="22">
        <v>80</v>
      </c>
      <c r="G326" s="22" t="s">
        <v>1159</v>
      </c>
      <c r="H326" s="22" t="s">
        <v>1159</v>
      </c>
      <c r="I326" s="25">
        <v>43244</v>
      </c>
      <c r="J326" s="24">
        <v>43316</v>
      </c>
    </row>
    <row r="327" spans="2:10" x14ac:dyDescent="0.2">
      <c r="B327" s="22">
        <v>322</v>
      </c>
      <c r="C327" s="21" t="s">
        <v>4089</v>
      </c>
      <c r="D327" s="21" t="s">
        <v>1294</v>
      </c>
      <c r="E327" s="20" t="s">
        <v>4090</v>
      </c>
      <c r="F327" s="22">
        <v>26</v>
      </c>
      <c r="G327" s="22" t="s">
        <v>4091</v>
      </c>
      <c r="H327" s="22">
        <v>2</v>
      </c>
      <c r="I327" s="25">
        <v>43226</v>
      </c>
      <c r="J327" s="24">
        <v>43316</v>
      </c>
    </row>
    <row r="328" spans="2:10" x14ac:dyDescent="0.2">
      <c r="B328" s="22">
        <v>323</v>
      </c>
      <c r="C328" s="21" t="s">
        <v>4092</v>
      </c>
      <c r="D328" s="21" t="s">
        <v>1269</v>
      </c>
      <c r="E328" s="20" t="s">
        <v>4093</v>
      </c>
      <c r="F328" s="22">
        <v>329</v>
      </c>
      <c r="G328" s="22" t="s">
        <v>1159</v>
      </c>
      <c r="H328" s="22" t="s">
        <v>1159</v>
      </c>
      <c r="I328" s="25">
        <v>43388</v>
      </c>
      <c r="J328" s="22" t="s">
        <v>558</v>
      </c>
    </row>
    <row r="329" spans="2:10" x14ac:dyDescent="0.2">
      <c r="B329" s="22">
        <v>324</v>
      </c>
      <c r="C329" s="21" t="s">
        <v>4094</v>
      </c>
      <c r="D329" s="21" t="s">
        <v>1095</v>
      </c>
      <c r="E329" s="20" t="s">
        <v>4095</v>
      </c>
      <c r="F329" s="22">
        <v>60</v>
      </c>
      <c r="G329" s="22" t="s">
        <v>4096</v>
      </c>
      <c r="H329" s="22">
        <v>3</v>
      </c>
      <c r="I329" s="25">
        <v>43282</v>
      </c>
      <c r="J329" s="24">
        <v>43393</v>
      </c>
    </row>
    <row r="330" spans="2:10" x14ac:dyDescent="0.2">
      <c r="B330" s="22">
        <v>325</v>
      </c>
      <c r="C330" s="21" t="s">
        <v>4097</v>
      </c>
      <c r="D330" s="21" t="s">
        <v>38</v>
      </c>
      <c r="E330" s="20" t="s">
        <v>4098</v>
      </c>
      <c r="F330" s="22">
        <v>106</v>
      </c>
      <c r="G330" s="22" t="s">
        <v>4099</v>
      </c>
      <c r="H330" s="22">
        <v>14</v>
      </c>
      <c r="I330" s="25">
        <v>43399</v>
      </c>
      <c r="J330" s="24">
        <v>43414</v>
      </c>
    </row>
    <row r="331" spans="2:10" x14ac:dyDescent="0.2">
      <c r="B331" s="22">
        <v>326</v>
      </c>
      <c r="C331" s="21" t="s">
        <v>4100</v>
      </c>
      <c r="D331" s="21" t="s">
        <v>3627</v>
      </c>
      <c r="E331" s="20" t="s">
        <v>4101</v>
      </c>
      <c r="F331" s="22">
        <v>31</v>
      </c>
      <c r="G331" s="22" t="s">
        <v>4102</v>
      </c>
      <c r="H331" s="22">
        <v>10</v>
      </c>
      <c r="I331" s="25">
        <v>43198</v>
      </c>
      <c r="J331" s="24">
        <v>43281</v>
      </c>
    </row>
    <row r="332" spans="2:10" x14ac:dyDescent="0.2">
      <c r="B332" s="22">
        <v>327</v>
      </c>
      <c r="C332" s="21" t="s">
        <v>4103</v>
      </c>
      <c r="D332" s="21" t="s">
        <v>4104</v>
      </c>
      <c r="E332" s="20" t="s">
        <v>4105</v>
      </c>
      <c r="F332" s="22">
        <v>6</v>
      </c>
      <c r="G332" s="22" t="s">
        <v>4106</v>
      </c>
      <c r="H332" s="22">
        <v>4</v>
      </c>
      <c r="I332" s="25">
        <v>43233</v>
      </c>
      <c r="J332" s="22" t="s">
        <v>558</v>
      </c>
    </row>
    <row r="333" spans="2:10" x14ac:dyDescent="0.2">
      <c r="B333" s="22">
        <v>328</v>
      </c>
      <c r="C333" s="21" t="s">
        <v>4107</v>
      </c>
      <c r="D333" s="21" t="s">
        <v>1142</v>
      </c>
      <c r="E333" s="20" t="s">
        <v>4108</v>
      </c>
      <c r="F333" s="22">
        <v>22</v>
      </c>
      <c r="G333" s="22" t="s">
        <v>4109</v>
      </c>
      <c r="H333" s="22">
        <v>6</v>
      </c>
      <c r="I333" s="25">
        <v>43415</v>
      </c>
      <c r="J333" s="24">
        <v>43196</v>
      </c>
    </row>
    <row r="334" spans="2:10" x14ac:dyDescent="0.2">
      <c r="B334" s="22">
        <v>329</v>
      </c>
      <c r="C334" s="21" t="s">
        <v>4110</v>
      </c>
      <c r="D334" s="21" t="s">
        <v>1576</v>
      </c>
      <c r="E334" s="20" t="s">
        <v>4111</v>
      </c>
      <c r="F334" s="22">
        <v>4</v>
      </c>
      <c r="G334" s="22" t="s">
        <v>4112</v>
      </c>
      <c r="H334" s="22">
        <v>1</v>
      </c>
      <c r="I334" s="25">
        <v>43394</v>
      </c>
      <c r="J334" s="24">
        <v>43147</v>
      </c>
    </row>
    <row r="335" spans="2:10" x14ac:dyDescent="0.2">
      <c r="B335" s="22">
        <v>330</v>
      </c>
      <c r="C335" s="21" t="s">
        <v>4113</v>
      </c>
      <c r="D335" s="21" t="s">
        <v>1559</v>
      </c>
      <c r="E335" s="20" t="s">
        <v>4114</v>
      </c>
      <c r="F335" s="22">
        <v>84</v>
      </c>
      <c r="G335" s="22" t="s">
        <v>4115</v>
      </c>
      <c r="H335" s="22">
        <v>2</v>
      </c>
      <c r="I335" s="25">
        <v>43387</v>
      </c>
      <c r="J335" s="24">
        <v>43414</v>
      </c>
    </row>
    <row r="336" spans="2:10" x14ac:dyDescent="0.2">
      <c r="B336" s="22">
        <v>331</v>
      </c>
      <c r="C336" s="21" t="s">
        <v>4116</v>
      </c>
      <c r="D336" s="21" t="s">
        <v>1594</v>
      </c>
      <c r="E336" s="20" t="s">
        <v>4117</v>
      </c>
      <c r="F336" s="22">
        <v>27</v>
      </c>
      <c r="G336" s="22" t="s">
        <v>4118</v>
      </c>
      <c r="H336" s="22">
        <v>24</v>
      </c>
      <c r="I336" s="25">
        <v>43380</v>
      </c>
      <c r="J336" s="22" t="s">
        <v>558</v>
      </c>
    </row>
    <row r="337" spans="2:10" x14ac:dyDescent="0.2">
      <c r="B337" s="22">
        <v>332</v>
      </c>
      <c r="C337" s="21" t="s">
        <v>4119</v>
      </c>
      <c r="D337" s="21" t="s">
        <v>1204</v>
      </c>
      <c r="E337" s="20" t="s">
        <v>4120</v>
      </c>
      <c r="F337" s="22">
        <v>71</v>
      </c>
      <c r="G337" s="22" t="s">
        <v>4121</v>
      </c>
      <c r="H337" s="22">
        <v>71</v>
      </c>
      <c r="I337" s="25">
        <v>43345</v>
      </c>
      <c r="J337" s="24">
        <v>43358</v>
      </c>
    </row>
    <row r="338" spans="2:10" x14ac:dyDescent="0.2">
      <c r="B338" s="22">
        <v>333</v>
      </c>
      <c r="C338" s="21" t="s">
        <v>4122</v>
      </c>
      <c r="D338" s="21" t="s">
        <v>1415</v>
      </c>
      <c r="E338" s="20" t="s">
        <v>4123</v>
      </c>
      <c r="F338" s="22">
        <v>23</v>
      </c>
      <c r="G338" s="22" t="s">
        <v>4124</v>
      </c>
      <c r="H338" s="22">
        <v>19</v>
      </c>
      <c r="I338" s="25">
        <v>43101</v>
      </c>
      <c r="J338" s="24">
        <v>43138</v>
      </c>
    </row>
    <row r="339" spans="2:10" x14ac:dyDescent="0.2">
      <c r="B339" s="22">
        <v>334</v>
      </c>
      <c r="C339" s="21" t="s">
        <v>4125</v>
      </c>
      <c r="D339" s="21" t="s">
        <v>4126</v>
      </c>
      <c r="E339" s="20" t="s">
        <v>4127</v>
      </c>
      <c r="F339" s="22">
        <v>35</v>
      </c>
      <c r="G339" s="22" t="s">
        <v>1159</v>
      </c>
      <c r="H339" s="22">
        <v>3</v>
      </c>
      <c r="I339" s="25">
        <v>43334</v>
      </c>
      <c r="J339" s="22" t="s">
        <v>558</v>
      </c>
    </row>
    <row r="340" spans="2:10" x14ac:dyDescent="0.2">
      <c r="B340" s="22">
        <v>335</v>
      </c>
      <c r="C340" s="21" t="s">
        <v>4128</v>
      </c>
      <c r="D340" s="21" t="s">
        <v>1377</v>
      </c>
      <c r="E340" s="20" t="s">
        <v>4129</v>
      </c>
      <c r="F340" s="22">
        <v>29</v>
      </c>
      <c r="G340" s="22" t="s">
        <v>4130</v>
      </c>
      <c r="H340" s="22">
        <v>29</v>
      </c>
      <c r="I340" s="25">
        <v>43240</v>
      </c>
      <c r="J340" s="24">
        <v>43253</v>
      </c>
    </row>
    <row r="341" spans="2:10" x14ac:dyDescent="0.2">
      <c r="B341" s="22">
        <v>336</v>
      </c>
      <c r="C341" s="21" t="s">
        <v>4131</v>
      </c>
      <c r="D341" s="21" t="s">
        <v>1204</v>
      </c>
      <c r="E341" s="20" t="s">
        <v>4132</v>
      </c>
      <c r="F341" s="22">
        <v>19</v>
      </c>
      <c r="G341" s="22" t="s">
        <v>4133</v>
      </c>
      <c r="H341" s="22">
        <v>3</v>
      </c>
      <c r="I341" s="25">
        <v>43177</v>
      </c>
      <c r="J341" s="24">
        <v>43204</v>
      </c>
    </row>
    <row r="342" spans="2:10" x14ac:dyDescent="0.2">
      <c r="B342" s="22">
        <v>337</v>
      </c>
      <c r="C342" s="21" t="s">
        <v>4134</v>
      </c>
      <c r="D342" s="21" t="s">
        <v>157</v>
      </c>
      <c r="E342" s="20" t="s">
        <v>4135</v>
      </c>
      <c r="F342" s="22">
        <v>16</v>
      </c>
      <c r="G342" s="22" t="s">
        <v>4136</v>
      </c>
      <c r="H342" s="22">
        <v>3</v>
      </c>
      <c r="I342" s="25">
        <v>43345</v>
      </c>
      <c r="J342" s="24">
        <v>43393</v>
      </c>
    </row>
    <row r="343" spans="2:10" x14ac:dyDescent="0.2">
      <c r="B343" s="22">
        <v>338</v>
      </c>
      <c r="C343" s="21" t="s">
        <v>4137</v>
      </c>
      <c r="D343" s="21" t="s">
        <v>1942</v>
      </c>
      <c r="E343" s="20" t="s">
        <v>4138</v>
      </c>
      <c r="F343" s="22">
        <v>4</v>
      </c>
      <c r="G343" s="22" t="s">
        <v>4139</v>
      </c>
      <c r="H343" s="22">
        <v>2</v>
      </c>
      <c r="I343" s="25">
        <v>43247</v>
      </c>
      <c r="J343" s="24">
        <v>43428</v>
      </c>
    </row>
    <row r="344" spans="2:10" x14ac:dyDescent="0.2">
      <c r="B344" s="22">
        <v>339</v>
      </c>
      <c r="C344" s="21" t="s">
        <v>4140</v>
      </c>
      <c r="D344" s="21" t="s">
        <v>1294</v>
      </c>
      <c r="E344" s="20" t="s">
        <v>4141</v>
      </c>
      <c r="F344" s="22">
        <v>63</v>
      </c>
      <c r="G344" s="22" t="s">
        <v>4142</v>
      </c>
      <c r="H344" s="22">
        <v>2</v>
      </c>
      <c r="I344" s="25">
        <v>43338</v>
      </c>
      <c r="J344" s="24">
        <v>43375</v>
      </c>
    </row>
    <row r="345" spans="2:10" x14ac:dyDescent="0.2">
      <c r="B345" s="22">
        <v>340</v>
      </c>
      <c r="C345" s="21" t="s">
        <v>4143</v>
      </c>
      <c r="D345" s="21" t="s">
        <v>1269</v>
      </c>
      <c r="E345" s="20" t="s">
        <v>4144</v>
      </c>
      <c r="F345" s="22">
        <v>457</v>
      </c>
      <c r="G345" s="22" t="s">
        <v>4145</v>
      </c>
      <c r="H345" s="22">
        <v>457</v>
      </c>
      <c r="I345" s="25">
        <v>43358</v>
      </c>
      <c r="J345" s="22" t="s">
        <v>558</v>
      </c>
    </row>
    <row r="346" spans="2:10" x14ac:dyDescent="0.2">
      <c r="B346" s="22">
        <v>341</v>
      </c>
      <c r="C346" s="21" t="s">
        <v>4146</v>
      </c>
      <c r="D346" s="21" t="s">
        <v>2197</v>
      </c>
      <c r="E346" s="20" t="s">
        <v>4147</v>
      </c>
      <c r="F346" s="22">
        <v>482</v>
      </c>
      <c r="G346" s="22" t="s">
        <v>4148</v>
      </c>
      <c r="H346" s="22">
        <v>482</v>
      </c>
      <c r="I346" s="25">
        <v>43108</v>
      </c>
      <c r="J346" s="24">
        <v>43121</v>
      </c>
    </row>
    <row r="347" spans="2:10" x14ac:dyDescent="0.2">
      <c r="B347" s="22">
        <v>342</v>
      </c>
      <c r="C347" s="21" t="s">
        <v>4149</v>
      </c>
      <c r="D347" s="21" t="s">
        <v>570</v>
      </c>
      <c r="E347" s="20" t="s">
        <v>4150</v>
      </c>
      <c r="F347" s="22">
        <v>54</v>
      </c>
      <c r="G347" s="22" t="s">
        <v>4151</v>
      </c>
      <c r="H347" s="22">
        <v>54</v>
      </c>
      <c r="I347" s="25">
        <v>43310</v>
      </c>
      <c r="J347" s="24">
        <v>43330</v>
      </c>
    </row>
    <row r="348" spans="2:10" x14ac:dyDescent="0.2">
      <c r="B348" s="22">
        <v>343</v>
      </c>
      <c r="C348" s="21" t="s">
        <v>4152</v>
      </c>
      <c r="D348" s="21" t="s">
        <v>1039</v>
      </c>
      <c r="E348" s="20" t="s">
        <v>4153</v>
      </c>
      <c r="F348" s="22">
        <v>17</v>
      </c>
      <c r="G348" s="22" t="s">
        <v>4154</v>
      </c>
      <c r="H348" s="22">
        <v>14</v>
      </c>
      <c r="I348" s="25">
        <v>43219</v>
      </c>
      <c r="J348" s="24">
        <v>43281</v>
      </c>
    </row>
    <row r="349" spans="2:10" x14ac:dyDescent="0.2">
      <c r="B349" s="22">
        <v>344</v>
      </c>
      <c r="C349" s="21" t="s">
        <v>4155</v>
      </c>
      <c r="D349" s="21" t="s">
        <v>1039</v>
      </c>
      <c r="E349" s="20" t="s">
        <v>4156</v>
      </c>
      <c r="F349" s="22">
        <v>37</v>
      </c>
      <c r="G349" s="22" t="s">
        <v>4157</v>
      </c>
      <c r="H349" s="22">
        <v>33</v>
      </c>
      <c r="I349" s="25">
        <v>43163</v>
      </c>
      <c r="J349" s="24">
        <v>43225</v>
      </c>
    </row>
    <row r="350" spans="2:10" x14ac:dyDescent="0.2">
      <c r="B350" s="22">
        <v>345</v>
      </c>
      <c r="C350" s="21" t="s">
        <v>4158</v>
      </c>
      <c r="D350" s="21" t="s">
        <v>1332</v>
      </c>
      <c r="E350" s="20" t="s">
        <v>4159</v>
      </c>
      <c r="F350" s="22">
        <v>28</v>
      </c>
      <c r="G350" s="22" t="s">
        <v>4160</v>
      </c>
      <c r="H350" s="22">
        <v>2</v>
      </c>
      <c r="I350" s="25">
        <v>43380</v>
      </c>
      <c r="J350" s="24">
        <v>43407</v>
      </c>
    </row>
    <row r="351" spans="2:10" x14ac:dyDescent="0.2">
      <c r="B351" s="22">
        <v>346</v>
      </c>
      <c r="C351" s="21" t="s">
        <v>4161</v>
      </c>
      <c r="D351" s="21" t="s">
        <v>1532</v>
      </c>
      <c r="E351" s="20" t="s">
        <v>4162</v>
      </c>
      <c r="F351" s="22">
        <v>9</v>
      </c>
      <c r="G351" s="22" t="s">
        <v>1159</v>
      </c>
      <c r="H351" s="22" t="s">
        <v>1159</v>
      </c>
      <c r="I351" s="25">
        <v>43297</v>
      </c>
      <c r="J351" s="24">
        <v>43442</v>
      </c>
    </row>
    <row r="352" spans="2:10" x14ac:dyDescent="0.2">
      <c r="B352" s="22">
        <v>347</v>
      </c>
      <c r="C352" s="21" t="s">
        <v>4163</v>
      </c>
      <c r="D352" s="21" t="s">
        <v>4164</v>
      </c>
      <c r="E352" s="20" t="s">
        <v>4165</v>
      </c>
      <c r="F352" s="22">
        <v>26</v>
      </c>
      <c r="G352" s="22" t="s">
        <v>4166</v>
      </c>
      <c r="H352" s="22">
        <v>1</v>
      </c>
      <c r="I352" s="25">
        <v>43317</v>
      </c>
      <c r="J352" s="24">
        <v>43422</v>
      </c>
    </row>
    <row r="353" spans="2:10" x14ac:dyDescent="0.2">
      <c r="B353" s="22">
        <v>348</v>
      </c>
      <c r="C353" s="21" t="s">
        <v>4167</v>
      </c>
      <c r="D353" s="21" t="s">
        <v>1142</v>
      </c>
      <c r="E353" s="20" t="s">
        <v>4168</v>
      </c>
      <c r="F353" s="22">
        <v>20</v>
      </c>
      <c r="G353" s="22" t="s">
        <v>4169</v>
      </c>
      <c r="H353" s="22">
        <v>1</v>
      </c>
      <c r="I353" s="25">
        <v>43254</v>
      </c>
      <c r="J353" s="24">
        <v>43361</v>
      </c>
    </row>
    <row r="354" spans="2:10" x14ac:dyDescent="0.2">
      <c r="B354" s="22">
        <v>349</v>
      </c>
      <c r="C354" s="21" t="s">
        <v>4170</v>
      </c>
      <c r="D354" s="21" t="s">
        <v>38</v>
      </c>
      <c r="E354" s="20" t="s">
        <v>4171</v>
      </c>
      <c r="F354" s="22">
        <v>19</v>
      </c>
      <c r="G354" s="22" t="s">
        <v>4172</v>
      </c>
      <c r="H354" s="22">
        <v>3</v>
      </c>
      <c r="I354" s="25">
        <v>43261</v>
      </c>
      <c r="J354" s="24">
        <v>43319</v>
      </c>
    </row>
    <row r="355" spans="2:10" x14ac:dyDescent="0.2">
      <c r="B355" s="22">
        <v>350</v>
      </c>
      <c r="C355" s="21" t="s">
        <v>4173</v>
      </c>
      <c r="D355" s="21" t="s">
        <v>1095</v>
      </c>
      <c r="E355" s="20" t="s">
        <v>4174</v>
      </c>
      <c r="F355" s="22">
        <v>40</v>
      </c>
      <c r="G355" s="22" t="s">
        <v>4175</v>
      </c>
      <c r="H355" s="22">
        <v>4</v>
      </c>
      <c r="I355" s="25">
        <v>43198</v>
      </c>
      <c r="J355" s="24">
        <v>43253</v>
      </c>
    </row>
    <row r="356" spans="2:10" x14ac:dyDescent="0.2">
      <c r="B356" s="22">
        <v>351</v>
      </c>
      <c r="C356" s="21" t="s">
        <v>4176</v>
      </c>
      <c r="D356" s="21" t="s">
        <v>1175</v>
      </c>
      <c r="E356" s="20" t="s">
        <v>4177</v>
      </c>
      <c r="F356" s="22">
        <v>10</v>
      </c>
      <c r="G356" s="22" t="s">
        <v>4178</v>
      </c>
      <c r="H356" s="22">
        <v>2</v>
      </c>
      <c r="I356" s="25">
        <v>43338</v>
      </c>
      <c r="J356" s="24">
        <v>43372</v>
      </c>
    </row>
    <row r="357" spans="2:10" x14ac:dyDescent="0.2">
      <c r="B357" s="22">
        <v>352</v>
      </c>
      <c r="C357" s="21" t="s">
        <v>4179</v>
      </c>
      <c r="D357" s="21" t="s">
        <v>1576</v>
      </c>
      <c r="E357" s="20" t="s">
        <v>4180</v>
      </c>
      <c r="F357" s="22">
        <v>3</v>
      </c>
      <c r="G357" s="22" t="s">
        <v>4181</v>
      </c>
      <c r="H357" s="22">
        <v>1</v>
      </c>
      <c r="I357" s="25">
        <v>43143</v>
      </c>
      <c r="J357" s="24">
        <v>43156</v>
      </c>
    </row>
    <row r="358" spans="2:10" x14ac:dyDescent="0.2">
      <c r="B358" s="22">
        <v>353</v>
      </c>
      <c r="C358" s="21" t="s">
        <v>4182</v>
      </c>
      <c r="D358" s="21" t="s">
        <v>1039</v>
      </c>
      <c r="E358" s="20" t="s">
        <v>4183</v>
      </c>
      <c r="F358" s="22">
        <v>19</v>
      </c>
      <c r="G358" s="22" t="s">
        <v>4184</v>
      </c>
      <c r="H358" s="22">
        <v>3</v>
      </c>
      <c r="I358" s="25">
        <v>43233</v>
      </c>
      <c r="J358" s="24">
        <v>43337</v>
      </c>
    </row>
    <row r="359" spans="2:10" x14ac:dyDescent="0.2">
      <c r="B359" s="22">
        <v>354</v>
      </c>
      <c r="C359" s="21" t="s">
        <v>4185</v>
      </c>
      <c r="D359" s="21" t="s">
        <v>157</v>
      </c>
      <c r="E359" s="20" t="s">
        <v>4186</v>
      </c>
      <c r="F359" s="22">
        <v>15</v>
      </c>
      <c r="G359" s="22" t="s">
        <v>4187</v>
      </c>
      <c r="H359" s="22">
        <v>1</v>
      </c>
      <c r="I359" s="25">
        <v>43254</v>
      </c>
      <c r="J359" s="24">
        <v>43112</v>
      </c>
    </row>
    <row r="360" spans="2:10" x14ac:dyDescent="0.2">
      <c r="B360" s="22">
        <v>355</v>
      </c>
      <c r="C360" s="21" t="s">
        <v>4188</v>
      </c>
      <c r="D360" s="21" t="s">
        <v>1640</v>
      </c>
      <c r="E360" s="20" t="s">
        <v>4189</v>
      </c>
      <c r="F360" s="22">
        <v>7</v>
      </c>
      <c r="G360" s="22" t="s">
        <v>4190</v>
      </c>
      <c r="H360" s="22">
        <v>1</v>
      </c>
      <c r="I360" s="25">
        <v>43217</v>
      </c>
      <c r="J360" s="22" t="s">
        <v>558</v>
      </c>
    </row>
    <row r="361" spans="2:10" x14ac:dyDescent="0.2">
      <c r="B361" s="22">
        <v>356</v>
      </c>
      <c r="C361" s="21" t="s">
        <v>4191</v>
      </c>
      <c r="D361" s="21" t="s">
        <v>1135</v>
      </c>
      <c r="E361" s="20" t="s">
        <v>4192</v>
      </c>
      <c r="F361" s="22">
        <v>23</v>
      </c>
      <c r="G361" s="22" t="s">
        <v>4193</v>
      </c>
      <c r="H361" s="22">
        <v>23</v>
      </c>
      <c r="I361" s="25">
        <v>43163</v>
      </c>
      <c r="J361" s="22" t="s">
        <v>558</v>
      </c>
    </row>
    <row r="362" spans="2:10" x14ac:dyDescent="0.2">
      <c r="B362" s="22">
        <v>357</v>
      </c>
      <c r="C362" s="21" t="s">
        <v>4194</v>
      </c>
      <c r="D362" s="21" t="s">
        <v>1422</v>
      </c>
      <c r="E362" s="20" t="s">
        <v>4195</v>
      </c>
      <c r="F362" s="22">
        <v>22</v>
      </c>
      <c r="G362" s="22" t="s">
        <v>1159</v>
      </c>
      <c r="H362" s="22" t="s">
        <v>1159</v>
      </c>
      <c r="I362" s="25">
        <v>43341</v>
      </c>
      <c r="J362" s="24">
        <v>43442</v>
      </c>
    </row>
    <row r="363" spans="2:10" x14ac:dyDescent="0.2">
      <c r="B363" s="22">
        <v>358</v>
      </c>
      <c r="C363" s="21" t="s">
        <v>4196</v>
      </c>
      <c r="D363" s="21" t="s">
        <v>1459</v>
      </c>
      <c r="E363" s="20" t="s">
        <v>4197</v>
      </c>
      <c r="F363" s="22">
        <v>65</v>
      </c>
      <c r="G363" s="22" t="s">
        <v>4198</v>
      </c>
      <c r="H363" s="22">
        <v>3</v>
      </c>
      <c r="I363" s="25">
        <v>43352</v>
      </c>
      <c r="J363" s="24">
        <v>43372</v>
      </c>
    </row>
    <row r="364" spans="2:10" x14ac:dyDescent="0.2">
      <c r="B364" s="22">
        <v>359</v>
      </c>
      <c r="C364" s="21" t="s">
        <v>4199</v>
      </c>
      <c r="D364" s="21" t="s">
        <v>1213</v>
      </c>
      <c r="E364" s="20" t="s">
        <v>4200</v>
      </c>
      <c r="F364" s="22">
        <v>22</v>
      </c>
      <c r="G364" s="22" t="s">
        <v>4201</v>
      </c>
      <c r="H364" s="22">
        <v>13</v>
      </c>
      <c r="I364" s="25">
        <v>43429</v>
      </c>
      <c r="J364" s="24">
        <v>43154</v>
      </c>
    </row>
    <row r="365" spans="2:10" x14ac:dyDescent="0.2">
      <c r="B365" s="22">
        <v>360</v>
      </c>
      <c r="C365" s="21" t="s">
        <v>4202</v>
      </c>
      <c r="D365" s="21" t="s">
        <v>1175</v>
      </c>
      <c r="E365" s="20" t="s">
        <v>4203</v>
      </c>
      <c r="F365" s="22">
        <v>10</v>
      </c>
      <c r="G365" s="22" t="s">
        <v>4204</v>
      </c>
      <c r="H365" s="22">
        <v>3</v>
      </c>
      <c r="I365" s="25">
        <v>43134</v>
      </c>
      <c r="J365" s="24">
        <v>43211</v>
      </c>
    </row>
    <row r="366" spans="2:10" x14ac:dyDescent="0.2">
      <c r="B366" s="22">
        <v>361</v>
      </c>
      <c r="C366" s="21" t="s">
        <v>4205</v>
      </c>
      <c r="D366" s="21" t="s">
        <v>4206</v>
      </c>
      <c r="E366" s="20" t="s">
        <v>4207</v>
      </c>
      <c r="F366" s="22">
        <v>51</v>
      </c>
      <c r="G366" s="22" t="s">
        <v>4208</v>
      </c>
      <c r="H366" s="22">
        <v>2</v>
      </c>
      <c r="I366" s="25">
        <v>43392</v>
      </c>
      <c r="J366" s="24">
        <v>43403</v>
      </c>
    </row>
    <row r="367" spans="2:10" x14ac:dyDescent="0.2">
      <c r="B367" s="22">
        <v>362</v>
      </c>
      <c r="C367" s="21" t="s">
        <v>4209</v>
      </c>
      <c r="D367" s="21" t="s">
        <v>1043</v>
      </c>
      <c r="E367" s="20" t="s">
        <v>4210</v>
      </c>
      <c r="F367" s="22">
        <v>67</v>
      </c>
      <c r="G367" s="22" t="s">
        <v>4211</v>
      </c>
      <c r="H367" s="22">
        <v>6</v>
      </c>
      <c r="I367" s="25">
        <v>43143</v>
      </c>
      <c r="J367" s="24">
        <v>43169</v>
      </c>
    </row>
    <row r="368" spans="2:10" x14ac:dyDescent="0.2">
      <c r="B368" s="22">
        <v>363</v>
      </c>
      <c r="C368" s="21" t="s">
        <v>4212</v>
      </c>
      <c r="D368" s="21" t="s">
        <v>38</v>
      </c>
      <c r="E368" s="20" t="s">
        <v>4213</v>
      </c>
      <c r="F368" s="22">
        <v>26</v>
      </c>
      <c r="G368" s="22" t="s">
        <v>4214</v>
      </c>
      <c r="H368" s="22">
        <v>2</v>
      </c>
      <c r="I368" s="25">
        <v>43177</v>
      </c>
      <c r="J368" s="24">
        <v>43253</v>
      </c>
    </row>
    <row r="369" spans="2:10" x14ac:dyDescent="0.2">
      <c r="B369" s="22">
        <v>364</v>
      </c>
      <c r="C369" s="21" t="s">
        <v>4215</v>
      </c>
      <c r="D369" s="21" t="s">
        <v>1087</v>
      </c>
      <c r="E369" s="20" t="s">
        <v>4216</v>
      </c>
      <c r="F369" s="22">
        <v>161</v>
      </c>
      <c r="G369" s="22" t="s">
        <v>1159</v>
      </c>
      <c r="H369" s="22" t="s">
        <v>1159</v>
      </c>
      <c r="I369" s="25">
        <v>43174</v>
      </c>
      <c r="J369" s="24">
        <v>43175</v>
      </c>
    </row>
    <row r="370" spans="2:10" x14ac:dyDescent="0.2">
      <c r="B370" s="22">
        <v>365</v>
      </c>
      <c r="C370" s="21" t="s">
        <v>4217</v>
      </c>
      <c r="D370" s="21" t="s">
        <v>1804</v>
      </c>
      <c r="E370" s="20" t="s">
        <v>4218</v>
      </c>
      <c r="F370" s="22">
        <v>8</v>
      </c>
      <c r="G370" s="22" t="s">
        <v>4219</v>
      </c>
      <c r="H370" s="22">
        <v>1</v>
      </c>
      <c r="I370" s="25">
        <v>43275</v>
      </c>
      <c r="J370" s="22" t="s">
        <v>558</v>
      </c>
    </row>
    <row r="371" spans="2:10" x14ac:dyDescent="0.2">
      <c r="B371" s="22">
        <v>366</v>
      </c>
      <c r="C371" s="21" t="s">
        <v>4220</v>
      </c>
      <c r="D371" s="21" t="s">
        <v>4084</v>
      </c>
      <c r="E371" s="20" t="s">
        <v>4221</v>
      </c>
      <c r="F371" s="22">
        <v>55</v>
      </c>
      <c r="G371" s="22" t="s">
        <v>4222</v>
      </c>
      <c r="H371" s="22">
        <v>2</v>
      </c>
      <c r="I371" s="25">
        <v>43136</v>
      </c>
      <c r="J371" s="24">
        <v>43159</v>
      </c>
    </row>
    <row r="372" spans="2:10" x14ac:dyDescent="0.2">
      <c r="B372" s="22">
        <v>367</v>
      </c>
      <c r="C372" s="21" t="s">
        <v>4223</v>
      </c>
      <c r="D372" s="21" t="s">
        <v>3620</v>
      </c>
      <c r="E372" s="20" t="s">
        <v>4224</v>
      </c>
      <c r="F372" s="22">
        <v>79</v>
      </c>
      <c r="G372" s="22" t="s">
        <v>4225</v>
      </c>
      <c r="H372" s="22">
        <v>79</v>
      </c>
      <c r="I372" s="25">
        <v>43394</v>
      </c>
      <c r="J372" s="24">
        <v>43406</v>
      </c>
    </row>
    <row r="373" spans="2:10" x14ac:dyDescent="0.2">
      <c r="B373" s="22">
        <v>368</v>
      </c>
      <c r="C373" s="21" t="s">
        <v>4226</v>
      </c>
      <c r="D373" s="21" t="s">
        <v>1532</v>
      </c>
      <c r="E373" s="20" t="s">
        <v>4227</v>
      </c>
      <c r="F373" s="22">
        <v>8</v>
      </c>
      <c r="G373" s="22" t="s">
        <v>1159</v>
      </c>
      <c r="H373" s="22" t="s">
        <v>1159</v>
      </c>
      <c r="I373" s="25">
        <v>43375</v>
      </c>
      <c r="J373" s="24">
        <v>43441</v>
      </c>
    </row>
    <row r="374" spans="2:10" x14ac:dyDescent="0.2">
      <c r="B374" s="22">
        <v>369</v>
      </c>
      <c r="C374" s="21" t="s">
        <v>4228</v>
      </c>
      <c r="D374" s="21" t="s">
        <v>2270</v>
      </c>
      <c r="E374" s="20" t="s">
        <v>4229</v>
      </c>
      <c r="F374" s="22">
        <v>14</v>
      </c>
      <c r="G374" s="22" t="s">
        <v>1159</v>
      </c>
      <c r="H374" s="22" t="s">
        <v>1159</v>
      </c>
      <c r="I374" s="25">
        <v>43129</v>
      </c>
      <c r="J374" s="22" t="s">
        <v>558</v>
      </c>
    </row>
    <row r="375" spans="2:10" x14ac:dyDescent="0.2">
      <c r="B375" s="22">
        <v>370</v>
      </c>
      <c r="C375" s="21" t="s">
        <v>4230</v>
      </c>
      <c r="D375" s="21" t="s">
        <v>1213</v>
      </c>
      <c r="E375" s="20" t="s">
        <v>4231</v>
      </c>
      <c r="F375" s="22">
        <v>17</v>
      </c>
      <c r="G375" s="22" t="s">
        <v>4232</v>
      </c>
      <c r="H375" s="22">
        <v>6</v>
      </c>
      <c r="I375" s="25">
        <v>43443</v>
      </c>
      <c r="J375" s="24">
        <v>43154</v>
      </c>
    </row>
    <row r="376" spans="2:10" x14ac:dyDescent="0.2">
      <c r="B376" s="22">
        <v>371</v>
      </c>
      <c r="C376" s="21" t="s">
        <v>4233</v>
      </c>
      <c r="D376" s="21" t="s">
        <v>1576</v>
      </c>
      <c r="E376" s="20" t="s">
        <v>4234</v>
      </c>
      <c r="F376" s="22">
        <v>4</v>
      </c>
      <c r="G376" s="22" t="s">
        <v>4235</v>
      </c>
      <c r="H376" s="22">
        <v>2</v>
      </c>
      <c r="I376" s="25">
        <v>43101</v>
      </c>
      <c r="J376" s="24">
        <v>43183</v>
      </c>
    </row>
    <row r="377" spans="2:10" x14ac:dyDescent="0.2">
      <c r="B377" s="22">
        <v>372</v>
      </c>
      <c r="C377" s="21" t="s">
        <v>4236</v>
      </c>
      <c r="D377" s="21" t="s">
        <v>4237</v>
      </c>
      <c r="E377" s="20" t="s">
        <v>4238</v>
      </c>
      <c r="F377" s="22">
        <v>17</v>
      </c>
      <c r="G377" s="22" t="s">
        <v>4239</v>
      </c>
      <c r="H377" s="22">
        <v>2</v>
      </c>
      <c r="I377" s="25">
        <v>43170</v>
      </c>
      <c r="J377" s="24">
        <v>43200</v>
      </c>
    </row>
    <row r="378" spans="2:10" x14ac:dyDescent="0.2">
      <c r="B378" s="22">
        <v>373</v>
      </c>
      <c r="C378" s="21" t="s">
        <v>4240</v>
      </c>
      <c r="D378" s="21" t="s">
        <v>1532</v>
      </c>
      <c r="E378" s="20" t="s">
        <v>4241</v>
      </c>
      <c r="F378" s="22">
        <v>6</v>
      </c>
      <c r="G378" s="22" t="s">
        <v>4242</v>
      </c>
      <c r="H378" s="22">
        <v>1</v>
      </c>
      <c r="I378" s="25">
        <v>43177</v>
      </c>
      <c r="J378" s="24">
        <v>43358</v>
      </c>
    </row>
    <row r="379" spans="2:10" x14ac:dyDescent="0.2">
      <c r="B379" s="22">
        <v>374</v>
      </c>
      <c r="C379" s="21" t="s">
        <v>4243</v>
      </c>
      <c r="D379" s="21" t="s">
        <v>1039</v>
      </c>
      <c r="E379" s="20" t="s">
        <v>4244</v>
      </c>
      <c r="F379" s="22">
        <v>30</v>
      </c>
      <c r="G379" s="22" t="s">
        <v>4245</v>
      </c>
      <c r="H379" s="22">
        <v>5</v>
      </c>
      <c r="I379" s="25">
        <v>43143</v>
      </c>
      <c r="J379" s="24">
        <v>43211</v>
      </c>
    </row>
    <row r="380" spans="2:10" x14ac:dyDescent="0.2">
      <c r="B380" s="22">
        <v>375</v>
      </c>
      <c r="C380" s="21" t="s">
        <v>4246</v>
      </c>
      <c r="D380" s="21" t="s">
        <v>1532</v>
      </c>
      <c r="E380" s="20" t="s">
        <v>4247</v>
      </c>
      <c r="F380" s="22">
        <v>7</v>
      </c>
      <c r="G380" s="22" t="s">
        <v>4248</v>
      </c>
      <c r="H380" s="22">
        <v>2</v>
      </c>
      <c r="I380" s="25">
        <v>43361</v>
      </c>
      <c r="J380" s="22" t="s">
        <v>558</v>
      </c>
    </row>
    <row r="381" spans="2:10" x14ac:dyDescent="0.2">
      <c r="B381" s="22">
        <v>376</v>
      </c>
      <c r="C381" s="21" t="s">
        <v>4249</v>
      </c>
      <c r="D381" s="21" t="s">
        <v>4084</v>
      </c>
      <c r="E381" s="20" t="s">
        <v>4250</v>
      </c>
      <c r="F381" s="22">
        <v>12</v>
      </c>
      <c r="G381" s="22" t="s">
        <v>4251</v>
      </c>
      <c r="H381" s="22">
        <v>1</v>
      </c>
      <c r="I381" s="25">
        <v>43310</v>
      </c>
      <c r="J381" s="24">
        <v>43393</v>
      </c>
    </row>
    <row r="382" spans="2:10" x14ac:dyDescent="0.2">
      <c r="B382" s="22">
        <v>377</v>
      </c>
      <c r="C382" s="21" t="s">
        <v>4252</v>
      </c>
      <c r="D382" s="21" t="s">
        <v>1572</v>
      </c>
      <c r="E382" s="20" t="s">
        <v>4253</v>
      </c>
      <c r="F382" s="22">
        <v>10</v>
      </c>
      <c r="G382" s="22" t="s">
        <v>4254</v>
      </c>
      <c r="H382" s="22">
        <v>4</v>
      </c>
      <c r="I382" s="25">
        <v>43212</v>
      </c>
      <c r="J382" s="24">
        <v>43316</v>
      </c>
    </row>
    <row r="383" spans="2:10" x14ac:dyDescent="0.2">
      <c r="B383" s="22">
        <v>378</v>
      </c>
      <c r="C383" s="21" t="s">
        <v>4255</v>
      </c>
      <c r="D383" s="21" t="s">
        <v>1235</v>
      </c>
      <c r="E383" s="20" t="s">
        <v>4256</v>
      </c>
      <c r="F383" s="22">
        <v>23</v>
      </c>
      <c r="G383" s="22" t="s">
        <v>4257</v>
      </c>
      <c r="H383" s="22">
        <v>23</v>
      </c>
      <c r="I383" s="25">
        <v>43275</v>
      </c>
      <c r="J383" s="24">
        <v>43309</v>
      </c>
    </row>
    <row r="384" spans="2:10" x14ac:dyDescent="0.2">
      <c r="B384" s="22">
        <v>379</v>
      </c>
      <c r="C384" s="21" t="s">
        <v>4258</v>
      </c>
      <c r="D384" s="21" t="s">
        <v>4259</v>
      </c>
      <c r="E384" s="20" t="s">
        <v>4260</v>
      </c>
      <c r="F384" s="22">
        <v>77</v>
      </c>
      <c r="G384" s="22" t="s">
        <v>4261</v>
      </c>
      <c r="H384" s="22">
        <v>77</v>
      </c>
      <c r="I384" s="25">
        <v>43338</v>
      </c>
      <c r="J384" s="22" t="s">
        <v>558</v>
      </c>
    </row>
    <row r="385" spans="2:10" x14ac:dyDescent="0.2">
      <c r="B385" s="22">
        <v>380</v>
      </c>
      <c r="C385" s="21" t="s">
        <v>4262</v>
      </c>
      <c r="D385" s="21" t="s">
        <v>1294</v>
      </c>
      <c r="E385" s="20" t="s">
        <v>4263</v>
      </c>
      <c r="F385" s="22">
        <v>15</v>
      </c>
      <c r="G385" s="22" t="s">
        <v>4264</v>
      </c>
      <c r="H385" s="22">
        <v>2</v>
      </c>
      <c r="I385" s="25">
        <v>43212</v>
      </c>
      <c r="J385" s="24">
        <v>43267</v>
      </c>
    </row>
    <row r="386" spans="2:10" x14ac:dyDescent="0.2">
      <c r="B386" s="22">
        <v>381</v>
      </c>
      <c r="C386" s="21" t="s">
        <v>4265</v>
      </c>
      <c r="D386" s="21" t="s">
        <v>4266</v>
      </c>
      <c r="E386" s="20" t="s">
        <v>4267</v>
      </c>
      <c r="F386" s="22">
        <v>12</v>
      </c>
      <c r="G386" s="22" t="s">
        <v>4268</v>
      </c>
      <c r="H386" s="22">
        <v>12</v>
      </c>
      <c r="I386" s="25">
        <v>43358</v>
      </c>
      <c r="J386" s="24">
        <v>43189</v>
      </c>
    </row>
    <row r="387" spans="2:10" x14ac:dyDescent="0.2">
      <c r="B387" s="22">
        <v>382</v>
      </c>
      <c r="C387" s="21" t="s">
        <v>4269</v>
      </c>
      <c r="D387" s="21" t="s">
        <v>2197</v>
      </c>
      <c r="E387" s="20" t="s">
        <v>4270</v>
      </c>
      <c r="F387" s="22">
        <v>116</v>
      </c>
      <c r="G387" s="22" t="s">
        <v>4271</v>
      </c>
      <c r="H387" s="22">
        <v>116</v>
      </c>
      <c r="I387" s="25">
        <v>43122</v>
      </c>
      <c r="J387" s="24">
        <v>43142</v>
      </c>
    </row>
    <row r="388" spans="2:10" x14ac:dyDescent="0.2">
      <c r="B388" s="22">
        <v>383</v>
      </c>
      <c r="C388" s="21" t="s">
        <v>4272</v>
      </c>
      <c r="D388" s="21" t="s">
        <v>1532</v>
      </c>
      <c r="E388" s="20" t="s">
        <v>4273</v>
      </c>
      <c r="F388" s="22">
        <v>6</v>
      </c>
      <c r="G388" s="22" t="s">
        <v>4274</v>
      </c>
      <c r="H388" s="22">
        <v>2</v>
      </c>
      <c r="I388" s="25">
        <v>43205</v>
      </c>
      <c r="J388" s="24">
        <v>43358</v>
      </c>
    </row>
    <row r="389" spans="2:10" x14ac:dyDescent="0.2">
      <c r="B389" s="22">
        <v>384</v>
      </c>
      <c r="C389" s="21" t="s">
        <v>4275</v>
      </c>
      <c r="D389" s="21" t="s">
        <v>1942</v>
      </c>
      <c r="E389" s="20" t="s">
        <v>4276</v>
      </c>
      <c r="F389" s="22">
        <v>5</v>
      </c>
      <c r="G389" s="22" t="s">
        <v>4277</v>
      </c>
      <c r="H389" s="22">
        <v>1</v>
      </c>
      <c r="I389" s="25">
        <v>43315</v>
      </c>
      <c r="J389" s="24">
        <v>43456</v>
      </c>
    </row>
    <row r="390" spans="2:10" x14ac:dyDescent="0.2">
      <c r="B390" s="22">
        <v>385</v>
      </c>
      <c r="C390" s="21" t="s">
        <v>4278</v>
      </c>
      <c r="D390" s="21" t="s">
        <v>1039</v>
      </c>
      <c r="E390" s="20" t="s">
        <v>4279</v>
      </c>
      <c r="F390" s="22">
        <v>20</v>
      </c>
      <c r="G390" s="22" t="s">
        <v>4280</v>
      </c>
      <c r="H390" s="22">
        <v>18</v>
      </c>
      <c r="I390" s="25">
        <v>43289</v>
      </c>
      <c r="J390" s="24">
        <v>43316</v>
      </c>
    </row>
    <row r="391" spans="2:10" x14ac:dyDescent="0.2">
      <c r="B391" s="22">
        <v>386</v>
      </c>
      <c r="C391" s="21" t="s">
        <v>4281</v>
      </c>
      <c r="D391" s="21" t="s">
        <v>2114</v>
      </c>
      <c r="E391" s="20" t="s">
        <v>4282</v>
      </c>
      <c r="F391" s="22">
        <v>8</v>
      </c>
      <c r="G391" s="22" t="s">
        <v>4283</v>
      </c>
      <c r="H391" s="22">
        <v>5</v>
      </c>
      <c r="I391" s="25">
        <v>43122</v>
      </c>
      <c r="J391" s="22" t="s">
        <v>558</v>
      </c>
    </row>
    <row r="392" spans="2:10" x14ac:dyDescent="0.2">
      <c r="B392" s="22">
        <v>387</v>
      </c>
      <c r="C392" s="21" t="s">
        <v>4284</v>
      </c>
      <c r="D392" s="21" t="s">
        <v>1248</v>
      </c>
      <c r="E392" s="20" t="s">
        <v>4285</v>
      </c>
      <c r="F392" s="22">
        <v>7</v>
      </c>
      <c r="G392" s="22" t="s">
        <v>4286</v>
      </c>
      <c r="H392" s="22">
        <v>2</v>
      </c>
      <c r="I392" s="25">
        <v>43422</v>
      </c>
      <c r="J392" s="24">
        <v>43115</v>
      </c>
    </row>
    <row r="393" spans="2:10" x14ac:dyDescent="0.2">
      <c r="B393" s="22">
        <v>388</v>
      </c>
      <c r="C393" s="21" t="s">
        <v>4287</v>
      </c>
      <c r="D393" s="21" t="s">
        <v>1576</v>
      </c>
      <c r="E393" s="20" t="s">
        <v>4288</v>
      </c>
      <c r="F393" s="22">
        <v>5</v>
      </c>
      <c r="G393" s="22" t="s">
        <v>4289</v>
      </c>
      <c r="H393" s="22">
        <v>3</v>
      </c>
      <c r="I393" s="25">
        <v>43345</v>
      </c>
      <c r="J393" s="24">
        <v>43379</v>
      </c>
    </row>
    <row r="394" spans="2:10" x14ac:dyDescent="0.2">
      <c r="B394" s="22">
        <v>389</v>
      </c>
      <c r="C394" s="21" t="s">
        <v>4290</v>
      </c>
      <c r="D394" s="21" t="s">
        <v>4266</v>
      </c>
      <c r="E394" s="20" t="s">
        <v>4291</v>
      </c>
      <c r="F394" s="22">
        <v>12</v>
      </c>
      <c r="G394" s="22" t="s">
        <v>4292</v>
      </c>
      <c r="H394" s="22">
        <v>12</v>
      </c>
      <c r="I394" s="25">
        <v>43421</v>
      </c>
      <c r="J394" s="24">
        <v>43441</v>
      </c>
    </row>
    <row r="395" spans="2:10" x14ac:dyDescent="0.2">
      <c r="B395" s="22">
        <v>390</v>
      </c>
      <c r="C395" s="21" t="s">
        <v>4293</v>
      </c>
      <c r="D395" s="21" t="s">
        <v>2148</v>
      </c>
      <c r="E395" s="20" t="s">
        <v>4294</v>
      </c>
      <c r="F395" s="22">
        <v>6</v>
      </c>
      <c r="G395" s="22" t="s">
        <v>4295</v>
      </c>
      <c r="H395" s="22">
        <v>2</v>
      </c>
      <c r="I395" s="25">
        <v>43287</v>
      </c>
      <c r="J395" s="24">
        <v>43157</v>
      </c>
    </row>
    <row r="396" spans="2:10" x14ac:dyDescent="0.2">
      <c r="B396" s="22">
        <v>391</v>
      </c>
      <c r="C396" s="21" t="s">
        <v>4296</v>
      </c>
      <c r="D396" s="21" t="s">
        <v>1415</v>
      </c>
      <c r="E396" s="20" t="s">
        <v>4297</v>
      </c>
      <c r="F396" s="22">
        <v>19</v>
      </c>
      <c r="G396" s="22" t="s">
        <v>4298</v>
      </c>
      <c r="H396" s="22">
        <v>19</v>
      </c>
      <c r="I396" s="25">
        <v>43113</v>
      </c>
      <c r="J396" s="24">
        <v>43128</v>
      </c>
    </row>
    <row r="397" spans="2:10" x14ac:dyDescent="0.2">
      <c r="B397" s="22">
        <v>392</v>
      </c>
      <c r="C397" s="21" t="s">
        <v>4299</v>
      </c>
      <c r="D397" s="21" t="s">
        <v>1095</v>
      </c>
      <c r="E397" s="20" t="s">
        <v>4300</v>
      </c>
      <c r="F397" s="22">
        <v>24</v>
      </c>
      <c r="G397" s="22" t="s">
        <v>4301</v>
      </c>
      <c r="H397" s="22">
        <v>3</v>
      </c>
      <c r="I397" s="25">
        <v>43352</v>
      </c>
      <c r="J397" s="24">
        <v>43407</v>
      </c>
    </row>
    <row r="398" spans="2:10" x14ac:dyDescent="0.2">
      <c r="B398" s="22">
        <v>393</v>
      </c>
      <c r="C398" s="21" t="s">
        <v>4302</v>
      </c>
      <c r="D398" s="21" t="s">
        <v>1459</v>
      </c>
      <c r="E398" s="20" t="s">
        <v>4303</v>
      </c>
      <c r="F398" s="22">
        <v>41</v>
      </c>
      <c r="G398" s="22" t="s">
        <v>4304</v>
      </c>
      <c r="H398" s="22">
        <v>41</v>
      </c>
      <c r="I398" s="25">
        <v>43261</v>
      </c>
      <c r="J398" s="24">
        <v>43267</v>
      </c>
    </row>
    <row r="399" spans="2:10" x14ac:dyDescent="0.2">
      <c r="B399" s="22">
        <v>394</v>
      </c>
      <c r="C399" s="21" t="s">
        <v>4305</v>
      </c>
      <c r="D399" s="21" t="s">
        <v>1576</v>
      </c>
      <c r="E399" s="20" t="s">
        <v>4306</v>
      </c>
      <c r="F399" s="22">
        <v>7</v>
      </c>
      <c r="G399" s="22" t="s">
        <v>4307</v>
      </c>
      <c r="H399" s="22">
        <v>1</v>
      </c>
      <c r="I399" s="25">
        <v>43352</v>
      </c>
      <c r="J399" s="24">
        <v>43442</v>
      </c>
    </row>
    <row r="400" spans="2:10" x14ac:dyDescent="0.2">
      <c r="B400" s="22">
        <v>395</v>
      </c>
      <c r="C400" s="21" t="s">
        <v>4308</v>
      </c>
      <c r="D400" s="21" t="s">
        <v>1532</v>
      </c>
      <c r="E400" s="20" t="s">
        <v>4309</v>
      </c>
      <c r="F400" s="22">
        <v>13</v>
      </c>
      <c r="G400" s="22" t="s">
        <v>1159</v>
      </c>
      <c r="H400" s="22" t="s">
        <v>1159</v>
      </c>
      <c r="I400" s="25">
        <v>43371</v>
      </c>
      <c r="J400" s="22" t="s">
        <v>558</v>
      </c>
    </row>
    <row r="401" spans="2:10" x14ac:dyDescent="0.2">
      <c r="B401" s="22">
        <v>396</v>
      </c>
      <c r="C401" s="21" t="s">
        <v>4310</v>
      </c>
      <c r="D401" s="21" t="s">
        <v>1804</v>
      </c>
      <c r="E401" s="20" t="s">
        <v>4311</v>
      </c>
      <c r="F401" s="22">
        <v>6</v>
      </c>
      <c r="G401" s="22" t="s">
        <v>4312</v>
      </c>
      <c r="H401" s="22">
        <v>1</v>
      </c>
      <c r="I401" s="25">
        <v>43205</v>
      </c>
      <c r="J401" s="24">
        <v>43309</v>
      </c>
    </row>
    <row r="402" spans="2:10" x14ac:dyDescent="0.2">
      <c r="B402" s="22">
        <v>397</v>
      </c>
      <c r="C402" s="21" t="s">
        <v>4313</v>
      </c>
      <c r="D402" s="21" t="s">
        <v>1415</v>
      </c>
      <c r="E402" s="20" t="s">
        <v>4314</v>
      </c>
      <c r="F402" s="22">
        <v>97</v>
      </c>
      <c r="G402" s="22" t="s">
        <v>4315</v>
      </c>
      <c r="H402" s="22">
        <v>97</v>
      </c>
      <c r="I402" s="25">
        <v>43415</v>
      </c>
      <c r="J402" s="24">
        <v>43421</v>
      </c>
    </row>
    <row r="403" spans="2:10" x14ac:dyDescent="0.2">
      <c r="B403" s="22">
        <v>398</v>
      </c>
      <c r="C403" s="21" t="s">
        <v>4316</v>
      </c>
      <c r="D403" s="21" t="s">
        <v>1332</v>
      </c>
      <c r="E403" s="20" t="s">
        <v>4317</v>
      </c>
      <c r="F403" s="22">
        <v>7</v>
      </c>
      <c r="G403" s="22" t="s">
        <v>4318</v>
      </c>
      <c r="H403" s="22">
        <v>7</v>
      </c>
      <c r="I403" s="25">
        <v>43295</v>
      </c>
      <c r="J403" s="24">
        <v>43319</v>
      </c>
    </row>
    <row r="404" spans="2:10" x14ac:dyDescent="0.2">
      <c r="B404" s="22">
        <v>399</v>
      </c>
      <c r="C404" s="21" t="s">
        <v>4319</v>
      </c>
      <c r="D404" s="21" t="s">
        <v>1210</v>
      </c>
      <c r="E404" s="20" t="s">
        <v>4320</v>
      </c>
      <c r="F404" s="22">
        <v>21</v>
      </c>
      <c r="G404" s="22" t="s">
        <v>4321</v>
      </c>
      <c r="H404" s="22">
        <v>21</v>
      </c>
      <c r="I404" s="25">
        <v>43296</v>
      </c>
      <c r="J404" s="24">
        <v>43309</v>
      </c>
    </row>
    <row r="405" spans="2:10" x14ac:dyDescent="0.2">
      <c r="B405" s="22">
        <v>400</v>
      </c>
      <c r="C405" s="21" t="s">
        <v>4322</v>
      </c>
      <c r="D405" s="21" t="s">
        <v>4323</v>
      </c>
      <c r="E405" s="20" t="s">
        <v>4324</v>
      </c>
      <c r="F405" s="22">
        <v>103</v>
      </c>
      <c r="G405" s="22" t="s">
        <v>4325</v>
      </c>
      <c r="H405" s="22">
        <v>103</v>
      </c>
      <c r="I405" s="25">
        <v>43324</v>
      </c>
      <c r="J405" s="22" t="s">
        <v>558</v>
      </c>
    </row>
    <row r="406" spans="2:10" x14ac:dyDescent="0.2">
      <c r="B406" s="22">
        <v>401</v>
      </c>
      <c r="C406" s="21" t="s">
        <v>4326</v>
      </c>
      <c r="D406" s="21" t="s">
        <v>1210</v>
      </c>
      <c r="E406" s="20" t="s">
        <v>4327</v>
      </c>
      <c r="F406" s="22">
        <v>16</v>
      </c>
      <c r="G406" s="22" t="s">
        <v>4328</v>
      </c>
      <c r="H406" s="22">
        <v>16</v>
      </c>
      <c r="I406" s="25">
        <v>43205</v>
      </c>
      <c r="J406" s="24">
        <v>43232</v>
      </c>
    </row>
    <row r="407" spans="2:10" x14ac:dyDescent="0.2">
      <c r="B407" s="22">
        <v>402</v>
      </c>
      <c r="C407" s="21" t="s">
        <v>4329</v>
      </c>
      <c r="D407" s="21" t="s">
        <v>2121</v>
      </c>
      <c r="E407" s="20" t="s">
        <v>4330</v>
      </c>
      <c r="F407" s="22">
        <v>12</v>
      </c>
      <c r="G407" s="22" t="s">
        <v>4331</v>
      </c>
      <c r="H407" s="22">
        <v>12</v>
      </c>
      <c r="I407" s="25">
        <v>43352</v>
      </c>
      <c r="J407" s="24">
        <v>43386</v>
      </c>
    </row>
    <row r="408" spans="2:10" x14ac:dyDescent="0.2">
      <c r="B408" s="22">
        <v>403</v>
      </c>
      <c r="C408" s="21" t="s">
        <v>4332</v>
      </c>
      <c r="D408" s="21" t="s">
        <v>38</v>
      </c>
      <c r="E408" s="20" t="s">
        <v>4333</v>
      </c>
      <c r="F408" s="22">
        <v>20</v>
      </c>
      <c r="G408" s="22" t="s">
        <v>4334</v>
      </c>
      <c r="H408" s="22">
        <v>2</v>
      </c>
      <c r="I408" s="25">
        <v>43331</v>
      </c>
      <c r="J408" s="24">
        <v>43379</v>
      </c>
    </row>
    <row r="409" spans="2:10" x14ac:dyDescent="0.2">
      <c r="B409" s="22">
        <v>404</v>
      </c>
      <c r="C409" s="21" t="s">
        <v>4335</v>
      </c>
      <c r="D409" s="21" t="s">
        <v>2108</v>
      </c>
      <c r="E409" s="20" t="s">
        <v>4336</v>
      </c>
      <c r="F409" s="22">
        <v>5</v>
      </c>
      <c r="G409" s="22" t="s">
        <v>1967</v>
      </c>
      <c r="H409" s="22">
        <v>1</v>
      </c>
      <c r="I409" s="25">
        <v>43177</v>
      </c>
      <c r="J409" s="22" t="s">
        <v>558</v>
      </c>
    </row>
    <row r="410" spans="2:10" x14ac:dyDescent="0.2">
      <c r="B410" s="22">
        <v>405</v>
      </c>
      <c r="C410" s="21" t="s">
        <v>4337</v>
      </c>
      <c r="D410" s="21" t="s">
        <v>1210</v>
      </c>
      <c r="E410" s="20" t="s">
        <v>4338</v>
      </c>
      <c r="F410" s="22">
        <v>22</v>
      </c>
      <c r="G410" s="22" t="s">
        <v>4339</v>
      </c>
      <c r="H410" s="22">
        <v>22</v>
      </c>
      <c r="I410" s="25">
        <v>43282</v>
      </c>
      <c r="J410" s="24">
        <v>43298</v>
      </c>
    </row>
    <row r="411" spans="2:10" x14ac:dyDescent="0.2">
      <c r="B411" s="22">
        <v>406</v>
      </c>
      <c r="C411" s="21" t="s">
        <v>4340</v>
      </c>
      <c r="D411" s="21" t="s">
        <v>1572</v>
      </c>
      <c r="E411" s="20" t="s">
        <v>4341</v>
      </c>
      <c r="F411" s="22">
        <v>6</v>
      </c>
      <c r="G411" s="22" t="s">
        <v>4342</v>
      </c>
      <c r="H411" s="22">
        <v>2</v>
      </c>
      <c r="I411" s="25">
        <v>43268</v>
      </c>
      <c r="J411" s="24">
        <v>43396</v>
      </c>
    </row>
    <row r="412" spans="2:10" x14ac:dyDescent="0.2">
      <c r="B412" s="22">
        <v>407</v>
      </c>
      <c r="C412" s="21" t="s">
        <v>4343</v>
      </c>
      <c r="D412" s="21" t="s">
        <v>1532</v>
      </c>
      <c r="E412" s="20" t="s">
        <v>4344</v>
      </c>
      <c r="F412" s="22">
        <v>6</v>
      </c>
      <c r="G412" s="22" t="s">
        <v>4345</v>
      </c>
      <c r="H412" s="22">
        <v>2</v>
      </c>
      <c r="I412" s="25">
        <v>43371</v>
      </c>
      <c r="J412" s="24">
        <v>43414</v>
      </c>
    </row>
    <row r="413" spans="2:10" x14ac:dyDescent="0.2">
      <c r="B413" s="22">
        <v>408</v>
      </c>
      <c r="C413" s="21" t="s">
        <v>4346</v>
      </c>
      <c r="D413" s="21" t="s">
        <v>1039</v>
      </c>
      <c r="E413" s="20" t="s">
        <v>4347</v>
      </c>
      <c r="F413" s="22">
        <v>27</v>
      </c>
      <c r="G413" s="22" t="s">
        <v>4348</v>
      </c>
      <c r="H413" s="22">
        <v>5</v>
      </c>
      <c r="I413" s="25">
        <v>43352</v>
      </c>
      <c r="J413" s="24">
        <v>43400</v>
      </c>
    </row>
    <row r="414" spans="2:10" x14ac:dyDescent="0.2">
      <c r="B414" s="22">
        <v>409</v>
      </c>
      <c r="C414" s="21" t="s">
        <v>4349</v>
      </c>
      <c r="D414" s="21" t="s">
        <v>1142</v>
      </c>
      <c r="E414" s="20" t="s">
        <v>4350</v>
      </c>
      <c r="F414" s="22">
        <v>2</v>
      </c>
      <c r="G414" s="22" t="s">
        <v>4351</v>
      </c>
      <c r="H414" s="22">
        <v>1</v>
      </c>
      <c r="I414" s="25">
        <v>43205</v>
      </c>
      <c r="J414" s="22" t="s">
        <v>558</v>
      </c>
    </row>
    <row r="415" spans="2:10" x14ac:dyDescent="0.2">
      <c r="B415" s="22">
        <v>410</v>
      </c>
      <c r="C415" s="21" t="s">
        <v>4352</v>
      </c>
      <c r="D415" s="21" t="s">
        <v>1559</v>
      </c>
      <c r="E415" s="20" t="s">
        <v>4353</v>
      </c>
      <c r="F415" s="22">
        <v>17</v>
      </c>
      <c r="G415" s="22" t="s">
        <v>4354</v>
      </c>
      <c r="H415" s="22">
        <v>1</v>
      </c>
      <c r="I415" s="25">
        <v>43462</v>
      </c>
      <c r="J415" s="24">
        <v>43161</v>
      </c>
    </row>
    <row r="416" spans="2:10" x14ac:dyDescent="0.2">
      <c r="B416" s="22">
        <v>411</v>
      </c>
      <c r="C416" s="21" t="s">
        <v>4355</v>
      </c>
      <c r="D416" s="21" t="s">
        <v>1532</v>
      </c>
      <c r="E416" s="20" t="s">
        <v>4356</v>
      </c>
      <c r="F416" s="22">
        <v>12</v>
      </c>
      <c r="G416" s="22" t="s">
        <v>4357</v>
      </c>
      <c r="H416" s="22">
        <v>1</v>
      </c>
      <c r="I416" s="25">
        <v>43143</v>
      </c>
      <c r="J416" s="24">
        <v>43309</v>
      </c>
    </row>
    <row r="417" spans="2:10" x14ac:dyDescent="0.2">
      <c r="B417" s="22">
        <v>412</v>
      </c>
      <c r="C417" s="21" t="s">
        <v>4358</v>
      </c>
      <c r="D417" s="21" t="s">
        <v>1210</v>
      </c>
      <c r="E417" s="20" t="s">
        <v>4359</v>
      </c>
      <c r="F417" s="22">
        <v>12</v>
      </c>
      <c r="G417" s="22" t="s">
        <v>4360</v>
      </c>
      <c r="H417" s="22">
        <v>12</v>
      </c>
      <c r="I417" s="25">
        <v>43359</v>
      </c>
      <c r="J417" s="24">
        <v>43386</v>
      </c>
    </row>
    <row r="418" spans="2:10" x14ac:dyDescent="0.2">
      <c r="B418" s="22">
        <v>413</v>
      </c>
      <c r="C418" s="21" t="s">
        <v>4361</v>
      </c>
      <c r="D418" s="21" t="s">
        <v>4362</v>
      </c>
      <c r="E418" s="20" t="s">
        <v>4363</v>
      </c>
      <c r="F418" s="22">
        <v>24</v>
      </c>
      <c r="G418" s="22" t="s">
        <v>4364</v>
      </c>
      <c r="H418" s="22">
        <v>24</v>
      </c>
      <c r="I418" s="25">
        <v>43422</v>
      </c>
      <c r="J418" s="24">
        <v>43456</v>
      </c>
    </row>
    <row r="419" spans="2:10" x14ac:dyDescent="0.2">
      <c r="B419" s="22">
        <v>414</v>
      </c>
      <c r="C419" s="21" t="s">
        <v>4365</v>
      </c>
      <c r="D419" s="21" t="s">
        <v>1640</v>
      </c>
      <c r="E419" s="20" t="s">
        <v>4366</v>
      </c>
      <c r="F419" s="22">
        <v>4</v>
      </c>
      <c r="G419" s="22" t="s">
        <v>4367</v>
      </c>
      <c r="H419" s="22">
        <v>1</v>
      </c>
      <c r="I419" s="25">
        <v>43196</v>
      </c>
      <c r="J419" s="24">
        <v>43253</v>
      </c>
    </row>
    <row r="420" spans="2:10" x14ac:dyDescent="0.2">
      <c r="B420" s="22">
        <v>415</v>
      </c>
      <c r="C420" s="21" t="s">
        <v>4368</v>
      </c>
      <c r="D420" s="21" t="s">
        <v>1294</v>
      </c>
      <c r="E420" s="20" t="s">
        <v>4369</v>
      </c>
      <c r="F420" s="22">
        <v>17</v>
      </c>
      <c r="G420" s="22" t="s">
        <v>4370</v>
      </c>
      <c r="H420" s="22">
        <v>1</v>
      </c>
      <c r="I420" s="25">
        <v>43394</v>
      </c>
      <c r="J420" s="24">
        <v>43442</v>
      </c>
    </row>
    <row r="421" spans="2:10" x14ac:dyDescent="0.2">
      <c r="B421" s="22">
        <v>416</v>
      </c>
      <c r="C421" s="21" t="s">
        <v>4371</v>
      </c>
      <c r="D421" s="21" t="s">
        <v>1175</v>
      </c>
      <c r="E421" s="20" t="s">
        <v>4372</v>
      </c>
      <c r="F421" s="22">
        <v>12</v>
      </c>
      <c r="G421" s="22" t="s">
        <v>4373</v>
      </c>
      <c r="H421" s="22">
        <v>4</v>
      </c>
      <c r="I421" s="25">
        <v>43275</v>
      </c>
      <c r="J421" s="24">
        <v>43298</v>
      </c>
    </row>
    <row r="422" spans="2:10" x14ac:dyDescent="0.2">
      <c r="B422" s="22">
        <v>417</v>
      </c>
      <c r="C422" s="21" t="s">
        <v>4374</v>
      </c>
      <c r="D422" s="21" t="s">
        <v>1631</v>
      </c>
      <c r="E422" s="20" t="s">
        <v>4375</v>
      </c>
      <c r="F422" s="22">
        <v>38</v>
      </c>
      <c r="G422" s="22" t="s">
        <v>1159</v>
      </c>
      <c r="H422" s="22" t="s">
        <v>1159</v>
      </c>
      <c r="I422" s="25">
        <v>43352</v>
      </c>
      <c r="J422" s="24">
        <v>43463</v>
      </c>
    </row>
    <row r="423" spans="2:10" x14ac:dyDescent="0.2">
      <c r="B423" s="22">
        <v>418</v>
      </c>
      <c r="C423" s="21" t="s">
        <v>4376</v>
      </c>
      <c r="D423" s="21" t="s">
        <v>570</v>
      </c>
      <c r="E423" s="20" t="s">
        <v>4377</v>
      </c>
      <c r="F423" s="22">
        <v>37</v>
      </c>
      <c r="G423" s="22" t="s">
        <v>4378</v>
      </c>
      <c r="H423" s="22">
        <v>37</v>
      </c>
      <c r="I423" s="25">
        <v>43324</v>
      </c>
      <c r="J423" s="24">
        <v>43344</v>
      </c>
    </row>
    <row r="424" spans="2:10" x14ac:dyDescent="0.2">
      <c r="B424" s="22">
        <v>419</v>
      </c>
      <c r="C424" s="21" t="s">
        <v>4379</v>
      </c>
      <c r="D424" s="21" t="s">
        <v>1235</v>
      </c>
      <c r="E424" s="20" t="s">
        <v>4380</v>
      </c>
      <c r="F424" s="22">
        <v>21</v>
      </c>
      <c r="G424" s="22" t="s">
        <v>4381</v>
      </c>
      <c r="H424" s="22">
        <v>21</v>
      </c>
      <c r="I424" s="25">
        <v>43436</v>
      </c>
      <c r="J424" s="24">
        <v>43456</v>
      </c>
    </row>
    <row r="425" spans="2:10" x14ac:dyDescent="0.2">
      <c r="B425" s="22">
        <v>420</v>
      </c>
      <c r="C425" s="21" t="s">
        <v>4382</v>
      </c>
      <c r="D425" s="21" t="s">
        <v>4383</v>
      </c>
      <c r="E425" s="20" t="s">
        <v>4384</v>
      </c>
      <c r="F425" s="22">
        <v>14</v>
      </c>
      <c r="G425" s="22" t="s">
        <v>4385</v>
      </c>
      <c r="H425" s="22">
        <v>4</v>
      </c>
      <c r="I425" s="25">
        <v>43163</v>
      </c>
      <c r="J425" s="22" t="s">
        <v>558</v>
      </c>
    </row>
    <row r="426" spans="2:10" x14ac:dyDescent="0.2">
      <c r="B426" s="22">
        <v>421</v>
      </c>
      <c r="C426" s="21" t="s">
        <v>4386</v>
      </c>
      <c r="D426" s="21" t="s">
        <v>1377</v>
      </c>
      <c r="E426" s="20" t="s">
        <v>4387</v>
      </c>
      <c r="F426" s="22">
        <v>70</v>
      </c>
      <c r="G426" s="22" t="s">
        <v>4387</v>
      </c>
      <c r="H426" s="22">
        <v>70</v>
      </c>
      <c r="I426" s="25">
        <v>43129</v>
      </c>
      <c r="J426" s="24">
        <v>43131</v>
      </c>
    </row>
    <row r="427" spans="2:10" x14ac:dyDescent="0.2">
      <c r="B427" s="22">
        <v>422</v>
      </c>
      <c r="C427" s="21" t="s">
        <v>4388</v>
      </c>
      <c r="D427" s="21" t="s">
        <v>2108</v>
      </c>
      <c r="E427" s="20" t="s">
        <v>4389</v>
      </c>
      <c r="F427" s="22">
        <v>4</v>
      </c>
      <c r="G427" s="22" t="s">
        <v>4390</v>
      </c>
      <c r="H427" s="22">
        <v>1</v>
      </c>
      <c r="I427" s="25">
        <v>43296</v>
      </c>
      <c r="J427" s="24">
        <v>43449</v>
      </c>
    </row>
    <row r="428" spans="2:10" x14ac:dyDescent="0.2">
      <c r="B428" s="22">
        <v>423</v>
      </c>
      <c r="C428" s="21" t="s">
        <v>4391</v>
      </c>
      <c r="D428" s="21" t="s">
        <v>1235</v>
      </c>
      <c r="E428" s="20" t="s">
        <v>4392</v>
      </c>
      <c r="F428" s="22">
        <v>29</v>
      </c>
      <c r="G428" s="22" t="s">
        <v>4393</v>
      </c>
      <c r="H428" s="22">
        <v>29</v>
      </c>
      <c r="I428" s="25">
        <v>43443</v>
      </c>
      <c r="J428" s="24">
        <v>43456</v>
      </c>
    </row>
    <row r="429" spans="2:10" x14ac:dyDescent="0.2">
      <c r="B429" s="22">
        <v>424</v>
      </c>
      <c r="C429" s="21" t="s">
        <v>4394</v>
      </c>
      <c r="D429" s="21" t="s">
        <v>4395</v>
      </c>
      <c r="E429" s="20" t="s">
        <v>4396</v>
      </c>
      <c r="F429" s="22">
        <v>8</v>
      </c>
      <c r="G429" s="22" t="s">
        <v>4397</v>
      </c>
      <c r="H429" s="22">
        <v>1</v>
      </c>
      <c r="I429" s="25">
        <v>43373</v>
      </c>
      <c r="J429" s="24">
        <v>43133</v>
      </c>
    </row>
    <row r="430" spans="2:10" x14ac:dyDescent="0.2">
      <c r="B430" s="22">
        <v>425</v>
      </c>
      <c r="C430" s="21" t="s">
        <v>4398</v>
      </c>
      <c r="D430" s="21" t="s">
        <v>1294</v>
      </c>
      <c r="E430" s="20" t="s">
        <v>4399</v>
      </c>
      <c r="F430" s="22">
        <v>10</v>
      </c>
      <c r="G430" s="22" t="s">
        <v>4400</v>
      </c>
      <c r="H430" s="22">
        <v>1</v>
      </c>
      <c r="I430" s="25">
        <v>43352</v>
      </c>
      <c r="J430" s="24">
        <v>43382</v>
      </c>
    </row>
    <row r="431" spans="2:10" x14ac:dyDescent="0.2">
      <c r="B431" s="22">
        <v>426</v>
      </c>
      <c r="C431" s="21" t="s">
        <v>4401</v>
      </c>
      <c r="D431" s="21" t="s">
        <v>3627</v>
      </c>
      <c r="E431" s="20" t="s">
        <v>4402</v>
      </c>
      <c r="F431" s="22">
        <v>27</v>
      </c>
      <c r="G431" s="22" t="s">
        <v>4403</v>
      </c>
      <c r="H431" s="22">
        <v>24</v>
      </c>
      <c r="I431" s="25">
        <v>43268</v>
      </c>
      <c r="J431" s="24">
        <v>43337</v>
      </c>
    </row>
    <row r="432" spans="2:10" x14ac:dyDescent="0.2">
      <c r="B432" s="22">
        <v>427</v>
      </c>
      <c r="C432" s="21" t="s">
        <v>4404</v>
      </c>
      <c r="D432" s="21" t="s">
        <v>1332</v>
      </c>
      <c r="E432" s="20" t="s">
        <v>4405</v>
      </c>
      <c r="F432" s="22">
        <v>6</v>
      </c>
      <c r="G432" s="22" t="s">
        <v>4406</v>
      </c>
      <c r="H432" s="22">
        <v>4</v>
      </c>
      <c r="I432" s="25">
        <v>43170</v>
      </c>
      <c r="J432" s="24">
        <v>43218</v>
      </c>
    </row>
    <row r="433" spans="2:10" x14ac:dyDescent="0.2">
      <c r="B433" s="22">
        <v>428</v>
      </c>
      <c r="C433" s="21" t="s">
        <v>4407</v>
      </c>
      <c r="D433" s="21" t="s">
        <v>4408</v>
      </c>
      <c r="E433" s="20" t="s">
        <v>4409</v>
      </c>
      <c r="F433" s="22">
        <v>13</v>
      </c>
      <c r="G433" s="22" t="s">
        <v>4410</v>
      </c>
      <c r="H433" s="22">
        <v>3</v>
      </c>
      <c r="I433" s="25">
        <v>43219</v>
      </c>
      <c r="J433" s="24">
        <v>43260</v>
      </c>
    </row>
    <row r="434" spans="2:10" x14ac:dyDescent="0.2">
      <c r="B434" s="22">
        <v>429</v>
      </c>
      <c r="C434" s="21" t="s">
        <v>4411</v>
      </c>
      <c r="D434" s="21" t="s">
        <v>1213</v>
      </c>
      <c r="E434" s="20" t="s">
        <v>4412</v>
      </c>
      <c r="F434" s="22">
        <v>6</v>
      </c>
      <c r="G434" s="22" t="s">
        <v>4413</v>
      </c>
      <c r="H434" s="22">
        <v>2</v>
      </c>
      <c r="I434" s="25">
        <v>43289</v>
      </c>
      <c r="J434" s="24">
        <v>43330</v>
      </c>
    </row>
    <row r="435" spans="2:10" x14ac:dyDescent="0.2">
      <c r="B435" s="22">
        <v>430</v>
      </c>
      <c r="C435" s="21" t="s">
        <v>4414</v>
      </c>
      <c r="D435" s="21" t="s">
        <v>966</v>
      </c>
      <c r="E435" s="20" t="s">
        <v>4415</v>
      </c>
      <c r="F435" s="22">
        <v>10</v>
      </c>
      <c r="G435" s="22" t="s">
        <v>4416</v>
      </c>
      <c r="H435" s="22">
        <v>2</v>
      </c>
      <c r="I435" s="25">
        <v>43191</v>
      </c>
      <c r="J435" s="24">
        <v>43239</v>
      </c>
    </row>
    <row r="436" spans="2:10" x14ac:dyDescent="0.2">
      <c r="B436" s="22">
        <v>431</v>
      </c>
      <c r="C436" s="21" t="s">
        <v>4417</v>
      </c>
      <c r="D436" s="21" t="s">
        <v>1332</v>
      </c>
      <c r="E436" s="20" t="s">
        <v>4418</v>
      </c>
      <c r="F436" s="22">
        <v>15</v>
      </c>
      <c r="G436" s="22" t="s">
        <v>4419</v>
      </c>
      <c r="H436" s="22">
        <v>1</v>
      </c>
      <c r="I436" s="25">
        <v>43231</v>
      </c>
      <c r="J436" s="24">
        <v>43267</v>
      </c>
    </row>
    <row r="437" spans="2:10" x14ac:dyDescent="0.2">
      <c r="B437" s="22">
        <v>432</v>
      </c>
      <c r="C437" s="21" t="s">
        <v>4420</v>
      </c>
      <c r="D437" s="21" t="s">
        <v>1612</v>
      </c>
      <c r="E437" s="20" t="s">
        <v>4421</v>
      </c>
      <c r="F437" s="22">
        <v>29</v>
      </c>
      <c r="G437" s="22" t="s">
        <v>4422</v>
      </c>
      <c r="H437" s="22">
        <v>1</v>
      </c>
      <c r="I437" s="25">
        <v>43345</v>
      </c>
      <c r="J437" s="24">
        <v>43393</v>
      </c>
    </row>
    <row r="438" spans="2:10" x14ac:dyDescent="0.2">
      <c r="B438" s="22">
        <v>433</v>
      </c>
      <c r="C438" s="21" t="s">
        <v>4423</v>
      </c>
      <c r="D438" s="21" t="s">
        <v>1294</v>
      </c>
      <c r="E438" s="20" t="s">
        <v>4424</v>
      </c>
      <c r="F438" s="22">
        <v>10</v>
      </c>
      <c r="G438" s="22" t="s">
        <v>4425</v>
      </c>
      <c r="H438" s="22">
        <v>4</v>
      </c>
      <c r="I438" s="25">
        <v>43157</v>
      </c>
      <c r="J438" s="24">
        <v>43183</v>
      </c>
    </row>
    <row r="439" spans="2:10" x14ac:dyDescent="0.2">
      <c r="B439" s="22">
        <v>434</v>
      </c>
      <c r="C439" s="21" t="s">
        <v>4426</v>
      </c>
      <c r="D439" s="21" t="s">
        <v>1942</v>
      </c>
      <c r="E439" s="20" t="s">
        <v>4427</v>
      </c>
      <c r="F439" s="22">
        <v>5</v>
      </c>
      <c r="G439" s="22" t="s">
        <v>2000</v>
      </c>
      <c r="H439" s="22">
        <v>1</v>
      </c>
      <c r="I439" s="25">
        <v>43157</v>
      </c>
      <c r="J439" s="24">
        <v>43277</v>
      </c>
    </row>
    <row r="440" spans="2:10" x14ac:dyDescent="0.2">
      <c r="B440" s="22">
        <v>435</v>
      </c>
      <c r="C440" s="21" t="s">
        <v>4428</v>
      </c>
      <c r="D440" s="21" t="s">
        <v>1183</v>
      </c>
      <c r="E440" s="20" t="s">
        <v>4429</v>
      </c>
      <c r="F440" s="22">
        <v>9</v>
      </c>
      <c r="G440" s="22" t="s">
        <v>4430</v>
      </c>
      <c r="H440" s="22">
        <v>2</v>
      </c>
      <c r="I440" s="25">
        <v>43282</v>
      </c>
      <c r="J440" s="24">
        <v>43323</v>
      </c>
    </row>
    <row r="441" spans="2:10" x14ac:dyDescent="0.2">
      <c r="B441" s="22">
        <v>436</v>
      </c>
      <c r="C441" s="21" t="s">
        <v>4431</v>
      </c>
      <c r="D441" s="21" t="s">
        <v>1532</v>
      </c>
      <c r="E441" s="20" t="s">
        <v>4432</v>
      </c>
      <c r="F441" s="22">
        <v>4</v>
      </c>
      <c r="G441" s="22" t="s">
        <v>1159</v>
      </c>
      <c r="H441" s="22" t="s">
        <v>1159</v>
      </c>
      <c r="I441" s="25">
        <v>43310</v>
      </c>
      <c r="J441" s="24">
        <v>43428</v>
      </c>
    </row>
    <row r="442" spans="2:10" x14ac:dyDescent="0.2">
      <c r="B442" s="22">
        <v>437</v>
      </c>
      <c r="C442" s="21" t="s">
        <v>4433</v>
      </c>
      <c r="D442" s="21" t="s">
        <v>1248</v>
      </c>
      <c r="E442" s="20" t="s">
        <v>4434</v>
      </c>
      <c r="F442" s="22">
        <v>8</v>
      </c>
      <c r="G442" s="22" t="s">
        <v>4435</v>
      </c>
      <c r="H442" s="22">
        <v>3</v>
      </c>
      <c r="I442" s="25">
        <v>43163</v>
      </c>
      <c r="J442" s="24">
        <v>43190</v>
      </c>
    </row>
    <row r="443" spans="2:10" x14ac:dyDescent="0.2">
      <c r="B443" s="22">
        <v>438</v>
      </c>
      <c r="C443" s="21" t="s">
        <v>4436</v>
      </c>
      <c r="D443" s="21" t="s">
        <v>1039</v>
      </c>
      <c r="E443" s="20" t="s">
        <v>4437</v>
      </c>
      <c r="F443" s="22">
        <v>72</v>
      </c>
      <c r="G443" s="22" t="s">
        <v>4438</v>
      </c>
      <c r="H443" s="22">
        <v>3</v>
      </c>
      <c r="I443" s="25">
        <v>43170</v>
      </c>
      <c r="J443" s="22" t="s">
        <v>558</v>
      </c>
    </row>
    <row r="444" spans="2:10" x14ac:dyDescent="0.2">
      <c r="B444" s="22">
        <v>439</v>
      </c>
      <c r="C444" s="21" t="s">
        <v>4439</v>
      </c>
      <c r="D444" s="21" t="s">
        <v>1804</v>
      </c>
      <c r="E444" s="20" t="s">
        <v>4440</v>
      </c>
      <c r="F444" s="22">
        <v>9</v>
      </c>
      <c r="G444" s="22" t="s">
        <v>4441</v>
      </c>
      <c r="H444" s="22">
        <v>1</v>
      </c>
      <c r="I444" s="25">
        <v>43429</v>
      </c>
      <c r="J444" s="24">
        <v>43175</v>
      </c>
    </row>
    <row r="445" spans="2:10" x14ac:dyDescent="0.2">
      <c r="B445" s="22">
        <v>440</v>
      </c>
      <c r="C445" s="21" t="s">
        <v>4442</v>
      </c>
      <c r="D445" s="21" t="s">
        <v>4443</v>
      </c>
      <c r="E445" s="20" t="s">
        <v>4444</v>
      </c>
      <c r="F445" s="22">
        <v>7</v>
      </c>
      <c r="G445" s="22" t="s">
        <v>4445</v>
      </c>
      <c r="H445" s="22">
        <v>1</v>
      </c>
      <c r="I445" s="25">
        <v>43177</v>
      </c>
      <c r="J445" s="24">
        <v>43239</v>
      </c>
    </row>
    <row r="446" spans="2:10" x14ac:dyDescent="0.2">
      <c r="B446" s="22">
        <v>441</v>
      </c>
      <c r="C446" s="21" t="s">
        <v>4446</v>
      </c>
      <c r="D446" s="21" t="s">
        <v>1142</v>
      </c>
      <c r="E446" s="20" t="s">
        <v>4447</v>
      </c>
      <c r="F446" s="22">
        <v>24</v>
      </c>
      <c r="G446" s="22" t="s">
        <v>4448</v>
      </c>
      <c r="H446" s="22">
        <v>1</v>
      </c>
      <c r="I446" s="25">
        <v>43366</v>
      </c>
      <c r="J446" s="24">
        <v>43407</v>
      </c>
    </row>
    <row r="447" spans="2:10" x14ac:dyDescent="0.2">
      <c r="B447" s="22">
        <v>442</v>
      </c>
      <c r="C447" s="21" t="s">
        <v>4449</v>
      </c>
      <c r="D447" s="21" t="s">
        <v>1039</v>
      </c>
      <c r="E447" s="20" t="s">
        <v>4450</v>
      </c>
      <c r="F447" s="22">
        <v>12</v>
      </c>
      <c r="G447" s="22" t="s">
        <v>4451</v>
      </c>
      <c r="H447" s="22">
        <v>3</v>
      </c>
      <c r="I447" s="25">
        <v>43247</v>
      </c>
      <c r="J447" s="24">
        <v>43330</v>
      </c>
    </row>
    <row r="448" spans="2:10" x14ac:dyDescent="0.2">
      <c r="B448" s="22">
        <v>443</v>
      </c>
      <c r="C448" s="21" t="s">
        <v>4452</v>
      </c>
      <c r="D448" s="21" t="s">
        <v>1332</v>
      </c>
      <c r="E448" s="20" t="s">
        <v>4453</v>
      </c>
      <c r="F448" s="22">
        <v>11</v>
      </c>
      <c r="G448" s="22" t="s">
        <v>4454</v>
      </c>
      <c r="H448" s="22">
        <v>1</v>
      </c>
      <c r="I448" s="25">
        <v>43205</v>
      </c>
      <c r="J448" s="22" t="s">
        <v>558</v>
      </c>
    </row>
    <row r="449" spans="2:10" x14ac:dyDescent="0.2">
      <c r="B449" s="22">
        <v>444</v>
      </c>
      <c r="C449" s="21" t="s">
        <v>4455</v>
      </c>
      <c r="D449" s="21" t="s">
        <v>4456</v>
      </c>
      <c r="E449" s="20" t="s">
        <v>4457</v>
      </c>
      <c r="F449" s="22">
        <v>17</v>
      </c>
      <c r="G449" s="22" t="s">
        <v>4458</v>
      </c>
      <c r="H449" s="22">
        <v>2</v>
      </c>
      <c r="I449" s="25">
        <v>43422</v>
      </c>
      <c r="J449" s="24">
        <v>43443</v>
      </c>
    </row>
    <row r="450" spans="2:10" x14ac:dyDescent="0.2">
      <c r="B450" s="22">
        <v>445</v>
      </c>
      <c r="C450" s="21" t="s">
        <v>4459</v>
      </c>
      <c r="D450" s="21" t="s">
        <v>4460</v>
      </c>
      <c r="E450" s="20" t="s">
        <v>4461</v>
      </c>
      <c r="F450" s="22">
        <v>6</v>
      </c>
      <c r="G450" s="22" t="s">
        <v>4462</v>
      </c>
      <c r="H450" s="22">
        <v>1</v>
      </c>
      <c r="I450" s="25">
        <v>43357</v>
      </c>
      <c r="J450" s="24">
        <v>43393</v>
      </c>
    </row>
    <row r="451" spans="2:10" x14ac:dyDescent="0.2">
      <c r="B451" s="22">
        <v>446</v>
      </c>
      <c r="C451" s="21" t="s">
        <v>4463</v>
      </c>
      <c r="D451" s="21" t="s">
        <v>1746</v>
      </c>
      <c r="E451" s="20" t="s">
        <v>4464</v>
      </c>
      <c r="F451" s="22">
        <v>9</v>
      </c>
      <c r="G451" s="22" t="s">
        <v>4465</v>
      </c>
      <c r="H451" s="22">
        <v>1</v>
      </c>
      <c r="I451" s="25">
        <v>43191</v>
      </c>
      <c r="J451" s="22" t="s">
        <v>558</v>
      </c>
    </row>
    <row r="452" spans="2:10" x14ac:dyDescent="0.2">
      <c r="B452" s="22">
        <v>447</v>
      </c>
      <c r="C452" s="21" t="s">
        <v>4466</v>
      </c>
      <c r="D452" s="21" t="s">
        <v>1294</v>
      </c>
      <c r="E452" s="20" t="s">
        <v>4467</v>
      </c>
      <c r="F452" s="22">
        <v>19</v>
      </c>
      <c r="G452" s="22" t="s">
        <v>4468</v>
      </c>
      <c r="H452" s="22">
        <v>3</v>
      </c>
      <c r="I452" s="25">
        <v>43233</v>
      </c>
      <c r="J452" s="24">
        <v>43260</v>
      </c>
    </row>
    <row r="453" spans="2:10" x14ac:dyDescent="0.2">
      <c r="B453" s="22">
        <v>448</v>
      </c>
      <c r="C453" s="21" t="s">
        <v>4469</v>
      </c>
      <c r="D453" s="21" t="s">
        <v>1942</v>
      </c>
      <c r="E453" s="20" t="s">
        <v>4470</v>
      </c>
      <c r="F453" s="22">
        <v>7</v>
      </c>
      <c r="G453" s="22" t="s">
        <v>4471</v>
      </c>
      <c r="H453" s="22">
        <v>3</v>
      </c>
      <c r="I453" s="25">
        <v>43380</v>
      </c>
      <c r="J453" s="24">
        <v>43116</v>
      </c>
    </row>
    <row r="454" spans="2:10" x14ac:dyDescent="0.2">
      <c r="B454" s="22">
        <v>449</v>
      </c>
      <c r="C454" s="21" t="s">
        <v>4472</v>
      </c>
      <c r="D454" s="21" t="s">
        <v>1332</v>
      </c>
      <c r="E454" s="20" t="s">
        <v>4473</v>
      </c>
      <c r="F454" s="22">
        <v>5</v>
      </c>
      <c r="G454" s="22" t="s">
        <v>4474</v>
      </c>
      <c r="H454" s="22">
        <v>5</v>
      </c>
      <c r="I454" s="25">
        <v>43191</v>
      </c>
      <c r="J454" s="24">
        <v>43214</v>
      </c>
    </row>
    <row r="455" spans="2:10" x14ac:dyDescent="0.2">
      <c r="B455" s="22">
        <v>450</v>
      </c>
      <c r="C455" s="21" t="s">
        <v>4475</v>
      </c>
      <c r="D455" s="21" t="s">
        <v>1804</v>
      </c>
      <c r="E455" s="20" t="s">
        <v>4476</v>
      </c>
      <c r="F455" s="22">
        <v>7</v>
      </c>
      <c r="G455" s="22" t="s">
        <v>4477</v>
      </c>
      <c r="H455" s="22">
        <v>3</v>
      </c>
      <c r="I455" s="25">
        <v>43205</v>
      </c>
      <c r="J455" s="24">
        <v>43309</v>
      </c>
    </row>
    <row r="456" spans="2:10" x14ac:dyDescent="0.2">
      <c r="B456" s="22">
        <v>451</v>
      </c>
      <c r="C456" s="21" t="s">
        <v>4478</v>
      </c>
      <c r="D456" s="21" t="s">
        <v>1142</v>
      </c>
      <c r="E456" s="20" t="s">
        <v>4479</v>
      </c>
      <c r="F456" s="22">
        <v>9</v>
      </c>
      <c r="G456" s="22" t="s">
        <v>4480</v>
      </c>
      <c r="H456" s="22">
        <v>2</v>
      </c>
      <c r="I456" s="25">
        <v>43219</v>
      </c>
      <c r="J456" s="24">
        <v>43288</v>
      </c>
    </row>
    <row r="457" spans="2:10" x14ac:dyDescent="0.2">
      <c r="B457" s="22">
        <v>452</v>
      </c>
      <c r="C457" s="21" t="s">
        <v>4481</v>
      </c>
      <c r="D457" s="21" t="s">
        <v>1039</v>
      </c>
      <c r="E457" s="20" t="s">
        <v>4482</v>
      </c>
      <c r="F457" s="22">
        <v>13</v>
      </c>
      <c r="G457" s="22" t="s">
        <v>4483</v>
      </c>
      <c r="H457" s="22">
        <v>8</v>
      </c>
      <c r="I457" s="25">
        <v>43366</v>
      </c>
      <c r="J457" s="24">
        <v>43407</v>
      </c>
    </row>
    <row r="458" spans="2:10" x14ac:dyDescent="0.2">
      <c r="B458" s="22">
        <v>453</v>
      </c>
      <c r="C458" s="21" t="s">
        <v>4484</v>
      </c>
      <c r="D458" s="21" t="s">
        <v>1273</v>
      </c>
      <c r="E458" s="20" t="s">
        <v>4485</v>
      </c>
      <c r="F458" s="22">
        <v>15</v>
      </c>
      <c r="G458" s="22" t="s">
        <v>4485</v>
      </c>
      <c r="H458" s="22">
        <v>15</v>
      </c>
      <c r="I458" s="25">
        <v>43380</v>
      </c>
      <c r="J458" s="24">
        <v>43382</v>
      </c>
    </row>
    <row r="459" spans="2:10" x14ac:dyDescent="0.2">
      <c r="B459" s="22">
        <v>454</v>
      </c>
      <c r="C459" s="21" t="s">
        <v>4486</v>
      </c>
      <c r="D459" s="21" t="s">
        <v>2742</v>
      </c>
      <c r="E459" s="20" t="s">
        <v>4487</v>
      </c>
      <c r="F459" s="22">
        <v>100</v>
      </c>
      <c r="G459" s="22" t="s">
        <v>4488</v>
      </c>
      <c r="H459" s="22">
        <v>100</v>
      </c>
      <c r="I459" s="25">
        <v>43136</v>
      </c>
      <c r="J459" s="24">
        <v>43156</v>
      </c>
    </row>
    <row r="460" spans="2:10" x14ac:dyDescent="0.2">
      <c r="B460" s="22">
        <v>455</v>
      </c>
      <c r="C460" s="21" t="s">
        <v>4489</v>
      </c>
      <c r="D460" s="21" t="s">
        <v>2742</v>
      </c>
      <c r="E460" s="20" t="s">
        <v>4490</v>
      </c>
      <c r="F460" s="22">
        <v>100</v>
      </c>
      <c r="G460" s="22" t="s">
        <v>4491</v>
      </c>
      <c r="H460" s="22">
        <v>100</v>
      </c>
      <c r="I460" s="25">
        <v>43268</v>
      </c>
      <c r="J460" s="24">
        <v>43281</v>
      </c>
    </row>
    <row r="461" spans="2:10" x14ac:dyDescent="0.2">
      <c r="B461" s="22">
        <v>456</v>
      </c>
      <c r="C461" s="21" t="s">
        <v>4492</v>
      </c>
      <c r="D461" s="21" t="s">
        <v>1175</v>
      </c>
      <c r="E461" s="20" t="s">
        <v>4493</v>
      </c>
      <c r="F461" s="22">
        <v>9</v>
      </c>
      <c r="G461" s="22" t="s">
        <v>4494</v>
      </c>
      <c r="H461" s="22">
        <v>2</v>
      </c>
      <c r="I461" s="25">
        <v>43261</v>
      </c>
      <c r="J461" s="24">
        <v>43285</v>
      </c>
    </row>
    <row r="462" spans="2:10" x14ac:dyDescent="0.2">
      <c r="B462" s="22">
        <v>457</v>
      </c>
      <c r="C462" s="21" t="s">
        <v>4495</v>
      </c>
      <c r="D462" s="21" t="s">
        <v>1572</v>
      </c>
      <c r="E462" s="20" t="s">
        <v>4496</v>
      </c>
      <c r="F462" s="22">
        <v>11</v>
      </c>
      <c r="G462" s="22" t="s">
        <v>4497</v>
      </c>
      <c r="H462" s="22">
        <v>1</v>
      </c>
      <c r="I462" s="25">
        <v>43324</v>
      </c>
      <c r="J462" s="24">
        <v>43421</v>
      </c>
    </row>
    <row r="463" spans="2:10" x14ac:dyDescent="0.2">
      <c r="B463" s="22">
        <v>458</v>
      </c>
      <c r="C463" s="21" t="s">
        <v>4498</v>
      </c>
      <c r="D463" s="21" t="s">
        <v>1459</v>
      </c>
      <c r="E463" s="20" t="s">
        <v>4499</v>
      </c>
      <c r="F463" s="22">
        <v>33</v>
      </c>
      <c r="G463" s="22" t="s">
        <v>4500</v>
      </c>
      <c r="H463" s="22">
        <v>33</v>
      </c>
      <c r="I463" s="25">
        <v>43394</v>
      </c>
      <c r="J463" s="24">
        <v>43407</v>
      </c>
    </row>
    <row r="464" spans="2:10" x14ac:dyDescent="0.2">
      <c r="B464" s="22">
        <v>459</v>
      </c>
      <c r="C464" s="21" t="s">
        <v>4501</v>
      </c>
      <c r="D464" s="21" t="s">
        <v>1612</v>
      </c>
      <c r="E464" s="20" t="s">
        <v>4502</v>
      </c>
      <c r="F464" s="22">
        <v>100</v>
      </c>
      <c r="G464" s="22" t="s">
        <v>4503</v>
      </c>
      <c r="H464" s="22">
        <v>100</v>
      </c>
      <c r="I464" s="25">
        <v>43198</v>
      </c>
      <c r="J464" s="24">
        <v>43204</v>
      </c>
    </row>
    <row r="465" spans="2:10" x14ac:dyDescent="0.2">
      <c r="B465" s="22">
        <v>460</v>
      </c>
      <c r="C465" s="21" t="s">
        <v>4504</v>
      </c>
      <c r="D465" s="21" t="s">
        <v>1213</v>
      </c>
      <c r="E465" s="20" t="s">
        <v>4505</v>
      </c>
      <c r="F465" s="22">
        <v>14</v>
      </c>
      <c r="G465" s="22" t="s">
        <v>4506</v>
      </c>
      <c r="H465" s="22">
        <v>2</v>
      </c>
      <c r="I465" s="25">
        <v>43136</v>
      </c>
      <c r="J465" s="24">
        <v>43169</v>
      </c>
    </row>
    <row r="466" spans="2:10" x14ac:dyDescent="0.2">
      <c r="B466" s="22">
        <v>461</v>
      </c>
      <c r="C466" s="21" t="s">
        <v>4507</v>
      </c>
      <c r="D466" s="21" t="s">
        <v>1804</v>
      </c>
      <c r="E466" s="20" t="s">
        <v>4508</v>
      </c>
      <c r="F466" s="22">
        <v>7</v>
      </c>
      <c r="G466" s="22" t="s">
        <v>4509</v>
      </c>
      <c r="H466" s="22">
        <v>2</v>
      </c>
      <c r="I466" s="25">
        <v>43380</v>
      </c>
      <c r="J466" s="24">
        <v>43463</v>
      </c>
    </row>
    <row r="467" spans="2:10" x14ac:dyDescent="0.2">
      <c r="B467" s="22">
        <v>462</v>
      </c>
      <c r="C467" s="21" t="s">
        <v>4510</v>
      </c>
      <c r="D467" s="21" t="s">
        <v>1631</v>
      </c>
      <c r="E467" s="20" t="s">
        <v>4511</v>
      </c>
      <c r="F467" s="22">
        <v>14</v>
      </c>
      <c r="G467" s="22" t="s">
        <v>4512</v>
      </c>
      <c r="H467" s="22">
        <v>13</v>
      </c>
      <c r="I467" s="25">
        <v>43157</v>
      </c>
      <c r="J467" s="24">
        <v>43197</v>
      </c>
    </row>
    <row r="468" spans="2:10" x14ac:dyDescent="0.2">
      <c r="B468" s="22">
        <v>463</v>
      </c>
      <c r="C468" s="21" t="s">
        <v>4513</v>
      </c>
      <c r="D468" s="21" t="s">
        <v>1332</v>
      </c>
      <c r="E468" s="20" t="s">
        <v>4514</v>
      </c>
      <c r="F468" s="22">
        <v>2</v>
      </c>
      <c r="G468" s="22" t="s">
        <v>1159</v>
      </c>
      <c r="H468" s="22" t="s">
        <v>1159</v>
      </c>
      <c r="I468" s="25">
        <v>43457</v>
      </c>
      <c r="J468" s="22" t="s">
        <v>558</v>
      </c>
    </row>
    <row r="469" spans="2:10" x14ac:dyDescent="0.2">
      <c r="B469" s="22">
        <v>464</v>
      </c>
      <c r="C469" s="21" t="s">
        <v>4515</v>
      </c>
      <c r="D469" s="21" t="s">
        <v>1804</v>
      </c>
      <c r="E469" s="20" t="s">
        <v>4516</v>
      </c>
      <c r="F469" s="22">
        <v>6</v>
      </c>
      <c r="G469" s="22" t="s">
        <v>4517</v>
      </c>
      <c r="H469" s="22">
        <v>2</v>
      </c>
      <c r="I469" s="25">
        <v>43163</v>
      </c>
      <c r="J469" s="24">
        <v>43260</v>
      </c>
    </row>
    <row r="470" spans="2:10" x14ac:dyDescent="0.2">
      <c r="B470" s="22">
        <v>465</v>
      </c>
      <c r="C470" s="21" t="s">
        <v>4518</v>
      </c>
      <c r="D470" s="21" t="s">
        <v>1294</v>
      </c>
      <c r="E470" s="20" t="s">
        <v>4519</v>
      </c>
      <c r="F470" s="22">
        <v>8</v>
      </c>
      <c r="G470" s="22" t="s">
        <v>4520</v>
      </c>
      <c r="H470" s="22">
        <v>2</v>
      </c>
      <c r="I470" s="25">
        <v>43324</v>
      </c>
      <c r="J470" s="24">
        <v>43348</v>
      </c>
    </row>
    <row r="471" spans="2:10" x14ac:dyDescent="0.2">
      <c r="B471" s="22">
        <v>468</v>
      </c>
      <c r="C471" s="21" t="s">
        <v>4521</v>
      </c>
      <c r="D471" s="21" t="s">
        <v>1338</v>
      </c>
      <c r="E471" s="20" t="s">
        <v>4522</v>
      </c>
      <c r="F471" s="22">
        <v>4</v>
      </c>
      <c r="G471" s="22" t="s">
        <v>4523</v>
      </c>
      <c r="H471" s="22">
        <v>2</v>
      </c>
      <c r="I471" s="25">
        <v>43115</v>
      </c>
      <c r="J471" s="24">
        <v>43200</v>
      </c>
    </row>
    <row r="472" spans="2:10" x14ac:dyDescent="0.2">
      <c r="B472" s="22">
        <v>469</v>
      </c>
      <c r="C472" s="21" t="s">
        <v>4524</v>
      </c>
      <c r="D472" s="21" t="s">
        <v>4525</v>
      </c>
      <c r="E472" s="20" t="s">
        <v>4526</v>
      </c>
      <c r="F472" s="22">
        <v>100</v>
      </c>
      <c r="G472" s="22" t="s">
        <v>4527</v>
      </c>
      <c r="H472" s="22">
        <v>100</v>
      </c>
      <c r="I472" s="25">
        <v>43422</v>
      </c>
      <c r="J472" s="24">
        <v>43426</v>
      </c>
    </row>
    <row r="473" spans="2:10" x14ac:dyDescent="0.2">
      <c r="B473" s="22">
        <v>470</v>
      </c>
      <c r="C473" s="21" t="s">
        <v>4528</v>
      </c>
      <c r="D473" s="21" t="s">
        <v>1039</v>
      </c>
      <c r="E473" s="20" t="s">
        <v>4529</v>
      </c>
      <c r="F473" s="22">
        <v>10</v>
      </c>
      <c r="G473" s="22" t="s">
        <v>4530</v>
      </c>
      <c r="H473" s="22">
        <v>2</v>
      </c>
      <c r="I473" s="25">
        <v>43338</v>
      </c>
      <c r="J473" s="24">
        <v>43365</v>
      </c>
    </row>
    <row r="474" spans="2:10" x14ac:dyDescent="0.2">
      <c r="B474" s="22">
        <v>471</v>
      </c>
      <c r="C474" s="21" t="s">
        <v>4531</v>
      </c>
      <c r="D474" s="21" t="s">
        <v>4532</v>
      </c>
      <c r="E474" s="20" t="s">
        <v>4533</v>
      </c>
      <c r="F474" s="22">
        <v>5</v>
      </c>
      <c r="G474" s="22" t="s">
        <v>4534</v>
      </c>
      <c r="H474" s="22">
        <v>3</v>
      </c>
      <c r="I474" s="25">
        <v>43108</v>
      </c>
      <c r="J474" s="24">
        <v>43149</v>
      </c>
    </row>
    <row r="475" spans="2:10" x14ac:dyDescent="0.2">
      <c r="B475" s="22">
        <v>472</v>
      </c>
      <c r="C475" s="21" t="s">
        <v>4535</v>
      </c>
      <c r="D475" s="21" t="s">
        <v>1532</v>
      </c>
      <c r="E475" s="20" t="s">
        <v>4536</v>
      </c>
      <c r="F475" s="22">
        <v>4</v>
      </c>
      <c r="G475" s="22" t="s">
        <v>4537</v>
      </c>
      <c r="H475" s="22">
        <v>1</v>
      </c>
      <c r="I475" s="25">
        <v>43338</v>
      </c>
      <c r="J475" s="24">
        <v>43421</v>
      </c>
    </row>
    <row r="476" spans="2:10" x14ac:dyDescent="0.2">
      <c r="B476" s="22">
        <v>473</v>
      </c>
      <c r="C476" s="21" t="s">
        <v>4538</v>
      </c>
      <c r="D476" s="21" t="s">
        <v>1142</v>
      </c>
      <c r="E476" s="20" t="s">
        <v>4539</v>
      </c>
      <c r="F476" s="22">
        <v>11</v>
      </c>
      <c r="G476" s="22" t="s">
        <v>4540</v>
      </c>
      <c r="H476" s="22">
        <v>1</v>
      </c>
      <c r="I476" s="25">
        <v>43240</v>
      </c>
      <c r="J476" s="24">
        <v>43274</v>
      </c>
    </row>
    <row r="477" spans="2:10" x14ac:dyDescent="0.2">
      <c r="B477" s="22">
        <v>474</v>
      </c>
      <c r="C477" s="21" t="s">
        <v>4541</v>
      </c>
      <c r="D477" s="21" t="s">
        <v>4542</v>
      </c>
      <c r="E477" s="20" t="s">
        <v>4543</v>
      </c>
      <c r="F477" s="22">
        <v>10</v>
      </c>
      <c r="G477" s="22" t="s">
        <v>2560</v>
      </c>
      <c r="H477" s="22">
        <v>2</v>
      </c>
      <c r="I477" s="25">
        <v>43359</v>
      </c>
      <c r="J477" s="24">
        <v>43136</v>
      </c>
    </row>
    <row r="478" spans="2:10" x14ac:dyDescent="0.2">
      <c r="B478" s="22">
        <v>475</v>
      </c>
      <c r="C478" s="21" t="s">
        <v>4544</v>
      </c>
      <c r="D478" s="21" t="s">
        <v>157</v>
      </c>
      <c r="E478" s="20" t="s">
        <v>4545</v>
      </c>
      <c r="F478" s="22">
        <v>11</v>
      </c>
      <c r="G478" s="22" t="s">
        <v>4546</v>
      </c>
      <c r="H478" s="22">
        <v>11</v>
      </c>
      <c r="I478" s="25">
        <v>43380</v>
      </c>
      <c r="J478" s="24">
        <v>43238</v>
      </c>
    </row>
    <row r="479" spans="2:10" x14ac:dyDescent="0.2">
      <c r="B479" s="22">
        <v>476</v>
      </c>
      <c r="C479" s="21" t="s">
        <v>4547</v>
      </c>
      <c r="D479" s="21" t="s">
        <v>4548</v>
      </c>
      <c r="E479" s="20" t="s">
        <v>4549</v>
      </c>
      <c r="F479" s="22">
        <v>4</v>
      </c>
      <c r="G479" s="22" t="s">
        <v>2115</v>
      </c>
      <c r="H479" s="22">
        <v>3</v>
      </c>
      <c r="I479" s="25">
        <v>43359</v>
      </c>
      <c r="J479" s="24">
        <v>43368</v>
      </c>
    </row>
    <row r="480" spans="2:10" x14ac:dyDescent="0.2">
      <c r="B480" s="22">
        <v>477</v>
      </c>
      <c r="C480" s="21" t="s">
        <v>4550</v>
      </c>
      <c r="D480" s="21" t="s">
        <v>3627</v>
      </c>
      <c r="E480" s="20" t="s">
        <v>4551</v>
      </c>
      <c r="F480" s="22">
        <v>12</v>
      </c>
      <c r="G480" s="22" t="s">
        <v>4552</v>
      </c>
      <c r="H480" s="22">
        <v>1</v>
      </c>
      <c r="I480" s="25">
        <v>43394</v>
      </c>
      <c r="J480" s="24">
        <v>43442</v>
      </c>
    </row>
    <row r="481" spans="2:10" x14ac:dyDescent="0.2">
      <c r="B481" s="22">
        <v>478</v>
      </c>
      <c r="C481" s="21" t="s">
        <v>4553</v>
      </c>
      <c r="D481" s="21" t="s">
        <v>1332</v>
      </c>
      <c r="E481" s="20" t="s">
        <v>4554</v>
      </c>
      <c r="F481" s="22">
        <v>13</v>
      </c>
      <c r="G481" s="22" t="s">
        <v>1159</v>
      </c>
      <c r="H481" s="22" t="s">
        <v>1159</v>
      </c>
      <c r="I481" s="25">
        <v>43129</v>
      </c>
      <c r="J481" s="22" t="s">
        <v>558</v>
      </c>
    </row>
    <row r="482" spans="2:10" x14ac:dyDescent="0.2">
      <c r="B482" s="22">
        <v>479</v>
      </c>
      <c r="C482" s="21" t="s">
        <v>4555</v>
      </c>
      <c r="D482" s="21" t="s">
        <v>4556</v>
      </c>
      <c r="E482" s="20" t="s">
        <v>4557</v>
      </c>
      <c r="F482" s="22">
        <v>7</v>
      </c>
      <c r="G482" s="22" t="s">
        <v>1159</v>
      </c>
      <c r="H482" s="22" t="s">
        <v>1159</v>
      </c>
      <c r="I482" s="25">
        <v>43273</v>
      </c>
      <c r="J482" s="24">
        <v>43379</v>
      </c>
    </row>
    <row r="483" spans="2:10" x14ac:dyDescent="0.2">
      <c r="B483" s="22">
        <v>480</v>
      </c>
      <c r="C483" s="21" t="s">
        <v>4558</v>
      </c>
      <c r="D483" s="21" t="s">
        <v>1039</v>
      </c>
      <c r="E483" s="20" t="s">
        <v>4559</v>
      </c>
      <c r="F483" s="22">
        <v>16</v>
      </c>
      <c r="G483" s="22" t="s">
        <v>4560</v>
      </c>
      <c r="H483" s="22">
        <v>16</v>
      </c>
      <c r="I483" s="25">
        <v>43373</v>
      </c>
      <c r="J483" s="24">
        <v>43421</v>
      </c>
    </row>
    <row r="484" spans="2:10" x14ac:dyDescent="0.2">
      <c r="B484" s="22">
        <v>481</v>
      </c>
      <c r="C484" s="21" t="s">
        <v>4561</v>
      </c>
      <c r="D484" s="21" t="s">
        <v>1235</v>
      </c>
      <c r="E484" s="20" t="s">
        <v>4562</v>
      </c>
      <c r="F484" s="22">
        <v>26</v>
      </c>
      <c r="G484" s="22" t="s">
        <v>4563</v>
      </c>
      <c r="H484" s="22">
        <v>26</v>
      </c>
      <c r="I484" s="25">
        <v>43226</v>
      </c>
      <c r="J484" s="24">
        <v>43235</v>
      </c>
    </row>
    <row r="485" spans="2:10" x14ac:dyDescent="0.2">
      <c r="B485" s="22">
        <v>482</v>
      </c>
      <c r="C485" s="21" t="s">
        <v>4564</v>
      </c>
      <c r="D485" s="21" t="s">
        <v>1294</v>
      </c>
      <c r="E485" s="20" t="s">
        <v>4565</v>
      </c>
      <c r="F485" s="22">
        <v>13</v>
      </c>
      <c r="G485" s="22" t="s">
        <v>4566</v>
      </c>
      <c r="H485" s="22">
        <v>2</v>
      </c>
      <c r="I485" s="25">
        <v>43310</v>
      </c>
      <c r="J485" s="24">
        <v>43337</v>
      </c>
    </row>
    <row r="486" spans="2:10" x14ac:dyDescent="0.2">
      <c r="B486" s="22">
        <v>483</v>
      </c>
      <c r="C486" s="21" t="s">
        <v>4567</v>
      </c>
      <c r="D486" s="21" t="s">
        <v>1415</v>
      </c>
      <c r="E486" s="20" t="s">
        <v>4568</v>
      </c>
      <c r="F486" s="22">
        <v>46</v>
      </c>
      <c r="G486" s="22" t="s">
        <v>4569</v>
      </c>
      <c r="H486" s="22">
        <v>46</v>
      </c>
      <c r="I486" s="25">
        <v>43129</v>
      </c>
      <c r="J486" s="24">
        <v>43138</v>
      </c>
    </row>
    <row r="487" spans="2:10" x14ac:dyDescent="0.2">
      <c r="B487" s="22">
        <v>484</v>
      </c>
      <c r="C487" s="21" t="s">
        <v>4570</v>
      </c>
      <c r="D487" s="21" t="s">
        <v>1804</v>
      </c>
      <c r="E487" s="20" t="s">
        <v>4571</v>
      </c>
      <c r="F487" s="22">
        <v>11</v>
      </c>
      <c r="G487" s="22" t="s">
        <v>4572</v>
      </c>
      <c r="H487" s="22">
        <v>1</v>
      </c>
      <c r="I487" s="25">
        <v>43366</v>
      </c>
      <c r="J487" s="24">
        <v>43442</v>
      </c>
    </row>
    <row r="488" spans="2:10" x14ac:dyDescent="0.2">
      <c r="B488" s="22">
        <v>485</v>
      </c>
      <c r="C488" s="21" t="s">
        <v>4573</v>
      </c>
      <c r="D488" s="21" t="s">
        <v>1175</v>
      </c>
      <c r="E488" s="20" t="s">
        <v>4574</v>
      </c>
      <c r="F488" s="22">
        <v>4</v>
      </c>
      <c r="G488" s="22" t="s">
        <v>4575</v>
      </c>
      <c r="H488" s="22">
        <v>1</v>
      </c>
      <c r="I488" s="25">
        <v>43422</v>
      </c>
      <c r="J488" s="24">
        <v>43445</v>
      </c>
    </row>
    <row r="489" spans="2:10" x14ac:dyDescent="0.2">
      <c r="B489" s="22">
        <v>486</v>
      </c>
      <c r="C489" s="21" t="s">
        <v>4576</v>
      </c>
      <c r="D489" s="21" t="s">
        <v>2742</v>
      </c>
      <c r="E489" s="20" t="s">
        <v>4577</v>
      </c>
      <c r="F489" s="22">
        <v>100</v>
      </c>
      <c r="G489" s="22" t="s">
        <v>4578</v>
      </c>
      <c r="H489" s="22">
        <v>100</v>
      </c>
      <c r="I489" s="25">
        <v>43359</v>
      </c>
      <c r="J489" s="24">
        <v>43365</v>
      </c>
    </row>
    <row r="490" spans="2:10" x14ac:dyDescent="0.2">
      <c r="B490" s="22">
        <v>487</v>
      </c>
      <c r="C490" s="21" t="s">
        <v>4579</v>
      </c>
      <c r="D490" s="21" t="s">
        <v>4580</v>
      </c>
      <c r="E490" s="20" t="s">
        <v>4581</v>
      </c>
      <c r="F490" s="22">
        <v>7</v>
      </c>
      <c r="G490" s="22" t="s">
        <v>4232</v>
      </c>
      <c r="H490" s="22">
        <v>2</v>
      </c>
      <c r="I490" s="25">
        <v>43359</v>
      </c>
      <c r="J490" s="24">
        <v>43386</v>
      </c>
    </row>
    <row r="491" spans="2:10" x14ac:dyDescent="0.2">
      <c r="B491" s="22">
        <v>488</v>
      </c>
      <c r="C491" s="21" t="s">
        <v>4582</v>
      </c>
      <c r="D491" s="21" t="s">
        <v>4583</v>
      </c>
      <c r="E491" s="20" t="s">
        <v>4584</v>
      </c>
      <c r="F491" s="22">
        <v>1</v>
      </c>
      <c r="G491" s="22" t="s">
        <v>4585</v>
      </c>
      <c r="H491" s="22">
        <v>1</v>
      </c>
      <c r="I491" s="25">
        <v>43268</v>
      </c>
      <c r="J491" s="24">
        <v>43274</v>
      </c>
    </row>
    <row r="492" spans="2:10" x14ac:dyDescent="0.2">
      <c r="B492" s="22">
        <v>489</v>
      </c>
      <c r="C492" s="21" t="s">
        <v>4586</v>
      </c>
      <c r="D492" s="21" t="s">
        <v>1942</v>
      </c>
      <c r="E492" s="20" t="s">
        <v>4587</v>
      </c>
      <c r="F492" s="22">
        <v>2</v>
      </c>
      <c r="G492" s="22" t="s">
        <v>4588</v>
      </c>
      <c r="H492" s="22">
        <v>2</v>
      </c>
      <c r="I492" s="25">
        <v>43357</v>
      </c>
      <c r="J492" s="24">
        <v>43452</v>
      </c>
    </row>
    <row r="493" spans="2:10" x14ac:dyDescent="0.2">
      <c r="B493" s="22">
        <v>490</v>
      </c>
      <c r="C493" s="21" t="s">
        <v>4589</v>
      </c>
      <c r="D493" s="21" t="s">
        <v>1422</v>
      </c>
      <c r="E493" s="20" t="s">
        <v>4590</v>
      </c>
      <c r="F493" s="22">
        <v>9</v>
      </c>
      <c r="G493" s="22" t="s">
        <v>1159</v>
      </c>
      <c r="H493" s="22" t="s">
        <v>1159</v>
      </c>
      <c r="I493" s="25">
        <v>43257</v>
      </c>
      <c r="J493" s="24">
        <v>43309</v>
      </c>
    </row>
    <row r="494" spans="2:10" x14ac:dyDescent="0.2">
      <c r="B494" s="22">
        <v>491</v>
      </c>
      <c r="C494" s="21" t="s">
        <v>4591</v>
      </c>
      <c r="D494" s="21" t="s">
        <v>2270</v>
      </c>
      <c r="E494" s="20" t="s">
        <v>4592</v>
      </c>
      <c r="F494" s="22">
        <v>14</v>
      </c>
      <c r="G494" s="22" t="s">
        <v>1159</v>
      </c>
      <c r="H494" s="22" t="s">
        <v>1159</v>
      </c>
      <c r="I494" s="25">
        <v>43191</v>
      </c>
      <c r="J494" s="24">
        <v>43232</v>
      </c>
    </row>
    <row r="495" spans="2:10" x14ac:dyDescent="0.2">
      <c r="B495" s="22">
        <v>492</v>
      </c>
      <c r="C495" s="21" t="s">
        <v>4593</v>
      </c>
      <c r="D495" s="21" t="s">
        <v>1804</v>
      </c>
      <c r="E495" s="20" t="s">
        <v>4594</v>
      </c>
      <c r="F495" s="22">
        <v>2</v>
      </c>
      <c r="G495" s="22" t="s">
        <v>4595</v>
      </c>
      <c r="H495" s="22">
        <v>1</v>
      </c>
      <c r="I495" s="25">
        <v>43331</v>
      </c>
      <c r="J495" s="24">
        <v>43442</v>
      </c>
    </row>
    <row r="496" spans="2:10" x14ac:dyDescent="0.2">
      <c r="B496" s="22">
        <v>493</v>
      </c>
      <c r="C496" s="21" t="s">
        <v>4596</v>
      </c>
      <c r="D496" s="21" t="s">
        <v>1880</v>
      </c>
      <c r="E496" s="20" t="s">
        <v>4597</v>
      </c>
      <c r="F496" s="22">
        <v>2</v>
      </c>
      <c r="G496" s="22" t="s">
        <v>4598</v>
      </c>
      <c r="H496" s="22">
        <v>1</v>
      </c>
      <c r="I496" s="25">
        <v>43261</v>
      </c>
      <c r="J496" s="24">
        <v>43365</v>
      </c>
    </row>
    <row r="497" spans="2:10" x14ac:dyDescent="0.2">
      <c r="B497" s="22">
        <v>494</v>
      </c>
      <c r="C497" s="21" t="s">
        <v>4599</v>
      </c>
      <c r="D497" s="21" t="s">
        <v>1942</v>
      </c>
      <c r="E497" s="20" t="s">
        <v>4600</v>
      </c>
      <c r="F497" s="22">
        <v>2</v>
      </c>
      <c r="G497" s="22" t="s">
        <v>4601</v>
      </c>
      <c r="H497" s="22">
        <v>2</v>
      </c>
      <c r="I497" s="25">
        <v>43226</v>
      </c>
      <c r="J497" s="24">
        <v>43323</v>
      </c>
    </row>
    <row r="498" spans="2:10" x14ac:dyDescent="0.2">
      <c r="B498" s="22">
        <v>495</v>
      </c>
      <c r="C498" s="21" t="s">
        <v>4602</v>
      </c>
      <c r="D498" s="21" t="s">
        <v>1175</v>
      </c>
      <c r="E498" s="20" t="s">
        <v>4603</v>
      </c>
      <c r="F498" s="22">
        <v>6</v>
      </c>
      <c r="G498" s="22" t="s">
        <v>4604</v>
      </c>
      <c r="H498" s="22">
        <v>2</v>
      </c>
      <c r="I498" s="25">
        <v>43352</v>
      </c>
      <c r="J498" s="24">
        <v>43372</v>
      </c>
    </row>
    <row r="499" spans="2:10" x14ac:dyDescent="0.2">
      <c r="B499" s="22">
        <v>496</v>
      </c>
      <c r="C499" s="21" t="s">
        <v>4605</v>
      </c>
      <c r="D499" s="21" t="s">
        <v>4606</v>
      </c>
      <c r="E499" s="20" t="s">
        <v>4607</v>
      </c>
      <c r="F499" s="22">
        <v>4</v>
      </c>
      <c r="G499" s="22" t="s">
        <v>4608</v>
      </c>
      <c r="H499" s="22">
        <v>4</v>
      </c>
      <c r="I499" s="25">
        <v>43108</v>
      </c>
      <c r="J499" s="24">
        <v>43142</v>
      </c>
    </row>
    <row r="500" spans="2:10" x14ac:dyDescent="0.2">
      <c r="B500" s="22">
        <v>498</v>
      </c>
      <c r="C500" s="21" t="s">
        <v>4611</v>
      </c>
      <c r="D500" s="21" t="s">
        <v>1797</v>
      </c>
      <c r="E500" s="20" t="s">
        <v>4612</v>
      </c>
      <c r="F500" s="22">
        <v>3</v>
      </c>
      <c r="G500" s="22" t="s">
        <v>4613</v>
      </c>
      <c r="H500" s="22">
        <v>2</v>
      </c>
      <c r="I500" s="25">
        <v>43191</v>
      </c>
      <c r="J500" s="24">
        <v>43182</v>
      </c>
    </row>
    <row r="501" spans="2:10" x14ac:dyDescent="0.2">
      <c r="B501" s="22">
        <v>499</v>
      </c>
      <c r="C501" s="21" t="s">
        <v>4614</v>
      </c>
      <c r="D501" s="21" t="s">
        <v>4615</v>
      </c>
      <c r="E501" s="20" t="s">
        <v>4616</v>
      </c>
      <c r="F501" s="22">
        <v>8</v>
      </c>
      <c r="G501" s="22" t="s">
        <v>4617</v>
      </c>
      <c r="H501" s="22">
        <v>5</v>
      </c>
      <c r="I501" s="25">
        <v>43143</v>
      </c>
      <c r="J501" s="24">
        <v>43169</v>
      </c>
    </row>
    <row r="502" spans="2:10" x14ac:dyDescent="0.2">
      <c r="B502" s="22">
        <v>500</v>
      </c>
      <c r="C502" s="21" t="s">
        <v>4618</v>
      </c>
      <c r="D502" s="21" t="s">
        <v>1804</v>
      </c>
      <c r="E502" s="20" t="s">
        <v>4619</v>
      </c>
      <c r="F502" s="22">
        <v>6</v>
      </c>
      <c r="G502" s="22" t="s">
        <v>4620</v>
      </c>
      <c r="H502" s="22">
        <v>6</v>
      </c>
      <c r="I502" s="25">
        <v>43303</v>
      </c>
      <c r="J502" s="24">
        <v>43379</v>
      </c>
    </row>
    <row r="503" spans="2:10" x14ac:dyDescent="0.2">
      <c r="B503" s="22">
        <v>501</v>
      </c>
      <c r="C503" s="21" t="s">
        <v>4621</v>
      </c>
      <c r="D503" s="21" t="s">
        <v>1532</v>
      </c>
      <c r="E503" s="20" t="s">
        <v>4622</v>
      </c>
      <c r="F503" s="22">
        <v>5</v>
      </c>
      <c r="G503" s="22" t="s">
        <v>4623</v>
      </c>
      <c r="H503" s="22">
        <v>1</v>
      </c>
      <c r="I503" s="25">
        <v>43161</v>
      </c>
      <c r="J503" s="24">
        <v>43253</v>
      </c>
    </row>
    <row r="504" spans="2:10" x14ac:dyDescent="0.2">
      <c r="B504" s="22">
        <v>502</v>
      </c>
      <c r="C504" s="21" t="s">
        <v>4624</v>
      </c>
      <c r="D504" s="21" t="s">
        <v>1459</v>
      </c>
      <c r="E504" s="20" t="s">
        <v>4625</v>
      </c>
      <c r="F504" s="22">
        <v>35</v>
      </c>
      <c r="G504" s="22" t="s">
        <v>4626</v>
      </c>
      <c r="H504" s="22">
        <v>35</v>
      </c>
      <c r="I504" s="25">
        <v>43198</v>
      </c>
      <c r="J504" s="24">
        <v>43204</v>
      </c>
    </row>
    <row r="505" spans="2:10" x14ac:dyDescent="0.2">
      <c r="B505" s="22">
        <v>503</v>
      </c>
      <c r="C505" s="21" t="s">
        <v>4627</v>
      </c>
      <c r="D505" s="21" t="s">
        <v>1559</v>
      </c>
      <c r="E505" s="20" t="s">
        <v>4628</v>
      </c>
      <c r="F505" s="22">
        <v>17</v>
      </c>
      <c r="G505" s="22" t="s">
        <v>4629</v>
      </c>
      <c r="H505" s="22">
        <v>1</v>
      </c>
      <c r="I505" s="25">
        <v>43296</v>
      </c>
      <c r="J505" s="24">
        <v>43323</v>
      </c>
    </row>
    <row r="506" spans="2:10" x14ac:dyDescent="0.2">
      <c r="B506" s="22">
        <v>504</v>
      </c>
      <c r="C506" s="21" t="s">
        <v>4630</v>
      </c>
      <c r="D506" s="21" t="s">
        <v>1210</v>
      </c>
      <c r="E506" s="20" t="s">
        <v>4631</v>
      </c>
      <c r="F506" s="22">
        <v>9</v>
      </c>
      <c r="G506" s="22" t="s">
        <v>2222</v>
      </c>
      <c r="H506" s="22">
        <v>9</v>
      </c>
      <c r="I506" s="25">
        <v>43331</v>
      </c>
      <c r="J506" s="24">
        <v>43347</v>
      </c>
    </row>
    <row r="507" spans="2:10" x14ac:dyDescent="0.2">
      <c r="B507" s="22">
        <v>505</v>
      </c>
      <c r="C507" s="21" t="s">
        <v>4632</v>
      </c>
      <c r="D507" s="21" t="s">
        <v>1804</v>
      </c>
      <c r="E507" s="20" t="s">
        <v>4633</v>
      </c>
      <c r="F507" s="22">
        <v>5</v>
      </c>
      <c r="G507" s="22" t="s">
        <v>4634</v>
      </c>
      <c r="H507" s="22">
        <v>4</v>
      </c>
      <c r="I507" s="25">
        <v>43136</v>
      </c>
      <c r="J507" s="22" t="s">
        <v>558</v>
      </c>
    </row>
    <row r="508" spans="2:10" x14ac:dyDescent="0.2">
      <c r="B508" s="22">
        <v>506</v>
      </c>
      <c r="C508" s="21" t="s">
        <v>4635</v>
      </c>
      <c r="D508" s="21" t="s">
        <v>2270</v>
      </c>
      <c r="E508" s="20" t="s">
        <v>4636</v>
      </c>
      <c r="F508" s="22">
        <v>3</v>
      </c>
      <c r="G508" s="22" t="s">
        <v>4637</v>
      </c>
      <c r="H508" s="22">
        <v>1</v>
      </c>
      <c r="I508" s="25">
        <v>43422</v>
      </c>
      <c r="J508" s="24">
        <v>43105</v>
      </c>
    </row>
    <row r="509" spans="2:10" x14ac:dyDescent="0.2">
      <c r="B509" s="22">
        <v>507</v>
      </c>
      <c r="C509" s="21" t="s">
        <v>4638</v>
      </c>
      <c r="D509" s="21" t="s">
        <v>1880</v>
      </c>
      <c r="E509" s="20" t="s">
        <v>4639</v>
      </c>
      <c r="F509" s="22">
        <v>4</v>
      </c>
      <c r="G509" s="22" t="s">
        <v>4640</v>
      </c>
      <c r="H509" s="22">
        <v>1</v>
      </c>
      <c r="I509" s="25">
        <v>43261</v>
      </c>
      <c r="J509" s="24">
        <v>43379</v>
      </c>
    </row>
    <row r="510" spans="2:10" x14ac:dyDescent="0.2">
      <c r="B510" s="22">
        <v>508</v>
      </c>
      <c r="C510" s="21" t="s">
        <v>4641</v>
      </c>
      <c r="D510" s="21" t="s">
        <v>1332</v>
      </c>
      <c r="E510" s="20" t="s">
        <v>4642</v>
      </c>
      <c r="F510" s="22">
        <v>4</v>
      </c>
      <c r="G510" s="22" t="s">
        <v>4643</v>
      </c>
      <c r="H510" s="22">
        <v>4</v>
      </c>
      <c r="I510" s="25">
        <v>43352</v>
      </c>
      <c r="J510" s="24">
        <v>43372</v>
      </c>
    </row>
    <row r="511" spans="2:10" x14ac:dyDescent="0.2">
      <c r="B511" s="22">
        <v>509</v>
      </c>
      <c r="C511" s="21" t="s">
        <v>4644</v>
      </c>
      <c r="D511" s="21" t="s">
        <v>38</v>
      </c>
      <c r="E511" s="20" t="s">
        <v>4645</v>
      </c>
      <c r="F511" s="22">
        <v>92</v>
      </c>
      <c r="G511" s="22" t="s">
        <v>4646</v>
      </c>
      <c r="H511" s="22">
        <v>2</v>
      </c>
      <c r="I511" s="25">
        <v>43296</v>
      </c>
      <c r="J511" s="24">
        <v>43316</v>
      </c>
    </row>
    <row r="512" spans="2:10" x14ac:dyDescent="0.2">
      <c r="B512" s="22">
        <v>510</v>
      </c>
      <c r="C512" s="21" t="s">
        <v>4647</v>
      </c>
      <c r="D512" s="21" t="s">
        <v>1576</v>
      </c>
      <c r="E512" s="20" t="s">
        <v>4648</v>
      </c>
      <c r="F512" s="22">
        <v>5</v>
      </c>
      <c r="G512" s="22" t="s">
        <v>4649</v>
      </c>
      <c r="H512" s="22">
        <v>1</v>
      </c>
      <c r="I512" s="25">
        <v>43317</v>
      </c>
      <c r="J512" s="24">
        <v>43330</v>
      </c>
    </row>
    <row r="513" spans="2:10" x14ac:dyDescent="0.2">
      <c r="B513" s="22">
        <v>511</v>
      </c>
      <c r="C513" s="21" t="s">
        <v>4650</v>
      </c>
      <c r="D513" s="21" t="s">
        <v>1594</v>
      </c>
      <c r="E513" s="20" t="s">
        <v>4651</v>
      </c>
      <c r="F513" s="22">
        <v>17</v>
      </c>
      <c r="G513" s="22" t="s">
        <v>4652</v>
      </c>
      <c r="H513" s="22">
        <v>17</v>
      </c>
      <c r="I513" s="25">
        <v>43338</v>
      </c>
      <c r="J513" s="24">
        <v>43344</v>
      </c>
    </row>
    <row r="514" spans="2:10" x14ac:dyDescent="0.2">
      <c r="B514" s="22">
        <v>512</v>
      </c>
      <c r="C514" s="21" t="s">
        <v>4653</v>
      </c>
      <c r="D514" s="21" t="s">
        <v>157</v>
      </c>
      <c r="E514" s="20" t="s">
        <v>4654</v>
      </c>
      <c r="F514" s="22">
        <v>45</v>
      </c>
      <c r="G514" s="22" t="s">
        <v>4655</v>
      </c>
      <c r="H514" s="22">
        <v>45</v>
      </c>
      <c r="I514" s="25">
        <v>43122</v>
      </c>
      <c r="J514" s="24">
        <v>43128</v>
      </c>
    </row>
    <row r="515" spans="2:10" x14ac:dyDescent="0.2">
      <c r="B515" s="22">
        <v>513</v>
      </c>
      <c r="C515" s="21" t="s">
        <v>4656</v>
      </c>
      <c r="D515" s="21" t="s">
        <v>2148</v>
      </c>
      <c r="E515" s="20" t="s">
        <v>4657</v>
      </c>
      <c r="F515" s="22">
        <v>5</v>
      </c>
      <c r="G515" s="22" t="s">
        <v>1159</v>
      </c>
      <c r="H515" s="22" t="s">
        <v>1159</v>
      </c>
      <c r="I515" s="25">
        <v>43149</v>
      </c>
      <c r="J515" s="22" t="s">
        <v>558</v>
      </c>
    </row>
    <row r="516" spans="2:10" x14ac:dyDescent="0.2">
      <c r="B516" s="22">
        <v>514</v>
      </c>
      <c r="C516" s="21" t="s">
        <v>4658</v>
      </c>
      <c r="D516" s="21" t="s">
        <v>1087</v>
      </c>
      <c r="E516" s="20" t="s">
        <v>4659</v>
      </c>
      <c r="F516" s="22">
        <v>27</v>
      </c>
      <c r="G516" s="22" t="s">
        <v>1159</v>
      </c>
      <c r="H516" s="22" t="s">
        <v>1159</v>
      </c>
      <c r="I516" s="25">
        <v>43320</v>
      </c>
      <c r="J516" s="24">
        <v>43322</v>
      </c>
    </row>
    <row r="517" spans="2:10" x14ac:dyDescent="0.2">
      <c r="B517" s="22">
        <v>515</v>
      </c>
      <c r="C517" s="21" t="s">
        <v>4660</v>
      </c>
      <c r="D517" s="21" t="s">
        <v>1294</v>
      </c>
      <c r="E517" s="20" t="s">
        <v>4661</v>
      </c>
      <c r="F517" s="22">
        <v>7</v>
      </c>
      <c r="G517" s="22" t="s">
        <v>4662</v>
      </c>
      <c r="H517" s="22">
        <v>1</v>
      </c>
      <c r="I517" s="25">
        <v>43108</v>
      </c>
      <c r="J517" s="24">
        <v>43149</v>
      </c>
    </row>
    <row r="518" spans="2:10" x14ac:dyDescent="0.2">
      <c r="B518" s="22">
        <v>516</v>
      </c>
      <c r="C518" s="21" t="s">
        <v>4663</v>
      </c>
      <c r="D518" s="21" t="s">
        <v>1183</v>
      </c>
      <c r="E518" s="20" t="s">
        <v>4664</v>
      </c>
      <c r="F518" s="22">
        <v>15</v>
      </c>
      <c r="G518" s="22" t="s">
        <v>1159</v>
      </c>
      <c r="H518" s="22" t="s">
        <v>1159</v>
      </c>
      <c r="I518" s="25">
        <v>43205</v>
      </c>
      <c r="J518" s="22" t="s">
        <v>558</v>
      </c>
    </row>
    <row r="519" spans="2:10" x14ac:dyDescent="0.2">
      <c r="B519" s="22">
        <v>517</v>
      </c>
      <c r="C519" s="21" t="s">
        <v>4665</v>
      </c>
      <c r="D519" s="21" t="s">
        <v>2121</v>
      </c>
      <c r="E519" s="20" t="s">
        <v>4666</v>
      </c>
      <c r="F519" s="22">
        <v>14</v>
      </c>
      <c r="G519" s="22" t="s">
        <v>4667</v>
      </c>
      <c r="H519" s="22">
        <v>14</v>
      </c>
      <c r="I519" s="25">
        <v>43380</v>
      </c>
      <c r="J519" s="24">
        <v>43400</v>
      </c>
    </row>
    <row r="520" spans="2:10" x14ac:dyDescent="0.2">
      <c r="B520" s="22">
        <v>518</v>
      </c>
      <c r="C520" s="21" t="s">
        <v>4668</v>
      </c>
      <c r="D520" s="21" t="s">
        <v>2148</v>
      </c>
      <c r="E520" s="20" t="s">
        <v>4669</v>
      </c>
      <c r="F520" s="22">
        <v>3</v>
      </c>
      <c r="G520" s="22" t="s">
        <v>4670</v>
      </c>
      <c r="H520" s="22">
        <v>1</v>
      </c>
      <c r="I520" s="25">
        <v>43233</v>
      </c>
      <c r="J520" s="22" t="s">
        <v>558</v>
      </c>
    </row>
    <row r="521" spans="2:10" x14ac:dyDescent="0.2">
      <c r="B521" s="22">
        <v>519</v>
      </c>
      <c r="C521" s="21" t="s">
        <v>4671</v>
      </c>
      <c r="D521" s="21" t="s">
        <v>1532</v>
      </c>
      <c r="E521" s="20" t="s">
        <v>4672</v>
      </c>
      <c r="F521" s="22">
        <v>5</v>
      </c>
      <c r="G521" s="22" t="s">
        <v>4673</v>
      </c>
      <c r="H521" s="22">
        <v>1</v>
      </c>
      <c r="I521" s="25">
        <v>43351</v>
      </c>
      <c r="J521" s="24">
        <v>43449</v>
      </c>
    </row>
    <row r="522" spans="2:10" x14ac:dyDescent="0.2">
      <c r="B522" s="22">
        <v>520</v>
      </c>
      <c r="C522" s="21" t="s">
        <v>4674</v>
      </c>
      <c r="D522" s="21" t="s">
        <v>1532</v>
      </c>
      <c r="E522" s="20" t="s">
        <v>4675</v>
      </c>
      <c r="F522" s="22">
        <v>3</v>
      </c>
      <c r="G522" s="22" t="s">
        <v>1159</v>
      </c>
      <c r="H522" s="22" t="s">
        <v>1159</v>
      </c>
      <c r="I522" s="25">
        <v>43372</v>
      </c>
      <c r="J522" s="24">
        <v>43203</v>
      </c>
    </row>
    <row r="523" spans="2:10" x14ac:dyDescent="0.2">
      <c r="B523" s="22">
        <v>521</v>
      </c>
      <c r="C523" s="21" t="s">
        <v>4676</v>
      </c>
      <c r="D523" s="21" t="s">
        <v>1612</v>
      </c>
      <c r="E523" s="20" t="s">
        <v>4677</v>
      </c>
      <c r="F523" s="22">
        <v>14</v>
      </c>
      <c r="G523" s="22" t="s">
        <v>4678</v>
      </c>
      <c r="H523" s="22">
        <v>4</v>
      </c>
      <c r="I523" s="25">
        <v>43226</v>
      </c>
      <c r="J523" s="24">
        <v>43253</v>
      </c>
    </row>
    <row r="524" spans="2:10" x14ac:dyDescent="0.2">
      <c r="B524" s="22">
        <v>522</v>
      </c>
      <c r="C524" s="21" t="s">
        <v>4679</v>
      </c>
      <c r="D524" s="21" t="s">
        <v>3627</v>
      </c>
      <c r="E524" s="20" t="s">
        <v>4680</v>
      </c>
      <c r="F524" s="22">
        <v>11</v>
      </c>
      <c r="G524" s="22" t="s">
        <v>4681</v>
      </c>
      <c r="H524" s="22">
        <v>2</v>
      </c>
      <c r="I524" s="25">
        <v>43212</v>
      </c>
      <c r="J524" s="24">
        <v>43281</v>
      </c>
    </row>
    <row r="525" spans="2:10" x14ac:dyDescent="0.2">
      <c r="B525" s="22">
        <v>523</v>
      </c>
      <c r="C525" s="21" t="s">
        <v>4682</v>
      </c>
      <c r="D525" s="21" t="s">
        <v>1804</v>
      </c>
      <c r="E525" s="20" t="s">
        <v>4683</v>
      </c>
      <c r="F525" s="22">
        <v>3</v>
      </c>
      <c r="G525" s="22" t="s">
        <v>4684</v>
      </c>
      <c r="H525" s="22">
        <v>1</v>
      </c>
      <c r="I525" s="25">
        <v>43259</v>
      </c>
      <c r="J525" s="24">
        <v>43344</v>
      </c>
    </row>
    <row r="526" spans="2:10" x14ac:dyDescent="0.2">
      <c r="B526" s="22">
        <v>524</v>
      </c>
      <c r="C526" s="21" t="s">
        <v>4685</v>
      </c>
      <c r="D526" s="21" t="s">
        <v>1210</v>
      </c>
      <c r="E526" s="20" t="s">
        <v>4686</v>
      </c>
      <c r="F526" s="22">
        <v>15</v>
      </c>
      <c r="G526" s="22" t="s">
        <v>4687</v>
      </c>
      <c r="H526" s="22">
        <v>15</v>
      </c>
      <c r="I526" s="25">
        <v>43303</v>
      </c>
      <c r="J526" s="24">
        <v>43316</v>
      </c>
    </row>
    <row r="527" spans="2:10" x14ac:dyDescent="0.2">
      <c r="B527" s="22">
        <v>525</v>
      </c>
      <c r="C527" s="21" t="s">
        <v>4688</v>
      </c>
      <c r="D527" s="21" t="s">
        <v>1213</v>
      </c>
      <c r="E527" s="20" t="s">
        <v>4689</v>
      </c>
      <c r="F527" s="22">
        <v>9</v>
      </c>
      <c r="G527" s="22" t="s">
        <v>4690</v>
      </c>
      <c r="H527" s="22">
        <v>2</v>
      </c>
      <c r="I527" s="25">
        <v>43261</v>
      </c>
      <c r="J527" s="24">
        <v>43302</v>
      </c>
    </row>
    <row r="528" spans="2:10" x14ac:dyDescent="0.2">
      <c r="B528" s="22">
        <v>526</v>
      </c>
      <c r="C528" s="21" t="s">
        <v>4691</v>
      </c>
      <c r="D528" s="21" t="s">
        <v>1572</v>
      </c>
      <c r="E528" s="20" t="s">
        <v>4692</v>
      </c>
      <c r="F528" s="22">
        <v>3</v>
      </c>
      <c r="G528" s="22" t="s">
        <v>4693</v>
      </c>
      <c r="H528" s="22">
        <v>2</v>
      </c>
      <c r="I528" s="25">
        <v>43303</v>
      </c>
      <c r="J528" s="24">
        <v>43442</v>
      </c>
    </row>
    <row r="529" spans="2:10" x14ac:dyDescent="0.2">
      <c r="B529" s="22">
        <v>527</v>
      </c>
      <c r="C529" s="21" t="s">
        <v>4694</v>
      </c>
      <c r="D529" s="21" t="s">
        <v>1930</v>
      </c>
      <c r="E529" s="20" t="s">
        <v>4695</v>
      </c>
      <c r="F529" s="22">
        <v>4</v>
      </c>
      <c r="G529" s="22" t="s">
        <v>4696</v>
      </c>
      <c r="H529" s="22">
        <v>1</v>
      </c>
      <c r="I529" s="25">
        <v>43366</v>
      </c>
      <c r="J529" s="24">
        <v>43414</v>
      </c>
    </row>
    <row r="530" spans="2:10" x14ac:dyDescent="0.2">
      <c r="B530" s="22">
        <v>528</v>
      </c>
      <c r="C530" s="21" t="s">
        <v>4697</v>
      </c>
      <c r="D530" s="21" t="s">
        <v>4698</v>
      </c>
      <c r="E530" s="20" t="s">
        <v>4699</v>
      </c>
      <c r="F530" s="22">
        <v>2</v>
      </c>
      <c r="G530" s="22" t="s">
        <v>4700</v>
      </c>
      <c r="H530" s="22">
        <v>1</v>
      </c>
      <c r="I530" s="25">
        <v>43170</v>
      </c>
      <c r="J530" s="24">
        <v>43225</v>
      </c>
    </row>
    <row r="531" spans="2:10" x14ac:dyDescent="0.2">
      <c r="B531" s="22">
        <v>529</v>
      </c>
      <c r="C531" s="21" t="s">
        <v>4701</v>
      </c>
      <c r="D531" s="21" t="s">
        <v>1880</v>
      </c>
      <c r="E531" s="20" t="s">
        <v>4702</v>
      </c>
      <c r="F531" s="22">
        <v>5</v>
      </c>
      <c r="G531" s="22" t="s">
        <v>4703</v>
      </c>
      <c r="H531" s="22">
        <v>4</v>
      </c>
      <c r="I531" s="25">
        <v>43108</v>
      </c>
      <c r="J531" s="24">
        <v>43225</v>
      </c>
    </row>
    <row r="532" spans="2:10" x14ac:dyDescent="0.2">
      <c r="B532" s="22">
        <v>530</v>
      </c>
      <c r="C532" s="21" t="s">
        <v>4704</v>
      </c>
      <c r="D532" s="21" t="s">
        <v>1332</v>
      </c>
      <c r="E532" s="20" t="s">
        <v>4705</v>
      </c>
      <c r="F532" s="22">
        <v>1</v>
      </c>
      <c r="G532" s="22" t="s">
        <v>4706</v>
      </c>
      <c r="H532" s="22">
        <v>1</v>
      </c>
      <c r="I532" s="25">
        <v>43352</v>
      </c>
      <c r="J532" s="24">
        <v>43365</v>
      </c>
    </row>
    <row r="533" spans="2:10" x14ac:dyDescent="0.2">
      <c r="B533" s="22">
        <v>531</v>
      </c>
      <c r="C533" s="21" t="s">
        <v>4707</v>
      </c>
      <c r="D533" s="21" t="s">
        <v>1248</v>
      </c>
      <c r="E533" s="20" t="s">
        <v>4708</v>
      </c>
      <c r="F533" s="22">
        <v>9</v>
      </c>
      <c r="G533" s="22" t="s">
        <v>4709</v>
      </c>
      <c r="H533" s="22">
        <v>6</v>
      </c>
      <c r="I533" s="25">
        <v>43254</v>
      </c>
      <c r="J533" s="22" t="s">
        <v>558</v>
      </c>
    </row>
    <row r="534" spans="2:10" x14ac:dyDescent="0.2">
      <c r="B534" s="22">
        <v>532</v>
      </c>
      <c r="C534" s="21" t="s">
        <v>4710</v>
      </c>
      <c r="D534" s="21" t="s">
        <v>1804</v>
      </c>
      <c r="E534" s="20" t="s">
        <v>4711</v>
      </c>
      <c r="F534" s="22">
        <v>5</v>
      </c>
      <c r="G534" s="22" t="s">
        <v>4712</v>
      </c>
      <c r="H534" s="22">
        <v>2</v>
      </c>
      <c r="I534" s="25">
        <v>43184</v>
      </c>
      <c r="J534" s="22" t="s">
        <v>558</v>
      </c>
    </row>
    <row r="535" spans="2:10" x14ac:dyDescent="0.2">
      <c r="B535" s="22">
        <v>533</v>
      </c>
      <c r="C535" s="21" t="s">
        <v>4713</v>
      </c>
      <c r="D535" s="21" t="s">
        <v>2148</v>
      </c>
      <c r="E535" s="20" t="s">
        <v>4714</v>
      </c>
      <c r="F535" s="22">
        <v>2</v>
      </c>
      <c r="G535" s="22" t="s">
        <v>4715</v>
      </c>
      <c r="H535" s="22">
        <v>1</v>
      </c>
      <c r="I535" s="25">
        <v>43343</v>
      </c>
      <c r="J535" s="24">
        <v>43232</v>
      </c>
    </row>
    <row r="536" spans="2:10" x14ac:dyDescent="0.2">
      <c r="B536" s="22">
        <v>534</v>
      </c>
      <c r="C536" s="21" t="s">
        <v>4716</v>
      </c>
      <c r="D536" s="21" t="s">
        <v>1532</v>
      </c>
      <c r="E536" s="20" t="s">
        <v>4717</v>
      </c>
      <c r="F536" s="22">
        <v>5</v>
      </c>
      <c r="G536" s="22" t="s">
        <v>4718</v>
      </c>
      <c r="H536" s="22">
        <v>1</v>
      </c>
      <c r="I536" s="25">
        <v>43129</v>
      </c>
      <c r="J536" s="24">
        <v>43267</v>
      </c>
    </row>
    <row r="537" spans="2:10" x14ac:dyDescent="0.2">
      <c r="B537" s="22">
        <v>535</v>
      </c>
      <c r="C537" s="21" t="s">
        <v>4719</v>
      </c>
      <c r="D537" s="21" t="s">
        <v>1572</v>
      </c>
      <c r="E537" s="20" t="s">
        <v>4720</v>
      </c>
      <c r="F537" s="22">
        <v>11</v>
      </c>
      <c r="G537" s="22" t="s">
        <v>4721</v>
      </c>
      <c r="H537" s="22">
        <v>1</v>
      </c>
      <c r="I537" s="25">
        <v>43177</v>
      </c>
      <c r="J537" s="24">
        <v>43253</v>
      </c>
    </row>
    <row r="538" spans="2:10" x14ac:dyDescent="0.2">
      <c r="B538" s="22">
        <v>536</v>
      </c>
      <c r="C538" s="21" t="s">
        <v>4722</v>
      </c>
      <c r="D538" s="21" t="s">
        <v>2108</v>
      </c>
      <c r="E538" s="20" t="s">
        <v>4723</v>
      </c>
      <c r="F538" s="22">
        <v>4</v>
      </c>
      <c r="G538" s="22" t="s">
        <v>4724</v>
      </c>
      <c r="H538" s="22">
        <v>1</v>
      </c>
      <c r="I538" s="25">
        <v>43240</v>
      </c>
      <c r="J538" s="24">
        <v>43449</v>
      </c>
    </row>
    <row r="539" spans="2:10" x14ac:dyDescent="0.2">
      <c r="B539" s="22">
        <v>537</v>
      </c>
      <c r="C539" s="21" t="s">
        <v>4725</v>
      </c>
      <c r="D539" s="21" t="s">
        <v>1880</v>
      </c>
      <c r="E539" s="20" t="s">
        <v>4726</v>
      </c>
      <c r="F539" s="22">
        <v>3</v>
      </c>
      <c r="G539" s="22" t="s">
        <v>4727</v>
      </c>
      <c r="H539" s="22">
        <v>1</v>
      </c>
      <c r="I539" s="25">
        <v>43245</v>
      </c>
      <c r="J539" s="24">
        <v>43372</v>
      </c>
    </row>
    <row r="540" spans="2:10" x14ac:dyDescent="0.2">
      <c r="B540" s="22">
        <v>538</v>
      </c>
      <c r="C540" s="21" t="s">
        <v>4728</v>
      </c>
      <c r="D540" s="21" t="s">
        <v>1039</v>
      </c>
      <c r="E540" s="20" t="s">
        <v>4729</v>
      </c>
      <c r="F540" s="22">
        <v>17</v>
      </c>
      <c r="G540" s="22" t="s">
        <v>4730</v>
      </c>
      <c r="H540" s="22">
        <v>5</v>
      </c>
      <c r="I540" s="25">
        <v>43436</v>
      </c>
      <c r="J540" s="24">
        <v>43105</v>
      </c>
    </row>
    <row r="541" spans="2:10" x14ac:dyDescent="0.2">
      <c r="B541" s="22">
        <v>539</v>
      </c>
      <c r="C541" s="21" t="s">
        <v>4731</v>
      </c>
      <c r="D541" s="21" t="s">
        <v>1169</v>
      </c>
      <c r="E541" s="20" t="s">
        <v>4732</v>
      </c>
      <c r="F541" s="22">
        <v>11</v>
      </c>
      <c r="G541" s="22" t="s">
        <v>4733</v>
      </c>
      <c r="H541" s="22">
        <v>11</v>
      </c>
      <c r="I541" s="25">
        <v>43261</v>
      </c>
      <c r="J541" s="24">
        <v>43267</v>
      </c>
    </row>
    <row r="542" spans="2:10" x14ac:dyDescent="0.2">
      <c r="B542" s="22">
        <v>540</v>
      </c>
      <c r="C542" s="21" t="s">
        <v>4734</v>
      </c>
      <c r="D542" s="21" t="s">
        <v>1532</v>
      </c>
      <c r="E542" s="20" t="s">
        <v>4735</v>
      </c>
      <c r="F542" s="22">
        <v>4</v>
      </c>
      <c r="G542" s="22" t="s">
        <v>4736</v>
      </c>
      <c r="H542" s="22">
        <v>1</v>
      </c>
      <c r="I542" s="25">
        <v>43198</v>
      </c>
      <c r="J542" s="24">
        <v>43305</v>
      </c>
    </row>
    <row r="543" spans="2:10" x14ac:dyDescent="0.2">
      <c r="B543" s="22">
        <v>541</v>
      </c>
      <c r="C543" s="21" t="s">
        <v>4737</v>
      </c>
      <c r="D543" s="21" t="s">
        <v>4738</v>
      </c>
      <c r="E543" s="20" t="s">
        <v>4739</v>
      </c>
      <c r="F543" s="22">
        <v>20</v>
      </c>
      <c r="G543" s="22" t="s">
        <v>4740</v>
      </c>
      <c r="H543" s="22">
        <v>20</v>
      </c>
      <c r="I543" s="25">
        <v>43177</v>
      </c>
      <c r="J543" s="22" t="s">
        <v>558</v>
      </c>
    </row>
    <row r="544" spans="2:10" x14ac:dyDescent="0.2">
      <c r="B544" s="22">
        <v>542</v>
      </c>
      <c r="C544" s="21" t="s">
        <v>4741</v>
      </c>
      <c r="D544" s="21" t="s">
        <v>1804</v>
      </c>
      <c r="E544" s="20" t="s">
        <v>4742</v>
      </c>
      <c r="F544" s="22">
        <v>3</v>
      </c>
      <c r="G544" s="22" t="s">
        <v>4743</v>
      </c>
      <c r="H544" s="22">
        <v>1</v>
      </c>
      <c r="I544" s="25">
        <v>43317</v>
      </c>
      <c r="J544" s="24">
        <v>43379</v>
      </c>
    </row>
    <row r="545" spans="2:10" x14ac:dyDescent="0.2">
      <c r="B545" s="22">
        <v>543</v>
      </c>
      <c r="C545" s="21" t="s">
        <v>4744</v>
      </c>
      <c r="D545" s="21" t="s">
        <v>1175</v>
      </c>
      <c r="E545" s="20" t="s">
        <v>4745</v>
      </c>
      <c r="F545" s="22">
        <v>6</v>
      </c>
      <c r="G545" s="22" t="s">
        <v>4746</v>
      </c>
      <c r="H545" s="22">
        <v>2</v>
      </c>
      <c r="I545" s="25">
        <v>43191</v>
      </c>
      <c r="J545" s="24">
        <v>43211</v>
      </c>
    </row>
    <row r="546" spans="2:10" x14ac:dyDescent="0.2">
      <c r="B546" s="22">
        <v>544</v>
      </c>
      <c r="C546" s="21" t="s">
        <v>4747</v>
      </c>
      <c r="D546" s="21" t="s">
        <v>1804</v>
      </c>
      <c r="E546" s="20" t="s">
        <v>4748</v>
      </c>
      <c r="F546" s="22">
        <v>7</v>
      </c>
      <c r="G546" s="22" t="s">
        <v>4749</v>
      </c>
      <c r="H546" s="22">
        <v>3</v>
      </c>
      <c r="I546" s="25">
        <v>43247</v>
      </c>
      <c r="J546" s="24">
        <v>43344</v>
      </c>
    </row>
    <row r="547" spans="2:10" x14ac:dyDescent="0.2">
      <c r="B547" s="22">
        <v>545</v>
      </c>
      <c r="C547" s="21" t="s">
        <v>4750</v>
      </c>
      <c r="D547" s="21" t="s">
        <v>1746</v>
      </c>
      <c r="E547" s="20" t="s">
        <v>4751</v>
      </c>
      <c r="F547" s="22">
        <v>11</v>
      </c>
      <c r="G547" s="22" t="s">
        <v>1159</v>
      </c>
      <c r="H547" s="22" t="s">
        <v>1159</v>
      </c>
      <c r="I547" s="25">
        <v>43254</v>
      </c>
      <c r="J547" s="22" t="s">
        <v>558</v>
      </c>
    </row>
    <row r="548" spans="2:10" x14ac:dyDescent="0.2">
      <c r="B548" s="22">
        <v>546</v>
      </c>
      <c r="C548" s="21" t="s">
        <v>4752</v>
      </c>
      <c r="D548" s="21" t="s">
        <v>2108</v>
      </c>
      <c r="E548" s="20" t="s">
        <v>4753</v>
      </c>
      <c r="F548" s="22">
        <v>3</v>
      </c>
      <c r="G548" s="22" t="s">
        <v>4754</v>
      </c>
      <c r="H548" s="22">
        <v>1</v>
      </c>
      <c r="I548" s="25">
        <v>43338</v>
      </c>
      <c r="J548" s="24">
        <v>43449</v>
      </c>
    </row>
    <row r="549" spans="2:10" x14ac:dyDescent="0.2">
      <c r="B549" s="22">
        <v>547</v>
      </c>
      <c r="C549" s="21" t="s">
        <v>4755</v>
      </c>
      <c r="D549" s="21" t="s">
        <v>1415</v>
      </c>
      <c r="E549" s="20" t="s">
        <v>4756</v>
      </c>
      <c r="F549" s="22">
        <v>30</v>
      </c>
      <c r="G549" s="22" t="s">
        <v>4757</v>
      </c>
      <c r="H549" s="22">
        <v>30</v>
      </c>
      <c r="I549" s="25">
        <v>43366</v>
      </c>
      <c r="J549" s="24">
        <v>43379</v>
      </c>
    </row>
    <row r="550" spans="2:10" x14ac:dyDescent="0.2">
      <c r="B550" s="22">
        <v>548</v>
      </c>
      <c r="C550" s="21" t="s">
        <v>4758</v>
      </c>
      <c r="D550" s="21" t="s">
        <v>1210</v>
      </c>
      <c r="E550" s="20" t="s">
        <v>4759</v>
      </c>
      <c r="F550" s="22">
        <v>6</v>
      </c>
      <c r="G550" s="22" t="s">
        <v>4760</v>
      </c>
      <c r="H550" s="22">
        <v>6</v>
      </c>
      <c r="I550" s="25">
        <v>43143</v>
      </c>
      <c r="J550" s="24">
        <v>43156</v>
      </c>
    </row>
    <row r="551" spans="2:10" x14ac:dyDescent="0.2">
      <c r="B551" s="22">
        <v>549</v>
      </c>
      <c r="C551" s="21" t="s">
        <v>4761</v>
      </c>
      <c r="D551" s="21" t="s">
        <v>1248</v>
      </c>
      <c r="E551" s="20" t="s">
        <v>4762</v>
      </c>
      <c r="F551" s="22">
        <v>2</v>
      </c>
      <c r="G551" s="22" t="s">
        <v>4763</v>
      </c>
      <c r="H551" s="22">
        <v>2</v>
      </c>
      <c r="I551" s="25">
        <v>43415</v>
      </c>
      <c r="J551" s="24">
        <v>43428</v>
      </c>
    </row>
    <row r="552" spans="2:10" x14ac:dyDescent="0.2">
      <c r="B552" s="22">
        <v>550</v>
      </c>
      <c r="C552" s="21" t="s">
        <v>4764</v>
      </c>
      <c r="D552" s="21" t="s">
        <v>1532</v>
      </c>
      <c r="E552" s="20" t="s">
        <v>4765</v>
      </c>
      <c r="F552" s="22">
        <v>2</v>
      </c>
      <c r="G552" s="22" t="s">
        <v>4766</v>
      </c>
      <c r="H552" s="22">
        <v>1</v>
      </c>
      <c r="I552" s="25">
        <v>43268</v>
      </c>
      <c r="J552" s="24">
        <v>43351</v>
      </c>
    </row>
    <row r="553" spans="2:10" x14ac:dyDescent="0.2">
      <c r="B553" s="22">
        <v>551</v>
      </c>
      <c r="C553" s="21" t="s">
        <v>4767</v>
      </c>
      <c r="D553" s="21" t="s">
        <v>1213</v>
      </c>
      <c r="E553" s="20" t="s">
        <v>4768</v>
      </c>
      <c r="F553" s="22">
        <v>5</v>
      </c>
      <c r="G553" s="22" t="s">
        <v>4769</v>
      </c>
      <c r="H553" s="22">
        <v>2</v>
      </c>
      <c r="I553" s="25">
        <v>43231</v>
      </c>
      <c r="J553" s="24">
        <v>43295</v>
      </c>
    </row>
    <row r="554" spans="2:10" x14ac:dyDescent="0.2">
      <c r="B554" s="22">
        <v>552</v>
      </c>
      <c r="C554" s="21" t="s">
        <v>4770</v>
      </c>
      <c r="D554" s="21" t="s">
        <v>1294</v>
      </c>
      <c r="E554" s="20" t="s">
        <v>4771</v>
      </c>
      <c r="F554" s="22">
        <v>9</v>
      </c>
      <c r="G554" s="22" t="s">
        <v>4772</v>
      </c>
      <c r="H554" s="22">
        <v>3</v>
      </c>
      <c r="I554" s="25">
        <v>43429</v>
      </c>
      <c r="J554" s="24">
        <v>43456</v>
      </c>
    </row>
    <row r="555" spans="2:10" x14ac:dyDescent="0.2">
      <c r="B555" s="22">
        <v>553</v>
      </c>
      <c r="C555" s="21" t="s">
        <v>4773</v>
      </c>
      <c r="D555" s="21" t="s">
        <v>1175</v>
      </c>
      <c r="E555" s="20" t="s">
        <v>4774</v>
      </c>
      <c r="F555" s="22">
        <v>25</v>
      </c>
      <c r="G555" s="22" t="s">
        <v>4775</v>
      </c>
      <c r="H555" s="22">
        <v>13</v>
      </c>
      <c r="I555" s="25">
        <v>43324</v>
      </c>
      <c r="J555" s="24">
        <v>43337</v>
      </c>
    </row>
    <row r="556" spans="2:10" x14ac:dyDescent="0.2">
      <c r="B556" s="22">
        <v>554</v>
      </c>
      <c r="C556" s="21" t="s">
        <v>4776</v>
      </c>
      <c r="D556" s="21" t="s">
        <v>2108</v>
      </c>
      <c r="E556" s="20" t="s">
        <v>4777</v>
      </c>
      <c r="F556" s="22">
        <v>2</v>
      </c>
      <c r="G556" s="22" t="s">
        <v>4778</v>
      </c>
      <c r="H556" s="22">
        <v>2</v>
      </c>
      <c r="I556" s="25">
        <v>43275</v>
      </c>
      <c r="J556" s="22" t="s">
        <v>558</v>
      </c>
    </row>
    <row r="557" spans="2:10" x14ac:dyDescent="0.2">
      <c r="B557" s="22">
        <v>555</v>
      </c>
      <c r="C557" s="21" t="s">
        <v>4779</v>
      </c>
      <c r="D557" s="21" t="s">
        <v>157</v>
      </c>
      <c r="E557" s="20" t="s">
        <v>4780</v>
      </c>
      <c r="F557" s="22">
        <v>8</v>
      </c>
      <c r="G557" s="22" t="s">
        <v>4781</v>
      </c>
      <c r="H557" s="22">
        <v>1</v>
      </c>
      <c r="I557" s="25">
        <v>43170</v>
      </c>
      <c r="J557" s="24">
        <v>43253</v>
      </c>
    </row>
    <row r="558" spans="2:10" x14ac:dyDescent="0.2">
      <c r="B558" s="22">
        <v>556</v>
      </c>
      <c r="C558" s="21" t="s">
        <v>4782</v>
      </c>
      <c r="D558" s="21" t="s">
        <v>1797</v>
      </c>
      <c r="E558" s="20" t="s">
        <v>4783</v>
      </c>
      <c r="F558" s="22">
        <v>4</v>
      </c>
      <c r="G558" s="22" t="s">
        <v>4784</v>
      </c>
      <c r="H558" s="22">
        <v>4</v>
      </c>
      <c r="I558" s="25">
        <v>43415</v>
      </c>
      <c r="J558" s="24">
        <v>43175</v>
      </c>
    </row>
    <row r="559" spans="2:10" x14ac:dyDescent="0.2">
      <c r="B559" s="22">
        <v>557</v>
      </c>
      <c r="C559" s="21" t="s">
        <v>4785</v>
      </c>
      <c r="D559" s="21" t="s">
        <v>1095</v>
      </c>
      <c r="E559" s="20" t="s">
        <v>4786</v>
      </c>
      <c r="F559" s="22">
        <v>25</v>
      </c>
      <c r="G559" s="22" t="s">
        <v>4787</v>
      </c>
      <c r="H559" s="22">
        <v>4</v>
      </c>
      <c r="I559" s="25">
        <v>43136</v>
      </c>
      <c r="J559" s="24">
        <v>43145</v>
      </c>
    </row>
    <row r="560" spans="2:10" x14ac:dyDescent="0.2">
      <c r="B560" s="22">
        <v>558</v>
      </c>
      <c r="C560" s="21" t="s">
        <v>4788</v>
      </c>
      <c r="D560" s="21" t="s">
        <v>1797</v>
      </c>
      <c r="E560" s="20" t="s">
        <v>4789</v>
      </c>
      <c r="F560" s="22">
        <v>5</v>
      </c>
      <c r="G560" s="22" t="s">
        <v>1159</v>
      </c>
      <c r="H560" s="22">
        <v>5</v>
      </c>
      <c r="I560" s="25">
        <v>43205</v>
      </c>
      <c r="J560" s="24">
        <v>43112</v>
      </c>
    </row>
    <row r="561" spans="2:10" x14ac:dyDescent="0.2">
      <c r="B561" s="22">
        <v>559</v>
      </c>
      <c r="C561" s="21" t="s">
        <v>4790</v>
      </c>
      <c r="D561" s="21" t="s">
        <v>1087</v>
      </c>
      <c r="E561" s="20" t="s">
        <v>4791</v>
      </c>
      <c r="F561" s="22">
        <v>47</v>
      </c>
      <c r="G561" s="22" t="s">
        <v>4792</v>
      </c>
      <c r="H561" s="22">
        <v>3</v>
      </c>
      <c r="I561" s="25">
        <v>43237</v>
      </c>
      <c r="J561" s="22" t="s">
        <v>558</v>
      </c>
    </row>
    <row r="562" spans="2:10" x14ac:dyDescent="0.2">
      <c r="B562" s="22">
        <v>560</v>
      </c>
      <c r="C562" s="21" t="s">
        <v>4793</v>
      </c>
      <c r="D562" s="21" t="s">
        <v>1568</v>
      </c>
      <c r="E562" s="20" t="s">
        <v>4794</v>
      </c>
      <c r="F562" s="22">
        <v>20</v>
      </c>
      <c r="G562" s="22" t="s">
        <v>4794</v>
      </c>
      <c r="H562" s="22">
        <v>20</v>
      </c>
      <c r="I562" s="25">
        <v>43366</v>
      </c>
      <c r="J562" s="22" t="s">
        <v>558</v>
      </c>
    </row>
    <row r="563" spans="2:10" x14ac:dyDescent="0.2">
      <c r="B563" s="22">
        <v>561</v>
      </c>
      <c r="C563" s="21" t="s">
        <v>4795</v>
      </c>
      <c r="D563" s="21" t="s">
        <v>1797</v>
      </c>
      <c r="E563" s="20" t="s">
        <v>4796</v>
      </c>
      <c r="F563" s="22">
        <v>3</v>
      </c>
      <c r="G563" s="22" t="s">
        <v>4797</v>
      </c>
      <c r="H563" s="22">
        <v>2</v>
      </c>
      <c r="I563" s="25">
        <v>43324</v>
      </c>
      <c r="J563" s="22" t="s">
        <v>558</v>
      </c>
    </row>
    <row r="564" spans="2:10" x14ac:dyDescent="0.2">
      <c r="B564" s="22">
        <v>562</v>
      </c>
      <c r="C564" s="21" t="s">
        <v>4798</v>
      </c>
      <c r="D564" s="21" t="s">
        <v>1572</v>
      </c>
      <c r="E564" s="20" t="s">
        <v>4799</v>
      </c>
      <c r="F564" s="22">
        <v>2</v>
      </c>
      <c r="G564" s="22" t="s">
        <v>4800</v>
      </c>
      <c r="H564" s="22">
        <v>1</v>
      </c>
      <c r="I564" s="25">
        <v>43254</v>
      </c>
      <c r="J564" s="24">
        <v>43421</v>
      </c>
    </row>
    <row r="565" spans="2:10" x14ac:dyDescent="0.2">
      <c r="B565" s="22">
        <v>563</v>
      </c>
      <c r="C565" s="21" t="s">
        <v>4801</v>
      </c>
      <c r="D565" s="21" t="s">
        <v>3922</v>
      </c>
      <c r="E565" s="20" t="s">
        <v>4802</v>
      </c>
      <c r="F565" s="22">
        <v>11</v>
      </c>
      <c r="G565" s="22" t="s">
        <v>4803</v>
      </c>
      <c r="H565" s="22">
        <v>11</v>
      </c>
      <c r="I565" s="25">
        <v>43198</v>
      </c>
      <c r="J565" s="24">
        <v>43225</v>
      </c>
    </row>
    <row r="566" spans="2:10" x14ac:dyDescent="0.2">
      <c r="B566" s="22">
        <v>564</v>
      </c>
      <c r="C566" s="21" t="s">
        <v>4804</v>
      </c>
      <c r="D566" s="21" t="s">
        <v>4805</v>
      </c>
      <c r="E566" s="20" t="s">
        <v>4806</v>
      </c>
      <c r="F566" s="22">
        <v>1</v>
      </c>
      <c r="G566" s="22" t="s">
        <v>4807</v>
      </c>
      <c r="H566" s="22">
        <v>1</v>
      </c>
      <c r="I566" s="25">
        <v>43366</v>
      </c>
      <c r="J566" s="24">
        <v>43389</v>
      </c>
    </row>
    <row r="567" spans="2:10" x14ac:dyDescent="0.2">
      <c r="B567" s="22">
        <v>565</v>
      </c>
      <c r="C567" s="21" t="s">
        <v>4808</v>
      </c>
      <c r="D567" s="21" t="s">
        <v>4809</v>
      </c>
      <c r="E567" s="20" t="s">
        <v>4810</v>
      </c>
      <c r="F567" s="22">
        <v>4</v>
      </c>
      <c r="G567" s="22" t="s">
        <v>4811</v>
      </c>
      <c r="H567" s="22">
        <v>1</v>
      </c>
      <c r="I567" s="25">
        <v>43347</v>
      </c>
      <c r="J567" s="24">
        <v>43379</v>
      </c>
    </row>
    <row r="568" spans="2:10" x14ac:dyDescent="0.2">
      <c r="B568" s="22">
        <v>566</v>
      </c>
      <c r="C568" s="21" t="s">
        <v>4812</v>
      </c>
      <c r="D568" s="21" t="s">
        <v>1415</v>
      </c>
      <c r="E568" s="20" t="s">
        <v>4813</v>
      </c>
      <c r="F568" s="22">
        <v>32</v>
      </c>
      <c r="G568" s="22" t="s">
        <v>4813</v>
      </c>
      <c r="H568" s="22">
        <v>32</v>
      </c>
      <c r="I568" s="25">
        <v>43136</v>
      </c>
      <c r="J568" s="22" t="s">
        <v>558</v>
      </c>
    </row>
    <row r="569" spans="2:10" x14ac:dyDescent="0.2">
      <c r="B569" s="22">
        <v>567</v>
      </c>
      <c r="C569" s="21" t="s">
        <v>4814</v>
      </c>
      <c r="D569" s="21" t="s">
        <v>1095</v>
      </c>
      <c r="E569" s="20" t="s">
        <v>4815</v>
      </c>
      <c r="F569" s="22">
        <v>3</v>
      </c>
      <c r="G569" s="22" t="s">
        <v>4816</v>
      </c>
      <c r="H569" s="22">
        <v>1</v>
      </c>
      <c r="I569" s="25">
        <v>43380</v>
      </c>
      <c r="J569" s="24">
        <v>43407</v>
      </c>
    </row>
    <row r="570" spans="2:10" x14ac:dyDescent="0.2">
      <c r="B570" s="22">
        <v>568</v>
      </c>
      <c r="C570" s="21" t="s">
        <v>478</v>
      </c>
      <c r="D570" s="21" t="s">
        <v>1422</v>
      </c>
      <c r="E570" s="20" t="s">
        <v>4817</v>
      </c>
      <c r="F570" s="22">
        <v>4</v>
      </c>
      <c r="G570" s="22" t="s">
        <v>4818</v>
      </c>
      <c r="H570" s="22">
        <v>1</v>
      </c>
      <c r="I570" s="25">
        <v>43380</v>
      </c>
      <c r="J570" s="24">
        <v>43442</v>
      </c>
    </row>
    <row r="571" spans="2:10" x14ac:dyDescent="0.2">
      <c r="B571" s="22">
        <v>569</v>
      </c>
      <c r="C571" s="21" t="s">
        <v>4819</v>
      </c>
      <c r="D571" s="21" t="s">
        <v>1459</v>
      </c>
      <c r="E571" s="20" t="s">
        <v>4820</v>
      </c>
      <c r="F571" s="22">
        <v>50</v>
      </c>
      <c r="G571" s="22" t="s">
        <v>4821</v>
      </c>
      <c r="H571" s="22">
        <v>50</v>
      </c>
      <c r="I571" s="25">
        <v>43219</v>
      </c>
      <c r="J571" s="24">
        <v>43225</v>
      </c>
    </row>
    <row r="572" spans="2:10" x14ac:dyDescent="0.2">
      <c r="B572" s="22">
        <v>570</v>
      </c>
      <c r="C572" s="21" t="s">
        <v>4822</v>
      </c>
      <c r="D572" s="21" t="s">
        <v>1631</v>
      </c>
      <c r="E572" s="20" t="s">
        <v>4823</v>
      </c>
      <c r="F572" s="22">
        <v>11</v>
      </c>
      <c r="G572" s="22" t="s">
        <v>4824</v>
      </c>
      <c r="H572" s="22">
        <v>10</v>
      </c>
      <c r="I572" s="25">
        <v>43143</v>
      </c>
      <c r="J572" s="24">
        <v>43152</v>
      </c>
    </row>
    <row r="573" spans="2:10" x14ac:dyDescent="0.2">
      <c r="B573" s="22">
        <v>571</v>
      </c>
      <c r="C573" s="21" t="s">
        <v>4825</v>
      </c>
      <c r="D573" s="21" t="s">
        <v>1095</v>
      </c>
      <c r="E573" s="20" t="s">
        <v>4826</v>
      </c>
      <c r="F573" s="22">
        <v>10</v>
      </c>
      <c r="G573" s="22" t="s">
        <v>4827</v>
      </c>
      <c r="H573" s="22">
        <v>5</v>
      </c>
      <c r="I573" s="25">
        <v>43240</v>
      </c>
      <c r="J573" s="22" t="s">
        <v>558</v>
      </c>
    </row>
    <row r="574" spans="2:10" x14ac:dyDescent="0.2">
      <c r="B574" s="22">
        <v>572</v>
      </c>
      <c r="C574" s="21" t="s">
        <v>4828</v>
      </c>
      <c r="D574" s="21" t="s">
        <v>4259</v>
      </c>
      <c r="E574" s="20" t="s">
        <v>4829</v>
      </c>
      <c r="F574" s="22">
        <v>5</v>
      </c>
      <c r="G574" s="22" t="s">
        <v>4830</v>
      </c>
      <c r="H574" s="22">
        <v>1</v>
      </c>
      <c r="I574" s="25">
        <v>43143</v>
      </c>
      <c r="J574" s="22" t="s">
        <v>558</v>
      </c>
    </row>
    <row r="575" spans="2:10" x14ac:dyDescent="0.2">
      <c r="B575" s="22">
        <v>573</v>
      </c>
      <c r="C575" s="21" t="s">
        <v>4831</v>
      </c>
      <c r="D575" s="21" t="s">
        <v>1746</v>
      </c>
      <c r="E575" s="20" t="s">
        <v>4832</v>
      </c>
      <c r="F575" s="22">
        <v>21</v>
      </c>
      <c r="G575" s="22" t="s">
        <v>1159</v>
      </c>
      <c r="H575" s="22" t="s">
        <v>1159</v>
      </c>
      <c r="I575" s="25">
        <v>43422</v>
      </c>
      <c r="J575" s="22" t="s">
        <v>558</v>
      </c>
    </row>
    <row r="576" spans="2:10" x14ac:dyDescent="0.2">
      <c r="B576" s="22">
        <v>574</v>
      </c>
      <c r="C576" s="21" t="s">
        <v>4833</v>
      </c>
      <c r="D576" s="21" t="s">
        <v>1631</v>
      </c>
      <c r="E576" s="20" t="s">
        <v>4834</v>
      </c>
      <c r="F576" s="22">
        <v>11</v>
      </c>
      <c r="G576" s="22" t="s">
        <v>4835</v>
      </c>
      <c r="H576" s="22">
        <v>11</v>
      </c>
      <c r="I576" s="25">
        <v>43115</v>
      </c>
      <c r="J576" s="24">
        <v>43121</v>
      </c>
    </row>
    <row r="577" spans="2:10" x14ac:dyDescent="0.2">
      <c r="B577" s="22">
        <v>575</v>
      </c>
      <c r="C577" s="21" t="s">
        <v>4836</v>
      </c>
      <c r="D577" s="21" t="s">
        <v>1797</v>
      </c>
      <c r="E577" s="20" t="s">
        <v>4837</v>
      </c>
      <c r="F577" s="22">
        <v>4</v>
      </c>
      <c r="G577" s="22" t="s">
        <v>4838</v>
      </c>
      <c r="H577" s="22">
        <v>2</v>
      </c>
      <c r="I577" s="25">
        <v>43324</v>
      </c>
      <c r="J577" s="24">
        <v>43112</v>
      </c>
    </row>
    <row r="578" spans="2:10" x14ac:dyDescent="0.2">
      <c r="B578" s="22">
        <v>576</v>
      </c>
      <c r="C578" s="21" t="s">
        <v>4839</v>
      </c>
      <c r="D578" s="21" t="s">
        <v>38</v>
      </c>
      <c r="E578" s="20" t="s">
        <v>4840</v>
      </c>
      <c r="F578" s="22">
        <v>101</v>
      </c>
      <c r="G578" s="22" t="s">
        <v>4841</v>
      </c>
      <c r="H578" s="22">
        <v>2</v>
      </c>
      <c r="I578" s="25">
        <v>43338</v>
      </c>
      <c r="J578" s="24">
        <v>43358</v>
      </c>
    </row>
    <row r="579" spans="2:10" x14ac:dyDescent="0.2">
      <c r="B579" s="22">
        <v>577</v>
      </c>
      <c r="C579" s="21" t="s">
        <v>4842</v>
      </c>
      <c r="D579" s="21" t="s">
        <v>1797</v>
      </c>
      <c r="E579" s="20" t="s">
        <v>4843</v>
      </c>
      <c r="F579" s="22">
        <v>4</v>
      </c>
      <c r="G579" s="22" t="s">
        <v>4844</v>
      </c>
      <c r="H579" s="22">
        <v>2</v>
      </c>
      <c r="I579" s="25">
        <v>43331</v>
      </c>
      <c r="J579" s="24">
        <v>43133</v>
      </c>
    </row>
    <row r="580" spans="2:10" x14ac:dyDescent="0.2">
      <c r="B580" s="22">
        <v>578</v>
      </c>
      <c r="C580" s="21" t="s">
        <v>4845</v>
      </c>
      <c r="D580" s="21" t="s">
        <v>1797</v>
      </c>
      <c r="E580" s="20" t="s">
        <v>4846</v>
      </c>
      <c r="F580" s="22">
        <v>3</v>
      </c>
      <c r="G580" s="22" t="s">
        <v>4847</v>
      </c>
      <c r="H580" s="22">
        <v>2</v>
      </c>
      <c r="I580" s="25">
        <v>43366</v>
      </c>
      <c r="J580" s="24">
        <v>43140</v>
      </c>
    </row>
    <row r="581" spans="2:10" x14ac:dyDescent="0.2">
      <c r="B581" s="22">
        <v>579</v>
      </c>
      <c r="C581" s="21" t="s">
        <v>4848</v>
      </c>
      <c r="D581" s="21" t="s">
        <v>1797</v>
      </c>
      <c r="E581" s="20" t="s">
        <v>4849</v>
      </c>
      <c r="F581" s="22">
        <v>4</v>
      </c>
      <c r="G581" s="22" t="s">
        <v>4850</v>
      </c>
      <c r="H581" s="22">
        <v>2</v>
      </c>
      <c r="I581" s="25">
        <v>43324</v>
      </c>
      <c r="J581" s="22" t="s">
        <v>558</v>
      </c>
    </row>
    <row r="582" spans="2:10" x14ac:dyDescent="0.2">
      <c r="B582" s="22">
        <v>580</v>
      </c>
      <c r="C582" s="21" t="s">
        <v>4851</v>
      </c>
      <c r="D582" s="21" t="s">
        <v>2051</v>
      </c>
      <c r="E582" s="20" t="s">
        <v>4852</v>
      </c>
      <c r="F582" s="22">
        <v>8</v>
      </c>
      <c r="G582" s="22" t="s">
        <v>4853</v>
      </c>
      <c r="H582" s="22">
        <v>3</v>
      </c>
      <c r="I582" s="25">
        <v>43415</v>
      </c>
      <c r="J582" s="24">
        <v>43452</v>
      </c>
    </row>
    <row r="583" spans="2:10" x14ac:dyDescent="0.2">
      <c r="B583" s="22">
        <v>581</v>
      </c>
      <c r="C583" s="21" t="s">
        <v>4854</v>
      </c>
      <c r="D583" s="21" t="s">
        <v>1797</v>
      </c>
      <c r="E583" s="20" t="s">
        <v>4855</v>
      </c>
      <c r="F583" s="22">
        <v>3</v>
      </c>
      <c r="G583" s="22" t="s">
        <v>4856</v>
      </c>
      <c r="H583" s="22">
        <v>1</v>
      </c>
      <c r="I583" s="25">
        <v>43247</v>
      </c>
      <c r="J583" s="22" t="s">
        <v>558</v>
      </c>
    </row>
    <row r="584" spans="2:10" x14ac:dyDescent="0.2">
      <c r="B584" s="22">
        <v>582</v>
      </c>
      <c r="C584" s="21" t="s">
        <v>4857</v>
      </c>
      <c r="D584" s="21" t="s">
        <v>2164</v>
      </c>
      <c r="E584" s="20" t="s">
        <v>4858</v>
      </c>
      <c r="F584" s="22">
        <v>2</v>
      </c>
      <c r="G584" s="22" t="s">
        <v>4858</v>
      </c>
      <c r="H584" s="22">
        <v>2</v>
      </c>
      <c r="I584" s="25">
        <v>43254</v>
      </c>
      <c r="J584" s="22" t="s">
        <v>558</v>
      </c>
    </row>
    <row r="585" spans="2:10" x14ac:dyDescent="0.2">
      <c r="B585" s="22">
        <v>583</v>
      </c>
      <c r="C585" s="21" t="s">
        <v>4859</v>
      </c>
      <c r="D585" s="21" t="s">
        <v>4860</v>
      </c>
      <c r="E585" s="20" t="s">
        <v>4861</v>
      </c>
      <c r="F585" s="22">
        <v>2</v>
      </c>
      <c r="G585" s="22" t="s">
        <v>4862</v>
      </c>
      <c r="H585" s="22">
        <v>2</v>
      </c>
      <c r="I585" s="25">
        <v>43205</v>
      </c>
      <c r="J585" s="22" t="s">
        <v>558</v>
      </c>
    </row>
    <row r="586" spans="2:10" x14ac:dyDescent="0.2">
      <c r="B586" s="22">
        <v>584</v>
      </c>
      <c r="C586" s="21" t="s">
        <v>4863</v>
      </c>
      <c r="D586" s="21" t="s">
        <v>1797</v>
      </c>
      <c r="E586" s="20" t="s">
        <v>4864</v>
      </c>
      <c r="F586" s="22">
        <v>6</v>
      </c>
      <c r="G586" s="22" t="s">
        <v>4865</v>
      </c>
      <c r="H586" s="22">
        <v>2</v>
      </c>
      <c r="I586" s="25">
        <v>43387</v>
      </c>
      <c r="J586" s="24">
        <v>43108</v>
      </c>
    </row>
    <row r="587" spans="2:10" x14ac:dyDescent="0.2">
      <c r="B587" s="22">
        <v>585</v>
      </c>
      <c r="C587" s="21" t="s">
        <v>4866</v>
      </c>
      <c r="D587" s="21" t="s">
        <v>2197</v>
      </c>
      <c r="E587" s="20" t="s">
        <v>4867</v>
      </c>
      <c r="F587" s="22">
        <v>4</v>
      </c>
      <c r="G587" s="22" t="s">
        <v>4868</v>
      </c>
      <c r="H587" s="22">
        <v>4</v>
      </c>
      <c r="I587" s="25">
        <v>43177</v>
      </c>
      <c r="J587" s="24">
        <v>43190</v>
      </c>
    </row>
    <row r="588" spans="2:10" x14ac:dyDescent="0.2">
      <c r="B588" s="22">
        <v>586</v>
      </c>
      <c r="C588" s="21" t="s">
        <v>4869</v>
      </c>
      <c r="D588" s="21" t="s">
        <v>506</v>
      </c>
      <c r="E588" s="20" t="s">
        <v>4870</v>
      </c>
      <c r="F588" s="22">
        <v>2</v>
      </c>
      <c r="G588" s="22" t="s">
        <v>4871</v>
      </c>
      <c r="H588" s="22">
        <v>1</v>
      </c>
      <c r="I588" s="25">
        <v>43268</v>
      </c>
      <c r="J588" s="24">
        <v>43277</v>
      </c>
    </row>
    <row r="589" spans="2:10" x14ac:dyDescent="0.2">
      <c r="B589" s="22">
        <v>587</v>
      </c>
      <c r="C589" s="21" t="s">
        <v>4872</v>
      </c>
      <c r="D589" s="21" t="s">
        <v>1797</v>
      </c>
      <c r="E589" s="20" t="s">
        <v>4873</v>
      </c>
      <c r="F589" s="22">
        <v>10</v>
      </c>
      <c r="G589" s="22" t="s">
        <v>4874</v>
      </c>
      <c r="H589" s="22">
        <v>1</v>
      </c>
      <c r="I589" s="25">
        <v>43198</v>
      </c>
      <c r="J589" s="24">
        <v>43428</v>
      </c>
    </row>
    <row r="590" spans="2:10" x14ac:dyDescent="0.2">
      <c r="B590" s="22">
        <v>588</v>
      </c>
      <c r="C590" s="21" t="s">
        <v>4875</v>
      </c>
      <c r="D590" s="21" t="s">
        <v>1942</v>
      </c>
      <c r="E590" s="20" t="s">
        <v>4876</v>
      </c>
      <c r="F590" s="22">
        <v>2</v>
      </c>
      <c r="G590" s="22" t="s">
        <v>4877</v>
      </c>
      <c r="H590" s="22">
        <v>2</v>
      </c>
      <c r="I590" s="25">
        <v>43450</v>
      </c>
      <c r="J590" s="24">
        <v>43122</v>
      </c>
    </row>
    <row r="591" spans="2:10" x14ac:dyDescent="0.2">
      <c r="B591" s="22">
        <v>589</v>
      </c>
      <c r="C591" s="21" t="s">
        <v>4878</v>
      </c>
      <c r="D591" s="21" t="s">
        <v>2204</v>
      </c>
      <c r="E591" s="20" t="s">
        <v>4879</v>
      </c>
      <c r="F591" s="22">
        <v>5</v>
      </c>
      <c r="G591" s="22" t="s">
        <v>4880</v>
      </c>
      <c r="H591" s="22">
        <v>1</v>
      </c>
      <c r="I591" s="25">
        <v>43387</v>
      </c>
      <c r="J591" s="24">
        <v>43407</v>
      </c>
    </row>
    <row r="592" spans="2:10" x14ac:dyDescent="0.2">
      <c r="B592" s="22">
        <v>590</v>
      </c>
      <c r="C592" s="21" t="s">
        <v>4881</v>
      </c>
      <c r="D592" s="21" t="s">
        <v>1039</v>
      </c>
      <c r="E592" s="20" t="s">
        <v>4882</v>
      </c>
      <c r="F592" s="22">
        <v>8</v>
      </c>
      <c r="G592" s="22" t="s">
        <v>4883</v>
      </c>
      <c r="H592" s="22">
        <v>1</v>
      </c>
      <c r="I592" s="25">
        <v>43408</v>
      </c>
      <c r="J592" s="24">
        <v>43105</v>
      </c>
    </row>
    <row r="593" spans="2:10" x14ac:dyDescent="0.2">
      <c r="B593" s="22">
        <v>591</v>
      </c>
      <c r="C593" s="21" t="s">
        <v>4884</v>
      </c>
      <c r="D593" s="21" t="s">
        <v>1039</v>
      </c>
      <c r="E593" s="20" t="s">
        <v>4885</v>
      </c>
      <c r="F593" s="22">
        <v>6</v>
      </c>
      <c r="G593" s="22" t="s">
        <v>4886</v>
      </c>
      <c r="H593" s="22">
        <v>3</v>
      </c>
      <c r="I593" s="25">
        <v>43443</v>
      </c>
      <c r="J593" s="24">
        <v>43126</v>
      </c>
    </row>
    <row r="594" spans="2:10" x14ac:dyDescent="0.2">
      <c r="B594" s="22">
        <v>592</v>
      </c>
      <c r="C594" s="21" t="s">
        <v>4887</v>
      </c>
      <c r="D594" s="21" t="s">
        <v>1797</v>
      </c>
      <c r="E594" s="20" t="s">
        <v>4888</v>
      </c>
      <c r="F594" s="22">
        <v>6</v>
      </c>
      <c r="G594" s="22" t="s">
        <v>4889</v>
      </c>
      <c r="H594" s="22">
        <v>2</v>
      </c>
      <c r="I594" s="25">
        <v>43233</v>
      </c>
      <c r="J594" s="24">
        <v>43456</v>
      </c>
    </row>
    <row r="595" spans="2:10" x14ac:dyDescent="0.2">
      <c r="B595" s="22">
        <v>593</v>
      </c>
      <c r="C595" s="21" t="s">
        <v>4890</v>
      </c>
      <c r="D595" s="21" t="s">
        <v>4266</v>
      </c>
      <c r="E595" s="20" t="s">
        <v>4891</v>
      </c>
      <c r="F595" s="22">
        <v>8</v>
      </c>
      <c r="G595" s="22" t="s">
        <v>4892</v>
      </c>
      <c r="H595" s="22">
        <v>8</v>
      </c>
      <c r="I595" s="25">
        <v>43393</v>
      </c>
      <c r="J595" s="24">
        <v>43406</v>
      </c>
    </row>
    <row r="596" spans="2:10" x14ac:dyDescent="0.2">
      <c r="B596" s="22">
        <v>594</v>
      </c>
      <c r="C596" s="21" t="s">
        <v>4893</v>
      </c>
      <c r="D596" s="21" t="s">
        <v>4894</v>
      </c>
      <c r="E596" s="20" t="s">
        <v>4895</v>
      </c>
      <c r="F596" s="22">
        <v>3</v>
      </c>
      <c r="G596" s="22" t="s">
        <v>4896</v>
      </c>
      <c r="H596" s="22">
        <v>3</v>
      </c>
      <c r="I596" s="25">
        <v>43247</v>
      </c>
      <c r="J596" s="24">
        <v>43260</v>
      </c>
    </row>
    <row r="597" spans="2:10" x14ac:dyDescent="0.2">
      <c r="B597" s="22">
        <v>595</v>
      </c>
      <c r="C597" s="21" t="s">
        <v>4897</v>
      </c>
      <c r="D597" s="21" t="s">
        <v>1576</v>
      </c>
      <c r="E597" s="20" t="s">
        <v>4898</v>
      </c>
      <c r="F597" s="22">
        <v>1</v>
      </c>
      <c r="G597" s="22" t="s">
        <v>4899</v>
      </c>
      <c r="H597" s="22">
        <v>1</v>
      </c>
      <c r="I597" s="25">
        <v>43136</v>
      </c>
      <c r="J597" s="24">
        <v>43142</v>
      </c>
    </row>
    <row r="598" spans="2:10" x14ac:dyDescent="0.2">
      <c r="B598" s="22">
        <v>596</v>
      </c>
      <c r="C598" s="21" t="s">
        <v>4900</v>
      </c>
      <c r="D598" s="21" t="s">
        <v>1572</v>
      </c>
      <c r="E598" s="20" t="s">
        <v>4901</v>
      </c>
      <c r="F598" s="22">
        <v>3</v>
      </c>
      <c r="G598" s="22" t="s">
        <v>4902</v>
      </c>
      <c r="H598" s="22">
        <v>1</v>
      </c>
      <c r="I598" s="25">
        <v>43289</v>
      </c>
      <c r="J598" s="24">
        <v>43372</v>
      </c>
    </row>
    <row r="599" spans="2:10" x14ac:dyDescent="0.2">
      <c r="B599" s="22">
        <v>597</v>
      </c>
      <c r="C599" s="21" t="s">
        <v>4903</v>
      </c>
      <c r="D599" s="21" t="s">
        <v>1544</v>
      </c>
      <c r="E599" s="20" t="s">
        <v>4904</v>
      </c>
      <c r="F599" s="22">
        <v>10</v>
      </c>
      <c r="G599" s="22" t="s">
        <v>1159</v>
      </c>
      <c r="H599" s="22" t="s">
        <v>1159</v>
      </c>
      <c r="I599" s="25">
        <v>43289</v>
      </c>
      <c r="J599" s="24">
        <v>43316</v>
      </c>
    </row>
    <row r="600" spans="2:10" x14ac:dyDescent="0.2">
      <c r="B600" s="22">
        <v>598</v>
      </c>
      <c r="C600" s="21" t="s">
        <v>4905</v>
      </c>
      <c r="D600" s="21" t="s">
        <v>1314</v>
      </c>
      <c r="E600" s="20" t="s">
        <v>4906</v>
      </c>
      <c r="F600" s="22">
        <v>3</v>
      </c>
      <c r="G600" s="22" t="s">
        <v>4907</v>
      </c>
      <c r="H600" s="22">
        <v>3</v>
      </c>
      <c r="I600" s="25">
        <v>43210</v>
      </c>
      <c r="J600" s="22" t="s">
        <v>558</v>
      </c>
    </row>
    <row r="601" spans="2:10" x14ac:dyDescent="0.2">
      <c r="B601" s="22">
        <v>599</v>
      </c>
      <c r="C601" s="21" t="s">
        <v>4908</v>
      </c>
      <c r="D601" s="21" t="s">
        <v>2270</v>
      </c>
      <c r="E601" s="20" t="s">
        <v>4909</v>
      </c>
      <c r="F601" s="22">
        <v>5</v>
      </c>
      <c r="G601" s="22" t="s">
        <v>4910</v>
      </c>
      <c r="H601" s="22">
        <v>1</v>
      </c>
      <c r="I601" s="25">
        <v>43352</v>
      </c>
      <c r="J601" s="24">
        <v>43435</v>
      </c>
    </row>
    <row r="602" spans="2:10" x14ac:dyDescent="0.2">
      <c r="B602" s="22">
        <v>600</v>
      </c>
      <c r="C602" s="21" t="s">
        <v>4911</v>
      </c>
      <c r="D602" s="21" t="s">
        <v>1142</v>
      </c>
      <c r="E602" s="20" t="s">
        <v>4912</v>
      </c>
      <c r="F602" s="22">
        <v>15</v>
      </c>
      <c r="G602" s="22" t="s">
        <v>4913</v>
      </c>
      <c r="H602" s="22">
        <v>1</v>
      </c>
      <c r="I602" s="25">
        <v>43429</v>
      </c>
      <c r="J602" s="24">
        <v>43126</v>
      </c>
    </row>
    <row r="603" spans="2:10" x14ac:dyDescent="0.2">
      <c r="B603" s="22">
        <v>601</v>
      </c>
      <c r="C603" s="21" t="s">
        <v>4914</v>
      </c>
      <c r="D603" s="21" t="s">
        <v>4915</v>
      </c>
      <c r="E603" s="20" t="s">
        <v>4916</v>
      </c>
      <c r="F603" s="22">
        <v>4</v>
      </c>
      <c r="G603" s="22" t="s">
        <v>1159</v>
      </c>
      <c r="H603" s="22" t="s">
        <v>1159</v>
      </c>
      <c r="I603" s="25">
        <v>43429</v>
      </c>
      <c r="J603" s="22" t="s">
        <v>558</v>
      </c>
    </row>
    <row r="604" spans="2:10" x14ac:dyDescent="0.2">
      <c r="B604" s="22">
        <v>602</v>
      </c>
      <c r="C604" s="21" t="s">
        <v>4917</v>
      </c>
      <c r="D604" s="21" t="s">
        <v>2148</v>
      </c>
      <c r="E604" s="20" t="s">
        <v>4918</v>
      </c>
      <c r="F604" s="22">
        <v>2</v>
      </c>
      <c r="G604" s="22" t="s">
        <v>4919</v>
      </c>
      <c r="H604" s="22">
        <v>2</v>
      </c>
      <c r="I604" s="25">
        <v>43371</v>
      </c>
      <c r="J604" s="22" t="s">
        <v>558</v>
      </c>
    </row>
    <row r="605" spans="2:10" x14ac:dyDescent="0.2">
      <c r="B605" s="22">
        <v>603</v>
      </c>
      <c r="C605" s="21" t="s">
        <v>4920</v>
      </c>
      <c r="D605" s="21" t="s">
        <v>1183</v>
      </c>
      <c r="E605" s="20" t="s">
        <v>4921</v>
      </c>
      <c r="F605" s="22">
        <v>27</v>
      </c>
      <c r="G605" s="22" t="s">
        <v>1159</v>
      </c>
      <c r="H605" s="22" t="s">
        <v>1159</v>
      </c>
      <c r="I605" s="25">
        <v>43205</v>
      </c>
      <c r="J605" s="22" t="s">
        <v>558</v>
      </c>
    </row>
    <row r="606" spans="2:10" x14ac:dyDescent="0.2">
      <c r="B606" s="22">
        <v>604</v>
      </c>
      <c r="C606" s="21" t="s">
        <v>4922</v>
      </c>
      <c r="D606" s="21" t="s">
        <v>157</v>
      </c>
      <c r="E606" s="20" t="s">
        <v>4923</v>
      </c>
      <c r="F606" s="22">
        <v>10</v>
      </c>
      <c r="G606" s="22" t="s">
        <v>4924</v>
      </c>
      <c r="H606" s="22">
        <v>10</v>
      </c>
      <c r="I606" s="25">
        <v>43317</v>
      </c>
      <c r="J606" s="24">
        <v>43330</v>
      </c>
    </row>
    <row r="607" spans="2:10" x14ac:dyDescent="0.2">
      <c r="B607" s="22">
        <v>605</v>
      </c>
      <c r="C607" s="21" t="s">
        <v>4925</v>
      </c>
      <c r="D607" s="21" t="s">
        <v>3922</v>
      </c>
      <c r="E607" s="20" t="s">
        <v>4926</v>
      </c>
      <c r="F607" s="22">
        <v>15</v>
      </c>
      <c r="G607" s="22" t="s">
        <v>4927</v>
      </c>
      <c r="H607" s="22">
        <v>15</v>
      </c>
      <c r="I607" s="25">
        <v>43261</v>
      </c>
      <c r="J607" s="24">
        <v>43267</v>
      </c>
    </row>
    <row r="608" spans="2:10" x14ac:dyDescent="0.2">
      <c r="B608" s="22">
        <v>606</v>
      </c>
      <c r="C608" s="21" t="s">
        <v>4928</v>
      </c>
      <c r="D608" s="21" t="s">
        <v>1797</v>
      </c>
      <c r="E608" s="20" t="s">
        <v>4929</v>
      </c>
      <c r="F608" s="22">
        <v>10</v>
      </c>
      <c r="G608" s="22" t="s">
        <v>4930</v>
      </c>
      <c r="H608" s="22">
        <v>2</v>
      </c>
      <c r="I608" s="25">
        <v>43233</v>
      </c>
      <c r="J608" s="24">
        <v>43435</v>
      </c>
    </row>
    <row r="609" spans="2:10" x14ac:dyDescent="0.2">
      <c r="B609" s="22">
        <v>607</v>
      </c>
      <c r="C609" s="21" t="s">
        <v>4931</v>
      </c>
      <c r="D609" s="21" t="s">
        <v>2051</v>
      </c>
      <c r="E609" s="20" t="s">
        <v>4932</v>
      </c>
      <c r="F609" s="22">
        <v>3</v>
      </c>
      <c r="G609" s="22" t="s">
        <v>4933</v>
      </c>
      <c r="H609" s="22">
        <v>1</v>
      </c>
      <c r="I609" s="25">
        <v>43143</v>
      </c>
      <c r="J609" s="22" t="s">
        <v>558</v>
      </c>
    </row>
    <row r="610" spans="2:10" x14ac:dyDescent="0.2">
      <c r="B610" s="22">
        <v>608</v>
      </c>
      <c r="C610" s="21" t="s">
        <v>4934</v>
      </c>
      <c r="D610" s="21" t="s">
        <v>1880</v>
      </c>
      <c r="E610" s="20" t="s">
        <v>4935</v>
      </c>
      <c r="F610" s="22">
        <v>3</v>
      </c>
      <c r="G610" s="22" t="s">
        <v>4936</v>
      </c>
      <c r="H610" s="22">
        <v>1</v>
      </c>
      <c r="I610" s="25">
        <v>43268</v>
      </c>
      <c r="J610" s="24">
        <v>43309</v>
      </c>
    </row>
    <row r="611" spans="2:10" x14ac:dyDescent="0.2">
      <c r="B611" s="22">
        <v>609</v>
      </c>
      <c r="C611" s="21" t="s">
        <v>4937</v>
      </c>
      <c r="D611" s="21" t="s">
        <v>1332</v>
      </c>
      <c r="E611" s="20" t="s">
        <v>4938</v>
      </c>
      <c r="F611" s="22">
        <v>2</v>
      </c>
      <c r="G611" s="22" t="s">
        <v>1159</v>
      </c>
      <c r="H611" s="22" t="s">
        <v>1159</v>
      </c>
      <c r="I611" s="25">
        <v>43115</v>
      </c>
      <c r="J611" s="22" t="s">
        <v>558</v>
      </c>
    </row>
    <row r="612" spans="2:10" x14ac:dyDescent="0.2">
      <c r="B612" s="22">
        <v>610</v>
      </c>
      <c r="C612" s="21" t="s">
        <v>4939</v>
      </c>
      <c r="D612" s="21" t="s">
        <v>1095</v>
      </c>
      <c r="E612" s="20" t="s">
        <v>4940</v>
      </c>
      <c r="F612" s="22">
        <v>43</v>
      </c>
      <c r="G612" s="22" t="s">
        <v>4941</v>
      </c>
      <c r="H612" s="22">
        <v>2</v>
      </c>
      <c r="I612" s="25">
        <v>43108</v>
      </c>
      <c r="J612" s="24">
        <v>43117</v>
      </c>
    </row>
    <row r="613" spans="2:10" x14ac:dyDescent="0.2">
      <c r="B613" s="22">
        <v>611</v>
      </c>
      <c r="C613" s="21" t="s">
        <v>4942</v>
      </c>
      <c r="D613" s="21" t="s">
        <v>1532</v>
      </c>
      <c r="E613" s="20" t="s">
        <v>4943</v>
      </c>
      <c r="F613" s="22">
        <v>5</v>
      </c>
      <c r="G613" s="22" t="s">
        <v>4944</v>
      </c>
      <c r="H613" s="22">
        <v>1</v>
      </c>
      <c r="I613" s="25">
        <v>43414</v>
      </c>
      <c r="J613" s="24">
        <v>43449</v>
      </c>
    </row>
    <row r="614" spans="2:10" x14ac:dyDescent="0.2">
      <c r="B614" s="22">
        <v>612</v>
      </c>
      <c r="C614" s="21" t="s">
        <v>4945</v>
      </c>
      <c r="D614" s="21" t="s">
        <v>1248</v>
      </c>
      <c r="E614" s="20" t="s">
        <v>4946</v>
      </c>
      <c r="F614" s="22">
        <v>2</v>
      </c>
      <c r="G614" s="22" t="s">
        <v>4947</v>
      </c>
      <c r="H614" s="22">
        <v>1</v>
      </c>
      <c r="I614" s="25">
        <v>43394</v>
      </c>
      <c r="J614" s="24">
        <v>43414</v>
      </c>
    </row>
    <row r="615" spans="2:10" x14ac:dyDescent="0.2">
      <c r="B615" s="22">
        <v>613</v>
      </c>
      <c r="C615" s="21" t="s">
        <v>4948</v>
      </c>
      <c r="D615" s="21" t="s">
        <v>1594</v>
      </c>
      <c r="E615" s="20" t="s">
        <v>4949</v>
      </c>
      <c r="F615" s="22">
        <v>17</v>
      </c>
      <c r="G615" s="22" t="s">
        <v>4950</v>
      </c>
      <c r="H615" s="22">
        <v>17</v>
      </c>
      <c r="I615" s="25">
        <v>43352</v>
      </c>
      <c r="J615" s="24">
        <v>43358</v>
      </c>
    </row>
    <row r="616" spans="2:10" x14ac:dyDescent="0.2">
      <c r="B616" s="22">
        <v>614</v>
      </c>
      <c r="C616" s="21" t="s">
        <v>4951</v>
      </c>
      <c r="D616" s="21" t="s">
        <v>1248</v>
      </c>
      <c r="E616" s="20" t="s">
        <v>4952</v>
      </c>
      <c r="F616" s="22">
        <v>3</v>
      </c>
      <c r="G616" s="22" t="s">
        <v>4953</v>
      </c>
      <c r="H616" s="22">
        <v>2</v>
      </c>
      <c r="I616" s="25">
        <v>43380</v>
      </c>
      <c r="J616" s="24">
        <v>43393</v>
      </c>
    </row>
    <row r="617" spans="2:10" x14ac:dyDescent="0.2">
      <c r="B617" s="22">
        <v>615</v>
      </c>
      <c r="C617" s="21" t="s">
        <v>4954</v>
      </c>
      <c r="D617" s="21" t="s">
        <v>4955</v>
      </c>
      <c r="E617" s="20" t="s">
        <v>4956</v>
      </c>
      <c r="F617" s="22">
        <v>25</v>
      </c>
      <c r="G617" s="22" t="s">
        <v>4957</v>
      </c>
      <c r="H617" s="22">
        <v>25</v>
      </c>
      <c r="I617" s="25">
        <v>43401</v>
      </c>
      <c r="J617" s="22" t="s">
        <v>558</v>
      </c>
    </row>
    <row r="618" spans="2:10" x14ac:dyDescent="0.2">
      <c r="B618" s="22">
        <v>616</v>
      </c>
      <c r="C618" s="21" t="s">
        <v>4958</v>
      </c>
      <c r="D618" s="21" t="s">
        <v>1294</v>
      </c>
      <c r="E618" s="20" t="s">
        <v>4959</v>
      </c>
      <c r="F618" s="22">
        <v>3</v>
      </c>
      <c r="G618" s="22" t="s">
        <v>1159</v>
      </c>
      <c r="H618" s="22">
        <v>2</v>
      </c>
      <c r="I618" s="25">
        <v>43115</v>
      </c>
      <c r="J618" s="22" t="s">
        <v>558</v>
      </c>
    </row>
    <row r="619" spans="2:10" x14ac:dyDescent="0.2">
      <c r="B619" s="22">
        <v>617</v>
      </c>
      <c r="C619" s="21" t="s">
        <v>4960</v>
      </c>
      <c r="D619" s="21" t="s">
        <v>2051</v>
      </c>
      <c r="E619" s="20" t="s">
        <v>4961</v>
      </c>
      <c r="F619" s="22">
        <v>4</v>
      </c>
      <c r="G619" s="22" t="s">
        <v>4962</v>
      </c>
      <c r="H619" s="22">
        <v>2</v>
      </c>
      <c r="I619" s="25">
        <v>43101</v>
      </c>
      <c r="J619" s="24">
        <v>43169</v>
      </c>
    </row>
    <row r="620" spans="2:10" x14ac:dyDescent="0.2">
      <c r="B620" s="22">
        <v>618</v>
      </c>
      <c r="C620" s="21" t="s">
        <v>4963</v>
      </c>
      <c r="D620" s="21" t="s">
        <v>1640</v>
      </c>
      <c r="E620" s="20" t="s">
        <v>4964</v>
      </c>
      <c r="F620" s="22">
        <v>1</v>
      </c>
      <c r="G620" s="22" t="s">
        <v>4965</v>
      </c>
      <c r="H620" s="22">
        <v>1</v>
      </c>
      <c r="I620" s="25">
        <v>43177</v>
      </c>
      <c r="J620" s="22" t="s">
        <v>558</v>
      </c>
    </row>
    <row r="621" spans="2:10" x14ac:dyDescent="0.2">
      <c r="B621" s="22">
        <v>619</v>
      </c>
      <c r="C621" s="21" t="s">
        <v>4966</v>
      </c>
      <c r="D621" s="21" t="s">
        <v>1532</v>
      </c>
      <c r="E621" s="20" t="s">
        <v>4967</v>
      </c>
      <c r="F621" s="22">
        <v>2</v>
      </c>
      <c r="G621" s="22" t="s">
        <v>4968</v>
      </c>
      <c r="H621" s="22">
        <v>2</v>
      </c>
      <c r="I621" s="25">
        <v>43261</v>
      </c>
      <c r="J621" s="24">
        <v>43309</v>
      </c>
    </row>
    <row r="622" spans="2:10" x14ac:dyDescent="0.2">
      <c r="B622" s="22">
        <v>620</v>
      </c>
      <c r="C622" s="21" t="s">
        <v>4969</v>
      </c>
      <c r="D622" s="21" t="s">
        <v>4583</v>
      </c>
      <c r="E622" s="20" t="s">
        <v>4970</v>
      </c>
      <c r="F622" s="22">
        <v>2</v>
      </c>
      <c r="G622" s="22" t="s">
        <v>4971</v>
      </c>
      <c r="H622" s="22">
        <v>1</v>
      </c>
      <c r="I622" s="25">
        <v>43394</v>
      </c>
      <c r="J622" s="24">
        <v>43171</v>
      </c>
    </row>
    <row r="623" spans="2:10" x14ac:dyDescent="0.2">
      <c r="B623" s="22">
        <v>621</v>
      </c>
      <c r="C623" s="21" t="s">
        <v>4972</v>
      </c>
      <c r="D623" s="21" t="s">
        <v>570</v>
      </c>
      <c r="E623" s="20" t="s">
        <v>4973</v>
      </c>
      <c r="F623" s="22">
        <v>10</v>
      </c>
      <c r="G623" s="22" t="s">
        <v>4974</v>
      </c>
      <c r="H623" s="22">
        <v>10</v>
      </c>
      <c r="I623" s="25">
        <v>43436</v>
      </c>
      <c r="J623" s="24">
        <v>43449</v>
      </c>
    </row>
    <row r="624" spans="2:10" x14ac:dyDescent="0.2">
      <c r="B624" s="22">
        <v>622</v>
      </c>
      <c r="C624" s="21" t="s">
        <v>4975</v>
      </c>
      <c r="D624" s="21" t="s">
        <v>1576</v>
      </c>
      <c r="E624" s="20" t="s">
        <v>4976</v>
      </c>
      <c r="F624" s="22">
        <v>1</v>
      </c>
      <c r="G624" s="22" t="s">
        <v>4977</v>
      </c>
      <c r="H624" s="22">
        <v>1</v>
      </c>
      <c r="I624" s="25">
        <v>43163</v>
      </c>
      <c r="J624" s="24">
        <v>43169</v>
      </c>
    </row>
    <row r="625" spans="2:10" x14ac:dyDescent="0.2">
      <c r="B625" s="22">
        <v>623</v>
      </c>
      <c r="C625" s="21" t="s">
        <v>4978</v>
      </c>
      <c r="D625" s="21" t="s">
        <v>38</v>
      </c>
      <c r="E625" s="20" t="s">
        <v>4979</v>
      </c>
      <c r="F625" s="22">
        <v>31</v>
      </c>
      <c r="G625" s="22" t="s">
        <v>4980</v>
      </c>
      <c r="H625" s="22">
        <v>30</v>
      </c>
      <c r="I625" s="25">
        <v>43205</v>
      </c>
      <c r="J625" s="22" t="s">
        <v>558</v>
      </c>
    </row>
    <row r="626" spans="2:10" x14ac:dyDescent="0.2">
      <c r="B626" s="22">
        <v>624</v>
      </c>
      <c r="C626" s="21" t="s">
        <v>4981</v>
      </c>
      <c r="D626" s="21" t="s">
        <v>1135</v>
      </c>
      <c r="E626" s="20" t="s">
        <v>4982</v>
      </c>
      <c r="F626" s="22">
        <v>18</v>
      </c>
      <c r="G626" s="22" t="s">
        <v>4983</v>
      </c>
      <c r="H626" s="22">
        <v>18</v>
      </c>
      <c r="I626" s="25">
        <v>43177</v>
      </c>
      <c r="J626" s="24">
        <v>43239</v>
      </c>
    </row>
    <row r="627" spans="2:10" x14ac:dyDescent="0.2">
      <c r="B627" s="22">
        <v>625</v>
      </c>
      <c r="C627" s="21" t="s">
        <v>4984</v>
      </c>
      <c r="D627" s="21" t="s">
        <v>1572</v>
      </c>
      <c r="E627" s="20" t="s">
        <v>4985</v>
      </c>
      <c r="F627" s="22">
        <v>3</v>
      </c>
      <c r="G627" s="22" t="s">
        <v>4986</v>
      </c>
      <c r="H627" s="22">
        <v>1</v>
      </c>
      <c r="I627" s="25">
        <v>43317</v>
      </c>
      <c r="J627" s="24">
        <v>43421</v>
      </c>
    </row>
    <row r="628" spans="2:10" x14ac:dyDescent="0.2">
      <c r="B628" s="22">
        <v>626</v>
      </c>
      <c r="C628" s="21" t="s">
        <v>4987</v>
      </c>
      <c r="D628" s="21" t="s">
        <v>38</v>
      </c>
      <c r="E628" s="20" t="s">
        <v>4988</v>
      </c>
      <c r="F628" s="22">
        <v>18</v>
      </c>
      <c r="G628" s="22" t="s">
        <v>4989</v>
      </c>
      <c r="H628" s="22">
        <v>18</v>
      </c>
      <c r="I628" s="25">
        <v>43415</v>
      </c>
      <c r="J628" s="24">
        <v>43428</v>
      </c>
    </row>
    <row r="629" spans="2:10" x14ac:dyDescent="0.2">
      <c r="B629" s="22">
        <v>627</v>
      </c>
      <c r="C629" s="21" t="s">
        <v>4990</v>
      </c>
      <c r="D629" s="21" t="s">
        <v>1175</v>
      </c>
      <c r="E629" s="20" t="s">
        <v>4991</v>
      </c>
      <c r="F629" s="22">
        <v>1</v>
      </c>
      <c r="G629" s="22" t="s">
        <v>4992</v>
      </c>
      <c r="H629" s="22">
        <v>1</v>
      </c>
      <c r="I629" s="25">
        <v>43150</v>
      </c>
      <c r="J629" s="24">
        <v>43156</v>
      </c>
    </row>
    <row r="630" spans="2:10" x14ac:dyDescent="0.2">
      <c r="B630" s="22">
        <v>628</v>
      </c>
      <c r="C630" s="21" t="s">
        <v>4993</v>
      </c>
      <c r="D630" s="21" t="s">
        <v>1039</v>
      </c>
      <c r="E630" s="20" t="s">
        <v>4994</v>
      </c>
      <c r="F630" s="22">
        <v>4</v>
      </c>
      <c r="G630" s="22" t="s">
        <v>4995</v>
      </c>
      <c r="H630" s="22">
        <v>4</v>
      </c>
      <c r="I630" s="25">
        <v>43247</v>
      </c>
      <c r="J630" s="24">
        <v>43267</v>
      </c>
    </row>
    <row r="631" spans="2:10" x14ac:dyDescent="0.2">
      <c r="B631" s="22">
        <v>629</v>
      </c>
      <c r="C631" s="21" t="s">
        <v>4996</v>
      </c>
      <c r="D631" s="21" t="s">
        <v>1804</v>
      </c>
      <c r="E631" s="20" t="s">
        <v>4997</v>
      </c>
      <c r="F631" s="22">
        <v>3</v>
      </c>
      <c r="G631" s="22" t="s">
        <v>4998</v>
      </c>
      <c r="H631" s="22">
        <v>1</v>
      </c>
      <c r="I631" s="25">
        <v>43415</v>
      </c>
      <c r="J631" s="24">
        <v>43456</v>
      </c>
    </row>
    <row r="632" spans="2:10" x14ac:dyDescent="0.2">
      <c r="B632" s="22">
        <v>630</v>
      </c>
      <c r="C632" s="21" t="s">
        <v>4999</v>
      </c>
      <c r="D632" s="21" t="s">
        <v>157</v>
      </c>
      <c r="E632" s="20" t="s">
        <v>5000</v>
      </c>
      <c r="F632" s="22">
        <v>14</v>
      </c>
      <c r="G632" s="22" t="s">
        <v>2328</v>
      </c>
      <c r="H632" s="22">
        <v>14</v>
      </c>
      <c r="I632" s="25">
        <v>43226</v>
      </c>
      <c r="J632" s="24">
        <v>43260</v>
      </c>
    </row>
    <row r="633" spans="2:10" x14ac:dyDescent="0.2">
      <c r="B633" s="22">
        <v>631</v>
      </c>
      <c r="C633" s="21" t="s">
        <v>5001</v>
      </c>
      <c r="D633" s="21" t="s">
        <v>1532</v>
      </c>
      <c r="E633" s="20" t="s">
        <v>5002</v>
      </c>
      <c r="F633" s="22">
        <v>1</v>
      </c>
      <c r="G633" s="22" t="s">
        <v>5003</v>
      </c>
      <c r="H633" s="22">
        <v>1</v>
      </c>
      <c r="I633" s="25">
        <v>43240</v>
      </c>
      <c r="J633" s="24">
        <v>43337</v>
      </c>
    </row>
    <row r="634" spans="2:10" x14ac:dyDescent="0.2">
      <c r="B634" s="22">
        <v>632</v>
      </c>
      <c r="C634" s="21" t="s">
        <v>5004</v>
      </c>
      <c r="D634" s="21" t="s">
        <v>1797</v>
      </c>
      <c r="E634" s="20" t="s">
        <v>5005</v>
      </c>
      <c r="F634" s="22">
        <v>5</v>
      </c>
      <c r="G634" s="22" t="s">
        <v>5006</v>
      </c>
      <c r="H634" s="22">
        <v>2</v>
      </c>
      <c r="I634" s="25">
        <v>43170</v>
      </c>
      <c r="J634" s="24">
        <v>43435</v>
      </c>
    </row>
    <row r="635" spans="2:10" x14ac:dyDescent="0.2">
      <c r="B635" s="22">
        <v>633</v>
      </c>
      <c r="C635" s="21" t="s">
        <v>5007</v>
      </c>
      <c r="D635" s="21" t="s">
        <v>1880</v>
      </c>
      <c r="E635" s="20" t="s">
        <v>5008</v>
      </c>
      <c r="F635" s="22">
        <v>1</v>
      </c>
      <c r="G635" s="22" t="s">
        <v>5009</v>
      </c>
      <c r="H635" s="22">
        <v>1</v>
      </c>
      <c r="I635" s="25">
        <v>43329</v>
      </c>
      <c r="J635" s="24">
        <v>43393</v>
      </c>
    </row>
    <row r="636" spans="2:10" x14ac:dyDescent="0.2">
      <c r="B636" s="22">
        <v>634</v>
      </c>
      <c r="C636" s="21" t="s">
        <v>5010</v>
      </c>
      <c r="D636" s="21" t="s">
        <v>1235</v>
      </c>
      <c r="E636" s="20" t="s">
        <v>5011</v>
      </c>
      <c r="F636" s="22">
        <v>13</v>
      </c>
      <c r="G636" s="22" t="s">
        <v>5011</v>
      </c>
      <c r="H636" s="22">
        <v>13</v>
      </c>
      <c r="I636" s="25">
        <v>43233</v>
      </c>
      <c r="J636" s="22" t="s">
        <v>558</v>
      </c>
    </row>
    <row r="637" spans="2:10" x14ac:dyDescent="0.2">
      <c r="B637" s="22">
        <v>635</v>
      </c>
      <c r="C637" s="21" t="s">
        <v>5012</v>
      </c>
      <c r="D637" s="21" t="s">
        <v>1532</v>
      </c>
      <c r="E637" s="20" t="s">
        <v>5013</v>
      </c>
      <c r="F637" s="22">
        <v>25</v>
      </c>
      <c r="G637" s="22" t="s">
        <v>5014</v>
      </c>
      <c r="H637" s="22">
        <v>25</v>
      </c>
      <c r="I637" s="25">
        <v>43296</v>
      </c>
      <c r="J637" s="24">
        <v>43316</v>
      </c>
    </row>
    <row r="638" spans="2:10" x14ac:dyDescent="0.2">
      <c r="B638" s="22">
        <v>636</v>
      </c>
      <c r="C638" s="21" t="s">
        <v>5015</v>
      </c>
      <c r="D638" s="21" t="s">
        <v>1640</v>
      </c>
      <c r="E638" s="20" t="s">
        <v>5016</v>
      </c>
      <c r="F638" s="22">
        <v>2</v>
      </c>
      <c r="G638" s="22" t="s">
        <v>5017</v>
      </c>
      <c r="H638" s="22">
        <v>1</v>
      </c>
      <c r="I638" s="25">
        <v>43406</v>
      </c>
      <c r="J638" s="24">
        <v>43438</v>
      </c>
    </row>
    <row r="639" spans="2:10" x14ac:dyDescent="0.2">
      <c r="B639" s="22">
        <v>637</v>
      </c>
      <c r="C639" s="21" t="s">
        <v>5018</v>
      </c>
      <c r="D639" s="21" t="s">
        <v>1294</v>
      </c>
      <c r="E639" s="20" t="s">
        <v>5019</v>
      </c>
      <c r="F639" s="22">
        <v>2</v>
      </c>
      <c r="G639" s="22" t="s">
        <v>5020</v>
      </c>
      <c r="H639" s="22">
        <v>2</v>
      </c>
      <c r="I639" s="25">
        <v>43177</v>
      </c>
      <c r="J639" s="22" t="s">
        <v>558</v>
      </c>
    </row>
    <row r="640" spans="2:10" x14ac:dyDescent="0.2">
      <c r="B640" s="22">
        <v>638</v>
      </c>
      <c r="C640" s="21" t="s">
        <v>5021</v>
      </c>
      <c r="D640" s="21" t="s">
        <v>1142</v>
      </c>
      <c r="E640" s="20" t="s">
        <v>5022</v>
      </c>
      <c r="F640" s="22">
        <v>3</v>
      </c>
      <c r="G640" s="22" t="s">
        <v>5023</v>
      </c>
      <c r="H640" s="22">
        <v>1</v>
      </c>
      <c r="I640" s="25">
        <v>43170</v>
      </c>
      <c r="J640" s="22" t="s">
        <v>558</v>
      </c>
    </row>
    <row r="641" spans="2:10" x14ac:dyDescent="0.2">
      <c r="B641" s="22">
        <v>639</v>
      </c>
      <c r="C641" s="21" t="s">
        <v>5024</v>
      </c>
      <c r="D641" s="21" t="s">
        <v>1880</v>
      </c>
      <c r="E641" s="20" t="s">
        <v>5025</v>
      </c>
      <c r="F641" s="22">
        <v>1</v>
      </c>
      <c r="G641" s="22" t="s">
        <v>5026</v>
      </c>
      <c r="H641" s="22">
        <v>1</v>
      </c>
      <c r="I641" s="25">
        <v>43366</v>
      </c>
      <c r="J641" s="24">
        <v>43407</v>
      </c>
    </row>
    <row r="642" spans="2:10" x14ac:dyDescent="0.2">
      <c r="B642" s="22">
        <v>640</v>
      </c>
      <c r="C642" s="21" t="s">
        <v>5027</v>
      </c>
      <c r="D642" s="21" t="s">
        <v>2114</v>
      </c>
      <c r="E642" s="20" t="s">
        <v>2410</v>
      </c>
      <c r="F642" s="22">
        <v>3</v>
      </c>
      <c r="G642" s="22" t="s">
        <v>5028</v>
      </c>
      <c r="H642" s="22">
        <v>2</v>
      </c>
      <c r="I642" s="25">
        <v>43219</v>
      </c>
      <c r="J642" s="24">
        <v>43340</v>
      </c>
    </row>
    <row r="643" spans="2:10" x14ac:dyDescent="0.2">
      <c r="B643" s="22">
        <v>641</v>
      </c>
      <c r="C643" s="21" t="s">
        <v>5029</v>
      </c>
      <c r="D643" s="21" t="s">
        <v>2254</v>
      </c>
      <c r="E643" s="20" t="s">
        <v>5030</v>
      </c>
      <c r="F643" s="22">
        <v>1</v>
      </c>
      <c r="G643" s="22" t="s">
        <v>5030</v>
      </c>
      <c r="H643" s="22">
        <v>1</v>
      </c>
      <c r="I643" s="25">
        <v>43122</v>
      </c>
      <c r="J643" s="22" t="s">
        <v>558</v>
      </c>
    </row>
    <row r="644" spans="2:10" x14ac:dyDescent="0.2">
      <c r="B644" s="22">
        <v>642</v>
      </c>
      <c r="C644" s="21" t="s">
        <v>5031</v>
      </c>
      <c r="D644" s="21" t="s">
        <v>1640</v>
      </c>
      <c r="E644" s="20" t="s">
        <v>5032</v>
      </c>
      <c r="F644" s="22">
        <v>2</v>
      </c>
      <c r="G644" s="22" t="s">
        <v>5033</v>
      </c>
      <c r="H644" s="22">
        <v>1</v>
      </c>
      <c r="I644" s="25">
        <v>43380</v>
      </c>
      <c r="J644" s="24">
        <v>43396</v>
      </c>
    </row>
    <row r="645" spans="2:10" x14ac:dyDescent="0.2">
      <c r="B645" s="22">
        <v>643</v>
      </c>
      <c r="C645" s="21" t="s">
        <v>5034</v>
      </c>
      <c r="D645" s="21" t="s">
        <v>2548</v>
      </c>
      <c r="E645" s="20" t="s">
        <v>5035</v>
      </c>
      <c r="F645" s="22">
        <v>13</v>
      </c>
      <c r="G645" s="22" t="s">
        <v>5036</v>
      </c>
      <c r="H645" s="22">
        <v>13</v>
      </c>
      <c r="I645" s="25">
        <v>43436</v>
      </c>
      <c r="J645" s="24">
        <v>43449</v>
      </c>
    </row>
    <row r="646" spans="2:10" x14ac:dyDescent="0.2">
      <c r="B646" s="22">
        <v>644</v>
      </c>
      <c r="C646" s="21" t="s">
        <v>5037</v>
      </c>
      <c r="D646" s="21" t="s">
        <v>5038</v>
      </c>
      <c r="E646" s="20" t="s">
        <v>5039</v>
      </c>
      <c r="F646" s="22">
        <v>25</v>
      </c>
      <c r="G646" s="22" t="s">
        <v>5040</v>
      </c>
      <c r="H646" s="22">
        <v>25</v>
      </c>
      <c r="I646" s="25">
        <v>43408</v>
      </c>
      <c r="J646" s="24">
        <v>43442</v>
      </c>
    </row>
    <row r="647" spans="2:10" x14ac:dyDescent="0.2">
      <c r="B647" s="22">
        <v>645</v>
      </c>
      <c r="C647" s="21" t="s">
        <v>5041</v>
      </c>
      <c r="D647" s="21" t="s">
        <v>157</v>
      </c>
      <c r="E647" s="20" t="s">
        <v>5042</v>
      </c>
      <c r="F647" s="22">
        <v>8</v>
      </c>
      <c r="G647" s="22" t="s">
        <v>5043</v>
      </c>
      <c r="H647" s="22">
        <v>1</v>
      </c>
      <c r="I647" s="25">
        <v>43415</v>
      </c>
      <c r="J647" s="24">
        <v>43115</v>
      </c>
    </row>
    <row r="648" spans="2:10" x14ac:dyDescent="0.2">
      <c r="B648" s="22">
        <v>646</v>
      </c>
      <c r="C648" s="21" t="s">
        <v>5044</v>
      </c>
      <c r="D648" s="21" t="s">
        <v>1294</v>
      </c>
      <c r="E648" s="20" t="s">
        <v>5045</v>
      </c>
      <c r="F648" s="22" t="s">
        <v>1159</v>
      </c>
      <c r="G648" s="22" t="s">
        <v>1159</v>
      </c>
      <c r="H648" s="22" t="s">
        <v>1159</v>
      </c>
      <c r="I648" s="25">
        <v>43455</v>
      </c>
      <c r="J648" s="22" t="s">
        <v>558</v>
      </c>
    </row>
    <row r="649" spans="2:10" x14ac:dyDescent="0.2">
      <c r="B649" s="22">
        <v>647</v>
      </c>
      <c r="C649" s="21" t="s">
        <v>5046</v>
      </c>
      <c r="D649" s="21" t="s">
        <v>1532</v>
      </c>
      <c r="E649" s="20" t="s">
        <v>5047</v>
      </c>
      <c r="F649" s="22">
        <v>1</v>
      </c>
      <c r="G649" s="22" t="s">
        <v>1159</v>
      </c>
      <c r="H649" s="22" t="s">
        <v>1159</v>
      </c>
      <c r="I649" s="25">
        <v>43233</v>
      </c>
      <c r="J649" s="24">
        <v>43274</v>
      </c>
    </row>
    <row r="650" spans="2:10" x14ac:dyDescent="0.2">
      <c r="B650" s="22">
        <v>648</v>
      </c>
      <c r="C650" s="21" t="s">
        <v>5048</v>
      </c>
      <c r="D650" s="21" t="s">
        <v>1345</v>
      </c>
      <c r="E650" s="20" t="s">
        <v>5049</v>
      </c>
      <c r="F650" s="22">
        <v>11</v>
      </c>
      <c r="G650" s="22" t="s">
        <v>5050</v>
      </c>
      <c r="H650" s="22">
        <v>11</v>
      </c>
      <c r="I650" s="25">
        <v>43254</v>
      </c>
      <c r="J650" s="22" t="s">
        <v>558</v>
      </c>
    </row>
    <row r="651" spans="2:10" x14ac:dyDescent="0.2">
      <c r="B651" s="22">
        <v>649</v>
      </c>
      <c r="C651" s="21" t="s">
        <v>5051</v>
      </c>
      <c r="D651" s="21" t="s">
        <v>5052</v>
      </c>
      <c r="E651" s="20" t="s">
        <v>5053</v>
      </c>
      <c r="F651" s="22">
        <v>18</v>
      </c>
      <c r="G651" s="22" t="s">
        <v>5054</v>
      </c>
      <c r="H651" s="22">
        <v>18</v>
      </c>
      <c r="I651" s="25">
        <v>43303</v>
      </c>
      <c r="J651" s="24">
        <v>43316</v>
      </c>
    </row>
    <row r="652" spans="2:10" x14ac:dyDescent="0.2">
      <c r="B652" s="22">
        <v>650</v>
      </c>
      <c r="C652" s="21" t="s">
        <v>5055</v>
      </c>
      <c r="D652" s="21" t="s">
        <v>38</v>
      </c>
      <c r="E652" s="20" t="s">
        <v>5056</v>
      </c>
      <c r="F652" s="22">
        <v>15</v>
      </c>
      <c r="G652" s="22" t="s">
        <v>5057</v>
      </c>
      <c r="H652" s="22">
        <v>15</v>
      </c>
      <c r="I652" s="25">
        <v>43310</v>
      </c>
      <c r="J652" s="24">
        <v>43319</v>
      </c>
    </row>
    <row r="653" spans="2:10" x14ac:dyDescent="0.2">
      <c r="B653" s="22">
        <v>651</v>
      </c>
      <c r="C653" s="21" t="s">
        <v>5058</v>
      </c>
      <c r="D653" s="21" t="s">
        <v>1918</v>
      </c>
      <c r="E653" s="20" t="s">
        <v>5059</v>
      </c>
      <c r="F653" s="22">
        <v>2</v>
      </c>
      <c r="G653" s="22" t="s">
        <v>5060</v>
      </c>
      <c r="H653" s="22">
        <v>1</v>
      </c>
      <c r="I653" s="25">
        <v>43366</v>
      </c>
      <c r="J653" s="24">
        <v>43122</v>
      </c>
    </row>
    <row r="654" spans="2:10" x14ac:dyDescent="0.2">
      <c r="B654" s="22">
        <v>652</v>
      </c>
      <c r="C654" s="21" t="s">
        <v>5061</v>
      </c>
      <c r="D654" s="21" t="s">
        <v>5062</v>
      </c>
      <c r="E654" s="20" t="s">
        <v>5063</v>
      </c>
      <c r="F654" s="22">
        <v>1</v>
      </c>
      <c r="G654" s="22" t="s">
        <v>5064</v>
      </c>
      <c r="H654" s="22">
        <v>1</v>
      </c>
      <c r="I654" s="25">
        <v>43324</v>
      </c>
      <c r="J654" s="24">
        <v>43330</v>
      </c>
    </row>
    <row r="655" spans="2:10" x14ac:dyDescent="0.2">
      <c r="B655" s="22">
        <v>653</v>
      </c>
      <c r="C655" s="21" t="s">
        <v>5065</v>
      </c>
      <c r="D655" s="21" t="s">
        <v>5066</v>
      </c>
      <c r="E655" s="20" t="s">
        <v>5067</v>
      </c>
      <c r="F655" s="22">
        <v>3</v>
      </c>
      <c r="G655" s="22" t="s">
        <v>5068</v>
      </c>
      <c r="H655" s="22">
        <v>1</v>
      </c>
      <c r="I655" s="25">
        <v>43450</v>
      </c>
      <c r="J655" s="24">
        <v>43171</v>
      </c>
    </row>
    <row r="656" spans="2:10" x14ac:dyDescent="0.2">
      <c r="B656" s="22">
        <v>654</v>
      </c>
      <c r="C656" s="21" t="s">
        <v>5069</v>
      </c>
      <c r="D656" s="21" t="s">
        <v>2270</v>
      </c>
      <c r="E656" s="20" t="s">
        <v>5070</v>
      </c>
      <c r="F656" s="22">
        <v>4</v>
      </c>
      <c r="G656" s="22" t="s">
        <v>1159</v>
      </c>
      <c r="H656" s="22" t="s">
        <v>1159</v>
      </c>
      <c r="I656" s="25">
        <v>43303</v>
      </c>
      <c r="J656" s="22" t="s">
        <v>558</v>
      </c>
    </row>
    <row r="657" spans="2:10" x14ac:dyDescent="0.2">
      <c r="B657" s="22">
        <v>655</v>
      </c>
      <c r="C657" s="21" t="s">
        <v>5071</v>
      </c>
      <c r="D657" s="21" t="s">
        <v>1612</v>
      </c>
      <c r="E657" s="20" t="s">
        <v>5072</v>
      </c>
      <c r="F657" s="22">
        <v>26</v>
      </c>
      <c r="G657" s="22" t="s">
        <v>5073</v>
      </c>
      <c r="H657" s="22">
        <v>26</v>
      </c>
      <c r="I657" s="25">
        <v>43443</v>
      </c>
      <c r="J657" s="24">
        <v>43449</v>
      </c>
    </row>
    <row r="658" spans="2:10" x14ac:dyDescent="0.2">
      <c r="B658" s="22">
        <v>656</v>
      </c>
      <c r="C658" s="21" t="s">
        <v>5074</v>
      </c>
      <c r="D658" s="21" t="s">
        <v>2516</v>
      </c>
      <c r="E658" s="20" t="s">
        <v>5075</v>
      </c>
      <c r="F658" s="22">
        <v>7</v>
      </c>
      <c r="G658" s="22" t="s">
        <v>5076</v>
      </c>
      <c r="H658" s="22">
        <v>2</v>
      </c>
      <c r="I658" s="25">
        <v>43366</v>
      </c>
      <c r="J658" s="24">
        <v>43400</v>
      </c>
    </row>
    <row r="659" spans="2:10" x14ac:dyDescent="0.2">
      <c r="B659" s="22">
        <v>657</v>
      </c>
      <c r="C659" s="21" t="s">
        <v>5077</v>
      </c>
      <c r="D659" s="21" t="s">
        <v>157</v>
      </c>
      <c r="E659" s="20" t="s">
        <v>5078</v>
      </c>
      <c r="F659" s="22">
        <v>6</v>
      </c>
      <c r="G659" s="22" t="s">
        <v>5079</v>
      </c>
      <c r="H659" s="22">
        <v>1</v>
      </c>
      <c r="I659" s="25">
        <v>43422</v>
      </c>
      <c r="J659" s="24">
        <v>43102</v>
      </c>
    </row>
    <row r="660" spans="2:10" x14ac:dyDescent="0.2">
      <c r="B660" s="22">
        <v>658</v>
      </c>
      <c r="C660" s="21" t="s">
        <v>5080</v>
      </c>
      <c r="D660" s="21" t="s">
        <v>1039</v>
      </c>
      <c r="E660" s="20" t="s">
        <v>5081</v>
      </c>
      <c r="F660" s="22">
        <v>3</v>
      </c>
      <c r="G660" s="22" t="s">
        <v>5082</v>
      </c>
      <c r="H660" s="22">
        <v>3</v>
      </c>
      <c r="I660" s="25">
        <v>43268</v>
      </c>
      <c r="J660" s="24">
        <v>43281</v>
      </c>
    </row>
    <row r="661" spans="2:10" x14ac:dyDescent="0.2">
      <c r="B661" s="22">
        <v>659</v>
      </c>
      <c r="C661" s="21" t="s">
        <v>5083</v>
      </c>
      <c r="D661" s="21" t="s">
        <v>5084</v>
      </c>
      <c r="E661" s="20" t="s">
        <v>5085</v>
      </c>
      <c r="F661" s="22">
        <v>7</v>
      </c>
      <c r="G661" s="22" t="s">
        <v>5086</v>
      </c>
      <c r="H661" s="22">
        <v>7</v>
      </c>
      <c r="I661" s="25">
        <v>43143</v>
      </c>
      <c r="J661" s="22" t="s">
        <v>558</v>
      </c>
    </row>
    <row r="662" spans="2:10" x14ac:dyDescent="0.2">
      <c r="B662" s="22">
        <v>660</v>
      </c>
      <c r="C662" s="21" t="s">
        <v>5087</v>
      </c>
      <c r="D662" s="21" t="s">
        <v>1213</v>
      </c>
      <c r="E662" s="20" t="s">
        <v>4693</v>
      </c>
      <c r="F662" s="22">
        <v>8</v>
      </c>
      <c r="G662" s="22" t="s">
        <v>5088</v>
      </c>
      <c r="H662" s="22">
        <v>6</v>
      </c>
      <c r="I662" s="25">
        <v>43150</v>
      </c>
      <c r="J662" s="24">
        <v>43156</v>
      </c>
    </row>
    <row r="663" spans="2:10" x14ac:dyDescent="0.2">
      <c r="B663" s="22">
        <v>661</v>
      </c>
      <c r="C663" s="21" t="s">
        <v>5089</v>
      </c>
      <c r="D663" s="21" t="s">
        <v>38</v>
      </c>
      <c r="E663" s="20" t="s">
        <v>5090</v>
      </c>
      <c r="F663" s="22">
        <v>26</v>
      </c>
      <c r="G663" s="22" t="s">
        <v>5091</v>
      </c>
      <c r="H663" s="22">
        <v>26</v>
      </c>
      <c r="I663" s="25">
        <v>43122</v>
      </c>
      <c r="J663" s="22" t="s">
        <v>558</v>
      </c>
    </row>
    <row r="664" spans="2:10" x14ac:dyDescent="0.2">
      <c r="B664" s="22">
        <v>662</v>
      </c>
      <c r="C664" s="21" t="s">
        <v>5092</v>
      </c>
      <c r="D664" s="21" t="s">
        <v>157</v>
      </c>
      <c r="E664" s="20" t="s">
        <v>5093</v>
      </c>
      <c r="F664" s="22">
        <v>12</v>
      </c>
      <c r="G664" s="22" t="s">
        <v>5094</v>
      </c>
      <c r="H664" s="22">
        <v>12</v>
      </c>
      <c r="I664" s="25">
        <v>43359</v>
      </c>
      <c r="J664" s="24">
        <v>43365</v>
      </c>
    </row>
    <row r="665" spans="2:10" x14ac:dyDescent="0.2">
      <c r="B665" s="22">
        <v>663</v>
      </c>
      <c r="C665" s="21" t="s">
        <v>5095</v>
      </c>
      <c r="D665" s="21" t="s">
        <v>1532</v>
      </c>
      <c r="E665" s="20" t="s">
        <v>5096</v>
      </c>
      <c r="F665" s="22">
        <v>2</v>
      </c>
      <c r="G665" s="22" t="s">
        <v>5097</v>
      </c>
      <c r="H665" s="22">
        <v>1</v>
      </c>
      <c r="I665" s="25">
        <v>43268</v>
      </c>
      <c r="J665" s="24">
        <v>43277</v>
      </c>
    </row>
    <row r="666" spans="2:10" x14ac:dyDescent="0.2">
      <c r="B666" s="22">
        <v>664</v>
      </c>
      <c r="C666" s="21" t="s">
        <v>5098</v>
      </c>
      <c r="D666" s="21" t="s">
        <v>1572</v>
      </c>
      <c r="E666" s="20" t="s">
        <v>5099</v>
      </c>
      <c r="F666" s="22">
        <v>1</v>
      </c>
      <c r="G666" s="22" t="s">
        <v>5100</v>
      </c>
      <c r="H666" s="22">
        <v>1</v>
      </c>
      <c r="I666" s="25">
        <v>43240</v>
      </c>
      <c r="J666" s="24">
        <v>43344</v>
      </c>
    </row>
    <row r="667" spans="2:10" x14ac:dyDescent="0.2">
      <c r="B667" s="22">
        <v>665</v>
      </c>
      <c r="C667" s="21" t="s">
        <v>5101</v>
      </c>
      <c r="D667" s="21" t="s">
        <v>1594</v>
      </c>
      <c r="E667" s="20" t="s">
        <v>5102</v>
      </c>
      <c r="F667" s="22">
        <v>9</v>
      </c>
      <c r="G667" s="22" t="s">
        <v>5103</v>
      </c>
      <c r="H667" s="22">
        <v>1</v>
      </c>
      <c r="I667" s="25">
        <v>43373</v>
      </c>
      <c r="J667" s="22" t="s">
        <v>558</v>
      </c>
    </row>
    <row r="668" spans="2:10" x14ac:dyDescent="0.2">
      <c r="B668" s="22">
        <v>666</v>
      </c>
      <c r="C668" s="21" t="s">
        <v>5104</v>
      </c>
      <c r="D668" s="21" t="s">
        <v>1880</v>
      </c>
      <c r="E668" s="20" t="s">
        <v>5105</v>
      </c>
      <c r="F668" s="22">
        <v>5</v>
      </c>
      <c r="G668" s="22" t="s">
        <v>5106</v>
      </c>
      <c r="H668" s="22">
        <v>1</v>
      </c>
      <c r="I668" s="25">
        <v>43170</v>
      </c>
      <c r="J668" s="22" t="s">
        <v>558</v>
      </c>
    </row>
    <row r="669" spans="2:10" x14ac:dyDescent="0.2">
      <c r="B669" s="22">
        <v>667</v>
      </c>
      <c r="C669" s="21" t="s">
        <v>5107</v>
      </c>
      <c r="D669" s="21" t="s">
        <v>1294</v>
      </c>
      <c r="E669" s="20" t="s">
        <v>5108</v>
      </c>
      <c r="F669" s="22">
        <v>2</v>
      </c>
      <c r="G669" s="22" t="s">
        <v>5109</v>
      </c>
      <c r="H669" s="22">
        <v>2</v>
      </c>
      <c r="I669" s="25">
        <v>43282</v>
      </c>
      <c r="J669" s="24">
        <v>43291</v>
      </c>
    </row>
    <row r="670" spans="2:10" x14ac:dyDescent="0.2">
      <c r="B670" s="22">
        <v>668</v>
      </c>
      <c r="C670" s="21" t="s">
        <v>5110</v>
      </c>
      <c r="D670" s="21" t="s">
        <v>2108</v>
      </c>
      <c r="E670" s="20" t="s">
        <v>5111</v>
      </c>
      <c r="F670" s="22">
        <v>1</v>
      </c>
      <c r="G670" s="22" t="s">
        <v>5112</v>
      </c>
      <c r="H670" s="22">
        <v>1</v>
      </c>
      <c r="I670" s="25">
        <v>43399</v>
      </c>
      <c r="J670" s="24">
        <v>43407</v>
      </c>
    </row>
    <row r="671" spans="2:10" x14ac:dyDescent="0.2">
      <c r="B671" s="22">
        <v>669</v>
      </c>
      <c r="C671" s="21" t="s">
        <v>5113</v>
      </c>
      <c r="D671" s="21" t="s">
        <v>2148</v>
      </c>
      <c r="E671" s="20" t="s">
        <v>5114</v>
      </c>
      <c r="F671" s="22">
        <v>3</v>
      </c>
      <c r="G671" s="22" t="s">
        <v>5115</v>
      </c>
      <c r="H671" s="22">
        <v>2</v>
      </c>
      <c r="I671" s="25">
        <v>43187</v>
      </c>
      <c r="J671" s="22" t="s">
        <v>558</v>
      </c>
    </row>
    <row r="672" spans="2:10" x14ac:dyDescent="0.2">
      <c r="B672" s="22">
        <v>670</v>
      </c>
      <c r="C672" s="21" t="s">
        <v>5116</v>
      </c>
      <c r="D672" s="21" t="s">
        <v>5117</v>
      </c>
      <c r="E672" s="20" t="s">
        <v>5118</v>
      </c>
      <c r="F672" s="22">
        <v>1</v>
      </c>
      <c r="G672" s="22" t="s">
        <v>1159</v>
      </c>
      <c r="H672" s="22" t="s">
        <v>1159</v>
      </c>
      <c r="I672" s="25">
        <v>43254</v>
      </c>
      <c r="J672" s="22" t="s">
        <v>558</v>
      </c>
    </row>
    <row r="673" spans="2:10" x14ac:dyDescent="0.2">
      <c r="B673" s="22">
        <v>671</v>
      </c>
      <c r="C673" s="21" t="s">
        <v>5119</v>
      </c>
      <c r="D673" s="21" t="s">
        <v>1873</v>
      </c>
      <c r="E673" s="20" t="s">
        <v>5120</v>
      </c>
      <c r="F673" s="22">
        <v>2</v>
      </c>
      <c r="G673" s="22" t="s">
        <v>5121</v>
      </c>
      <c r="H673" s="22">
        <v>2</v>
      </c>
      <c r="I673" s="25">
        <v>43163</v>
      </c>
      <c r="J673" s="24">
        <v>43172</v>
      </c>
    </row>
    <row r="674" spans="2:10" x14ac:dyDescent="0.2">
      <c r="B674" s="22">
        <v>672</v>
      </c>
      <c r="C674" s="21" t="s">
        <v>5122</v>
      </c>
      <c r="D674" s="21" t="s">
        <v>1640</v>
      </c>
      <c r="E674" s="20" t="s">
        <v>5123</v>
      </c>
      <c r="F674" s="22">
        <v>6</v>
      </c>
      <c r="G674" s="22" t="s">
        <v>2441</v>
      </c>
      <c r="H674" s="22">
        <v>1</v>
      </c>
      <c r="I674" s="25">
        <v>43434</v>
      </c>
      <c r="J674" s="24">
        <v>43445</v>
      </c>
    </row>
    <row r="675" spans="2:10" x14ac:dyDescent="0.2">
      <c r="B675" s="22">
        <v>673</v>
      </c>
      <c r="C675" s="21" t="s">
        <v>5124</v>
      </c>
      <c r="D675" s="21" t="s">
        <v>1880</v>
      </c>
      <c r="E675" s="20" t="s">
        <v>5125</v>
      </c>
      <c r="F675" s="22">
        <v>2</v>
      </c>
      <c r="G675" s="22" t="s">
        <v>5126</v>
      </c>
      <c r="H675" s="22">
        <v>1</v>
      </c>
      <c r="I675" s="25">
        <v>43289</v>
      </c>
      <c r="J675" s="24">
        <v>43316</v>
      </c>
    </row>
    <row r="676" spans="2:10" x14ac:dyDescent="0.2">
      <c r="B676" s="22">
        <v>674</v>
      </c>
      <c r="C676" s="21" t="s">
        <v>5127</v>
      </c>
      <c r="D676" s="21" t="s">
        <v>1594</v>
      </c>
      <c r="E676" s="20" t="s">
        <v>5128</v>
      </c>
      <c r="F676" s="22">
        <v>2</v>
      </c>
      <c r="G676" s="22" t="s">
        <v>5129</v>
      </c>
      <c r="H676" s="22">
        <v>2</v>
      </c>
      <c r="I676" s="25">
        <v>43394</v>
      </c>
      <c r="J676" s="24">
        <v>43400</v>
      </c>
    </row>
    <row r="677" spans="2:10" x14ac:dyDescent="0.2">
      <c r="B677" s="22">
        <v>675</v>
      </c>
      <c r="C677" s="21" t="s">
        <v>5130</v>
      </c>
      <c r="D677" s="21" t="s">
        <v>1572</v>
      </c>
      <c r="E677" s="20" t="s">
        <v>5131</v>
      </c>
      <c r="F677" s="22">
        <v>3</v>
      </c>
      <c r="G677" s="22" t="s">
        <v>5132</v>
      </c>
      <c r="H677" s="22">
        <v>1</v>
      </c>
      <c r="I677" s="25">
        <v>43394</v>
      </c>
      <c r="J677" s="24">
        <v>43414</v>
      </c>
    </row>
    <row r="678" spans="2:10" x14ac:dyDescent="0.2">
      <c r="B678" s="22">
        <v>676</v>
      </c>
      <c r="C678" s="21" t="s">
        <v>5133</v>
      </c>
      <c r="D678" s="21" t="s">
        <v>5134</v>
      </c>
      <c r="E678" s="20" t="s">
        <v>5135</v>
      </c>
      <c r="F678" s="22">
        <v>2</v>
      </c>
      <c r="G678" s="22" t="s">
        <v>1159</v>
      </c>
      <c r="H678" s="22" t="s">
        <v>1159</v>
      </c>
      <c r="I678" s="25">
        <v>43177</v>
      </c>
      <c r="J678" s="24">
        <v>43183</v>
      </c>
    </row>
    <row r="679" spans="2:10" x14ac:dyDescent="0.2">
      <c r="B679" s="22">
        <v>677</v>
      </c>
      <c r="C679" s="21" t="s">
        <v>5136</v>
      </c>
      <c r="D679" s="21" t="s">
        <v>5137</v>
      </c>
      <c r="E679" s="20" t="s">
        <v>5138</v>
      </c>
      <c r="F679" s="22">
        <v>1</v>
      </c>
      <c r="G679" s="22" t="s">
        <v>1159</v>
      </c>
      <c r="H679" s="22" t="s">
        <v>1159</v>
      </c>
      <c r="I679" s="25">
        <v>43170</v>
      </c>
      <c r="J679" s="22" t="s">
        <v>558</v>
      </c>
    </row>
    <row r="680" spans="2:10" x14ac:dyDescent="0.2">
      <c r="B680" s="22">
        <v>678</v>
      </c>
      <c r="C680" s="21" t="s">
        <v>5139</v>
      </c>
      <c r="D680" s="21" t="s">
        <v>1572</v>
      </c>
      <c r="E680" s="20" t="s">
        <v>5140</v>
      </c>
      <c r="F680" s="22">
        <v>2</v>
      </c>
      <c r="G680" s="22" t="s">
        <v>5141</v>
      </c>
      <c r="H680" s="22">
        <v>1</v>
      </c>
      <c r="I680" s="25">
        <v>43179</v>
      </c>
      <c r="J680" s="22" t="s">
        <v>558</v>
      </c>
    </row>
    <row r="681" spans="2:10" x14ac:dyDescent="0.2">
      <c r="B681" s="22">
        <v>679</v>
      </c>
      <c r="C681" s="21" t="s">
        <v>5142</v>
      </c>
      <c r="D681" s="21" t="s">
        <v>1095</v>
      </c>
      <c r="E681" s="20" t="s">
        <v>5143</v>
      </c>
      <c r="F681" s="22">
        <v>10</v>
      </c>
      <c r="G681" s="22" t="s">
        <v>5144</v>
      </c>
      <c r="H681" s="22">
        <v>10</v>
      </c>
      <c r="I681" s="25">
        <v>43324</v>
      </c>
      <c r="J681" s="24">
        <v>43372</v>
      </c>
    </row>
    <row r="682" spans="2:10" x14ac:dyDescent="0.2">
      <c r="B682" s="22">
        <v>680</v>
      </c>
      <c r="C682" s="21" t="s">
        <v>5145</v>
      </c>
      <c r="D682" s="21" t="s">
        <v>1880</v>
      </c>
      <c r="E682" s="20" t="s">
        <v>5146</v>
      </c>
      <c r="F682" s="22">
        <v>2</v>
      </c>
      <c r="G682" s="22" t="s">
        <v>5147</v>
      </c>
      <c r="H682" s="22">
        <v>1</v>
      </c>
      <c r="I682" s="25">
        <v>43197</v>
      </c>
      <c r="J682" s="24">
        <v>43330</v>
      </c>
    </row>
    <row r="683" spans="2:10" x14ac:dyDescent="0.2">
      <c r="B683" s="22">
        <v>681</v>
      </c>
      <c r="C683" s="21" t="s">
        <v>5148</v>
      </c>
      <c r="D683" s="21" t="s">
        <v>2197</v>
      </c>
      <c r="E683" s="20" t="s">
        <v>5149</v>
      </c>
      <c r="F683" s="22">
        <v>10</v>
      </c>
      <c r="G683" s="22" t="s">
        <v>5150</v>
      </c>
      <c r="H683" s="22">
        <v>10</v>
      </c>
      <c r="I683" s="25">
        <v>43408</v>
      </c>
      <c r="J683" s="24">
        <v>43414</v>
      </c>
    </row>
    <row r="684" spans="2:10" x14ac:dyDescent="0.2">
      <c r="B684" s="22">
        <v>682</v>
      </c>
      <c r="C684" s="21" t="s">
        <v>5151</v>
      </c>
      <c r="D684" s="21" t="s">
        <v>157</v>
      </c>
      <c r="E684" s="20" t="s">
        <v>5152</v>
      </c>
      <c r="F684" s="22">
        <v>6</v>
      </c>
      <c r="G684" s="22" t="s">
        <v>5153</v>
      </c>
      <c r="H684" s="22">
        <v>1</v>
      </c>
      <c r="I684" s="25">
        <v>43450</v>
      </c>
      <c r="J684" s="24">
        <v>43119</v>
      </c>
    </row>
    <row r="685" spans="2:10" x14ac:dyDescent="0.2">
      <c r="B685" s="22">
        <v>683</v>
      </c>
      <c r="C685" s="21" t="s">
        <v>5154</v>
      </c>
      <c r="D685" s="21" t="s">
        <v>5117</v>
      </c>
      <c r="E685" s="20" t="s">
        <v>5155</v>
      </c>
      <c r="F685" s="22">
        <v>1</v>
      </c>
      <c r="G685" s="22" t="s">
        <v>5156</v>
      </c>
      <c r="H685" s="22">
        <v>1</v>
      </c>
      <c r="I685" s="25">
        <v>43352</v>
      </c>
      <c r="J685" s="24">
        <v>43365</v>
      </c>
    </row>
    <row r="686" spans="2:10" x14ac:dyDescent="0.2">
      <c r="B686" s="22">
        <v>684</v>
      </c>
      <c r="C686" s="21" t="s">
        <v>5157</v>
      </c>
      <c r="D686" s="21" t="s">
        <v>5158</v>
      </c>
      <c r="E686" s="20" t="s">
        <v>5159</v>
      </c>
      <c r="F686" s="22">
        <v>3</v>
      </c>
      <c r="G686" s="22" t="s">
        <v>1159</v>
      </c>
      <c r="H686" s="22" t="s">
        <v>1159</v>
      </c>
      <c r="I686" s="25">
        <v>43443</v>
      </c>
      <c r="J686" s="22" t="s">
        <v>558</v>
      </c>
    </row>
    <row r="687" spans="2:10" x14ac:dyDescent="0.2">
      <c r="B687" s="22">
        <v>685</v>
      </c>
      <c r="C687" s="21" t="s">
        <v>5160</v>
      </c>
      <c r="D687" s="21" t="s">
        <v>1739</v>
      </c>
      <c r="E687" s="20" t="s">
        <v>5161</v>
      </c>
      <c r="F687" s="22">
        <v>1</v>
      </c>
      <c r="G687" s="22" t="s">
        <v>5162</v>
      </c>
      <c r="H687" s="22">
        <v>1</v>
      </c>
      <c r="I687" s="25">
        <v>43219</v>
      </c>
      <c r="J687" s="24">
        <v>43225</v>
      </c>
    </row>
    <row r="688" spans="2:10" x14ac:dyDescent="0.2">
      <c r="B688" s="22">
        <v>686</v>
      </c>
      <c r="C688" s="21" t="s">
        <v>5163</v>
      </c>
      <c r="D688" s="21" t="s">
        <v>1345</v>
      </c>
      <c r="E688" s="20" t="s">
        <v>5164</v>
      </c>
      <c r="F688" s="22">
        <v>20</v>
      </c>
      <c r="G688" s="22" t="s">
        <v>5165</v>
      </c>
      <c r="H688" s="22">
        <v>20</v>
      </c>
      <c r="I688" s="25">
        <v>43296</v>
      </c>
      <c r="J688" s="24">
        <v>43302</v>
      </c>
    </row>
    <row r="689" spans="2:10" x14ac:dyDescent="0.2">
      <c r="B689" s="22">
        <v>687</v>
      </c>
      <c r="C689" s="21" t="s">
        <v>5166</v>
      </c>
      <c r="D689" s="21" t="s">
        <v>3627</v>
      </c>
      <c r="E689" s="20" t="s">
        <v>5167</v>
      </c>
      <c r="F689" s="22">
        <v>10</v>
      </c>
      <c r="G689" s="22" t="s">
        <v>5168</v>
      </c>
      <c r="H689" s="22">
        <v>5</v>
      </c>
      <c r="I689" s="25">
        <v>43345</v>
      </c>
      <c r="J689" s="22" t="s">
        <v>558</v>
      </c>
    </row>
    <row r="690" spans="2:10" x14ac:dyDescent="0.2">
      <c r="B690" s="22">
        <v>688</v>
      </c>
      <c r="C690" s="21" t="s">
        <v>5169</v>
      </c>
      <c r="D690" s="21" t="s">
        <v>1544</v>
      </c>
      <c r="E690" s="20" t="s">
        <v>5170</v>
      </c>
      <c r="F690" s="22">
        <v>10</v>
      </c>
      <c r="G690" s="22" t="s">
        <v>1159</v>
      </c>
      <c r="H690" s="22">
        <v>10</v>
      </c>
      <c r="I690" s="25">
        <v>43239</v>
      </c>
      <c r="J690" s="22" t="s">
        <v>558</v>
      </c>
    </row>
    <row r="691" spans="2:10" x14ac:dyDescent="0.2">
      <c r="B691" s="22">
        <v>689</v>
      </c>
      <c r="C691" s="21" t="s">
        <v>5171</v>
      </c>
      <c r="D691" s="21" t="s">
        <v>1640</v>
      </c>
      <c r="E691" s="20" t="s">
        <v>5172</v>
      </c>
      <c r="F691" s="22">
        <v>1</v>
      </c>
      <c r="G691" s="22" t="s">
        <v>5173</v>
      </c>
      <c r="H691" s="22">
        <v>1</v>
      </c>
      <c r="I691" s="25">
        <v>43261</v>
      </c>
      <c r="J691" s="24">
        <v>43274</v>
      </c>
    </row>
    <row r="692" spans="2:10" x14ac:dyDescent="0.2">
      <c r="B692" s="22">
        <v>690</v>
      </c>
      <c r="C692" s="21" t="s">
        <v>5174</v>
      </c>
      <c r="D692" s="21" t="s">
        <v>1880</v>
      </c>
      <c r="E692" s="20" t="s">
        <v>2022</v>
      </c>
      <c r="F692" s="22">
        <v>3</v>
      </c>
      <c r="G692" s="22" t="s">
        <v>5175</v>
      </c>
      <c r="H692" s="22">
        <v>2</v>
      </c>
      <c r="I692" s="25">
        <v>43191</v>
      </c>
      <c r="J692" s="24">
        <v>43246</v>
      </c>
    </row>
    <row r="693" spans="2:10" x14ac:dyDescent="0.2">
      <c r="B693" s="22">
        <v>691</v>
      </c>
      <c r="C693" s="21" t="s">
        <v>5176</v>
      </c>
      <c r="D693" s="21" t="s">
        <v>1248</v>
      </c>
      <c r="E693" s="20" t="s">
        <v>5177</v>
      </c>
      <c r="F693" s="22">
        <v>2</v>
      </c>
      <c r="G693" s="22" t="s">
        <v>5178</v>
      </c>
      <c r="H693" s="22">
        <v>2</v>
      </c>
      <c r="I693" s="25">
        <v>43422</v>
      </c>
      <c r="J693" s="24">
        <v>43428</v>
      </c>
    </row>
    <row r="694" spans="2:10" x14ac:dyDescent="0.2">
      <c r="B694" s="22">
        <v>692</v>
      </c>
      <c r="C694" s="21" t="s">
        <v>5179</v>
      </c>
      <c r="D694" s="21" t="s">
        <v>1804</v>
      </c>
      <c r="E694" s="20" t="s">
        <v>5180</v>
      </c>
      <c r="F694" s="22">
        <v>4</v>
      </c>
      <c r="G694" s="22" t="s">
        <v>5181</v>
      </c>
      <c r="H694" s="22">
        <v>1</v>
      </c>
      <c r="I694" s="25">
        <v>43212</v>
      </c>
      <c r="J694" s="24">
        <v>43253</v>
      </c>
    </row>
    <row r="695" spans="2:10" x14ac:dyDescent="0.2">
      <c r="B695" s="22">
        <v>693</v>
      </c>
      <c r="C695" s="21" t="s">
        <v>5182</v>
      </c>
      <c r="D695" s="21" t="s">
        <v>1095</v>
      </c>
      <c r="E695" s="20" t="s">
        <v>5183</v>
      </c>
      <c r="F695" s="22">
        <v>2</v>
      </c>
      <c r="G695" s="22" t="s">
        <v>5184</v>
      </c>
      <c r="H695" s="22">
        <v>2</v>
      </c>
      <c r="I695" s="25">
        <v>43359</v>
      </c>
      <c r="J695" s="24">
        <v>43379</v>
      </c>
    </row>
    <row r="696" spans="2:10" x14ac:dyDescent="0.2">
      <c r="B696" s="22">
        <v>694</v>
      </c>
      <c r="C696" s="21" t="s">
        <v>5185</v>
      </c>
      <c r="D696" s="21" t="s">
        <v>1572</v>
      </c>
      <c r="E696" s="20" t="s">
        <v>5186</v>
      </c>
      <c r="F696" s="22">
        <v>3</v>
      </c>
      <c r="G696" s="22" t="s">
        <v>5187</v>
      </c>
      <c r="H696" s="22">
        <v>1</v>
      </c>
      <c r="I696" s="25">
        <v>43170</v>
      </c>
      <c r="J696" s="24">
        <v>43183</v>
      </c>
    </row>
    <row r="697" spans="2:10" x14ac:dyDescent="0.2">
      <c r="B697" s="22">
        <v>695</v>
      </c>
      <c r="C697" s="21" t="s">
        <v>5188</v>
      </c>
      <c r="D697" s="21" t="s">
        <v>1459</v>
      </c>
      <c r="E697" s="20" t="s">
        <v>5189</v>
      </c>
      <c r="F697" s="22">
        <v>10</v>
      </c>
      <c r="G697" s="22" t="s">
        <v>5190</v>
      </c>
      <c r="H697" s="22">
        <v>10</v>
      </c>
      <c r="I697" s="25">
        <v>43233</v>
      </c>
      <c r="J697" s="24">
        <v>43239</v>
      </c>
    </row>
    <row r="698" spans="2:10" x14ac:dyDescent="0.2">
      <c r="B698" s="22">
        <v>696</v>
      </c>
      <c r="C698" s="21" t="s">
        <v>5191</v>
      </c>
      <c r="D698" s="21" t="s">
        <v>1039</v>
      </c>
      <c r="E698" s="20" t="s">
        <v>5192</v>
      </c>
      <c r="F698" s="22">
        <v>5</v>
      </c>
      <c r="G698" s="22" t="s">
        <v>5193</v>
      </c>
      <c r="H698" s="22">
        <v>5</v>
      </c>
      <c r="I698" s="25">
        <v>43122</v>
      </c>
      <c r="J698" s="24">
        <v>43135</v>
      </c>
    </row>
    <row r="699" spans="2:10" x14ac:dyDescent="0.2">
      <c r="B699" s="22">
        <v>697</v>
      </c>
      <c r="C699" s="21" t="s">
        <v>5194</v>
      </c>
      <c r="D699" s="21" t="s">
        <v>1532</v>
      </c>
      <c r="E699" s="20" t="s">
        <v>5195</v>
      </c>
      <c r="F699" s="22">
        <v>2</v>
      </c>
      <c r="G699" s="22" t="s">
        <v>1159</v>
      </c>
      <c r="H699" s="22" t="s">
        <v>1159</v>
      </c>
      <c r="I699" s="25">
        <v>43308</v>
      </c>
      <c r="J699" s="24">
        <v>43337</v>
      </c>
    </row>
    <row r="700" spans="2:10" x14ac:dyDescent="0.2">
      <c r="B700" s="22">
        <v>698</v>
      </c>
      <c r="C700" s="21" t="s">
        <v>5196</v>
      </c>
      <c r="D700" s="21" t="s">
        <v>5197</v>
      </c>
      <c r="E700" s="20" t="s">
        <v>5198</v>
      </c>
      <c r="F700" s="22">
        <v>1</v>
      </c>
      <c r="G700" s="22" t="s">
        <v>1159</v>
      </c>
      <c r="H700" s="22" t="s">
        <v>1159</v>
      </c>
      <c r="I700" s="25">
        <v>43366</v>
      </c>
      <c r="J700" s="24">
        <v>43441</v>
      </c>
    </row>
    <row r="701" spans="2:10" x14ac:dyDescent="0.2">
      <c r="B701" s="22">
        <v>699</v>
      </c>
      <c r="C701" s="21" t="s">
        <v>5199</v>
      </c>
      <c r="D701" s="21" t="s">
        <v>3922</v>
      </c>
      <c r="E701" s="20" t="s">
        <v>5200</v>
      </c>
      <c r="F701" s="22">
        <v>10</v>
      </c>
      <c r="G701" s="22" t="s">
        <v>5201</v>
      </c>
      <c r="H701" s="22">
        <v>10</v>
      </c>
      <c r="I701" s="25">
        <v>43373</v>
      </c>
      <c r="J701" s="24">
        <v>43379</v>
      </c>
    </row>
    <row r="702" spans="2:10" x14ac:dyDescent="0.2">
      <c r="B702" s="22">
        <v>700</v>
      </c>
      <c r="C702" s="21" t="s">
        <v>5202</v>
      </c>
      <c r="D702" s="21" t="s">
        <v>1248</v>
      </c>
      <c r="E702" s="20" t="s">
        <v>5203</v>
      </c>
      <c r="F702" s="22">
        <v>1</v>
      </c>
      <c r="G702" s="22" t="s">
        <v>5204</v>
      </c>
      <c r="H702" s="22">
        <v>1</v>
      </c>
      <c r="I702" s="25">
        <v>43275</v>
      </c>
      <c r="J702" s="24">
        <v>43298</v>
      </c>
    </row>
    <row r="703" spans="2:10" x14ac:dyDescent="0.2">
      <c r="B703" s="22">
        <v>701</v>
      </c>
      <c r="C703" s="21" t="s">
        <v>5205</v>
      </c>
      <c r="D703" s="21" t="s">
        <v>1880</v>
      </c>
      <c r="E703" s="20" t="s">
        <v>4673</v>
      </c>
      <c r="F703" s="22">
        <v>1</v>
      </c>
      <c r="G703" s="22" t="s">
        <v>5206</v>
      </c>
      <c r="H703" s="22">
        <v>1</v>
      </c>
      <c r="I703" s="25">
        <v>43373</v>
      </c>
      <c r="J703" s="24">
        <v>43386</v>
      </c>
    </row>
    <row r="704" spans="2:10" x14ac:dyDescent="0.2">
      <c r="B704" s="22">
        <v>702</v>
      </c>
      <c r="C704" s="21" t="s">
        <v>5207</v>
      </c>
      <c r="D704" s="21" t="s">
        <v>2684</v>
      </c>
      <c r="E704" s="20" t="s">
        <v>5208</v>
      </c>
      <c r="F704" s="22">
        <v>12</v>
      </c>
      <c r="G704" s="22" t="s">
        <v>2687</v>
      </c>
      <c r="H704" s="22">
        <v>12</v>
      </c>
      <c r="I704" s="25">
        <v>43380</v>
      </c>
      <c r="J704" s="24">
        <v>43400</v>
      </c>
    </row>
    <row r="705" spans="2:10" x14ac:dyDescent="0.2">
      <c r="B705" s="22">
        <v>703</v>
      </c>
      <c r="C705" s="21" t="s">
        <v>5209</v>
      </c>
      <c r="D705" s="21" t="s">
        <v>2051</v>
      </c>
      <c r="E705" s="20" t="s">
        <v>5210</v>
      </c>
      <c r="F705" s="22">
        <v>5</v>
      </c>
      <c r="G705" s="22" t="s">
        <v>1159</v>
      </c>
      <c r="H705" s="22" t="s">
        <v>1159</v>
      </c>
      <c r="I705" s="25">
        <v>43345</v>
      </c>
      <c r="J705" s="24">
        <v>43400</v>
      </c>
    </row>
    <row r="706" spans="2:10" x14ac:dyDescent="0.2">
      <c r="B706" s="22">
        <v>704</v>
      </c>
      <c r="C706" s="21" t="s">
        <v>5211</v>
      </c>
      <c r="D706" s="21" t="s">
        <v>2148</v>
      </c>
      <c r="E706" s="20" t="s">
        <v>5212</v>
      </c>
      <c r="F706" s="22">
        <v>4</v>
      </c>
      <c r="G706" s="22" t="s">
        <v>1159</v>
      </c>
      <c r="H706" s="22" t="s">
        <v>1159</v>
      </c>
      <c r="I706" s="25">
        <v>43405</v>
      </c>
      <c r="J706" s="22" t="s">
        <v>558</v>
      </c>
    </row>
    <row r="707" spans="2:10" x14ac:dyDescent="0.2">
      <c r="B707" s="22">
        <v>705</v>
      </c>
      <c r="C707" s="21" t="s">
        <v>5213</v>
      </c>
      <c r="D707" s="21" t="s">
        <v>5214</v>
      </c>
      <c r="E707" s="20" t="s">
        <v>5215</v>
      </c>
      <c r="F707" s="22">
        <v>10</v>
      </c>
      <c r="G707" s="22" t="s">
        <v>5216</v>
      </c>
      <c r="H707" s="22">
        <v>10</v>
      </c>
      <c r="I707" s="25">
        <v>43352</v>
      </c>
      <c r="J707" s="24">
        <v>43358</v>
      </c>
    </row>
    <row r="708" spans="2:10" x14ac:dyDescent="0.2">
      <c r="B708" s="22">
        <v>706</v>
      </c>
      <c r="C708" s="21" t="s">
        <v>5217</v>
      </c>
      <c r="D708" s="21" t="s">
        <v>2051</v>
      </c>
      <c r="E708" s="20" t="s">
        <v>5218</v>
      </c>
      <c r="F708" s="22">
        <v>10</v>
      </c>
      <c r="G708" s="22" t="s">
        <v>5219</v>
      </c>
      <c r="H708" s="22">
        <v>5</v>
      </c>
      <c r="I708" s="25">
        <v>43177</v>
      </c>
      <c r="J708" s="22" t="s">
        <v>558</v>
      </c>
    </row>
    <row r="709" spans="2:10" x14ac:dyDescent="0.2">
      <c r="B709" s="22">
        <v>707</v>
      </c>
      <c r="C709" s="21" t="s">
        <v>5220</v>
      </c>
      <c r="D709" s="21" t="s">
        <v>5197</v>
      </c>
      <c r="E709" s="20" t="s">
        <v>5221</v>
      </c>
      <c r="F709" s="22">
        <v>2</v>
      </c>
      <c r="G709" s="22" t="s">
        <v>1159</v>
      </c>
      <c r="H709" s="22" t="s">
        <v>1159</v>
      </c>
      <c r="I709" s="25">
        <v>43436</v>
      </c>
      <c r="J709" s="22" t="s">
        <v>558</v>
      </c>
    </row>
    <row r="710" spans="2:10" x14ac:dyDescent="0.2">
      <c r="B710" s="22">
        <v>708</v>
      </c>
      <c r="C710" s="21" t="s">
        <v>5222</v>
      </c>
      <c r="D710" s="21" t="s">
        <v>1338</v>
      </c>
      <c r="E710" s="20" t="s">
        <v>5223</v>
      </c>
      <c r="F710" s="22">
        <v>2</v>
      </c>
      <c r="G710" s="22" t="s">
        <v>5224</v>
      </c>
      <c r="H710" s="22">
        <v>1</v>
      </c>
      <c r="I710" s="25">
        <v>43205</v>
      </c>
      <c r="J710" s="24">
        <v>43218</v>
      </c>
    </row>
    <row r="711" spans="2:10" x14ac:dyDescent="0.2">
      <c r="B711" s="22">
        <v>709</v>
      </c>
      <c r="C711" s="21" t="s">
        <v>5225</v>
      </c>
      <c r="D711" s="21" t="s">
        <v>1880</v>
      </c>
      <c r="E711" s="20" t="s">
        <v>5226</v>
      </c>
      <c r="F711" s="22">
        <v>2</v>
      </c>
      <c r="G711" s="22" t="s">
        <v>5227</v>
      </c>
      <c r="H711" s="22">
        <v>2</v>
      </c>
      <c r="I711" s="25">
        <v>43436</v>
      </c>
      <c r="J711" s="24">
        <v>43449</v>
      </c>
    </row>
    <row r="712" spans="2:10" x14ac:dyDescent="0.2">
      <c r="B712" s="22">
        <v>710</v>
      </c>
      <c r="C712" s="21" t="s">
        <v>5228</v>
      </c>
      <c r="D712" s="21" t="s">
        <v>1039</v>
      </c>
      <c r="E712" s="20" t="s">
        <v>5229</v>
      </c>
      <c r="F712" s="22">
        <v>3</v>
      </c>
      <c r="G712" s="22" t="s">
        <v>5230</v>
      </c>
      <c r="H712" s="22">
        <v>3</v>
      </c>
      <c r="I712" s="25">
        <v>43450</v>
      </c>
      <c r="J712" s="24">
        <v>43463</v>
      </c>
    </row>
    <row r="713" spans="2:10" x14ac:dyDescent="0.2">
      <c r="B713" s="22">
        <v>711</v>
      </c>
      <c r="C713" s="21" t="s">
        <v>5231</v>
      </c>
      <c r="D713" s="21" t="s">
        <v>1880</v>
      </c>
      <c r="E713" s="20" t="s">
        <v>5232</v>
      </c>
      <c r="F713" s="22">
        <v>1</v>
      </c>
      <c r="G713" s="22" t="s">
        <v>5233</v>
      </c>
      <c r="H713" s="22">
        <v>1</v>
      </c>
      <c r="I713" s="25">
        <v>43226</v>
      </c>
      <c r="J713" s="24">
        <v>43246</v>
      </c>
    </row>
    <row r="714" spans="2:10" x14ac:dyDescent="0.2">
      <c r="B714" s="22">
        <v>712</v>
      </c>
      <c r="C714" s="21" t="s">
        <v>5234</v>
      </c>
      <c r="D714" s="21" t="s">
        <v>5235</v>
      </c>
      <c r="E714" s="20" t="s">
        <v>5236</v>
      </c>
      <c r="F714" s="22">
        <v>2</v>
      </c>
      <c r="G714" s="22" t="s">
        <v>5237</v>
      </c>
      <c r="H714" s="22">
        <v>2</v>
      </c>
      <c r="I714" s="25">
        <v>43163</v>
      </c>
      <c r="J714" s="24">
        <v>43169</v>
      </c>
    </row>
    <row r="715" spans="2:10" x14ac:dyDescent="0.2">
      <c r="B715" s="22">
        <v>713</v>
      </c>
      <c r="C715" s="21" t="s">
        <v>5238</v>
      </c>
      <c r="D715" s="21" t="s">
        <v>1804</v>
      </c>
      <c r="E715" s="20" t="s">
        <v>5239</v>
      </c>
      <c r="F715" s="22">
        <v>3</v>
      </c>
      <c r="G715" s="22" t="s">
        <v>5240</v>
      </c>
      <c r="H715" s="22">
        <v>1</v>
      </c>
      <c r="I715" s="25">
        <v>43163</v>
      </c>
      <c r="J715" s="24">
        <v>43190</v>
      </c>
    </row>
    <row r="716" spans="2:10" x14ac:dyDescent="0.2">
      <c r="B716" s="22">
        <v>714</v>
      </c>
      <c r="C716" s="21" t="s">
        <v>5241</v>
      </c>
      <c r="D716" s="21" t="s">
        <v>1532</v>
      </c>
      <c r="E716" s="20" t="s">
        <v>5242</v>
      </c>
      <c r="F716" s="22">
        <v>1</v>
      </c>
      <c r="G716" s="22" t="s">
        <v>5243</v>
      </c>
      <c r="H716" s="22">
        <v>1</v>
      </c>
      <c r="I716" s="25">
        <v>43379</v>
      </c>
      <c r="J716" s="24">
        <v>43386</v>
      </c>
    </row>
    <row r="717" spans="2:10" x14ac:dyDescent="0.2">
      <c r="B717" s="22">
        <v>715</v>
      </c>
      <c r="C717" s="21" t="s">
        <v>5244</v>
      </c>
      <c r="D717" s="21" t="s">
        <v>2148</v>
      </c>
      <c r="E717" s="20" t="s">
        <v>5245</v>
      </c>
      <c r="F717" s="22">
        <v>1</v>
      </c>
      <c r="G717" s="22" t="s">
        <v>5246</v>
      </c>
      <c r="H717" s="22">
        <v>1</v>
      </c>
      <c r="I717" s="25">
        <v>43207</v>
      </c>
      <c r="J717" s="24">
        <v>43221</v>
      </c>
    </row>
    <row r="718" spans="2:10" x14ac:dyDescent="0.2">
      <c r="B718" s="22">
        <v>716</v>
      </c>
      <c r="C718" s="21" t="s">
        <v>5247</v>
      </c>
      <c r="D718" s="21" t="s">
        <v>1532</v>
      </c>
      <c r="E718" s="20" t="s">
        <v>5248</v>
      </c>
      <c r="F718" s="22">
        <v>1</v>
      </c>
      <c r="G718" s="22" t="s">
        <v>5249</v>
      </c>
      <c r="H718" s="22">
        <v>1</v>
      </c>
      <c r="I718" s="25">
        <v>43366</v>
      </c>
      <c r="J718" s="24">
        <v>43372</v>
      </c>
    </row>
    <row r="719" spans="2:10" x14ac:dyDescent="0.2">
      <c r="B719" s="22">
        <v>717</v>
      </c>
      <c r="C719" s="21" t="s">
        <v>5250</v>
      </c>
      <c r="D719" s="21" t="s">
        <v>2051</v>
      </c>
      <c r="E719" s="20" t="s">
        <v>5251</v>
      </c>
      <c r="F719" s="22">
        <v>6</v>
      </c>
      <c r="G719" s="22" t="s">
        <v>5252</v>
      </c>
      <c r="H719" s="22">
        <v>1</v>
      </c>
      <c r="I719" s="25">
        <v>43198</v>
      </c>
      <c r="J719" s="24">
        <v>43232</v>
      </c>
    </row>
    <row r="720" spans="2:10" x14ac:dyDescent="0.2">
      <c r="B720" s="22">
        <v>718</v>
      </c>
      <c r="C720" s="21" t="s">
        <v>5253</v>
      </c>
      <c r="D720" s="21" t="s">
        <v>5254</v>
      </c>
      <c r="E720" s="20" t="s">
        <v>5255</v>
      </c>
      <c r="F720" s="22">
        <v>2</v>
      </c>
      <c r="G720" s="22" t="s">
        <v>5256</v>
      </c>
      <c r="H720" s="22">
        <v>2</v>
      </c>
      <c r="I720" s="25">
        <v>43275</v>
      </c>
      <c r="J720" s="22" t="s">
        <v>558</v>
      </c>
    </row>
    <row r="721" spans="2:10" x14ac:dyDescent="0.2">
      <c r="B721" s="22">
        <v>719</v>
      </c>
      <c r="C721" s="21" t="s">
        <v>5257</v>
      </c>
      <c r="D721" s="21" t="s">
        <v>1880</v>
      </c>
      <c r="E721" s="20" t="s">
        <v>5258</v>
      </c>
      <c r="F721" s="22">
        <v>1</v>
      </c>
      <c r="G721" s="22" t="s">
        <v>5259</v>
      </c>
      <c r="H721" s="22">
        <v>1</v>
      </c>
      <c r="I721" s="25">
        <v>43414</v>
      </c>
      <c r="J721" s="24">
        <v>43421</v>
      </c>
    </row>
    <row r="722" spans="2:10" x14ac:dyDescent="0.2">
      <c r="B722" s="22">
        <v>720</v>
      </c>
      <c r="C722" s="21" t="s">
        <v>5260</v>
      </c>
      <c r="D722" s="21" t="s">
        <v>2051</v>
      </c>
      <c r="E722" s="20" t="s">
        <v>5261</v>
      </c>
      <c r="F722" s="22">
        <v>4</v>
      </c>
      <c r="G722" s="22" t="s">
        <v>5262</v>
      </c>
      <c r="H722" s="22">
        <v>1</v>
      </c>
      <c r="I722" s="25">
        <v>43345</v>
      </c>
      <c r="J722" s="24">
        <v>43393</v>
      </c>
    </row>
    <row r="723" spans="2:10" x14ac:dyDescent="0.2">
      <c r="B723" s="22">
        <v>721</v>
      </c>
      <c r="C723" s="21" t="s">
        <v>5263</v>
      </c>
      <c r="D723" s="21" t="s">
        <v>1338</v>
      </c>
      <c r="E723" s="20" t="s">
        <v>5264</v>
      </c>
      <c r="F723" s="22">
        <v>2</v>
      </c>
      <c r="G723" s="22" t="s">
        <v>1159</v>
      </c>
      <c r="H723" s="22">
        <v>2</v>
      </c>
      <c r="I723" s="25">
        <v>43436</v>
      </c>
      <c r="J723" s="24">
        <v>43442</v>
      </c>
    </row>
    <row r="724" spans="2:10" x14ac:dyDescent="0.2">
      <c r="B724" s="22">
        <v>722</v>
      </c>
      <c r="C724" s="21" t="s">
        <v>5265</v>
      </c>
      <c r="D724" s="21" t="s">
        <v>5266</v>
      </c>
      <c r="E724" s="20" t="s">
        <v>5267</v>
      </c>
      <c r="F724" s="22">
        <v>3</v>
      </c>
      <c r="G724" s="22" t="s">
        <v>5268</v>
      </c>
      <c r="H724" s="22">
        <v>3</v>
      </c>
      <c r="I724" s="25">
        <v>43183</v>
      </c>
      <c r="J724" s="24">
        <v>43190</v>
      </c>
    </row>
    <row r="725" spans="2:10" x14ac:dyDescent="0.2">
      <c r="B725" s="22">
        <v>723</v>
      </c>
      <c r="C725" s="21" t="s">
        <v>5269</v>
      </c>
      <c r="D725" s="21" t="s">
        <v>2282</v>
      </c>
      <c r="E725" s="20" t="s">
        <v>5270</v>
      </c>
      <c r="F725" s="22">
        <v>27</v>
      </c>
      <c r="G725" s="22" t="s">
        <v>1159</v>
      </c>
      <c r="H725" s="22">
        <v>27</v>
      </c>
      <c r="I725" s="25">
        <v>43338</v>
      </c>
      <c r="J725" s="24">
        <v>43344</v>
      </c>
    </row>
    <row r="726" spans="2:10" x14ac:dyDescent="0.2">
      <c r="B726" s="22">
        <v>724</v>
      </c>
      <c r="C726" s="21" t="s">
        <v>5271</v>
      </c>
      <c r="D726" s="21" t="s">
        <v>1594</v>
      </c>
      <c r="E726" s="20" t="s">
        <v>5272</v>
      </c>
      <c r="F726" s="22">
        <v>10</v>
      </c>
      <c r="G726" s="22" t="s">
        <v>5272</v>
      </c>
      <c r="H726" s="22">
        <v>10</v>
      </c>
      <c r="I726" s="25">
        <v>43170</v>
      </c>
      <c r="J726" s="22" t="s">
        <v>558</v>
      </c>
    </row>
    <row r="727" spans="2:10" x14ac:dyDescent="0.2">
      <c r="B727" s="22">
        <v>725</v>
      </c>
      <c r="C727" s="21" t="s">
        <v>5273</v>
      </c>
      <c r="D727" s="21" t="s">
        <v>2148</v>
      </c>
      <c r="E727" s="20" t="s">
        <v>5274</v>
      </c>
      <c r="F727" s="22">
        <v>1</v>
      </c>
      <c r="G727" s="22" t="s">
        <v>5275</v>
      </c>
      <c r="H727" s="22">
        <v>1</v>
      </c>
      <c r="I727" s="25">
        <v>43211</v>
      </c>
      <c r="J727" s="22" t="s">
        <v>558</v>
      </c>
    </row>
    <row r="728" spans="2:10" x14ac:dyDescent="0.2">
      <c r="B728" s="22">
        <v>726</v>
      </c>
      <c r="C728" s="21" t="s">
        <v>5276</v>
      </c>
      <c r="D728" s="21" t="s">
        <v>1532</v>
      </c>
      <c r="E728" s="20" t="s">
        <v>5277</v>
      </c>
      <c r="F728" s="22">
        <v>2</v>
      </c>
      <c r="G728" s="22" t="s">
        <v>5277</v>
      </c>
      <c r="H728" s="22">
        <v>2</v>
      </c>
      <c r="I728" s="25">
        <v>43331</v>
      </c>
      <c r="J728" s="24">
        <v>43337</v>
      </c>
    </row>
    <row r="729" spans="2:10" x14ac:dyDescent="0.2">
      <c r="B729" s="22">
        <v>727</v>
      </c>
      <c r="C729" s="21" t="s">
        <v>5278</v>
      </c>
      <c r="D729" s="21" t="s">
        <v>1880</v>
      </c>
      <c r="E729" s="20" t="s">
        <v>2650</v>
      </c>
      <c r="F729" s="22">
        <v>1</v>
      </c>
      <c r="G729" s="22" t="s">
        <v>5279</v>
      </c>
      <c r="H729" s="22">
        <v>1</v>
      </c>
      <c r="I729" s="25">
        <v>43170</v>
      </c>
      <c r="J729" s="22" t="s">
        <v>558</v>
      </c>
    </row>
    <row r="730" spans="2:10" x14ac:dyDescent="0.2">
      <c r="B730" s="22">
        <v>728</v>
      </c>
      <c r="C730" s="21" t="s">
        <v>5280</v>
      </c>
      <c r="D730" s="21" t="s">
        <v>1039</v>
      </c>
      <c r="E730" s="20" t="s">
        <v>5281</v>
      </c>
      <c r="F730" s="22">
        <v>2</v>
      </c>
      <c r="G730" s="22" t="s">
        <v>5282</v>
      </c>
      <c r="H730" s="22">
        <v>2</v>
      </c>
      <c r="I730" s="25">
        <v>43422</v>
      </c>
      <c r="J730" s="24">
        <v>43435</v>
      </c>
    </row>
    <row r="731" spans="2:10" x14ac:dyDescent="0.2">
      <c r="B731" s="22">
        <v>729</v>
      </c>
      <c r="C731" s="21" t="s">
        <v>5283</v>
      </c>
      <c r="D731" s="21" t="s">
        <v>1338</v>
      </c>
      <c r="E731" s="20" t="s">
        <v>5284</v>
      </c>
      <c r="F731" s="22">
        <v>1</v>
      </c>
      <c r="G731" s="22" t="s">
        <v>5285</v>
      </c>
      <c r="H731" s="22">
        <v>1</v>
      </c>
      <c r="I731" s="25">
        <v>43191</v>
      </c>
      <c r="J731" s="22" t="s">
        <v>558</v>
      </c>
    </row>
    <row r="732" spans="2:10" x14ac:dyDescent="0.2">
      <c r="B732" s="22">
        <v>730</v>
      </c>
      <c r="C732" s="21" t="s">
        <v>5286</v>
      </c>
      <c r="D732" s="21" t="s">
        <v>1338</v>
      </c>
      <c r="E732" s="20" t="s">
        <v>5287</v>
      </c>
      <c r="F732" s="22">
        <v>1</v>
      </c>
      <c r="G732" s="22" t="s">
        <v>5288</v>
      </c>
      <c r="H732" s="22">
        <v>1</v>
      </c>
      <c r="I732" s="25">
        <v>43331</v>
      </c>
      <c r="J732" s="24">
        <v>43337</v>
      </c>
    </row>
    <row r="733" spans="2:10" x14ac:dyDescent="0.2">
      <c r="B733" s="22">
        <v>731</v>
      </c>
      <c r="C733" s="21" t="s">
        <v>5289</v>
      </c>
      <c r="D733" s="21" t="s">
        <v>1338</v>
      </c>
      <c r="E733" s="20" t="s">
        <v>5290</v>
      </c>
      <c r="F733" s="22">
        <v>2</v>
      </c>
      <c r="G733" s="22" t="s">
        <v>5291</v>
      </c>
      <c r="H733" s="22">
        <v>2</v>
      </c>
      <c r="I733" s="25">
        <v>43331</v>
      </c>
      <c r="J733" s="24">
        <v>43337</v>
      </c>
    </row>
    <row r="734" spans="2:10" x14ac:dyDescent="0.2">
      <c r="B734" s="22">
        <v>732</v>
      </c>
      <c r="C734" s="21" t="s">
        <v>5292</v>
      </c>
      <c r="D734" s="21" t="s">
        <v>1532</v>
      </c>
      <c r="E734" s="20" t="s">
        <v>5243</v>
      </c>
      <c r="F734" s="22">
        <v>2</v>
      </c>
      <c r="G734" s="22" t="s">
        <v>1159</v>
      </c>
      <c r="H734" s="22" t="s">
        <v>1159</v>
      </c>
      <c r="I734" s="25">
        <v>43373</v>
      </c>
      <c r="J734" s="24">
        <v>43379</v>
      </c>
    </row>
    <row r="735" spans="2:10" x14ac:dyDescent="0.2">
      <c r="B735" s="22">
        <v>733</v>
      </c>
      <c r="C735" s="21" t="s">
        <v>5293</v>
      </c>
      <c r="D735" s="21" t="s">
        <v>1594</v>
      </c>
      <c r="E735" s="20" t="s">
        <v>5294</v>
      </c>
      <c r="F735" s="22">
        <v>1</v>
      </c>
      <c r="G735" s="22" t="s">
        <v>5295</v>
      </c>
      <c r="H735" s="22">
        <v>1</v>
      </c>
      <c r="I735" s="25">
        <v>43380</v>
      </c>
      <c r="J735" s="24">
        <v>43386</v>
      </c>
    </row>
    <row r="736" spans="2:10" x14ac:dyDescent="0.2">
      <c r="B736" s="22">
        <v>734</v>
      </c>
      <c r="C736" s="21" t="s">
        <v>5296</v>
      </c>
      <c r="D736" s="21" t="s">
        <v>1532</v>
      </c>
      <c r="E736" s="20" t="s">
        <v>5297</v>
      </c>
      <c r="F736" s="22">
        <v>1</v>
      </c>
      <c r="G736" s="22" t="s">
        <v>1159</v>
      </c>
      <c r="H736" s="22" t="s">
        <v>1159</v>
      </c>
      <c r="I736" s="25">
        <v>43387</v>
      </c>
      <c r="J736" s="24">
        <v>43393</v>
      </c>
    </row>
    <row r="737" spans="2:10" x14ac:dyDescent="0.2">
      <c r="B737" s="22">
        <v>735</v>
      </c>
      <c r="C737" s="21" t="s">
        <v>5298</v>
      </c>
      <c r="D737" s="21" t="s">
        <v>1532</v>
      </c>
      <c r="E737" s="20" t="s">
        <v>5285</v>
      </c>
      <c r="F737" s="22">
        <v>1</v>
      </c>
      <c r="G737" s="22" t="s">
        <v>5299</v>
      </c>
      <c r="H737" s="22">
        <v>1</v>
      </c>
      <c r="I737" s="25">
        <v>43303</v>
      </c>
      <c r="J737" s="24">
        <v>43309</v>
      </c>
    </row>
    <row r="738" spans="2:10" x14ac:dyDescent="0.2">
      <c r="B738" s="22">
        <v>736</v>
      </c>
      <c r="C738" s="21" t="s">
        <v>5300</v>
      </c>
      <c r="D738" s="21" t="s">
        <v>1039</v>
      </c>
      <c r="E738" s="20" t="s">
        <v>5301</v>
      </c>
      <c r="F738" s="22">
        <v>3</v>
      </c>
      <c r="G738" s="22" t="s">
        <v>5302</v>
      </c>
      <c r="H738" s="22">
        <v>3</v>
      </c>
      <c r="I738" s="25">
        <v>43282</v>
      </c>
      <c r="J738" s="24">
        <v>43288</v>
      </c>
    </row>
  </sheetData>
  <mergeCells count="2">
    <mergeCell ref="C3:C4"/>
    <mergeCell ref="B3:B4"/>
  </mergeCells>
  <hyperlinks>
    <hyperlink ref="B3" r:id="rId1"/>
    <hyperlink ref="C3" r:id="rId2"/>
    <hyperlink ref="D3" r:id="rId3"/>
    <hyperlink ref="E5" r:id="rId4"/>
    <hyperlink ref="F5" r:id="rId5"/>
    <hyperlink ref="C6" r:id="rId6"/>
    <hyperlink ref="D6" r:id="rId7"/>
    <hyperlink ref="I6" r:id="rId8" display="http://www.boxofficemojo.com/schedule/?view=bydate&amp;release=theatrical&amp;date=2016-12-16&amp;p=.htm"/>
    <hyperlink ref="C7" r:id="rId9"/>
    <hyperlink ref="D7" r:id="rId10"/>
    <hyperlink ref="I7" r:id="rId11" display="http://www.boxofficemojo.com/schedule/?view=bydate&amp;release=theatrical&amp;date=2016-06-17&amp;p=.htm"/>
    <hyperlink ref="C8" r:id="rId12"/>
    <hyperlink ref="D8" r:id="rId13"/>
    <hyperlink ref="I8" r:id="rId14" display="http://www.boxofficemojo.com/schedule/?view=bydate&amp;release=theatrical&amp;date=2016-05-06&amp;p=.htm"/>
    <hyperlink ref="C9" r:id="rId15"/>
    <hyperlink ref="D9" r:id="rId16"/>
    <hyperlink ref="I9" r:id="rId17" display="http://www.boxofficemojo.com/schedule/?view=bydate&amp;release=theatrical&amp;date=2016-07-08&amp;p=.htm"/>
    <hyperlink ref="C10" r:id="rId18"/>
    <hyperlink ref="D10" r:id="rId19"/>
    <hyperlink ref="I10" r:id="rId20" display="http://www.boxofficemojo.com/schedule/?view=bydate&amp;release=theatrical&amp;date=2016-04-15&amp;p=.htm"/>
    <hyperlink ref="C11" r:id="rId21"/>
    <hyperlink ref="D11" r:id="rId22"/>
    <hyperlink ref="I11" r:id="rId23" display="http://www.boxofficemojo.com/schedule/?view=bydate&amp;release=theatrical&amp;date=2016-02-12&amp;p=.htm"/>
    <hyperlink ref="C12" r:id="rId24"/>
    <hyperlink ref="D12" r:id="rId25"/>
    <hyperlink ref="I12" r:id="rId26" display="http://www.boxofficemojo.com/schedule/?view=bydate&amp;release=theatrical&amp;date=2016-03-04&amp;p=.htm"/>
    <hyperlink ref="C13" r:id="rId27"/>
    <hyperlink ref="D13" r:id="rId28"/>
    <hyperlink ref="I13" r:id="rId29" display="http://www.boxofficemojo.com/schedule/?view=bydate&amp;release=theatrical&amp;date=2016-03-25&amp;p=.htm"/>
    <hyperlink ref="C14" r:id="rId30"/>
    <hyperlink ref="D14" r:id="rId31"/>
    <hyperlink ref="I14" r:id="rId32" display="http://www.boxofficemojo.com/schedule/?view=bydate&amp;release=theatrical&amp;date=2016-08-05&amp;p=.htm"/>
    <hyperlink ref="C15" r:id="rId33"/>
    <hyperlink ref="D15" r:id="rId34"/>
    <hyperlink ref="I15" r:id="rId35" display="http://www.boxofficemojo.com/schedule/?view=bydate&amp;release=theatrical&amp;date=2016-12-21&amp;p=.htm"/>
    <hyperlink ref="C16" r:id="rId36"/>
    <hyperlink ref="D16" r:id="rId37"/>
    <hyperlink ref="I16" r:id="rId38" display="http://www.boxofficemojo.com/schedule/?view=bydate&amp;release=theatrical&amp;date=2016-11-23&amp;p=.htm"/>
    <hyperlink ref="C17" r:id="rId39"/>
    <hyperlink ref="D17" r:id="rId40"/>
    <hyperlink ref="I17" r:id="rId41" display="http://www.boxofficemojo.com/schedule/?view=bydate&amp;release=theatrical&amp;date=2016-11-18&amp;p=.htm"/>
    <hyperlink ref="C18" r:id="rId42"/>
    <hyperlink ref="D18" r:id="rId43"/>
    <hyperlink ref="I18" r:id="rId44" display="http://www.boxofficemojo.com/schedule/?view=bydate&amp;release=theatrical&amp;date=2016-11-04&amp;p=.htm"/>
    <hyperlink ref="C19" r:id="rId45"/>
    <hyperlink ref="D19" r:id="rId46"/>
    <hyperlink ref="I19" r:id="rId47" display="http://www.boxofficemojo.com/schedule/?view=bydate&amp;release=theatrical&amp;date=2016-12-25&amp;p=.htm"/>
    <hyperlink ref="C20" r:id="rId48"/>
    <hyperlink ref="D20" r:id="rId49"/>
    <hyperlink ref="I20" r:id="rId50" display="http://www.boxofficemojo.com/schedule/?view=bydate&amp;release=theatrical&amp;date=2016-07-29&amp;p=.htm"/>
    <hyperlink ref="C21" r:id="rId51"/>
    <hyperlink ref="D21" r:id="rId52"/>
    <hyperlink ref="I21" r:id="rId53" display="http://www.boxofficemojo.com/schedule/?view=bydate&amp;release=theatrical&amp;date=2016-07-22&amp;p=.htm"/>
    <hyperlink ref="C22" r:id="rId54"/>
    <hyperlink ref="D22" r:id="rId55"/>
    <hyperlink ref="I22" r:id="rId56" display="http://www.boxofficemojo.com/schedule/?view=bydate&amp;release=theatrical&amp;date=2016-05-27&amp;p=.htm"/>
    <hyperlink ref="C23" r:id="rId57"/>
    <hyperlink ref="D23" r:id="rId58"/>
    <hyperlink ref="I23" r:id="rId59" display="http://www.boxofficemojo.com/schedule/?view=bydate&amp;release=theatrical&amp;date=2016-11-04&amp;p=.htm"/>
    <hyperlink ref="C24" r:id="rId60"/>
    <hyperlink ref="D24" r:id="rId61"/>
    <hyperlink ref="I24" r:id="rId62" display="http://www.boxofficemojo.com/schedule/?view=bydate&amp;release=theatrical&amp;date=2016-12-09&amp;p=.htm"/>
    <hyperlink ref="C25" r:id="rId63"/>
    <hyperlink ref="D25" r:id="rId64"/>
    <hyperlink ref="I25" r:id="rId65" display="http://www.boxofficemojo.com/schedule/?view=bydate&amp;release=theatrical&amp;date=2016-01-29&amp;p=.htm"/>
    <hyperlink ref="C26" r:id="rId66"/>
    <hyperlink ref="D26" r:id="rId67"/>
    <hyperlink ref="I26" r:id="rId68" display="http://www.boxofficemojo.com/schedule/?view=bydate&amp;release=theatrical&amp;date=2016-07-15&amp;p=.htm"/>
    <hyperlink ref="C27" r:id="rId69"/>
    <hyperlink ref="D27" r:id="rId70"/>
    <hyperlink ref="I27" r:id="rId71" display="http://www.boxofficemojo.com/schedule/?view=bydate&amp;release=theatrical&amp;date=2016-06-17&amp;p=.htm"/>
    <hyperlink ref="C28" r:id="rId72"/>
    <hyperlink ref="D28" r:id="rId73"/>
    <hyperlink ref="I28" r:id="rId74" display="http://www.boxofficemojo.com/schedule/?view=bydate&amp;release=theatrical&amp;date=2016-07-01&amp;p=.htm"/>
    <hyperlink ref="C29" r:id="rId75"/>
    <hyperlink ref="D29" r:id="rId76"/>
    <hyperlink ref="I29" r:id="rId77" display="http://www.boxofficemojo.com/schedule/?view=bydate&amp;release=theatrical&amp;date=2016-09-09&amp;p=.htm"/>
    <hyperlink ref="C30" r:id="rId78"/>
    <hyperlink ref="D30" r:id="rId79"/>
    <hyperlink ref="I30" r:id="rId80" display="http://www.boxofficemojo.com/schedule/?view=bydate&amp;release=theatrical&amp;date=2016-07-29&amp;p=.htm"/>
    <hyperlink ref="C31" r:id="rId81"/>
    <hyperlink ref="D31" r:id="rId82"/>
    <hyperlink ref="I31" r:id="rId83" display="http://www.boxofficemojo.com/schedule/?view=bydate&amp;release=theatrical&amp;date=2016-05-20&amp;p=.htm"/>
    <hyperlink ref="C32" r:id="rId84"/>
    <hyperlink ref="D32" r:id="rId85"/>
    <hyperlink ref="I32" r:id="rId86" display="http://www.boxofficemojo.com/schedule/?view=bydate&amp;release=theatrical&amp;date=2016-06-24&amp;p=.htm"/>
    <hyperlink ref="C33" r:id="rId87"/>
    <hyperlink ref="D33" r:id="rId88"/>
    <hyperlink ref="I33" r:id="rId89" display="http://www.boxofficemojo.com/schedule/?view=bydate&amp;release=theatrical&amp;date=2016-06-10&amp;p=.htm"/>
    <hyperlink ref="C34" r:id="rId90"/>
    <hyperlink ref="D34" r:id="rId91"/>
    <hyperlink ref="I34" r:id="rId92" display="http://www.boxofficemojo.com/schedule/?view=bydate&amp;release=theatrical&amp;date=2016-11-11&amp;p=.htm"/>
    <hyperlink ref="C35" r:id="rId93"/>
    <hyperlink ref="D35" r:id="rId94"/>
    <hyperlink ref="I35" r:id="rId95" display="http://www.boxofficemojo.com/schedule/?view=bydate&amp;release=theatrical&amp;date=2016-12-21&amp;p=.htm"/>
    <hyperlink ref="C36" r:id="rId96"/>
    <hyperlink ref="D36" r:id="rId97"/>
    <hyperlink ref="I36" r:id="rId98" display="http://www.boxofficemojo.com/schedule/?view=bydate&amp;release=theatrical&amp;date=2016-08-12&amp;p=.htm"/>
    <hyperlink ref="C37" r:id="rId99"/>
    <hyperlink ref="D37" r:id="rId100"/>
    <hyperlink ref="I37" r:id="rId101" display="http://www.boxofficemojo.com/schedule/?view=bydate&amp;release=theatrical&amp;date=2016-09-23&amp;p=.htm"/>
    <hyperlink ref="C38" r:id="rId102"/>
    <hyperlink ref="D38" r:id="rId103"/>
    <hyperlink ref="I38" r:id="rId104" display="http://www.boxofficemojo.com/schedule/?view=bydate&amp;release=theatrical&amp;date=2016-01-15&amp;p=.htm"/>
    <hyperlink ref="C39" r:id="rId105"/>
    <hyperlink ref="D39" r:id="rId106"/>
    <hyperlink ref="I39" r:id="rId107" display="http://www.boxofficemojo.com/schedule/?view=bydate&amp;release=theatrical&amp;date=2016-08-26&amp;p=.htm"/>
    <hyperlink ref="C40" r:id="rId108"/>
    <hyperlink ref="D40" r:id="rId109"/>
    <hyperlink ref="I40" r:id="rId110" display="http://www.boxofficemojo.com/schedule/?view=bydate&amp;release=theatrical&amp;date=2016-09-30&amp;p=.htm"/>
    <hyperlink ref="C41" r:id="rId111"/>
    <hyperlink ref="D41" r:id="rId112"/>
    <hyperlink ref="I41" r:id="rId113" display="http://www.boxofficemojo.com/schedule/?view=bydate&amp;release=theatrical&amp;date=2016-10-14&amp;p=.htm"/>
    <hyperlink ref="C42" r:id="rId114"/>
    <hyperlink ref="D42" r:id="rId115"/>
    <hyperlink ref="I42" r:id="rId116" display="http://www.boxofficemojo.com/schedule/?view=bydate&amp;release=theatrical&amp;date=2016-06-03&amp;p=.htm"/>
    <hyperlink ref="C43" r:id="rId117"/>
    <hyperlink ref="D43" r:id="rId118"/>
    <hyperlink ref="I43" r:id="rId119" display="http://www.boxofficemojo.com/schedule/?view=bydate&amp;release=theatrical&amp;date=2016-07-01&amp;p=.htm"/>
    <hyperlink ref="C44" r:id="rId120"/>
    <hyperlink ref="D44" r:id="rId121"/>
    <hyperlink ref="I44" r:id="rId122" display="http://www.boxofficemojo.com/schedule/?view=bydate&amp;release=theatrical&amp;date=2016-05-27&amp;p=.htm"/>
    <hyperlink ref="C45" r:id="rId123"/>
    <hyperlink ref="D45" r:id="rId124"/>
    <hyperlink ref="I45" r:id="rId125" display="http://www.boxofficemojo.com/schedule/?view=bydate&amp;release=theatrical&amp;date=2016-08-12&amp;p=.htm"/>
    <hyperlink ref="C46" r:id="rId126"/>
    <hyperlink ref="D46" r:id="rId127"/>
    <hyperlink ref="I46" r:id="rId128" display="http://www.boxofficemojo.com/schedule/?view=bydate&amp;release=theatrical&amp;date=2016-10-07&amp;p=.htm"/>
    <hyperlink ref="C47" r:id="rId129"/>
    <hyperlink ref="D47" r:id="rId130"/>
    <hyperlink ref="I47" r:id="rId131" display="http://www.boxofficemojo.com/schedule/?view=bydate&amp;release=theatrical&amp;date=2016-10-21&amp;p=.htm"/>
    <hyperlink ref="C48" r:id="rId132"/>
    <hyperlink ref="D48" r:id="rId133"/>
    <hyperlink ref="I48" r:id="rId134" display="http://www.boxofficemojo.com/schedule/?view=bydate&amp;release=theatrical&amp;date=2016-09-23&amp;p=.htm"/>
    <hyperlink ref="C49" r:id="rId135"/>
    <hyperlink ref="D49" r:id="rId136"/>
    <hyperlink ref="I49" r:id="rId137" display="http://www.boxofficemojo.com/schedule/?view=bydate&amp;release=theatrical&amp;date=2016-03-11&amp;p=.htm"/>
    <hyperlink ref="C50" r:id="rId138"/>
    <hyperlink ref="D50" r:id="rId139"/>
    <hyperlink ref="I50" r:id="rId140" display="http://www.boxofficemojo.com/schedule/?view=bydate&amp;release=theatrical&amp;date=2016-07-22&amp;p=.htm"/>
    <hyperlink ref="C51" r:id="rId141"/>
    <hyperlink ref="D51" r:id="rId142"/>
    <hyperlink ref="I51" r:id="rId143" display="http://www.boxofficemojo.com/schedule/?view=bydate&amp;release=theatrical&amp;date=2016-11-04&amp;p=.htm"/>
    <hyperlink ref="C52" r:id="rId144"/>
    <hyperlink ref="D52" r:id="rId145"/>
    <hyperlink ref="I52" r:id="rId146" display="http://www.boxofficemojo.com/schedule/?view=bydate&amp;release=theatrical&amp;date=2016-03-18&amp;p=.htm"/>
    <hyperlink ref="C53" r:id="rId147"/>
    <hyperlink ref="D53" r:id="rId148"/>
    <hyperlink ref="I53" r:id="rId149" display="http://www.boxofficemojo.com/schedule/?view=bydate&amp;release=theatrical&amp;date=2016-06-10&amp;p=.htm"/>
    <hyperlink ref="C54" r:id="rId150"/>
    <hyperlink ref="D54" r:id="rId151"/>
    <hyperlink ref="I54" r:id="rId152" display="http://www.boxofficemojo.com/schedule/?view=bydate&amp;release=theatrical&amp;date=2016-07-22&amp;p=.htm"/>
    <hyperlink ref="C55" r:id="rId153"/>
    <hyperlink ref="D55" r:id="rId154"/>
    <hyperlink ref="I55" r:id="rId155" display="http://www.boxofficemojo.com/schedule/?view=bydate&amp;release=theatrical&amp;date=2016-04-08&amp;p=.htm"/>
    <hyperlink ref="C56" r:id="rId156"/>
    <hyperlink ref="D56" r:id="rId157"/>
    <hyperlink ref="I56" r:id="rId158" display="http://www.boxofficemojo.com/schedule/?view=bydate&amp;release=theatrical&amp;date=2016-03-04&amp;p=.htm"/>
    <hyperlink ref="C57" r:id="rId159"/>
    <hyperlink ref="D57" r:id="rId160"/>
    <hyperlink ref="I57" r:id="rId161" display="http://www.boxofficemojo.com/schedule/?view=bydate&amp;release=theatrical&amp;date=2016-03-16&amp;p=.htm"/>
    <hyperlink ref="C58" r:id="rId162"/>
    <hyperlink ref="D58" r:id="rId163"/>
    <hyperlink ref="I58" r:id="rId164" display="http://www.boxofficemojo.com/schedule/?view=bydate&amp;release=theatrical&amp;date=2016-09-30&amp;p=.htm"/>
    <hyperlink ref="C59" r:id="rId165"/>
    <hyperlink ref="D59" r:id="rId166"/>
    <hyperlink ref="I59" r:id="rId167" display="http://www.boxofficemojo.com/schedule/?view=bydate&amp;release=theatrical&amp;date=2016-12-23&amp;p=.htm"/>
    <hyperlink ref="C60" r:id="rId168"/>
    <hyperlink ref="D60" r:id="rId169"/>
    <hyperlink ref="I60" r:id="rId170" display="http://www.boxofficemojo.com/schedule/?view=bydate&amp;release=theatrical&amp;date=2016-03-25&amp;p=.htm"/>
    <hyperlink ref="C61" r:id="rId171"/>
    <hyperlink ref="D61" r:id="rId172"/>
    <hyperlink ref="I61" r:id="rId173" display="http://www.boxofficemojo.com/schedule/?view=bydate&amp;release=theatrical&amp;date=2016-10-21&amp;p=.htm"/>
    <hyperlink ref="C62" r:id="rId174"/>
    <hyperlink ref="D62" r:id="rId175"/>
    <hyperlink ref="I62" r:id="rId176" display="http://www.boxofficemojo.com/schedule/?view=bydate&amp;release=theatrical&amp;date=2016-12-16&amp;p=.htm"/>
    <hyperlink ref="C63" r:id="rId177"/>
    <hyperlink ref="D63" r:id="rId178"/>
    <hyperlink ref="I63" r:id="rId179" display="http://www.boxofficemojo.com/schedule/?view=bydate&amp;release=theatrical&amp;date=2016-06-03&amp;p=.htm"/>
    <hyperlink ref="C64" r:id="rId180"/>
    <hyperlink ref="D64" r:id="rId181"/>
    <hyperlink ref="I64" r:id="rId182" display="http://www.boxofficemojo.com/schedule/?view=bydate&amp;release=theatrical&amp;date=2016-07-01&amp;p=.htm"/>
    <hyperlink ref="C65" r:id="rId183"/>
    <hyperlink ref="D65" r:id="rId184"/>
    <hyperlink ref="I65" r:id="rId185" display="http://www.boxofficemojo.com/schedule/?view=bydate&amp;release=theatrical&amp;date=2016-05-20&amp;p=.htm"/>
    <hyperlink ref="C66" r:id="rId186"/>
    <hyperlink ref="D66" r:id="rId187"/>
    <hyperlink ref="I66" r:id="rId188" display="http://www.boxofficemojo.com/schedule/?view=bydate&amp;release=theatrical&amp;date=2016-06-24&amp;p=.htm"/>
    <hyperlink ref="C67" r:id="rId189"/>
    <hyperlink ref="D67" r:id="rId190"/>
    <hyperlink ref="I67" r:id="rId191" display="http://www.boxofficemojo.com/schedule/?view=bydate&amp;release=theatrical&amp;date=2016-12-09&amp;p=.htm"/>
    <hyperlink ref="C68" r:id="rId192"/>
    <hyperlink ref="D68" r:id="rId193"/>
    <hyperlink ref="I68" r:id="rId194" display="http://www.boxofficemojo.com/schedule/?view=bydate&amp;release=theatrical&amp;date=2016-12-21&amp;p=.htm"/>
    <hyperlink ref="C69" r:id="rId195"/>
    <hyperlink ref="D69" r:id="rId196"/>
    <hyperlink ref="I69" r:id="rId197" display="http://www.boxofficemojo.com/schedule/?view=bydate&amp;release=theatrical&amp;date=2016-04-15&amp;p=.htm"/>
    <hyperlink ref="C70" r:id="rId198"/>
    <hyperlink ref="D70" r:id="rId199"/>
    <hyperlink ref="I70" r:id="rId200" display="http://www.boxofficemojo.com/schedule/?view=bydate&amp;release=theatrical&amp;date=2016-01-15&amp;p=.htm"/>
    <hyperlink ref="C71" r:id="rId201"/>
    <hyperlink ref="D71" r:id="rId202"/>
    <hyperlink ref="I71" r:id="rId203" display="http://www.boxofficemojo.com/schedule/?view=bydate&amp;release=theatrical&amp;date=2016-11-25&amp;p=.htm"/>
    <hyperlink ref="C72" r:id="rId204"/>
    <hyperlink ref="D72" r:id="rId205"/>
    <hyperlink ref="I72" r:id="rId206" display="http://www.boxofficemojo.com/schedule/?view=bydate&amp;release=theatrical&amp;date=2016-04-22&amp;p=.htm"/>
    <hyperlink ref="C73" r:id="rId207"/>
    <hyperlink ref="D73" r:id="rId208"/>
    <hyperlink ref="I73" r:id="rId209" display="http://www.boxofficemojo.com/schedule/?view=bydate&amp;release=theatrical&amp;date=2016-08-19&amp;p=.htm"/>
    <hyperlink ref="C74" r:id="rId210"/>
    <hyperlink ref="D74" r:id="rId211"/>
    <hyperlink ref="I74" r:id="rId212" display="http://www.boxofficemojo.com/schedule/?view=bydate&amp;release=theatrical&amp;date=2016-11-18&amp;p=.htm"/>
    <hyperlink ref="C75" r:id="rId213"/>
    <hyperlink ref="D75" r:id="rId214"/>
    <hyperlink ref="I75" r:id="rId215" display="http://www.boxofficemojo.com/schedule/?view=bydate&amp;release=theatrical&amp;date=2016-06-10&amp;p=.htm"/>
    <hyperlink ref="C76" r:id="rId216"/>
    <hyperlink ref="D76" r:id="rId217"/>
    <hyperlink ref="I76" r:id="rId218" display="http://www.boxofficemojo.com/schedule/?view=bydate&amp;release=theatrical&amp;date=2016-02-12&amp;p=.htm"/>
    <hyperlink ref="C77" r:id="rId219"/>
    <hyperlink ref="D77" r:id="rId220"/>
    <hyperlink ref="I77" r:id="rId221" display="http://www.boxofficemojo.com/schedule/?view=bydate&amp;release=theatrical&amp;date=2016-07-08&amp;p=.htm"/>
    <hyperlink ref="C78" r:id="rId222"/>
    <hyperlink ref="D78" r:id="rId223"/>
    <hyperlink ref="I78" r:id="rId224" display="http://www.boxofficemojo.com/schedule/?view=bydate&amp;release=theatrical&amp;date=2016-08-19&amp;p=.htm"/>
    <hyperlink ref="C79" r:id="rId225"/>
    <hyperlink ref="D79" r:id="rId226"/>
    <hyperlink ref="I79" r:id="rId227" display="http://www.boxofficemojo.com/schedule/?view=bydate&amp;release=theatrical&amp;date=2016-11-11&amp;p=.htm"/>
    <hyperlink ref="C80" r:id="rId228"/>
    <hyperlink ref="D80" r:id="rId229"/>
    <hyperlink ref="I80" r:id="rId230" display="http://www.boxofficemojo.com/schedule/?view=bydate&amp;release=theatrical&amp;date=2016-05-13&amp;p=.htm"/>
    <hyperlink ref="C81" r:id="rId231"/>
    <hyperlink ref="D81" r:id="rId232"/>
    <hyperlink ref="I81" r:id="rId233" display="http://www.boxofficemojo.com/schedule/?view=bydate&amp;release=theatrical&amp;date=2016-11-23&amp;p=.htm"/>
    <hyperlink ref="C82" r:id="rId234"/>
    <hyperlink ref="D82" r:id="rId235"/>
    <hyperlink ref="I82" r:id="rId236" display="http://www.boxofficemojo.com/schedule/?view=bydate&amp;release=theatrical&amp;date=2016-07-27&amp;p=.htm"/>
    <hyperlink ref="C83" r:id="rId237"/>
    <hyperlink ref="D83" r:id="rId238"/>
    <hyperlink ref="I83" r:id="rId239" display="http://www.boxofficemojo.com/schedule/?view=bydate&amp;release=theatrical&amp;date=2016-02-19&amp;p=.htm"/>
    <hyperlink ref="C84" r:id="rId240"/>
    <hyperlink ref="D84" r:id="rId241"/>
    <hyperlink ref="I84" r:id="rId242" display="http://www.boxofficemojo.com/schedule/?view=bydate&amp;release=theatrical&amp;date=2016-05-20&amp;p=.htm"/>
    <hyperlink ref="C85" r:id="rId243"/>
    <hyperlink ref="D85" r:id="rId244"/>
    <hyperlink ref="I85" r:id="rId245" display="http://www.boxofficemojo.com/schedule/?view=bydate&amp;release=theatrical&amp;date=2016-01-22&amp;p=.htm"/>
    <hyperlink ref="C86" r:id="rId246"/>
    <hyperlink ref="D86" r:id="rId247"/>
    <hyperlink ref="I86" r:id="rId248" display="http://www.boxofficemojo.com/schedule/?view=bydate&amp;release=theatrical&amp;date=2016-01-22&amp;p=.htm"/>
    <hyperlink ref="C87" r:id="rId249"/>
    <hyperlink ref="D87" r:id="rId250"/>
    <hyperlink ref="I87" r:id="rId251" display="http://www.boxofficemojo.com/schedule/?view=bydate&amp;release=theatrical&amp;date=2016-10-21&amp;p=.htm"/>
    <hyperlink ref="C88" r:id="rId252"/>
    <hyperlink ref="D88" r:id="rId253"/>
    <hyperlink ref="I88" r:id="rId254" display="http://www.boxofficemojo.com/schedule/?view=bydate&amp;release=theatrical&amp;date=2016-01-22&amp;p=.htm"/>
    <hyperlink ref="C89" r:id="rId255"/>
    <hyperlink ref="D89" r:id="rId256"/>
    <hyperlink ref="I89" r:id="rId257" display="http://www.boxofficemojo.com/schedule/?view=bydate&amp;release=theatrical&amp;date=2016-10-28&amp;p=.htm"/>
    <hyperlink ref="C90" r:id="rId258"/>
    <hyperlink ref="D90" r:id="rId259"/>
    <hyperlink ref="I90" r:id="rId260" display="http://www.boxofficemojo.com/schedule/?view=bydate&amp;release=theatrical&amp;date=2016-04-29&amp;p=.htm"/>
    <hyperlink ref="C91" r:id="rId261"/>
    <hyperlink ref="D91" r:id="rId262"/>
    <hyperlink ref="I91" r:id="rId263" display="http://www.boxofficemojo.com/schedule/?view=bydate&amp;release=theatrical&amp;date=2016-12-21&amp;p=.htm"/>
    <hyperlink ref="C92" r:id="rId264"/>
    <hyperlink ref="D92" r:id="rId265"/>
    <hyperlink ref="I92" r:id="rId266" display="http://www.boxofficemojo.com/schedule/?view=bydate&amp;release=theatrical&amp;date=2016-02-26&amp;p=.htm"/>
    <hyperlink ref="C93" r:id="rId267"/>
    <hyperlink ref="D93" r:id="rId268"/>
    <hyperlink ref="I93" r:id="rId269" display="http://www.boxofficemojo.com/schedule/?view=bydate&amp;release=theatrical&amp;date=2016-12-16&amp;p=.htm"/>
    <hyperlink ref="C94" r:id="rId270"/>
    <hyperlink ref="D94" r:id="rId271"/>
    <hyperlink ref="I94" r:id="rId272" display="http://www.boxofficemojo.com/schedule/?view=bydate&amp;release=theatrical&amp;date=2016-02-05&amp;p=.htm"/>
    <hyperlink ref="C95" r:id="rId273"/>
    <hyperlink ref="D95" r:id="rId274"/>
    <hyperlink ref="I95" r:id="rId275" display="http://www.boxofficemojo.com/schedule/?view=bydate&amp;release=theatrical&amp;date=2016-09-09&amp;p=.htm"/>
    <hyperlink ref="C96" r:id="rId276"/>
    <hyperlink ref="D96" r:id="rId277"/>
    <hyperlink ref="I96" r:id="rId278" display="http://www.boxofficemojo.com/schedule/?view=bydate&amp;release=theatrical&amp;date=2016-02-12&amp;p=.htm"/>
    <hyperlink ref="C97" r:id="rId279"/>
    <hyperlink ref="D97" r:id="rId280"/>
    <hyperlink ref="I97" r:id="rId281" display="http://www.boxofficemojo.com/schedule/?view=bydate&amp;release=theatrical&amp;date=2016-10-21&amp;p=.htm"/>
    <hyperlink ref="C98" r:id="rId282"/>
    <hyperlink ref="D98" r:id="rId283"/>
    <hyperlink ref="I98" r:id="rId284" display="http://www.boxofficemojo.com/schedule/?view=bydate&amp;release=theatrical&amp;date=2016-01-29&amp;p=.htm"/>
    <hyperlink ref="C99" r:id="rId285"/>
    <hyperlink ref="D99" r:id="rId286"/>
    <hyperlink ref="I99" r:id="rId287" display="http://www.boxofficemojo.com/schedule/?view=bydate&amp;release=theatrical&amp;date=2016-08-12&amp;p=.htm"/>
    <hyperlink ref="C100" r:id="rId288"/>
    <hyperlink ref="D100" r:id="rId289"/>
    <hyperlink ref="I100" r:id="rId290" display="http://www.boxofficemojo.com/schedule/?view=bydate&amp;release=theatrical&amp;date=2016-08-12&amp;p=.htm"/>
    <hyperlink ref="C101" r:id="rId291"/>
    <hyperlink ref="D101" r:id="rId292"/>
    <hyperlink ref="I101" r:id="rId293" display="http://www.boxofficemojo.com/schedule/?view=bydate&amp;release=theatrical&amp;date=2016-01-08&amp;p=.htm"/>
    <hyperlink ref="C102" r:id="rId294"/>
    <hyperlink ref="D102" r:id="rId295"/>
    <hyperlink ref="I102" r:id="rId296" display="http://www.boxofficemojo.com/schedule/?view=bydate&amp;release=theatrical&amp;date=2016-08-19&amp;p=.htm"/>
    <hyperlink ref="C103" r:id="rId297"/>
    <hyperlink ref="D103" r:id="rId298"/>
    <hyperlink ref="I103" r:id="rId299" display="http://www.boxofficemojo.com/schedule/?view=bydate&amp;release=theatrical&amp;date=2016-02-19&amp;p=.htm"/>
    <hyperlink ref="C104" r:id="rId300"/>
    <hyperlink ref="D104" r:id="rId301"/>
    <hyperlink ref="I104" r:id="rId302" display="http://www.boxofficemojo.com/schedule/?view=bydate&amp;release=theatrical&amp;date=2016-09-16&amp;p=.htm"/>
    <hyperlink ref="C105" r:id="rId303"/>
    <hyperlink ref="D105" r:id="rId304"/>
    <hyperlink ref="I105" r:id="rId305" display="http://www.boxofficemojo.com/schedule/?view=bydate&amp;release=theatrical&amp;date=2016-10-14&amp;p=.htm"/>
    <hyperlink ref="C106" r:id="rId306"/>
    <hyperlink ref="D106" r:id="rId307"/>
    <hyperlink ref="I106" r:id="rId308" display="http://www.boxofficemojo.com/schedule/?view=bydate&amp;release=theatrical&amp;date=2016-03-04&amp;p=.htm"/>
    <hyperlink ref="C107" r:id="rId309"/>
    <hyperlink ref="D107" r:id="rId310"/>
    <hyperlink ref="I107" r:id="rId311" display="http://www.boxofficemojo.com/schedule/?view=bydate&amp;release=theatrical&amp;date=2016-09-16&amp;p=.htm"/>
    <hyperlink ref="C108" r:id="rId312"/>
    <hyperlink ref="D108" r:id="rId313"/>
    <hyperlink ref="I108" r:id="rId314" display="http://www.boxofficemojo.com/schedule/?view=bydate&amp;release=theatrical&amp;date=2016-08-26&amp;p=.htm"/>
    <hyperlink ref="C109" r:id="rId315"/>
    <hyperlink ref="D109" r:id="rId316"/>
    <hyperlink ref="I109" r:id="rId317" display="http://www.boxofficemojo.com/schedule/?view=bydate&amp;release=theatrical&amp;date=2016-06-24&amp;p=.htm"/>
    <hyperlink ref="C110" r:id="rId318"/>
    <hyperlink ref="D110" r:id="rId319"/>
    <hyperlink ref="I110" r:id="rId320" display="http://www.boxofficemojo.com/schedule/?view=bydate&amp;release=theatrical&amp;date=2016-09-16&amp;p=.htm"/>
    <hyperlink ref="C111" r:id="rId321"/>
    <hyperlink ref="D111" r:id="rId322"/>
    <hyperlink ref="I111" r:id="rId323" display="http://www.boxofficemojo.com/schedule/?view=bydate&amp;release=theatrical&amp;date=2016-04-01&amp;p=.htm"/>
    <hyperlink ref="C112" r:id="rId324"/>
    <hyperlink ref="D112" r:id="rId325"/>
    <hyperlink ref="I112" r:id="rId326" display="http://www.boxofficemojo.com/schedule/?view=bydate&amp;release=theatrical&amp;date=2016-04-29&amp;p=.htm"/>
    <hyperlink ref="C113" r:id="rId327"/>
    <hyperlink ref="D113" r:id="rId328"/>
    <hyperlink ref="I113" r:id="rId329" display="http://www.boxofficemojo.com/schedule/?view=bydate&amp;release=theatrical&amp;date=2016-10-07&amp;p=.htm"/>
    <hyperlink ref="C114" r:id="rId330"/>
    <hyperlink ref="D114" r:id="rId331"/>
    <hyperlink ref="I114" r:id="rId332" display="http://www.boxofficemojo.com/schedule/?view=bydate&amp;release=theatrical&amp;date=2016-08-05&amp;p=.htm"/>
    <hyperlink ref="C115" r:id="rId333"/>
    <hyperlink ref="D115" r:id="rId334"/>
    <hyperlink ref="I115" r:id="rId335" display="http://www.boxofficemojo.com/schedule/?view=bydate&amp;release=theatrical&amp;date=2016-02-19&amp;p=.htm"/>
    <hyperlink ref="C116" r:id="rId336"/>
    <hyperlink ref="D116" r:id="rId337"/>
    <hyperlink ref="I116" r:id="rId338" display="http://www.boxofficemojo.com/schedule/?view=bydate&amp;release=theatrical&amp;date=2016-02-05&amp;p=.htm"/>
    <hyperlink ref="C117" r:id="rId339"/>
    <hyperlink ref="D117" r:id="rId340"/>
    <hyperlink ref="I117" r:id="rId341" display="http://www.boxofficemojo.com/schedule/?view=bydate&amp;release=theatrical&amp;date=2016-03-11&amp;p=.htm"/>
    <hyperlink ref="C118" r:id="rId342"/>
    <hyperlink ref="D118" r:id="rId343"/>
    <hyperlink ref="I118" r:id="rId344" display="http://www.boxofficemojo.com/schedule/?view=bydate&amp;release=theatrical&amp;date=2016-11-23&amp;p=.htm"/>
    <hyperlink ref="C119" r:id="rId345"/>
    <hyperlink ref="D119" r:id="rId346"/>
    <hyperlink ref="I119" r:id="rId347" display="http://www.boxofficemojo.com/schedule/?view=bydate&amp;release=theatrical&amp;date=2016-09-30&amp;p=.htm"/>
    <hyperlink ref="C120" r:id="rId348"/>
    <hyperlink ref="D120" r:id="rId349"/>
    <hyperlink ref="I120" r:id="rId350" display="http://www.boxofficemojo.com/schedule/?view=bydate&amp;release=theatrical&amp;date=2016-01-15&amp;p=.htm"/>
    <hyperlink ref="C121" r:id="rId351"/>
    <hyperlink ref="D121" r:id="rId352"/>
    <hyperlink ref="I121" r:id="rId353" display="http://www.boxofficemojo.com/schedule/?view=bydate&amp;release=theatrical&amp;date=2016-10-07&amp;p=.htm"/>
    <hyperlink ref="C122" r:id="rId354"/>
    <hyperlink ref="D122" r:id="rId355"/>
    <hyperlink ref="I122" r:id="rId356" display="http://www.boxofficemojo.com/schedule/?view=bydate&amp;release=theatrical&amp;date=2016-02-26&amp;p=.htm"/>
    <hyperlink ref="C123" r:id="rId357"/>
    <hyperlink ref="D123" r:id="rId358"/>
    <hyperlink ref="I123" r:id="rId359" display="http://www.boxofficemojo.com/schedule/?view=bydate&amp;release=theatrical&amp;date=2016-07-13&amp;p=.htm"/>
    <hyperlink ref="C124" r:id="rId360"/>
    <hyperlink ref="D124" r:id="rId361"/>
    <hyperlink ref="I124" r:id="rId362" display="http://www.boxofficemojo.com/schedule/?view=bydate&amp;release=theatrical&amp;date=2016-10-21&amp;p=.htm"/>
    <hyperlink ref="C125" r:id="rId363"/>
    <hyperlink ref="D125" r:id="rId364"/>
    <hyperlink ref="I125" r:id="rId365" display="http://www.boxofficemojo.com/schedule/?view=bydate&amp;release=theatrical&amp;date=2016-04-15&amp;p=.htm"/>
    <hyperlink ref="C126" r:id="rId366"/>
    <hyperlink ref="D126" r:id="rId367"/>
    <hyperlink ref="I126" r:id="rId368" display="http://www.boxofficemojo.com/schedule/?view=bydate&amp;release=theatrical&amp;date=2016-03-11&amp;p=.htm"/>
    <hyperlink ref="C127" r:id="rId369"/>
    <hyperlink ref="D127" r:id="rId370"/>
    <hyperlink ref="I127" r:id="rId371" display="http://www.boxofficemojo.com/schedule/?view=bydate&amp;release=theatrical&amp;date=2016-11-18&amp;p=.htm"/>
    <hyperlink ref="C128" r:id="rId372"/>
    <hyperlink ref="D128" r:id="rId373"/>
    <hyperlink ref="I128" r:id="rId374" display="http://www.boxofficemojo.com/schedule/?view=bydate&amp;release=theatrical&amp;date=2016-05-13&amp;p=.htm"/>
    <hyperlink ref="C129" r:id="rId375"/>
    <hyperlink ref="D129" r:id="rId376"/>
    <hyperlink ref="I129" r:id="rId377" display="http://www.boxofficemojo.com/schedule/?view=bydate&amp;release=theatrical&amp;date=2016-12-02&amp;p=.htm"/>
    <hyperlink ref="C130" r:id="rId378"/>
    <hyperlink ref="D130" r:id="rId379"/>
    <hyperlink ref="I130" r:id="rId380" display="http://www.boxofficemojo.com/schedule/?view=bydate&amp;release=theatrical&amp;date=2016-04-29&amp;p=.htm"/>
    <hyperlink ref="C131" r:id="rId381"/>
    <hyperlink ref="D131" r:id="rId382"/>
    <hyperlink ref="I131" r:id="rId383" display="http://www.boxofficemojo.com/schedule/?view=bydate&amp;release=theatrical&amp;date=2016-07-15&amp;p=.htm"/>
    <hyperlink ref="C132" r:id="rId384"/>
    <hyperlink ref="D132" r:id="rId385"/>
    <hyperlink ref="I132" r:id="rId386" display="http://www.boxofficemojo.com/schedule/?view=bydate&amp;release=theatrical&amp;date=2016-02-26&amp;p=.htm"/>
    <hyperlink ref="C133" r:id="rId387"/>
    <hyperlink ref="D133" r:id="rId388"/>
    <hyperlink ref="I133" r:id="rId389" display="http://www.boxofficemojo.com/schedule/?view=bydate&amp;release=theatrical&amp;date=2016-09-02&amp;p=.htm"/>
    <hyperlink ref="C134" r:id="rId390"/>
    <hyperlink ref="D134" r:id="rId391"/>
    <hyperlink ref="I134" r:id="rId392" display="http://www.boxofficemojo.com/schedule/?view=bydate&amp;release=theatrical&amp;date=2016-12-21&amp;p=.htm"/>
    <hyperlink ref="C135" r:id="rId393"/>
    <hyperlink ref="D135" r:id="rId394"/>
    <hyperlink ref="I135" r:id="rId395" display="http://www.boxofficemojo.com/schedule/?view=bydate&amp;release=theatrical&amp;date=2016-01-29&amp;p=.htm"/>
    <hyperlink ref="C136" r:id="rId396"/>
    <hyperlink ref="D136" r:id="rId397"/>
    <hyperlink ref="I136" r:id="rId398" display="http://www.boxofficemojo.com/schedule/?view=bydate&amp;release=theatrical&amp;date=2016-09-02&amp;p=.htm"/>
    <hyperlink ref="C137" r:id="rId399"/>
    <hyperlink ref="D137" r:id="rId400"/>
    <hyperlink ref="I137" r:id="rId401" display="http://www.boxofficemojo.com/schedule/?view=bydate&amp;release=theatrical&amp;date=2016-07-15&amp;p=.htm"/>
    <hyperlink ref="C138" r:id="rId402"/>
    <hyperlink ref="D138" r:id="rId403"/>
    <hyperlink ref="I138" r:id="rId404" display="http://www.boxofficemojo.com/schedule/?view=bydate&amp;release=theatrical&amp;date=2016-02-05&amp;p=.htm"/>
    <hyperlink ref="C139" r:id="rId405"/>
    <hyperlink ref="D139" r:id="rId406"/>
    <hyperlink ref="I139" r:id="rId407" display="http://www.boxofficemojo.com/schedule/?view=bydate&amp;release=theatrical&amp;date=2016-05-13&amp;p=.htm"/>
    <hyperlink ref="C140" r:id="rId408"/>
    <hyperlink ref="D140" r:id="rId409"/>
    <hyperlink ref="I140" r:id="rId410" display="http://www.boxofficemojo.com/schedule/?view=bydate&amp;release=theatrical&amp;date=2016-11-18&amp;p=.htm"/>
    <hyperlink ref="C141" r:id="rId411"/>
    <hyperlink ref="D141" r:id="rId412"/>
    <hyperlink ref="I141" r:id="rId413" display="http://www.boxofficemojo.com/schedule/?view=bydate&amp;release=theatrical&amp;date=2016-12-25&amp;p=.htm"/>
    <hyperlink ref="C142" r:id="rId414"/>
    <hyperlink ref="D142" r:id="rId415"/>
    <hyperlink ref="I142" r:id="rId416" display="http://www.boxofficemojo.com/schedule/?view=bydate&amp;release=theatrical&amp;date=2016-03-11&amp;p=.htm"/>
    <hyperlink ref="C143" r:id="rId417"/>
    <hyperlink ref="D143" r:id="rId418"/>
    <hyperlink ref="I143" r:id="rId419" display="http://www.boxofficemojo.com/schedule/?view=bydate&amp;release=theatrical&amp;date=2016-06-03&amp;p=.htm"/>
    <hyperlink ref="C144" r:id="rId420"/>
    <hyperlink ref="D144" r:id="rId421"/>
    <hyperlink ref="I144" r:id="rId422" display="http://www.boxofficemojo.com/schedule/?view=bydate&amp;release=theatrical&amp;date=2016-04-08&amp;p=.htm"/>
    <hyperlink ref="C145" r:id="rId423"/>
    <hyperlink ref="D145" r:id="rId424"/>
    <hyperlink ref="I145" r:id="rId425" display="http://www.boxofficemojo.com/schedule/?view=bydate&amp;release=theatrical&amp;date=2016-04-01&amp;p=.htm"/>
    <hyperlink ref="C146" r:id="rId426"/>
    <hyperlink ref="D146" r:id="rId427"/>
    <hyperlink ref="I146" r:id="rId428" display="http://www.boxofficemojo.com/schedule/?view=bydate&amp;release=theatrical&amp;date=2016-09-23&amp;p=.htm"/>
    <hyperlink ref="C147" r:id="rId429"/>
    <hyperlink ref="D147" r:id="rId430"/>
    <hyperlink ref="I147" r:id="rId431" display="http://www.boxofficemojo.com/schedule/?view=bydate&amp;release=theatrical&amp;date=2016-04-29&amp;p=.htm"/>
    <hyperlink ref="C148" r:id="rId432"/>
    <hyperlink ref="D148" r:id="rId433"/>
    <hyperlink ref="I148" r:id="rId434" display="http://www.boxofficemojo.com/schedule/?view=bydate&amp;release=theatrical&amp;date=2016-05-13&amp;p=.htm"/>
    <hyperlink ref="C149" r:id="rId435"/>
    <hyperlink ref="D149" r:id="rId436"/>
    <hyperlink ref="I149" r:id="rId437" display="http://www.boxofficemojo.com/schedule/?view=bydate&amp;release=theatrical&amp;date=2016-09-09&amp;p=.htm"/>
    <hyperlink ref="C150" r:id="rId438"/>
    <hyperlink ref="D150" r:id="rId439"/>
    <hyperlink ref="I150" r:id="rId440" display="http://www.boxofficemojo.com/schedule/?view=bydate&amp;release=theatrical&amp;date=2016-11-04&amp;p=.htm"/>
    <hyperlink ref="C151" r:id="rId441"/>
    <hyperlink ref="D151" r:id="rId442"/>
    <hyperlink ref="I151" r:id="rId443" display="http://www.boxofficemojo.com/schedule/?view=bydate&amp;release=theatrical&amp;date=2016-12-23&amp;p=.htm"/>
    <hyperlink ref="C152" r:id="rId444"/>
    <hyperlink ref="D152" r:id="rId445"/>
    <hyperlink ref="I152" r:id="rId446" display="http://www.boxofficemojo.com/schedule/?view=bydate&amp;release=theatrical&amp;date=2016-11-11&amp;p=.htm"/>
    <hyperlink ref="C153" r:id="rId447"/>
    <hyperlink ref="D153" r:id="rId448"/>
    <hyperlink ref="I153" r:id="rId449" display="http://www.boxofficemojo.com/schedule/?view=bydate&amp;release=theatrical&amp;date=2016-03-11&amp;p=.htm"/>
    <hyperlink ref="C154" r:id="rId450"/>
    <hyperlink ref="D154" r:id="rId451"/>
    <hyperlink ref="I154" r:id="rId452" display="http://www.boxofficemojo.com/schedule/?view=bydate&amp;release=theatrical&amp;date=2016-03-11&amp;p=.htm"/>
    <hyperlink ref="C155" r:id="rId453"/>
    <hyperlink ref="D155" r:id="rId454"/>
    <hyperlink ref="I155" r:id="rId455" display="http://www.boxofficemojo.com/schedule/?view=bydate&amp;release=theatrical&amp;date=2016-08-26&amp;p=.htm"/>
    <hyperlink ref="C156" r:id="rId456"/>
    <hyperlink ref="D156" r:id="rId457"/>
    <hyperlink ref="I156" r:id="rId458" display="http://www.boxofficemojo.com/schedule/?view=bydate&amp;release=theatrical&amp;date=2016-07-06&amp;p=.htm"/>
    <hyperlink ref="C157" r:id="rId459"/>
    <hyperlink ref="D157" r:id="rId460"/>
    <hyperlink ref="I157" r:id="rId461" display="http://www.boxofficemojo.com/schedule/?view=bydate&amp;release=theatrical&amp;date=2016-07-08&amp;p=.htm"/>
    <hyperlink ref="C158" r:id="rId462"/>
    <hyperlink ref="D158" r:id="rId463"/>
    <hyperlink ref="I158" r:id="rId464" display="http://www.boxofficemojo.com/schedule/?view=bydate&amp;release=theatrical&amp;date=2016-12-28&amp;p=.htm"/>
    <hyperlink ref="C159" r:id="rId465"/>
    <hyperlink ref="D159" r:id="rId466"/>
    <hyperlink ref="I159" r:id="rId467" display="http://www.boxofficemojo.com/schedule/?view=bydate&amp;release=theatrical&amp;date=2016-06-24&amp;p=.htm"/>
    <hyperlink ref="C160" r:id="rId468"/>
    <hyperlink ref="D160" r:id="rId469"/>
    <hyperlink ref="I160" r:id="rId470" display="http://www.boxofficemojo.com/schedule/?view=bydate&amp;release=theatrical&amp;date=2016-11-18&amp;p=.htm"/>
    <hyperlink ref="C161" r:id="rId471"/>
    <hyperlink ref="D161" r:id="rId472"/>
    <hyperlink ref="I161" r:id="rId473" display="http://www.boxofficemojo.com/schedule/?view=bydate&amp;release=theatrical&amp;date=2016-12-02&amp;p=.htm"/>
    <hyperlink ref="C162" r:id="rId474"/>
    <hyperlink ref="D162" r:id="rId475"/>
    <hyperlink ref="I162" r:id="rId476" display="http://www.boxofficemojo.com/schedule/?view=bydate&amp;release=theatrical&amp;date=2016-07-22&amp;p=.htm"/>
    <hyperlink ref="C163" r:id="rId477"/>
    <hyperlink ref="D163" r:id="rId478"/>
    <hyperlink ref="I163" r:id="rId479" display="http://www.boxofficemojo.com/schedule/?view=bydate&amp;release=theatrical&amp;date=2016-08-26&amp;p=.htm"/>
    <hyperlink ref="C164" r:id="rId480"/>
    <hyperlink ref="D164" r:id="rId481"/>
    <hyperlink ref="I164" r:id="rId482" display="http://www.boxofficemojo.com/schedule/?view=bydate&amp;release=theatrical&amp;date=2016-07-22&amp;p=.htm"/>
    <hyperlink ref="C165" r:id="rId483"/>
    <hyperlink ref="D165" r:id="rId484"/>
    <hyperlink ref="I165" r:id="rId485" display="http://www.boxofficemojo.com/schedule/?view=bydate&amp;release=theatrical&amp;date=2016-04-22&amp;p=.htm"/>
    <hyperlink ref="C166" r:id="rId486"/>
    <hyperlink ref="D166" r:id="rId487"/>
    <hyperlink ref="I166" r:id="rId488" display="http://www.boxofficemojo.com/schedule/?view=bydate&amp;release=theatrical&amp;date=2016-10-28&amp;p=.htm"/>
    <hyperlink ref="C167" r:id="rId489"/>
    <hyperlink ref="D167" r:id="rId490"/>
    <hyperlink ref="I167" r:id="rId491" display="http://www.boxofficemojo.com/schedule/?view=bydate&amp;release=theatrical&amp;date=2016-04-22&amp;p=.htm"/>
    <hyperlink ref="C168" r:id="rId492"/>
    <hyperlink ref="D168" r:id="rId493"/>
    <hyperlink ref="I168" r:id="rId494" display="http://www.boxofficemojo.com/schedule/?view=bydate&amp;release=theatrical&amp;date=2016-06-24&amp;p=.htm"/>
    <hyperlink ref="C169" r:id="rId495"/>
    <hyperlink ref="D169" r:id="rId496"/>
    <hyperlink ref="I169" r:id="rId497" display="http://www.boxofficemojo.com/schedule/?view=bydate&amp;release=theatrical&amp;date=2016-09-30&amp;p=.htm"/>
    <hyperlink ref="C170" r:id="rId498"/>
    <hyperlink ref="D170" r:id="rId499"/>
    <hyperlink ref="I170" r:id="rId500" display="http://www.boxofficemojo.com/schedule/?view=bydate&amp;release=theatrical&amp;date=2016-09-02&amp;p=.htm"/>
    <hyperlink ref="C171" r:id="rId501"/>
    <hyperlink ref="D171" r:id="rId502"/>
    <hyperlink ref="I171" r:id="rId503" display="http://www.boxofficemojo.com/schedule/?view=bydate&amp;release=theatrical&amp;date=2016-07-21&amp;p=.htm"/>
    <hyperlink ref="C172" r:id="rId504"/>
    <hyperlink ref="D172" r:id="rId505"/>
    <hyperlink ref="I172" r:id="rId506" display="http://www.boxofficemojo.com/schedule/?view=bydate&amp;release=theatrical&amp;date=2016-04-29&amp;p=.htm"/>
    <hyperlink ref="C173" r:id="rId507"/>
    <hyperlink ref="D173" r:id="rId508"/>
    <hyperlink ref="I173" r:id="rId509" display="http://www.boxofficemojo.com/schedule/?view=bydate&amp;release=theatrical&amp;date=2016-02-12&amp;p=.htm"/>
    <hyperlink ref="C174" r:id="rId510"/>
    <hyperlink ref="D174" r:id="rId511"/>
    <hyperlink ref="I174" r:id="rId512" display="http://www.boxofficemojo.com/schedule/?view=bydate&amp;release=theatrical&amp;date=2016-10-14&amp;p=.htm"/>
    <hyperlink ref="C175" r:id="rId513"/>
    <hyperlink ref="D175" r:id="rId514"/>
    <hyperlink ref="I175" r:id="rId515" display="http://www.boxofficemojo.com/schedule/?view=bydate&amp;release=theatrical&amp;date=2016-07-25&amp;p=.htm"/>
    <hyperlink ref="C176" r:id="rId516"/>
    <hyperlink ref="D176" r:id="rId517"/>
    <hyperlink ref="I176" r:id="rId518" display="http://www.boxofficemojo.com/schedule/?view=bydate&amp;release=theatrical&amp;date=2016-12-23&amp;p=.htm"/>
    <hyperlink ref="C177" r:id="rId519"/>
    <hyperlink ref="D177" r:id="rId520"/>
    <hyperlink ref="I177" r:id="rId521" display="http://www.boxofficemojo.com/schedule/?view=bydate&amp;release=theatrical&amp;date=2016-03-18&amp;p=.htm"/>
    <hyperlink ref="C178" r:id="rId522"/>
    <hyperlink ref="D178" r:id="rId523"/>
    <hyperlink ref="I178" r:id="rId524" display="http://www.boxofficemojo.com/schedule/?view=bydate&amp;release=theatrical&amp;date=2016-11-23&amp;p=.htm"/>
    <hyperlink ref="C179" r:id="rId525"/>
    <hyperlink ref="D179" r:id="rId526"/>
    <hyperlink ref="I179" r:id="rId527" display="http://www.boxofficemojo.com/schedule/?view=bydate&amp;release=theatrical&amp;date=2016-11-25&amp;p=.htm"/>
    <hyperlink ref="C180" r:id="rId528"/>
    <hyperlink ref="D180" r:id="rId529"/>
    <hyperlink ref="I180" r:id="rId530" display="http://www.boxofficemojo.com/schedule/?view=bydate&amp;release=theatrical&amp;date=2016-09-30&amp;p=.htm"/>
    <hyperlink ref="C181" r:id="rId531"/>
    <hyperlink ref="D181" r:id="rId532"/>
    <hyperlink ref="I181" r:id="rId533" display="http://www.boxofficemojo.com/schedule/?view=bydate&amp;release=theatrical&amp;date=2016-07-29&amp;p=.htm"/>
    <hyperlink ref="C182" r:id="rId534"/>
    <hyperlink ref="D182" r:id="rId535"/>
    <hyperlink ref="I182" r:id="rId536" display="http://www.boxofficemojo.com/schedule/?view=bydate&amp;release=theatrical&amp;date=2016-03-30&amp;p=.htm"/>
    <hyperlink ref="C183" r:id="rId537"/>
    <hyperlink ref="D183" r:id="rId538"/>
    <hyperlink ref="I183" r:id="rId539" display="http://www.boxofficemojo.com/schedule/?view=bydate&amp;release=theatrical&amp;date=2016-05-20&amp;p=.htm"/>
    <hyperlink ref="C184" r:id="rId540"/>
    <hyperlink ref="D184" r:id="rId541"/>
    <hyperlink ref="I184" r:id="rId542" display="http://www.boxofficemojo.com/schedule/?view=bydate&amp;release=theatrical&amp;date=2016-04-15&amp;p=.htm"/>
    <hyperlink ref="C185" r:id="rId543"/>
    <hyperlink ref="D185" r:id="rId544"/>
    <hyperlink ref="I185" r:id="rId545" display="http://www.boxofficemojo.com/schedule/?view=bydate&amp;release=theatrical&amp;date=2016-02-19&amp;p=.htm"/>
    <hyperlink ref="C186" r:id="rId546"/>
    <hyperlink ref="D186" r:id="rId547"/>
    <hyperlink ref="I186" r:id="rId548" display="http://www.boxofficemojo.com/schedule/?view=bydate&amp;release=theatrical&amp;date=2016-04-15&amp;p=.htm"/>
    <hyperlink ref="C187" r:id="rId549"/>
    <hyperlink ref="D187" r:id="rId550"/>
    <hyperlink ref="I187" r:id="rId551" display="http://www.boxofficemojo.com/schedule/?view=bydate&amp;release=theatrical&amp;date=2016-11-02&amp;p=.htm"/>
    <hyperlink ref="C188" r:id="rId552"/>
    <hyperlink ref="D188" r:id="rId553"/>
    <hyperlink ref="I188" r:id="rId554" display="http://www.boxofficemojo.com/schedule/?view=bydate&amp;release=theatrical&amp;date=2016-07-01&amp;p=.htm"/>
    <hyperlink ref="C189" r:id="rId555"/>
    <hyperlink ref="D189" r:id="rId556"/>
    <hyperlink ref="I189" r:id="rId557" display="http://www.boxofficemojo.com/schedule/?view=bydate&amp;release=theatrical&amp;date=2016-04-22&amp;p=.htm"/>
    <hyperlink ref="C190" r:id="rId558"/>
    <hyperlink ref="D190" r:id="rId559"/>
    <hyperlink ref="I190" r:id="rId560" display="http://www.boxofficemojo.com/schedule/?view=bydate&amp;release=theatrical&amp;date=2016-03-04&amp;p=.htm"/>
    <hyperlink ref="C191" r:id="rId561"/>
    <hyperlink ref="D191" r:id="rId562"/>
    <hyperlink ref="I191" r:id="rId563" display="http://www.boxofficemojo.com/schedule/?view=bydate&amp;release=theatrical&amp;date=2016-08-12&amp;p=.htm"/>
    <hyperlink ref="C192" r:id="rId564"/>
    <hyperlink ref="D192" r:id="rId565"/>
    <hyperlink ref="I192" r:id="rId566" display="http://www.boxofficemojo.com/schedule/?view=bydate&amp;release=theatrical&amp;date=2016-09-15&amp;p=.htm"/>
    <hyperlink ref="C193" r:id="rId567"/>
    <hyperlink ref="D193" r:id="rId568"/>
    <hyperlink ref="I193" r:id="rId569" display="http://www.boxofficemojo.com/schedule/?view=bydate&amp;release=theatrical&amp;date=2016-01-29&amp;p=.htm"/>
    <hyperlink ref="C194" r:id="rId570"/>
    <hyperlink ref="D194" r:id="rId571"/>
    <hyperlink ref="I194" r:id="rId572" display="http://www.boxofficemojo.com/schedule/?view=bydate&amp;release=theatrical&amp;date=2016-01-22&amp;p=.htm"/>
    <hyperlink ref="C195" r:id="rId573"/>
    <hyperlink ref="D195" r:id="rId574"/>
    <hyperlink ref="I195" r:id="rId575" display="http://www.boxofficemojo.com/schedule/?view=bydate&amp;release=theatrical&amp;date=2016-04-01&amp;p=.htm"/>
    <hyperlink ref="C196" r:id="rId576"/>
    <hyperlink ref="D196" r:id="rId577"/>
    <hyperlink ref="I196" r:id="rId578" display="http://www.boxofficemojo.com/schedule/?view=bydate&amp;release=theatrical&amp;date=2016-03-18&amp;p=.htm"/>
    <hyperlink ref="C197" r:id="rId579"/>
    <hyperlink ref="D197" r:id="rId580"/>
    <hyperlink ref="I197" r:id="rId581" display="http://www.boxofficemojo.com/schedule/?view=bydate&amp;release=theatrical&amp;date=2016-09-09&amp;p=.htm"/>
    <hyperlink ref="C198" r:id="rId582"/>
    <hyperlink ref="D198" r:id="rId583"/>
    <hyperlink ref="I198" r:id="rId584" display="http://www.boxofficemojo.com/schedule/?view=bydate&amp;release=theatrical&amp;date=2016-09-16&amp;p=.htm"/>
    <hyperlink ref="C199" r:id="rId585"/>
    <hyperlink ref="D199" r:id="rId586"/>
    <hyperlink ref="I199" r:id="rId587" display="http://www.boxofficemojo.com/schedule/?view=bydate&amp;release=theatrical&amp;date=2016-11-23&amp;p=.htm"/>
    <hyperlink ref="C200" r:id="rId588"/>
    <hyperlink ref="D200" r:id="rId589"/>
    <hyperlink ref="I200" r:id="rId590" display="http://www.boxofficemojo.com/schedule/?view=bydate&amp;release=theatrical&amp;date=2016-11-11&amp;p=.htm"/>
    <hyperlink ref="C201" r:id="rId591"/>
    <hyperlink ref="D201" r:id="rId592"/>
    <hyperlink ref="I201" r:id="rId593" display="http://www.boxofficemojo.com/schedule/?view=bydate&amp;release=theatrical&amp;date=2016-06-01&amp;p=.htm"/>
    <hyperlink ref="C202" r:id="rId594"/>
    <hyperlink ref="D202" r:id="rId595"/>
    <hyperlink ref="I202" r:id="rId596" display="http://www.boxofficemojo.com/schedule/?view=bydate&amp;release=theatrical&amp;date=2016-04-15&amp;p=.htm"/>
    <hyperlink ref="C203" r:id="rId597"/>
    <hyperlink ref="D203" r:id="rId598"/>
    <hyperlink ref="I203" r:id="rId599" display="http://www.boxofficemojo.com/schedule/?view=bydate&amp;release=theatrical&amp;date=2016-12-28&amp;p=.htm"/>
    <hyperlink ref="C204" r:id="rId600"/>
    <hyperlink ref="D204" r:id="rId601"/>
    <hyperlink ref="I204" r:id="rId602" display="http://www.boxofficemojo.com/schedule/?view=bydate&amp;release=theatrical&amp;date=2016-07-22&amp;p=.htm"/>
    <hyperlink ref="C205" r:id="rId603"/>
    <hyperlink ref="D205" r:id="rId604"/>
    <hyperlink ref="I205" r:id="rId605" display="http://www.boxofficemojo.com/schedule/?view=bydate&amp;release=theatrical&amp;date=2016-10-21&amp;p=.htm"/>
    <hyperlink ref="C206" r:id="rId606"/>
    <hyperlink ref="D206" r:id="rId607"/>
    <hyperlink ref="I206" r:id="rId608" display="http://www.boxofficemojo.com/schedule/?view=bydate&amp;release=theatrical&amp;date=2016-05-04&amp;p=.htm"/>
    <hyperlink ref="C207" r:id="rId609"/>
    <hyperlink ref="D207" r:id="rId610"/>
    <hyperlink ref="I207" r:id="rId611" display="http://www.boxofficemojo.com/schedule/?view=bydate&amp;release=theatrical&amp;date=2016-09-23&amp;p=.htm"/>
    <hyperlink ref="C208" r:id="rId612"/>
    <hyperlink ref="D208" r:id="rId613"/>
    <hyperlink ref="I208" r:id="rId614" display="http://www.boxofficemojo.com/schedule/?view=bydate&amp;release=theatrical&amp;date=2016-10-21&amp;p=.htm"/>
    <hyperlink ref="C209" r:id="rId615"/>
    <hyperlink ref="D209" r:id="rId616"/>
    <hyperlink ref="I209" r:id="rId617" display="http://www.boxofficemojo.com/schedule/?view=bydate&amp;release=theatrical&amp;date=2016-10-14&amp;p=.htm"/>
    <hyperlink ref="C210" r:id="rId618"/>
    <hyperlink ref="D210" r:id="rId619"/>
    <hyperlink ref="I210" r:id="rId620" display="http://www.boxofficemojo.com/schedule/?view=bydate&amp;release=theatrical&amp;date=2016-08-26&amp;p=.htm"/>
    <hyperlink ref="C211" r:id="rId621"/>
    <hyperlink ref="D211" r:id="rId622"/>
    <hyperlink ref="I211" r:id="rId623" display="http://www.boxofficemojo.com/schedule/?view=bydate&amp;release=theatrical&amp;date=2016-04-08&amp;p=.htm"/>
    <hyperlink ref="C212" r:id="rId624"/>
    <hyperlink ref="D212" r:id="rId625"/>
    <hyperlink ref="I212" r:id="rId626" display="http://www.boxofficemojo.com/schedule/?view=bydate&amp;release=theatrical&amp;date=2016-10-11&amp;p=.htm"/>
    <hyperlink ref="C213" r:id="rId627"/>
    <hyperlink ref="D213" r:id="rId628"/>
    <hyperlink ref="I213" r:id="rId629" display="http://www.boxofficemojo.com/schedule/?view=bydate&amp;release=theatrical&amp;date=2016-04-23&amp;p=.htm"/>
    <hyperlink ref="C214" r:id="rId630"/>
    <hyperlink ref="D214" r:id="rId631"/>
    <hyperlink ref="I214" r:id="rId632" display="http://www.boxofficemojo.com/schedule/?view=bydate&amp;release=theatrical&amp;date=2016-09-30&amp;p=.htm"/>
    <hyperlink ref="C215" r:id="rId633"/>
    <hyperlink ref="D215" r:id="rId634"/>
    <hyperlink ref="I215" r:id="rId635" display="http://www.boxofficemojo.com/schedule/?view=bydate&amp;release=theatrical&amp;date=2016-02-19&amp;p=.htm"/>
    <hyperlink ref="C216" r:id="rId636"/>
    <hyperlink ref="D216" r:id="rId637"/>
    <hyperlink ref="I216" r:id="rId638" display="http://www.boxofficemojo.com/schedule/?view=bydate&amp;release=theatrical&amp;date=2016-11-11&amp;p=.htm"/>
    <hyperlink ref="C217" r:id="rId639"/>
    <hyperlink ref="D217" r:id="rId640"/>
    <hyperlink ref="I217" r:id="rId641" display="http://www.boxofficemojo.com/schedule/?view=bydate&amp;release=theatrical&amp;date=2016-10-14&amp;p=.htm"/>
    <hyperlink ref="C218" r:id="rId642"/>
    <hyperlink ref="D218" r:id="rId643"/>
    <hyperlink ref="I218" r:id="rId644" display="http://www.boxofficemojo.com/schedule/?view=bydate&amp;release=theatrical&amp;date=2016-09-20&amp;p=.htm"/>
    <hyperlink ref="C219" r:id="rId645"/>
    <hyperlink ref="D219" r:id="rId646"/>
    <hyperlink ref="I219" r:id="rId647" display="http://www.boxofficemojo.com/schedule/?view=bydate&amp;release=theatrical&amp;date=2016-05-20&amp;p=.htm"/>
    <hyperlink ref="C220" r:id="rId648"/>
    <hyperlink ref="D220" r:id="rId649"/>
    <hyperlink ref="I220" r:id="rId650" display="http://www.boxofficemojo.com/schedule/?view=bydate&amp;release=theatrical&amp;date=2016-12-09&amp;p=.htm"/>
    <hyperlink ref="C221" r:id="rId651"/>
    <hyperlink ref="D221" r:id="rId652"/>
    <hyperlink ref="I221" r:id="rId653" display="http://www.boxofficemojo.com/schedule/?view=bydate&amp;release=theatrical&amp;date=2016-03-25&amp;p=.htm"/>
    <hyperlink ref="C222" r:id="rId654"/>
    <hyperlink ref="D222" r:id="rId655"/>
    <hyperlink ref="I222" r:id="rId656" display="http://www.boxofficemojo.com/schedule/?view=bydate&amp;release=theatrical&amp;date=2016-07-29&amp;p=.htm"/>
    <hyperlink ref="C223" r:id="rId657"/>
    <hyperlink ref="D223" r:id="rId658"/>
    <hyperlink ref="I223" r:id="rId659" display="http://www.boxofficemojo.com/schedule/?view=bydate&amp;release=theatrical&amp;date=2016-02-19&amp;p=.htm"/>
    <hyperlink ref="C224" r:id="rId660"/>
    <hyperlink ref="D224" r:id="rId661"/>
    <hyperlink ref="I224" r:id="rId662" display="http://www.boxofficemojo.com/schedule/?view=bydate&amp;release=theatrical&amp;date=2016-01-29&amp;p=.htm"/>
    <hyperlink ref="C225" r:id="rId663"/>
    <hyperlink ref="D225" r:id="rId664"/>
    <hyperlink ref="I225" r:id="rId665" display="http://www.boxofficemojo.com/schedule/?view=bydate&amp;release=theatrical&amp;date=2016-10-14&amp;p=.htm"/>
    <hyperlink ref="C226" r:id="rId666"/>
    <hyperlink ref="D226" r:id="rId667"/>
    <hyperlink ref="I226" r:id="rId668" display="http://www.boxofficemojo.com/schedule/?view=bydate&amp;release=theatrical&amp;date=2016-12-21&amp;p=.htm"/>
    <hyperlink ref="C227" r:id="rId669"/>
    <hyperlink ref="D227" r:id="rId670"/>
    <hyperlink ref="I227" r:id="rId671" display="http://www.boxofficemojo.com/schedule/?view=bydate&amp;release=theatrical&amp;date=2016-12-25&amp;p=.htm"/>
    <hyperlink ref="C228" r:id="rId672"/>
    <hyperlink ref="D228" r:id="rId673"/>
    <hyperlink ref="I228" r:id="rId674" display="http://www.boxofficemojo.com/schedule/?view=bydate&amp;release=theatrical&amp;date=2016-06-10&amp;p=.htm"/>
    <hyperlink ref="C229" r:id="rId675"/>
    <hyperlink ref="D229" r:id="rId676"/>
    <hyperlink ref="I229" r:id="rId677" display="http://www.boxofficemojo.com/schedule/?view=bydate&amp;release=theatrical&amp;date=2016-02-12&amp;p=.htm"/>
    <hyperlink ref="C230" r:id="rId678"/>
    <hyperlink ref="D230" r:id="rId679"/>
    <hyperlink ref="I230" r:id="rId680" display="http://www.boxofficemojo.com/schedule/?view=bydate&amp;release=theatrical&amp;date=2016-06-24&amp;p=.htm"/>
    <hyperlink ref="C231" r:id="rId681"/>
    <hyperlink ref="D231" r:id="rId682"/>
    <hyperlink ref="I231" r:id="rId683" display="http://www.boxofficemojo.com/schedule/?view=bydate&amp;release=theatrical&amp;date=2016-02-17&amp;p=.htm"/>
    <hyperlink ref="C232" r:id="rId684"/>
    <hyperlink ref="D232" r:id="rId685"/>
    <hyperlink ref="I232" r:id="rId686" display="http://www.boxofficemojo.com/schedule/?view=bydate&amp;release=theatrical&amp;date=2016-06-03&amp;p=.htm"/>
    <hyperlink ref="C233" r:id="rId687"/>
    <hyperlink ref="D233" r:id="rId688"/>
    <hyperlink ref="I233" r:id="rId689" display="http://www.boxofficemojo.com/schedule/?view=bydate&amp;release=theatrical&amp;date=2016-08-12&amp;p=.htm"/>
    <hyperlink ref="C234" r:id="rId690"/>
    <hyperlink ref="D234" r:id="rId691"/>
    <hyperlink ref="I234" r:id="rId692" display="http://www.boxofficemojo.com/schedule/?view=bydate&amp;release=theatrical&amp;date=2016-01-27&amp;p=.htm"/>
    <hyperlink ref="C235" r:id="rId693"/>
    <hyperlink ref="D235" r:id="rId694"/>
    <hyperlink ref="I235" r:id="rId695" display="http://www.boxofficemojo.com/schedule/?view=bydate&amp;release=theatrical&amp;date=2016-06-10&amp;p=.htm"/>
    <hyperlink ref="C236" r:id="rId696"/>
    <hyperlink ref="D236" r:id="rId697"/>
    <hyperlink ref="I236" r:id="rId698" display="http://www.boxofficemojo.com/schedule/?view=bydate&amp;release=theatrical&amp;date=2016-04-01&amp;p=.htm"/>
    <hyperlink ref="C237" r:id="rId699"/>
    <hyperlink ref="D237" r:id="rId700"/>
    <hyperlink ref="I237" r:id="rId701" display="http://www.boxofficemojo.com/schedule/?view=bydate&amp;release=theatrical&amp;date=2016-02-12&amp;p=.htm"/>
    <hyperlink ref="C238" r:id="rId702"/>
    <hyperlink ref="D238" r:id="rId703"/>
    <hyperlink ref="I238" r:id="rId704" display="http://www.boxofficemojo.com/schedule/?view=bydate&amp;release=theatrical&amp;date=2016-01-08&amp;p=.htm"/>
    <hyperlink ref="C239" r:id="rId705"/>
    <hyperlink ref="D239" r:id="rId706"/>
    <hyperlink ref="I239" r:id="rId707" display="http://www.boxofficemojo.com/schedule/?view=bydate&amp;release=theatrical&amp;date=2016-04-29&amp;p=.htm"/>
    <hyperlink ref="C240" r:id="rId708"/>
    <hyperlink ref="D240" r:id="rId709"/>
    <hyperlink ref="I240" r:id="rId710" display="http://www.boxofficemojo.com/schedule/?view=bydate&amp;release=theatrical&amp;date=2016-08-30&amp;p=.htm"/>
    <hyperlink ref="C241" r:id="rId711"/>
    <hyperlink ref="D241" r:id="rId712"/>
    <hyperlink ref="I241" r:id="rId713" display="http://www.boxofficemojo.com/schedule/?view=bydate&amp;release=theatrical&amp;date=2016-10-14&amp;p=.htm"/>
    <hyperlink ref="C242" r:id="rId714"/>
    <hyperlink ref="D242" r:id="rId715"/>
    <hyperlink ref="I242" r:id="rId716" display="http://www.boxofficemojo.com/schedule/?view=bydate&amp;release=theatrical&amp;date=2016-08-12&amp;p=.htm"/>
    <hyperlink ref="C243" r:id="rId717"/>
    <hyperlink ref="D243" r:id="rId718"/>
    <hyperlink ref="I243" r:id="rId719" display="http://www.boxofficemojo.com/schedule/?view=bydate&amp;release=theatrical&amp;date=2016-07-01&amp;p=.htm"/>
    <hyperlink ref="C244" r:id="rId720"/>
    <hyperlink ref="D244" r:id="rId721"/>
    <hyperlink ref="I244" r:id="rId722" display="http://www.boxofficemojo.com/schedule/?view=bydate&amp;release=theatrical&amp;date=2016-04-22&amp;p=.htm"/>
    <hyperlink ref="C245" r:id="rId723"/>
    <hyperlink ref="D245" r:id="rId724"/>
    <hyperlink ref="I245" r:id="rId725" display="http://www.boxofficemojo.com/schedule/?view=bydate&amp;release=theatrical&amp;date=2016-08-05&amp;p=.htm"/>
    <hyperlink ref="C246" r:id="rId726"/>
    <hyperlink ref="D246" r:id="rId727"/>
    <hyperlink ref="I246" r:id="rId728" display="http://www.boxofficemojo.com/schedule/?view=bydate&amp;release=theatrical&amp;date=2016-08-26&amp;p=.htm"/>
    <hyperlink ref="C247" r:id="rId729"/>
    <hyperlink ref="D247" r:id="rId730"/>
    <hyperlink ref="I247" r:id="rId731" display="http://www.boxofficemojo.com/schedule/?view=bydate&amp;release=theatrical&amp;date=2016-09-09&amp;p=.htm"/>
    <hyperlink ref="C248" r:id="rId732"/>
    <hyperlink ref="D248" r:id="rId733"/>
    <hyperlink ref="I248" r:id="rId734" display="http://www.boxofficemojo.com/schedule/?view=bydate&amp;release=theatrical&amp;date=2016-05-06&amp;p=.htm"/>
    <hyperlink ref="C249" r:id="rId735"/>
    <hyperlink ref="D249" r:id="rId736"/>
    <hyperlink ref="I249" r:id="rId737" display="http://www.boxofficemojo.com/schedule/?view=bydate&amp;release=theatrical&amp;date=2016-12-16&amp;p=.htm"/>
    <hyperlink ref="C250" r:id="rId738"/>
    <hyperlink ref="D250" r:id="rId739"/>
    <hyperlink ref="I250" r:id="rId740" display="http://www.boxofficemojo.com/schedule/?view=bydate&amp;release=theatrical&amp;date=2016-06-17&amp;p=.htm"/>
    <hyperlink ref="C251" r:id="rId741"/>
    <hyperlink ref="D251" r:id="rId742"/>
    <hyperlink ref="I251" r:id="rId743" display="http://www.boxofficemojo.com/schedule/?view=bydate&amp;release=theatrical&amp;date=2016-12-02&amp;p=.htm"/>
    <hyperlink ref="C252" r:id="rId744"/>
    <hyperlink ref="D252" r:id="rId745"/>
    <hyperlink ref="I252" r:id="rId746" display="http://www.boxofficemojo.com/schedule/?view=bydate&amp;release=theatrical&amp;date=2016-04-01&amp;p=.htm"/>
    <hyperlink ref="C253" r:id="rId747"/>
    <hyperlink ref="D253" r:id="rId748"/>
    <hyperlink ref="I253" r:id="rId749" display="http://www.boxofficemojo.com/schedule/?view=bydate&amp;release=theatrical&amp;date=2016-10-06&amp;p=.htm"/>
    <hyperlink ref="C254" r:id="rId750"/>
    <hyperlink ref="D254" r:id="rId751"/>
    <hyperlink ref="I254" r:id="rId752" display="http://www.boxofficemojo.com/schedule/?view=bydate&amp;release=theatrical&amp;date=2016-07-29&amp;p=.htm"/>
    <hyperlink ref="C255" r:id="rId753"/>
    <hyperlink ref="D255" r:id="rId754"/>
    <hyperlink ref="I255" r:id="rId755" display="http://www.boxofficemojo.com/schedule/?view=bydate&amp;release=theatrical&amp;date=2016-09-30&amp;p=.htm"/>
    <hyperlink ref="C256" r:id="rId756"/>
    <hyperlink ref="D256" r:id="rId757"/>
    <hyperlink ref="I256" r:id="rId758" display="http://www.boxofficemojo.com/schedule/?view=bydate&amp;release=theatrical&amp;date=2016-05-20&amp;p=.htm"/>
    <hyperlink ref="C257" r:id="rId759" display="http://www.boxofficemojo.com/movies/?id=31.htm"/>
    <hyperlink ref="D257" r:id="rId760"/>
    <hyperlink ref="I257" r:id="rId761" display="http://www.boxofficemojo.com/schedule/?view=bydate&amp;release=theatrical&amp;date=2016-08-26&amp;p=.htm"/>
    <hyperlink ref="C258" r:id="rId762"/>
    <hyperlink ref="D258" r:id="rId763"/>
    <hyperlink ref="I258" r:id="rId764" display="http://www.boxofficemojo.com/schedule/?view=bydate&amp;release=theatrical&amp;date=2016-04-01&amp;p=.htm"/>
    <hyperlink ref="C259" r:id="rId765"/>
    <hyperlink ref="D259" r:id="rId766"/>
    <hyperlink ref="I259" r:id="rId767" display="http://www.boxofficemojo.com/schedule/?view=bydate&amp;release=theatrical&amp;date=2016-11-11&amp;p=.htm"/>
    <hyperlink ref="C260" r:id="rId768"/>
    <hyperlink ref="D260" r:id="rId769"/>
    <hyperlink ref="I260" r:id="rId770" display="http://www.boxofficemojo.com/schedule/?view=bydate&amp;release=theatrical&amp;date=2016-09-30&amp;p=.htm"/>
    <hyperlink ref="C261" r:id="rId771"/>
    <hyperlink ref="D261" r:id="rId772"/>
    <hyperlink ref="I261" r:id="rId773" display="http://www.boxofficemojo.com/schedule/?view=bydate&amp;release=theatrical&amp;date=2016-04-01&amp;p=.htm"/>
    <hyperlink ref="C262" r:id="rId774"/>
    <hyperlink ref="D262" r:id="rId775"/>
    <hyperlink ref="I262" r:id="rId776" display="http://www.boxofficemojo.com/schedule/?view=bydate&amp;release=theatrical&amp;date=2016-02-05&amp;p=.htm"/>
    <hyperlink ref="C263" r:id="rId777"/>
    <hyperlink ref="D263" r:id="rId778"/>
    <hyperlink ref="I263" r:id="rId779" display="http://www.boxofficemojo.com/schedule/?view=bydate&amp;release=theatrical&amp;date=2016-08-05&amp;p=.htm"/>
    <hyperlink ref="C264" r:id="rId780"/>
    <hyperlink ref="D264" r:id="rId781"/>
    <hyperlink ref="I264" r:id="rId782" display="http://www.boxofficemojo.com/schedule/?view=bydate&amp;release=theatrical&amp;date=2016-11-11&amp;p=.htm"/>
    <hyperlink ref="C265" r:id="rId783"/>
    <hyperlink ref="D265" r:id="rId784"/>
    <hyperlink ref="I265" r:id="rId785" display="http://www.boxofficemojo.com/schedule/?view=bydate&amp;release=theatrical&amp;date=2016-09-16&amp;p=.htm"/>
    <hyperlink ref="C266" r:id="rId786"/>
    <hyperlink ref="D266" r:id="rId787"/>
    <hyperlink ref="I266" r:id="rId788" display="http://www.boxofficemojo.com/schedule/?view=bydate&amp;release=theatrical&amp;date=2016-03-25&amp;p=.htm"/>
    <hyperlink ref="C267" r:id="rId789"/>
    <hyperlink ref="D267" r:id="rId790"/>
    <hyperlink ref="I267" r:id="rId791" display="http://www.boxofficemojo.com/schedule/?view=bydate&amp;release=theatrical&amp;date=2016-09-30&amp;p=.htm"/>
    <hyperlink ref="C268" r:id="rId792"/>
    <hyperlink ref="D268" r:id="rId793"/>
    <hyperlink ref="I268" r:id="rId794" display="http://www.boxofficemojo.com/schedule/?view=bydate&amp;release=theatrical&amp;date=2016-10-21&amp;p=.htm"/>
    <hyperlink ref="C269" r:id="rId795"/>
    <hyperlink ref="D269" r:id="rId796"/>
    <hyperlink ref="I269" r:id="rId797" display="http://www.boxofficemojo.com/schedule/?view=bydate&amp;release=theatrical&amp;date=2016-03-11&amp;p=.htm"/>
    <hyperlink ref="C270" r:id="rId798"/>
    <hyperlink ref="D270" r:id="rId799"/>
    <hyperlink ref="I270" r:id="rId800" display="http://www.boxofficemojo.com/schedule/?view=bydate&amp;release=theatrical&amp;date=2016-03-11&amp;p=.htm"/>
    <hyperlink ref="C271" r:id="rId801"/>
    <hyperlink ref="D271" r:id="rId802"/>
    <hyperlink ref="I271" r:id="rId803" display="http://www.boxofficemojo.com/schedule/?view=bydate&amp;release=theatrical&amp;date=2016-06-15&amp;p=.htm"/>
    <hyperlink ref="C272" r:id="rId804"/>
    <hyperlink ref="D272" r:id="rId805"/>
    <hyperlink ref="I272" r:id="rId806" display="http://www.boxofficemojo.com/schedule/?view=bydate&amp;release=theatrical&amp;date=2016-09-19&amp;p=.htm"/>
    <hyperlink ref="C273" r:id="rId807"/>
    <hyperlink ref="D273" r:id="rId808"/>
    <hyperlink ref="I273" r:id="rId809" display="http://www.boxofficemojo.com/schedule/?view=bydate&amp;release=theatrical&amp;date=2016-03-18&amp;p=.htm"/>
    <hyperlink ref="C274" r:id="rId810"/>
    <hyperlink ref="D274" r:id="rId811"/>
    <hyperlink ref="I274" r:id="rId812" display="http://www.boxofficemojo.com/schedule/?view=bydate&amp;release=theatrical&amp;date=2016-06-17&amp;p=.htm"/>
    <hyperlink ref="C275" r:id="rId813"/>
    <hyperlink ref="D275" r:id="rId814"/>
    <hyperlink ref="I275" r:id="rId815" display="http://www.boxofficemojo.com/schedule/?view=bydate&amp;release=theatrical&amp;date=2016-12-30&amp;p=.htm"/>
    <hyperlink ref="C276" r:id="rId816"/>
    <hyperlink ref="D276" r:id="rId817"/>
    <hyperlink ref="I276" r:id="rId818" display="http://www.boxofficemojo.com/schedule/?view=bydate&amp;release=theatrical&amp;date=2016-08-19&amp;p=.htm"/>
    <hyperlink ref="C277" r:id="rId819"/>
    <hyperlink ref="D277" r:id="rId820"/>
    <hyperlink ref="I277" r:id="rId821" display="http://www.boxofficemojo.com/schedule/?view=bydate&amp;release=theatrical&amp;date=2016-07-29&amp;p=.htm"/>
    <hyperlink ref="C278" r:id="rId822"/>
    <hyperlink ref="D278" r:id="rId823"/>
    <hyperlink ref="I278" r:id="rId824" display="http://www.boxofficemojo.com/schedule/?view=bydate&amp;release=theatrical&amp;date=2016-08-19&amp;p=.htm"/>
    <hyperlink ref="C279" r:id="rId825"/>
    <hyperlink ref="D279" r:id="rId826"/>
    <hyperlink ref="I279" r:id="rId827" display="http://www.boxofficemojo.com/schedule/?view=bydate&amp;release=theatrical&amp;date=2016-08-26&amp;p=.htm"/>
    <hyperlink ref="C280" r:id="rId828"/>
    <hyperlink ref="D280" r:id="rId829"/>
    <hyperlink ref="I280" r:id="rId830" display="http://www.boxofficemojo.com/schedule/?view=bydate&amp;release=theatrical&amp;date=2016-03-04&amp;p=.htm"/>
    <hyperlink ref="C281" r:id="rId831"/>
    <hyperlink ref="D281" r:id="rId832"/>
    <hyperlink ref="I281" r:id="rId833" display="http://www.boxofficemojo.com/schedule/?view=bydate&amp;release=theatrical&amp;date=2016-09-30&amp;p=.htm"/>
    <hyperlink ref="C282" r:id="rId834"/>
    <hyperlink ref="D282" r:id="rId835"/>
    <hyperlink ref="I282" r:id="rId836" display="http://www.boxofficemojo.com/schedule/?view=bydate&amp;release=theatrical&amp;date=2016-07-08&amp;p=.htm"/>
    <hyperlink ref="C283" r:id="rId837"/>
    <hyperlink ref="D283" r:id="rId838"/>
    <hyperlink ref="I283" r:id="rId839" display="http://www.boxofficemojo.com/schedule/?view=bydate&amp;release=theatrical&amp;date=2016-10-21&amp;p=.htm"/>
    <hyperlink ref="C284" r:id="rId840"/>
    <hyperlink ref="D284" r:id="rId841"/>
    <hyperlink ref="I284" r:id="rId842" display="http://www.boxofficemojo.com/schedule/?view=bydate&amp;release=theatrical&amp;date=2016-09-23&amp;p=.htm"/>
    <hyperlink ref="C285" r:id="rId843"/>
    <hyperlink ref="D285" r:id="rId844"/>
    <hyperlink ref="I285" r:id="rId845" display="http://www.boxofficemojo.com/schedule/?view=bydate&amp;release=theatrical&amp;date=2016-02-12&amp;p=.htm"/>
    <hyperlink ref="C286" r:id="rId846"/>
    <hyperlink ref="D286" r:id="rId847"/>
    <hyperlink ref="I286" r:id="rId848" display="http://www.boxofficemojo.com/schedule/?view=bydate&amp;release=theatrical&amp;date=2016-04-15&amp;p=.htm"/>
    <hyperlink ref="C287" r:id="rId849"/>
    <hyperlink ref="D287" r:id="rId850"/>
    <hyperlink ref="I287" r:id="rId851" display="http://www.boxofficemojo.com/schedule/?view=bydate&amp;release=theatrical&amp;date=2016-09-03&amp;p=.htm"/>
    <hyperlink ref="C288" r:id="rId852"/>
    <hyperlink ref="D288" r:id="rId853"/>
    <hyperlink ref="I288" r:id="rId854" display="http://www.boxofficemojo.com/schedule/?view=bydate&amp;release=theatrical&amp;date=2016-04-22&amp;p=.htm"/>
    <hyperlink ref="C289" r:id="rId855"/>
    <hyperlink ref="D289" r:id="rId856"/>
    <hyperlink ref="I289" r:id="rId857" display="http://www.boxofficemojo.com/schedule/?view=bydate&amp;release=theatrical&amp;date=2016-12-09&amp;p=.htm"/>
    <hyperlink ref="C290" r:id="rId858"/>
    <hyperlink ref="D290" r:id="rId859"/>
    <hyperlink ref="I290" r:id="rId860" display="http://www.boxofficemojo.com/schedule/?view=bydate&amp;release=theatrical&amp;date=2016-03-11&amp;p=.htm"/>
    <hyperlink ref="C291" r:id="rId861"/>
    <hyperlink ref="D291" r:id="rId862"/>
    <hyperlink ref="I291" r:id="rId863" display="http://www.boxofficemojo.com/schedule/?view=bydate&amp;release=theatrical&amp;date=2016-03-04&amp;p=.htm"/>
    <hyperlink ref="C292" r:id="rId864"/>
    <hyperlink ref="D292" r:id="rId865"/>
    <hyperlink ref="I292" r:id="rId866" display="http://www.boxofficemojo.com/schedule/?view=bydate&amp;release=theatrical&amp;date=2016-06-24&amp;p=.htm"/>
    <hyperlink ref="C293" r:id="rId867"/>
    <hyperlink ref="D293" r:id="rId868"/>
    <hyperlink ref="I293" r:id="rId869" display="http://www.boxofficemojo.com/schedule/?view=bydate&amp;release=theatrical&amp;date=2016-01-15&amp;p=.htm"/>
    <hyperlink ref="C294" r:id="rId870"/>
    <hyperlink ref="D294" r:id="rId871"/>
    <hyperlink ref="I294" r:id="rId872" display="http://www.boxofficemojo.com/schedule/?view=bydate&amp;release=theatrical&amp;date=2016-07-08&amp;p=.htm"/>
    <hyperlink ref="C295" r:id="rId873"/>
    <hyperlink ref="D295" r:id="rId874"/>
    <hyperlink ref="I295" r:id="rId875" display="http://www.boxofficemojo.com/schedule/?view=bydate&amp;release=theatrical&amp;date=2016-10-21&amp;p=.htm"/>
    <hyperlink ref="C296" r:id="rId876"/>
    <hyperlink ref="D296" r:id="rId877"/>
    <hyperlink ref="I296" r:id="rId878" display="http://www.boxofficemojo.com/schedule/?view=bydate&amp;release=theatrical&amp;date=2016-01-01&amp;p=.htm"/>
    <hyperlink ref="C297" r:id="rId879"/>
    <hyperlink ref="D297" r:id="rId880"/>
    <hyperlink ref="I297" r:id="rId881" display="http://www.boxofficemojo.com/schedule/?view=bydate&amp;release=theatrical&amp;date=2016-10-28&amp;p=.htm"/>
    <hyperlink ref="C298" r:id="rId882"/>
    <hyperlink ref="D298" r:id="rId883"/>
    <hyperlink ref="I298" r:id="rId884" display="http://www.boxofficemojo.com/schedule/?view=bydate&amp;release=theatrical&amp;date=2016-04-29&amp;p=.htm"/>
    <hyperlink ref="C299" r:id="rId885"/>
    <hyperlink ref="D299" r:id="rId886"/>
    <hyperlink ref="I299" r:id="rId887" display="http://www.boxofficemojo.com/schedule/?view=bydate&amp;release=theatrical&amp;date=2016-11-18&amp;p=.htm"/>
    <hyperlink ref="C300" r:id="rId888"/>
    <hyperlink ref="D300" r:id="rId889"/>
    <hyperlink ref="I300" r:id="rId890" display="http://www.boxofficemojo.com/schedule/?view=bydate&amp;release=theatrical&amp;date=2016-12-16&amp;p=.htm"/>
    <hyperlink ref="C301" r:id="rId891"/>
    <hyperlink ref="D301" r:id="rId892"/>
    <hyperlink ref="I301" r:id="rId893" display="http://www.boxofficemojo.com/schedule/?view=bydate&amp;release=theatrical&amp;date=2016-01-15&amp;p=.htm"/>
    <hyperlink ref="C302" r:id="rId894"/>
    <hyperlink ref="D302" r:id="rId895"/>
    <hyperlink ref="I302" r:id="rId896" display="http://www.boxofficemojo.com/schedule/?view=bydate&amp;release=theatrical&amp;date=2016-10-07&amp;p=.htm"/>
    <hyperlink ref="C303" r:id="rId897"/>
    <hyperlink ref="D303" r:id="rId898"/>
    <hyperlink ref="I303" r:id="rId899" display="http://www.boxofficemojo.com/schedule/?view=bydate&amp;release=theatrical&amp;date=2016-12-02&amp;p=.htm"/>
    <hyperlink ref="C304" r:id="rId900"/>
    <hyperlink ref="D304" r:id="rId901"/>
    <hyperlink ref="I304" r:id="rId902" display="http://www.boxofficemojo.com/schedule/?view=bydate&amp;release=theatrical&amp;date=2016-12-16&amp;p=.htm"/>
    <hyperlink ref="C305" r:id="rId903"/>
    <hyperlink ref="D305" r:id="rId904"/>
    <hyperlink ref="I305" r:id="rId905" display="http://www.boxofficemojo.com/schedule/?view=bydate&amp;release=theatrical&amp;date=2016-03-25&amp;p=.htm"/>
    <hyperlink ref="C306" r:id="rId906"/>
    <hyperlink ref="D306" r:id="rId907"/>
    <hyperlink ref="I306" r:id="rId908" display="http://www.boxofficemojo.com/schedule/?view=bydate&amp;release=theatrical&amp;date=2016-10-28&amp;p=.htm"/>
    <hyperlink ref="C307" r:id="rId909"/>
    <hyperlink ref="D307" r:id="rId910"/>
    <hyperlink ref="I307" r:id="rId911" display="http://www.boxofficemojo.com/schedule/?view=bydate&amp;release=theatrical&amp;date=2016-06-24&amp;p=.htm"/>
    <hyperlink ref="C308" r:id="rId912"/>
    <hyperlink ref="D308" r:id="rId913"/>
    <hyperlink ref="I308" r:id="rId914" display="http://www.boxofficemojo.com/schedule/?view=bydate&amp;release=theatrical&amp;date=2016-08-19&amp;p=.htm"/>
    <hyperlink ref="C309" r:id="rId915"/>
    <hyperlink ref="D309" r:id="rId916"/>
    <hyperlink ref="I309" r:id="rId917" display="http://www.boxofficemojo.com/schedule/?view=bydate&amp;release=theatrical&amp;date=2016-12-02&amp;p=.htm"/>
    <hyperlink ref="C310" r:id="rId918"/>
    <hyperlink ref="D310" r:id="rId919"/>
    <hyperlink ref="I310" r:id="rId920" display="http://www.boxofficemojo.com/schedule/?view=bydate&amp;release=theatrical&amp;date=2016-09-30&amp;p=.htm"/>
    <hyperlink ref="C311" r:id="rId921"/>
    <hyperlink ref="D311" r:id="rId922"/>
    <hyperlink ref="I311" r:id="rId923" display="http://www.boxofficemojo.com/schedule/?view=bydate&amp;release=theatrical&amp;date=2016-05-13&amp;p=.htm"/>
    <hyperlink ref="C312" r:id="rId924"/>
    <hyperlink ref="D312" r:id="rId925"/>
    <hyperlink ref="I312" r:id="rId926" display="http://www.boxofficemojo.com/schedule/?view=bydate&amp;release=theatrical&amp;date=2016-06-10&amp;p=.htm"/>
    <hyperlink ref="C313" r:id="rId927"/>
    <hyperlink ref="D313" r:id="rId928"/>
    <hyperlink ref="I313" r:id="rId929" display="http://www.boxofficemojo.com/schedule/?view=bydate&amp;release=theatrical&amp;date=2016-10-28&amp;p=.htm"/>
    <hyperlink ref="C314" r:id="rId930"/>
    <hyperlink ref="D314" r:id="rId931"/>
    <hyperlink ref="I314" r:id="rId932" display="http://www.boxofficemojo.com/schedule/?view=bydate&amp;release=theatrical&amp;date=2016-12-09&amp;p=.htm"/>
    <hyperlink ref="C315" r:id="rId933"/>
    <hyperlink ref="D315" r:id="rId934"/>
    <hyperlink ref="I315" r:id="rId935" display="http://www.boxofficemojo.com/schedule/?view=bydate&amp;release=theatrical&amp;date=2016-05-13&amp;p=.htm"/>
    <hyperlink ref="C316" r:id="rId936"/>
    <hyperlink ref="D316" r:id="rId937"/>
    <hyperlink ref="I316" r:id="rId938" display="http://www.boxofficemojo.com/schedule/?view=bydate&amp;release=theatrical&amp;date=2016-04-01&amp;p=.htm"/>
    <hyperlink ref="C317" r:id="rId939"/>
    <hyperlink ref="D317" r:id="rId940"/>
    <hyperlink ref="I317" r:id="rId941" display="http://www.boxofficemojo.com/schedule/?view=bydate&amp;release=theatrical&amp;date=2016-08-26&amp;p=.htm"/>
    <hyperlink ref="C318" r:id="rId942"/>
    <hyperlink ref="D318" r:id="rId943"/>
    <hyperlink ref="I318" r:id="rId944" display="http://www.boxofficemojo.com/schedule/?view=bydate&amp;release=theatrical&amp;date=2016-10-14&amp;p=.htm"/>
    <hyperlink ref="C319" r:id="rId945"/>
    <hyperlink ref="D319" r:id="rId946"/>
    <hyperlink ref="I319" r:id="rId947" display="http://www.boxofficemojo.com/schedule/?view=bydate&amp;release=theatrical&amp;date=2016-03-25&amp;p=.htm"/>
    <hyperlink ref="C320" r:id="rId948"/>
    <hyperlink ref="D320" r:id="rId949"/>
    <hyperlink ref="I320" r:id="rId950" display="http://www.boxofficemojo.com/schedule/?view=bydate&amp;release=theatrical&amp;date=2016-04-09&amp;p=.htm"/>
    <hyperlink ref="C321" r:id="rId951"/>
    <hyperlink ref="D321" r:id="rId952"/>
    <hyperlink ref="I321" r:id="rId953" display="http://www.boxofficemojo.com/schedule/?view=bydate&amp;release=theatrical&amp;date=2016-08-19&amp;p=.htm"/>
    <hyperlink ref="C322" r:id="rId954"/>
    <hyperlink ref="D322" r:id="rId955"/>
    <hyperlink ref="I322" r:id="rId956" display="http://www.boxofficemojo.com/schedule/?view=bydate&amp;release=theatrical&amp;date=2016-10-14&amp;p=.htm"/>
    <hyperlink ref="C323" r:id="rId957"/>
    <hyperlink ref="D323" r:id="rId958"/>
    <hyperlink ref="I323" r:id="rId959" display="http://www.boxofficemojo.com/schedule/?view=bydate&amp;release=theatrical&amp;date=2016-08-19&amp;p=.htm"/>
    <hyperlink ref="C324" r:id="rId960"/>
    <hyperlink ref="D324" r:id="rId961"/>
    <hyperlink ref="I324" r:id="rId962" display="http://www.boxofficemojo.com/schedule/?view=bydate&amp;release=theatrical&amp;date=2016-03-18&amp;p=.htm"/>
    <hyperlink ref="C325" r:id="rId963"/>
    <hyperlink ref="D325" r:id="rId964"/>
    <hyperlink ref="I325" r:id="rId965" display="http://www.boxofficemojo.com/schedule/?view=bydate&amp;release=theatrical&amp;date=2016-04-29&amp;p=.htm"/>
    <hyperlink ref="C326" r:id="rId966"/>
    <hyperlink ref="D326" r:id="rId967"/>
    <hyperlink ref="I326" r:id="rId968" display="http://www.boxofficemojo.com/schedule/?view=bydate&amp;release=theatrical&amp;date=2016-05-24&amp;p=.htm"/>
    <hyperlink ref="C327" r:id="rId969"/>
    <hyperlink ref="D327" r:id="rId970"/>
    <hyperlink ref="I327" r:id="rId971" display="http://www.boxofficemojo.com/schedule/?view=bydate&amp;release=theatrical&amp;date=2016-05-06&amp;p=.htm"/>
    <hyperlink ref="C328" r:id="rId972"/>
    <hyperlink ref="D328" r:id="rId973"/>
    <hyperlink ref="I328" r:id="rId974" display="http://www.boxofficemojo.com/schedule/?view=bydate&amp;release=theatrical&amp;date=2016-10-15&amp;p=.htm"/>
    <hyperlink ref="C329" r:id="rId975"/>
    <hyperlink ref="D329" r:id="rId976"/>
    <hyperlink ref="I329" r:id="rId977" display="http://www.boxofficemojo.com/schedule/?view=bydate&amp;release=theatrical&amp;date=2016-07-01&amp;p=.htm"/>
    <hyperlink ref="C330" r:id="rId978"/>
    <hyperlink ref="D330" r:id="rId979"/>
    <hyperlink ref="I330" r:id="rId980" display="http://www.boxofficemojo.com/schedule/?view=bydate&amp;release=theatrical&amp;date=2016-10-26&amp;p=.htm"/>
    <hyperlink ref="C331" r:id="rId981"/>
    <hyperlink ref="D331" r:id="rId982"/>
    <hyperlink ref="I331" r:id="rId983" display="http://www.boxofficemojo.com/schedule/?view=bydate&amp;release=theatrical&amp;date=2016-04-08&amp;p=.htm"/>
    <hyperlink ref="C332" r:id="rId984"/>
    <hyperlink ref="D332" r:id="rId985"/>
    <hyperlink ref="I332" r:id="rId986" display="http://www.boxofficemojo.com/schedule/?view=bydate&amp;release=theatrical&amp;date=2016-05-13&amp;p=.htm"/>
    <hyperlink ref="C333" r:id="rId987"/>
    <hyperlink ref="D333" r:id="rId988"/>
    <hyperlink ref="I333" r:id="rId989" display="http://www.boxofficemojo.com/schedule/?view=bydate&amp;release=theatrical&amp;date=2016-11-11&amp;p=.htm"/>
    <hyperlink ref="C334" r:id="rId990"/>
    <hyperlink ref="D334" r:id="rId991"/>
    <hyperlink ref="I334" r:id="rId992" display="http://www.boxofficemojo.com/schedule/?view=bydate&amp;release=theatrical&amp;date=2016-10-21&amp;p=.htm"/>
    <hyperlink ref="C335" r:id="rId993"/>
    <hyperlink ref="D335" r:id="rId994"/>
    <hyperlink ref="I335" r:id="rId995" display="http://www.boxofficemojo.com/schedule/?view=bydate&amp;release=theatrical&amp;date=2016-10-14&amp;p=.htm"/>
    <hyperlink ref="C336" r:id="rId996"/>
    <hyperlink ref="D336" r:id="rId997"/>
    <hyperlink ref="I336" r:id="rId998" display="http://www.boxofficemojo.com/schedule/?view=bydate&amp;release=theatrical&amp;date=2016-10-07&amp;p=.htm"/>
    <hyperlink ref="C337" r:id="rId999"/>
    <hyperlink ref="D337" r:id="rId1000"/>
    <hyperlink ref="I337" r:id="rId1001" display="http://www.boxofficemojo.com/schedule/?view=bydate&amp;release=theatrical&amp;date=2016-09-02&amp;p=.htm"/>
    <hyperlink ref="C338" r:id="rId1002"/>
    <hyperlink ref="D338" r:id="rId1003"/>
    <hyperlink ref="I338" r:id="rId1004" display="http://www.boxofficemojo.com/schedule/?view=bydate&amp;release=theatrical&amp;date=2016-01-01&amp;p=.htm"/>
    <hyperlink ref="C339" r:id="rId1005"/>
    <hyperlink ref="D339" r:id="rId1006"/>
    <hyperlink ref="I339" r:id="rId1007" display="http://www.boxofficemojo.com/schedule/?view=bydate&amp;release=theatrical&amp;date=2016-08-22&amp;p=.htm"/>
    <hyperlink ref="C340" r:id="rId1008"/>
    <hyperlink ref="D340" r:id="rId1009"/>
    <hyperlink ref="I340" r:id="rId1010" display="http://www.boxofficemojo.com/schedule/?view=bydate&amp;release=theatrical&amp;date=2016-05-20&amp;p=.htm"/>
    <hyperlink ref="C341" r:id="rId1011"/>
    <hyperlink ref="D341" r:id="rId1012"/>
    <hyperlink ref="I341" r:id="rId1013" display="http://www.boxofficemojo.com/schedule/?view=bydate&amp;release=theatrical&amp;date=2016-03-18&amp;p=.htm"/>
    <hyperlink ref="C342" r:id="rId1014"/>
    <hyperlink ref="D342" r:id="rId1015"/>
    <hyperlink ref="I342" r:id="rId1016" display="http://www.boxofficemojo.com/schedule/?view=bydate&amp;release=theatrical&amp;date=2016-09-02&amp;p=.htm"/>
    <hyperlink ref="C343" r:id="rId1017"/>
    <hyperlink ref="D343" r:id="rId1018"/>
    <hyperlink ref="I343" r:id="rId1019" display="http://www.boxofficemojo.com/schedule/?view=bydate&amp;release=theatrical&amp;date=2016-05-27&amp;p=.htm"/>
    <hyperlink ref="C344" r:id="rId1020"/>
    <hyperlink ref="D344" r:id="rId1021"/>
    <hyperlink ref="I344" r:id="rId1022" display="http://www.boxofficemojo.com/schedule/?view=bydate&amp;release=theatrical&amp;date=2016-08-26&amp;p=.htm"/>
    <hyperlink ref="C345" r:id="rId1023"/>
    <hyperlink ref="D345" r:id="rId1024"/>
    <hyperlink ref="I345" r:id="rId1025" display="http://www.boxofficemojo.com/schedule/?view=bydate&amp;release=theatrical&amp;date=2016-09-15&amp;p=.htm"/>
    <hyperlink ref="C346" r:id="rId1026"/>
    <hyperlink ref="D346" r:id="rId1027"/>
    <hyperlink ref="I346" r:id="rId1028" display="http://www.boxofficemojo.com/schedule/?view=bydate&amp;release=theatrical&amp;date=2016-01-08&amp;p=.htm"/>
    <hyperlink ref="C347" r:id="rId1029"/>
    <hyperlink ref="D347" r:id="rId1030"/>
    <hyperlink ref="I347" r:id="rId1031" display="http://www.boxofficemojo.com/schedule/?view=bydate&amp;release=theatrical&amp;date=2016-07-29&amp;p=.htm"/>
    <hyperlink ref="C348" r:id="rId1032"/>
    <hyperlink ref="D348" r:id="rId1033"/>
    <hyperlink ref="I348" r:id="rId1034" display="http://www.boxofficemojo.com/schedule/?view=bydate&amp;release=theatrical&amp;date=2016-04-29&amp;p=.htm"/>
    <hyperlink ref="C349" r:id="rId1035"/>
    <hyperlink ref="D349" r:id="rId1036"/>
    <hyperlink ref="I349" r:id="rId1037" display="http://www.boxofficemojo.com/schedule/?view=bydate&amp;release=theatrical&amp;date=2016-03-04&amp;p=.htm"/>
    <hyperlink ref="C350" r:id="rId1038"/>
    <hyperlink ref="D350" r:id="rId1039"/>
    <hyperlink ref="I350" r:id="rId1040" display="http://www.boxofficemojo.com/schedule/?view=bydate&amp;release=theatrical&amp;date=2016-10-07&amp;p=.htm"/>
    <hyperlink ref="C351" r:id="rId1041"/>
    <hyperlink ref="D351" r:id="rId1042"/>
    <hyperlink ref="I351" r:id="rId1043" display="http://www.boxofficemojo.com/schedule/?view=bydate&amp;release=theatrical&amp;date=2016-07-16&amp;p=.htm"/>
    <hyperlink ref="C352" r:id="rId1044"/>
    <hyperlink ref="D352" r:id="rId1045"/>
    <hyperlink ref="I352" r:id="rId1046" display="http://www.boxofficemojo.com/schedule/?view=bydate&amp;release=theatrical&amp;date=2016-08-05&amp;p=.htm"/>
    <hyperlink ref="C353" r:id="rId1047"/>
    <hyperlink ref="D353" r:id="rId1048"/>
    <hyperlink ref="I353" r:id="rId1049" display="http://www.boxofficemojo.com/schedule/?view=bydate&amp;release=theatrical&amp;date=2016-06-03&amp;p=.htm"/>
    <hyperlink ref="C354" r:id="rId1050"/>
    <hyperlink ref="D354" r:id="rId1051"/>
    <hyperlink ref="I354" r:id="rId1052" display="http://www.boxofficemojo.com/schedule/?view=bydate&amp;release=theatrical&amp;date=2016-06-10&amp;p=.htm"/>
    <hyperlink ref="C355" r:id="rId1053"/>
    <hyperlink ref="D355" r:id="rId1054"/>
    <hyperlink ref="I355" r:id="rId1055" display="http://www.boxofficemojo.com/schedule/?view=bydate&amp;release=theatrical&amp;date=2016-04-08&amp;p=.htm"/>
    <hyperlink ref="C356" r:id="rId1056"/>
    <hyperlink ref="D356" r:id="rId1057"/>
    <hyperlink ref="I356" r:id="rId1058" display="http://www.boxofficemojo.com/schedule/?view=bydate&amp;release=theatrical&amp;date=2016-08-26&amp;p=.htm"/>
    <hyperlink ref="C357" r:id="rId1059"/>
    <hyperlink ref="D357" r:id="rId1060"/>
    <hyperlink ref="I357" r:id="rId1061" display="http://www.boxofficemojo.com/schedule/?view=bydate&amp;release=theatrical&amp;date=2016-02-12&amp;p=.htm"/>
    <hyperlink ref="C358" r:id="rId1062"/>
    <hyperlink ref="D358" r:id="rId1063"/>
    <hyperlink ref="I358" r:id="rId1064" display="http://www.boxofficemojo.com/schedule/?view=bydate&amp;release=theatrical&amp;date=2016-05-13&amp;p=.htm"/>
    <hyperlink ref="C359" r:id="rId1065"/>
    <hyperlink ref="D359" r:id="rId1066"/>
    <hyperlink ref="I359" r:id="rId1067" display="http://www.boxofficemojo.com/schedule/?view=bydate&amp;release=theatrical&amp;date=2016-06-03&amp;p=.htm"/>
    <hyperlink ref="C360" r:id="rId1068"/>
    <hyperlink ref="D360" r:id="rId1069"/>
    <hyperlink ref="I360" r:id="rId1070" display="http://www.boxofficemojo.com/schedule/?view=bydate&amp;release=theatrical&amp;date=2016-04-27&amp;p=.htm"/>
    <hyperlink ref="C361" r:id="rId1071"/>
    <hyperlink ref="D361" r:id="rId1072"/>
    <hyperlink ref="I361" r:id="rId1073" display="http://www.boxofficemojo.com/schedule/?view=bydate&amp;release=theatrical&amp;date=2016-03-04&amp;p=.htm"/>
    <hyperlink ref="C362" r:id="rId1074"/>
    <hyperlink ref="D362" r:id="rId1075"/>
    <hyperlink ref="I362" r:id="rId1076" display="http://www.boxofficemojo.com/schedule/?view=bydate&amp;release=theatrical&amp;date=2016-08-29&amp;p=.htm"/>
    <hyperlink ref="C363" r:id="rId1077"/>
    <hyperlink ref="D363" r:id="rId1078"/>
    <hyperlink ref="I363" r:id="rId1079" display="http://www.boxofficemojo.com/schedule/?view=bydate&amp;release=theatrical&amp;date=2016-09-09&amp;p=.htm"/>
    <hyperlink ref="C364" r:id="rId1080"/>
    <hyperlink ref="D364" r:id="rId1081"/>
    <hyperlink ref="I364" r:id="rId1082" display="http://www.boxofficemojo.com/schedule/?view=bydate&amp;release=theatrical&amp;date=2016-11-25&amp;p=.htm"/>
    <hyperlink ref="C365" r:id="rId1083"/>
    <hyperlink ref="D365" r:id="rId1084"/>
    <hyperlink ref="I365" r:id="rId1085" display="http://www.boxofficemojo.com/schedule/?view=bydate&amp;release=theatrical&amp;date=2016-02-03&amp;p=.htm"/>
    <hyperlink ref="C366" r:id="rId1086"/>
    <hyperlink ref="D366" r:id="rId1087"/>
    <hyperlink ref="I366" r:id="rId1088" display="http://www.boxofficemojo.com/schedule/?view=bydate&amp;release=theatrical&amp;date=2016-10-19&amp;p=.htm"/>
    <hyperlink ref="C367" r:id="rId1089"/>
    <hyperlink ref="D367" r:id="rId1090"/>
    <hyperlink ref="I367" r:id="rId1091" display="http://www.boxofficemojo.com/schedule/?view=bydate&amp;release=theatrical&amp;date=2016-02-12&amp;p=.htm"/>
    <hyperlink ref="C368" r:id="rId1092"/>
    <hyperlink ref="D368" r:id="rId1093"/>
    <hyperlink ref="I368" r:id="rId1094" display="http://www.boxofficemojo.com/schedule/?view=bydate&amp;release=theatrical&amp;date=2016-03-18&amp;p=.htm"/>
    <hyperlink ref="C369" r:id="rId1095"/>
    <hyperlink ref="D369" r:id="rId1096"/>
    <hyperlink ref="I369" r:id="rId1097" display="http://www.boxofficemojo.com/schedule/?view=bydate&amp;release=theatrical&amp;date=2016-03-15&amp;p=.htm"/>
    <hyperlink ref="C370" r:id="rId1098"/>
    <hyperlink ref="D370" r:id="rId1099"/>
    <hyperlink ref="I370" r:id="rId1100" display="http://www.boxofficemojo.com/schedule/?view=bydate&amp;release=theatrical&amp;date=2016-06-24&amp;p=.htm"/>
    <hyperlink ref="C371" r:id="rId1101"/>
    <hyperlink ref="D371" r:id="rId1102"/>
    <hyperlink ref="I371" r:id="rId1103" display="http://www.boxofficemojo.com/schedule/?view=bydate&amp;release=theatrical&amp;date=2016-02-05&amp;p=.htm"/>
    <hyperlink ref="C372" r:id="rId1104"/>
    <hyperlink ref="D372" r:id="rId1105"/>
    <hyperlink ref="I372" r:id="rId1106" display="http://www.boxofficemojo.com/schedule/?view=bydate&amp;release=theatrical&amp;date=2016-10-21&amp;p=.htm"/>
    <hyperlink ref="C373" r:id="rId1107"/>
    <hyperlink ref="D373" r:id="rId1108"/>
    <hyperlink ref="I373" r:id="rId1109" display="http://www.boxofficemojo.com/schedule/?view=bydate&amp;release=theatrical&amp;date=2016-10-02&amp;p=.htm"/>
    <hyperlink ref="C374" r:id="rId1110"/>
    <hyperlink ref="D374" r:id="rId1111"/>
    <hyperlink ref="I374" r:id="rId1112" display="http://www.boxofficemojo.com/schedule/?view=bydate&amp;release=theatrical&amp;date=2016-01-29&amp;p=.htm"/>
    <hyperlink ref="C375" r:id="rId1113"/>
    <hyperlink ref="D375" r:id="rId1114"/>
    <hyperlink ref="I375" r:id="rId1115" display="http://www.boxofficemojo.com/schedule/?view=bydate&amp;release=theatrical&amp;date=2016-12-09&amp;p=.htm"/>
    <hyperlink ref="C376" r:id="rId1116"/>
    <hyperlink ref="D376" r:id="rId1117"/>
    <hyperlink ref="I376" r:id="rId1118" display="http://www.boxofficemojo.com/schedule/?view=bydate&amp;release=theatrical&amp;date=2016-01-01&amp;p=.htm"/>
    <hyperlink ref="C377" r:id="rId1119"/>
    <hyperlink ref="D377" r:id="rId1120"/>
    <hyperlink ref="I377" r:id="rId1121" display="http://www.boxofficemojo.com/schedule/?view=bydate&amp;release=theatrical&amp;date=2016-03-11&amp;p=.htm"/>
    <hyperlink ref="C378" r:id="rId1122"/>
    <hyperlink ref="D378" r:id="rId1123"/>
    <hyperlink ref="I378" r:id="rId1124" display="http://www.boxofficemojo.com/schedule/?view=bydate&amp;release=theatrical&amp;date=2016-03-18&amp;p=.htm"/>
    <hyperlink ref="C379" r:id="rId1125"/>
    <hyperlink ref="D379" r:id="rId1126"/>
    <hyperlink ref="I379" r:id="rId1127" display="http://www.boxofficemojo.com/schedule/?view=bydate&amp;release=theatrical&amp;date=2016-02-12&amp;p=.htm"/>
    <hyperlink ref="C380" r:id="rId1128"/>
    <hyperlink ref="D380" r:id="rId1129"/>
    <hyperlink ref="I380" r:id="rId1130" display="http://www.boxofficemojo.com/schedule/?view=bydate&amp;release=theatrical&amp;date=2016-09-18&amp;p=.htm"/>
    <hyperlink ref="C381" r:id="rId1131"/>
    <hyperlink ref="D381" r:id="rId1132"/>
    <hyperlink ref="I381" r:id="rId1133" display="http://www.boxofficemojo.com/schedule/?view=bydate&amp;release=theatrical&amp;date=2016-07-29&amp;p=.htm"/>
    <hyperlink ref="C382" r:id="rId1134"/>
    <hyperlink ref="D382" r:id="rId1135"/>
    <hyperlink ref="I382" r:id="rId1136" display="http://www.boxofficemojo.com/schedule/?view=bydate&amp;release=theatrical&amp;date=2016-04-22&amp;p=.htm"/>
    <hyperlink ref="C383" r:id="rId1137"/>
    <hyperlink ref="D383" r:id="rId1138"/>
    <hyperlink ref="I383" r:id="rId1139" display="http://www.boxofficemojo.com/schedule/?view=bydate&amp;release=theatrical&amp;date=2016-06-24&amp;p=.htm"/>
    <hyperlink ref="C384" r:id="rId1140"/>
    <hyperlink ref="D384" r:id="rId1141"/>
    <hyperlink ref="I384" r:id="rId1142" display="http://www.boxofficemojo.com/schedule/?view=bydate&amp;release=theatrical&amp;date=2016-08-26&amp;p=.htm"/>
    <hyperlink ref="C385" r:id="rId1143"/>
    <hyperlink ref="D385" r:id="rId1144"/>
    <hyperlink ref="I385" r:id="rId1145" display="http://www.boxofficemojo.com/schedule/?view=bydate&amp;release=theatrical&amp;date=2016-04-22&amp;p=.htm"/>
    <hyperlink ref="C386" r:id="rId1146"/>
    <hyperlink ref="D386" r:id="rId1147"/>
    <hyperlink ref="I386" r:id="rId1148" display="http://www.boxofficemojo.com/schedule/?view=bydate&amp;release=theatrical&amp;date=2016-09-15&amp;p=.htm"/>
    <hyperlink ref="C387" r:id="rId1149"/>
    <hyperlink ref="D387" r:id="rId1150"/>
    <hyperlink ref="I387" r:id="rId1151" display="http://www.boxofficemojo.com/schedule/?view=bydate&amp;release=theatrical&amp;date=2016-01-22&amp;p=.htm"/>
    <hyperlink ref="C388" r:id="rId1152"/>
    <hyperlink ref="D388" r:id="rId1153"/>
    <hyperlink ref="I388" r:id="rId1154" display="http://www.boxofficemojo.com/schedule/?view=bydate&amp;release=theatrical&amp;date=2016-04-15&amp;p=.htm"/>
    <hyperlink ref="C389" r:id="rId1155"/>
    <hyperlink ref="D389" r:id="rId1156"/>
    <hyperlink ref="I389" r:id="rId1157" display="http://www.boxofficemojo.com/schedule/?view=bydate&amp;release=theatrical&amp;date=2016-08-03&amp;p=.htm"/>
    <hyperlink ref="C390" r:id="rId1158"/>
    <hyperlink ref="D390" r:id="rId1159"/>
    <hyperlink ref="I390" r:id="rId1160" display="http://www.boxofficemojo.com/schedule/?view=bydate&amp;release=theatrical&amp;date=2016-07-08&amp;p=.htm"/>
    <hyperlink ref="C391" r:id="rId1161"/>
    <hyperlink ref="D391" r:id="rId1162"/>
    <hyperlink ref="I391" r:id="rId1163" display="http://www.boxofficemojo.com/schedule/?view=bydate&amp;release=theatrical&amp;date=2016-01-22&amp;p=.htm"/>
    <hyperlink ref="C392" r:id="rId1164"/>
    <hyperlink ref="D392" r:id="rId1165"/>
    <hyperlink ref="I392" r:id="rId1166" display="http://www.boxofficemojo.com/schedule/?view=bydate&amp;release=theatrical&amp;date=2016-11-18&amp;p=.htm"/>
    <hyperlink ref="C393" r:id="rId1167"/>
    <hyperlink ref="D393" r:id="rId1168"/>
    <hyperlink ref="I393" r:id="rId1169" display="http://www.boxofficemojo.com/schedule/?view=bydate&amp;release=theatrical&amp;date=2016-09-02&amp;p=.htm"/>
    <hyperlink ref="C394" r:id="rId1170"/>
    <hyperlink ref="D394" r:id="rId1171"/>
    <hyperlink ref="I394" r:id="rId1172" display="http://www.boxofficemojo.com/schedule/?view=bydate&amp;release=theatrical&amp;date=2016-11-17&amp;p=.htm"/>
    <hyperlink ref="C395" r:id="rId1173"/>
    <hyperlink ref="D395" r:id="rId1174"/>
    <hyperlink ref="I395" r:id="rId1175" display="http://www.boxofficemojo.com/schedule/?view=bydate&amp;release=theatrical&amp;date=2016-07-06&amp;p=.htm"/>
    <hyperlink ref="C396" r:id="rId1176"/>
    <hyperlink ref="D396" r:id="rId1177"/>
    <hyperlink ref="I396" r:id="rId1178" display="http://www.boxofficemojo.com/schedule/?view=bydate&amp;release=theatrical&amp;date=2016-01-13&amp;p=.htm"/>
    <hyperlink ref="C397" r:id="rId1179"/>
    <hyperlink ref="D397" r:id="rId1180"/>
    <hyperlink ref="I397" r:id="rId1181" display="http://www.boxofficemojo.com/schedule/?view=bydate&amp;release=theatrical&amp;date=2016-09-09&amp;p=.htm"/>
    <hyperlink ref="C398" r:id="rId1182"/>
    <hyperlink ref="D398" r:id="rId1183"/>
    <hyperlink ref="I398" r:id="rId1184" display="http://www.boxofficemojo.com/schedule/?view=bydate&amp;release=theatrical&amp;date=2016-06-10&amp;p=.htm"/>
    <hyperlink ref="C399" r:id="rId1185"/>
    <hyperlink ref="D399" r:id="rId1186"/>
    <hyperlink ref="I399" r:id="rId1187" display="http://www.boxofficemojo.com/schedule/?view=bydate&amp;release=theatrical&amp;date=2016-09-09&amp;p=.htm"/>
    <hyperlink ref="C400" r:id="rId1188"/>
    <hyperlink ref="D400" r:id="rId1189"/>
    <hyperlink ref="I400" r:id="rId1190" display="http://www.boxofficemojo.com/schedule/?view=bydate&amp;release=theatrical&amp;date=2016-09-28&amp;p=.htm"/>
    <hyperlink ref="C401" r:id="rId1191"/>
    <hyperlink ref="D401" r:id="rId1192"/>
    <hyperlink ref="I401" r:id="rId1193" display="http://www.boxofficemojo.com/schedule/?view=bydate&amp;release=theatrical&amp;date=2016-04-15&amp;p=.htm"/>
    <hyperlink ref="C402" r:id="rId1194"/>
    <hyperlink ref="D402" r:id="rId1195"/>
    <hyperlink ref="I402" r:id="rId1196" display="http://www.boxofficemojo.com/schedule/?view=bydate&amp;release=theatrical&amp;date=2016-11-11&amp;p=.htm"/>
    <hyperlink ref="C403" r:id="rId1197"/>
    <hyperlink ref="D403" r:id="rId1198"/>
    <hyperlink ref="I403" r:id="rId1199" display="http://www.boxofficemojo.com/schedule/?view=bydate&amp;release=theatrical&amp;date=2016-07-14&amp;p=.htm"/>
    <hyperlink ref="C404" r:id="rId1200"/>
    <hyperlink ref="D404" r:id="rId1201"/>
    <hyperlink ref="I404" r:id="rId1202" display="http://www.boxofficemojo.com/schedule/?view=bydate&amp;release=theatrical&amp;date=2016-07-15&amp;p=.htm"/>
    <hyperlink ref="C405" r:id="rId1203"/>
    <hyperlink ref="D405" r:id="rId1204"/>
    <hyperlink ref="I405" r:id="rId1205" display="http://www.boxofficemojo.com/schedule/?view=bydate&amp;release=theatrical&amp;date=2016-08-12&amp;p=.htm"/>
    <hyperlink ref="C406" r:id="rId1206"/>
    <hyperlink ref="D406" r:id="rId1207"/>
    <hyperlink ref="I406" r:id="rId1208" display="http://www.boxofficemojo.com/schedule/?view=bydate&amp;release=theatrical&amp;date=2016-04-15&amp;p=.htm"/>
    <hyperlink ref="C407" r:id="rId1209"/>
    <hyperlink ref="D407" r:id="rId1210"/>
    <hyperlink ref="I407" r:id="rId1211" display="http://www.boxofficemojo.com/schedule/?view=bydate&amp;release=theatrical&amp;date=2016-09-09&amp;p=.htm"/>
    <hyperlink ref="C408" r:id="rId1212"/>
    <hyperlink ref="D408" r:id="rId1213"/>
    <hyperlink ref="I408" r:id="rId1214" display="http://www.boxofficemojo.com/schedule/?view=bydate&amp;release=theatrical&amp;date=2016-08-19&amp;p=.htm"/>
    <hyperlink ref="C409" r:id="rId1215"/>
    <hyperlink ref="D409" r:id="rId1216"/>
    <hyperlink ref="I409" r:id="rId1217" display="http://www.boxofficemojo.com/schedule/?view=bydate&amp;release=theatrical&amp;date=2016-03-18&amp;p=.htm"/>
    <hyperlink ref="C410" r:id="rId1218"/>
    <hyperlink ref="D410" r:id="rId1219"/>
    <hyperlink ref="I410" r:id="rId1220" display="http://www.boxofficemojo.com/schedule/?view=bydate&amp;release=theatrical&amp;date=2016-07-01&amp;p=.htm"/>
    <hyperlink ref="C411" r:id="rId1221"/>
    <hyperlink ref="D411" r:id="rId1222"/>
    <hyperlink ref="I411" r:id="rId1223" display="http://www.boxofficemojo.com/schedule/?view=bydate&amp;release=theatrical&amp;date=2016-06-17&amp;p=.htm"/>
    <hyperlink ref="C412" r:id="rId1224"/>
    <hyperlink ref="D412" r:id="rId1225"/>
    <hyperlink ref="I412" r:id="rId1226" display="http://www.boxofficemojo.com/schedule/?view=bydate&amp;release=theatrical&amp;date=2016-09-28&amp;p=.htm"/>
    <hyperlink ref="C413" r:id="rId1227"/>
    <hyperlink ref="D413" r:id="rId1228"/>
    <hyperlink ref="I413" r:id="rId1229" display="http://www.boxofficemojo.com/schedule/?view=bydate&amp;release=theatrical&amp;date=2016-09-09&amp;p=.htm"/>
    <hyperlink ref="C414" r:id="rId1230"/>
    <hyperlink ref="D414" r:id="rId1231"/>
    <hyperlink ref="I414" r:id="rId1232" display="http://www.boxofficemojo.com/schedule/?view=bydate&amp;release=theatrical&amp;date=2016-04-15&amp;p=.htm"/>
    <hyperlink ref="C415" r:id="rId1233"/>
    <hyperlink ref="D415" r:id="rId1234"/>
    <hyperlink ref="I415" r:id="rId1235" display="http://www.boxofficemojo.com/schedule/?view=bydate&amp;release=theatrical&amp;date=2016-12-28&amp;p=.htm"/>
    <hyperlink ref="C416" r:id="rId1236"/>
    <hyperlink ref="D416" r:id="rId1237"/>
    <hyperlink ref="I416" r:id="rId1238" display="http://www.boxofficemojo.com/schedule/?view=bydate&amp;release=theatrical&amp;date=2016-02-12&amp;p=.htm"/>
    <hyperlink ref="C417" r:id="rId1239"/>
    <hyperlink ref="D417" r:id="rId1240"/>
    <hyperlink ref="I417" r:id="rId1241" display="http://www.boxofficemojo.com/schedule/?view=bydate&amp;release=theatrical&amp;date=2016-09-16&amp;p=.htm"/>
    <hyperlink ref="C418" r:id="rId1242"/>
    <hyperlink ref="D418" r:id="rId1243"/>
    <hyperlink ref="I418" r:id="rId1244" display="http://www.boxofficemojo.com/schedule/?view=bydate&amp;release=theatrical&amp;date=2016-11-18&amp;p=.htm"/>
    <hyperlink ref="C419" r:id="rId1245"/>
    <hyperlink ref="D419" r:id="rId1246"/>
    <hyperlink ref="I419" r:id="rId1247" display="http://www.boxofficemojo.com/schedule/?view=bydate&amp;release=theatrical&amp;date=2016-04-06&amp;p=.htm"/>
    <hyperlink ref="C420" r:id="rId1248"/>
    <hyperlink ref="D420" r:id="rId1249"/>
    <hyperlink ref="I420" r:id="rId1250" display="http://www.boxofficemojo.com/schedule/?view=bydate&amp;release=theatrical&amp;date=2016-10-21&amp;p=.htm"/>
    <hyperlink ref="C421" r:id="rId1251"/>
    <hyperlink ref="D421" r:id="rId1252"/>
    <hyperlink ref="I421" r:id="rId1253" display="http://www.boxofficemojo.com/schedule/?view=bydate&amp;release=theatrical&amp;date=2016-06-24&amp;p=.htm"/>
    <hyperlink ref="C422" r:id="rId1254"/>
    <hyperlink ref="D422" r:id="rId1255"/>
    <hyperlink ref="I422" r:id="rId1256" display="http://www.boxofficemojo.com/schedule/?view=bydate&amp;release=theatrical&amp;date=2016-09-09&amp;p=.htm"/>
    <hyperlink ref="C423" r:id="rId1257"/>
    <hyperlink ref="D423" r:id="rId1258"/>
    <hyperlink ref="I423" r:id="rId1259" display="http://www.boxofficemojo.com/schedule/?view=bydate&amp;release=theatrical&amp;date=2016-08-12&amp;p=.htm"/>
    <hyperlink ref="C424" r:id="rId1260"/>
    <hyperlink ref="D424" r:id="rId1261"/>
    <hyperlink ref="I424" r:id="rId1262" display="http://www.boxofficemojo.com/schedule/?view=bydate&amp;release=theatrical&amp;date=2016-12-02&amp;p=.htm"/>
    <hyperlink ref="C425" r:id="rId1263"/>
    <hyperlink ref="D425" r:id="rId1264"/>
    <hyperlink ref="I425" r:id="rId1265" display="http://www.boxofficemojo.com/schedule/?view=bydate&amp;release=theatrical&amp;date=2016-03-04&amp;p=.htm"/>
    <hyperlink ref="C426" r:id="rId1266"/>
    <hyperlink ref="D426" r:id="rId1267"/>
    <hyperlink ref="I426" r:id="rId1268" display="http://www.boxofficemojo.com/schedule/?view=bydate&amp;release=theatrical&amp;date=2016-01-29&amp;p=.htm"/>
    <hyperlink ref="C427" r:id="rId1269"/>
    <hyperlink ref="D427" r:id="rId1270"/>
    <hyperlink ref="I427" r:id="rId1271" display="http://www.boxofficemojo.com/schedule/?view=bydate&amp;release=theatrical&amp;date=2016-07-15&amp;p=.htm"/>
    <hyperlink ref="C428" r:id="rId1272"/>
    <hyperlink ref="D428" r:id="rId1273"/>
    <hyperlink ref="I428" r:id="rId1274" display="http://www.boxofficemojo.com/schedule/?view=bydate&amp;release=theatrical&amp;date=2016-12-09&amp;p=.htm"/>
    <hyperlink ref="C429" r:id="rId1275"/>
    <hyperlink ref="D429" r:id="rId1276"/>
    <hyperlink ref="I429" r:id="rId1277" display="http://www.boxofficemojo.com/schedule/?view=bydate&amp;release=theatrical&amp;date=2016-09-30&amp;p=.htm"/>
    <hyperlink ref="C430" r:id="rId1278"/>
    <hyperlink ref="D430" r:id="rId1279"/>
    <hyperlink ref="I430" r:id="rId1280" display="http://www.boxofficemojo.com/schedule/?view=bydate&amp;release=theatrical&amp;date=2016-09-09&amp;p=.htm"/>
    <hyperlink ref="C431" r:id="rId1281"/>
    <hyperlink ref="D431" r:id="rId1282"/>
    <hyperlink ref="I431" r:id="rId1283" display="http://www.boxofficemojo.com/schedule/?view=bydate&amp;release=theatrical&amp;date=2016-06-17&amp;p=.htm"/>
    <hyperlink ref="C432" r:id="rId1284"/>
    <hyperlink ref="D432" r:id="rId1285"/>
    <hyperlink ref="I432" r:id="rId1286" display="http://www.boxofficemojo.com/schedule/?view=bydate&amp;release=theatrical&amp;date=2016-03-11&amp;p=.htm"/>
    <hyperlink ref="C433" r:id="rId1287"/>
    <hyperlink ref="D433" r:id="rId1288"/>
    <hyperlink ref="I433" r:id="rId1289" display="http://www.boxofficemojo.com/schedule/?view=bydate&amp;release=theatrical&amp;date=2016-04-29&amp;p=.htm"/>
    <hyperlink ref="C434" r:id="rId1290"/>
    <hyperlink ref="D434" r:id="rId1291"/>
    <hyperlink ref="I434" r:id="rId1292" display="http://www.boxofficemojo.com/schedule/?view=bydate&amp;release=theatrical&amp;date=2016-07-08&amp;p=.htm"/>
    <hyperlink ref="C435" r:id="rId1293"/>
    <hyperlink ref="D435" r:id="rId1294"/>
    <hyperlink ref="I435" r:id="rId1295" display="http://www.boxofficemojo.com/schedule/?view=bydate&amp;release=theatrical&amp;date=2016-04-01&amp;p=.htm"/>
    <hyperlink ref="C436" r:id="rId1296"/>
    <hyperlink ref="D436" r:id="rId1297"/>
    <hyperlink ref="I436" r:id="rId1298" display="http://www.boxofficemojo.com/schedule/?view=bydate&amp;release=theatrical&amp;date=2016-05-11&amp;p=.htm"/>
    <hyperlink ref="C437" r:id="rId1299"/>
    <hyperlink ref="D437" r:id="rId1300"/>
    <hyperlink ref="I437" r:id="rId1301" display="http://www.boxofficemojo.com/schedule/?view=bydate&amp;release=theatrical&amp;date=2016-09-02&amp;p=.htm"/>
    <hyperlink ref="C438" r:id="rId1302"/>
    <hyperlink ref="D438" r:id="rId1303"/>
    <hyperlink ref="I438" r:id="rId1304" display="http://www.boxofficemojo.com/schedule/?view=bydate&amp;release=theatrical&amp;date=2016-02-26&amp;p=.htm"/>
    <hyperlink ref="C439" r:id="rId1305"/>
    <hyperlink ref="D439" r:id="rId1306"/>
    <hyperlink ref="I439" r:id="rId1307" display="http://www.boxofficemojo.com/schedule/?view=bydate&amp;release=theatrical&amp;date=2016-02-26&amp;p=.htm"/>
    <hyperlink ref="C440" r:id="rId1308"/>
    <hyperlink ref="D440" r:id="rId1309"/>
    <hyperlink ref="I440" r:id="rId1310" display="http://www.boxofficemojo.com/schedule/?view=bydate&amp;release=theatrical&amp;date=2016-07-01&amp;p=.htm"/>
    <hyperlink ref="C441" r:id="rId1311"/>
    <hyperlink ref="D441" r:id="rId1312"/>
    <hyperlink ref="I441" r:id="rId1313" display="http://www.boxofficemojo.com/schedule/?view=bydate&amp;release=theatrical&amp;date=2016-07-29&amp;p=.htm"/>
    <hyperlink ref="C442" r:id="rId1314"/>
    <hyperlink ref="D442" r:id="rId1315"/>
    <hyperlink ref="I442" r:id="rId1316" display="http://www.boxofficemojo.com/schedule/?view=bydate&amp;release=theatrical&amp;date=2016-03-04&amp;p=.htm"/>
    <hyperlink ref="C443" r:id="rId1317"/>
    <hyperlink ref="D443" r:id="rId1318"/>
    <hyperlink ref="I443" r:id="rId1319" display="http://www.boxofficemojo.com/schedule/?view=bydate&amp;release=theatrical&amp;date=2016-03-11&amp;p=.htm"/>
    <hyperlink ref="C444" r:id="rId1320"/>
    <hyperlink ref="D444" r:id="rId1321"/>
    <hyperlink ref="I444" r:id="rId1322" display="http://www.boxofficemojo.com/schedule/?view=bydate&amp;release=theatrical&amp;date=2016-11-25&amp;p=.htm"/>
    <hyperlink ref="C445" r:id="rId1323"/>
    <hyperlink ref="D445" r:id="rId1324"/>
    <hyperlink ref="I445" r:id="rId1325" display="http://www.boxofficemojo.com/schedule/?view=bydate&amp;release=theatrical&amp;date=2016-03-18&amp;p=.htm"/>
    <hyperlink ref="C446" r:id="rId1326"/>
    <hyperlink ref="D446" r:id="rId1327"/>
    <hyperlink ref="I446" r:id="rId1328" display="http://www.boxofficemojo.com/schedule/?view=bydate&amp;release=theatrical&amp;date=2016-09-23&amp;p=.htm"/>
    <hyperlink ref="C447" r:id="rId1329"/>
    <hyperlink ref="D447" r:id="rId1330"/>
    <hyperlink ref="I447" r:id="rId1331" display="http://www.boxofficemojo.com/schedule/?view=bydate&amp;release=theatrical&amp;date=2016-05-27&amp;p=.htm"/>
    <hyperlink ref="C448" r:id="rId1332"/>
    <hyperlink ref="D448" r:id="rId1333"/>
    <hyperlink ref="I448" r:id="rId1334" display="http://www.boxofficemojo.com/schedule/?view=bydate&amp;release=theatrical&amp;date=2016-04-15&amp;p=.htm"/>
    <hyperlink ref="C449" r:id="rId1335"/>
    <hyperlink ref="D449" r:id="rId1336"/>
    <hyperlink ref="I449" r:id="rId1337" display="http://www.boxofficemojo.com/schedule/?view=bydate&amp;release=theatrical&amp;date=2016-11-18&amp;p=.htm"/>
    <hyperlink ref="C450" r:id="rId1338"/>
    <hyperlink ref="D450" r:id="rId1339"/>
    <hyperlink ref="I450" r:id="rId1340" display="http://www.boxofficemojo.com/schedule/?view=bydate&amp;release=theatrical&amp;date=2016-09-14&amp;p=.htm"/>
    <hyperlink ref="C451" r:id="rId1341"/>
    <hyperlink ref="D451" r:id="rId1342"/>
    <hyperlink ref="I451" r:id="rId1343" display="http://www.boxofficemojo.com/schedule/?view=bydate&amp;release=theatrical&amp;date=2016-04-01&amp;p=.htm"/>
    <hyperlink ref="C452" r:id="rId1344"/>
    <hyperlink ref="D452" r:id="rId1345"/>
    <hyperlink ref="I452" r:id="rId1346" display="http://www.boxofficemojo.com/schedule/?view=bydate&amp;release=theatrical&amp;date=2016-05-13&amp;p=.htm"/>
    <hyperlink ref="C453" r:id="rId1347"/>
    <hyperlink ref="D453" r:id="rId1348"/>
    <hyperlink ref="I453" r:id="rId1349" display="http://www.boxofficemojo.com/schedule/?view=bydate&amp;release=theatrical&amp;date=2016-10-07&amp;p=.htm"/>
    <hyperlink ref="C454" r:id="rId1350"/>
    <hyperlink ref="D454" r:id="rId1351"/>
    <hyperlink ref="I454" r:id="rId1352" display="http://www.boxofficemojo.com/schedule/?view=bydate&amp;release=theatrical&amp;date=2016-04-01&amp;p=.htm"/>
    <hyperlink ref="C455" r:id="rId1353"/>
    <hyperlink ref="D455" r:id="rId1354"/>
    <hyperlink ref="I455" r:id="rId1355" display="http://www.boxofficemojo.com/schedule/?view=bydate&amp;release=theatrical&amp;date=2016-04-15&amp;p=.htm"/>
    <hyperlink ref="C456" r:id="rId1356"/>
    <hyperlink ref="D456" r:id="rId1357"/>
    <hyperlink ref="I456" r:id="rId1358" display="http://www.boxofficemojo.com/schedule/?view=bydate&amp;release=theatrical&amp;date=2016-04-29&amp;p=.htm"/>
    <hyperlink ref="C457" r:id="rId1359"/>
    <hyperlink ref="D457" r:id="rId1360"/>
    <hyperlink ref="I457" r:id="rId1361" display="http://www.boxofficemojo.com/schedule/?view=bydate&amp;release=theatrical&amp;date=2016-09-23&amp;p=.htm"/>
    <hyperlink ref="C458" r:id="rId1362"/>
    <hyperlink ref="D458" r:id="rId1363"/>
    <hyperlink ref="I458" r:id="rId1364" display="http://www.boxofficemojo.com/schedule/?view=bydate&amp;release=theatrical&amp;date=2016-10-07&amp;p=.htm"/>
    <hyperlink ref="C459" r:id="rId1365"/>
    <hyperlink ref="D459" r:id="rId1366"/>
    <hyperlink ref="I459" r:id="rId1367" display="http://www.boxofficemojo.com/schedule/?view=bydate&amp;release=theatrical&amp;date=2016-02-05&amp;p=.htm"/>
    <hyperlink ref="C460" r:id="rId1368"/>
    <hyperlink ref="D460" r:id="rId1369"/>
    <hyperlink ref="I460" r:id="rId1370" display="http://www.boxofficemojo.com/schedule/?view=bydate&amp;release=theatrical&amp;date=2016-06-17&amp;p=.htm"/>
    <hyperlink ref="C461" r:id="rId1371"/>
    <hyperlink ref="D461" r:id="rId1372"/>
    <hyperlink ref="I461" r:id="rId1373" display="http://www.boxofficemojo.com/schedule/?view=bydate&amp;release=theatrical&amp;date=2016-06-10&amp;p=.htm"/>
    <hyperlink ref="C462" r:id="rId1374"/>
    <hyperlink ref="D462" r:id="rId1375"/>
    <hyperlink ref="I462" r:id="rId1376" display="http://www.boxofficemojo.com/schedule/?view=bydate&amp;release=theatrical&amp;date=2016-08-12&amp;p=.htm"/>
    <hyperlink ref="C463" r:id="rId1377"/>
    <hyperlink ref="D463" r:id="rId1378"/>
    <hyperlink ref="I463" r:id="rId1379" display="http://www.boxofficemojo.com/schedule/?view=bydate&amp;release=theatrical&amp;date=2016-10-21&amp;p=.htm"/>
    <hyperlink ref="C464" r:id="rId1380"/>
    <hyperlink ref="D464" r:id="rId1381"/>
    <hyperlink ref="I464" r:id="rId1382" display="http://www.boxofficemojo.com/schedule/?view=bydate&amp;release=theatrical&amp;date=2016-04-08&amp;p=.htm"/>
    <hyperlink ref="C465" r:id="rId1383"/>
    <hyperlink ref="D465" r:id="rId1384"/>
    <hyperlink ref="I465" r:id="rId1385" display="http://www.boxofficemojo.com/schedule/?view=bydate&amp;release=theatrical&amp;date=2016-02-05&amp;p=.htm"/>
    <hyperlink ref="C466" r:id="rId1386"/>
    <hyperlink ref="D466" r:id="rId1387"/>
    <hyperlink ref="I466" r:id="rId1388" display="http://www.boxofficemojo.com/schedule/?view=bydate&amp;release=theatrical&amp;date=2016-10-07&amp;p=.htm"/>
    <hyperlink ref="C467" r:id="rId1389"/>
    <hyperlink ref="D467" r:id="rId1390"/>
    <hyperlink ref="I467" r:id="rId1391" display="http://www.boxofficemojo.com/schedule/?view=bydate&amp;release=theatrical&amp;date=2016-02-26&amp;p=.htm"/>
    <hyperlink ref="C468" r:id="rId1392"/>
    <hyperlink ref="D468" r:id="rId1393"/>
    <hyperlink ref="I468" r:id="rId1394" display="http://www.boxofficemojo.com/schedule/?view=bydate&amp;release=theatrical&amp;date=2016-12-23&amp;p=.htm"/>
    <hyperlink ref="C469" r:id="rId1395"/>
    <hyperlink ref="D469" r:id="rId1396"/>
    <hyperlink ref="I469" r:id="rId1397" display="http://www.boxofficemojo.com/schedule/?view=bydate&amp;release=theatrical&amp;date=2016-03-04&amp;p=.htm"/>
    <hyperlink ref="C470" r:id="rId1398"/>
    <hyperlink ref="D470" r:id="rId1399"/>
    <hyperlink ref="I470" r:id="rId1400" display="http://www.boxofficemojo.com/schedule/?view=bydate&amp;release=theatrical&amp;date=2016-08-12&amp;p=.htm"/>
    <hyperlink ref="C471" r:id="rId1401"/>
    <hyperlink ref="D471" r:id="rId1402"/>
    <hyperlink ref="I471" r:id="rId1403" display="http://www.boxofficemojo.com/schedule/?view=bydate&amp;release=theatrical&amp;date=2016-01-15&amp;p=.htm"/>
    <hyperlink ref="C472" r:id="rId1404"/>
    <hyperlink ref="D472" r:id="rId1405"/>
    <hyperlink ref="I472" r:id="rId1406" display="http://www.boxofficemojo.com/schedule/?view=bydate&amp;release=theatrical&amp;date=2016-11-18&amp;p=.htm"/>
    <hyperlink ref="C473" r:id="rId1407"/>
    <hyperlink ref="D473" r:id="rId1408"/>
    <hyperlink ref="I473" r:id="rId1409" display="http://www.boxofficemojo.com/schedule/?view=bydate&amp;release=theatrical&amp;date=2016-08-26&amp;p=.htm"/>
    <hyperlink ref="C474" r:id="rId1410"/>
    <hyperlink ref="D474" r:id="rId1411"/>
    <hyperlink ref="I474" r:id="rId1412" display="http://www.boxofficemojo.com/schedule/?view=bydate&amp;release=theatrical&amp;date=2016-01-08&amp;p=.htm"/>
    <hyperlink ref="C475" r:id="rId1413"/>
    <hyperlink ref="D475" r:id="rId1414"/>
    <hyperlink ref="I475" r:id="rId1415" display="http://www.boxofficemojo.com/schedule/?view=bydate&amp;release=theatrical&amp;date=2016-08-26&amp;p=.htm"/>
    <hyperlink ref="C476" r:id="rId1416"/>
    <hyperlink ref="D476" r:id="rId1417"/>
    <hyperlink ref="I476" r:id="rId1418" display="http://www.boxofficemojo.com/schedule/?view=bydate&amp;release=theatrical&amp;date=2016-05-20&amp;p=.htm"/>
    <hyperlink ref="C477" r:id="rId1419"/>
    <hyperlink ref="D477" r:id="rId1420"/>
    <hyperlink ref="I477" r:id="rId1421" display="http://www.boxofficemojo.com/schedule/?view=bydate&amp;release=theatrical&amp;date=2016-09-16&amp;p=.htm"/>
    <hyperlink ref="C478" r:id="rId1422"/>
    <hyperlink ref="D478" r:id="rId1423"/>
    <hyperlink ref="I478" r:id="rId1424" display="http://www.boxofficemojo.com/schedule/?view=bydate&amp;release=theatrical&amp;date=2016-10-07&amp;p=.htm"/>
    <hyperlink ref="C479" r:id="rId1425"/>
    <hyperlink ref="D479" r:id="rId1426"/>
    <hyperlink ref="I479" r:id="rId1427" display="http://www.boxofficemojo.com/schedule/?view=bydate&amp;release=theatrical&amp;date=2016-09-16&amp;p=.htm"/>
    <hyperlink ref="C480" r:id="rId1428"/>
    <hyperlink ref="D480" r:id="rId1429"/>
    <hyperlink ref="I480" r:id="rId1430" display="http://www.boxofficemojo.com/schedule/?view=bydate&amp;release=theatrical&amp;date=2016-10-21&amp;p=.htm"/>
    <hyperlink ref="C481" r:id="rId1431"/>
    <hyperlink ref="D481" r:id="rId1432"/>
    <hyperlink ref="I481" r:id="rId1433" display="http://www.boxofficemojo.com/schedule/?view=bydate&amp;release=theatrical&amp;date=2016-01-29&amp;p=.htm"/>
    <hyperlink ref="C482" r:id="rId1434"/>
    <hyperlink ref="D482" r:id="rId1435"/>
    <hyperlink ref="I482" r:id="rId1436" display="http://www.boxofficemojo.com/schedule/?view=bydate&amp;release=theatrical&amp;date=2016-06-22&amp;p=.htm"/>
    <hyperlink ref="C483" r:id="rId1437"/>
    <hyperlink ref="D483" r:id="rId1438"/>
    <hyperlink ref="I483" r:id="rId1439" display="http://www.boxofficemojo.com/schedule/?view=bydate&amp;release=theatrical&amp;date=2016-09-30&amp;p=.htm"/>
    <hyperlink ref="C484" r:id="rId1440"/>
    <hyperlink ref="D484" r:id="rId1441"/>
    <hyperlink ref="I484" r:id="rId1442" display="http://www.boxofficemojo.com/schedule/?view=bydate&amp;release=theatrical&amp;date=2016-05-06&amp;p=.htm"/>
    <hyperlink ref="C485" r:id="rId1443"/>
    <hyperlink ref="D485" r:id="rId1444"/>
    <hyperlink ref="I485" r:id="rId1445" display="http://www.boxofficemojo.com/schedule/?view=bydate&amp;release=theatrical&amp;date=2016-07-29&amp;p=.htm"/>
    <hyperlink ref="C486" r:id="rId1446"/>
    <hyperlink ref="D486" r:id="rId1447"/>
    <hyperlink ref="I486" r:id="rId1448" display="http://www.boxofficemojo.com/schedule/?view=bydate&amp;release=theatrical&amp;date=2016-01-29&amp;p=.htm"/>
    <hyperlink ref="C487" r:id="rId1449"/>
    <hyperlink ref="D487" r:id="rId1450"/>
    <hyperlink ref="I487" r:id="rId1451" display="http://www.boxofficemojo.com/schedule/?view=bydate&amp;release=theatrical&amp;date=2016-09-23&amp;p=.htm"/>
    <hyperlink ref="C488" r:id="rId1452"/>
    <hyperlink ref="D488" r:id="rId1453"/>
    <hyperlink ref="I488" r:id="rId1454" display="http://www.boxofficemojo.com/schedule/?view=bydate&amp;release=theatrical&amp;date=2016-11-18&amp;p=.htm"/>
    <hyperlink ref="C489" r:id="rId1455"/>
    <hyperlink ref="D489" r:id="rId1456"/>
    <hyperlink ref="I489" r:id="rId1457" display="http://www.boxofficemojo.com/schedule/?view=bydate&amp;release=theatrical&amp;date=2016-09-16&amp;p=.htm"/>
    <hyperlink ref="C490" r:id="rId1458"/>
    <hyperlink ref="D490" r:id="rId1459"/>
    <hyperlink ref="I490" r:id="rId1460" display="http://www.boxofficemojo.com/schedule/?view=bydate&amp;release=theatrical&amp;date=2016-09-16&amp;p=.htm"/>
    <hyperlink ref="C491" r:id="rId1461"/>
    <hyperlink ref="D491" r:id="rId1462"/>
    <hyperlink ref="I491" r:id="rId1463" display="http://www.boxofficemojo.com/schedule/?view=bydate&amp;release=theatrical&amp;date=2016-06-17&amp;p=.htm"/>
    <hyperlink ref="C492" r:id="rId1464"/>
    <hyperlink ref="D492" r:id="rId1465"/>
    <hyperlink ref="I492" r:id="rId1466" display="http://www.boxofficemojo.com/schedule/?view=bydate&amp;release=theatrical&amp;date=2016-09-14&amp;p=.htm"/>
    <hyperlink ref="C493" r:id="rId1467"/>
    <hyperlink ref="D493" r:id="rId1468"/>
    <hyperlink ref="I493" r:id="rId1469" display="http://www.boxofficemojo.com/schedule/?view=bydate&amp;release=theatrical&amp;date=2016-06-06&amp;p=.htm"/>
    <hyperlink ref="C494" r:id="rId1470"/>
    <hyperlink ref="D494" r:id="rId1471"/>
    <hyperlink ref="I494" r:id="rId1472" display="http://www.boxofficemojo.com/schedule/?view=bydate&amp;release=theatrical&amp;date=2016-04-01&amp;p=.htm"/>
    <hyperlink ref="C495" r:id="rId1473"/>
    <hyperlink ref="D495" r:id="rId1474"/>
    <hyperlink ref="I495" r:id="rId1475" display="http://www.boxofficemojo.com/schedule/?view=bydate&amp;release=theatrical&amp;date=2016-08-19&amp;p=.htm"/>
    <hyperlink ref="C496" r:id="rId1476"/>
    <hyperlink ref="D496" r:id="rId1477"/>
    <hyperlink ref="I496" r:id="rId1478" display="http://www.boxofficemojo.com/schedule/?view=bydate&amp;release=theatrical&amp;date=2016-06-10&amp;p=.htm"/>
    <hyperlink ref="C497" r:id="rId1479"/>
    <hyperlink ref="D497" r:id="rId1480"/>
    <hyperlink ref="I497" r:id="rId1481" display="http://www.boxofficemojo.com/schedule/?view=bydate&amp;release=theatrical&amp;date=2016-05-06&amp;p=.htm"/>
    <hyperlink ref="C498" r:id="rId1482"/>
    <hyperlink ref="D498" r:id="rId1483"/>
    <hyperlink ref="I498" r:id="rId1484" display="http://www.boxofficemojo.com/schedule/?view=bydate&amp;release=theatrical&amp;date=2016-09-09&amp;p=.htm"/>
    <hyperlink ref="C499" r:id="rId1485"/>
    <hyperlink ref="D499" r:id="rId1486"/>
    <hyperlink ref="I499" r:id="rId1487" display="http://www.boxofficemojo.com/schedule/?view=bydate&amp;release=theatrical&amp;date=2016-01-08&amp;p=.htm"/>
    <hyperlink ref="C500" r:id="rId1488"/>
    <hyperlink ref="D500" r:id="rId1489"/>
    <hyperlink ref="I500" r:id="rId1490" display="http://www.boxofficemojo.com/schedule/?view=bydate&amp;release=theatrical&amp;date=2016-04-01&amp;p=.htm"/>
    <hyperlink ref="C501" r:id="rId1491"/>
    <hyperlink ref="D501" r:id="rId1492"/>
    <hyperlink ref="I501" r:id="rId1493" display="http://www.boxofficemojo.com/schedule/?view=bydate&amp;release=theatrical&amp;date=2016-02-12&amp;p=.htm"/>
    <hyperlink ref="C502" r:id="rId1494"/>
    <hyperlink ref="D502" r:id="rId1495"/>
    <hyperlink ref="I502" r:id="rId1496" display="http://www.boxofficemojo.com/schedule/?view=bydate&amp;release=theatrical&amp;date=2016-07-22&amp;p=.htm"/>
    <hyperlink ref="C503" r:id="rId1497"/>
    <hyperlink ref="D503" r:id="rId1498"/>
    <hyperlink ref="I503" r:id="rId1499" display="http://www.boxofficemojo.com/schedule/?view=bydate&amp;release=theatrical&amp;date=2016-03-02&amp;p=.htm"/>
    <hyperlink ref="C504" r:id="rId1500"/>
    <hyperlink ref="D504" r:id="rId1501"/>
    <hyperlink ref="I504" r:id="rId1502" display="http://www.boxofficemojo.com/schedule/?view=bydate&amp;release=theatrical&amp;date=2016-04-08&amp;p=.htm"/>
    <hyperlink ref="C505" r:id="rId1503"/>
    <hyperlink ref="D505" r:id="rId1504"/>
    <hyperlink ref="I505" r:id="rId1505" display="http://www.boxofficemojo.com/schedule/?view=bydate&amp;release=theatrical&amp;date=2016-07-15&amp;p=.htm"/>
    <hyperlink ref="C506" r:id="rId1506"/>
    <hyperlink ref="D506" r:id="rId1507"/>
    <hyperlink ref="I506" r:id="rId1508" display="http://www.boxofficemojo.com/schedule/?view=bydate&amp;release=theatrical&amp;date=2016-08-19&amp;p=.htm"/>
    <hyperlink ref="C507" r:id="rId1509"/>
    <hyperlink ref="D507" r:id="rId1510"/>
    <hyperlink ref="I507" r:id="rId1511" display="http://www.boxofficemojo.com/schedule/?view=bydate&amp;release=theatrical&amp;date=2016-02-05&amp;p=.htm"/>
    <hyperlink ref="C508" r:id="rId1512"/>
    <hyperlink ref="D508" r:id="rId1513"/>
    <hyperlink ref="I508" r:id="rId1514" display="http://www.boxofficemojo.com/schedule/?view=bydate&amp;release=theatrical&amp;date=2016-11-18&amp;p=.htm"/>
    <hyperlink ref="C509" r:id="rId1515"/>
    <hyperlink ref="D509" r:id="rId1516"/>
    <hyperlink ref="I509" r:id="rId1517" display="http://www.boxofficemojo.com/schedule/?view=bydate&amp;release=theatrical&amp;date=2016-06-10&amp;p=.htm"/>
    <hyperlink ref="C510" r:id="rId1518"/>
    <hyperlink ref="D510" r:id="rId1519"/>
    <hyperlink ref="I510" r:id="rId1520" display="http://www.boxofficemojo.com/schedule/?view=bydate&amp;release=theatrical&amp;date=2016-09-09&amp;p=.htm"/>
    <hyperlink ref="C511" r:id="rId1521"/>
    <hyperlink ref="D511" r:id="rId1522"/>
    <hyperlink ref="I511" r:id="rId1523" display="http://www.boxofficemojo.com/schedule/?view=bydate&amp;release=theatrical&amp;date=2016-07-15&amp;p=.htm"/>
    <hyperlink ref="C512" r:id="rId1524"/>
    <hyperlink ref="D512" r:id="rId1525"/>
    <hyperlink ref="I512" r:id="rId1526" display="http://www.boxofficemojo.com/schedule/?view=bydate&amp;release=theatrical&amp;date=2016-08-05&amp;p=.htm"/>
    <hyperlink ref="C513" r:id="rId1527"/>
    <hyperlink ref="D513" r:id="rId1528"/>
    <hyperlink ref="I513" r:id="rId1529" display="http://www.boxofficemojo.com/schedule/?view=bydate&amp;release=theatrical&amp;date=2016-08-26&amp;p=.htm"/>
    <hyperlink ref="C514" r:id="rId1530"/>
    <hyperlink ref="D514" r:id="rId1531"/>
    <hyperlink ref="I514" r:id="rId1532" display="http://www.boxofficemojo.com/schedule/?view=bydate&amp;release=theatrical&amp;date=2016-01-22&amp;p=.htm"/>
    <hyperlink ref="C515" r:id="rId1533"/>
    <hyperlink ref="D515" r:id="rId1534"/>
    <hyperlink ref="I515" r:id="rId1535" display="http://www.boxofficemojo.com/schedule/?view=bydate&amp;release=theatrical&amp;date=2016-02-18&amp;p=.htm"/>
    <hyperlink ref="C516" r:id="rId1536"/>
    <hyperlink ref="D516" r:id="rId1537"/>
    <hyperlink ref="I516" r:id="rId1538" display="http://www.boxofficemojo.com/schedule/?view=bydate&amp;release=theatrical&amp;date=2016-08-08&amp;p=.htm"/>
    <hyperlink ref="C517" r:id="rId1539"/>
    <hyperlink ref="D517" r:id="rId1540"/>
    <hyperlink ref="I517" r:id="rId1541" display="http://www.boxofficemojo.com/schedule/?view=bydate&amp;release=theatrical&amp;date=2016-01-08&amp;p=.htm"/>
    <hyperlink ref="C518" r:id="rId1542"/>
    <hyperlink ref="D518" r:id="rId1543"/>
    <hyperlink ref="I518" r:id="rId1544" display="http://www.boxofficemojo.com/schedule/?view=bydate&amp;release=theatrical&amp;date=2016-04-15&amp;p=.htm"/>
    <hyperlink ref="C519" r:id="rId1545"/>
    <hyperlink ref="D519" r:id="rId1546"/>
    <hyperlink ref="I519" r:id="rId1547" display="http://www.boxofficemojo.com/schedule/?view=bydate&amp;release=theatrical&amp;date=2016-10-07&amp;p=.htm"/>
    <hyperlink ref="C520" r:id="rId1548"/>
    <hyperlink ref="D520" r:id="rId1549"/>
    <hyperlink ref="I520" r:id="rId1550" display="http://www.boxofficemojo.com/schedule/?view=bydate&amp;release=theatrical&amp;date=2016-05-13&amp;p=.htm"/>
    <hyperlink ref="C521" r:id="rId1551"/>
    <hyperlink ref="D521" r:id="rId1552"/>
    <hyperlink ref="I521" r:id="rId1553" display="http://www.boxofficemojo.com/schedule/?view=bydate&amp;release=theatrical&amp;date=2016-09-08&amp;p=.htm"/>
    <hyperlink ref="C522" r:id="rId1554"/>
    <hyperlink ref="D522" r:id="rId1555"/>
    <hyperlink ref="I522" r:id="rId1556" display="http://www.boxofficemojo.com/schedule/?view=bydate&amp;release=theatrical&amp;date=2016-09-29&amp;p=.htm"/>
    <hyperlink ref="C523" r:id="rId1557"/>
    <hyperlink ref="D523" r:id="rId1558"/>
    <hyperlink ref="I523" r:id="rId1559" display="http://www.boxofficemojo.com/schedule/?view=bydate&amp;release=theatrical&amp;date=2016-05-06&amp;p=.htm"/>
    <hyperlink ref="C524" r:id="rId1560"/>
    <hyperlink ref="D524" r:id="rId1561"/>
    <hyperlink ref="I524" r:id="rId1562" display="http://www.boxofficemojo.com/schedule/?view=bydate&amp;release=theatrical&amp;date=2016-04-22&amp;p=.htm"/>
    <hyperlink ref="C525" r:id="rId1563"/>
    <hyperlink ref="D525" r:id="rId1564"/>
    <hyperlink ref="I525" r:id="rId1565" display="http://www.boxofficemojo.com/schedule/?view=bydate&amp;release=theatrical&amp;date=2016-06-08&amp;p=.htm"/>
    <hyperlink ref="C526" r:id="rId1566"/>
    <hyperlink ref="D526" r:id="rId1567"/>
    <hyperlink ref="I526" r:id="rId1568" display="http://www.boxofficemojo.com/schedule/?view=bydate&amp;release=theatrical&amp;date=2016-07-22&amp;p=.htm"/>
    <hyperlink ref="C527" r:id="rId1569"/>
    <hyperlink ref="D527" r:id="rId1570"/>
    <hyperlink ref="I527" r:id="rId1571" display="http://www.boxofficemojo.com/schedule/?view=bydate&amp;release=theatrical&amp;date=2016-06-10&amp;p=.htm"/>
    <hyperlink ref="C528" r:id="rId1572"/>
    <hyperlink ref="D528" r:id="rId1573"/>
    <hyperlink ref="I528" r:id="rId1574" display="http://www.boxofficemojo.com/schedule/?view=bydate&amp;release=theatrical&amp;date=2016-07-22&amp;p=.htm"/>
    <hyperlink ref="C529" r:id="rId1575"/>
    <hyperlink ref="D529" r:id="rId1576"/>
    <hyperlink ref="I529" r:id="rId1577" display="http://www.boxofficemojo.com/schedule/?view=bydate&amp;release=theatrical&amp;date=2016-09-23&amp;p=.htm"/>
    <hyperlink ref="C530" r:id="rId1578"/>
    <hyperlink ref="D530" r:id="rId1579"/>
    <hyperlink ref="I530" r:id="rId1580" display="http://www.boxofficemojo.com/schedule/?view=bydate&amp;release=theatrical&amp;date=2016-03-11&amp;p=.htm"/>
    <hyperlink ref="C531" r:id="rId1581"/>
    <hyperlink ref="D531" r:id="rId1582"/>
    <hyperlink ref="I531" r:id="rId1583" display="http://www.boxofficemojo.com/schedule/?view=bydate&amp;release=theatrical&amp;date=2016-01-08&amp;p=.htm"/>
    <hyperlink ref="C532" r:id="rId1584"/>
    <hyperlink ref="D532" r:id="rId1585"/>
    <hyperlink ref="I532" r:id="rId1586" display="http://www.boxofficemojo.com/schedule/?view=bydate&amp;release=theatrical&amp;date=2016-09-09&amp;p=.htm"/>
    <hyperlink ref="C533" r:id="rId1587"/>
    <hyperlink ref="D533" r:id="rId1588"/>
    <hyperlink ref="I533" r:id="rId1589" display="http://www.boxofficemojo.com/schedule/?view=bydate&amp;release=theatrical&amp;date=2016-06-03&amp;p=.htm"/>
    <hyperlink ref="C534" r:id="rId1590"/>
    <hyperlink ref="D534" r:id="rId1591"/>
    <hyperlink ref="I534" r:id="rId1592" display="http://www.boxofficemojo.com/schedule/?view=bydate&amp;release=theatrical&amp;date=2016-03-25&amp;p=.htm"/>
    <hyperlink ref="C535" r:id="rId1593"/>
    <hyperlink ref="D535" r:id="rId1594"/>
    <hyperlink ref="I535" r:id="rId1595" display="http://www.boxofficemojo.com/schedule/?view=bydate&amp;release=theatrical&amp;date=2016-08-31&amp;p=.htm"/>
    <hyperlink ref="C536" r:id="rId1596"/>
    <hyperlink ref="D536" r:id="rId1597"/>
    <hyperlink ref="I536" r:id="rId1598" display="http://www.boxofficemojo.com/schedule/?view=bydate&amp;release=theatrical&amp;date=2016-01-29&amp;p=.htm"/>
    <hyperlink ref="C537" r:id="rId1599"/>
    <hyperlink ref="D537" r:id="rId1600"/>
    <hyperlink ref="I537" r:id="rId1601" display="http://www.boxofficemojo.com/schedule/?view=bydate&amp;release=theatrical&amp;date=2016-03-18&amp;p=.htm"/>
    <hyperlink ref="C538" r:id="rId1602"/>
    <hyperlink ref="D538" r:id="rId1603"/>
    <hyperlink ref="I538" r:id="rId1604" display="http://www.boxofficemojo.com/schedule/?view=bydate&amp;release=theatrical&amp;date=2016-05-20&amp;p=.htm"/>
    <hyperlink ref="C539" r:id="rId1605"/>
    <hyperlink ref="D539" r:id="rId1606"/>
    <hyperlink ref="I539" r:id="rId1607" display="http://www.boxofficemojo.com/schedule/?view=bydate&amp;release=theatrical&amp;date=2016-05-25&amp;p=.htm"/>
    <hyperlink ref="C540" r:id="rId1608"/>
    <hyperlink ref="D540" r:id="rId1609"/>
    <hyperlink ref="I540" r:id="rId1610" display="http://www.boxofficemojo.com/schedule/?view=bydate&amp;release=theatrical&amp;date=2016-12-02&amp;p=.htm"/>
    <hyperlink ref="C541" r:id="rId1611"/>
    <hyperlink ref="D541" r:id="rId1612"/>
    <hyperlink ref="I541" r:id="rId1613" display="http://www.boxofficemojo.com/schedule/?view=bydate&amp;release=theatrical&amp;date=2016-06-10&amp;p=.htm"/>
    <hyperlink ref="C542" r:id="rId1614"/>
    <hyperlink ref="D542" r:id="rId1615"/>
    <hyperlink ref="I542" r:id="rId1616" display="http://www.boxofficemojo.com/schedule/?view=bydate&amp;release=theatrical&amp;date=2016-04-08&amp;p=.htm"/>
    <hyperlink ref="C543" r:id="rId1617"/>
    <hyperlink ref="D543" r:id="rId1618"/>
    <hyperlink ref="I543" r:id="rId1619" display="http://www.boxofficemojo.com/schedule/?view=bydate&amp;release=theatrical&amp;date=2016-03-18&amp;p=.htm"/>
    <hyperlink ref="C544" r:id="rId1620"/>
    <hyperlink ref="D544" r:id="rId1621"/>
    <hyperlink ref="I544" r:id="rId1622" display="http://www.boxofficemojo.com/schedule/?view=bydate&amp;release=theatrical&amp;date=2016-08-05&amp;p=.htm"/>
    <hyperlink ref="C545" r:id="rId1623"/>
    <hyperlink ref="D545" r:id="rId1624"/>
    <hyperlink ref="I545" r:id="rId1625" display="http://www.boxofficemojo.com/schedule/?view=bydate&amp;release=theatrical&amp;date=2016-04-01&amp;p=.htm"/>
    <hyperlink ref="C546" r:id="rId1626"/>
    <hyperlink ref="D546" r:id="rId1627"/>
    <hyperlink ref="I546" r:id="rId1628" display="http://www.boxofficemojo.com/schedule/?view=bydate&amp;release=theatrical&amp;date=2016-05-27&amp;p=.htm"/>
    <hyperlink ref="C547" r:id="rId1629"/>
    <hyperlink ref="D547" r:id="rId1630"/>
    <hyperlink ref="I547" r:id="rId1631" display="http://www.boxofficemojo.com/schedule/?view=bydate&amp;release=theatrical&amp;date=2016-06-03&amp;p=.htm"/>
    <hyperlink ref="C548" r:id="rId1632"/>
    <hyperlink ref="D548" r:id="rId1633"/>
    <hyperlink ref="I548" r:id="rId1634" display="http://www.boxofficemojo.com/schedule/?view=bydate&amp;release=theatrical&amp;date=2016-08-26&amp;p=.htm"/>
    <hyperlink ref="C549" r:id="rId1635"/>
    <hyperlink ref="D549" r:id="rId1636"/>
    <hyperlink ref="I549" r:id="rId1637" display="http://www.boxofficemojo.com/schedule/?view=bydate&amp;release=theatrical&amp;date=2016-09-23&amp;p=.htm"/>
    <hyperlink ref="C550" r:id="rId1638"/>
    <hyperlink ref="D550" r:id="rId1639"/>
    <hyperlink ref="I550" r:id="rId1640" display="http://www.boxofficemojo.com/schedule/?view=bydate&amp;release=theatrical&amp;date=2016-02-12&amp;p=.htm"/>
    <hyperlink ref="C551" r:id="rId1641"/>
    <hyperlink ref="D551" r:id="rId1642"/>
    <hyperlink ref="I551" r:id="rId1643" display="http://www.boxofficemojo.com/schedule/?view=bydate&amp;release=theatrical&amp;date=2016-11-11&amp;p=.htm"/>
    <hyperlink ref="C552" r:id="rId1644"/>
    <hyperlink ref="D552" r:id="rId1645"/>
    <hyperlink ref="I552" r:id="rId1646" display="http://www.boxofficemojo.com/schedule/?view=bydate&amp;release=theatrical&amp;date=2016-06-17&amp;p=.htm"/>
    <hyperlink ref="C553" r:id="rId1647"/>
    <hyperlink ref="D553" r:id="rId1648"/>
    <hyperlink ref="I553" r:id="rId1649" display="http://www.boxofficemojo.com/schedule/?view=bydate&amp;release=theatrical&amp;date=2016-05-11&amp;p=.htm"/>
    <hyperlink ref="C554" r:id="rId1650"/>
    <hyperlink ref="D554" r:id="rId1651"/>
    <hyperlink ref="I554" r:id="rId1652" display="http://www.boxofficemojo.com/schedule/?view=bydate&amp;release=theatrical&amp;date=2016-11-25&amp;p=.htm"/>
    <hyperlink ref="C555" r:id="rId1653"/>
    <hyperlink ref="D555" r:id="rId1654"/>
    <hyperlink ref="I555" r:id="rId1655" display="http://www.boxofficemojo.com/schedule/?view=bydate&amp;release=theatrical&amp;date=2016-08-12&amp;p=.htm"/>
    <hyperlink ref="C556" r:id="rId1656"/>
    <hyperlink ref="D556" r:id="rId1657"/>
    <hyperlink ref="I556" r:id="rId1658" display="http://www.boxofficemojo.com/schedule/?view=bydate&amp;release=theatrical&amp;date=2016-06-24&amp;p=.htm"/>
    <hyperlink ref="C557" r:id="rId1659"/>
    <hyperlink ref="D557" r:id="rId1660"/>
    <hyperlink ref="I557" r:id="rId1661" display="http://www.boxofficemojo.com/schedule/?view=bydate&amp;release=theatrical&amp;date=2016-03-11&amp;p=.htm"/>
    <hyperlink ref="C558" r:id="rId1662"/>
    <hyperlink ref="D558" r:id="rId1663"/>
    <hyperlink ref="I558" r:id="rId1664" display="http://www.boxofficemojo.com/schedule/?view=bydate&amp;release=theatrical&amp;date=2016-11-11&amp;p=.htm"/>
    <hyperlink ref="C559" r:id="rId1665"/>
    <hyperlink ref="D559" r:id="rId1666"/>
    <hyperlink ref="I559" r:id="rId1667" display="http://www.boxofficemojo.com/schedule/?view=bydate&amp;release=theatrical&amp;date=2016-02-05&amp;p=.htm"/>
    <hyperlink ref="C560" r:id="rId1668"/>
    <hyperlink ref="D560" r:id="rId1669"/>
    <hyperlink ref="I560" r:id="rId1670" display="http://www.boxofficemojo.com/schedule/?view=bydate&amp;release=theatrical&amp;date=2016-04-15&amp;p=.htm"/>
    <hyperlink ref="C561" r:id="rId1671"/>
    <hyperlink ref="D561" r:id="rId1672"/>
    <hyperlink ref="I561" r:id="rId1673" display="http://www.boxofficemojo.com/schedule/?view=bydate&amp;release=theatrical&amp;date=2016-05-17&amp;p=.htm"/>
    <hyperlink ref="C562" r:id="rId1674"/>
    <hyperlink ref="D562" r:id="rId1675"/>
    <hyperlink ref="I562" r:id="rId1676" display="http://www.boxofficemojo.com/schedule/?view=bydate&amp;release=theatrical&amp;date=2016-09-23&amp;p=.htm"/>
    <hyperlink ref="C563" r:id="rId1677"/>
    <hyperlink ref="D563" r:id="rId1678"/>
    <hyperlink ref="I563" r:id="rId1679" display="http://www.boxofficemojo.com/schedule/?view=bydate&amp;release=theatrical&amp;date=2016-08-12&amp;p=.htm"/>
    <hyperlink ref="C564" r:id="rId1680"/>
    <hyperlink ref="D564" r:id="rId1681"/>
    <hyperlink ref="I564" r:id="rId1682" display="http://www.boxofficemojo.com/schedule/?view=bydate&amp;release=theatrical&amp;date=2016-06-03&amp;p=.htm"/>
    <hyperlink ref="C565" r:id="rId1683"/>
    <hyperlink ref="D565" r:id="rId1684"/>
    <hyperlink ref="I565" r:id="rId1685" display="http://www.boxofficemojo.com/schedule/?view=bydate&amp;release=theatrical&amp;date=2016-04-08&amp;p=.htm"/>
    <hyperlink ref="C566" r:id="rId1686"/>
    <hyperlink ref="D566" r:id="rId1687"/>
    <hyperlink ref="I566" r:id="rId1688" display="http://www.boxofficemojo.com/schedule/?view=bydate&amp;release=theatrical&amp;date=2016-09-23&amp;p=.htm"/>
    <hyperlink ref="C567" r:id="rId1689"/>
    <hyperlink ref="D567" r:id="rId1690"/>
    <hyperlink ref="I567" r:id="rId1691" display="http://www.boxofficemojo.com/schedule/?view=bydate&amp;release=theatrical&amp;date=2016-09-04&amp;p=.htm"/>
    <hyperlink ref="C568" r:id="rId1692"/>
    <hyperlink ref="D568" r:id="rId1693"/>
    <hyperlink ref="I568" r:id="rId1694" display="http://www.boxofficemojo.com/schedule/?view=bydate&amp;release=theatrical&amp;date=2016-02-05&amp;p=.htm"/>
    <hyperlink ref="C569" r:id="rId1695"/>
    <hyperlink ref="D569" r:id="rId1696"/>
    <hyperlink ref="I569" r:id="rId1697" display="http://www.boxofficemojo.com/schedule/?view=bydate&amp;release=theatrical&amp;date=2016-10-07&amp;p=.htm"/>
    <hyperlink ref="C570" r:id="rId1698"/>
    <hyperlink ref="D570" r:id="rId1699"/>
    <hyperlink ref="I570" r:id="rId1700" display="http://www.boxofficemojo.com/schedule/?view=bydate&amp;release=theatrical&amp;date=2016-10-07&amp;p=.htm"/>
    <hyperlink ref="C571" r:id="rId1701"/>
    <hyperlink ref="D571" r:id="rId1702"/>
    <hyperlink ref="I571" r:id="rId1703" display="http://www.boxofficemojo.com/schedule/?view=bydate&amp;release=theatrical&amp;date=2016-04-29&amp;p=.htm"/>
    <hyperlink ref="C572" r:id="rId1704"/>
    <hyperlink ref="D572" r:id="rId1705"/>
    <hyperlink ref="I572" r:id="rId1706" display="http://www.boxofficemojo.com/schedule/?view=bydate&amp;release=theatrical&amp;date=2016-02-12&amp;p=.htm"/>
    <hyperlink ref="C573" r:id="rId1707"/>
    <hyperlink ref="D573" r:id="rId1708"/>
    <hyperlink ref="I573" r:id="rId1709" display="http://www.boxofficemojo.com/schedule/?view=bydate&amp;release=theatrical&amp;date=2016-05-20&amp;p=.htm"/>
    <hyperlink ref="C574" r:id="rId1710"/>
    <hyperlink ref="D574" r:id="rId1711"/>
    <hyperlink ref="I574" r:id="rId1712" display="http://www.boxofficemojo.com/schedule/?view=bydate&amp;release=theatrical&amp;date=2016-02-12&amp;p=.htm"/>
    <hyperlink ref="C575" r:id="rId1713"/>
    <hyperlink ref="D575" r:id="rId1714"/>
    <hyperlink ref="I575" r:id="rId1715" display="http://www.boxofficemojo.com/schedule/?view=bydate&amp;release=theatrical&amp;date=2016-11-18&amp;p=.htm"/>
    <hyperlink ref="C576" r:id="rId1716"/>
    <hyperlink ref="D576" r:id="rId1717"/>
    <hyperlink ref="I576" r:id="rId1718" display="http://www.boxofficemojo.com/schedule/?view=bydate&amp;release=theatrical&amp;date=2016-01-15&amp;p=.htm"/>
    <hyperlink ref="C577" r:id="rId1719"/>
    <hyperlink ref="D577" r:id="rId1720"/>
    <hyperlink ref="I577" r:id="rId1721" display="http://www.boxofficemojo.com/schedule/?view=bydate&amp;release=theatrical&amp;date=2016-08-12&amp;p=.htm"/>
    <hyperlink ref="C578" r:id="rId1722"/>
    <hyperlink ref="D578" r:id="rId1723"/>
    <hyperlink ref="I578" r:id="rId1724" display="http://www.boxofficemojo.com/schedule/?view=bydate&amp;release=theatrical&amp;date=2016-08-26&amp;p=.htm"/>
    <hyperlink ref="C579" r:id="rId1725"/>
    <hyperlink ref="D579" r:id="rId1726"/>
    <hyperlink ref="I579" r:id="rId1727" display="http://www.boxofficemojo.com/schedule/?view=bydate&amp;release=theatrical&amp;date=2016-08-19&amp;p=.htm"/>
    <hyperlink ref="C580" r:id="rId1728"/>
    <hyperlink ref="D580" r:id="rId1729"/>
    <hyperlink ref="I580" r:id="rId1730" display="http://www.boxofficemojo.com/schedule/?view=bydate&amp;release=theatrical&amp;date=2016-09-23&amp;p=.htm"/>
    <hyperlink ref="C581" r:id="rId1731"/>
    <hyperlink ref="D581" r:id="rId1732"/>
    <hyperlink ref="I581" r:id="rId1733" display="http://www.boxofficemojo.com/schedule/?view=bydate&amp;release=theatrical&amp;date=2016-08-12&amp;p=.htm"/>
    <hyperlink ref="C582" r:id="rId1734"/>
    <hyperlink ref="D582" r:id="rId1735"/>
    <hyperlink ref="I582" r:id="rId1736" display="http://www.boxofficemojo.com/schedule/?view=bydate&amp;release=theatrical&amp;date=2016-11-11&amp;p=.htm"/>
    <hyperlink ref="C583" r:id="rId1737"/>
    <hyperlink ref="D583" r:id="rId1738"/>
    <hyperlink ref="I583" r:id="rId1739" display="http://www.boxofficemojo.com/schedule/?view=bydate&amp;release=theatrical&amp;date=2016-05-27&amp;p=.htm"/>
    <hyperlink ref="C584" r:id="rId1740"/>
    <hyperlink ref="D584" r:id="rId1741"/>
    <hyperlink ref="I584" r:id="rId1742" display="http://www.boxofficemojo.com/schedule/?view=bydate&amp;release=theatrical&amp;date=2016-06-03&amp;p=.htm"/>
    <hyperlink ref="C585" r:id="rId1743"/>
    <hyperlink ref="D585" r:id="rId1744"/>
    <hyperlink ref="I585" r:id="rId1745" display="http://www.boxofficemojo.com/schedule/?view=bydate&amp;release=theatrical&amp;date=2016-04-15&amp;p=.htm"/>
    <hyperlink ref="C586" r:id="rId1746"/>
    <hyperlink ref="D586" r:id="rId1747"/>
    <hyperlink ref="I586" r:id="rId1748" display="http://www.boxofficemojo.com/schedule/?view=bydate&amp;release=theatrical&amp;date=2016-10-14&amp;p=.htm"/>
    <hyperlink ref="C587" r:id="rId1749"/>
    <hyperlink ref="D587" r:id="rId1750"/>
    <hyperlink ref="I587" r:id="rId1751" display="http://www.boxofficemojo.com/schedule/?view=bydate&amp;release=theatrical&amp;date=2016-03-18&amp;p=.htm"/>
    <hyperlink ref="C588" r:id="rId1752"/>
    <hyperlink ref="D588" r:id="rId1753"/>
    <hyperlink ref="I588" r:id="rId1754" display="http://www.boxofficemojo.com/schedule/?view=bydate&amp;release=theatrical&amp;date=2016-06-17&amp;p=.htm"/>
    <hyperlink ref="C589" r:id="rId1755"/>
    <hyperlink ref="D589" r:id="rId1756"/>
    <hyperlink ref="I589" r:id="rId1757" display="http://www.boxofficemojo.com/schedule/?view=bydate&amp;release=theatrical&amp;date=2016-04-08&amp;p=.htm"/>
    <hyperlink ref="C590" r:id="rId1758"/>
    <hyperlink ref="D590" r:id="rId1759"/>
    <hyperlink ref="I590" r:id="rId1760" display="http://www.boxofficemojo.com/schedule/?view=bydate&amp;release=theatrical&amp;date=2016-12-16&amp;p=.htm"/>
    <hyperlink ref="C591" r:id="rId1761"/>
    <hyperlink ref="D591" r:id="rId1762"/>
    <hyperlink ref="I591" r:id="rId1763" display="http://www.boxofficemojo.com/schedule/?view=bydate&amp;release=theatrical&amp;date=2016-10-14&amp;p=.htm"/>
    <hyperlink ref="C592" r:id="rId1764"/>
    <hyperlink ref="D592" r:id="rId1765"/>
    <hyperlink ref="I592" r:id="rId1766" display="http://www.boxofficemojo.com/schedule/?view=bydate&amp;release=theatrical&amp;date=2016-11-04&amp;p=.htm"/>
    <hyperlink ref="C593" r:id="rId1767"/>
    <hyperlink ref="D593" r:id="rId1768"/>
    <hyperlink ref="I593" r:id="rId1769" display="http://www.boxofficemojo.com/schedule/?view=bydate&amp;release=theatrical&amp;date=2016-12-09&amp;p=.htm"/>
    <hyperlink ref="C594" r:id="rId1770"/>
    <hyperlink ref="D594" r:id="rId1771"/>
    <hyperlink ref="I594" r:id="rId1772" display="http://www.boxofficemojo.com/schedule/?view=bydate&amp;release=theatrical&amp;date=2016-05-13&amp;p=.htm"/>
    <hyperlink ref="C595" r:id="rId1773"/>
    <hyperlink ref="D595" r:id="rId1774"/>
    <hyperlink ref="I595" r:id="rId1775" display="http://www.boxofficemojo.com/schedule/?view=bydate&amp;release=theatrical&amp;date=2016-10-20&amp;p=.htm"/>
    <hyperlink ref="C596" r:id="rId1776"/>
    <hyperlink ref="D596" r:id="rId1777"/>
    <hyperlink ref="I596" r:id="rId1778" display="http://www.boxofficemojo.com/schedule/?view=bydate&amp;release=theatrical&amp;date=2016-05-27&amp;p=.htm"/>
    <hyperlink ref="C597" r:id="rId1779"/>
    <hyperlink ref="D597" r:id="rId1780"/>
    <hyperlink ref="I597" r:id="rId1781" display="http://www.boxofficemojo.com/schedule/?view=bydate&amp;release=theatrical&amp;date=2016-02-05&amp;p=.htm"/>
    <hyperlink ref="C598" r:id="rId1782"/>
    <hyperlink ref="D598" r:id="rId1783"/>
    <hyperlink ref="I598" r:id="rId1784" display="http://www.boxofficemojo.com/schedule/?view=bydate&amp;release=theatrical&amp;date=2016-07-08&amp;p=.htm"/>
    <hyperlink ref="C599" r:id="rId1785"/>
    <hyperlink ref="D599" r:id="rId1786"/>
    <hyperlink ref="I599" r:id="rId1787" display="http://www.boxofficemojo.com/schedule/?view=bydate&amp;release=theatrical&amp;date=2016-07-08&amp;p=.htm"/>
    <hyperlink ref="C600" r:id="rId1788"/>
    <hyperlink ref="D600" r:id="rId1789"/>
    <hyperlink ref="I600" r:id="rId1790" display="http://www.boxofficemojo.com/schedule/?view=bydate&amp;release=theatrical&amp;date=2016-04-20&amp;p=.htm"/>
    <hyperlink ref="C601" r:id="rId1791"/>
    <hyperlink ref="D601" r:id="rId1792"/>
    <hyperlink ref="I601" r:id="rId1793" display="http://www.boxofficemojo.com/schedule/?view=bydate&amp;release=theatrical&amp;date=2016-09-09&amp;p=.htm"/>
    <hyperlink ref="C602" r:id="rId1794"/>
    <hyperlink ref="D602" r:id="rId1795"/>
    <hyperlink ref="I602" r:id="rId1796" display="http://www.boxofficemojo.com/schedule/?view=bydate&amp;release=theatrical&amp;date=2016-11-25&amp;p=.htm"/>
    <hyperlink ref="C603" r:id="rId1797"/>
    <hyperlink ref="D603" r:id="rId1798"/>
    <hyperlink ref="I603" r:id="rId1799" display="http://www.boxofficemojo.com/schedule/?view=bydate&amp;release=theatrical&amp;date=2016-11-25&amp;p=.htm"/>
    <hyperlink ref="C604" r:id="rId1800"/>
    <hyperlink ref="D604" r:id="rId1801"/>
    <hyperlink ref="I604" r:id="rId1802" display="http://www.boxofficemojo.com/schedule/?view=bydate&amp;release=theatrical&amp;date=2016-09-28&amp;p=.htm"/>
    <hyperlink ref="C605" r:id="rId1803"/>
    <hyperlink ref="D605" r:id="rId1804"/>
    <hyperlink ref="I605" r:id="rId1805" display="http://www.boxofficemojo.com/schedule/?view=bydate&amp;release=theatrical&amp;date=2016-04-15&amp;p=.htm"/>
    <hyperlink ref="C606" r:id="rId1806"/>
    <hyperlink ref="D606" r:id="rId1807"/>
    <hyperlink ref="I606" r:id="rId1808" display="http://www.boxofficemojo.com/schedule/?view=bydate&amp;release=theatrical&amp;date=2016-08-05&amp;p=.htm"/>
    <hyperlink ref="C607" r:id="rId1809"/>
    <hyperlink ref="D607" r:id="rId1810"/>
    <hyperlink ref="I607" r:id="rId1811" display="http://www.boxofficemojo.com/schedule/?view=bydate&amp;release=theatrical&amp;date=2016-06-10&amp;p=.htm"/>
    <hyperlink ref="C608" r:id="rId1812"/>
    <hyperlink ref="D608" r:id="rId1813"/>
    <hyperlink ref="I608" r:id="rId1814" display="http://www.boxofficemojo.com/schedule/?view=bydate&amp;release=theatrical&amp;date=2016-05-13&amp;p=.htm"/>
    <hyperlink ref="C609" r:id="rId1815"/>
    <hyperlink ref="D609" r:id="rId1816"/>
    <hyperlink ref="I609" r:id="rId1817" display="http://www.boxofficemojo.com/schedule/?view=bydate&amp;release=theatrical&amp;date=2016-02-12&amp;p=.htm"/>
    <hyperlink ref="C610" r:id="rId1818"/>
    <hyperlink ref="D610" r:id="rId1819"/>
    <hyperlink ref="I610" r:id="rId1820" display="http://www.boxofficemojo.com/schedule/?view=bydate&amp;release=theatrical&amp;date=2016-06-17&amp;p=.htm"/>
    <hyperlink ref="C611" r:id="rId1821"/>
    <hyperlink ref="D611" r:id="rId1822"/>
    <hyperlink ref="I611" r:id="rId1823" display="http://www.boxofficemojo.com/schedule/?view=bydate&amp;release=theatrical&amp;date=2016-01-15&amp;p=.htm"/>
    <hyperlink ref="C612" r:id="rId1824"/>
    <hyperlink ref="D612" r:id="rId1825"/>
    <hyperlink ref="I612" r:id="rId1826" display="http://www.boxofficemojo.com/schedule/?view=bydate&amp;release=theatrical&amp;date=2016-01-08&amp;p=.htm"/>
    <hyperlink ref="C613" r:id="rId1827"/>
    <hyperlink ref="D613" r:id="rId1828"/>
    <hyperlink ref="I613" r:id="rId1829" display="http://www.boxofficemojo.com/schedule/?view=bydate&amp;release=theatrical&amp;date=2016-11-10&amp;p=.htm"/>
    <hyperlink ref="C614" r:id="rId1830"/>
    <hyperlink ref="D614" r:id="rId1831"/>
    <hyperlink ref="I614" r:id="rId1832" display="http://www.boxofficemojo.com/schedule/?view=bydate&amp;release=theatrical&amp;date=2016-10-21&amp;p=.htm"/>
    <hyperlink ref="C615" r:id="rId1833"/>
    <hyperlink ref="D615" r:id="rId1834"/>
    <hyperlink ref="I615" r:id="rId1835" display="http://www.boxofficemojo.com/schedule/?view=bydate&amp;release=theatrical&amp;date=2016-09-09&amp;p=.htm"/>
    <hyperlink ref="C616" r:id="rId1836"/>
    <hyperlink ref="D616" r:id="rId1837"/>
    <hyperlink ref="I616" r:id="rId1838" display="http://www.boxofficemojo.com/schedule/?view=bydate&amp;release=theatrical&amp;date=2016-10-07&amp;p=.htm"/>
    <hyperlink ref="C617" r:id="rId1839"/>
    <hyperlink ref="D617" r:id="rId1840"/>
    <hyperlink ref="I617" r:id="rId1841" display="http://www.boxofficemojo.com/schedule/?view=bydate&amp;release=theatrical&amp;date=2016-10-28&amp;p=.htm"/>
    <hyperlink ref="C618" r:id="rId1842"/>
    <hyperlink ref="D618" r:id="rId1843"/>
    <hyperlink ref="I618" r:id="rId1844" display="http://www.boxofficemojo.com/schedule/?view=bydate&amp;release=theatrical&amp;date=2016-01-15&amp;p=.htm"/>
    <hyperlink ref="C619" r:id="rId1845"/>
    <hyperlink ref="D619" r:id="rId1846"/>
    <hyperlink ref="I619" r:id="rId1847" display="http://www.boxofficemojo.com/schedule/?view=bydate&amp;release=theatrical&amp;date=2016-01-01&amp;p=.htm"/>
    <hyperlink ref="C620" r:id="rId1848"/>
    <hyperlink ref="D620" r:id="rId1849"/>
    <hyperlink ref="I620" r:id="rId1850" display="http://www.boxofficemojo.com/schedule/?view=bydate&amp;release=theatrical&amp;date=2016-03-18&amp;p=.htm"/>
    <hyperlink ref="C621" r:id="rId1851"/>
    <hyperlink ref="D621" r:id="rId1852"/>
    <hyperlink ref="I621" r:id="rId1853" display="http://www.boxofficemojo.com/schedule/?view=bydate&amp;release=theatrical&amp;date=2016-06-10&amp;p=.htm"/>
    <hyperlink ref="C622" r:id="rId1854"/>
    <hyperlink ref="D622" r:id="rId1855"/>
    <hyperlink ref="I622" r:id="rId1856" display="http://www.boxofficemojo.com/schedule/?view=bydate&amp;release=theatrical&amp;date=2016-10-21&amp;p=.htm"/>
    <hyperlink ref="C623" r:id="rId1857"/>
    <hyperlink ref="D623" r:id="rId1858"/>
    <hyperlink ref="I623" r:id="rId1859" display="http://www.boxofficemojo.com/schedule/?view=bydate&amp;release=theatrical&amp;date=2016-12-02&amp;p=.htm"/>
    <hyperlink ref="C624" r:id="rId1860"/>
    <hyperlink ref="D624" r:id="rId1861"/>
    <hyperlink ref="I624" r:id="rId1862" display="http://www.boxofficemojo.com/schedule/?view=bydate&amp;release=theatrical&amp;date=2016-03-04&amp;p=.htm"/>
    <hyperlink ref="C625" r:id="rId1863"/>
    <hyperlink ref="D625" r:id="rId1864"/>
    <hyperlink ref="I625" r:id="rId1865" display="http://www.boxofficemojo.com/schedule/?view=bydate&amp;release=theatrical&amp;date=2016-04-15&amp;p=.htm"/>
    <hyperlink ref="C626" r:id="rId1866"/>
    <hyperlink ref="D626" r:id="rId1867"/>
    <hyperlink ref="I626" r:id="rId1868" display="http://www.boxofficemojo.com/schedule/?view=bydate&amp;release=theatrical&amp;date=2016-03-18&amp;p=.htm"/>
    <hyperlink ref="C627" r:id="rId1869"/>
    <hyperlink ref="D627" r:id="rId1870"/>
    <hyperlink ref="I627" r:id="rId1871" display="http://www.boxofficemojo.com/schedule/?view=bydate&amp;release=theatrical&amp;date=2016-08-05&amp;p=.htm"/>
    <hyperlink ref="C628" r:id="rId1872"/>
    <hyperlink ref="D628" r:id="rId1873"/>
    <hyperlink ref="I628" r:id="rId1874" display="http://www.boxofficemojo.com/schedule/?view=bydate&amp;release=theatrical&amp;date=2016-11-11&amp;p=.htm"/>
    <hyperlink ref="C629" r:id="rId1875"/>
    <hyperlink ref="D629" r:id="rId1876"/>
    <hyperlink ref="I629" r:id="rId1877" display="http://www.boxofficemojo.com/schedule/?view=bydate&amp;release=theatrical&amp;date=2016-02-19&amp;p=.htm"/>
    <hyperlink ref="C630" r:id="rId1878"/>
    <hyperlink ref="D630" r:id="rId1879"/>
    <hyperlink ref="I630" r:id="rId1880" display="http://www.boxofficemojo.com/schedule/?view=bydate&amp;release=theatrical&amp;date=2016-05-27&amp;p=.htm"/>
    <hyperlink ref="C631" r:id="rId1881"/>
    <hyperlink ref="D631" r:id="rId1882"/>
    <hyperlink ref="I631" r:id="rId1883" display="http://www.boxofficemojo.com/schedule/?view=bydate&amp;release=theatrical&amp;date=2016-11-11&amp;p=.htm"/>
    <hyperlink ref="C632" r:id="rId1884"/>
    <hyperlink ref="D632" r:id="rId1885"/>
    <hyperlink ref="I632" r:id="rId1886" display="http://www.boxofficemojo.com/schedule/?view=bydate&amp;release=theatrical&amp;date=2016-05-06&amp;p=.htm"/>
    <hyperlink ref="C633" r:id="rId1887"/>
    <hyperlink ref="D633" r:id="rId1888"/>
    <hyperlink ref="I633" r:id="rId1889" display="http://www.boxofficemojo.com/schedule/?view=bydate&amp;release=theatrical&amp;date=2016-05-20&amp;p=.htm"/>
    <hyperlink ref="C634" r:id="rId1890"/>
    <hyperlink ref="D634" r:id="rId1891"/>
    <hyperlink ref="I634" r:id="rId1892" display="http://www.boxofficemojo.com/schedule/?view=bydate&amp;release=theatrical&amp;date=2016-03-11&amp;p=.htm"/>
    <hyperlink ref="C635" r:id="rId1893"/>
    <hyperlink ref="D635" r:id="rId1894"/>
    <hyperlink ref="I635" r:id="rId1895" display="http://www.boxofficemojo.com/schedule/?view=bydate&amp;release=theatrical&amp;date=2016-08-17&amp;p=.htm"/>
    <hyperlink ref="C636" r:id="rId1896"/>
    <hyperlink ref="D636" r:id="rId1897"/>
    <hyperlink ref="I636" r:id="rId1898" display="http://www.boxofficemojo.com/schedule/?view=bydate&amp;release=theatrical&amp;date=2016-05-13&amp;p=.htm"/>
    <hyperlink ref="C637" r:id="rId1899"/>
    <hyperlink ref="D637" r:id="rId1900"/>
    <hyperlink ref="I637" r:id="rId1901" display="http://www.boxofficemojo.com/schedule/?view=bydate&amp;release=theatrical&amp;date=2016-07-15&amp;p=.htm"/>
    <hyperlink ref="C638" r:id="rId1902"/>
    <hyperlink ref="D638" r:id="rId1903"/>
    <hyperlink ref="I638" r:id="rId1904" display="http://www.boxofficemojo.com/schedule/?view=bydate&amp;release=theatrical&amp;date=2016-11-02&amp;p=.htm"/>
    <hyperlink ref="C639" r:id="rId1905"/>
    <hyperlink ref="D639" r:id="rId1906"/>
    <hyperlink ref="I639" r:id="rId1907" display="http://www.boxofficemojo.com/schedule/?view=bydate&amp;release=theatrical&amp;date=2016-03-18&amp;p=.htm"/>
    <hyperlink ref="C640" r:id="rId1908"/>
    <hyperlink ref="D640" r:id="rId1909"/>
    <hyperlink ref="I640" r:id="rId1910" display="http://www.boxofficemojo.com/schedule/?view=bydate&amp;release=theatrical&amp;date=2016-03-11&amp;p=.htm"/>
    <hyperlink ref="C641" r:id="rId1911"/>
    <hyperlink ref="D641" r:id="rId1912"/>
    <hyperlink ref="I641" r:id="rId1913" display="http://www.boxofficemojo.com/schedule/?view=bydate&amp;release=theatrical&amp;date=2016-09-23&amp;p=.htm"/>
    <hyperlink ref="C642" r:id="rId1914"/>
    <hyperlink ref="D642" r:id="rId1915"/>
    <hyperlink ref="I642" r:id="rId1916" display="http://www.boxofficemojo.com/schedule/?view=bydate&amp;release=theatrical&amp;date=2016-04-29&amp;p=.htm"/>
    <hyperlink ref="C643" r:id="rId1917"/>
    <hyperlink ref="D643" r:id="rId1918"/>
    <hyperlink ref="I643" r:id="rId1919" display="http://www.boxofficemojo.com/schedule/?view=bydate&amp;release=theatrical&amp;date=2016-01-22&amp;p=.htm"/>
    <hyperlink ref="C644" r:id="rId1920"/>
    <hyperlink ref="D644" r:id="rId1921"/>
    <hyperlink ref="I644" r:id="rId1922" display="http://www.boxofficemojo.com/schedule/?view=bydate&amp;release=theatrical&amp;date=2016-10-07&amp;p=.htm"/>
    <hyperlink ref="C645" r:id="rId1923"/>
    <hyperlink ref="D645" r:id="rId1924"/>
    <hyperlink ref="I645" r:id="rId1925" display="http://www.boxofficemojo.com/schedule/?view=bydate&amp;release=theatrical&amp;date=2016-12-02&amp;p=.htm"/>
    <hyperlink ref="C646" r:id="rId1926"/>
    <hyperlink ref="D646" r:id="rId1927"/>
    <hyperlink ref="I646" r:id="rId1928" display="http://www.boxofficemojo.com/schedule/?view=bydate&amp;release=theatrical&amp;date=2016-11-04&amp;p=.htm"/>
    <hyperlink ref="C647" r:id="rId1929"/>
    <hyperlink ref="D647" r:id="rId1930"/>
    <hyperlink ref="I647" r:id="rId1931" display="http://www.boxofficemojo.com/schedule/?view=bydate&amp;release=theatrical&amp;date=2016-11-11&amp;p=.htm"/>
    <hyperlink ref="C648" r:id="rId1932"/>
    <hyperlink ref="D648" r:id="rId1933"/>
    <hyperlink ref="I648" r:id="rId1934" display="http://www.boxofficemojo.com/schedule/?view=bydate&amp;release=theatrical&amp;date=2016-12-21&amp;p=.htm"/>
    <hyperlink ref="C649" r:id="rId1935"/>
    <hyperlink ref="D649" r:id="rId1936"/>
    <hyperlink ref="I649" r:id="rId1937" display="http://www.boxofficemojo.com/schedule/?view=bydate&amp;release=theatrical&amp;date=2016-05-13&amp;p=.htm"/>
    <hyperlink ref="C650" r:id="rId1938"/>
    <hyperlink ref="D650" r:id="rId1939"/>
    <hyperlink ref="I650" r:id="rId1940" display="http://www.boxofficemojo.com/schedule/?view=bydate&amp;release=theatrical&amp;date=2016-06-03&amp;p=.htm"/>
    <hyperlink ref="C651" r:id="rId1941"/>
    <hyperlink ref="D651" r:id="rId1942"/>
    <hyperlink ref="I651" r:id="rId1943" display="http://www.boxofficemojo.com/schedule/?view=bydate&amp;release=theatrical&amp;date=2016-07-22&amp;p=.htm"/>
    <hyperlink ref="C652" r:id="rId1944"/>
    <hyperlink ref="D652" r:id="rId1945"/>
    <hyperlink ref="I652" r:id="rId1946" display="http://www.boxofficemojo.com/schedule/?view=bydate&amp;release=theatrical&amp;date=2016-07-29&amp;p=.htm"/>
    <hyperlink ref="C653" r:id="rId1947"/>
    <hyperlink ref="D653" r:id="rId1948"/>
    <hyperlink ref="I653" r:id="rId1949" display="http://www.boxofficemojo.com/schedule/?view=bydate&amp;release=theatrical&amp;date=2016-09-23&amp;p=.htm"/>
    <hyperlink ref="C654" r:id="rId1950"/>
    <hyperlink ref="D654" r:id="rId1951"/>
    <hyperlink ref="I654" r:id="rId1952" display="http://www.boxofficemojo.com/schedule/?view=bydate&amp;release=theatrical&amp;date=2016-08-12&amp;p=.htm"/>
    <hyperlink ref="C655" r:id="rId1953"/>
    <hyperlink ref="D655" r:id="rId1954"/>
    <hyperlink ref="I655" r:id="rId1955" display="http://www.boxofficemojo.com/schedule/?view=bydate&amp;release=theatrical&amp;date=2016-12-16&amp;p=.htm"/>
    <hyperlink ref="C656" r:id="rId1956"/>
    <hyperlink ref="D656" r:id="rId1957"/>
    <hyperlink ref="I656" r:id="rId1958" display="http://www.boxofficemojo.com/schedule/?view=bydate&amp;release=theatrical&amp;date=2016-07-22&amp;p=.htm"/>
    <hyperlink ref="C657" r:id="rId1959"/>
    <hyperlink ref="D657" r:id="rId1960"/>
    <hyperlink ref="I657" r:id="rId1961" display="http://www.boxofficemojo.com/schedule/?view=bydate&amp;release=theatrical&amp;date=2016-12-09&amp;p=.htm"/>
    <hyperlink ref="C658" r:id="rId1962"/>
    <hyperlink ref="D658" r:id="rId1963"/>
    <hyperlink ref="I658" r:id="rId1964" display="http://www.boxofficemojo.com/schedule/?view=bydate&amp;release=theatrical&amp;date=2016-09-23&amp;p=.htm"/>
    <hyperlink ref="C659" r:id="rId1965"/>
    <hyperlink ref="D659" r:id="rId1966"/>
    <hyperlink ref="I659" r:id="rId1967" display="http://www.boxofficemojo.com/schedule/?view=bydate&amp;release=theatrical&amp;date=2016-11-18&amp;p=.htm"/>
    <hyperlink ref="C660" r:id="rId1968"/>
    <hyperlink ref="D660" r:id="rId1969"/>
    <hyperlink ref="I660" r:id="rId1970" display="http://www.boxofficemojo.com/schedule/?view=bydate&amp;release=theatrical&amp;date=2016-06-17&amp;p=.htm"/>
    <hyperlink ref="C661" r:id="rId1971"/>
    <hyperlink ref="D661" r:id="rId1972"/>
    <hyperlink ref="I661" r:id="rId1973" display="http://www.boxofficemojo.com/schedule/?view=bydate&amp;release=theatrical&amp;date=2016-02-12&amp;p=.htm"/>
    <hyperlink ref="C662" r:id="rId1974"/>
    <hyperlink ref="D662" r:id="rId1975"/>
    <hyperlink ref="I662" r:id="rId1976" display="http://www.boxofficemojo.com/schedule/?view=bydate&amp;release=theatrical&amp;date=2016-02-19&amp;p=.htm"/>
    <hyperlink ref="C663" r:id="rId1977"/>
    <hyperlink ref="D663" r:id="rId1978"/>
    <hyperlink ref="I663" r:id="rId1979" display="http://www.boxofficemojo.com/schedule/?view=bydate&amp;release=theatrical&amp;date=2016-01-22&amp;p=.htm"/>
    <hyperlink ref="C664" r:id="rId1980"/>
    <hyperlink ref="D664" r:id="rId1981"/>
    <hyperlink ref="I664" r:id="rId1982" display="http://www.boxofficemojo.com/schedule/?view=bydate&amp;release=theatrical&amp;date=2016-09-16&amp;p=.htm"/>
    <hyperlink ref="C665" r:id="rId1983"/>
    <hyperlink ref="D665" r:id="rId1984"/>
    <hyperlink ref="I665" r:id="rId1985" display="http://www.boxofficemojo.com/schedule/?view=bydate&amp;release=theatrical&amp;date=2016-06-17&amp;p=.htm"/>
    <hyperlink ref="C666" r:id="rId1986"/>
    <hyperlink ref="D666" r:id="rId1987"/>
    <hyperlink ref="I666" r:id="rId1988" display="http://www.boxofficemojo.com/schedule/?view=bydate&amp;release=theatrical&amp;date=2016-05-20&amp;p=.htm"/>
    <hyperlink ref="C667" r:id="rId1989"/>
    <hyperlink ref="D667" r:id="rId1990"/>
    <hyperlink ref="I667" r:id="rId1991" display="http://www.boxofficemojo.com/schedule/?view=bydate&amp;release=theatrical&amp;date=2016-09-30&amp;p=.htm"/>
    <hyperlink ref="C668" r:id="rId1992"/>
    <hyperlink ref="D668" r:id="rId1993"/>
    <hyperlink ref="I668" r:id="rId1994" display="http://www.boxofficemojo.com/schedule/?view=bydate&amp;release=theatrical&amp;date=2016-03-11&amp;p=.htm"/>
    <hyperlink ref="C669" r:id="rId1995"/>
    <hyperlink ref="D669" r:id="rId1996"/>
    <hyperlink ref="I669" r:id="rId1997" display="http://www.boxofficemojo.com/schedule/?view=bydate&amp;release=theatrical&amp;date=2016-07-01&amp;p=.htm"/>
    <hyperlink ref="C670" r:id="rId1998"/>
    <hyperlink ref="D670" r:id="rId1999"/>
    <hyperlink ref="I670" r:id="rId2000" display="http://www.boxofficemojo.com/schedule/?view=bydate&amp;release=theatrical&amp;date=2016-10-26&amp;p=.htm"/>
    <hyperlink ref="C671" r:id="rId2001"/>
    <hyperlink ref="D671" r:id="rId2002"/>
    <hyperlink ref="I671" r:id="rId2003" display="http://www.boxofficemojo.com/schedule/?view=bydate&amp;release=theatrical&amp;date=2016-03-28&amp;p=.htm"/>
    <hyperlink ref="C672" r:id="rId2004"/>
    <hyperlink ref="D672" r:id="rId2005"/>
    <hyperlink ref="I672" r:id="rId2006" display="http://www.boxofficemojo.com/schedule/?view=bydate&amp;release=theatrical&amp;date=2016-06-03&amp;p=.htm"/>
    <hyperlink ref="C673" r:id="rId2007"/>
    <hyperlink ref="D673" r:id="rId2008"/>
    <hyperlink ref="I673" r:id="rId2009" display="http://www.boxofficemojo.com/schedule/?view=bydate&amp;release=theatrical&amp;date=2016-03-04&amp;p=.htm"/>
    <hyperlink ref="C674" r:id="rId2010"/>
    <hyperlink ref="D674" r:id="rId2011"/>
    <hyperlink ref="I674" r:id="rId2012" display="http://www.boxofficemojo.com/schedule/?view=bydate&amp;release=theatrical&amp;date=2016-11-30&amp;p=.htm"/>
    <hyperlink ref="C675" r:id="rId2013"/>
    <hyperlink ref="D675" r:id="rId2014"/>
    <hyperlink ref="I675" r:id="rId2015" display="http://www.boxofficemojo.com/schedule/?view=bydate&amp;release=theatrical&amp;date=2016-07-08&amp;p=.htm"/>
    <hyperlink ref="C676" r:id="rId2016"/>
    <hyperlink ref="D676" r:id="rId2017"/>
    <hyperlink ref="I676" r:id="rId2018" display="http://www.boxofficemojo.com/schedule/?view=bydate&amp;release=theatrical&amp;date=2016-10-21&amp;p=.htm"/>
    <hyperlink ref="C677" r:id="rId2019"/>
    <hyperlink ref="D677" r:id="rId2020"/>
    <hyperlink ref="I677" r:id="rId2021" display="http://www.boxofficemojo.com/schedule/?view=bydate&amp;release=theatrical&amp;date=2016-10-21&amp;p=.htm"/>
    <hyperlink ref="C678" r:id="rId2022"/>
    <hyperlink ref="D678" r:id="rId2023"/>
    <hyperlink ref="I678" r:id="rId2024" display="http://www.boxofficemojo.com/schedule/?view=bydate&amp;release=theatrical&amp;date=2016-03-18&amp;p=.htm"/>
    <hyperlink ref="C679" r:id="rId2025"/>
    <hyperlink ref="D679" r:id="rId2026"/>
    <hyperlink ref="I679" r:id="rId2027" display="http://www.boxofficemojo.com/schedule/?view=bydate&amp;release=theatrical&amp;date=2016-03-11&amp;p=.htm"/>
    <hyperlink ref="C680" r:id="rId2028"/>
    <hyperlink ref="D680" r:id="rId2029"/>
    <hyperlink ref="I680" r:id="rId2030" display="http://www.boxofficemojo.com/schedule/?view=bydate&amp;release=theatrical&amp;date=2016-03-20&amp;p=.htm"/>
    <hyperlink ref="C681" r:id="rId2031"/>
    <hyperlink ref="D681" r:id="rId2032"/>
    <hyperlink ref="I681" r:id="rId2033" display="http://www.boxofficemojo.com/schedule/?view=bydate&amp;release=theatrical&amp;date=2016-08-12&amp;p=.htm"/>
    <hyperlink ref="C682" r:id="rId2034"/>
    <hyperlink ref="D682" r:id="rId2035"/>
    <hyperlink ref="I682" r:id="rId2036" display="http://www.boxofficemojo.com/schedule/?view=bydate&amp;release=theatrical&amp;date=2016-04-07&amp;p=.htm"/>
    <hyperlink ref="C683" r:id="rId2037"/>
    <hyperlink ref="D683" r:id="rId2038"/>
    <hyperlink ref="I683" r:id="rId2039" display="http://www.boxofficemojo.com/schedule/?view=bydate&amp;release=theatrical&amp;date=2016-11-04&amp;p=.htm"/>
    <hyperlink ref="C684" r:id="rId2040"/>
    <hyperlink ref="D684" r:id="rId2041"/>
    <hyperlink ref="I684" r:id="rId2042" display="http://www.boxofficemojo.com/schedule/?view=bydate&amp;release=theatrical&amp;date=2016-12-16&amp;p=.htm"/>
    <hyperlink ref="C685" r:id="rId2043"/>
    <hyperlink ref="D685" r:id="rId2044"/>
    <hyperlink ref="I685" r:id="rId2045" display="http://www.boxofficemojo.com/schedule/?view=bydate&amp;release=theatrical&amp;date=2016-09-09&amp;p=.htm"/>
    <hyperlink ref="C686" r:id="rId2046"/>
    <hyperlink ref="D686" r:id="rId2047"/>
    <hyperlink ref="I686" r:id="rId2048" display="http://www.boxofficemojo.com/schedule/?view=bydate&amp;release=theatrical&amp;date=2016-12-09&amp;p=.htm"/>
    <hyperlink ref="C687" r:id="rId2049"/>
    <hyperlink ref="D687" r:id="rId2050"/>
    <hyperlink ref="I687" r:id="rId2051" display="http://www.boxofficemojo.com/schedule/?view=bydate&amp;release=theatrical&amp;date=2016-04-29&amp;p=.htm"/>
    <hyperlink ref="C688" r:id="rId2052"/>
    <hyperlink ref="D688" r:id="rId2053"/>
    <hyperlink ref="I688" r:id="rId2054" display="http://www.boxofficemojo.com/schedule/?view=bydate&amp;release=theatrical&amp;date=2016-07-15&amp;p=.htm"/>
    <hyperlink ref="C689" r:id="rId2055"/>
    <hyperlink ref="D689" r:id="rId2056"/>
    <hyperlink ref="I689" r:id="rId2057" display="http://www.boxofficemojo.com/schedule/?view=bydate&amp;release=theatrical&amp;date=2016-09-02&amp;p=.htm"/>
    <hyperlink ref="C690" r:id="rId2058"/>
    <hyperlink ref="D690" r:id="rId2059"/>
    <hyperlink ref="I690" r:id="rId2060" display="http://www.boxofficemojo.com/schedule/?view=bydate&amp;release=theatrical&amp;date=2016-05-19&amp;p=.htm"/>
    <hyperlink ref="C691" r:id="rId2061"/>
    <hyperlink ref="D691" r:id="rId2062"/>
    <hyperlink ref="I691" r:id="rId2063" display="http://www.boxofficemojo.com/schedule/?view=bydate&amp;release=theatrical&amp;date=2016-06-10&amp;p=.htm"/>
    <hyperlink ref="C692" r:id="rId2064"/>
    <hyperlink ref="D692" r:id="rId2065"/>
    <hyperlink ref="I692" r:id="rId2066" display="http://www.boxofficemojo.com/schedule/?view=bydate&amp;release=theatrical&amp;date=2016-04-01&amp;p=.htm"/>
    <hyperlink ref="C693" r:id="rId2067"/>
    <hyperlink ref="D693" r:id="rId2068"/>
    <hyperlink ref="I693" r:id="rId2069" display="http://www.boxofficemojo.com/schedule/?view=bydate&amp;release=theatrical&amp;date=2016-11-18&amp;p=.htm"/>
    <hyperlink ref="C694" r:id="rId2070"/>
    <hyperlink ref="D694" r:id="rId2071"/>
    <hyperlink ref="I694" r:id="rId2072" display="http://www.boxofficemojo.com/schedule/?view=bydate&amp;release=theatrical&amp;date=2016-04-22&amp;p=.htm"/>
    <hyperlink ref="C695" r:id="rId2073"/>
    <hyperlink ref="D695" r:id="rId2074"/>
    <hyperlink ref="I695" r:id="rId2075" display="http://www.boxofficemojo.com/schedule/?view=bydate&amp;release=theatrical&amp;date=2016-09-16&amp;p=.htm"/>
    <hyperlink ref="C696" r:id="rId2076"/>
    <hyperlink ref="D696" r:id="rId2077"/>
    <hyperlink ref="I696" r:id="rId2078" display="http://www.boxofficemojo.com/schedule/?view=bydate&amp;release=theatrical&amp;date=2016-03-11&amp;p=.htm"/>
    <hyperlink ref="C697" r:id="rId2079"/>
    <hyperlink ref="D697" r:id="rId2080"/>
    <hyperlink ref="I697" r:id="rId2081" display="http://www.boxofficemojo.com/schedule/?view=bydate&amp;release=theatrical&amp;date=2016-05-13&amp;p=.htm"/>
    <hyperlink ref="C698" r:id="rId2082"/>
    <hyperlink ref="D698" r:id="rId2083"/>
    <hyperlink ref="I698" r:id="rId2084" display="http://www.boxofficemojo.com/schedule/?view=bydate&amp;release=theatrical&amp;date=2016-01-22&amp;p=.htm"/>
    <hyperlink ref="C699" r:id="rId2085"/>
    <hyperlink ref="D699" r:id="rId2086"/>
    <hyperlink ref="I699" r:id="rId2087" display="http://www.boxofficemojo.com/schedule/?view=bydate&amp;release=theatrical&amp;date=2016-07-27&amp;p=.htm"/>
    <hyperlink ref="C700" r:id="rId2088"/>
    <hyperlink ref="D700" r:id="rId2089"/>
    <hyperlink ref="I700" r:id="rId2090" display="http://www.boxofficemojo.com/schedule/?view=bydate&amp;release=theatrical&amp;date=2016-09-23&amp;p=.htm"/>
    <hyperlink ref="C701" r:id="rId2091"/>
    <hyperlink ref="D701" r:id="rId2092"/>
    <hyperlink ref="I701" r:id="rId2093" display="http://www.boxofficemojo.com/schedule/?view=bydate&amp;release=theatrical&amp;date=2016-09-30&amp;p=.htm"/>
    <hyperlink ref="C702" r:id="rId2094"/>
    <hyperlink ref="D702" r:id="rId2095"/>
    <hyperlink ref="I702" r:id="rId2096" display="http://www.boxofficemojo.com/schedule/?view=bydate&amp;release=theatrical&amp;date=2016-06-24&amp;p=.htm"/>
    <hyperlink ref="C703" r:id="rId2097"/>
    <hyperlink ref="D703" r:id="rId2098"/>
    <hyperlink ref="I703" r:id="rId2099" display="http://www.boxofficemojo.com/schedule/?view=bydate&amp;release=theatrical&amp;date=2016-09-30&amp;p=.htm"/>
    <hyperlink ref="C704" r:id="rId2100"/>
    <hyperlink ref="D704" r:id="rId2101"/>
    <hyperlink ref="I704" r:id="rId2102" display="http://www.boxofficemojo.com/schedule/?view=bydate&amp;release=theatrical&amp;date=2016-10-07&amp;p=.htm"/>
    <hyperlink ref="C705" r:id="rId2103"/>
    <hyperlink ref="D705" r:id="rId2104"/>
    <hyperlink ref="I705" r:id="rId2105" display="http://www.boxofficemojo.com/schedule/?view=bydate&amp;release=theatrical&amp;date=2016-09-02&amp;p=.htm"/>
    <hyperlink ref="C706" r:id="rId2106"/>
    <hyperlink ref="D706" r:id="rId2107"/>
    <hyperlink ref="I706" r:id="rId2108" display="http://www.boxofficemojo.com/schedule/?view=bydate&amp;release=theatrical&amp;date=2016-11-01&amp;p=.htm"/>
    <hyperlink ref="C707" r:id="rId2109"/>
    <hyperlink ref="D707" r:id="rId2110"/>
    <hyperlink ref="I707" r:id="rId2111" display="http://www.boxofficemojo.com/schedule/?view=bydate&amp;release=theatrical&amp;date=2016-09-09&amp;p=.htm"/>
    <hyperlink ref="C708" r:id="rId2112"/>
    <hyperlink ref="D708" r:id="rId2113"/>
    <hyperlink ref="I708" r:id="rId2114" display="http://www.boxofficemojo.com/schedule/?view=bydate&amp;release=theatrical&amp;date=2016-03-18&amp;p=.htm"/>
    <hyperlink ref="C709" r:id="rId2115"/>
    <hyperlink ref="D709" r:id="rId2116"/>
    <hyperlink ref="I709" r:id="rId2117" display="http://www.boxofficemojo.com/schedule/?view=bydate&amp;release=theatrical&amp;date=2016-12-02&amp;p=.htm"/>
    <hyperlink ref="C710" r:id="rId2118"/>
    <hyperlink ref="D710" r:id="rId2119"/>
    <hyperlink ref="I710" r:id="rId2120" display="http://www.boxofficemojo.com/schedule/?view=bydate&amp;release=theatrical&amp;date=2016-04-15&amp;p=.htm"/>
    <hyperlink ref="C711" r:id="rId2121"/>
    <hyperlink ref="D711" r:id="rId2122"/>
    <hyperlink ref="I711" r:id="rId2123" display="http://www.boxofficemojo.com/schedule/?view=bydate&amp;release=theatrical&amp;date=2016-12-02&amp;p=.htm"/>
    <hyperlink ref="C712" r:id="rId2124"/>
    <hyperlink ref="D712" r:id="rId2125"/>
    <hyperlink ref="I712" r:id="rId2126" display="http://www.boxofficemojo.com/schedule/?view=bydate&amp;release=theatrical&amp;date=2016-12-16&amp;p=.htm"/>
    <hyperlink ref="C713" r:id="rId2127"/>
    <hyperlink ref="D713" r:id="rId2128"/>
    <hyperlink ref="I713" r:id="rId2129" display="http://www.boxofficemojo.com/schedule/?view=bydate&amp;release=theatrical&amp;date=2016-05-06&amp;p=.htm"/>
    <hyperlink ref="C714" r:id="rId2130"/>
    <hyperlink ref="D714" r:id="rId2131"/>
    <hyperlink ref="I714" r:id="rId2132" display="http://www.boxofficemojo.com/schedule/?view=bydate&amp;release=theatrical&amp;date=2016-03-04&amp;p=.htm"/>
    <hyperlink ref="C715" r:id="rId2133"/>
    <hyperlink ref="D715" r:id="rId2134"/>
    <hyperlink ref="I715" r:id="rId2135" display="http://www.boxofficemojo.com/schedule/?view=bydate&amp;release=theatrical&amp;date=2016-03-04&amp;p=.htm"/>
    <hyperlink ref="C716" r:id="rId2136"/>
    <hyperlink ref="D716" r:id="rId2137"/>
    <hyperlink ref="I716" r:id="rId2138" display="http://www.boxofficemojo.com/schedule/?view=bydate&amp;release=theatrical&amp;date=2016-10-06&amp;p=.htm"/>
    <hyperlink ref="C717" r:id="rId2139"/>
    <hyperlink ref="D717" r:id="rId2140"/>
    <hyperlink ref="I717" r:id="rId2141" display="http://www.boxofficemojo.com/schedule/?view=bydate&amp;release=theatrical&amp;date=2016-04-17&amp;p=.htm"/>
    <hyperlink ref="C718" r:id="rId2142"/>
    <hyperlink ref="D718" r:id="rId2143"/>
    <hyperlink ref="I718" r:id="rId2144" display="http://www.boxofficemojo.com/schedule/?view=bydate&amp;release=theatrical&amp;date=2016-09-23&amp;p=.htm"/>
    <hyperlink ref="C719" r:id="rId2145"/>
    <hyperlink ref="D719" r:id="rId2146"/>
    <hyperlink ref="I719" r:id="rId2147" display="http://www.boxofficemojo.com/schedule/?view=bydate&amp;release=theatrical&amp;date=2016-04-08&amp;p=.htm"/>
    <hyperlink ref="C720" r:id="rId2148"/>
    <hyperlink ref="D720" r:id="rId2149"/>
    <hyperlink ref="I720" r:id="rId2150" display="http://www.boxofficemojo.com/schedule/?view=bydate&amp;release=theatrical&amp;date=2016-06-24&amp;p=.htm"/>
    <hyperlink ref="C721" r:id="rId2151"/>
    <hyperlink ref="D721" r:id="rId2152"/>
    <hyperlink ref="I721" r:id="rId2153" display="http://www.boxofficemojo.com/schedule/?view=bydate&amp;release=theatrical&amp;date=2016-11-10&amp;p=.htm"/>
    <hyperlink ref="C722" r:id="rId2154"/>
    <hyperlink ref="D722" r:id="rId2155"/>
    <hyperlink ref="I722" r:id="rId2156" display="http://www.boxofficemojo.com/schedule/?view=bydate&amp;release=theatrical&amp;date=2016-09-02&amp;p=.htm"/>
    <hyperlink ref="C723" r:id="rId2157"/>
    <hyperlink ref="D723" r:id="rId2158"/>
    <hyperlink ref="I723" r:id="rId2159" display="http://www.boxofficemojo.com/schedule/?view=bydate&amp;release=theatrical&amp;date=2016-12-02&amp;p=.htm"/>
    <hyperlink ref="C724" r:id="rId2160"/>
    <hyperlink ref="D724" r:id="rId2161"/>
    <hyperlink ref="I724" r:id="rId2162" display="http://www.boxofficemojo.com/schedule/?view=bydate&amp;release=theatrical&amp;date=2016-03-24&amp;p=.htm"/>
    <hyperlink ref="C725" r:id="rId2163"/>
    <hyperlink ref="D725" r:id="rId2164"/>
    <hyperlink ref="I725" r:id="rId2165" display="http://www.boxofficemojo.com/schedule/?view=bydate&amp;release=theatrical&amp;date=2016-08-26&amp;p=.htm"/>
    <hyperlink ref="C726" r:id="rId2166"/>
    <hyperlink ref="D726" r:id="rId2167"/>
    <hyperlink ref="I726" r:id="rId2168" display="http://www.boxofficemojo.com/schedule/?view=bydate&amp;release=theatrical&amp;date=2016-03-11&amp;p=.htm"/>
    <hyperlink ref="C727" r:id="rId2169"/>
    <hyperlink ref="D727" r:id="rId2170"/>
    <hyperlink ref="I727" r:id="rId2171" display="http://www.boxofficemojo.com/schedule/?view=bydate&amp;release=theatrical&amp;date=2016-04-21&amp;p=.htm"/>
    <hyperlink ref="C728" r:id="rId2172"/>
    <hyperlink ref="D728" r:id="rId2173"/>
    <hyperlink ref="I728" r:id="rId2174" display="http://www.boxofficemojo.com/schedule/?view=bydate&amp;release=theatrical&amp;date=2016-08-19&amp;p=.htm"/>
    <hyperlink ref="C729" r:id="rId2175"/>
    <hyperlink ref="D729" r:id="rId2176"/>
    <hyperlink ref="I729" r:id="rId2177" display="http://www.boxofficemojo.com/schedule/?view=bydate&amp;release=theatrical&amp;date=2016-03-11&amp;p=.htm"/>
    <hyperlink ref="C730" r:id="rId2178"/>
    <hyperlink ref="D730" r:id="rId2179"/>
    <hyperlink ref="I730" r:id="rId2180" display="http://www.boxofficemojo.com/schedule/?view=bydate&amp;release=theatrical&amp;date=2016-11-18&amp;p=.htm"/>
    <hyperlink ref="C731" r:id="rId2181"/>
    <hyperlink ref="D731" r:id="rId2182"/>
    <hyperlink ref="I731" r:id="rId2183" display="http://www.boxofficemojo.com/schedule/?view=bydate&amp;release=theatrical&amp;date=2016-04-01&amp;p=.htm"/>
    <hyperlink ref="C732" r:id="rId2184"/>
    <hyperlink ref="D732" r:id="rId2185"/>
    <hyperlink ref="I732" r:id="rId2186" display="http://www.boxofficemojo.com/schedule/?view=bydate&amp;release=theatrical&amp;date=2016-08-19&amp;p=.htm"/>
    <hyperlink ref="C733" r:id="rId2187"/>
    <hyperlink ref="D733" r:id="rId2188"/>
    <hyperlink ref="I733" r:id="rId2189" display="http://www.boxofficemojo.com/schedule/?view=bydate&amp;release=theatrical&amp;date=2016-08-19&amp;p=.htm"/>
    <hyperlink ref="C734" r:id="rId2190"/>
    <hyperlink ref="D734" r:id="rId2191"/>
    <hyperlink ref="I734" r:id="rId2192" display="http://www.boxofficemojo.com/schedule/?view=bydate&amp;release=theatrical&amp;date=2016-09-30&amp;p=.htm"/>
    <hyperlink ref="C735" r:id="rId2193"/>
    <hyperlink ref="D735" r:id="rId2194"/>
    <hyperlink ref="I735" r:id="rId2195" display="http://www.boxofficemojo.com/schedule/?view=bydate&amp;release=theatrical&amp;date=2016-10-07&amp;p=.htm"/>
    <hyperlink ref="C736" r:id="rId2196"/>
    <hyperlink ref="D736" r:id="rId2197"/>
    <hyperlink ref="I736" r:id="rId2198" display="http://www.boxofficemojo.com/schedule/?view=bydate&amp;release=theatrical&amp;date=2016-10-14&amp;p=.htm"/>
    <hyperlink ref="C737" r:id="rId2199"/>
    <hyperlink ref="D737" r:id="rId2200"/>
    <hyperlink ref="I737" r:id="rId2201" display="http://www.boxofficemojo.com/schedule/?view=bydate&amp;release=theatrical&amp;date=2016-07-22&amp;p=.htm"/>
    <hyperlink ref="C738" r:id="rId2202"/>
    <hyperlink ref="D738" r:id="rId2203"/>
    <hyperlink ref="I738" r:id="rId2204" display="http://www.boxofficemojo.com/schedule/?view=bydate&amp;release=theatrical&amp;date=2016-07-01&amp;p=.htm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607"/>
  <sheetViews>
    <sheetView topLeftCell="A586" workbookViewId="0">
      <selection activeCell="L604" sqref="L604:L605"/>
    </sheetView>
  </sheetViews>
  <sheetFormatPr baseColWidth="10" defaultRowHeight="16" x14ac:dyDescent="0.2"/>
  <sheetData>
    <row r="3" spans="2:10" x14ac:dyDescent="0.2">
      <c r="B3" s="26" t="s">
        <v>550</v>
      </c>
      <c r="C3" s="26" t="s">
        <v>551</v>
      </c>
      <c r="D3" s="23" t="s">
        <v>0</v>
      </c>
    </row>
    <row r="4" spans="2:10" x14ac:dyDescent="0.2">
      <c r="B4" s="26"/>
      <c r="C4" s="26"/>
    </row>
    <row r="5" spans="2:10" x14ac:dyDescent="0.2">
      <c r="B5" s="22"/>
      <c r="C5" s="20" t="s">
        <v>7639</v>
      </c>
      <c r="D5" s="22" t="s">
        <v>5303</v>
      </c>
      <c r="E5" s="23" t="s">
        <v>552</v>
      </c>
      <c r="F5" s="23" t="s">
        <v>553</v>
      </c>
    </row>
    <row r="6" spans="2:10" x14ac:dyDescent="0.2">
      <c r="B6" s="22">
        <v>1</v>
      </c>
      <c r="C6" s="23" t="s">
        <v>13255</v>
      </c>
      <c r="D6" s="23" t="s">
        <v>563</v>
      </c>
      <c r="E6" s="20" t="s">
        <v>13256</v>
      </c>
      <c r="F6" s="22">
        <v>4.375</v>
      </c>
      <c r="G6" s="22" t="s">
        <v>13257</v>
      </c>
      <c r="H6" s="22">
        <v>4.375</v>
      </c>
      <c r="I6" s="25">
        <v>43296</v>
      </c>
      <c r="J6" s="24">
        <v>43428</v>
      </c>
    </row>
    <row r="7" spans="2:10" x14ac:dyDescent="0.2">
      <c r="B7" s="22">
        <v>2</v>
      </c>
      <c r="C7" s="23" t="s">
        <v>13258</v>
      </c>
      <c r="D7" s="23" t="s">
        <v>11366</v>
      </c>
      <c r="E7" s="20" t="s">
        <v>13259</v>
      </c>
      <c r="F7" s="22">
        <v>4.0880000000000001</v>
      </c>
      <c r="G7" s="22" t="s">
        <v>13260</v>
      </c>
      <c r="H7" s="22">
        <v>4.0880000000000001</v>
      </c>
      <c r="I7" s="25">
        <v>43280</v>
      </c>
      <c r="J7" s="24">
        <v>43386</v>
      </c>
    </row>
    <row r="8" spans="2:10" x14ac:dyDescent="0.2">
      <c r="B8" s="22">
        <v>3</v>
      </c>
      <c r="C8" s="23" t="s">
        <v>13261</v>
      </c>
      <c r="D8" s="23" t="s">
        <v>13262</v>
      </c>
      <c r="E8" s="20" t="s">
        <v>13263</v>
      </c>
      <c r="F8" s="22">
        <v>4.0659999999999998</v>
      </c>
      <c r="G8" s="22" t="s">
        <v>13264</v>
      </c>
      <c r="H8" s="22">
        <v>4.0609999999999999</v>
      </c>
      <c r="I8" s="25">
        <v>43422</v>
      </c>
      <c r="J8" s="24">
        <v>43154</v>
      </c>
    </row>
    <row r="9" spans="2:10" x14ac:dyDescent="0.2">
      <c r="B9" s="22">
        <v>4</v>
      </c>
      <c r="C9" s="23" t="s">
        <v>13265</v>
      </c>
      <c r="D9" s="23" t="s">
        <v>563</v>
      </c>
      <c r="E9" s="20" t="s">
        <v>13266</v>
      </c>
      <c r="F9" s="22">
        <v>3.6749999999999998</v>
      </c>
      <c r="G9" s="22" t="s">
        <v>13267</v>
      </c>
      <c r="H9" s="22">
        <v>3.6150000000000002</v>
      </c>
      <c r="I9" s="25">
        <v>43246</v>
      </c>
      <c r="J9" s="24">
        <v>43358</v>
      </c>
    </row>
    <row r="10" spans="2:10" x14ac:dyDescent="0.2">
      <c r="B10" s="22">
        <v>5</v>
      </c>
      <c r="C10" s="23" t="s">
        <v>13268</v>
      </c>
      <c r="D10" s="23" t="s">
        <v>554</v>
      </c>
      <c r="E10" s="20" t="s">
        <v>13269</v>
      </c>
      <c r="F10" s="22">
        <v>4.1639999999999997</v>
      </c>
      <c r="G10" s="22" t="s">
        <v>13270</v>
      </c>
      <c r="H10" s="22">
        <v>4.1550000000000002</v>
      </c>
      <c r="I10" s="25">
        <v>43240</v>
      </c>
      <c r="J10" s="24">
        <v>43372</v>
      </c>
    </row>
    <row r="11" spans="2:10" x14ac:dyDescent="0.2">
      <c r="B11" s="22">
        <v>6</v>
      </c>
      <c r="C11" s="23" t="s">
        <v>13271</v>
      </c>
      <c r="D11" s="23" t="s">
        <v>586</v>
      </c>
      <c r="E11" s="20" t="s">
        <v>13272</v>
      </c>
      <c r="F11" s="22">
        <v>3.7930000000000001</v>
      </c>
      <c r="G11" s="22" t="s">
        <v>13273</v>
      </c>
      <c r="H11" s="22">
        <v>3.6440000000000001</v>
      </c>
      <c r="I11" s="25">
        <v>43219</v>
      </c>
      <c r="J11" s="24">
        <v>43323</v>
      </c>
    </row>
    <row r="12" spans="2:10" x14ac:dyDescent="0.2">
      <c r="B12" s="22">
        <v>7</v>
      </c>
      <c r="C12" s="23" t="s">
        <v>13274</v>
      </c>
      <c r="D12" s="23" t="s">
        <v>638</v>
      </c>
      <c r="E12" s="20" t="s">
        <v>13275</v>
      </c>
      <c r="F12" s="22">
        <v>3.5550000000000002</v>
      </c>
      <c r="G12" s="22" t="s">
        <v>13276</v>
      </c>
      <c r="H12" s="22">
        <v>425</v>
      </c>
      <c r="I12" s="25">
        <v>43450</v>
      </c>
      <c r="J12" s="24">
        <v>43202</v>
      </c>
    </row>
    <row r="13" spans="2:10" x14ac:dyDescent="0.2">
      <c r="B13" s="22">
        <v>8</v>
      </c>
      <c r="C13" s="23" t="s">
        <v>13277</v>
      </c>
      <c r="D13" s="23" t="s">
        <v>554</v>
      </c>
      <c r="E13" s="20" t="s">
        <v>13278</v>
      </c>
      <c r="F13" s="22">
        <v>4.1150000000000002</v>
      </c>
      <c r="G13" s="22" t="s">
        <v>13279</v>
      </c>
      <c r="H13" s="22">
        <v>4.1150000000000002</v>
      </c>
      <c r="I13" s="25">
        <v>43275</v>
      </c>
      <c r="J13" s="24">
        <v>43449</v>
      </c>
    </row>
    <row r="14" spans="2:10" x14ac:dyDescent="0.2">
      <c r="B14" s="22">
        <v>9</v>
      </c>
      <c r="C14" s="23" t="s">
        <v>13280</v>
      </c>
      <c r="D14" s="23" t="s">
        <v>563</v>
      </c>
      <c r="E14" s="20" t="s">
        <v>13281</v>
      </c>
      <c r="F14" s="22">
        <v>3.7029999999999998</v>
      </c>
      <c r="G14" s="22" t="s">
        <v>13282</v>
      </c>
      <c r="H14" s="22">
        <v>3.7029999999999998</v>
      </c>
      <c r="I14" s="25">
        <v>43450</v>
      </c>
      <c r="J14" s="24">
        <v>43195</v>
      </c>
    </row>
    <row r="15" spans="2:10" x14ac:dyDescent="0.2">
      <c r="B15" s="22">
        <v>10</v>
      </c>
      <c r="C15" s="23" t="s">
        <v>13283</v>
      </c>
      <c r="D15" s="23" t="s">
        <v>638</v>
      </c>
      <c r="E15" s="20" t="s">
        <v>13284</v>
      </c>
      <c r="F15" s="22">
        <v>3.9630000000000001</v>
      </c>
      <c r="G15" s="22" t="s">
        <v>13285</v>
      </c>
      <c r="H15" s="22">
        <v>3.9550000000000001</v>
      </c>
      <c r="I15" s="25">
        <v>43226</v>
      </c>
      <c r="J15" s="24">
        <v>43337</v>
      </c>
    </row>
    <row r="16" spans="2:10" x14ac:dyDescent="0.2">
      <c r="B16" s="22">
        <v>11</v>
      </c>
      <c r="C16" s="23" t="s">
        <v>13286</v>
      </c>
      <c r="D16" s="23" t="s">
        <v>594</v>
      </c>
      <c r="E16" s="20" t="s">
        <v>13287</v>
      </c>
      <c r="F16" s="22">
        <v>3.6909999999999998</v>
      </c>
      <c r="G16" s="22" t="s">
        <v>13288</v>
      </c>
      <c r="H16" s="22">
        <v>3.6480000000000001</v>
      </c>
      <c r="I16" s="25">
        <v>43317</v>
      </c>
      <c r="J16" s="24">
        <v>43449</v>
      </c>
    </row>
    <row r="17" spans="2:10" x14ac:dyDescent="0.2">
      <c r="B17" s="22">
        <v>12</v>
      </c>
      <c r="C17" s="23" t="s">
        <v>13289</v>
      </c>
      <c r="D17" s="23" t="s">
        <v>638</v>
      </c>
      <c r="E17" s="20" t="s">
        <v>13290</v>
      </c>
      <c r="F17" s="22">
        <v>3.7149999999999999</v>
      </c>
      <c r="G17" s="22" t="s">
        <v>13291</v>
      </c>
      <c r="H17" s="22">
        <v>3.7149999999999999</v>
      </c>
      <c r="I17" s="25">
        <v>43303</v>
      </c>
      <c r="J17" s="24">
        <v>43414</v>
      </c>
    </row>
    <row r="18" spans="2:10" x14ac:dyDescent="0.2">
      <c r="B18" s="22">
        <v>13</v>
      </c>
      <c r="C18" s="23" t="s">
        <v>13292</v>
      </c>
      <c r="D18" s="23" t="s">
        <v>554</v>
      </c>
      <c r="E18" s="20" t="s">
        <v>13293</v>
      </c>
      <c r="F18" s="22">
        <v>3.0139999999999998</v>
      </c>
      <c r="G18" s="22" t="s">
        <v>13294</v>
      </c>
      <c r="H18" s="22">
        <v>2.5339999999999998</v>
      </c>
      <c r="I18" s="25">
        <v>43322</v>
      </c>
      <c r="J18" s="24">
        <v>43167</v>
      </c>
    </row>
    <row r="19" spans="2:10" x14ac:dyDescent="0.2">
      <c r="B19" s="22">
        <v>14</v>
      </c>
      <c r="C19" s="23" t="s">
        <v>13295</v>
      </c>
      <c r="D19" s="23" t="s">
        <v>586</v>
      </c>
      <c r="E19" s="20" t="s">
        <v>13296</v>
      </c>
      <c r="F19" s="22">
        <v>2.9580000000000002</v>
      </c>
      <c r="G19" s="22" t="s">
        <v>13297</v>
      </c>
      <c r="H19" s="22">
        <v>2.9180000000000001</v>
      </c>
      <c r="I19" s="25">
        <v>43233</v>
      </c>
      <c r="J19" s="24">
        <v>43372</v>
      </c>
    </row>
    <row r="20" spans="2:10" x14ac:dyDescent="0.2">
      <c r="B20" s="22">
        <v>15</v>
      </c>
      <c r="C20" s="23" t="s">
        <v>13298</v>
      </c>
      <c r="D20" s="23" t="s">
        <v>11366</v>
      </c>
      <c r="E20" s="20" t="s">
        <v>13299</v>
      </c>
      <c r="F20" s="22">
        <v>3.952</v>
      </c>
      <c r="G20" s="22" t="s">
        <v>13300</v>
      </c>
      <c r="H20" s="22">
        <v>3.9249999999999998</v>
      </c>
      <c r="I20" s="25">
        <v>43246</v>
      </c>
      <c r="J20" s="24">
        <v>43372</v>
      </c>
    </row>
    <row r="21" spans="2:10" x14ac:dyDescent="0.2">
      <c r="B21" s="22">
        <v>16</v>
      </c>
      <c r="C21" s="23" t="s">
        <v>13301</v>
      </c>
      <c r="D21" s="23" t="s">
        <v>11366</v>
      </c>
      <c r="E21" s="20" t="s">
        <v>13302</v>
      </c>
      <c r="F21" s="22">
        <v>3.9630000000000001</v>
      </c>
      <c r="G21" s="22" t="s">
        <v>13303</v>
      </c>
      <c r="H21" s="22">
        <v>3.952</v>
      </c>
      <c r="I21" s="25">
        <v>43401</v>
      </c>
      <c r="J21" s="24">
        <v>43160</v>
      </c>
    </row>
    <row r="22" spans="2:10" x14ac:dyDescent="0.2">
      <c r="B22" s="22">
        <v>17</v>
      </c>
      <c r="C22" s="23" t="s">
        <v>13304</v>
      </c>
      <c r="D22" s="23" t="s">
        <v>594</v>
      </c>
      <c r="E22" s="20" t="s">
        <v>13305</v>
      </c>
      <c r="F22" s="22">
        <v>3.6920000000000002</v>
      </c>
      <c r="G22" s="22" t="s">
        <v>13306</v>
      </c>
      <c r="H22" s="22">
        <v>3.641</v>
      </c>
      <c r="I22" s="25">
        <v>43254</v>
      </c>
      <c r="J22" s="24">
        <v>43372</v>
      </c>
    </row>
    <row r="23" spans="2:10" x14ac:dyDescent="0.2">
      <c r="B23" s="22">
        <v>18</v>
      </c>
      <c r="C23" s="23" t="s">
        <v>13307</v>
      </c>
      <c r="D23" s="23" t="s">
        <v>594</v>
      </c>
      <c r="E23" s="20" t="s">
        <v>13308</v>
      </c>
      <c r="F23" s="22">
        <v>3.8420000000000001</v>
      </c>
      <c r="G23" s="22" t="s">
        <v>13309</v>
      </c>
      <c r="H23" s="22">
        <v>3.8260000000000001</v>
      </c>
      <c r="I23" s="25">
        <v>43205</v>
      </c>
      <c r="J23" s="24">
        <v>43351</v>
      </c>
    </row>
    <row r="24" spans="2:10" x14ac:dyDescent="0.2">
      <c r="B24" s="22">
        <v>19</v>
      </c>
      <c r="C24" s="23" t="s">
        <v>13310</v>
      </c>
      <c r="D24" s="23" t="s">
        <v>570</v>
      </c>
      <c r="E24" s="20" t="s">
        <v>13311</v>
      </c>
      <c r="F24" s="22">
        <v>3.427</v>
      </c>
      <c r="G24" s="22" t="s">
        <v>13312</v>
      </c>
      <c r="H24" s="22">
        <v>3.395</v>
      </c>
      <c r="I24" s="25">
        <v>43310</v>
      </c>
      <c r="J24" s="24">
        <v>43449</v>
      </c>
    </row>
    <row r="25" spans="2:10" x14ac:dyDescent="0.2">
      <c r="B25" s="22">
        <v>20</v>
      </c>
      <c r="C25" s="23" t="s">
        <v>13313</v>
      </c>
      <c r="D25" s="23" t="s">
        <v>594</v>
      </c>
      <c r="E25" s="20" t="s">
        <v>13314</v>
      </c>
      <c r="F25" s="22">
        <v>3.734</v>
      </c>
      <c r="G25" s="22" t="s">
        <v>13315</v>
      </c>
      <c r="H25" s="22">
        <v>3.7229999999999999</v>
      </c>
      <c r="I25" s="25">
        <v>43450</v>
      </c>
      <c r="J25" s="24">
        <v>43258</v>
      </c>
    </row>
    <row r="26" spans="2:10" x14ac:dyDescent="0.2">
      <c r="B26" s="22">
        <v>21</v>
      </c>
      <c r="C26" s="23" t="s">
        <v>13316</v>
      </c>
      <c r="D26" s="23" t="s">
        <v>638</v>
      </c>
      <c r="E26" s="20" t="s">
        <v>13317</v>
      </c>
      <c r="F26" s="22">
        <v>3.4239999999999999</v>
      </c>
      <c r="G26" s="22" t="s">
        <v>13318</v>
      </c>
      <c r="H26" s="22">
        <v>3.379</v>
      </c>
      <c r="I26" s="25">
        <v>43261</v>
      </c>
      <c r="J26" s="24">
        <v>43372</v>
      </c>
    </row>
    <row r="27" spans="2:10" x14ac:dyDescent="0.2">
      <c r="B27" s="22">
        <v>22</v>
      </c>
      <c r="C27" s="23" t="s">
        <v>13319</v>
      </c>
      <c r="D27" s="23" t="s">
        <v>638</v>
      </c>
      <c r="E27" s="20" t="s">
        <v>13320</v>
      </c>
      <c r="F27" s="22">
        <v>3.923</v>
      </c>
      <c r="G27" s="22" t="s">
        <v>13321</v>
      </c>
      <c r="H27" s="22">
        <v>3.9169999999999998</v>
      </c>
      <c r="I27" s="25">
        <v>43163</v>
      </c>
      <c r="J27" s="24">
        <v>43288</v>
      </c>
    </row>
    <row r="28" spans="2:10" x14ac:dyDescent="0.2">
      <c r="B28" s="22">
        <v>23</v>
      </c>
      <c r="C28" s="23" t="s">
        <v>13322</v>
      </c>
      <c r="D28" s="23" t="s">
        <v>574</v>
      </c>
      <c r="E28" s="20" t="s">
        <v>13323</v>
      </c>
      <c r="F28" s="22">
        <v>3.1339999999999999</v>
      </c>
      <c r="G28" s="22" t="s">
        <v>13324</v>
      </c>
      <c r="H28" s="22">
        <v>3.04</v>
      </c>
      <c r="I28" s="25">
        <v>43289</v>
      </c>
      <c r="J28" s="24">
        <v>43400</v>
      </c>
    </row>
    <row r="29" spans="2:10" x14ac:dyDescent="0.2">
      <c r="B29" s="22">
        <v>24</v>
      </c>
      <c r="C29" s="23" t="s">
        <v>13325</v>
      </c>
      <c r="D29" s="23" t="s">
        <v>563</v>
      </c>
      <c r="E29" s="20" t="s">
        <v>13326</v>
      </c>
      <c r="F29" s="22">
        <v>3.8159999999999998</v>
      </c>
      <c r="G29" s="22" t="s">
        <v>13327</v>
      </c>
      <c r="H29" s="22">
        <v>3.8159999999999998</v>
      </c>
      <c r="I29" s="25">
        <v>43268</v>
      </c>
      <c r="J29" s="24">
        <v>43372</v>
      </c>
    </row>
    <row r="30" spans="2:10" x14ac:dyDescent="0.2">
      <c r="B30" s="22">
        <v>25</v>
      </c>
      <c r="C30" s="23" t="s">
        <v>13328</v>
      </c>
      <c r="D30" s="23" t="s">
        <v>586</v>
      </c>
      <c r="E30" s="20" t="s">
        <v>13329</v>
      </c>
      <c r="F30" s="22">
        <v>3.6160000000000001</v>
      </c>
      <c r="G30" s="22" t="s">
        <v>13330</v>
      </c>
      <c r="H30" s="22">
        <v>3.5790000000000002</v>
      </c>
      <c r="I30" s="25">
        <v>43191</v>
      </c>
      <c r="J30" s="24">
        <v>43267</v>
      </c>
    </row>
    <row r="31" spans="2:10" x14ac:dyDescent="0.2">
      <c r="B31" s="22">
        <v>26</v>
      </c>
      <c r="C31" s="23" t="s">
        <v>13331</v>
      </c>
      <c r="D31" s="23" t="s">
        <v>638</v>
      </c>
      <c r="E31" s="20" t="s">
        <v>13332</v>
      </c>
      <c r="F31" s="22">
        <v>3.3290000000000002</v>
      </c>
      <c r="G31" s="22" t="s">
        <v>13333</v>
      </c>
      <c r="H31" s="22">
        <v>3.3210000000000002</v>
      </c>
      <c r="I31" s="25">
        <v>43394</v>
      </c>
      <c r="J31" s="24">
        <v>43105</v>
      </c>
    </row>
    <row r="32" spans="2:10" x14ac:dyDescent="0.2">
      <c r="B32" s="22">
        <v>27</v>
      </c>
      <c r="C32" s="23" t="s">
        <v>13334</v>
      </c>
      <c r="D32" s="23" t="s">
        <v>570</v>
      </c>
      <c r="E32" s="20" t="s">
        <v>13335</v>
      </c>
      <c r="F32" s="22">
        <v>3.548</v>
      </c>
      <c r="G32" s="22" t="s">
        <v>13336</v>
      </c>
      <c r="H32" s="22">
        <v>3.548</v>
      </c>
      <c r="I32" s="25">
        <v>43142</v>
      </c>
      <c r="J32" s="24">
        <v>43239</v>
      </c>
    </row>
    <row r="33" spans="2:10" x14ac:dyDescent="0.2">
      <c r="B33" s="22">
        <v>28</v>
      </c>
      <c r="C33" s="23" t="s">
        <v>13337</v>
      </c>
      <c r="D33" s="23" t="s">
        <v>570</v>
      </c>
      <c r="E33" s="20" t="s">
        <v>13338</v>
      </c>
      <c r="F33" s="22">
        <v>2.95</v>
      </c>
      <c r="G33" s="22" t="s">
        <v>13339</v>
      </c>
      <c r="H33" s="22">
        <v>2.9140000000000001</v>
      </c>
      <c r="I33" s="25">
        <v>43455</v>
      </c>
      <c r="J33" s="24">
        <v>43181</v>
      </c>
    </row>
    <row r="34" spans="2:10" x14ac:dyDescent="0.2">
      <c r="B34" s="22">
        <v>29</v>
      </c>
      <c r="C34" s="23" t="s">
        <v>13340</v>
      </c>
      <c r="D34" s="23" t="s">
        <v>570</v>
      </c>
      <c r="E34" s="20" t="s">
        <v>13341</v>
      </c>
      <c r="F34" s="22">
        <v>3.0489999999999999</v>
      </c>
      <c r="G34" s="22" t="s">
        <v>13342</v>
      </c>
      <c r="H34" s="22">
        <v>3.0489999999999999</v>
      </c>
      <c r="I34" s="25">
        <v>43275</v>
      </c>
      <c r="J34" s="24">
        <v>43386</v>
      </c>
    </row>
    <row r="35" spans="2:10" x14ac:dyDescent="0.2">
      <c r="B35" s="22">
        <v>30</v>
      </c>
      <c r="C35" s="23" t="s">
        <v>13343</v>
      </c>
      <c r="D35" s="23" t="s">
        <v>586</v>
      </c>
      <c r="E35" s="20" t="s">
        <v>13344</v>
      </c>
      <c r="F35" s="22">
        <v>3.754</v>
      </c>
      <c r="G35" s="22" t="s">
        <v>13345</v>
      </c>
      <c r="H35" s="22">
        <v>3.75</v>
      </c>
      <c r="I35" s="25">
        <v>43310</v>
      </c>
      <c r="J35" s="24">
        <v>43407</v>
      </c>
    </row>
    <row r="36" spans="2:10" x14ac:dyDescent="0.2">
      <c r="B36" s="22">
        <v>31</v>
      </c>
      <c r="C36" s="23" t="s">
        <v>13346</v>
      </c>
      <c r="D36" s="23" t="s">
        <v>554</v>
      </c>
      <c r="E36" s="20" t="s">
        <v>13347</v>
      </c>
      <c r="F36" s="22">
        <v>3.0369999999999999</v>
      </c>
      <c r="G36" s="22" t="s">
        <v>13348</v>
      </c>
      <c r="H36" s="22">
        <v>2.9940000000000002</v>
      </c>
      <c r="I36" s="25">
        <v>43142</v>
      </c>
      <c r="J36" s="24">
        <v>43274</v>
      </c>
    </row>
    <row r="37" spans="2:10" x14ac:dyDescent="0.2">
      <c r="B37" s="22">
        <v>32</v>
      </c>
      <c r="C37" s="23" t="s">
        <v>13349</v>
      </c>
      <c r="D37" s="23" t="s">
        <v>570</v>
      </c>
      <c r="E37" s="20" t="s">
        <v>13350</v>
      </c>
      <c r="F37" s="22">
        <v>3.5840000000000001</v>
      </c>
      <c r="G37" s="22" t="s">
        <v>13351</v>
      </c>
      <c r="H37" s="22">
        <v>3.5840000000000001</v>
      </c>
      <c r="I37" s="25">
        <v>43114</v>
      </c>
      <c r="J37" s="24">
        <v>43211</v>
      </c>
    </row>
    <row r="38" spans="2:10" x14ac:dyDescent="0.2">
      <c r="B38" s="22">
        <v>33</v>
      </c>
      <c r="C38" s="23" t="s">
        <v>13352</v>
      </c>
      <c r="D38" s="23" t="s">
        <v>554</v>
      </c>
      <c r="E38" s="20" t="s">
        <v>13353</v>
      </c>
      <c r="F38" s="22">
        <v>2.34</v>
      </c>
      <c r="G38" s="22" t="s">
        <v>13354</v>
      </c>
      <c r="H38" s="22">
        <v>2.33</v>
      </c>
      <c r="I38" s="25">
        <v>43359</v>
      </c>
      <c r="J38" s="24">
        <v>43112</v>
      </c>
    </row>
    <row r="39" spans="2:10" x14ac:dyDescent="0.2">
      <c r="B39" s="22">
        <v>34</v>
      </c>
      <c r="C39" s="23" t="s">
        <v>13355</v>
      </c>
      <c r="D39" s="23" t="s">
        <v>554</v>
      </c>
      <c r="E39" s="20" t="s">
        <v>13356</v>
      </c>
      <c r="F39" s="22">
        <v>3.44</v>
      </c>
      <c r="G39" s="22" t="s">
        <v>13357</v>
      </c>
      <c r="H39" s="22">
        <v>3.44</v>
      </c>
      <c r="I39" s="25">
        <v>43427</v>
      </c>
      <c r="J39" s="24">
        <v>43195</v>
      </c>
    </row>
    <row r="40" spans="2:10" x14ac:dyDescent="0.2">
      <c r="B40" s="22">
        <v>35</v>
      </c>
      <c r="C40" s="23" t="s">
        <v>13358</v>
      </c>
      <c r="D40" s="23" t="s">
        <v>554</v>
      </c>
      <c r="E40" s="20" t="s">
        <v>13359</v>
      </c>
      <c r="F40" s="22">
        <v>3.44</v>
      </c>
      <c r="G40" s="22" t="s">
        <v>13360</v>
      </c>
      <c r="H40" s="22">
        <v>3.44</v>
      </c>
      <c r="I40" s="25">
        <v>43380</v>
      </c>
      <c r="J40" s="24">
        <v>43147</v>
      </c>
    </row>
    <row r="41" spans="2:10" x14ac:dyDescent="0.2">
      <c r="B41" s="22">
        <v>36</v>
      </c>
      <c r="C41" s="23" t="s">
        <v>13361</v>
      </c>
      <c r="D41" s="23" t="s">
        <v>563</v>
      </c>
      <c r="E41" s="20" t="s">
        <v>13362</v>
      </c>
      <c r="F41" s="22">
        <v>3.02</v>
      </c>
      <c r="G41" s="22" t="s">
        <v>13363</v>
      </c>
      <c r="H41" s="22">
        <v>3.02</v>
      </c>
      <c r="I41" s="25">
        <v>43310</v>
      </c>
      <c r="J41" s="24">
        <v>43428</v>
      </c>
    </row>
    <row r="42" spans="2:10" x14ac:dyDescent="0.2">
      <c r="B42" s="22">
        <v>37</v>
      </c>
      <c r="C42" s="23" t="s">
        <v>13364</v>
      </c>
      <c r="D42" s="23" t="s">
        <v>570</v>
      </c>
      <c r="E42" s="20" t="s">
        <v>13365</v>
      </c>
      <c r="F42" s="22">
        <v>3.4169999999999998</v>
      </c>
      <c r="G42" s="22" t="s">
        <v>13366</v>
      </c>
      <c r="H42" s="22">
        <v>3.4169999999999998</v>
      </c>
      <c r="I42" s="25">
        <v>43170</v>
      </c>
      <c r="J42" s="24">
        <v>43253</v>
      </c>
    </row>
    <row r="43" spans="2:10" x14ac:dyDescent="0.2">
      <c r="B43" s="22">
        <v>38</v>
      </c>
      <c r="C43" s="23" t="s">
        <v>13367</v>
      </c>
      <c r="D43" s="23" t="s">
        <v>3464</v>
      </c>
      <c r="E43" s="20" t="s">
        <v>13368</v>
      </c>
      <c r="F43" s="22">
        <v>3.12</v>
      </c>
      <c r="G43" s="22" t="s">
        <v>13369</v>
      </c>
      <c r="H43" s="22">
        <v>3.1120000000000001</v>
      </c>
      <c r="I43" s="25">
        <v>43415</v>
      </c>
      <c r="J43" s="24">
        <v>43154</v>
      </c>
    </row>
    <row r="44" spans="2:10" x14ac:dyDescent="0.2">
      <c r="B44" s="22">
        <v>39</v>
      </c>
      <c r="C44" s="23" t="s">
        <v>13370</v>
      </c>
      <c r="D44" s="23" t="s">
        <v>830</v>
      </c>
      <c r="E44" s="20" t="s">
        <v>13371</v>
      </c>
      <c r="F44" s="22">
        <v>2.0379999999999998</v>
      </c>
      <c r="G44" s="22" t="s">
        <v>13372</v>
      </c>
      <c r="H44" s="22">
        <v>29</v>
      </c>
      <c r="I44" s="25">
        <v>43420</v>
      </c>
      <c r="J44" s="24">
        <v>43209</v>
      </c>
    </row>
    <row r="45" spans="2:10" x14ac:dyDescent="0.2">
      <c r="B45" s="22">
        <v>40</v>
      </c>
      <c r="C45" s="23" t="s">
        <v>13373</v>
      </c>
      <c r="D45" s="23" t="s">
        <v>570</v>
      </c>
      <c r="E45" s="20" t="s">
        <v>13374</v>
      </c>
      <c r="F45" s="22">
        <v>3.4820000000000002</v>
      </c>
      <c r="G45" s="22" t="s">
        <v>13375</v>
      </c>
      <c r="H45" s="22">
        <v>3.4820000000000002</v>
      </c>
      <c r="I45" s="25">
        <v>43289</v>
      </c>
      <c r="J45" s="24">
        <v>43400</v>
      </c>
    </row>
    <row r="46" spans="2:10" x14ac:dyDescent="0.2">
      <c r="B46" s="22">
        <v>41</v>
      </c>
      <c r="C46" s="23" t="s">
        <v>13376</v>
      </c>
      <c r="D46" s="23" t="s">
        <v>554</v>
      </c>
      <c r="E46" s="20" t="s">
        <v>13377</v>
      </c>
      <c r="F46" s="22">
        <v>2.8559999999999999</v>
      </c>
      <c r="G46" s="22" t="s">
        <v>13378</v>
      </c>
      <c r="H46" s="22">
        <v>2.3759999999999999</v>
      </c>
      <c r="I46" s="25">
        <v>43459</v>
      </c>
      <c r="J46" s="24">
        <v>43223</v>
      </c>
    </row>
    <row r="47" spans="2:10" x14ac:dyDescent="0.2">
      <c r="B47" s="22">
        <v>42</v>
      </c>
      <c r="C47" s="23" t="s">
        <v>13379</v>
      </c>
      <c r="D47" s="23" t="s">
        <v>3464</v>
      </c>
      <c r="E47" s="20" t="s">
        <v>13380</v>
      </c>
      <c r="F47" s="22">
        <v>2.8380000000000001</v>
      </c>
      <c r="G47" s="22" t="s">
        <v>13381</v>
      </c>
      <c r="H47" s="22">
        <v>2.7559999999999998</v>
      </c>
      <c r="I47" s="25">
        <v>43177</v>
      </c>
      <c r="J47" s="24">
        <v>43288</v>
      </c>
    </row>
    <row r="48" spans="2:10" x14ac:dyDescent="0.2">
      <c r="B48" s="22">
        <v>43</v>
      </c>
      <c r="C48" s="23" t="s">
        <v>13382</v>
      </c>
      <c r="D48" s="23" t="s">
        <v>586</v>
      </c>
      <c r="E48" s="20" t="s">
        <v>13383</v>
      </c>
      <c r="F48" s="22">
        <v>3.37</v>
      </c>
      <c r="G48" s="22" t="s">
        <v>13384</v>
      </c>
      <c r="H48" s="22">
        <v>3.367</v>
      </c>
      <c r="I48" s="25">
        <v>43408</v>
      </c>
      <c r="J48" s="24">
        <v>43133</v>
      </c>
    </row>
    <row r="49" spans="2:10" x14ac:dyDescent="0.2">
      <c r="B49" s="22">
        <v>44</v>
      </c>
      <c r="C49" s="23" t="s">
        <v>13385</v>
      </c>
      <c r="D49" s="23" t="s">
        <v>638</v>
      </c>
      <c r="E49" s="20" t="s">
        <v>13386</v>
      </c>
      <c r="F49" s="22">
        <v>3.0870000000000002</v>
      </c>
      <c r="G49" s="22" t="s">
        <v>13387</v>
      </c>
      <c r="H49" s="22">
        <v>3.0870000000000002</v>
      </c>
      <c r="I49" s="25">
        <v>43455</v>
      </c>
      <c r="J49" s="24">
        <v>43181</v>
      </c>
    </row>
    <row r="50" spans="2:10" x14ac:dyDescent="0.2">
      <c r="B50" s="22">
        <v>45</v>
      </c>
      <c r="C50" s="23" t="s">
        <v>13388</v>
      </c>
      <c r="D50" s="23" t="s">
        <v>563</v>
      </c>
      <c r="E50" s="20" t="s">
        <v>13389</v>
      </c>
      <c r="F50" s="22">
        <v>3.222</v>
      </c>
      <c r="G50" s="22" t="s">
        <v>13390</v>
      </c>
      <c r="H50" s="22">
        <v>3.222</v>
      </c>
      <c r="I50" s="25">
        <v>43352</v>
      </c>
      <c r="J50" s="24">
        <v>43449</v>
      </c>
    </row>
    <row r="51" spans="2:10" x14ac:dyDescent="0.2">
      <c r="B51" s="22">
        <v>46</v>
      </c>
      <c r="C51" s="23" t="s">
        <v>13391</v>
      </c>
      <c r="D51" s="23" t="s">
        <v>594</v>
      </c>
      <c r="E51" s="20" t="s">
        <v>13392</v>
      </c>
      <c r="F51" s="22">
        <v>3.17</v>
      </c>
      <c r="G51" s="22" t="s">
        <v>13393</v>
      </c>
      <c r="H51" s="22">
        <v>3.117</v>
      </c>
      <c r="I51" s="25">
        <v>43457</v>
      </c>
      <c r="J51" s="24">
        <v>43237</v>
      </c>
    </row>
    <row r="52" spans="2:10" x14ac:dyDescent="0.2">
      <c r="B52" s="22">
        <v>47</v>
      </c>
      <c r="C52" s="23" t="s">
        <v>13394</v>
      </c>
      <c r="D52" s="23" t="s">
        <v>570</v>
      </c>
      <c r="E52" s="20" t="s">
        <v>13395</v>
      </c>
      <c r="F52" s="22">
        <v>3.0179999999999998</v>
      </c>
      <c r="G52" s="22" t="s">
        <v>13396</v>
      </c>
      <c r="H52" s="22">
        <v>2.9929999999999999</v>
      </c>
      <c r="I52" s="25">
        <v>43366</v>
      </c>
      <c r="J52" s="24">
        <v>43133</v>
      </c>
    </row>
    <row r="53" spans="2:10" x14ac:dyDescent="0.2">
      <c r="B53" s="22">
        <v>48</v>
      </c>
      <c r="C53" s="23" t="s">
        <v>13397</v>
      </c>
      <c r="D53" s="23" t="s">
        <v>570</v>
      </c>
      <c r="E53" s="20" t="s">
        <v>13398</v>
      </c>
      <c r="F53" s="22">
        <v>3.4380000000000002</v>
      </c>
      <c r="G53" s="22" t="s">
        <v>13399</v>
      </c>
      <c r="H53" s="22">
        <v>3.4380000000000002</v>
      </c>
      <c r="I53" s="25">
        <v>43415</v>
      </c>
      <c r="J53" s="24">
        <v>43157</v>
      </c>
    </row>
    <row r="54" spans="2:10" x14ac:dyDescent="0.2">
      <c r="B54" s="22">
        <v>49</v>
      </c>
      <c r="C54" s="23" t="s">
        <v>13400</v>
      </c>
      <c r="D54" s="23" t="s">
        <v>638</v>
      </c>
      <c r="E54" s="20" t="s">
        <v>13401</v>
      </c>
      <c r="F54" s="22">
        <v>2.6080000000000001</v>
      </c>
      <c r="G54" s="22" t="s">
        <v>13402</v>
      </c>
      <c r="H54" s="22">
        <v>1.2769999999999999</v>
      </c>
      <c r="I54" s="25">
        <v>43427</v>
      </c>
      <c r="J54" s="24">
        <v>43202</v>
      </c>
    </row>
    <row r="55" spans="2:10" x14ac:dyDescent="0.2">
      <c r="B55" s="22">
        <v>50</v>
      </c>
      <c r="C55" s="23" t="s">
        <v>13403</v>
      </c>
      <c r="D55" s="23" t="s">
        <v>638</v>
      </c>
      <c r="E55" s="20" t="s">
        <v>13404</v>
      </c>
      <c r="F55" s="22">
        <v>3.1179999999999999</v>
      </c>
      <c r="G55" s="22" t="s">
        <v>13405</v>
      </c>
      <c r="H55" s="22">
        <v>3.105</v>
      </c>
      <c r="I55" s="25">
        <v>43142</v>
      </c>
      <c r="J55" s="24">
        <v>43232</v>
      </c>
    </row>
    <row r="56" spans="2:10" x14ac:dyDescent="0.2">
      <c r="B56" s="22">
        <v>51</v>
      </c>
      <c r="C56" s="23" t="s">
        <v>13406</v>
      </c>
      <c r="D56" s="23" t="s">
        <v>563</v>
      </c>
      <c r="E56" s="20" t="s">
        <v>13407</v>
      </c>
      <c r="F56" s="22">
        <v>3.5150000000000001</v>
      </c>
      <c r="G56" s="22" t="s">
        <v>13408</v>
      </c>
      <c r="H56" s="22">
        <v>3.5070000000000001</v>
      </c>
      <c r="I56" s="25">
        <v>43366</v>
      </c>
      <c r="J56" s="24">
        <v>43126</v>
      </c>
    </row>
    <row r="57" spans="2:10" x14ac:dyDescent="0.2">
      <c r="B57" s="22">
        <v>52</v>
      </c>
      <c r="C57" s="23" t="s">
        <v>13409</v>
      </c>
      <c r="D57" s="23" t="s">
        <v>638</v>
      </c>
      <c r="E57" s="20" t="s">
        <v>13410</v>
      </c>
      <c r="F57" s="22">
        <v>3.05</v>
      </c>
      <c r="G57" s="22" t="s">
        <v>13411</v>
      </c>
      <c r="H57" s="22">
        <v>3.0179999999999998</v>
      </c>
      <c r="I57" s="25">
        <v>43121</v>
      </c>
      <c r="J57" s="24">
        <v>43197</v>
      </c>
    </row>
    <row r="58" spans="2:10" x14ac:dyDescent="0.2">
      <c r="B58" s="22">
        <v>53</v>
      </c>
      <c r="C58" s="23" t="s">
        <v>13412</v>
      </c>
      <c r="D58" s="23" t="s">
        <v>594</v>
      </c>
      <c r="E58" s="20" t="s">
        <v>13413</v>
      </c>
      <c r="F58" s="22">
        <v>3.3420000000000001</v>
      </c>
      <c r="G58" s="22" t="s">
        <v>13414</v>
      </c>
      <c r="H58" s="22">
        <v>3.339</v>
      </c>
      <c r="I58" s="25">
        <v>43268</v>
      </c>
      <c r="J58" s="24">
        <v>43393</v>
      </c>
    </row>
    <row r="59" spans="2:10" x14ac:dyDescent="0.2">
      <c r="B59" s="22">
        <v>54</v>
      </c>
      <c r="C59" s="23" t="s">
        <v>13415</v>
      </c>
      <c r="D59" s="23" t="s">
        <v>563</v>
      </c>
      <c r="E59" s="20" t="s">
        <v>13416</v>
      </c>
      <c r="F59" s="22">
        <v>3.6110000000000002</v>
      </c>
      <c r="G59" s="22" t="s">
        <v>13417</v>
      </c>
      <c r="H59" s="22">
        <v>3.6059999999999999</v>
      </c>
      <c r="I59" s="25">
        <v>43422</v>
      </c>
      <c r="J59" s="24">
        <v>43167</v>
      </c>
    </row>
    <row r="60" spans="2:10" x14ac:dyDescent="0.2">
      <c r="B60" s="22">
        <v>55</v>
      </c>
      <c r="C60" s="23" t="s">
        <v>13418</v>
      </c>
      <c r="D60" s="23" t="s">
        <v>563</v>
      </c>
      <c r="E60" s="20" t="s">
        <v>13419</v>
      </c>
      <c r="F60" s="22">
        <v>3.0430000000000001</v>
      </c>
      <c r="G60" s="22" t="s">
        <v>13420</v>
      </c>
      <c r="H60" s="22">
        <v>3.0430000000000001</v>
      </c>
      <c r="I60" s="25">
        <v>43149</v>
      </c>
      <c r="J60" s="24">
        <v>43232</v>
      </c>
    </row>
    <row r="61" spans="2:10" x14ac:dyDescent="0.2">
      <c r="B61" s="22">
        <v>56</v>
      </c>
      <c r="C61" s="23" t="s">
        <v>13421</v>
      </c>
      <c r="D61" s="23" t="s">
        <v>586</v>
      </c>
      <c r="E61" s="20" t="s">
        <v>13422</v>
      </c>
      <c r="F61" s="22">
        <v>2.847</v>
      </c>
      <c r="G61" s="22" t="s">
        <v>13423</v>
      </c>
      <c r="H61" s="22">
        <v>2.84</v>
      </c>
      <c r="I61" s="25">
        <v>43163</v>
      </c>
      <c r="J61" s="24">
        <v>43246</v>
      </c>
    </row>
    <row r="62" spans="2:10" x14ac:dyDescent="0.2">
      <c r="B62" s="22">
        <v>57</v>
      </c>
      <c r="C62" s="23" t="s">
        <v>13424</v>
      </c>
      <c r="D62" s="23" t="s">
        <v>594</v>
      </c>
      <c r="E62" s="20" t="s">
        <v>13425</v>
      </c>
      <c r="F62" s="22">
        <v>2.82</v>
      </c>
      <c r="G62" s="22" t="s">
        <v>13426</v>
      </c>
      <c r="H62" s="22">
        <v>2.8170000000000002</v>
      </c>
      <c r="I62" s="25">
        <v>43212</v>
      </c>
      <c r="J62" s="24">
        <v>43323</v>
      </c>
    </row>
    <row r="63" spans="2:10" x14ac:dyDescent="0.2">
      <c r="B63" s="22">
        <v>58</v>
      </c>
      <c r="C63" s="23" t="s">
        <v>13427</v>
      </c>
      <c r="D63" s="23" t="s">
        <v>643</v>
      </c>
      <c r="E63" s="20" t="s">
        <v>13428</v>
      </c>
      <c r="F63" s="22">
        <v>2.7069999999999999</v>
      </c>
      <c r="G63" s="22" t="s">
        <v>13429</v>
      </c>
      <c r="H63" s="22">
        <v>2.7069999999999999</v>
      </c>
      <c r="I63" s="25">
        <v>43177</v>
      </c>
      <c r="J63" s="24">
        <v>43302</v>
      </c>
    </row>
    <row r="64" spans="2:10" x14ac:dyDescent="0.2">
      <c r="B64" s="22">
        <v>59</v>
      </c>
      <c r="C64" s="23" t="s">
        <v>13430</v>
      </c>
      <c r="D64" s="23" t="s">
        <v>1015</v>
      </c>
      <c r="E64" s="20" t="s">
        <v>13431</v>
      </c>
      <c r="F64" s="22">
        <v>1.038</v>
      </c>
      <c r="G64" s="22" t="s">
        <v>13432</v>
      </c>
      <c r="H64" s="22">
        <v>6</v>
      </c>
      <c r="I64" s="25">
        <v>43240</v>
      </c>
      <c r="J64" s="24">
        <v>43181</v>
      </c>
    </row>
    <row r="65" spans="2:10" x14ac:dyDescent="0.2">
      <c r="B65" s="22">
        <v>60</v>
      </c>
      <c r="C65" s="23" t="s">
        <v>13433</v>
      </c>
      <c r="D65" s="23" t="s">
        <v>851</v>
      </c>
      <c r="E65" s="20" t="s">
        <v>13434</v>
      </c>
      <c r="F65" s="22">
        <v>2.9260000000000002</v>
      </c>
      <c r="G65" s="22" t="s">
        <v>13435</v>
      </c>
      <c r="H65" s="22">
        <v>2.9260000000000002</v>
      </c>
      <c r="I65" s="25">
        <v>43303</v>
      </c>
      <c r="J65" s="24">
        <v>43365</v>
      </c>
    </row>
    <row r="66" spans="2:10" x14ac:dyDescent="0.2">
      <c r="B66" s="22">
        <v>61</v>
      </c>
      <c r="C66" s="23" t="s">
        <v>13436</v>
      </c>
      <c r="D66" s="23" t="s">
        <v>554</v>
      </c>
      <c r="E66" s="20" t="s">
        <v>13437</v>
      </c>
      <c r="F66" s="22">
        <v>3.1560000000000001</v>
      </c>
      <c r="G66" s="22" t="s">
        <v>13438</v>
      </c>
      <c r="H66" s="22">
        <v>3.1539999999999999</v>
      </c>
      <c r="I66" s="25">
        <v>43149</v>
      </c>
      <c r="J66" s="24">
        <v>43253</v>
      </c>
    </row>
    <row r="67" spans="2:10" x14ac:dyDescent="0.2">
      <c r="B67" s="22">
        <v>62</v>
      </c>
      <c r="C67" s="23" t="s">
        <v>13439</v>
      </c>
      <c r="D67" s="23" t="s">
        <v>13262</v>
      </c>
      <c r="E67" s="20" t="s">
        <v>13440</v>
      </c>
      <c r="F67" s="22">
        <v>2.9710000000000001</v>
      </c>
      <c r="G67" s="22" t="s">
        <v>13441</v>
      </c>
      <c r="H67" s="22">
        <v>2.9609999999999999</v>
      </c>
      <c r="I67" s="25">
        <v>43191</v>
      </c>
      <c r="J67" s="24">
        <v>43295</v>
      </c>
    </row>
    <row r="68" spans="2:10" x14ac:dyDescent="0.2">
      <c r="B68" s="22">
        <v>63</v>
      </c>
      <c r="C68" s="23" t="s">
        <v>13442</v>
      </c>
      <c r="D68" s="23" t="s">
        <v>574</v>
      </c>
      <c r="E68" s="20" t="s">
        <v>13443</v>
      </c>
      <c r="F68" s="22">
        <v>3.5049999999999999</v>
      </c>
      <c r="G68" s="22" t="s">
        <v>13444</v>
      </c>
      <c r="H68" s="22">
        <v>3.5049999999999999</v>
      </c>
      <c r="I68" s="25">
        <v>43443</v>
      </c>
      <c r="J68" s="24">
        <v>43154</v>
      </c>
    </row>
    <row r="69" spans="2:10" x14ac:dyDescent="0.2">
      <c r="B69" s="22">
        <v>64</v>
      </c>
      <c r="C69" s="23" t="s">
        <v>13445</v>
      </c>
      <c r="D69" s="23" t="s">
        <v>9487</v>
      </c>
      <c r="E69" s="20" t="s">
        <v>13446</v>
      </c>
      <c r="F69" s="22">
        <v>2.419</v>
      </c>
      <c r="G69" s="22" t="s">
        <v>13447</v>
      </c>
      <c r="H69" s="22">
        <v>2.4079999999999999</v>
      </c>
      <c r="I69" s="25">
        <v>43191</v>
      </c>
      <c r="J69" s="24">
        <v>43351</v>
      </c>
    </row>
    <row r="70" spans="2:10" x14ac:dyDescent="0.2">
      <c r="B70" s="22">
        <v>65</v>
      </c>
      <c r="C70" s="23" t="s">
        <v>13448</v>
      </c>
      <c r="D70" s="23" t="s">
        <v>643</v>
      </c>
      <c r="E70" s="20" t="s">
        <v>13449</v>
      </c>
      <c r="F70" s="22">
        <v>2.2879999999999998</v>
      </c>
      <c r="G70" s="22" t="s">
        <v>13450</v>
      </c>
      <c r="H70" s="22">
        <v>2.2879999999999998</v>
      </c>
      <c r="I70" s="25">
        <v>43212</v>
      </c>
      <c r="J70" s="24">
        <v>43302</v>
      </c>
    </row>
    <row r="71" spans="2:10" x14ac:dyDescent="0.2">
      <c r="B71" s="22">
        <v>66</v>
      </c>
      <c r="C71" s="23" t="s">
        <v>13451</v>
      </c>
      <c r="D71" s="23" t="s">
        <v>594</v>
      </c>
      <c r="E71" s="20" t="s">
        <v>13452</v>
      </c>
      <c r="F71" s="22">
        <v>3.169</v>
      </c>
      <c r="G71" s="22" t="s">
        <v>13453</v>
      </c>
      <c r="H71" s="22">
        <v>3.1669999999999998</v>
      </c>
      <c r="I71" s="25">
        <v>43184</v>
      </c>
      <c r="J71" s="24">
        <v>43295</v>
      </c>
    </row>
    <row r="72" spans="2:10" x14ac:dyDescent="0.2">
      <c r="B72" s="22">
        <v>67</v>
      </c>
      <c r="C72" s="23" t="s">
        <v>13454</v>
      </c>
      <c r="D72" s="23" t="s">
        <v>638</v>
      </c>
      <c r="E72" s="20" t="s">
        <v>13455</v>
      </c>
      <c r="F72" s="22">
        <v>3.5550000000000002</v>
      </c>
      <c r="G72" s="22" t="s">
        <v>13456</v>
      </c>
      <c r="H72" s="22">
        <v>3.5489999999999999</v>
      </c>
      <c r="I72" s="25">
        <v>43387</v>
      </c>
      <c r="J72" s="24">
        <v>43112</v>
      </c>
    </row>
    <row r="73" spans="2:10" x14ac:dyDescent="0.2">
      <c r="B73" s="22">
        <v>68</v>
      </c>
      <c r="C73" s="23" t="s">
        <v>13457</v>
      </c>
      <c r="D73" s="23" t="s">
        <v>586</v>
      </c>
      <c r="E73" s="20" t="s">
        <v>13458</v>
      </c>
      <c r="F73" s="22">
        <v>2.9430000000000001</v>
      </c>
      <c r="G73" s="22" t="s">
        <v>13459</v>
      </c>
      <c r="H73" s="22">
        <v>2.94</v>
      </c>
      <c r="I73" s="25">
        <v>43114</v>
      </c>
      <c r="J73" s="24">
        <v>43162</v>
      </c>
    </row>
    <row r="74" spans="2:10" x14ac:dyDescent="0.2">
      <c r="B74" s="22">
        <v>69</v>
      </c>
      <c r="C74" s="23" t="s">
        <v>13460</v>
      </c>
      <c r="D74" s="23" t="s">
        <v>570</v>
      </c>
      <c r="E74" s="20" t="s">
        <v>13461</v>
      </c>
      <c r="F74" s="22">
        <v>3.3759999999999999</v>
      </c>
      <c r="G74" s="22" t="s">
        <v>13462</v>
      </c>
      <c r="H74" s="22">
        <v>3.3759999999999999</v>
      </c>
      <c r="I74" s="25">
        <v>43427</v>
      </c>
      <c r="J74" s="24">
        <v>43112</v>
      </c>
    </row>
    <row r="75" spans="2:10" x14ac:dyDescent="0.2">
      <c r="B75" s="22">
        <v>70</v>
      </c>
      <c r="C75" s="23" t="s">
        <v>13463</v>
      </c>
      <c r="D75" s="23" t="s">
        <v>574</v>
      </c>
      <c r="E75" s="20" t="s">
        <v>13464</v>
      </c>
      <c r="F75" s="22">
        <v>2.95</v>
      </c>
      <c r="G75" s="22" t="s">
        <v>13465</v>
      </c>
      <c r="H75" s="22">
        <v>2.95</v>
      </c>
      <c r="I75" s="25">
        <v>43156</v>
      </c>
      <c r="J75" s="24">
        <v>43232</v>
      </c>
    </row>
    <row r="76" spans="2:10" x14ac:dyDescent="0.2">
      <c r="B76" s="22">
        <v>71</v>
      </c>
      <c r="C76" s="23" t="s">
        <v>13466</v>
      </c>
      <c r="D76" s="23" t="s">
        <v>820</v>
      </c>
      <c r="E76" s="20" t="s">
        <v>13467</v>
      </c>
      <c r="F76" s="22">
        <v>1.756</v>
      </c>
      <c r="G76" s="22" t="s">
        <v>13468</v>
      </c>
      <c r="H76" s="22">
        <v>4</v>
      </c>
      <c r="I76" s="25">
        <v>43429</v>
      </c>
      <c r="J76" s="24">
        <v>43272</v>
      </c>
    </row>
    <row r="77" spans="2:10" x14ac:dyDescent="0.2">
      <c r="B77" s="22">
        <v>72</v>
      </c>
      <c r="C77" s="23" t="s">
        <v>13469</v>
      </c>
      <c r="D77" s="23" t="s">
        <v>660</v>
      </c>
      <c r="E77" s="20" t="s">
        <v>13470</v>
      </c>
      <c r="F77" s="22">
        <v>2.2400000000000002</v>
      </c>
      <c r="G77" s="22" t="s">
        <v>13471</v>
      </c>
      <c r="H77" s="22">
        <v>2.214</v>
      </c>
      <c r="I77" s="25">
        <v>43198</v>
      </c>
      <c r="J77" s="24">
        <v>43302</v>
      </c>
    </row>
    <row r="78" spans="2:10" x14ac:dyDescent="0.2">
      <c r="B78" s="22">
        <v>73</v>
      </c>
      <c r="C78" s="23" t="s">
        <v>13472</v>
      </c>
      <c r="D78" s="23" t="s">
        <v>574</v>
      </c>
      <c r="E78" s="20" t="s">
        <v>13473</v>
      </c>
      <c r="F78" s="22">
        <v>3.1549999999999998</v>
      </c>
      <c r="G78" s="22" t="s">
        <v>13474</v>
      </c>
      <c r="H78" s="22">
        <v>3.1549999999999998</v>
      </c>
      <c r="I78" s="25">
        <v>43324</v>
      </c>
      <c r="J78" s="24">
        <v>43386</v>
      </c>
    </row>
    <row r="79" spans="2:10" x14ac:dyDescent="0.2">
      <c r="B79" s="22">
        <v>74</v>
      </c>
      <c r="C79" s="23" t="s">
        <v>13475</v>
      </c>
      <c r="D79" s="23" t="s">
        <v>570</v>
      </c>
      <c r="E79" s="20" t="s">
        <v>13476</v>
      </c>
      <c r="F79" s="22">
        <v>2.1989999999999998</v>
      </c>
      <c r="G79" s="22" t="s">
        <v>13477</v>
      </c>
      <c r="H79" s="22">
        <v>2.1989999999999998</v>
      </c>
      <c r="I79" s="25">
        <v>43380</v>
      </c>
      <c r="J79" s="24">
        <v>43112</v>
      </c>
    </row>
    <row r="80" spans="2:10" x14ac:dyDescent="0.2">
      <c r="B80" s="22">
        <v>75</v>
      </c>
      <c r="C80" s="23" t="s">
        <v>13478</v>
      </c>
      <c r="D80" s="23" t="s">
        <v>740</v>
      </c>
      <c r="E80" s="20" t="s">
        <v>13479</v>
      </c>
      <c r="F80" s="22">
        <v>2.5449999999999999</v>
      </c>
      <c r="G80" s="22" t="s">
        <v>13480</v>
      </c>
      <c r="H80" s="22">
        <v>2.5350000000000001</v>
      </c>
      <c r="I80" s="25">
        <v>43198</v>
      </c>
      <c r="J80" s="24">
        <v>43288</v>
      </c>
    </row>
    <row r="81" spans="2:10" x14ac:dyDescent="0.2">
      <c r="B81" s="22">
        <v>76</v>
      </c>
      <c r="C81" s="23" t="s">
        <v>13481</v>
      </c>
      <c r="D81" s="23" t="s">
        <v>563</v>
      </c>
      <c r="E81" s="20" t="s">
        <v>13482</v>
      </c>
      <c r="F81" s="22">
        <v>2.9039999999999999</v>
      </c>
      <c r="G81" s="22" t="s">
        <v>13483</v>
      </c>
      <c r="H81" s="22">
        <v>2.9039999999999999</v>
      </c>
      <c r="I81" s="25">
        <v>43226</v>
      </c>
      <c r="J81" s="24">
        <v>43309</v>
      </c>
    </row>
    <row r="82" spans="2:10" x14ac:dyDescent="0.2">
      <c r="B82" s="22">
        <v>77</v>
      </c>
      <c r="C82" s="23" t="s">
        <v>13484</v>
      </c>
      <c r="D82" s="23" t="s">
        <v>2742</v>
      </c>
      <c r="E82" s="20" t="s">
        <v>13485</v>
      </c>
      <c r="F82" s="22">
        <v>3.3050000000000002</v>
      </c>
      <c r="G82" s="22" t="s">
        <v>13486</v>
      </c>
      <c r="H82" s="22">
        <v>3.2949999999999999</v>
      </c>
      <c r="I82" s="25">
        <v>43331</v>
      </c>
      <c r="J82" s="24">
        <v>43449</v>
      </c>
    </row>
    <row r="83" spans="2:10" x14ac:dyDescent="0.2">
      <c r="B83" s="22">
        <v>78</v>
      </c>
      <c r="C83" s="23" t="s">
        <v>13487</v>
      </c>
      <c r="D83" s="23" t="s">
        <v>2742</v>
      </c>
      <c r="E83" s="20" t="s">
        <v>13488</v>
      </c>
      <c r="F83" s="22">
        <v>3.3140000000000001</v>
      </c>
      <c r="G83" s="22" t="s">
        <v>13489</v>
      </c>
      <c r="H83" s="22">
        <v>3.3050000000000002</v>
      </c>
      <c r="I83" s="25">
        <v>43205</v>
      </c>
      <c r="J83" s="24">
        <v>43281</v>
      </c>
    </row>
    <row r="84" spans="2:10" x14ac:dyDescent="0.2">
      <c r="B84" s="22">
        <v>79</v>
      </c>
      <c r="C84" s="23" t="s">
        <v>13490</v>
      </c>
      <c r="D84" s="23" t="s">
        <v>594</v>
      </c>
      <c r="E84" s="20" t="s">
        <v>13491</v>
      </c>
      <c r="F84" s="22">
        <v>2.8210000000000002</v>
      </c>
      <c r="G84" s="22" t="s">
        <v>13492</v>
      </c>
      <c r="H84" s="22">
        <v>2.8210000000000002</v>
      </c>
      <c r="I84" s="25">
        <v>43149</v>
      </c>
      <c r="J84" s="24">
        <v>43246</v>
      </c>
    </row>
    <row r="85" spans="2:10" x14ac:dyDescent="0.2">
      <c r="B85" s="22">
        <v>80</v>
      </c>
      <c r="C85" s="23" t="s">
        <v>13493</v>
      </c>
      <c r="D85" s="23" t="s">
        <v>563</v>
      </c>
      <c r="E85" s="20" t="s">
        <v>13494</v>
      </c>
      <c r="F85" s="22">
        <v>3.03</v>
      </c>
      <c r="G85" s="22" t="s">
        <v>13495</v>
      </c>
      <c r="H85" s="22">
        <v>3.03</v>
      </c>
      <c r="I85" s="25">
        <v>43170</v>
      </c>
      <c r="J85" s="24">
        <v>43246</v>
      </c>
    </row>
    <row r="86" spans="2:10" x14ac:dyDescent="0.2">
      <c r="B86" s="22">
        <v>81</v>
      </c>
      <c r="C86" s="23" t="s">
        <v>13496</v>
      </c>
      <c r="D86" s="23" t="s">
        <v>594</v>
      </c>
      <c r="E86" s="20" t="s">
        <v>13497</v>
      </c>
      <c r="F86" s="22">
        <v>3.1269999999999998</v>
      </c>
      <c r="G86" s="22" t="s">
        <v>13498</v>
      </c>
      <c r="H86" s="22">
        <v>3.1219999999999999</v>
      </c>
      <c r="I86" s="25">
        <v>43401</v>
      </c>
      <c r="J86" s="24">
        <v>43133</v>
      </c>
    </row>
    <row r="87" spans="2:10" x14ac:dyDescent="0.2">
      <c r="B87" s="22">
        <v>82</v>
      </c>
      <c r="C87" s="23" t="s">
        <v>13499</v>
      </c>
      <c r="D87" s="23" t="s">
        <v>586</v>
      </c>
      <c r="E87" s="20" t="s">
        <v>13500</v>
      </c>
      <c r="F87" s="22">
        <v>2.806</v>
      </c>
      <c r="G87" s="22" t="s">
        <v>13501</v>
      </c>
      <c r="H87" s="22">
        <v>2.802</v>
      </c>
      <c r="I87" s="25">
        <v>43177</v>
      </c>
      <c r="J87" s="24">
        <v>43239</v>
      </c>
    </row>
    <row r="88" spans="2:10" x14ac:dyDescent="0.2">
      <c r="B88" s="22">
        <v>83</v>
      </c>
      <c r="C88" s="23" t="s">
        <v>13502</v>
      </c>
      <c r="D88" s="23" t="s">
        <v>563</v>
      </c>
      <c r="E88" s="20" t="s">
        <v>13503</v>
      </c>
      <c r="F88" s="22">
        <v>1.9850000000000001</v>
      </c>
      <c r="G88" s="22" t="s">
        <v>13504</v>
      </c>
      <c r="H88" s="22">
        <v>1.91</v>
      </c>
      <c r="I88" s="25">
        <v>43413</v>
      </c>
      <c r="J88" s="24">
        <v>43154</v>
      </c>
    </row>
    <row r="89" spans="2:10" x14ac:dyDescent="0.2">
      <c r="B89" s="22">
        <v>84</v>
      </c>
      <c r="C89" s="23" t="s">
        <v>13505</v>
      </c>
      <c r="D89" s="23" t="s">
        <v>851</v>
      </c>
      <c r="E89" s="20" t="s">
        <v>13506</v>
      </c>
      <c r="F89" s="22">
        <v>2.5339999999999998</v>
      </c>
      <c r="G89" s="22" t="s">
        <v>13507</v>
      </c>
      <c r="H89" s="22">
        <v>2.5339999999999998</v>
      </c>
      <c r="I89" s="25">
        <v>43135</v>
      </c>
      <c r="J89" s="24">
        <v>43183</v>
      </c>
    </row>
    <row r="90" spans="2:10" x14ac:dyDescent="0.2">
      <c r="B90" s="22">
        <v>85</v>
      </c>
      <c r="C90" s="23" t="s">
        <v>13508</v>
      </c>
      <c r="D90" s="23" t="s">
        <v>660</v>
      </c>
      <c r="E90" s="20" t="s">
        <v>13509</v>
      </c>
      <c r="F90" s="22">
        <v>2.0350000000000001</v>
      </c>
      <c r="G90" s="22" t="s">
        <v>13510</v>
      </c>
      <c r="H90" s="22">
        <v>2.0350000000000001</v>
      </c>
      <c r="I90" s="25">
        <v>43226</v>
      </c>
      <c r="J90" s="24">
        <v>43281</v>
      </c>
    </row>
    <row r="91" spans="2:10" x14ac:dyDescent="0.2">
      <c r="B91" s="22">
        <v>86</v>
      </c>
      <c r="C91" s="23" t="s">
        <v>13511</v>
      </c>
      <c r="D91" s="23" t="s">
        <v>586</v>
      </c>
      <c r="E91" s="20" t="s">
        <v>13512</v>
      </c>
      <c r="F91" s="22">
        <v>2.9129999999999998</v>
      </c>
      <c r="G91" s="22" t="s">
        <v>13513</v>
      </c>
      <c r="H91" s="22">
        <v>2.9129999999999998</v>
      </c>
      <c r="I91" s="25">
        <v>43317</v>
      </c>
      <c r="J91" s="24">
        <v>43372</v>
      </c>
    </row>
    <row r="92" spans="2:10" x14ac:dyDescent="0.2">
      <c r="B92" s="22">
        <v>87</v>
      </c>
      <c r="C92" s="23" t="s">
        <v>13514</v>
      </c>
      <c r="D92" s="23" t="s">
        <v>570</v>
      </c>
      <c r="E92" s="20" t="s">
        <v>13515</v>
      </c>
      <c r="F92" s="22">
        <v>2.8879999999999999</v>
      </c>
      <c r="G92" s="22" t="s">
        <v>13516</v>
      </c>
      <c r="H92" s="22">
        <v>2.8879999999999999</v>
      </c>
      <c r="I92" s="25">
        <v>43324</v>
      </c>
      <c r="J92" s="24">
        <v>43372</v>
      </c>
    </row>
    <row r="93" spans="2:10" x14ac:dyDescent="0.2">
      <c r="B93" s="22">
        <v>88</v>
      </c>
      <c r="C93" s="23" t="s">
        <v>13517</v>
      </c>
      <c r="D93" s="23" t="s">
        <v>660</v>
      </c>
      <c r="E93" s="20" t="s">
        <v>13518</v>
      </c>
      <c r="F93" s="22">
        <v>2.6139999999999999</v>
      </c>
      <c r="G93" s="22" t="s">
        <v>13519</v>
      </c>
      <c r="H93" s="22">
        <v>2.6139999999999999</v>
      </c>
      <c r="I93" s="25">
        <v>43338</v>
      </c>
      <c r="J93" s="24">
        <v>43407</v>
      </c>
    </row>
    <row r="94" spans="2:10" x14ac:dyDescent="0.2">
      <c r="B94" s="22">
        <v>89</v>
      </c>
      <c r="C94" s="23" t="s">
        <v>13520</v>
      </c>
      <c r="D94" s="23" t="s">
        <v>563</v>
      </c>
      <c r="E94" s="20" t="s">
        <v>13521</v>
      </c>
      <c r="F94" s="22">
        <v>3.0329999999999999</v>
      </c>
      <c r="G94" s="22" t="s">
        <v>13522</v>
      </c>
      <c r="H94" s="22">
        <v>3.0329999999999999</v>
      </c>
      <c r="I94" s="25">
        <v>43184</v>
      </c>
      <c r="J94" s="24">
        <v>43246</v>
      </c>
    </row>
    <row r="95" spans="2:10" x14ac:dyDescent="0.2">
      <c r="B95" s="22">
        <v>90</v>
      </c>
      <c r="C95" s="23" t="s">
        <v>13523</v>
      </c>
      <c r="D95" s="23" t="s">
        <v>586</v>
      </c>
      <c r="E95" s="20" t="s">
        <v>13524</v>
      </c>
      <c r="F95" s="22">
        <v>2.976</v>
      </c>
      <c r="G95" s="22" t="s">
        <v>13525</v>
      </c>
      <c r="H95" s="22">
        <v>2.9729999999999999</v>
      </c>
      <c r="I95" s="25">
        <v>43282</v>
      </c>
      <c r="J95" s="24">
        <v>43330</v>
      </c>
    </row>
    <row r="96" spans="2:10" x14ac:dyDescent="0.2">
      <c r="B96" s="22">
        <v>91</v>
      </c>
      <c r="C96" s="23" t="s">
        <v>13526</v>
      </c>
      <c r="D96" s="23" t="s">
        <v>563</v>
      </c>
      <c r="E96" s="20" t="s">
        <v>13527</v>
      </c>
      <c r="F96" s="22">
        <v>2.875</v>
      </c>
      <c r="G96" s="22" t="s">
        <v>13528</v>
      </c>
      <c r="H96" s="22">
        <v>2.875</v>
      </c>
      <c r="I96" s="25">
        <v>43408</v>
      </c>
      <c r="J96" s="24">
        <v>43112</v>
      </c>
    </row>
    <row r="97" spans="2:10" x14ac:dyDescent="0.2">
      <c r="B97" s="22">
        <v>92</v>
      </c>
      <c r="C97" s="23" t="s">
        <v>13529</v>
      </c>
      <c r="D97" s="23" t="s">
        <v>9487</v>
      </c>
      <c r="E97" s="20" t="s">
        <v>13530</v>
      </c>
      <c r="F97" s="22">
        <v>2.9039999999999999</v>
      </c>
      <c r="G97" s="22" t="s">
        <v>13531</v>
      </c>
      <c r="H97" s="22">
        <v>2.8860000000000001</v>
      </c>
      <c r="I97" s="25">
        <v>43359</v>
      </c>
      <c r="J97" s="24">
        <v>43140</v>
      </c>
    </row>
    <row r="98" spans="2:10" x14ac:dyDescent="0.2">
      <c r="B98" s="22">
        <v>93</v>
      </c>
      <c r="C98" s="23" t="s">
        <v>13532</v>
      </c>
      <c r="D98" s="23" t="s">
        <v>13262</v>
      </c>
      <c r="E98" s="20" t="s">
        <v>13533</v>
      </c>
      <c r="F98" s="22">
        <v>2.4790000000000001</v>
      </c>
      <c r="G98" s="22" t="s">
        <v>13534</v>
      </c>
      <c r="H98" s="22">
        <v>2.4580000000000002</v>
      </c>
      <c r="I98" s="25">
        <v>43373</v>
      </c>
      <c r="J98" s="24">
        <v>43463</v>
      </c>
    </row>
    <row r="99" spans="2:10" x14ac:dyDescent="0.2">
      <c r="B99" s="22">
        <v>94</v>
      </c>
      <c r="C99" s="23" t="s">
        <v>13535</v>
      </c>
      <c r="D99" s="23" t="s">
        <v>660</v>
      </c>
      <c r="E99" s="20" t="s">
        <v>13536</v>
      </c>
      <c r="F99" s="22">
        <v>1.214</v>
      </c>
      <c r="G99" s="22" t="s">
        <v>13537</v>
      </c>
      <c r="H99" s="22">
        <v>1.161</v>
      </c>
      <c r="I99" s="25">
        <v>43373</v>
      </c>
      <c r="J99" s="24">
        <v>43126</v>
      </c>
    </row>
    <row r="100" spans="2:10" x14ac:dyDescent="0.2">
      <c r="B100" s="22">
        <v>95</v>
      </c>
      <c r="C100" s="23" t="s">
        <v>13538</v>
      </c>
      <c r="D100" s="23" t="s">
        <v>574</v>
      </c>
      <c r="E100" s="20" t="s">
        <v>13539</v>
      </c>
      <c r="F100" s="22">
        <v>2.9849999999999999</v>
      </c>
      <c r="G100" s="22" t="s">
        <v>13540</v>
      </c>
      <c r="H100" s="22">
        <v>2.9849999999999999</v>
      </c>
      <c r="I100" s="25">
        <v>43128</v>
      </c>
      <c r="J100" s="24">
        <v>43197</v>
      </c>
    </row>
    <row r="101" spans="2:10" x14ac:dyDescent="0.2">
      <c r="B101" s="22">
        <v>96</v>
      </c>
      <c r="C101" s="23" t="s">
        <v>13541</v>
      </c>
      <c r="D101" s="23" t="s">
        <v>563</v>
      </c>
      <c r="E101" s="20" t="s">
        <v>13542</v>
      </c>
      <c r="F101" s="22">
        <v>3.2759999999999998</v>
      </c>
      <c r="G101" s="22" t="s">
        <v>13543</v>
      </c>
      <c r="H101" s="22">
        <v>3.2759999999999998</v>
      </c>
      <c r="I101" s="25">
        <v>43198</v>
      </c>
      <c r="J101" s="24">
        <v>43260</v>
      </c>
    </row>
    <row r="102" spans="2:10" x14ac:dyDescent="0.2">
      <c r="B102" s="22">
        <v>97</v>
      </c>
      <c r="C102" s="23" t="s">
        <v>13544</v>
      </c>
      <c r="D102" s="23" t="s">
        <v>563</v>
      </c>
      <c r="E102" s="20" t="s">
        <v>13545</v>
      </c>
      <c r="F102" s="22">
        <v>2.63</v>
      </c>
      <c r="G102" s="22" t="s">
        <v>13546</v>
      </c>
      <c r="H102" s="22">
        <v>6</v>
      </c>
      <c r="I102" s="25">
        <v>43459</v>
      </c>
      <c r="J102" s="24">
        <v>43188</v>
      </c>
    </row>
    <row r="103" spans="2:10" x14ac:dyDescent="0.2">
      <c r="B103" s="22">
        <v>98</v>
      </c>
      <c r="C103" s="23" t="s">
        <v>13547</v>
      </c>
      <c r="D103" s="23" t="s">
        <v>740</v>
      </c>
      <c r="E103" s="20" t="s">
        <v>13548</v>
      </c>
      <c r="F103" s="22">
        <v>1.8740000000000001</v>
      </c>
      <c r="G103" s="22" t="s">
        <v>13549</v>
      </c>
      <c r="H103" s="22">
        <v>1.8260000000000001</v>
      </c>
      <c r="I103" s="25">
        <v>43343</v>
      </c>
      <c r="J103" s="24">
        <v>43407</v>
      </c>
    </row>
    <row r="104" spans="2:10" x14ac:dyDescent="0.2">
      <c r="B104" s="22">
        <v>99</v>
      </c>
      <c r="C104" s="23" t="s">
        <v>13550</v>
      </c>
      <c r="D104" s="23" t="s">
        <v>594</v>
      </c>
      <c r="E104" s="20" t="s">
        <v>13551</v>
      </c>
      <c r="F104" s="22">
        <v>2.7519999999999998</v>
      </c>
      <c r="G104" s="22" t="s">
        <v>13552</v>
      </c>
      <c r="H104" s="22">
        <v>2.75</v>
      </c>
      <c r="I104" s="25">
        <v>43443</v>
      </c>
      <c r="J104" s="24">
        <v>43147</v>
      </c>
    </row>
    <row r="105" spans="2:10" x14ac:dyDescent="0.2">
      <c r="B105" s="22">
        <v>100</v>
      </c>
      <c r="C105" s="23" t="s">
        <v>13553</v>
      </c>
      <c r="D105" s="23" t="s">
        <v>820</v>
      </c>
      <c r="E105" s="20" t="s">
        <v>13554</v>
      </c>
      <c r="F105" s="22">
        <v>1.244</v>
      </c>
      <c r="G105" s="22" t="s">
        <v>13555</v>
      </c>
      <c r="H105" s="22">
        <v>4</v>
      </c>
      <c r="I105" s="25">
        <v>43464</v>
      </c>
      <c r="J105" s="24">
        <v>43216</v>
      </c>
    </row>
    <row r="106" spans="2:10" x14ac:dyDescent="0.2">
      <c r="B106" s="22">
        <v>101</v>
      </c>
      <c r="C106" s="23" t="s">
        <v>13556</v>
      </c>
      <c r="D106" s="23" t="s">
        <v>851</v>
      </c>
      <c r="E106" s="20" t="s">
        <v>13557</v>
      </c>
      <c r="F106" s="22">
        <v>2.8639999999999999</v>
      </c>
      <c r="G106" s="22" t="s">
        <v>13558</v>
      </c>
      <c r="H106" s="22">
        <v>2.8639999999999999</v>
      </c>
      <c r="I106" s="25">
        <v>43233</v>
      </c>
      <c r="J106" s="24">
        <v>43274</v>
      </c>
    </row>
    <row r="107" spans="2:10" x14ac:dyDescent="0.2">
      <c r="B107" s="22">
        <v>102</v>
      </c>
      <c r="C107" s="23" t="s">
        <v>13559</v>
      </c>
      <c r="D107" s="23" t="s">
        <v>1299</v>
      </c>
      <c r="E107" s="20" t="s">
        <v>13560</v>
      </c>
      <c r="F107" s="22">
        <v>2.7040000000000002</v>
      </c>
      <c r="G107" s="22" t="s">
        <v>13561</v>
      </c>
      <c r="H107" s="22">
        <v>2.7029999999999998</v>
      </c>
      <c r="I107" s="25">
        <v>43128</v>
      </c>
      <c r="J107" s="24">
        <v>43197</v>
      </c>
    </row>
    <row r="108" spans="2:10" x14ac:dyDescent="0.2">
      <c r="B108" s="22">
        <v>103</v>
      </c>
      <c r="C108" s="23" t="s">
        <v>13562</v>
      </c>
      <c r="D108" s="23" t="s">
        <v>643</v>
      </c>
      <c r="E108" s="20" t="s">
        <v>13563</v>
      </c>
      <c r="F108" s="22">
        <v>3.1179999999999999</v>
      </c>
      <c r="G108" s="22" t="s">
        <v>13564</v>
      </c>
      <c r="H108" s="22">
        <v>3.1179999999999999</v>
      </c>
      <c r="I108" s="25">
        <v>43366</v>
      </c>
      <c r="J108" s="24">
        <v>43449</v>
      </c>
    </row>
    <row r="109" spans="2:10" x14ac:dyDescent="0.2">
      <c r="B109" s="22">
        <v>104</v>
      </c>
      <c r="C109" s="23" t="s">
        <v>13565</v>
      </c>
      <c r="D109" s="23" t="s">
        <v>1299</v>
      </c>
      <c r="E109" s="20" t="s">
        <v>13566</v>
      </c>
      <c r="F109" s="22">
        <v>1.9590000000000001</v>
      </c>
      <c r="G109" s="22" t="s">
        <v>13567</v>
      </c>
      <c r="H109" s="22">
        <v>1.952</v>
      </c>
      <c r="I109" s="25">
        <v>43163</v>
      </c>
      <c r="J109" s="24">
        <v>43239</v>
      </c>
    </row>
    <row r="110" spans="2:10" x14ac:dyDescent="0.2">
      <c r="B110" s="22">
        <v>105</v>
      </c>
      <c r="C110" s="23" t="s">
        <v>13568</v>
      </c>
      <c r="D110" s="23" t="s">
        <v>554</v>
      </c>
      <c r="E110" s="20" t="s">
        <v>13569</v>
      </c>
      <c r="F110" s="22">
        <v>2.4049999999999998</v>
      </c>
      <c r="G110" s="22" t="s">
        <v>13570</v>
      </c>
      <c r="H110" s="22">
        <v>2.4049999999999998</v>
      </c>
      <c r="I110" s="25">
        <v>43296</v>
      </c>
      <c r="J110" s="24">
        <v>43365</v>
      </c>
    </row>
    <row r="111" spans="2:10" x14ac:dyDescent="0.2">
      <c r="B111" s="22">
        <v>106</v>
      </c>
      <c r="C111" s="23" t="s">
        <v>13571</v>
      </c>
      <c r="D111" s="23" t="s">
        <v>563</v>
      </c>
      <c r="E111" s="20" t="s">
        <v>13572</v>
      </c>
      <c r="F111" s="22">
        <v>208</v>
      </c>
      <c r="G111" s="22" t="s">
        <v>13573</v>
      </c>
      <c r="H111" s="22">
        <v>206</v>
      </c>
      <c r="I111" s="25">
        <v>43198</v>
      </c>
      <c r="J111" s="22" t="s">
        <v>558</v>
      </c>
    </row>
    <row r="112" spans="2:10" x14ac:dyDescent="0.2">
      <c r="B112" s="22">
        <v>107</v>
      </c>
      <c r="C112" s="23" t="s">
        <v>13574</v>
      </c>
      <c r="D112" s="23" t="s">
        <v>863</v>
      </c>
      <c r="E112" s="20" t="s">
        <v>13575</v>
      </c>
      <c r="F112" s="22">
        <v>2.9860000000000002</v>
      </c>
      <c r="G112" s="22" t="s">
        <v>13576</v>
      </c>
      <c r="H112" s="22">
        <v>2.9860000000000002</v>
      </c>
      <c r="I112" s="25">
        <v>43366</v>
      </c>
      <c r="J112" s="24">
        <v>43421</v>
      </c>
    </row>
    <row r="113" spans="2:10" x14ac:dyDescent="0.2">
      <c r="B113" s="22">
        <v>108</v>
      </c>
      <c r="C113" s="23" t="s">
        <v>13577</v>
      </c>
      <c r="D113" s="23" t="s">
        <v>3464</v>
      </c>
      <c r="E113" s="20" t="s">
        <v>13578</v>
      </c>
      <c r="F113" s="22">
        <v>2.827</v>
      </c>
      <c r="G113" s="22" t="s">
        <v>13579</v>
      </c>
      <c r="H113" s="22">
        <v>2.8159999999999998</v>
      </c>
      <c r="I113" s="25">
        <v>43107</v>
      </c>
      <c r="J113" s="24">
        <v>43183</v>
      </c>
    </row>
    <row r="114" spans="2:10" x14ac:dyDescent="0.2">
      <c r="B114" s="22">
        <v>109</v>
      </c>
      <c r="C114" s="23" t="s">
        <v>13580</v>
      </c>
      <c r="D114" s="23" t="s">
        <v>820</v>
      </c>
      <c r="E114" s="20" t="s">
        <v>13581</v>
      </c>
      <c r="F114" s="22">
        <v>2.5550000000000002</v>
      </c>
      <c r="G114" s="22" t="s">
        <v>13582</v>
      </c>
      <c r="H114" s="22">
        <v>2.5550000000000002</v>
      </c>
      <c r="I114" s="25">
        <v>43338</v>
      </c>
      <c r="J114" s="24">
        <v>43428</v>
      </c>
    </row>
    <row r="115" spans="2:10" x14ac:dyDescent="0.2">
      <c r="B115" s="22">
        <v>110</v>
      </c>
      <c r="C115" s="23" t="s">
        <v>13583</v>
      </c>
      <c r="D115" s="23" t="s">
        <v>740</v>
      </c>
      <c r="E115" s="20" t="s">
        <v>13584</v>
      </c>
      <c r="F115" s="22">
        <v>886</v>
      </c>
      <c r="G115" s="22" t="s">
        <v>13585</v>
      </c>
      <c r="H115" s="22">
        <v>4</v>
      </c>
      <c r="I115" s="25">
        <v>43443</v>
      </c>
      <c r="J115" s="24">
        <v>43181</v>
      </c>
    </row>
    <row r="116" spans="2:10" x14ac:dyDescent="0.2">
      <c r="B116" s="22">
        <v>111</v>
      </c>
      <c r="C116" s="23" t="s">
        <v>13586</v>
      </c>
      <c r="D116" s="23" t="s">
        <v>9487</v>
      </c>
      <c r="E116" s="20" t="s">
        <v>13587</v>
      </c>
      <c r="F116" s="22">
        <v>2.78</v>
      </c>
      <c r="G116" s="22" t="s">
        <v>13588</v>
      </c>
      <c r="H116" s="22">
        <v>2.76</v>
      </c>
      <c r="I116" s="25">
        <v>43338</v>
      </c>
      <c r="J116" s="24">
        <v>43421</v>
      </c>
    </row>
    <row r="117" spans="2:10" x14ac:dyDescent="0.2">
      <c r="B117" s="22">
        <v>112</v>
      </c>
      <c r="C117" s="23" t="s">
        <v>13589</v>
      </c>
      <c r="D117" s="23" t="s">
        <v>586</v>
      </c>
      <c r="E117" s="20" t="s">
        <v>13590</v>
      </c>
      <c r="F117" s="22">
        <v>2.7890000000000001</v>
      </c>
      <c r="G117" s="22" t="s">
        <v>13591</v>
      </c>
      <c r="H117" s="22">
        <v>2.7869999999999999</v>
      </c>
      <c r="I117" s="25">
        <v>43135</v>
      </c>
      <c r="J117" s="24">
        <v>43162</v>
      </c>
    </row>
    <row r="118" spans="2:10" x14ac:dyDescent="0.2">
      <c r="B118" s="22">
        <v>113</v>
      </c>
      <c r="C118" s="23" t="s">
        <v>13592</v>
      </c>
      <c r="D118" s="23" t="s">
        <v>594</v>
      </c>
      <c r="E118" s="20" t="s">
        <v>13593</v>
      </c>
      <c r="F118" s="22">
        <v>2.4729999999999999</v>
      </c>
      <c r="G118" s="22" t="s">
        <v>13594</v>
      </c>
      <c r="H118" s="22">
        <v>2.4729999999999999</v>
      </c>
      <c r="I118" s="25">
        <v>43282</v>
      </c>
      <c r="J118" s="24">
        <v>43372</v>
      </c>
    </row>
    <row r="119" spans="2:10" x14ac:dyDescent="0.2">
      <c r="B119" s="22">
        <v>114</v>
      </c>
      <c r="C119" s="23" t="s">
        <v>13595</v>
      </c>
      <c r="D119" s="23" t="s">
        <v>586</v>
      </c>
      <c r="E119" s="20" t="s">
        <v>13596</v>
      </c>
      <c r="F119" s="22">
        <v>2.7719999999999998</v>
      </c>
      <c r="G119" s="22" t="s">
        <v>13597</v>
      </c>
      <c r="H119" s="22">
        <v>2.7690000000000001</v>
      </c>
      <c r="I119" s="25">
        <v>43198</v>
      </c>
      <c r="J119" s="24">
        <v>43239</v>
      </c>
    </row>
    <row r="120" spans="2:10" x14ac:dyDescent="0.2">
      <c r="B120" s="22">
        <v>115</v>
      </c>
      <c r="C120" s="23" t="s">
        <v>13598</v>
      </c>
      <c r="D120" s="23" t="s">
        <v>13262</v>
      </c>
      <c r="E120" s="20" t="s">
        <v>13599</v>
      </c>
      <c r="F120" s="22">
        <v>2.327</v>
      </c>
      <c r="G120" s="22" t="s">
        <v>13600</v>
      </c>
      <c r="H120" s="22">
        <v>2.3239999999999998</v>
      </c>
      <c r="I120" s="25">
        <v>43459</v>
      </c>
      <c r="J120" s="24">
        <v>43160</v>
      </c>
    </row>
    <row r="121" spans="2:10" x14ac:dyDescent="0.2">
      <c r="B121" s="22">
        <v>116</v>
      </c>
      <c r="C121" s="23" t="s">
        <v>13601</v>
      </c>
      <c r="D121" s="23" t="s">
        <v>554</v>
      </c>
      <c r="E121" s="20" t="s">
        <v>13602</v>
      </c>
      <c r="F121" s="22">
        <v>3.117</v>
      </c>
      <c r="G121" s="22" t="s">
        <v>13603</v>
      </c>
      <c r="H121" s="22">
        <v>3.117</v>
      </c>
      <c r="I121" s="25">
        <v>43170</v>
      </c>
      <c r="J121" s="24">
        <v>43274</v>
      </c>
    </row>
    <row r="122" spans="2:10" x14ac:dyDescent="0.2">
      <c r="B122" s="22">
        <v>117</v>
      </c>
      <c r="C122" s="23" t="s">
        <v>13604</v>
      </c>
      <c r="D122" s="23" t="s">
        <v>586</v>
      </c>
      <c r="E122" s="20" t="s">
        <v>13605</v>
      </c>
      <c r="F122" s="22">
        <v>2.6640000000000001</v>
      </c>
      <c r="G122" s="22" t="s">
        <v>13606</v>
      </c>
      <c r="H122" s="22">
        <v>2.661</v>
      </c>
      <c r="I122" s="25">
        <v>43373</v>
      </c>
      <c r="J122" s="24">
        <v>43421</v>
      </c>
    </row>
    <row r="123" spans="2:10" x14ac:dyDescent="0.2">
      <c r="B123" s="22">
        <v>118</v>
      </c>
      <c r="C123" s="23" t="s">
        <v>13607</v>
      </c>
      <c r="D123" s="23" t="s">
        <v>643</v>
      </c>
      <c r="E123" s="20" t="s">
        <v>13608</v>
      </c>
      <c r="F123" s="22">
        <v>3.0150000000000001</v>
      </c>
      <c r="G123" s="22" t="s">
        <v>13609</v>
      </c>
      <c r="H123" s="22">
        <v>3.0150000000000001</v>
      </c>
      <c r="I123" s="25">
        <v>43331</v>
      </c>
      <c r="J123" s="24">
        <v>43379</v>
      </c>
    </row>
    <row r="124" spans="2:10" x14ac:dyDescent="0.2">
      <c r="B124" s="22">
        <v>119</v>
      </c>
      <c r="C124" s="23" t="s">
        <v>13610</v>
      </c>
      <c r="D124" s="23" t="s">
        <v>13262</v>
      </c>
      <c r="E124" s="20" t="s">
        <v>13611</v>
      </c>
      <c r="F124" s="22">
        <v>3.0169999999999999</v>
      </c>
      <c r="G124" s="22" t="s">
        <v>13612</v>
      </c>
      <c r="H124" s="22">
        <v>3.0169999999999999</v>
      </c>
      <c r="I124" s="25">
        <v>43394</v>
      </c>
      <c r="J124" s="24">
        <v>43463</v>
      </c>
    </row>
    <row r="125" spans="2:10" x14ac:dyDescent="0.2">
      <c r="B125" s="22">
        <v>120</v>
      </c>
      <c r="C125" s="23" t="s">
        <v>13613</v>
      </c>
      <c r="D125" s="23" t="s">
        <v>740</v>
      </c>
      <c r="E125" s="20" t="s">
        <v>13614</v>
      </c>
      <c r="F125" s="22">
        <v>2.2959999999999998</v>
      </c>
      <c r="G125" s="22" t="s">
        <v>13615</v>
      </c>
      <c r="H125" s="22">
        <v>2.2959999999999998</v>
      </c>
      <c r="I125" s="25">
        <v>43142</v>
      </c>
      <c r="J125" s="24">
        <v>43197</v>
      </c>
    </row>
    <row r="126" spans="2:10" x14ac:dyDescent="0.2">
      <c r="B126" s="22">
        <v>121</v>
      </c>
      <c r="C126" s="23" t="s">
        <v>13616</v>
      </c>
      <c r="D126" s="23" t="s">
        <v>3464</v>
      </c>
      <c r="E126" s="20" t="s">
        <v>13617</v>
      </c>
      <c r="F126" s="22">
        <v>2.8479999999999999</v>
      </c>
      <c r="G126" s="22" t="s">
        <v>13618</v>
      </c>
      <c r="H126" s="22">
        <v>2.806</v>
      </c>
      <c r="I126" s="25">
        <v>43345</v>
      </c>
      <c r="J126" s="24">
        <v>43428</v>
      </c>
    </row>
    <row r="127" spans="2:10" x14ac:dyDescent="0.2">
      <c r="B127" s="22">
        <v>122</v>
      </c>
      <c r="C127" s="23" t="s">
        <v>13619</v>
      </c>
      <c r="D127" s="23" t="s">
        <v>554</v>
      </c>
      <c r="E127" s="20" t="s">
        <v>13620</v>
      </c>
      <c r="F127" s="22">
        <v>3.1139999999999999</v>
      </c>
      <c r="G127" s="22" t="s">
        <v>13621</v>
      </c>
      <c r="H127" s="22">
        <v>3.1139999999999999</v>
      </c>
      <c r="I127" s="25">
        <v>43331</v>
      </c>
      <c r="J127" s="24">
        <v>43414</v>
      </c>
    </row>
    <row r="128" spans="2:10" x14ac:dyDescent="0.2">
      <c r="B128" s="22">
        <v>123</v>
      </c>
      <c r="C128" s="23" t="s">
        <v>13622</v>
      </c>
      <c r="D128" s="23" t="s">
        <v>2742</v>
      </c>
      <c r="E128" s="20" t="s">
        <v>13623</v>
      </c>
      <c r="F128" s="22">
        <v>3.33</v>
      </c>
      <c r="G128" s="22" t="s">
        <v>13624</v>
      </c>
      <c r="H128" s="22">
        <v>3.3279999999999998</v>
      </c>
      <c r="I128" s="25">
        <v>43345</v>
      </c>
      <c r="J128" s="24">
        <v>43428</v>
      </c>
    </row>
    <row r="129" spans="2:10" x14ac:dyDescent="0.2">
      <c r="B129" s="22">
        <v>124</v>
      </c>
      <c r="C129" s="23" t="s">
        <v>13625</v>
      </c>
      <c r="D129" s="23" t="s">
        <v>586</v>
      </c>
      <c r="E129" s="20" t="s">
        <v>13626</v>
      </c>
      <c r="F129" s="22">
        <v>2.996</v>
      </c>
      <c r="G129" s="22" t="s">
        <v>13627</v>
      </c>
      <c r="H129" s="22">
        <v>2.996</v>
      </c>
      <c r="I129" s="25">
        <v>43387</v>
      </c>
      <c r="J129" s="24">
        <v>43421</v>
      </c>
    </row>
    <row r="130" spans="2:10" x14ac:dyDescent="0.2">
      <c r="B130" s="22">
        <v>125</v>
      </c>
      <c r="C130" s="23" t="s">
        <v>13628</v>
      </c>
      <c r="D130" s="23" t="s">
        <v>638</v>
      </c>
      <c r="E130" s="20" t="s">
        <v>13629</v>
      </c>
      <c r="F130" s="22">
        <v>987</v>
      </c>
      <c r="G130" s="22" t="s">
        <v>13630</v>
      </c>
      <c r="H130" s="22">
        <v>8</v>
      </c>
      <c r="I130" s="25">
        <v>43443</v>
      </c>
      <c r="J130" s="24">
        <v>43154</v>
      </c>
    </row>
    <row r="131" spans="2:10" x14ac:dyDescent="0.2">
      <c r="B131" s="22">
        <v>126</v>
      </c>
      <c r="C131" s="23" t="s">
        <v>13631</v>
      </c>
      <c r="D131" s="23" t="s">
        <v>554</v>
      </c>
      <c r="E131" s="20" t="s">
        <v>13632</v>
      </c>
      <c r="F131" s="22">
        <v>1.224</v>
      </c>
      <c r="G131" s="22" t="s">
        <v>13633</v>
      </c>
      <c r="H131" s="22">
        <v>1.22</v>
      </c>
      <c r="I131" s="25">
        <v>43212</v>
      </c>
      <c r="J131" s="24">
        <v>43295</v>
      </c>
    </row>
    <row r="132" spans="2:10" x14ac:dyDescent="0.2">
      <c r="B132" s="22">
        <v>127</v>
      </c>
      <c r="C132" s="23" t="s">
        <v>13634</v>
      </c>
      <c r="D132" s="23" t="s">
        <v>3464</v>
      </c>
      <c r="E132" s="20" t="s">
        <v>13635</v>
      </c>
      <c r="F132" s="22">
        <v>2.524</v>
      </c>
      <c r="G132" s="22" t="s">
        <v>13636</v>
      </c>
      <c r="H132" s="22">
        <v>2.524</v>
      </c>
      <c r="I132" s="25">
        <v>43261</v>
      </c>
      <c r="J132" s="24">
        <v>43330</v>
      </c>
    </row>
    <row r="133" spans="2:10" x14ac:dyDescent="0.2">
      <c r="B133" s="22">
        <v>128</v>
      </c>
      <c r="C133" s="23" t="s">
        <v>13637</v>
      </c>
      <c r="D133" s="23" t="s">
        <v>820</v>
      </c>
      <c r="E133" s="20" t="s">
        <v>13638</v>
      </c>
      <c r="F133" s="22">
        <v>630</v>
      </c>
      <c r="G133" s="22" t="s">
        <v>13639</v>
      </c>
      <c r="H133" s="22">
        <v>244</v>
      </c>
      <c r="I133" s="25">
        <v>43427</v>
      </c>
      <c r="J133" s="24">
        <v>43195</v>
      </c>
    </row>
    <row r="134" spans="2:10" x14ac:dyDescent="0.2">
      <c r="B134" s="22">
        <v>129</v>
      </c>
      <c r="C134" s="23" t="s">
        <v>13640</v>
      </c>
      <c r="D134" s="23" t="s">
        <v>594</v>
      </c>
      <c r="E134" s="20" t="s">
        <v>13641</v>
      </c>
      <c r="F134" s="22">
        <v>3.0110000000000001</v>
      </c>
      <c r="G134" s="22" t="s">
        <v>13642</v>
      </c>
      <c r="H134" s="22">
        <v>3.0019999999999998</v>
      </c>
      <c r="I134" s="25">
        <v>43373</v>
      </c>
      <c r="J134" s="24">
        <v>43428</v>
      </c>
    </row>
    <row r="135" spans="2:10" x14ac:dyDescent="0.2">
      <c r="B135" s="22">
        <v>130</v>
      </c>
      <c r="C135" s="23" t="s">
        <v>13643</v>
      </c>
      <c r="D135" s="23" t="s">
        <v>740</v>
      </c>
      <c r="E135" s="20" t="s">
        <v>13644</v>
      </c>
      <c r="F135" s="22">
        <v>1.7250000000000001</v>
      </c>
      <c r="G135" s="22" t="s">
        <v>13645</v>
      </c>
      <c r="H135" s="22">
        <v>1.7190000000000001</v>
      </c>
      <c r="I135" s="25">
        <v>43331</v>
      </c>
      <c r="J135" s="24">
        <v>43365</v>
      </c>
    </row>
    <row r="136" spans="2:10" x14ac:dyDescent="0.2">
      <c r="B136" s="22">
        <v>131</v>
      </c>
      <c r="C136" s="23" t="s">
        <v>13646</v>
      </c>
      <c r="D136" s="23" t="s">
        <v>643</v>
      </c>
      <c r="E136" s="20" t="s">
        <v>13647</v>
      </c>
      <c r="F136" s="22">
        <v>1.883</v>
      </c>
      <c r="G136" s="22" t="s">
        <v>13648</v>
      </c>
      <c r="H136" s="22">
        <v>1.869</v>
      </c>
      <c r="I136" s="25">
        <v>43352</v>
      </c>
      <c r="J136" s="24">
        <v>43407</v>
      </c>
    </row>
    <row r="137" spans="2:10" x14ac:dyDescent="0.2">
      <c r="B137" s="22">
        <v>132</v>
      </c>
      <c r="C137" s="23" t="s">
        <v>13649</v>
      </c>
      <c r="D137" s="23" t="s">
        <v>830</v>
      </c>
      <c r="E137" s="20" t="s">
        <v>13650</v>
      </c>
      <c r="F137" s="22">
        <v>237</v>
      </c>
      <c r="G137" s="22" t="s">
        <v>13651</v>
      </c>
      <c r="H137" s="22">
        <v>4</v>
      </c>
      <c r="I137" s="25">
        <v>43247</v>
      </c>
      <c r="J137" s="24">
        <v>43400</v>
      </c>
    </row>
    <row r="138" spans="2:10" x14ac:dyDescent="0.2">
      <c r="B138" s="22">
        <v>133</v>
      </c>
      <c r="C138" s="23" t="s">
        <v>13652</v>
      </c>
      <c r="D138" s="23" t="s">
        <v>9487</v>
      </c>
      <c r="E138" s="20" t="s">
        <v>13653</v>
      </c>
      <c r="F138" s="22">
        <v>2.2919999999999998</v>
      </c>
      <c r="G138" s="22" t="s">
        <v>13654</v>
      </c>
      <c r="H138" s="22">
        <v>2.2730000000000001</v>
      </c>
      <c r="I138" s="25">
        <v>43401</v>
      </c>
      <c r="J138" s="24">
        <v>43456</v>
      </c>
    </row>
    <row r="139" spans="2:10" x14ac:dyDescent="0.2">
      <c r="B139" s="22">
        <v>134</v>
      </c>
      <c r="C139" s="23" t="s">
        <v>13655</v>
      </c>
      <c r="D139" s="23" t="s">
        <v>594</v>
      </c>
      <c r="E139" s="20" t="s">
        <v>13656</v>
      </c>
      <c r="F139" s="22">
        <v>2.04</v>
      </c>
      <c r="G139" s="22" t="s">
        <v>13657</v>
      </c>
      <c r="H139" s="22">
        <v>2.04</v>
      </c>
      <c r="I139" s="25">
        <v>43324</v>
      </c>
      <c r="J139" s="24">
        <v>43372</v>
      </c>
    </row>
    <row r="140" spans="2:10" x14ac:dyDescent="0.2">
      <c r="B140" s="22">
        <v>135</v>
      </c>
      <c r="C140" s="23" t="s">
        <v>13658</v>
      </c>
      <c r="D140" s="23" t="s">
        <v>1043</v>
      </c>
      <c r="E140" s="20" t="s">
        <v>13659</v>
      </c>
      <c r="F140" s="22">
        <v>849</v>
      </c>
      <c r="G140" s="22" t="s">
        <v>13660</v>
      </c>
      <c r="H140" s="22">
        <v>707</v>
      </c>
      <c r="I140" s="25">
        <v>43205</v>
      </c>
      <c r="J140" s="24">
        <v>43358</v>
      </c>
    </row>
    <row r="141" spans="2:10" x14ac:dyDescent="0.2">
      <c r="B141" s="22">
        <v>136</v>
      </c>
      <c r="C141" s="23" t="s">
        <v>13661</v>
      </c>
      <c r="D141" s="23" t="s">
        <v>740</v>
      </c>
      <c r="E141" s="20" t="s">
        <v>13662</v>
      </c>
      <c r="F141" s="22">
        <v>319</v>
      </c>
      <c r="G141" s="22" t="s">
        <v>13663</v>
      </c>
      <c r="H141" s="22">
        <v>4</v>
      </c>
      <c r="I141" s="25">
        <v>43170</v>
      </c>
      <c r="J141" s="24">
        <v>43295</v>
      </c>
    </row>
    <row r="142" spans="2:10" x14ac:dyDescent="0.2">
      <c r="B142" s="22">
        <v>137</v>
      </c>
      <c r="C142" s="23" t="s">
        <v>13664</v>
      </c>
      <c r="D142" s="23" t="s">
        <v>13262</v>
      </c>
      <c r="E142" s="20" t="s">
        <v>13665</v>
      </c>
      <c r="F142" s="22">
        <v>2.29</v>
      </c>
      <c r="G142" s="22" t="s">
        <v>13666</v>
      </c>
      <c r="H142" s="22">
        <v>2.29</v>
      </c>
      <c r="I142" s="25">
        <v>43156</v>
      </c>
      <c r="J142" s="24">
        <v>43211</v>
      </c>
    </row>
    <row r="143" spans="2:10" x14ac:dyDescent="0.2">
      <c r="B143" s="22">
        <v>138</v>
      </c>
      <c r="C143" s="23" t="s">
        <v>13667</v>
      </c>
      <c r="D143" s="23" t="s">
        <v>851</v>
      </c>
      <c r="E143" s="20" t="s">
        <v>13668</v>
      </c>
      <c r="F143" s="22">
        <v>2.4079999999999999</v>
      </c>
      <c r="G143" s="22" t="s">
        <v>13669</v>
      </c>
      <c r="H143" s="22">
        <v>2.4079999999999999</v>
      </c>
      <c r="I143" s="25">
        <v>43359</v>
      </c>
      <c r="J143" s="24">
        <v>43386</v>
      </c>
    </row>
    <row r="144" spans="2:10" x14ac:dyDescent="0.2">
      <c r="B144" s="22">
        <v>139</v>
      </c>
      <c r="C144" s="23" t="s">
        <v>13670</v>
      </c>
      <c r="D144" s="23" t="s">
        <v>830</v>
      </c>
      <c r="E144" s="20" t="s">
        <v>13671</v>
      </c>
      <c r="F144" s="22">
        <v>388</v>
      </c>
      <c r="G144" s="22" t="s">
        <v>13672</v>
      </c>
      <c r="H144" s="22">
        <v>5</v>
      </c>
      <c r="I144" s="25">
        <v>43177</v>
      </c>
      <c r="J144" s="24">
        <v>43298</v>
      </c>
    </row>
    <row r="145" spans="2:10" x14ac:dyDescent="0.2">
      <c r="B145" s="22">
        <v>140</v>
      </c>
      <c r="C145" s="23" t="s">
        <v>13673</v>
      </c>
      <c r="D145" s="23" t="s">
        <v>820</v>
      </c>
      <c r="E145" s="20" t="s">
        <v>13674</v>
      </c>
      <c r="F145" s="22">
        <v>2.5049999999999999</v>
      </c>
      <c r="G145" s="22" t="s">
        <v>13675</v>
      </c>
      <c r="H145" s="22">
        <v>2.5049999999999999</v>
      </c>
      <c r="I145" s="25">
        <v>43219</v>
      </c>
      <c r="J145" s="24">
        <v>43302</v>
      </c>
    </row>
    <row r="146" spans="2:10" x14ac:dyDescent="0.2">
      <c r="B146" s="22">
        <v>141</v>
      </c>
      <c r="C146" s="23" t="s">
        <v>13676</v>
      </c>
      <c r="D146" s="23" t="s">
        <v>554</v>
      </c>
      <c r="E146" s="20" t="s">
        <v>13677</v>
      </c>
      <c r="F146" s="22">
        <v>2.73</v>
      </c>
      <c r="G146" s="22" t="s">
        <v>13678</v>
      </c>
      <c r="H146" s="22">
        <v>2.73</v>
      </c>
      <c r="I146" s="25">
        <v>43219</v>
      </c>
      <c r="J146" s="24">
        <v>43274</v>
      </c>
    </row>
    <row r="147" spans="2:10" x14ac:dyDescent="0.2">
      <c r="B147" s="22">
        <v>142</v>
      </c>
      <c r="C147" s="23" t="s">
        <v>13679</v>
      </c>
      <c r="D147" s="23" t="s">
        <v>820</v>
      </c>
      <c r="E147" s="20" t="s">
        <v>13680</v>
      </c>
      <c r="F147" s="22">
        <v>2.4900000000000002</v>
      </c>
      <c r="G147" s="22" t="s">
        <v>13681</v>
      </c>
      <c r="H147" s="22">
        <v>2.476</v>
      </c>
      <c r="I147" s="25">
        <v>43359</v>
      </c>
      <c r="J147" s="24">
        <v>43428</v>
      </c>
    </row>
    <row r="148" spans="2:10" x14ac:dyDescent="0.2">
      <c r="B148" s="22">
        <v>143</v>
      </c>
      <c r="C148" s="23" t="s">
        <v>13682</v>
      </c>
      <c r="D148" s="23" t="s">
        <v>586</v>
      </c>
      <c r="E148" s="20" t="s">
        <v>13683</v>
      </c>
      <c r="F148" s="22">
        <v>1.554</v>
      </c>
      <c r="G148" s="22" t="s">
        <v>13684</v>
      </c>
      <c r="H148" s="22">
        <v>1.552</v>
      </c>
      <c r="I148" s="25">
        <v>43394</v>
      </c>
      <c r="J148" s="24">
        <v>43428</v>
      </c>
    </row>
    <row r="149" spans="2:10" x14ac:dyDescent="0.2">
      <c r="B149" s="22">
        <v>144</v>
      </c>
      <c r="C149" s="23" t="s">
        <v>13685</v>
      </c>
      <c r="D149" s="23" t="s">
        <v>10258</v>
      </c>
      <c r="E149" s="20" t="s">
        <v>13686</v>
      </c>
      <c r="F149" s="22">
        <v>287</v>
      </c>
      <c r="G149" s="22" t="s">
        <v>13687</v>
      </c>
      <c r="H149" s="22">
        <v>98</v>
      </c>
      <c r="I149" s="25">
        <v>43352</v>
      </c>
      <c r="J149" s="24">
        <v>43449</v>
      </c>
    </row>
    <row r="150" spans="2:10" x14ac:dyDescent="0.2">
      <c r="B150" s="22">
        <v>145</v>
      </c>
      <c r="C150" s="23" t="s">
        <v>13688</v>
      </c>
      <c r="D150" s="23" t="s">
        <v>820</v>
      </c>
      <c r="E150" s="20" t="s">
        <v>13689</v>
      </c>
      <c r="F150" s="22">
        <v>319</v>
      </c>
      <c r="G150" s="22" t="s">
        <v>13690</v>
      </c>
      <c r="H150" s="22">
        <v>5</v>
      </c>
      <c r="I150" s="25">
        <v>43303</v>
      </c>
      <c r="J150" s="24">
        <v>43442</v>
      </c>
    </row>
    <row r="151" spans="2:10" x14ac:dyDescent="0.2">
      <c r="B151" s="22">
        <v>146</v>
      </c>
      <c r="C151" s="23" t="s">
        <v>13691</v>
      </c>
      <c r="D151" s="23" t="s">
        <v>594</v>
      </c>
      <c r="E151" s="20" t="s">
        <v>13692</v>
      </c>
      <c r="F151" s="22">
        <v>2.15</v>
      </c>
      <c r="G151" s="22" t="s">
        <v>13693</v>
      </c>
      <c r="H151" s="22">
        <v>2.15</v>
      </c>
      <c r="I151" s="25">
        <v>43387</v>
      </c>
      <c r="J151" s="24">
        <v>43435</v>
      </c>
    </row>
    <row r="152" spans="2:10" x14ac:dyDescent="0.2">
      <c r="B152" s="22">
        <v>147</v>
      </c>
      <c r="C152" s="23" t="s">
        <v>13694</v>
      </c>
      <c r="D152" s="23" t="s">
        <v>1015</v>
      </c>
      <c r="E152" s="20" t="s">
        <v>13695</v>
      </c>
      <c r="F152" s="22">
        <v>282</v>
      </c>
      <c r="G152" s="22" t="s">
        <v>13696</v>
      </c>
      <c r="H152" s="22">
        <v>3</v>
      </c>
      <c r="I152" s="25">
        <v>43464</v>
      </c>
      <c r="J152" s="24">
        <v>43272</v>
      </c>
    </row>
    <row r="153" spans="2:10" x14ac:dyDescent="0.2">
      <c r="B153" s="22">
        <v>148</v>
      </c>
      <c r="C153" s="23" t="s">
        <v>13697</v>
      </c>
      <c r="D153" s="23" t="s">
        <v>3464</v>
      </c>
      <c r="E153" s="20" t="s">
        <v>13698</v>
      </c>
      <c r="F153" s="22">
        <v>2.0030000000000001</v>
      </c>
      <c r="G153" s="22" t="s">
        <v>13699</v>
      </c>
      <c r="H153" s="22">
        <v>2.0030000000000001</v>
      </c>
      <c r="I153" s="25">
        <v>43163</v>
      </c>
      <c r="J153" s="24">
        <v>43211</v>
      </c>
    </row>
    <row r="154" spans="2:10" x14ac:dyDescent="0.2">
      <c r="B154" s="22">
        <v>149</v>
      </c>
      <c r="C154" s="23" t="s">
        <v>13700</v>
      </c>
      <c r="D154" s="23" t="s">
        <v>830</v>
      </c>
      <c r="E154" s="20" t="s">
        <v>13701</v>
      </c>
      <c r="F154" s="22">
        <v>462</v>
      </c>
      <c r="G154" s="22" t="s">
        <v>13702</v>
      </c>
      <c r="H154" s="22">
        <v>15</v>
      </c>
      <c r="I154" s="25">
        <v>43142</v>
      </c>
      <c r="J154" s="24">
        <v>43246</v>
      </c>
    </row>
    <row r="155" spans="2:10" x14ac:dyDescent="0.2">
      <c r="B155" s="22">
        <v>150</v>
      </c>
      <c r="C155" s="23" t="s">
        <v>13703</v>
      </c>
      <c r="D155" s="23" t="s">
        <v>740</v>
      </c>
      <c r="E155" s="20" t="s">
        <v>13704</v>
      </c>
      <c r="F155" s="22">
        <v>170</v>
      </c>
      <c r="G155" s="22" t="s">
        <v>13705</v>
      </c>
      <c r="H155" s="22">
        <v>5</v>
      </c>
      <c r="I155" s="25">
        <v>43254</v>
      </c>
      <c r="J155" s="24">
        <v>43351</v>
      </c>
    </row>
    <row r="156" spans="2:10" x14ac:dyDescent="0.2">
      <c r="B156" s="22">
        <v>151</v>
      </c>
      <c r="C156" s="23" t="s">
        <v>13706</v>
      </c>
      <c r="D156" s="23" t="s">
        <v>9796</v>
      </c>
      <c r="E156" s="20" t="s">
        <v>13707</v>
      </c>
      <c r="F156" s="22">
        <v>27</v>
      </c>
      <c r="G156" s="22" t="s">
        <v>1159</v>
      </c>
      <c r="H156" s="22">
        <v>6</v>
      </c>
      <c r="I156" s="25">
        <v>43380</v>
      </c>
      <c r="J156" s="22" t="s">
        <v>558</v>
      </c>
    </row>
    <row r="157" spans="2:10" x14ac:dyDescent="0.2">
      <c r="B157" s="22">
        <v>152</v>
      </c>
      <c r="C157" s="23" t="s">
        <v>13708</v>
      </c>
      <c r="D157" s="23" t="s">
        <v>1015</v>
      </c>
      <c r="E157" s="20" t="s">
        <v>13709</v>
      </c>
      <c r="F157" s="22">
        <v>365</v>
      </c>
      <c r="G157" s="22" t="s">
        <v>13710</v>
      </c>
      <c r="H157" s="22">
        <v>4</v>
      </c>
      <c r="I157" s="25">
        <v>43427</v>
      </c>
      <c r="J157" s="24">
        <v>43223</v>
      </c>
    </row>
    <row r="158" spans="2:10" x14ac:dyDescent="0.2">
      <c r="B158" s="22">
        <v>153</v>
      </c>
      <c r="C158" s="23" t="s">
        <v>13711</v>
      </c>
      <c r="D158" s="23" t="s">
        <v>1015</v>
      </c>
      <c r="E158" s="20" t="s">
        <v>13712</v>
      </c>
      <c r="F158" s="22">
        <v>203</v>
      </c>
      <c r="G158" s="22" t="s">
        <v>13713</v>
      </c>
      <c r="H158" s="22">
        <v>4</v>
      </c>
      <c r="I158" s="25">
        <v>43310</v>
      </c>
      <c r="J158" s="24">
        <v>43140</v>
      </c>
    </row>
    <row r="159" spans="2:10" x14ac:dyDescent="0.2">
      <c r="B159" s="22">
        <v>154</v>
      </c>
      <c r="C159" s="23" t="s">
        <v>13714</v>
      </c>
      <c r="D159" s="23" t="s">
        <v>1043</v>
      </c>
      <c r="E159" s="20" t="s">
        <v>13715</v>
      </c>
      <c r="F159" s="22">
        <v>199</v>
      </c>
      <c r="G159" s="22" t="s">
        <v>13716</v>
      </c>
      <c r="H159" s="22">
        <v>56</v>
      </c>
      <c r="I159" s="25">
        <v>43394</v>
      </c>
      <c r="J159" s="24">
        <v>43147</v>
      </c>
    </row>
    <row r="160" spans="2:10" x14ac:dyDescent="0.2">
      <c r="B160" s="22">
        <v>155</v>
      </c>
      <c r="C160" s="23" t="s">
        <v>13717</v>
      </c>
      <c r="D160" s="23" t="s">
        <v>1294</v>
      </c>
      <c r="E160" s="20" t="s">
        <v>13718</v>
      </c>
      <c r="F160" s="22">
        <v>123</v>
      </c>
      <c r="G160" s="22" t="s">
        <v>13719</v>
      </c>
      <c r="H160" s="22">
        <v>5</v>
      </c>
      <c r="I160" s="25">
        <v>43219</v>
      </c>
      <c r="J160" s="24">
        <v>43337</v>
      </c>
    </row>
    <row r="161" spans="2:10" x14ac:dyDescent="0.2">
      <c r="B161" s="22">
        <v>156</v>
      </c>
      <c r="C161" s="23" t="s">
        <v>13720</v>
      </c>
      <c r="D161" s="23" t="s">
        <v>1043</v>
      </c>
      <c r="E161" s="20" t="s">
        <v>13721</v>
      </c>
      <c r="F161" s="22">
        <v>191</v>
      </c>
      <c r="G161" s="22" t="s">
        <v>13722</v>
      </c>
      <c r="H161" s="22">
        <v>59</v>
      </c>
      <c r="I161" s="25">
        <v>43128</v>
      </c>
      <c r="J161" s="24">
        <v>43260</v>
      </c>
    </row>
    <row r="162" spans="2:10" x14ac:dyDescent="0.2">
      <c r="B162" s="22">
        <v>157</v>
      </c>
      <c r="C162" s="23" t="s">
        <v>13723</v>
      </c>
      <c r="D162" s="23" t="s">
        <v>4860</v>
      </c>
      <c r="E162" s="20" t="s">
        <v>13724</v>
      </c>
      <c r="F162" s="22">
        <v>465</v>
      </c>
      <c r="G162" s="22" t="s">
        <v>13725</v>
      </c>
      <c r="H162" s="22">
        <v>299</v>
      </c>
      <c r="I162" s="25">
        <v>43205</v>
      </c>
      <c r="J162" s="24">
        <v>43239</v>
      </c>
    </row>
    <row r="163" spans="2:10" x14ac:dyDescent="0.2">
      <c r="B163" s="22">
        <v>158</v>
      </c>
      <c r="C163" s="23" t="s">
        <v>13726</v>
      </c>
      <c r="D163" s="23" t="s">
        <v>570</v>
      </c>
      <c r="E163" s="20" t="s">
        <v>13727</v>
      </c>
      <c r="F163" s="22">
        <v>513</v>
      </c>
      <c r="G163" s="22" t="s">
        <v>13728</v>
      </c>
      <c r="H163" s="22">
        <v>265</v>
      </c>
      <c r="I163" s="25">
        <v>43401</v>
      </c>
      <c r="J163" s="24">
        <v>43449</v>
      </c>
    </row>
    <row r="164" spans="2:10" x14ac:dyDescent="0.2">
      <c r="B164" s="22">
        <v>159</v>
      </c>
      <c r="C164" s="23" t="s">
        <v>13729</v>
      </c>
      <c r="D164" s="23" t="s">
        <v>820</v>
      </c>
      <c r="E164" s="20" t="s">
        <v>13730</v>
      </c>
      <c r="F164" s="22">
        <v>277</v>
      </c>
      <c r="G164" s="22" t="s">
        <v>13731</v>
      </c>
      <c r="H164" s="22">
        <v>106</v>
      </c>
      <c r="I164" s="25">
        <v>43121</v>
      </c>
      <c r="J164" s="24">
        <v>43239</v>
      </c>
    </row>
    <row r="165" spans="2:10" x14ac:dyDescent="0.2">
      <c r="B165" s="22">
        <v>160</v>
      </c>
      <c r="C165" s="23" t="s">
        <v>13732</v>
      </c>
      <c r="D165" s="23" t="s">
        <v>1015</v>
      </c>
      <c r="E165" s="20" t="s">
        <v>13733</v>
      </c>
      <c r="F165" s="22">
        <v>281</v>
      </c>
      <c r="G165" s="22" t="s">
        <v>13734</v>
      </c>
      <c r="H165" s="22">
        <v>4</v>
      </c>
      <c r="I165" s="25">
        <v>43114</v>
      </c>
      <c r="J165" s="24">
        <v>43274</v>
      </c>
    </row>
    <row r="166" spans="2:10" x14ac:dyDescent="0.2">
      <c r="B166" s="22">
        <v>161</v>
      </c>
      <c r="C166" s="23" t="s">
        <v>13735</v>
      </c>
      <c r="D166" s="23" t="s">
        <v>10283</v>
      </c>
      <c r="E166" s="20" t="s">
        <v>13736</v>
      </c>
      <c r="F166" s="22">
        <v>283</v>
      </c>
      <c r="G166" s="22" t="s">
        <v>13737</v>
      </c>
      <c r="H166" s="22">
        <v>33</v>
      </c>
      <c r="I166" s="25">
        <v>43380</v>
      </c>
      <c r="J166" s="24">
        <v>43174</v>
      </c>
    </row>
    <row r="167" spans="2:10" x14ac:dyDescent="0.2">
      <c r="B167" s="22">
        <v>162</v>
      </c>
      <c r="C167" s="23" t="s">
        <v>13738</v>
      </c>
      <c r="D167" s="23" t="s">
        <v>13739</v>
      </c>
      <c r="E167" s="20" t="s">
        <v>13740</v>
      </c>
      <c r="F167" s="22">
        <v>561</v>
      </c>
      <c r="G167" s="22" t="s">
        <v>13741</v>
      </c>
      <c r="H167" s="22">
        <v>561</v>
      </c>
      <c r="I167" s="25">
        <v>43345</v>
      </c>
      <c r="J167" s="24">
        <v>43407</v>
      </c>
    </row>
    <row r="168" spans="2:10" x14ac:dyDescent="0.2">
      <c r="B168" s="22">
        <v>163</v>
      </c>
      <c r="C168" s="23" t="s">
        <v>13742</v>
      </c>
      <c r="D168" s="23" t="s">
        <v>1294</v>
      </c>
      <c r="E168" s="20" t="s">
        <v>13743</v>
      </c>
      <c r="F168" s="22">
        <v>152</v>
      </c>
      <c r="G168" s="22" t="s">
        <v>13744</v>
      </c>
      <c r="H168" s="22">
        <v>4</v>
      </c>
      <c r="I168" s="25">
        <v>43268</v>
      </c>
      <c r="J168" s="24">
        <v>43368</v>
      </c>
    </row>
    <row r="169" spans="2:10" x14ac:dyDescent="0.2">
      <c r="B169" s="22">
        <v>164</v>
      </c>
      <c r="C169" s="23" t="s">
        <v>13745</v>
      </c>
      <c r="D169" s="23" t="s">
        <v>1015</v>
      </c>
      <c r="E169" s="20" t="s">
        <v>13746</v>
      </c>
      <c r="F169" s="22">
        <v>120</v>
      </c>
      <c r="G169" s="22" t="s">
        <v>13747</v>
      </c>
      <c r="H169" s="22">
        <v>33</v>
      </c>
      <c r="I169" s="25">
        <v>43156</v>
      </c>
      <c r="J169" s="24">
        <v>43288</v>
      </c>
    </row>
    <row r="170" spans="2:10" x14ac:dyDescent="0.2">
      <c r="B170" s="22">
        <v>165</v>
      </c>
      <c r="C170" s="23" t="s">
        <v>13748</v>
      </c>
      <c r="D170" s="23" t="s">
        <v>830</v>
      </c>
      <c r="E170" s="20" t="s">
        <v>13749</v>
      </c>
      <c r="F170" s="22">
        <v>95</v>
      </c>
      <c r="G170" s="22" t="s">
        <v>13750</v>
      </c>
      <c r="H170" s="22">
        <v>10</v>
      </c>
      <c r="I170" s="25">
        <v>43436</v>
      </c>
      <c r="J170" s="24">
        <v>43174</v>
      </c>
    </row>
    <row r="171" spans="2:10" x14ac:dyDescent="0.2">
      <c r="B171" s="22">
        <v>166</v>
      </c>
      <c r="C171" s="23" t="s">
        <v>13751</v>
      </c>
      <c r="D171" s="23" t="s">
        <v>1217</v>
      </c>
      <c r="E171" s="20" t="s">
        <v>13752</v>
      </c>
      <c r="F171" s="22">
        <v>167</v>
      </c>
      <c r="G171" s="22" t="s">
        <v>13753</v>
      </c>
      <c r="H171" s="22">
        <v>157</v>
      </c>
      <c r="I171" s="25">
        <v>43456</v>
      </c>
      <c r="J171" s="24">
        <v>43133</v>
      </c>
    </row>
    <row r="172" spans="2:10" x14ac:dyDescent="0.2">
      <c r="B172" s="22">
        <v>167</v>
      </c>
      <c r="C172" s="23" t="s">
        <v>13754</v>
      </c>
      <c r="D172" s="23" t="s">
        <v>1294</v>
      </c>
      <c r="E172" s="20" t="s">
        <v>13755</v>
      </c>
      <c r="F172" s="22">
        <v>84</v>
      </c>
      <c r="G172" s="22" t="s">
        <v>13756</v>
      </c>
      <c r="H172" s="22">
        <v>3</v>
      </c>
      <c r="I172" s="25">
        <v>43457</v>
      </c>
      <c r="J172" s="24">
        <v>43230</v>
      </c>
    </row>
    <row r="173" spans="2:10" x14ac:dyDescent="0.2">
      <c r="B173" s="22">
        <v>168</v>
      </c>
      <c r="C173" s="23" t="s">
        <v>13757</v>
      </c>
      <c r="D173" s="23" t="s">
        <v>11803</v>
      </c>
      <c r="E173" s="20" t="s">
        <v>13758</v>
      </c>
      <c r="F173" s="22">
        <v>162</v>
      </c>
      <c r="G173" s="22" t="s">
        <v>13759</v>
      </c>
      <c r="H173" s="22">
        <v>4</v>
      </c>
      <c r="I173" s="25">
        <v>43401</v>
      </c>
      <c r="J173" s="24">
        <v>43112</v>
      </c>
    </row>
    <row r="174" spans="2:10" x14ac:dyDescent="0.2">
      <c r="B174" s="22">
        <v>169</v>
      </c>
      <c r="C174" s="23" t="s">
        <v>13760</v>
      </c>
      <c r="D174" s="23" t="s">
        <v>820</v>
      </c>
      <c r="E174" s="20" t="s">
        <v>13761</v>
      </c>
      <c r="F174" s="22">
        <v>1.0109999999999999</v>
      </c>
      <c r="G174" s="22" t="s">
        <v>13762</v>
      </c>
      <c r="H174" s="22">
        <v>1.0109999999999999</v>
      </c>
      <c r="I174" s="25">
        <v>43191</v>
      </c>
      <c r="J174" s="24">
        <v>43267</v>
      </c>
    </row>
    <row r="175" spans="2:10" x14ac:dyDescent="0.2">
      <c r="B175" s="22">
        <v>170</v>
      </c>
      <c r="C175" s="23" t="s">
        <v>13763</v>
      </c>
      <c r="D175" s="23" t="s">
        <v>1015</v>
      </c>
      <c r="E175" s="20" t="s">
        <v>13764</v>
      </c>
      <c r="F175" s="22">
        <v>116</v>
      </c>
      <c r="G175" s="22" t="s">
        <v>13765</v>
      </c>
      <c r="H175" s="22">
        <v>6</v>
      </c>
      <c r="I175" s="25">
        <v>43387</v>
      </c>
      <c r="J175" s="24">
        <v>43188</v>
      </c>
    </row>
    <row r="176" spans="2:10" x14ac:dyDescent="0.2">
      <c r="B176" s="22">
        <v>171</v>
      </c>
      <c r="C176" s="23" t="s">
        <v>13766</v>
      </c>
      <c r="D176" s="23" t="s">
        <v>1415</v>
      </c>
      <c r="E176" s="20" t="s">
        <v>13767</v>
      </c>
      <c r="F176" s="22">
        <v>100</v>
      </c>
      <c r="G176" s="22" t="s">
        <v>13768</v>
      </c>
      <c r="H176" s="22">
        <v>100</v>
      </c>
      <c r="I176" s="25">
        <v>43296</v>
      </c>
      <c r="J176" s="24">
        <v>43365</v>
      </c>
    </row>
    <row r="177" spans="2:10" x14ac:dyDescent="0.2">
      <c r="B177" s="22">
        <v>172</v>
      </c>
      <c r="C177" s="23" t="s">
        <v>13769</v>
      </c>
      <c r="D177" s="23" t="s">
        <v>643</v>
      </c>
      <c r="E177" s="20" t="s">
        <v>13770</v>
      </c>
      <c r="F177" s="22">
        <v>261</v>
      </c>
      <c r="G177" s="22" t="s">
        <v>13771</v>
      </c>
      <c r="H177" s="22">
        <v>256</v>
      </c>
      <c r="I177" s="25">
        <v>43128</v>
      </c>
      <c r="J177" s="24">
        <v>43190</v>
      </c>
    </row>
    <row r="178" spans="2:10" x14ac:dyDescent="0.2">
      <c r="B178" s="22">
        <v>173</v>
      </c>
      <c r="C178" s="23" t="s">
        <v>13772</v>
      </c>
      <c r="D178" s="23" t="s">
        <v>1039</v>
      </c>
      <c r="E178" s="20" t="s">
        <v>13773</v>
      </c>
      <c r="F178" s="22">
        <v>145</v>
      </c>
      <c r="G178" s="22" t="s">
        <v>13774</v>
      </c>
      <c r="H178" s="22">
        <v>19</v>
      </c>
      <c r="I178" s="25">
        <v>43415</v>
      </c>
      <c r="J178" s="24">
        <v>43160</v>
      </c>
    </row>
    <row r="179" spans="2:10" x14ac:dyDescent="0.2">
      <c r="B179" s="22">
        <v>174</v>
      </c>
      <c r="C179" s="23" t="s">
        <v>13775</v>
      </c>
      <c r="D179" s="23" t="s">
        <v>830</v>
      </c>
      <c r="E179" s="20" t="s">
        <v>13776</v>
      </c>
      <c r="F179" s="22">
        <v>183</v>
      </c>
      <c r="G179" s="22" t="s">
        <v>13777</v>
      </c>
      <c r="H179" s="22">
        <v>4</v>
      </c>
      <c r="I179" s="25">
        <v>43394</v>
      </c>
      <c r="J179" s="24">
        <v>43463</v>
      </c>
    </row>
    <row r="180" spans="2:10" x14ac:dyDescent="0.2">
      <c r="B180" s="22">
        <v>175</v>
      </c>
      <c r="C180" s="23" t="s">
        <v>13778</v>
      </c>
      <c r="D180" s="23" t="s">
        <v>1043</v>
      </c>
      <c r="E180" s="20" t="s">
        <v>13779</v>
      </c>
      <c r="F180" s="22">
        <v>245</v>
      </c>
      <c r="G180" s="22" t="s">
        <v>13780</v>
      </c>
      <c r="H180" s="22">
        <v>218</v>
      </c>
      <c r="I180" s="25">
        <v>43233</v>
      </c>
      <c r="J180" s="24">
        <v>43358</v>
      </c>
    </row>
    <row r="181" spans="2:10" x14ac:dyDescent="0.2">
      <c r="B181" s="22">
        <v>176</v>
      </c>
      <c r="C181" s="23" t="s">
        <v>13781</v>
      </c>
      <c r="D181" s="23" t="s">
        <v>13782</v>
      </c>
      <c r="E181" s="20" t="s">
        <v>13783</v>
      </c>
      <c r="F181" s="22">
        <v>678</v>
      </c>
      <c r="G181" s="22" t="s">
        <v>13784</v>
      </c>
      <c r="H181" s="22">
        <v>678</v>
      </c>
      <c r="I181" s="25">
        <v>43121</v>
      </c>
      <c r="J181" s="24">
        <v>43162</v>
      </c>
    </row>
    <row r="182" spans="2:10" x14ac:dyDescent="0.2">
      <c r="B182" s="22">
        <v>177</v>
      </c>
      <c r="C182" s="23" t="s">
        <v>13785</v>
      </c>
      <c r="D182" s="23" t="s">
        <v>1015</v>
      </c>
      <c r="E182" s="20" t="s">
        <v>13786</v>
      </c>
      <c r="F182" s="22">
        <v>494</v>
      </c>
      <c r="G182" s="22" t="s">
        <v>13787</v>
      </c>
      <c r="H182" s="22">
        <v>5</v>
      </c>
      <c r="I182" s="25">
        <v>43450</v>
      </c>
      <c r="J182" s="24">
        <v>43223</v>
      </c>
    </row>
    <row r="183" spans="2:10" x14ac:dyDescent="0.2">
      <c r="B183" s="22">
        <v>178</v>
      </c>
      <c r="C183" s="23" t="s">
        <v>13788</v>
      </c>
      <c r="D183" s="23" t="s">
        <v>570</v>
      </c>
      <c r="E183" s="20" t="s">
        <v>13789</v>
      </c>
      <c r="F183" s="22">
        <v>1.5</v>
      </c>
      <c r="G183" s="22" t="s">
        <v>13790</v>
      </c>
      <c r="H183" s="22">
        <v>1.5</v>
      </c>
      <c r="I183" s="25">
        <v>43352</v>
      </c>
      <c r="J183" s="24">
        <v>43365</v>
      </c>
    </row>
    <row r="184" spans="2:10" x14ac:dyDescent="0.2">
      <c r="B184" s="22">
        <v>179</v>
      </c>
      <c r="C184" s="23" t="s">
        <v>13791</v>
      </c>
      <c r="D184" s="23" t="s">
        <v>1415</v>
      </c>
      <c r="E184" s="20" t="s">
        <v>13792</v>
      </c>
      <c r="F184" s="22">
        <v>189</v>
      </c>
      <c r="G184" s="22" t="s">
        <v>1159</v>
      </c>
      <c r="H184" s="22">
        <v>189</v>
      </c>
      <c r="I184" s="25">
        <v>43399</v>
      </c>
      <c r="J184" s="24">
        <v>43435</v>
      </c>
    </row>
    <row r="185" spans="2:10" x14ac:dyDescent="0.2">
      <c r="B185" s="22">
        <v>180</v>
      </c>
      <c r="C185" s="23" t="s">
        <v>13793</v>
      </c>
      <c r="D185" s="23" t="s">
        <v>1594</v>
      </c>
      <c r="E185" s="20" t="s">
        <v>13794</v>
      </c>
      <c r="F185" s="22">
        <v>352</v>
      </c>
      <c r="G185" s="22" t="s">
        <v>13795</v>
      </c>
      <c r="H185" s="22">
        <v>352</v>
      </c>
      <c r="I185" s="25">
        <v>43156</v>
      </c>
      <c r="J185" s="24">
        <v>43211</v>
      </c>
    </row>
    <row r="186" spans="2:10" x14ac:dyDescent="0.2">
      <c r="B186" s="22">
        <v>181</v>
      </c>
      <c r="C186" s="23" t="s">
        <v>13796</v>
      </c>
      <c r="D186" s="23" t="s">
        <v>1015</v>
      </c>
      <c r="E186" s="20" t="s">
        <v>13797</v>
      </c>
      <c r="F186" s="22">
        <v>90</v>
      </c>
      <c r="G186" s="22" t="s">
        <v>13798</v>
      </c>
      <c r="H186" s="22">
        <v>3</v>
      </c>
      <c r="I186" s="25">
        <v>43212</v>
      </c>
      <c r="J186" s="24">
        <v>43372</v>
      </c>
    </row>
    <row r="187" spans="2:10" x14ac:dyDescent="0.2">
      <c r="B187" s="22">
        <v>182</v>
      </c>
      <c r="C187" s="23" t="s">
        <v>13799</v>
      </c>
      <c r="D187" s="23" t="s">
        <v>1294</v>
      </c>
      <c r="E187" s="20" t="s">
        <v>13800</v>
      </c>
      <c r="F187" s="22">
        <v>62</v>
      </c>
      <c r="G187" s="22" t="s">
        <v>13801</v>
      </c>
      <c r="H187" s="22">
        <v>6</v>
      </c>
      <c r="I187" s="25">
        <v>43261</v>
      </c>
      <c r="J187" s="24">
        <v>43383</v>
      </c>
    </row>
    <row r="188" spans="2:10" x14ac:dyDescent="0.2">
      <c r="B188" s="22">
        <v>183</v>
      </c>
      <c r="C188" s="23" t="s">
        <v>13802</v>
      </c>
      <c r="D188" s="23" t="s">
        <v>13803</v>
      </c>
      <c r="E188" s="20" t="s">
        <v>13804</v>
      </c>
      <c r="F188" s="22">
        <v>975</v>
      </c>
      <c r="G188" s="22" t="s">
        <v>13805</v>
      </c>
      <c r="H188" s="22">
        <v>975</v>
      </c>
      <c r="I188" s="25">
        <v>43394</v>
      </c>
      <c r="J188" s="24">
        <v>43435</v>
      </c>
    </row>
    <row r="189" spans="2:10" x14ac:dyDescent="0.2">
      <c r="B189" s="22">
        <v>184</v>
      </c>
      <c r="C189" s="23" t="s">
        <v>13806</v>
      </c>
      <c r="D189" s="23" t="s">
        <v>1217</v>
      </c>
      <c r="E189" s="20" t="s">
        <v>13807</v>
      </c>
      <c r="F189" s="22">
        <v>88</v>
      </c>
      <c r="G189" s="22" t="s">
        <v>13808</v>
      </c>
      <c r="H189" s="22">
        <v>88</v>
      </c>
      <c r="I189" s="25">
        <v>43343</v>
      </c>
      <c r="J189" s="24">
        <v>43372</v>
      </c>
    </row>
    <row r="190" spans="2:10" x14ac:dyDescent="0.2">
      <c r="B190" s="22">
        <v>185</v>
      </c>
      <c r="C190" s="23" t="s">
        <v>13809</v>
      </c>
      <c r="D190" s="23" t="s">
        <v>13262</v>
      </c>
      <c r="E190" s="20" t="s">
        <v>13810</v>
      </c>
      <c r="F190" s="22">
        <v>216</v>
      </c>
      <c r="G190" s="22" t="s">
        <v>13811</v>
      </c>
      <c r="H190" s="22">
        <v>4</v>
      </c>
      <c r="I190" s="25">
        <v>43275</v>
      </c>
      <c r="J190" s="24">
        <v>43344</v>
      </c>
    </row>
    <row r="191" spans="2:10" x14ac:dyDescent="0.2">
      <c r="B191" s="22">
        <v>186</v>
      </c>
      <c r="C191" s="23" t="s">
        <v>13812</v>
      </c>
      <c r="D191" s="23" t="s">
        <v>1142</v>
      </c>
      <c r="E191" s="20" t="s">
        <v>13813</v>
      </c>
      <c r="F191" s="22">
        <v>80</v>
      </c>
      <c r="G191" s="22" t="s">
        <v>13814</v>
      </c>
      <c r="H191" s="22">
        <v>1</v>
      </c>
      <c r="I191" s="25">
        <v>43443</v>
      </c>
      <c r="J191" s="24">
        <v>43240</v>
      </c>
    </row>
    <row r="192" spans="2:10" x14ac:dyDescent="0.2">
      <c r="B192" s="22">
        <v>187</v>
      </c>
      <c r="C192" s="23" t="s">
        <v>13815</v>
      </c>
      <c r="D192" s="23" t="s">
        <v>1015</v>
      </c>
      <c r="E192" s="20" t="s">
        <v>13816</v>
      </c>
      <c r="F192" s="22">
        <v>91</v>
      </c>
      <c r="G192" s="22" t="s">
        <v>13817</v>
      </c>
      <c r="H192" s="22">
        <v>3</v>
      </c>
      <c r="I192" s="25">
        <v>43373</v>
      </c>
      <c r="J192" s="24">
        <v>43181</v>
      </c>
    </row>
    <row r="193" spans="2:10" x14ac:dyDescent="0.2">
      <c r="B193" s="22">
        <v>188</v>
      </c>
      <c r="C193" s="23" t="s">
        <v>13818</v>
      </c>
      <c r="D193" s="23" t="s">
        <v>1213</v>
      </c>
      <c r="E193" s="20" t="s">
        <v>13819</v>
      </c>
      <c r="F193" s="22">
        <v>74</v>
      </c>
      <c r="G193" s="22" t="s">
        <v>13820</v>
      </c>
      <c r="H193" s="22">
        <v>7</v>
      </c>
      <c r="I193" s="25">
        <v>43184</v>
      </c>
      <c r="J193" s="24">
        <v>43316</v>
      </c>
    </row>
    <row r="194" spans="2:10" x14ac:dyDescent="0.2">
      <c r="B194" s="22">
        <v>189</v>
      </c>
      <c r="C194" s="23" t="s">
        <v>13821</v>
      </c>
      <c r="D194" s="23" t="s">
        <v>10283</v>
      </c>
      <c r="E194" s="20" t="s">
        <v>13822</v>
      </c>
      <c r="F194" s="22">
        <v>47</v>
      </c>
      <c r="G194" s="22" t="s">
        <v>13823</v>
      </c>
      <c r="H194" s="22">
        <v>2</v>
      </c>
      <c r="I194" s="25">
        <v>43324</v>
      </c>
      <c r="J194" s="24">
        <v>43435</v>
      </c>
    </row>
    <row r="195" spans="2:10" x14ac:dyDescent="0.2">
      <c r="B195" s="22">
        <v>190</v>
      </c>
      <c r="C195" s="23" t="s">
        <v>13824</v>
      </c>
      <c r="D195" s="23" t="s">
        <v>1612</v>
      </c>
      <c r="E195" s="20" t="s">
        <v>13825</v>
      </c>
      <c r="F195" s="22">
        <v>74</v>
      </c>
      <c r="G195" s="22" t="s">
        <v>13826</v>
      </c>
      <c r="H195" s="22">
        <v>1</v>
      </c>
      <c r="I195" s="25">
        <v>43149</v>
      </c>
      <c r="J195" s="24">
        <v>43316</v>
      </c>
    </row>
    <row r="196" spans="2:10" x14ac:dyDescent="0.2">
      <c r="B196" s="22">
        <v>191</v>
      </c>
      <c r="C196" s="23" t="s">
        <v>13827</v>
      </c>
      <c r="D196" s="23" t="s">
        <v>1377</v>
      </c>
      <c r="E196" s="20" t="s">
        <v>13828</v>
      </c>
      <c r="F196" s="22">
        <v>90</v>
      </c>
      <c r="G196" s="22" t="s">
        <v>13829</v>
      </c>
      <c r="H196" s="22">
        <v>89</v>
      </c>
      <c r="I196" s="25">
        <v>43282</v>
      </c>
      <c r="J196" s="24">
        <v>43323</v>
      </c>
    </row>
    <row r="197" spans="2:10" x14ac:dyDescent="0.2">
      <c r="B197" s="22">
        <v>192</v>
      </c>
      <c r="C197" s="23" t="s">
        <v>13830</v>
      </c>
      <c r="D197" s="23" t="s">
        <v>1594</v>
      </c>
      <c r="E197" s="20" t="s">
        <v>13831</v>
      </c>
      <c r="F197" s="22">
        <v>68</v>
      </c>
      <c r="G197" s="22" t="s">
        <v>13832</v>
      </c>
      <c r="H197" s="22">
        <v>2</v>
      </c>
      <c r="I197" s="25">
        <v>43205</v>
      </c>
      <c r="J197" s="24">
        <v>43337</v>
      </c>
    </row>
    <row r="198" spans="2:10" x14ac:dyDescent="0.2">
      <c r="B198" s="22">
        <v>193</v>
      </c>
      <c r="C198" s="23" t="s">
        <v>13833</v>
      </c>
      <c r="D198" s="23" t="s">
        <v>1640</v>
      </c>
      <c r="E198" s="20" t="s">
        <v>13834</v>
      </c>
      <c r="F198" s="22">
        <v>34</v>
      </c>
      <c r="G198" s="22" t="s">
        <v>13835</v>
      </c>
      <c r="H198" s="22">
        <v>1</v>
      </c>
      <c r="I198" s="25">
        <v>43175</v>
      </c>
      <c r="J198" s="24">
        <v>43435</v>
      </c>
    </row>
    <row r="199" spans="2:10" x14ac:dyDescent="0.2">
      <c r="B199" s="22">
        <v>194</v>
      </c>
      <c r="C199" s="23" t="s">
        <v>13836</v>
      </c>
      <c r="D199" s="23" t="s">
        <v>830</v>
      </c>
      <c r="E199" s="20" t="s">
        <v>13837</v>
      </c>
      <c r="F199" s="22">
        <v>610</v>
      </c>
      <c r="G199" s="22" t="s">
        <v>13838</v>
      </c>
      <c r="H199" s="22">
        <v>610</v>
      </c>
      <c r="I199" s="25">
        <v>43268</v>
      </c>
      <c r="J199" s="24">
        <v>43295</v>
      </c>
    </row>
    <row r="200" spans="2:10" x14ac:dyDescent="0.2">
      <c r="B200" s="22">
        <v>195</v>
      </c>
      <c r="C200" s="23" t="s">
        <v>13839</v>
      </c>
      <c r="D200" s="23" t="s">
        <v>643</v>
      </c>
      <c r="E200" s="20" t="s">
        <v>13840</v>
      </c>
      <c r="F200" s="22">
        <v>165</v>
      </c>
      <c r="G200" s="22" t="s">
        <v>13841</v>
      </c>
      <c r="H200" s="22">
        <v>161</v>
      </c>
      <c r="I200" s="25">
        <v>43345</v>
      </c>
      <c r="J200" s="24">
        <v>43372</v>
      </c>
    </row>
    <row r="201" spans="2:10" x14ac:dyDescent="0.2">
      <c r="B201" s="22">
        <v>196</v>
      </c>
      <c r="C201" s="23" t="s">
        <v>13842</v>
      </c>
      <c r="D201" s="23" t="s">
        <v>1294</v>
      </c>
      <c r="E201" s="20" t="s">
        <v>13843</v>
      </c>
      <c r="F201" s="22">
        <v>57</v>
      </c>
      <c r="G201" s="22" t="s">
        <v>13844</v>
      </c>
      <c r="H201" s="22">
        <v>5</v>
      </c>
      <c r="I201" s="25">
        <v>43170</v>
      </c>
      <c r="J201" s="24">
        <v>43267</v>
      </c>
    </row>
    <row r="202" spans="2:10" x14ac:dyDescent="0.2">
      <c r="B202" s="22">
        <v>197</v>
      </c>
      <c r="C202" s="23" t="s">
        <v>13845</v>
      </c>
      <c r="D202" s="23" t="s">
        <v>643</v>
      </c>
      <c r="E202" s="20" t="s">
        <v>13846</v>
      </c>
      <c r="F202" s="22">
        <v>89</v>
      </c>
      <c r="G202" s="22" t="s">
        <v>13847</v>
      </c>
      <c r="H202" s="22">
        <v>5</v>
      </c>
      <c r="I202" s="25">
        <v>43310</v>
      </c>
      <c r="J202" s="24">
        <v>43372</v>
      </c>
    </row>
    <row r="203" spans="2:10" x14ac:dyDescent="0.2">
      <c r="B203" s="22">
        <v>198</v>
      </c>
      <c r="C203" s="23" t="s">
        <v>13848</v>
      </c>
      <c r="D203" s="23" t="s">
        <v>1139</v>
      </c>
      <c r="E203" s="20" t="s">
        <v>13849</v>
      </c>
      <c r="F203" s="22">
        <v>117</v>
      </c>
      <c r="G203" s="22" t="s">
        <v>13850</v>
      </c>
      <c r="H203" s="22">
        <v>95</v>
      </c>
      <c r="I203" s="25">
        <v>43142</v>
      </c>
      <c r="J203" s="24">
        <v>43204</v>
      </c>
    </row>
    <row r="204" spans="2:10" x14ac:dyDescent="0.2">
      <c r="B204" s="22">
        <v>199</v>
      </c>
      <c r="C204" s="23" t="s">
        <v>13851</v>
      </c>
      <c r="D204" s="23" t="s">
        <v>830</v>
      </c>
      <c r="E204" s="20" t="s">
        <v>13852</v>
      </c>
      <c r="F204" s="22">
        <v>116</v>
      </c>
      <c r="G204" s="22" t="s">
        <v>13853</v>
      </c>
      <c r="H204" s="22">
        <v>24</v>
      </c>
      <c r="I204" s="25">
        <v>43296</v>
      </c>
      <c r="J204" s="24">
        <v>43372</v>
      </c>
    </row>
    <row r="205" spans="2:10" x14ac:dyDescent="0.2">
      <c r="B205" s="22">
        <v>200</v>
      </c>
      <c r="C205" s="23" t="s">
        <v>13854</v>
      </c>
      <c r="D205" s="23" t="s">
        <v>643</v>
      </c>
      <c r="E205" s="20" t="s">
        <v>13855</v>
      </c>
      <c r="F205" s="22">
        <v>226</v>
      </c>
      <c r="G205" s="22" t="s">
        <v>13856</v>
      </c>
      <c r="H205" s="22">
        <v>226</v>
      </c>
      <c r="I205" s="25">
        <v>43198</v>
      </c>
      <c r="J205" s="24">
        <v>43239</v>
      </c>
    </row>
    <row r="206" spans="2:10" x14ac:dyDescent="0.2">
      <c r="B206" s="22">
        <v>201</v>
      </c>
      <c r="C206" s="23" t="s">
        <v>13857</v>
      </c>
      <c r="D206" s="23" t="s">
        <v>830</v>
      </c>
      <c r="E206" s="20" t="s">
        <v>13858</v>
      </c>
      <c r="F206" s="22">
        <v>94</v>
      </c>
      <c r="G206" s="22" t="s">
        <v>13859</v>
      </c>
      <c r="H206" s="22">
        <v>4</v>
      </c>
      <c r="I206" s="25">
        <v>43303</v>
      </c>
      <c r="J206" s="24">
        <v>43379</v>
      </c>
    </row>
    <row r="207" spans="2:10" x14ac:dyDescent="0.2">
      <c r="B207" s="22">
        <v>202</v>
      </c>
      <c r="C207" s="23" t="s">
        <v>13860</v>
      </c>
      <c r="D207" s="23" t="s">
        <v>1015</v>
      </c>
      <c r="E207" s="20" t="s">
        <v>13861</v>
      </c>
      <c r="F207" s="22">
        <v>54</v>
      </c>
      <c r="G207" s="22" t="s">
        <v>13862</v>
      </c>
      <c r="H207" s="22">
        <v>4</v>
      </c>
      <c r="I207" s="25">
        <v>43289</v>
      </c>
      <c r="J207" s="24">
        <v>43421</v>
      </c>
    </row>
    <row r="208" spans="2:10" x14ac:dyDescent="0.2">
      <c r="B208" s="22">
        <v>203</v>
      </c>
      <c r="C208" s="23" t="s">
        <v>13863</v>
      </c>
      <c r="D208" s="23" t="s">
        <v>5254</v>
      </c>
      <c r="E208" s="20" t="s">
        <v>13864</v>
      </c>
      <c r="F208" s="22">
        <v>56</v>
      </c>
      <c r="G208" s="22" t="s">
        <v>13865</v>
      </c>
      <c r="H208" s="22">
        <v>5</v>
      </c>
      <c r="I208" s="25">
        <v>43170</v>
      </c>
      <c r="J208" s="24">
        <v>43281</v>
      </c>
    </row>
    <row r="209" spans="2:10" x14ac:dyDescent="0.2">
      <c r="B209" s="22">
        <v>204</v>
      </c>
      <c r="C209" s="23" t="s">
        <v>13866</v>
      </c>
      <c r="D209" s="23" t="s">
        <v>13867</v>
      </c>
      <c r="E209" s="20" t="s">
        <v>13868</v>
      </c>
      <c r="F209" s="22">
        <v>875</v>
      </c>
      <c r="G209" s="22" t="s">
        <v>13869</v>
      </c>
      <c r="H209" s="22">
        <v>875</v>
      </c>
      <c r="I209" s="25">
        <v>43219</v>
      </c>
      <c r="J209" s="24">
        <v>43239</v>
      </c>
    </row>
    <row r="210" spans="2:10" x14ac:dyDescent="0.2">
      <c r="B210" s="22">
        <v>205</v>
      </c>
      <c r="C210" s="23" t="s">
        <v>13870</v>
      </c>
      <c r="D210" s="23" t="s">
        <v>1594</v>
      </c>
      <c r="E210" s="20" t="s">
        <v>13871</v>
      </c>
      <c r="F210" s="22">
        <v>70</v>
      </c>
      <c r="G210" s="22" t="s">
        <v>13872</v>
      </c>
      <c r="H210" s="22">
        <v>7</v>
      </c>
      <c r="I210" s="25">
        <v>43317</v>
      </c>
      <c r="J210" s="24">
        <v>43400</v>
      </c>
    </row>
    <row r="211" spans="2:10" x14ac:dyDescent="0.2">
      <c r="B211" s="22">
        <v>206</v>
      </c>
      <c r="C211" s="23" t="s">
        <v>13873</v>
      </c>
      <c r="D211" s="23" t="s">
        <v>13874</v>
      </c>
      <c r="E211" s="20" t="s">
        <v>13875</v>
      </c>
      <c r="F211" s="22">
        <v>5</v>
      </c>
      <c r="G211" s="22" t="s">
        <v>13876</v>
      </c>
      <c r="H211" s="22">
        <v>1</v>
      </c>
      <c r="I211" s="25">
        <v>43164</v>
      </c>
      <c r="J211" s="24">
        <v>43372</v>
      </c>
    </row>
    <row r="212" spans="2:10" x14ac:dyDescent="0.2">
      <c r="B212" s="22">
        <v>207</v>
      </c>
      <c r="C212" s="23" t="s">
        <v>13877</v>
      </c>
      <c r="D212" s="23" t="s">
        <v>2197</v>
      </c>
      <c r="E212" s="20" t="s">
        <v>13878</v>
      </c>
      <c r="F212" s="22">
        <v>422</v>
      </c>
      <c r="G212" s="22" t="s">
        <v>13879</v>
      </c>
      <c r="H212" s="22">
        <v>422</v>
      </c>
      <c r="I212" s="25">
        <v>43114</v>
      </c>
      <c r="J212" s="24">
        <v>43141</v>
      </c>
    </row>
    <row r="213" spans="2:10" x14ac:dyDescent="0.2">
      <c r="B213" s="22">
        <v>208</v>
      </c>
      <c r="C213" s="23" t="s">
        <v>13880</v>
      </c>
      <c r="D213" s="23" t="s">
        <v>1415</v>
      </c>
      <c r="E213" s="20" t="s">
        <v>13881</v>
      </c>
      <c r="F213" s="22">
        <v>103</v>
      </c>
      <c r="G213" s="22" t="s">
        <v>13882</v>
      </c>
      <c r="H213" s="22">
        <v>103</v>
      </c>
      <c r="I213" s="25">
        <v>43429</v>
      </c>
      <c r="J213" s="24">
        <v>43449</v>
      </c>
    </row>
    <row r="214" spans="2:10" x14ac:dyDescent="0.2">
      <c r="B214" s="22">
        <v>209</v>
      </c>
      <c r="C214" s="23" t="s">
        <v>13883</v>
      </c>
      <c r="D214" s="23" t="s">
        <v>1594</v>
      </c>
      <c r="E214" s="20" t="s">
        <v>13884</v>
      </c>
      <c r="F214" s="22">
        <v>259</v>
      </c>
      <c r="G214" s="22" t="s">
        <v>13885</v>
      </c>
      <c r="H214" s="22">
        <v>259</v>
      </c>
      <c r="I214" s="25">
        <v>43226</v>
      </c>
      <c r="J214" s="24">
        <v>43253</v>
      </c>
    </row>
    <row r="215" spans="2:10" x14ac:dyDescent="0.2">
      <c r="B215" s="22">
        <v>210</v>
      </c>
      <c r="C215" s="23" t="s">
        <v>13886</v>
      </c>
      <c r="D215" s="23" t="s">
        <v>1039</v>
      </c>
      <c r="E215" s="20" t="s">
        <v>13887</v>
      </c>
      <c r="F215" s="22">
        <v>65</v>
      </c>
      <c r="G215" s="22" t="s">
        <v>13888</v>
      </c>
      <c r="H215" s="22">
        <v>2</v>
      </c>
      <c r="I215" s="25">
        <v>43268</v>
      </c>
      <c r="J215" s="24">
        <v>43393</v>
      </c>
    </row>
    <row r="216" spans="2:10" x14ac:dyDescent="0.2">
      <c r="B216" s="22">
        <v>211</v>
      </c>
      <c r="C216" s="23" t="s">
        <v>13889</v>
      </c>
      <c r="D216" s="23" t="s">
        <v>851</v>
      </c>
      <c r="E216" s="20" t="s">
        <v>13890</v>
      </c>
      <c r="F216" s="22">
        <v>66</v>
      </c>
      <c r="G216" s="22" t="s">
        <v>13891</v>
      </c>
      <c r="H216" s="22">
        <v>8</v>
      </c>
      <c r="I216" s="25">
        <v>43310</v>
      </c>
      <c r="J216" s="24">
        <v>43372</v>
      </c>
    </row>
    <row r="217" spans="2:10" x14ac:dyDescent="0.2">
      <c r="B217" s="22">
        <v>212</v>
      </c>
      <c r="C217" s="23" t="s">
        <v>13892</v>
      </c>
      <c r="D217" s="23" t="s">
        <v>1015</v>
      </c>
      <c r="E217" s="20" t="s">
        <v>13893</v>
      </c>
      <c r="F217" s="22">
        <v>51</v>
      </c>
      <c r="G217" s="22" t="s">
        <v>13894</v>
      </c>
      <c r="H217" s="22">
        <v>4</v>
      </c>
      <c r="I217" s="25">
        <v>43191</v>
      </c>
      <c r="J217" s="24">
        <v>43351</v>
      </c>
    </row>
    <row r="218" spans="2:10" x14ac:dyDescent="0.2">
      <c r="B218" s="22">
        <v>213</v>
      </c>
      <c r="C218" s="23" t="s">
        <v>13895</v>
      </c>
      <c r="D218" s="23" t="s">
        <v>1415</v>
      </c>
      <c r="E218" s="20" t="s">
        <v>13896</v>
      </c>
      <c r="F218" s="22">
        <v>84</v>
      </c>
      <c r="G218" s="22" t="s">
        <v>13897</v>
      </c>
      <c r="H218" s="22">
        <v>84</v>
      </c>
      <c r="I218" s="25">
        <v>43114</v>
      </c>
      <c r="J218" s="24">
        <v>43141</v>
      </c>
    </row>
    <row r="219" spans="2:10" x14ac:dyDescent="0.2">
      <c r="B219" s="22">
        <v>214</v>
      </c>
      <c r="C219" s="23" t="s">
        <v>13898</v>
      </c>
      <c r="D219" s="23" t="s">
        <v>1415</v>
      </c>
      <c r="E219" s="20" t="s">
        <v>13899</v>
      </c>
      <c r="F219" s="22">
        <v>112</v>
      </c>
      <c r="G219" s="22" t="s">
        <v>13900</v>
      </c>
      <c r="H219" s="22">
        <v>112</v>
      </c>
      <c r="I219" s="25">
        <v>43415</v>
      </c>
      <c r="J219" s="24">
        <v>43442</v>
      </c>
    </row>
    <row r="220" spans="2:10" x14ac:dyDescent="0.2">
      <c r="B220" s="22">
        <v>215</v>
      </c>
      <c r="C220" s="23" t="s">
        <v>13901</v>
      </c>
      <c r="D220" s="23" t="s">
        <v>1142</v>
      </c>
      <c r="E220" s="20" t="s">
        <v>13902</v>
      </c>
      <c r="F220" s="22">
        <v>45</v>
      </c>
      <c r="G220" s="22" t="s">
        <v>13903</v>
      </c>
      <c r="H220" s="22">
        <v>2</v>
      </c>
      <c r="I220" s="25">
        <v>43198</v>
      </c>
      <c r="J220" s="24">
        <v>43337</v>
      </c>
    </row>
    <row r="221" spans="2:10" x14ac:dyDescent="0.2">
      <c r="B221" s="22">
        <v>216</v>
      </c>
      <c r="C221" s="23" t="s">
        <v>13904</v>
      </c>
      <c r="D221" s="23" t="s">
        <v>13262</v>
      </c>
      <c r="E221" s="20" t="s">
        <v>13905</v>
      </c>
      <c r="F221" s="22">
        <v>168</v>
      </c>
      <c r="G221" s="22" t="s">
        <v>13906</v>
      </c>
      <c r="H221" s="22">
        <v>22</v>
      </c>
      <c r="I221" s="25">
        <v>43226</v>
      </c>
      <c r="J221" s="24">
        <v>43281</v>
      </c>
    </row>
    <row r="222" spans="2:10" x14ac:dyDescent="0.2">
      <c r="B222" s="22">
        <v>217</v>
      </c>
      <c r="C222" s="23" t="s">
        <v>13907</v>
      </c>
      <c r="D222" s="23" t="s">
        <v>1415</v>
      </c>
      <c r="E222" s="20" t="s">
        <v>13908</v>
      </c>
      <c r="F222" s="22">
        <v>97</v>
      </c>
      <c r="G222" s="22" t="s">
        <v>13909</v>
      </c>
      <c r="H222" s="22">
        <v>97</v>
      </c>
      <c r="I222" s="25">
        <v>43254</v>
      </c>
      <c r="J222" s="24">
        <v>43288</v>
      </c>
    </row>
    <row r="223" spans="2:10" x14ac:dyDescent="0.2">
      <c r="B223" s="22">
        <v>218</v>
      </c>
      <c r="C223" s="23" t="s">
        <v>13910</v>
      </c>
      <c r="D223" s="23" t="s">
        <v>4383</v>
      </c>
      <c r="E223" s="20" t="s">
        <v>13911</v>
      </c>
      <c r="F223" s="22">
        <v>29</v>
      </c>
      <c r="G223" s="22" t="s">
        <v>13912</v>
      </c>
      <c r="H223" s="22">
        <v>1</v>
      </c>
      <c r="I223" s="25">
        <v>43289</v>
      </c>
      <c r="J223" s="24">
        <v>43237</v>
      </c>
    </row>
    <row r="224" spans="2:10" x14ac:dyDescent="0.2">
      <c r="B224" s="22">
        <v>219</v>
      </c>
      <c r="C224" s="23" t="s">
        <v>13913</v>
      </c>
      <c r="D224" s="23" t="s">
        <v>1015</v>
      </c>
      <c r="E224" s="20" t="s">
        <v>13914</v>
      </c>
      <c r="F224" s="22">
        <v>81</v>
      </c>
      <c r="G224" s="22" t="s">
        <v>13915</v>
      </c>
      <c r="H224" s="22">
        <v>3</v>
      </c>
      <c r="I224" s="25">
        <v>43338</v>
      </c>
      <c r="J224" s="24">
        <v>43105</v>
      </c>
    </row>
    <row r="225" spans="2:10" x14ac:dyDescent="0.2">
      <c r="B225" s="22">
        <v>220</v>
      </c>
      <c r="C225" s="23" t="s">
        <v>13916</v>
      </c>
      <c r="D225" s="23" t="s">
        <v>563</v>
      </c>
      <c r="E225" s="20" t="s">
        <v>13917</v>
      </c>
      <c r="F225" s="22">
        <v>521</v>
      </c>
      <c r="G225" s="22" t="s">
        <v>1159</v>
      </c>
      <c r="H225" s="22" t="s">
        <v>1159</v>
      </c>
      <c r="I225" s="25">
        <v>43279</v>
      </c>
      <c r="J225" s="24">
        <v>43279</v>
      </c>
    </row>
    <row r="226" spans="2:10" x14ac:dyDescent="0.2">
      <c r="B226" s="22">
        <v>221</v>
      </c>
      <c r="C226" s="23" t="s">
        <v>13918</v>
      </c>
      <c r="D226" s="23" t="s">
        <v>1039</v>
      </c>
      <c r="E226" s="20" t="s">
        <v>13919</v>
      </c>
      <c r="F226" s="22">
        <v>31</v>
      </c>
      <c r="G226" s="22" t="s">
        <v>13920</v>
      </c>
      <c r="H226" s="22">
        <v>4</v>
      </c>
      <c r="I226" s="25">
        <v>43219</v>
      </c>
      <c r="J226" s="24">
        <v>43337</v>
      </c>
    </row>
    <row r="227" spans="2:10" x14ac:dyDescent="0.2">
      <c r="B227" s="22">
        <v>222</v>
      </c>
      <c r="C227" s="23" t="s">
        <v>13921</v>
      </c>
      <c r="D227" s="23" t="s">
        <v>740</v>
      </c>
      <c r="E227" s="20" t="s">
        <v>13922</v>
      </c>
      <c r="F227" s="22">
        <v>24</v>
      </c>
      <c r="G227" s="22" t="s">
        <v>13923</v>
      </c>
      <c r="H227" s="22">
        <v>4</v>
      </c>
      <c r="I227" s="25">
        <v>43462</v>
      </c>
      <c r="J227" s="24">
        <v>43174</v>
      </c>
    </row>
    <row r="228" spans="2:10" x14ac:dyDescent="0.2">
      <c r="B228" s="22">
        <v>223</v>
      </c>
      <c r="C228" s="23" t="s">
        <v>13924</v>
      </c>
      <c r="D228" s="23" t="s">
        <v>563</v>
      </c>
      <c r="E228" s="20" t="s">
        <v>13925</v>
      </c>
      <c r="F228" s="22">
        <v>522</v>
      </c>
      <c r="G228" s="22" t="s">
        <v>1159</v>
      </c>
      <c r="H228" s="22" t="s">
        <v>1159</v>
      </c>
      <c r="I228" s="25">
        <v>43265</v>
      </c>
      <c r="J228" s="24">
        <v>43265</v>
      </c>
    </row>
    <row r="229" spans="2:10" x14ac:dyDescent="0.2">
      <c r="B229" s="22">
        <v>224</v>
      </c>
      <c r="C229" s="23" t="s">
        <v>13926</v>
      </c>
      <c r="D229" s="23" t="s">
        <v>563</v>
      </c>
      <c r="E229" s="20" t="s">
        <v>13927</v>
      </c>
      <c r="F229" s="22">
        <v>522</v>
      </c>
      <c r="G229" s="22" t="s">
        <v>1159</v>
      </c>
      <c r="H229" s="22" t="s">
        <v>1159</v>
      </c>
      <c r="I229" s="25">
        <v>43272</v>
      </c>
      <c r="J229" s="24">
        <v>43272</v>
      </c>
    </row>
    <row r="230" spans="2:10" x14ac:dyDescent="0.2">
      <c r="B230" s="22">
        <v>225</v>
      </c>
      <c r="C230" s="23" t="s">
        <v>13928</v>
      </c>
      <c r="D230" s="23" t="s">
        <v>13929</v>
      </c>
      <c r="E230" s="20" t="s">
        <v>13930</v>
      </c>
      <c r="F230" s="22">
        <v>39</v>
      </c>
      <c r="G230" s="22" t="s">
        <v>13931</v>
      </c>
      <c r="H230" s="22">
        <v>1</v>
      </c>
      <c r="I230" s="25">
        <v>43107</v>
      </c>
      <c r="J230" s="24">
        <v>43323</v>
      </c>
    </row>
    <row r="231" spans="2:10" x14ac:dyDescent="0.2">
      <c r="B231" s="22">
        <v>226</v>
      </c>
      <c r="C231" s="23" t="s">
        <v>13932</v>
      </c>
      <c r="D231" s="23" t="s">
        <v>1415</v>
      </c>
      <c r="E231" s="20" t="s">
        <v>13933</v>
      </c>
      <c r="F231" s="22">
        <v>96</v>
      </c>
      <c r="G231" s="22" t="s">
        <v>13934</v>
      </c>
      <c r="H231" s="22">
        <v>96</v>
      </c>
      <c r="I231" s="25">
        <v>43366</v>
      </c>
      <c r="J231" s="24">
        <v>43393</v>
      </c>
    </row>
    <row r="232" spans="2:10" x14ac:dyDescent="0.2">
      <c r="B232" s="22">
        <v>227</v>
      </c>
      <c r="C232" s="23" t="s">
        <v>13935</v>
      </c>
      <c r="D232" s="23" t="s">
        <v>1804</v>
      </c>
      <c r="E232" s="20" t="s">
        <v>13936</v>
      </c>
      <c r="F232" s="22">
        <v>17</v>
      </c>
      <c r="G232" s="22" t="s">
        <v>13937</v>
      </c>
      <c r="H232" s="22">
        <v>6</v>
      </c>
      <c r="I232" s="25">
        <v>43380</v>
      </c>
      <c r="J232" s="24">
        <v>43279</v>
      </c>
    </row>
    <row r="233" spans="2:10" x14ac:dyDescent="0.2">
      <c r="B233" s="22">
        <v>228</v>
      </c>
      <c r="C233" s="23" t="s">
        <v>13938</v>
      </c>
      <c r="D233" s="23" t="s">
        <v>563</v>
      </c>
      <c r="E233" s="20" t="s">
        <v>13939</v>
      </c>
      <c r="F233" s="22">
        <v>25</v>
      </c>
      <c r="G233" s="22" t="s">
        <v>13940</v>
      </c>
      <c r="H233" s="22">
        <v>19</v>
      </c>
      <c r="I233" s="25">
        <v>43429</v>
      </c>
      <c r="J233" s="24">
        <v>43105</v>
      </c>
    </row>
    <row r="234" spans="2:10" x14ac:dyDescent="0.2">
      <c r="B234" s="22">
        <v>229</v>
      </c>
      <c r="C234" s="23" t="s">
        <v>13941</v>
      </c>
      <c r="D234" s="23" t="s">
        <v>1039</v>
      </c>
      <c r="E234" s="20" t="s">
        <v>13942</v>
      </c>
      <c r="F234" s="22">
        <v>37</v>
      </c>
      <c r="G234" s="22" t="s">
        <v>13943</v>
      </c>
      <c r="H234" s="22">
        <v>6</v>
      </c>
      <c r="I234" s="25">
        <v>43310</v>
      </c>
      <c r="J234" s="24">
        <v>43421</v>
      </c>
    </row>
    <row r="235" spans="2:10" x14ac:dyDescent="0.2">
      <c r="B235" s="22">
        <v>230</v>
      </c>
      <c r="C235" s="23" t="s">
        <v>13944</v>
      </c>
      <c r="D235" s="23" t="s">
        <v>12658</v>
      </c>
      <c r="E235" s="20" t="s">
        <v>13945</v>
      </c>
      <c r="F235" s="22">
        <v>40</v>
      </c>
      <c r="G235" s="22" t="s">
        <v>13946</v>
      </c>
      <c r="H235" s="22">
        <v>6</v>
      </c>
      <c r="I235" s="25">
        <v>43331</v>
      </c>
      <c r="J235" s="24">
        <v>43400</v>
      </c>
    </row>
    <row r="236" spans="2:10" x14ac:dyDescent="0.2">
      <c r="B236" s="22">
        <v>231</v>
      </c>
      <c r="C236" s="23" t="s">
        <v>13947</v>
      </c>
      <c r="D236" s="23" t="s">
        <v>1213</v>
      </c>
      <c r="E236" s="20" t="s">
        <v>13948</v>
      </c>
      <c r="F236" s="22">
        <v>36</v>
      </c>
      <c r="G236" s="22" t="s">
        <v>13949</v>
      </c>
      <c r="H236" s="22">
        <v>7</v>
      </c>
      <c r="I236" s="25">
        <v>43331</v>
      </c>
      <c r="J236" s="24">
        <v>43154</v>
      </c>
    </row>
    <row r="237" spans="2:10" x14ac:dyDescent="0.2">
      <c r="B237" s="22">
        <v>232</v>
      </c>
      <c r="C237" s="23" t="s">
        <v>13950</v>
      </c>
      <c r="D237" s="23" t="s">
        <v>1039</v>
      </c>
      <c r="E237" s="20" t="s">
        <v>13951</v>
      </c>
      <c r="F237" s="22">
        <v>21</v>
      </c>
      <c r="G237" s="22" t="s">
        <v>13952</v>
      </c>
      <c r="H237" s="22">
        <v>2</v>
      </c>
      <c r="I237" s="25">
        <v>43226</v>
      </c>
      <c r="J237" s="24">
        <v>43323</v>
      </c>
    </row>
    <row r="238" spans="2:10" x14ac:dyDescent="0.2">
      <c r="B238" s="22">
        <v>233</v>
      </c>
      <c r="C238" s="23" t="s">
        <v>13953</v>
      </c>
      <c r="D238" s="23" t="s">
        <v>1294</v>
      </c>
      <c r="E238" s="20" t="s">
        <v>13954</v>
      </c>
      <c r="F238" s="22">
        <v>37</v>
      </c>
      <c r="G238" s="22" t="s">
        <v>13955</v>
      </c>
      <c r="H238" s="22">
        <v>14</v>
      </c>
      <c r="I238" s="25">
        <v>43296</v>
      </c>
      <c r="J238" s="24">
        <v>43372</v>
      </c>
    </row>
    <row r="239" spans="2:10" x14ac:dyDescent="0.2">
      <c r="B239" s="22">
        <v>234</v>
      </c>
      <c r="C239" s="23" t="s">
        <v>13956</v>
      </c>
      <c r="D239" s="23" t="s">
        <v>1175</v>
      </c>
      <c r="E239" s="20" t="s">
        <v>13957</v>
      </c>
      <c r="F239" s="22">
        <v>41</v>
      </c>
      <c r="G239" s="22" t="s">
        <v>13958</v>
      </c>
      <c r="H239" s="22">
        <v>2</v>
      </c>
      <c r="I239" s="25">
        <v>43359</v>
      </c>
      <c r="J239" s="24">
        <v>43414</v>
      </c>
    </row>
    <row r="240" spans="2:10" x14ac:dyDescent="0.2">
      <c r="B240" s="22">
        <v>235</v>
      </c>
      <c r="C240" s="23" t="s">
        <v>13959</v>
      </c>
      <c r="D240" s="23" t="s">
        <v>10952</v>
      </c>
      <c r="E240" s="20" t="s">
        <v>13960</v>
      </c>
      <c r="F240" s="22">
        <v>36</v>
      </c>
      <c r="G240" s="22" t="s">
        <v>13961</v>
      </c>
      <c r="H240" s="22">
        <v>6</v>
      </c>
      <c r="I240" s="25">
        <v>43282</v>
      </c>
      <c r="J240" s="24">
        <v>43365</v>
      </c>
    </row>
    <row r="241" spans="2:10" x14ac:dyDescent="0.2">
      <c r="B241" s="22">
        <v>236</v>
      </c>
      <c r="C241" s="23" t="s">
        <v>13962</v>
      </c>
      <c r="D241" s="23" t="s">
        <v>1217</v>
      </c>
      <c r="E241" s="20" t="s">
        <v>13963</v>
      </c>
      <c r="F241" s="22">
        <v>91</v>
      </c>
      <c r="G241" s="22" t="s">
        <v>13964</v>
      </c>
      <c r="H241" s="22">
        <v>91</v>
      </c>
      <c r="I241" s="25">
        <v>43324</v>
      </c>
      <c r="J241" s="24">
        <v>43365</v>
      </c>
    </row>
    <row r="242" spans="2:10" x14ac:dyDescent="0.2">
      <c r="B242" s="22">
        <v>237</v>
      </c>
      <c r="C242" s="23" t="s">
        <v>13965</v>
      </c>
      <c r="D242" s="23" t="s">
        <v>1015</v>
      </c>
      <c r="E242" s="20" t="s">
        <v>13966</v>
      </c>
      <c r="F242" s="22">
        <v>141</v>
      </c>
      <c r="G242" s="22" t="s">
        <v>13967</v>
      </c>
      <c r="H242" s="22">
        <v>18</v>
      </c>
      <c r="I242" s="25">
        <v>43212</v>
      </c>
      <c r="J242" s="24">
        <v>43344</v>
      </c>
    </row>
    <row r="243" spans="2:10" x14ac:dyDescent="0.2">
      <c r="B243" s="22">
        <v>238</v>
      </c>
      <c r="C243" s="23" t="s">
        <v>13968</v>
      </c>
      <c r="D243" s="23" t="s">
        <v>9796</v>
      </c>
      <c r="E243" s="20" t="s">
        <v>13969</v>
      </c>
      <c r="F243" s="22">
        <v>61</v>
      </c>
      <c r="G243" s="22" t="s">
        <v>13970</v>
      </c>
      <c r="H243" s="22">
        <v>4</v>
      </c>
      <c r="I243" s="25">
        <v>43149</v>
      </c>
      <c r="J243" s="24">
        <v>43288</v>
      </c>
    </row>
    <row r="244" spans="2:10" x14ac:dyDescent="0.2">
      <c r="B244" s="22">
        <v>239</v>
      </c>
      <c r="C244" s="23" t="s">
        <v>13971</v>
      </c>
      <c r="D244" s="23" t="s">
        <v>1576</v>
      </c>
      <c r="E244" s="20" t="s">
        <v>13972</v>
      </c>
      <c r="F244" s="22">
        <v>25</v>
      </c>
      <c r="G244" s="22" t="s">
        <v>13973</v>
      </c>
      <c r="H244" s="22">
        <v>6</v>
      </c>
      <c r="I244" s="25">
        <v>43394</v>
      </c>
      <c r="J244" s="24">
        <v>43205</v>
      </c>
    </row>
    <row r="245" spans="2:10" x14ac:dyDescent="0.2">
      <c r="B245" s="22">
        <v>240</v>
      </c>
      <c r="C245" s="23" t="s">
        <v>13974</v>
      </c>
      <c r="D245" s="23" t="s">
        <v>1377</v>
      </c>
      <c r="E245" s="20" t="s">
        <v>13975</v>
      </c>
      <c r="F245" s="22">
        <v>78</v>
      </c>
      <c r="G245" s="22" t="s">
        <v>13976</v>
      </c>
      <c r="H245" s="22">
        <v>78</v>
      </c>
      <c r="I245" s="25">
        <v>43121</v>
      </c>
      <c r="J245" s="24">
        <v>43148</v>
      </c>
    </row>
    <row r="246" spans="2:10" x14ac:dyDescent="0.2">
      <c r="B246" s="22">
        <v>241</v>
      </c>
      <c r="C246" s="23" t="s">
        <v>13977</v>
      </c>
      <c r="D246" s="23" t="s">
        <v>1043</v>
      </c>
      <c r="E246" s="20" t="s">
        <v>13978</v>
      </c>
      <c r="F246" s="22">
        <v>31</v>
      </c>
      <c r="G246" s="22" t="s">
        <v>13979</v>
      </c>
      <c r="H246" s="22">
        <v>1</v>
      </c>
      <c r="I246" s="25">
        <v>43310</v>
      </c>
      <c r="J246" s="24">
        <v>43449</v>
      </c>
    </row>
    <row r="247" spans="2:10" x14ac:dyDescent="0.2">
      <c r="B247" s="22">
        <v>242</v>
      </c>
      <c r="C247" s="23" t="s">
        <v>13980</v>
      </c>
      <c r="D247" s="23" t="s">
        <v>830</v>
      </c>
      <c r="E247" s="20" t="s">
        <v>13981</v>
      </c>
      <c r="F247" s="22">
        <v>101</v>
      </c>
      <c r="G247" s="22" t="s">
        <v>13982</v>
      </c>
      <c r="H247" s="22">
        <v>101</v>
      </c>
      <c r="I247" s="25">
        <v>43212</v>
      </c>
      <c r="J247" s="24">
        <v>43260</v>
      </c>
    </row>
    <row r="248" spans="2:10" x14ac:dyDescent="0.2">
      <c r="B248" s="22">
        <v>243</v>
      </c>
      <c r="C248" s="23" t="s">
        <v>13983</v>
      </c>
      <c r="D248" s="23" t="s">
        <v>13984</v>
      </c>
      <c r="E248" s="20" t="s">
        <v>13985</v>
      </c>
      <c r="F248" s="22">
        <v>87</v>
      </c>
      <c r="G248" s="22" t="s">
        <v>13986</v>
      </c>
      <c r="H248" s="22">
        <v>13</v>
      </c>
      <c r="I248" s="25">
        <v>43387</v>
      </c>
      <c r="J248" s="24">
        <v>43119</v>
      </c>
    </row>
    <row r="249" spans="2:10" x14ac:dyDescent="0.2">
      <c r="B249" s="22">
        <v>244</v>
      </c>
      <c r="C249" s="23" t="s">
        <v>13987</v>
      </c>
      <c r="D249" s="23" t="s">
        <v>1217</v>
      </c>
      <c r="E249" s="20" t="s">
        <v>13988</v>
      </c>
      <c r="F249" s="22">
        <v>54</v>
      </c>
      <c r="G249" s="22" t="s">
        <v>13989</v>
      </c>
      <c r="H249" s="22">
        <v>54</v>
      </c>
      <c r="I249" s="25">
        <v>43275</v>
      </c>
      <c r="J249" s="24">
        <v>43323</v>
      </c>
    </row>
    <row r="250" spans="2:10" x14ac:dyDescent="0.2">
      <c r="B250" s="22">
        <v>245</v>
      </c>
      <c r="C250" s="23" t="s">
        <v>13990</v>
      </c>
      <c r="D250" s="23" t="s">
        <v>1015</v>
      </c>
      <c r="E250" s="20" t="s">
        <v>13991</v>
      </c>
      <c r="F250" s="22">
        <v>26</v>
      </c>
      <c r="G250" s="22" t="s">
        <v>13992</v>
      </c>
      <c r="H250" s="22">
        <v>3</v>
      </c>
      <c r="I250" s="25">
        <v>43177</v>
      </c>
      <c r="J250" s="24">
        <v>43316</v>
      </c>
    </row>
    <row r="251" spans="2:10" x14ac:dyDescent="0.2">
      <c r="B251" s="22">
        <v>246</v>
      </c>
      <c r="C251" s="23" t="s">
        <v>13993</v>
      </c>
      <c r="D251" s="23" t="s">
        <v>1294</v>
      </c>
      <c r="E251" s="20" t="s">
        <v>13994</v>
      </c>
      <c r="F251" s="22">
        <v>29</v>
      </c>
      <c r="G251" s="22" t="s">
        <v>13995</v>
      </c>
      <c r="H251" s="22">
        <v>5</v>
      </c>
      <c r="I251" s="25">
        <v>43345</v>
      </c>
      <c r="J251" s="24">
        <v>43435</v>
      </c>
    </row>
    <row r="252" spans="2:10" x14ac:dyDescent="0.2">
      <c r="B252" s="22">
        <v>247</v>
      </c>
      <c r="C252" s="23" t="s">
        <v>13996</v>
      </c>
      <c r="D252" s="23" t="s">
        <v>3464</v>
      </c>
      <c r="E252" s="20" t="s">
        <v>13997</v>
      </c>
      <c r="F252" s="22">
        <v>93</v>
      </c>
      <c r="G252" s="22" t="s">
        <v>13998</v>
      </c>
      <c r="H252" s="22">
        <v>4</v>
      </c>
      <c r="I252" s="25">
        <v>43366</v>
      </c>
      <c r="J252" s="24">
        <v>43435</v>
      </c>
    </row>
    <row r="253" spans="2:10" x14ac:dyDescent="0.2">
      <c r="B253" s="22">
        <v>248</v>
      </c>
      <c r="C253" s="23" t="s">
        <v>13999</v>
      </c>
      <c r="D253" s="23" t="s">
        <v>1519</v>
      </c>
      <c r="E253" s="20" t="s">
        <v>14000</v>
      </c>
      <c r="F253" s="22">
        <v>27</v>
      </c>
      <c r="G253" s="22" t="s">
        <v>14001</v>
      </c>
      <c r="H253" s="22">
        <v>8</v>
      </c>
      <c r="I253" s="25">
        <v>43149</v>
      </c>
      <c r="J253" s="24">
        <v>43218</v>
      </c>
    </row>
    <row r="254" spans="2:10" x14ac:dyDescent="0.2">
      <c r="B254" s="22">
        <v>249</v>
      </c>
      <c r="C254" s="23" t="s">
        <v>14002</v>
      </c>
      <c r="D254" s="23" t="s">
        <v>1213</v>
      </c>
      <c r="E254" s="20" t="s">
        <v>14003</v>
      </c>
      <c r="F254" s="22">
        <v>24</v>
      </c>
      <c r="G254" s="22" t="s">
        <v>14004</v>
      </c>
      <c r="H254" s="22">
        <v>5</v>
      </c>
      <c r="I254" s="25">
        <v>43275</v>
      </c>
      <c r="J254" s="24">
        <v>43435</v>
      </c>
    </row>
    <row r="255" spans="2:10" x14ac:dyDescent="0.2">
      <c r="B255" s="22">
        <v>250</v>
      </c>
      <c r="C255" s="23" t="s">
        <v>14005</v>
      </c>
      <c r="D255" s="23" t="s">
        <v>14006</v>
      </c>
      <c r="E255" s="20" t="s">
        <v>14007</v>
      </c>
      <c r="F255" s="22">
        <v>1.5069999999999999</v>
      </c>
      <c r="G255" s="22" t="s">
        <v>14008</v>
      </c>
      <c r="H255" s="22">
        <v>1.5069999999999999</v>
      </c>
      <c r="I255" s="25">
        <v>43352</v>
      </c>
      <c r="J255" s="24">
        <v>43358</v>
      </c>
    </row>
    <row r="256" spans="2:10" x14ac:dyDescent="0.2">
      <c r="B256" s="22">
        <v>251</v>
      </c>
      <c r="C256" s="23" t="s">
        <v>14009</v>
      </c>
      <c r="D256" s="23" t="s">
        <v>1213</v>
      </c>
      <c r="E256" s="20" t="s">
        <v>14010</v>
      </c>
      <c r="F256" s="22">
        <v>27</v>
      </c>
      <c r="G256" s="22" t="s">
        <v>14011</v>
      </c>
      <c r="H256" s="22">
        <v>18</v>
      </c>
      <c r="I256" s="25">
        <v>43261</v>
      </c>
      <c r="J256" s="24">
        <v>43414</v>
      </c>
    </row>
    <row r="257" spans="2:10" x14ac:dyDescent="0.2">
      <c r="B257" s="22">
        <v>252</v>
      </c>
      <c r="C257" s="23" t="s">
        <v>14012</v>
      </c>
      <c r="D257" s="23" t="s">
        <v>1083</v>
      </c>
      <c r="E257" s="20" t="s">
        <v>14013</v>
      </c>
      <c r="F257" s="22">
        <v>74</v>
      </c>
      <c r="G257" s="22" t="s">
        <v>14014</v>
      </c>
      <c r="H257" s="22">
        <v>74</v>
      </c>
      <c r="I257" s="25">
        <v>43352</v>
      </c>
      <c r="J257" s="24">
        <v>43358</v>
      </c>
    </row>
    <row r="258" spans="2:10" x14ac:dyDescent="0.2">
      <c r="B258" s="22">
        <v>253</v>
      </c>
      <c r="C258" s="23" t="s">
        <v>14015</v>
      </c>
      <c r="D258" s="23" t="s">
        <v>1294</v>
      </c>
      <c r="E258" s="20" t="s">
        <v>14016</v>
      </c>
      <c r="F258" s="22">
        <v>26</v>
      </c>
      <c r="G258" s="22" t="s">
        <v>14017</v>
      </c>
      <c r="H258" s="22">
        <v>1</v>
      </c>
      <c r="I258" s="25">
        <v>43366</v>
      </c>
      <c r="J258" s="24">
        <v>43435</v>
      </c>
    </row>
    <row r="259" spans="2:10" x14ac:dyDescent="0.2">
      <c r="B259" s="22">
        <v>254</v>
      </c>
      <c r="C259" s="23" t="s">
        <v>14018</v>
      </c>
      <c r="D259" s="23" t="s">
        <v>1640</v>
      </c>
      <c r="E259" s="20" t="s">
        <v>14019</v>
      </c>
      <c r="F259" s="22">
        <v>18</v>
      </c>
      <c r="G259" s="22" t="s">
        <v>14020</v>
      </c>
      <c r="H259" s="22">
        <v>6</v>
      </c>
      <c r="I259" s="25">
        <v>43191</v>
      </c>
      <c r="J259" s="24">
        <v>43344</v>
      </c>
    </row>
    <row r="260" spans="2:10" x14ac:dyDescent="0.2">
      <c r="B260" s="22">
        <v>255</v>
      </c>
      <c r="C260" s="23" t="s">
        <v>14021</v>
      </c>
      <c r="D260" s="23" t="s">
        <v>1248</v>
      </c>
      <c r="E260" s="20" t="s">
        <v>14022</v>
      </c>
      <c r="F260" s="22">
        <v>60</v>
      </c>
      <c r="G260" s="22" t="s">
        <v>14023</v>
      </c>
      <c r="H260" s="22">
        <v>7</v>
      </c>
      <c r="I260" s="25">
        <v>43363</v>
      </c>
      <c r="J260" s="24">
        <v>43379</v>
      </c>
    </row>
    <row r="261" spans="2:10" x14ac:dyDescent="0.2">
      <c r="B261" s="22">
        <v>256</v>
      </c>
      <c r="C261" s="23" t="s">
        <v>14024</v>
      </c>
      <c r="D261" s="23" t="s">
        <v>820</v>
      </c>
      <c r="E261" s="20" t="s">
        <v>14025</v>
      </c>
      <c r="F261" s="22">
        <v>28</v>
      </c>
      <c r="G261" s="22" t="s">
        <v>14026</v>
      </c>
      <c r="H261" s="22">
        <v>4</v>
      </c>
      <c r="I261" s="25">
        <v>43254</v>
      </c>
      <c r="J261" s="24">
        <v>43330</v>
      </c>
    </row>
    <row r="262" spans="2:10" x14ac:dyDescent="0.2">
      <c r="B262" s="22">
        <v>257</v>
      </c>
      <c r="C262" s="23" t="s">
        <v>14027</v>
      </c>
      <c r="D262" s="23" t="s">
        <v>1377</v>
      </c>
      <c r="E262" s="20" t="s">
        <v>14028</v>
      </c>
      <c r="F262" s="22">
        <v>92</v>
      </c>
      <c r="G262" s="22" t="s">
        <v>14029</v>
      </c>
      <c r="H262" s="22">
        <v>92</v>
      </c>
      <c r="I262" s="25">
        <v>43198</v>
      </c>
      <c r="J262" s="24">
        <v>43225</v>
      </c>
    </row>
    <row r="263" spans="2:10" x14ac:dyDescent="0.2">
      <c r="B263" s="22">
        <v>258</v>
      </c>
      <c r="C263" s="23" t="s">
        <v>14030</v>
      </c>
      <c r="D263" s="23" t="s">
        <v>10305</v>
      </c>
      <c r="E263" s="20" t="s">
        <v>14031</v>
      </c>
      <c r="F263" s="22">
        <v>48</v>
      </c>
      <c r="G263" s="22" t="s">
        <v>14032</v>
      </c>
      <c r="H263" s="22">
        <v>3</v>
      </c>
      <c r="I263" s="25">
        <v>43345</v>
      </c>
      <c r="J263" s="24">
        <v>43393</v>
      </c>
    </row>
    <row r="264" spans="2:10" x14ac:dyDescent="0.2">
      <c r="B264" s="22">
        <v>259</v>
      </c>
      <c r="C264" s="23" t="s">
        <v>14033</v>
      </c>
      <c r="D264" s="23" t="s">
        <v>1043</v>
      </c>
      <c r="E264" s="20" t="s">
        <v>14034</v>
      </c>
      <c r="F264" s="22">
        <v>31</v>
      </c>
      <c r="G264" s="22" t="s">
        <v>14035</v>
      </c>
      <c r="H264" s="22">
        <v>7</v>
      </c>
      <c r="I264" s="25">
        <v>43338</v>
      </c>
      <c r="J264" s="24">
        <v>43449</v>
      </c>
    </row>
    <row r="265" spans="2:10" x14ac:dyDescent="0.2">
      <c r="B265" s="22">
        <v>260</v>
      </c>
      <c r="C265" s="23" t="s">
        <v>14036</v>
      </c>
      <c r="D265" s="23" t="s">
        <v>1377</v>
      </c>
      <c r="E265" s="20" t="s">
        <v>14037</v>
      </c>
      <c r="F265" s="22">
        <v>48</v>
      </c>
      <c r="G265" s="22" t="s">
        <v>14038</v>
      </c>
      <c r="H265" s="22">
        <v>48</v>
      </c>
      <c r="I265" s="25">
        <v>43107</v>
      </c>
      <c r="J265" s="24">
        <v>43134</v>
      </c>
    </row>
    <row r="266" spans="2:10" x14ac:dyDescent="0.2">
      <c r="B266" s="22">
        <v>261</v>
      </c>
      <c r="C266" s="23" t="s">
        <v>14039</v>
      </c>
      <c r="D266" s="23" t="s">
        <v>1043</v>
      </c>
      <c r="E266" s="20" t="s">
        <v>14040</v>
      </c>
      <c r="F266" s="22">
        <v>22</v>
      </c>
      <c r="G266" s="22" t="s">
        <v>14041</v>
      </c>
      <c r="H266" s="22">
        <v>4</v>
      </c>
      <c r="I266" s="25">
        <v>43289</v>
      </c>
      <c r="J266" s="24">
        <v>43449</v>
      </c>
    </row>
    <row r="267" spans="2:10" x14ac:dyDescent="0.2">
      <c r="B267" s="22">
        <v>262</v>
      </c>
      <c r="C267" s="23" t="s">
        <v>14042</v>
      </c>
      <c r="D267" s="23" t="s">
        <v>4860</v>
      </c>
      <c r="E267" s="20" t="s">
        <v>14043</v>
      </c>
      <c r="F267" s="22">
        <v>123</v>
      </c>
      <c r="G267" s="22" t="s">
        <v>14044</v>
      </c>
      <c r="H267" s="22">
        <v>123</v>
      </c>
      <c r="I267" s="25">
        <v>43184</v>
      </c>
      <c r="J267" s="24">
        <v>43204</v>
      </c>
    </row>
    <row r="268" spans="2:10" x14ac:dyDescent="0.2">
      <c r="B268" s="22">
        <v>263</v>
      </c>
      <c r="C268" s="23" t="s">
        <v>14045</v>
      </c>
      <c r="D268" s="23" t="s">
        <v>4583</v>
      </c>
      <c r="E268" s="20" t="s">
        <v>14046</v>
      </c>
      <c r="F268" s="22">
        <v>24</v>
      </c>
      <c r="G268" s="22" t="s">
        <v>14047</v>
      </c>
      <c r="H268" s="22">
        <v>24</v>
      </c>
      <c r="I268" s="25">
        <v>43275</v>
      </c>
      <c r="J268" s="24">
        <v>43393</v>
      </c>
    </row>
    <row r="269" spans="2:10" x14ac:dyDescent="0.2">
      <c r="B269" s="22">
        <v>264</v>
      </c>
      <c r="C269" s="23" t="s">
        <v>14048</v>
      </c>
      <c r="D269" s="23" t="s">
        <v>12148</v>
      </c>
      <c r="E269" s="20" t="s">
        <v>14049</v>
      </c>
      <c r="F269" s="22">
        <v>42</v>
      </c>
      <c r="G269" s="22" t="s">
        <v>14050</v>
      </c>
      <c r="H269" s="22">
        <v>42</v>
      </c>
      <c r="I269" s="25">
        <v>43233</v>
      </c>
      <c r="J269" s="24">
        <v>43316</v>
      </c>
    </row>
    <row r="270" spans="2:10" x14ac:dyDescent="0.2">
      <c r="B270" s="22">
        <v>265</v>
      </c>
      <c r="C270" s="23" t="s">
        <v>14051</v>
      </c>
      <c r="D270" s="23" t="s">
        <v>820</v>
      </c>
      <c r="E270" s="20" t="s">
        <v>14052</v>
      </c>
      <c r="F270" s="22">
        <v>29</v>
      </c>
      <c r="G270" s="22" t="s">
        <v>14053</v>
      </c>
      <c r="H270" s="22">
        <v>4</v>
      </c>
      <c r="I270" s="25">
        <v>43184</v>
      </c>
      <c r="J270" s="24">
        <v>43239</v>
      </c>
    </row>
    <row r="271" spans="2:10" x14ac:dyDescent="0.2">
      <c r="B271" s="22">
        <v>266</v>
      </c>
      <c r="C271" s="23" t="s">
        <v>14054</v>
      </c>
      <c r="D271" s="23" t="s">
        <v>14055</v>
      </c>
      <c r="E271" s="20" t="s">
        <v>14056</v>
      </c>
      <c r="F271" s="22">
        <v>21</v>
      </c>
      <c r="G271" s="22" t="s">
        <v>14057</v>
      </c>
      <c r="H271" s="22">
        <v>11</v>
      </c>
      <c r="I271" s="25">
        <v>43142</v>
      </c>
      <c r="J271" s="24">
        <v>43190</v>
      </c>
    </row>
    <row r="272" spans="2:10" x14ac:dyDescent="0.2">
      <c r="B272" s="22">
        <v>267</v>
      </c>
      <c r="C272" s="23" t="s">
        <v>14058</v>
      </c>
      <c r="D272" s="23" t="s">
        <v>7141</v>
      </c>
      <c r="E272" s="20" t="s">
        <v>14059</v>
      </c>
      <c r="F272" s="22">
        <v>17</v>
      </c>
      <c r="G272" s="22" t="s">
        <v>14060</v>
      </c>
      <c r="H272" s="22">
        <v>3</v>
      </c>
      <c r="I272" s="25">
        <v>43142</v>
      </c>
      <c r="J272" s="24">
        <v>43351</v>
      </c>
    </row>
    <row r="273" spans="2:10" x14ac:dyDescent="0.2">
      <c r="B273" s="22">
        <v>268</v>
      </c>
      <c r="C273" s="23" t="s">
        <v>14061</v>
      </c>
      <c r="D273" s="23" t="s">
        <v>1294</v>
      </c>
      <c r="E273" s="20" t="s">
        <v>14062</v>
      </c>
      <c r="F273" s="22">
        <v>21</v>
      </c>
      <c r="G273" s="22" t="s">
        <v>14063</v>
      </c>
      <c r="H273" s="22">
        <v>3</v>
      </c>
      <c r="I273" s="25">
        <v>43205</v>
      </c>
      <c r="J273" s="24">
        <v>43281</v>
      </c>
    </row>
    <row r="274" spans="2:10" x14ac:dyDescent="0.2">
      <c r="B274" s="22">
        <v>269</v>
      </c>
      <c r="C274" s="23" t="s">
        <v>14064</v>
      </c>
      <c r="D274" s="23" t="s">
        <v>1217</v>
      </c>
      <c r="E274" s="20" t="s">
        <v>14065</v>
      </c>
      <c r="F274" s="22">
        <v>50</v>
      </c>
      <c r="G274" s="22" t="s">
        <v>14066</v>
      </c>
      <c r="H274" s="22">
        <v>50</v>
      </c>
      <c r="I274" s="25">
        <v>43303</v>
      </c>
      <c r="J274" s="24">
        <v>43365</v>
      </c>
    </row>
    <row r="275" spans="2:10" x14ac:dyDescent="0.2">
      <c r="B275" s="22">
        <v>270</v>
      </c>
      <c r="C275" s="23" t="s">
        <v>14067</v>
      </c>
      <c r="D275" s="23" t="s">
        <v>9796</v>
      </c>
      <c r="E275" s="20" t="s">
        <v>14068</v>
      </c>
      <c r="F275" s="22">
        <v>36</v>
      </c>
      <c r="G275" s="22" t="s">
        <v>14069</v>
      </c>
      <c r="H275" s="22">
        <v>3</v>
      </c>
      <c r="I275" s="25">
        <v>43233</v>
      </c>
      <c r="J275" s="24">
        <v>43316</v>
      </c>
    </row>
    <row r="276" spans="2:10" x14ac:dyDescent="0.2">
      <c r="B276" s="22">
        <v>271</v>
      </c>
      <c r="C276" s="23" t="s">
        <v>2063</v>
      </c>
      <c r="D276" s="23" t="s">
        <v>1294</v>
      </c>
      <c r="E276" s="20" t="s">
        <v>14070</v>
      </c>
      <c r="F276" s="22">
        <v>39</v>
      </c>
      <c r="G276" s="22" t="s">
        <v>14071</v>
      </c>
      <c r="H276" s="22">
        <v>11</v>
      </c>
      <c r="I276" s="25">
        <v>43191</v>
      </c>
      <c r="J276" s="24">
        <v>43246</v>
      </c>
    </row>
    <row r="277" spans="2:10" x14ac:dyDescent="0.2">
      <c r="B277" s="22">
        <v>272</v>
      </c>
      <c r="C277" s="23" t="s">
        <v>14072</v>
      </c>
      <c r="D277" s="23" t="s">
        <v>1294</v>
      </c>
      <c r="E277" s="20" t="s">
        <v>14073</v>
      </c>
      <c r="F277" s="22">
        <v>18</v>
      </c>
      <c r="G277" s="22" t="s">
        <v>14074</v>
      </c>
      <c r="H277" s="22">
        <v>2</v>
      </c>
      <c r="I277" s="25">
        <v>43233</v>
      </c>
      <c r="J277" s="24">
        <v>43281</v>
      </c>
    </row>
    <row r="278" spans="2:10" x14ac:dyDescent="0.2">
      <c r="B278" s="22">
        <v>273</v>
      </c>
      <c r="C278" s="23" t="s">
        <v>14075</v>
      </c>
      <c r="D278" s="23" t="s">
        <v>14076</v>
      </c>
      <c r="E278" s="20" t="s">
        <v>14077</v>
      </c>
      <c r="F278" s="22">
        <v>17</v>
      </c>
      <c r="G278" s="22" t="s">
        <v>14078</v>
      </c>
      <c r="H278" s="22">
        <v>1</v>
      </c>
      <c r="I278" s="25">
        <v>43357</v>
      </c>
      <c r="J278" s="24">
        <v>43140</v>
      </c>
    </row>
    <row r="279" spans="2:10" x14ac:dyDescent="0.2">
      <c r="B279" s="22">
        <v>274</v>
      </c>
      <c r="C279" s="23" t="s">
        <v>14079</v>
      </c>
      <c r="D279" s="23" t="s">
        <v>1761</v>
      </c>
      <c r="E279" s="20" t="s">
        <v>14080</v>
      </c>
      <c r="F279" s="22">
        <v>15</v>
      </c>
      <c r="G279" s="22" t="s">
        <v>14081</v>
      </c>
      <c r="H279" s="22">
        <v>1</v>
      </c>
      <c r="I279" s="25">
        <v>43394</v>
      </c>
      <c r="J279" s="24">
        <v>43216</v>
      </c>
    </row>
    <row r="280" spans="2:10" x14ac:dyDescent="0.2">
      <c r="B280" s="22">
        <v>275</v>
      </c>
      <c r="C280" s="23" t="s">
        <v>14082</v>
      </c>
      <c r="D280" s="23" t="s">
        <v>9487</v>
      </c>
      <c r="E280" s="20" t="s">
        <v>14083</v>
      </c>
      <c r="F280" s="22">
        <v>18</v>
      </c>
      <c r="G280" s="22" t="s">
        <v>14084</v>
      </c>
      <c r="H280" s="22">
        <v>3</v>
      </c>
      <c r="I280" s="25">
        <v>43457</v>
      </c>
      <c r="J280" s="24">
        <v>43167</v>
      </c>
    </row>
    <row r="281" spans="2:10" x14ac:dyDescent="0.2">
      <c r="B281" s="22">
        <v>276</v>
      </c>
      <c r="C281" s="23" t="s">
        <v>14085</v>
      </c>
      <c r="D281" s="23" t="s">
        <v>2010</v>
      </c>
      <c r="E281" s="20" t="s">
        <v>14086</v>
      </c>
      <c r="F281" s="22">
        <v>10</v>
      </c>
      <c r="G281" s="22" t="s">
        <v>14087</v>
      </c>
      <c r="H281" s="22">
        <v>1</v>
      </c>
      <c r="I281" s="25">
        <v>43310</v>
      </c>
      <c r="J281" s="24">
        <v>43154</v>
      </c>
    </row>
    <row r="282" spans="2:10" x14ac:dyDescent="0.2">
      <c r="B282" s="22">
        <v>277</v>
      </c>
      <c r="C282" s="23" t="s">
        <v>14088</v>
      </c>
      <c r="D282" s="23" t="s">
        <v>1415</v>
      </c>
      <c r="E282" s="20" t="s">
        <v>14089</v>
      </c>
      <c r="F282" s="22">
        <v>61</v>
      </c>
      <c r="G282" s="22" t="s">
        <v>14090</v>
      </c>
      <c r="H282" s="22">
        <v>61</v>
      </c>
      <c r="I282" s="25">
        <v>43380</v>
      </c>
      <c r="J282" s="24">
        <v>43393</v>
      </c>
    </row>
    <row r="283" spans="2:10" x14ac:dyDescent="0.2">
      <c r="B283" s="22">
        <v>278</v>
      </c>
      <c r="C283" s="23" t="s">
        <v>14091</v>
      </c>
      <c r="D283" s="23" t="s">
        <v>1294</v>
      </c>
      <c r="E283" s="20" t="s">
        <v>14092</v>
      </c>
      <c r="F283" s="22">
        <v>13</v>
      </c>
      <c r="G283" s="22" t="s">
        <v>14093</v>
      </c>
      <c r="H283" s="22">
        <v>2</v>
      </c>
      <c r="I283" s="25">
        <v>43352</v>
      </c>
      <c r="J283" s="24">
        <v>43414</v>
      </c>
    </row>
    <row r="284" spans="2:10" x14ac:dyDescent="0.2">
      <c r="B284" s="22">
        <v>279</v>
      </c>
      <c r="C284" s="23" t="s">
        <v>14094</v>
      </c>
      <c r="D284" s="23" t="s">
        <v>1377</v>
      </c>
      <c r="E284" s="20" t="s">
        <v>14095</v>
      </c>
      <c r="F284" s="22">
        <v>68</v>
      </c>
      <c r="G284" s="22" t="s">
        <v>14096</v>
      </c>
      <c r="H284" s="22">
        <v>65</v>
      </c>
      <c r="I284" s="25">
        <v>43149</v>
      </c>
      <c r="J284" s="24">
        <v>43169</v>
      </c>
    </row>
    <row r="285" spans="2:10" x14ac:dyDescent="0.2">
      <c r="B285" s="22">
        <v>280</v>
      </c>
      <c r="C285" s="23" t="s">
        <v>14097</v>
      </c>
      <c r="D285" s="23" t="s">
        <v>1248</v>
      </c>
      <c r="E285" s="20" t="s">
        <v>14098</v>
      </c>
      <c r="F285" s="22">
        <v>24</v>
      </c>
      <c r="G285" s="22" t="s">
        <v>14099</v>
      </c>
      <c r="H285" s="22">
        <v>24</v>
      </c>
      <c r="I285" s="25">
        <v>43275</v>
      </c>
      <c r="J285" s="24">
        <v>43351</v>
      </c>
    </row>
    <row r="286" spans="2:10" x14ac:dyDescent="0.2">
      <c r="B286" s="22">
        <v>281</v>
      </c>
      <c r="C286" s="23" t="s">
        <v>14100</v>
      </c>
      <c r="D286" s="23" t="s">
        <v>2197</v>
      </c>
      <c r="E286" s="20" t="s">
        <v>14101</v>
      </c>
      <c r="F286" s="22">
        <v>32</v>
      </c>
      <c r="G286" s="22" t="s">
        <v>14102</v>
      </c>
      <c r="H286" s="22">
        <v>1</v>
      </c>
      <c r="I286" s="25">
        <v>43373</v>
      </c>
      <c r="J286" s="24">
        <v>43420</v>
      </c>
    </row>
    <row r="287" spans="2:10" x14ac:dyDescent="0.2">
      <c r="B287" s="22">
        <v>282</v>
      </c>
      <c r="C287" s="23" t="s">
        <v>14103</v>
      </c>
      <c r="D287" s="23" t="s">
        <v>1880</v>
      </c>
      <c r="E287" s="20" t="s">
        <v>14104</v>
      </c>
      <c r="F287" s="22">
        <v>13</v>
      </c>
      <c r="G287" s="22" t="s">
        <v>14105</v>
      </c>
      <c r="H287" s="22">
        <v>1</v>
      </c>
      <c r="I287" s="25">
        <v>43105</v>
      </c>
      <c r="J287" s="24">
        <v>43344</v>
      </c>
    </row>
    <row r="288" spans="2:10" x14ac:dyDescent="0.2">
      <c r="B288" s="22">
        <v>283</v>
      </c>
      <c r="C288" s="23" t="s">
        <v>14106</v>
      </c>
      <c r="D288" s="23" t="s">
        <v>1043</v>
      </c>
      <c r="E288" s="20" t="s">
        <v>14107</v>
      </c>
      <c r="F288" s="22">
        <v>33</v>
      </c>
      <c r="G288" s="22" t="s">
        <v>10493</v>
      </c>
      <c r="H288" s="22">
        <v>32</v>
      </c>
      <c r="I288" s="25">
        <v>43177</v>
      </c>
      <c r="J288" s="24">
        <v>43358</v>
      </c>
    </row>
    <row r="289" spans="2:10" x14ac:dyDescent="0.2">
      <c r="B289" s="22">
        <v>284</v>
      </c>
      <c r="C289" s="23" t="s">
        <v>14108</v>
      </c>
      <c r="D289" s="23" t="s">
        <v>1248</v>
      </c>
      <c r="E289" s="20" t="s">
        <v>14109</v>
      </c>
      <c r="F289" s="22">
        <v>5</v>
      </c>
      <c r="G289" s="22" t="s">
        <v>14110</v>
      </c>
      <c r="H289" s="22">
        <v>1</v>
      </c>
      <c r="I289" s="25">
        <v>43273</v>
      </c>
      <c r="J289" s="24">
        <v>43421</v>
      </c>
    </row>
    <row r="290" spans="2:10" x14ac:dyDescent="0.2">
      <c r="B290" s="22">
        <v>285</v>
      </c>
      <c r="C290" s="23" t="s">
        <v>14111</v>
      </c>
      <c r="D290" s="23" t="s">
        <v>1039</v>
      </c>
      <c r="E290" s="20" t="s">
        <v>14112</v>
      </c>
      <c r="F290" s="22">
        <v>21</v>
      </c>
      <c r="G290" s="22" t="s">
        <v>14113</v>
      </c>
      <c r="H290" s="22">
        <v>1</v>
      </c>
      <c r="I290" s="25">
        <v>43261</v>
      </c>
      <c r="J290" s="24">
        <v>43365</v>
      </c>
    </row>
    <row r="291" spans="2:10" x14ac:dyDescent="0.2">
      <c r="B291" s="22">
        <v>286</v>
      </c>
      <c r="C291" s="23" t="s">
        <v>14114</v>
      </c>
      <c r="D291" s="23" t="s">
        <v>9796</v>
      </c>
      <c r="E291" s="20" t="s">
        <v>14115</v>
      </c>
      <c r="F291" s="22">
        <v>19</v>
      </c>
      <c r="G291" s="22" t="s">
        <v>14116</v>
      </c>
      <c r="H291" s="22">
        <v>11</v>
      </c>
      <c r="I291" s="25">
        <v>43310</v>
      </c>
      <c r="J291" s="24">
        <v>43372</v>
      </c>
    </row>
    <row r="292" spans="2:10" x14ac:dyDescent="0.2">
      <c r="B292" s="22">
        <v>287</v>
      </c>
      <c r="C292" s="23" t="s">
        <v>14117</v>
      </c>
      <c r="D292" s="23" t="s">
        <v>1332</v>
      </c>
      <c r="E292" s="20" t="s">
        <v>14118</v>
      </c>
      <c r="F292" s="22">
        <v>16</v>
      </c>
      <c r="G292" s="22" t="s">
        <v>14119</v>
      </c>
      <c r="H292" s="22">
        <v>1</v>
      </c>
      <c r="I292" s="25">
        <v>43373</v>
      </c>
      <c r="J292" s="24">
        <v>43414</v>
      </c>
    </row>
    <row r="293" spans="2:10" x14ac:dyDescent="0.2">
      <c r="B293" s="22">
        <v>288</v>
      </c>
      <c r="C293" s="23" t="s">
        <v>14120</v>
      </c>
      <c r="D293" s="23" t="s">
        <v>4383</v>
      </c>
      <c r="E293" s="20" t="s">
        <v>14121</v>
      </c>
      <c r="F293" s="22">
        <v>19</v>
      </c>
      <c r="G293" s="22" t="s">
        <v>14122</v>
      </c>
      <c r="H293" s="22">
        <v>1</v>
      </c>
      <c r="I293" s="25">
        <v>43182</v>
      </c>
      <c r="J293" s="24">
        <v>43365</v>
      </c>
    </row>
    <row r="294" spans="2:10" x14ac:dyDescent="0.2">
      <c r="B294" s="22">
        <v>289</v>
      </c>
      <c r="C294" s="23" t="s">
        <v>14123</v>
      </c>
      <c r="D294" s="23" t="s">
        <v>10203</v>
      </c>
      <c r="E294" s="20" t="s">
        <v>14124</v>
      </c>
      <c r="F294" s="22">
        <v>10</v>
      </c>
      <c r="G294" s="22" t="s">
        <v>6947</v>
      </c>
      <c r="H294" s="22">
        <v>1</v>
      </c>
      <c r="I294" s="25">
        <v>43308</v>
      </c>
      <c r="J294" s="24">
        <v>43174</v>
      </c>
    </row>
    <row r="295" spans="2:10" x14ac:dyDescent="0.2">
      <c r="B295" s="22">
        <v>290</v>
      </c>
      <c r="C295" s="23" t="s">
        <v>14125</v>
      </c>
      <c r="D295" s="23" t="s">
        <v>1213</v>
      </c>
      <c r="E295" s="20" t="s">
        <v>14126</v>
      </c>
      <c r="F295" s="22">
        <v>19</v>
      </c>
      <c r="G295" s="22" t="s">
        <v>14127</v>
      </c>
      <c r="H295" s="22">
        <v>3</v>
      </c>
      <c r="I295" s="25">
        <v>43343</v>
      </c>
      <c r="J295" s="24">
        <v>43112</v>
      </c>
    </row>
    <row r="296" spans="2:10" x14ac:dyDescent="0.2">
      <c r="B296" s="22">
        <v>291</v>
      </c>
      <c r="C296" s="23" t="s">
        <v>14128</v>
      </c>
      <c r="D296" s="23" t="s">
        <v>1294</v>
      </c>
      <c r="E296" s="20" t="s">
        <v>14129</v>
      </c>
      <c r="F296" s="22">
        <v>24</v>
      </c>
      <c r="G296" s="22" t="s">
        <v>14130</v>
      </c>
      <c r="H296" s="22">
        <v>12</v>
      </c>
      <c r="I296" s="25">
        <v>43338</v>
      </c>
      <c r="J296" s="24">
        <v>43407</v>
      </c>
    </row>
    <row r="297" spans="2:10" x14ac:dyDescent="0.2">
      <c r="B297" s="22">
        <v>292</v>
      </c>
      <c r="C297" s="23" t="s">
        <v>14131</v>
      </c>
      <c r="D297" s="23" t="s">
        <v>1294</v>
      </c>
      <c r="E297" s="20" t="s">
        <v>14132</v>
      </c>
      <c r="F297" s="22">
        <v>30</v>
      </c>
      <c r="G297" s="22" t="s">
        <v>14133</v>
      </c>
      <c r="H297" s="22">
        <v>12</v>
      </c>
      <c r="I297" s="25">
        <v>43415</v>
      </c>
      <c r="J297" s="24">
        <v>43463</v>
      </c>
    </row>
    <row r="298" spans="2:10" x14ac:dyDescent="0.2">
      <c r="B298" s="22">
        <v>293</v>
      </c>
      <c r="C298" s="23" t="s">
        <v>14134</v>
      </c>
      <c r="D298" s="23" t="s">
        <v>1039</v>
      </c>
      <c r="E298" s="20" t="s">
        <v>14135</v>
      </c>
      <c r="F298" s="22">
        <v>44</v>
      </c>
      <c r="G298" s="22" t="s">
        <v>14136</v>
      </c>
      <c r="H298" s="22">
        <v>30</v>
      </c>
      <c r="I298" s="25">
        <v>43373</v>
      </c>
      <c r="J298" s="24">
        <v>43435</v>
      </c>
    </row>
    <row r="299" spans="2:10" x14ac:dyDescent="0.2">
      <c r="B299" s="22">
        <v>294</v>
      </c>
      <c r="C299" s="23" t="s">
        <v>14137</v>
      </c>
      <c r="D299" s="23" t="s">
        <v>5254</v>
      </c>
      <c r="E299" s="20" t="s">
        <v>14138</v>
      </c>
      <c r="F299" s="22">
        <v>19</v>
      </c>
      <c r="G299" s="22" t="s">
        <v>14139</v>
      </c>
      <c r="H299" s="22">
        <v>2</v>
      </c>
      <c r="I299" s="25">
        <v>43163</v>
      </c>
      <c r="J299" s="24">
        <v>43218</v>
      </c>
    </row>
    <row r="300" spans="2:10" x14ac:dyDescent="0.2">
      <c r="B300" s="22">
        <v>295</v>
      </c>
      <c r="C300" s="23" t="s">
        <v>14140</v>
      </c>
      <c r="D300" s="23" t="s">
        <v>12261</v>
      </c>
      <c r="E300" s="20" t="s">
        <v>14141</v>
      </c>
      <c r="F300" s="22">
        <v>13</v>
      </c>
      <c r="G300" s="22" t="s">
        <v>14142</v>
      </c>
      <c r="H300" s="22">
        <v>13</v>
      </c>
      <c r="I300" s="25">
        <v>43394</v>
      </c>
      <c r="J300" s="24">
        <v>43417</v>
      </c>
    </row>
    <row r="301" spans="2:10" x14ac:dyDescent="0.2">
      <c r="B301" s="22">
        <v>296</v>
      </c>
      <c r="C301" s="23" t="s">
        <v>14143</v>
      </c>
      <c r="D301" s="23" t="s">
        <v>8353</v>
      </c>
      <c r="E301" s="20" t="s">
        <v>14144</v>
      </c>
      <c r="F301" s="22">
        <v>21</v>
      </c>
      <c r="G301" s="22" t="s">
        <v>14145</v>
      </c>
      <c r="H301" s="22">
        <v>20</v>
      </c>
      <c r="I301" s="25">
        <v>43128</v>
      </c>
      <c r="J301" s="24">
        <v>43246</v>
      </c>
    </row>
    <row r="302" spans="2:10" x14ac:dyDescent="0.2">
      <c r="B302" s="22">
        <v>297</v>
      </c>
      <c r="C302" s="23" t="s">
        <v>14146</v>
      </c>
      <c r="D302" s="23" t="s">
        <v>12261</v>
      </c>
      <c r="E302" s="20" t="s">
        <v>14147</v>
      </c>
      <c r="F302" s="22">
        <v>11</v>
      </c>
      <c r="G302" s="22" t="s">
        <v>14148</v>
      </c>
      <c r="H302" s="22">
        <v>11</v>
      </c>
      <c r="I302" s="25">
        <v>43373</v>
      </c>
      <c r="J302" s="24">
        <v>43400</v>
      </c>
    </row>
    <row r="303" spans="2:10" x14ac:dyDescent="0.2">
      <c r="B303" s="22">
        <v>298</v>
      </c>
      <c r="C303" s="23" t="s">
        <v>14149</v>
      </c>
      <c r="D303" s="23" t="s">
        <v>1039</v>
      </c>
      <c r="E303" s="20" t="s">
        <v>14150</v>
      </c>
      <c r="F303" s="22">
        <v>21</v>
      </c>
      <c r="G303" s="22" t="s">
        <v>14151</v>
      </c>
      <c r="H303" s="22">
        <v>8</v>
      </c>
      <c r="I303" s="25">
        <v>43380</v>
      </c>
      <c r="J303" s="24">
        <v>43133</v>
      </c>
    </row>
    <row r="304" spans="2:10" x14ac:dyDescent="0.2">
      <c r="B304" s="22">
        <v>299</v>
      </c>
      <c r="C304" s="23" t="s">
        <v>14152</v>
      </c>
      <c r="D304" s="23" t="s">
        <v>1594</v>
      </c>
      <c r="E304" s="20" t="s">
        <v>14153</v>
      </c>
      <c r="F304" s="22">
        <v>143</v>
      </c>
      <c r="G304" s="22" t="s">
        <v>14154</v>
      </c>
      <c r="H304" s="22">
        <v>143</v>
      </c>
      <c r="I304" s="25">
        <v>43345</v>
      </c>
      <c r="J304" s="24">
        <v>43351</v>
      </c>
    </row>
    <row r="305" spans="2:10" x14ac:dyDescent="0.2">
      <c r="B305" s="22">
        <v>300</v>
      </c>
      <c r="C305" s="23" t="s">
        <v>14155</v>
      </c>
      <c r="D305" s="23" t="s">
        <v>4259</v>
      </c>
      <c r="E305" s="20" t="s">
        <v>14156</v>
      </c>
      <c r="F305" s="22">
        <v>14</v>
      </c>
      <c r="G305" s="22" t="s">
        <v>14157</v>
      </c>
      <c r="H305" s="22">
        <v>13</v>
      </c>
      <c r="I305" s="25">
        <v>43401</v>
      </c>
      <c r="J305" s="24">
        <v>43421</v>
      </c>
    </row>
    <row r="306" spans="2:10" x14ac:dyDescent="0.2">
      <c r="B306" s="22">
        <v>301</v>
      </c>
      <c r="C306" s="23" t="s">
        <v>14158</v>
      </c>
      <c r="D306" s="23" t="s">
        <v>1415</v>
      </c>
      <c r="E306" s="20" t="s">
        <v>14159</v>
      </c>
      <c r="F306" s="22">
        <v>38</v>
      </c>
      <c r="G306" s="22" t="s">
        <v>14160</v>
      </c>
      <c r="H306" s="22">
        <v>38</v>
      </c>
      <c r="I306" s="25">
        <v>43343</v>
      </c>
      <c r="J306" s="24">
        <v>43379</v>
      </c>
    </row>
    <row r="307" spans="2:10" x14ac:dyDescent="0.2">
      <c r="B307" s="22">
        <v>302</v>
      </c>
      <c r="C307" s="23" t="s">
        <v>14161</v>
      </c>
      <c r="D307" s="23" t="s">
        <v>8353</v>
      </c>
      <c r="E307" s="20" t="s">
        <v>14162</v>
      </c>
      <c r="F307" s="22">
        <v>10</v>
      </c>
      <c r="G307" s="22" t="s">
        <v>14163</v>
      </c>
      <c r="H307" s="22">
        <v>10</v>
      </c>
      <c r="I307" s="25">
        <v>43331</v>
      </c>
      <c r="J307" s="24">
        <v>43209</v>
      </c>
    </row>
    <row r="308" spans="2:10" x14ac:dyDescent="0.2">
      <c r="B308" s="22">
        <v>303</v>
      </c>
      <c r="C308" s="23" t="s">
        <v>14164</v>
      </c>
      <c r="D308" s="23" t="s">
        <v>1804</v>
      </c>
      <c r="E308" s="20" t="s">
        <v>14165</v>
      </c>
      <c r="F308" s="22">
        <v>6</v>
      </c>
      <c r="G308" s="22" t="s">
        <v>14166</v>
      </c>
      <c r="H308" s="22">
        <v>3</v>
      </c>
      <c r="I308" s="25">
        <v>43161</v>
      </c>
      <c r="J308" s="24">
        <v>43323</v>
      </c>
    </row>
    <row r="309" spans="2:10" x14ac:dyDescent="0.2">
      <c r="B309" s="22">
        <v>304</v>
      </c>
      <c r="C309" s="23" t="s">
        <v>14167</v>
      </c>
      <c r="D309" s="23" t="s">
        <v>1183</v>
      </c>
      <c r="E309" s="20" t="s">
        <v>14168</v>
      </c>
      <c r="F309" s="22">
        <v>5</v>
      </c>
      <c r="G309" s="22" t="s">
        <v>14169</v>
      </c>
      <c r="H309" s="22">
        <v>5</v>
      </c>
      <c r="I309" s="25">
        <v>43268</v>
      </c>
      <c r="J309" s="24">
        <v>43386</v>
      </c>
    </row>
    <row r="310" spans="2:10" x14ac:dyDescent="0.2">
      <c r="B310" s="22">
        <v>305</v>
      </c>
      <c r="C310" s="23" t="s">
        <v>14170</v>
      </c>
      <c r="D310" s="23" t="s">
        <v>1880</v>
      </c>
      <c r="E310" s="20" t="s">
        <v>14171</v>
      </c>
      <c r="F310" s="22">
        <v>8</v>
      </c>
      <c r="G310" s="22" t="s">
        <v>14172</v>
      </c>
      <c r="H310" s="22">
        <v>1</v>
      </c>
      <c r="I310" s="25">
        <v>43366</v>
      </c>
      <c r="J310" s="24">
        <v>43160</v>
      </c>
    </row>
    <row r="311" spans="2:10" x14ac:dyDescent="0.2">
      <c r="B311" s="22">
        <v>306</v>
      </c>
      <c r="C311" s="23" t="s">
        <v>14173</v>
      </c>
      <c r="D311" s="23" t="s">
        <v>643</v>
      </c>
      <c r="E311" s="20" t="s">
        <v>14174</v>
      </c>
      <c r="F311" s="22">
        <v>218</v>
      </c>
      <c r="G311" s="22" t="s">
        <v>14175</v>
      </c>
      <c r="H311" s="22">
        <v>218</v>
      </c>
      <c r="I311" s="25">
        <v>43233</v>
      </c>
      <c r="J311" s="24">
        <v>43253</v>
      </c>
    </row>
    <row r="312" spans="2:10" x14ac:dyDescent="0.2">
      <c r="B312" s="22">
        <v>307</v>
      </c>
      <c r="C312" s="23" t="s">
        <v>14176</v>
      </c>
      <c r="D312" s="23" t="s">
        <v>1142</v>
      </c>
      <c r="E312" s="20" t="s">
        <v>14177</v>
      </c>
      <c r="F312" s="22">
        <v>13</v>
      </c>
      <c r="G312" s="22" t="s">
        <v>14178</v>
      </c>
      <c r="H312" s="22">
        <v>2</v>
      </c>
      <c r="I312" s="25">
        <v>43317</v>
      </c>
      <c r="J312" s="24">
        <v>43414</v>
      </c>
    </row>
    <row r="313" spans="2:10" x14ac:dyDescent="0.2">
      <c r="B313" s="22">
        <v>308</v>
      </c>
      <c r="C313" s="23" t="s">
        <v>14179</v>
      </c>
      <c r="D313" s="23" t="s">
        <v>1043</v>
      </c>
      <c r="E313" s="20" t="s">
        <v>14180</v>
      </c>
      <c r="F313" s="22">
        <v>58</v>
      </c>
      <c r="G313" s="22" t="s">
        <v>14181</v>
      </c>
      <c r="H313" s="22">
        <v>58</v>
      </c>
      <c r="I313" s="25">
        <v>43191</v>
      </c>
      <c r="J313" s="24">
        <v>43211</v>
      </c>
    </row>
    <row r="314" spans="2:10" x14ac:dyDescent="0.2">
      <c r="B314" s="22">
        <v>309</v>
      </c>
      <c r="C314" s="23" t="s">
        <v>14182</v>
      </c>
      <c r="D314" s="23" t="s">
        <v>2148</v>
      </c>
      <c r="E314" s="20" t="s">
        <v>14183</v>
      </c>
      <c r="F314" s="22">
        <v>6</v>
      </c>
      <c r="G314" s="22" t="s">
        <v>14184</v>
      </c>
      <c r="H314" s="22">
        <v>1</v>
      </c>
      <c r="I314" s="25">
        <v>43113</v>
      </c>
      <c r="J314" s="24">
        <v>43402</v>
      </c>
    </row>
    <row r="315" spans="2:10" x14ac:dyDescent="0.2">
      <c r="B315" s="22">
        <v>310</v>
      </c>
      <c r="C315" s="23" t="s">
        <v>14185</v>
      </c>
      <c r="D315" s="23" t="s">
        <v>1015</v>
      </c>
      <c r="E315" s="20" t="s">
        <v>14186</v>
      </c>
      <c r="F315" s="22">
        <v>126</v>
      </c>
      <c r="G315" s="22" t="s">
        <v>14187</v>
      </c>
      <c r="H315" s="22">
        <v>5</v>
      </c>
      <c r="I315" s="25">
        <v>43359</v>
      </c>
      <c r="J315" s="24">
        <v>43456</v>
      </c>
    </row>
    <row r="316" spans="2:10" x14ac:dyDescent="0.2">
      <c r="B316" s="22">
        <v>311</v>
      </c>
      <c r="C316" s="23" t="s">
        <v>14188</v>
      </c>
      <c r="D316" s="23" t="s">
        <v>1213</v>
      </c>
      <c r="E316" s="20" t="s">
        <v>14189</v>
      </c>
      <c r="F316" s="22">
        <v>9</v>
      </c>
      <c r="G316" s="22" t="s">
        <v>14190</v>
      </c>
      <c r="H316" s="22">
        <v>6</v>
      </c>
      <c r="I316" s="25">
        <v>43408</v>
      </c>
      <c r="J316" s="24">
        <v>43230</v>
      </c>
    </row>
    <row r="317" spans="2:10" x14ac:dyDescent="0.2">
      <c r="B317" s="22">
        <v>312</v>
      </c>
      <c r="C317" s="23" t="s">
        <v>14191</v>
      </c>
      <c r="D317" s="23" t="s">
        <v>643</v>
      </c>
      <c r="E317" s="20" t="s">
        <v>14192</v>
      </c>
      <c r="F317" s="22">
        <v>55</v>
      </c>
      <c r="G317" s="22" t="s">
        <v>14193</v>
      </c>
      <c r="H317" s="22">
        <v>55</v>
      </c>
      <c r="I317" s="25">
        <v>43436</v>
      </c>
      <c r="J317" s="24">
        <v>43456</v>
      </c>
    </row>
    <row r="318" spans="2:10" x14ac:dyDescent="0.2">
      <c r="B318" s="22">
        <v>313</v>
      </c>
      <c r="C318" s="23" t="s">
        <v>14194</v>
      </c>
      <c r="D318" s="23" t="s">
        <v>1294</v>
      </c>
      <c r="E318" s="20" t="s">
        <v>14195</v>
      </c>
      <c r="F318" s="22">
        <v>12</v>
      </c>
      <c r="G318" s="22" t="s">
        <v>14196</v>
      </c>
      <c r="H318" s="22">
        <v>2</v>
      </c>
      <c r="I318" s="25">
        <v>43121</v>
      </c>
      <c r="J318" s="24">
        <v>43190</v>
      </c>
    </row>
    <row r="319" spans="2:10" x14ac:dyDescent="0.2">
      <c r="B319" s="22">
        <v>314</v>
      </c>
      <c r="C319" s="23" t="s">
        <v>14197</v>
      </c>
      <c r="D319" s="23" t="s">
        <v>1175</v>
      </c>
      <c r="E319" s="20" t="s">
        <v>14198</v>
      </c>
      <c r="F319" s="22">
        <v>9</v>
      </c>
      <c r="G319" s="22" t="s">
        <v>1159</v>
      </c>
      <c r="H319" s="22">
        <v>9</v>
      </c>
      <c r="I319" s="25">
        <v>43338</v>
      </c>
      <c r="J319" s="22" t="s">
        <v>558</v>
      </c>
    </row>
    <row r="320" spans="2:10" x14ac:dyDescent="0.2">
      <c r="B320" s="22">
        <v>315</v>
      </c>
      <c r="C320" s="23" t="s">
        <v>14199</v>
      </c>
      <c r="D320" s="23" t="s">
        <v>1039</v>
      </c>
      <c r="E320" s="20" t="s">
        <v>14200</v>
      </c>
      <c r="F320" s="22">
        <v>18</v>
      </c>
      <c r="G320" s="22" t="s">
        <v>14201</v>
      </c>
      <c r="H320" s="22">
        <v>4</v>
      </c>
      <c r="I320" s="25">
        <v>43317</v>
      </c>
      <c r="J320" s="24">
        <v>43407</v>
      </c>
    </row>
    <row r="321" spans="2:10" x14ac:dyDescent="0.2">
      <c r="B321" s="22">
        <v>316</v>
      </c>
      <c r="C321" s="23" t="s">
        <v>14202</v>
      </c>
      <c r="D321" s="23" t="s">
        <v>1210</v>
      </c>
      <c r="E321" s="20" t="s">
        <v>14203</v>
      </c>
      <c r="F321" s="22">
        <v>10</v>
      </c>
      <c r="G321" s="22" t="s">
        <v>14204</v>
      </c>
      <c r="H321" s="22">
        <v>1</v>
      </c>
      <c r="I321" s="25">
        <v>43324</v>
      </c>
      <c r="J321" s="24">
        <v>43393</v>
      </c>
    </row>
    <row r="322" spans="2:10" x14ac:dyDescent="0.2">
      <c r="B322" s="22">
        <v>317</v>
      </c>
      <c r="C322" s="23" t="s">
        <v>14205</v>
      </c>
      <c r="D322" s="23" t="s">
        <v>1880</v>
      </c>
      <c r="E322" s="20" t="s">
        <v>14206</v>
      </c>
      <c r="F322" s="22">
        <v>12</v>
      </c>
      <c r="G322" s="22" t="s">
        <v>1159</v>
      </c>
      <c r="H322" s="22" t="s">
        <v>1159</v>
      </c>
      <c r="I322" s="25">
        <v>43415</v>
      </c>
      <c r="J322" s="24">
        <v>43188</v>
      </c>
    </row>
    <row r="323" spans="2:10" x14ac:dyDescent="0.2">
      <c r="B323" s="22">
        <v>318</v>
      </c>
      <c r="C323" s="23" t="s">
        <v>14207</v>
      </c>
      <c r="D323" s="23" t="s">
        <v>14208</v>
      </c>
      <c r="E323" s="20" t="s">
        <v>14209</v>
      </c>
      <c r="F323" s="22">
        <v>6</v>
      </c>
      <c r="G323" s="22" t="s">
        <v>14210</v>
      </c>
      <c r="H323" s="22">
        <v>1</v>
      </c>
      <c r="I323" s="25">
        <v>43189</v>
      </c>
      <c r="J323" s="24">
        <v>43365</v>
      </c>
    </row>
    <row r="324" spans="2:10" x14ac:dyDescent="0.2">
      <c r="B324" s="22">
        <v>319</v>
      </c>
      <c r="C324" s="23" t="s">
        <v>14211</v>
      </c>
      <c r="D324" s="23" t="s">
        <v>1210</v>
      </c>
      <c r="E324" s="20" t="s">
        <v>14212</v>
      </c>
      <c r="F324" s="22">
        <v>29</v>
      </c>
      <c r="G324" s="22" t="s">
        <v>14213</v>
      </c>
      <c r="H324" s="22">
        <v>29</v>
      </c>
      <c r="I324" s="25">
        <v>43275</v>
      </c>
      <c r="J324" s="24">
        <v>43302</v>
      </c>
    </row>
    <row r="325" spans="2:10" x14ac:dyDescent="0.2">
      <c r="B325" s="22">
        <v>320</v>
      </c>
      <c r="C325" s="23" t="s">
        <v>14214</v>
      </c>
      <c r="D325" s="23" t="s">
        <v>4580</v>
      </c>
      <c r="E325" s="20" t="s">
        <v>14215</v>
      </c>
      <c r="F325" s="22">
        <v>11</v>
      </c>
      <c r="G325" s="22" t="s">
        <v>14216</v>
      </c>
      <c r="H325" s="22">
        <v>2</v>
      </c>
      <c r="I325" s="25">
        <v>43394</v>
      </c>
      <c r="J325" s="24">
        <v>43101</v>
      </c>
    </row>
    <row r="326" spans="2:10" x14ac:dyDescent="0.2">
      <c r="B326" s="22">
        <v>321</v>
      </c>
      <c r="C326" s="23" t="s">
        <v>14217</v>
      </c>
      <c r="D326" s="23" t="s">
        <v>14218</v>
      </c>
      <c r="E326" s="20" t="s">
        <v>14219</v>
      </c>
      <c r="F326" s="22">
        <v>10</v>
      </c>
      <c r="G326" s="22" t="s">
        <v>14220</v>
      </c>
      <c r="H326" s="22">
        <v>3</v>
      </c>
      <c r="I326" s="25">
        <v>43317</v>
      </c>
      <c r="J326" s="24">
        <v>43400</v>
      </c>
    </row>
    <row r="327" spans="2:10" x14ac:dyDescent="0.2">
      <c r="B327" s="22">
        <v>322</v>
      </c>
      <c r="C327" s="23" t="s">
        <v>14221</v>
      </c>
      <c r="D327" s="23" t="s">
        <v>1043</v>
      </c>
      <c r="E327" s="20" t="s">
        <v>14222</v>
      </c>
      <c r="F327" s="22">
        <v>37</v>
      </c>
      <c r="G327" s="22" t="s">
        <v>14223</v>
      </c>
      <c r="H327" s="22">
        <v>35</v>
      </c>
      <c r="I327" s="25">
        <v>43366</v>
      </c>
      <c r="J327" s="24">
        <v>43442</v>
      </c>
    </row>
    <row r="328" spans="2:10" x14ac:dyDescent="0.2">
      <c r="B328" s="22">
        <v>323</v>
      </c>
      <c r="C328" s="23" t="s">
        <v>14224</v>
      </c>
      <c r="D328" s="23" t="s">
        <v>1175</v>
      </c>
      <c r="E328" s="20" t="s">
        <v>14225</v>
      </c>
      <c r="F328" s="22">
        <v>15</v>
      </c>
      <c r="G328" s="22" t="s">
        <v>1770</v>
      </c>
      <c r="H328" s="22">
        <v>4</v>
      </c>
      <c r="I328" s="25">
        <v>43394</v>
      </c>
      <c r="J328" s="24">
        <v>43410</v>
      </c>
    </row>
    <row r="329" spans="2:10" x14ac:dyDescent="0.2">
      <c r="B329" s="22">
        <v>324</v>
      </c>
      <c r="C329" s="23" t="s">
        <v>14226</v>
      </c>
      <c r="D329" s="23" t="s">
        <v>1294</v>
      </c>
      <c r="E329" s="20" t="s">
        <v>14227</v>
      </c>
      <c r="F329" s="22">
        <v>24</v>
      </c>
      <c r="G329" s="22" t="s">
        <v>14228</v>
      </c>
      <c r="H329" s="22">
        <v>18</v>
      </c>
      <c r="I329" s="25">
        <v>43380</v>
      </c>
      <c r="J329" s="24">
        <v>43414</v>
      </c>
    </row>
    <row r="330" spans="2:10" x14ac:dyDescent="0.2">
      <c r="B330" s="22">
        <v>325</v>
      </c>
      <c r="C330" s="23" t="s">
        <v>14229</v>
      </c>
      <c r="D330" s="23" t="s">
        <v>1294</v>
      </c>
      <c r="E330" s="20" t="s">
        <v>14230</v>
      </c>
      <c r="F330" s="22">
        <v>11</v>
      </c>
      <c r="G330" s="22" t="s">
        <v>14231</v>
      </c>
      <c r="H330" s="22">
        <v>1</v>
      </c>
      <c r="I330" s="25">
        <v>43135</v>
      </c>
      <c r="J330" s="24">
        <v>43211</v>
      </c>
    </row>
    <row r="331" spans="2:10" x14ac:dyDescent="0.2">
      <c r="B331" s="22">
        <v>326</v>
      </c>
      <c r="C331" s="23" t="s">
        <v>14232</v>
      </c>
      <c r="D331" s="23" t="s">
        <v>1415</v>
      </c>
      <c r="E331" s="20" t="s">
        <v>14233</v>
      </c>
      <c r="F331" s="22">
        <v>63</v>
      </c>
      <c r="G331" s="22" t="s">
        <v>14234</v>
      </c>
      <c r="H331" s="22">
        <v>63</v>
      </c>
      <c r="I331" s="25">
        <v>43191</v>
      </c>
      <c r="J331" s="24">
        <v>43218</v>
      </c>
    </row>
    <row r="332" spans="2:10" x14ac:dyDescent="0.2">
      <c r="B332" s="22">
        <v>327</v>
      </c>
      <c r="C332" s="23" t="s">
        <v>14235</v>
      </c>
      <c r="D332" s="23" t="s">
        <v>6519</v>
      </c>
      <c r="E332" s="20" t="s">
        <v>14236</v>
      </c>
      <c r="F332" s="22">
        <v>45</v>
      </c>
      <c r="G332" s="22" t="s">
        <v>14237</v>
      </c>
      <c r="H332" s="22">
        <v>11</v>
      </c>
      <c r="I332" s="25">
        <v>43401</v>
      </c>
      <c r="J332" s="24">
        <v>43421</v>
      </c>
    </row>
    <row r="333" spans="2:10" x14ac:dyDescent="0.2">
      <c r="B333" s="22">
        <v>328</v>
      </c>
      <c r="C333" s="23" t="s">
        <v>14238</v>
      </c>
      <c r="D333" s="23" t="s">
        <v>643</v>
      </c>
      <c r="E333" s="20" t="s">
        <v>14239</v>
      </c>
      <c r="F333" s="22">
        <v>67</v>
      </c>
      <c r="G333" s="22" t="s">
        <v>14240</v>
      </c>
      <c r="H333" s="22">
        <v>67</v>
      </c>
      <c r="I333" s="25">
        <v>43387</v>
      </c>
      <c r="J333" s="24">
        <v>43407</v>
      </c>
    </row>
    <row r="334" spans="2:10" x14ac:dyDescent="0.2">
      <c r="B334" s="22">
        <v>329</v>
      </c>
      <c r="C334" s="23" t="s">
        <v>14241</v>
      </c>
      <c r="D334" s="23" t="s">
        <v>11038</v>
      </c>
      <c r="E334" s="20" t="s">
        <v>14242</v>
      </c>
      <c r="F334" s="22">
        <v>21</v>
      </c>
      <c r="G334" s="22" t="s">
        <v>14243</v>
      </c>
      <c r="H334" s="22">
        <v>5</v>
      </c>
      <c r="I334" s="25">
        <v>43170</v>
      </c>
      <c r="J334" s="24">
        <v>43218</v>
      </c>
    </row>
    <row r="335" spans="2:10" x14ac:dyDescent="0.2">
      <c r="B335" s="22">
        <v>330</v>
      </c>
      <c r="C335" s="23">
        <v>1911</v>
      </c>
      <c r="D335" s="23" t="s">
        <v>8353</v>
      </c>
      <c r="E335" s="20" t="s">
        <v>14244</v>
      </c>
      <c r="F335" s="22">
        <v>33</v>
      </c>
      <c r="G335" s="22" t="s">
        <v>14245</v>
      </c>
      <c r="H335" s="22">
        <v>33</v>
      </c>
      <c r="I335" s="25">
        <v>43380</v>
      </c>
      <c r="J335" s="24">
        <v>43414</v>
      </c>
    </row>
    <row r="336" spans="2:10" x14ac:dyDescent="0.2">
      <c r="B336" s="22">
        <v>331</v>
      </c>
      <c r="C336" s="23" t="s">
        <v>14246</v>
      </c>
      <c r="D336" s="23" t="s">
        <v>1015</v>
      </c>
      <c r="E336" s="20" t="s">
        <v>14247</v>
      </c>
      <c r="F336" s="22">
        <v>18</v>
      </c>
      <c r="G336" s="22" t="s">
        <v>14248</v>
      </c>
      <c r="H336" s="22">
        <v>5</v>
      </c>
      <c r="I336" s="25">
        <v>43296</v>
      </c>
      <c r="J336" s="24">
        <v>43428</v>
      </c>
    </row>
    <row r="337" spans="2:10" x14ac:dyDescent="0.2">
      <c r="B337" s="22">
        <v>332</v>
      </c>
      <c r="C337" s="23" t="s">
        <v>14249</v>
      </c>
      <c r="D337" s="23" t="s">
        <v>1269</v>
      </c>
      <c r="E337" s="20" t="s">
        <v>14250</v>
      </c>
      <c r="F337" s="22">
        <v>15</v>
      </c>
      <c r="G337" s="22" t="s">
        <v>14251</v>
      </c>
      <c r="H337" s="22">
        <v>15</v>
      </c>
      <c r="I337" s="25">
        <v>43121</v>
      </c>
      <c r="J337" s="24">
        <v>43183</v>
      </c>
    </row>
    <row r="338" spans="2:10" x14ac:dyDescent="0.2">
      <c r="B338" s="22">
        <v>333</v>
      </c>
      <c r="C338" s="23" t="s">
        <v>14252</v>
      </c>
      <c r="D338" s="23" t="s">
        <v>1909</v>
      </c>
      <c r="E338" s="20" t="s">
        <v>14253</v>
      </c>
      <c r="F338" s="22">
        <v>10</v>
      </c>
      <c r="G338" s="22" t="s">
        <v>9153</v>
      </c>
      <c r="H338" s="22">
        <v>1</v>
      </c>
      <c r="I338" s="25">
        <v>43420</v>
      </c>
      <c r="J338" s="24">
        <v>43181</v>
      </c>
    </row>
    <row r="339" spans="2:10" x14ac:dyDescent="0.2">
      <c r="B339" s="22">
        <v>334</v>
      </c>
      <c r="C339" s="23" t="s">
        <v>14254</v>
      </c>
      <c r="D339" s="23" t="s">
        <v>1039</v>
      </c>
      <c r="E339" s="20" t="s">
        <v>14255</v>
      </c>
      <c r="F339" s="22">
        <v>15</v>
      </c>
      <c r="G339" s="22" t="s">
        <v>14256</v>
      </c>
      <c r="H339" s="22">
        <v>2</v>
      </c>
      <c r="I339" s="25">
        <v>43163</v>
      </c>
      <c r="J339" s="24">
        <v>43218</v>
      </c>
    </row>
    <row r="340" spans="2:10" x14ac:dyDescent="0.2">
      <c r="B340" s="22">
        <v>335</v>
      </c>
      <c r="C340" s="23" t="s">
        <v>14257</v>
      </c>
      <c r="D340" s="23" t="s">
        <v>1210</v>
      </c>
      <c r="E340" s="20" t="s">
        <v>14258</v>
      </c>
      <c r="F340" s="22">
        <v>26</v>
      </c>
      <c r="G340" s="22" t="s">
        <v>14259</v>
      </c>
      <c r="H340" s="22">
        <v>26</v>
      </c>
      <c r="I340" s="25">
        <v>43134</v>
      </c>
      <c r="J340" s="24">
        <v>43169</v>
      </c>
    </row>
    <row r="341" spans="2:10" x14ac:dyDescent="0.2">
      <c r="B341" s="22">
        <v>336</v>
      </c>
      <c r="C341" s="23" t="s">
        <v>14260</v>
      </c>
      <c r="D341" s="23" t="s">
        <v>7206</v>
      </c>
      <c r="E341" s="20" t="s">
        <v>14261</v>
      </c>
      <c r="F341" s="22">
        <v>7</v>
      </c>
      <c r="G341" s="22" t="s">
        <v>14262</v>
      </c>
      <c r="H341" s="22">
        <v>3</v>
      </c>
      <c r="I341" s="25">
        <v>43401</v>
      </c>
      <c r="J341" s="24">
        <v>43115</v>
      </c>
    </row>
    <row r="342" spans="2:10" x14ac:dyDescent="0.2">
      <c r="B342" s="22">
        <v>337</v>
      </c>
      <c r="C342" s="23" t="s">
        <v>14263</v>
      </c>
      <c r="D342" s="23" t="s">
        <v>1909</v>
      </c>
      <c r="E342" s="20" t="s">
        <v>14264</v>
      </c>
      <c r="F342" s="22">
        <v>7</v>
      </c>
      <c r="G342" s="22" t="s">
        <v>14265</v>
      </c>
      <c r="H342" s="22">
        <v>2</v>
      </c>
      <c r="I342" s="25">
        <v>43254</v>
      </c>
      <c r="J342" s="24">
        <v>43330</v>
      </c>
    </row>
    <row r="343" spans="2:10" x14ac:dyDescent="0.2">
      <c r="B343" s="22">
        <v>338</v>
      </c>
      <c r="C343" s="23" t="s">
        <v>14266</v>
      </c>
      <c r="D343" s="23" t="s">
        <v>7141</v>
      </c>
      <c r="E343" s="20" t="s">
        <v>14267</v>
      </c>
      <c r="F343" s="22">
        <v>9</v>
      </c>
      <c r="G343" s="22" t="s">
        <v>14268</v>
      </c>
      <c r="H343" s="22">
        <v>1</v>
      </c>
      <c r="I343" s="25">
        <v>43231</v>
      </c>
      <c r="J343" s="24">
        <v>43421</v>
      </c>
    </row>
    <row r="344" spans="2:10" x14ac:dyDescent="0.2">
      <c r="B344" s="22">
        <v>339</v>
      </c>
      <c r="C344" s="23" t="s">
        <v>14269</v>
      </c>
      <c r="D344" s="23" t="s">
        <v>7800</v>
      </c>
      <c r="E344" s="20" t="s">
        <v>14270</v>
      </c>
      <c r="F344" s="22">
        <v>28</v>
      </c>
      <c r="G344" s="22" t="s">
        <v>14271</v>
      </c>
      <c r="H344" s="22">
        <v>28</v>
      </c>
      <c r="I344" s="25">
        <v>43191</v>
      </c>
      <c r="J344" s="24">
        <v>43212</v>
      </c>
    </row>
    <row r="345" spans="2:10" x14ac:dyDescent="0.2">
      <c r="B345" s="22">
        <v>340</v>
      </c>
      <c r="C345" s="23" t="s">
        <v>14272</v>
      </c>
      <c r="D345" s="23" t="s">
        <v>1294</v>
      </c>
      <c r="E345" s="20" t="s">
        <v>14273</v>
      </c>
      <c r="F345" s="22">
        <v>12</v>
      </c>
      <c r="G345" s="22" t="s">
        <v>14274</v>
      </c>
      <c r="H345" s="22">
        <v>1</v>
      </c>
      <c r="I345" s="25">
        <v>43128</v>
      </c>
      <c r="J345" s="24">
        <v>43204</v>
      </c>
    </row>
    <row r="346" spans="2:10" x14ac:dyDescent="0.2">
      <c r="B346" s="22">
        <v>341</v>
      </c>
      <c r="C346" s="23" t="s">
        <v>14275</v>
      </c>
      <c r="D346" s="23" t="s">
        <v>11790</v>
      </c>
      <c r="E346" s="20" t="s">
        <v>14276</v>
      </c>
      <c r="F346" s="22">
        <v>14</v>
      </c>
      <c r="G346" s="22" t="s">
        <v>14277</v>
      </c>
      <c r="H346" s="22">
        <v>10</v>
      </c>
      <c r="I346" s="25">
        <v>43296</v>
      </c>
      <c r="J346" s="24">
        <v>43323</v>
      </c>
    </row>
    <row r="347" spans="2:10" x14ac:dyDescent="0.2">
      <c r="B347" s="22">
        <v>342</v>
      </c>
      <c r="C347" s="23" t="s">
        <v>14278</v>
      </c>
      <c r="D347" s="23" t="s">
        <v>14279</v>
      </c>
      <c r="E347" s="20" t="s">
        <v>14280</v>
      </c>
      <c r="F347" s="22">
        <v>3</v>
      </c>
      <c r="G347" s="22" t="s">
        <v>14281</v>
      </c>
      <c r="H347" s="22">
        <v>1</v>
      </c>
      <c r="I347" s="25">
        <v>43196</v>
      </c>
      <c r="J347" s="24">
        <v>43309</v>
      </c>
    </row>
    <row r="348" spans="2:10" x14ac:dyDescent="0.2">
      <c r="B348" s="22">
        <v>343</v>
      </c>
      <c r="C348" s="23" t="s">
        <v>14282</v>
      </c>
      <c r="D348" s="23" t="s">
        <v>6519</v>
      </c>
      <c r="E348" s="20" t="s">
        <v>14283</v>
      </c>
      <c r="F348" s="22">
        <v>6</v>
      </c>
      <c r="G348" s="22" t="s">
        <v>14284</v>
      </c>
      <c r="H348" s="22">
        <v>6</v>
      </c>
      <c r="I348" s="25">
        <v>43240</v>
      </c>
      <c r="J348" s="24">
        <v>43326</v>
      </c>
    </row>
    <row r="349" spans="2:10" x14ac:dyDescent="0.2">
      <c r="B349" s="22">
        <v>344</v>
      </c>
      <c r="C349" s="23" t="s">
        <v>14285</v>
      </c>
      <c r="D349" s="23" t="s">
        <v>1213</v>
      </c>
      <c r="E349" s="20" t="s">
        <v>14286</v>
      </c>
      <c r="F349" s="22">
        <v>6</v>
      </c>
      <c r="G349" s="22" t="s">
        <v>14287</v>
      </c>
      <c r="H349" s="22">
        <v>2</v>
      </c>
      <c r="I349" s="25">
        <v>43317</v>
      </c>
      <c r="J349" s="24">
        <v>43414</v>
      </c>
    </row>
    <row r="350" spans="2:10" x14ac:dyDescent="0.2">
      <c r="B350" s="22">
        <v>345</v>
      </c>
      <c r="C350" s="23" t="s">
        <v>14288</v>
      </c>
      <c r="D350" s="23" t="s">
        <v>1039</v>
      </c>
      <c r="E350" s="20" t="s">
        <v>14289</v>
      </c>
      <c r="F350" s="22">
        <v>13</v>
      </c>
      <c r="G350" s="22" t="s">
        <v>1159</v>
      </c>
      <c r="H350" s="22" t="s">
        <v>1159</v>
      </c>
      <c r="I350" s="25">
        <v>43420</v>
      </c>
      <c r="J350" s="24">
        <v>43279</v>
      </c>
    </row>
    <row r="351" spans="2:10" x14ac:dyDescent="0.2">
      <c r="B351" s="22">
        <v>346</v>
      </c>
      <c r="C351" s="23" t="s">
        <v>14290</v>
      </c>
      <c r="D351" s="23" t="s">
        <v>14291</v>
      </c>
      <c r="E351" s="20" t="s">
        <v>14292</v>
      </c>
      <c r="F351" s="22">
        <v>8</v>
      </c>
      <c r="G351" s="22" t="s">
        <v>14293</v>
      </c>
      <c r="H351" s="22">
        <v>2</v>
      </c>
      <c r="I351" s="25">
        <v>43198</v>
      </c>
      <c r="J351" s="24">
        <v>43260</v>
      </c>
    </row>
    <row r="352" spans="2:10" x14ac:dyDescent="0.2">
      <c r="B352" s="22">
        <v>347</v>
      </c>
      <c r="C352" s="23" t="s">
        <v>14294</v>
      </c>
      <c r="D352" s="23" t="s">
        <v>14295</v>
      </c>
      <c r="E352" s="20" t="s">
        <v>14296</v>
      </c>
      <c r="F352" s="22">
        <v>5</v>
      </c>
      <c r="G352" s="22" t="s">
        <v>1159</v>
      </c>
      <c r="H352" s="22" t="s">
        <v>1159</v>
      </c>
      <c r="I352" s="25">
        <v>43408</v>
      </c>
      <c r="J352" s="22" t="s">
        <v>558</v>
      </c>
    </row>
    <row r="353" spans="2:10" x14ac:dyDescent="0.2">
      <c r="B353" s="22">
        <v>348</v>
      </c>
      <c r="C353" s="23" t="s">
        <v>14297</v>
      </c>
      <c r="D353" s="23" t="s">
        <v>1039</v>
      </c>
      <c r="E353" s="20" t="s">
        <v>14298</v>
      </c>
      <c r="F353" s="22">
        <v>15</v>
      </c>
      <c r="G353" s="22" t="s">
        <v>14299</v>
      </c>
      <c r="H353" s="22">
        <v>5</v>
      </c>
      <c r="I353" s="25">
        <v>43191</v>
      </c>
      <c r="J353" s="24">
        <v>43267</v>
      </c>
    </row>
    <row r="354" spans="2:10" x14ac:dyDescent="0.2">
      <c r="B354" s="22">
        <v>349</v>
      </c>
      <c r="C354" s="23" t="s">
        <v>14300</v>
      </c>
      <c r="D354" s="23" t="s">
        <v>1039</v>
      </c>
      <c r="E354" s="20" t="s">
        <v>14301</v>
      </c>
      <c r="F354" s="22">
        <v>7</v>
      </c>
      <c r="G354" s="22" t="s">
        <v>14302</v>
      </c>
      <c r="H354" s="22">
        <v>1</v>
      </c>
      <c r="I354" s="25">
        <v>43254</v>
      </c>
      <c r="J354" s="24">
        <v>43344</v>
      </c>
    </row>
    <row r="355" spans="2:10" x14ac:dyDescent="0.2">
      <c r="B355" s="22">
        <v>350</v>
      </c>
      <c r="C355" s="23" t="s">
        <v>14303</v>
      </c>
      <c r="D355" s="23" t="s">
        <v>8353</v>
      </c>
      <c r="E355" s="20" t="s">
        <v>14304</v>
      </c>
      <c r="F355" s="22">
        <v>7</v>
      </c>
      <c r="G355" s="22" t="s">
        <v>14305</v>
      </c>
      <c r="H355" s="22">
        <v>1</v>
      </c>
      <c r="I355" s="25">
        <v>43415</v>
      </c>
      <c r="J355" s="24">
        <v>43163</v>
      </c>
    </row>
    <row r="356" spans="2:10" x14ac:dyDescent="0.2">
      <c r="B356" s="22">
        <v>351</v>
      </c>
      <c r="C356" s="23" t="s">
        <v>14306</v>
      </c>
      <c r="D356" s="23" t="s">
        <v>1942</v>
      </c>
      <c r="E356" s="20" t="s">
        <v>14307</v>
      </c>
      <c r="F356" s="22">
        <v>6</v>
      </c>
      <c r="G356" s="22" t="s">
        <v>14308</v>
      </c>
      <c r="H356" s="22">
        <v>1</v>
      </c>
      <c r="I356" s="25">
        <v>43275</v>
      </c>
      <c r="J356" s="24">
        <v>43435</v>
      </c>
    </row>
    <row r="357" spans="2:10" x14ac:dyDescent="0.2">
      <c r="B357" s="22">
        <v>352</v>
      </c>
      <c r="C357" s="23" t="s">
        <v>14309</v>
      </c>
      <c r="D357" s="23" t="s">
        <v>6537</v>
      </c>
      <c r="E357" s="20" t="s">
        <v>14310</v>
      </c>
      <c r="F357" s="22">
        <v>10</v>
      </c>
      <c r="G357" s="22" t="s">
        <v>10751</v>
      </c>
      <c r="H357" s="22">
        <v>10</v>
      </c>
      <c r="I357" s="25">
        <v>43226</v>
      </c>
      <c r="J357" s="24">
        <v>43253</v>
      </c>
    </row>
    <row r="358" spans="2:10" x14ac:dyDescent="0.2">
      <c r="B358" s="22">
        <v>353</v>
      </c>
      <c r="C358" s="23" t="s">
        <v>14311</v>
      </c>
      <c r="D358" s="23" t="s">
        <v>2197</v>
      </c>
      <c r="E358" s="20" t="s">
        <v>14312</v>
      </c>
      <c r="F358" s="22">
        <v>24</v>
      </c>
      <c r="G358" s="22" t="s">
        <v>14313</v>
      </c>
      <c r="H358" s="22">
        <v>24</v>
      </c>
      <c r="I358" s="25">
        <v>43303</v>
      </c>
      <c r="J358" s="24">
        <v>43315</v>
      </c>
    </row>
    <row r="359" spans="2:10" x14ac:dyDescent="0.2">
      <c r="B359" s="22">
        <v>354</v>
      </c>
      <c r="C359" s="23" t="s">
        <v>14314</v>
      </c>
      <c r="D359" s="23" t="s">
        <v>1415</v>
      </c>
      <c r="E359" s="20" t="s">
        <v>14315</v>
      </c>
      <c r="F359" s="22">
        <v>31</v>
      </c>
      <c r="G359" s="22" t="s">
        <v>14316</v>
      </c>
      <c r="H359" s="22">
        <v>31</v>
      </c>
      <c r="I359" s="25">
        <v>43219</v>
      </c>
      <c r="J359" s="24">
        <v>43260</v>
      </c>
    </row>
    <row r="360" spans="2:10" x14ac:dyDescent="0.2">
      <c r="B360" s="22">
        <v>355</v>
      </c>
      <c r="C360" s="23" t="s">
        <v>14317</v>
      </c>
      <c r="D360" s="23" t="s">
        <v>4805</v>
      </c>
      <c r="E360" s="20" t="s">
        <v>14318</v>
      </c>
      <c r="F360" s="22">
        <v>5</v>
      </c>
      <c r="G360" s="22" t="s">
        <v>14319</v>
      </c>
      <c r="H360" s="22">
        <v>1</v>
      </c>
      <c r="I360" s="25">
        <v>43401</v>
      </c>
      <c r="J360" s="24">
        <v>43230</v>
      </c>
    </row>
    <row r="361" spans="2:10" x14ac:dyDescent="0.2">
      <c r="B361" s="22">
        <v>356</v>
      </c>
      <c r="C361" s="23" t="s">
        <v>14320</v>
      </c>
      <c r="D361" s="23" t="s">
        <v>8353</v>
      </c>
      <c r="E361" s="20" t="s">
        <v>14321</v>
      </c>
      <c r="F361" s="22">
        <v>11</v>
      </c>
      <c r="G361" s="22" t="s">
        <v>11145</v>
      </c>
      <c r="H361" s="22">
        <v>1</v>
      </c>
      <c r="I361" s="25">
        <v>43198</v>
      </c>
      <c r="J361" s="24">
        <v>43119</v>
      </c>
    </row>
    <row r="362" spans="2:10" x14ac:dyDescent="0.2">
      <c r="B362" s="22">
        <v>357</v>
      </c>
      <c r="C362" s="23" t="s">
        <v>14322</v>
      </c>
      <c r="D362" s="23" t="s">
        <v>14323</v>
      </c>
      <c r="E362" s="20" t="s">
        <v>14324</v>
      </c>
      <c r="F362" s="22">
        <v>1</v>
      </c>
      <c r="G362" s="22" t="s">
        <v>14325</v>
      </c>
      <c r="H362" s="22">
        <v>1</v>
      </c>
      <c r="I362" s="25">
        <v>43198</v>
      </c>
      <c r="J362" s="24">
        <v>43239</v>
      </c>
    </row>
    <row r="363" spans="2:10" x14ac:dyDescent="0.2">
      <c r="B363" s="22">
        <v>358</v>
      </c>
      <c r="C363" s="23" t="s">
        <v>14326</v>
      </c>
      <c r="D363" s="23" t="s">
        <v>1594</v>
      </c>
      <c r="E363" s="20" t="s">
        <v>14327</v>
      </c>
      <c r="F363" s="22">
        <v>13</v>
      </c>
      <c r="G363" s="22" t="s">
        <v>14328</v>
      </c>
      <c r="H363" s="22">
        <v>13</v>
      </c>
      <c r="I363" s="25">
        <v>43219</v>
      </c>
      <c r="J363" s="24">
        <v>43239</v>
      </c>
    </row>
    <row r="364" spans="2:10" x14ac:dyDescent="0.2">
      <c r="B364" s="22">
        <v>359</v>
      </c>
      <c r="C364" s="23" t="s">
        <v>14329</v>
      </c>
      <c r="D364" s="23" t="s">
        <v>10203</v>
      </c>
      <c r="E364" s="20" t="s">
        <v>14330</v>
      </c>
      <c r="F364" s="22">
        <v>5</v>
      </c>
      <c r="G364" s="22" t="s">
        <v>14331</v>
      </c>
      <c r="H364" s="22">
        <v>1</v>
      </c>
      <c r="I364" s="25">
        <v>43429</v>
      </c>
      <c r="J364" s="24">
        <v>43321</v>
      </c>
    </row>
    <row r="365" spans="2:10" x14ac:dyDescent="0.2">
      <c r="B365" s="22">
        <v>360</v>
      </c>
      <c r="C365" s="23" t="s">
        <v>14332</v>
      </c>
      <c r="D365" s="23" t="s">
        <v>7135</v>
      </c>
      <c r="E365" s="20" t="s">
        <v>14333</v>
      </c>
      <c r="F365" s="22">
        <v>5</v>
      </c>
      <c r="G365" s="22" t="s">
        <v>14334</v>
      </c>
      <c r="H365" s="22">
        <v>1</v>
      </c>
      <c r="I365" s="25">
        <v>43142</v>
      </c>
      <c r="J365" s="24">
        <v>43190</v>
      </c>
    </row>
    <row r="366" spans="2:10" x14ac:dyDescent="0.2">
      <c r="B366" s="22">
        <v>361</v>
      </c>
      <c r="C366" s="23" t="s">
        <v>14335</v>
      </c>
      <c r="D366" s="23" t="s">
        <v>1804</v>
      </c>
      <c r="E366" s="20" t="s">
        <v>14336</v>
      </c>
      <c r="F366" s="22">
        <v>5</v>
      </c>
      <c r="G366" s="22" t="s">
        <v>14337</v>
      </c>
      <c r="H366" s="22">
        <v>5</v>
      </c>
      <c r="I366" s="25">
        <v>43142</v>
      </c>
      <c r="J366" s="24">
        <v>43260</v>
      </c>
    </row>
    <row r="367" spans="2:10" x14ac:dyDescent="0.2">
      <c r="B367" s="22">
        <v>362</v>
      </c>
      <c r="C367" s="23" t="s">
        <v>14338</v>
      </c>
      <c r="D367" s="23" t="s">
        <v>4580</v>
      </c>
      <c r="E367" s="20" t="s">
        <v>14339</v>
      </c>
      <c r="F367" s="22">
        <v>1</v>
      </c>
      <c r="G367" s="22" t="s">
        <v>1159</v>
      </c>
      <c r="H367" s="22" t="s">
        <v>1159</v>
      </c>
      <c r="I367" s="25">
        <v>43191</v>
      </c>
      <c r="J367" s="24">
        <v>43239</v>
      </c>
    </row>
    <row r="368" spans="2:10" x14ac:dyDescent="0.2">
      <c r="B368" s="22">
        <v>363</v>
      </c>
      <c r="C368" s="23" t="s">
        <v>14340</v>
      </c>
      <c r="D368" s="23" t="s">
        <v>7141</v>
      </c>
      <c r="E368" s="20" t="s">
        <v>14341</v>
      </c>
      <c r="F368" s="22">
        <v>6</v>
      </c>
      <c r="G368" s="22" t="s">
        <v>14342</v>
      </c>
      <c r="H368" s="22">
        <v>1</v>
      </c>
      <c r="I368" s="25">
        <v>43134</v>
      </c>
      <c r="J368" s="24">
        <v>43379</v>
      </c>
    </row>
    <row r="369" spans="2:10" x14ac:dyDescent="0.2">
      <c r="B369" s="22">
        <v>364</v>
      </c>
      <c r="C369" s="23" t="s">
        <v>14343</v>
      </c>
      <c r="D369" s="23" t="s">
        <v>1612</v>
      </c>
      <c r="E369" s="20" t="s">
        <v>14344</v>
      </c>
      <c r="F369" s="22">
        <v>5</v>
      </c>
      <c r="G369" s="22" t="s">
        <v>14345</v>
      </c>
      <c r="H369" s="22">
        <v>2</v>
      </c>
      <c r="I369" s="25">
        <v>43352</v>
      </c>
      <c r="J369" s="24">
        <v>43258</v>
      </c>
    </row>
    <row r="370" spans="2:10" x14ac:dyDescent="0.2">
      <c r="B370" s="22">
        <v>365</v>
      </c>
      <c r="C370" s="23" t="s">
        <v>14346</v>
      </c>
      <c r="D370" s="23" t="s">
        <v>1183</v>
      </c>
      <c r="E370" s="20" t="s">
        <v>14347</v>
      </c>
      <c r="F370" s="22">
        <v>16</v>
      </c>
      <c r="G370" s="22" t="s">
        <v>1159</v>
      </c>
      <c r="H370" s="22" t="s">
        <v>1159</v>
      </c>
      <c r="I370" s="25">
        <v>43401</v>
      </c>
      <c r="J370" s="24">
        <v>43407</v>
      </c>
    </row>
    <row r="371" spans="2:10" x14ac:dyDescent="0.2">
      <c r="B371" s="22">
        <v>366</v>
      </c>
      <c r="C371" s="23" t="s">
        <v>14348</v>
      </c>
      <c r="D371" s="23" t="s">
        <v>1880</v>
      </c>
      <c r="E371" s="20" t="s">
        <v>14349</v>
      </c>
      <c r="F371" s="22">
        <v>4</v>
      </c>
      <c r="G371" s="22" t="s">
        <v>14350</v>
      </c>
      <c r="H371" s="22">
        <v>1</v>
      </c>
      <c r="I371" s="25">
        <v>43191</v>
      </c>
      <c r="J371" s="24">
        <v>43344</v>
      </c>
    </row>
    <row r="372" spans="2:10" x14ac:dyDescent="0.2">
      <c r="B372" s="22">
        <v>367</v>
      </c>
      <c r="C372" s="23" t="s">
        <v>14351</v>
      </c>
      <c r="D372" s="23" t="s">
        <v>5254</v>
      </c>
      <c r="E372" s="20" t="s">
        <v>14352</v>
      </c>
      <c r="F372" s="22">
        <v>8</v>
      </c>
      <c r="G372" s="22" t="s">
        <v>14353</v>
      </c>
      <c r="H372" s="22">
        <v>4</v>
      </c>
      <c r="I372" s="25">
        <v>43254</v>
      </c>
      <c r="J372" s="24">
        <v>43302</v>
      </c>
    </row>
    <row r="373" spans="2:10" x14ac:dyDescent="0.2">
      <c r="B373" s="22">
        <v>368</v>
      </c>
      <c r="C373" s="23" t="s">
        <v>14354</v>
      </c>
      <c r="D373" s="23" t="s">
        <v>4580</v>
      </c>
      <c r="E373" s="20" t="s">
        <v>14355</v>
      </c>
      <c r="F373" s="22" t="s">
        <v>1159</v>
      </c>
      <c r="G373" s="22" t="s">
        <v>1159</v>
      </c>
      <c r="H373" s="22" t="s">
        <v>1159</v>
      </c>
      <c r="I373" s="25">
        <v>43190</v>
      </c>
      <c r="J373" s="24">
        <v>43232</v>
      </c>
    </row>
    <row r="374" spans="2:10" x14ac:dyDescent="0.2">
      <c r="B374" s="22">
        <v>369</v>
      </c>
      <c r="C374" s="23" t="s">
        <v>14356</v>
      </c>
      <c r="D374" s="23" t="s">
        <v>1213</v>
      </c>
      <c r="E374" s="20" t="s">
        <v>14357</v>
      </c>
      <c r="F374" s="22">
        <v>8</v>
      </c>
      <c r="G374" s="22" t="s">
        <v>14358</v>
      </c>
      <c r="H374" s="22">
        <v>6</v>
      </c>
      <c r="I374" s="25">
        <v>43415</v>
      </c>
      <c r="J374" s="24">
        <v>43174</v>
      </c>
    </row>
    <row r="375" spans="2:10" x14ac:dyDescent="0.2">
      <c r="B375" s="22">
        <v>370</v>
      </c>
      <c r="C375" s="23" t="s">
        <v>14359</v>
      </c>
      <c r="D375" s="23" t="s">
        <v>1640</v>
      </c>
      <c r="E375" s="20" t="s">
        <v>14360</v>
      </c>
      <c r="F375" s="22">
        <v>8</v>
      </c>
      <c r="G375" s="22" t="s">
        <v>14361</v>
      </c>
      <c r="H375" s="22">
        <v>2</v>
      </c>
      <c r="I375" s="25">
        <v>43296</v>
      </c>
      <c r="J375" s="24">
        <v>43421</v>
      </c>
    </row>
    <row r="376" spans="2:10" x14ac:dyDescent="0.2">
      <c r="B376" s="22">
        <v>371</v>
      </c>
      <c r="C376" s="23" t="s">
        <v>14362</v>
      </c>
      <c r="D376" s="23" t="s">
        <v>1159</v>
      </c>
      <c r="E376" s="20" t="s">
        <v>14363</v>
      </c>
      <c r="F376" s="22">
        <v>14</v>
      </c>
      <c r="G376" s="22" t="s">
        <v>14364</v>
      </c>
      <c r="H376" s="22">
        <v>5</v>
      </c>
      <c r="I376" s="25">
        <v>43387</v>
      </c>
      <c r="J376" s="22" t="s">
        <v>558</v>
      </c>
    </row>
    <row r="377" spans="2:10" x14ac:dyDescent="0.2">
      <c r="B377" s="22">
        <v>372</v>
      </c>
      <c r="C377" s="23" t="s">
        <v>14365</v>
      </c>
      <c r="D377" s="23" t="s">
        <v>1210</v>
      </c>
      <c r="E377" s="20" t="s">
        <v>14366</v>
      </c>
      <c r="F377" s="22">
        <v>23</v>
      </c>
      <c r="G377" s="22" t="s">
        <v>14367</v>
      </c>
      <c r="H377" s="22">
        <v>23</v>
      </c>
      <c r="I377" s="25">
        <v>43212</v>
      </c>
      <c r="J377" s="24">
        <v>43232</v>
      </c>
    </row>
    <row r="378" spans="2:10" x14ac:dyDescent="0.2">
      <c r="B378" s="22">
        <v>373</v>
      </c>
      <c r="C378" s="23" t="s">
        <v>14368</v>
      </c>
      <c r="D378" s="23" t="s">
        <v>7800</v>
      </c>
      <c r="E378" s="20" t="s">
        <v>14369</v>
      </c>
      <c r="F378" s="22">
        <v>5</v>
      </c>
      <c r="G378" s="22" t="s">
        <v>14370</v>
      </c>
      <c r="H378" s="22">
        <v>4</v>
      </c>
      <c r="I378" s="25">
        <v>43366</v>
      </c>
      <c r="J378" s="24">
        <v>43400</v>
      </c>
    </row>
    <row r="379" spans="2:10" x14ac:dyDescent="0.2">
      <c r="B379" s="22">
        <v>374</v>
      </c>
      <c r="C379" s="23" t="s">
        <v>14371</v>
      </c>
      <c r="D379" s="23" t="s">
        <v>1294</v>
      </c>
      <c r="E379" s="20" t="s">
        <v>14372</v>
      </c>
      <c r="F379" s="22">
        <v>10</v>
      </c>
      <c r="G379" s="22" t="s">
        <v>14373</v>
      </c>
      <c r="H379" s="22">
        <v>1</v>
      </c>
      <c r="I379" s="25">
        <v>43156</v>
      </c>
      <c r="J379" s="24">
        <v>43211</v>
      </c>
    </row>
    <row r="380" spans="2:10" x14ac:dyDescent="0.2">
      <c r="B380" s="22">
        <v>375</v>
      </c>
      <c r="C380" s="23" t="s">
        <v>14374</v>
      </c>
      <c r="D380" s="23" t="s">
        <v>1210</v>
      </c>
      <c r="E380" s="20" t="s">
        <v>14375</v>
      </c>
      <c r="F380" s="22">
        <v>23</v>
      </c>
      <c r="G380" s="22" t="s">
        <v>14376</v>
      </c>
      <c r="H380" s="22">
        <v>23</v>
      </c>
      <c r="I380" s="25">
        <v>43240</v>
      </c>
      <c r="J380" s="24">
        <v>43267</v>
      </c>
    </row>
    <row r="381" spans="2:10" x14ac:dyDescent="0.2">
      <c r="B381" s="22">
        <v>376</v>
      </c>
      <c r="C381" s="23" t="s">
        <v>14377</v>
      </c>
      <c r="D381" s="23" t="s">
        <v>8353</v>
      </c>
      <c r="E381" s="20" t="s">
        <v>14378</v>
      </c>
      <c r="F381" s="22">
        <v>11</v>
      </c>
      <c r="G381" s="22" t="s">
        <v>14379</v>
      </c>
      <c r="H381" s="22">
        <v>9</v>
      </c>
      <c r="I381" s="25">
        <v>43352</v>
      </c>
      <c r="J381" s="24">
        <v>43386</v>
      </c>
    </row>
    <row r="382" spans="2:10" x14ac:dyDescent="0.2">
      <c r="B382" s="22">
        <v>377</v>
      </c>
      <c r="C382" s="23" t="s">
        <v>14380</v>
      </c>
      <c r="D382" s="23" t="s">
        <v>8353</v>
      </c>
      <c r="E382" s="20" t="s">
        <v>14381</v>
      </c>
      <c r="F382" s="22">
        <v>6</v>
      </c>
      <c r="G382" s="22" t="s">
        <v>14382</v>
      </c>
      <c r="H382" s="22">
        <v>5</v>
      </c>
      <c r="I382" s="25">
        <v>43226</v>
      </c>
      <c r="J382" s="24">
        <v>43253</v>
      </c>
    </row>
    <row r="383" spans="2:10" x14ac:dyDescent="0.2">
      <c r="B383" s="22">
        <v>378</v>
      </c>
      <c r="C383" s="23" t="s">
        <v>14383</v>
      </c>
      <c r="D383" s="23" t="s">
        <v>1572</v>
      </c>
      <c r="E383" s="20" t="s">
        <v>14384</v>
      </c>
      <c r="F383" s="22">
        <v>9</v>
      </c>
      <c r="G383" s="22" t="s">
        <v>2460</v>
      </c>
      <c r="H383" s="22">
        <v>3</v>
      </c>
      <c r="I383" s="25">
        <v>43163</v>
      </c>
      <c r="J383" s="24">
        <v>43295</v>
      </c>
    </row>
    <row r="384" spans="2:10" x14ac:dyDescent="0.2">
      <c r="B384" s="22">
        <v>379</v>
      </c>
      <c r="C384" s="23" t="s">
        <v>14385</v>
      </c>
      <c r="D384" s="23" t="s">
        <v>1942</v>
      </c>
      <c r="E384" s="20" t="s">
        <v>14386</v>
      </c>
      <c r="F384" s="22">
        <v>2</v>
      </c>
      <c r="G384" s="22" t="s">
        <v>14387</v>
      </c>
      <c r="H384" s="22">
        <v>1</v>
      </c>
      <c r="I384" s="25">
        <v>43154</v>
      </c>
      <c r="J384" s="24">
        <v>43428</v>
      </c>
    </row>
    <row r="385" spans="2:10" x14ac:dyDescent="0.2">
      <c r="B385" s="22">
        <v>380</v>
      </c>
      <c r="C385" s="23" t="s">
        <v>14388</v>
      </c>
      <c r="D385" s="23" t="s">
        <v>1269</v>
      </c>
      <c r="E385" s="20" t="s">
        <v>14389</v>
      </c>
      <c r="F385" s="22">
        <v>12</v>
      </c>
      <c r="G385" s="22" t="s">
        <v>14390</v>
      </c>
      <c r="H385" s="22">
        <v>12</v>
      </c>
      <c r="I385" s="25">
        <v>43289</v>
      </c>
      <c r="J385" s="24">
        <v>43344</v>
      </c>
    </row>
    <row r="386" spans="2:10" x14ac:dyDescent="0.2">
      <c r="B386" s="22">
        <v>381</v>
      </c>
      <c r="C386" s="23" t="s">
        <v>14391</v>
      </c>
      <c r="D386" s="23" t="s">
        <v>1142</v>
      </c>
      <c r="E386" s="20" t="s">
        <v>14392</v>
      </c>
      <c r="F386" s="22">
        <v>5</v>
      </c>
      <c r="G386" s="22" t="s">
        <v>14393</v>
      </c>
      <c r="H386" s="22">
        <v>2</v>
      </c>
      <c r="I386" s="25">
        <v>43273</v>
      </c>
      <c r="J386" s="24">
        <v>43337</v>
      </c>
    </row>
    <row r="387" spans="2:10" x14ac:dyDescent="0.2">
      <c r="B387" s="22">
        <v>382</v>
      </c>
      <c r="C387" s="23" t="s">
        <v>14394</v>
      </c>
      <c r="D387" s="23" t="s">
        <v>1213</v>
      </c>
      <c r="E387" s="20" t="s">
        <v>14395</v>
      </c>
      <c r="F387" s="22">
        <v>5</v>
      </c>
      <c r="G387" s="22" t="s">
        <v>14396</v>
      </c>
      <c r="H387" s="22">
        <v>3</v>
      </c>
      <c r="I387" s="25">
        <v>43261</v>
      </c>
      <c r="J387" s="24">
        <v>43354</v>
      </c>
    </row>
    <row r="388" spans="2:10" x14ac:dyDescent="0.2">
      <c r="B388" s="22">
        <v>383</v>
      </c>
      <c r="C388" s="23" t="s">
        <v>14397</v>
      </c>
      <c r="D388" s="23" t="s">
        <v>8353</v>
      </c>
      <c r="E388" s="20" t="s">
        <v>14398</v>
      </c>
      <c r="F388" s="22">
        <v>4</v>
      </c>
      <c r="G388" s="22" t="s">
        <v>2278</v>
      </c>
      <c r="H388" s="22">
        <v>1</v>
      </c>
      <c r="I388" s="25">
        <v>43233</v>
      </c>
      <c r="J388" s="24">
        <v>43386</v>
      </c>
    </row>
    <row r="389" spans="2:10" x14ac:dyDescent="0.2">
      <c r="B389" s="22">
        <v>384</v>
      </c>
      <c r="C389" s="23" t="s">
        <v>14399</v>
      </c>
      <c r="D389" s="23" t="s">
        <v>1039</v>
      </c>
      <c r="E389" s="20" t="s">
        <v>14400</v>
      </c>
      <c r="F389" s="22">
        <v>4</v>
      </c>
      <c r="G389" s="22" t="s">
        <v>14401</v>
      </c>
      <c r="H389" s="22">
        <v>1</v>
      </c>
      <c r="I389" s="25">
        <v>43366</v>
      </c>
      <c r="J389" s="24">
        <v>43421</v>
      </c>
    </row>
    <row r="390" spans="2:10" x14ac:dyDescent="0.2">
      <c r="B390" s="22">
        <v>385</v>
      </c>
      <c r="C390" s="23" t="s">
        <v>14402</v>
      </c>
      <c r="D390" s="23" t="s">
        <v>14403</v>
      </c>
      <c r="E390" s="20" t="s">
        <v>14404</v>
      </c>
      <c r="F390" s="22">
        <v>5</v>
      </c>
      <c r="G390" s="22" t="s">
        <v>14405</v>
      </c>
      <c r="H390" s="22">
        <v>1</v>
      </c>
      <c r="I390" s="25">
        <v>43282</v>
      </c>
      <c r="J390" s="24">
        <v>43414</v>
      </c>
    </row>
    <row r="391" spans="2:10" x14ac:dyDescent="0.2">
      <c r="B391" s="22">
        <v>386</v>
      </c>
      <c r="C391" s="23" t="s">
        <v>14406</v>
      </c>
      <c r="D391" s="23" t="s">
        <v>1804</v>
      </c>
      <c r="E391" s="20" t="s">
        <v>14407</v>
      </c>
      <c r="F391" s="22">
        <v>6</v>
      </c>
      <c r="G391" s="22" t="s">
        <v>14408</v>
      </c>
      <c r="H391" s="22">
        <v>4</v>
      </c>
      <c r="I391" s="25">
        <v>43359</v>
      </c>
      <c r="J391" s="24">
        <v>43456</v>
      </c>
    </row>
    <row r="392" spans="2:10" x14ac:dyDescent="0.2">
      <c r="B392" s="22">
        <v>387</v>
      </c>
      <c r="C392" s="23" t="s">
        <v>14409</v>
      </c>
      <c r="D392" s="23" t="s">
        <v>1415</v>
      </c>
      <c r="E392" s="20" t="s">
        <v>14410</v>
      </c>
      <c r="F392" s="22">
        <v>26</v>
      </c>
      <c r="G392" s="22" t="s">
        <v>1159</v>
      </c>
      <c r="H392" s="22">
        <v>26</v>
      </c>
      <c r="I392" s="25">
        <v>43289</v>
      </c>
      <c r="J392" s="24">
        <v>43302</v>
      </c>
    </row>
    <row r="393" spans="2:10" x14ac:dyDescent="0.2">
      <c r="B393" s="22">
        <v>388</v>
      </c>
      <c r="C393" s="23" t="s">
        <v>14411</v>
      </c>
      <c r="D393" s="23" t="s">
        <v>14412</v>
      </c>
      <c r="E393" s="20" t="s">
        <v>14413</v>
      </c>
      <c r="F393" s="22">
        <v>7</v>
      </c>
      <c r="G393" s="22" t="s">
        <v>14414</v>
      </c>
      <c r="H393" s="22">
        <v>1</v>
      </c>
      <c r="I393" s="25">
        <v>43268</v>
      </c>
      <c r="J393" s="24">
        <v>43449</v>
      </c>
    </row>
    <row r="394" spans="2:10" x14ac:dyDescent="0.2">
      <c r="B394" s="22">
        <v>389</v>
      </c>
      <c r="C394" s="23" t="s">
        <v>14415</v>
      </c>
      <c r="D394" s="23" t="s">
        <v>14416</v>
      </c>
      <c r="E394" s="20" t="s">
        <v>14417</v>
      </c>
      <c r="F394" s="22">
        <v>7</v>
      </c>
      <c r="G394" s="22" t="s">
        <v>14418</v>
      </c>
      <c r="H394" s="22">
        <v>1</v>
      </c>
      <c r="I394" s="25">
        <v>43373</v>
      </c>
      <c r="J394" s="24">
        <v>43407</v>
      </c>
    </row>
    <row r="395" spans="2:10" x14ac:dyDescent="0.2">
      <c r="B395" s="22">
        <v>390</v>
      </c>
      <c r="C395" s="23" t="s">
        <v>14419</v>
      </c>
      <c r="D395" s="23" t="s">
        <v>4383</v>
      </c>
      <c r="E395" s="20" t="s">
        <v>14420</v>
      </c>
      <c r="F395" s="22">
        <v>6</v>
      </c>
      <c r="G395" s="22" t="s">
        <v>14421</v>
      </c>
      <c r="H395" s="22">
        <v>1</v>
      </c>
      <c r="I395" s="25">
        <v>43133</v>
      </c>
      <c r="J395" s="24">
        <v>43337</v>
      </c>
    </row>
    <row r="396" spans="2:10" x14ac:dyDescent="0.2">
      <c r="B396" s="22">
        <v>391</v>
      </c>
      <c r="C396" s="23" t="s">
        <v>14422</v>
      </c>
      <c r="D396" s="23" t="s">
        <v>820</v>
      </c>
      <c r="E396" s="20" t="s">
        <v>14423</v>
      </c>
      <c r="F396" s="22">
        <v>10</v>
      </c>
      <c r="G396" s="22" t="s">
        <v>14424</v>
      </c>
      <c r="H396" s="22">
        <v>9</v>
      </c>
      <c r="I396" s="25">
        <v>43380</v>
      </c>
      <c r="J396" s="24">
        <v>43414</v>
      </c>
    </row>
    <row r="397" spans="2:10" x14ac:dyDescent="0.2">
      <c r="B397" s="22">
        <v>392</v>
      </c>
      <c r="C397" s="23" t="s">
        <v>14425</v>
      </c>
      <c r="D397" s="23" t="s">
        <v>8234</v>
      </c>
      <c r="E397" s="20" t="s">
        <v>14426</v>
      </c>
      <c r="F397" s="22">
        <v>16</v>
      </c>
      <c r="G397" s="22" t="s">
        <v>14427</v>
      </c>
      <c r="H397" s="22">
        <v>16</v>
      </c>
      <c r="I397" s="25">
        <v>43394</v>
      </c>
      <c r="J397" s="24">
        <v>43400</v>
      </c>
    </row>
    <row r="398" spans="2:10" x14ac:dyDescent="0.2">
      <c r="B398" s="22">
        <v>393</v>
      </c>
      <c r="C398" s="23" t="s">
        <v>14428</v>
      </c>
      <c r="D398" s="23" t="s">
        <v>1142</v>
      </c>
      <c r="E398" s="20" t="s">
        <v>14429</v>
      </c>
      <c r="F398" s="22">
        <v>6</v>
      </c>
      <c r="G398" s="22" t="s">
        <v>6907</v>
      </c>
      <c r="H398" s="22">
        <v>2</v>
      </c>
      <c r="I398" s="25">
        <v>43408</v>
      </c>
      <c r="J398" s="24">
        <v>43449</v>
      </c>
    </row>
    <row r="399" spans="2:10" x14ac:dyDescent="0.2">
      <c r="B399" s="22">
        <v>394</v>
      </c>
      <c r="C399" s="23" t="s">
        <v>14430</v>
      </c>
      <c r="D399" s="23" t="s">
        <v>1640</v>
      </c>
      <c r="E399" s="20" t="s">
        <v>14431</v>
      </c>
      <c r="F399" s="22">
        <v>4</v>
      </c>
      <c r="G399" s="22" t="s">
        <v>14432</v>
      </c>
      <c r="H399" s="22">
        <v>2</v>
      </c>
      <c r="I399" s="25">
        <v>43252</v>
      </c>
      <c r="J399" s="24">
        <v>43414</v>
      </c>
    </row>
    <row r="400" spans="2:10" x14ac:dyDescent="0.2">
      <c r="B400" s="22">
        <v>395</v>
      </c>
      <c r="C400" s="23" t="s">
        <v>14433</v>
      </c>
      <c r="D400" s="23" t="s">
        <v>10203</v>
      </c>
      <c r="E400" s="20" t="s">
        <v>14434</v>
      </c>
      <c r="F400" s="22">
        <v>3</v>
      </c>
      <c r="G400" s="22" t="s">
        <v>14435</v>
      </c>
      <c r="H400" s="22">
        <v>1</v>
      </c>
      <c r="I400" s="25">
        <v>43322</v>
      </c>
      <c r="J400" s="24">
        <v>43160</v>
      </c>
    </row>
    <row r="401" spans="2:10" x14ac:dyDescent="0.2">
      <c r="B401" s="22">
        <v>396</v>
      </c>
      <c r="C401" s="23" t="s">
        <v>14436</v>
      </c>
      <c r="D401" s="23" t="s">
        <v>7141</v>
      </c>
      <c r="E401" s="20" t="s">
        <v>14437</v>
      </c>
      <c r="F401" s="22">
        <v>5</v>
      </c>
      <c r="G401" s="22" t="s">
        <v>14438</v>
      </c>
      <c r="H401" s="22">
        <v>1</v>
      </c>
      <c r="I401" s="25">
        <v>43114</v>
      </c>
      <c r="J401" s="22" t="s">
        <v>558</v>
      </c>
    </row>
    <row r="402" spans="2:10" x14ac:dyDescent="0.2">
      <c r="B402" s="22">
        <v>397</v>
      </c>
      <c r="C402" s="23" t="s">
        <v>14439</v>
      </c>
      <c r="D402" s="23" t="s">
        <v>8353</v>
      </c>
      <c r="E402" s="20" t="s">
        <v>14440</v>
      </c>
      <c r="F402" s="22">
        <v>9</v>
      </c>
      <c r="G402" s="22" t="s">
        <v>14441</v>
      </c>
      <c r="H402" s="22">
        <v>4</v>
      </c>
      <c r="I402" s="25">
        <v>43212</v>
      </c>
      <c r="J402" s="24">
        <v>43267</v>
      </c>
    </row>
    <row r="403" spans="2:10" x14ac:dyDescent="0.2">
      <c r="B403" s="22">
        <v>398</v>
      </c>
      <c r="C403" s="23" t="s">
        <v>14442</v>
      </c>
      <c r="D403" s="23" t="s">
        <v>2010</v>
      </c>
      <c r="E403" s="20" t="s">
        <v>14443</v>
      </c>
      <c r="F403" s="22">
        <v>3</v>
      </c>
      <c r="G403" s="22" t="s">
        <v>14444</v>
      </c>
      <c r="H403" s="22">
        <v>1</v>
      </c>
      <c r="I403" s="25">
        <v>43149</v>
      </c>
      <c r="J403" s="22" t="s">
        <v>558</v>
      </c>
    </row>
    <row r="404" spans="2:10" x14ac:dyDescent="0.2">
      <c r="B404" s="22">
        <v>399</v>
      </c>
      <c r="C404" s="23" t="s">
        <v>14445</v>
      </c>
      <c r="D404" s="23" t="s">
        <v>1880</v>
      </c>
      <c r="E404" s="20" t="s">
        <v>14446</v>
      </c>
      <c r="F404" s="22">
        <v>6</v>
      </c>
      <c r="G404" s="22" t="s">
        <v>6737</v>
      </c>
      <c r="H404" s="22">
        <v>1</v>
      </c>
      <c r="I404" s="25">
        <v>43247</v>
      </c>
      <c r="J404" s="24">
        <v>43167</v>
      </c>
    </row>
    <row r="405" spans="2:10" x14ac:dyDescent="0.2">
      <c r="B405" s="22">
        <v>400</v>
      </c>
      <c r="C405" s="23" t="s">
        <v>14447</v>
      </c>
      <c r="D405" s="23" t="s">
        <v>1880</v>
      </c>
      <c r="E405" s="20" t="s">
        <v>14448</v>
      </c>
      <c r="F405" s="22">
        <v>3</v>
      </c>
      <c r="G405" s="22" t="s">
        <v>14449</v>
      </c>
      <c r="H405" s="22">
        <v>2</v>
      </c>
      <c r="I405" s="25">
        <v>43142</v>
      </c>
      <c r="J405" s="24">
        <v>43274</v>
      </c>
    </row>
    <row r="406" spans="2:10" x14ac:dyDescent="0.2">
      <c r="B406" s="22">
        <v>401</v>
      </c>
      <c r="C406" s="23" t="s">
        <v>14450</v>
      </c>
      <c r="D406" s="23" t="s">
        <v>1039</v>
      </c>
      <c r="E406" s="20" t="s">
        <v>14451</v>
      </c>
      <c r="F406" s="22">
        <v>10</v>
      </c>
      <c r="G406" s="22" t="s">
        <v>14452</v>
      </c>
      <c r="H406" s="22">
        <v>2</v>
      </c>
      <c r="I406" s="25">
        <v>43282</v>
      </c>
      <c r="J406" s="24">
        <v>43351</v>
      </c>
    </row>
    <row r="407" spans="2:10" x14ac:dyDescent="0.2">
      <c r="B407" s="22">
        <v>402</v>
      </c>
      <c r="C407" s="23" t="s">
        <v>14453</v>
      </c>
      <c r="D407" s="23" t="s">
        <v>1415</v>
      </c>
      <c r="E407" s="20" t="s">
        <v>14454</v>
      </c>
      <c r="F407" s="22">
        <v>13</v>
      </c>
      <c r="G407" s="22" t="s">
        <v>1159</v>
      </c>
      <c r="H407" s="22">
        <v>13</v>
      </c>
      <c r="I407" s="25">
        <v>43233</v>
      </c>
      <c r="J407" s="24">
        <v>43239</v>
      </c>
    </row>
    <row r="408" spans="2:10" x14ac:dyDescent="0.2">
      <c r="B408" s="22">
        <v>403</v>
      </c>
      <c r="C408" s="23" t="s">
        <v>14455</v>
      </c>
      <c r="D408" s="23" t="s">
        <v>12870</v>
      </c>
      <c r="E408" s="20" t="s">
        <v>14456</v>
      </c>
      <c r="F408" s="22">
        <v>6</v>
      </c>
      <c r="G408" s="22" t="s">
        <v>14457</v>
      </c>
      <c r="H408" s="22">
        <v>2</v>
      </c>
      <c r="I408" s="25">
        <v>43219</v>
      </c>
      <c r="J408" s="24">
        <v>43274</v>
      </c>
    </row>
    <row r="409" spans="2:10" x14ac:dyDescent="0.2">
      <c r="B409" s="22">
        <v>404</v>
      </c>
      <c r="C409" s="23" t="s">
        <v>14458</v>
      </c>
      <c r="D409" s="23" t="s">
        <v>1210</v>
      </c>
      <c r="E409" s="20" t="s">
        <v>14459</v>
      </c>
      <c r="F409" s="22">
        <v>37</v>
      </c>
      <c r="G409" s="22" t="s">
        <v>14460</v>
      </c>
      <c r="H409" s="22">
        <v>37</v>
      </c>
      <c r="I409" s="25">
        <v>43177</v>
      </c>
      <c r="J409" s="24">
        <v>43197</v>
      </c>
    </row>
    <row r="410" spans="2:10" x14ac:dyDescent="0.2">
      <c r="B410" s="22">
        <v>405</v>
      </c>
      <c r="C410" s="23" t="s">
        <v>14461</v>
      </c>
      <c r="D410" s="23" t="s">
        <v>1159</v>
      </c>
      <c r="E410" s="20" t="s">
        <v>14462</v>
      </c>
      <c r="F410" s="22">
        <v>7</v>
      </c>
      <c r="G410" s="22" t="s">
        <v>14463</v>
      </c>
      <c r="H410" s="22">
        <v>7</v>
      </c>
      <c r="I410" s="25">
        <v>43177</v>
      </c>
      <c r="J410" s="24">
        <v>43225</v>
      </c>
    </row>
    <row r="411" spans="2:10" x14ac:dyDescent="0.2">
      <c r="B411" s="22">
        <v>406</v>
      </c>
      <c r="C411" s="23" t="s">
        <v>14464</v>
      </c>
      <c r="D411" s="23" t="s">
        <v>1942</v>
      </c>
      <c r="E411" s="20" t="s">
        <v>14465</v>
      </c>
      <c r="F411" s="22">
        <v>1</v>
      </c>
      <c r="G411" s="22" t="s">
        <v>14466</v>
      </c>
      <c r="H411" s="22">
        <v>1</v>
      </c>
      <c r="I411" s="25">
        <v>43240</v>
      </c>
      <c r="J411" s="24">
        <v>43421</v>
      </c>
    </row>
    <row r="412" spans="2:10" x14ac:dyDescent="0.2">
      <c r="B412" s="22">
        <v>407</v>
      </c>
      <c r="C412" s="23" t="s">
        <v>14467</v>
      </c>
      <c r="D412" s="23" t="s">
        <v>1942</v>
      </c>
      <c r="E412" s="20" t="s">
        <v>14468</v>
      </c>
      <c r="F412" s="22">
        <v>2</v>
      </c>
      <c r="G412" s="22" t="s">
        <v>14469</v>
      </c>
      <c r="H412" s="22">
        <v>1</v>
      </c>
      <c r="I412" s="25">
        <v>43156</v>
      </c>
      <c r="J412" s="24">
        <v>43218</v>
      </c>
    </row>
    <row r="413" spans="2:10" x14ac:dyDescent="0.2">
      <c r="B413" s="22">
        <v>408</v>
      </c>
      <c r="C413" s="23" t="s">
        <v>14470</v>
      </c>
      <c r="D413" s="23" t="s">
        <v>1612</v>
      </c>
      <c r="E413" s="20" t="s">
        <v>14471</v>
      </c>
      <c r="F413" s="22">
        <v>7</v>
      </c>
      <c r="G413" s="22" t="s">
        <v>14472</v>
      </c>
      <c r="H413" s="22">
        <v>3</v>
      </c>
      <c r="I413" s="25">
        <v>43359</v>
      </c>
      <c r="J413" s="24">
        <v>43407</v>
      </c>
    </row>
    <row r="414" spans="2:10" x14ac:dyDescent="0.2">
      <c r="B414" s="22">
        <v>409</v>
      </c>
      <c r="C414" s="23" t="s">
        <v>14473</v>
      </c>
      <c r="D414" s="23" t="s">
        <v>14208</v>
      </c>
      <c r="E414" s="20" t="s">
        <v>14474</v>
      </c>
      <c r="F414" s="22">
        <v>3</v>
      </c>
      <c r="G414" s="22" t="s">
        <v>2552</v>
      </c>
      <c r="H414" s="22">
        <v>1</v>
      </c>
      <c r="I414" s="25">
        <v>43119</v>
      </c>
      <c r="J414" s="24">
        <v>43435</v>
      </c>
    </row>
    <row r="415" spans="2:10" x14ac:dyDescent="0.2">
      <c r="B415" s="22">
        <v>410</v>
      </c>
      <c r="C415" s="23" t="s">
        <v>14475</v>
      </c>
      <c r="D415" s="23" t="s">
        <v>830</v>
      </c>
      <c r="E415" s="20" t="s">
        <v>14476</v>
      </c>
      <c r="F415" s="22">
        <v>14</v>
      </c>
      <c r="G415" s="22" t="s">
        <v>14477</v>
      </c>
      <c r="H415" s="22">
        <v>2</v>
      </c>
      <c r="I415" s="25">
        <v>43373</v>
      </c>
      <c r="J415" s="24">
        <v>43400</v>
      </c>
    </row>
    <row r="416" spans="2:10" x14ac:dyDescent="0.2">
      <c r="B416" s="22">
        <v>411</v>
      </c>
      <c r="C416" s="23" t="s">
        <v>14478</v>
      </c>
      <c r="D416" s="23" t="s">
        <v>6519</v>
      </c>
      <c r="E416" s="20" t="s">
        <v>14479</v>
      </c>
      <c r="F416" s="22">
        <v>4</v>
      </c>
      <c r="G416" s="22" t="s">
        <v>14480</v>
      </c>
      <c r="H416" s="22">
        <v>3</v>
      </c>
      <c r="I416" s="25">
        <v>43114</v>
      </c>
      <c r="J416" s="24">
        <v>43183</v>
      </c>
    </row>
    <row r="417" spans="2:10" x14ac:dyDescent="0.2">
      <c r="B417" s="22">
        <v>412</v>
      </c>
      <c r="C417" s="23" t="s">
        <v>14481</v>
      </c>
      <c r="D417" s="23" t="s">
        <v>14208</v>
      </c>
      <c r="E417" s="20" t="s">
        <v>14482</v>
      </c>
      <c r="F417" s="22">
        <v>3</v>
      </c>
      <c r="G417" s="22" t="s">
        <v>11145</v>
      </c>
      <c r="H417" s="22">
        <v>1</v>
      </c>
      <c r="I417" s="25">
        <v>43287</v>
      </c>
      <c r="J417" s="24">
        <v>43449</v>
      </c>
    </row>
    <row r="418" spans="2:10" x14ac:dyDescent="0.2">
      <c r="B418" s="22">
        <v>413</v>
      </c>
      <c r="C418" s="23" t="s">
        <v>14483</v>
      </c>
      <c r="D418" s="23" t="s">
        <v>5254</v>
      </c>
      <c r="E418" s="20" t="s">
        <v>14484</v>
      </c>
      <c r="F418" s="22">
        <v>10</v>
      </c>
      <c r="G418" s="22" t="s">
        <v>14485</v>
      </c>
      <c r="H418" s="22">
        <v>3</v>
      </c>
      <c r="I418" s="25">
        <v>43387</v>
      </c>
      <c r="J418" s="24">
        <v>43421</v>
      </c>
    </row>
    <row r="419" spans="2:10" x14ac:dyDescent="0.2">
      <c r="B419" s="22">
        <v>414</v>
      </c>
      <c r="C419" s="23" t="s">
        <v>14486</v>
      </c>
      <c r="D419" s="23" t="s">
        <v>14487</v>
      </c>
      <c r="E419" s="20" t="s">
        <v>14488</v>
      </c>
      <c r="F419" s="22">
        <v>2</v>
      </c>
      <c r="G419" s="22" t="s">
        <v>14489</v>
      </c>
      <c r="H419" s="22">
        <v>1</v>
      </c>
      <c r="I419" s="25">
        <v>43324</v>
      </c>
      <c r="J419" s="24">
        <v>43129</v>
      </c>
    </row>
    <row r="420" spans="2:10" x14ac:dyDescent="0.2">
      <c r="B420" s="22">
        <v>415</v>
      </c>
      <c r="C420" s="23" t="s">
        <v>14490</v>
      </c>
      <c r="D420" s="23" t="s">
        <v>1039</v>
      </c>
      <c r="E420" s="20" t="s">
        <v>14491</v>
      </c>
      <c r="F420" s="22">
        <v>7</v>
      </c>
      <c r="G420" s="22" t="s">
        <v>14492</v>
      </c>
      <c r="H420" s="22">
        <v>4</v>
      </c>
      <c r="I420" s="25">
        <v>43359</v>
      </c>
      <c r="J420" s="24">
        <v>43428</v>
      </c>
    </row>
    <row r="421" spans="2:10" x14ac:dyDescent="0.2">
      <c r="B421" s="22">
        <v>416</v>
      </c>
      <c r="C421" s="23" t="s">
        <v>14493</v>
      </c>
      <c r="D421" s="23" t="s">
        <v>1039</v>
      </c>
      <c r="E421" s="20" t="s">
        <v>14494</v>
      </c>
      <c r="F421" s="22">
        <v>7</v>
      </c>
      <c r="G421" s="22" t="s">
        <v>14495</v>
      </c>
      <c r="H421" s="22">
        <v>2</v>
      </c>
      <c r="I421" s="25">
        <v>43436</v>
      </c>
      <c r="J421" s="24">
        <v>43133</v>
      </c>
    </row>
    <row r="422" spans="2:10" x14ac:dyDescent="0.2">
      <c r="B422" s="22">
        <v>417</v>
      </c>
      <c r="C422" s="23" t="s">
        <v>14496</v>
      </c>
      <c r="D422" s="23" t="s">
        <v>7161</v>
      </c>
      <c r="E422" s="20" t="s">
        <v>14497</v>
      </c>
      <c r="F422" s="22">
        <v>2</v>
      </c>
      <c r="G422" s="22" t="s">
        <v>14498</v>
      </c>
      <c r="H422" s="22">
        <v>1</v>
      </c>
      <c r="I422" s="25">
        <v>43408</v>
      </c>
      <c r="J422" s="24">
        <v>43221</v>
      </c>
    </row>
    <row r="423" spans="2:10" x14ac:dyDescent="0.2">
      <c r="B423" s="22">
        <v>418</v>
      </c>
      <c r="C423" s="23" t="s">
        <v>14499</v>
      </c>
      <c r="D423" s="23" t="s">
        <v>9796</v>
      </c>
      <c r="E423" s="20" t="s">
        <v>14500</v>
      </c>
      <c r="F423" s="22">
        <v>8</v>
      </c>
      <c r="G423" s="22" t="s">
        <v>14501</v>
      </c>
      <c r="H423" s="22">
        <v>3</v>
      </c>
      <c r="I423" s="25">
        <v>43177</v>
      </c>
      <c r="J423" s="24">
        <v>43225</v>
      </c>
    </row>
    <row r="424" spans="2:10" x14ac:dyDescent="0.2">
      <c r="B424" s="22">
        <v>419</v>
      </c>
      <c r="C424" s="23" t="s">
        <v>14502</v>
      </c>
      <c r="D424" s="23" t="s">
        <v>4383</v>
      </c>
      <c r="E424" s="20" t="s">
        <v>14503</v>
      </c>
      <c r="F424" s="22">
        <v>5</v>
      </c>
      <c r="G424" s="22" t="s">
        <v>13145</v>
      </c>
      <c r="H424" s="22">
        <v>1</v>
      </c>
      <c r="I424" s="25">
        <v>43357</v>
      </c>
      <c r="J424" s="24">
        <v>43167</v>
      </c>
    </row>
    <row r="425" spans="2:10" x14ac:dyDescent="0.2">
      <c r="B425" s="22">
        <v>420</v>
      </c>
      <c r="C425" s="23" t="s">
        <v>14504</v>
      </c>
      <c r="D425" s="23" t="s">
        <v>7161</v>
      </c>
      <c r="E425" s="20" t="s">
        <v>14505</v>
      </c>
      <c r="F425" s="22">
        <v>2</v>
      </c>
      <c r="G425" s="22" t="s">
        <v>12539</v>
      </c>
      <c r="H425" s="22">
        <v>1</v>
      </c>
      <c r="I425" s="25">
        <v>43260</v>
      </c>
      <c r="J425" s="24">
        <v>43221</v>
      </c>
    </row>
    <row r="426" spans="2:10" x14ac:dyDescent="0.2">
      <c r="B426" s="22">
        <v>421</v>
      </c>
      <c r="C426" s="23" t="s">
        <v>14506</v>
      </c>
      <c r="D426" s="23" t="s">
        <v>14507</v>
      </c>
      <c r="E426" s="20" t="s">
        <v>14508</v>
      </c>
      <c r="F426" s="22">
        <v>21</v>
      </c>
      <c r="G426" s="22" t="s">
        <v>14509</v>
      </c>
      <c r="H426" s="22">
        <v>20</v>
      </c>
      <c r="I426" s="25">
        <v>43163</v>
      </c>
      <c r="J426" s="24">
        <v>43186</v>
      </c>
    </row>
    <row r="427" spans="2:10" x14ac:dyDescent="0.2">
      <c r="B427" s="22">
        <v>422</v>
      </c>
      <c r="C427" s="23" t="s">
        <v>14510</v>
      </c>
      <c r="D427" s="23" t="s">
        <v>1612</v>
      </c>
      <c r="E427" s="20" t="s">
        <v>14511</v>
      </c>
      <c r="F427" s="22">
        <v>2</v>
      </c>
      <c r="G427" s="22" t="s">
        <v>14512</v>
      </c>
      <c r="H427" s="22">
        <v>2</v>
      </c>
      <c r="I427" s="25">
        <v>43282</v>
      </c>
      <c r="J427" s="24">
        <v>43337</v>
      </c>
    </row>
    <row r="428" spans="2:10" x14ac:dyDescent="0.2">
      <c r="B428" s="22">
        <v>423</v>
      </c>
      <c r="C428" s="23" t="s">
        <v>14513</v>
      </c>
      <c r="D428" s="23" t="s">
        <v>1183</v>
      </c>
      <c r="E428" s="20" t="s">
        <v>14514</v>
      </c>
      <c r="F428" s="22">
        <v>3</v>
      </c>
      <c r="G428" s="22" t="s">
        <v>14515</v>
      </c>
      <c r="H428" s="22">
        <v>1</v>
      </c>
      <c r="I428" s="25">
        <v>43170</v>
      </c>
      <c r="J428" s="24">
        <v>43204</v>
      </c>
    </row>
    <row r="429" spans="2:10" x14ac:dyDescent="0.2">
      <c r="B429" s="22">
        <v>424</v>
      </c>
      <c r="C429" s="23" t="s">
        <v>14516</v>
      </c>
      <c r="D429" s="23" t="s">
        <v>14517</v>
      </c>
      <c r="E429" s="20" t="s">
        <v>14518</v>
      </c>
      <c r="F429" s="22">
        <v>5</v>
      </c>
      <c r="G429" s="22" t="s">
        <v>14519</v>
      </c>
      <c r="H429" s="22">
        <v>5</v>
      </c>
      <c r="I429" s="25">
        <v>43114</v>
      </c>
      <c r="J429" s="24">
        <v>43127</v>
      </c>
    </row>
    <row r="430" spans="2:10" x14ac:dyDescent="0.2">
      <c r="B430" s="22">
        <v>425</v>
      </c>
      <c r="C430" s="23" t="s">
        <v>14520</v>
      </c>
      <c r="D430" s="23" t="s">
        <v>1294</v>
      </c>
      <c r="E430" s="20" t="s">
        <v>14521</v>
      </c>
      <c r="F430" s="22">
        <v>3</v>
      </c>
      <c r="G430" s="22" t="s">
        <v>2457</v>
      </c>
      <c r="H430" s="22">
        <v>1</v>
      </c>
      <c r="I430" s="25">
        <v>43303</v>
      </c>
      <c r="J430" s="24">
        <v>43337</v>
      </c>
    </row>
    <row r="431" spans="2:10" x14ac:dyDescent="0.2">
      <c r="B431" s="22">
        <v>426</v>
      </c>
      <c r="C431" s="23" t="s">
        <v>14522</v>
      </c>
      <c r="D431" s="23" t="s">
        <v>14523</v>
      </c>
      <c r="E431" s="20" t="s">
        <v>14524</v>
      </c>
      <c r="F431" s="22">
        <v>4</v>
      </c>
      <c r="G431" s="22" t="s">
        <v>10431</v>
      </c>
      <c r="H431" s="22">
        <v>1</v>
      </c>
      <c r="I431" s="25">
        <v>43378</v>
      </c>
      <c r="J431" s="24">
        <v>43195</v>
      </c>
    </row>
    <row r="432" spans="2:10" x14ac:dyDescent="0.2">
      <c r="B432" s="22">
        <v>427</v>
      </c>
      <c r="C432" s="23" t="s">
        <v>14525</v>
      </c>
      <c r="D432" s="23" t="s">
        <v>1039</v>
      </c>
      <c r="E432" s="20" t="s">
        <v>14526</v>
      </c>
      <c r="F432" s="22">
        <v>6</v>
      </c>
      <c r="G432" s="22" t="s">
        <v>14527</v>
      </c>
      <c r="H432" s="22">
        <v>1</v>
      </c>
      <c r="I432" s="25">
        <v>43331</v>
      </c>
      <c r="J432" s="24">
        <v>43414</v>
      </c>
    </row>
    <row r="433" spans="2:10" x14ac:dyDescent="0.2">
      <c r="B433" s="22">
        <v>428</v>
      </c>
      <c r="C433" s="23" t="s">
        <v>14528</v>
      </c>
      <c r="D433" s="23" t="s">
        <v>14416</v>
      </c>
      <c r="E433" s="20" t="s">
        <v>14529</v>
      </c>
      <c r="F433" s="22">
        <v>4</v>
      </c>
      <c r="G433" s="22" t="s">
        <v>14530</v>
      </c>
      <c r="H433" s="22">
        <v>1</v>
      </c>
      <c r="I433" s="25">
        <v>43238</v>
      </c>
      <c r="J433" s="24">
        <v>43267</v>
      </c>
    </row>
    <row r="434" spans="2:10" x14ac:dyDescent="0.2">
      <c r="B434" s="22">
        <v>429</v>
      </c>
      <c r="C434" s="23" t="s">
        <v>14531</v>
      </c>
      <c r="D434" s="23" t="s">
        <v>2051</v>
      </c>
      <c r="E434" s="20" t="s">
        <v>14532</v>
      </c>
      <c r="F434" s="22">
        <v>7</v>
      </c>
      <c r="G434" s="22" t="s">
        <v>13199</v>
      </c>
      <c r="H434" s="22">
        <v>1</v>
      </c>
      <c r="I434" s="25">
        <v>43261</v>
      </c>
      <c r="J434" s="24">
        <v>43365</v>
      </c>
    </row>
    <row r="435" spans="2:10" x14ac:dyDescent="0.2">
      <c r="B435" s="22">
        <v>430</v>
      </c>
      <c r="C435" s="23" t="s">
        <v>14533</v>
      </c>
      <c r="D435" s="23" t="s">
        <v>8353</v>
      </c>
      <c r="E435" s="20" t="s">
        <v>14534</v>
      </c>
      <c r="F435" s="22">
        <v>5</v>
      </c>
      <c r="G435" s="22" t="s">
        <v>2521</v>
      </c>
      <c r="H435" s="22">
        <v>1</v>
      </c>
      <c r="I435" s="25">
        <v>43448</v>
      </c>
      <c r="J435" s="24">
        <v>43195</v>
      </c>
    </row>
    <row r="436" spans="2:10" x14ac:dyDescent="0.2">
      <c r="B436" s="22">
        <v>431</v>
      </c>
      <c r="C436" s="23" t="s">
        <v>14535</v>
      </c>
      <c r="D436" s="23" t="s">
        <v>1532</v>
      </c>
      <c r="E436" s="20" t="s">
        <v>14536</v>
      </c>
      <c r="F436" s="22">
        <v>2</v>
      </c>
      <c r="G436" s="22" t="s">
        <v>14537</v>
      </c>
      <c r="H436" s="22">
        <v>1</v>
      </c>
      <c r="I436" s="25">
        <v>43434</v>
      </c>
      <c r="J436" s="22" t="s">
        <v>558</v>
      </c>
    </row>
    <row r="437" spans="2:10" x14ac:dyDescent="0.2">
      <c r="B437" s="22">
        <v>432</v>
      </c>
      <c r="C437" s="23" t="s">
        <v>14538</v>
      </c>
      <c r="D437" s="23" t="s">
        <v>4383</v>
      </c>
      <c r="E437" s="20" t="s">
        <v>14539</v>
      </c>
      <c r="F437" s="22">
        <v>5</v>
      </c>
      <c r="G437" s="22" t="s">
        <v>1159</v>
      </c>
      <c r="H437" s="22">
        <v>1</v>
      </c>
      <c r="I437" s="25">
        <v>43352</v>
      </c>
      <c r="J437" s="24">
        <v>43421</v>
      </c>
    </row>
    <row r="438" spans="2:10" x14ac:dyDescent="0.2">
      <c r="B438" s="22">
        <v>433</v>
      </c>
      <c r="C438" s="23" t="s">
        <v>14540</v>
      </c>
      <c r="D438" s="23" t="s">
        <v>1804</v>
      </c>
      <c r="E438" s="20" t="s">
        <v>14541</v>
      </c>
      <c r="F438" s="22">
        <v>3</v>
      </c>
      <c r="G438" s="22" t="s">
        <v>14542</v>
      </c>
      <c r="H438" s="22">
        <v>1</v>
      </c>
      <c r="I438" s="25">
        <v>43114</v>
      </c>
      <c r="J438" s="24">
        <v>43232</v>
      </c>
    </row>
    <row r="439" spans="2:10" x14ac:dyDescent="0.2">
      <c r="B439" s="22">
        <v>434</v>
      </c>
      <c r="C439" s="23" t="s">
        <v>14543</v>
      </c>
      <c r="D439" s="23" t="s">
        <v>1294</v>
      </c>
      <c r="E439" s="20" t="s">
        <v>14544</v>
      </c>
      <c r="F439" s="22">
        <v>4</v>
      </c>
      <c r="G439" s="22" t="s">
        <v>14545</v>
      </c>
      <c r="H439" s="22">
        <v>2</v>
      </c>
      <c r="I439" s="25">
        <v>43436</v>
      </c>
      <c r="J439" s="24">
        <v>43463</v>
      </c>
    </row>
    <row r="440" spans="2:10" x14ac:dyDescent="0.2">
      <c r="B440" s="22">
        <v>435</v>
      </c>
      <c r="C440" s="23" t="s">
        <v>14546</v>
      </c>
      <c r="D440" s="23" t="s">
        <v>1210</v>
      </c>
      <c r="E440" s="20" t="s">
        <v>14547</v>
      </c>
      <c r="F440" s="22">
        <v>20</v>
      </c>
      <c r="G440" s="22" t="s">
        <v>4211</v>
      </c>
      <c r="H440" s="22">
        <v>20</v>
      </c>
      <c r="I440" s="25">
        <v>43352</v>
      </c>
      <c r="J440" s="24">
        <v>43372</v>
      </c>
    </row>
    <row r="441" spans="2:10" x14ac:dyDescent="0.2">
      <c r="B441" s="22">
        <v>436</v>
      </c>
      <c r="C441" s="23" t="s">
        <v>14548</v>
      </c>
      <c r="D441" s="23" t="s">
        <v>1640</v>
      </c>
      <c r="E441" s="20" t="s">
        <v>14549</v>
      </c>
      <c r="F441" s="22">
        <v>2</v>
      </c>
      <c r="G441" s="22" t="s">
        <v>14550</v>
      </c>
      <c r="H441" s="22">
        <v>1</v>
      </c>
      <c r="I441" s="25">
        <v>43392</v>
      </c>
      <c r="J441" s="24">
        <v>43160</v>
      </c>
    </row>
    <row r="442" spans="2:10" x14ac:dyDescent="0.2">
      <c r="B442" s="22">
        <v>437</v>
      </c>
      <c r="C442" s="23" t="s">
        <v>14551</v>
      </c>
      <c r="D442" s="23" t="s">
        <v>11038</v>
      </c>
      <c r="E442" s="20" t="s">
        <v>14552</v>
      </c>
      <c r="F442" s="22">
        <v>9</v>
      </c>
      <c r="G442" s="22" t="s">
        <v>14553</v>
      </c>
      <c r="H442" s="22">
        <v>7</v>
      </c>
      <c r="I442" s="25">
        <v>43436</v>
      </c>
      <c r="J442" s="24">
        <v>43463</v>
      </c>
    </row>
    <row r="443" spans="2:10" x14ac:dyDescent="0.2">
      <c r="B443" s="22">
        <v>438</v>
      </c>
      <c r="C443" s="23" t="s">
        <v>14554</v>
      </c>
      <c r="D443" s="23">
        <v>108</v>
      </c>
      <c r="E443" s="20" t="s">
        <v>14555</v>
      </c>
      <c r="F443" s="22">
        <v>5</v>
      </c>
      <c r="G443" s="22" t="s">
        <v>14556</v>
      </c>
      <c r="H443" s="22">
        <v>4</v>
      </c>
      <c r="I443" s="25">
        <v>43212</v>
      </c>
      <c r="J443" s="24">
        <v>43225</v>
      </c>
    </row>
    <row r="444" spans="2:10" x14ac:dyDescent="0.2">
      <c r="B444" s="22">
        <v>439</v>
      </c>
      <c r="C444" s="23" t="s">
        <v>14557</v>
      </c>
      <c r="D444" s="23" t="s">
        <v>1210</v>
      </c>
      <c r="E444" s="20" t="s">
        <v>14558</v>
      </c>
      <c r="F444" s="22">
        <v>16</v>
      </c>
      <c r="G444" s="22" t="s">
        <v>14559</v>
      </c>
      <c r="H444" s="22">
        <v>16</v>
      </c>
      <c r="I444" s="25">
        <v>43352</v>
      </c>
      <c r="J444" s="24">
        <v>43372</v>
      </c>
    </row>
    <row r="445" spans="2:10" x14ac:dyDescent="0.2">
      <c r="B445" s="22">
        <v>440</v>
      </c>
      <c r="C445" s="23" t="s">
        <v>14560</v>
      </c>
      <c r="D445" s="23" t="s">
        <v>5117</v>
      </c>
      <c r="E445" s="20" t="s">
        <v>14561</v>
      </c>
      <c r="F445" s="22">
        <v>3</v>
      </c>
      <c r="G445" s="22" t="s">
        <v>14562</v>
      </c>
      <c r="H445" s="22">
        <v>1</v>
      </c>
      <c r="I445" s="25">
        <v>43212</v>
      </c>
      <c r="J445" s="24">
        <v>43232</v>
      </c>
    </row>
    <row r="446" spans="2:10" x14ac:dyDescent="0.2">
      <c r="B446" s="22">
        <v>441</v>
      </c>
      <c r="C446" s="23" t="s">
        <v>14563</v>
      </c>
      <c r="D446" s="23" t="s">
        <v>7161</v>
      </c>
      <c r="E446" s="20" t="s">
        <v>14564</v>
      </c>
      <c r="F446" s="22">
        <v>3</v>
      </c>
      <c r="G446" s="22" t="s">
        <v>14565</v>
      </c>
      <c r="H446" s="22">
        <v>1</v>
      </c>
      <c r="I446" s="25">
        <v>43352</v>
      </c>
      <c r="J446" s="24">
        <v>43174</v>
      </c>
    </row>
    <row r="447" spans="2:10" x14ac:dyDescent="0.2">
      <c r="B447" s="22">
        <v>442</v>
      </c>
      <c r="C447" s="23" t="s">
        <v>14566</v>
      </c>
      <c r="D447" s="23" t="s">
        <v>1880</v>
      </c>
      <c r="E447" s="20" t="s">
        <v>2060</v>
      </c>
      <c r="F447" s="22">
        <v>3</v>
      </c>
      <c r="G447" s="22" t="s">
        <v>14567</v>
      </c>
      <c r="H447" s="22">
        <v>1</v>
      </c>
      <c r="I447" s="25">
        <v>43170</v>
      </c>
      <c r="J447" s="24">
        <v>43316</v>
      </c>
    </row>
    <row r="448" spans="2:10" x14ac:dyDescent="0.2">
      <c r="B448" s="22">
        <v>443</v>
      </c>
      <c r="C448" s="23" t="s">
        <v>14568</v>
      </c>
      <c r="D448" s="23" t="s">
        <v>1294</v>
      </c>
      <c r="E448" s="20" t="s">
        <v>14569</v>
      </c>
      <c r="F448" s="22">
        <v>5</v>
      </c>
      <c r="G448" s="22" t="s">
        <v>14570</v>
      </c>
      <c r="H448" s="22">
        <v>1</v>
      </c>
      <c r="I448" s="25">
        <v>43212</v>
      </c>
      <c r="J448" s="24">
        <v>43225</v>
      </c>
    </row>
    <row r="449" spans="2:10" x14ac:dyDescent="0.2">
      <c r="B449" s="22">
        <v>444</v>
      </c>
      <c r="C449" s="23" t="s">
        <v>14571</v>
      </c>
      <c r="D449" s="23" t="s">
        <v>1880</v>
      </c>
      <c r="E449" s="20" t="s">
        <v>14572</v>
      </c>
      <c r="F449" s="22">
        <v>2</v>
      </c>
      <c r="G449" s="22" t="s">
        <v>14573</v>
      </c>
      <c r="H449" s="22">
        <v>2</v>
      </c>
      <c r="I449" s="25">
        <v>43373</v>
      </c>
      <c r="J449" s="24">
        <v>43456</v>
      </c>
    </row>
    <row r="450" spans="2:10" x14ac:dyDescent="0.2">
      <c r="B450" s="22">
        <v>445</v>
      </c>
      <c r="C450" s="23" t="s">
        <v>14574</v>
      </c>
      <c r="D450" s="23" t="s">
        <v>5254</v>
      </c>
      <c r="E450" s="20" t="s">
        <v>14575</v>
      </c>
      <c r="F450" s="22">
        <v>4</v>
      </c>
      <c r="G450" s="22" t="s">
        <v>14576</v>
      </c>
      <c r="H450" s="22">
        <v>2</v>
      </c>
      <c r="I450" s="25">
        <v>43198</v>
      </c>
      <c r="J450" s="24">
        <v>43246</v>
      </c>
    </row>
    <row r="451" spans="2:10" x14ac:dyDescent="0.2">
      <c r="B451" s="22">
        <v>446</v>
      </c>
      <c r="C451" s="23" t="s">
        <v>14577</v>
      </c>
      <c r="D451" s="23" t="s">
        <v>14208</v>
      </c>
      <c r="E451" s="20" t="s">
        <v>14578</v>
      </c>
      <c r="F451" s="22">
        <v>3</v>
      </c>
      <c r="G451" s="22" t="s">
        <v>2612</v>
      </c>
      <c r="H451" s="22">
        <v>1</v>
      </c>
      <c r="I451" s="25">
        <v>43254</v>
      </c>
      <c r="J451" s="24">
        <v>43414</v>
      </c>
    </row>
    <row r="452" spans="2:10" x14ac:dyDescent="0.2">
      <c r="B452" s="22">
        <v>447</v>
      </c>
      <c r="C452" s="23" t="s">
        <v>14579</v>
      </c>
      <c r="D452" s="23" t="s">
        <v>1294</v>
      </c>
      <c r="E452" s="20" t="s">
        <v>14580</v>
      </c>
      <c r="F452" s="22">
        <v>2</v>
      </c>
      <c r="G452" s="22" t="s">
        <v>14581</v>
      </c>
      <c r="H452" s="22">
        <v>1</v>
      </c>
      <c r="I452" s="25">
        <v>43107</v>
      </c>
      <c r="J452" s="24">
        <v>43127</v>
      </c>
    </row>
    <row r="453" spans="2:10" x14ac:dyDescent="0.2">
      <c r="B453" s="22">
        <v>448</v>
      </c>
      <c r="C453" s="27">
        <v>40858</v>
      </c>
      <c r="D453" s="23" t="s">
        <v>14582</v>
      </c>
      <c r="E453" s="20" t="s">
        <v>14583</v>
      </c>
      <c r="F453" s="22">
        <v>17</v>
      </c>
      <c r="G453" s="22" t="s">
        <v>14583</v>
      </c>
      <c r="H453" s="22">
        <v>17</v>
      </c>
      <c r="I453" s="25">
        <v>43415</v>
      </c>
      <c r="J453" s="24">
        <v>43417</v>
      </c>
    </row>
    <row r="454" spans="2:10" x14ac:dyDescent="0.2">
      <c r="B454" s="22">
        <v>449</v>
      </c>
      <c r="C454" s="23" t="s">
        <v>14584</v>
      </c>
      <c r="D454" s="23" t="s">
        <v>12374</v>
      </c>
      <c r="E454" s="20" t="s">
        <v>14585</v>
      </c>
      <c r="F454" s="22">
        <v>2</v>
      </c>
      <c r="G454" s="22" t="s">
        <v>14586</v>
      </c>
      <c r="H454" s="22">
        <v>2</v>
      </c>
      <c r="I454" s="25">
        <v>43226</v>
      </c>
      <c r="J454" s="24">
        <v>43414</v>
      </c>
    </row>
    <row r="455" spans="2:10" x14ac:dyDescent="0.2">
      <c r="B455" s="22">
        <v>450</v>
      </c>
      <c r="C455" s="23" t="s">
        <v>14587</v>
      </c>
      <c r="D455" s="23" t="s">
        <v>1880</v>
      </c>
      <c r="E455" s="20" t="s">
        <v>14588</v>
      </c>
      <c r="F455" s="22">
        <v>5</v>
      </c>
      <c r="G455" s="22" t="s">
        <v>14589</v>
      </c>
      <c r="H455" s="22">
        <v>2</v>
      </c>
      <c r="I455" s="25">
        <v>43233</v>
      </c>
      <c r="J455" s="24">
        <v>43330</v>
      </c>
    </row>
    <row r="456" spans="2:10" x14ac:dyDescent="0.2">
      <c r="B456" s="22">
        <v>451</v>
      </c>
      <c r="C456" s="23" t="s">
        <v>14590</v>
      </c>
      <c r="D456" s="23" t="s">
        <v>2051</v>
      </c>
      <c r="E456" s="20" t="s">
        <v>14591</v>
      </c>
      <c r="F456" s="22">
        <v>7</v>
      </c>
      <c r="G456" s="22" t="s">
        <v>13090</v>
      </c>
      <c r="H456" s="22">
        <v>7</v>
      </c>
      <c r="I456" s="25">
        <v>43254</v>
      </c>
      <c r="J456" s="24">
        <v>43330</v>
      </c>
    </row>
    <row r="457" spans="2:10" x14ac:dyDescent="0.2">
      <c r="B457" s="22">
        <v>452</v>
      </c>
      <c r="C457" s="23" t="s">
        <v>14592</v>
      </c>
      <c r="D457" s="23" t="s">
        <v>1183</v>
      </c>
      <c r="E457" s="20" t="s">
        <v>14593</v>
      </c>
      <c r="F457" s="22">
        <v>5</v>
      </c>
      <c r="G457" s="22" t="s">
        <v>14594</v>
      </c>
      <c r="H457" s="22">
        <v>5</v>
      </c>
      <c r="I457" s="25">
        <v>43184</v>
      </c>
      <c r="J457" s="24">
        <v>43232</v>
      </c>
    </row>
    <row r="458" spans="2:10" x14ac:dyDescent="0.2">
      <c r="B458" s="22">
        <v>453</v>
      </c>
      <c r="C458" s="23" t="s">
        <v>14595</v>
      </c>
      <c r="D458" s="23" t="s">
        <v>5254</v>
      </c>
      <c r="E458" s="20" t="s">
        <v>14596</v>
      </c>
      <c r="F458" s="22">
        <v>10</v>
      </c>
      <c r="G458" s="22" t="s">
        <v>14597</v>
      </c>
      <c r="H458" s="22">
        <v>10</v>
      </c>
      <c r="I458" s="25">
        <v>43408</v>
      </c>
      <c r="J458" s="24">
        <v>43421</v>
      </c>
    </row>
    <row r="459" spans="2:10" x14ac:dyDescent="0.2">
      <c r="B459" s="22">
        <v>454</v>
      </c>
      <c r="C459" s="23" t="s">
        <v>14598</v>
      </c>
      <c r="D459" s="23" t="s">
        <v>1377</v>
      </c>
      <c r="E459" s="20" t="s">
        <v>14599</v>
      </c>
      <c r="F459" s="22">
        <v>10</v>
      </c>
      <c r="G459" s="22" t="s">
        <v>14600</v>
      </c>
      <c r="H459" s="22">
        <v>10</v>
      </c>
      <c r="I459" s="25">
        <v>43373</v>
      </c>
      <c r="J459" s="24">
        <v>43386</v>
      </c>
    </row>
    <row r="460" spans="2:10" x14ac:dyDescent="0.2">
      <c r="B460" s="22">
        <v>455</v>
      </c>
      <c r="C460" s="23" t="s">
        <v>14601</v>
      </c>
      <c r="D460" s="23" t="s">
        <v>1612</v>
      </c>
      <c r="E460" s="20" t="s">
        <v>14602</v>
      </c>
      <c r="F460" s="22">
        <v>103</v>
      </c>
      <c r="G460" s="22" t="s">
        <v>14602</v>
      </c>
      <c r="H460" s="22">
        <v>103</v>
      </c>
      <c r="I460" s="25">
        <v>43191</v>
      </c>
      <c r="J460" s="24">
        <v>43197</v>
      </c>
    </row>
    <row r="461" spans="2:10" x14ac:dyDescent="0.2">
      <c r="B461" s="22">
        <v>456</v>
      </c>
      <c r="C461" s="23" t="s">
        <v>14603</v>
      </c>
      <c r="D461" s="23" t="s">
        <v>12261</v>
      </c>
      <c r="E461" s="20" t="s">
        <v>14604</v>
      </c>
      <c r="F461" s="22">
        <v>10</v>
      </c>
      <c r="G461" s="22" t="s">
        <v>14605</v>
      </c>
      <c r="H461" s="22">
        <v>10</v>
      </c>
      <c r="I461" s="25">
        <v>43338</v>
      </c>
      <c r="J461" s="24">
        <v>43344</v>
      </c>
    </row>
    <row r="462" spans="2:10" x14ac:dyDescent="0.2">
      <c r="B462" s="22">
        <v>457</v>
      </c>
      <c r="C462" s="23" t="s">
        <v>14606</v>
      </c>
      <c r="D462" s="23" t="s">
        <v>1294</v>
      </c>
      <c r="E462" s="20" t="s">
        <v>14607</v>
      </c>
      <c r="F462" s="22">
        <v>6</v>
      </c>
      <c r="G462" s="22" t="s">
        <v>14608</v>
      </c>
      <c r="H462" s="22">
        <v>6</v>
      </c>
      <c r="I462" s="25">
        <v>43177</v>
      </c>
      <c r="J462" s="24">
        <v>43197</v>
      </c>
    </row>
    <row r="463" spans="2:10" x14ac:dyDescent="0.2">
      <c r="B463" s="22">
        <v>458</v>
      </c>
      <c r="C463" s="23" t="s">
        <v>14609</v>
      </c>
      <c r="D463" s="23" t="s">
        <v>2197</v>
      </c>
      <c r="E463" s="20" t="s">
        <v>14610</v>
      </c>
      <c r="F463" s="22">
        <v>26</v>
      </c>
      <c r="G463" s="22" t="s">
        <v>14611</v>
      </c>
      <c r="H463" s="22">
        <v>26</v>
      </c>
      <c r="I463" s="25">
        <v>43338</v>
      </c>
      <c r="J463" s="24">
        <v>43351</v>
      </c>
    </row>
    <row r="464" spans="2:10" x14ac:dyDescent="0.2">
      <c r="B464" s="22">
        <v>459</v>
      </c>
      <c r="C464" s="23" t="s">
        <v>14612</v>
      </c>
      <c r="D464" s="23" t="s">
        <v>1739</v>
      </c>
      <c r="E464" s="20" t="s">
        <v>14613</v>
      </c>
      <c r="F464" s="22">
        <v>5</v>
      </c>
      <c r="G464" s="22" t="s">
        <v>14542</v>
      </c>
      <c r="H464" s="22">
        <v>1</v>
      </c>
      <c r="I464" s="25">
        <v>43233</v>
      </c>
      <c r="J464" s="24">
        <v>43333</v>
      </c>
    </row>
    <row r="465" spans="2:10" x14ac:dyDescent="0.2">
      <c r="B465" s="22">
        <v>460</v>
      </c>
      <c r="C465" s="23" t="s">
        <v>14614</v>
      </c>
      <c r="D465" s="23" t="s">
        <v>1804</v>
      </c>
      <c r="E465" s="20" t="s">
        <v>14615</v>
      </c>
      <c r="F465" s="22">
        <v>3</v>
      </c>
      <c r="G465" s="22" t="s">
        <v>14616</v>
      </c>
      <c r="H465" s="22">
        <v>1</v>
      </c>
      <c r="I465" s="25">
        <v>43289</v>
      </c>
      <c r="J465" s="24">
        <v>43400</v>
      </c>
    </row>
    <row r="466" spans="2:10" x14ac:dyDescent="0.2">
      <c r="B466" s="22">
        <v>461</v>
      </c>
      <c r="C466" s="23" t="s">
        <v>14617</v>
      </c>
      <c r="D466" s="23" t="s">
        <v>1880</v>
      </c>
      <c r="E466" s="20" t="s">
        <v>14618</v>
      </c>
      <c r="F466" s="22">
        <v>2</v>
      </c>
      <c r="G466" s="22" t="s">
        <v>14619</v>
      </c>
      <c r="H466" s="22">
        <v>1</v>
      </c>
      <c r="I466" s="25">
        <v>43422</v>
      </c>
      <c r="J466" s="24">
        <v>43133</v>
      </c>
    </row>
    <row r="467" spans="2:10" x14ac:dyDescent="0.2">
      <c r="B467" s="22">
        <v>462</v>
      </c>
      <c r="C467" s="23" t="s">
        <v>14620</v>
      </c>
      <c r="D467" s="23" t="s">
        <v>1294</v>
      </c>
      <c r="E467" s="20" t="s">
        <v>14621</v>
      </c>
      <c r="F467" s="22">
        <v>4</v>
      </c>
      <c r="G467" s="22" t="s">
        <v>14622</v>
      </c>
      <c r="H467" s="22">
        <v>4</v>
      </c>
      <c r="I467" s="25">
        <v>43296</v>
      </c>
      <c r="J467" s="24">
        <v>43337</v>
      </c>
    </row>
    <row r="468" spans="2:10" x14ac:dyDescent="0.2">
      <c r="B468" s="22">
        <v>463</v>
      </c>
      <c r="C468" s="23" t="s">
        <v>14623</v>
      </c>
      <c r="D468" s="23" t="s">
        <v>14208</v>
      </c>
      <c r="E468" s="20" t="s">
        <v>14624</v>
      </c>
      <c r="F468" s="22">
        <v>2</v>
      </c>
      <c r="G468" s="22" t="s">
        <v>14625</v>
      </c>
      <c r="H468" s="22">
        <v>1</v>
      </c>
      <c r="I468" s="25">
        <v>43245</v>
      </c>
      <c r="J468" s="24">
        <v>43379</v>
      </c>
    </row>
    <row r="469" spans="2:10" x14ac:dyDescent="0.2">
      <c r="B469" s="22">
        <v>464</v>
      </c>
      <c r="C469" s="23" t="s">
        <v>14626</v>
      </c>
      <c r="D469" s="23" t="s">
        <v>14076</v>
      </c>
      <c r="E469" s="20" t="s">
        <v>14627</v>
      </c>
      <c r="F469" s="22">
        <v>16</v>
      </c>
      <c r="G469" s="22" t="s">
        <v>1159</v>
      </c>
      <c r="H469" s="22">
        <v>3</v>
      </c>
      <c r="I469" s="25">
        <v>43380</v>
      </c>
      <c r="J469" s="24">
        <v>43105</v>
      </c>
    </row>
    <row r="470" spans="2:10" x14ac:dyDescent="0.2">
      <c r="B470" s="22">
        <v>465</v>
      </c>
      <c r="C470" s="23" t="s">
        <v>14628</v>
      </c>
      <c r="D470" s="23" t="s">
        <v>1880</v>
      </c>
      <c r="E470" s="20" t="s">
        <v>14629</v>
      </c>
      <c r="F470" s="22">
        <v>3</v>
      </c>
      <c r="G470" s="22" t="s">
        <v>5086</v>
      </c>
      <c r="H470" s="22">
        <v>1</v>
      </c>
      <c r="I470" s="25">
        <v>43359</v>
      </c>
      <c r="J470" s="24">
        <v>43140</v>
      </c>
    </row>
    <row r="471" spans="2:10" x14ac:dyDescent="0.2">
      <c r="B471" s="22">
        <v>466</v>
      </c>
      <c r="C471" s="23" t="s">
        <v>14630</v>
      </c>
      <c r="D471" s="23" t="s">
        <v>8353</v>
      </c>
      <c r="E471" s="20" t="s">
        <v>14631</v>
      </c>
      <c r="F471" s="22">
        <v>9</v>
      </c>
      <c r="G471" s="22" t="s">
        <v>14632</v>
      </c>
      <c r="H471" s="22">
        <v>9</v>
      </c>
      <c r="I471" s="25">
        <v>43170</v>
      </c>
      <c r="J471" s="24">
        <v>43190</v>
      </c>
    </row>
    <row r="472" spans="2:10" x14ac:dyDescent="0.2">
      <c r="B472" s="22">
        <v>467</v>
      </c>
      <c r="C472" s="23" t="s">
        <v>14633</v>
      </c>
      <c r="D472" s="23" t="s">
        <v>14634</v>
      </c>
      <c r="E472" s="20" t="s">
        <v>8815</v>
      </c>
      <c r="F472" s="22">
        <v>7</v>
      </c>
      <c r="G472" s="22" t="s">
        <v>14635</v>
      </c>
      <c r="H472" s="22">
        <v>7</v>
      </c>
      <c r="I472" s="25">
        <v>43394</v>
      </c>
      <c r="J472" s="24">
        <v>43407</v>
      </c>
    </row>
    <row r="473" spans="2:10" x14ac:dyDescent="0.2">
      <c r="B473" s="22">
        <v>468</v>
      </c>
      <c r="C473" s="23" t="s">
        <v>14636</v>
      </c>
      <c r="D473" s="23" t="s">
        <v>12261</v>
      </c>
      <c r="E473" s="20" t="s">
        <v>14637</v>
      </c>
      <c r="F473" s="22">
        <v>5</v>
      </c>
      <c r="G473" s="22" t="s">
        <v>14638</v>
      </c>
      <c r="H473" s="22">
        <v>5</v>
      </c>
      <c r="I473" s="25">
        <v>43359</v>
      </c>
      <c r="J473" s="24">
        <v>43379</v>
      </c>
    </row>
    <row r="474" spans="2:10" x14ac:dyDescent="0.2">
      <c r="B474" s="22">
        <v>469</v>
      </c>
      <c r="C474" s="23" t="s">
        <v>14639</v>
      </c>
      <c r="D474" s="23" t="s">
        <v>2197</v>
      </c>
      <c r="E474" s="20" t="s">
        <v>14640</v>
      </c>
      <c r="F474" s="22">
        <v>14</v>
      </c>
      <c r="G474" s="22" t="s">
        <v>14641</v>
      </c>
      <c r="H474" s="22">
        <v>3</v>
      </c>
      <c r="I474" s="25">
        <v>43135</v>
      </c>
      <c r="J474" s="24">
        <v>43148</v>
      </c>
    </row>
    <row r="475" spans="2:10" x14ac:dyDescent="0.2">
      <c r="B475" s="22">
        <v>470</v>
      </c>
      <c r="C475" s="23" t="s">
        <v>14642</v>
      </c>
      <c r="D475" s="23" t="s">
        <v>1294</v>
      </c>
      <c r="E475" s="20" t="s">
        <v>14643</v>
      </c>
      <c r="F475" s="22">
        <v>9</v>
      </c>
      <c r="G475" s="22" t="s">
        <v>14644</v>
      </c>
      <c r="H475" s="22">
        <v>2</v>
      </c>
      <c r="I475" s="25">
        <v>43135</v>
      </c>
      <c r="J475" s="24">
        <v>43162</v>
      </c>
    </row>
    <row r="476" spans="2:10" x14ac:dyDescent="0.2">
      <c r="B476" s="22">
        <v>471</v>
      </c>
      <c r="C476" s="23" t="s">
        <v>14645</v>
      </c>
      <c r="D476" s="23" t="s">
        <v>5197</v>
      </c>
      <c r="E476" s="20" t="s">
        <v>14646</v>
      </c>
      <c r="F476" s="22">
        <v>2</v>
      </c>
      <c r="G476" s="22" t="s">
        <v>14647</v>
      </c>
      <c r="H476" s="22">
        <v>1</v>
      </c>
      <c r="I476" s="25">
        <v>43331</v>
      </c>
      <c r="J476" s="22" t="s">
        <v>558</v>
      </c>
    </row>
    <row r="477" spans="2:10" x14ac:dyDescent="0.2">
      <c r="B477" s="22">
        <v>472</v>
      </c>
      <c r="C477" s="23" t="s">
        <v>14648</v>
      </c>
      <c r="D477" s="23" t="s">
        <v>1797</v>
      </c>
      <c r="E477" s="20" t="s">
        <v>14649</v>
      </c>
      <c r="F477" s="22">
        <v>3</v>
      </c>
      <c r="G477" s="22" t="s">
        <v>14650</v>
      </c>
      <c r="H477" s="22">
        <v>3</v>
      </c>
      <c r="I477" s="25">
        <v>43170</v>
      </c>
      <c r="J477" s="24">
        <v>43295</v>
      </c>
    </row>
    <row r="478" spans="2:10" x14ac:dyDescent="0.2">
      <c r="B478" s="22">
        <v>473</v>
      </c>
      <c r="C478" s="23" t="s">
        <v>14651</v>
      </c>
      <c r="D478" s="23" t="s">
        <v>2051</v>
      </c>
      <c r="E478" s="20" t="s">
        <v>14652</v>
      </c>
      <c r="F478" s="22">
        <v>4</v>
      </c>
      <c r="G478" s="22" t="s">
        <v>14653</v>
      </c>
      <c r="H478" s="22">
        <v>1</v>
      </c>
      <c r="I478" s="25">
        <v>43226</v>
      </c>
      <c r="J478" s="24">
        <v>43260</v>
      </c>
    </row>
    <row r="479" spans="2:10" x14ac:dyDescent="0.2">
      <c r="B479" s="22">
        <v>474</v>
      </c>
      <c r="C479" s="23" t="s">
        <v>14654</v>
      </c>
      <c r="D479" s="23" t="s">
        <v>1043</v>
      </c>
      <c r="E479" s="20" t="s">
        <v>14655</v>
      </c>
      <c r="F479" s="22">
        <v>30</v>
      </c>
      <c r="G479" s="22" t="s">
        <v>14656</v>
      </c>
      <c r="H479" s="22">
        <v>30</v>
      </c>
      <c r="I479" s="25">
        <v>43149</v>
      </c>
      <c r="J479" s="24">
        <v>43162</v>
      </c>
    </row>
    <row r="480" spans="2:10" x14ac:dyDescent="0.2">
      <c r="B480" s="22">
        <v>475</v>
      </c>
      <c r="C480" s="23" t="s">
        <v>14657</v>
      </c>
      <c r="D480" s="23" t="s">
        <v>1159</v>
      </c>
      <c r="E480" s="20" t="s">
        <v>14658</v>
      </c>
      <c r="F480" s="22">
        <v>1</v>
      </c>
      <c r="G480" s="22" t="s">
        <v>14659</v>
      </c>
      <c r="H480" s="22">
        <v>1</v>
      </c>
      <c r="I480" s="25">
        <v>43352</v>
      </c>
      <c r="J480" s="24">
        <v>43365</v>
      </c>
    </row>
    <row r="481" spans="2:10" x14ac:dyDescent="0.2">
      <c r="B481" s="22">
        <v>476</v>
      </c>
      <c r="C481" s="23" t="s">
        <v>14660</v>
      </c>
      <c r="D481" s="23" t="s">
        <v>7800</v>
      </c>
      <c r="E481" s="20" t="s">
        <v>14661</v>
      </c>
      <c r="F481" s="22">
        <v>10</v>
      </c>
      <c r="G481" s="22" t="s">
        <v>4211</v>
      </c>
      <c r="H481" s="22">
        <v>10</v>
      </c>
      <c r="I481" s="25">
        <v>43387</v>
      </c>
      <c r="J481" s="24">
        <v>43393</v>
      </c>
    </row>
    <row r="482" spans="2:10" x14ac:dyDescent="0.2">
      <c r="B482" s="22">
        <v>477</v>
      </c>
      <c r="C482" s="23" t="s">
        <v>14662</v>
      </c>
      <c r="D482" s="23" t="s">
        <v>1797</v>
      </c>
      <c r="E482" s="20" t="s">
        <v>12757</v>
      </c>
      <c r="F482" s="22">
        <v>2</v>
      </c>
      <c r="G482" s="22" t="s">
        <v>14663</v>
      </c>
      <c r="H482" s="22">
        <v>2</v>
      </c>
      <c r="I482" s="25">
        <v>43289</v>
      </c>
      <c r="J482" s="24">
        <v>43216</v>
      </c>
    </row>
    <row r="483" spans="2:10" x14ac:dyDescent="0.2">
      <c r="B483" s="22">
        <v>478</v>
      </c>
      <c r="C483" s="23" t="s">
        <v>14664</v>
      </c>
      <c r="D483" s="23" t="s">
        <v>6537</v>
      </c>
      <c r="E483" s="20" t="s">
        <v>14665</v>
      </c>
      <c r="F483" s="22">
        <v>8</v>
      </c>
      <c r="G483" s="22" t="s">
        <v>1159</v>
      </c>
      <c r="H483" s="22" t="s">
        <v>1159</v>
      </c>
      <c r="I483" s="25">
        <v>43338</v>
      </c>
      <c r="J483" s="24">
        <v>43393</v>
      </c>
    </row>
    <row r="484" spans="2:10" x14ac:dyDescent="0.2">
      <c r="B484" s="22">
        <v>479</v>
      </c>
      <c r="C484" s="23" t="s">
        <v>14666</v>
      </c>
      <c r="D484" s="23" t="s">
        <v>10203</v>
      </c>
      <c r="E484" s="20" t="s">
        <v>14667</v>
      </c>
      <c r="F484" s="22">
        <v>1</v>
      </c>
      <c r="G484" s="22" t="s">
        <v>1159</v>
      </c>
      <c r="H484" s="22">
        <v>1</v>
      </c>
      <c r="I484" s="25">
        <v>43275</v>
      </c>
      <c r="J484" s="24">
        <v>43435</v>
      </c>
    </row>
    <row r="485" spans="2:10" x14ac:dyDescent="0.2">
      <c r="B485" s="22">
        <v>480</v>
      </c>
      <c r="C485" s="23" t="s">
        <v>14668</v>
      </c>
      <c r="D485" s="23" t="s">
        <v>4805</v>
      </c>
      <c r="E485" s="20" t="s">
        <v>14669</v>
      </c>
      <c r="F485" s="22">
        <v>2</v>
      </c>
      <c r="G485" s="22" t="s">
        <v>1159</v>
      </c>
      <c r="H485" s="22" t="s">
        <v>1159</v>
      </c>
      <c r="I485" s="25">
        <v>43240</v>
      </c>
      <c r="J485" s="24">
        <v>43324</v>
      </c>
    </row>
    <row r="486" spans="2:10" x14ac:dyDescent="0.2">
      <c r="B486" s="22">
        <v>481</v>
      </c>
      <c r="C486" s="23" t="s">
        <v>14670</v>
      </c>
      <c r="D486" s="23" t="s">
        <v>1039</v>
      </c>
      <c r="E486" s="20" t="s">
        <v>14671</v>
      </c>
      <c r="F486" s="22">
        <v>6</v>
      </c>
      <c r="G486" s="22" t="s">
        <v>14672</v>
      </c>
      <c r="H486" s="22">
        <v>1</v>
      </c>
      <c r="I486" s="25">
        <v>43149</v>
      </c>
      <c r="J486" s="24">
        <v>43176</v>
      </c>
    </row>
    <row r="487" spans="2:10" x14ac:dyDescent="0.2">
      <c r="B487" s="22">
        <v>482</v>
      </c>
      <c r="C487" s="23" t="s">
        <v>14673</v>
      </c>
      <c r="D487" s="23" t="s">
        <v>1039</v>
      </c>
      <c r="E487" s="20" t="s">
        <v>14674</v>
      </c>
      <c r="F487" s="22">
        <v>5</v>
      </c>
      <c r="G487" s="22" t="s">
        <v>14675</v>
      </c>
      <c r="H487" s="22">
        <v>2</v>
      </c>
      <c r="I487" s="25">
        <v>43170</v>
      </c>
      <c r="J487" s="24">
        <v>43204</v>
      </c>
    </row>
    <row r="488" spans="2:10" x14ac:dyDescent="0.2">
      <c r="B488" s="22">
        <v>483</v>
      </c>
      <c r="C488" s="23" t="s">
        <v>14676</v>
      </c>
      <c r="D488" s="23" t="s">
        <v>12870</v>
      </c>
      <c r="E488" s="20" t="s">
        <v>14677</v>
      </c>
      <c r="F488" s="22">
        <v>3</v>
      </c>
      <c r="G488" s="22" t="s">
        <v>14678</v>
      </c>
      <c r="H488" s="22">
        <v>1</v>
      </c>
      <c r="I488" s="25">
        <v>43366</v>
      </c>
      <c r="J488" s="24">
        <v>43393</v>
      </c>
    </row>
    <row r="489" spans="2:10" x14ac:dyDescent="0.2">
      <c r="B489" s="22">
        <v>484</v>
      </c>
      <c r="C489" s="23" t="s">
        <v>14679</v>
      </c>
      <c r="D489" s="23" t="s">
        <v>1804</v>
      </c>
      <c r="E489" s="20" t="s">
        <v>14680</v>
      </c>
      <c r="F489" s="22">
        <v>5</v>
      </c>
      <c r="G489" s="22" t="s">
        <v>14681</v>
      </c>
      <c r="H489" s="22">
        <v>5</v>
      </c>
      <c r="I489" s="25">
        <v>43422</v>
      </c>
      <c r="J489" s="24">
        <v>43174</v>
      </c>
    </row>
    <row r="490" spans="2:10" x14ac:dyDescent="0.2">
      <c r="B490" s="22">
        <v>485</v>
      </c>
      <c r="C490" s="23" t="s">
        <v>14682</v>
      </c>
      <c r="D490" s="23" t="s">
        <v>1039</v>
      </c>
      <c r="E490" s="20" t="s">
        <v>14683</v>
      </c>
      <c r="F490" s="22">
        <v>4</v>
      </c>
      <c r="G490" s="22" t="s">
        <v>14684</v>
      </c>
      <c r="H490" s="22">
        <v>2</v>
      </c>
      <c r="I490" s="25">
        <v>43198</v>
      </c>
      <c r="J490" s="24">
        <v>43239</v>
      </c>
    </row>
    <row r="491" spans="2:10" x14ac:dyDescent="0.2">
      <c r="B491" s="22">
        <v>486</v>
      </c>
      <c r="C491" s="23" t="s">
        <v>14685</v>
      </c>
      <c r="D491" s="23" t="s">
        <v>4583</v>
      </c>
      <c r="E491" s="20" t="s">
        <v>14686</v>
      </c>
      <c r="F491" s="22">
        <v>75</v>
      </c>
      <c r="G491" s="22" t="s">
        <v>14687</v>
      </c>
      <c r="H491" s="22">
        <v>75</v>
      </c>
      <c r="I491" s="25">
        <v>43401</v>
      </c>
      <c r="J491" s="24">
        <v>43407</v>
      </c>
    </row>
    <row r="492" spans="2:10" x14ac:dyDescent="0.2">
      <c r="B492" s="22">
        <v>487</v>
      </c>
      <c r="C492" s="23" t="s">
        <v>14688</v>
      </c>
      <c r="D492" s="23" t="s">
        <v>7161</v>
      </c>
      <c r="E492" s="20" t="s">
        <v>14689</v>
      </c>
      <c r="F492" s="22">
        <v>1</v>
      </c>
      <c r="G492" s="22" t="s">
        <v>14690</v>
      </c>
      <c r="H492" s="22">
        <v>1</v>
      </c>
      <c r="I492" s="25">
        <v>43301</v>
      </c>
      <c r="J492" s="22" t="s">
        <v>558</v>
      </c>
    </row>
    <row r="493" spans="2:10" x14ac:dyDescent="0.2">
      <c r="B493" s="22">
        <v>488</v>
      </c>
      <c r="C493" s="23" t="s">
        <v>14691</v>
      </c>
      <c r="D493" s="23" t="s">
        <v>1043</v>
      </c>
      <c r="E493" s="20" t="s">
        <v>14692</v>
      </c>
      <c r="F493" s="22">
        <v>21</v>
      </c>
      <c r="G493" s="22" t="s">
        <v>14693</v>
      </c>
      <c r="H493" s="22">
        <v>21</v>
      </c>
      <c r="I493" s="25">
        <v>43436</v>
      </c>
      <c r="J493" s="24">
        <v>43452</v>
      </c>
    </row>
    <row r="494" spans="2:10" x14ac:dyDescent="0.2">
      <c r="B494" s="22">
        <v>489</v>
      </c>
      <c r="C494" s="23" t="s">
        <v>14694</v>
      </c>
      <c r="D494" s="23" t="s">
        <v>1804</v>
      </c>
      <c r="E494" s="20" t="s">
        <v>14695</v>
      </c>
      <c r="F494" s="22">
        <v>3</v>
      </c>
      <c r="G494" s="22" t="s">
        <v>11257</v>
      </c>
      <c r="H494" s="22">
        <v>1</v>
      </c>
      <c r="I494" s="25">
        <v>43217</v>
      </c>
      <c r="J494" s="24">
        <v>43344</v>
      </c>
    </row>
    <row r="495" spans="2:10" x14ac:dyDescent="0.2">
      <c r="B495" s="22">
        <v>490</v>
      </c>
      <c r="C495" s="23" t="s">
        <v>14696</v>
      </c>
      <c r="D495" s="23" t="s">
        <v>1142</v>
      </c>
      <c r="E495" s="20" t="s">
        <v>14697</v>
      </c>
      <c r="F495" s="22">
        <v>5</v>
      </c>
      <c r="G495" s="22" t="s">
        <v>14698</v>
      </c>
      <c r="H495" s="22">
        <v>1</v>
      </c>
      <c r="I495" s="25">
        <v>43170</v>
      </c>
      <c r="J495" s="22" t="s">
        <v>558</v>
      </c>
    </row>
    <row r="496" spans="2:10" x14ac:dyDescent="0.2">
      <c r="B496" s="22">
        <v>491</v>
      </c>
      <c r="C496" s="23" t="s">
        <v>14699</v>
      </c>
      <c r="D496" s="23" t="s">
        <v>1415</v>
      </c>
      <c r="E496" s="20" t="s">
        <v>14700</v>
      </c>
      <c r="F496" s="22">
        <v>29</v>
      </c>
      <c r="G496" s="22" t="s">
        <v>14701</v>
      </c>
      <c r="H496" s="22">
        <v>29</v>
      </c>
      <c r="I496" s="25">
        <v>43268</v>
      </c>
      <c r="J496" s="22" t="s">
        <v>558</v>
      </c>
    </row>
    <row r="497" spans="2:10" x14ac:dyDescent="0.2">
      <c r="B497" s="22">
        <v>492</v>
      </c>
      <c r="C497" s="23" t="s">
        <v>14702</v>
      </c>
      <c r="D497" s="23" t="s">
        <v>1739</v>
      </c>
      <c r="E497" s="20" t="s">
        <v>14703</v>
      </c>
      <c r="F497" s="22">
        <v>1</v>
      </c>
      <c r="G497" s="22" t="s">
        <v>2533</v>
      </c>
      <c r="H497" s="22">
        <v>1</v>
      </c>
      <c r="I497" s="25">
        <v>43345</v>
      </c>
      <c r="J497" s="24">
        <v>43400</v>
      </c>
    </row>
    <row r="498" spans="2:10" x14ac:dyDescent="0.2">
      <c r="B498" s="22">
        <v>493</v>
      </c>
      <c r="C498" s="23" t="s">
        <v>14704</v>
      </c>
      <c r="D498" s="23" t="s">
        <v>1804</v>
      </c>
      <c r="E498" s="20" t="s">
        <v>14705</v>
      </c>
      <c r="F498" s="22">
        <v>3</v>
      </c>
      <c r="G498" s="22" t="s">
        <v>14706</v>
      </c>
      <c r="H498" s="22">
        <v>1</v>
      </c>
      <c r="I498" s="25">
        <v>43233</v>
      </c>
      <c r="J498" s="24">
        <v>43323</v>
      </c>
    </row>
    <row r="499" spans="2:10" x14ac:dyDescent="0.2">
      <c r="B499" s="22">
        <v>494</v>
      </c>
      <c r="C499" s="23" t="s">
        <v>14707</v>
      </c>
      <c r="D499" s="23" t="s">
        <v>1532</v>
      </c>
      <c r="E499" s="20" t="s">
        <v>14708</v>
      </c>
      <c r="F499" s="22">
        <v>2</v>
      </c>
      <c r="G499" s="22" t="s">
        <v>14709</v>
      </c>
      <c r="H499" s="22">
        <v>2</v>
      </c>
      <c r="I499" s="25">
        <v>43408</v>
      </c>
      <c r="J499" s="22" t="s">
        <v>558</v>
      </c>
    </row>
    <row r="500" spans="2:10" x14ac:dyDescent="0.2">
      <c r="B500" s="22">
        <v>495</v>
      </c>
      <c r="C500" s="23" t="s">
        <v>14710</v>
      </c>
      <c r="D500" s="23" t="s">
        <v>7135</v>
      </c>
      <c r="E500" s="20" t="s">
        <v>14711</v>
      </c>
      <c r="F500" s="22">
        <v>2</v>
      </c>
      <c r="G500" s="22" t="s">
        <v>14712</v>
      </c>
      <c r="H500" s="22">
        <v>1</v>
      </c>
      <c r="I500" s="25">
        <v>43149</v>
      </c>
      <c r="J500" s="24">
        <v>43169</v>
      </c>
    </row>
    <row r="501" spans="2:10" x14ac:dyDescent="0.2">
      <c r="B501" s="22">
        <v>496</v>
      </c>
      <c r="C501" s="23" t="s">
        <v>14713</v>
      </c>
      <c r="D501" s="23" t="s">
        <v>14714</v>
      </c>
      <c r="E501" s="20" t="s">
        <v>14715</v>
      </c>
      <c r="F501" s="22">
        <v>2</v>
      </c>
      <c r="G501" s="22" t="s">
        <v>14716</v>
      </c>
      <c r="H501" s="22">
        <v>2</v>
      </c>
      <c r="I501" s="25">
        <v>43128</v>
      </c>
      <c r="J501" s="24">
        <v>43155</v>
      </c>
    </row>
    <row r="502" spans="2:10" x14ac:dyDescent="0.2">
      <c r="B502" s="22">
        <v>497</v>
      </c>
      <c r="C502" s="23" t="s">
        <v>14717</v>
      </c>
      <c r="D502" s="23" t="s">
        <v>2197</v>
      </c>
      <c r="E502" s="20" t="s">
        <v>14718</v>
      </c>
      <c r="F502" s="22">
        <v>11</v>
      </c>
      <c r="G502" s="22" t="s">
        <v>6562</v>
      </c>
      <c r="H502" s="22">
        <v>2</v>
      </c>
      <c r="I502" s="25">
        <v>43233</v>
      </c>
      <c r="J502" s="24">
        <v>43260</v>
      </c>
    </row>
    <row r="503" spans="2:10" x14ac:dyDescent="0.2">
      <c r="B503" s="22">
        <v>498</v>
      </c>
      <c r="C503" s="23" t="s">
        <v>14719</v>
      </c>
      <c r="D503" s="23" t="s">
        <v>1294</v>
      </c>
      <c r="E503" s="20" t="s">
        <v>14720</v>
      </c>
      <c r="F503" s="22">
        <v>3</v>
      </c>
      <c r="G503" s="22" t="s">
        <v>14721</v>
      </c>
      <c r="H503" s="22">
        <v>1</v>
      </c>
      <c r="I503" s="25">
        <v>43429</v>
      </c>
      <c r="J503" s="24">
        <v>43452</v>
      </c>
    </row>
    <row r="504" spans="2:10" x14ac:dyDescent="0.2">
      <c r="B504" s="22">
        <v>499</v>
      </c>
      <c r="C504" s="23" t="s">
        <v>14722</v>
      </c>
      <c r="D504" s="23" t="s">
        <v>14723</v>
      </c>
      <c r="E504" s="20" t="s">
        <v>14724</v>
      </c>
      <c r="F504" s="22">
        <v>1</v>
      </c>
      <c r="G504" s="22" t="s">
        <v>1159</v>
      </c>
      <c r="H504" s="22" t="s">
        <v>1159</v>
      </c>
      <c r="I504" s="25">
        <v>43233</v>
      </c>
      <c r="J504" s="24">
        <v>43393</v>
      </c>
    </row>
    <row r="505" spans="2:10" x14ac:dyDescent="0.2">
      <c r="B505" s="22">
        <v>500</v>
      </c>
      <c r="C505" s="23" t="s">
        <v>14725</v>
      </c>
      <c r="D505" s="23" t="s">
        <v>1909</v>
      </c>
      <c r="E505" s="20" t="s">
        <v>14726</v>
      </c>
      <c r="F505" s="22">
        <v>2</v>
      </c>
      <c r="G505" s="22" t="s">
        <v>4962</v>
      </c>
      <c r="H505" s="22">
        <v>1</v>
      </c>
      <c r="I505" s="25">
        <v>43387</v>
      </c>
      <c r="J505" s="24">
        <v>43129</v>
      </c>
    </row>
    <row r="506" spans="2:10" x14ac:dyDescent="0.2">
      <c r="B506" s="22">
        <v>501</v>
      </c>
      <c r="C506" s="23" t="s">
        <v>14727</v>
      </c>
      <c r="D506" s="23" t="s">
        <v>6897</v>
      </c>
      <c r="E506" s="20" t="s">
        <v>14728</v>
      </c>
      <c r="F506" s="22">
        <v>1</v>
      </c>
      <c r="G506" s="22" t="s">
        <v>14729</v>
      </c>
      <c r="H506" s="22">
        <v>1</v>
      </c>
      <c r="I506" s="25">
        <v>43268</v>
      </c>
      <c r="J506" s="24">
        <v>43288</v>
      </c>
    </row>
    <row r="507" spans="2:10" x14ac:dyDescent="0.2">
      <c r="B507" s="22">
        <v>502</v>
      </c>
      <c r="C507" s="23" t="s">
        <v>14730</v>
      </c>
      <c r="D507" s="23" t="s">
        <v>4583</v>
      </c>
      <c r="E507" s="20" t="s">
        <v>14731</v>
      </c>
      <c r="F507" s="22">
        <v>5</v>
      </c>
      <c r="G507" s="22" t="s">
        <v>14732</v>
      </c>
      <c r="H507" s="22">
        <v>5</v>
      </c>
      <c r="I507" s="25">
        <v>43450</v>
      </c>
      <c r="J507" s="24">
        <v>43143</v>
      </c>
    </row>
    <row r="508" spans="2:10" x14ac:dyDescent="0.2">
      <c r="B508" s="22">
        <v>503</v>
      </c>
      <c r="C508" s="23" t="s">
        <v>14733</v>
      </c>
      <c r="D508" s="23" t="s">
        <v>5254</v>
      </c>
      <c r="E508" s="20" t="s">
        <v>14734</v>
      </c>
      <c r="F508" s="22">
        <v>6</v>
      </c>
      <c r="G508" s="22" t="s">
        <v>14735</v>
      </c>
      <c r="H508" s="22">
        <v>2</v>
      </c>
      <c r="I508" s="25">
        <v>43331</v>
      </c>
      <c r="J508" s="24">
        <v>43358</v>
      </c>
    </row>
    <row r="509" spans="2:10" x14ac:dyDescent="0.2">
      <c r="B509" s="22">
        <v>504</v>
      </c>
      <c r="C509" s="23" t="s">
        <v>14736</v>
      </c>
      <c r="D509" s="23" t="s">
        <v>8353</v>
      </c>
      <c r="E509" s="20" t="s">
        <v>14737</v>
      </c>
      <c r="F509" s="22">
        <v>3</v>
      </c>
      <c r="G509" s="22" t="s">
        <v>1159</v>
      </c>
      <c r="H509" s="22">
        <v>1</v>
      </c>
      <c r="I509" s="25">
        <v>43324</v>
      </c>
      <c r="J509" s="24">
        <v>43456</v>
      </c>
    </row>
    <row r="510" spans="2:10" x14ac:dyDescent="0.2">
      <c r="B510" s="22">
        <v>505</v>
      </c>
      <c r="C510" s="23" t="s">
        <v>14738</v>
      </c>
      <c r="D510" s="23" t="s">
        <v>14582</v>
      </c>
      <c r="E510" s="20" t="s">
        <v>8925</v>
      </c>
      <c r="F510" s="22">
        <v>1</v>
      </c>
      <c r="G510" s="22" t="s">
        <v>14739</v>
      </c>
      <c r="H510" s="22">
        <v>1</v>
      </c>
      <c r="I510" s="25">
        <v>43366</v>
      </c>
      <c r="J510" s="24">
        <v>43379</v>
      </c>
    </row>
    <row r="511" spans="2:10" x14ac:dyDescent="0.2">
      <c r="B511" s="22">
        <v>506</v>
      </c>
      <c r="C511" s="23" t="s">
        <v>14740</v>
      </c>
      <c r="D511" s="23" t="s">
        <v>1559</v>
      </c>
      <c r="E511" s="20" t="s">
        <v>14741</v>
      </c>
      <c r="F511" s="22">
        <v>1</v>
      </c>
      <c r="G511" s="22" t="s">
        <v>14741</v>
      </c>
      <c r="H511" s="22">
        <v>1</v>
      </c>
      <c r="I511" s="25">
        <v>43184</v>
      </c>
      <c r="J511" s="24">
        <v>43190</v>
      </c>
    </row>
    <row r="512" spans="2:10" x14ac:dyDescent="0.2">
      <c r="B512" s="22">
        <v>507</v>
      </c>
      <c r="C512" s="23" t="s">
        <v>14742</v>
      </c>
      <c r="D512" s="23" t="s">
        <v>1294</v>
      </c>
      <c r="E512" s="20" t="s">
        <v>14743</v>
      </c>
      <c r="F512" s="22">
        <v>2</v>
      </c>
      <c r="G512" s="22" t="s">
        <v>14744</v>
      </c>
      <c r="H512" s="22">
        <v>1</v>
      </c>
      <c r="I512" s="25">
        <v>43415</v>
      </c>
      <c r="J512" s="24">
        <v>43435</v>
      </c>
    </row>
    <row r="513" spans="2:10" x14ac:dyDescent="0.2">
      <c r="B513" s="22">
        <v>508</v>
      </c>
      <c r="C513" s="23" t="s">
        <v>14745</v>
      </c>
      <c r="D513" s="23" t="s">
        <v>14746</v>
      </c>
      <c r="E513" s="20" t="s">
        <v>14747</v>
      </c>
      <c r="F513" s="22">
        <v>2</v>
      </c>
      <c r="G513" s="22" t="s">
        <v>1885</v>
      </c>
      <c r="H513" s="22">
        <v>1</v>
      </c>
      <c r="I513" s="25">
        <v>43289</v>
      </c>
      <c r="J513" s="24">
        <v>43309</v>
      </c>
    </row>
    <row r="514" spans="2:10" x14ac:dyDescent="0.2">
      <c r="B514" s="22">
        <v>509</v>
      </c>
      <c r="C514" s="23" t="s">
        <v>14748</v>
      </c>
      <c r="D514" s="23" t="s">
        <v>12870</v>
      </c>
      <c r="E514" s="20" t="s">
        <v>14749</v>
      </c>
      <c r="F514" s="22">
        <v>2</v>
      </c>
      <c r="G514" s="22" t="s">
        <v>13211</v>
      </c>
      <c r="H514" s="22">
        <v>1</v>
      </c>
      <c r="I514" s="25">
        <v>43205</v>
      </c>
      <c r="J514" s="24">
        <v>43260</v>
      </c>
    </row>
    <row r="515" spans="2:10" x14ac:dyDescent="0.2">
      <c r="B515" s="22">
        <v>510</v>
      </c>
      <c r="C515" s="23" t="s">
        <v>14750</v>
      </c>
      <c r="D515" s="23" t="s">
        <v>14751</v>
      </c>
      <c r="E515" s="20" t="s">
        <v>14752</v>
      </c>
      <c r="F515" s="22">
        <v>3</v>
      </c>
      <c r="G515" s="22" t="s">
        <v>14753</v>
      </c>
      <c r="H515" s="22">
        <v>3</v>
      </c>
      <c r="I515" s="25">
        <v>43226</v>
      </c>
      <c r="J515" s="24">
        <v>43295</v>
      </c>
    </row>
    <row r="516" spans="2:10" x14ac:dyDescent="0.2">
      <c r="B516" s="22">
        <v>511</v>
      </c>
      <c r="C516" s="23" t="s">
        <v>14754</v>
      </c>
      <c r="D516" s="23" t="s">
        <v>1797</v>
      </c>
      <c r="E516" s="20" t="s">
        <v>14755</v>
      </c>
      <c r="F516" s="22">
        <v>3</v>
      </c>
      <c r="G516" s="22" t="s">
        <v>14756</v>
      </c>
      <c r="H516" s="22">
        <v>1</v>
      </c>
      <c r="I516" s="25">
        <v>43205</v>
      </c>
      <c r="J516" s="24">
        <v>43295</v>
      </c>
    </row>
    <row r="517" spans="2:10" x14ac:dyDescent="0.2">
      <c r="B517" s="22">
        <v>512</v>
      </c>
      <c r="C517" s="23" t="s">
        <v>14757</v>
      </c>
      <c r="D517" s="23" t="s">
        <v>1039</v>
      </c>
      <c r="E517" s="20" t="s">
        <v>14758</v>
      </c>
      <c r="F517" s="22">
        <v>4</v>
      </c>
      <c r="G517" s="22" t="s">
        <v>14759</v>
      </c>
      <c r="H517" s="22">
        <v>3</v>
      </c>
      <c r="I517" s="25">
        <v>43114</v>
      </c>
      <c r="J517" s="24">
        <v>43134</v>
      </c>
    </row>
    <row r="518" spans="2:10" x14ac:dyDescent="0.2">
      <c r="B518" s="22">
        <v>513</v>
      </c>
      <c r="C518" s="23" t="s">
        <v>14760</v>
      </c>
      <c r="D518" s="23" t="s">
        <v>14208</v>
      </c>
      <c r="E518" s="20" t="s">
        <v>14761</v>
      </c>
      <c r="F518" s="22">
        <v>1</v>
      </c>
      <c r="G518" s="22" t="s">
        <v>14762</v>
      </c>
      <c r="H518" s="22">
        <v>1</v>
      </c>
      <c r="I518" s="25">
        <v>43205</v>
      </c>
      <c r="J518" s="24">
        <v>43337</v>
      </c>
    </row>
    <row r="519" spans="2:10" x14ac:dyDescent="0.2">
      <c r="B519" s="22">
        <v>514</v>
      </c>
      <c r="C519" s="23" t="s">
        <v>14763</v>
      </c>
      <c r="D519" s="23" t="s">
        <v>1294</v>
      </c>
      <c r="E519" s="20" t="s">
        <v>14764</v>
      </c>
      <c r="F519" s="22">
        <v>5</v>
      </c>
      <c r="G519" s="22" t="s">
        <v>14765</v>
      </c>
      <c r="H519" s="22">
        <v>3</v>
      </c>
      <c r="I519" s="25">
        <v>43184</v>
      </c>
      <c r="J519" s="24">
        <v>43204</v>
      </c>
    </row>
    <row r="520" spans="2:10" x14ac:dyDescent="0.2">
      <c r="B520" s="22">
        <v>515</v>
      </c>
      <c r="C520" s="23" t="s">
        <v>14766</v>
      </c>
      <c r="D520" s="23" t="s">
        <v>1377</v>
      </c>
      <c r="E520" s="20" t="s">
        <v>14767</v>
      </c>
      <c r="F520" s="22">
        <v>9</v>
      </c>
      <c r="G520" s="22" t="s">
        <v>14768</v>
      </c>
      <c r="H520" s="22">
        <v>9</v>
      </c>
      <c r="I520" s="25">
        <v>43373</v>
      </c>
      <c r="J520" s="22" t="s">
        <v>558</v>
      </c>
    </row>
    <row r="521" spans="2:10" x14ac:dyDescent="0.2">
      <c r="B521" s="22">
        <v>516</v>
      </c>
      <c r="C521" s="23" t="s">
        <v>14769</v>
      </c>
      <c r="D521" s="23" t="s">
        <v>14770</v>
      </c>
      <c r="E521" s="20" t="s">
        <v>14771</v>
      </c>
      <c r="F521" s="22">
        <v>2</v>
      </c>
      <c r="G521" s="22" t="s">
        <v>14772</v>
      </c>
      <c r="H521" s="22">
        <v>2</v>
      </c>
      <c r="I521" s="25">
        <v>43219</v>
      </c>
      <c r="J521" s="24">
        <v>43232</v>
      </c>
    </row>
    <row r="522" spans="2:10" x14ac:dyDescent="0.2">
      <c r="B522" s="22">
        <v>517</v>
      </c>
      <c r="C522" s="23" t="s">
        <v>14773</v>
      </c>
      <c r="D522" s="23" t="s">
        <v>9796</v>
      </c>
      <c r="E522" s="20" t="s">
        <v>14774</v>
      </c>
      <c r="F522" s="22">
        <v>3</v>
      </c>
      <c r="G522" s="22" t="s">
        <v>11266</v>
      </c>
      <c r="H522" s="22">
        <v>1</v>
      </c>
      <c r="I522" s="25">
        <v>43373</v>
      </c>
      <c r="J522" s="24">
        <v>43393</v>
      </c>
    </row>
    <row r="523" spans="2:10" x14ac:dyDescent="0.2">
      <c r="B523" s="22">
        <v>518</v>
      </c>
      <c r="C523" s="23" t="s">
        <v>14775</v>
      </c>
      <c r="D523" s="23" t="s">
        <v>14776</v>
      </c>
      <c r="E523" s="20" t="s">
        <v>14777</v>
      </c>
      <c r="F523" s="22">
        <v>1</v>
      </c>
      <c r="G523" s="22" t="s">
        <v>10764</v>
      </c>
      <c r="H523" s="22">
        <v>1</v>
      </c>
      <c r="I523" s="25">
        <v>43163</v>
      </c>
      <c r="J523" s="24">
        <v>43260</v>
      </c>
    </row>
    <row r="524" spans="2:10" x14ac:dyDescent="0.2">
      <c r="B524" s="22">
        <v>519</v>
      </c>
      <c r="C524" s="23" t="s">
        <v>14778</v>
      </c>
      <c r="D524" s="23" t="s">
        <v>1804</v>
      </c>
      <c r="E524" s="20" t="s">
        <v>14779</v>
      </c>
      <c r="F524" s="22">
        <v>2</v>
      </c>
      <c r="G524" s="22" t="s">
        <v>14780</v>
      </c>
      <c r="H524" s="22">
        <v>1</v>
      </c>
      <c r="I524" s="25">
        <v>43275</v>
      </c>
      <c r="J524" s="24">
        <v>43379</v>
      </c>
    </row>
    <row r="525" spans="2:10" x14ac:dyDescent="0.2">
      <c r="B525" s="22">
        <v>520</v>
      </c>
      <c r="C525" s="23" t="s">
        <v>14781</v>
      </c>
      <c r="D525" s="23" t="s">
        <v>1594</v>
      </c>
      <c r="E525" s="20" t="s">
        <v>14782</v>
      </c>
      <c r="F525" s="22">
        <v>10</v>
      </c>
      <c r="G525" s="22" t="s">
        <v>14783</v>
      </c>
      <c r="H525" s="22">
        <v>10</v>
      </c>
      <c r="I525" s="25">
        <v>43240</v>
      </c>
      <c r="J525" s="24">
        <v>43246</v>
      </c>
    </row>
    <row r="526" spans="2:10" x14ac:dyDescent="0.2">
      <c r="B526" s="22">
        <v>521</v>
      </c>
      <c r="C526" s="23" t="s">
        <v>14784</v>
      </c>
      <c r="D526" s="23" t="s">
        <v>12478</v>
      </c>
      <c r="E526" s="20" t="s">
        <v>14785</v>
      </c>
      <c r="F526" s="22">
        <v>3</v>
      </c>
      <c r="G526" s="22" t="s">
        <v>14786</v>
      </c>
      <c r="H526" s="22">
        <v>3</v>
      </c>
      <c r="I526" s="25">
        <v>43387</v>
      </c>
      <c r="J526" s="24">
        <v>43442</v>
      </c>
    </row>
    <row r="527" spans="2:10" x14ac:dyDescent="0.2">
      <c r="B527" s="22">
        <v>522</v>
      </c>
      <c r="C527" s="23" t="s">
        <v>14787</v>
      </c>
      <c r="D527" s="23" t="s">
        <v>1142</v>
      </c>
      <c r="E527" s="20" t="s">
        <v>14788</v>
      </c>
      <c r="F527" s="22">
        <v>4</v>
      </c>
      <c r="G527" s="22" t="s">
        <v>14789</v>
      </c>
      <c r="H527" s="22">
        <v>1</v>
      </c>
      <c r="I527" s="25">
        <v>43343</v>
      </c>
      <c r="J527" s="24">
        <v>43358</v>
      </c>
    </row>
    <row r="528" spans="2:10" x14ac:dyDescent="0.2">
      <c r="B528" s="22">
        <v>523</v>
      </c>
      <c r="C528" s="23" t="s">
        <v>14790</v>
      </c>
      <c r="D528" s="23" t="s">
        <v>12604</v>
      </c>
      <c r="E528" s="20" t="s">
        <v>9003</v>
      </c>
      <c r="F528" s="22">
        <v>3</v>
      </c>
      <c r="G528" s="22" t="s">
        <v>14791</v>
      </c>
      <c r="H528" s="22">
        <v>1</v>
      </c>
      <c r="I528" s="25">
        <v>43359</v>
      </c>
      <c r="J528" s="24">
        <v>43435</v>
      </c>
    </row>
    <row r="529" spans="2:10" x14ac:dyDescent="0.2">
      <c r="B529" s="22">
        <v>524</v>
      </c>
      <c r="C529" s="23" t="s">
        <v>14792</v>
      </c>
      <c r="D529" s="23" t="s">
        <v>1572</v>
      </c>
      <c r="E529" s="20" t="s">
        <v>14793</v>
      </c>
      <c r="F529" s="22">
        <v>1</v>
      </c>
      <c r="G529" s="22" t="s">
        <v>14794</v>
      </c>
      <c r="H529" s="22">
        <v>1</v>
      </c>
      <c r="I529" s="25">
        <v>43105</v>
      </c>
      <c r="J529" s="24">
        <v>43148</v>
      </c>
    </row>
    <row r="530" spans="2:10" x14ac:dyDescent="0.2">
      <c r="B530" s="22">
        <v>525</v>
      </c>
      <c r="C530" s="23" t="s">
        <v>14795</v>
      </c>
      <c r="D530" s="23" t="s">
        <v>14796</v>
      </c>
      <c r="E530" s="20" t="s">
        <v>10617</v>
      </c>
      <c r="F530" s="22">
        <v>25</v>
      </c>
      <c r="G530" s="22" t="s">
        <v>4445</v>
      </c>
      <c r="H530" s="22">
        <v>25</v>
      </c>
      <c r="I530" s="25">
        <v>43212</v>
      </c>
      <c r="J530" s="24">
        <v>43218</v>
      </c>
    </row>
    <row r="531" spans="2:10" x14ac:dyDescent="0.2">
      <c r="B531" s="22">
        <v>526</v>
      </c>
      <c r="C531" s="23" t="s">
        <v>14797</v>
      </c>
      <c r="D531" s="23" t="s">
        <v>1761</v>
      </c>
      <c r="E531" s="20" t="s">
        <v>14798</v>
      </c>
      <c r="F531" s="22">
        <v>2</v>
      </c>
      <c r="G531" s="22" t="s">
        <v>14799</v>
      </c>
      <c r="H531" s="22">
        <v>1</v>
      </c>
      <c r="I531" s="25">
        <v>43422</v>
      </c>
      <c r="J531" s="24">
        <v>43112</v>
      </c>
    </row>
    <row r="532" spans="2:10" x14ac:dyDescent="0.2">
      <c r="B532" s="22">
        <v>527</v>
      </c>
      <c r="C532" s="23" t="s">
        <v>14800</v>
      </c>
      <c r="D532" s="23" t="s">
        <v>1594</v>
      </c>
      <c r="E532" s="20" t="s">
        <v>14801</v>
      </c>
      <c r="F532" s="22">
        <v>4</v>
      </c>
      <c r="G532" s="22" t="s">
        <v>14802</v>
      </c>
      <c r="H532" s="22">
        <v>4</v>
      </c>
      <c r="I532" s="25">
        <v>43170</v>
      </c>
      <c r="J532" s="22" t="s">
        <v>558</v>
      </c>
    </row>
    <row r="533" spans="2:10" x14ac:dyDescent="0.2">
      <c r="B533" s="22">
        <v>528</v>
      </c>
      <c r="C533" s="23" t="s">
        <v>14803</v>
      </c>
      <c r="D533" s="23" t="s">
        <v>14804</v>
      </c>
      <c r="E533" s="20" t="s">
        <v>14805</v>
      </c>
      <c r="F533" s="22">
        <v>22</v>
      </c>
      <c r="G533" s="22" t="s">
        <v>14806</v>
      </c>
      <c r="H533" s="22">
        <v>22</v>
      </c>
      <c r="I533" s="25">
        <v>43345</v>
      </c>
      <c r="J533" s="24">
        <v>43352</v>
      </c>
    </row>
    <row r="534" spans="2:10" x14ac:dyDescent="0.2">
      <c r="B534" s="22">
        <v>529</v>
      </c>
      <c r="C534" s="23" t="s">
        <v>14807</v>
      </c>
      <c r="D534" s="23" t="s">
        <v>2010</v>
      </c>
      <c r="E534" s="20" t="s">
        <v>14808</v>
      </c>
      <c r="F534" s="22">
        <v>1</v>
      </c>
      <c r="G534" s="22" t="s">
        <v>14809</v>
      </c>
      <c r="H534" s="22">
        <v>1</v>
      </c>
      <c r="I534" s="25">
        <v>43301</v>
      </c>
      <c r="J534" s="24">
        <v>43160</v>
      </c>
    </row>
    <row r="535" spans="2:10" x14ac:dyDescent="0.2">
      <c r="B535" s="22">
        <v>530</v>
      </c>
      <c r="C535" s="23" t="s">
        <v>14810</v>
      </c>
      <c r="D535" s="23" t="s">
        <v>2197</v>
      </c>
      <c r="E535" s="20" t="s">
        <v>14811</v>
      </c>
      <c r="F535" s="22">
        <v>6</v>
      </c>
      <c r="G535" s="22" t="s">
        <v>14812</v>
      </c>
      <c r="H535" s="22">
        <v>6</v>
      </c>
      <c r="I535" s="25">
        <v>43373</v>
      </c>
      <c r="J535" s="24">
        <v>43386</v>
      </c>
    </row>
    <row r="536" spans="2:10" x14ac:dyDescent="0.2">
      <c r="B536" s="22">
        <v>531</v>
      </c>
      <c r="C536" s="23" t="s">
        <v>14813</v>
      </c>
      <c r="D536" s="23" t="s">
        <v>1210</v>
      </c>
      <c r="E536" s="20" t="s">
        <v>14814</v>
      </c>
      <c r="F536" s="22">
        <v>5</v>
      </c>
      <c r="G536" s="22" t="s">
        <v>14815</v>
      </c>
      <c r="H536" s="22">
        <v>5</v>
      </c>
      <c r="I536" s="25">
        <v>43443</v>
      </c>
      <c r="J536" s="24">
        <v>43452</v>
      </c>
    </row>
    <row r="537" spans="2:10" x14ac:dyDescent="0.2">
      <c r="B537" s="22">
        <v>532</v>
      </c>
      <c r="C537" s="23" t="s">
        <v>14816</v>
      </c>
      <c r="D537" s="23" t="s">
        <v>2197</v>
      </c>
      <c r="E537" s="20" t="s">
        <v>14817</v>
      </c>
      <c r="F537" s="22">
        <v>1</v>
      </c>
      <c r="G537" s="22" t="s">
        <v>1159</v>
      </c>
      <c r="H537" s="22" t="s">
        <v>1159</v>
      </c>
      <c r="I537" s="22" t="s">
        <v>558</v>
      </c>
      <c r="J537" s="22" t="s">
        <v>558</v>
      </c>
    </row>
    <row r="538" spans="2:10" x14ac:dyDescent="0.2">
      <c r="B538" s="22">
        <v>533</v>
      </c>
      <c r="C538" s="23" t="s">
        <v>14818</v>
      </c>
      <c r="D538" s="23" t="s">
        <v>14076</v>
      </c>
      <c r="E538" s="20" t="s">
        <v>9052</v>
      </c>
      <c r="F538" s="22">
        <v>1</v>
      </c>
      <c r="G538" s="22" t="s">
        <v>14819</v>
      </c>
      <c r="H538" s="22">
        <v>1</v>
      </c>
      <c r="I538" s="25">
        <v>43366</v>
      </c>
      <c r="J538" s="24">
        <v>43372</v>
      </c>
    </row>
    <row r="539" spans="2:10" x14ac:dyDescent="0.2">
      <c r="B539" s="22">
        <v>534</v>
      </c>
      <c r="C539" s="23" t="s">
        <v>14820</v>
      </c>
      <c r="D539" s="23" t="s">
        <v>7161</v>
      </c>
      <c r="E539" s="20" t="s">
        <v>14821</v>
      </c>
      <c r="F539" s="22">
        <v>2</v>
      </c>
      <c r="G539" s="22" t="s">
        <v>14822</v>
      </c>
      <c r="H539" s="22">
        <v>1</v>
      </c>
      <c r="I539" s="25">
        <v>43147</v>
      </c>
      <c r="J539" s="24">
        <v>43232</v>
      </c>
    </row>
    <row r="540" spans="2:10" x14ac:dyDescent="0.2">
      <c r="B540" s="22">
        <v>535</v>
      </c>
      <c r="C540" s="23" t="s">
        <v>14823</v>
      </c>
      <c r="D540" s="23" t="s">
        <v>1213</v>
      </c>
      <c r="E540" s="20" t="s">
        <v>14824</v>
      </c>
      <c r="F540" s="22">
        <v>4</v>
      </c>
      <c r="G540" s="22" t="s">
        <v>14825</v>
      </c>
      <c r="H540" s="22">
        <v>4</v>
      </c>
      <c r="I540" s="25">
        <v>43422</v>
      </c>
      <c r="J540" s="24">
        <v>43154</v>
      </c>
    </row>
    <row r="541" spans="2:10" x14ac:dyDescent="0.2">
      <c r="B541" s="22">
        <v>536</v>
      </c>
      <c r="C541" s="23" t="s">
        <v>14826</v>
      </c>
      <c r="D541" s="23" t="s">
        <v>10203</v>
      </c>
      <c r="E541" s="20" t="s">
        <v>14827</v>
      </c>
      <c r="F541" s="22">
        <v>1</v>
      </c>
      <c r="G541" s="22" t="s">
        <v>1159</v>
      </c>
      <c r="H541" s="22" t="s">
        <v>1159</v>
      </c>
      <c r="I541" s="25">
        <v>43457</v>
      </c>
      <c r="J541" s="24">
        <v>43143</v>
      </c>
    </row>
    <row r="542" spans="2:10" x14ac:dyDescent="0.2">
      <c r="B542" s="22">
        <v>537</v>
      </c>
      <c r="C542" s="23" t="s">
        <v>14828</v>
      </c>
      <c r="D542" s="23" t="s">
        <v>1213</v>
      </c>
      <c r="E542" s="20" t="s">
        <v>14829</v>
      </c>
      <c r="F542" s="22">
        <v>4</v>
      </c>
      <c r="G542" s="22" t="s">
        <v>14830</v>
      </c>
      <c r="H542" s="22">
        <v>3</v>
      </c>
      <c r="I542" s="25">
        <v>43457</v>
      </c>
      <c r="J542" s="24">
        <v>43154</v>
      </c>
    </row>
    <row r="543" spans="2:10" x14ac:dyDescent="0.2">
      <c r="B543" s="22">
        <v>538</v>
      </c>
      <c r="C543" s="23" t="s">
        <v>14831</v>
      </c>
      <c r="D543" s="23" t="s">
        <v>1612</v>
      </c>
      <c r="E543" s="20" t="s">
        <v>14832</v>
      </c>
      <c r="F543" s="22">
        <v>2</v>
      </c>
      <c r="G543" s="22" t="s">
        <v>14833</v>
      </c>
      <c r="H543" s="22">
        <v>1</v>
      </c>
      <c r="I543" s="25">
        <v>43366</v>
      </c>
      <c r="J543" s="24">
        <v>43393</v>
      </c>
    </row>
    <row r="544" spans="2:10" x14ac:dyDescent="0.2">
      <c r="B544" s="22">
        <v>539</v>
      </c>
      <c r="C544" s="23" t="s">
        <v>14834</v>
      </c>
      <c r="D544" s="23" t="s">
        <v>1572</v>
      </c>
      <c r="E544" s="20" t="s">
        <v>14835</v>
      </c>
      <c r="F544" s="22">
        <v>1</v>
      </c>
      <c r="G544" s="22" t="s">
        <v>7266</v>
      </c>
      <c r="H544" s="22">
        <v>1</v>
      </c>
      <c r="I544" s="25">
        <v>43203</v>
      </c>
      <c r="J544" s="24">
        <v>43232</v>
      </c>
    </row>
    <row r="545" spans="2:10" x14ac:dyDescent="0.2">
      <c r="B545" s="22">
        <v>540</v>
      </c>
      <c r="C545" s="23" t="s">
        <v>14836</v>
      </c>
      <c r="D545" s="23" t="s">
        <v>2164</v>
      </c>
      <c r="E545" s="20" t="s">
        <v>14837</v>
      </c>
      <c r="F545" s="22">
        <v>1</v>
      </c>
      <c r="G545" s="22" t="s">
        <v>14838</v>
      </c>
      <c r="H545" s="22">
        <v>1</v>
      </c>
      <c r="I545" s="25">
        <v>43226</v>
      </c>
      <c r="J545" s="22" t="s">
        <v>558</v>
      </c>
    </row>
    <row r="546" spans="2:10" x14ac:dyDescent="0.2">
      <c r="B546" s="22">
        <v>541</v>
      </c>
      <c r="C546" s="23" t="s">
        <v>14839</v>
      </c>
      <c r="D546" s="23" t="s">
        <v>1294</v>
      </c>
      <c r="E546" s="20" t="s">
        <v>14840</v>
      </c>
      <c r="F546" s="22">
        <v>2</v>
      </c>
      <c r="G546" s="22" t="s">
        <v>14841</v>
      </c>
      <c r="H546" s="22">
        <v>2</v>
      </c>
      <c r="I546" s="25">
        <v>43289</v>
      </c>
      <c r="J546" s="24">
        <v>43295</v>
      </c>
    </row>
    <row r="547" spans="2:10" x14ac:dyDescent="0.2">
      <c r="B547" s="22">
        <v>542</v>
      </c>
      <c r="C547" s="23" t="s">
        <v>14842</v>
      </c>
      <c r="D547" s="23" t="s">
        <v>1880</v>
      </c>
      <c r="E547" s="20" t="s">
        <v>14843</v>
      </c>
      <c r="F547" s="22">
        <v>1</v>
      </c>
      <c r="G547" s="22" t="s">
        <v>14844</v>
      </c>
      <c r="H547" s="22">
        <v>1</v>
      </c>
      <c r="I547" s="25">
        <v>43338</v>
      </c>
      <c r="J547" s="24">
        <v>43424</v>
      </c>
    </row>
    <row r="548" spans="2:10" x14ac:dyDescent="0.2">
      <c r="B548" s="22">
        <v>543</v>
      </c>
      <c r="C548" s="23" t="s">
        <v>14845</v>
      </c>
      <c r="D548" s="23" t="s">
        <v>1572</v>
      </c>
      <c r="E548" s="20" t="s">
        <v>14846</v>
      </c>
      <c r="F548" s="22">
        <v>1</v>
      </c>
      <c r="G548" s="22" t="s">
        <v>14847</v>
      </c>
      <c r="H548" s="22">
        <v>1</v>
      </c>
      <c r="I548" s="25">
        <v>43135</v>
      </c>
      <c r="J548" s="22" t="s">
        <v>558</v>
      </c>
    </row>
    <row r="549" spans="2:10" x14ac:dyDescent="0.2">
      <c r="B549" s="22">
        <v>544</v>
      </c>
      <c r="C549" s="23" t="s">
        <v>14848</v>
      </c>
      <c r="D549" s="23" t="s">
        <v>1804</v>
      </c>
      <c r="E549" s="20" t="s">
        <v>14849</v>
      </c>
      <c r="F549" s="22">
        <v>1</v>
      </c>
      <c r="G549" s="22" t="s">
        <v>6865</v>
      </c>
      <c r="H549" s="22">
        <v>1</v>
      </c>
      <c r="I549" s="25">
        <v>43345</v>
      </c>
      <c r="J549" s="24">
        <v>43435</v>
      </c>
    </row>
    <row r="550" spans="2:10" x14ac:dyDescent="0.2">
      <c r="B550" s="22">
        <v>545</v>
      </c>
      <c r="C550" s="23" t="s">
        <v>14850</v>
      </c>
      <c r="D550" s="23" t="s">
        <v>7135</v>
      </c>
      <c r="E550" s="20" t="s">
        <v>14851</v>
      </c>
      <c r="F550" s="22">
        <v>4</v>
      </c>
      <c r="G550" s="22" t="s">
        <v>14852</v>
      </c>
      <c r="H550" s="22">
        <v>4</v>
      </c>
      <c r="I550" s="25">
        <v>43296</v>
      </c>
      <c r="J550" s="24">
        <v>43309</v>
      </c>
    </row>
    <row r="551" spans="2:10" x14ac:dyDescent="0.2">
      <c r="B551" s="22">
        <v>546</v>
      </c>
      <c r="C551" s="23" t="s">
        <v>14853</v>
      </c>
      <c r="D551" s="23" t="s">
        <v>7135</v>
      </c>
      <c r="E551" s="20" t="s">
        <v>14854</v>
      </c>
      <c r="F551" s="22">
        <v>2</v>
      </c>
      <c r="G551" s="22" t="s">
        <v>14854</v>
      </c>
      <c r="H551" s="22">
        <v>2</v>
      </c>
      <c r="I551" s="25">
        <v>43422</v>
      </c>
      <c r="J551" s="24">
        <v>43424</v>
      </c>
    </row>
    <row r="552" spans="2:10" x14ac:dyDescent="0.2">
      <c r="B552" s="22">
        <v>547</v>
      </c>
      <c r="C552" s="23" t="s">
        <v>14855</v>
      </c>
      <c r="D552" s="23" t="s">
        <v>14208</v>
      </c>
      <c r="E552" s="20" t="s">
        <v>14856</v>
      </c>
      <c r="F552" s="22">
        <v>2</v>
      </c>
      <c r="G552" s="22" t="s">
        <v>14857</v>
      </c>
      <c r="H552" s="22">
        <v>1</v>
      </c>
      <c r="I552" s="25">
        <v>43184</v>
      </c>
      <c r="J552" s="24">
        <v>43288</v>
      </c>
    </row>
    <row r="553" spans="2:10" x14ac:dyDescent="0.2">
      <c r="B553" s="22">
        <v>548</v>
      </c>
      <c r="C553" s="23" t="s">
        <v>14858</v>
      </c>
      <c r="D553" s="23" t="s">
        <v>1294</v>
      </c>
      <c r="E553" s="20" t="s">
        <v>14859</v>
      </c>
      <c r="F553" s="22">
        <v>1</v>
      </c>
      <c r="G553" s="22" t="s">
        <v>14860</v>
      </c>
      <c r="H553" s="22">
        <v>1</v>
      </c>
      <c r="I553" s="25">
        <v>43191</v>
      </c>
      <c r="J553" s="24">
        <v>43204</v>
      </c>
    </row>
    <row r="554" spans="2:10" x14ac:dyDescent="0.2">
      <c r="B554" s="22">
        <v>549</v>
      </c>
      <c r="C554" s="23" t="s">
        <v>14861</v>
      </c>
      <c r="D554" s="23" t="s">
        <v>1572</v>
      </c>
      <c r="E554" s="20" t="s">
        <v>14862</v>
      </c>
      <c r="F554" s="22">
        <v>2</v>
      </c>
      <c r="G554" s="22" t="s">
        <v>14863</v>
      </c>
      <c r="H554" s="22">
        <v>1</v>
      </c>
      <c r="I554" s="25">
        <v>43422</v>
      </c>
      <c r="J554" s="24">
        <v>43140</v>
      </c>
    </row>
    <row r="555" spans="2:10" x14ac:dyDescent="0.2">
      <c r="B555" s="22">
        <v>550</v>
      </c>
      <c r="C555" s="23" t="s">
        <v>14864</v>
      </c>
      <c r="D555" s="23" t="s">
        <v>14865</v>
      </c>
      <c r="E555" s="20" t="s">
        <v>8264</v>
      </c>
      <c r="F555" s="22">
        <v>2</v>
      </c>
      <c r="G555" s="22" t="s">
        <v>3924</v>
      </c>
      <c r="H555" s="22">
        <v>1</v>
      </c>
      <c r="I555" s="25">
        <v>43441</v>
      </c>
      <c r="J555" s="24">
        <v>43115</v>
      </c>
    </row>
    <row r="556" spans="2:10" x14ac:dyDescent="0.2">
      <c r="B556" s="22">
        <v>551</v>
      </c>
      <c r="C556" s="23" t="s">
        <v>14866</v>
      </c>
      <c r="D556" s="23" t="s">
        <v>1039</v>
      </c>
      <c r="E556" s="20" t="s">
        <v>10501</v>
      </c>
      <c r="F556" s="22">
        <v>3</v>
      </c>
      <c r="G556" s="22" t="s">
        <v>14867</v>
      </c>
      <c r="H556" s="22">
        <v>3</v>
      </c>
      <c r="I556" s="25">
        <v>43310</v>
      </c>
      <c r="J556" s="24">
        <v>43330</v>
      </c>
    </row>
    <row r="557" spans="2:10" x14ac:dyDescent="0.2">
      <c r="B557" s="22">
        <v>552</v>
      </c>
      <c r="C557" s="23" t="s">
        <v>14868</v>
      </c>
      <c r="D557" s="23" t="s">
        <v>5254</v>
      </c>
      <c r="E557" s="20" t="s">
        <v>4445</v>
      </c>
      <c r="F557" s="22">
        <v>2</v>
      </c>
      <c r="G557" s="22" t="s">
        <v>4445</v>
      </c>
      <c r="H557" s="22">
        <v>2</v>
      </c>
      <c r="I557" s="25">
        <v>43450</v>
      </c>
      <c r="J557" s="24">
        <v>43452</v>
      </c>
    </row>
    <row r="558" spans="2:10" x14ac:dyDescent="0.2">
      <c r="B558" s="22">
        <v>553</v>
      </c>
      <c r="C558" s="23" t="s">
        <v>14869</v>
      </c>
      <c r="D558" s="23" t="s">
        <v>1294</v>
      </c>
      <c r="E558" s="20" t="s">
        <v>14870</v>
      </c>
      <c r="F558" s="22">
        <v>2</v>
      </c>
      <c r="G558" s="22" t="s">
        <v>14871</v>
      </c>
      <c r="H558" s="22">
        <v>2</v>
      </c>
      <c r="I558" s="25">
        <v>43443</v>
      </c>
      <c r="J558" s="24">
        <v>43449</v>
      </c>
    </row>
    <row r="559" spans="2:10" x14ac:dyDescent="0.2">
      <c r="B559" s="22">
        <v>554</v>
      </c>
      <c r="C559" s="23" t="s">
        <v>14872</v>
      </c>
      <c r="D559" s="23" t="s">
        <v>6537</v>
      </c>
      <c r="E559" s="20" t="s">
        <v>14873</v>
      </c>
      <c r="F559" s="22">
        <v>2</v>
      </c>
      <c r="G559" s="22" t="s">
        <v>1159</v>
      </c>
      <c r="H559" s="22" t="s">
        <v>1159</v>
      </c>
      <c r="I559" s="25">
        <v>43401</v>
      </c>
      <c r="J559" s="22" t="s">
        <v>558</v>
      </c>
    </row>
    <row r="560" spans="2:10" x14ac:dyDescent="0.2">
      <c r="B560" s="22">
        <v>555</v>
      </c>
      <c r="C560" s="23" t="s">
        <v>14874</v>
      </c>
      <c r="D560" s="23" t="s">
        <v>1039</v>
      </c>
      <c r="E560" s="20" t="s">
        <v>14875</v>
      </c>
      <c r="F560" s="22">
        <v>2</v>
      </c>
      <c r="G560" s="22" t="s">
        <v>14876</v>
      </c>
      <c r="H560" s="22">
        <v>2</v>
      </c>
      <c r="I560" s="25">
        <v>43443</v>
      </c>
      <c r="J560" s="24">
        <v>43463</v>
      </c>
    </row>
    <row r="561" spans="2:10" x14ac:dyDescent="0.2">
      <c r="B561" s="22">
        <v>556</v>
      </c>
      <c r="C561" s="23" t="s">
        <v>14877</v>
      </c>
      <c r="D561" s="23" t="s">
        <v>1377</v>
      </c>
      <c r="E561" s="20" t="s">
        <v>10796</v>
      </c>
      <c r="F561" s="22">
        <v>7</v>
      </c>
      <c r="G561" s="22" t="s">
        <v>14878</v>
      </c>
      <c r="H561" s="22">
        <v>7</v>
      </c>
      <c r="I561" s="25">
        <v>43289</v>
      </c>
      <c r="J561" s="24">
        <v>43302</v>
      </c>
    </row>
    <row r="562" spans="2:10" x14ac:dyDescent="0.2">
      <c r="B562" s="22">
        <v>557</v>
      </c>
      <c r="C562" s="23" t="s">
        <v>14879</v>
      </c>
      <c r="D562" s="23" t="s">
        <v>1532</v>
      </c>
      <c r="E562" s="20" t="s">
        <v>14880</v>
      </c>
      <c r="F562" s="22">
        <v>1</v>
      </c>
      <c r="G562" s="22" t="s">
        <v>2715</v>
      </c>
      <c r="H562" s="22">
        <v>1</v>
      </c>
      <c r="I562" s="25">
        <v>43373</v>
      </c>
      <c r="J562" s="24">
        <v>43126</v>
      </c>
    </row>
    <row r="563" spans="2:10" x14ac:dyDescent="0.2">
      <c r="B563" s="22">
        <v>558</v>
      </c>
      <c r="C563" s="23" t="s">
        <v>14881</v>
      </c>
      <c r="D563" s="23" t="s">
        <v>2148</v>
      </c>
      <c r="E563" s="20" t="s">
        <v>10702</v>
      </c>
      <c r="F563" s="22">
        <v>1</v>
      </c>
      <c r="G563" s="22" t="s">
        <v>14882</v>
      </c>
      <c r="H563" s="22">
        <v>1</v>
      </c>
      <c r="I563" s="25">
        <v>43462</v>
      </c>
      <c r="J563" s="24">
        <v>43221</v>
      </c>
    </row>
    <row r="564" spans="2:10" x14ac:dyDescent="0.2">
      <c r="B564" s="22">
        <v>559</v>
      </c>
      <c r="C564" s="23" t="s">
        <v>14883</v>
      </c>
      <c r="D564" s="23" t="s">
        <v>1135</v>
      </c>
      <c r="E564" s="20" t="s">
        <v>14884</v>
      </c>
      <c r="F564" s="22">
        <v>2</v>
      </c>
      <c r="G564" s="22" t="s">
        <v>14885</v>
      </c>
      <c r="H564" s="22">
        <v>2</v>
      </c>
      <c r="I564" s="25">
        <v>43338</v>
      </c>
      <c r="J564" s="24">
        <v>43351</v>
      </c>
    </row>
    <row r="565" spans="2:10" x14ac:dyDescent="0.2">
      <c r="B565" s="22">
        <v>560</v>
      </c>
      <c r="C565" s="23" t="s">
        <v>14886</v>
      </c>
      <c r="D565" s="23" t="s">
        <v>1294</v>
      </c>
      <c r="E565" s="20" t="s">
        <v>2552</v>
      </c>
      <c r="F565" s="22">
        <v>1</v>
      </c>
      <c r="G565" s="22" t="s">
        <v>14887</v>
      </c>
      <c r="H565" s="22">
        <v>1</v>
      </c>
      <c r="I565" s="25">
        <v>43205</v>
      </c>
      <c r="J565" s="24">
        <v>43214</v>
      </c>
    </row>
    <row r="566" spans="2:10" x14ac:dyDescent="0.2">
      <c r="B566" s="22">
        <v>561</v>
      </c>
      <c r="C566" s="23" t="s">
        <v>14888</v>
      </c>
      <c r="D566" s="23" t="s">
        <v>2010</v>
      </c>
      <c r="E566" s="20" t="s">
        <v>11153</v>
      </c>
      <c r="F566" s="22">
        <v>1</v>
      </c>
      <c r="G566" s="22" t="s">
        <v>7273</v>
      </c>
      <c r="H566" s="22">
        <v>1</v>
      </c>
      <c r="I566" s="25">
        <v>43280</v>
      </c>
      <c r="J566" s="22" t="s">
        <v>558</v>
      </c>
    </row>
    <row r="567" spans="2:10" x14ac:dyDescent="0.2">
      <c r="B567" s="22">
        <v>562</v>
      </c>
      <c r="C567" s="23" t="s">
        <v>14889</v>
      </c>
      <c r="D567" s="23" t="s">
        <v>1804</v>
      </c>
      <c r="E567" s="20" t="s">
        <v>14890</v>
      </c>
      <c r="F567" s="22">
        <v>2</v>
      </c>
      <c r="G567" s="22" t="s">
        <v>14891</v>
      </c>
      <c r="H567" s="22">
        <v>1</v>
      </c>
      <c r="I567" s="25">
        <v>43128</v>
      </c>
      <c r="J567" s="22" t="s">
        <v>558</v>
      </c>
    </row>
    <row r="568" spans="2:10" x14ac:dyDescent="0.2">
      <c r="B568" s="22">
        <v>563</v>
      </c>
      <c r="C568" s="23" t="s">
        <v>14892</v>
      </c>
      <c r="D568" s="23" t="s">
        <v>8353</v>
      </c>
      <c r="E568" s="20" t="s">
        <v>14893</v>
      </c>
      <c r="F568" s="22">
        <v>2</v>
      </c>
      <c r="G568" s="22" t="s">
        <v>14894</v>
      </c>
      <c r="H568" s="22">
        <v>1</v>
      </c>
      <c r="I568" s="25">
        <v>43394</v>
      </c>
      <c r="J568" s="24">
        <v>43414</v>
      </c>
    </row>
    <row r="569" spans="2:10" x14ac:dyDescent="0.2">
      <c r="B569" s="22">
        <v>564</v>
      </c>
      <c r="C569" s="23" t="s">
        <v>14895</v>
      </c>
      <c r="D569" s="23" t="s">
        <v>14896</v>
      </c>
      <c r="E569" s="20" t="s">
        <v>14897</v>
      </c>
      <c r="F569" s="22">
        <v>10</v>
      </c>
      <c r="G569" s="22" t="s">
        <v>14897</v>
      </c>
      <c r="H569" s="22">
        <v>10</v>
      </c>
      <c r="I569" s="25">
        <v>43401</v>
      </c>
      <c r="J569" s="22" t="s">
        <v>558</v>
      </c>
    </row>
    <row r="570" spans="2:10" x14ac:dyDescent="0.2">
      <c r="B570" s="22">
        <v>565</v>
      </c>
      <c r="C570" s="23" t="s">
        <v>14898</v>
      </c>
      <c r="D570" s="23" t="s">
        <v>5254</v>
      </c>
      <c r="E570" s="20" t="s">
        <v>14899</v>
      </c>
      <c r="F570" s="22">
        <v>5</v>
      </c>
      <c r="G570" s="22" t="s">
        <v>14900</v>
      </c>
      <c r="H570" s="22">
        <v>5</v>
      </c>
      <c r="I570" s="25">
        <v>43352</v>
      </c>
      <c r="J570" s="24">
        <v>43365</v>
      </c>
    </row>
    <row r="571" spans="2:10" x14ac:dyDescent="0.2">
      <c r="B571" s="22">
        <v>566</v>
      </c>
      <c r="C571" s="23" t="s">
        <v>14901</v>
      </c>
      <c r="D571" s="23" t="s">
        <v>1294</v>
      </c>
      <c r="E571" s="20" t="s">
        <v>14902</v>
      </c>
      <c r="F571" s="22">
        <v>2</v>
      </c>
      <c r="G571" s="22" t="s">
        <v>14903</v>
      </c>
      <c r="H571" s="22">
        <v>2</v>
      </c>
      <c r="I571" s="25">
        <v>43331</v>
      </c>
      <c r="J571" s="24">
        <v>43337</v>
      </c>
    </row>
    <row r="572" spans="2:10" x14ac:dyDescent="0.2">
      <c r="B572" s="22">
        <v>567</v>
      </c>
      <c r="C572" s="23" t="s">
        <v>14904</v>
      </c>
      <c r="D572" s="23" t="s">
        <v>1294</v>
      </c>
      <c r="E572" s="20" t="s">
        <v>14905</v>
      </c>
      <c r="F572" s="22">
        <v>1</v>
      </c>
      <c r="G572" s="22" t="s">
        <v>14906</v>
      </c>
      <c r="H572" s="22">
        <v>1</v>
      </c>
      <c r="I572" s="25">
        <v>43352</v>
      </c>
      <c r="J572" s="24">
        <v>43358</v>
      </c>
    </row>
    <row r="573" spans="2:10" x14ac:dyDescent="0.2">
      <c r="B573" s="22">
        <v>568</v>
      </c>
      <c r="C573" s="23" t="s">
        <v>14907</v>
      </c>
      <c r="D573" s="23" t="s">
        <v>1294</v>
      </c>
      <c r="E573" s="20" t="s">
        <v>14908</v>
      </c>
      <c r="F573" s="22">
        <v>1</v>
      </c>
      <c r="G573" s="22" t="s">
        <v>14909</v>
      </c>
      <c r="H573" s="22">
        <v>1</v>
      </c>
      <c r="I573" s="25">
        <v>43392</v>
      </c>
      <c r="J573" s="24">
        <v>43400</v>
      </c>
    </row>
    <row r="574" spans="2:10" x14ac:dyDescent="0.2">
      <c r="B574" s="22">
        <v>569</v>
      </c>
      <c r="C574" s="23" t="s">
        <v>14910</v>
      </c>
      <c r="D574" s="23" t="s">
        <v>14911</v>
      </c>
      <c r="E574" s="20" t="s">
        <v>14912</v>
      </c>
      <c r="F574" s="22">
        <v>1</v>
      </c>
      <c r="G574" s="22" t="s">
        <v>14913</v>
      </c>
      <c r="H574" s="22">
        <v>1</v>
      </c>
      <c r="I574" s="25">
        <v>43135</v>
      </c>
      <c r="J574" s="24">
        <v>43148</v>
      </c>
    </row>
    <row r="575" spans="2:10" x14ac:dyDescent="0.2">
      <c r="B575" s="22">
        <v>570</v>
      </c>
      <c r="C575" s="23" t="s">
        <v>14914</v>
      </c>
      <c r="D575" s="23" t="s">
        <v>7206</v>
      </c>
      <c r="E575" s="20" t="s">
        <v>14915</v>
      </c>
      <c r="F575" s="22">
        <v>1</v>
      </c>
      <c r="G575" s="22" t="s">
        <v>14916</v>
      </c>
      <c r="H575" s="22">
        <v>1</v>
      </c>
      <c r="I575" s="25">
        <v>43296</v>
      </c>
      <c r="J575" s="24">
        <v>43337</v>
      </c>
    </row>
    <row r="576" spans="2:10" x14ac:dyDescent="0.2">
      <c r="B576" s="22">
        <v>571</v>
      </c>
      <c r="C576" s="23" t="s">
        <v>14917</v>
      </c>
      <c r="D576" s="23" t="s">
        <v>14208</v>
      </c>
      <c r="E576" s="20" t="s">
        <v>14918</v>
      </c>
      <c r="F576" s="22">
        <v>1</v>
      </c>
      <c r="G576" s="22" t="s">
        <v>14919</v>
      </c>
      <c r="H576" s="22">
        <v>1</v>
      </c>
      <c r="I576" s="25">
        <v>43226</v>
      </c>
      <c r="J576" s="24">
        <v>43232</v>
      </c>
    </row>
    <row r="577" spans="2:10" x14ac:dyDescent="0.2">
      <c r="B577" s="22">
        <v>572</v>
      </c>
      <c r="C577" s="23" t="s">
        <v>14920</v>
      </c>
      <c r="D577" s="23" t="s">
        <v>1804</v>
      </c>
      <c r="E577" s="20" t="s">
        <v>11208</v>
      </c>
      <c r="F577" s="22">
        <v>1</v>
      </c>
      <c r="G577" s="22" t="s">
        <v>5187</v>
      </c>
      <c r="H577" s="22">
        <v>1</v>
      </c>
      <c r="I577" s="25">
        <v>43198</v>
      </c>
      <c r="J577" s="24">
        <v>43253</v>
      </c>
    </row>
    <row r="578" spans="2:10" x14ac:dyDescent="0.2">
      <c r="B578" s="22">
        <v>573</v>
      </c>
      <c r="C578" s="23" t="s">
        <v>14921</v>
      </c>
      <c r="D578" s="23" t="s">
        <v>1930</v>
      </c>
      <c r="E578" s="20" t="s">
        <v>5106</v>
      </c>
      <c r="F578" s="22">
        <v>1</v>
      </c>
      <c r="G578" s="22" t="s">
        <v>14922</v>
      </c>
      <c r="H578" s="22">
        <v>1</v>
      </c>
      <c r="I578" s="25">
        <v>43310</v>
      </c>
      <c r="J578" s="24">
        <v>43316</v>
      </c>
    </row>
    <row r="579" spans="2:10" x14ac:dyDescent="0.2">
      <c r="B579" s="22">
        <v>574</v>
      </c>
      <c r="C579" s="23" t="s">
        <v>14923</v>
      </c>
      <c r="D579" s="23" t="s">
        <v>6519</v>
      </c>
      <c r="E579" s="20" t="s">
        <v>2645</v>
      </c>
      <c r="F579" s="22">
        <v>2</v>
      </c>
      <c r="G579" s="22" t="s">
        <v>2408</v>
      </c>
      <c r="H579" s="22">
        <v>2</v>
      </c>
      <c r="I579" s="25">
        <v>43226</v>
      </c>
      <c r="J579" s="24">
        <v>43232</v>
      </c>
    </row>
    <row r="580" spans="2:10" x14ac:dyDescent="0.2">
      <c r="B580" s="22">
        <v>575</v>
      </c>
      <c r="C580" s="23" t="s">
        <v>14924</v>
      </c>
      <c r="D580" s="23" t="s">
        <v>14925</v>
      </c>
      <c r="E580" s="20" t="s">
        <v>7230</v>
      </c>
      <c r="F580" s="22">
        <v>1</v>
      </c>
      <c r="G580" s="22" t="s">
        <v>7230</v>
      </c>
      <c r="H580" s="22">
        <v>1</v>
      </c>
      <c r="I580" s="25">
        <v>43254</v>
      </c>
      <c r="J580" s="24">
        <v>43260</v>
      </c>
    </row>
    <row r="581" spans="2:10" x14ac:dyDescent="0.2">
      <c r="B581" s="22">
        <v>576</v>
      </c>
      <c r="C581" s="23" t="s">
        <v>14926</v>
      </c>
      <c r="D581" s="23" t="s">
        <v>1880</v>
      </c>
      <c r="E581" s="20" t="s">
        <v>14927</v>
      </c>
      <c r="F581" s="22">
        <v>1</v>
      </c>
      <c r="G581" s="22" t="s">
        <v>12527</v>
      </c>
      <c r="H581" s="22">
        <v>1</v>
      </c>
      <c r="I581" s="25">
        <v>43380</v>
      </c>
      <c r="J581" s="24">
        <v>43393</v>
      </c>
    </row>
    <row r="582" spans="2:10" x14ac:dyDescent="0.2">
      <c r="B582" s="22">
        <v>577</v>
      </c>
      <c r="C582" s="23" t="s">
        <v>14928</v>
      </c>
      <c r="D582" s="23" t="s">
        <v>1880</v>
      </c>
      <c r="E582" s="20" t="s">
        <v>14929</v>
      </c>
      <c r="F582" s="22">
        <v>2</v>
      </c>
      <c r="G582" s="22" t="s">
        <v>14930</v>
      </c>
      <c r="H582" s="22">
        <v>1</v>
      </c>
      <c r="I582" s="25">
        <v>43114</v>
      </c>
      <c r="J582" s="24">
        <v>43190</v>
      </c>
    </row>
    <row r="583" spans="2:10" x14ac:dyDescent="0.2">
      <c r="B583" s="22">
        <v>578</v>
      </c>
      <c r="C583" s="23" t="s">
        <v>14931</v>
      </c>
      <c r="D583" s="23" t="s">
        <v>4860</v>
      </c>
      <c r="E583" s="20" t="s">
        <v>14932</v>
      </c>
      <c r="F583" s="22">
        <v>10</v>
      </c>
      <c r="G583" s="22" t="s">
        <v>14932</v>
      </c>
      <c r="H583" s="22">
        <v>10</v>
      </c>
      <c r="I583" s="25">
        <v>43394</v>
      </c>
      <c r="J583" s="22" t="s">
        <v>558</v>
      </c>
    </row>
    <row r="584" spans="2:10" x14ac:dyDescent="0.2">
      <c r="B584" s="22">
        <v>579</v>
      </c>
      <c r="C584" s="23" t="s">
        <v>14933</v>
      </c>
      <c r="D584" s="23" t="s">
        <v>8353</v>
      </c>
      <c r="E584" s="20" t="s">
        <v>14934</v>
      </c>
      <c r="F584" s="22">
        <v>1</v>
      </c>
      <c r="G584" s="22" t="s">
        <v>7310</v>
      </c>
      <c r="H584" s="22">
        <v>1</v>
      </c>
      <c r="I584" s="25">
        <v>43359</v>
      </c>
      <c r="J584" s="24">
        <v>43393</v>
      </c>
    </row>
    <row r="585" spans="2:10" x14ac:dyDescent="0.2">
      <c r="B585" s="22">
        <v>580</v>
      </c>
      <c r="C585" s="23" t="s">
        <v>14935</v>
      </c>
      <c r="D585" s="23" t="s">
        <v>1183</v>
      </c>
      <c r="E585" s="20" t="s">
        <v>2618</v>
      </c>
      <c r="F585" s="22">
        <v>1</v>
      </c>
      <c r="G585" s="22" t="s">
        <v>2618</v>
      </c>
      <c r="H585" s="22">
        <v>1</v>
      </c>
      <c r="I585" s="25">
        <v>43422</v>
      </c>
      <c r="J585" s="24">
        <v>43424</v>
      </c>
    </row>
    <row r="586" spans="2:10" x14ac:dyDescent="0.2">
      <c r="B586" s="22">
        <v>581</v>
      </c>
      <c r="C586" s="23" t="s">
        <v>14936</v>
      </c>
      <c r="D586" s="23" t="s">
        <v>1572</v>
      </c>
      <c r="E586" s="20" t="s">
        <v>14937</v>
      </c>
      <c r="F586" s="22">
        <v>2</v>
      </c>
      <c r="G586" s="22" t="s">
        <v>14937</v>
      </c>
      <c r="H586" s="22">
        <v>2</v>
      </c>
      <c r="I586" s="25">
        <v>43317</v>
      </c>
      <c r="J586" s="22" t="s">
        <v>558</v>
      </c>
    </row>
    <row r="587" spans="2:10" x14ac:dyDescent="0.2">
      <c r="B587" s="22">
        <v>582</v>
      </c>
      <c r="C587" s="23" t="s">
        <v>14938</v>
      </c>
      <c r="D587" s="23" t="s">
        <v>1377</v>
      </c>
      <c r="E587" s="20" t="s">
        <v>10855</v>
      </c>
      <c r="F587" s="22">
        <v>24</v>
      </c>
      <c r="G587" s="22" t="s">
        <v>10855</v>
      </c>
      <c r="H587" s="22">
        <v>24</v>
      </c>
      <c r="I587" s="25">
        <v>43212</v>
      </c>
      <c r="J587" s="24">
        <v>43218</v>
      </c>
    </row>
    <row r="588" spans="2:10" x14ac:dyDescent="0.2">
      <c r="B588" s="22">
        <v>583</v>
      </c>
      <c r="C588" s="23" t="s">
        <v>14939</v>
      </c>
      <c r="D588" s="23" t="s">
        <v>11303</v>
      </c>
      <c r="E588" s="20" t="s">
        <v>5236</v>
      </c>
      <c r="F588" s="22">
        <v>1</v>
      </c>
      <c r="G588" s="22" t="s">
        <v>5236</v>
      </c>
      <c r="H588" s="22">
        <v>1</v>
      </c>
      <c r="I588" s="25">
        <v>43142</v>
      </c>
      <c r="J588" s="22" t="s">
        <v>558</v>
      </c>
    </row>
    <row r="589" spans="2:10" x14ac:dyDescent="0.2">
      <c r="B589" s="22">
        <v>584</v>
      </c>
      <c r="C589" s="23" t="s">
        <v>14940</v>
      </c>
      <c r="D589" s="23" t="s">
        <v>2051</v>
      </c>
      <c r="E589" s="20" t="s">
        <v>11115</v>
      </c>
      <c r="F589" s="22">
        <v>1</v>
      </c>
      <c r="G589" s="22" t="s">
        <v>14941</v>
      </c>
      <c r="H589" s="22">
        <v>1</v>
      </c>
      <c r="I589" s="25">
        <v>43401</v>
      </c>
      <c r="J589" s="24">
        <v>43414</v>
      </c>
    </row>
    <row r="590" spans="2:10" x14ac:dyDescent="0.2">
      <c r="B590" s="22">
        <v>585</v>
      </c>
      <c r="C590" s="23" t="s">
        <v>14942</v>
      </c>
      <c r="D590" s="23" t="s">
        <v>14208</v>
      </c>
      <c r="E590" s="20" t="s">
        <v>14943</v>
      </c>
      <c r="F590" s="22">
        <v>1</v>
      </c>
      <c r="G590" s="22" t="s">
        <v>14944</v>
      </c>
      <c r="H590" s="22">
        <v>1</v>
      </c>
      <c r="I590" s="25">
        <v>43247</v>
      </c>
      <c r="J590" s="24">
        <v>43253</v>
      </c>
    </row>
    <row r="591" spans="2:10" x14ac:dyDescent="0.2">
      <c r="B591" s="22">
        <v>586</v>
      </c>
      <c r="C591" s="23" t="s">
        <v>14945</v>
      </c>
      <c r="D591" s="23" t="s">
        <v>1519</v>
      </c>
      <c r="E591" s="20" t="s">
        <v>14946</v>
      </c>
      <c r="F591" s="22">
        <v>3</v>
      </c>
      <c r="G591" s="22" t="s">
        <v>14946</v>
      </c>
      <c r="H591" s="22">
        <v>3</v>
      </c>
      <c r="I591" s="25">
        <v>43443</v>
      </c>
      <c r="J591" s="24">
        <v>43445</v>
      </c>
    </row>
    <row r="592" spans="2:10" x14ac:dyDescent="0.2">
      <c r="B592" s="22">
        <v>587</v>
      </c>
      <c r="C592" s="23" t="s">
        <v>14947</v>
      </c>
      <c r="D592" s="23" t="s">
        <v>1039</v>
      </c>
      <c r="E592" s="20" t="s">
        <v>7183</v>
      </c>
      <c r="F592" s="22">
        <v>1</v>
      </c>
      <c r="G592" s="22" t="s">
        <v>14948</v>
      </c>
      <c r="H592" s="22">
        <v>1</v>
      </c>
      <c r="I592" s="25">
        <v>43352</v>
      </c>
      <c r="J592" s="24">
        <v>43358</v>
      </c>
    </row>
    <row r="593" spans="2:10" x14ac:dyDescent="0.2">
      <c r="B593" s="22">
        <v>588</v>
      </c>
      <c r="C593" s="23" t="s">
        <v>14949</v>
      </c>
      <c r="D593" s="23" t="s">
        <v>1294</v>
      </c>
      <c r="E593" s="20" t="s">
        <v>14950</v>
      </c>
      <c r="F593" s="22">
        <v>1</v>
      </c>
      <c r="G593" s="22" t="s">
        <v>14951</v>
      </c>
      <c r="H593" s="22">
        <v>1</v>
      </c>
      <c r="I593" s="25">
        <v>43399</v>
      </c>
      <c r="J593" s="24">
        <v>43407</v>
      </c>
    </row>
    <row r="594" spans="2:10" x14ac:dyDescent="0.2">
      <c r="B594" s="22">
        <v>589</v>
      </c>
      <c r="C594" s="23" t="s">
        <v>14952</v>
      </c>
      <c r="D594" s="23" t="s">
        <v>8234</v>
      </c>
      <c r="E594" s="20" t="s">
        <v>14953</v>
      </c>
      <c r="F594" s="22">
        <v>101</v>
      </c>
      <c r="G594" s="22" t="s">
        <v>1159</v>
      </c>
      <c r="H594" s="22" t="s">
        <v>1159</v>
      </c>
      <c r="I594" s="25">
        <v>43373</v>
      </c>
      <c r="J594" s="22" t="s">
        <v>558</v>
      </c>
    </row>
    <row r="595" spans="2:10" x14ac:dyDescent="0.2">
      <c r="B595" s="22">
        <v>590</v>
      </c>
      <c r="C595" s="23" t="s">
        <v>14954</v>
      </c>
      <c r="D595" s="23" t="s">
        <v>1294</v>
      </c>
      <c r="E595" s="20" t="s">
        <v>8785</v>
      </c>
      <c r="F595" s="22">
        <v>2</v>
      </c>
      <c r="G595" s="22" t="s">
        <v>14955</v>
      </c>
      <c r="H595" s="22">
        <v>2</v>
      </c>
      <c r="I595" s="25">
        <v>43254</v>
      </c>
      <c r="J595" s="24">
        <v>43260</v>
      </c>
    </row>
    <row r="596" spans="2:10" x14ac:dyDescent="0.2">
      <c r="B596" s="22">
        <v>591</v>
      </c>
      <c r="C596" s="23" t="s">
        <v>14956</v>
      </c>
      <c r="D596" s="23" t="s">
        <v>1930</v>
      </c>
      <c r="E596" s="20" t="s">
        <v>14957</v>
      </c>
      <c r="F596" s="22">
        <v>1</v>
      </c>
      <c r="G596" s="22" t="s">
        <v>14958</v>
      </c>
      <c r="H596" s="22">
        <v>1</v>
      </c>
      <c r="I596" s="25">
        <v>43149</v>
      </c>
      <c r="J596" s="24">
        <v>43152</v>
      </c>
    </row>
    <row r="597" spans="2:10" x14ac:dyDescent="0.2">
      <c r="B597" s="22">
        <v>592</v>
      </c>
      <c r="C597" s="23" t="s">
        <v>14959</v>
      </c>
      <c r="D597" s="23" t="s">
        <v>1294</v>
      </c>
      <c r="E597" s="20" t="s">
        <v>14960</v>
      </c>
      <c r="F597" s="22">
        <v>1</v>
      </c>
      <c r="G597" s="22" t="s">
        <v>14961</v>
      </c>
      <c r="H597" s="22">
        <v>1</v>
      </c>
      <c r="I597" s="25">
        <v>43387</v>
      </c>
      <c r="J597" s="24">
        <v>43400</v>
      </c>
    </row>
    <row r="598" spans="2:10" x14ac:dyDescent="0.2">
      <c r="B598" s="22">
        <v>593</v>
      </c>
      <c r="C598" s="23" t="s">
        <v>14962</v>
      </c>
      <c r="D598" s="23" t="s">
        <v>1294</v>
      </c>
      <c r="E598" s="20" t="s">
        <v>14963</v>
      </c>
      <c r="F598" s="22" t="s">
        <v>1159</v>
      </c>
      <c r="G598" s="22" t="s">
        <v>1159</v>
      </c>
      <c r="H598" s="22" t="s">
        <v>1159</v>
      </c>
      <c r="I598" s="25">
        <v>43196</v>
      </c>
      <c r="J598" s="22" t="s">
        <v>558</v>
      </c>
    </row>
    <row r="599" spans="2:10" x14ac:dyDescent="0.2">
      <c r="B599" s="22">
        <v>594</v>
      </c>
      <c r="C599" s="23" t="s">
        <v>14964</v>
      </c>
      <c r="D599" s="23" t="s">
        <v>14965</v>
      </c>
      <c r="E599" s="20" t="s">
        <v>14966</v>
      </c>
      <c r="F599" s="22">
        <v>1</v>
      </c>
      <c r="G599" s="22" t="s">
        <v>14967</v>
      </c>
      <c r="H599" s="22">
        <v>1</v>
      </c>
      <c r="I599" s="25">
        <v>43317</v>
      </c>
      <c r="J599" s="24">
        <v>43330</v>
      </c>
    </row>
    <row r="600" spans="2:10" x14ac:dyDescent="0.2">
      <c r="B600" s="22">
        <v>595</v>
      </c>
      <c r="C600" s="23" t="s">
        <v>14968</v>
      </c>
      <c r="D600" s="23" t="s">
        <v>1880</v>
      </c>
      <c r="E600" s="20" t="s">
        <v>13162</v>
      </c>
      <c r="F600" s="22">
        <v>1</v>
      </c>
      <c r="G600" s="22" t="s">
        <v>14969</v>
      </c>
      <c r="H600" s="22">
        <v>1</v>
      </c>
      <c r="I600" s="25">
        <v>43345</v>
      </c>
      <c r="J600" s="24">
        <v>43365</v>
      </c>
    </row>
    <row r="601" spans="2:10" x14ac:dyDescent="0.2">
      <c r="B601" s="22">
        <v>596</v>
      </c>
      <c r="C601" s="23" t="s">
        <v>14970</v>
      </c>
      <c r="D601" s="23" t="s">
        <v>1294</v>
      </c>
      <c r="E601" s="20" t="s">
        <v>14971</v>
      </c>
      <c r="F601" s="22">
        <v>1</v>
      </c>
      <c r="G601" s="22" t="s">
        <v>1159</v>
      </c>
      <c r="H601" s="22">
        <v>1</v>
      </c>
      <c r="I601" s="25">
        <v>43226</v>
      </c>
      <c r="J601" s="22" t="s">
        <v>558</v>
      </c>
    </row>
    <row r="602" spans="2:10" x14ac:dyDescent="0.2">
      <c r="B602" s="22">
        <v>597</v>
      </c>
      <c r="C602" s="23" t="s">
        <v>14972</v>
      </c>
      <c r="D602" s="23" t="s">
        <v>1804</v>
      </c>
      <c r="E602" s="20" t="s">
        <v>9361</v>
      </c>
      <c r="F602" s="22">
        <v>1</v>
      </c>
      <c r="G602" s="22" t="s">
        <v>14973</v>
      </c>
      <c r="H602" s="22">
        <v>1</v>
      </c>
      <c r="I602" s="25">
        <v>43359</v>
      </c>
      <c r="J602" s="24">
        <v>43365</v>
      </c>
    </row>
    <row r="603" spans="2:10" x14ac:dyDescent="0.2">
      <c r="B603" s="22">
        <v>598</v>
      </c>
      <c r="C603" s="23" t="s">
        <v>14974</v>
      </c>
      <c r="D603" s="23" t="s">
        <v>8711</v>
      </c>
      <c r="E603" s="20" t="s">
        <v>14975</v>
      </c>
      <c r="F603" s="22">
        <v>1</v>
      </c>
      <c r="G603" s="22" t="s">
        <v>14975</v>
      </c>
      <c r="H603" s="22">
        <v>1</v>
      </c>
      <c r="I603" s="25">
        <v>43275</v>
      </c>
      <c r="J603" s="22" t="s">
        <v>558</v>
      </c>
    </row>
    <row r="604" spans="2:10" x14ac:dyDescent="0.2">
      <c r="B604" s="22">
        <v>599</v>
      </c>
      <c r="C604" s="23" t="s">
        <v>14976</v>
      </c>
      <c r="D604" s="23" t="s">
        <v>1039</v>
      </c>
      <c r="E604" s="20" t="s">
        <v>14977</v>
      </c>
      <c r="F604" s="22">
        <v>1</v>
      </c>
      <c r="G604" s="22" t="s">
        <v>14978</v>
      </c>
      <c r="H604" s="22">
        <v>1</v>
      </c>
      <c r="I604" s="25">
        <v>43464</v>
      </c>
      <c r="J604" s="22" t="s">
        <v>558</v>
      </c>
    </row>
    <row r="605" spans="2:10" x14ac:dyDescent="0.2">
      <c r="B605" s="22">
        <v>600</v>
      </c>
      <c r="C605" s="23" t="s">
        <v>14979</v>
      </c>
      <c r="D605" s="23" t="s">
        <v>13215</v>
      </c>
      <c r="E605" s="20" t="s">
        <v>14980</v>
      </c>
      <c r="F605" s="22">
        <v>1</v>
      </c>
      <c r="G605" s="22" t="s">
        <v>14981</v>
      </c>
      <c r="H605" s="22">
        <v>1</v>
      </c>
      <c r="I605" s="25">
        <v>43402</v>
      </c>
      <c r="J605" s="24">
        <v>43129</v>
      </c>
    </row>
    <row r="606" spans="2:10" x14ac:dyDescent="0.2">
      <c r="B606" s="22">
        <v>601</v>
      </c>
      <c r="C606" s="23" t="s">
        <v>14982</v>
      </c>
      <c r="D606" s="23" t="s">
        <v>1572</v>
      </c>
      <c r="E606" s="20" t="s">
        <v>14983</v>
      </c>
      <c r="F606" s="22">
        <v>1</v>
      </c>
      <c r="G606" s="22" t="s">
        <v>14984</v>
      </c>
      <c r="H606" s="22">
        <v>1</v>
      </c>
      <c r="I606" s="25">
        <v>43184</v>
      </c>
      <c r="J606" s="24">
        <v>43190</v>
      </c>
    </row>
    <row r="607" spans="2:10" x14ac:dyDescent="0.2">
      <c r="B607" s="22">
        <v>602</v>
      </c>
      <c r="C607" s="23" t="s">
        <v>14985</v>
      </c>
      <c r="D607" s="23" t="s">
        <v>10203</v>
      </c>
      <c r="E607" s="20" t="s">
        <v>14986</v>
      </c>
      <c r="F607" s="22">
        <v>1</v>
      </c>
      <c r="G607" s="22" t="s">
        <v>1159</v>
      </c>
      <c r="H607" s="22" t="s">
        <v>1159</v>
      </c>
      <c r="I607" s="25">
        <v>43408</v>
      </c>
      <c r="J607" s="24">
        <v>43414</v>
      </c>
    </row>
  </sheetData>
  <mergeCells count="2">
    <mergeCell ref="C3:C4"/>
    <mergeCell ref="B3:B4"/>
  </mergeCells>
  <hyperlinks>
    <hyperlink ref="B3" r:id="rId1"/>
    <hyperlink ref="C3" r:id="rId2"/>
    <hyperlink ref="D3" r:id="rId3"/>
    <hyperlink ref="E5" r:id="rId4"/>
    <hyperlink ref="F5" r:id="rId5"/>
    <hyperlink ref="C6" r:id="rId6"/>
    <hyperlink ref="D6" r:id="rId7"/>
    <hyperlink ref="I6" r:id="rId8" display="http://www.boxofficemojo.com/schedule/?view=bydate&amp;release=theatrical&amp;date=2011-07-15&amp;p=.htm"/>
    <hyperlink ref="C7" r:id="rId9"/>
    <hyperlink ref="D7" r:id="rId10"/>
    <hyperlink ref="I7" r:id="rId11" display="http://www.boxofficemojo.com/schedule/?view=bydate&amp;release=theatrical&amp;date=2011-06-29&amp;p=.htm"/>
    <hyperlink ref="C8" r:id="rId12"/>
    <hyperlink ref="D8" r:id="rId13"/>
    <hyperlink ref="I8" r:id="rId14" display="http://www.boxofficemojo.com/schedule/?view=bydate&amp;release=theatrical&amp;date=2011-11-18&amp;p=.htm"/>
    <hyperlink ref="C9" r:id="rId15"/>
    <hyperlink ref="D9" r:id="rId16"/>
    <hyperlink ref="I9" r:id="rId17" display="http://www.boxofficemojo.com/schedule/?view=bydate&amp;release=theatrical&amp;date=2011-05-26&amp;p=.htm"/>
    <hyperlink ref="C10" r:id="rId18"/>
    <hyperlink ref="D10" r:id="rId19"/>
    <hyperlink ref="I10" r:id="rId20" display="http://www.boxofficemojo.com/schedule/?view=bydate&amp;release=theatrical&amp;date=2011-05-20&amp;p=.htm"/>
    <hyperlink ref="C11" r:id="rId21"/>
    <hyperlink ref="D11" r:id="rId22"/>
    <hyperlink ref="I11" r:id="rId23" display="http://www.boxofficemojo.com/schedule/?view=bydate&amp;release=theatrical&amp;date=2011-04-29&amp;p=.htm"/>
    <hyperlink ref="C12" r:id="rId24"/>
    <hyperlink ref="D12" r:id="rId25"/>
    <hyperlink ref="I12" r:id="rId26" display="http://www.boxofficemojo.com/schedule/?view=bydate&amp;release=theatrical&amp;date=2011-12-16&amp;p=.htm"/>
    <hyperlink ref="C13" r:id="rId27"/>
    <hyperlink ref="D13" r:id="rId28"/>
    <hyperlink ref="I13" r:id="rId29" display="http://www.boxofficemojo.com/schedule/?view=bydate&amp;release=theatrical&amp;date=2011-06-24&amp;p=.htm"/>
    <hyperlink ref="C14" r:id="rId30"/>
    <hyperlink ref="D14" r:id="rId31"/>
    <hyperlink ref="I14" r:id="rId32" display="http://www.boxofficemojo.com/schedule/?view=bydate&amp;release=theatrical&amp;date=2011-12-16&amp;p=.htm"/>
    <hyperlink ref="C15" r:id="rId33"/>
    <hyperlink ref="D15" r:id="rId34"/>
    <hyperlink ref="I15" r:id="rId35" display="http://www.boxofficemojo.com/schedule/?view=bydate&amp;release=theatrical&amp;date=2011-05-06&amp;p=.htm"/>
    <hyperlink ref="C16" r:id="rId36"/>
    <hyperlink ref="D16" r:id="rId37"/>
    <hyperlink ref="I16" r:id="rId38" display="http://www.boxofficemojo.com/schedule/?view=bydate&amp;release=theatrical&amp;date=2011-08-05&amp;p=.htm"/>
    <hyperlink ref="C17" r:id="rId39"/>
    <hyperlink ref="D17" r:id="rId40"/>
    <hyperlink ref="I17" r:id="rId41" display="http://www.boxofficemojo.com/schedule/?view=bydate&amp;release=theatrical&amp;date=2011-07-22&amp;p=.htm"/>
    <hyperlink ref="C18" r:id="rId42"/>
    <hyperlink ref="D18" r:id="rId43"/>
    <hyperlink ref="I18" r:id="rId44" display="http://www.boxofficemojo.com/schedule/?view=bydate&amp;release=theatrical&amp;date=2011-08-10&amp;p=.htm"/>
    <hyperlink ref="C19" r:id="rId45"/>
    <hyperlink ref="D19" r:id="rId46"/>
    <hyperlink ref="I19" r:id="rId47" display="http://www.boxofficemojo.com/schedule/?view=bydate&amp;release=theatrical&amp;date=2011-05-13&amp;p=.htm"/>
    <hyperlink ref="C20" r:id="rId48"/>
    <hyperlink ref="D20" r:id="rId49"/>
    <hyperlink ref="I20" r:id="rId50" display="http://www.boxofficemojo.com/schedule/?view=bydate&amp;release=theatrical&amp;date=2011-05-26&amp;p=.htm"/>
    <hyperlink ref="C21" r:id="rId51"/>
    <hyperlink ref="D21" r:id="rId52"/>
    <hyperlink ref="I21" r:id="rId53" display="http://www.boxofficemojo.com/schedule/?view=bydate&amp;release=theatrical&amp;date=2011-10-28&amp;p=.htm"/>
    <hyperlink ref="C22" r:id="rId54"/>
    <hyperlink ref="D22" r:id="rId55"/>
    <hyperlink ref="I22" r:id="rId56" display="http://www.boxofficemojo.com/schedule/?view=bydate&amp;release=theatrical&amp;date=2011-06-03&amp;p=.htm"/>
    <hyperlink ref="C23" r:id="rId57"/>
    <hyperlink ref="D23" r:id="rId58"/>
    <hyperlink ref="I23" r:id="rId59" display="http://www.boxofficemojo.com/schedule/?view=bydate&amp;release=theatrical&amp;date=2011-04-15&amp;p=.htm"/>
    <hyperlink ref="C24" r:id="rId60"/>
    <hyperlink ref="D24" r:id="rId61"/>
    <hyperlink ref="I24" r:id="rId62" display="http://www.boxofficemojo.com/schedule/?view=bydate&amp;release=theatrical&amp;date=2011-07-29&amp;p=.htm"/>
    <hyperlink ref="C25" r:id="rId63"/>
    <hyperlink ref="D25" r:id="rId64"/>
    <hyperlink ref="I25" r:id="rId65" display="http://www.boxofficemojo.com/schedule/?view=bydate&amp;release=theatrical&amp;date=2011-12-16&amp;p=.htm"/>
    <hyperlink ref="C26" r:id="rId66"/>
    <hyperlink ref="D26" r:id="rId67"/>
    <hyperlink ref="I26" r:id="rId68" display="http://www.boxofficemojo.com/schedule/?view=bydate&amp;release=theatrical&amp;date=2011-06-10&amp;p=.htm"/>
    <hyperlink ref="C27" r:id="rId69"/>
    <hyperlink ref="D27" r:id="rId70"/>
    <hyperlink ref="I27" r:id="rId71" display="http://www.boxofficemojo.com/schedule/?view=bydate&amp;release=theatrical&amp;date=2011-03-04&amp;p=.htm"/>
    <hyperlink ref="C28" r:id="rId72"/>
    <hyperlink ref="D28" r:id="rId73"/>
    <hyperlink ref="I28" r:id="rId74" display="http://www.boxofficemojo.com/schedule/?view=bydate&amp;release=theatrical&amp;date=2011-07-08&amp;p=.htm"/>
    <hyperlink ref="C29" r:id="rId75"/>
    <hyperlink ref="D29" r:id="rId76"/>
    <hyperlink ref="I29" r:id="rId77" display="http://www.boxofficemojo.com/schedule/?view=bydate&amp;release=theatrical&amp;date=2011-06-17&amp;p=.htm"/>
    <hyperlink ref="C30" r:id="rId78"/>
    <hyperlink ref="D30" r:id="rId79"/>
    <hyperlink ref="I30" r:id="rId80" display="http://www.boxofficemojo.com/schedule/?view=bydate&amp;release=theatrical&amp;date=2011-04-01&amp;p=.htm"/>
    <hyperlink ref="C31" r:id="rId81"/>
    <hyperlink ref="D31" r:id="rId82"/>
    <hyperlink ref="I31" r:id="rId83" display="http://www.boxofficemojo.com/schedule/?view=bydate&amp;release=theatrical&amp;date=2011-10-21&amp;p=.htm"/>
    <hyperlink ref="C32" r:id="rId84"/>
    <hyperlink ref="D32" r:id="rId85"/>
    <hyperlink ref="I32" r:id="rId86" display="http://www.boxofficemojo.com/schedule/?view=bydate&amp;release=theatrical&amp;date=2011-02-11&amp;p=.htm"/>
    <hyperlink ref="C33" r:id="rId87"/>
    <hyperlink ref="D33" r:id="rId88"/>
    <hyperlink ref="I33" r:id="rId89" display="http://www.boxofficemojo.com/schedule/?view=bydate&amp;release=theatrical&amp;date=2011-12-21&amp;p=.htm"/>
    <hyperlink ref="C34" r:id="rId90"/>
    <hyperlink ref="D34" r:id="rId91"/>
    <hyperlink ref="I34" r:id="rId92" display="http://www.boxofficemojo.com/schedule/?view=bydate&amp;release=theatrical&amp;date=2011-06-24&amp;p=.htm"/>
    <hyperlink ref="C35" r:id="rId93"/>
    <hyperlink ref="D35" r:id="rId94"/>
    <hyperlink ref="I35" r:id="rId95" display="http://www.boxofficemojo.com/schedule/?view=bydate&amp;release=theatrical&amp;date=2011-07-29&amp;p=.htm"/>
    <hyperlink ref="C36" r:id="rId96"/>
    <hyperlink ref="D36" r:id="rId97"/>
    <hyperlink ref="I36" r:id="rId98" display="http://www.boxofficemojo.com/schedule/?view=bydate&amp;release=theatrical&amp;date=2011-02-11&amp;p=.htm"/>
    <hyperlink ref="C37" r:id="rId99"/>
    <hyperlink ref="D37" r:id="rId100"/>
    <hyperlink ref="I37" r:id="rId101" display="http://www.boxofficemojo.com/schedule/?view=bydate&amp;release=theatrical&amp;date=2011-01-14&amp;p=.htm"/>
    <hyperlink ref="C38" r:id="rId102"/>
    <hyperlink ref="D38" r:id="rId103"/>
    <hyperlink ref="I38" r:id="rId104" display="http://www.boxofficemojo.com/schedule/?view=bydate&amp;release=theatrical&amp;date=2011-09-16&amp;p=.htm"/>
    <hyperlink ref="C39" r:id="rId105"/>
    <hyperlink ref="D39" r:id="rId106"/>
    <hyperlink ref="I39" r:id="rId107" display="http://www.boxofficemojo.com/schedule/?view=bydate&amp;release=theatrical&amp;date=2011-11-23&amp;p=.htm"/>
    <hyperlink ref="C40" r:id="rId108"/>
    <hyperlink ref="D40" r:id="rId109"/>
    <hyperlink ref="I40" r:id="rId110" display="http://www.boxofficemojo.com/schedule/?view=bydate&amp;release=theatrical&amp;date=2011-10-07&amp;p=.htm"/>
    <hyperlink ref="C41" r:id="rId111"/>
    <hyperlink ref="D41" r:id="rId112"/>
    <hyperlink ref="I41" r:id="rId113" display="http://www.boxofficemojo.com/schedule/?view=bydate&amp;release=theatrical&amp;date=2011-07-29&amp;p=.htm"/>
    <hyperlink ref="C42" r:id="rId114"/>
    <hyperlink ref="D42" r:id="rId115"/>
    <hyperlink ref="I42" r:id="rId116" display="http://www.boxofficemojo.com/schedule/?view=bydate&amp;release=theatrical&amp;date=2011-03-11&amp;p=.htm"/>
    <hyperlink ref="C43" r:id="rId117"/>
    <hyperlink ref="D43" r:id="rId118"/>
    <hyperlink ref="I43" r:id="rId119" display="http://www.boxofficemojo.com/schedule/?view=bydate&amp;release=theatrical&amp;date=2011-11-11&amp;p=.htm"/>
    <hyperlink ref="C44" r:id="rId120"/>
    <hyperlink ref="D44" r:id="rId121"/>
    <hyperlink ref="I44" r:id="rId122" display="http://www.boxofficemojo.com/schedule/?view=bydate&amp;release=theatrical&amp;date=2011-11-16&amp;p=.htm"/>
    <hyperlink ref="C45" r:id="rId123"/>
    <hyperlink ref="D45" r:id="rId124"/>
    <hyperlink ref="I45" r:id="rId125" display="http://www.boxofficemojo.com/schedule/?view=bydate&amp;release=theatrical&amp;date=2011-07-08&amp;p=.htm"/>
    <hyperlink ref="C46" r:id="rId126"/>
    <hyperlink ref="D46" r:id="rId127"/>
    <hyperlink ref="I46" r:id="rId128" display="http://www.boxofficemojo.com/schedule/?view=bydate&amp;release=theatrical&amp;date=2011-12-25&amp;p=.htm"/>
    <hyperlink ref="C47" r:id="rId129"/>
    <hyperlink ref="D47" r:id="rId130"/>
    <hyperlink ref="I47" r:id="rId131" display="http://www.boxofficemojo.com/schedule/?view=bydate&amp;release=theatrical&amp;date=2011-03-18&amp;p=.htm"/>
    <hyperlink ref="C48" r:id="rId132"/>
    <hyperlink ref="D48" r:id="rId133"/>
    <hyperlink ref="I48" r:id="rId134" display="http://www.boxofficemojo.com/schedule/?view=bydate&amp;release=theatrical&amp;date=2011-11-04&amp;p=.htm"/>
    <hyperlink ref="C49" r:id="rId135"/>
    <hyperlink ref="D49" r:id="rId136"/>
    <hyperlink ref="I49" r:id="rId137" display="http://www.boxofficemojo.com/schedule/?view=bydate&amp;release=theatrical&amp;date=2011-12-21&amp;p=.htm"/>
    <hyperlink ref="C50" r:id="rId138"/>
    <hyperlink ref="D50" r:id="rId139"/>
    <hyperlink ref="I50" r:id="rId140" display="http://www.boxofficemojo.com/schedule/?view=bydate&amp;release=theatrical&amp;date=2011-09-09&amp;p=.htm"/>
    <hyperlink ref="C51" r:id="rId141"/>
    <hyperlink ref="D51" r:id="rId142"/>
    <hyperlink ref="I51" r:id="rId143" display="http://www.boxofficemojo.com/schedule/?view=bydate&amp;release=theatrical&amp;date=2011-12-23&amp;p=.htm"/>
    <hyperlink ref="C52" r:id="rId144"/>
    <hyperlink ref="D52" r:id="rId145"/>
    <hyperlink ref="I52" r:id="rId146" display="http://www.boxofficemojo.com/schedule/?view=bydate&amp;release=theatrical&amp;date=2011-09-23&amp;p=.htm"/>
    <hyperlink ref="C53" r:id="rId147"/>
    <hyperlink ref="D53" r:id="rId148"/>
    <hyperlink ref="I53" r:id="rId149" display="http://www.boxofficemojo.com/schedule/?view=bydate&amp;release=theatrical&amp;date=2011-11-11&amp;p=.htm"/>
    <hyperlink ref="C54" r:id="rId150"/>
    <hyperlink ref="D54" r:id="rId151"/>
    <hyperlink ref="I54" r:id="rId152" display="http://www.boxofficemojo.com/schedule/?view=bydate&amp;release=theatrical&amp;date=2011-11-23&amp;p=.htm"/>
    <hyperlink ref="C55" r:id="rId153"/>
    <hyperlink ref="D55" r:id="rId154"/>
    <hyperlink ref="I55" r:id="rId155" display="http://www.boxofficemojo.com/schedule/?view=bydate&amp;release=theatrical&amp;date=2011-02-11&amp;p=.htm"/>
    <hyperlink ref="C56" r:id="rId156"/>
    <hyperlink ref="D56" r:id="rId157"/>
    <hyperlink ref="I56" r:id="rId158" display="http://www.boxofficemojo.com/schedule/?view=bydate&amp;release=theatrical&amp;date=2011-09-23&amp;p=.htm"/>
    <hyperlink ref="C57" r:id="rId159"/>
    <hyperlink ref="D57" r:id="rId160"/>
    <hyperlink ref="I57" r:id="rId161" display="http://www.boxofficemojo.com/schedule/?view=bydate&amp;release=theatrical&amp;date=2011-01-21&amp;p=.htm"/>
    <hyperlink ref="C58" r:id="rId162"/>
    <hyperlink ref="D58" r:id="rId163"/>
    <hyperlink ref="I58" r:id="rId164" display="http://www.boxofficemojo.com/schedule/?view=bydate&amp;release=theatrical&amp;date=2011-06-17&amp;p=.htm"/>
    <hyperlink ref="C59" r:id="rId165"/>
    <hyperlink ref="D59" r:id="rId166"/>
    <hyperlink ref="I59" r:id="rId167" display="http://www.boxofficemojo.com/schedule/?view=bydate&amp;release=theatrical&amp;date=2011-11-18&amp;p=.htm"/>
    <hyperlink ref="C60" r:id="rId168"/>
    <hyperlink ref="D60" r:id="rId169"/>
    <hyperlink ref="I60" r:id="rId170" display="http://www.boxofficemojo.com/schedule/?view=bydate&amp;release=theatrical&amp;date=2011-02-18&amp;p=.htm"/>
    <hyperlink ref="C61" r:id="rId171"/>
    <hyperlink ref="D61" r:id="rId172"/>
    <hyperlink ref="I61" r:id="rId173" display="http://www.boxofficemojo.com/schedule/?view=bydate&amp;release=theatrical&amp;date=2011-03-04&amp;p=.htm"/>
    <hyperlink ref="C62" r:id="rId174"/>
    <hyperlink ref="D62" r:id="rId175"/>
    <hyperlink ref="I62" r:id="rId176" display="http://www.boxofficemojo.com/schedule/?view=bydate&amp;release=theatrical&amp;date=2011-04-22&amp;p=.htm"/>
    <hyperlink ref="C63" r:id="rId177"/>
    <hyperlink ref="D63" r:id="rId178"/>
    <hyperlink ref="I63" r:id="rId179" display="http://www.boxofficemojo.com/schedule/?view=bydate&amp;release=theatrical&amp;date=2011-03-18&amp;p=.htm"/>
    <hyperlink ref="C64" r:id="rId180"/>
    <hyperlink ref="D64" r:id="rId181"/>
    <hyperlink ref="I64" r:id="rId182" display="http://www.boxofficemojo.com/schedule/?view=bydate&amp;release=theatrical&amp;date=2011-05-20&amp;p=.htm"/>
    <hyperlink ref="C65" r:id="rId183"/>
    <hyperlink ref="D65" r:id="rId184"/>
    <hyperlink ref="I65" r:id="rId185" display="http://www.boxofficemojo.com/schedule/?view=bydate&amp;release=theatrical&amp;date=2011-07-22&amp;p=.htm"/>
    <hyperlink ref="C66" r:id="rId186"/>
    <hyperlink ref="D66" r:id="rId187"/>
    <hyperlink ref="I66" r:id="rId188" display="http://www.boxofficemojo.com/schedule/?view=bydate&amp;release=theatrical&amp;date=2011-02-18&amp;p=.htm"/>
    <hyperlink ref="C67" r:id="rId189"/>
    <hyperlink ref="D67" r:id="rId190"/>
    <hyperlink ref="I67" r:id="rId191" display="http://www.boxofficemojo.com/schedule/?view=bydate&amp;release=theatrical&amp;date=2011-04-01&amp;p=.htm"/>
    <hyperlink ref="C68" r:id="rId192"/>
    <hyperlink ref="D68" r:id="rId193"/>
    <hyperlink ref="I68" r:id="rId194" display="http://www.boxofficemojo.com/schedule/?view=bydate&amp;release=theatrical&amp;date=2011-12-09&amp;p=.htm"/>
    <hyperlink ref="C69" r:id="rId195"/>
    <hyperlink ref="D69" r:id="rId196"/>
    <hyperlink ref="I69" r:id="rId197" display="http://www.boxofficemojo.com/schedule/?view=bydate&amp;release=theatrical&amp;date=2011-04-01&amp;p=.htm"/>
    <hyperlink ref="C70" r:id="rId198"/>
    <hyperlink ref="D70" r:id="rId199"/>
    <hyperlink ref="I70" r:id="rId200" display="http://www.boxofficemojo.com/schedule/?view=bydate&amp;release=theatrical&amp;date=2011-04-22&amp;p=.htm"/>
    <hyperlink ref="C71" r:id="rId201"/>
    <hyperlink ref="D71" r:id="rId202"/>
    <hyperlink ref="I71" r:id="rId203" display="http://www.boxofficemojo.com/schedule/?view=bydate&amp;release=theatrical&amp;date=2011-03-25&amp;p=.htm"/>
    <hyperlink ref="C72" r:id="rId204"/>
    <hyperlink ref="D72" r:id="rId205"/>
    <hyperlink ref="I72" r:id="rId206" display="http://www.boxofficemojo.com/schedule/?view=bydate&amp;release=theatrical&amp;date=2011-10-14&amp;p=.htm"/>
    <hyperlink ref="C73" r:id="rId207"/>
    <hyperlink ref="D73" r:id="rId208"/>
    <hyperlink ref="I73" r:id="rId209" display="http://www.boxofficemojo.com/schedule/?view=bydate&amp;release=theatrical&amp;date=2011-01-14&amp;p=.htm"/>
    <hyperlink ref="C74" r:id="rId210"/>
    <hyperlink ref="D74" r:id="rId211"/>
    <hyperlink ref="I74" r:id="rId212" display="http://www.boxofficemojo.com/schedule/?view=bydate&amp;release=theatrical&amp;date=2011-11-23&amp;p=.htm"/>
    <hyperlink ref="C75" r:id="rId213"/>
    <hyperlink ref="D75" r:id="rId214"/>
    <hyperlink ref="I75" r:id="rId215" display="http://www.boxofficemojo.com/schedule/?view=bydate&amp;release=theatrical&amp;date=2011-02-25&amp;p=.htm"/>
    <hyperlink ref="C76" r:id="rId216"/>
    <hyperlink ref="D76" r:id="rId217"/>
    <hyperlink ref="I76" r:id="rId218" display="http://www.boxofficemojo.com/schedule/?view=bydate&amp;release=theatrical&amp;date=2011-11-25&amp;p=.htm"/>
    <hyperlink ref="C77" r:id="rId219"/>
    <hyperlink ref="D77" r:id="rId220"/>
    <hyperlink ref="I77" r:id="rId221" display="http://www.boxofficemojo.com/schedule/?view=bydate&amp;release=theatrical&amp;date=2011-04-08&amp;p=.htm"/>
    <hyperlink ref="C78" r:id="rId222"/>
    <hyperlink ref="D78" r:id="rId223"/>
    <hyperlink ref="I78" r:id="rId224" display="http://www.boxofficemojo.com/schedule/?view=bydate&amp;release=theatrical&amp;date=2011-08-12&amp;p=.htm"/>
    <hyperlink ref="C79" r:id="rId225"/>
    <hyperlink ref="D79" r:id="rId226"/>
    <hyperlink ref="I79" r:id="rId227" display="http://www.boxofficemojo.com/schedule/?view=bydate&amp;release=theatrical&amp;date=2011-10-07&amp;p=.htm"/>
    <hyperlink ref="C80" r:id="rId228"/>
    <hyperlink ref="D80" r:id="rId229"/>
    <hyperlink ref="I80" r:id="rId230" display="http://www.boxofficemojo.com/schedule/?view=bydate&amp;release=theatrical&amp;date=2011-04-08&amp;p=.htm"/>
    <hyperlink ref="C81" r:id="rId231"/>
    <hyperlink ref="D81" r:id="rId232"/>
    <hyperlink ref="I81" r:id="rId233" display="http://www.boxofficemojo.com/schedule/?view=bydate&amp;release=theatrical&amp;date=2011-05-06&amp;p=.htm"/>
    <hyperlink ref="C82" r:id="rId234"/>
    <hyperlink ref="D82" r:id="rId235"/>
    <hyperlink ref="I82" r:id="rId236" display="http://www.boxofficemojo.com/schedule/?view=bydate&amp;release=theatrical&amp;date=2011-08-19&amp;p=.htm"/>
    <hyperlink ref="C83" r:id="rId237"/>
    <hyperlink ref="D83" r:id="rId238"/>
    <hyperlink ref="I83" r:id="rId239" display="http://www.boxofficemojo.com/schedule/?view=bydate&amp;release=theatrical&amp;date=2011-04-15&amp;p=.htm"/>
    <hyperlink ref="C84" r:id="rId240"/>
    <hyperlink ref="D84" r:id="rId241"/>
    <hyperlink ref="I84" r:id="rId242" display="http://www.boxofficemojo.com/schedule/?view=bydate&amp;release=theatrical&amp;date=2011-02-18&amp;p=.htm"/>
    <hyperlink ref="C85" r:id="rId243"/>
    <hyperlink ref="D85" r:id="rId244"/>
    <hyperlink ref="I85" r:id="rId245" display="http://www.boxofficemojo.com/schedule/?view=bydate&amp;release=theatrical&amp;date=2011-03-11&amp;p=.htm"/>
    <hyperlink ref="C86" r:id="rId246"/>
    <hyperlink ref="D86" r:id="rId247"/>
    <hyperlink ref="I86" r:id="rId248" display="http://www.boxofficemojo.com/schedule/?view=bydate&amp;release=theatrical&amp;date=2011-10-28&amp;p=.htm"/>
    <hyperlink ref="C87" r:id="rId249"/>
    <hyperlink ref="D87" r:id="rId250"/>
    <hyperlink ref="I87" r:id="rId251" display="http://www.boxofficemojo.com/schedule/?view=bydate&amp;release=theatrical&amp;date=2011-03-18&amp;p=.htm"/>
    <hyperlink ref="C88" r:id="rId252"/>
    <hyperlink ref="D88" r:id="rId253"/>
    <hyperlink ref="I88" r:id="rId254" display="http://www.boxofficemojo.com/schedule/?view=bydate&amp;release=theatrical&amp;date=2011-11-09&amp;p=.htm"/>
    <hyperlink ref="C89" r:id="rId255"/>
    <hyperlink ref="D89" r:id="rId256"/>
    <hyperlink ref="I89" r:id="rId257" display="http://www.boxofficemojo.com/schedule/?view=bydate&amp;release=theatrical&amp;date=2011-02-04&amp;p=.htm"/>
    <hyperlink ref="C90" r:id="rId258"/>
    <hyperlink ref="D90" r:id="rId259"/>
    <hyperlink ref="I90" r:id="rId260" display="http://www.boxofficemojo.com/schedule/?view=bydate&amp;release=theatrical&amp;date=2011-05-06&amp;p=.htm"/>
    <hyperlink ref="C91" r:id="rId261"/>
    <hyperlink ref="D91" r:id="rId262"/>
    <hyperlink ref="I91" r:id="rId263" display="http://www.boxofficemojo.com/schedule/?view=bydate&amp;release=theatrical&amp;date=2011-08-05&amp;p=.htm"/>
    <hyperlink ref="C92" r:id="rId264"/>
    <hyperlink ref="D92" r:id="rId265"/>
    <hyperlink ref="I92" r:id="rId266" display="http://www.boxofficemojo.com/schedule/?view=bydate&amp;release=theatrical&amp;date=2011-08-12&amp;p=.htm"/>
    <hyperlink ref="C93" r:id="rId267"/>
    <hyperlink ref="D93" r:id="rId268"/>
    <hyperlink ref="I93" r:id="rId269" display="http://www.boxofficemojo.com/schedule/?view=bydate&amp;release=theatrical&amp;date=2011-08-26&amp;p=.htm"/>
    <hyperlink ref="C94" r:id="rId270"/>
    <hyperlink ref="D94" r:id="rId271"/>
    <hyperlink ref="I94" r:id="rId272" display="http://www.boxofficemojo.com/schedule/?view=bydate&amp;release=theatrical&amp;date=2011-03-25&amp;p=.htm"/>
    <hyperlink ref="C95" r:id="rId273"/>
    <hyperlink ref="D95" r:id="rId274"/>
    <hyperlink ref="I95" r:id="rId275" display="http://www.boxofficemojo.com/schedule/?view=bydate&amp;release=theatrical&amp;date=2011-07-01&amp;p=.htm"/>
    <hyperlink ref="C96" r:id="rId276"/>
    <hyperlink ref="D96" r:id="rId277"/>
    <hyperlink ref="I96" r:id="rId278" display="http://www.boxofficemojo.com/schedule/?view=bydate&amp;release=theatrical&amp;date=2011-11-04&amp;p=.htm"/>
    <hyperlink ref="C97" r:id="rId279"/>
    <hyperlink ref="D97" r:id="rId280"/>
    <hyperlink ref="I97" r:id="rId281" display="http://www.boxofficemojo.com/schedule/?view=bydate&amp;release=theatrical&amp;date=2011-09-16&amp;p=.htm"/>
    <hyperlink ref="C98" r:id="rId282"/>
    <hyperlink ref="D98" r:id="rId283"/>
    <hyperlink ref="I98" r:id="rId284" display="http://www.boxofficemojo.com/schedule/?view=bydate&amp;release=theatrical&amp;date=2011-09-30&amp;p=.htm"/>
    <hyperlink ref="C99" r:id="rId285"/>
    <hyperlink ref="D99" r:id="rId286"/>
    <hyperlink ref="I99" r:id="rId287" display="http://www.boxofficemojo.com/schedule/?view=bydate&amp;release=theatrical&amp;date=2011-09-30&amp;p=.htm"/>
    <hyperlink ref="C100" r:id="rId288"/>
    <hyperlink ref="D100" r:id="rId289"/>
    <hyperlink ref="I100" r:id="rId290" display="http://www.boxofficemojo.com/schedule/?view=bydate&amp;release=theatrical&amp;date=2011-01-28&amp;p=.htm"/>
    <hyperlink ref="C101" r:id="rId291"/>
    <hyperlink ref="D101" r:id="rId292"/>
    <hyperlink ref="I101" r:id="rId293" display="http://www.boxofficemojo.com/schedule/?view=bydate&amp;release=theatrical&amp;date=2011-04-08&amp;p=.htm"/>
    <hyperlink ref="C102" r:id="rId294"/>
    <hyperlink ref="D102" r:id="rId295"/>
    <hyperlink ref="I102" r:id="rId296" display="http://www.boxofficemojo.com/schedule/?view=bydate&amp;release=theatrical&amp;date=2011-12-25&amp;p=.htm"/>
    <hyperlink ref="C103" r:id="rId297"/>
    <hyperlink ref="D103" r:id="rId298"/>
    <hyperlink ref="I103" r:id="rId299" display="http://www.boxofficemojo.com/schedule/?view=bydate&amp;release=theatrical&amp;date=2011-08-31&amp;p=.htm"/>
    <hyperlink ref="C104" r:id="rId300"/>
    <hyperlink ref="D104" r:id="rId301"/>
    <hyperlink ref="I104" r:id="rId302" display="http://www.boxofficemojo.com/schedule/?view=bydate&amp;release=theatrical&amp;date=2011-12-09&amp;p=.htm"/>
    <hyperlink ref="C105" r:id="rId303"/>
    <hyperlink ref="D105" r:id="rId304"/>
    <hyperlink ref="I105" r:id="rId305" display="http://www.boxofficemojo.com/schedule/?view=bydate&amp;release=theatrical&amp;date=2011-12-30&amp;p=.htm"/>
    <hyperlink ref="C106" r:id="rId306"/>
    <hyperlink ref="D106" r:id="rId307"/>
    <hyperlink ref="I106" r:id="rId308" display="http://www.boxofficemojo.com/schedule/?view=bydate&amp;release=theatrical&amp;date=2011-05-13&amp;p=.htm"/>
    <hyperlink ref="C107" r:id="rId309"/>
    <hyperlink ref="D107" r:id="rId310"/>
    <hyperlink ref="I107" r:id="rId311" display="http://www.boxofficemojo.com/schedule/?view=bydate&amp;release=theatrical&amp;date=2011-01-28&amp;p=.htm"/>
    <hyperlink ref="C108" r:id="rId312"/>
    <hyperlink ref="D108" r:id="rId313"/>
    <hyperlink ref="I108" r:id="rId314" display="http://www.boxofficemojo.com/schedule/?view=bydate&amp;release=theatrical&amp;date=2011-09-23&amp;p=.htm"/>
    <hyperlink ref="C109" r:id="rId315"/>
    <hyperlink ref="D109" r:id="rId316"/>
    <hyperlink ref="I109" r:id="rId317" display="http://www.boxofficemojo.com/schedule/?view=bydate&amp;release=theatrical&amp;date=2011-03-04&amp;p=.htm"/>
    <hyperlink ref="C110" r:id="rId318"/>
    <hyperlink ref="D110" r:id="rId319"/>
    <hyperlink ref="I110" r:id="rId320" display="http://www.boxofficemojo.com/schedule/?view=bydate&amp;release=theatrical&amp;date=2011-07-15&amp;p=.htm"/>
    <hyperlink ref="C111" r:id="rId321"/>
    <hyperlink ref="D111" r:id="rId322"/>
    <hyperlink ref="I111" r:id="rId323" display="http://www.boxofficemojo.com/schedule/?view=bydate&amp;release=theatrical&amp;date=2011-04-08&amp;p=.htm"/>
    <hyperlink ref="C112" r:id="rId324"/>
    <hyperlink ref="D112" r:id="rId325"/>
    <hyperlink ref="I112" r:id="rId326" display="http://www.boxofficemojo.com/schedule/?view=bydate&amp;release=theatrical&amp;date=2011-09-23&amp;p=.htm"/>
    <hyperlink ref="C113" r:id="rId327"/>
    <hyperlink ref="D113" r:id="rId328"/>
    <hyperlink ref="I113" r:id="rId329" display="http://www.boxofficemojo.com/schedule/?view=bydate&amp;release=theatrical&amp;date=2011-01-07&amp;p=.htm"/>
    <hyperlink ref="C114" r:id="rId330"/>
    <hyperlink ref="D114" r:id="rId331"/>
    <hyperlink ref="I114" r:id="rId332" display="http://www.boxofficemojo.com/schedule/?view=bydate&amp;release=theatrical&amp;date=2011-08-26&amp;p=.htm"/>
    <hyperlink ref="C115" r:id="rId333"/>
    <hyperlink ref="D115" r:id="rId334"/>
    <hyperlink ref="I115" r:id="rId335" display="http://www.boxofficemojo.com/schedule/?view=bydate&amp;release=theatrical&amp;date=2011-12-09&amp;p=.htm"/>
    <hyperlink ref="C116" r:id="rId336"/>
    <hyperlink ref="D116" r:id="rId337"/>
    <hyperlink ref="I116" r:id="rId338" display="http://www.boxofficemojo.com/schedule/?view=bydate&amp;release=theatrical&amp;date=2011-08-26&amp;p=.htm"/>
    <hyperlink ref="C117" r:id="rId339"/>
    <hyperlink ref="D117" r:id="rId340"/>
    <hyperlink ref="I117" r:id="rId341" display="http://www.boxofficemojo.com/schedule/?view=bydate&amp;release=theatrical&amp;date=2011-02-04&amp;p=.htm"/>
    <hyperlink ref="C118" r:id="rId342"/>
    <hyperlink ref="D118" r:id="rId343"/>
    <hyperlink ref="I118" r:id="rId344" display="http://www.boxofficemojo.com/schedule/?view=bydate&amp;release=theatrical&amp;date=2011-07-01&amp;p=.htm"/>
    <hyperlink ref="C119" r:id="rId345"/>
    <hyperlink ref="D119" r:id="rId346"/>
    <hyperlink ref="I119" r:id="rId347" display="http://www.boxofficemojo.com/schedule/?view=bydate&amp;release=theatrical&amp;date=2011-04-08&amp;p=.htm"/>
    <hyperlink ref="C120" r:id="rId348"/>
    <hyperlink ref="D120" r:id="rId349"/>
    <hyperlink ref="I120" r:id="rId350" display="http://www.boxofficemojo.com/schedule/?view=bydate&amp;release=theatrical&amp;date=2011-12-25&amp;p=.htm"/>
    <hyperlink ref="C121" r:id="rId351"/>
    <hyperlink ref="D121" r:id="rId352"/>
    <hyperlink ref="I121" r:id="rId353" display="http://www.boxofficemojo.com/schedule/?view=bydate&amp;release=theatrical&amp;date=2011-03-11&amp;p=.htm"/>
    <hyperlink ref="C122" r:id="rId354"/>
    <hyperlink ref="D122" r:id="rId355"/>
    <hyperlink ref="I122" r:id="rId356" display="http://www.boxofficemojo.com/schedule/?view=bydate&amp;release=theatrical&amp;date=2011-09-30&amp;p=.htm"/>
    <hyperlink ref="C123" r:id="rId357"/>
    <hyperlink ref="D123" r:id="rId358"/>
    <hyperlink ref="I123" r:id="rId359" display="http://www.boxofficemojo.com/schedule/?view=bydate&amp;release=theatrical&amp;date=2011-08-19&amp;p=.htm"/>
    <hyperlink ref="C124" r:id="rId360"/>
    <hyperlink ref="D124" r:id="rId361"/>
    <hyperlink ref="I124" r:id="rId362" display="http://www.boxofficemojo.com/schedule/?view=bydate&amp;release=theatrical&amp;date=2011-10-21&amp;p=.htm"/>
    <hyperlink ref="C125" r:id="rId363"/>
    <hyperlink ref="D125" r:id="rId364"/>
    <hyperlink ref="I125" r:id="rId365" display="http://www.boxofficemojo.com/schedule/?view=bydate&amp;release=theatrical&amp;date=2011-02-11&amp;p=.htm"/>
    <hyperlink ref="C126" r:id="rId366"/>
    <hyperlink ref="D126" r:id="rId367"/>
    <hyperlink ref="I126" r:id="rId368" display="http://www.boxofficemojo.com/schedule/?view=bydate&amp;release=theatrical&amp;date=2011-09-02&amp;p=.htm"/>
    <hyperlink ref="C127" r:id="rId369"/>
    <hyperlink ref="D127" r:id="rId370"/>
    <hyperlink ref="I127" r:id="rId371" display="http://www.boxofficemojo.com/schedule/?view=bydate&amp;release=theatrical&amp;date=2011-08-19&amp;p=.htm"/>
    <hyperlink ref="C128" r:id="rId372"/>
    <hyperlink ref="D128" r:id="rId373"/>
    <hyperlink ref="I128" r:id="rId374" display="http://www.boxofficemojo.com/schedule/?view=bydate&amp;release=theatrical&amp;date=2011-09-02&amp;p=.htm"/>
    <hyperlink ref="C129" r:id="rId375"/>
    <hyperlink ref="D129" r:id="rId376"/>
    <hyperlink ref="I129" r:id="rId377" display="http://www.boxofficemojo.com/schedule/?view=bydate&amp;release=theatrical&amp;date=2011-10-14&amp;p=.htm"/>
    <hyperlink ref="C130" r:id="rId378"/>
    <hyperlink ref="D130" r:id="rId379"/>
    <hyperlink ref="I130" r:id="rId380" display="http://www.boxofficemojo.com/schedule/?view=bydate&amp;release=theatrical&amp;date=2011-12-09&amp;p=.htm"/>
    <hyperlink ref="C131" r:id="rId381"/>
    <hyperlink ref="D131" r:id="rId382"/>
    <hyperlink ref="I131" r:id="rId383" display="http://www.boxofficemojo.com/schedule/?view=bydate&amp;release=theatrical&amp;date=2011-04-22&amp;p=.htm"/>
    <hyperlink ref="C132" r:id="rId384"/>
    <hyperlink ref="D132" r:id="rId385"/>
    <hyperlink ref="I132" r:id="rId386" display="http://www.boxofficemojo.com/schedule/?view=bydate&amp;release=theatrical&amp;date=2011-06-10&amp;p=.htm"/>
    <hyperlink ref="C133" r:id="rId387"/>
    <hyperlink ref="D133" r:id="rId388"/>
    <hyperlink ref="I133" r:id="rId389" display="http://www.boxofficemojo.com/schedule/?view=bydate&amp;release=theatrical&amp;date=2011-11-23&amp;p=.htm"/>
    <hyperlink ref="C134" r:id="rId390"/>
    <hyperlink ref="D134" r:id="rId391"/>
    <hyperlink ref="I134" r:id="rId392" display="http://www.boxofficemojo.com/schedule/?view=bydate&amp;release=theatrical&amp;date=2011-09-30&amp;p=.htm"/>
    <hyperlink ref="C135" r:id="rId393"/>
    <hyperlink ref="D135" r:id="rId394"/>
    <hyperlink ref="I135" r:id="rId395" display="http://www.boxofficemojo.com/schedule/?view=bydate&amp;release=theatrical&amp;date=2011-08-19&amp;p=.htm"/>
    <hyperlink ref="C136" r:id="rId396"/>
    <hyperlink ref="D136" r:id="rId397"/>
    <hyperlink ref="I136" r:id="rId398" display="http://www.boxofficemojo.com/schedule/?view=bydate&amp;release=theatrical&amp;date=2011-09-09&amp;p=.htm"/>
    <hyperlink ref="C137" r:id="rId399"/>
    <hyperlink ref="D137" r:id="rId400"/>
    <hyperlink ref="I137" r:id="rId401" display="http://www.boxofficemojo.com/schedule/?view=bydate&amp;release=theatrical&amp;date=2011-05-27&amp;p=.htm"/>
    <hyperlink ref="C138" r:id="rId402"/>
    <hyperlink ref="D138" r:id="rId403"/>
    <hyperlink ref="I138" r:id="rId404" display="http://www.boxofficemojo.com/schedule/?view=bydate&amp;release=theatrical&amp;date=2011-10-28&amp;p=.htm"/>
    <hyperlink ref="C139" r:id="rId405"/>
    <hyperlink ref="D139" r:id="rId406"/>
    <hyperlink ref="I139" r:id="rId407" display="http://www.boxofficemojo.com/schedule/?view=bydate&amp;release=theatrical&amp;date=2011-08-12&amp;p=.htm"/>
    <hyperlink ref="C140" r:id="rId408"/>
    <hyperlink ref="D140" r:id="rId409"/>
    <hyperlink ref="I140" r:id="rId410" display="http://www.boxofficemojo.com/schedule/?view=bydate&amp;release=theatrical&amp;date=2011-04-15&amp;p=.htm"/>
    <hyperlink ref="C141" r:id="rId411"/>
    <hyperlink ref="D141" r:id="rId412"/>
    <hyperlink ref="I141" r:id="rId413" display="http://www.boxofficemojo.com/schedule/?view=bydate&amp;release=theatrical&amp;date=2011-03-11&amp;p=.htm"/>
    <hyperlink ref="C142" r:id="rId414"/>
    <hyperlink ref="D142" r:id="rId415"/>
    <hyperlink ref="I142" r:id="rId416" display="http://www.boxofficemojo.com/schedule/?view=bydate&amp;release=theatrical&amp;date=2011-02-25&amp;p=.htm"/>
    <hyperlink ref="C143" r:id="rId417"/>
    <hyperlink ref="D143" r:id="rId418"/>
    <hyperlink ref="I143" r:id="rId419" display="http://www.boxofficemojo.com/schedule/?view=bydate&amp;release=theatrical&amp;date=2011-09-16&amp;p=.htm"/>
    <hyperlink ref="C144" r:id="rId420"/>
    <hyperlink ref="D144" r:id="rId421"/>
    <hyperlink ref="I144" r:id="rId422" display="http://www.boxofficemojo.com/schedule/?view=bydate&amp;release=theatrical&amp;date=2011-03-18&amp;p=.htm"/>
    <hyperlink ref="C145" r:id="rId423"/>
    <hyperlink ref="D145" r:id="rId424"/>
    <hyperlink ref="I145" r:id="rId425" display="http://www.boxofficemojo.com/schedule/?view=bydate&amp;release=theatrical&amp;date=2011-04-29&amp;p=.htm"/>
    <hyperlink ref="C146" r:id="rId426"/>
    <hyperlink ref="D146" r:id="rId427"/>
    <hyperlink ref="I146" r:id="rId428" display="http://www.boxofficemojo.com/schedule/?view=bydate&amp;release=theatrical&amp;date=2011-04-29&amp;p=.htm"/>
    <hyperlink ref="C147" r:id="rId429"/>
    <hyperlink ref="D147" r:id="rId430"/>
    <hyperlink ref="I147" r:id="rId431" display="http://www.boxofficemojo.com/schedule/?view=bydate&amp;release=theatrical&amp;date=2011-09-16&amp;p=.htm"/>
    <hyperlink ref="C148" r:id="rId432"/>
    <hyperlink ref="D148" r:id="rId433"/>
    <hyperlink ref="I148" r:id="rId434" display="http://www.boxofficemojo.com/schedule/?view=bydate&amp;release=theatrical&amp;date=2011-10-21&amp;p=.htm"/>
    <hyperlink ref="C149" r:id="rId435"/>
    <hyperlink ref="D149" r:id="rId436"/>
    <hyperlink ref="I149" r:id="rId437" display="http://www.boxofficemojo.com/schedule/?view=bydate&amp;release=theatrical&amp;date=2011-09-09&amp;p=.htm"/>
    <hyperlink ref="C150" r:id="rId438"/>
    <hyperlink ref="D150" r:id="rId439"/>
    <hyperlink ref="I150" r:id="rId440" display="http://www.boxofficemojo.com/schedule/?view=bydate&amp;release=theatrical&amp;date=2011-07-22&amp;p=.htm"/>
    <hyperlink ref="C151" r:id="rId441"/>
    <hyperlink ref="D151" r:id="rId442"/>
    <hyperlink ref="I151" r:id="rId443" display="http://www.boxofficemojo.com/schedule/?view=bydate&amp;release=theatrical&amp;date=2011-10-14&amp;p=.htm"/>
    <hyperlink ref="C152" r:id="rId444"/>
    <hyperlink ref="D152" r:id="rId445"/>
    <hyperlink ref="I152" r:id="rId446" display="http://www.boxofficemojo.com/schedule/?view=bydate&amp;release=theatrical&amp;date=2011-12-30&amp;p=.htm"/>
    <hyperlink ref="C153" r:id="rId447"/>
    <hyperlink ref="D153" r:id="rId448"/>
    <hyperlink ref="I153" r:id="rId449" display="http://www.boxofficemojo.com/schedule/?view=bydate&amp;release=theatrical&amp;date=2011-03-04&amp;p=.htm"/>
    <hyperlink ref="C154" r:id="rId450"/>
    <hyperlink ref="D154" r:id="rId451"/>
    <hyperlink ref="I154" r:id="rId452" display="http://www.boxofficemojo.com/schedule/?view=bydate&amp;release=theatrical&amp;date=2011-02-11&amp;p=.htm"/>
    <hyperlink ref="C155" r:id="rId453"/>
    <hyperlink ref="D155" r:id="rId454"/>
    <hyperlink ref="I155" r:id="rId455" display="http://www.boxofficemojo.com/schedule/?view=bydate&amp;release=theatrical&amp;date=2011-06-03&amp;p=.htm"/>
    <hyperlink ref="C156" r:id="rId456"/>
    <hyperlink ref="D156" r:id="rId457"/>
    <hyperlink ref="I156" r:id="rId458" display="http://www.boxofficemojo.com/schedule/?view=bydate&amp;release=theatrical&amp;date=2011-10-07&amp;p=.htm"/>
    <hyperlink ref="C157" r:id="rId459"/>
    <hyperlink ref="D157" r:id="rId460"/>
    <hyperlink ref="I157" r:id="rId461" display="http://www.boxofficemojo.com/schedule/?view=bydate&amp;release=theatrical&amp;date=2011-11-23&amp;p=.htm"/>
    <hyperlink ref="C158" r:id="rId462"/>
    <hyperlink ref="D158" r:id="rId463"/>
    <hyperlink ref="I158" r:id="rId464" display="http://www.boxofficemojo.com/schedule/?view=bydate&amp;release=theatrical&amp;date=2011-07-29&amp;p=.htm"/>
    <hyperlink ref="C159" r:id="rId465"/>
    <hyperlink ref="D159" r:id="rId466"/>
    <hyperlink ref="I159" r:id="rId467" display="http://www.boxofficemojo.com/schedule/?view=bydate&amp;release=theatrical&amp;date=2011-10-21&amp;p=.htm"/>
    <hyperlink ref="C160" r:id="rId468"/>
    <hyperlink ref="D160" r:id="rId469"/>
    <hyperlink ref="I160" r:id="rId470" display="http://www.boxofficemojo.com/schedule/?view=bydate&amp;release=theatrical&amp;date=2011-04-29&amp;p=.htm"/>
    <hyperlink ref="C161" r:id="rId471"/>
    <hyperlink ref="D161" r:id="rId472"/>
    <hyperlink ref="I161" r:id="rId473" display="http://www.boxofficemojo.com/schedule/?view=bydate&amp;release=theatrical&amp;date=2011-01-28&amp;p=.htm"/>
    <hyperlink ref="C162" r:id="rId474"/>
    <hyperlink ref="D162" r:id="rId475"/>
    <hyperlink ref="I162" r:id="rId476" display="http://www.boxofficemojo.com/schedule/?view=bydate&amp;release=theatrical&amp;date=2011-04-15&amp;p=.htm"/>
    <hyperlink ref="C163" r:id="rId477"/>
    <hyperlink ref="D163" r:id="rId478"/>
    <hyperlink ref="I163" r:id="rId479" display="http://www.boxofficemojo.com/schedule/?view=bydate&amp;release=theatrical&amp;date=2011-10-28&amp;p=.htm"/>
    <hyperlink ref="C164" r:id="rId480"/>
    <hyperlink ref="D164" r:id="rId481"/>
    <hyperlink ref="I164" r:id="rId482" display="http://www.boxofficemojo.com/schedule/?view=bydate&amp;release=theatrical&amp;date=2011-01-21&amp;p=.htm"/>
    <hyperlink ref="C165" r:id="rId483"/>
    <hyperlink ref="D165" r:id="rId484"/>
    <hyperlink ref="I165" r:id="rId485" display="http://www.boxofficemojo.com/schedule/?view=bydate&amp;release=theatrical&amp;date=2011-01-14&amp;p=.htm"/>
    <hyperlink ref="C166" r:id="rId486"/>
    <hyperlink ref="D166" r:id="rId487"/>
    <hyperlink ref="I166" r:id="rId488" display="http://www.boxofficemojo.com/schedule/?view=bydate&amp;release=theatrical&amp;date=2011-10-07&amp;p=.htm"/>
    <hyperlink ref="C167" r:id="rId489"/>
    <hyperlink ref="D167" r:id="rId490"/>
    <hyperlink ref="I167" r:id="rId491" display="http://www.boxofficemojo.com/schedule/?view=bydate&amp;release=theatrical&amp;date=2011-09-02&amp;p=.htm"/>
    <hyperlink ref="C168" r:id="rId492"/>
    <hyperlink ref="D168" r:id="rId493"/>
    <hyperlink ref="I168" r:id="rId494" display="http://www.boxofficemojo.com/schedule/?view=bydate&amp;release=theatrical&amp;date=2011-06-17&amp;p=.htm"/>
    <hyperlink ref="C169" r:id="rId495"/>
    <hyperlink ref="D169" r:id="rId496"/>
    <hyperlink ref="I169" r:id="rId497" display="http://www.boxofficemojo.com/schedule/?view=bydate&amp;release=theatrical&amp;date=2011-02-25&amp;p=.htm"/>
    <hyperlink ref="C170" r:id="rId498"/>
    <hyperlink ref="D170" r:id="rId499"/>
    <hyperlink ref="I170" r:id="rId500" display="http://www.boxofficemojo.com/schedule/?view=bydate&amp;release=theatrical&amp;date=2011-12-02&amp;p=.htm"/>
    <hyperlink ref="C171" r:id="rId501"/>
    <hyperlink ref="D171" r:id="rId502"/>
    <hyperlink ref="I171" r:id="rId503" display="http://www.boxofficemojo.com/schedule/?view=bydate&amp;release=theatrical&amp;date=2011-12-22&amp;p=.htm"/>
    <hyperlink ref="C172" r:id="rId504"/>
    <hyperlink ref="D172" r:id="rId505"/>
    <hyperlink ref="I172" r:id="rId506" display="http://www.boxofficemojo.com/schedule/?view=bydate&amp;release=theatrical&amp;date=2011-12-23&amp;p=.htm"/>
    <hyperlink ref="C173" r:id="rId507"/>
    <hyperlink ref="D173" r:id="rId508"/>
    <hyperlink ref="I173" r:id="rId509" display="http://www.boxofficemojo.com/schedule/?view=bydate&amp;release=theatrical&amp;date=2011-10-28&amp;p=.htm"/>
    <hyperlink ref="C174" r:id="rId510"/>
    <hyperlink ref="D174" r:id="rId511"/>
    <hyperlink ref="I174" r:id="rId512" display="http://www.boxofficemojo.com/schedule/?view=bydate&amp;release=theatrical&amp;date=2011-04-01&amp;p=.htm"/>
    <hyperlink ref="C175" r:id="rId513"/>
    <hyperlink ref="D175" r:id="rId514"/>
    <hyperlink ref="I175" r:id="rId515" display="http://www.boxofficemojo.com/schedule/?view=bydate&amp;release=theatrical&amp;date=2011-10-14&amp;p=.htm"/>
    <hyperlink ref="C176" r:id="rId516"/>
    <hyperlink ref="D176" r:id="rId517"/>
    <hyperlink ref="I176" r:id="rId518" display="http://www.boxofficemojo.com/schedule/?view=bydate&amp;release=theatrical&amp;date=2011-07-15&amp;p=.htm"/>
    <hyperlink ref="C177" r:id="rId519"/>
    <hyperlink ref="D177" r:id="rId520"/>
    <hyperlink ref="I177" r:id="rId521" display="http://www.boxofficemojo.com/schedule/?view=bydate&amp;release=theatrical&amp;date=2011-01-28&amp;p=.htm"/>
    <hyperlink ref="C178" r:id="rId522"/>
    <hyperlink ref="D178" r:id="rId523"/>
    <hyperlink ref="I178" r:id="rId524" display="http://www.boxofficemojo.com/schedule/?view=bydate&amp;release=theatrical&amp;date=2011-11-11&amp;p=.htm"/>
    <hyperlink ref="C179" r:id="rId525"/>
    <hyperlink ref="D179" r:id="rId526"/>
    <hyperlink ref="I179" r:id="rId527" display="http://www.boxofficemojo.com/schedule/?view=bydate&amp;release=theatrical&amp;date=2011-10-21&amp;p=.htm"/>
    <hyperlink ref="C180" r:id="rId528"/>
    <hyperlink ref="D180" r:id="rId529"/>
    <hyperlink ref="I180" r:id="rId530" display="http://www.boxofficemojo.com/schedule/?view=bydate&amp;release=theatrical&amp;date=2011-05-13&amp;p=.htm"/>
    <hyperlink ref="C181" r:id="rId531"/>
    <hyperlink ref="D181" r:id="rId532"/>
    <hyperlink ref="I181" r:id="rId533" display="http://www.boxofficemojo.com/schedule/?view=bydate&amp;release=theatrical&amp;date=2011-01-21&amp;p=.htm"/>
    <hyperlink ref="C182" r:id="rId534"/>
    <hyperlink ref="D182" r:id="rId535"/>
    <hyperlink ref="I182" r:id="rId536" display="http://www.boxofficemojo.com/schedule/?view=bydate&amp;release=theatrical&amp;date=2011-12-16&amp;p=.htm"/>
    <hyperlink ref="C183" r:id="rId537"/>
    <hyperlink ref="D183" r:id="rId538"/>
    <hyperlink ref="I183" r:id="rId539" display="http://www.boxofficemojo.com/schedule/?view=bydate&amp;release=theatrical&amp;date=2011-09-09&amp;p=.htm"/>
    <hyperlink ref="C184" r:id="rId540"/>
    <hyperlink ref="D184" r:id="rId541"/>
    <hyperlink ref="I184" r:id="rId542" display="http://www.boxofficemojo.com/schedule/?view=bydate&amp;release=theatrical&amp;date=2011-10-26&amp;p=.htm"/>
    <hyperlink ref="C185" r:id="rId543"/>
    <hyperlink ref="D185" r:id="rId544"/>
    <hyperlink ref="I185" r:id="rId545" display="http://www.boxofficemojo.com/schedule/?view=bydate&amp;release=theatrical&amp;date=2011-02-25&amp;p=.htm"/>
    <hyperlink ref="C186" r:id="rId546"/>
    <hyperlink ref="D186" r:id="rId547"/>
    <hyperlink ref="I186" r:id="rId548" display="http://www.boxofficemojo.com/schedule/?view=bydate&amp;release=theatrical&amp;date=2011-04-22&amp;p=.htm"/>
    <hyperlink ref="C187" r:id="rId549"/>
    <hyperlink ref="D187" r:id="rId550"/>
    <hyperlink ref="I187" r:id="rId551" display="http://www.boxofficemojo.com/schedule/?view=bydate&amp;release=theatrical&amp;date=2011-06-10&amp;p=.htm"/>
    <hyperlink ref="C188" r:id="rId552"/>
    <hyperlink ref="D188" r:id="rId553"/>
    <hyperlink ref="I188" r:id="rId554" display="http://www.boxofficemojo.com/schedule/?view=bydate&amp;release=theatrical&amp;date=2011-10-21&amp;p=.htm"/>
    <hyperlink ref="C189" r:id="rId555"/>
    <hyperlink ref="D189" r:id="rId556"/>
    <hyperlink ref="I189" r:id="rId557" display="http://www.boxofficemojo.com/schedule/?view=bydate&amp;release=theatrical&amp;date=2011-08-31&amp;p=.htm"/>
    <hyperlink ref="C190" r:id="rId558"/>
    <hyperlink ref="D190" r:id="rId559"/>
    <hyperlink ref="I190" r:id="rId560" display="http://www.boxofficemojo.com/schedule/?view=bydate&amp;release=theatrical&amp;date=2011-06-24&amp;p=.htm"/>
    <hyperlink ref="C191" r:id="rId561"/>
    <hyperlink ref="D191" r:id="rId562"/>
    <hyperlink ref="I191" r:id="rId563" display="http://www.boxofficemojo.com/schedule/?view=bydate&amp;release=theatrical&amp;date=2011-12-09&amp;p=.htm"/>
    <hyperlink ref="C192" r:id="rId564"/>
    <hyperlink ref="D192" r:id="rId565"/>
    <hyperlink ref="I192" r:id="rId566" display="http://www.boxofficemojo.com/schedule/?view=bydate&amp;release=theatrical&amp;date=2011-09-30&amp;p=.htm"/>
    <hyperlink ref="C193" r:id="rId567"/>
    <hyperlink ref="D193" r:id="rId568"/>
    <hyperlink ref="I193" r:id="rId569" display="http://www.boxofficemojo.com/schedule/?view=bydate&amp;release=theatrical&amp;date=2011-03-25&amp;p=.htm"/>
    <hyperlink ref="C194" r:id="rId570"/>
    <hyperlink ref="D194" r:id="rId571"/>
    <hyperlink ref="I194" r:id="rId572" display="http://www.boxofficemojo.com/schedule/?view=bydate&amp;release=theatrical&amp;date=2011-08-12&amp;p=.htm"/>
    <hyperlink ref="C195" r:id="rId573"/>
    <hyperlink ref="D195" r:id="rId574"/>
    <hyperlink ref="I195" r:id="rId575" display="http://www.boxofficemojo.com/schedule/?view=bydate&amp;release=theatrical&amp;date=2011-02-18&amp;p=.htm"/>
    <hyperlink ref="C196" r:id="rId576"/>
    <hyperlink ref="D196" r:id="rId577"/>
    <hyperlink ref="I196" r:id="rId578" display="http://www.boxofficemojo.com/schedule/?view=bydate&amp;release=theatrical&amp;date=2011-07-01&amp;p=.htm"/>
    <hyperlink ref="C197" r:id="rId579"/>
    <hyperlink ref="D197" r:id="rId580"/>
    <hyperlink ref="I197" r:id="rId581" display="http://www.boxofficemojo.com/schedule/?view=bydate&amp;release=theatrical&amp;date=2011-04-15&amp;p=.htm"/>
    <hyperlink ref="C198" r:id="rId582"/>
    <hyperlink ref="D198" r:id="rId583"/>
    <hyperlink ref="I198" r:id="rId584" display="http://www.boxofficemojo.com/schedule/?view=bydate&amp;release=theatrical&amp;date=2011-03-16&amp;p=.htm"/>
    <hyperlink ref="C199" r:id="rId585"/>
    <hyperlink ref="D199" r:id="rId586"/>
    <hyperlink ref="I199" r:id="rId587" display="http://www.boxofficemojo.com/schedule/?view=bydate&amp;release=theatrical&amp;date=2011-06-17&amp;p=.htm"/>
    <hyperlink ref="C200" r:id="rId588"/>
    <hyperlink ref="D200" r:id="rId589"/>
    <hyperlink ref="I200" r:id="rId590" display="http://www.boxofficemojo.com/schedule/?view=bydate&amp;release=theatrical&amp;date=2011-09-02&amp;p=.htm"/>
    <hyperlink ref="C201" r:id="rId591"/>
    <hyperlink ref="D201" r:id="rId592"/>
    <hyperlink ref="I201" r:id="rId593" display="http://www.boxofficemojo.com/schedule/?view=bydate&amp;release=theatrical&amp;date=2011-03-11&amp;p=.htm"/>
    <hyperlink ref="C202" r:id="rId594"/>
    <hyperlink ref="D202" r:id="rId595"/>
    <hyperlink ref="I202" r:id="rId596" display="http://www.boxofficemojo.com/schedule/?view=bydate&amp;release=theatrical&amp;date=2011-07-29&amp;p=.htm"/>
    <hyperlink ref="C203" r:id="rId597"/>
    <hyperlink ref="D203" r:id="rId598"/>
    <hyperlink ref="I203" r:id="rId599" display="http://www.boxofficemojo.com/schedule/?view=bydate&amp;release=theatrical&amp;date=2011-02-11&amp;p=.htm"/>
    <hyperlink ref="C204" r:id="rId600"/>
    <hyperlink ref="D204" r:id="rId601"/>
    <hyperlink ref="I204" r:id="rId602" display="http://www.boxofficemojo.com/schedule/?view=bydate&amp;release=theatrical&amp;date=2011-07-15&amp;p=.htm"/>
    <hyperlink ref="C205" r:id="rId603"/>
    <hyperlink ref="D205" r:id="rId604"/>
    <hyperlink ref="I205" r:id="rId605" display="http://www.boxofficemojo.com/schedule/?view=bydate&amp;release=theatrical&amp;date=2011-04-08&amp;p=.htm"/>
    <hyperlink ref="C206" r:id="rId606"/>
    <hyperlink ref="D206" r:id="rId607"/>
    <hyperlink ref="I206" r:id="rId608" display="http://www.boxofficemojo.com/schedule/?view=bydate&amp;release=theatrical&amp;date=2011-07-22&amp;p=.htm"/>
    <hyperlink ref="C207" r:id="rId609"/>
    <hyperlink ref="D207" r:id="rId610"/>
    <hyperlink ref="I207" r:id="rId611" display="http://www.boxofficemojo.com/schedule/?view=bydate&amp;release=theatrical&amp;date=2011-07-08&amp;p=.htm"/>
    <hyperlink ref="C208" r:id="rId612"/>
    <hyperlink ref="D208" r:id="rId613"/>
    <hyperlink ref="I208" r:id="rId614" display="http://www.boxofficemojo.com/schedule/?view=bydate&amp;release=theatrical&amp;date=2011-03-11&amp;p=.htm"/>
    <hyperlink ref="C209" r:id="rId615"/>
    <hyperlink ref="D209" r:id="rId616"/>
    <hyperlink ref="I209" r:id="rId617" display="http://www.boxofficemojo.com/schedule/?view=bydate&amp;release=theatrical&amp;date=2011-04-29&amp;p=.htm"/>
    <hyperlink ref="C210" r:id="rId618"/>
    <hyperlink ref="D210" r:id="rId619"/>
    <hyperlink ref="I210" r:id="rId620" display="http://www.boxofficemojo.com/schedule/?view=bydate&amp;release=theatrical&amp;date=2011-08-05&amp;p=.htm"/>
    <hyperlink ref="C211" r:id="rId621"/>
    <hyperlink ref="D211" r:id="rId622"/>
    <hyperlink ref="I211" r:id="rId623" display="http://www.boxofficemojo.com/schedule/?view=bydate&amp;release=theatrical&amp;date=2011-03-05&amp;p=.htm"/>
    <hyperlink ref="C212" r:id="rId624"/>
    <hyperlink ref="D212" r:id="rId625"/>
    <hyperlink ref="I212" r:id="rId626" display="http://www.boxofficemojo.com/schedule/?view=bydate&amp;release=theatrical&amp;date=2011-01-14&amp;p=.htm"/>
    <hyperlink ref="C213" r:id="rId627"/>
    <hyperlink ref="D213" r:id="rId628"/>
    <hyperlink ref="I213" r:id="rId629" display="http://www.boxofficemojo.com/schedule/?view=bydate&amp;release=theatrical&amp;date=2011-11-25&amp;p=.htm"/>
    <hyperlink ref="C214" r:id="rId630"/>
    <hyperlink ref="D214" r:id="rId631"/>
    <hyperlink ref="I214" r:id="rId632" display="http://www.boxofficemojo.com/schedule/?view=bydate&amp;release=theatrical&amp;date=2011-05-06&amp;p=.htm"/>
    <hyperlink ref="C215" r:id="rId633"/>
    <hyperlink ref="D215" r:id="rId634"/>
    <hyperlink ref="I215" r:id="rId635" display="http://www.boxofficemojo.com/schedule/?view=bydate&amp;release=theatrical&amp;date=2011-06-17&amp;p=.htm"/>
    <hyperlink ref="C216" r:id="rId636"/>
    <hyperlink ref="D216" r:id="rId637"/>
    <hyperlink ref="I216" r:id="rId638" display="http://www.boxofficemojo.com/schedule/?view=bydate&amp;release=theatrical&amp;date=2011-07-29&amp;p=.htm"/>
    <hyperlink ref="C217" r:id="rId639"/>
    <hyperlink ref="D217" r:id="rId640"/>
    <hyperlink ref="I217" r:id="rId641" display="http://www.boxofficemojo.com/schedule/?view=bydate&amp;release=theatrical&amp;date=2011-04-01&amp;p=.htm"/>
    <hyperlink ref="C218" r:id="rId642"/>
    <hyperlink ref="D218" r:id="rId643"/>
    <hyperlink ref="I218" r:id="rId644" display="http://www.boxofficemojo.com/schedule/?view=bydate&amp;release=theatrical&amp;date=2011-01-14&amp;p=.htm"/>
    <hyperlink ref="C219" r:id="rId645"/>
    <hyperlink ref="D219" r:id="rId646"/>
    <hyperlink ref="I219" r:id="rId647" display="http://www.boxofficemojo.com/schedule/?view=bydate&amp;release=theatrical&amp;date=2011-11-11&amp;p=.htm"/>
    <hyperlink ref="C220" r:id="rId648"/>
    <hyperlink ref="D220" r:id="rId649"/>
    <hyperlink ref="I220" r:id="rId650" display="http://www.boxofficemojo.com/schedule/?view=bydate&amp;release=theatrical&amp;date=2011-04-08&amp;p=.htm"/>
    <hyperlink ref="C221" r:id="rId651"/>
    <hyperlink ref="D221" r:id="rId652"/>
    <hyperlink ref="I221" r:id="rId653" display="http://www.boxofficemojo.com/schedule/?view=bydate&amp;release=theatrical&amp;date=2011-05-06&amp;p=.htm"/>
    <hyperlink ref="C222" r:id="rId654"/>
    <hyperlink ref="D222" r:id="rId655"/>
    <hyperlink ref="I222" r:id="rId656" display="http://www.boxofficemojo.com/schedule/?view=bydate&amp;release=theatrical&amp;date=2011-06-03&amp;p=.htm"/>
    <hyperlink ref="C223" r:id="rId657"/>
    <hyperlink ref="D223" r:id="rId658"/>
    <hyperlink ref="I223" r:id="rId659" display="http://www.boxofficemojo.com/schedule/?view=bydate&amp;release=theatrical&amp;date=2011-07-08&amp;p=.htm"/>
    <hyperlink ref="C224" r:id="rId660"/>
    <hyperlink ref="D224" r:id="rId661"/>
    <hyperlink ref="I224" r:id="rId662" display="http://www.boxofficemojo.com/schedule/?view=bydate&amp;release=theatrical&amp;date=2011-08-26&amp;p=.htm"/>
    <hyperlink ref="C225" r:id="rId663"/>
    <hyperlink ref="D225" r:id="rId664"/>
    <hyperlink ref="I225" r:id="rId665" display="http://www.boxofficemojo.com/schedule/?view=bydate&amp;release=theatrical&amp;date=2011-06-28&amp;p=.htm"/>
    <hyperlink ref="C226" r:id="rId666"/>
    <hyperlink ref="D226" r:id="rId667"/>
    <hyperlink ref="I226" r:id="rId668" display="http://www.boxofficemojo.com/schedule/?view=bydate&amp;release=theatrical&amp;date=2011-04-29&amp;p=.htm"/>
    <hyperlink ref="C227" r:id="rId669"/>
    <hyperlink ref="D227" r:id="rId670"/>
    <hyperlink ref="I227" r:id="rId671" display="http://www.boxofficemojo.com/schedule/?view=bydate&amp;release=theatrical&amp;date=2011-12-28&amp;p=.htm"/>
    <hyperlink ref="C228" r:id="rId672"/>
    <hyperlink ref="D228" r:id="rId673"/>
    <hyperlink ref="I228" r:id="rId674" display="http://www.boxofficemojo.com/schedule/?view=bydate&amp;release=theatrical&amp;date=2011-06-14&amp;p=.htm"/>
    <hyperlink ref="C229" r:id="rId675"/>
    <hyperlink ref="D229" r:id="rId676"/>
    <hyperlink ref="I229" r:id="rId677" display="http://www.boxofficemojo.com/schedule/?view=bydate&amp;release=theatrical&amp;date=2011-06-21&amp;p=.htm"/>
    <hyperlink ref="C230" r:id="rId678"/>
    <hyperlink ref="D230" r:id="rId679"/>
    <hyperlink ref="I230" r:id="rId680" display="http://www.boxofficemojo.com/schedule/?view=bydate&amp;release=theatrical&amp;date=2011-01-07&amp;p=.htm"/>
    <hyperlink ref="C231" r:id="rId681"/>
    <hyperlink ref="D231" r:id="rId682"/>
    <hyperlink ref="I231" r:id="rId683" display="http://www.boxofficemojo.com/schedule/?view=bydate&amp;release=theatrical&amp;date=2011-09-23&amp;p=.htm"/>
    <hyperlink ref="C232" r:id="rId684"/>
    <hyperlink ref="D232" r:id="rId685"/>
    <hyperlink ref="I232" r:id="rId686" display="http://www.boxofficemojo.com/schedule/?view=bydate&amp;release=theatrical&amp;date=2011-10-07&amp;p=.htm"/>
    <hyperlink ref="C233" r:id="rId687"/>
    <hyperlink ref="D233" r:id="rId688"/>
    <hyperlink ref="I233" r:id="rId689" display="http://www.boxofficemojo.com/schedule/?view=bydate&amp;release=theatrical&amp;date=2011-11-25&amp;p=.htm"/>
    <hyperlink ref="C234" r:id="rId690"/>
    <hyperlink ref="D234" r:id="rId691"/>
    <hyperlink ref="I234" r:id="rId692" display="http://www.boxofficemojo.com/schedule/?view=bydate&amp;release=theatrical&amp;date=2011-07-29&amp;p=.htm"/>
    <hyperlink ref="C235" r:id="rId693"/>
    <hyperlink ref="D235" r:id="rId694"/>
    <hyperlink ref="I235" r:id="rId695" display="http://www.boxofficemojo.com/schedule/?view=bydate&amp;release=theatrical&amp;date=2011-08-19&amp;p=.htm"/>
    <hyperlink ref="C236" r:id="rId696"/>
    <hyperlink ref="D236" r:id="rId697"/>
    <hyperlink ref="I236" r:id="rId698" display="http://www.boxofficemojo.com/schedule/?view=bydate&amp;release=theatrical&amp;date=2011-08-19&amp;p=.htm"/>
    <hyperlink ref="C237" r:id="rId699"/>
    <hyperlink ref="D237" r:id="rId700"/>
    <hyperlink ref="I237" r:id="rId701" display="http://www.boxofficemojo.com/schedule/?view=bydate&amp;release=theatrical&amp;date=2011-05-06&amp;p=.htm"/>
    <hyperlink ref="C238" r:id="rId702"/>
    <hyperlink ref="D238" r:id="rId703"/>
    <hyperlink ref="I238" r:id="rId704" display="http://www.boxofficemojo.com/schedule/?view=bydate&amp;release=theatrical&amp;date=2011-07-15&amp;p=.htm"/>
    <hyperlink ref="C239" r:id="rId705"/>
    <hyperlink ref="D239" r:id="rId706"/>
    <hyperlink ref="I239" r:id="rId707" display="http://www.boxofficemojo.com/schedule/?view=bydate&amp;release=theatrical&amp;date=2011-09-16&amp;p=.htm"/>
    <hyperlink ref="C240" r:id="rId708"/>
    <hyperlink ref="D240" r:id="rId709"/>
    <hyperlink ref="I240" r:id="rId710" display="http://www.boxofficemojo.com/schedule/?view=bydate&amp;release=theatrical&amp;date=2011-07-01&amp;p=.htm"/>
    <hyperlink ref="C241" r:id="rId711"/>
    <hyperlink ref="D241" r:id="rId712"/>
    <hyperlink ref="I241" r:id="rId713" display="http://www.boxofficemojo.com/schedule/?view=bydate&amp;release=theatrical&amp;date=2011-08-12&amp;p=.htm"/>
    <hyperlink ref="C242" r:id="rId714"/>
    <hyperlink ref="D242" r:id="rId715"/>
    <hyperlink ref="I242" r:id="rId716" display="http://www.boxofficemojo.com/schedule/?view=bydate&amp;release=theatrical&amp;date=2011-04-22&amp;p=.htm"/>
    <hyperlink ref="C243" r:id="rId717"/>
    <hyperlink ref="D243" r:id="rId718"/>
    <hyperlink ref="I243" r:id="rId719" display="http://www.boxofficemojo.com/schedule/?view=bydate&amp;release=theatrical&amp;date=2011-02-18&amp;p=.htm"/>
    <hyperlink ref="C244" r:id="rId720"/>
    <hyperlink ref="D244" r:id="rId721"/>
    <hyperlink ref="I244" r:id="rId722" display="http://www.boxofficemojo.com/schedule/?view=bydate&amp;release=theatrical&amp;date=2011-10-21&amp;p=.htm"/>
    <hyperlink ref="C245" r:id="rId723"/>
    <hyperlink ref="D245" r:id="rId724"/>
    <hyperlink ref="I245" r:id="rId725" display="http://www.boxofficemojo.com/schedule/?view=bydate&amp;release=theatrical&amp;date=2011-01-21&amp;p=.htm"/>
    <hyperlink ref="C246" r:id="rId726"/>
    <hyperlink ref="D246" r:id="rId727"/>
    <hyperlink ref="I246" r:id="rId728" display="http://www.boxofficemojo.com/schedule/?view=bydate&amp;release=theatrical&amp;date=2011-07-29&amp;p=.htm"/>
    <hyperlink ref="C247" r:id="rId729"/>
    <hyperlink ref="D247" r:id="rId730"/>
    <hyperlink ref="I247" r:id="rId731" display="http://www.boxofficemojo.com/schedule/?view=bydate&amp;release=theatrical&amp;date=2011-04-22&amp;p=.htm"/>
    <hyperlink ref="C248" r:id="rId732"/>
    <hyperlink ref="D248" r:id="rId733"/>
    <hyperlink ref="I248" r:id="rId734" display="http://www.boxofficemojo.com/schedule/?view=bydate&amp;release=theatrical&amp;date=2011-10-14&amp;p=.htm"/>
    <hyperlink ref="C249" r:id="rId735"/>
    <hyperlink ref="D249" r:id="rId736"/>
    <hyperlink ref="I249" r:id="rId737" display="http://www.boxofficemojo.com/schedule/?view=bydate&amp;release=theatrical&amp;date=2011-06-24&amp;p=.htm"/>
    <hyperlink ref="C250" r:id="rId738"/>
    <hyperlink ref="D250" r:id="rId739"/>
    <hyperlink ref="I250" r:id="rId740" display="http://www.boxofficemojo.com/schedule/?view=bydate&amp;release=theatrical&amp;date=2011-03-18&amp;p=.htm"/>
    <hyperlink ref="C251" r:id="rId741"/>
    <hyperlink ref="D251" r:id="rId742"/>
    <hyperlink ref="I251" r:id="rId743" display="http://www.boxofficemojo.com/schedule/?view=bydate&amp;release=theatrical&amp;date=2011-09-02&amp;p=.htm"/>
    <hyperlink ref="C252" r:id="rId744"/>
    <hyperlink ref="D252" r:id="rId745"/>
    <hyperlink ref="I252" r:id="rId746" display="http://www.boxofficemojo.com/schedule/?view=bydate&amp;release=theatrical&amp;date=2011-09-23&amp;p=.htm"/>
    <hyperlink ref="C253" r:id="rId747"/>
    <hyperlink ref="D253" r:id="rId748"/>
    <hyperlink ref="I253" r:id="rId749" display="http://www.boxofficemojo.com/schedule/?view=bydate&amp;release=theatrical&amp;date=2011-02-18&amp;p=.htm"/>
    <hyperlink ref="C254" r:id="rId750"/>
    <hyperlink ref="D254" r:id="rId751"/>
    <hyperlink ref="I254" r:id="rId752" display="http://www.boxofficemojo.com/schedule/?view=bydate&amp;release=theatrical&amp;date=2011-06-24&amp;p=.htm"/>
    <hyperlink ref="C255" r:id="rId753"/>
    <hyperlink ref="D255" r:id="rId754"/>
    <hyperlink ref="I255" r:id="rId755" display="http://www.boxofficemojo.com/schedule/?view=bydate&amp;release=theatrical&amp;date=2011-09-09&amp;p=.htm"/>
    <hyperlink ref="C256" r:id="rId756"/>
    <hyperlink ref="D256" r:id="rId757"/>
    <hyperlink ref="I256" r:id="rId758" display="http://www.boxofficemojo.com/schedule/?view=bydate&amp;release=theatrical&amp;date=2011-06-10&amp;p=.htm"/>
    <hyperlink ref="C257" r:id="rId759"/>
    <hyperlink ref="D257" r:id="rId760"/>
    <hyperlink ref="I257" r:id="rId761" display="http://www.boxofficemojo.com/schedule/?view=bydate&amp;release=theatrical&amp;date=2011-09-09&amp;p=.htm"/>
    <hyperlink ref="C258" r:id="rId762"/>
    <hyperlink ref="D258" r:id="rId763"/>
    <hyperlink ref="I258" r:id="rId764" display="http://www.boxofficemojo.com/schedule/?view=bydate&amp;release=theatrical&amp;date=2011-09-23&amp;p=.htm"/>
    <hyperlink ref="C259" r:id="rId765"/>
    <hyperlink ref="D259" r:id="rId766"/>
    <hyperlink ref="I259" r:id="rId767" display="http://www.boxofficemojo.com/schedule/?view=bydate&amp;release=theatrical&amp;date=2011-04-01&amp;p=.htm"/>
    <hyperlink ref="C260" r:id="rId768"/>
    <hyperlink ref="D260" r:id="rId769"/>
    <hyperlink ref="I260" r:id="rId770" display="http://www.boxofficemojo.com/schedule/?view=bydate&amp;release=theatrical&amp;date=2011-09-20&amp;p=.htm"/>
    <hyperlink ref="C261" r:id="rId771"/>
    <hyperlink ref="D261" r:id="rId772"/>
    <hyperlink ref="I261" r:id="rId773" display="http://www.boxofficemojo.com/schedule/?view=bydate&amp;release=theatrical&amp;date=2011-06-03&amp;p=.htm"/>
    <hyperlink ref="C262" r:id="rId774"/>
    <hyperlink ref="D262" r:id="rId775"/>
    <hyperlink ref="I262" r:id="rId776" display="http://www.boxofficemojo.com/schedule/?view=bydate&amp;release=theatrical&amp;date=2011-04-08&amp;p=.htm"/>
    <hyperlink ref="C263" r:id="rId777"/>
    <hyperlink ref="D263" r:id="rId778"/>
    <hyperlink ref="I263" r:id="rId779" display="http://www.boxofficemojo.com/schedule/?view=bydate&amp;release=theatrical&amp;date=2011-09-02&amp;p=.htm"/>
    <hyperlink ref="C264" r:id="rId780"/>
    <hyperlink ref="D264" r:id="rId781"/>
    <hyperlink ref="I264" r:id="rId782" display="http://www.boxofficemojo.com/schedule/?view=bydate&amp;release=theatrical&amp;date=2011-08-26&amp;p=.htm"/>
    <hyperlink ref="C265" r:id="rId783"/>
    <hyperlink ref="D265" r:id="rId784"/>
    <hyperlink ref="I265" r:id="rId785" display="http://www.boxofficemojo.com/schedule/?view=bydate&amp;release=theatrical&amp;date=2011-01-07&amp;p=.htm"/>
    <hyperlink ref="C266" r:id="rId786"/>
    <hyperlink ref="D266" r:id="rId787"/>
    <hyperlink ref="I266" r:id="rId788" display="http://www.boxofficemojo.com/schedule/?view=bydate&amp;release=theatrical&amp;date=2011-07-08&amp;p=.htm"/>
    <hyperlink ref="C267" r:id="rId789"/>
    <hyperlink ref="D267" r:id="rId790"/>
    <hyperlink ref="I267" r:id="rId791" display="http://www.boxofficemojo.com/schedule/?view=bydate&amp;release=theatrical&amp;date=2011-03-25&amp;p=.htm"/>
    <hyperlink ref="C268" r:id="rId792"/>
    <hyperlink ref="D268" r:id="rId793"/>
    <hyperlink ref="I268" r:id="rId794" display="http://www.boxofficemojo.com/schedule/?view=bydate&amp;release=theatrical&amp;date=2011-06-24&amp;p=.htm"/>
    <hyperlink ref="C269" r:id="rId795"/>
    <hyperlink ref="D269" r:id="rId796"/>
    <hyperlink ref="I269" r:id="rId797" display="http://www.boxofficemojo.com/schedule/?view=bydate&amp;release=theatrical&amp;date=2011-05-13&amp;p=.htm"/>
    <hyperlink ref="C270" r:id="rId798"/>
    <hyperlink ref="D270" r:id="rId799"/>
    <hyperlink ref="I270" r:id="rId800" display="http://www.boxofficemojo.com/schedule/?view=bydate&amp;release=theatrical&amp;date=2011-03-25&amp;p=.htm"/>
    <hyperlink ref="C271" r:id="rId801"/>
    <hyperlink ref="D271" r:id="rId802"/>
    <hyperlink ref="I271" r:id="rId803" display="http://www.boxofficemojo.com/schedule/?view=bydate&amp;release=theatrical&amp;date=2011-02-11&amp;p=.htm"/>
    <hyperlink ref="C272" r:id="rId804"/>
    <hyperlink ref="D272" r:id="rId805"/>
    <hyperlink ref="I272" r:id="rId806" display="http://www.boxofficemojo.com/schedule/?view=bydate&amp;release=theatrical&amp;date=2011-02-11&amp;p=.htm"/>
    <hyperlink ref="C273" r:id="rId807"/>
    <hyperlink ref="D273" r:id="rId808"/>
    <hyperlink ref="I273" r:id="rId809" display="http://www.boxofficemojo.com/schedule/?view=bydate&amp;release=theatrical&amp;date=2011-04-15&amp;p=.htm"/>
    <hyperlink ref="C274" r:id="rId810"/>
    <hyperlink ref="D274" r:id="rId811"/>
    <hyperlink ref="I274" r:id="rId812" display="http://www.boxofficemojo.com/schedule/?view=bydate&amp;release=theatrical&amp;date=2011-07-22&amp;p=.htm"/>
    <hyperlink ref="C275" r:id="rId813"/>
    <hyperlink ref="D275" r:id="rId814"/>
    <hyperlink ref="I275" r:id="rId815" display="http://www.boxofficemojo.com/schedule/?view=bydate&amp;release=theatrical&amp;date=2011-05-13&amp;p=.htm"/>
    <hyperlink ref="C276" r:id="rId816"/>
    <hyperlink ref="D276" r:id="rId817"/>
    <hyperlink ref="I276" r:id="rId818" display="http://www.boxofficemojo.com/schedule/?view=bydate&amp;release=theatrical&amp;date=2011-04-01&amp;p=.htm"/>
    <hyperlink ref="C277" r:id="rId819"/>
    <hyperlink ref="D277" r:id="rId820"/>
    <hyperlink ref="I277" r:id="rId821" display="http://www.boxofficemojo.com/schedule/?view=bydate&amp;release=theatrical&amp;date=2011-05-13&amp;p=.htm"/>
    <hyperlink ref="C278" r:id="rId822"/>
    <hyperlink ref="D278" r:id="rId823"/>
    <hyperlink ref="I278" r:id="rId824" display="http://www.boxofficemojo.com/schedule/?view=bydate&amp;release=theatrical&amp;date=2011-09-14&amp;p=.htm"/>
    <hyperlink ref="C279" r:id="rId825"/>
    <hyperlink ref="D279" r:id="rId826"/>
    <hyperlink ref="I279" r:id="rId827" display="http://www.boxofficemojo.com/schedule/?view=bydate&amp;release=theatrical&amp;date=2011-10-21&amp;p=.htm"/>
    <hyperlink ref="C280" r:id="rId828"/>
    <hyperlink ref="D280" r:id="rId829"/>
    <hyperlink ref="I280" r:id="rId830" display="http://www.boxofficemojo.com/schedule/?view=bydate&amp;release=theatrical&amp;date=2011-12-23&amp;p=.htm"/>
    <hyperlink ref="C281" r:id="rId831"/>
    <hyperlink ref="D281" r:id="rId832"/>
    <hyperlink ref="I281" r:id="rId833" display="http://www.boxofficemojo.com/schedule/?view=bydate&amp;release=theatrical&amp;date=2011-07-29&amp;p=.htm"/>
    <hyperlink ref="C282" r:id="rId834"/>
    <hyperlink ref="D282" r:id="rId835"/>
    <hyperlink ref="I282" r:id="rId836" display="http://www.boxofficemojo.com/schedule/?view=bydate&amp;release=theatrical&amp;date=2011-10-07&amp;p=.htm"/>
    <hyperlink ref="C283" r:id="rId837"/>
    <hyperlink ref="D283" r:id="rId838"/>
    <hyperlink ref="I283" r:id="rId839" display="http://www.boxofficemojo.com/schedule/?view=bydate&amp;release=theatrical&amp;date=2011-09-09&amp;p=.htm"/>
    <hyperlink ref="C284" r:id="rId840"/>
    <hyperlink ref="D284" r:id="rId841"/>
    <hyperlink ref="I284" r:id="rId842" display="http://www.boxofficemojo.com/schedule/?view=bydate&amp;release=theatrical&amp;date=2011-02-18&amp;p=.htm"/>
    <hyperlink ref="C285" r:id="rId843"/>
    <hyperlink ref="D285" r:id="rId844"/>
    <hyperlink ref="I285" r:id="rId845" display="http://www.boxofficemojo.com/schedule/?view=bydate&amp;release=theatrical&amp;date=2011-06-24&amp;p=.htm"/>
    <hyperlink ref="C286" r:id="rId846"/>
    <hyperlink ref="D286" r:id="rId847"/>
    <hyperlink ref="I286" r:id="rId848" display="http://www.boxofficemojo.com/schedule/?view=bydate&amp;release=theatrical&amp;date=2011-09-30&amp;p=.htm"/>
    <hyperlink ref="C287" r:id="rId849"/>
    <hyperlink ref="D287" r:id="rId850"/>
    <hyperlink ref="I287" r:id="rId851" display="http://www.boxofficemojo.com/schedule/?view=bydate&amp;release=theatrical&amp;date=2011-01-05&amp;p=.htm"/>
    <hyperlink ref="C288" r:id="rId852"/>
    <hyperlink ref="D288" r:id="rId853"/>
    <hyperlink ref="I288" r:id="rId854" display="http://www.boxofficemojo.com/schedule/?view=bydate&amp;release=theatrical&amp;date=2011-03-18&amp;p=.htm"/>
    <hyperlink ref="C289" r:id="rId855"/>
    <hyperlink ref="D289" r:id="rId856"/>
    <hyperlink ref="I289" r:id="rId857" display="http://www.boxofficemojo.com/schedule/?view=bydate&amp;release=theatrical&amp;date=2011-06-22&amp;p=.htm"/>
    <hyperlink ref="C290" r:id="rId858"/>
    <hyperlink ref="D290" r:id="rId859"/>
    <hyperlink ref="I290" r:id="rId860" display="http://www.boxofficemojo.com/schedule/?view=bydate&amp;release=theatrical&amp;date=2011-06-10&amp;p=.htm"/>
    <hyperlink ref="C291" r:id="rId861"/>
    <hyperlink ref="D291" r:id="rId862"/>
    <hyperlink ref="I291" r:id="rId863" display="http://www.boxofficemojo.com/schedule/?view=bydate&amp;release=theatrical&amp;date=2011-07-29&amp;p=.htm"/>
    <hyperlink ref="C292" r:id="rId864"/>
    <hyperlink ref="D292" r:id="rId865"/>
    <hyperlink ref="I292" r:id="rId866" display="http://www.boxofficemojo.com/schedule/?view=bydate&amp;release=theatrical&amp;date=2011-09-30&amp;p=.htm"/>
    <hyperlink ref="C293" r:id="rId867"/>
    <hyperlink ref="D293" r:id="rId868"/>
    <hyperlink ref="I293" r:id="rId869" display="http://www.boxofficemojo.com/schedule/?view=bydate&amp;release=theatrical&amp;date=2011-03-23&amp;p=.htm"/>
    <hyperlink ref="C294" r:id="rId870"/>
    <hyperlink ref="D294" r:id="rId871"/>
    <hyperlink ref="I294" r:id="rId872" display="http://www.boxofficemojo.com/schedule/?view=bydate&amp;release=theatrical&amp;date=2011-07-27&amp;p=.htm"/>
    <hyperlink ref="C295" r:id="rId873"/>
    <hyperlink ref="D295" r:id="rId874"/>
    <hyperlink ref="I295" r:id="rId875" display="http://www.boxofficemojo.com/schedule/?view=bydate&amp;release=theatrical&amp;date=2011-08-31&amp;p=.htm"/>
    <hyperlink ref="C296" r:id="rId876"/>
    <hyperlink ref="D296" r:id="rId877"/>
    <hyperlink ref="I296" r:id="rId878" display="http://www.boxofficemojo.com/schedule/?view=bydate&amp;release=theatrical&amp;date=2011-08-26&amp;p=.htm"/>
    <hyperlink ref="C297" r:id="rId879"/>
    <hyperlink ref="D297" r:id="rId880"/>
    <hyperlink ref="I297" r:id="rId881" display="http://www.boxofficemojo.com/schedule/?view=bydate&amp;release=theatrical&amp;date=2011-11-11&amp;p=.htm"/>
    <hyperlink ref="C298" r:id="rId882"/>
    <hyperlink ref="D298" r:id="rId883"/>
    <hyperlink ref="I298" r:id="rId884" display="http://www.boxofficemojo.com/schedule/?view=bydate&amp;release=theatrical&amp;date=2011-09-30&amp;p=.htm"/>
    <hyperlink ref="C299" r:id="rId885"/>
    <hyperlink ref="D299" r:id="rId886"/>
    <hyperlink ref="I299" r:id="rId887" display="http://www.boxofficemojo.com/schedule/?view=bydate&amp;release=theatrical&amp;date=2011-03-04&amp;p=.htm"/>
    <hyperlink ref="C300" r:id="rId888"/>
    <hyperlink ref="D300" r:id="rId889"/>
    <hyperlink ref="I300" r:id="rId890" display="http://www.boxofficemojo.com/schedule/?view=bydate&amp;release=theatrical&amp;date=2011-10-21&amp;p=.htm"/>
    <hyperlink ref="C301" r:id="rId891"/>
    <hyperlink ref="D301" r:id="rId892"/>
    <hyperlink ref="I301" r:id="rId893" display="http://www.boxofficemojo.com/schedule/?view=bydate&amp;release=theatrical&amp;date=2011-01-28&amp;p=.htm"/>
    <hyperlink ref="C302" r:id="rId894"/>
    <hyperlink ref="D302" r:id="rId895"/>
    <hyperlink ref="I302" r:id="rId896" display="http://www.boxofficemojo.com/schedule/?view=bydate&amp;release=theatrical&amp;date=2011-09-30&amp;p=.htm"/>
    <hyperlink ref="C303" r:id="rId897"/>
    <hyperlink ref="D303" r:id="rId898"/>
    <hyperlink ref="I303" r:id="rId899" display="http://www.boxofficemojo.com/schedule/?view=bydate&amp;release=theatrical&amp;date=2011-10-07&amp;p=.htm"/>
    <hyperlink ref="C304" r:id="rId900"/>
    <hyperlink ref="D304" r:id="rId901"/>
    <hyperlink ref="I304" r:id="rId902" display="http://www.boxofficemojo.com/schedule/?view=bydate&amp;release=theatrical&amp;date=2011-09-02&amp;p=.htm"/>
    <hyperlink ref="C305" r:id="rId903"/>
    <hyperlink ref="D305" r:id="rId904"/>
    <hyperlink ref="I305" r:id="rId905" display="http://www.boxofficemojo.com/schedule/?view=bydate&amp;release=theatrical&amp;date=2011-10-28&amp;p=.htm"/>
    <hyperlink ref="C306" r:id="rId906"/>
    <hyperlink ref="D306" r:id="rId907"/>
    <hyperlink ref="I306" r:id="rId908" display="http://www.boxofficemojo.com/schedule/?view=bydate&amp;release=theatrical&amp;date=2011-08-31&amp;p=.htm"/>
    <hyperlink ref="C307" r:id="rId909"/>
    <hyperlink ref="D307" r:id="rId910"/>
    <hyperlink ref="I307" r:id="rId911" display="http://www.boxofficemojo.com/schedule/?view=bydate&amp;release=theatrical&amp;date=2011-08-19&amp;p=.htm"/>
    <hyperlink ref="C308" r:id="rId912"/>
    <hyperlink ref="D308" r:id="rId913"/>
    <hyperlink ref="I308" r:id="rId914" display="http://www.boxofficemojo.com/schedule/?view=bydate&amp;release=theatrical&amp;date=2011-03-02&amp;p=.htm"/>
    <hyperlink ref="C309" r:id="rId915"/>
    <hyperlink ref="D309" r:id="rId916"/>
    <hyperlink ref="I309" r:id="rId917" display="http://www.boxofficemojo.com/schedule/?view=bydate&amp;release=theatrical&amp;date=2011-06-17&amp;p=.htm"/>
    <hyperlink ref="C310" r:id="rId918"/>
    <hyperlink ref="D310" r:id="rId919"/>
    <hyperlink ref="I310" r:id="rId920" display="http://www.boxofficemojo.com/schedule/?view=bydate&amp;release=theatrical&amp;date=2011-09-23&amp;p=.htm"/>
    <hyperlink ref="C311" r:id="rId921"/>
    <hyperlink ref="D311" r:id="rId922"/>
    <hyperlink ref="I311" r:id="rId923" display="http://www.boxofficemojo.com/schedule/?view=bydate&amp;release=theatrical&amp;date=2011-05-13&amp;p=.htm"/>
    <hyperlink ref="C312" r:id="rId924"/>
    <hyperlink ref="D312" r:id="rId925"/>
    <hyperlink ref="I312" r:id="rId926" display="http://www.boxofficemojo.com/schedule/?view=bydate&amp;release=theatrical&amp;date=2011-08-05&amp;p=.htm"/>
    <hyperlink ref="C313" r:id="rId927"/>
    <hyperlink ref="D313" r:id="rId928"/>
    <hyperlink ref="I313" r:id="rId929" display="http://www.boxofficemojo.com/schedule/?view=bydate&amp;release=theatrical&amp;date=2011-04-01&amp;p=.htm"/>
    <hyperlink ref="C314" r:id="rId930"/>
    <hyperlink ref="D314" r:id="rId931"/>
    <hyperlink ref="I314" r:id="rId932" display="http://www.boxofficemojo.com/schedule/?view=bydate&amp;release=theatrical&amp;date=2011-01-13&amp;p=.htm"/>
    <hyperlink ref="C315" r:id="rId933"/>
    <hyperlink ref="D315" r:id="rId934"/>
    <hyperlink ref="I315" r:id="rId935" display="http://www.boxofficemojo.com/schedule/?view=bydate&amp;release=theatrical&amp;date=2011-09-16&amp;p=.htm"/>
    <hyperlink ref="C316" r:id="rId936"/>
    <hyperlink ref="D316" r:id="rId937"/>
    <hyperlink ref="I316" r:id="rId938" display="http://www.boxofficemojo.com/schedule/?view=bydate&amp;release=theatrical&amp;date=2011-11-04&amp;p=.htm"/>
    <hyperlink ref="C317" r:id="rId939"/>
    <hyperlink ref="D317" r:id="rId940"/>
    <hyperlink ref="I317" r:id="rId941" display="http://www.boxofficemojo.com/schedule/?view=bydate&amp;release=theatrical&amp;date=2011-12-02&amp;p=.htm"/>
    <hyperlink ref="C318" r:id="rId942"/>
    <hyperlink ref="D318" r:id="rId943"/>
    <hyperlink ref="I318" r:id="rId944" display="http://www.boxofficemojo.com/schedule/?view=bydate&amp;release=theatrical&amp;date=2011-01-21&amp;p=.htm"/>
    <hyperlink ref="C319" r:id="rId945"/>
    <hyperlink ref="D319" r:id="rId946"/>
    <hyperlink ref="I319" r:id="rId947" display="http://www.boxofficemojo.com/schedule/?view=bydate&amp;release=theatrical&amp;date=2011-08-26&amp;p=.htm"/>
    <hyperlink ref="C320" r:id="rId948"/>
    <hyperlink ref="D320" r:id="rId949"/>
    <hyperlink ref="I320" r:id="rId950" display="http://www.boxofficemojo.com/schedule/?view=bydate&amp;release=theatrical&amp;date=2011-08-05&amp;p=.htm"/>
    <hyperlink ref="C321" r:id="rId951"/>
    <hyperlink ref="D321" r:id="rId952"/>
    <hyperlink ref="I321" r:id="rId953" display="http://www.boxofficemojo.com/schedule/?view=bydate&amp;release=theatrical&amp;date=2011-08-12&amp;p=.htm"/>
    <hyperlink ref="C322" r:id="rId954"/>
    <hyperlink ref="D322" r:id="rId955"/>
    <hyperlink ref="I322" r:id="rId956" display="http://www.boxofficemojo.com/schedule/?view=bydate&amp;release=theatrical&amp;date=2011-11-11&amp;p=.htm"/>
    <hyperlink ref="C323" r:id="rId957"/>
    <hyperlink ref="D323" r:id="rId958"/>
    <hyperlink ref="I323" r:id="rId959" display="http://www.boxofficemojo.com/schedule/?view=bydate&amp;release=theatrical&amp;date=2011-03-30&amp;p=.htm"/>
    <hyperlink ref="C324" r:id="rId960"/>
    <hyperlink ref="D324" r:id="rId961"/>
    <hyperlink ref="I324" r:id="rId962" display="http://www.boxofficemojo.com/schedule/?view=bydate&amp;release=theatrical&amp;date=2011-06-24&amp;p=.htm"/>
    <hyperlink ref="C325" r:id="rId963"/>
    <hyperlink ref="D325" r:id="rId964"/>
    <hyperlink ref="I325" r:id="rId965" display="http://www.boxofficemojo.com/schedule/?view=bydate&amp;release=theatrical&amp;date=2011-10-21&amp;p=.htm"/>
    <hyperlink ref="C326" r:id="rId966"/>
    <hyperlink ref="D326" r:id="rId967"/>
    <hyperlink ref="I326" r:id="rId968" display="http://www.boxofficemojo.com/schedule/?view=bydate&amp;release=theatrical&amp;date=2011-08-05&amp;p=.htm"/>
    <hyperlink ref="C327" r:id="rId969"/>
    <hyperlink ref="D327" r:id="rId970"/>
    <hyperlink ref="I327" r:id="rId971" display="http://www.boxofficemojo.com/schedule/?view=bydate&amp;release=theatrical&amp;date=2011-09-23&amp;p=.htm"/>
    <hyperlink ref="C328" r:id="rId972"/>
    <hyperlink ref="D328" r:id="rId973"/>
    <hyperlink ref="I328" r:id="rId974" display="http://www.boxofficemojo.com/schedule/?view=bydate&amp;release=theatrical&amp;date=2011-10-21&amp;p=.htm"/>
    <hyperlink ref="C329" r:id="rId975"/>
    <hyperlink ref="D329" r:id="rId976"/>
    <hyperlink ref="I329" r:id="rId977" display="http://www.boxofficemojo.com/schedule/?view=bydate&amp;release=theatrical&amp;date=2011-10-07&amp;p=.htm"/>
    <hyperlink ref="C330" r:id="rId978"/>
    <hyperlink ref="D330" r:id="rId979"/>
    <hyperlink ref="I330" r:id="rId980" display="http://www.boxofficemojo.com/schedule/?view=bydate&amp;release=theatrical&amp;date=2011-02-04&amp;p=.htm"/>
    <hyperlink ref="C331" r:id="rId981"/>
    <hyperlink ref="D331" r:id="rId982"/>
    <hyperlink ref="I331" r:id="rId983" display="http://www.boxofficemojo.com/schedule/?view=bydate&amp;release=theatrical&amp;date=2011-04-01&amp;p=.htm"/>
    <hyperlink ref="C332" r:id="rId984"/>
    <hyperlink ref="D332" r:id="rId985"/>
    <hyperlink ref="I332" r:id="rId986" display="http://www.boxofficemojo.com/schedule/?view=bydate&amp;release=theatrical&amp;date=2011-10-28&amp;p=.htm"/>
    <hyperlink ref="C333" r:id="rId987"/>
    <hyperlink ref="D333" r:id="rId988"/>
    <hyperlink ref="I333" r:id="rId989" display="http://www.boxofficemojo.com/schedule/?view=bydate&amp;release=theatrical&amp;date=2011-10-14&amp;p=.htm"/>
    <hyperlink ref="C334" r:id="rId990"/>
    <hyperlink ref="D334" r:id="rId991"/>
    <hyperlink ref="I334" r:id="rId992" display="http://www.boxofficemojo.com/schedule/?view=bydate&amp;release=theatrical&amp;date=2011-03-11&amp;p=.htm"/>
    <hyperlink ref="C335" r:id="rId993" display="http://www.boxofficemojo.com/movies/?id=1911.htm"/>
    <hyperlink ref="D335" r:id="rId994"/>
    <hyperlink ref="I335" r:id="rId995" display="http://www.boxofficemojo.com/schedule/?view=bydate&amp;release=theatrical&amp;date=2011-10-07&amp;p=.htm"/>
    <hyperlink ref="C336" r:id="rId996"/>
    <hyperlink ref="D336" r:id="rId997"/>
    <hyperlink ref="I336" r:id="rId998" display="http://www.boxofficemojo.com/schedule/?view=bydate&amp;release=theatrical&amp;date=2011-07-15&amp;p=.htm"/>
    <hyperlink ref="C337" r:id="rId999"/>
    <hyperlink ref="D337" r:id="rId1000"/>
    <hyperlink ref="I337" r:id="rId1001" display="http://www.boxofficemojo.com/schedule/?view=bydate&amp;release=theatrical&amp;date=2011-01-21&amp;p=.htm"/>
    <hyperlink ref="C338" r:id="rId1002"/>
    <hyperlink ref="D338" r:id="rId1003"/>
    <hyperlink ref="I338" r:id="rId1004" display="http://www.boxofficemojo.com/schedule/?view=bydate&amp;release=theatrical&amp;date=2011-11-16&amp;p=.htm"/>
    <hyperlink ref="C339" r:id="rId1005"/>
    <hyperlink ref="D339" r:id="rId1006"/>
    <hyperlink ref="I339" r:id="rId1007" display="http://www.boxofficemojo.com/schedule/?view=bydate&amp;release=theatrical&amp;date=2011-03-04&amp;p=.htm"/>
    <hyperlink ref="C340" r:id="rId1008"/>
    <hyperlink ref="D340" r:id="rId1009"/>
    <hyperlink ref="I340" r:id="rId1010" display="http://www.boxofficemojo.com/schedule/?view=bydate&amp;release=theatrical&amp;date=2011-02-03&amp;p=.htm"/>
    <hyperlink ref="C341" r:id="rId1011"/>
    <hyperlink ref="D341" r:id="rId1012"/>
    <hyperlink ref="I341" r:id="rId1013" display="http://www.boxofficemojo.com/schedule/?view=bydate&amp;release=theatrical&amp;date=2011-10-28&amp;p=.htm"/>
    <hyperlink ref="C342" r:id="rId1014"/>
    <hyperlink ref="D342" r:id="rId1015"/>
    <hyperlink ref="I342" r:id="rId1016" display="http://www.boxofficemojo.com/schedule/?view=bydate&amp;release=theatrical&amp;date=2011-06-03&amp;p=.htm"/>
    <hyperlink ref="C343" r:id="rId1017"/>
    <hyperlink ref="D343" r:id="rId1018"/>
    <hyperlink ref="I343" r:id="rId1019" display="http://www.boxofficemojo.com/schedule/?view=bydate&amp;release=theatrical&amp;date=2011-05-11&amp;p=.htm"/>
    <hyperlink ref="C344" r:id="rId1020"/>
    <hyperlink ref="D344" r:id="rId1021"/>
    <hyperlink ref="I344" r:id="rId1022" display="http://www.boxofficemojo.com/schedule/?view=bydate&amp;release=theatrical&amp;date=2011-04-01&amp;p=.htm"/>
    <hyperlink ref="C345" r:id="rId1023"/>
    <hyperlink ref="D345" r:id="rId1024"/>
    <hyperlink ref="I345" r:id="rId1025" display="http://www.boxofficemojo.com/schedule/?view=bydate&amp;release=theatrical&amp;date=2011-01-28&amp;p=.htm"/>
    <hyperlink ref="C346" r:id="rId1026"/>
    <hyperlink ref="D346" r:id="rId1027"/>
    <hyperlink ref="I346" r:id="rId1028" display="http://www.boxofficemojo.com/schedule/?view=bydate&amp;release=theatrical&amp;date=2011-07-15&amp;p=.htm"/>
    <hyperlink ref="C347" r:id="rId1029"/>
    <hyperlink ref="D347" r:id="rId1030"/>
    <hyperlink ref="I347" r:id="rId1031" display="http://www.boxofficemojo.com/schedule/?view=bydate&amp;release=theatrical&amp;date=2011-04-06&amp;p=.htm"/>
    <hyperlink ref="C348" r:id="rId1032"/>
    <hyperlink ref="D348" r:id="rId1033"/>
    <hyperlink ref="I348" r:id="rId1034" display="http://www.boxofficemojo.com/schedule/?view=bydate&amp;release=theatrical&amp;date=2011-05-20&amp;p=.htm"/>
    <hyperlink ref="C349" r:id="rId1035"/>
    <hyperlink ref="D349" r:id="rId1036"/>
    <hyperlink ref="I349" r:id="rId1037" display="http://www.boxofficemojo.com/schedule/?view=bydate&amp;release=theatrical&amp;date=2011-08-05&amp;p=.htm"/>
    <hyperlink ref="C350" r:id="rId1038"/>
    <hyperlink ref="D350" r:id="rId1039"/>
    <hyperlink ref="I350" r:id="rId1040" display="http://www.boxofficemojo.com/schedule/?view=bydate&amp;release=theatrical&amp;date=2011-11-16&amp;p=.htm"/>
    <hyperlink ref="C351" r:id="rId1041"/>
    <hyperlink ref="D351" r:id="rId1042"/>
    <hyperlink ref="I351" r:id="rId1043" display="http://www.boxofficemojo.com/schedule/?view=bydate&amp;release=theatrical&amp;date=2011-04-08&amp;p=.htm"/>
    <hyperlink ref="C352" r:id="rId1044"/>
    <hyperlink ref="D352" r:id="rId1045"/>
    <hyperlink ref="I352" r:id="rId1046" display="http://www.boxofficemojo.com/schedule/?view=bydate&amp;release=theatrical&amp;date=2011-11-04&amp;p=.htm"/>
    <hyperlink ref="C353" r:id="rId1047"/>
    <hyperlink ref="D353" r:id="rId1048"/>
    <hyperlink ref="I353" r:id="rId1049" display="http://www.boxofficemojo.com/schedule/?view=bydate&amp;release=theatrical&amp;date=2011-04-01&amp;p=.htm"/>
    <hyperlink ref="C354" r:id="rId1050"/>
    <hyperlink ref="D354" r:id="rId1051"/>
    <hyperlink ref="I354" r:id="rId1052" display="http://www.boxofficemojo.com/schedule/?view=bydate&amp;release=theatrical&amp;date=2011-06-03&amp;p=.htm"/>
    <hyperlink ref="C355" r:id="rId1053"/>
    <hyperlink ref="D355" r:id="rId1054"/>
    <hyperlink ref="I355" r:id="rId1055" display="http://www.boxofficemojo.com/schedule/?view=bydate&amp;release=theatrical&amp;date=2011-11-11&amp;p=.htm"/>
    <hyperlink ref="C356" r:id="rId1056"/>
    <hyperlink ref="D356" r:id="rId1057"/>
    <hyperlink ref="I356" r:id="rId1058" display="http://www.boxofficemojo.com/schedule/?view=bydate&amp;release=theatrical&amp;date=2011-06-24&amp;p=.htm"/>
    <hyperlink ref="C357" r:id="rId1059"/>
    <hyperlink ref="D357" r:id="rId1060"/>
    <hyperlink ref="I357" r:id="rId1061" display="http://www.boxofficemojo.com/schedule/?view=bydate&amp;release=theatrical&amp;date=2011-05-06&amp;p=.htm"/>
    <hyperlink ref="C358" r:id="rId1062"/>
    <hyperlink ref="D358" r:id="rId1063"/>
    <hyperlink ref="I358" r:id="rId1064" display="http://www.boxofficemojo.com/schedule/?view=bydate&amp;release=theatrical&amp;date=2011-07-22&amp;p=.htm"/>
    <hyperlink ref="C359" r:id="rId1065"/>
    <hyperlink ref="D359" r:id="rId1066"/>
    <hyperlink ref="I359" r:id="rId1067" display="http://www.boxofficemojo.com/schedule/?view=bydate&amp;release=theatrical&amp;date=2011-04-29&amp;p=.htm"/>
    <hyperlink ref="C360" r:id="rId1068"/>
    <hyperlink ref="D360" r:id="rId1069"/>
    <hyperlink ref="I360" r:id="rId1070" display="http://www.boxofficemojo.com/schedule/?view=bydate&amp;release=theatrical&amp;date=2011-10-28&amp;p=.htm"/>
    <hyperlink ref="C361" r:id="rId1071"/>
    <hyperlink ref="D361" r:id="rId1072"/>
    <hyperlink ref="I361" r:id="rId1073" display="http://www.boxofficemojo.com/schedule/?view=bydate&amp;release=theatrical&amp;date=2011-04-08&amp;p=.htm"/>
    <hyperlink ref="C362" r:id="rId1074"/>
    <hyperlink ref="D362" r:id="rId1075"/>
    <hyperlink ref="I362" r:id="rId1076" display="http://www.boxofficemojo.com/schedule/?view=bydate&amp;release=theatrical&amp;date=2011-04-08&amp;p=.htm"/>
    <hyperlink ref="C363" r:id="rId1077"/>
    <hyperlink ref="D363" r:id="rId1078"/>
    <hyperlink ref="I363" r:id="rId1079" display="http://www.boxofficemojo.com/schedule/?view=bydate&amp;release=theatrical&amp;date=2011-04-29&amp;p=.htm"/>
    <hyperlink ref="C364" r:id="rId1080"/>
    <hyperlink ref="D364" r:id="rId1081"/>
    <hyperlink ref="I364" r:id="rId1082" display="http://www.boxofficemojo.com/schedule/?view=bydate&amp;release=theatrical&amp;date=2011-11-25&amp;p=.htm"/>
    <hyperlink ref="C365" r:id="rId1083"/>
    <hyperlink ref="D365" r:id="rId1084"/>
    <hyperlink ref="I365" r:id="rId1085" display="http://www.boxofficemojo.com/schedule/?view=bydate&amp;release=theatrical&amp;date=2011-02-11&amp;p=.htm"/>
    <hyperlink ref="C366" r:id="rId1086"/>
    <hyperlink ref="D366" r:id="rId1087"/>
    <hyperlink ref="I366" r:id="rId1088" display="http://www.boxofficemojo.com/schedule/?view=bydate&amp;release=theatrical&amp;date=2011-02-11&amp;p=.htm"/>
    <hyperlink ref="C367" r:id="rId1089"/>
    <hyperlink ref="D367" r:id="rId1090"/>
    <hyperlink ref="I367" r:id="rId1091" display="http://www.boxofficemojo.com/schedule/?view=bydate&amp;release=theatrical&amp;date=2011-04-01&amp;p=.htm"/>
    <hyperlink ref="C368" r:id="rId1092"/>
    <hyperlink ref="D368" r:id="rId1093"/>
    <hyperlink ref="I368" r:id="rId1094" display="http://www.boxofficemojo.com/schedule/?view=bydate&amp;release=theatrical&amp;date=2011-02-03&amp;p=.htm"/>
    <hyperlink ref="C369" r:id="rId1095"/>
    <hyperlink ref="D369" r:id="rId1096"/>
    <hyperlink ref="I369" r:id="rId1097" display="http://www.boxofficemojo.com/schedule/?view=bydate&amp;release=theatrical&amp;date=2011-09-09&amp;p=.htm"/>
    <hyperlink ref="C370" r:id="rId1098"/>
    <hyperlink ref="D370" r:id="rId1099"/>
    <hyperlink ref="I370" r:id="rId1100" display="http://www.boxofficemojo.com/schedule/?view=bydate&amp;release=theatrical&amp;date=2011-10-28&amp;p=.htm"/>
    <hyperlink ref="C371" r:id="rId1101"/>
    <hyperlink ref="D371" r:id="rId1102"/>
    <hyperlink ref="I371" r:id="rId1103" display="http://www.boxofficemojo.com/schedule/?view=bydate&amp;release=theatrical&amp;date=2011-04-01&amp;p=.htm"/>
    <hyperlink ref="C372" r:id="rId1104"/>
    <hyperlink ref="D372" r:id="rId1105"/>
    <hyperlink ref="I372" r:id="rId1106" display="http://www.boxofficemojo.com/schedule/?view=bydate&amp;release=theatrical&amp;date=2011-06-03&amp;p=.htm"/>
    <hyperlink ref="C373" r:id="rId1107"/>
    <hyperlink ref="D373" r:id="rId1108"/>
    <hyperlink ref="I373" r:id="rId1109" display="http://www.boxofficemojo.com/schedule/?view=bydate&amp;release=theatrical&amp;date=2011-03-31&amp;p=.htm"/>
    <hyperlink ref="C374" r:id="rId1110"/>
    <hyperlink ref="D374" r:id="rId1111"/>
    <hyperlink ref="I374" r:id="rId1112" display="http://www.boxofficemojo.com/schedule/?view=bydate&amp;release=theatrical&amp;date=2011-11-11&amp;p=.htm"/>
    <hyperlink ref="C375" r:id="rId1113"/>
    <hyperlink ref="D375" r:id="rId1114"/>
    <hyperlink ref="I375" r:id="rId1115" display="http://www.boxofficemojo.com/schedule/?view=bydate&amp;release=theatrical&amp;date=2011-07-15&amp;p=.htm"/>
    <hyperlink ref="C376" r:id="rId1116"/>
    <hyperlink ref="D376" r:id="rId1117"/>
    <hyperlink ref="I376" r:id="rId1118" display="http://www.boxofficemojo.com/schedule/?view=bydate&amp;release=theatrical&amp;date=2011-10-14&amp;p=.htm"/>
    <hyperlink ref="C377" r:id="rId1119"/>
    <hyperlink ref="D377" r:id="rId1120"/>
    <hyperlink ref="I377" r:id="rId1121" display="http://www.boxofficemojo.com/schedule/?view=bydate&amp;release=theatrical&amp;date=2011-04-22&amp;p=.htm"/>
    <hyperlink ref="C378" r:id="rId1122"/>
    <hyperlink ref="D378" r:id="rId1123"/>
    <hyperlink ref="I378" r:id="rId1124" display="http://www.boxofficemojo.com/schedule/?view=bydate&amp;release=theatrical&amp;date=2011-09-23&amp;p=.htm"/>
    <hyperlink ref="C379" r:id="rId1125"/>
    <hyperlink ref="D379" r:id="rId1126"/>
    <hyperlink ref="I379" r:id="rId1127" display="http://www.boxofficemojo.com/schedule/?view=bydate&amp;release=theatrical&amp;date=2011-02-25&amp;p=.htm"/>
    <hyperlink ref="C380" r:id="rId1128"/>
    <hyperlink ref="D380" r:id="rId1129"/>
    <hyperlink ref="I380" r:id="rId1130" display="http://www.boxofficemojo.com/schedule/?view=bydate&amp;release=theatrical&amp;date=2011-05-20&amp;p=.htm"/>
    <hyperlink ref="C381" r:id="rId1131"/>
    <hyperlink ref="D381" r:id="rId1132"/>
    <hyperlink ref="I381" r:id="rId1133" display="http://www.boxofficemojo.com/schedule/?view=bydate&amp;release=theatrical&amp;date=2011-09-09&amp;p=.htm"/>
    <hyperlink ref="C382" r:id="rId1134"/>
    <hyperlink ref="D382" r:id="rId1135"/>
    <hyperlink ref="I382" r:id="rId1136" display="http://www.boxofficemojo.com/schedule/?view=bydate&amp;release=theatrical&amp;date=2011-05-06&amp;p=.htm"/>
    <hyperlink ref="C383" r:id="rId1137"/>
    <hyperlink ref="D383" r:id="rId1138"/>
    <hyperlink ref="I383" r:id="rId1139" display="http://www.boxofficemojo.com/schedule/?view=bydate&amp;release=theatrical&amp;date=2011-03-04&amp;p=.htm"/>
    <hyperlink ref="C384" r:id="rId1140"/>
    <hyperlink ref="D384" r:id="rId1141"/>
    <hyperlink ref="I384" r:id="rId1142" display="http://www.boxofficemojo.com/schedule/?view=bydate&amp;release=theatrical&amp;date=2011-02-23&amp;p=.htm"/>
    <hyperlink ref="C385" r:id="rId1143"/>
    <hyperlink ref="D385" r:id="rId1144"/>
    <hyperlink ref="I385" r:id="rId1145" display="http://www.boxofficemojo.com/schedule/?view=bydate&amp;release=theatrical&amp;date=2011-07-08&amp;p=.htm"/>
    <hyperlink ref="C386" r:id="rId1146"/>
    <hyperlink ref="D386" r:id="rId1147"/>
    <hyperlink ref="I386" r:id="rId1148" display="http://www.boxofficemojo.com/schedule/?view=bydate&amp;release=theatrical&amp;date=2011-06-22&amp;p=.htm"/>
    <hyperlink ref="C387" r:id="rId1149"/>
    <hyperlink ref="D387" r:id="rId1150"/>
    <hyperlink ref="I387" r:id="rId1151" display="http://www.boxofficemojo.com/schedule/?view=bydate&amp;release=theatrical&amp;date=2011-06-10&amp;p=.htm"/>
    <hyperlink ref="C388" r:id="rId1152"/>
    <hyperlink ref="D388" r:id="rId1153"/>
    <hyperlink ref="I388" r:id="rId1154" display="http://www.boxofficemojo.com/schedule/?view=bydate&amp;release=theatrical&amp;date=2011-05-13&amp;p=.htm"/>
    <hyperlink ref="C389" r:id="rId1155"/>
    <hyperlink ref="D389" r:id="rId1156"/>
    <hyperlink ref="I389" r:id="rId1157" display="http://www.boxofficemojo.com/schedule/?view=bydate&amp;release=theatrical&amp;date=2011-09-23&amp;p=.htm"/>
    <hyperlink ref="C390" r:id="rId1158"/>
    <hyperlink ref="D390" r:id="rId1159"/>
    <hyperlink ref="I390" r:id="rId1160" display="http://www.boxofficemojo.com/schedule/?view=bydate&amp;release=theatrical&amp;date=2011-07-01&amp;p=.htm"/>
    <hyperlink ref="C391" r:id="rId1161"/>
    <hyperlink ref="D391" r:id="rId1162"/>
    <hyperlink ref="I391" r:id="rId1163" display="http://www.boxofficemojo.com/schedule/?view=bydate&amp;release=theatrical&amp;date=2011-09-16&amp;p=.htm"/>
    <hyperlink ref="C392" r:id="rId1164"/>
    <hyperlink ref="D392" r:id="rId1165"/>
    <hyperlink ref="I392" r:id="rId1166" display="http://www.boxofficemojo.com/schedule/?view=bydate&amp;release=theatrical&amp;date=2011-07-08&amp;p=.htm"/>
    <hyperlink ref="C393" r:id="rId1167"/>
    <hyperlink ref="D393" r:id="rId1168"/>
    <hyperlink ref="I393" r:id="rId1169" display="http://www.boxofficemojo.com/schedule/?view=bydate&amp;release=theatrical&amp;date=2011-06-17&amp;p=.htm"/>
    <hyperlink ref="C394" r:id="rId1170"/>
    <hyperlink ref="D394" r:id="rId1171"/>
    <hyperlink ref="I394" r:id="rId1172" display="http://www.boxofficemojo.com/schedule/?view=bydate&amp;release=theatrical&amp;date=2011-09-30&amp;p=.htm"/>
    <hyperlink ref="C395" r:id="rId1173"/>
    <hyperlink ref="D395" r:id="rId1174"/>
    <hyperlink ref="I395" r:id="rId1175" display="http://www.boxofficemojo.com/schedule/?view=bydate&amp;release=theatrical&amp;date=2011-02-02&amp;p=.htm"/>
    <hyperlink ref="C396" r:id="rId1176"/>
    <hyperlink ref="D396" r:id="rId1177"/>
    <hyperlink ref="I396" r:id="rId1178" display="http://www.boxofficemojo.com/schedule/?view=bydate&amp;release=theatrical&amp;date=2011-10-07&amp;p=.htm"/>
    <hyperlink ref="C397" r:id="rId1179"/>
    <hyperlink ref="D397" r:id="rId1180"/>
    <hyperlink ref="I397" r:id="rId1181" display="http://www.boxofficemojo.com/schedule/?view=bydate&amp;release=theatrical&amp;date=2011-10-21&amp;p=.htm"/>
    <hyperlink ref="C398" r:id="rId1182"/>
    <hyperlink ref="D398" r:id="rId1183"/>
    <hyperlink ref="I398" r:id="rId1184" display="http://www.boxofficemojo.com/schedule/?view=bydate&amp;release=theatrical&amp;date=2011-11-04&amp;p=.htm"/>
    <hyperlink ref="C399" r:id="rId1185"/>
    <hyperlink ref="D399" r:id="rId1186"/>
    <hyperlink ref="I399" r:id="rId1187" display="http://www.boxofficemojo.com/schedule/?view=bydate&amp;release=theatrical&amp;date=2011-06-01&amp;p=.htm"/>
    <hyperlink ref="C400" r:id="rId1188"/>
    <hyperlink ref="D400" r:id="rId1189"/>
    <hyperlink ref="I400" r:id="rId1190" display="http://www.boxofficemojo.com/schedule/?view=bydate&amp;release=theatrical&amp;date=2011-08-10&amp;p=.htm"/>
    <hyperlink ref="C401" r:id="rId1191"/>
    <hyperlink ref="D401" r:id="rId1192"/>
    <hyperlink ref="I401" r:id="rId1193" display="http://www.boxofficemojo.com/schedule/?view=bydate&amp;release=theatrical&amp;date=2011-01-14&amp;p=.htm"/>
    <hyperlink ref="C402" r:id="rId1194"/>
    <hyperlink ref="D402" r:id="rId1195"/>
    <hyperlink ref="I402" r:id="rId1196" display="http://www.boxofficemojo.com/schedule/?view=bydate&amp;release=theatrical&amp;date=2011-04-22&amp;p=.htm"/>
    <hyperlink ref="C403" r:id="rId1197"/>
    <hyperlink ref="D403" r:id="rId1198"/>
    <hyperlink ref="I403" r:id="rId1199" display="http://www.boxofficemojo.com/schedule/?view=bydate&amp;release=theatrical&amp;date=2011-02-18&amp;p=.htm"/>
    <hyperlink ref="C404" r:id="rId1200"/>
    <hyperlink ref="D404" r:id="rId1201"/>
    <hyperlink ref="I404" r:id="rId1202" display="http://www.boxofficemojo.com/schedule/?view=bydate&amp;release=theatrical&amp;date=2011-05-27&amp;p=.htm"/>
    <hyperlink ref="C405" r:id="rId1203"/>
    <hyperlink ref="D405" r:id="rId1204"/>
    <hyperlink ref="I405" r:id="rId1205" display="http://www.boxofficemojo.com/schedule/?view=bydate&amp;release=theatrical&amp;date=2011-02-11&amp;p=.htm"/>
    <hyperlink ref="C406" r:id="rId1206"/>
    <hyperlink ref="D406" r:id="rId1207"/>
    <hyperlink ref="I406" r:id="rId1208" display="http://www.boxofficemojo.com/schedule/?view=bydate&amp;release=theatrical&amp;date=2011-07-01&amp;p=.htm"/>
    <hyperlink ref="C407" r:id="rId1209"/>
    <hyperlink ref="D407" r:id="rId1210"/>
    <hyperlink ref="I407" r:id="rId1211" display="http://www.boxofficemojo.com/schedule/?view=bydate&amp;release=theatrical&amp;date=2011-05-13&amp;p=.htm"/>
    <hyperlink ref="C408" r:id="rId1212"/>
    <hyperlink ref="D408" r:id="rId1213"/>
    <hyperlink ref="I408" r:id="rId1214" display="http://www.boxofficemojo.com/schedule/?view=bydate&amp;release=theatrical&amp;date=2011-04-29&amp;p=.htm"/>
    <hyperlink ref="C409" r:id="rId1215"/>
    <hyperlink ref="D409" r:id="rId1216"/>
    <hyperlink ref="I409" r:id="rId1217" display="http://www.boxofficemojo.com/schedule/?view=bydate&amp;release=theatrical&amp;date=2011-03-18&amp;p=.htm"/>
    <hyperlink ref="C410" r:id="rId1218"/>
    <hyperlink ref="D410" r:id="rId1219"/>
    <hyperlink ref="I410" r:id="rId1220" display="http://www.boxofficemojo.com/schedule/?view=bydate&amp;release=theatrical&amp;date=2011-03-18&amp;p=.htm"/>
    <hyperlink ref="C411" r:id="rId1221"/>
    <hyperlink ref="D411" r:id="rId1222"/>
    <hyperlink ref="I411" r:id="rId1223" display="http://www.boxofficemojo.com/schedule/?view=bydate&amp;release=theatrical&amp;date=2011-05-20&amp;p=.htm"/>
    <hyperlink ref="C412" r:id="rId1224"/>
    <hyperlink ref="D412" r:id="rId1225"/>
    <hyperlink ref="I412" r:id="rId1226" display="http://www.boxofficemojo.com/schedule/?view=bydate&amp;release=theatrical&amp;date=2011-02-25&amp;p=.htm"/>
    <hyperlink ref="C413" r:id="rId1227"/>
    <hyperlink ref="D413" r:id="rId1228"/>
    <hyperlink ref="I413" r:id="rId1229" display="http://www.boxofficemojo.com/schedule/?view=bydate&amp;release=theatrical&amp;date=2011-09-16&amp;p=.htm"/>
    <hyperlink ref="C414" r:id="rId1230"/>
    <hyperlink ref="D414" r:id="rId1231"/>
    <hyperlink ref="I414" r:id="rId1232" display="http://www.boxofficemojo.com/schedule/?view=bydate&amp;release=theatrical&amp;date=2011-01-19&amp;p=.htm"/>
    <hyperlink ref="C415" r:id="rId1233"/>
    <hyperlink ref="D415" r:id="rId1234"/>
    <hyperlink ref="I415" r:id="rId1235" display="http://www.boxofficemojo.com/schedule/?view=bydate&amp;release=theatrical&amp;date=2011-09-30&amp;p=.htm"/>
    <hyperlink ref="C416" r:id="rId1236"/>
    <hyperlink ref="D416" r:id="rId1237"/>
    <hyperlink ref="I416" r:id="rId1238" display="http://www.boxofficemojo.com/schedule/?view=bydate&amp;release=theatrical&amp;date=2011-01-14&amp;p=.htm"/>
    <hyperlink ref="C417" r:id="rId1239"/>
    <hyperlink ref="D417" r:id="rId1240"/>
    <hyperlink ref="I417" r:id="rId1241" display="http://www.boxofficemojo.com/schedule/?view=bydate&amp;release=theatrical&amp;date=2011-07-06&amp;p=.htm"/>
    <hyperlink ref="C418" r:id="rId1242"/>
    <hyperlink ref="D418" r:id="rId1243"/>
    <hyperlink ref="I418" r:id="rId1244" display="http://www.boxofficemojo.com/schedule/?view=bydate&amp;release=theatrical&amp;date=2011-10-14&amp;p=.htm"/>
    <hyperlink ref="C419" r:id="rId1245"/>
    <hyperlink ref="D419" r:id="rId1246"/>
    <hyperlink ref="I419" r:id="rId1247" display="http://www.boxofficemojo.com/schedule/?view=bydate&amp;release=theatrical&amp;date=2011-08-12&amp;p=.htm"/>
    <hyperlink ref="C420" r:id="rId1248"/>
    <hyperlink ref="D420" r:id="rId1249"/>
    <hyperlink ref="I420" r:id="rId1250" display="http://www.boxofficemojo.com/schedule/?view=bydate&amp;release=theatrical&amp;date=2011-09-16&amp;p=.htm"/>
    <hyperlink ref="C421" r:id="rId1251"/>
    <hyperlink ref="D421" r:id="rId1252"/>
    <hyperlink ref="I421" r:id="rId1253" display="http://www.boxofficemojo.com/schedule/?view=bydate&amp;release=theatrical&amp;date=2011-12-02&amp;p=.htm"/>
    <hyperlink ref="C422" r:id="rId1254"/>
    <hyperlink ref="D422" r:id="rId1255"/>
    <hyperlink ref="I422" r:id="rId1256" display="http://www.boxofficemojo.com/schedule/?view=bydate&amp;release=theatrical&amp;date=2011-11-04&amp;p=.htm"/>
    <hyperlink ref="C423" r:id="rId1257"/>
    <hyperlink ref="D423" r:id="rId1258"/>
    <hyperlink ref="I423" r:id="rId1259" display="http://www.boxofficemojo.com/schedule/?view=bydate&amp;release=theatrical&amp;date=2011-03-18&amp;p=.htm"/>
    <hyperlink ref="C424" r:id="rId1260"/>
    <hyperlink ref="D424" r:id="rId1261"/>
    <hyperlink ref="I424" r:id="rId1262" display="http://www.boxofficemojo.com/schedule/?view=bydate&amp;release=theatrical&amp;date=2011-09-14&amp;p=.htm"/>
    <hyperlink ref="C425" r:id="rId1263"/>
    <hyperlink ref="D425" r:id="rId1264"/>
    <hyperlink ref="I425" r:id="rId1265" display="http://www.boxofficemojo.com/schedule/?view=bydate&amp;release=theatrical&amp;date=2011-06-09&amp;p=.htm"/>
    <hyperlink ref="C426" r:id="rId1266"/>
    <hyperlink ref="D426" r:id="rId1267"/>
    <hyperlink ref="I426" r:id="rId1268" display="http://www.boxofficemojo.com/schedule/?view=bydate&amp;release=theatrical&amp;date=2011-03-04&amp;p=.htm"/>
    <hyperlink ref="C427" r:id="rId1269"/>
    <hyperlink ref="D427" r:id="rId1270"/>
    <hyperlink ref="I427" r:id="rId1271" display="http://www.boxofficemojo.com/schedule/?view=bydate&amp;release=theatrical&amp;date=2011-07-01&amp;p=.htm"/>
    <hyperlink ref="C428" r:id="rId1272"/>
    <hyperlink ref="D428" r:id="rId1273"/>
    <hyperlink ref="I428" r:id="rId1274" display="http://www.boxofficemojo.com/schedule/?view=bydate&amp;release=theatrical&amp;date=2011-03-11&amp;p=.htm"/>
    <hyperlink ref="C429" r:id="rId1275"/>
    <hyperlink ref="D429" r:id="rId1276"/>
    <hyperlink ref="I429" r:id="rId1277" display="http://www.boxofficemojo.com/schedule/?view=bydate&amp;release=theatrical&amp;date=2011-01-14&amp;p=.htm"/>
    <hyperlink ref="C430" r:id="rId1278"/>
    <hyperlink ref="D430" r:id="rId1279"/>
    <hyperlink ref="I430" r:id="rId1280" display="http://www.boxofficemojo.com/schedule/?view=bydate&amp;release=theatrical&amp;date=2011-07-22&amp;p=.htm"/>
    <hyperlink ref="C431" r:id="rId1281"/>
    <hyperlink ref="D431" r:id="rId1282"/>
    <hyperlink ref="I431" r:id="rId1283" display="http://www.boxofficemojo.com/schedule/?view=bydate&amp;release=theatrical&amp;date=2011-10-05&amp;p=.htm"/>
    <hyperlink ref="C432" r:id="rId1284"/>
    <hyperlink ref="D432" r:id="rId1285"/>
    <hyperlink ref="I432" r:id="rId1286" display="http://www.boxofficemojo.com/schedule/?view=bydate&amp;release=theatrical&amp;date=2011-08-19&amp;p=.htm"/>
    <hyperlink ref="C433" r:id="rId1287"/>
    <hyperlink ref="D433" r:id="rId1288"/>
    <hyperlink ref="I433" r:id="rId1289" display="http://www.boxofficemojo.com/schedule/?view=bydate&amp;release=theatrical&amp;date=2011-05-18&amp;p=.htm"/>
    <hyperlink ref="C434" r:id="rId1290"/>
    <hyperlink ref="D434" r:id="rId1291"/>
    <hyperlink ref="I434" r:id="rId1292" display="http://www.boxofficemojo.com/schedule/?view=bydate&amp;release=theatrical&amp;date=2011-06-10&amp;p=.htm"/>
    <hyperlink ref="C435" r:id="rId1293"/>
    <hyperlink ref="D435" r:id="rId1294"/>
    <hyperlink ref="I435" r:id="rId1295" display="http://www.boxofficemojo.com/schedule/?view=bydate&amp;release=theatrical&amp;date=2011-12-14&amp;p=.htm"/>
    <hyperlink ref="C436" r:id="rId1296"/>
    <hyperlink ref="D436" r:id="rId1297"/>
    <hyperlink ref="I436" r:id="rId1298" display="http://www.boxofficemojo.com/schedule/?view=bydate&amp;release=theatrical&amp;date=2011-11-30&amp;p=.htm"/>
    <hyperlink ref="C437" r:id="rId1299"/>
    <hyperlink ref="D437" r:id="rId1300"/>
    <hyperlink ref="I437" r:id="rId1301" display="http://www.boxofficemojo.com/schedule/?view=bydate&amp;release=theatrical&amp;date=2011-09-09&amp;p=.htm"/>
    <hyperlink ref="C438" r:id="rId1302"/>
    <hyperlink ref="D438" r:id="rId1303"/>
    <hyperlink ref="I438" r:id="rId1304" display="http://www.boxofficemojo.com/schedule/?view=bydate&amp;release=theatrical&amp;date=2011-01-14&amp;p=.htm"/>
    <hyperlink ref="C439" r:id="rId1305"/>
    <hyperlink ref="D439" r:id="rId1306"/>
    <hyperlink ref="I439" r:id="rId1307" display="http://www.boxofficemojo.com/schedule/?view=bydate&amp;release=theatrical&amp;date=2011-12-02&amp;p=.htm"/>
    <hyperlink ref="C440" r:id="rId1308"/>
    <hyperlink ref="D440" r:id="rId1309"/>
    <hyperlink ref="I440" r:id="rId1310" display="http://www.boxofficemojo.com/schedule/?view=bydate&amp;release=theatrical&amp;date=2011-09-09&amp;p=.htm"/>
    <hyperlink ref="C441" r:id="rId1311"/>
    <hyperlink ref="D441" r:id="rId1312"/>
    <hyperlink ref="I441" r:id="rId1313" display="http://www.boxofficemojo.com/schedule/?view=bydate&amp;release=theatrical&amp;date=2011-10-19&amp;p=.htm"/>
    <hyperlink ref="C442" r:id="rId1314"/>
    <hyperlink ref="D442" r:id="rId1315"/>
    <hyperlink ref="I442" r:id="rId1316" display="http://www.boxofficemojo.com/schedule/?view=bydate&amp;release=theatrical&amp;date=2011-12-02&amp;p=.htm"/>
    <hyperlink ref="C443" r:id="rId1317"/>
    <hyperlink ref="D443" r:id="rId1318" display="http://www.boxofficemojo.com/studio/chart/?studio=108pics.htm"/>
    <hyperlink ref="I443" r:id="rId1319" display="http://www.boxofficemojo.com/schedule/?view=bydate&amp;release=theatrical&amp;date=2011-04-22&amp;p=.htm"/>
    <hyperlink ref="C444" r:id="rId1320"/>
    <hyperlink ref="D444" r:id="rId1321"/>
    <hyperlink ref="I444" r:id="rId1322" display="http://www.boxofficemojo.com/schedule/?view=bydate&amp;release=theatrical&amp;date=2011-09-09&amp;p=.htm"/>
    <hyperlink ref="C445" r:id="rId1323"/>
    <hyperlink ref="D445" r:id="rId1324"/>
    <hyperlink ref="I445" r:id="rId1325" display="http://www.boxofficemojo.com/schedule/?view=bydate&amp;release=theatrical&amp;date=2011-04-22&amp;p=.htm"/>
    <hyperlink ref="C446" r:id="rId1326"/>
    <hyperlink ref="D446" r:id="rId1327"/>
    <hyperlink ref="I446" r:id="rId1328" display="http://www.boxofficemojo.com/schedule/?view=bydate&amp;release=theatrical&amp;date=2011-09-09&amp;p=.htm"/>
    <hyperlink ref="C447" r:id="rId1329"/>
    <hyperlink ref="D447" r:id="rId1330"/>
    <hyperlink ref="I447" r:id="rId1331" display="http://www.boxofficemojo.com/schedule/?view=bydate&amp;release=theatrical&amp;date=2011-03-11&amp;p=.htm"/>
    <hyperlink ref="C448" r:id="rId1332"/>
    <hyperlink ref="D448" r:id="rId1333"/>
    <hyperlink ref="I448" r:id="rId1334" display="http://www.boxofficemojo.com/schedule/?view=bydate&amp;release=theatrical&amp;date=2011-04-22&amp;p=.htm"/>
    <hyperlink ref="C449" r:id="rId1335"/>
    <hyperlink ref="D449" r:id="rId1336"/>
    <hyperlink ref="I449" r:id="rId1337" display="http://www.boxofficemojo.com/schedule/?view=bydate&amp;release=theatrical&amp;date=2011-09-30&amp;p=.htm"/>
    <hyperlink ref="C450" r:id="rId1338"/>
    <hyperlink ref="D450" r:id="rId1339"/>
    <hyperlink ref="I450" r:id="rId1340" display="http://www.boxofficemojo.com/schedule/?view=bydate&amp;release=theatrical&amp;date=2011-04-08&amp;p=.htm"/>
    <hyperlink ref="C451" r:id="rId1341"/>
    <hyperlink ref="D451" r:id="rId1342"/>
    <hyperlink ref="I451" r:id="rId1343" display="http://www.boxofficemojo.com/schedule/?view=bydate&amp;release=theatrical&amp;date=2011-06-03&amp;p=.htm"/>
    <hyperlink ref="C452" r:id="rId1344"/>
    <hyperlink ref="D452" r:id="rId1345"/>
    <hyperlink ref="I452" r:id="rId1346" display="http://www.boxofficemojo.com/schedule/?view=bydate&amp;release=theatrical&amp;date=2011-01-07&amp;p=.htm"/>
    <hyperlink ref="C453" r:id="rId1347" display="http://www.boxofficemojo.com/movies/?id=111111.htm"/>
    <hyperlink ref="D453" r:id="rId1348"/>
    <hyperlink ref="I453" r:id="rId1349" display="http://www.boxofficemojo.com/schedule/?view=bydate&amp;release=theatrical&amp;date=2011-11-11&amp;p=.htm"/>
    <hyperlink ref="C454" r:id="rId1350"/>
    <hyperlink ref="D454" r:id="rId1351"/>
    <hyperlink ref="I454" r:id="rId1352" display="http://www.boxofficemojo.com/schedule/?view=bydate&amp;release=theatrical&amp;date=2011-05-06&amp;p=.htm"/>
    <hyperlink ref="C455" r:id="rId1353"/>
    <hyperlink ref="D455" r:id="rId1354"/>
    <hyperlink ref="I455" r:id="rId1355" display="http://www.boxofficemojo.com/schedule/?view=bydate&amp;release=theatrical&amp;date=2011-05-13&amp;p=.htm"/>
    <hyperlink ref="C456" r:id="rId1356"/>
    <hyperlink ref="D456" r:id="rId1357"/>
    <hyperlink ref="I456" r:id="rId1358" display="http://www.boxofficemojo.com/schedule/?view=bydate&amp;release=theatrical&amp;date=2011-06-03&amp;p=.htm"/>
    <hyperlink ref="C457" r:id="rId1359"/>
    <hyperlink ref="D457" r:id="rId1360"/>
    <hyperlink ref="I457" r:id="rId1361" display="http://www.boxofficemojo.com/schedule/?view=bydate&amp;release=theatrical&amp;date=2011-03-25&amp;p=.htm"/>
    <hyperlink ref="C458" r:id="rId1362"/>
    <hyperlink ref="D458" r:id="rId1363"/>
    <hyperlink ref="I458" r:id="rId1364" display="http://www.boxofficemojo.com/schedule/?view=bydate&amp;release=theatrical&amp;date=2011-11-04&amp;p=.htm"/>
    <hyperlink ref="C459" r:id="rId1365"/>
    <hyperlink ref="D459" r:id="rId1366"/>
    <hyperlink ref="I459" r:id="rId1367" display="http://www.boxofficemojo.com/schedule/?view=bydate&amp;release=theatrical&amp;date=2011-09-30&amp;p=.htm"/>
    <hyperlink ref="C460" r:id="rId1368"/>
    <hyperlink ref="D460" r:id="rId1369"/>
    <hyperlink ref="I460" r:id="rId1370" display="http://www.boxofficemojo.com/schedule/?view=bydate&amp;release=theatrical&amp;date=2011-04-01&amp;p=.htm"/>
    <hyperlink ref="C461" r:id="rId1371"/>
    <hyperlink ref="D461" r:id="rId1372"/>
    <hyperlink ref="I461" r:id="rId1373" display="http://www.boxofficemojo.com/schedule/?view=bydate&amp;release=theatrical&amp;date=2011-08-26&amp;p=.htm"/>
    <hyperlink ref="C462" r:id="rId1374"/>
    <hyperlink ref="D462" r:id="rId1375"/>
    <hyperlink ref="I462" r:id="rId1376" display="http://www.boxofficemojo.com/schedule/?view=bydate&amp;release=theatrical&amp;date=2011-03-18&amp;p=.htm"/>
    <hyperlink ref="C463" r:id="rId1377"/>
    <hyperlink ref="D463" r:id="rId1378"/>
    <hyperlink ref="I463" r:id="rId1379" display="http://www.boxofficemojo.com/schedule/?view=bydate&amp;release=theatrical&amp;date=2011-08-26&amp;p=.htm"/>
    <hyperlink ref="C464" r:id="rId1380"/>
    <hyperlink ref="D464" r:id="rId1381"/>
    <hyperlink ref="I464" r:id="rId1382" display="http://www.boxofficemojo.com/schedule/?view=bydate&amp;release=theatrical&amp;date=2011-05-13&amp;p=.htm"/>
    <hyperlink ref="C465" r:id="rId1383"/>
    <hyperlink ref="D465" r:id="rId1384"/>
    <hyperlink ref="I465" r:id="rId1385" display="http://www.boxofficemojo.com/schedule/?view=bydate&amp;release=theatrical&amp;date=2011-07-08&amp;p=.htm"/>
    <hyperlink ref="C466" r:id="rId1386"/>
    <hyperlink ref="D466" r:id="rId1387"/>
    <hyperlink ref="I466" r:id="rId1388" display="http://www.boxofficemojo.com/schedule/?view=bydate&amp;release=theatrical&amp;date=2011-11-18&amp;p=.htm"/>
    <hyperlink ref="C467" r:id="rId1389"/>
    <hyperlink ref="D467" r:id="rId1390"/>
    <hyperlink ref="I467" r:id="rId1391" display="http://www.boxofficemojo.com/schedule/?view=bydate&amp;release=theatrical&amp;date=2011-07-15&amp;p=.htm"/>
    <hyperlink ref="C468" r:id="rId1392"/>
    <hyperlink ref="D468" r:id="rId1393"/>
    <hyperlink ref="I468" r:id="rId1394" display="http://www.boxofficemojo.com/schedule/?view=bydate&amp;release=theatrical&amp;date=2011-05-25&amp;p=.htm"/>
    <hyperlink ref="C469" r:id="rId1395"/>
    <hyperlink ref="D469" r:id="rId1396"/>
    <hyperlink ref="I469" r:id="rId1397" display="http://www.boxofficemojo.com/schedule/?view=bydate&amp;release=theatrical&amp;date=2011-10-07&amp;p=.htm"/>
    <hyperlink ref="C470" r:id="rId1398"/>
    <hyperlink ref="D470" r:id="rId1399"/>
    <hyperlink ref="I470" r:id="rId1400" display="http://www.boxofficemojo.com/schedule/?view=bydate&amp;release=theatrical&amp;date=2011-09-16&amp;p=.htm"/>
    <hyperlink ref="C471" r:id="rId1401"/>
    <hyperlink ref="D471" r:id="rId1402"/>
    <hyperlink ref="I471" r:id="rId1403" display="http://www.boxofficemojo.com/schedule/?view=bydate&amp;release=theatrical&amp;date=2011-03-11&amp;p=.htm"/>
    <hyperlink ref="C472" r:id="rId1404"/>
    <hyperlink ref="D472" r:id="rId1405"/>
    <hyperlink ref="I472" r:id="rId1406" display="http://www.boxofficemojo.com/schedule/?view=bydate&amp;release=theatrical&amp;date=2011-10-21&amp;p=.htm"/>
    <hyperlink ref="C473" r:id="rId1407"/>
    <hyperlink ref="D473" r:id="rId1408"/>
    <hyperlink ref="I473" r:id="rId1409" display="http://www.boxofficemojo.com/schedule/?view=bydate&amp;release=theatrical&amp;date=2011-09-16&amp;p=.htm"/>
    <hyperlink ref="C474" r:id="rId1410"/>
    <hyperlink ref="D474" r:id="rId1411"/>
    <hyperlink ref="I474" r:id="rId1412" display="http://www.boxofficemojo.com/schedule/?view=bydate&amp;release=theatrical&amp;date=2011-02-04&amp;p=.htm"/>
    <hyperlink ref="C475" r:id="rId1413"/>
    <hyperlink ref="D475" r:id="rId1414"/>
    <hyperlink ref="I475" r:id="rId1415" display="http://www.boxofficemojo.com/schedule/?view=bydate&amp;release=theatrical&amp;date=2011-02-04&amp;p=.htm"/>
    <hyperlink ref="C476" r:id="rId1416"/>
    <hyperlink ref="D476" r:id="rId1417"/>
    <hyperlink ref="I476" r:id="rId1418" display="http://www.boxofficemojo.com/schedule/?view=bydate&amp;release=theatrical&amp;date=2011-08-19&amp;p=.htm"/>
    <hyperlink ref="C477" r:id="rId1419"/>
    <hyperlink ref="D477" r:id="rId1420"/>
    <hyperlink ref="I477" r:id="rId1421" display="http://www.boxofficemojo.com/schedule/?view=bydate&amp;release=theatrical&amp;date=2011-03-11&amp;p=.htm"/>
    <hyperlink ref="C478" r:id="rId1422"/>
    <hyperlink ref="D478" r:id="rId1423"/>
    <hyperlink ref="I478" r:id="rId1424" display="http://www.boxofficemojo.com/schedule/?view=bydate&amp;release=theatrical&amp;date=2011-05-06&amp;p=.htm"/>
    <hyperlink ref="C479" r:id="rId1425"/>
    <hyperlink ref="D479" r:id="rId1426"/>
    <hyperlink ref="I479" r:id="rId1427" display="http://www.boxofficemojo.com/schedule/?view=bydate&amp;release=theatrical&amp;date=2011-02-18&amp;p=.htm"/>
    <hyperlink ref="C480" r:id="rId1428"/>
    <hyperlink ref="D480" r:id="rId1429"/>
    <hyperlink ref="I480" r:id="rId1430" display="http://www.boxofficemojo.com/schedule/?view=bydate&amp;release=theatrical&amp;date=2011-09-09&amp;p=.htm"/>
    <hyperlink ref="C481" r:id="rId1431"/>
    <hyperlink ref="D481" r:id="rId1432"/>
    <hyperlink ref="I481" r:id="rId1433" display="http://www.boxofficemojo.com/schedule/?view=bydate&amp;release=theatrical&amp;date=2011-10-14&amp;p=.htm"/>
    <hyperlink ref="C482" r:id="rId1434"/>
    <hyperlink ref="D482" r:id="rId1435"/>
    <hyperlink ref="I482" r:id="rId1436" display="http://www.boxofficemojo.com/schedule/?view=bydate&amp;release=theatrical&amp;date=2011-07-08&amp;p=.htm"/>
    <hyperlink ref="C483" r:id="rId1437"/>
    <hyperlink ref="D483" r:id="rId1438"/>
    <hyperlink ref="I483" r:id="rId1439" display="http://www.boxofficemojo.com/schedule/?view=bydate&amp;release=theatrical&amp;date=2011-08-26&amp;p=.htm"/>
    <hyperlink ref="C484" r:id="rId1440"/>
    <hyperlink ref="D484" r:id="rId1441"/>
    <hyperlink ref="I484" r:id="rId1442" display="http://www.boxofficemojo.com/schedule/?view=bydate&amp;release=theatrical&amp;date=2011-06-24&amp;p=.htm"/>
    <hyperlink ref="C485" r:id="rId1443"/>
    <hyperlink ref="D485" r:id="rId1444"/>
    <hyperlink ref="I485" r:id="rId1445" display="http://www.boxofficemojo.com/schedule/?view=bydate&amp;release=theatrical&amp;date=2011-05-20&amp;p=.htm"/>
    <hyperlink ref="C486" r:id="rId1446"/>
    <hyperlink ref="D486" r:id="rId1447"/>
    <hyperlink ref="I486" r:id="rId1448" display="http://www.boxofficemojo.com/schedule/?view=bydate&amp;release=theatrical&amp;date=2011-02-18&amp;p=.htm"/>
    <hyperlink ref="C487" r:id="rId1449"/>
    <hyperlink ref="D487" r:id="rId1450"/>
    <hyperlink ref="I487" r:id="rId1451" display="http://www.boxofficemojo.com/schedule/?view=bydate&amp;release=theatrical&amp;date=2011-03-11&amp;p=.htm"/>
    <hyperlink ref="C488" r:id="rId1452"/>
    <hyperlink ref="D488" r:id="rId1453"/>
    <hyperlink ref="I488" r:id="rId1454" display="http://www.boxofficemojo.com/schedule/?view=bydate&amp;release=theatrical&amp;date=2011-09-23&amp;p=.htm"/>
    <hyperlink ref="C489" r:id="rId1455"/>
    <hyperlink ref="D489" r:id="rId1456"/>
    <hyperlink ref="I489" r:id="rId1457" display="http://www.boxofficemojo.com/schedule/?view=bydate&amp;release=theatrical&amp;date=2011-11-18&amp;p=.htm"/>
    <hyperlink ref="C490" r:id="rId1458"/>
    <hyperlink ref="D490" r:id="rId1459"/>
    <hyperlink ref="I490" r:id="rId1460" display="http://www.boxofficemojo.com/schedule/?view=bydate&amp;release=theatrical&amp;date=2011-04-08&amp;p=.htm"/>
    <hyperlink ref="C491" r:id="rId1461"/>
    <hyperlink ref="D491" r:id="rId1462"/>
    <hyperlink ref="I491" r:id="rId1463" display="http://www.boxofficemojo.com/schedule/?view=bydate&amp;release=theatrical&amp;date=2011-10-28&amp;p=.htm"/>
    <hyperlink ref="C492" r:id="rId1464"/>
    <hyperlink ref="D492" r:id="rId1465"/>
    <hyperlink ref="I492" r:id="rId1466" display="http://www.boxofficemojo.com/schedule/?view=bydate&amp;release=theatrical&amp;date=2011-07-20&amp;p=.htm"/>
    <hyperlink ref="C493" r:id="rId1467"/>
    <hyperlink ref="D493" r:id="rId1468"/>
    <hyperlink ref="I493" r:id="rId1469" display="http://www.boxofficemojo.com/schedule/?view=bydate&amp;release=theatrical&amp;date=2011-12-02&amp;p=.htm"/>
    <hyperlink ref="C494" r:id="rId1470"/>
    <hyperlink ref="D494" r:id="rId1471"/>
    <hyperlink ref="I494" r:id="rId1472" display="http://www.boxofficemojo.com/schedule/?view=bydate&amp;release=theatrical&amp;date=2011-04-27&amp;p=.htm"/>
    <hyperlink ref="C495" r:id="rId1473"/>
    <hyperlink ref="D495" r:id="rId1474"/>
    <hyperlink ref="I495" r:id="rId1475" display="http://www.boxofficemojo.com/schedule/?view=bydate&amp;release=theatrical&amp;date=2011-03-11&amp;p=.htm"/>
    <hyperlink ref="C496" r:id="rId1476"/>
    <hyperlink ref="D496" r:id="rId1477"/>
    <hyperlink ref="I496" r:id="rId1478" display="http://www.boxofficemojo.com/schedule/?view=bydate&amp;release=theatrical&amp;date=2011-06-17&amp;p=.htm"/>
    <hyperlink ref="C497" r:id="rId1479"/>
    <hyperlink ref="D497" r:id="rId1480"/>
    <hyperlink ref="I497" r:id="rId1481" display="http://www.boxofficemojo.com/schedule/?view=bydate&amp;release=theatrical&amp;date=2011-09-02&amp;p=.htm"/>
    <hyperlink ref="C498" r:id="rId1482"/>
    <hyperlink ref="D498" r:id="rId1483"/>
    <hyperlink ref="I498" r:id="rId1484" display="http://www.boxofficemojo.com/schedule/?view=bydate&amp;release=theatrical&amp;date=2011-05-13&amp;p=.htm"/>
    <hyperlink ref="C499" r:id="rId1485"/>
    <hyperlink ref="D499" r:id="rId1486"/>
    <hyperlink ref="I499" r:id="rId1487" display="http://www.boxofficemojo.com/schedule/?view=bydate&amp;release=theatrical&amp;date=2011-11-04&amp;p=.htm"/>
    <hyperlink ref="C500" r:id="rId1488"/>
    <hyperlink ref="D500" r:id="rId1489"/>
    <hyperlink ref="I500" r:id="rId1490" display="http://www.boxofficemojo.com/schedule/?view=bydate&amp;release=theatrical&amp;date=2011-02-18&amp;p=.htm"/>
    <hyperlink ref="C501" r:id="rId1491"/>
    <hyperlink ref="D501" r:id="rId1492"/>
    <hyperlink ref="I501" r:id="rId1493" display="http://www.boxofficemojo.com/schedule/?view=bydate&amp;release=theatrical&amp;date=2011-01-28&amp;p=.htm"/>
    <hyperlink ref="C502" r:id="rId1494"/>
    <hyperlink ref="D502" r:id="rId1495"/>
    <hyperlink ref="I502" r:id="rId1496" display="http://www.boxofficemojo.com/schedule/?view=bydate&amp;release=theatrical&amp;date=2011-05-13&amp;p=.htm"/>
    <hyperlink ref="C503" r:id="rId1497"/>
    <hyperlink ref="D503" r:id="rId1498"/>
    <hyperlink ref="I503" r:id="rId1499" display="http://www.boxofficemojo.com/schedule/?view=bydate&amp;release=theatrical&amp;date=2011-11-25&amp;p=.htm"/>
    <hyperlink ref="C504" r:id="rId1500"/>
    <hyperlink ref="D504" r:id="rId1501"/>
    <hyperlink ref="I504" r:id="rId1502" display="http://www.boxofficemojo.com/schedule/?view=bydate&amp;release=theatrical&amp;date=2011-05-13&amp;p=.htm"/>
    <hyperlink ref="C505" r:id="rId1503"/>
    <hyperlink ref="D505" r:id="rId1504"/>
    <hyperlink ref="I505" r:id="rId1505" display="http://www.boxofficemojo.com/schedule/?view=bydate&amp;release=theatrical&amp;date=2011-10-14&amp;p=.htm"/>
    <hyperlink ref="C506" r:id="rId1506"/>
    <hyperlink ref="D506" r:id="rId1507"/>
    <hyperlink ref="I506" r:id="rId1508" display="http://www.boxofficemojo.com/schedule/?view=bydate&amp;release=theatrical&amp;date=2011-06-17&amp;p=.htm"/>
    <hyperlink ref="C507" r:id="rId1509"/>
    <hyperlink ref="D507" r:id="rId1510"/>
    <hyperlink ref="I507" r:id="rId1511" display="http://www.boxofficemojo.com/schedule/?view=bydate&amp;release=theatrical&amp;date=2011-12-16&amp;p=.htm"/>
    <hyperlink ref="C508" r:id="rId1512"/>
    <hyperlink ref="D508" r:id="rId1513"/>
    <hyperlink ref="I508" r:id="rId1514" display="http://www.boxofficemojo.com/schedule/?view=bydate&amp;release=theatrical&amp;date=2011-08-19&amp;p=.htm"/>
    <hyperlink ref="C509" r:id="rId1515"/>
    <hyperlink ref="D509" r:id="rId1516"/>
    <hyperlink ref="I509" r:id="rId1517" display="http://www.boxofficemojo.com/schedule/?view=bydate&amp;release=theatrical&amp;date=2011-08-12&amp;p=.htm"/>
    <hyperlink ref="C510" r:id="rId1518"/>
    <hyperlink ref="D510" r:id="rId1519"/>
    <hyperlink ref="I510" r:id="rId1520" display="http://www.boxofficemojo.com/schedule/?view=bydate&amp;release=theatrical&amp;date=2011-09-23&amp;p=.htm"/>
    <hyperlink ref="C511" r:id="rId1521"/>
    <hyperlink ref="D511" r:id="rId1522"/>
    <hyperlink ref="I511" r:id="rId1523" display="http://www.boxofficemojo.com/schedule/?view=bydate&amp;release=theatrical&amp;date=2011-03-25&amp;p=.htm"/>
    <hyperlink ref="C512" r:id="rId1524"/>
    <hyperlink ref="D512" r:id="rId1525"/>
    <hyperlink ref="I512" r:id="rId1526" display="http://www.boxofficemojo.com/schedule/?view=bydate&amp;release=theatrical&amp;date=2011-11-11&amp;p=.htm"/>
    <hyperlink ref="C513" r:id="rId1527"/>
    <hyperlink ref="D513" r:id="rId1528"/>
    <hyperlink ref="I513" r:id="rId1529" display="http://www.boxofficemojo.com/schedule/?view=bydate&amp;release=theatrical&amp;date=2011-07-08&amp;p=.htm"/>
    <hyperlink ref="C514" r:id="rId1530"/>
    <hyperlink ref="D514" r:id="rId1531"/>
    <hyperlink ref="I514" r:id="rId1532" display="http://www.boxofficemojo.com/schedule/?view=bydate&amp;release=theatrical&amp;date=2011-04-15&amp;p=.htm"/>
    <hyperlink ref="C515" r:id="rId1533"/>
    <hyperlink ref="D515" r:id="rId1534"/>
    <hyperlink ref="I515" r:id="rId1535" display="http://www.boxofficemojo.com/schedule/?view=bydate&amp;release=theatrical&amp;date=2011-05-06&amp;p=.htm"/>
    <hyperlink ref="C516" r:id="rId1536"/>
    <hyperlink ref="D516" r:id="rId1537"/>
    <hyperlink ref="I516" r:id="rId1538" display="http://www.boxofficemojo.com/schedule/?view=bydate&amp;release=theatrical&amp;date=2011-04-15&amp;p=.htm"/>
    <hyperlink ref="C517" r:id="rId1539"/>
    <hyperlink ref="D517" r:id="rId1540"/>
    <hyperlink ref="I517" r:id="rId1541" display="http://www.boxofficemojo.com/schedule/?view=bydate&amp;release=theatrical&amp;date=2011-01-14&amp;p=.htm"/>
    <hyperlink ref="C518" r:id="rId1542"/>
    <hyperlink ref="D518" r:id="rId1543"/>
    <hyperlink ref="I518" r:id="rId1544" display="http://www.boxofficemojo.com/schedule/?view=bydate&amp;release=theatrical&amp;date=2011-04-15&amp;p=.htm"/>
    <hyperlink ref="C519" r:id="rId1545"/>
    <hyperlink ref="D519" r:id="rId1546"/>
    <hyperlink ref="I519" r:id="rId1547" display="http://www.boxofficemojo.com/schedule/?view=bydate&amp;release=theatrical&amp;date=2011-03-25&amp;p=.htm"/>
    <hyperlink ref="C520" r:id="rId1548"/>
    <hyperlink ref="D520" r:id="rId1549"/>
    <hyperlink ref="I520" r:id="rId1550" display="http://www.boxofficemojo.com/schedule/?view=bydate&amp;release=theatrical&amp;date=2011-09-30&amp;p=.htm"/>
    <hyperlink ref="C521" r:id="rId1551"/>
    <hyperlink ref="D521" r:id="rId1552"/>
    <hyperlink ref="I521" r:id="rId1553" display="http://www.boxofficemojo.com/schedule/?view=bydate&amp;release=theatrical&amp;date=2011-04-29&amp;p=.htm"/>
    <hyperlink ref="C522" r:id="rId1554"/>
    <hyperlink ref="D522" r:id="rId1555"/>
    <hyperlink ref="I522" r:id="rId1556" display="http://www.boxofficemojo.com/schedule/?view=bydate&amp;release=theatrical&amp;date=2011-09-30&amp;p=.htm"/>
    <hyperlink ref="C523" r:id="rId1557"/>
    <hyperlink ref="D523" r:id="rId1558"/>
    <hyperlink ref="I523" r:id="rId1559" display="http://www.boxofficemojo.com/schedule/?view=bydate&amp;release=theatrical&amp;date=2011-03-04&amp;p=.htm"/>
    <hyperlink ref="C524" r:id="rId1560"/>
    <hyperlink ref="D524" r:id="rId1561"/>
    <hyperlink ref="I524" r:id="rId1562" display="http://www.boxofficemojo.com/schedule/?view=bydate&amp;release=theatrical&amp;date=2011-06-24&amp;p=.htm"/>
    <hyperlink ref="C525" r:id="rId1563"/>
    <hyperlink ref="D525" r:id="rId1564"/>
    <hyperlink ref="I525" r:id="rId1565" display="http://www.boxofficemojo.com/schedule/?view=bydate&amp;release=theatrical&amp;date=2011-05-20&amp;p=.htm"/>
    <hyperlink ref="C526" r:id="rId1566"/>
    <hyperlink ref="D526" r:id="rId1567"/>
    <hyperlink ref="I526" r:id="rId1568" display="http://www.boxofficemojo.com/schedule/?view=bydate&amp;release=theatrical&amp;date=2011-10-14&amp;p=.htm"/>
    <hyperlink ref="C527" r:id="rId1569"/>
    <hyperlink ref="D527" r:id="rId1570"/>
    <hyperlink ref="I527" r:id="rId1571" display="http://www.boxofficemojo.com/schedule/?view=bydate&amp;release=theatrical&amp;date=2011-08-31&amp;p=.htm"/>
    <hyperlink ref="C528" r:id="rId1572"/>
    <hyperlink ref="D528" r:id="rId1573"/>
    <hyperlink ref="I528" r:id="rId1574" display="http://www.boxofficemojo.com/schedule/?view=bydate&amp;release=theatrical&amp;date=2011-09-16&amp;p=.htm"/>
    <hyperlink ref="C529" r:id="rId1575"/>
    <hyperlink ref="D529" r:id="rId1576"/>
    <hyperlink ref="I529" r:id="rId1577" display="http://www.boxofficemojo.com/schedule/?view=bydate&amp;release=theatrical&amp;date=2011-01-05&amp;p=.htm"/>
    <hyperlink ref="C530" r:id="rId1578"/>
    <hyperlink ref="D530" r:id="rId1579"/>
    <hyperlink ref="I530" r:id="rId1580" display="http://www.boxofficemojo.com/schedule/?view=bydate&amp;release=theatrical&amp;date=2011-04-22&amp;p=.htm"/>
    <hyperlink ref="C531" r:id="rId1581"/>
    <hyperlink ref="D531" r:id="rId1582"/>
    <hyperlink ref="I531" r:id="rId1583" display="http://www.boxofficemojo.com/schedule/?view=bydate&amp;release=theatrical&amp;date=2011-11-18&amp;p=.htm"/>
    <hyperlink ref="C532" r:id="rId1584"/>
    <hyperlink ref="D532" r:id="rId1585"/>
    <hyperlink ref="I532" r:id="rId1586" display="http://www.boxofficemojo.com/schedule/?view=bydate&amp;release=theatrical&amp;date=2011-03-11&amp;p=.htm"/>
    <hyperlink ref="C533" r:id="rId1587"/>
    <hyperlink ref="D533" r:id="rId1588"/>
    <hyperlink ref="I533" r:id="rId1589" display="http://www.boxofficemojo.com/schedule/?view=bydate&amp;release=theatrical&amp;date=2011-09-02&amp;p=.htm"/>
    <hyperlink ref="C534" r:id="rId1590"/>
    <hyperlink ref="D534" r:id="rId1591"/>
    <hyperlink ref="I534" r:id="rId1592" display="http://www.boxofficemojo.com/schedule/?view=bydate&amp;release=theatrical&amp;date=2011-07-20&amp;p=.htm"/>
    <hyperlink ref="C535" r:id="rId1593"/>
    <hyperlink ref="D535" r:id="rId1594"/>
    <hyperlink ref="I535" r:id="rId1595" display="http://www.boxofficemojo.com/schedule/?view=bydate&amp;release=theatrical&amp;date=2011-09-30&amp;p=.htm"/>
    <hyperlink ref="C536" r:id="rId1596"/>
    <hyperlink ref="D536" r:id="rId1597"/>
    <hyperlink ref="I536" r:id="rId1598" display="http://www.boxofficemojo.com/schedule/?view=bydate&amp;release=theatrical&amp;date=2011-12-09&amp;p=.htm"/>
    <hyperlink ref="C537" r:id="rId1599"/>
    <hyperlink ref="D537" r:id="rId1600"/>
    <hyperlink ref="C538" r:id="rId1601"/>
    <hyperlink ref="D538" r:id="rId1602"/>
    <hyperlink ref="I538" r:id="rId1603" display="http://www.boxofficemojo.com/schedule/?view=bydate&amp;release=theatrical&amp;date=2011-09-23&amp;p=.htm"/>
    <hyperlink ref="C539" r:id="rId1604"/>
    <hyperlink ref="D539" r:id="rId1605"/>
    <hyperlink ref="I539" r:id="rId1606" display="http://www.boxofficemojo.com/schedule/?view=bydate&amp;release=theatrical&amp;date=2011-02-16&amp;p=.htm"/>
    <hyperlink ref="C540" r:id="rId1607"/>
    <hyperlink ref="D540" r:id="rId1608"/>
    <hyperlink ref="I540" r:id="rId1609" display="http://www.boxofficemojo.com/schedule/?view=bydate&amp;release=theatrical&amp;date=2011-11-18&amp;p=.htm"/>
    <hyperlink ref="C541" r:id="rId1610"/>
    <hyperlink ref="D541" r:id="rId1611"/>
    <hyperlink ref="I541" r:id="rId1612" display="http://www.boxofficemojo.com/schedule/?view=bydate&amp;release=theatrical&amp;date=2011-12-23&amp;p=.htm"/>
    <hyperlink ref="C542" r:id="rId1613"/>
    <hyperlink ref="D542" r:id="rId1614"/>
    <hyperlink ref="I542" r:id="rId1615" display="http://www.boxofficemojo.com/schedule/?view=bydate&amp;release=theatrical&amp;date=2011-12-23&amp;p=.htm"/>
    <hyperlink ref="C543" r:id="rId1616"/>
    <hyperlink ref="D543" r:id="rId1617"/>
    <hyperlink ref="I543" r:id="rId1618" display="http://www.boxofficemojo.com/schedule/?view=bydate&amp;release=theatrical&amp;date=2011-09-23&amp;p=.htm"/>
    <hyperlink ref="C544" r:id="rId1619"/>
    <hyperlink ref="D544" r:id="rId1620"/>
    <hyperlink ref="I544" r:id="rId1621" display="http://www.boxofficemojo.com/schedule/?view=bydate&amp;release=theatrical&amp;date=2011-04-13&amp;p=.htm"/>
    <hyperlink ref="C545" r:id="rId1622"/>
    <hyperlink ref="D545" r:id="rId1623"/>
    <hyperlink ref="I545" r:id="rId1624" display="http://www.boxofficemojo.com/schedule/?view=bydate&amp;release=theatrical&amp;date=2011-05-06&amp;p=.htm"/>
    <hyperlink ref="C546" r:id="rId1625"/>
    <hyperlink ref="D546" r:id="rId1626"/>
    <hyperlink ref="I546" r:id="rId1627" display="http://www.boxofficemojo.com/schedule/?view=bydate&amp;release=theatrical&amp;date=2011-07-08&amp;p=.htm"/>
    <hyperlink ref="C547" r:id="rId1628"/>
    <hyperlink ref="D547" r:id="rId1629"/>
    <hyperlink ref="I547" r:id="rId1630" display="http://www.boxofficemojo.com/schedule/?view=bydate&amp;release=theatrical&amp;date=2011-08-26&amp;p=.htm"/>
    <hyperlink ref="C548" r:id="rId1631"/>
    <hyperlink ref="D548" r:id="rId1632"/>
    <hyperlink ref="I548" r:id="rId1633" display="http://www.boxofficemojo.com/schedule/?view=bydate&amp;release=theatrical&amp;date=2011-02-04&amp;p=.htm"/>
    <hyperlink ref="C549" r:id="rId1634"/>
    <hyperlink ref="D549" r:id="rId1635"/>
    <hyperlink ref="I549" r:id="rId1636" display="http://www.boxofficemojo.com/schedule/?view=bydate&amp;release=theatrical&amp;date=2011-09-02&amp;p=.htm"/>
    <hyperlink ref="C550" r:id="rId1637"/>
    <hyperlink ref="D550" r:id="rId1638"/>
    <hyperlink ref="I550" r:id="rId1639" display="http://www.boxofficemojo.com/schedule/?view=bydate&amp;release=theatrical&amp;date=2011-07-15&amp;p=.htm"/>
    <hyperlink ref="C551" r:id="rId1640"/>
    <hyperlink ref="D551" r:id="rId1641"/>
    <hyperlink ref="I551" r:id="rId1642" display="http://www.boxofficemojo.com/schedule/?view=bydate&amp;release=theatrical&amp;date=2011-11-18&amp;p=.htm"/>
    <hyperlink ref="C552" r:id="rId1643"/>
    <hyperlink ref="D552" r:id="rId1644"/>
    <hyperlink ref="I552" r:id="rId1645" display="http://www.boxofficemojo.com/schedule/?view=bydate&amp;release=theatrical&amp;date=2011-03-25&amp;p=.htm"/>
    <hyperlink ref="C553" r:id="rId1646"/>
    <hyperlink ref="D553" r:id="rId1647"/>
    <hyperlink ref="I553" r:id="rId1648" display="http://www.boxofficemojo.com/schedule/?view=bydate&amp;release=theatrical&amp;date=2011-04-01&amp;p=.htm"/>
    <hyperlink ref="C554" r:id="rId1649"/>
    <hyperlink ref="D554" r:id="rId1650"/>
    <hyperlink ref="I554" r:id="rId1651" display="http://www.boxofficemojo.com/schedule/?view=bydate&amp;release=theatrical&amp;date=2011-11-18&amp;p=.htm"/>
    <hyperlink ref="C555" r:id="rId1652"/>
    <hyperlink ref="D555" r:id="rId1653"/>
    <hyperlink ref="I555" r:id="rId1654" display="http://www.boxofficemojo.com/schedule/?view=bydate&amp;release=theatrical&amp;date=2011-12-07&amp;p=.htm"/>
    <hyperlink ref="C556" r:id="rId1655"/>
    <hyperlink ref="D556" r:id="rId1656"/>
    <hyperlink ref="I556" r:id="rId1657" display="http://www.boxofficemojo.com/schedule/?view=bydate&amp;release=theatrical&amp;date=2011-07-29&amp;p=.htm"/>
    <hyperlink ref="C557" r:id="rId1658"/>
    <hyperlink ref="D557" r:id="rId1659"/>
    <hyperlink ref="I557" r:id="rId1660" display="http://www.boxofficemojo.com/schedule/?view=bydate&amp;release=theatrical&amp;date=2011-12-16&amp;p=.htm"/>
    <hyperlink ref="C558" r:id="rId1661"/>
    <hyperlink ref="D558" r:id="rId1662"/>
    <hyperlink ref="I558" r:id="rId1663" display="http://www.boxofficemojo.com/schedule/?view=bydate&amp;release=theatrical&amp;date=2011-12-09&amp;p=.htm"/>
    <hyperlink ref="C559" r:id="rId1664"/>
    <hyperlink ref="D559" r:id="rId1665"/>
    <hyperlink ref="I559" r:id="rId1666" display="http://www.boxofficemojo.com/schedule/?view=bydate&amp;release=theatrical&amp;date=2011-10-28&amp;p=.htm"/>
    <hyperlink ref="C560" r:id="rId1667"/>
    <hyperlink ref="D560" r:id="rId1668"/>
    <hyperlink ref="I560" r:id="rId1669" display="http://www.boxofficemojo.com/schedule/?view=bydate&amp;release=theatrical&amp;date=2011-12-09&amp;p=.htm"/>
    <hyperlink ref="C561" r:id="rId1670"/>
    <hyperlink ref="D561" r:id="rId1671"/>
    <hyperlink ref="I561" r:id="rId1672" display="http://www.boxofficemojo.com/schedule/?view=bydate&amp;release=theatrical&amp;date=2011-07-08&amp;p=.htm"/>
    <hyperlink ref="C562" r:id="rId1673"/>
    <hyperlink ref="D562" r:id="rId1674"/>
    <hyperlink ref="I562" r:id="rId1675" display="http://www.boxofficemojo.com/schedule/?view=bydate&amp;release=theatrical&amp;date=2011-09-30&amp;p=.htm"/>
    <hyperlink ref="C563" r:id="rId1676"/>
    <hyperlink ref="D563" r:id="rId1677"/>
    <hyperlink ref="I563" r:id="rId1678" display="http://www.boxofficemojo.com/schedule/?view=bydate&amp;release=theatrical&amp;date=2011-12-28&amp;p=.htm"/>
    <hyperlink ref="C564" r:id="rId1679"/>
    <hyperlink ref="D564" r:id="rId1680"/>
    <hyperlink ref="I564" r:id="rId1681" display="http://www.boxofficemojo.com/schedule/?view=bydate&amp;release=theatrical&amp;date=2011-08-26&amp;p=.htm"/>
    <hyperlink ref="C565" r:id="rId1682"/>
    <hyperlink ref="D565" r:id="rId1683"/>
    <hyperlink ref="I565" r:id="rId1684" display="http://www.boxofficemojo.com/schedule/?view=bydate&amp;release=theatrical&amp;date=2011-04-15&amp;p=.htm"/>
    <hyperlink ref="C566" r:id="rId1685"/>
    <hyperlink ref="D566" r:id="rId1686"/>
    <hyperlink ref="I566" r:id="rId1687" display="http://www.boxofficemojo.com/schedule/?view=bydate&amp;release=theatrical&amp;date=2011-06-29&amp;p=.htm"/>
    <hyperlink ref="C567" r:id="rId1688"/>
    <hyperlink ref="D567" r:id="rId1689"/>
    <hyperlink ref="I567" r:id="rId1690" display="http://www.boxofficemojo.com/schedule/?view=bydate&amp;release=theatrical&amp;date=2011-01-28&amp;p=.htm"/>
    <hyperlink ref="C568" r:id="rId1691"/>
    <hyperlink ref="D568" r:id="rId1692"/>
    <hyperlink ref="I568" r:id="rId1693" display="http://www.boxofficemojo.com/schedule/?view=bydate&amp;release=theatrical&amp;date=2011-10-21&amp;p=.htm"/>
    <hyperlink ref="C569" r:id="rId1694"/>
    <hyperlink ref="D569" r:id="rId1695"/>
    <hyperlink ref="I569" r:id="rId1696" display="http://www.boxofficemojo.com/schedule/?view=bydate&amp;release=theatrical&amp;date=2011-10-28&amp;p=.htm"/>
    <hyperlink ref="C570" r:id="rId1697"/>
    <hyperlink ref="D570" r:id="rId1698"/>
    <hyperlink ref="I570" r:id="rId1699" display="http://www.boxofficemojo.com/schedule/?view=bydate&amp;release=theatrical&amp;date=2011-09-09&amp;p=.htm"/>
    <hyperlink ref="C571" r:id="rId1700"/>
    <hyperlink ref="D571" r:id="rId1701"/>
    <hyperlink ref="I571" r:id="rId1702" display="http://www.boxofficemojo.com/schedule/?view=bydate&amp;release=theatrical&amp;date=2011-08-19&amp;p=.htm"/>
    <hyperlink ref="C572" r:id="rId1703"/>
    <hyperlink ref="D572" r:id="rId1704"/>
    <hyperlink ref="I572" r:id="rId1705" display="http://www.boxofficemojo.com/schedule/?view=bydate&amp;release=theatrical&amp;date=2011-09-09&amp;p=.htm"/>
    <hyperlink ref="C573" r:id="rId1706"/>
    <hyperlink ref="D573" r:id="rId1707"/>
    <hyperlink ref="I573" r:id="rId1708" display="http://www.boxofficemojo.com/schedule/?view=bydate&amp;release=theatrical&amp;date=2011-10-19&amp;p=.htm"/>
    <hyperlink ref="C574" r:id="rId1709"/>
    <hyperlink ref="D574" r:id="rId1710"/>
    <hyperlink ref="I574" r:id="rId1711" display="http://www.boxofficemojo.com/schedule/?view=bydate&amp;release=theatrical&amp;date=2011-02-04&amp;p=.htm"/>
    <hyperlink ref="C575" r:id="rId1712"/>
    <hyperlink ref="D575" r:id="rId1713"/>
    <hyperlink ref="I575" r:id="rId1714" display="http://www.boxofficemojo.com/schedule/?view=bydate&amp;release=theatrical&amp;date=2011-07-15&amp;p=.htm"/>
    <hyperlink ref="C576" r:id="rId1715"/>
    <hyperlink ref="D576" r:id="rId1716"/>
    <hyperlink ref="I576" r:id="rId1717" display="http://www.boxofficemojo.com/schedule/?view=bydate&amp;release=theatrical&amp;date=2011-05-06&amp;p=.htm"/>
    <hyperlink ref="C577" r:id="rId1718"/>
    <hyperlink ref="D577" r:id="rId1719"/>
    <hyperlink ref="I577" r:id="rId1720" display="http://www.boxofficemojo.com/schedule/?view=bydate&amp;release=theatrical&amp;date=2011-04-08&amp;p=.htm"/>
    <hyperlink ref="C578" r:id="rId1721"/>
    <hyperlink ref="D578" r:id="rId1722"/>
    <hyperlink ref="I578" r:id="rId1723" display="http://www.boxofficemojo.com/schedule/?view=bydate&amp;release=theatrical&amp;date=2011-07-29&amp;p=.htm"/>
    <hyperlink ref="C579" r:id="rId1724"/>
    <hyperlink ref="D579" r:id="rId1725"/>
    <hyperlink ref="I579" r:id="rId1726" display="http://www.boxofficemojo.com/schedule/?view=bydate&amp;release=theatrical&amp;date=2011-05-06&amp;p=.htm"/>
    <hyperlink ref="C580" r:id="rId1727"/>
    <hyperlink ref="D580" r:id="rId1728"/>
    <hyperlink ref="I580" r:id="rId1729" display="http://www.boxofficemojo.com/schedule/?view=bydate&amp;release=theatrical&amp;date=2011-06-03&amp;p=.htm"/>
    <hyperlink ref="C581" r:id="rId1730"/>
    <hyperlink ref="D581" r:id="rId1731"/>
    <hyperlink ref="I581" r:id="rId1732" display="http://www.boxofficemojo.com/schedule/?view=bydate&amp;release=theatrical&amp;date=2011-10-07&amp;p=.htm"/>
    <hyperlink ref="C582" r:id="rId1733"/>
    <hyperlink ref="D582" r:id="rId1734"/>
    <hyperlink ref="I582" r:id="rId1735" display="http://www.boxofficemojo.com/schedule/?view=bydate&amp;release=theatrical&amp;date=2011-01-14&amp;p=.htm"/>
    <hyperlink ref="C583" r:id="rId1736"/>
    <hyperlink ref="D583" r:id="rId1737"/>
    <hyperlink ref="I583" r:id="rId1738" display="http://www.boxofficemojo.com/schedule/?view=bydate&amp;release=theatrical&amp;date=2011-10-21&amp;p=.htm"/>
    <hyperlink ref="C584" r:id="rId1739"/>
    <hyperlink ref="D584" r:id="rId1740"/>
    <hyperlink ref="I584" r:id="rId1741" display="http://www.boxofficemojo.com/schedule/?view=bydate&amp;release=theatrical&amp;date=2011-09-16&amp;p=.htm"/>
    <hyperlink ref="C585" r:id="rId1742"/>
    <hyperlink ref="D585" r:id="rId1743"/>
    <hyperlink ref="I585" r:id="rId1744" display="http://www.boxofficemojo.com/schedule/?view=bydate&amp;release=theatrical&amp;date=2011-11-18&amp;p=.htm"/>
    <hyperlink ref="C586" r:id="rId1745"/>
    <hyperlink ref="D586" r:id="rId1746"/>
    <hyperlink ref="I586" r:id="rId1747" display="http://www.boxofficemojo.com/schedule/?view=bydate&amp;release=theatrical&amp;date=2011-08-05&amp;p=.htm"/>
    <hyperlink ref="C587" r:id="rId1748"/>
    <hyperlink ref="D587" r:id="rId1749"/>
    <hyperlink ref="I587" r:id="rId1750" display="http://www.boxofficemojo.com/schedule/?view=bydate&amp;release=theatrical&amp;date=2011-04-22&amp;p=.htm"/>
    <hyperlink ref="C588" r:id="rId1751"/>
    <hyperlink ref="D588" r:id="rId1752"/>
    <hyperlink ref="I588" r:id="rId1753" display="http://www.boxofficemojo.com/schedule/?view=bydate&amp;release=theatrical&amp;date=2011-02-11&amp;p=.htm"/>
    <hyperlink ref="C589" r:id="rId1754"/>
    <hyperlink ref="D589" r:id="rId1755"/>
    <hyperlink ref="I589" r:id="rId1756" display="http://www.boxofficemojo.com/schedule/?view=bydate&amp;release=theatrical&amp;date=2011-10-28&amp;p=.htm"/>
    <hyperlink ref="C590" r:id="rId1757"/>
    <hyperlink ref="D590" r:id="rId1758"/>
    <hyperlink ref="I590" r:id="rId1759" display="http://www.boxofficemojo.com/schedule/?view=bydate&amp;release=theatrical&amp;date=2011-05-27&amp;p=.htm"/>
    <hyperlink ref="C591" r:id="rId1760"/>
    <hyperlink ref="D591" r:id="rId1761"/>
    <hyperlink ref="I591" r:id="rId1762" display="http://www.boxofficemojo.com/schedule/?view=bydate&amp;release=theatrical&amp;date=2011-12-09&amp;p=.htm"/>
    <hyperlink ref="C592" r:id="rId1763"/>
    <hyperlink ref="D592" r:id="rId1764"/>
    <hyperlink ref="I592" r:id="rId1765" display="http://www.boxofficemojo.com/schedule/?view=bydate&amp;release=theatrical&amp;date=2011-09-09&amp;p=.htm"/>
    <hyperlink ref="C593" r:id="rId1766"/>
    <hyperlink ref="D593" r:id="rId1767"/>
    <hyperlink ref="I593" r:id="rId1768" display="http://www.boxofficemojo.com/schedule/?view=bydate&amp;release=theatrical&amp;date=2011-10-26&amp;p=.htm"/>
    <hyperlink ref="C594" r:id="rId1769"/>
    <hyperlink ref="D594" r:id="rId1770"/>
    <hyperlink ref="I594" r:id="rId1771" display="http://www.boxofficemojo.com/schedule/?view=bydate&amp;release=theatrical&amp;date=2011-09-30&amp;p=.htm"/>
    <hyperlink ref="C595" r:id="rId1772"/>
    <hyperlink ref="D595" r:id="rId1773"/>
    <hyperlink ref="I595" r:id="rId1774" display="http://www.boxofficemojo.com/schedule/?view=bydate&amp;release=theatrical&amp;date=2011-06-03&amp;p=.htm"/>
    <hyperlink ref="C596" r:id="rId1775"/>
    <hyperlink ref="D596" r:id="rId1776"/>
    <hyperlink ref="I596" r:id="rId1777" display="http://www.boxofficemojo.com/schedule/?view=bydate&amp;release=theatrical&amp;date=2011-02-18&amp;p=.htm"/>
    <hyperlink ref="C597" r:id="rId1778"/>
    <hyperlink ref="D597" r:id="rId1779"/>
    <hyperlink ref="I597" r:id="rId1780" display="http://www.boxofficemojo.com/schedule/?view=bydate&amp;release=theatrical&amp;date=2011-10-14&amp;p=.htm"/>
    <hyperlink ref="C598" r:id="rId1781"/>
    <hyperlink ref="D598" r:id="rId1782"/>
    <hyperlink ref="I598" r:id="rId1783" display="http://www.boxofficemojo.com/schedule/?view=bydate&amp;release=theatrical&amp;date=2011-04-06&amp;p=.htm"/>
    <hyperlink ref="C599" r:id="rId1784"/>
    <hyperlink ref="D599" r:id="rId1785"/>
    <hyperlink ref="I599" r:id="rId1786" display="http://www.boxofficemojo.com/schedule/?view=bydate&amp;release=theatrical&amp;date=2011-08-05&amp;p=.htm"/>
    <hyperlink ref="C600" r:id="rId1787"/>
    <hyperlink ref="D600" r:id="rId1788"/>
    <hyperlink ref="I600" r:id="rId1789" display="http://www.boxofficemojo.com/schedule/?view=bydate&amp;release=theatrical&amp;date=2011-09-02&amp;p=.htm"/>
    <hyperlink ref="C601" r:id="rId1790"/>
    <hyperlink ref="D601" r:id="rId1791"/>
    <hyperlink ref="I601" r:id="rId1792" display="http://www.boxofficemojo.com/schedule/?view=bydate&amp;release=theatrical&amp;date=2011-05-06&amp;p=.htm"/>
    <hyperlink ref="C602" r:id="rId1793"/>
    <hyperlink ref="D602" r:id="rId1794"/>
    <hyperlink ref="I602" r:id="rId1795" display="http://www.boxofficemojo.com/schedule/?view=bydate&amp;release=theatrical&amp;date=2011-09-16&amp;p=.htm"/>
    <hyperlink ref="C603" r:id="rId1796"/>
    <hyperlink ref="D603" r:id="rId1797"/>
    <hyperlink ref="I603" r:id="rId1798" display="http://www.boxofficemojo.com/schedule/?view=bydate&amp;release=theatrical&amp;date=2011-06-24&amp;p=.htm"/>
    <hyperlink ref="C604" r:id="rId1799"/>
    <hyperlink ref="D604" r:id="rId1800"/>
    <hyperlink ref="I604" r:id="rId1801" display="http://www.boxofficemojo.com/schedule/?view=bydate&amp;release=theatrical&amp;date=2011-12-30&amp;p=.htm"/>
    <hyperlink ref="C605" r:id="rId1802"/>
    <hyperlink ref="D605" r:id="rId1803"/>
    <hyperlink ref="I605" r:id="rId1804" display="http://www.boxofficemojo.com/schedule/?view=bydate&amp;release=theatrical&amp;date=2011-10-29&amp;p=.htm"/>
    <hyperlink ref="C606" r:id="rId1805"/>
    <hyperlink ref="D606" r:id="rId1806"/>
    <hyperlink ref="I606" r:id="rId1807" display="http://www.boxofficemojo.com/schedule/?view=bydate&amp;release=theatrical&amp;date=2011-03-25&amp;p=.htm"/>
    <hyperlink ref="C607" r:id="rId1808"/>
    <hyperlink ref="D607" r:id="rId1809"/>
    <hyperlink ref="I607" r:id="rId1810" display="http://www.boxofficemojo.com/schedule/?view=bydate&amp;release=theatrical&amp;date=2011-11-04&amp;p=.htm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542"/>
  <sheetViews>
    <sheetView topLeftCell="A537" workbookViewId="0">
      <selection activeCell="I558" sqref="I558"/>
    </sheetView>
  </sheetViews>
  <sheetFormatPr baseColWidth="10" defaultRowHeight="16" x14ac:dyDescent="0.2"/>
  <sheetData>
    <row r="3" spans="2:10" x14ac:dyDescent="0.2">
      <c r="B3" s="26" t="s">
        <v>550</v>
      </c>
      <c r="C3" s="26" t="s">
        <v>551</v>
      </c>
      <c r="D3" s="23" t="s">
        <v>0</v>
      </c>
    </row>
    <row r="4" spans="2:10" x14ac:dyDescent="0.2">
      <c r="B4" s="26"/>
      <c r="C4" s="26"/>
    </row>
    <row r="5" spans="2:10" x14ac:dyDescent="0.2">
      <c r="B5" s="22"/>
      <c r="C5" s="20" t="s">
        <v>7639</v>
      </c>
      <c r="D5" s="22" t="s">
        <v>5303</v>
      </c>
      <c r="E5" s="23" t="s">
        <v>552</v>
      </c>
      <c r="F5" s="23" t="s">
        <v>553</v>
      </c>
    </row>
    <row r="6" spans="2:10" x14ac:dyDescent="0.2">
      <c r="B6" s="22">
        <v>1</v>
      </c>
      <c r="C6" s="23" t="s">
        <v>14987</v>
      </c>
      <c r="D6" s="23" t="s">
        <v>554</v>
      </c>
      <c r="E6" s="20" t="s">
        <v>14988</v>
      </c>
      <c r="F6" s="22">
        <v>4.0279999999999996</v>
      </c>
      <c r="G6" s="22" t="s">
        <v>14989</v>
      </c>
      <c r="H6" s="22">
        <v>4.0279999999999996</v>
      </c>
      <c r="I6" s="25">
        <v>43269</v>
      </c>
      <c r="J6" s="24">
        <v>43436</v>
      </c>
    </row>
    <row r="7" spans="2:10" x14ac:dyDescent="0.2">
      <c r="B7" s="22">
        <v>2</v>
      </c>
      <c r="C7" s="23" t="s">
        <v>14990</v>
      </c>
      <c r="D7" s="23" t="s">
        <v>554</v>
      </c>
      <c r="E7" s="20" t="s">
        <v>14991</v>
      </c>
      <c r="F7" s="22">
        <v>3.7389999999999999</v>
      </c>
      <c r="G7" s="22" t="s">
        <v>14992</v>
      </c>
      <c r="H7" s="22">
        <v>3.7280000000000002</v>
      </c>
      <c r="I7" s="25">
        <v>43164</v>
      </c>
      <c r="J7" s="24">
        <v>43289</v>
      </c>
    </row>
    <row r="8" spans="2:10" x14ac:dyDescent="0.2">
      <c r="B8" s="22">
        <v>3</v>
      </c>
      <c r="C8" s="23" t="s">
        <v>14993</v>
      </c>
      <c r="D8" s="23" t="s">
        <v>638</v>
      </c>
      <c r="E8" s="20" t="s">
        <v>14994</v>
      </c>
      <c r="F8" s="22">
        <v>4.3899999999999997</v>
      </c>
      <c r="G8" s="22" t="s">
        <v>14995</v>
      </c>
      <c r="H8" s="22">
        <v>4.38</v>
      </c>
      <c r="I8" s="25">
        <v>43227</v>
      </c>
      <c r="J8" s="24">
        <v>43331</v>
      </c>
    </row>
    <row r="9" spans="2:10" x14ac:dyDescent="0.2">
      <c r="B9" s="22">
        <v>4</v>
      </c>
      <c r="C9" s="23" t="s">
        <v>14996</v>
      </c>
      <c r="D9" s="23" t="s">
        <v>13262</v>
      </c>
      <c r="E9" s="20" t="s">
        <v>14997</v>
      </c>
      <c r="F9" s="22">
        <v>4.468</v>
      </c>
      <c r="G9" s="22" t="s">
        <v>14998</v>
      </c>
      <c r="H9" s="22">
        <v>4.468</v>
      </c>
      <c r="I9" s="25">
        <v>43281</v>
      </c>
      <c r="J9" s="24">
        <v>43394</v>
      </c>
    </row>
    <row r="10" spans="2:10" x14ac:dyDescent="0.2">
      <c r="B10" s="22">
        <v>5</v>
      </c>
      <c r="C10" s="23" t="s">
        <v>14999</v>
      </c>
      <c r="D10" s="23" t="s">
        <v>563</v>
      </c>
      <c r="E10" s="20" t="s">
        <v>15000</v>
      </c>
      <c r="F10" s="22">
        <v>4.125</v>
      </c>
      <c r="G10" s="22" t="s">
        <v>15001</v>
      </c>
      <c r="H10" s="22">
        <v>4.125</v>
      </c>
      <c r="I10" s="25">
        <v>43423</v>
      </c>
      <c r="J10" s="24">
        <v>43197</v>
      </c>
    </row>
    <row r="11" spans="2:10" x14ac:dyDescent="0.2">
      <c r="B11" s="22">
        <v>6</v>
      </c>
      <c r="C11" s="23" t="s">
        <v>15002</v>
      </c>
      <c r="D11" s="23" t="s">
        <v>563</v>
      </c>
      <c r="E11" s="20" t="s">
        <v>15003</v>
      </c>
      <c r="F11" s="22">
        <v>3.7919999999999998</v>
      </c>
      <c r="G11" s="22" t="s">
        <v>15004</v>
      </c>
      <c r="H11" s="22">
        <v>3.7919999999999998</v>
      </c>
      <c r="I11" s="25">
        <v>43297</v>
      </c>
      <c r="J11" s="24">
        <v>43106</v>
      </c>
    </row>
    <row r="12" spans="2:10" x14ac:dyDescent="0.2">
      <c r="B12" s="22">
        <v>7</v>
      </c>
      <c r="C12" s="23" t="s">
        <v>15005</v>
      </c>
      <c r="D12" s="23" t="s">
        <v>586</v>
      </c>
      <c r="E12" s="20" t="s">
        <v>15006</v>
      </c>
      <c r="F12" s="22">
        <v>3.6019999999999999</v>
      </c>
      <c r="G12" s="22" t="s">
        <v>15007</v>
      </c>
      <c r="H12" s="22">
        <v>3.476</v>
      </c>
      <c r="I12" s="25">
        <v>43290</v>
      </c>
      <c r="J12" s="24">
        <v>43120</v>
      </c>
    </row>
    <row r="13" spans="2:10" x14ac:dyDescent="0.2">
      <c r="B13" s="22">
        <v>8</v>
      </c>
      <c r="C13" s="23" t="s">
        <v>15008</v>
      </c>
      <c r="D13" s="23" t="s">
        <v>11366</v>
      </c>
      <c r="E13" s="20" t="s">
        <v>15009</v>
      </c>
      <c r="F13" s="22">
        <v>4.3860000000000001</v>
      </c>
      <c r="G13" s="22" t="s">
        <v>15010</v>
      </c>
      <c r="H13" s="22">
        <v>4.359</v>
      </c>
      <c r="I13" s="25">
        <v>43241</v>
      </c>
      <c r="J13" s="24">
        <v>43352</v>
      </c>
    </row>
    <row r="14" spans="2:10" x14ac:dyDescent="0.2">
      <c r="B14" s="22">
        <v>9</v>
      </c>
      <c r="C14" s="23" t="s">
        <v>15011</v>
      </c>
      <c r="D14" s="23" t="s">
        <v>11366</v>
      </c>
      <c r="E14" s="20" t="s">
        <v>15012</v>
      </c>
      <c r="F14" s="22">
        <v>4.0599999999999996</v>
      </c>
      <c r="G14" s="22" t="s">
        <v>15013</v>
      </c>
      <c r="H14" s="22">
        <v>4.0549999999999997</v>
      </c>
      <c r="I14" s="25">
        <v>43185</v>
      </c>
      <c r="J14" s="24">
        <v>43303</v>
      </c>
    </row>
    <row r="15" spans="2:10" x14ac:dyDescent="0.2">
      <c r="B15" s="22">
        <v>10</v>
      </c>
      <c r="C15" s="23" t="s">
        <v>15014</v>
      </c>
      <c r="D15" s="23" t="s">
        <v>554</v>
      </c>
      <c r="E15" s="20" t="s">
        <v>15015</v>
      </c>
      <c r="F15" s="22">
        <v>3.6030000000000002</v>
      </c>
      <c r="G15" s="22" t="s">
        <v>15016</v>
      </c>
      <c r="H15" s="22">
        <v>3.6030000000000002</v>
      </c>
      <c r="I15" s="25">
        <v>43428</v>
      </c>
      <c r="J15" s="24">
        <v>43253</v>
      </c>
    </row>
    <row r="16" spans="2:10" x14ac:dyDescent="0.2">
      <c r="B16" s="22">
        <v>11</v>
      </c>
      <c r="C16" s="23" t="s">
        <v>15017</v>
      </c>
      <c r="D16" s="23" t="s">
        <v>570</v>
      </c>
      <c r="E16" s="20" t="s">
        <v>15018</v>
      </c>
      <c r="F16" s="22">
        <v>3.74</v>
      </c>
      <c r="G16" s="22" t="s">
        <v>15019</v>
      </c>
      <c r="H16" s="22">
        <v>3.6629999999999998</v>
      </c>
      <c r="I16" s="25">
        <v>43262</v>
      </c>
      <c r="J16" s="24">
        <v>43366</v>
      </c>
    </row>
    <row r="17" spans="2:10" x14ac:dyDescent="0.2">
      <c r="B17" s="22">
        <v>12</v>
      </c>
      <c r="C17" s="23" t="s">
        <v>15020</v>
      </c>
      <c r="D17" s="23" t="s">
        <v>554</v>
      </c>
      <c r="E17" s="20" t="s">
        <v>15021</v>
      </c>
      <c r="F17" s="22">
        <v>3.4510000000000001</v>
      </c>
      <c r="G17" s="22" t="s">
        <v>15022</v>
      </c>
      <c r="H17" s="22">
        <v>3.4510000000000001</v>
      </c>
      <c r="I17" s="25">
        <v>43451</v>
      </c>
      <c r="J17" s="24">
        <v>43204</v>
      </c>
    </row>
    <row r="18" spans="2:10" x14ac:dyDescent="0.2">
      <c r="B18" s="22">
        <v>13</v>
      </c>
      <c r="C18" s="23" t="s">
        <v>15023</v>
      </c>
      <c r="D18" s="23" t="s">
        <v>638</v>
      </c>
      <c r="E18" s="20" t="s">
        <v>15024</v>
      </c>
      <c r="F18" s="22">
        <v>3.464</v>
      </c>
      <c r="G18" s="22" t="s">
        <v>15025</v>
      </c>
      <c r="H18" s="22">
        <v>3.0470000000000002</v>
      </c>
      <c r="I18" s="25">
        <v>43456</v>
      </c>
      <c r="J18" s="24">
        <v>43218</v>
      </c>
    </row>
    <row r="19" spans="2:10" x14ac:dyDescent="0.2">
      <c r="B19" s="22">
        <v>14</v>
      </c>
      <c r="C19" s="23" t="s">
        <v>15026</v>
      </c>
      <c r="D19" s="23" t="s">
        <v>563</v>
      </c>
      <c r="E19" s="20" t="s">
        <v>15027</v>
      </c>
      <c r="F19" s="22">
        <v>3.802</v>
      </c>
      <c r="G19" s="22" t="s">
        <v>15028</v>
      </c>
      <c r="H19" s="22">
        <v>3.7770000000000001</v>
      </c>
      <c r="I19" s="25">
        <v>43192</v>
      </c>
      <c r="J19" s="24">
        <v>43303</v>
      </c>
    </row>
    <row r="20" spans="2:10" x14ac:dyDescent="0.2">
      <c r="B20" s="22">
        <v>15</v>
      </c>
      <c r="C20" s="23" t="s">
        <v>15029</v>
      </c>
      <c r="D20" s="23" t="s">
        <v>570</v>
      </c>
      <c r="E20" s="20" t="s">
        <v>15030</v>
      </c>
      <c r="F20" s="22">
        <v>3.5339999999999998</v>
      </c>
      <c r="G20" s="22" t="s">
        <v>15031</v>
      </c>
      <c r="H20" s="22">
        <v>3.5339999999999998</v>
      </c>
      <c r="I20" s="25">
        <v>43276</v>
      </c>
      <c r="J20" s="24">
        <v>43401</v>
      </c>
    </row>
    <row r="21" spans="2:10" x14ac:dyDescent="0.2">
      <c r="B21" s="22">
        <v>16</v>
      </c>
      <c r="C21" s="23" t="s">
        <v>15032</v>
      </c>
      <c r="D21" s="23" t="s">
        <v>586</v>
      </c>
      <c r="E21" s="20" t="s">
        <v>15033</v>
      </c>
      <c r="F21" s="22">
        <v>3.6749999999999998</v>
      </c>
      <c r="G21" s="22" t="s">
        <v>15034</v>
      </c>
      <c r="H21" s="22">
        <v>3.536</v>
      </c>
      <c r="I21" s="25">
        <v>43456</v>
      </c>
      <c r="J21" s="24">
        <v>43176</v>
      </c>
    </row>
    <row r="22" spans="2:10" x14ac:dyDescent="0.2">
      <c r="B22" s="22">
        <v>17</v>
      </c>
      <c r="C22" s="23" t="s">
        <v>15035</v>
      </c>
      <c r="D22" s="23" t="s">
        <v>11366</v>
      </c>
      <c r="E22" s="20" t="s">
        <v>15036</v>
      </c>
      <c r="F22" s="22">
        <v>3.9489999999999998</v>
      </c>
      <c r="G22" s="22" t="s">
        <v>15037</v>
      </c>
      <c r="H22" s="22">
        <v>3.944</v>
      </c>
      <c r="I22" s="25">
        <v>43409</v>
      </c>
      <c r="J22" s="24">
        <v>43155</v>
      </c>
    </row>
    <row r="23" spans="2:10" x14ac:dyDescent="0.2">
      <c r="B23" s="22">
        <v>18</v>
      </c>
      <c r="C23" s="23" t="s">
        <v>15038</v>
      </c>
      <c r="D23" s="23" t="s">
        <v>820</v>
      </c>
      <c r="E23" s="20" t="s">
        <v>15039</v>
      </c>
      <c r="F23" s="22">
        <v>2.5840000000000001</v>
      </c>
      <c r="G23" s="22" t="s">
        <v>15040</v>
      </c>
      <c r="H23" s="22">
        <v>4</v>
      </c>
      <c r="I23" s="25">
        <v>43430</v>
      </c>
      <c r="J23" s="24">
        <v>43190</v>
      </c>
    </row>
    <row r="24" spans="2:10" x14ac:dyDescent="0.2">
      <c r="B24" s="22">
        <v>19</v>
      </c>
      <c r="C24" s="23" t="s">
        <v>15041</v>
      </c>
      <c r="D24" s="23" t="s">
        <v>638</v>
      </c>
      <c r="E24" s="20" t="s">
        <v>15042</v>
      </c>
      <c r="F24" s="22">
        <v>3.2029999999999998</v>
      </c>
      <c r="G24" s="22" t="s">
        <v>15043</v>
      </c>
      <c r="H24" s="22">
        <v>3.169</v>
      </c>
      <c r="I24" s="25">
        <v>43282</v>
      </c>
      <c r="J24" s="24">
        <v>43366</v>
      </c>
    </row>
    <row r="25" spans="2:10" x14ac:dyDescent="0.2">
      <c r="B25" s="22">
        <v>20</v>
      </c>
      <c r="C25" s="23" t="s">
        <v>15044</v>
      </c>
      <c r="D25" s="23" t="s">
        <v>638</v>
      </c>
      <c r="E25" s="20" t="s">
        <v>15045</v>
      </c>
      <c r="F25" s="22">
        <v>3.3559999999999999</v>
      </c>
      <c r="G25" s="22" t="s">
        <v>15046</v>
      </c>
      <c r="H25" s="22">
        <v>2.9910000000000001</v>
      </c>
      <c r="I25" s="25">
        <v>43150</v>
      </c>
      <c r="J25" s="24">
        <v>43261</v>
      </c>
    </row>
    <row r="26" spans="2:10" x14ac:dyDescent="0.2">
      <c r="B26" s="22">
        <v>21</v>
      </c>
      <c r="C26" s="23" t="s">
        <v>15047</v>
      </c>
      <c r="D26" s="23" t="s">
        <v>570</v>
      </c>
      <c r="E26" s="20" t="s">
        <v>15048</v>
      </c>
      <c r="F26" s="22">
        <v>3.6509999999999998</v>
      </c>
      <c r="G26" s="22" t="s">
        <v>15049</v>
      </c>
      <c r="H26" s="22">
        <v>3.6509999999999998</v>
      </c>
      <c r="I26" s="25">
        <v>43318</v>
      </c>
      <c r="J26" s="24">
        <v>43422</v>
      </c>
    </row>
    <row r="27" spans="2:10" x14ac:dyDescent="0.2">
      <c r="B27" s="22">
        <v>22</v>
      </c>
      <c r="C27" s="23" t="s">
        <v>15050</v>
      </c>
      <c r="D27" s="23" t="s">
        <v>570</v>
      </c>
      <c r="E27" s="20" t="s">
        <v>15051</v>
      </c>
      <c r="F27" s="22">
        <v>3.6120000000000001</v>
      </c>
      <c r="G27" s="22" t="s">
        <v>15052</v>
      </c>
      <c r="H27" s="22">
        <v>3.6120000000000001</v>
      </c>
      <c r="I27" s="25">
        <v>43304</v>
      </c>
      <c r="J27" s="24">
        <v>43401</v>
      </c>
    </row>
    <row r="28" spans="2:10" x14ac:dyDescent="0.2">
      <c r="B28" s="22">
        <v>23</v>
      </c>
      <c r="C28" s="23" t="s">
        <v>15053</v>
      </c>
      <c r="D28" s="23" t="s">
        <v>638</v>
      </c>
      <c r="E28" s="20" t="s">
        <v>15054</v>
      </c>
      <c r="F28" s="22">
        <v>3.1389999999999998</v>
      </c>
      <c r="G28" s="22" t="s">
        <v>15055</v>
      </c>
      <c r="H28" s="22">
        <v>3.081</v>
      </c>
      <c r="I28" s="25">
        <v>43388</v>
      </c>
      <c r="J28" s="24">
        <v>43120</v>
      </c>
    </row>
    <row r="29" spans="2:10" x14ac:dyDescent="0.2">
      <c r="B29" s="22">
        <v>24</v>
      </c>
      <c r="C29" s="23" t="s">
        <v>15056</v>
      </c>
      <c r="D29" s="23" t="s">
        <v>574</v>
      </c>
      <c r="E29" s="20" t="s">
        <v>15057</v>
      </c>
      <c r="F29" s="22">
        <v>3.665</v>
      </c>
      <c r="G29" s="22" t="s">
        <v>15058</v>
      </c>
      <c r="H29" s="22">
        <v>3.665</v>
      </c>
      <c r="I29" s="25">
        <v>43143</v>
      </c>
      <c r="J29" s="24">
        <v>43226</v>
      </c>
    </row>
    <row r="30" spans="2:10" x14ac:dyDescent="0.2">
      <c r="B30" s="22">
        <v>25</v>
      </c>
      <c r="C30" s="23" t="s">
        <v>15059</v>
      </c>
      <c r="D30" s="23" t="s">
        <v>830</v>
      </c>
      <c r="E30" s="20" t="s">
        <v>15060</v>
      </c>
      <c r="F30" s="22">
        <v>2.407</v>
      </c>
      <c r="G30" s="22" t="s">
        <v>15061</v>
      </c>
      <c r="H30" s="22">
        <v>18</v>
      </c>
      <c r="I30" s="25">
        <v>43437</v>
      </c>
      <c r="J30" s="24">
        <v>43225</v>
      </c>
    </row>
    <row r="31" spans="2:10" x14ac:dyDescent="0.2">
      <c r="B31" s="22">
        <v>26</v>
      </c>
      <c r="C31" s="23" t="s">
        <v>15062</v>
      </c>
      <c r="D31" s="23" t="s">
        <v>586</v>
      </c>
      <c r="E31" s="20" t="s">
        <v>15063</v>
      </c>
      <c r="F31" s="22">
        <v>3.5049999999999999</v>
      </c>
      <c r="G31" s="22" t="s">
        <v>15064</v>
      </c>
      <c r="H31" s="22">
        <v>3.5030000000000001</v>
      </c>
      <c r="I31" s="25">
        <v>43234</v>
      </c>
      <c r="J31" s="24">
        <v>43317</v>
      </c>
    </row>
    <row r="32" spans="2:10" x14ac:dyDescent="0.2">
      <c r="B32" s="22">
        <v>27</v>
      </c>
      <c r="C32" s="23" t="s">
        <v>15065</v>
      </c>
      <c r="D32" s="23" t="s">
        <v>594</v>
      </c>
      <c r="E32" s="20" t="s">
        <v>15066</v>
      </c>
      <c r="F32" s="22">
        <v>3.5550000000000002</v>
      </c>
      <c r="G32" s="22" t="s">
        <v>15067</v>
      </c>
      <c r="H32" s="22">
        <v>3.5550000000000002</v>
      </c>
      <c r="I32" s="25">
        <v>43444</v>
      </c>
      <c r="J32" s="24">
        <v>43204</v>
      </c>
    </row>
    <row r="33" spans="2:10" x14ac:dyDescent="0.2">
      <c r="B33" s="22">
        <v>28</v>
      </c>
      <c r="C33" s="23" t="s">
        <v>15068</v>
      </c>
      <c r="D33" s="23" t="s">
        <v>643</v>
      </c>
      <c r="E33" s="20" t="s">
        <v>15069</v>
      </c>
      <c r="F33" s="22">
        <v>3.3980000000000001</v>
      </c>
      <c r="G33" s="22" t="s">
        <v>15070</v>
      </c>
      <c r="H33" s="22">
        <v>3.27</v>
      </c>
      <c r="I33" s="25">
        <v>43325</v>
      </c>
      <c r="J33" s="24">
        <v>43394</v>
      </c>
    </row>
    <row r="34" spans="2:10" x14ac:dyDescent="0.2">
      <c r="B34" s="22">
        <v>29</v>
      </c>
      <c r="C34" s="23" t="s">
        <v>15071</v>
      </c>
      <c r="D34" s="23" t="s">
        <v>563</v>
      </c>
      <c r="E34" s="20" t="s">
        <v>15072</v>
      </c>
      <c r="F34" s="22">
        <v>3.3650000000000002</v>
      </c>
      <c r="G34" s="22" t="s">
        <v>15073</v>
      </c>
      <c r="H34" s="22">
        <v>3.355</v>
      </c>
      <c r="I34" s="25">
        <v>43409</v>
      </c>
      <c r="J34" s="24">
        <v>43127</v>
      </c>
    </row>
    <row r="35" spans="2:10" x14ac:dyDescent="0.2">
      <c r="B35" s="22">
        <v>30</v>
      </c>
      <c r="C35" s="23" t="s">
        <v>15074</v>
      </c>
      <c r="D35" s="23" t="s">
        <v>563</v>
      </c>
      <c r="E35" s="20" t="s">
        <v>15075</v>
      </c>
      <c r="F35" s="22">
        <v>3.5150000000000001</v>
      </c>
      <c r="G35" s="22" t="s">
        <v>15076</v>
      </c>
      <c r="H35" s="22">
        <v>3.5150000000000001</v>
      </c>
      <c r="I35" s="25">
        <v>43451</v>
      </c>
      <c r="J35" s="24">
        <v>43197</v>
      </c>
    </row>
    <row r="36" spans="2:10" x14ac:dyDescent="0.2">
      <c r="B36" s="22">
        <v>31</v>
      </c>
      <c r="C36" s="23" t="s">
        <v>15077</v>
      </c>
      <c r="D36" s="23" t="s">
        <v>594</v>
      </c>
      <c r="E36" s="20" t="s">
        <v>15078</v>
      </c>
      <c r="F36" s="22">
        <v>3.38</v>
      </c>
      <c r="G36" s="22" t="s">
        <v>15079</v>
      </c>
      <c r="H36" s="22">
        <v>3.3740000000000001</v>
      </c>
      <c r="I36" s="25">
        <v>43199</v>
      </c>
      <c r="J36" s="24">
        <v>43352</v>
      </c>
    </row>
    <row r="37" spans="2:10" x14ac:dyDescent="0.2">
      <c r="B37" s="22">
        <v>32</v>
      </c>
      <c r="C37" s="23" t="s">
        <v>15080</v>
      </c>
      <c r="D37" s="23" t="s">
        <v>570</v>
      </c>
      <c r="E37" s="20" t="s">
        <v>15081</v>
      </c>
      <c r="F37" s="22">
        <v>2.9209999999999998</v>
      </c>
      <c r="G37" s="22" t="s">
        <v>15082</v>
      </c>
      <c r="H37" s="22">
        <v>2.7709999999999999</v>
      </c>
      <c r="I37" s="25">
        <v>43374</v>
      </c>
      <c r="J37" s="24">
        <v>43162</v>
      </c>
    </row>
    <row r="38" spans="2:10" x14ac:dyDescent="0.2">
      <c r="B38" s="22">
        <v>33</v>
      </c>
      <c r="C38" s="23" t="s">
        <v>15083</v>
      </c>
      <c r="D38" s="23" t="s">
        <v>574</v>
      </c>
      <c r="E38" s="20" t="s">
        <v>15084</v>
      </c>
      <c r="F38" s="22">
        <v>3.4449999999999998</v>
      </c>
      <c r="G38" s="22" t="s">
        <v>15085</v>
      </c>
      <c r="H38" s="22">
        <v>3.4449999999999998</v>
      </c>
      <c r="I38" s="25">
        <v>43247</v>
      </c>
      <c r="J38" s="24">
        <v>43331</v>
      </c>
    </row>
    <row r="39" spans="2:10" x14ac:dyDescent="0.2">
      <c r="B39" s="22">
        <v>34</v>
      </c>
      <c r="C39" s="23" t="s">
        <v>15086</v>
      </c>
      <c r="D39" s="23" t="s">
        <v>563</v>
      </c>
      <c r="E39" s="20" t="s">
        <v>15087</v>
      </c>
      <c r="F39" s="22">
        <v>3.1110000000000002</v>
      </c>
      <c r="G39" s="22" t="s">
        <v>15088</v>
      </c>
      <c r="H39" s="22">
        <v>3.1110000000000002</v>
      </c>
      <c r="I39" s="25">
        <v>43115</v>
      </c>
      <c r="J39" s="24">
        <v>43233</v>
      </c>
    </row>
    <row r="40" spans="2:10" x14ac:dyDescent="0.2">
      <c r="B40" s="22">
        <v>35</v>
      </c>
      <c r="C40" s="23" t="s">
        <v>15089</v>
      </c>
      <c r="D40" s="23" t="s">
        <v>638</v>
      </c>
      <c r="E40" s="20" t="s">
        <v>15090</v>
      </c>
      <c r="F40" s="22">
        <v>2.5339999999999998</v>
      </c>
      <c r="G40" s="22" t="s">
        <v>15091</v>
      </c>
      <c r="H40" s="22">
        <v>4</v>
      </c>
      <c r="I40" s="25">
        <v>43444</v>
      </c>
      <c r="J40" s="24">
        <v>43190</v>
      </c>
    </row>
    <row r="41" spans="2:10" x14ac:dyDescent="0.2">
      <c r="B41" s="22">
        <v>36</v>
      </c>
      <c r="C41" s="23" t="s">
        <v>15092</v>
      </c>
      <c r="D41" s="23" t="s">
        <v>563</v>
      </c>
      <c r="E41" s="20" t="s">
        <v>15093</v>
      </c>
      <c r="F41" s="22">
        <v>2.9350000000000001</v>
      </c>
      <c r="G41" s="22" t="s">
        <v>15094</v>
      </c>
      <c r="H41" s="22">
        <v>2.8610000000000002</v>
      </c>
      <c r="I41" s="25">
        <v>43360</v>
      </c>
      <c r="J41" s="24">
        <v>43106</v>
      </c>
    </row>
    <row r="42" spans="2:10" x14ac:dyDescent="0.2">
      <c r="B42" s="22">
        <v>37</v>
      </c>
      <c r="C42" s="23" t="s">
        <v>15095</v>
      </c>
      <c r="D42" s="23" t="s">
        <v>554</v>
      </c>
      <c r="E42" s="20" t="s">
        <v>15096</v>
      </c>
      <c r="F42" s="22">
        <v>3.6459999999999999</v>
      </c>
      <c r="G42" s="22" t="s">
        <v>15097</v>
      </c>
      <c r="H42" s="22">
        <v>3.6459999999999999</v>
      </c>
      <c r="I42" s="25">
        <v>43248</v>
      </c>
      <c r="J42" s="24">
        <v>43366</v>
      </c>
    </row>
    <row r="43" spans="2:10" x14ac:dyDescent="0.2">
      <c r="B43" s="22">
        <v>38</v>
      </c>
      <c r="C43" s="23" t="s">
        <v>15098</v>
      </c>
      <c r="D43" s="23" t="s">
        <v>13262</v>
      </c>
      <c r="E43" s="20" t="s">
        <v>15099</v>
      </c>
      <c r="F43" s="22">
        <v>3.3490000000000002</v>
      </c>
      <c r="G43" s="22" t="s">
        <v>15100</v>
      </c>
      <c r="H43" s="22">
        <v>3.2549999999999999</v>
      </c>
      <c r="I43" s="25">
        <v>43388</v>
      </c>
      <c r="J43" s="24">
        <v>43134</v>
      </c>
    </row>
    <row r="44" spans="2:10" x14ac:dyDescent="0.2">
      <c r="B44" s="22">
        <v>39</v>
      </c>
      <c r="C44" s="23" t="s">
        <v>15101</v>
      </c>
      <c r="D44" s="23" t="s">
        <v>594</v>
      </c>
      <c r="E44" s="20" t="s">
        <v>15102</v>
      </c>
      <c r="F44" s="22">
        <v>3.3959999999999999</v>
      </c>
      <c r="G44" s="22" t="s">
        <v>15103</v>
      </c>
      <c r="H44" s="22">
        <v>3.3559999999999999</v>
      </c>
      <c r="I44" s="25">
        <v>43143</v>
      </c>
      <c r="J44" s="24">
        <v>43282</v>
      </c>
    </row>
    <row r="45" spans="2:10" x14ac:dyDescent="0.2">
      <c r="B45" s="22">
        <v>40</v>
      </c>
      <c r="C45" s="23" t="s">
        <v>15104</v>
      </c>
      <c r="D45" s="23" t="s">
        <v>638</v>
      </c>
      <c r="E45" s="20" t="s">
        <v>15105</v>
      </c>
      <c r="F45" s="22">
        <v>3.2389999999999999</v>
      </c>
      <c r="G45" s="22" t="s">
        <v>15106</v>
      </c>
      <c r="H45" s="22">
        <v>3.2160000000000002</v>
      </c>
      <c r="I45" s="25">
        <v>43395</v>
      </c>
      <c r="J45" s="24">
        <v>43120</v>
      </c>
    </row>
    <row r="46" spans="2:10" x14ac:dyDescent="0.2">
      <c r="B46" s="22">
        <v>41</v>
      </c>
      <c r="C46" s="23" t="s">
        <v>15107</v>
      </c>
      <c r="D46" s="23" t="s">
        <v>594</v>
      </c>
      <c r="E46" s="20" t="s">
        <v>15108</v>
      </c>
      <c r="F46" s="22">
        <v>3.2610000000000001</v>
      </c>
      <c r="G46" s="22" t="s">
        <v>15109</v>
      </c>
      <c r="H46" s="22">
        <v>3.2069999999999999</v>
      </c>
      <c r="I46" s="25">
        <v>43416</v>
      </c>
      <c r="J46" s="24">
        <v>43169</v>
      </c>
    </row>
    <row r="47" spans="2:10" x14ac:dyDescent="0.2">
      <c r="B47" s="22">
        <v>42</v>
      </c>
      <c r="C47" s="23" t="s">
        <v>15110</v>
      </c>
      <c r="D47" s="23" t="s">
        <v>570</v>
      </c>
      <c r="E47" s="20" t="s">
        <v>15111</v>
      </c>
      <c r="F47" s="22">
        <v>3.1080000000000001</v>
      </c>
      <c r="G47" s="22" t="s">
        <v>15112</v>
      </c>
      <c r="H47" s="22">
        <v>3.0819999999999999</v>
      </c>
      <c r="I47" s="25">
        <v>43325</v>
      </c>
      <c r="J47" s="24">
        <v>43408</v>
      </c>
    </row>
    <row r="48" spans="2:10" x14ac:dyDescent="0.2">
      <c r="B48" s="22">
        <v>43</v>
      </c>
      <c r="C48" s="23" t="s">
        <v>15113</v>
      </c>
      <c r="D48" s="23" t="s">
        <v>851</v>
      </c>
      <c r="E48" s="20" t="s">
        <v>15114</v>
      </c>
      <c r="F48" s="22">
        <v>3.0619999999999998</v>
      </c>
      <c r="G48" s="22" t="s">
        <v>15115</v>
      </c>
      <c r="H48" s="22">
        <v>2.9689999999999999</v>
      </c>
      <c r="I48" s="25">
        <v>43136</v>
      </c>
      <c r="J48" s="24">
        <v>43219</v>
      </c>
    </row>
    <row r="49" spans="2:10" x14ac:dyDescent="0.2">
      <c r="B49" s="22">
        <v>44</v>
      </c>
      <c r="C49" s="23" t="s">
        <v>15116</v>
      </c>
      <c r="D49" s="23" t="s">
        <v>594</v>
      </c>
      <c r="E49" s="20" t="s">
        <v>15117</v>
      </c>
      <c r="F49" s="22">
        <v>3.544</v>
      </c>
      <c r="G49" s="22" t="s">
        <v>15118</v>
      </c>
      <c r="H49" s="22">
        <v>3.5350000000000001</v>
      </c>
      <c r="I49" s="25">
        <v>43262</v>
      </c>
      <c r="J49" s="24">
        <v>43359</v>
      </c>
    </row>
    <row r="50" spans="2:10" x14ac:dyDescent="0.2">
      <c r="B50" s="22">
        <v>45</v>
      </c>
      <c r="C50" s="23" t="s">
        <v>15119</v>
      </c>
      <c r="D50" s="23" t="s">
        <v>594</v>
      </c>
      <c r="E50" s="20" t="s">
        <v>15120</v>
      </c>
      <c r="F50" s="22">
        <v>3.1040000000000001</v>
      </c>
      <c r="G50" s="22" t="s">
        <v>15121</v>
      </c>
      <c r="H50" s="22">
        <v>3.0979999999999999</v>
      </c>
      <c r="I50" s="25">
        <v>43274</v>
      </c>
      <c r="J50" s="24">
        <v>43380</v>
      </c>
    </row>
    <row r="51" spans="2:10" x14ac:dyDescent="0.2">
      <c r="B51" s="22">
        <v>46</v>
      </c>
      <c r="C51" s="23" t="s">
        <v>15122</v>
      </c>
      <c r="D51" s="23" t="s">
        <v>11366</v>
      </c>
      <c r="E51" s="20" t="s">
        <v>15123</v>
      </c>
      <c r="F51" s="22">
        <v>3.0459999999999998</v>
      </c>
      <c r="G51" s="22" t="s">
        <v>15124</v>
      </c>
      <c r="H51" s="22">
        <v>2.911</v>
      </c>
      <c r="I51" s="25">
        <v>43311</v>
      </c>
      <c r="J51" s="24">
        <v>43387</v>
      </c>
    </row>
    <row r="52" spans="2:10" x14ac:dyDescent="0.2">
      <c r="B52" s="22">
        <v>47</v>
      </c>
      <c r="C52" s="23" t="s">
        <v>15125</v>
      </c>
      <c r="D52" s="23" t="s">
        <v>570</v>
      </c>
      <c r="E52" s="20" t="s">
        <v>15126</v>
      </c>
      <c r="F52" s="22">
        <v>2.7559999999999998</v>
      </c>
      <c r="G52" s="22" t="s">
        <v>15127</v>
      </c>
      <c r="H52" s="22">
        <v>2.7559999999999998</v>
      </c>
      <c r="I52" s="25">
        <v>43444</v>
      </c>
      <c r="J52" s="24">
        <v>43169</v>
      </c>
    </row>
    <row r="53" spans="2:10" x14ac:dyDescent="0.2">
      <c r="B53" s="22">
        <v>48</v>
      </c>
      <c r="C53" s="23" t="s">
        <v>15128</v>
      </c>
      <c r="D53" s="23" t="s">
        <v>570</v>
      </c>
      <c r="E53" s="20" t="s">
        <v>15129</v>
      </c>
      <c r="F53" s="22">
        <v>3.1179999999999999</v>
      </c>
      <c r="G53" s="22" t="s">
        <v>15130</v>
      </c>
      <c r="H53" s="22">
        <v>3.0739999999999998</v>
      </c>
      <c r="I53" s="25">
        <v>43178</v>
      </c>
      <c r="J53" s="24">
        <v>43289</v>
      </c>
    </row>
    <row r="54" spans="2:10" x14ac:dyDescent="0.2">
      <c r="B54" s="22">
        <v>49</v>
      </c>
      <c r="C54" s="23" t="s">
        <v>15131</v>
      </c>
      <c r="D54" s="23" t="s">
        <v>594</v>
      </c>
      <c r="E54" s="20" t="s">
        <v>15132</v>
      </c>
      <c r="F54" s="22">
        <v>3.0830000000000002</v>
      </c>
      <c r="G54" s="22" t="s">
        <v>15133</v>
      </c>
      <c r="H54" s="22">
        <v>3.077</v>
      </c>
      <c r="I54" s="25">
        <v>43178</v>
      </c>
      <c r="J54" s="24">
        <v>43331</v>
      </c>
    </row>
    <row r="55" spans="2:10" x14ac:dyDescent="0.2">
      <c r="B55" s="22">
        <v>50</v>
      </c>
      <c r="C55" s="23" t="s">
        <v>15134</v>
      </c>
      <c r="D55" s="23" t="s">
        <v>554</v>
      </c>
      <c r="E55" s="20" t="s">
        <v>15135</v>
      </c>
      <c r="F55" s="22">
        <v>3.504</v>
      </c>
      <c r="G55" s="22" t="s">
        <v>15136</v>
      </c>
      <c r="H55" s="22">
        <v>3.504</v>
      </c>
      <c r="I55" s="25">
        <v>43295</v>
      </c>
      <c r="J55" s="24">
        <v>43401</v>
      </c>
    </row>
    <row r="56" spans="2:10" x14ac:dyDescent="0.2">
      <c r="B56" s="22">
        <v>51</v>
      </c>
      <c r="C56" s="23" t="s">
        <v>15137</v>
      </c>
      <c r="D56" s="23" t="s">
        <v>574</v>
      </c>
      <c r="E56" s="20" t="s">
        <v>15138</v>
      </c>
      <c r="F56" s="22">
        <v>3.3319999999999999</v>
      </c>
      <c r="G56" s="22" t="s">
        <v>15139</v>
      </c>
      <c r="H56" s="22">
        <v>3.3319999999999999</v>
      </c>
      <c r="I56" s="25">
        <v>43220</v>
      </c>
      <c r="J56" s="24">
        <v>43296</v>
      </c>
    </row>
    <row r="57" spans="2:10" x14ac:dyDescent="0.2">
      <c r="B57" s="22">
        <v>52</v>
      </c>
      <c r="C57" s="23" t="s">
        <v>15140</v>
      </c>
      <c r="D57" s="23" t="s">
        <v>554</v>
      </c>
      <c r="E57" s="20" t="s">
        <v>15141</v>
      </c>
      <c r="F57" s="22">
        <v>2.794</v>
      </c>
      <c r="G57" s="22" t="s">
        <v>15142</v>
      </c>
      <c r="H57" s="22">
        <v>2.673</v>
      </c>
      <c r="I57" s="25">
        <v>43190</v>
      </c>
      <c r="J57" s="24">
        <v>43296</v>
      </c>
    </row>
    <row r="58" spans="2:10" x14ac:dyDescent="0.2">
      <c r="B58" s="22">
        <v>53</v>
      </c>
      <c r="C58" s="23" t="s">
        <v>15143</v>
      </c>
      <c r="D58" s="23" t="s">
        <v>586</v>
      </c>
      <c r="E58" s="20" t="s">
        <v>15144</v>
      </c>
      <c r="F58" s="22">
        <v>3.2229999999999999</v>
      </c>
      <c r="G58" s="22" t="s">
        <v>15145</v>
      </c>
      <c r="H58" s="22">
        <v>3.222</v>
      </c>
      <c r="I58" s="25">
        <v>43143</v>
      </c>
      <c r="J58" s="24">
        <v>43191</v>
      </c>
    </row>
    <row r="59" spans="2:10" x14ac:dyDescent="0.2">
      <c r="B59" s="22">
        <v>54</v>
      </c>
      <c r="C59" s="23" t="s">
        <v>15146</v>
      </c>
      <c r="D59" s="23" t="s">
        <v>586</v>
      </c>
      <c r="E59" s="20" t="s">
        <v>15147</v>
      </c>
      <c r="F59" s="22">
        <v>2.702</v>
      </c>
      <c r="G59" s="22" t="s">
        <v>15148</v>
      </c>
      <c r="H59" s="22">
        <v>2.6970000000000001</v>
      </c>
      <c r="I59" s="25">
        <v>43255</v>
      </c>
      <c r="J59" s="24">
        <v>43324</v>
      </c>
    </row>
    <row r="60" spans="2:10" x14ac:dyDescent="0.2">
      <c r="B60" s="22">
        <v>55</v>
      </c>
      <c r="C60" s="23" t="s">
        <v>15149</v>
      </c>
      <c r="D60" s="23" t="s">
        <v>851</v>
      </c>
      <c r="E60" s="20" t="s">
        <v>15150</v>
      </c>
      <c r="F60" s="22">
        <v>3.2090000000000001</v>
      </c>
      <c r="G60" s="22" t="s">
        <v>15151</v>
      </c>
      <c r="H60" s="22">
        <v>3.2029999999999998</v>
      </c>
      <c r="I60" s="25">
        <v>43353</v>
      </c>
      <c r="J60" s="24">
        <v>43408</v>
      </c>
    </row>
    <row r="61" spans="2:10" x14ac:dyDescent="0.2">
      <c r="B61" s="22">
        <v>56</v>
      </c>
      <c r="C61" s="23" t="s">
        <v>15152</v>
      </c>
      <c r="D61" s="23" t="s">
        <v>643</v>
      </c>
      <c r="E61" s="20" t="s">
        <v>15153</v>
      </c>
      <c r="F61" s="22">
        <v>2.1549999999999998</v>
      </c>
      <c r="G61" s="22" t="s">
        <v>15154</v>
      </c>
      <c r="H61" s="22">
        <v>2.1549999999999998</v>
      </c>
      <c r="I61" s="25">
        <v>43192</v>
      </c>
      <c r="J61" s="24">
        <v>43261</v>
      </c>
    </row>
    <row r="62" spans="2:10" x14ac:dyDescent="0.2">
      <c r="B62" s="22">
        <v>57</v>
      </c>
      <c r="C62" s="23" t="s">
        <v>15155</v>
      </c>
      <c r="D62" s="23" t="s">
        <v>594</v>
      </c>
      <c r="E62" s="20" t="s">
        <v>15156</v>
      </c>
      <c r="F62" s="22">
        <v>3.3450000000000002</v>
      </c>
      <c r="G62" s="22" t="s">
        <v>15157</v>
      </c>
      <c r="H62" s="22">
        <v>3.3439999999999999</v>
      </c>
      <c r="I62" s="25">
        <v>43122</v>
      </c>
      <c r="J62" s="24">
        <v>43275</v>
      </c>
    </row>
    <row r="63" spans="2:10" x14ac:dyDescent="0.2">
      <c r="B63" s="22">
        <v>58</v>
      </c>
      <c r="C63" s="23" t="s">
        <v>15158</v>
      </c>
      <c r="D63" s="23" t="s">
        <v>554</v>
      </c>
      <c r="E63" s="20" t="s">
        <v>15159</v>
      </c>
      <c r="F63" s="22">
        <v>3.1080000000000001</v>
      </c>
      <c r="G63" s="22" t="s">
        <v>15160</v>
      </c>
      <c r="H63" s="22">
        <v>3.0720000000000001</v>
      </c>
      <c r="I63" s="25">
        <v>43381</v>
      </c>
      <c r="J63" s="24">
        <v>43141</v>
      </c>
    </row>
    <row r="64" spans="2:10" x14ac:dyDescent="0.2">
      <c r="B64" s="22">
        <v>59</v>
      </c>
      <c r="C64" s="23" t="s">
        <v>15161</v>
      </c>
      <c r="D64" s="23" t="s">
        <v>851</v>
      </c>
      <c r="E64" s="20" t="s">
        <v>15162</v>
      </c>
      <c r="F64" s="22">
        <v>2.9740000000000002</v>
      </c>
      <c r="G64" s="22" t="s">
        <v>15163</v>
      </c>
      <c r="H64" s="22">
        <v>2.8559999999999999</v>
      </c>
      <c r="I64" s="25">
        <v>43360</v>
      </c>
      <c r="J64" s="24">
        <v>43457</v>
      </c>
    </row>
    <row r="65" spans="2:10" x14ac:dyDescent="0.2">
      <c r="B65" s="22">
        <v>60</v>
      </c>
      <c r="C65" s="23" t="s">
        <v>15164</v>
      </c>
      <c r="D65" s="23" t="s">
        <v>851</v>
      </c>
      <c r="E65" s="20" t="s">
        <v>15165</v>
      </c>
      <c r="F65" s="22">
        <v>2.206</v>
      </c>
      <c r="G65" s="22" t="s">
        <v>15166</v>
      </c>
      <c r="H65" s="22">
        <v>2.206</v>
      </c>
      <c r="I65" s="25">
        <v>43339</v>
      </c>
      <c r="J65" s="24">
        <v>43422</v>
      </c>
    </row>
    <row r="66" spans="2:10" x14ac:dyDescent="0.2">
      <c r="B66" s="22">
        <v>61</v>
      </c>
      <c r="C66" s="23" t="s">
        <v>15167</v>
      </c>
      <c r="D66" s="23" t="s">
        <v>563</v>
      </c>
      <c r="E66" s="20" t="s">
        <v>15168</v>
      </c>
      <c r="F66" s="22">
        <v>3.5750000000000002</v>
      </c>
      <c r="G66" s="22" t="s">
        <v>15169</v>
      </c>
      <c r="H66" s="22">
        <v>3.5750000000000002</v>
      </c>
      <c r="I66" s="25">
        <v>43367</v>
      </c>
      <c r="J66" s="24">
        <v>43120</v>
      </c>
    </row>
    <row r="67" spans="2:10" x14ac:dyDescent="0.2">
      <c r="B67" s="22">
        <v>62</v>
      </c>
      <c r="C67" s="23" t="s">
        <v>15170</v>
      </c>
      <c r="D67" s="23" t="s">
        <v>563</v>
      </c>
      <c r="E67" s="20" t="s">
        <v>15171</v>
      </c>
      <c r="F67" s="22">
        <v>3.15</v>
      </c>
      <c r="G67" s="22" t="s">
        <v>15172</v>
      </c>
      <c r="H67" s="22">
        <v>3.15</v>
      </c>
      <c r="I67" s="25">
        <v>43381</v>
      </c>
      <c r="J67" s="24">
        <v>43127</v>
      </c>
    </row>
    <row r="68" spans="2:10" x14ac:dyDescent="0.2">
      <c r="B68" s="22">
        <v>63</v>
      </c>
      <c r="C68" s="23" t="s">
        <v>15173</v>
      </c>
      <c r="D68" s="23" t="s">
        <v>13262</v>
      </c>
      <c r="E68" s="20" t="s">
        <v>15174</v>
      </c>
      <c r="F68" s="22">
        <v>2.9750000000000001</v>
      </c>
      <c r="G68" s="22" t="s">
        <v>15175</v>
      </c>
      <c r="H68" s="22">
        <v>2.968</v>
      </c>
      <c r="I68" s="25">
        <v>43234</v>
      </c>
      <c r="J68" s="24">
        <v>43338</v>
      </c>
    </row>
    <row r="69" spans="2:10" x14ac:dyDescent="0.2">
      <c r="B69" s="22">
        <v>64</v>
      </c>
      <c r="C69" s="23" t="s">
        <v>15176</v>
      </c>
      <c r="D69" s="23" t="s">
        <v>594</v>
      </c>
      <c r="E69" s="20" t="s">
        <v>15177</v>
      </c>
      <c r="F69" s="22">
        <v>3.597</v>
      </c>
      <c r="G69" s="22" t="s">
        <v>15178</v>
      </c>
      <c r="H69" s="22">
        <v>3.5649999999999999</v>
      </c>
      <c r="I69" s="25">
        <v>43367</v>
      </c>
      <c r="J69" s="24">
        <v>43453</v>
      </c>
    </row>
    <row r="70" spans="2:10" x14ac:dyDescent="0.2">
      <c r="B70" s="22">
        <v>65</v>
      </c>
      <c r="C70" s="23" t="s">
        <v>15179</v>
      </c>
      <c r="D70" s="23" t="s">
        <v>563</v>
      </c>
      <c r="E70" s="20" t="s">
        <v>15180</v>
      </c>
      <c r="F70" s="22">
        <v>151</v>
      </c>
      <c r="G70" s="22" t="s">
        <v>15181</v>
      </c>
      <c r="H70" s="22">
        <v>39</v>
      </c>
      <c r="I70" s="25">
        <v>43178</v>
      </c>
      <c r="J70" s="22" t="s">
        <v>558</v>
      </c>
    </row>
    <row r="71" spans="2:10" x14ac:dyDescent="0.2">
      <c r="B71" s="22">
        <v>66</v>
      </c>
      <c r="C71" s="23" t="s">
        <v>15182</v>
      </c>
      <c r="D71" s="23" t="s">
        <v>594</v>
      </c>
      <c r="E71" s="20" t="s">
        <v>15183</v>
      </c>
      <c r="F71" s="22">
        <v>2.669</v>
      </c>
      <c r="G71" s="22" t="s">
        <v>15184</v>
      </c>
      <c r="H71" s="22">
        <v>2.669</v>
      </c>
      <c r="I71" s="25">
        <v>43290</v>
      </c>
      <c r="J71" s="24">
        <v>43387</v>
      </c>
    </row>
    <row r="72" spans="2:10" x14ac:dyDescent="0.2">
      <c r="B72" s="22">
        <v>67</v>
      </c>
      <c r="C72" s="23" t="s">
        <v>15185</v>
      </c>
      <c r="D72" s="23" t="s">
        <v>15186</v>
      </c>
      <c r="E72" s="20" t="s">
        <v>15187</v>
      </c>
      <c r="F72" s="22">
        <v>2.7709999999999999</v>
      </c>
      <c r="G72" s="22" t="s">
        <v>15188</v>
      </c>
      <c r="H72" s="22">
        <v>2.754</v>
      </c>
      <c r="I72" s="25">
        <v>43185</v>
      </c>
      <c r="J72" s="24">
        <v>43261</v>
      </c>
    </row>
    <row r="73" spans="2:10" x14ac:dyDescent="0.2">
      <c r="B73" s="22">
        <v>68</v>
      </c>
      <c r="C73" s="23" t="s">
        <v>15189</v>
      </c>
      <c r="D73" s="23" t="s">
        <v>643</v>
      </c>
      <c r="E73" s="20" t="s">
        <v>15190</v>
      </c>
      <c r="F73" s="22">
        <v>3.0649999999999999</v>
      </c>
      <c r="G73" s="22" t="s">
        <v>15191</v>
      </c>
      <c r="H73" s="22">
        <v>3.0649999999999999</v>
      </c>
      <c r="I73" s="25">
        <v>43206</v>
      </c>
      <c r="J73" s="24">
        <v>43282</v>
      </c>
    </row>
    <row r="74" spans="2:10" x14ac:dyDescent="0.2">
      <c r="B74" s="22">
        <v>69</v>
      </c>
      <c r="C74" s="23" t="s">
        <v>15192</v>
      </c>
      <c r="D74" s="23" t="s">
        <v>643</v>
      </c>
      <c r="E74" s="20" t="s">
        <v>15193</v>
      </c>
      <c r="F74" s="22">
        <v>2.859</v>
      </c>
      <c r="G74" s="22" t="s">
        <v>15194</v>
      </c>
      <c r="H74" s="22">
        <v>2.859</v>
      </c>
      <c r="I74" s="25">
        <v>43255</v>
      </c>
      <c r="J74" s="24">
        <v>43331</v>
      </c>
    </row>
    <row r="75" spans="2:10" x14ac:dyDescent="0.2">
      <c r="B75" s="22">
        <v>70</v>
      </c>
      <c r="C75" s="23" t="s">
        <v>15195</v>
      </c>
      <c r="D75" s="23" t="s">
        <v>643</v>
      </c>
      <c r="E75" s="20" t="s">
        <v>15196</v>
      </c>
      <c r="F75" s="22">
        <v>2.8079999999999998</v>
      </c>
      <c r="G75" s="22" t="s">
        <v>15197</v>
      </c>
      <c r="H75" s="22">
        <v>2.8079999999999998</v>
      </c>
      <c r="I75" s="25">
        <v>43402</v>
      </c>
      <c r="J75" s="24">
        <v>43436</v>
      </c>
    </row>
    <row r="76" spans="2:10" x14ac:dyDescent="0.2">
      <c r="B76" s="22">
        <v>71</v>
      </c>
      <c r="C76" s="23" t="s">
        <v>15198</v>
      </c>
      <c r="D76" s="23" t="s">
        <v>563</v>
      </c>
      <c r="E76" s="20" t="s">
        <v>15199</v>
      </c>
      <c r="F76" s="22">
        <v>3.15</v>
      </c>
      <c r="G76" s="22" t="s">
        <v>15200</v>
      </c>
      <c r="H76" s="22">
        <v>3.15</v>
      </c>
      <c r="I76" s="25">
        <v>43157</v>
      </c>
      <c r="J76" s="24">
        <v>43240</v>
      </c>
    </row>
    <row r="77" spans="2:10" x14ac:dyDescent="0.2">
      <c r="B77" s="22">
        <v>72</v>
      </c>
      <c r="C77" s="23" t="s">
        <v>15201</v>
      </c>
      <c r="D77" s="23" t="s">
        <v>563</v>
      </c>
      <c r="E77" s="20" t="s">
        <v>15202</v>
      </c>
      <c r="F77" s="22">
        <v>3.7050000000000001</v>
      </c>
      <c r="G77" s="22" t="s">
        <v>15203</v>
      </c>
      <c r="H77" s="22">
        <v>3.7050000000000001</v>
      </c>
      <c r="I77" s="25">
        <v>43311</v>
      </c>
      <c r="J77" s="24">
        <v>43394</v>
      </c>
    </row>
    <row r="78" spans="2:10" x14ac:dyDescent="0.2">
      <c r="B78" s="22">
        <v>73</v>
      </c>
      <c r="C78" s="23" t="s">
        <v>15204</v>
      </c>
      <c r="D78" s="23" t="s">
        <v>563</v>
      </c>
      <c r="E78" s="20" t="s">
        <v>15205</v>
      </c>
      <c r="F78" s="22">
        <v>3.0659999999999998</v>
      </c>
      <c r="G78" s="22" t="s">
        <v>15206</v>
      </c>
      <c r="H78" s="22">
        <v>3.0659999999999998</v>
      </c>
      <c r="I78" s="25">
        <v>43129</v>
      </c>
      <c r="J78" s="24">
        <v>43198</v>
      </c>
    </row>
    <row r="79" spans="2:10" x14ac:dyDescent="0.2">
      <c r="B79" s="22">
        <v>74</v>
      </c>
      <c r="C79" s="23" t="s">
        <v>15207</v>
      </c>
      <c r="D79" s="23" t="s">
        <v>594</v>
      </c>
      <c r="E79" s="20" t="s">
        <v>15208</v>
      </c>
      <c r="F79" s="22">
        <v>3.089</v>
      </c>
      <c r="G79" s="22" t="s">
        <v>15209</v>
      </c>
      <c r="H79" s="22">
        <v>2.5459999999999998</v>
      </c>
      <c r="I79" s="25">
        <v>43459</v>
      </c>
      <c r="J79" s="24">
        <v>43204</v>
      </c>
    </row>
    <row r="80" spans="2:10" x14ac:dyDescent="0.2">
      <c r="B80" s="22">
        <v>75</v>
      </c>
      <c r="C80" s="23" t="s">
        <v>15210</v>
      </c>
      <c r="D80" s="23" t="s">
        <v>851</v>
      </c>
      <c r="E80" s="20" t="s">
        <v>15211</v>
      </c>
      <c r="F80" s="22">
        <v>2.4590000000000001</v>
      </c>
      <c r="G80" s="22" t="s">
        <v>15212</v>
      </c>
      <c r="H80" s="22">
        <v>2.4590000000000001</v>
      </c>
      <c r="I80" s="25">
        <v>43206</v>
      </c>
      <c r="J80" s="24">
        <v>43289</v>
      </c>
    </row>
    <row r="81" spans="2:10" x14ac:dyDescent="0.2">
      <c r="B81" s="22">
        <v>76</v>
      </c>
      <c r="C81" s="23" t="s">
        <v>15213</v>
      </c>
      <c r="D81" s="23" t="s">
        <v>554</v>
      </c>
      <c r="E81" s="20" t="s">
        <v>15214</v>
      </c>
      <c r="F81" s="22">
        <v>2.4390000000000001</v>
      </c>
      <c r="G81" s="22" t="s">
        <v>15215</v>
      </c>
      <c r="H81" s="22">
        <v>2.4350000000000001</v>
      </c>
      <c r="I81" s="25">
        <v>43318</v>
      </c>
      <c r="J81" s="24">
        <v>43408</v>
      </c>
    </row>
    <row r="82" spans="2:10" x14ac:dyDescent="0.2">
      <c r="B82" s="22">
        <v>77</v>
      </c>
      <c r="C82" s="23" t="s">
        <v>15216</v>
      </c>
      <c r="D82" s="23" t="s">
        <v>643</v>
      </c>
      <c r="E82" s="20" t="s">
        <v>15217</v>
      </c>
      <c r="F82" s="22">
        <v>2.8740000000000001</v>
      </c>
      <c r="G82" s="22" t="s">
        <v>15218</v>
      </c>
      <c r="H82" s="22">
        <v>2.8740000000000001</v>
      </c>
      <c r="I82" s="25">
        <v>43339</v>
      </c>
      <c r="J82" s="24">
        <v>43380</v>
      </c>
    </row>
    <row r="83" spans="2:10" x14ac:dyDescent="0.2">
      <c r="B83" s="22">
        <v>78</v>
      </c>
      <c r="C83" s="23" t="s">
        <v>15219</v>
      </c>
      <c r="D83" s="23" t="s">
        <v>851</v>
      </c>
      <c r="E83" s="20" t="s">
        <v>15220</v>
      </c>
      <c r="F83" s="22">
        <v>2.476</v>
      </c>
      <c r="G83" s="22" t="s">
        <v>15221</v>
      </c>
      <c r="H83" s="22">
        <v>2.476</v>
      </c>
      <c r="I83" s="25">
        <v>43122</v>
      </c>
      <c r="J83" s="24">
        <v>43180</v>
      </c>
    </row>
    <row r="84" spans="2:10" x14ac:dyDescent="0.2">
      <c r="B84" s="22">
        <v>79</v>
      </c>
      <c r="C84" s="23" t="s">
        <v>15222</v>
      </c>
      <c r="D84" s="23" t="s">
        <v>851</v>
      </c>
      <c r="E84" s="20" t="s">
        <v>15223</v>
      </c>
      <c r="F84" s="22">
        <v>3.0369999999999999</v>
      </c>
      <c r="G84" s="22" t="s">
        <v>15224</v>
      </c>
      <c r="H84" s="22">
        <v>3.0369999999999999</v>
      </c>
      <c r="I84" s="25">
        <v>43428</v>
      </c>
      <c r="J84" s="24">
        <v>43141</v>
      </c>
    </row>
    <row r="85" spans="2:10" x14ac:dyDescent="0.2">
      <c r="B85" s="22">
        <v>80</v>
      </c>
      <c r="C85" s="23" t="s">
        <v>15225</v>
      </c>
      <c r="D85" s="23" t="s">
        <v>15226</v>
      </c>
      <c r="E85" s="20" t="s">
        <v>15227</v>
      </c>
      <c r="F85" s="22">
        <v>2.4790000000000001</v>
      </c>
      <c r="G85" s="22" t="s">
        <v>15228</v>
      </c>
      <c r="H85" s="22">
        <v>2.476</v>
      </c>
      <c r="I85" s="25">
        <v>43157</v>
      </c>
      <c r="J85" s="24">
        <v>43240</v>
      </c>
    </row>
    <row r="86" spans="2:10" x14ac:dyDescent="0.2">
      <c r="B86" s="22">
        <v>81</v>
      </c>
      <c r="C86" s="23" t="s">
        <v>15229</v>
      </c>
      <c r="D86" s="23" t="s">
        <v>643</v>
      </c>
      <c r="E86" s="20" t="s">
        <v>15230</v>
      </c>
      <c r="F86" s="22">
        <v>2.1269999999999998</v>
      </c>
      <c r="G86" s="22" t="s">
        <v>15231</v>
      </c>
      <c r="H86" s="22">
        <v>2.1269999999999998</v>
      </c>
      <c r="I86" s="25">
        <v>43409</v>
      </c>
      <c r="J86" s="24">
        <v>43120</v>
      </c>
    </row>
    <row r="87" spans="2:10" x14ac:dyDescent="0.2">
      <c r="B87" s="22">
        <v>82</v>
      </c>
      <c r="C87" s="23" t="s">
        <v>15232</v>
      </c>
      <c r="D87" s="23" t="s">
        <v>1299</v>
      </c>
      <c r="E87" s="20" t="s">
        <v>15233</v>
      </c>
      <c r="F87" s="22">
        <v>3.28</v>
      </c>
      <c r="G87" s="22" t="s">
        <v>15234</v>
      </c>
      <c r="H87" s="22">
        <v>3.28</v>
      </c>
      <c r="I87" s="25">
        <v>43213</v>
      </c>
      <c r="J87" s="24">
        <v>43303</v>
      </c>
    </row>
    <row r="88" spans="2:10" x14ac:dyDescent="0.2">
      <c r="B88" s="22">
        <v>83</v>
      </c>
      <c r="C88" s="23" t="s">
        <v>15235</v>
      </c>
      <c r="D88" s="23" t="s">
        <v>594</v>
      </c>
      <c r="E88" s="20" t="s">
        <v>15236</v>
      </c>
      <c r="F88" s="22">
        <v>3.2330000000000001</v>
      </c>
      <c r="G88" s="22" t="s">
        <v>15237</v>
      </c>
      <c r="H88" s="22">
        <v>3.2330000000000001</v>
      </c>
      <c r="I88" s="25">
        <v>43330</v>
      </c>
      <c r="J88" s="24">
        <v>43415</v>
      </c>
    </row>
    <row r="89" spans="2:10" x14ac:dyDescent="0.2">
      <c r="B89" s="22">
        <v>84</v>
      </c>
      <c r="C89" s="23" t="s">
        <v>15238</v>
      </c>
      <c r="D89" s="23" t="s">
        <v>740</v>
      </c>
      <c r="E89" s="20" t="s">
        <v>15239</v>
      </c>
      <c r="F89" s="22">
        <v>2.8330000000000002</v>
      </c>
      <c r="G89" s="22" t="s">
        <v>15240</v>
      </c>
      <c r="H89" s="22">
        <v>2.823</v>
      </c>
      <c r="I89" s="25">
        <v>43344</v>
      </c>
      <c r="J89" s="24">
        <v>43408</v>
      </c>
    </row>
    <row r="90" spans="2:10" x14ac:dyDescent="0.2">
      <c r="B90" s="22">
        <v>85</v>
      </c>
      <c r="C90" s="23" t="s">
        <v>15241</v>
      </c>
      <c r="D90" s="23" t="s">
        <v>586</v>
      </c>
      <c r="E90" s="20" t="s">
        <v>15242</v>
      </c>
      <c r="F90" s="22">
        <v>3.004</v>
      </c>
      <c r="G90" s="22" t="s">
        <v>15243</v>
      </c>
      <c r="H90" s="22">
        <v>3.0030000000000001</v>
      </c>
      <c r="I90" s="25">
        <v>43171</v>
      </c>
      <c r="J90" s="24">
        <v>43226</v>
      </c>
    </row>
    <row r="91" spans="2:10" x14ac:dyDescent="0.2">
      <c r="B91" s="22">
        <v>86</v>
      </c>
      <c r="C91" s="23" t="s">
        <v>15244</v>
      </c>
      <c r="D91" s="23" t="s">
        <v>594</v>
      </c>
      <c r="E91" s="20" t="s">
        <v>15245</v>
      </c>
      <c r="F91" s="22">
        <v>3.2130000000000001</v>
      </c>
      <c r="G91" s="22" t="s">
        <v>15246</v>
      </c>
      <c r="H91" s="22">
        <v>3.2130000000000001</v>
      </c>
      <c r="I91" s="25">
        <v>43255</v>
      </c>
      <c r="J91" s="24">
        <v>43359</v>
      </c>
    </row>
    <row r="92" spans="2:10" x14ac:dyDescent="0.2">
      <c r="B92" s="22">
        <v>87</v>
      </c>
      <c r="C92" s="23" t="s">
        <v>15247</v>
      </c>
      <c r="D92" s="23" t="s">
        <v>586</v>
      </c>
      <c r="E92" s="20" t="s">
        <v>15248</v>
      </c>
      <c r="F92" s="22">
        <v>2.8109999999999999</v>
      </c>
      <c r="G92" s="22" t="s">
        <v>15249</v>
      </c>
      <c r="H92" s="22">
        <v>2.8090000000000002</v>
      </c>
      <c r="I92" s="25">
        <v>43360</v>
      </c>
      <c r="J92" s="24">
        <v>43422</v>
      </c>
    </row>
    <row r="93" spans="2:10" x14ac:dyDescent="0.2">
      <c r="B93" s="22">
        <v>88</v>
      </c>
      <c r="C93" s="23" t="s">
        <v>15250</v>
      </c>
      <c r="D93" s="23" t="s">
        <v>563</v>
      </c>
      <c r="E93" s="20" t="s">
        <v>15251</v>
      </c>
      <c r="F93" s="22">
        <v>2.4239999999999999</v>
      </c>
      <c r="G93" s="22" t="s">
        <v>15252</v>
      </c>
      <c r="H93" s="22">
        <v>6</v>
      </c>
      <c r="I93" s="25">
        <v>43388</v>
      </c>
      <c r="J93" s="24">
        <v>43113</v>
      </c>
    </row>
    <row r="94" spans="2:10" x14ac:dyDescent="0.2">
      <c r="B94" s="22">
        <v>89</v>
      </c>
      <c r="C94" s="23" t="s">
        <v>15253</v>
      </c>
      <c r="D94" s="23" t="s">
        <v>554</v>
      </c>
      <c r="E94" s="20" t="s">
        <v>15254</v>
      </c>
      <c r="F94" s="22">
        <v>2.456</v>
      </c>
      <c r="G94" s="22" t="s">
        <v>15255</v>
      </c>
      <c r="H94" s="22">
        <v>2.456</v>
      </c>
      <c r="I94" s="25">
        <v>43129</v>
      </c>
      <c r="J94" s="24">
        <v>43205</v>
      </c>
    </row>
    <row r="95" spans="2:10" x14ac:dyDescent="0.2">
      <c r="B95" s="22">
        <v>90</v>
      </c>
      <c r="C95" s="23" t="s">
        <v>15256</v>
      </c>
      <c r="D95" s="23" t="s">
        <v>594</v>
      </c>
      <c r="E95" s="20" t="s">
        <v>15257</v>
      </c>
      <c r="F95" s="22">
        <v>2.4580000000000002</v>
      </c>
      <c r="G95" s="22" t="s">
        <v>15258</v>
      </c>
      <c r="H95" s="22">
        <v>2.4550000000000001</v>
      </c>
      <c r="I95" s="25">
        <v>43428</v>
      </c>
      <c r="J95" s="24">
        <v>43148</v>
      </c>
    </row>
    <row r="96" spans="2:10" x14ac:dyDescent="0.2">
      <c r="B96" s="22">
        <v>91</v>
      </c>
      <c r="C96" s="23" t="s">
        <v>15259</v>
      </c>
      <c r="D96" s="23" t="s">
        <v>638</v>
      </c>
      <c r="E96" s="20" t="s">
        <v>15260</v>
      </c>
      <c r="F96" s="22">
        <v>2.9580000000000002</v>
      </c>
      <c r="G96" s="22" t="s">
        <v>15261</v>
      </c>
      <c r="H96" s="22">
        <v>2.956</v>
      </c>
      <c r="I96" s="25">
        <v>43171</v>
      </c>
      <c r="J96" s="24">
        <v>43240</v>
      </c>
    </row>
    <row r="97" spans="2:10" x14ac:dyDescent="0.2">
      <c r="B97" s="22">
        <v>92</v>
      </c>
      <c r="C97" s="23" t="s">
        <v>15262</v>
      </c>
      <c r="D97" s="23" t="s">
        <v>586</v>
      </c>
      <c r="E97" s="20" t="s">
        <v>15263</v>
      </c>
      <c r="F97" s="22">
        <v>2.82</v>
      </c>
      <c r="G97" s="22" t="s">
        <v>15264</v>
      </c>
      <c r="H97" s="22">
        <v>2.8180000000000001</v>
      </c>
      <c r="I97" s="25">
        <v>43325</v>
      </c>
      <c r="J97" s="24">
        <v>43380</v>
      </c>
    </row>
    <row r="98" spans="2:10" x14ac:dyDescent="0.2">
      <c r="B98" s="22">
        <v>93</v>
      </c>
      <c r="C98" s="23" t="s">
        <v>15265</v>
      </c>
      <c r="D98" s="23" t="s">
        <v>586</v>
      </c>
      <c r="E98" s="20" t="s">
        <v>15266</v>
      </c>
      <c r="F98" s="22">
        <v>2.7250000000000001</v>
      </c>
      <c r="G98" s="22" t="s">
        <v>15267</v>
      </c>
      <c r="H98" s="22">
        <v>2.718</v>
      </c>
      <c r="I98" s="25">
        <v>43311</v>
      </c>
      <c r="J98" s="24">
        <v>43359</v>
      </c>
    </row>
    <row r="99" spans="2:10" x14ac:dyDescent="0.2">
      <c r="B99" s="22">
        <v>94</v>
      </c>
      <c r="C99" s="23" t="s">
        <v>15268</v>
      </c>
      <c r="D99" s="23" t="s">
        <v>638</v>
      </c>
      <c r="E99" s="20" t="s">
        <v>15269</v>
      </c>
      <c r="F99" s="22">
        <v>2.544</v>
      </c>
      <c r="G99" s="22" t="s">
        <v>15270</v>
      </c>
      <c r="H99" s="22">
        <v>2.5179999999999998</v>
      </c>
      <c r="I99" s="25">
        <v>43414</v>
      </c>
      <c r="J99" s="24">
        <v>43120</v>
      </c>
    </row>
    <row r="100" spans="2:10" x14ac:dyDescent="0.2">
      <c r="B100" s="22">
        <v>95</v>
      </c>
      <c r="C100" s="23" t="s">
        <v>15271</v>
      </c>
      <c r="D100" s="23" t="s">
        <v>570</v>
      </c>
      <c r="E100" s="20" t="s">
        <v>15272</v>
      </c>
      <c r="F100" s="22">
        <v>2.4830000000000001</v>
      </c>
      <c r="G100" s="22" t="s">
        <v>15273</v>
      </c>
      <c r="H100" s="22">
        <v>2.4830000000000001</v>
      </c>
      <c r="I100" s="25">
        <v>43451</v>
      </c>
      <c r="J100" s="24">
        <v>43127</v>
      </c>
    </row>
    <row r="101" spans="2:10" x14ac:dyDescent="0.2">
      <c r="B101" s="22">
        <v>96</v>
      </c>
      <c r="C101" s="23" t="s">
        <v>15274</v>
      </c>
      <c r="D101" s="23" t="s">
        <v>643</v>
      </c>
      <c r="E101" s="20" t="s">
        <v>15275</v>
      </c>
      <c r="F101" s="22">
        <v>2.5230000000000001</v>
      </c>
      <c r="G101" s="22" t="s">
        <v>15276</v>
      </c>
      <c r="H101" s="22">
        <v>2.5230000000000001</v>
      </c>
      <c r="I101" s="25">
        <v>43108</v>
      </c>
      <c r="J101" s="24">
        <v>43142</v>
      </c>
    </row>
    <row r="102" spans="2:10" x14ac:dyDescent="0.2">
      <c r="B102" s="22">
        <v>97</v>
      </c>
      <c r="C102" s="23" t="s">
        <v>15277</v>
      </c>
      <c r="D102" s="23" t="s">
        <v>586</v>
      </c>
      <c r="E102" s="20" t="s">
        <v>15278</v>
      </c>
      <c r="F102" s="22">
        <v>2.798</v>
      </c>
      <c r="G102" s="22" t="s">
        <v>15279</v>
      </c>
      <c r="H102" s="22">
        <v>2.7839999999999998</v>
      </c>
      <c r="I102" s="25">
        <v>43332</v>
      </c>
      <c r="J102" s="24">
        <v>43401</v>
      </c>
    </row>
    <row r="103" spans="2:10" x14ac:dyDescent="0.2">
      <c r="B103" s="22">
        <v>98</v>
      </c>
      <c r="C103" s="23" t="s">
        <v>15280</v>
      </c>
      <c r="D103" s="23" t="s">
        <v>15281</v>
      </c>
      <c r="E103" s="20" t="s">
        <v>15282</v>
      </c>
      <c r="F103" s="22">
        <v>2.0169999999999999</v>
      </c>
      <c r="G103" s="22" t="s">
        <v>15283</v>
      </c>
      <c r="H103" s="22">
        <v>2.012</v>
      </c>
      <c r="I103" s="25">
        <v>43332</v>
      </c>
      <c r="J103" s="24">
        <v>43422</v>
      </c>
    </row>
    <row r="104" spans="2:10" x14ac:dyDescent="0.2">
      <c r="B104" s="22">
        <v>99</v>
      </c>
      <c r="C104" s="23" t="s">
        <v>15284</v>
      </c>
      <c r="D104" s="23" t="s">
        <v>15226</v>
      </c>
      <c r="E104" s="20" t="s">
        <v>15285</v>
      </c>
      <c r="F104" s="22">
        <v>1.9390000000000001</v>
      </c>
      <c r="G104" s="22" t="s">
        <v>15286</v>
      </c>
      <c r="H104" s="22">
        <v>1.9359999999999999</v>
      </c>
      <c r="I104" s="25">
        <v>43164</v>
      </c>
      <c r="J104" s="24">
        <v>43240</v>
      </c>
    </row>
    <row r="105" spans="2:10" x14ac:dyDescent="0.2">
      <c r="B105" s="22">
        <v>100</v>
      </c>
      <c r="C105" s="23" t="s">
        <v>15287</v>
      </c>
      <c r="D105" s="23" t="s">
        <v>594</v>
      </c>
      <c r="E105" s="20" t="s">
        <v>15288</v>
      </c>
      <c r="F105" s="22">
        <v>2.6779999999999999</v>
      </c>
      <c r="G105" s="22" t="s">
        <v>15289</v>
      </c>
      <c r="H105" s="22">
        <v>2.67</v>
      </c>
      <c r="I105" s="25">
        <v>43346</v>
      </c>
      <c r="J105" s="24">
        <v>43422</v>
      </c>
    </row>
    <row r="106" spans="2:10" x14ac:dyDescent="0.2">
      <c r="B106" s="22">
        <v>101</v>
      </c>
      <c r="C106" s="23" t="s">
        <v>15290</v>
      </c>
      <c r="D106" s="23" t="s">
        <v>594</v>
      </c>
      <c r="E106" s="20" t="s">
        <v>15291</v>
      </c>
      <c r="F106" s="22">
        <v>2.7189999999999999</v>
      </c>
      <c r="G106" s="22" t="s">
        <v>15292</v>
      </c>
      <c r="H106" s="22">
        <v>2.7189999999999999</v>
      </c>
      <c r="I106" s="25">
        <v>43304</v>
      </c>
      <c r="J106" s="24">
        <v>43415</v>
      </c>
    </row>
    <row r="107" spans="2:10" x14ac:dyDescent="0.2">
      <c r="B107" s="22">
        <v>102</v>
      </c>
      <c r="C107" s="23" t="s">
        <v>15293</v>
      </c>
      <c r="D107" s="23" t="s">
        <v>586</v>
      </c>
      <c r="E107" s="20" t="s">
        <v>15294</v>
      </c>
      <c r="F107" s="22">
        <v>2.512</v>
      </c>
      <c r="G107" s="22" t="s">
        <v>15295</v>
      </c>
      <c r="H107" s="22">
        <v>2.5110000000000001</v>
      </c>
      <c r="I107" s="25">
        <v>43108</v>
      </c>
      <c r="J107" s="24">
        <v>43163</v>
      </c>
    </row>
    <row r="108" spans="2:10" x14ac:dyDescent="0.2">
      <c r="B108" s="22">
        <v>103</v>
      </c>
      <c r="C108" s="23" t="s">
        <v>15296</v>
      </c>
      <c r="D108" s="23" t="s">
        <v>554</v>
      </c>
      <c r="E108" s="20" t="s">
        <v>15297</v>
      </c>
      <c r="F108" s="22">
        <v>2.548</v>
      </c>
      <c r="G108" s="22" t="s">
        <v>15298</v>
      </c>
      <c r="H108" s="22">
        <v>2.548</v>
      </c>
      <c r="I108" s="25">
        <v>43367</v>
      </c>
      <c r="J108" s="24">
        <v>43450</v>
      </c>
    </row>
    <row r="109" spans="2:10" x14ac:dyDescent="0.2">
      <c r="B109" s="22">
        <v>104</v>
      </c>
      <c r="C109" s="23" t="s">
        <v>15299</v>
      </c>
      <c r="D109" s="23" t="s">
        <v>643</v>
      </c>
      <c r="E109" s="20" t="s">
        <v>15300</v>
      </c>
      <c r="F109" s="22">
        <v>2.625</v>
      </c>
      <c r="G109" s="22" t="s">
        <v>15301</v>
      </c>
      <c r="H109" s="22">
        <v>2.625</v>
      </c>
      <c r="I109" s="25">
        <v>43360</v>
      </c>
      <c r="J109" s="24">
        <v>43436</v>
      </c>
    </row>
    <row r="110" spans="2:10" x14ac:dyDescent="0.2">
      <c r="B110" s="22">
        <v>105</v>
      </c>
      <c r="C110" s="23" t="s">
        <v>15302</v>
      </c>
      <c r="D110" s="23" t="s">
        <v>2742</v>
      </c>
      <c r="E110" s="20" t="s">
        <v>15303</v>
      </c>
      <c r="F110" s="22">
        <v>2.4910000000000001</v>
      </c>
      <c r="G110" s="22" t="s">
        <v>15304</v>
      </c>
      <c r="H110" s="22">
        <v>2.4700000000000002</v>
      </c>
      <c r="I110" s="25">
        <v>43332</v>
      </c>
      <c r="J110" s="24">
        <v>43422</v>
      </c>
    </row>
    <row r="111" spans="2:10" x14ac:dyDescent="0.2">
      <c r="B111" s="22">
        <v>106</v>
      </c>
      <c r="C111" s="23" t="s">
        <v>15305</v>
      </c>
      <c r="D111" s="23" t="s">
        <v>563</v>
      </c>
      <c r="E111" s="20" t="s">
        <v>15306</v>
      </c>
      <c r="F111" s="22">
        <v>1.974</v>
      </c>
      <c r="G111" s="22" t="s">
        <v>15307</v>
      </c>
      <c r="H111" s="22">
        <v>1.9730000000000001</v>
      </c>
      <c r="I111" s="25">
        <v>43332</v>
      </c>
      <c r="J111" s="24">
        <v>43408</v>
      </c>
    </row>
    <row r="112" spans="2:10" x14ac:dyDescent="0.2">
      <c r="B112" s="22">
        <v>107</v>
      </c>
      <c r="C112" s="23" t="s">
        <v>15308</v>
      </c>
      <c r="D112" s="23" t="s">
        <v>643</v>
      </c>
      <c r="E112" s="20" t="s">
        <v>15309</v>
      </c>
      <c r="F112" s="22">
        <v>2.9239999999999999</v>
      </c>
      <c r="G112" s="22" t="s">
        <v>15310</v>
      </c>
      <c r="H112" s="22">
        <v>2.9239999999999999</v>
      </c>
      <c r="I112" s="25">
        <v>43115</v>
      </c>
      <c r="J112" s="24">
        <v>43163</v>
      </c>
    </row>
    <row r="113" spans="2:10" x14ac:dyDescent="0.2">
      <c r="B113" s="22">
        <v>108</v>
      </c>
      <c r="C113" s="23" t="s">
        <v>15311</v>
      </c>
      <c r="D113" s="23" t="s">
        <v>643</v>
      </c>
      <c r="E113" s="20" t="s">
        <v>15312</v>
      </c>
      <c r="F113" s="22">
        <v>2.722</v>
      </c>
      <c r="G113" s="22" t="s">
        <v>15313</v>
      </c>
      <c r="H113" s="22">
        <v>2.722</v>
      </c>
      <c r="I113" s="25">
        <v>43136</v>
      </c>
      <c r="J113" s="24">
        <v>43170</v>
      </c>
    </row>
    <row r="114" spans="2:10" x14ac:dyDescent="0.2">
      <c r="B114" s="22">
        <v>109</v>
      </c>
      <c r="C114" s="23" t="s">
        <v>15314</v>
      </c>
      <c r="D114" s="23" t="s">
        <v>563</v>
      </c>
      <c r="E114" s="20" t="s">
        <v>15315</v>
      </c>
      <c r="F114" s="22">
        <v>2.9359999999999999</v>
      </c>
      <c r="G114" s="22" t="s">
        <v>15316</v>
      </c>
      <c r="H114" s="22">
        <v>2.9359999999999999</v>
      </c>
      <c r="I114" s="25">
        <v>43213</v>
      </c>
      <c r="J114" s="24">
        <v>43275</v>
      </c>
    </row>
    <row r="115" spans="2:10" x14ac:dyDescent="0.2">
      <c r="B115" s="22">
        <v>110</v>
      </c>
      <c r="C115" s="23" t="s">
        <v>15317</v>
      </c>
      <c r="D115" s="23" t="s">
        <v>1299</v>
      </c>
      <c r="E115" s="20" t="s">
        <v>15318</v>
      </c>
      <c r="F115" s="22">
        <v>2.4700000000000002</v>
      </c>
      <c r="G115" s="22" t="s">
        <v>15319</v>
      </c>
      <c r="H115" s="22">
        <v>2.4540000000000002</v>
      </c>
      <c r="I115" s="25">
        <v>43428</v>
      </c>
      <c r="J115" s="24">
        <v>43141</v>
      </c>
    </row>
    <row r="116" spans="2:10" x14ac:dyDescent="0.2">
      <c r="B116" s="22">
        <v>111</v>
      </c>
      <c r="C116" s="23" t="s">
        <v>15320</v>
      </c>
      <c r="D116" s="23" t="s">
        <v>830</v>
      </c>
      <c r="E116" s="20" t="s">
        <v>15321</v>
      </c>
      <c r="F116" s="22">
        <v>1.831</v>
      </c>
      <c r="G116" s="22" t="s">
        <v>15322</v>
      </c>
      <c r="H116" s="22">
        <v>1.831</v>
      </c>
      <c r="I116" s="25">
        <v>43234</v>
      </c>
      <c r="J116" s="24">
        <v>43317</v>
      </c>
    </row>
    <row r="117" spans="2:10" x14ac:dyDescent="0.2">
      <c r="B117" s="22">
        <v>112</v>
      </c>
      <c r="C117" s="23" t="s">
        <v>15323</v>
      </c>
      <c r="D117" s="23" t="s">
        <v>586</v>
      </c>
      <c r="E117" s="20" t="s">
        <v>15324</v>
      </c>
      <c r="F117" s="22">
        <v>2.883</v>
      </c>
      <c r="G117" s="22" t="s">
        <v>15325</v>
      </c>
      <c r="H117" s="22">
        <v>2.88</v>
      </c>
      <c r="I117" s="25">
        <v>43416</v>
      </c>
      <c r="J117" s="24">
        <v>43455</v>
      </c>
    </row>
    <row r="118" spans="2:10" x14ac:dyDescent="0.2">
      <c r="B118" s="22">
        <v>113</v>
      </c>
      <c r="C118" s="23" t="s">
        <v>15326</v>
      </c>
      <c r="D118" s="23" t="s">
        <v>643</v>
      </c>
      <c r="E118" s="20" t="s">
        <v>15327</v>
      </c>
      <c r="F118" s="22">
        <v>2.5640000000000001</v>
      </c>
      <c r="G118" s="22" t="s">
        <v>15328</v>
      </c>
      <c r="H118" s="22">
        <v>2.5640000000000001</v>
      </c>
      <c r="I118" s="25">
        <v>43423</v>
      </c>
      <c r="J118" s="24">
        <v>43106</v>
      </c>
    </row>
    <row r="119" spans="2:10" x14ac:dyDescent="0.2">
      <c r="B119" s="22">
        <v>114</v>
      </c>
      <c r="C119" s="23" t="s">
        <v>15329</v>
      </c>
      <c r="D119" s="23" t="s">
        <v>740</v>
      </c>
      <c r="E119" s="20" t="s">
        <v>15330</v>
      </c>
      <c r="F119" s="22">
        <v>994</v>
      </c>
      <c r="G119" s="22" t="s">
        <v>15331</v>
      </c>
      <c r="H119" s="22">
        <v>7</v>
      </c>
      <c r="I119" s="25">
        <v>43290</v>
      </c>
      <c r="J119" s="24">
        <v>43394</v>
      </c>
    </row>
    <row r="120" spans="2:10" x14ac:dyDescent="0.2">
      <c r="B120" s="22">
        <v>115</v>
      </c>
      <c r="C120" s="23" t="s">
        <v>15332</v>
      </c>
      <c r="D120" s="23" t="s">
        <v>830</v>
      </c>
      <c r="E120" s="20" t="s">
        <v>15333</v>
      </c>
      <c r="F120" s="22">
        <v>1.609</v>
      </c>
      <c r="G120" s="22" t="s">
        <v>15334</v>
      </c>
      <c r="H120" s="22">
        <v>1.605</v>
      </c>
      <c r="I120" s="25">
        <v>43171</v>
      </c>
      <c r="J120" s="24">
        <v>43268</v>
      </c>
    </row>
    <row r="121" spans="2:10" x14ac:dyDescent="0.2">
      <c r="B121" s="22">
        <v>116</v>
      </c>
      <c r="C121" s="23" t="s">
        <v>15335</v>
      </c>
      <c r="D121" s="23" t="s">
        <v>851</v>
      </c>
      <c r="E121" s="20" t="s">
        <v>15336</v>
      </c>
      <c r="F121" s="22">
        <v>1.4410000000000001</v>
      </c>
      <c r="G121" s="22" t="s">
        <v>15337</v>
      </c>
      <c r="H121" s="22">
        <v>2</v>
      </c>
      <c r="I121" s="25">
        <v>43456</v>
      </c>
      <c r="J121" s="24">
        <v>43148</v>
      </c>
    </row>
    <row r="122" spans="2:10" x14ac:dyDescent="0.2">
      <c r="B122" s="22">
        <v>117</v>
      </c>
      <c r="C122" s="23" t="s">
        <v>15338</v>
      </c>
      <c r="D122" s="23" t="s">
        <v>554</v>
      </c>
      <c r="E122" s="20" t="s">
        <v>15339</v>
      </c>
      <c r="F122" s="22">
        <v>1.232</v>
      </c>
      <c r="G122" s="22" t="s">
        <v>15340</v>
      </c>
      <c r="H122" s="22">
        <v>1.206</v>
      </c>
      <c r="I122" s="25">
        <v>43212</v>
      </c>
      <c r="J122" s="24">
        <v>43296</v>
      </c>
    </row>
    <row r="123" spans="2:10" x14ac:dyDescent="0.2">
      <c r="B123" s="22">
        <v>118</v>
      </c>
      <c r="C123" s="23" t="s">
        <v>15341</v>
      </c>
      <c r="D123" s="23" t="s">
        <v>13262</v>
      </c>
      <c r="E123" s="20" t="s">
        <v>15342</v>
      </c>
      <c r="F123" s="22">
        <v>2.2149999999999999</v>
      </c>
      <c r="G123" s="22" t="s">
        <v>15343</v>
      </c>
      <c r="H123" s="22">
        <v>2.2120000000000002</v>
      </c>
      <c r="I123" s="25">
        <v>43171</v>
      </c>
      <c r="J123" s="24">
        <v>43233</v>
      </c>
    </row>
    <row r="124" spans="2:10" x14ac:dyDescent="0.2">
      <c r="B124" s="22">
        <v>119</v>
      </c>
      <c r="C124" s="23" t="s">
        <v>15344</v>
      </c>
      <c r="D124" s="23" t="s">
        <v>830</v>
      </c>
      <c r="E124" s="20" t="s">
        <v>15345</v>
      </c>
      <c r="F124" s="22">
        <v>916</v>
      </c>
      <c r="G124" s="22" t="s">
        <v>15346</v>
      </c>
      <c r="H124" s="22">
        <v>4</v>
      </c>
      <c r="I124" s="25">
        <v>43409</v>
      </c>
      <c r="J124" s="24">
        <v>43204</v>
      </c>
    </row>
    <row r="125" spans="2:10" x14ac:dyDescent="0.2">
      <c r="B125" s="22">
        <v>120</v>
      </c>
      <c r="C125" s="23" t="s">
        <v>15347</v>
      </c>
      <c r="D125" s="23" t="s">
        <v>574</v>
      </c>
      <c r="E125" s="20" t="s">
        <v>15348</v>
      </c>
      <c r="F125" s="22">
        <v>3.03</v>
      </c>
      <c r="G125" s="22" t="s">
        <v>15349</v>
      </c>
      <c r="H125" s="22">
        <v>3.03</v>
      </c>
      <c r="I125" s="25">
        <v>43346</v>
      </c>
      <c r="J125" s="24">
        <v>43394</v>
      </c>
    </row>
    <row r="126" spans="2:10" x14ac:dyDescent="0.2">
      <c r="B126" s="22">
        <v>121</v>
      </c>
      <c r="C126" s="23" t="s">
        <v>15350</v>
      </c>
      <c r="D126" s="23" t="s">
        <v>13262</v>
      </c>
      <c r="E126" s="20" t="s">
        <v>15351</v>
      </c>
      <c r="F126" s="22">
        <v>3.0019999999999998</v>
      </c>
      <c r="G126" s="22" t="s">
        <v>15352</v>
      </c>
      <c r="H126" s="22">
        <v>2.9969999999999999</v>
      </c>
      <c r="I126" s="25">
        <v>43220</v>
      </c>
      <c r="J126" s="24">
        <v>43296</v>
      </c>
    </row>
    <row r="127" spans="2:10" x14ac:dyDescent="0.2">
      <c r="B127" s="22">
        <v>122</v>
      </c>
      <c r="C127" s="23" t="s">
        <v>15353</v>
      </c>
      <c r="D127" s="23" t="s">
        <v>563</v>
      </c>
      <c r="E127" s="20" t="s">
        <v>15354</v>
      </c>
      <c r="F127" s="22">
        <v>2.4500000000000002</v>
      </c>
      <c r="G127" s="22" t="s">
        <v>15355</v>
      </c>
      <c r="H127" s="22">
        <v>2.4500000000000002</v>
      </c>
      <c r="I127" s="25">
        <v>43255</v>
      </c>
      <c r="J127" s="24">
        <v>43317</v>
      </c>
    </row>
    <row r="128" spans="2:10" x14ac:dyDescent="0.2">
      <c r="B128" s="22">
        <v>123</v>
      </c>
      <c r="C128" s="23" t="s">
        <v>15356</v>
      </c>
      <c r="D128" s="23" t="s">
        <v>13262</v>
      </c>
      <c r="E128" s="20" t="s">
        <v>15357</v>
      </c>
      <c r="F128" s="22">
        <v>819</v>
      </c>
      <c r="G128" s="22" t="s">
        <v>15358</v>
      </c>
      <c r="H128" s="22">
        <v>4</v>
      </c>
      <c r="I128" s="25">
        <v>43150</v>
      </c>
      <c r="J128" s="24">
        <v>43268</v>
      </c>
    </row>
    <row r="129" spans="2:10" x14ac:dyDescent="0.2">
      <c r="B129" s="22">
        <v>124</v>
      </c>
      <c r="C129" s="23" t="s">
        <v>15359</v>
      </c>
      <c r="D129" s="23" t="s">
        <v>2742</v>
      </c>
      <c r="E129" s="20" t="s">
        <v>15360</v>
      </c>
      <c r="F129" s="22">
        <v>1.873</v>
      </c>
      <c r="G129" s="22" t="s">
        <v>15361</v>
      </c>
      <c r="H129" s="22">
        <v>1.873</v>
      </c>
      <c r="I129" s="25">
        <v>43108</v>
      </c>
      <c r="J129" s="24">
        <v>43184</v>
      </c>
    </row>
    <row r="130" spans="2:10" x14ac:dyDescent="0.2">
      <c r="B130" s="22">
        <v>125</v>
      </c>
      <c r="C130" s="23" t="s">
        <v>15362</v>
      </c>
      <c r="D130" s="23" t="s">
        <v>586</v>
      </c>
      <c r="E130" s="20" t="s">
        <v>15363</v>
      </c>
      <c r="F130" s="22">
        <v>2.5720000000000001</v>
      </c>
      <c r="G130" s="22" t="s">
        <v>15364</v>
      </c>
      <c r="H130" s="22">
        <v>2.5720000000000001</v>
      </c>
      <c r="I130" s="25">
        <v>43381</v>
      </c>
      <c r="J130" s="24">
        <v>43408</v>
      </c>
    </row>
    <row r="131" spans="2:10" x14ac:dyDescent="0.2">
      <c r="B131" s="22">
        <v>126</v>
      </c>
      <c r="C131" s="23" t="s">
        <v>15365</v>
      </c>
      <c r="D131" s="23" t="s">
        <v>586</v>
      </c>
      <c r="E131" s="20" t="s">
        <v>15366</v>
      </c>
      <c r="F131" s="22">
        <v>2.5209999999999999</v>
      </c>
      <c r="G131" s="22" t="s">
        <v>15367</v>
      </c>
      <c r="H131" s="22">
        <v>2.5209999999999999</v>
      </c>
      <c r="I131" s="25">
        <v>43178</v>
      </c>
      <c r="J131" s="24">
        <v>43212</v>
      </c>
    </row>
    <row r="132" spans="2:10" x14ac:dyDescent="0.2">
      <c r="B132" s="22">
        <v>127</v>
      </c>
      <c r="C132" s="23" t="s">
        <v>15368</v>
      </c>
      <c r="D132" s="23" t="s">
        <v>11803</v>
      </c>
      <c r="E132" s="20" t="s">
        <v>15369</v>
      </c>
      <c r="F132" s="22">
        <v>2.2120000000000002</v>
      </c>
      <c r="G132" s="22" t="s">
        <v>15370</v>
      </c>
      <c r="H132" s="22">
        <v>2.2109999999999999</v>
      </c>
      <c r="I132" s="25">
        <v>43374</v>
      </c>
      <c r="J132" s="24">
        <v>43422</v>
      </c>
    </row>
    <row r="133" spans="2:10" x14ac:dyDescent="0.2">
      <c r="B133" s="22">
        <v>128</v>
      </c>
      <c r="C133" s="23" t="s">
        <v>15371</v>
      </c>
      <c r="D133" s="23" t="s">
        <v>15226</v>
      </c>
      <c r="E133" s="20" t="s">
        <v>15372</v>
      </c>
      <c r="F133" s="22">
        <v>2.0419999999999998</v>
      </c>
      <c r="G133" s="22" t="s">
        <v>15373</v>
      </c>
      <c r="H133" s="22">
        <v>2.02</v>
      </c>
      <c r="I133" s="25">
        <v>43374</v>
      </c>
      <c r="J133" s="24">
        <v>43443</v>
      </c>
    </row>
    <row r="134" spans="2:10" x14ac:dyDescent="0.2">
      <c r="B134" s="22">
        <v>129</v>
      </c>
      <c r="C134" s="23" t="s">
        <v>15374</v>
      </c>
      <c r="D134" s="23" t="s">
        <v>1299</v>
      </c>
      <c r="E134" s="20" t="s">
        <v>15375</v>
      </c>
      <c r="F134" s="22">
        <v>2.5489999999999999</v>
      </c>
      <c r="G134" s="22" t="s">
        <v>15376</v>
      </c>
      <c r="H134" s="22">
        <v>2.5489999999999999</v>
      </c>
      <c r="I134" s="25">
        <v>43122</v>
      </c>
      <c r="J134" s="24">
        <v>43142</v>
      </c>
    </row>
    <row r="135" spans="2:10" x14ac:dyDescent="0.2">
      <c r="B135" s="22">
        <v>130</v>
      </c>
      <c r="C135" s="23" t="s">
        <v>15377</v>
      </c>
      <c r="D135" s="23" t="s">
        <v>594</v>
      </c>
      <c r="E135" s="20" t="s">
        <v>15378</v>
      </c>
      <c r="F135" s="22">
        <v>812</v>
      </c>
      <c r="G135" s="22" t="s">
        <v>15379</v>
      </c>
      <c r="H135" s="22">
        <v>812</v>
      </c>
      <c r="I135" s="25">
        <v>43339</v>
      </c>
      <c r="J135" s="24">
        <v>43422</v>
      </c>
    </row>
    <row r="136" spans="2:10" x14ac:dyDescent="0.2">
      <c r="B136" s="22">
        <v>131</v>
      </c>
      <c r="C136" s="23" t="s">
        <v>15380</v>
      </c>
      <c r="D136" s="23" t="s">
        <v>563</v>
      </c>
      <c r="E136" s="20" t="s">
        <v>15381</v>
      </c>
      <c r="F136" s="22">
        <v>2.8250000000000002</v>
      </c>
      <c r="G136" s="22" t="s">
        <v>15382</v>
      </c>
      <c r="H136" s="22">
        <v>2.8250000000000002</v>
      </c>
      <c r="I136" s="25">
        <v>43269</v>
      </c>
      <c r="J136" s="24">
        <v>43324</v>
      </c>
    </row>
    <row r="137" spans="2:10" x14ac:dyDescent="0.2">
      <c r="B137" s="22">
        <v>132</v>
      </c>
      <c r="C137" s="23" t="s">
        <v>15383</v>
      </c>
      <c r="D137" s="23" t="s">
        <v>1213</v>
      </c>
      <c r="E137" s="20" t="s">
        <v>15384</v>
      </c>
      <c r="F137" s="22">
        <v>202</v>
      </c>
      <c r="G137" s="22" t="s">
        <v>15385</v>
      </c>
      <c r="H137" s="22">
        <v>34</v>
      </c>
      <c r="I137" s="25">
        <v>43178</v>
      </c>
      <c r="J137" s="24">
        <v>43155</v>
      </c>
    </row>
    <row r="138" spans="2:10" x14ac:dyDescent="0.2">
      <c r="B138" s="22">
        <v>133</v>
      </c>
      <c r="C138" s="23" t="s">
        <v>15386</v>
      </c>
      <c r="D138" s="23" t="s">
        <v>820</v>
      </c>
      <c r="E138" s="20" t="s">
        <v>15387</v>
      </c>
      <c r="F138" s="22">
        <v>450</v>
      </c>
      <c r="G138" s="22" t="s">
        <v>15388</v>
      </c>
      <c r="H138" s="22">
        <v>4</v>
      </c>
      <c r="I138" s="25">
        <v>43463</v>
      </c>
      <c r="J138" s="24">
        <v>43211</v>
      </c>
    </row>
    <row r="139" spans="2:10" x14ac:dyDescent="0.2">
      <c r="B139" s="22">
        <v>134</v>
      </c>
      <c r="C139" s="23" t="s">
        <v>15389</v>
      </c>
      <c r="D139" s="23" t="s">
        <v>13262</v>
      </c>
      <c r="E139" s="20" t="s">
        <v>15390</v>
      </c>
      <c r="F139" s="22">
        <v>436</v>
      </c>
      <c r="G139" s="22" t="s">
        <v>15391</v>
      </c>
      <c r="H139" s="22">
        <v>46</v>
      </c>
      <c r="I139" s="25">
        <v>43409</v>
      </c>
      <c r="J139" s="24">
        <v>43148</v>
      </c>
    </row>
    <row r="140" spans="2:10" x14ac:dyDescent="0.2">
      <c r="B140" s="22">
        <v>135</v>
      </c>
      <c r="C140" s="23" t="s">
        <v>15392</v>
      </c>
      <c r="D140" s="23" t="s">
        <v>1015</v>
      </c>
      <c r="E140" s="20" t="s">
        <v>15393</v>
      </c>
      <c r="F140" s="22">
        <v>570</v>
      </c>
      <c r="G140" s="22" t="s">
        <v>15394</v>
      </c>
      <c r="H140" s="22">
        <v>4</v>
      </c>
      <c r="I140" s="25">
        <v>43311</v>
      </c>
      <c r="J140" s="24">
        <v>43155</v>
      </c>
    </row>
    <row r="141" spans="2:10" x14ac:dyDescent="0.2">
      <c r="B141" s="22">
        <v>136</v>
      </c>
      <c r="C141" s="23" t="s">
        <v>15395</v>
      </c>
      <c r="D141" s="23" t="s">
        <v>586</v>
      </c>
      <c r="E141" s="20" t="s">
        <v>15396</v>
      </c>
      <c r="F141" s="22">
        <v>2.5510000000000002</v>
      </c>
      <c r="G141" s="22" t="s">
        <v>15397</v>
      </c>
      <c r="H141" s="22">
        <v>2.5510000000000002</v>
      </c>
      <c r="I141" s="25">
        <v>43241</v>
      </c>
      <c r="J141" s="24">
        <v>43261</v>
      </c>
    </row>
    <row r="142" spans="2:10" x14ac:dyDescent="0.2">
      <c r="B142" s="22">
        <v>137</v>
      </c>
      <c r="C142" s="23" t="s">
        <v>15398</v>
      </c>
      <c r="D142" s="23" t="s">
        <v>1213</v>
      </c>
      <c r="E142" s="20" t="s">
        <v>15399</v>
      </c>
      <c r="F142" s="22">
        <v>185</v>
      </c>
      <c r="G142" s="22" t="s">
        <v>15400</v>
      </c>
      <c r="H142" s="22">
        <v>108</v>
      </c>
      <c r="I142" s="25">
        <v>43290</v>
      </c>
      <c r="J142" s="24">
        <v>43141</v>
      </c>
    </row>
    <row r="143" spans="2:10" x14ac:dyDescent="0.2">
      <c r="B143" s="22">
        <v>138</v>
      </c>
      <c r="C143" s="23" t="s">
        <v>15401</v>
      </c>
      <c r="D143" s="23" t="s">
        <v>830</v>
      </c>
      <c r="E143" s="20" t="s">
        <v>15402</v>
      </c>
      <c r="F143" s="22">
        <v>454</v>
      </c>
      <c r="G143" s="22" t="s">
        <v>15403</v>
      </c>
      <c r="H143" s="22">
        <v>4</v>
      </c>
      <c r="I143" s="25">
        <v>43269</v>
      </c>
      <c r="J143" s="24">
        <v>43387</v>
      </c>
    </row>
    <row r="144" spans="2:10" x14ac:dyDescent="0.2">
      <c r="B144" s="22">
        <v>139</v>
      </c>
      <c r="C144" s="23" t="s">
        <v>15404</v>
      </c>
      <c r="D144" s="23" t="s">
        <v>740</v>
      </c>
      <c r="E144" s="20" t="s">
        <v>15405</v>
      </c>
      <c r="F144" s="22">
        <v>543</v>
      </c>
      <c r="G144" s="22" t="s">
        <v>15406</v>
      </c>
      <c r="H144" s="22">
        <v>534</v>
      </c>
      <c r="I144" s="25">
        <v>43227</v>
      </c>
      <c r="J144" s="24">
        <v>43289</v>
      </c>
    </row>
    <row r="145" spans="2:10" x14ac:dyDescent="0.2">
      <c r="B145" s="22">
        <v>140</v>
      </c>
      <c r="C145" s="23" t="s">
        <v>15407</v>
      </c>
      <c r="D145" s="23" t="s">
        <v>830</v>
      </c>
      <c r="E145" s="20" t="s">
        <v>15408</v>
      </c>
      <c r="F145" s="22">
        <v>672</v>
      </c>
      <c r="G145" s="22" t="s">
        <v>15409</v>
      </c>
      <c r="H145" s="22">
        <v>11</v>
      </c>
      <c r="I145" s="25">
        <v>43388</v>
      </c>
      <c r="J145" s="24">
        <v>43460</v>
      </c>
    </row>
    <row r="146" spans="2:10" x14ac:dyDescent="0.2">
      <c r="B146" s="22">
        <v>141</v>
      </c>
      <c r="C146" s="23" t="s">
        <v>15410</v>
      </c>
      <c r="D146" s="23" t="s">
        <v>5254</v>
      </c>
      <c r="E146" s="20" t="s">
        <v>15411</v>
      </c>
      <c r="F146" s="22">
        <v>269</v>
      </c>
      <c r="G146" s="22" t="s">
        <v>15412</v>
      </c>
      <c r="H146" s="22">
        <v>2</v>
      </c>
      <c r="I146" s="25">
        <v>43178</v>
      </c>
      <c r="J146" s="24">
        <v>43345</v>
      </c>
    </row>
    <row r="147" spans="2:10" x14ac:dyDescent="0.2">
      <c r="B147" s="22">
        <v>142</v>
      </c>
      <c r="C147" s="23" t="s">
        <v>15413</v>
      </c>
      <c r="D147" s="23" t="s">
        <v>1015</v>
      </c>
      <c r="E147" s="20" t="s">
        <v>15414</v>
      </c>
      <c r="F147" s="22">
        <v>354</v>
      </c>
      <c r="G147" s="22" t="s">
        <v>15415</v>
      </c>
      <c r="H147" s="22">
        <v>3</v>
      </c>
      <c r="I147" s="25">
        <v>43115</v>
      </c>
      <c r="J147" s="24">
        <v>43275</v>
      </c>
    </row>
    <row r="148" spans="2:10" x14ac:dyDescent="0.2">
      <c r="B148" s="22">
        <v>143</v>
      </c>
      <c r="C148" s="23" t="s">
        <v>15416</v>
      </c>
      <c r="D148" s="23" t="s">
        <v>1043</v>
      </c>
      <c r="E148" s="20" t="s">
        <v>15417</v>
      </c>
      <c r="F148" s="22">
        <v>141</v>
      </c>
      <c r="G148" s="22" t="s">
        <v>15418</v>
      </c>
      <c r="H148" s="22">
        <v>4</v>
      </c>
      <c r="I148" s="25">
        <v>43262</v>
      </c>
      <c r="J148" s="24">
        <v>43211</v>
      </c>
    </row>
    <row r="149" spans="2:10" x14ac:dyDescent="0.2">
      <c r="B149" s="22">
        <v>144</v>
      </c>
      <c r="C149" s="23" t="s">
        <v>15419</v>
      </c>
      <c r="D149" s="23" t="s">
        <v>11803</v>
      </c>
      <c r="E149" s="20" t="s">
        <v>15420</v>
      </c>
      <c r="F149" s="22">
        <v>330</v>
      </c>
      <c r="G149" s="22" t="s">
        <v>15421</v>
      </c>
      <c r="H149" s="22">
        <v>4</v>
      </c>
      <c r="I149" s="25">
        <v>43367</v>
      </c>
      <c r="J149" s="24">
        <v>43457</v>
      </c>
    </row>
    <row r="150" spans="2:10" x14ac:dyDescent="0.2">
      <c r="B150" s="22">
        <v>145</v>
      </c>
      <c r="C150" s="23" t="s">
        <v>15422</v>
      </c>
      <c r="D150" s="23" t="s">
        <v>1015</v>
      </c>
      <c r="E150" s="20" t="s">
        <v>15423</v>
      </c>
      <c r="F150" s="22">
        <v>166</v>
      </c>
      <c r="G150" s="22" t="s">
        <v>15424</v>
      </c>
      <c r="H150" s="22">
        <v>10</v>
      </c>
      <c r="I150" s="25">
        <v>43206</v>
      </c>
      <c r="J150" s="24">
        <v>43394</v>
      </c>
    </row>
    <row r="151" spans="2:10" x14ac:dyDescent="0.2">
      <c r="B151" s="22">
        <v>146</v>
      </c>
      <c r="C151" s="23" t="s">
        <v>15425</v>
      </c>
      <c r="D151" s="23" t="s">
        <v>740</v>
      </c>
      <c r="E151" s="20" t="s">
        <v>15426</v>
      </c>
      <c r="F151" s="22">
        <v>757</v>
      </c>
      <c r="G151" s="22" t="s">
        <v>15427</v>
      </c>
      <c r="H151" s="22">
        <v>742</v>
      </c>
      <c r="I151" s="25">
        <v>43381</v>
      </c>
      <c r="J151" s="24">
        <v>43429</v>
      </c>
    </row>
    <row r="152" spans="2:10" x14ac:dyDescent="0.2">
      <c r="B152" s="22">
        <v>147</v>
      </c>
      <c r="C152" s="23" t="s">
        <v>15428</v>
      </c>
      <c r="D152" s="23" t="s">
        <v>11937</v>
      </c>
      <c r="E152" s="20" t="s">
        <v>15429</v>
      </c>
      <c r="F152" s="22">
        <v>14</v>
      </c>
      <c r="G152" s="22" t="s">
        <v>1159</v>
      </c>
      <c r="H152" s="22" t="s">
        <v>1159</v>
      </c>
      <c r="I152" s="25">
        <v>43248</v>
      </c>
      <c r="J152" s="24">
        <v>43356</v>
      </c>
    </row>
    <row r="153" spans="2:10" x14ac:dyDescent="0.2">
      <c r="B153" s="22">
        <v>148</v>
      </c>
      <c r="C153" s="23" t="s">
        <v>15430</v>
      </c>
      <c r="D153" s="23" t="s">
        <v>3464</v>
      </c>
      <c r="E153" s="20" t="s">
        <v>15431</v>
      </c>
      <c r="F153" s="22">
        <v>1.6220000000000001</v>
      </c>
      <c r="G153" s="22" t="s">
        <v>15432</v>
      </c>
      <c r="H153" s="22">
        <v>1.6220000000000001</v>
      </c>
      <c r="I153" s="25">
        <v>43437</v>
      </c>
      <c r="J153" s="24">
        <v>43134</v>
      </c>
    </row>
    <row r="154" spans="2:10" x14ac:dyDescent="0.2">
      <c r="B154" s="22">
        <v>149</v>
      </c>
      <c r="C154" s="23" t="s">
        <v>15433</v>
      </c>
      <c r="D154" s="23" t="s">
        <v>1213</v>
      </c>
      <c r="E154" s="20" t="s">
        <v>15434</v>
      </c>
      <c r="F154" s="22">
        <v>208</v>
      </c>
      <c r="G154" s="22" t="s">
        <v>15435</v>
      </c>
      <c r="H154" s="22">
        <v>154</v>
      </c>
      <c r="I154" s="25">
        <v>43402</v>
      </c>
      <c r="J154" s="24">
        <v>43162</v>
      </c>
    </row>
    <row r="155" spans="2:10" x14ac:dyDescent="0.2">
      <c r="B155" s="22">
        <v>150</v>
      </c>
      <c r="C155" s="23" t="s">
        <v>15436</v>
      </c>
      <c r="D155" s="23" t="s">
        <v>1039</v>
      </c>
      <c r="E155" s="20" t="s">
        <v>15437</v>
      </c>
      <c r="F155" s="22">
        <v>166</v>
      </c>
      <c r="G155" s="22" t="s">
        <v>15438</v>
      </c>
      <c r="H155" s="22">
        <v>8</v>
      </c>
      <c r="I155" s="25">
        <v>43269</v>
      </c>
      <c r="J155" s="24">
        <v>43436</v>
      </c>
    </row>
    <row r="156" spans="2:10" x14ac:dyDescent="0.2">
      <c r="B156" s="22">
        <v>151</v>
      </c>
      <c r="C156" s="23" t="s">
        <v>15439</v>
      </c>
      <c r="D156" s="23" t="s">
        <v>1594</v>
      </c>
      <c r="E156" s="20" t="s">
        <v>15440</v>
      </c>
      <c r="F156" s="22">
        <v>137</v>
      </c>
      <c r="G156" s="22" t="s">
        <v>15441</v>
      </c>
      <c r="H156" s="22">
        <v>33</v>
      </c>
      <c r="I156" s="25">
        <v>43332</v>
      </c>
      <c r="J156" s="24">
        <v>43443</v>
      </c>
    </row>
    <row r="157" spans="2:10" x14ac:dyDescent="0.2">
      <c r="B157" s="22">
        <v>152</v>
      </c>
      <c r="C157" s="23" t="s">
        <v>15442</v>
      </c>
      <c r="D157" s="23" t="s">
        <v>5254</v>
      </c>
      <c r="E157" s="20" t="s">
        <v>15443</v>
      </c>
      <c r="F157" s="22">
        <v>177</v>
      </c>
      <c r="G157" s="22" t="s">
        <v>15444</v>
      </c>
      <c r="H157" s="22">
        <v>4</v>
      </c>
      <c r="I157" s="25">
        <v>43241</v>
      </c>
      <c r="J157" s="24">
        <v>43380</v>
      </c>
    </row>
    <row r="158" spans="2:10" x14ac:dyDescent="0.2">
      <c r="B158" s="22">
        <v>153</v>
      </c>
      <c r="C158" s="23" t="s">
        <v>15445</v>
      </c>
      <c r="D158" s="23" t="s">
        <v>1015</v>
      </c>
      <c r="E158" s="20" t="s">
        <v>15446</v>
      </c>
      <c r="F158" s="22">
        <v>250</v>
      </c>
      <c r="G158" s="22" t="s">
        <v>15447</v>
      </c>
      <c r="H158" s="22">
        <v>2</v>
      </c>
      <c r="I158" s="25">
        <v>43381</v>
      </c>
      <c r="J158" s="24">
        <v>43225</v>
      </c>
    </row>
    <row r="159" spans="2:10" x14ac:dyDescent="0.2">
      <c r="B159" s="22">
        <v>154</v>
      </c>
      <c r="C159" s="23" t="s">
        <v>15448</v>
      </c>
      <c r="D159" s="23" t="s">
        <v>740</v>
      </c>
      <c r="E159" s="20" t="s">
        <v>15449</v>
      </c>
      <c r="F159" s="22">
        <v>186</v>
      </c>
      <c r="G159" s="22" t="s">
        <v>15450</v>
      </c>
      <c r="H159" s="22">
        <v>3</v>
      </c>
      <c r="I159" s="25">
        <v>43178</v>
      </c>
      <c r="J159" s="24">
        <v>43247</v>
      </c>
    </row>
    <row r="160" spans="2:10" x14ac:dyDescent="0.2">
      <c r="B160" s="22">
        <v>155</v>
      </c>
      <c r="C160" s="23" t="s">
        <v>15451</v>
      </c>
      <c r="D160" s="23" t="s">
        <v>1015</v>
      </c>
      <c r="E160" s="20" t="s">
        <v>15452</v>
      </c>
      <c r="F160" s="22">
        <v>272</v>
      </c>
      <c r="G160" s="22" t="s">
        <v>15453</v>
      </c>
      <c r="H160" s="22">
        <v>5</v>
      </c>
      <c r="I160" s="25">
        <v>43220</v>
      </c>
      <c r="J160" s="24">
        <v>43394</v>
      </c>
    </row>
    <row r="161" spans="2:10" x14ac:dyDescent="0.2">
      <c r="B161" s="22">
        <v>156</v>
      </c>
      <c r="C161" s="23" t="s">
        <v>15454</v>
      </c>
      <c r="D161" s="23" t="s">
        <v>830</v>
      </c>
      <c r="E161" s="20" t="s">
        <v>15455</v>
      </c>
      <c r="F161" s="22">
        <v>125</v>
      </c>
      <c r="G161" s="22" t="s">
        <v>15456</v>
      </c>
      <c r="H161" s="22">
        <v>120</v>
      </c>
      <c r="I161" s="25">
        <v>43143</v>
      </c>
      <c r="J161" s="24">
        <v>43226</v>
      </c>
    </row>
    <row r="162" spans="2:10" x14ac:dyDescent="0.2">
      <c r="B162" s="22">
        <v>157</v>
      </c>
      <c r="C162" s="23" t="s">
        <v>15457</v>
      </c>
      <c r="D162" s="23" t="s">
        <v>1594</v>
      </c>
      <c r="E162" s="20" t="s">
        <v>15458</v>
      </c>
      <c r="F162" s="22">
        <v>441</v>
      </c>
      <c r="G162" s="22" t="s">
        <v>15459</v>
      </c>
      <c r="H162" s="22">
        <v>441</v>
      </c>
      <c r="I162" s="25">
        <v>43122</v>
      </c>
      <c r="J162" s="24">
        <v>43198</v>
      </c>
    </row>
    <row r="163" spans="2:10" x14ac:dyDescent="0.2">
      <c r="B163" s="22">
        <v>158</v>
      </c>
      <c r="C163" s="23" t="s">
        <v>15460</v>
      </c>
      <c r="D163" s="23" t="s">
        <v>15461</v>
      </c>
      <c r="E163" s="20" t="s">
        <v>15462</v>
      </c>
      <c r="F163" s="22">
        <v>244</v>
      </c>
      <c r="G163" s="22" t="s">
        <v>15463</v>
      </c>
      <c r="H163" s="22">
        <v>244</v>
      </c>
      <c r="I163" s="25">
        <v>43178</v>
      </c>
      <c r="J163" s="24">
        <v>43254</v>
      </c>
    </row>
    <row r="164" spans="2:10" x14ac:dyDescent="0.2">
      <c r="B164" s="22">
        <v>159</v>
      </c>
      <c r="C164" s="23" t="s">
        <v>15464</v>
      </c>
      <c r="D164" s="23" t="s">
        <v>10283</v>
      </c>
      <c r="E164" s="20" t="s">
        <v>15465</v>
      </c>
      <c r="F164" s="22">
        <v>46</v>
      </c>
      <c r="G164" s="22" t="s">
        <v>15466</v>
      </c>
      <c r="H164" s="22">
        <v>8</v>
      </c>
      <c r="I164" s="25">
        <v>43206</v>
      </c>
      <c r="J164" s="24">
        <v>43408</v>
      </c>
    </row>
    <row r="165" spans="2:10" x14ac:dyDescent="0.2">
      <c r="B165" s="22">
        <v>160</v>
      </c>
      <c r="C165" s="23" t="s">
        <v>15467</v>
      </c>
      <c r="D165" s="23" t="s">
        <v>1015</v>
      </c>
      <c r="E165" s="20" t="s">
        <v>15468</v>
      </c>
      <c r="F165" s="22">
        <v>402</v>
      </c>
      <c r="G165" s="22" t="s">
        <v>15469</v>
      </c>
      <c r="H165" s="22">
        <v>6</v>
      </c>
      <c r="I165" s="25">
        <v>43365</v>
      </c>
      <c r="J165" s="24">
        <v>43141</v>
      </c>
    </row>
    <row r="166" spans="2:10" x14ac:dyDescent="0.2">
      <c r="B166" s="22">
        <v>161</v>
      </c>
      <c r="C166" s="23" t="s">
        <v>15470</v>
      </c>
      <c r="D166" s="23" t="s">
        <v>15471</v>
      </c>
      <c r="E166" s="20" t="s">
        <v>15472</v>
      </c>
      <c r="F166" s="22">
        <v>143</v>
      </c>
      <c r="G166" s="22" t="s">
        <v>15473</v>
      </c>
      <c r="H166" s="22">
        <v>12</v>
      </c>
      <c r="I166" s="25">
        <v>43360</v>
      </c>
      <c r="J166" s="24">
        <v>43436</v>
      </c>
    </row>
    <row r="167" spans="2:10" x14ac:dyDescent="0.2">
      <c r="B167" s="22">
        <v>162</v>
      </c>
      <c r="C167" s="23" t="s">
        <v>15474</v>
      </c>
      <c r="D167" s="23" t="s">
        <v>1015</v>
      </c>
      <c r="E167" s="20" t="s">
        <v>15475</v>
      </c>
      <c r="F167" s="22">
        <v>236</v>
      </c>
      <c r="G167" s="22" t="s">
        <v>15476</v>
      </c>
      <c r="H167" s="22">
        <v>6</v>
      </c>
      <c r="I167" s="25">
        <v>43463</v>
      </c>
      <c r="J167" s="24">
        <v>43246</v>
      </c>
    </row>
    <row r="168" spans="2:10" x14ac:dyDescent="0.2">
      <c r="B168" s="22">
        <v>163</v>
      </c>
      <c r="C168" s="23" t="s">
        <v>15477</v>
      </c>
      <c r="D168" s="23" t="s">
        <v>1015</v>
      </c>
      <c r="E168" s="20" t="s">
        <v>15478</v>
      </c>
      <c r="F168" s="22">
        <v>350</v>
      </c>
      <c r="G168" s="22" t="s">
        <v>15479</v>
      </c>
      <c r="H168" s="22">
        <v>350</v>
      </c>
      <c r="I168" s="25">
        <v>43185</v>
      </c>
      <c r="J168" s="24">
        <v>43296</v>
      </c>
    </row>
    <row r="169" spans="2:10" x14ac:dyDescent="0.2">
      <c r="B169" s="22">
        <v>164</v>
      </c>
      <c r="C169" s="23" t="s">
        <v>15480</v>
      </c>
      <c r="D169" s="23" t="s">
        <v>1294</v>
      </c>
      <c r="E169" s="20" t="s">
        <v>15481</v>
      </c>
      <c r="F169" s="22">
        <v>115</v>
      </c>
      <c r="G169" s="22" t="s">
        <v>15482</v>
      </c>
      <c r="H169" s="22">
        <v>7</v>
      </c>
      <c r="I169" s="25">
        <v>43262</v>
      </c>
      <c r="J169" s="24">
        <v>43359</v>
      </c>
    </row>
    <row r="170" spans="2:10" x14ac:dyDescent="0.2">
      <c r="B170" s="22">
        <v>165</v>
      </c>
      <c r="C170" s="23" t="s">
        <v>15483</v>
      </c>
      <c r="D170" s="23" t="s">
        <v>15484</v>
      </c>
      <c r="E170" s="20" t="s">
        <v>15485</v>
      </c>
      <c r="F170" s="22">
        <v>897</v>
      </c>
      <c r="G170" s="22" t="s">
        <v>15486</v>
      </c>
      <c r="H170" s="22">
        <v>897</v>
      </c>
      <c r="I170" s="25">
        <v>43199</v>
      </c>
      <c r="J170" s="24">
        <v>43282</v>
      </c>
    </row>
    <row r="171" spans="2:10" x14ac:dyDescent="0.2">
      <c r="B171" s="22">
        <v>166</v>
      </c>
      <c r="C171" s="23" t="s">
        <v>15487</v>
      </c>
      <c r="D171" s="23" t="s">
        <v>2197</v>
      </c>
      <c r="E171" s="20" t="s">
        <v>15488</v>
      </c>
      <c r="F171" s="22">
        <v>486</v>
      </c>
      <c r="G171" s="22" t="s">
        <v>15489</v>
      </c>
      <c r="H171" s="22">
        <v>486</v>
      </c>
      <c r="I171" s="25">
        <v>43388</v>
      </c>
      <c r="J171" s="24">
        <v>43422</v>
      </c>
    </row>
    <row r="172" spans="2:10" x14ac:dyDescent="0.2">
      <c r="B172" s="22">
        <v>167</v>
      </c>
      <c r="C172" s="23" t="s">
        <v>15490</v>
      </c>
      <c r="D172" s="23" t="s">
        <v>830</v>
      </c>
      <c r="E172" s="20" t="s">
        <v>15491</v>
      </c>
      <c r="F172" s="22">
        <v>232</v>
      </c>
      <c r="G172" s="22" t="s">
        <v>15492</v>
      </c>
      <c r="H172" s="22">
        <v>4</v>
      </c>
      <c r="I172" s="25">
        <v>43358</v>
      </c>
      <c r="J172" s="24">
        <v>43450</v>
      </c>
    </row>
    <row r="173" spans="2:10" x14ac:dyDescent="0.2">
      <c r="B173" s="22">
        <v>168</v>
      </c>
      <c r="C173" s="23" t="s">
        <v>15493</v>
      </c>
      <c r="D173" s="23" t="s">
        <v>13262</v>
      </c>
      <c r="E173" s="20" t="s">
        <v>15494</v>
      </c>
      <c r="F173" s="22">
        <v>2.0369999999999999</v>
      </c>
      <c r="G173" s="22" t="s">
        <v>1159</v>
      </c>
      <c r="H173" s="22" t="s">
        <v>1159</v>
      </c>
      <c r="I173" s="25">
        <v>43280</v>
      </c>
      <c r="J173" s="24">
        <v>43280</v>
      </c>
    </row>
    <row r="174" spans="2:10" x14ac:dyDescent="0.2">
      <c r="B174" s="22">
        <v>169</v>
      </c>
      <c r="C174" s="23" t="s">
        <v>15495</v>
      </c>
      <c r="D174" s="23" t="s">
        <v>1015</v>
      </c>
      <c r="E174" s="20" t="s">
        <v>15496</v>
      </c>
      <c r="F174" s="22">
        <v>206</v>
      </c>
      <c r="G174" s="22" t="s">
        <v>4268</v>
      </c>
      <c r="H174" s="22">
        <v>3</v>
      </c>
      <c r="I174" s="25">
        <v>43459</v>
      </c>
      <c r="J174" s="24">
        <v>43232</v>
      </c>
    </row>
    <row r="175" spans="2:10" x14ac:dyDescent="0.2">
      <c r="B175" s="22">
        <v>170</v>
      </c>
      <c r="C175" s="23" t="s">
        <v>15497</v>
      </c>
      <c r="D175" s="23" t="s">
        <v>643</v>
      </c>
      <c r="E175" s="20" t="s">
        <v>15498</v>
      </c>
      <c r="F175" s="22">
        <v>131</v>
      </c>
      <c r="G175" s="22" t="s">
        <v>15499</v>
      </c>
      <c r="H175" s="22">
        <v>5</v>
      </c>
      <c r="I175" s="25">
        <v>43451</v>
      </c>
      <c r="J175" s="24">
        <v>43197</v>
      </c>
    </row>
    <row r="176" spans="2:10" x14ac:dyDescent="0.2">
      <c r="B176" s="22">
        <v>171</v>
      </c>
      <c r="C176" s="23" t="s">
        <v>15500</v>
      </c>
      <c r="D176" s="23" t="s">
        <v>1015</v>
      </c>
      <c r="E176" s="20" t="s">
        <v>15501</v>
      </c>
      <c r="F176" s="22">
        <v>83</v>
      </c>
      <c r="G176" s="22" t="s">
        <v>15502</v>
      </c>
      <c r="H176" s="22">
        <v>9</v>
      </c>
      <c r="I176" s="25">
        <v>43157</v>
      </c>
      <c r="J176" s="24">
        <v>43282</v>
      </c>
    </row>
    <row r="177" spans="2:10" x14ac:dyDescent="0.2">
      <c r="B177" s="22">
        <v>172</v>
      </c>
      <c r="C177" s="23" t="s">
        <v>15503</v>
      </c>
      <c r="D177" s="23" t="s">
        <v>1043</v>
      </c>
      <c r="E177" s="20" t="s">
        <v>15504</v>
      </c>
      <c r="F177" s="22">
        <v>100</v>
      </c>
      <c r="G177" s="22" t="s">
        <v>15505</v>
      </c>
      <c r="H177" s="22">
        <v>6</v>
      </c>
      <c r="I177" s="25">
        <v>43437</v>
      </c>
      <c r="J177" s="24">
        <v>43204</v>
      </c>
    </row>
    <row r="178" spans="2:10" x14ac:dyDescent="0.2">
      <c r="B178" s="22">
        <v>173</v>
      </c>
      <c r="C178" s="23" t="s">
        <v>15506</v>
      </c>
      <c r="D178" s="23" t="s">
        <v>1594</v>
      </c>
      <c r="E178" s="20" t="s">
        <v>15507</v>
      </c>
      <c r="F178" s="22">
        <v>67</v>
      </c>
      <c r="G178" s="22" t="s">
        <v>15508</v>
      </c>
      <c r="H178" s="22">
        <v>19</v>
      </c>
      <c r="I178" s="25">
        <v>43220</v>
      </c>
      <c r="J178" s="24">
        <v>43324</v>
      </c>
    </row>
    <row r="179" spans="2:10" x14ac:dyDescent="0.2">
      <c r="B179" s="22">
        <v>174</v>
      </c>
      <c r="C179" s="23" t="s">
        <v>15509</v>
      </c>
      <c r="D179" s="23" t="s">
        <v>15226</v>
      </c>
      <c r="E179" s="20" t="s">
        <v>15510</v>
      </c>
      <c r="F179" s="22">
        <v>125</v>
      </c>
      <c r="G179" s="22" t="s">
        <v>15511</v>
      </c>
      <c r="H179" s="22">
        <v>6</v>
      </c>
      <c r="I179" s="25">
        <v>43381</v>
      </c>
      <c r="J179" s="24">
        <v>43464</v>
      </c>
    </row>
    <row r="180" spans="2:10" x14ac:dyDescent="0.2">
      <c r="B180" s="22">
        <v>175</v>
      </c>
      <c r="C180" s="23" t="s">
        <v>15512</v>
      </c>
      <c r="D180" s="23" t="s">
        <v>740</v>
      </c>
      <c r="E180" s="20" t="s">
        <v>15513</v>
      </c>
      <c r="F180" s="22">
        <v>83</v>
      </c>
      <c r="G180" s="22" t="s">
        <v>15514</v>
      </c>
      <c r="H180" s="22">
        <v>7</v>
      </c>
      <c r="I180" s="25">
        <v>43456</v>
      </c>
      <c r="J180" s="24">
        <v>43162</v>
      </c>
    </row>
    <row r="181" spans="2:10" x14ac:dyDescent="0.2">
      <c r="B181" s="22">
        <v>176</v>
      </c>
      <c r="C181" s="23" t="s">
        <v>15515</v>
      </c>
      <c r="D181" s="23" t="s">
        <v>563</v>
      </c>
      <c r="E181" s="20" t="s">
        <v>15516</v>
      </c>
      <c r="F181" s="22">
        <v>442</v>
      </c>
      <c r="G181" s="22" t="s">
        <v>15517</v>
      </c>
      <c r="H181" s="22">
        <v>45</v>
      </c>
      <c r="I181" s="25">
        <v>43318</v>
      </c>
      <c r="J181" s="24">
        <v>43387</v>
      </c>
    </row>
    <row r="182" spans="2:10" x14ac:dyDescent="0.2">
      <c r="B182" s="22">
        <v>177</v>
      </c>
      <c r="C182" s="23" t="s">
        <v>15518</v>
      </c>
      <c r="D182" s="23" t="s">
        <v>1217</v>
      </c>
      <c r="E182" s="20" t="s">
        <v>15519</v>
      </c>
      <c r="F182" s="22">
        <v>207</v>
      </c>
      <c r="G182" s="22" t="s">
        <v>15520</v>
      </c>
      <c r="H182" s="22">
        <v>207</v>
      </c>
      <c r="I182" s="25">
        <v>43241</v>
      </c>
      <c r="J182" s="24">
        <v>43275</v>
      </c>
    </row>
    <row r="183" spans="2:10" x14ac:dyDescent="0.2">
      <c r="B183" s="22">
        <v>178</v>
      </c>
      <c r="C183" s="23" t="s">
        <v>15521</v>
      </c>
      <c r="D183" s="23" t="s">
        <v>1015</v>
      </c>
      <c r="E183" s="20" t="s">
        <v>15522</v>
      </c>
      <c r="F183" s="22">
        <v>74</v>
      </c>
      <c r="G183" s="22" t="s">
        <v>15523</v>
      </c>
      <c r="H183" s="22">
        <v>3</v>
      </c>
      <c r="I183" s="25">
        <v>43262</v>
      </c>
      <c r="J183" s="24">
        <v>43394</v>
      </c>
    </row>
    <row r="184" spans="2:10" x14ac:dyDescent="0.2">
      <c r="B184" s="22">
        <v>179</v>
      </c>
      <c r="C184" s="23" t="s">
        <v>15524</v>
      </c>
      <c r="D184" s="23" t="s">
        <v>1294</v>
      </c>
      <c r="E184" s="20" t="s">
        <v>15525</v>
      </c>
      <c r="F184" s="22">
        <v>76</v>
      </c>
      <c r="G184" s="22" t="s">
        <v>15526</v>
      </c>
      <c r="H184" s="22">
        <v>5</v>
      </c>
      <c r="I184" s="25">
        <v>43318</v>
      </c>
      <c r="J184" s="24">
        <v>43415</v>
      </c>
    </row>
    <row r="185" spans="2:10" x14ac:dyDescent="0.2">
      <c r="B185" s="22">
        <v>180</v>
      </c>
      <c r="C185" s="23" t="s">
        <v>15527</v>
      </c>
      <c r="D185" s="23" t="s">
        <v>1377</v>
      </c>
      <c r="E185" s="20" t="s">
        <v>15528</v>
      </c>
      <c r="F185" s="22">
        <v>124</v>
      </c>
      <c r="G185" s="22" t="s">
        <v>15529</v>
      </c>
      <c r="H185" s="22">
        <v>124</v>
      </c>
      <c r="I185" s="25">
        <v>43255</v>
      </c>
      <c r="J185" s="24">
        <v>43292</v>
      </c>
    </row>
    <row r="186" spans="2:10" x14ac:dyDescent="0.2">
      <c r="B186" s="22">
        <v>181</v>
      </c>
      <c r="C186" s="23" t="s">
        <v>15530</v>
      </c>
      <c r="D186" s="23" t="s">
        <v>1043</v>
      </c>
      <c r="E186" s="20" t="s">
        <v>15531</v>
      </c>
      <c r="F186" s="22">
        <v>217</v>
      </c>
      <c r="G186" s="22" t="s">
        <v>15532</v>
      </c>
      <c r="H186" s="22">
        <v>193</v>
      </c>
      <c r="I186" s="25">
        <v>43206</v>
      </c>
      <c r="J186" s="24">
        <v>43296</v>
      </c>
    </row>
    <row r="187" spans="2:10" x14ac:dyDescent="0.2">
      <c r="B187" s="22">
        <v>182</v>
      </c>
      <c r="C187" s="23" t="s">
        <v>15533</v>
      </c>
      <c r="D187" s="23" t="s">
        <v>820</v>
      </c>
      <c r="E187" s="20" t="s">
        <v>15534</v>
      </c>
      <c r="F187" s="22">
        <v>215</v>
      </c>
      <c r="G187" s="22" t="s">
        <v>15535</v>
      </c>
      <c r="H187" s="22">
        <v>4</v>
      </c>
      <c r="I187" s="25">
        <v>43381</v>
      </c>
      <c r="J187" s="24">
        <v>43443</v>
      </c>
    </row>
    <row r="188" spans="2:10" x14ac:dyDescent="0.2">
      <c r="B188" s="22">
        <v>183</v>
      </c>
      <c r="C188" s="23" t="s">
        <v>15536</v>
      </c>
      <c r="D188" s="23" t="s">
        <v>9796</v>
      </c>
      <c r="E188" s="20" t="s">
        <v>15537</v>
      </c>
      <c r="F188" s="22">
        <v>52</v>
      </c>
      <c r="G188" s="22" t="s">
        <v>15538</v>
      </c>
      <c r="H188" s="22">
        <v>2</v>
      </c>
      <c r="I188" s="25">
        <v>43276</v>
      </c>
      <c r="J188" s="24">
        <v>43439</v>
      </c>
    </row>
    <row r="189" spans="2:10" x14ac:dyDescent="0.2">
      <c r="B189" s="22">
        <v>184</v>
      </c>
      <c r="C189" s="23" t="s">
        <v>15539</v>
      </c>
      <c r="D189" s="23" t="s">
        <v>1415</v>
      </c>
      <c r="E189" s="20" t="s">
        <v>15540</v>
      </c>
      <c r="F189" s="22">
        <v>68</v>
      </c>
      <c r="G189" s="22" t="s">
        <v>15541</v>
      </c>
      <c r="H189" s="22">
        <v>62</v>
      </c>
      <c r="I189" s="25">
        <v>43353</v>
      </c>
      <c r="J189" s="24">
        <v>43373</v>
      </c>
    </row>
    <row r="190" spans="2:10" x14ac:dyDescent="0.2">
      <c r="B190" s="22">
        <v>185</v>
      </c>
      <c r="C190" s="23" t="s">
        <v>15542</v>
      </c>
      <c r="D190" s="23" t="s">
        <v>1015</v>
      </c>
      <c r="E190" s="20" t="s">
        <v>15543</v>
      </c>
      <c r="F190" s="22">
        <v>52</v>
      </c>
      <c r="G190" s="22" t="s">
        <v>15544</v>
      </c>
      <c r="H190" s="22">
        <v>4</v>
      </c>
      <c r="I190" s="25">
        <v>43248</v>
      </c>
      <c r="J190" s="24">
        <v>43394</v>
      </c>
    </row>
    <row r="191" spans="2:10" x14ac:dyDescent="0.2">
      <c r="B191" s="22">
        <v>186</v>
      </c>
      <c r="C191" s="23" t="s">
        <v>15545</v>
      </c>
      <c r="D191" s="23" t="s">
        <v>1415</v>
      </c>
      <c r="E191" s="20" t="s">
        <v>15546</v>
      </c>
      <c r="F191" s="22">
        <v>82</v>
      </c>
      <c r="G191" s="22" t="s">
        <v>15547</v>
      </c>
      <c r="H191" s="22">
        <v>82</v>
      </c>
      <c r="I191" s="25">
        <v>43220</v>
      </c>
      <c r="J191" s="24">
        <v>43240</v>
      </c>
    </row>
    <row r="192" spans="2:10" x14ac:dyDescent="0.2">
      <c r="B192" s="22">
        <v>187</v>
      </c>
      <c r="C192" s="23" t="s">
        <v>15548</v>
      </c>
      <c r="D192" s="23" t="s">
        <v>1415</v>
      </c>
      <c r="E192" s="20" t="s">
        <v>15549</v>
      </c>
      <c r="F192" s="22">
        <v>86</v>
      </c>
      <c r="G192" s="22" t="s">
        <v>15550</v>
      </c>
      <c r="H192" s="22">
        <v>86</v>
      </c>
      <c r="I192" s="25">
        <v>43409</v>
      </c>
      <c r="J192" s="24">
        <v>43429</v>
      </c>
    </row>
    <row r="193" spans="2:10" x14ac:dyDescent="0.2">
      <c r="B193" s="22">
        <v>188</v>
      </c>
      <c r="C193" s="23" t="s">
        <v>15551</v>
      </c>
      <c r="D193" s="23" t="s">
        <v>1015</v>
      </c>
      <c r="E193" s="20" t="s">
        <v>15552</v>
      </c>
      <c r="F193" s="22">
        <v>119</v>
      </c>
      <c r="G193" s="22" t="s">
        <v>12613</v>
      </c>
      <c r="H193" s="22">
        <v>4</v>
      </c>
      <c r="I193" s="25">
        <v>43227</v>
      </c>
      <c r="J193" s="24">
        <v>43394</v>
      </c>
    </row>
    <row r="194" spans="2:10" x14ac:dyDescent="0.2">
      <c r="B194" s="22">
        <v>189</v>
      </c>
      <c r="C194" s="23" t="s">
        <v>15553</v>
      </c>
      <c r="D194" s="23" t="s">
        <v>1015</v>
      </c>
      <c r="E194" s="20" t="s">
        <v>15554</v>
      </c>
      <c r="F194" s="22">
        <v>89</v>
      </c>
      <c r="G194" s="22" t="s">
        <v>15555</v>
      </c>
      <c r="H194" s="22">
        <v>3</v>
      </c>
      <c r="I194" s="25">
        <v>43423</v>
      </c>
      <c r="J194" s="24">
        <v>43204</v>
      </c>
    </row>
    <row r="195" spans="2:10" x14ac:dyDescent="0.2">
      <c r="B195" s="22">
        <v>190</v>
      </c>
      <c r="C195" s="23" t="s">
        <v>15556</v>
      </c>
      <c r="D195" s="23" t="s">
        <v>1377</v>
      </c>
      <c r="E195" s="20" t="s">
        <v>15557</v>
      </c>
      <c r="F195" s="22">
        <v>108</v>
      </c>
      <c r="G195" s="22" t="s">
        <v>15558</v>
      </c>
      <c r="H195" s="22">
        <v>108</v>
      </c>
      <c r="I195" s="25">
        <v>43456</v>
      </c>
      <c r="J195" s="24">
        <v>43120</v>
      </c>
    </row>
    <row r="196" spans="2:10" x14ac:dyDescent="0.2">
      <c r="B196" s="22">
        <v>191</v>
      </c>
      <c r="C196" s="23" t="s">
        <v>15559</v>
      </c>
      <c r="D196" s="23" t="s">
        <v>1183</v>
      </c>
      <c r="E196" s="20" t="s">
        <v>15560</v>
      </c>
      <c r="F196" s="22">
        <v>47</v>
      </c>
      <c r="G196" s="22" t="s">
        <v>15561</v>
      </c>
      <c r="H196" s="22">
        <v>15</v>
      </c>
      <c r="I196" s="25">
        <v>43199</v>
      </c>
      <c r="J196" s="24">
        <v>43320</v>
      </c>
    </row>
    <row r="197" spans="2:10" x14ac:dyDescent="0.2">
      <c r="B197" s="22">
        <v>192</v>
      </c>
      <c r="C197" s="23" t="s">
        <v>15562</v>
      </c>
      <c r="D197" s="23" t="s">
        <v>643</v>
      </c>
      <c r="E197" s="20" t="s">
        <v>15563</v>
      </c>
      <c r="F197" s="22">
        <v>107</v>
      </c>
      <c r="G197" s="22" t="s">
        <v>15564</v>
      </c>
      <c r="H197" s="22">
        <v>11</v>
      </c>
      <c r="I197" s="25">
        <v>43367</v>
      </c>
      <c r="J197" s="24">
        <v>43415</v>
      </c>
    </row>
    <row r="198" spans="2:10" x14ac:dyDescent="0.2">
      <c r="B198" s="22">
        <v>193</v>
      </c>
      <c r="C198" s="23" t="s">
        <v>15565</v>
      </c>
      <c r="D198" s="23" t="s">
        <v>1015</v>
      </c>
      <c r="E198" s="20" t="s">
        <v>15566</v>
      </c>
      <c r="F198" s="22">
        <v>61</v>
      </c>
      <c r="G198" s="22" t="s">
        <v>15567</v>
      </c>
      <c r="H198" s="22">
        <v>7</v>
      </c>
      <c r="I198" s="25">
        <v>43325</v>
      </c>
      <c r="J198" s="24">
        <v>43176</v>
      </c>
    </row>
    <row r="199" spans="2:10" x14ac:dyDescent="0.2">
      <c r="B199" s="22">
        <v>194</v>
      </c>
      <c r="C199" s="23" t="s">
        <v>15568</v>
      </c>
      <c r="D199" s="23" t="s">
        <v>10952</v>
      </c>
      <c r="E199" s="20" t="s">
        <v>15569</v>
      </c>
      <c r="F199" s="22">
        <v>60</v>
      </c>
      <c r="G199" s="22" t="s">
        <v>15570</v>
      </c>
      <c r="H199" s="22">
        <v>7</v>
      </c>
      <c r="I199" s="25">
        <v>43451</v>
      </c>
      <c r="J199" s="24">
        <v>43197</v>
      </c>
    </row>
    <row r="200" spans="2:10" x14ac:dyDescent="0.2">
      <c r="B200" s="22">
        <v>195</v>
      </c>
      <c r="C200" s="23" t="s">
        <v>15571</v>
      </c>
      <c r="D200" s="23" t="s">
        <v>15572</v>
      </c>
      <c r="E200" s="20" t="s">
        <v>15573</v>
      </c>
      <c r="F200" s="22">
        <v>417</v>
      </c>
      <c r="G200" s="22" t="s">
        <v>15574</v>
      </c>
      <c r="H200" s="22">
        <v>417</v>
      </c>
      <c r="I200" s="25">
        <v>43206</v>
      </c>
      <c r="J200" s="24">
        <v>43233</v>
      </c>
    </row>
    <row r="201" spans="2:10" x14ac:dyDescent="0.2">
      <c r="B201" s="22">
        <v>196</v>
      </c>
      <c r="C201" s="23" t="s">
        <v>15575</v>
      </c>
      <c r="D201" s="23" t="s">
        <v>1139</v>
      </c>
      <c r="E201" s="20" t="s">
        <v>15576</v>
      </c>
      <c r="F201" s="22">
        <v>95</v>
      </c>
      <c r="G201" s="22" t="s">
        <v>15577</v>
      </c>
      <c r="H201" s="22">
        <v>95</v>
      </c>
      <c r="I201" s="25">
        <v>43150</v>
      </c>
      <c r="J201" s="24">
        <v>43219</v>
      </c>
    </row>
    <row r="202" spans="2:10" x14ac:dyDescent="0.2">
      <c r="B202" s="22">
        <v>197</v>
      </c>
      <c r="C202" s="23" t="s">
        <v>15578</v>
      </c>
      <c r="D202" s="23" t="s">
        <v>1377</v>
      </c>
      <c r="E202" s="20" t="s">
        <v>15579</v>
      </c>
      <c r="F202" s="22">
        <v>108</v>
      </c>
      <c r="G202" s="22" t="s">
        <v>15580</v>
      </c>
      <c r="H202" s="22">
        <v>108</v>
      </c>
      <c r="I202" s="25">
        <v>43423</v>
      </c>
      <c r="J202" s="24">
        <v>43450</v>
      </c>
    </row>
    <row r="203" spans="2:10" x14ac:dyDescent="0.2">
      <c r="B203" s="22">
        <v>198</v>
      </c>
      <c r="C203" s="23" t="s">
        <v>15581</v>
      </c>
      <c r="D203" s="23" t="s">
        <v>4266</v>
      </c>
      <c r="E203" s="20" t="s">
        <v>15582</v>
      </c>
      <c r="F203" s="22">
        <v>30</v>
      </c>
      <c r="G203" s="22" t="s">
        <v>1159</v>
      </c>
      <c r="H203" s="22" t="s">
        <v>1159</v>
      </c>
      <c r="I203" s="25">
        <v>43339</v>
      </c>
      <c r="J203" s="24">
        <v>43344</v>
      </c>
    </row>
    <row r="204" spans="2:10" x14ac:dyDescent="0.2">
      <c r="B204" s="22">
        <v>199</v>
      </c>
      <c r="C204" s="23" t="s">
        <v>15583</v>
      </c>
      <c r="D204" s="23" t="s">
        <v>9796</v>
      </c>
      <c r="E204" s="20" t="s">
        <v>15584</v>
      </c>
      <c r="F204" s="22">
        <v>21</v>
      </c>
      <c r="G204" s="22" t="s">
        <v>15585</v>
      </c>
      <c r="H204" s="22">
        <v>12</v>
      </c>
      <c r="I204" s="25">
        <v>43318</v>
      </c>
      <c r="J204" s="24">
        <v>43288</v>
      </c>
    </row>
    <row r="205" spans="2:10" x14ac:dyDescent="0.2">
      <c r="B205" s="22">
        <v>200</v>
      </c>
      <c r="C205" s="23" t="s">
        <v>15586</v>
      </c>
      <c r="D205" s="23" t="s">
        <v>1043</v>
      </c>
      <c r="E205" s="20" t="s">
        <v>15587</v>
      </c>
      <c r="F205" s="22">
        <v>47</v>
      </c>
      <c r="G205" s="22" t="s">
        <v>15588</v>
      </c>
      <c r="H205" s="22">
        <v>33</v>
      </c>
      <c r="I205" s="25">
        <v>43234</v>
      </c>
      <c r="J205" s="24">
        <v>43373</v>
      </c>
    </row>
    <row r="206" spans="2:10" x14ac:dyDescent="0.2">
      <c r="B206" s="22">
        <v>201</v>
      </c>
      <c r="C206" s="23" t="s">
        <v>15589</v>
      </c>
      <c r="D206" s="23" t="s">
        <v>1415</v>
      </c>
      <c r="E206" s="20" t="s">
        <v>15590</v>
      </c>
      <c r="F206" s="22">
        <v>91</v>
      </c>
      <c r="G206" s="22" t="s">
        <v>15591</v>
      </c>
      <c r="H206" s="22">
        <v>91</v>
      </c>
      <c r="I206" s="25">
        <v>43374</v>
      </c>
      <c r="J206" s="24">
        <v>43401</v>
      </c>
    </row>
    <row r="207" spans="2:10" x14ac:dyDescent="0.2">
      <c r="B207" s="22">
        <v>202</v>
      </c>
      <c r="C207" s="23" t="s">
        <v>15592</v>
      </c>
      <c r="D207" s="23" t="s">
        <v>1377</v>
      </c>
      <c r="E207" s="20" t="s">
        <v>15593</v>
      </c>
      <c r="F207" s="22">
        <v>85</v>
      </c>
      <c r="G207" s="22" t="s">
        <v>15594</v>
      </c>
      <c r="H207" s="22">
        <v>85</v>
      </c>
      <c r="I207" s="25">
        <v>43281</v>
      </c>
      <c r="J207" s="24">
        <v>43317</v>
      </c>
    </row>
    <row r="208" spans="2:10" x14ac:dyDescent="0.2">
      <c r="B208" s="22">
        <v>203</v>
      </c>
      <c r="C208" s="23" t="s">
        <v>15595</v>
      </c>
      <c r="D208" s="23" t="s">
        <v>4259</v>
      </c>
      <c r="E208" s="20" t="s">
        <v>15596</v>
      </c>
      <c r="F208" s="22">
        <v>82</v>
      </c>
      <c r="G208" s="22" t="s">
        <v>15597</v>
      </c>
      <c r="H208" s="22">
        <v>23</v>
      </c>
      <c r="I208" s="25">
        <v>43332</v>
      </c>
      <c r="J208" s="24">
        <v>43155</v>
      </c>
    </row>
    <row r="209" spans="2:10" x14ac:dyDescent="0.2">
      <c r="B209" s="22">
        <v>204</v>
      </c>
      <c r="C209" s="23" t="s">
        <v>15598</v>
      </c>
      <c r="D209" s="23" t="s">
        <v>820</v>
      </c>
      <c r="E209" s="20" t="s">
        <v>15599</v>
      </c>
      <c r="F209" s="22">
        <v>28</v>
      </c>
      <c r="G209" s="22" t="s">
        <v>15600</v>
      </c>
      <c r="H209" s="22">
        <v>4</v>
      </c>
      <c r="I209" s="25">
        <v>43332</v>
      </c>
      <c r="J209" s="24">
        <v>43443</v>
      </c>
    </row>
    <row r="210" spans="2:10" x14ac:dyDescent="0.2">
      <c r="B210" s="22">
        <v>205</v>
      </c>
      <c r="C210" s="23" t="s">
        <v>15601</v>
      </c>
      <c r="D210" s="23" t="s">
        <v>1377</v>
      </c>
      <c r="E210" s="20" t="s">
        <v>15602</v>
      </c>
      <c r="F210" s="22">
        <v>70</v>
      </c>
      <c r="G210" s="22" t="s">
        <v>15603</v>
      </c>
      <c r="H210" s="22">
        <v>64</v>
      </c>
      <c r="I210" s="25">
        <v>43325</v>
      </c>
      <c r="J210" s="24">
        <v>43352</v>
      </c>
    </row>
    <row r="211" spans="2:10" x14ac:dyDescent="0.2">
      <c r="B211" s="22">
        <v>206</v>
      </c>
      <c r="C211" s="23" t="s">
        <v>15604</v>
      </c>
      <c r="D211" s="23" t="s">
        <v>11803</v>
      </c>
      <c r="E211" s="20" t="s">
        <v>15605</v>
      </c>
      <c r="F211" s="22">
        <v>252</v>
      </c>
      <c r="G211" s="22" t="s">
        <v>15606</v>
      </c>
      <c r="H211" s="22">
        <v>252</v>
      </c>
      <c r="I211" s="25">
        <v>43318</v>
      </c>
      <c r="J211" s="24">
        <v>43338</v>
      </c>
    </row>
    <row r="212" spans="2:10" x14ac:dyDescent="0.2">
      <c r="B212" s="22">
        <v>207</v>
      </c>
      <c r="C212" s="23" t="s">
        <v>15607</v>
      </c>
      <c r="D212" s="23" t="s">
        <v>1213</v>
      </c>
      <c r="E212" s="20" t="s">
        <v>15608</v>
      </c>
      <c r="F212" s="22">
        <v>36</v>
      </c>
      <c r="G212" s="22" t="s">
        <v>6802</v>
      </c>
      <c r="H212" s="22">
        <v>4</v>
      </c>
      <c r="I212" s="25">
        <v>43129</v>
      </c>
      <c r="J212" s="24">
        <v>43268</v>
      </c>
    </row>
    <row r="213" spans="2:10" x14ac:dyDescent="0.2">
      <c r="B213" s="22">
        <v>208</v>
      </c>
      <c r="C213" s="23" t="s">
        <v>15609</v>
      </c>
      <c r="D213" s="23" t="s">
        <v>1217</v>
      </c>
      <c r="E213" s="20" t="s">
        <v>15610</v>
      </c>
      <c r="F213" s="22">
        <v>120</v>
      </c>
      <c r="G213" s="22" t="s">
        <v>15611</v>
      </c>
      <c r="H213" s="22">
        <v>120</v>
      </c>
      <c r="I213" s="25">
        <v>43269</v>
      </c>
      <c r="J213" s="24">
        <v>43289</v>
      </c>
    </row>
    <row r="214" spans="2:10" x14ac:dyDescent="0.2">
      <c r="B214" s="22">
        <v>209</v>
      </c>
      <c r="C214" s="23" t="s">
        <v>15612</v>
      </c>
      <c r="D214" s="23" t="s">
        <v>1559</v>
      </c>
      <c r="E214" s="20" t="s">
        <v>15613</v>
      </c>
      <c r="F214" s="22">
        <v>37</v>
      </c>
      <c r="G214" s="22" t="s">
        <v>15614</v>
      </c>
      <c r="H214" s="22">
        <v>1</v>
      </c>
      <c r="I214" s="25">
        <v>43164</v>
      </c>
      <c r="J214" s="24">
        <v>43310</v>
      </c>
    </row>
    <row r="215" spans="2:10" x14ac:dyDescent="0.2">
      <c r="B215" s="22">
        <v>210</v>
      </c>
      <c r="C215" s="23" t="s">
        <v>15615</v>
      </c>
      <c r="D215" s="23" t="s">
        <v>1640</v>
      </c>
      <c r="E215" s="20" t="s">
        <v>15616</v>
      </c>
      <c r="F215" s="22">
        <v>23</v>
      </c>
      <c r="G215" s="22" t="s">
        <v>15617</v>
      </c>
      <c r="H215" s="22">
        <v>2</v>
      </c>
      <c r="I215" s="25">
        <v>43176</v>
      </c>
      <c r="J215" s="24">
        <v>43359</v>
      </c>
    </row>
    <row r="216" spans="2:10" x14ac:dyDescent="0.2">
      <c r="B216" s="22">
        <v>211</v>
      </c>
      <c r="C216" s="23" t="s">
        <v>15618</v>
      </c>
      <c r="D216" s="23" t="s">
        <v>563</v>
      </c>
      <c r="E216" s="20" t="s">
        <v>15619</v>
      </c>
      <c r="F216" s="22">
        <v>17</v>
      </c>
      <c r="G216" s="22" t="s">
        <v>15620</v>
      </c>
      <c r="H216" s="22">
        <v>15</v>
      </c>
      <c r="I216" s="25">
        <v>43437</v>
      </c>
      <c r="J216" s="24">
        <v>43106</v>
      </c>
    </row>
    <row r="217" spans="2:10" x14ac:dyDescent="0.2">
      <c r="B217" s="22">
        <v>212</v>
      </c>
      <c r="C217" s="23" t="s">
        <v>15621</v>
      </c>
      <c r="D217" s="23" t="s">
        <v>820</v>
      </c>
      <c r="E217" s="20" t="s">
        <v>15622</v>
      </c>
      <c r="F217" s="22">
        <v>21</v>
      </c>
      <c r="G217" s="22" t="s">
        <v>15623</v>
      </c>
      <c r="H217" s="22">
        <v>2</v>
      </c>
      <c r="I217" s="25">
        <v>43311</v>
      </c>
      <c r="J217" s="24">
        <v>43422</v>
      </c>
    </row>
    <row r="218" spans="2:10" x14ac:dyDescent="0.2">
      <c r="B218" s="22">
        <v>213</v>
      </c>
      <c r="C218" s="23" t="s">
        <v>15624</v>
      </c>
      <c r="D218" s="23" t="s">
        <v>1377</v>
      </c>
      <c r="E218" s="20" t="s">
        <v>15625</v>
      </c>
      <c r="F218" s="22">
        <v>78</v>
      </c>
      <c r="G218" s="22" t="s">
        <v>15626</v>
      </c>
      <c r="H218" s="22">
        <v>78</v>
      </c>
      <c r="I218" s="25">
        <v>43346</v>
      </c>
      <c r="J218" s="24">
        <v>43373</v>
      </c>
    </row>
    <row r="219" spans="2:10" x14ac:dyDescent="0.2">
      <c r="B219" s="22">
        <v>214</v>
      </c>
      <c r="C219" s="23" t="s">
        <v>15627</v>
      </c>
      <c r="D219" s="23" t="s">
        <v>570</v>
      </c>
      <c r="E219" s="20" t="s">
        <v>15628</v>
      </c>
      <c r="F219" s="22">
        <v>700</v>
      </c>
      <c r="G219" s="22" t="s">
        <v>15629</v>
      </c>
      <c r="H219" s="22">
        <v>700</v>
      </c>
      <c r="I219" s="25">
        <v>43367</v>
      </c>
      <c r="J219" s="24">
        <v>43380</v>
      </c>
    </row>
    <row r="220" spans="2:10" x14ac:dyDescent="0.2">
      <c r="B220" s="22">
        <v>215</v>
      </c>
      <c r="C220" s="23" t="s">
        <v>15630</v>
      </c>
      <c r="D220" s="23" t="s">
        <v>7141</v>
      </c>
      <c r="E220" s="20" t="s">
        <v>15631</v>
      </c>
      <c r="F220" s="22">
        <v>23</v>
      </c>
      <c r="G220" s="22" t="s">
        <v>15632</v>
      </c>
      <c r="H220" s="22">
        <v>3</v>
      </c>
      <c r="I220" s="25">
        <v>43134</v>
      </c>
      <c r="J220" s="24">
        <v>43359</v>
      </c>
    </row>
    <row r="221" spans="2:10" x14ac:dyDescent="0.2">
      <c r="B221" s="22">
        <v>216</v>
      </c>
      <c r="C221" s="23" t="s">
        <v>15633</v>
      </c>
      <c r="D221" s="23" t="s">
        <v>13782</v>
      </c>
      <c r="E221" s="20" t="s">
        <v>15634</v>
      </c>
      <c r="F221" s="22">
        <v>17</v>
      </c>
      <c r="G221" s="22" t="s">
        <v>15635</v>
      </c>
      <c r="H221" s="22">
        <v>2</v>
      </c>
      <c r="I221" s="25">
        <v>43248</v>
      </c>
      <c r="J221" s="24">
        <v>43394</v>
      </c>
    </row>
    <row r="222" spans="2:10" x14ac:dyDescent="0.2">
      <c r="B222" s="22">
        <v>217</v>
      </c>
      <c r="C222" s="23" t="s">
        <v>15636</v>
      </c>
      <c r="D222" s="23" t="s">
        <v>1294</v>
      </c>
      <c r="E222" s="20" t="s">
        <v>15637</v>
      </c>
      <c r="F222" s="22">
        <v>36</v>
      </c>
      <c r="G222" s="22" t="s">
        <v>15638</v>
      </c>
      <c r="H222" s="22">
        <v>2</v>
      </c>
      <c r="I222" s="25">
        <v>43178</v>
      </c>
      <c r="J222" s="24">
        <v>43268</v>
      </c>
    </row>
    <row r="223" spans="2:10" x14ac:dyDescent="0.2">
      <c r="B223" s="22">
        <v>218</v>
      </c>
      <c r="C223" s="23" t="s">
        <v>15639</v>
      </c>
      <c r="D223" s="23" t="s">
        <v>1142</v>
      </c>
      <c r="E223" s="20" t="s">
        <v>15640</v>
      </c>
      <c r="F223" s="22">
        <v>29</v>
      </c>
      <c r="G223" s="22" t="s">
        <v>15641</v>
      </c>
      <c r="H223" s="22">
        <v>6</v>
      </c>
      <c r="I223" s="25">
        <v>43367</v>
      </c>
      <c r="J223" s="24">
        <v>43141</v>
      </c>
    </row>
    <row r="224" spans="2:10" x14ac:dyDescent="0.2">
      <c r="B224" s="22">
        <v>219</v>
      </c>
      <c r="C224" s="23" t="s">
        <v>15642</v>
      </c>
      <c r="D224" s="23" t="s">
        <v>563</v>
      </c>
      <c r="E224" s="20" t="s">
        <v>15643</v>
      </c>
      <c r="F224" s="22" t="s">
        <v>1159</v>
      </c>
      <c r="G224" s="22" t="s">
        <v>1159</v>
      </c>
      <c r="H224" s="22" t="s">
        <v>1159</v>
      </c>
      <c r="I224" s="25">
        <v>43310</v>
      </c>
      <c r="J224" s="24">
        <v>43465</v>
      </c>
    </row>
    <row r="225" spans="2:10" x14ac:dyDescent="0.2">
      <c r="B225" s="22">
        <v>220</v>
      </c>
      <c r="C225" s="23" t="s">
        <v>15644</v>
      </c>
      <c r="D225" s="23" t="s">
        <v>1039</v>
      </c>
      <c r="E225" s="20" t="s">
        <v>15645</v>
      </c>
      <c r="F225" s="22">
        <v>35</v>
      </c>
      <c r="G225" s="22" t="s">
        <v>15646</v>
      </c>
      <c r="H225" s="22">
        <v>2</v>
      </c>
      <c r="I225" s="25">
        <v>43437</v>
      </c>
      <c r="J225" s="24">
        <v>43197</v>
      </c>
    </row>
    <row r="226" spans="2:10" x14ac:dyDescent="0.2">
      <c r="B226" s="22">
        <v>221</v>
      </c>
      <c r="C226" s="23" t="s">
        <v>15647</v>
      </c>
      <c r="D226" s="23" t="s">
        <v>1015</v>
      </c>
      <c r="E226" s="20" t="s">
        <v>15648</v>
      </c>
      <c r="F226" s="22">
        <v>59</v>
      </c>
      <c r="G226" s="22" t="s">
        <v>15649</v>
      </c>
      <c r="H226" s="22">
        <v>4</v>
      </c>
      <c r="I226" s="25">
        <v>43381</v>
      </c>
      <c r="J226" s="24">
        <v>43176</v>
      </c>
    </row>
    <row r="227" spans="2:10" x14ac:dyDescent="0.2">
      <c r="B227" s="22">
        <v>222</v>
      </c>
      <c r="C227" s="23" t="s">
        <v>15650</v>
      </c>
      <c r="D227" s="23" t="s">
        <v>1213</v>
      </c>
      <c r="E227" s="20" t="s">
        <v>15651</v>
      </c>
      <c r="F227" s="22">
        <v>34</v>
      </c>
      <c r="G227" s="22" t="s">
        <v>15652</v>
      </c>
      <c r="H227" s="22">
        <v>28</v>
      </c>
      <c r="I227" s="25">
        <v>43339</v>
      </c>
      <c r="J227" s="24">
        <v>43162</v>
      </c>
    </row>
    <row r="228" spans="2:10" x14ac:dyDescent="0.2">
      <c r="B228" s="22">
        <v>223</v>
      </c>
      <c r="C228" s="23" t="s">
        <v>15653</v>
      </c>
      <c r="D228" s="23" t="s">
        <v>1039</v>
      </c>
      <c r="E228" s="20" t="s">
        <v>15654</v>
      </c>
      <c r="F228" s="22">
        <v>38</v>
      </c>
      <c r="G228" s="22" t="s">
        <v>15655</v>
      </c>
      <c r="H228" s="22">
        <v>6</v>
      </c>
      <c r="I228" s="25">
        <v>43171</v>
      </c>
      <c r="J228" s="24">
        <v>43268</v>
      </c>
    </row>
    <row r="229" spans="2:10" x14ac:dyDescent="0.2">
      <c r="B229" s="22">
        <v>224</v>
      </c>
      <c r="C229" s="23" t="s">
        <v>15656</v>
      </c>
      <c r="D229" s="23" t="s">
        <v>1039</v>
      </c>
      <c r="E229" s="20" t="s">
        <v>15657</v>
      </c>
      <c r="F229" s="22">
        <v>39</v>
      </c>
      <c r="G229" s="22" t="s">
        <v>15658</v>
      </c>
      <c r="H229" s="22">
        <v>5</v>
      </c>
      <c r="I229" s="25">
        <v>43255</v>
      </c>
      <c r="J229" s="24">
        <v>43373</v>
      </c>
    </row>
    <row r="230" spans="2:10" x14ac:dyDescent="0.2">
      <c r="B230" s="22">
        <v>225</v>
      </c>
      <c r="C230" s="23" t="s">
        <v>15659</v>
      </c>
      <c r="D230" s="23" t="s">
        <v>1294</v>
      </c>
      <c r="E230" s="20" t="s">
        <v>15660</v>
      </c>
      <c r="F230" s="22">
        <v>34</v>
      </c>
      <c r="G230" s="22" t="s">
        <v>15661</v>
      </c>
      <c r="H230" s="22">
        <v>3</v>
      </c>
      <c r="I230" s="25">
        <v>43157</v>
      </c>
      <c r="J230" s="24">
        <v>43247</v>
      </c>
    </row>
    <row r="231" spans="2:10" x14ac:dyDescent="0.2">
      <c r="B231" s="22">
        <v>226</v>
      </c>
      <c r="C231" s="23" t="s">
        <v>15662</v>
      </c>
      <c r="D231" s="23" t="s">
        <v>15226</v>
      </c>
      <c r="E231" s="20" t="s">
        <v>15663</v>
      </c>
      <c r="F231" s="22">
        <v>90</v>
      </c>
      <c r="G231" s="22" t="s">
        <v>15664</v>
      </c>
      <c r="H231" s="22">
        <v>4</v>
      </c>
      <c r="I231" s="25">
        <v>43360</v>
      </c>
      <c r="J231" s="24">
        <v>43450</v>
      </c>
    </row>
    <row r="232" spans="2:10" x14ac:dyDescent="0.2">
      <c r="B232" s="22">
        <v>227</v>
      </c>
      <c r="C232" s="23" t="s">
        <v>15665</v>
      </c>
      <c r="D232" s="23" t="s">
        <v>1415</v>
      </c>
      <c r="E232" s="20" t="s">
        <v>15666</v>
      </c>
      <c r="F232" s="22">
        <v>83</v>
      </c>
      <c r="G232" s="22" t="s">
        <v>15667</v>
      </c>
      <c r="H232" s="22">
        <v>83</v>
      </c>
      <c r="I232" s="25">
        <v>43304</v>
      </c>
      <c r="J232" s="24">
        <v>43320</v>
      </c>
    </row>
    <row r="233" spans="2:10" x14ac:dyDescent="0.2">
      <c r="B233" s="22">
        <v>228</v>
      </c>
      <c r="C233" s="23" t="s">
        <v>15668</v>
      </c>
      <c r="D233" s="23" t="s">
        <v>4860</v>
      </c>
      <c r="E233" s="20" t="s">
        <v>15669</v>
      </c>
      <c r="F233" s="22">
        <v>625</v>
      </c>
      <c r="G233" s="22" t="s">
        <v>15670</v>
      </c>
      <c r="H233" s="22">
        <v>623</v>
      </c>
      <c r="I233" s="25">
        <v>43297</v>
      </c>
      <c r="J233" s="24">
        <v>43310</v>
      </c>
    </row>
    <row r="234" spans="2:10" x14ac:dyDescent="0.2">
      <c r="B234" s="22">
        <v>229</v>
      </c>
      <c r="C234" s="23" t="s">
        <v>15671</v>
      </c>
      <c r="D234" s="23" t="s">
        <v>14208</v>
      </c>
      <c r="E234" s="20" t="s">
        <v>15672</v>
      </c>
      <c r="F234" s="22">
        <v>16</v>
      </c>
      <c r="G234" s="22" t="s">
        <v>15673</v>
      </c>
      <c r="H234" s="22">
        <v>2</v>
      </c>
      <c r="I234" s="25">
        <v>43248</v>
      </c>
      <c r="J234" s="24">
        <v>43113</v>
      </c>
    </row>
    <row r="235" spans="2:10" x14ac:dyDescent="0.2">
      <c r="B235" s="22">
        <v>230</v>
      </c>
      <c r="C235" s="23" t="s">
        <v>15674</v>
      </c>
      <c r="D235" s="23" t="s">
        <v>7141</v>
      </c>
      <c r="E235" s="20" t="s">
        <v>15675</v>
      </c>
      <c r="F235" s="22">
        <v>9</v>
      </c>
      <c r="G235" s="22" t="s">
        <v>15676</v>
      </c>
      <c r="H235" s="22">
        <v>2</v>
      </c>
      <c r="I235" s="25">
        <v>43227</v>
      </c>
      <c r="J235" s="24">
        <v>43457</v>
      </c>
    </row>
    <row r="236" spans="2:10" x14ac:dyDescent="0.2">
      <c r="B236" s="22">
        <v>231</v>
      </c>
      <c r="C236" s="23" t="s">
        <v>15677</v>
      </c>
      <c r="D236" s="23" t="s">
        <v>1332</v>
      </c>
      <c r="E236" s="20" t="s">
        <v>15678</v>
      </c>
      <c r="F236" s="22">
        <v>19</v>
      </c>
      <c r="G236" s="22" t="s">
        <v>15679</v>
      </c>
      <c r="H236" s="22">
        <v>1</v>
      </c>
      <c r="I236" s="25">
        <v>43374</v>
      </c>
      <c r="J236" s="24">
        <v>43422</v>
      </c>
    </row>
    <row r="237" spans="2:10" x14ac:dyDescent="0.2">
      <c r="B237" s="22">
        <v>232</v>
      </c>
      <c r="C237" s="23" t="s">
        <v>15680</v>
      </c>
      <c r="D237" s="23" t="s">
        <v>1415</v>
      </c>
      <c r="E237" s="20" t="s">
        <v>15681</v>
      </c>
      <c r="F237" s="22">
        <v>92</v>
      </c>
      <c r="G237" s="22" t="s">
        <v>15682</v>
      </c>
      <c r="H237" s="22">
        <v>92</v>
      </c>
      <c r="I237" s="25">
        <v>43122</v>
      </c>
      <c r="J237" s="24">
        <v>43142</v>
      </c>
    </row>
    <row r="238" spans="2:10" x14ac:dyDescent="0.2">
      <c r="B238" s="22">
        <v>233</v>
      </c>
      <c r="C238" s="23" t="s">
        <v>15683</v>
      </c>
      <c r="D238" s="23" t="s">
        <v>15684</v>
      </c>
      <c r="E238" s="20" t="s">
        <v>15685</v>
      </c>
      <c r="F238" s="22">
        <v>109</v>
      </c>
      <c r="G238" s="22" t="s">
        <v>15686</v>
      </c>
      <c r="H238" s="22">
        <v>109</v>
      </c>
      <c r="I238" s="25">
        <v>43129</v>
      </c>
      <c r="J238" s="24">
        <v>43205</v>
      </c>
    </row>
    <row r="239" spans="2:10" x14ac:dyDescent="0.2">
      <c r="B239" s="22">
        <v>234</v>
      </c>
      <c r="C239" s="23" t="s">
        <v>15687</v>
      </c>
      <c r="D239" s="23" t="s">
        <v>1294</v>
      </c>
      <c r="E239" s="20" t="s">
        <v>15688</v>
      </c>
      <c r="F239" s="22">
        <v>43</v>
      </c>
      <c r="G239" s="22" t="s">
        <v>15689</v>
      </c>
      <c r="H239" s="22">
        <v>3</v>
      </c>
      <c r="I239" s="25">
        <v>43353</v>
      </c>
      <c r="J239" s="24">
        <v>43450</v>
      </c>
    </row>
    <row r="240" spans="2:10" x14ac:dyDescent="0.2">
      <c r="B240" s="22">
        <v>235</v>
      </c>
      <c r="C240" s="23" t="s">
        <v>15690</v>
      </c>
      <c r="D240" s="23" t="s">
        <v>1183</v>
      </c>
      <c r="E240" s="20" t="s">
        <v>15691</v>
      </c>
      <c r="F240" s="22">
        <v>26</v>
      </c>
      <c r="G240" s="22" t="s">
        <v>15692</v>
      </c>
      <c r="H240" s="22">
        <v>1</v>
      </c>
      <c r="I240" s="25">
        <v>43206</v>
      </c>
      <c r="J240" s="24">
        <v>43327</v>
      </c>
    </row>
    <row r="241" spans="2:10" x14ac:dyDescent="0.2">
      <c r="B241" s="22">
        <v>236</v>
      </c>
      <c r="C241" s="23" t="s">
        <v>15693</v>
      </c>
      <c r="D241" s="23" t="s">
        <v>1880</v>
      </c>
      <c r="E241" s="20" t="s">
        <v>15694</v>
      </c>
      <c r="F241" s="22">
        <v>12</v>
      </c>
      <c r="G241" s="22" t="s">
        <v>15695</v>
      </c>
      <c r="H241" s="22">
        <v>1</v>
      </c>
      <c r="I241" s="25">
        <v>43129</v>
      </c>
      <c r="J241" s="24">
        <v>43317</v>
      </c>
    </row>
    <row r="242" spans="2:10" x14ac:dyDescent="0.2">
      <c r="B242" s="22">
        <v>237</v>
      </c>
      <c r="C242" s="23" t="s">
        <v>15696</v>
      </c>
      <c r="D242" s="23" t="s">
        <v>1039</v>
      </c>
      <c r="E242" s="20" t="s">
        <v>15697</v>
      </c>
      <c r="F242" s="22">
        <v>33</v>
      </c>
      <c r="G242" s="22" t="s">
        <v>15698</v>
      </c>
      <c r="H242" s="22">
        <v>2</v>
      </c>
      <c r="I242" s="25">
        <v>43311</v>
      </c>
      <c r="J242" s="24">
        <v>43401</v>
      </c>
    </row>
    <row r="243" spans="2:10" x14ac:dyDescent="0.2">
      <c r="B243" s="22">
        <v>238</v>
      </c>
      <c r="C243" s="23" t="s">
        <v>15699</v>
      </c>
      <c r="D243" s="23" t="s">
        <v>1640</v>
      </c>
      <c r="E243" s="20" t="s">
        <v>15700</v>
      </c>
      <c r="F243" s="22">
        <v>17</v>
      </c>
      <c r="G243" s="22" t="s">
        <v>15701</v>
      </c>
      <c r="H243" s="22">
        <v>1</v>
      </c>
      <c r="I243" s="25">
        <v>43386</v>
      </c>
      <c r="J243" s="24">
        <v>43183</v>
      </c>
    </row>
    <row r="244" spans="2:10" x14ac:dyDescent="0.2">
      <c r="B244" s="22">
        <v>239</v>
      </c>
      <c r="C244" s="23" t="s">
        <v>15702</v>
      </c>
      <c r="D244" s="23" t="s">
        <v>2197</v>
      </c>
      <c r="E244" s="20" t="s">
        <v>15703</v>
      </c>
      <c r="F244" s="22">
        <v>537</v>
      </c>
      <c r="G244" s="22" t="s">
        <v>15704</v>
      </c>
      <c r="H244" s="22">
        <v>537</v>
      </c>
      <c r="I244" s="25">
        <v>43388</v>
      </c>
      <c r="J244" s="24">
        <v>43408</v>
      </c>
    </row>
    <row r="245" spans="2:10" x14ac:dyDescent="0.2">
      <c r="B245" s="22">
        <v>240</v>
      </c>
      <c r="C245" s="23" t="s">
        <v>15705</v>
      </c>
      <c r="D245" s="23" t="s">
        <v>1217</v>
      </c>
      <c r="E245" s="20" t="s">
        <v>15706</v>
      </c>
      <c r="F245" s="22">
        <v>85</v>
      </c>
      <c r="G245" s="22" t="s">
        <v>15707</v>
      </c>
      <c r="H245" s="22">
        <v>85</v>
      </c>
      <c r="I245" s="25">
        <v>43428</v>
      </c>
      <c r="J245" s="24">
        <v>43450</v>
      </c>
    </row>
    <row r="246" spans="2:10" x14ac:dyDescent="0.2">
      <c r="B246" s="22">
        <v>241</v>
      </c>
      <c r="C246" s="23" t="s">
        <v>15708</v>
      </c>
      <c r="D246" s="23" t="s">
        <v>1210</v>
      </c>
      <c r="E246" s="20" t="s">
        <v>15709</v>
      </c>
      <c r="F246" s="22">
        <v>21</v>
      </c>
      <c r="G246" s="22" t="s">
        <v>15710</v>
      </c>
      <c r="H246" s="22">
        <v>20</v>
      </c>
      <c r="I246" s="25">
        <v>43458</v>
      </c>
      <c r="J246" s="24">
        <v>43141</v>
      </c>
    </row>
    <row r="247" spans="2:10" x14ac:dyDescent="0.2">
      <c r="B247" s="22">
        <v>242</v>
      </c>
      <c r="C247" s="23" t="s">
        <v>15711</v>
      </c>
      <c r="D247" s="23" t="s">
        <v>1039</v>
      </c>
      <c r="E247" s="20" t="s">
        <v>15712</v>
      </c>
      <c r="F247" s="22">
        <v>120</v>
      </c>
      <c r="G247" s="22" t="s">
        <v>15713</v>
      </c>
      <c r="H247" s="22">
        <v>19</v>
      </c>
      <c r="I247" s="25">
        <v>43353</v>
      </c>
      <c r="J247" s="24">
        <v>43408</v>
      </c>
    </row>
    <row r="248" spans="2:10" x14ac:dyDescent="0.2">
      <c r="B248" s="22">
        <v>243</v>
      </c>
      <c r="C248" s="23" t="s">
        <v>1286</v>
      </c>
      <c r="D248" s="23" t="s">
        <v>15461</v>
      </c>
      <c r="E248" s="20" t="s">
        <v>15714</v>
      </c>
      <c r="F248" s="22">
        <v>24</v>
      </c>
      <c r="G248" s="22" t="s">
        <v>12833</v>
      </c>
      <c r="H248" s="22">
        <v>2</v>
      </c>
      <c r="I248" s="25">
        <v>43199</v>
      </c>
      <c r="J248" s="24">
        <v>43303</v>
      </c>
    </row>
    <row r="249" spans="2:10" x14ac:dyDescent="0.2">
      <c r="B249" s="22">
        <v>244</v>
      </c>
      <c r="C249" s="23" t="s">
        <v>15715</v>
      </c>
      <c r="D249" s="23" t="s">
        <v>1015</v>
      </c>
      <c r="E249" s="20" t="s">
        <v>15716</v>
      </c>
      <c r="F249" s="22">
        <v>23</v>
      </c>
      <c r="G249" s="22" t="s">
        <v>15717</v>
      </c>
      <c r="H249" s="22">
        <v>5</v>
      </c>
      <c r="I249" s="25">
        <v>43276</v>
      </c>
      <c r="J249" s="24">
        <v>43415</v>
      </c>
    </row>
    <row r="250" spans="2:10" x14ac:dyDescent="0.2">
      <c r="B250" s="22">
        <v>245</v>
      </c>
      <c r="C250" s="23" t="s">
        <v>15718</v>
      </c>
      <c r="D250" s="23" t="s">
        <v>1294</v>
      </c>
      <c r="E250" s="20" t="s">
        <v>15719</v>
      </c>
      <c r="F250" s="22">
        <v>21</v>
      </c>
      <c r="G250" s="22" t="s">
        <v>15720</v>
      </c>
      <c r="H250" s="22">
        <v>1</v>
      </c>
      <c r="I250" s="25">
        <v>43416</v>
      </c>
      <c r="J250" s="24">
        <v>43155</v>
      </c>
    </row>
    <row r="251" spans="2:10" x14ac:dyDescent="0.2">
      <c r="B251" s="22">
        <v>246</v>
      </c>
      <c r="C251" s="23" t="s">
        <v>15721</v>
      </c>
      <c r="D251" s="23" t="s">
        <v>1294</v>
      </c>
      <c r="E251" s="20" t="s">
        <v>15722</v>
      </c>
      <c r="F251" s="22">
        <v>15</v>
      </c>
      <c r="G251" s="22" t="s">
        <v>15723</v>
      </c>
      <c r="H251" s="22">
        <v>2</v>
      </c>
      <c r="I251" s="25">
        <v>43115</v>
      </c>
      <c r="J251" s="24">
        <v>43233</v>
      </c>
    </row>
    <row r="252" spans="2:10" x14ac:dyDescent="0.2">
      <c r="B252" s="22">
        <v>247</v>
      </c>
      <c r="C252" s="23" t="s">
        <v>15724</v>
      </c>
      <c r="D252" s="23" t="s">
        <v>1015</v>
      </c>
      <c r="E252" s="20" t="s">
        <v>15725</v>
      </c>
      <c r="F252" s="22">
        <v>23</v>
      </c>
      <c r="G252" s="22" t="s">
        <v>15726</v>
      </c>
      <c r="H252" s="22">
        <v>2</v>
      </c>
      <c r="I252" s="25">
        <v>43318</v>
      </c>
      <c r="J252" s="24">
        <v>43457</v>
      </c>
    </row>
    <row r="253" spans="2:10" x14ac:dyDescent="0.2">
      <c r="B253" s="22">
        <v>248</v>
      </c>
      <c r="C253" s="23" t="s">
        <v>15727</v>
      </c>
      <c r="D253" s="23" t="s">
        <v>638</v>
      </c>
      <c r="E253" s="20" t="s">
        <v>15728</v>
      </c>
      <c r="F253" s="22">
        <v>33</v>
      </c>
      <c r="G253" s="22" t="s">
        <v>15729</v>
      </c>
      <c r="H253" s="22">
        <v>12</v>
      </c>
      <c r="I253" s="25">
        <v>43289</v>
      </c>
      <c r="J253" s="24">
        <v>43324</v>
      </c>
    </row>
    <row r="254" spans="2:10" x14ac:dyDescent="0.2">
      <c r="B254" s="22">
        <v>249</v>
      </c>
      <c r="C254" s="23" t="s">
        <v>15730</v>
      </c>
      <c r="D254" s="23" t="s">
        <v>1942</v>
      </c>
      <c r="E254" s="20" t="s">
        <v>15731</v>
      </c>
      <c r="F254" s="22">
        <v>12</v>
      </c>
      <c r="G254" s="22" t="s">
        <v>15732</v>
      </c>
      <c r="H254" s="22">
        <v>4</v>
      </c>
      <c r="I254" s="25">
        <v>43248</v>
      </c>
      <c r="J254" s="24">
        <v>43450</v>
      </c>
    </row>
    <row r="255" spans="2:10" x14ac:dyDescent="0.2">
      <c r="B255" s="22">
        <v>250</v>
      </c>
      <c r="C255" s="23" t="s">
        <v>15733</v>
      </c>
      <c r="D255" s="23" t="s">
        <v>15734</v>
      </c>
      <c r="E255" s="20" t="s">
        <v>15735</v>
      </c>
      <c r="F255" s="22">
        <v>60</v>
      </c>
      <c r="G255" s="22" t="s">
        <v>15736</v>
      </c>
      <c r="H255" s="22">
        <v>25</v>
      </c>
      <c r="I255" s="25">
        <v>43367</v>
      </c>
      <c r="J255" s="24">
        <v>43404</v>
      </c>
    </row>
    <row r="256" spans="2:10" x14ac:dyDescent="0.2">
      <c r="B256" s="22">
        <v>251</v>
      </c>
      <c r="C256" s="23" t="s">
        <v>15737</v>
      </c>
      <c r="D256" s="23" t="s">
        <v>13782</v>
      </c>
      <c r="E256" s="20" t="s">
        <v>15738</v>
      </c>
      <c r="F256" s="22">
        <v>12</v>
      </c>
      <c r="G256" s="22" t="s">
        <v>15739</v>
      </c>
      <c r="H256" s="22">
        <v>7</v>
      </c>
      <c r="I256" s="25">
        <v>43122</v>
      </c>
      <c r="J256" s="24">
        <v>43247</v>
      </c>
    </row>
    <row r="257" spans="2:10" x14ac:dyDescent="0.2">
      <c r="B257" s="22">
        <v>252</v>
      </c>
      <c r="C257" s="23" t="s">
        <v>15740</v>
      </c>
      <c r="D257" s="23" t="s">
        <v>1294</v>
      </c>
      <c r="E257" s="20" t="s">
        <v>15741</v>
      </c>
      <c r="F257" s="22">
        <v>13</v>
      </c>
      <c r="G257" s="22" t="s">
        <v>15742</v>
      </c>
      <c r="H257" s="22">
        <v>3</v>
      </c>
      <c r="I257" s="25">
        <v>43367</v>
      </c>
      <c r="J257" s="24">
        <v>43460</v>
      </c>
    </row>
    <row r="258" spans="2:10" x14ac:dyDescent="0.2">
      <c r="B258" s="22">
        <v>253</v>
      </c>
      <c r="C258" s="23" t="s">
        <v>15743</v>
      </c>
      <c r="D258" s="23" t="s">
        <v>1880</v>
      </c>
      <c r="E258" s="20" t="s">
        <v>15744</v>
      </c>
      <c r="F258" s="22">
        <v>10</v>
      </c>
      <c r="G258" s="22" t="s">
        <v>15745</v>
      </c>
      <c r="H258" s="22">
        <v>2</v>
      </c>
      <c r="I258" s="25">
        <v>43358</v>
      </c>
      <c r="J258" s="24">
        <v>43302</v>
      </c>
    </row>
    <row r="259" spans="2:10" x14ac:dyDescent="0.2">
      <c r="B259" s="22">
        <v>254</v>
      </c>
      <c r="C259" s="23" t="s">
        <v>15746</v>
      </c>
      <c r="D259" s="23" t="s">
        <v>1142</v>
      </c>
      <c r="E259" s="20" t="s">
        <v>15747</v>
      </c>
      <c r="F259" s="22">
        <v>16</v>
      </c>
      <c r="G259" s="22" t="s">
        <v>15748</v>
      </c>
      <c r="H259" s="22">
        <v>4</v>
      </c>
      <c r="I259" s="25">
        <v>43330</v>
      </c>
      <c r="J259" s="24">
        <v>43422</v>
      </c>
    </row>
    <row r="260" spans="2:10" x14ac:dyDescent="0.2">
      <c r="B260" s="22">
        <v>255</v>
      </c>
      <c r="C260" s="23" t="s">
        <v>15749</v>
      </c>
      <c r="D260" s="23" t="s">
        <v>1594</v>
      </c>
      <c r="E260" s="20" t="s">
        <v>15750</v>
      </c>
      <c r="F260" s="22">
        <v>29</v>
      </c>
      <c r="G260" s="22" t="s">
        <v>15751</v>
      </c>
      <c r="H260" s="22">
        <v>7</v>
      </c>
      <c r="I260" s="25">
        <v>43157</v>
      </c>
      <c r="J260" s="24">
        <v>43240</v>
      </c>
    </row>
    <row r="261" spans="2:10" x14ac:dyDescent="0.2">
      <c r="B261" s="22">
        <v>256</v>
      </c>
      <c r="C261" s="23" t="s">
        <v>15752</v>
      </c>
      <c r="D261" s="23" t="s">
        <v>1519</v>
      </c>
      <c r="E261" s="20" t="s">
        <v>15753</v>
      </c>
      <c r="F261" s="22">
        <v>55</v>
      </c>
      <c r="G261" s="22" t="s">
        <v>15754</v>
      </c>
      <c r="H261" s="22">
        <v>55</v>
      </c>
      <c r="I261" s="25">
        <v>43423</v>
      </c>
      <c r="J261" s="24">
        <v>43450</v>
      </c>
    </row>
    <row r="262" spans="2:10" x14ac:dyDescent="0.2">
      <c r="B262" s="22">
        <v>257</v>
      </c>
      <c r="C262" s="23" t="s">
        <v>15755</v>
      </c>
      <c r="D262" s="23" t="s">
        <v>3627</v>
      </c>
      <c r="E262" s="20" t="s">
        <v>15756</v>
      </c>
      <c r="F262" s="22">
        <v>18</v>
      </c>
      <c r="G262" s="22" t="s">
        <v>15757</v>
      </c>
      <c r="H262" s="22">
        <v>8</v>
      </c>
      <c r="I262" s="25">
        <v>43409</v>
      </c>
      <c r="J262" s="24">
        <v>43155</v>
      </c>
    </row>
    <row r="263" spans="2:10" x14ac:dyDescent="0.2">
      <c r="B263" s="22">
        <v>258</v>
      </c>
      <c r="C263" s="23" t="s">
        <v>15758</v>
      </c>
      <c r="D263" s="23" t="s">
        <v>1294</v>
      </c>
      <c r="E263" s="20" t="s">
        <v>15759</v>
      </c>
      <c r="F263" s="22">
        <v>21</v>
      </c>
      <c r="G263" s="22" t="s">
        <v>15760</v>
      </c>
      <c r="H263" s="22">
        <v>3</v>
      </c>
      <c r="I263" s="25">
        <v>43423</v>
      </c>
      <c r="J263" s="24">
        <v>43134</v>
      </c>
    </row>
    <row r="264" spans="2:10" x14ac:dyDescent="0.2">
      <c r="B264" s="22">
        <v>259</v>
      </c>
      <c r="C264" s="23" t="s">
        <v>15761</v>
      </c>
      <c r="D264" s="23" t="s">
        <v>15762</v>
      </c>
      <c r="E264" s="20" t="s">
        <v>15763</v>
      </c>
      <c r="F264" s="22">
        <v>20</v>
      </c>
      <c r="G264" s="22" t="s">
        <v>15764</v>
      </c>
      <c r="H264" s="22">
        <v>3</v>
      </c>
      <c r="I264" s="25">
        <v>43241</v>
      </c>
      <c r="J264" s="24">
        <v>43338</v>
      </c>
    </row>
    <row r="265" spans="2:10" x14ac:dyDescent="0.2">
      <c r="B265" s="22">
        <v>260</v>
      </c>
      <c r="C265" s="23" t="s">
        <v>15765</v>
      </c>
      <c r="D265" s="23" t="s">
        <v>1640</v>
      </c>
      <c r="E265" s="20" t="s">
        <v>15766</v>
      </c>
      <c r="F265" s="22">
        <v>14</v>
      </c>
      <c r="G265" s="22" t="s">
        <v>15767</v>
      </c>
      <c r="H265" s="22">
        <v>1</v>
      </c>
      <c r="I265" s="25">
        <v>43346</v>
      </c>
      <c r="J265" s="24">
        <v>43457</v>
      </c>
    </row>
    <row r="266" spans="2:10" x14ac:dyDescent="0.2">
      <c r="B266" s="22">
        <v>261</v>
      </c>
      <c r="C266" s="23" t="s">
        <v>15768</v>
      </c>
      <c r="D266" s="23" t="s">
        <v>1415</v>
      </c>
      <c r="E266" s="20" t="s">
        <v>15769</v>
      </c>
      <c r="F266" s="22">
        <v>70</v>
      </c>
      <c r="G266" s="22" t="s">
        <v>15770</v>
      </c>
      <c r="H266" s="22">
        <v>70</v>
      </c>
      <c r="I266" s="25">
        <v>43157</v>
      </c>
      <c r="J266" s="24">
        <v>43177</v>
      </c>
    </row>
    <row r="267" spans="2:10" x14ac:dyDescent="0.2">
      <c r="B267" s="22">
        <v>262</v>
      </c>
      <c r="C267" s="23" t="s">
        <v>15771</v>
      </c>
      <c r="D267" s="23" t="s">
        <v>1415</v>
      </c>
      <c r="E267" s="20" t="s">
        <v>15772</v>
      </c>
      <c r="F267" s="22">
        <v>84</v>
      </c>
      <c r="G267" s="22" t="s">
        <v>15773</v>
      </c>
      <c r="H267" s="22">
        <v>84</v>
      </c>
      <c r="I267" s="25">
        <v>43444</v>
      </c>
      <c r="J267" s="24">
        <v>43450</v>
      </c>
    </row>
    <row r="268" spans="2:10" x14ac:dyDescent="0.2">
      <c r="B268" s="22">
        <v>263</v>
      </c>
      <c r="C268" s="23" t="s">
        <v>15774</v>
      </c>
      <c r="D268" s="23" t="s">
        <v>1294</v>
      </c>
      <c r="E268" s="20" t="s">
        <v>15775</v>
      </c>
      <c r="F268" s="22">
        <v>20</v>
      </c>
      <c r="G268" s="22" t="s">
        <v>15776</v>
      </c>
      <c r="H268" s="22">
        <v>1</v>
      </c>
      <c r="I268" s="25">
        <v>43304</v>
      </c>
      <c r="J268" s="24">
        <v>43366</v>
      </c>
    </row>
    <row r="269" spans="2:10" x14ac:dyDescent="0.2">
      <c r="B269" s="22">
        <v>264</v>
      </c>
      <c r="C269" s="23" t="s">
        <v>15777</v>
      </c>
      <c r="D269" s="23" t="s">
        <v>15281</v>
      </c>
      <c r="E269" s="20" t="s">
        <v>15778</v>
      </c>
      <c r="F269" s="22">
        <v>21</v>
      </c>
      <c r="G269" s="22" t="s">
        <v>15779</v>
      </c>
      <c r="H269" s="22">
        <v>5</v>
      </c>
      <c r="I269" s="25">
        <v>43444</v>
      </c>
      <c r="J269" s="24">
        <v>43155</v>
      </c>
    </row>
    <row r="270" spans="2:10" x14ac:dyDescent="0.2">
      <c r="B270" s="22">
        <v>265</v>
      </c>
      <c r="C270" s="23" t="s">
        <v>15780</v>
      </c>
      <c r="D270" s="23" t="s">
        <v>1294</v>
      </c>
      <c r="E270" s="20" t="s">
        <v>15781</v>
      </c>
      <c r="F270" s="22">
        <v>23</v>
      </c>
      <c r="G270" s="22" t="s">
        <v>15782</v>
      </c>
      <c r="H270" s="22">
        <v>2</v>
      </c>
      <c r="I270" s="25">
        <v>43332</v>
      </c>
      <c r="J270" s="24">
        <v>43415</v>
      </c>
    </row>
    <row r="271" spans="2:10" x14ac:dyDescent="0.2">
      <c r="B271" s="22">
        <v>266</v>
      </c>
      <c r="C271" s="23" t="s">
        <v>15783</v>
      </c>
      <c r="D271" s="23" t="s">
        <v>1213</v>
      </c>
      <c r="E271" s="20" t="s">
        <v>15784</v>
      </c>
      <c r="F271" s="22">
        <v>31</v>
      </c>
      <c r="G271" s="22" t="s">
        <v>15785</v>
      </c>
      <c r="H271" s="22">
        <v>31</v>
      </c>
      <c r="I271" s="25">
        <v>43346</v>
      </c>
      <c r="J271" s="24">
        <v>43148</v>
      </c>
    </row>
    <row r="272" spans="2:10" x14ac:dyDescent="0.2">
      <c r="B272" s="22">
        <v>267</v>
      </c>
      <c r="C272" s="23" t="s">
        <v>15786</v>
      </c>
      <c r="D272" s="23" t="s">
        <v>1039</v>
      </c>
      <c r="E272" s="20" t="s">
        <v>15787</v>
      </c>
      <c r="F272" s="22">
        <v>28</v>
      </c>
      <c r="G272" s="22" t="s">
        <v>15788</v>
      </c>
      <c r="H272" s="22">
        <v>3</v>
      </c>
      <c r="I272" s="25">
        <v>43304</v>
      </c>
      <c r="J272" s="24">
        <v>43380</v>
      </c>
    </row>
    <row r="273" spans="2:10" x14ac:dyDescent="0.2">
      <c r="B273" s="22">
        <v>268</v>
      </c>
      <c r="C273" s="23" t="s">
        <v>15789</v>
      </c>
      <c r="D273" s="23" t="s">
        <v>15790</v>
      </c>
      <c r="E273" s="20" t="s">
        <v>15791</v>
      </c>
      <c r="F273" s="22">
        <v>7</v>
      </c>
      <c r="G273" s="22" t="s">
        <v>15792</v>
      </c>
      <c r="H273" s="22">
        <v>1</v>
      </c>
      <c r="I273" s="25">
        <v>43302</v>
      </c>
      <c r="J273" s="24">
        <v>43453</v>
      </c>
    </row>
    <row r="274" spans="2:10" x14ac:dyDescent="0.2">
      <c r="B274" s="22">
        <v>269</v>
      </c>
      <c r="C274" s="23" t="s">
        <v>15793</v>
      </c>
      <c r="D274" s="23" t="s">
        <v>12374</v>
      </c>
      <c r="E274" s="20" t="s">
        <v>15794</v>
      </c>
      <c r="F274" s="22">
        <v>5</v>
      </c>
      <c r="G274" s="22" t="s">
        <v>15795</v>
      </c>
      <c r="H274" s="22">
        <v>1</v>
      </c>
      <c r="I274" s="25">
        <v>43344</v>
      </c>
      <c r="J274" s="24">
        <v>43330</v>
      </c>
    </row>
    <row r="275" spans="2:10" x14ac:dyDescent="0.2">
      <c r="B275" s="22">
        <v>270</v>
      </c>
      <c r="C275" s="23" t="s">
        <v>15796</v>
      </c>
      <c r="D275" s="23" t="s">
        <v>5254</v>
      </c>
      <c r="E275" s="20" t="s">
        <v>15797</v>
      </c>
      <c r="F275" s="22">
        <v>106</v>
      </c>
      <c r="G275" s="22" t="s">
        <v>15798</v>
      </c>
      <c r="H275" s="22">
        <v>106</v>
      </c>
      <c r="I275" s="25">
        <v>43136</v>
      </c>
      <c r="J275" s="24">
        <v>43191</v>
      </c>
    </row>
    <row r="276" spans="2:10" x14ac:dyDescent="0.2">
      <c r="B276" s="22">
        <v>271</v>
      </c>
      <c r="C276" s="23" t="s">
        <v>15799</v>
      </c>
      <c r="D276" s="23" t="s">
        <v>1248</v>
      </c>
      <c r="E276" s="20" t="s">
        <v>15800</v>
      </c>
      <c r="F276" s="22">
        <v>8</v>
      </c>
      <c r="G276" s="22" t="s">
        <v>15801</v>
      </c>
      <c r="H276" s="22">
        <v>8</v>
      </c>
      <c r="I276" s="25">
        <v>43199</v>
      </c>
      <c r="J276" s="24">
        <v>43303</v>
      </c>
    </row>
    <row r="277" spans="2:10" x14ac:dyDescent="0.2">
      <c r="B277" s="22">
        <v>272</v>
      </c>
      <c r="C277" s="23" t="s">
        <v>15802</v>
      </c>
      <c r="D277" s="23" t="s">
        <v>1039</v>
      </c>
      <c r="E277" s="20" t="s">
        <v>15803</v>
      </c>
      <c r="F277" s="22">
        <v>25</v>
      </c>
      <c r="G277" s="22" t="s">
        <v>15804</v>
      </c>
      <c r="H277" s="22">
        <v>3</v>
      </c>
      <c r="I277" s="25">
        <v>43402</v>
      </c>
      <c r="J277" s="24">
        <v>43460</v>
      </c>
    </row>
    <row r="278" spans="2:10" x14ac:dyDescent="0.2">
      <c r="B278" s="22">
        <v>273</v>
      </c>
      <c r="C278" s="23" t="s">
        <v>15805</v>
      </c>
      <c r="D278" s="23" t="s">
        <v>1142</v>
      </c>
      <c r="E278" s="20" t="s">
        <v>15806</v>
      </c>
      <c r="F278" s="22">
        <v>21</v>
      </c>
      <c r="G278" s="22" t="s">
        <v>15807</v>
      </c>
      <c r="H278" s="22">
        <v>1</v>
      </c>
      <c r="I278" s="25">
        <v>43437</v>
      </c>
      <c r="J278" s="24">
        <v>43127</v>
      </c>
    </row>
    <row r="279" spans="2:10" x14ac:dyDescent="0.2">
      <c r="B279" s="22">
        <v>274</v>
      </c>
      <c r="C279" s="23" t="s">
        <v>15808</v>
      </c>
      <c r="D279" s="23" t="s">
        <v>563</v>
      </c>
      <c r="E279" s="20" t="s">
        <v>15809</v>
      </c>
      <c r="F279" s="22" t="s">
        <v>1159</v>
      </c>
      <c r="G279" s="22" t="s">
        <v>1159</v>
      </c>
      <c r="H279" s="22" t="s">
        <v>1159</v>
      </c>
      <c r="I279" s="25">
        <v>43373</v>
      </c>
      <c r="J279" s="24">
        <v>43465</v>
      </c>
    </row>
    <row r="280" spans="2:10" x14ac:dyDescent="0.2">
      <c r="B280" s="22">
        <v>275</v>
      </c>
      <c r="C280" s="23" t="s">
        <v>15810</v>
      </c>
      <c r="D280" s="23" t="s">
        <v>1183</v>
      </c>
      <c r="E280" s="20" t="s">
        <v>15811</v>
      </c>
      <c r="F280" s="22">
        <v>16</v>
      </c>
      <c r="G280" s="22" t="s">
        <v>15812</v>
      </c>
      <c r="H280" s="22">
        <v>15</v>
      </c>
      <c r="I280" s="25">
        <v>43157</v>
      </c>
      <c r="J280" s="24">
        <v>43226</v>
      </c>
    </row>
    <row r="281" spans="2:10" x14ac:dyDescent="0.2">
      <c r="B281" s="22">
        <v>276</v>
      </c>
      <c r="C281" s="23" t="s">
        <v>15813</v>
      </c>
      <c r="D281" s="23" t="s">
        <v>15814</v>
      </c>
      <c r="E281" s="20" t="s">
        <v>15815</v>
      </c>
      <c r="F281" s="22">
        <v>404</v>
      </c>
      <c r="G281" s="22" t="s">
        <v>15815</v>
      </c>
      <c r="H281" s="22">
        <v>404</v>
      </c>
      <c r="I281" s="25">
        <v>43199</v>
      </c>
      <c r="J281" s="24">
        <v>43205</v>
      </c>
    </row>
    <row r="282" spans="2:10" x14ac:dyDescent="0.2">
      <c r="B282" s="22">
        <v>277</v>
      </c>
      <c r="C282" s="23" t="s">
        <v>15816</v>
      </c>
      <c r="D282" s="23" t="s">
        <v>1294</v>
      </c>
      <c r="E282" s="20" t="s">
        <v>15817</v>
      </c>
      <c r="F282" s="22">
        <v>17</v>
      </c>
      <c r="G282" s="22" t="s">
        <v>15818</v>
      </c>
      <c r="H282" s="22">
        <v>1</v>
      </c>
      <c r="I282" s="25">
        <v>43269</v>
      </c>
      <c r="J282" s="24">
        <v>43331</v>
      </c>
    </row>
    <row r="283" spans="2:10" x14ac:dyDescent="0.2">
      <c r="B283" s="22">
        <v>278</v>
      </c>
      <c r="C283" s="23" t="s">
        <v>15819</v>
      </c>
      <c r="D283" s="23" t="s">
        <v>15820</v>
      </c>
      <c r="E283" s="20" t="s">
        <v>15821</v>
      </c>
      <c r="F283" s="22">
        <v>20</v>
      </c>
      <c r="G283" s="22" t="s">
        <v>15822</v>
      </c>
      <c r="H283" s="22">
        <v>11</v>
      </c>
      <c r="I283" s="25">
        <v>43325</v>
      </c>
      <c r="J283" s="24">
        <v>43373</v>
      </c>
    </row>
    <row r="284" spans="2:10" x14ac:dyDescent="0.2">
      <c r="B284" s="22">
        <v>279</v>
      </c>
      <c r="C284" s="23" t="s">
        <v>15823</v>
      </c>
      <c r="D284" s="23" t="s">
        <v>1804</v>
      </c>
      <c r="E284" s="20" t="s">
        <v>15824</v>
      </c>
      <c r="F284" s="22">
        <v>10</v>
      </c>
      <c r="G284" s="22" t="s">
        <v>15825</v>
      </c>
      <c r="H284" s="22">
        <v>2</v>
      </c>
      <c r="I284" s="25">
        <v>43122</v>
      </c>
      <c r="J284" s="24">
        <v>43394</v>
      </c>
    </row>
    <row r="285" spans="2:10" x14ac:dyDescent="0.2">
      <c r="B285" s="22">
        <v>280</v>
      </c>
      <c r="C285" s="23" t="s">
        <v>15826</v>
      </c>
      <c r="D285" s="23" t="s">
        <v>2010</v>
      </c>
      <c r="E285" s="20" t="s">
        <v>15827</v>
      </c>
      <c r="F285" s="22">
        <v>9</v>
      </c>
      <c r="G285" s="22" t="s">
        <v>15828</v>
      </c>
      <c r="H285" s="22">
        <v>1</v>
      </c>
      <c r="I285" s="25">
        <v>43106</v>
      </c>
      <c r="J285" s="24">
        <v>43464</v>
      </c>
    </row>
    <row r="286" spans="2:10" x14ac:dyDescent="0.2">
      <c r="B286" s="22">
        <v>281</v>
      </c>
      <c r="C286" s="23" t="s">
        <v>15829</v>
      </c>
      <c r="D286" s="23" t="s">
        <v>1594</v>
      </c>
      <c r="E286" s="20" t="s">
        <v>15830</v>
      </c>
      <c r="F286" s="22">
        <v>177</v>
      </c>
      <c r="G286" s="22" t="s">
        <v>15831</v>
      </c>
      <c r="H286" s="22">
        <v>177</v>
      </c>
      <c r="I286" s="25">
        <v>43353</v>
      </c>
      <c r="J286" s="24">
        <v>43366</v>
      </c>
    </row>
    <row r="287" spans="2:10" x14ac:dyDescent="0.2">
      <c r="B287" s="22">
        <v>282</v>
      </c>
      <c r="C287" s="23" t="s">
        <v>15832</v>
      </c>
      <c r="D287" s="23" t="s">
        <v>1930</v>
      </c>
      <c r="E287" s="20" t="s">
        <v>15833</v>
      </c>
      <c r="F287" s="22">
        <v>12</v>
      </c>
      <c r="G287" s="22" t="s">
        <v>15834</v>
      </c>
      <c r="H287" s="22">
        <v>1</v>
      </c>
      <c r="I287" s="25">
        <v>43276</v>
      </c>
      <c r="J287" s="24">
        <v>43324</v>
      </c>
    </row>
    <row r="288" spans="2:10" x14ac:dyDescent="0.2">
      <c r="B288" s="22">
        <v>283</v>
      </c>
      <c r="C288" s="23" t="s">
        <v>15835</v>
      </c>
      <c r="D288" s="23" t="s">
        <v>2197</v>
      </c>
      <c r="E288" s="20" t="s">
        <v>15836</v>
      </c>
      <c r="F288" s="22">
        <v>115</v>
      </c>
      <c r="G288" s="22" t="s">
        <v>15837</v>
      </c>
      <c r="H288" s="22">
        <v>42</v>
      </c>
      <c r="I288" s="25">
        <v>43428</v>
      </c>
      <c r="J288" s="24">
        <v>43450</v>
      </c>
    </row>
    <row r="289" spans="2:10" x14ac:dyDescent="0.2">
      <c r="B289" s="22">
        <v>284</v>
      </c>
      <c r="C289" s="23" t="s">
        <v>15838</v>
      </c>
      <c r="D289" s="23" t="s">
        <v>1015</v>
      </c>
      <c r="E289" s="20" t="s">
        <v>15839</v>
      </c>
      <c r="F289" s="22">
        <v>23</v>
      </c>
      <c r="G289" s="22" t="s">
        <v>15840</v>
      </c>
      <c r="H289" s="22">
        <v>5</v>
      </c>
      <c r="I289" s="25">
        <v>43346</v>
      </c>
      <c r="J289" s="24">
        <v>43457</v>
      </c>
    </row>
    <row r="290" spans="2:10" x14ac:dyDescent="0.2">
      <c r="B290" s="22">
        <v>285</v>
      </c>
      <c r="C290" s="23" t="s">
        <v>15841</v>
      </c>
      <c r="D290" s="23" t="s">
        <v>1039</v>
      </c>
      <c r="E290" s="20" t="s">
        <v>15842</v>
      </c>
      <c r="F290" s="22">
        <v>17</v>
      </c>
      <c r="G290" s="22" t="s">
        <v>15843</v>
      </c>
      <c r="H290" s="22">
        <v>3</v>
      </c>
      <c r="I290" s="25">
        <v>43409</v>
      </c>
      <c r="J290" s="24">
        <v>43127</v>
      </c>
    </row>
    <row r="291" spans="2:10" x14ac:dyDescent="0.2">
      <c r="B291" s="22">
        <v>286</v>
      </c>
      <c r="C291" s="23" t="s">
        <v>15844</v>
      </c>
      <c r="D291" s="23" t="s">
        <v>15845</v>
      </c>
      <c r="E291" s="20" t="s">
        <v>15846</v>
      </c>
      <c r="F291" s="22">
        <v>26</v>
      </c>
      <c r="G291" s="22" t="s">
        <v>15846</v>
      </c>
      <c r="H291" s="22">
        <v>26</v>
      </c>
      <c r="I291" s="25">
        <v>43339</v>
      </c>
      <c r="J291" s="24">
        <v>43345</v>
      </c>
    </row>
    <row r="292" spans="2:10" x14ac:dyDescent="0.2">
      <c r="B292" s="22">
        <v>287</v>
      </c>
      <c r="C292" s="23" t="s">
        <v>15847</v>
      </c>
      <c r="D292" s="23" t="s">
        <v>15790</v>
      </c>
      <c r="E292" s="20" t="s">
        <v>15848</v>
      </c>
      <c r="F292" s="22">
        <v>8</v>
      </c>
      <c r="G292" s="22" t="s">
        <v>15849</v>
      </c>
      <c r="H292" s="22">
        <v>1</v>
      </c>
      <c r="I292" s="25">
        <v>43402</v>
      </c>
      <c r="J292" s="24">
        <v>43183</v>
      </c>
    </row>
    <row r="293" spans="2:10" x14ac:dyDescent="0.2">
      <c r="B293" s="22">
        <v>288</v>
      </c>
      <c r="C293" s="23" t="s">
        <v>15850</v>
      </c>
      <c r="D293" s="23" t="s">
        <v>4583</v>
      </c>
      <c r="E293" s="20" t="s">
        <v>15851</v>
      </c>
      <c r="F293" s="22">
        <v>231</v>
      </c>
      <c r="G293" s="22" t="s">
        <v>15852</v>
      </c>
      <c r="H293" s="22">
        <v>231</v>
      </c>
      <c r="I293" s="25">
        <v>43318</v>
      </c>
      <c r="J293" s="24">
        <v>43331</v>
      </c>
    </row>
    <row r="294" spans="2:10" x14ac:dyDescent="0.2">
      <c r="B294" s="22">
        <v>289</v>
      </c>
      <c r="C294" s="23" t="s">
        <v>15853</v>
      </c>
      <c r="D294" s="23" t="s">
        <v>1294</v>
      </c>
      <c r="E294" s="20" t="s">
        <v>15854</v>
      </c>
      <c r="F294" s="22">
        <v>19</v>
      </c>
      <c r="G294" s="22" t="s">
        <v>15855</v>
      </c>
      <c r="H294" s="22">
        <v>1</v>
      </c>
      <c r="I294" s="25">
        <v>43220</v>
      </c>
      <c r="J294" s="24">
        <v>43282</v>
      </c>
    </row>
    <row r="295" spans="2:10" x14ac:dyDescent="0.2">
      <c r="B295" s="22">
        <v>290</v>
      </c>
      <c r="C295" s="23" t="s">
        <v>15856</v>
      </c>
      <c r="D295" s="23" t="s">
        <v>7141</v>
      </c>
      <c r="E295" s="20" t="s">
        <v>15857</v>
      </c>
      <c r="F295" s="22">
        <v>12</v>
      </c>
      <c r="G295" s="22" t="s">
        <v>15858</v>
      </c>
      <c r="H295" s="22">
        <v>2</v>
      </c>
      <c r="I295" s="25">
        <v>43290</v>
      </c>
      <c r="J295" s="24">
        <v>43394</v>
      </c>
    </row>
    <row r="296" spans="2:10" x14ac:dyDescent="0.2">
      <c r="B296" s="22">
        <v>291</v>
      </c>
      <c r="C296" s="23" t="s">
        <v>15859</v>
      </c>
      <c r="D296" s="23" t="s">
        <v>1039</v>
      </c>
      <c r="E296" s="20" t="s">
        <v>15860</v>
      </c>
      <c r="F296" s="22">
        <v>21</v>
      </c>
      <c r="G296" s="22" t="s">
        <v>15861</v>
      </c>
      <c r="H296" s="22">
        <v>9</v>
      </c>
      <c r="I296" s="25">
        <v>43227</v>
      </c>
      <c r="J296" s="24">
        <v>43289</v>
      </c>
    </row>
    <row r="297" spans="2:10" x14ac:dyDescent="0.2">
      <c r="B297" s="22">
        <v>292</v>
      </c>
      <c r="C297" s="23" t="s">
        <v>15862</v>
      </c>
      <c r="D297" s="23" t="s">
        <v>15863</v>
      </c>
      <c r="E297" s="20" t="s">
        <v>15864</v>
      </c>
      <c r="F297" s="22">
        <v>20</v>
      </c>
      <c r="G297" s="22" t="s">
        <v>15865</v>
      </c>
      <c r="H297" s="22">
        <v>20</v>
      </c>
      <c r="I297" s="25">
        <v>43311</v>
      </c>
      <c r="J297" s="24">
        <v>43324</v>
      </c>
    </row>
    <row r="298" spans="2:10" x14ac:dyDescent="0.2">
      <c r="B298" s="22">
        <v>293</v>
      </c>
      <c r="C298" s="23" t="s">
        <v>15866</v>
      </c>
      <c r="D298" s="23" t="s">
        <v>1294</v>
      </c>
      <c r="E298" s="20" t="s">
        <v>15867</v>
      </c>
      <c r="F298" s="22">
        <v>13</v>
      </c>
      <c r="G298" s="22" t="s">
        <v>15868</v>
      </c>
      <c r="H298" s="22">
        <v>2</v>
      </c>
      <c r="I298" s="25">
        <v>43374</v>
      </c>
      <c r="J298" s="24">
        <v>43457</v>
      </c>
    </row>
    <row r="299" spans="2:10" x14ac:dyDescent="0.2">
      <c r="B299" s="22">
        <v>294</v>
      </c>
      <c r="C299" s="23" t="s">
        <v>15869</v>
      </c>
      <c r="D299" s="23" t="s">
        <v>1142</v>
      </c>
      <c r="E299" s="20" t="s">
        <v>15870</v>
      </c>
      <c r="F299" s="22">
        <v>9</v>
      </c>
      <c r="G299" s="22" t="s">
        <v>10969</v>
      </c>
      <c r="H299" s="22">
        <v>1</v>
      </c>
      <c r="I299" s="25">
        <v>43136</v>
      </c>
      <c r="J299" s="24">
        <v>43261</v>
      </c>
    </row>
    <row r="300" spans="2:10" x14ac:dyDescent="0.2">
      <c r="B300" s="22">
        <v>295</v>
      </c>
      <c r="C300" s="23" t="s">
        <v>15871</v>
      </c>
      <c r="D300" s="23" t="s">
        <v>1377</v>
      </c>
      <c r="E300" s="20" t="s">
        <v>15872</v>
      </c>
      <c r="F300" s="22">
        <v>68</v>
      </c>
      <c r="G300" s="22" t="s">
        <v>15873</v>
      </c>
      <c r="H300" s="22">
        <v>68</v>
      </c>
      <c r="I300" s="25">
        <v>43115</v>
      </c>
      <c r="J300" s="24">
        <v>43128</v>
      </c>
    </row>
    <row r="301" spans="2:10" x14ac:dyDescent="0.2">
      <c r="B301" s="22">
        <v>296</v>
      </c>
      <c r="C301" s="23" t="s">
        <v>15874</v>
      </c>
      <c r="D301" s="23" t="s">
        <v>14208</v>
      </c>
      <c r="E301" s="20" t="s">
        <v>15875</v>
      </c>
      <c r="F301" s="22">
        <v>9</v>
      </c>
      <c r="G301" s="22" t="s">
        <v>15876</v>
      </c>
      <c r="H301" s="22">
        <v>3</v>
      </c>
      <c r="I301" s="25">
        <v>43353</v>
      </c>
      <c r="J301" s="24">
        <v>43134</v>
      </c>
    </row>
    <row r="302" spans="2:10" x14ac:dyDescent="0.2">
      <c r="B302" s="22">
        <v>297</v>
      </c>
      <c r="C302" s="23" t="s">
        <v>15877</v>
      </c>
      <c r="D302" s="23" t="s">
        <v>5254</v>
      </c>
      <c r="E302" s="20" t="s">
        <v>15878</v>
      </c>
      <c r="F302" s="22">
        <v>12</v>
      </c>
      <c r="G302" s="22" t="s">
        <v>15879</v>
      </c>
      <c r="H302" s="22">
        <v>10</v>
      </c>
      <c r="I302" s="25">
        <v>43318</v>
      </c>
      <c r="J302" s="24">
        <v>43415</v>
      </c>
    </row>
    <row r="303" spans="2:10" x14ac:dyDescent="0.2">
      <c r="B303" s="22">
        <v>298</v>
      </c>
      <c r="C303" s="23" t="s">
        <v>15880</v>
      </c>
      <c r="D303" s="23" t="s">
        <v>8353</v>
      </c>
      <c r="E303" s="20" t="s">
        <v>15881</v>
      </c>
      <c r="F303" s="22">
        <v>8</v>
      </c>
      <c r="G303" s="22" t="s">
        <v>15882</v>
      </c>
      <c r="H303" s="22">
        <v>8</v>
      </c>
      <c r="I303" s="25">
        <v>43353</v>
      </c>
      <c r="J303" s="24">
        <v>43415</v>
      </c>
    </row>
    <row r="304" spans="2:10" x14ac:dyDescent="0.2">
      <c r="B304" s="22">
        <v>299</v>
      </c>
      <c r="C304" s="23" t="s">
        <v>15883</v>
      </c>
      <c r="D304" s="23" t="s">
        <v>1594</v>
      </c>
      <c r="E304" s="20" t="s">
        <v>15884</v>
      </c>
      <c r="F304" s="22">
        <v>11</v>
      </c>
      <c r="G304" s="22" t="s">
        <v>15885</v>
      </c>
      <c r="H304" s="22">
        <v>10</v>
      </c>
      <c r="I304" s="25">
        <v>43402</v>
      </c>
      <c r="J304" s="24">
        <v>43443</v>
      </c>
    </row>
    <row r="305" spans="2:10" x14ac:dyDescent="0.2">
      <c r="B305" s="22">
        <v>300</v>
      </c>
      <c r="C305" s="23" t="s">
        <v>15886</v>
      </c>
      <c r="D305" s="23" t="s">
        <v>1294</v>
      </c>
      <c r="E305" s="20" t="s">
        <v>15887</v>
      </c>
      <c r="F305" s="22">
        <v>9</v>
      </c>
      <c r="G305" s="22" t="s">
        <v>15888</v>
      </c>
      <c r="H305" s="22">
        <v>1</v>
      </c>
      <c r="I305" s="25">
        <v>43136</v>
      </c>
      <c r="J305" s="24">
        <v>43219</v>
      </c>
    </row>
    <row r="306" spans="2:10" x14ac:dyDescent="0.2">
      <c r="B306" s="22">
        <v>301</v>
      </c>
      <c r="C306" s="23" t="s">
        <v>15889</v>
      </c>
      <c r="D306" s="23" t="s">
        <v>4383</v>
      </c>
      <c r="E306" s="20" t="s">
        <v>15890</v>
      </c>
      <c r="F306" s="22">
        <v>2</v>
      </c>
      <c r="G306" s="22" t="s">
        <v>15891</v>
      </c>
      <c r="H306" s="22">
        <v>1</v>
      </c>
      <c r="I306" s="25">
        <v>43199</v>
      </c>
      <c r="J306" s="24">
        <v>43218</v>
      </c>
    </row>
    <row r="307" spans="2:10" x14ac:dyDescent="0.2">
      <c r="B307" s="22">
        <v>302</v>
      </c>
      <c r="C307" s="23" t="s">
        <v>15892</v>
      </c>
      <c r="D307" s="23" t="s">
        <v>1576</v>
      </c>
      <c r="E307" s="20" t="s">
        <v>15893</v>
      </c>
      <c r="F307" s="22">
        <v>7</v>
      </c>
      <c r="G307" s="22" t="s">
        <v>15894</v>
      </c>
      <c r="H307" s="22">
        <v>1</v>
      </c>
      <c r="I307" s="25">
        <v>43115</v>
      </c>
      <c r="J307" s="24">
        <v>43260</v>
      </c>
    </row>
    <row r="308" spans="2:10" x14ac:dyDescent="0.2">
      <c r="B308" s="22">
        <v>303</v>
      </c>
      <c r="C308" s="23" t="s">
        <v>466</v>
      </c>
      <c r="D308" s="23" t="s">
        <v>1797</v>
      </c>
      <c r="E308" s="20" t="s">
        <v>15895</v>
      </c>
      <c r="F308" s="22">
        <v>5</v>
      </c>
      <c r="G308" s="22" t="s">
        <v>15896</v>
      </c>
      <c r="H308" s="22">
        <v>5</v>
      </c>
      <c r="I308" s="25">
        <v>43248</v>
      </c>
      <c r="J308" s="24">
        <v>43296</v>
      </c>
    </row>
    <row r="309" spans="2:10" x14ac:dyDescent="0.2">
      <c r="B309" s="22">
        <v>304</v>
      </c>
      <c r="C309" s="23" t="s">
        <v>15897</v>
      </c>
      <c r="D309" s="23" t="s">
        <v>1294</v>
      </c>
      <c r="E309" s="20" t="s">
        <v>15898</v>
      </c>
      <c r="F309" s="22">
        <v>7</v>
      </c>
      <c r="G309" s="22" t="s">
        <v>15899</v>
      </c>
      <c r="H309" s="22">
        <v>2</v>
      </c>
      <c r="I309" s="25">
        <v>43388</v>
      </c>
      <c r="J309" s="24">
        <v>43120</v>
      </c>
    </row>
    <row r="310" spans="2:10" x14ac:dyDescent="0.2">
      <c r="B310" s="22">
        <v>305</v>
      </c>
      <c r="C310" s="23" t="s">
        <v>15900</v>
      </c>
      <c r="D310" s="23" t="s">
        <v>1294</v>
      </c>
      <c r="E310" s="20" t="s">
        <v>15901</v>
      </c>
      <c r="F310" s="22">
        <v>7</v>
      </c>
      <c r="G310" s="22" t="s">
        <v>15902</v>
      </c>
      <c r="H310" s="22">
        <v>1</v>
      </c>
      <c r="I310" s="25">
        <v>43241</v>
      </c>
      <c r="J310" s="24">
        <v>43282</v>
      </c>
    </row>
    <row r="311" spans="2:10" x14ac:dyDescent="0.2">
      <c r="B311" s="22">
        <v>306</v>
      </c>
      <c r="C311" s="23" t="s">
        <v>15903</v>
      </c>
      <c r="D311" s="23" t="s">
        <v>1797</v>
      </c>
      <c r="E311" s="20" t="s">
        <v>15904</v>
      </c>
      <c r="F311" s="22">
        <v>22</v>
      </c>
      <c r="G311" s="22" t="s">
        <v>15905</v>
      </c>
      <c r="H311" s="22">
        <v>3</v>
      </c>
      <c r="I311" s="25">
        <v>43126</v>
      </c>
      <c r="J311" s="24">
        <v>43198</v>
      </c>
    </row>
    <row r="312" spans="2:10" x14ac:dyDescent="0.2">
      <c r="B312" s="22">
        <v>307</v>
      </c>
      <c r="C312" s="23" t="s">
        <v>15906</v>
      </c>
      <c r="D312" s="23" t="s">
        <v>15907</v>
      </c>
      <c r="E312" s="20" t="s">
        <v>15908</v>
      </c>
      <c r="F312" s="22">
        <v>406</v>
      </c>
      <c r="G312" s="22" t="s">
        <v>15908</v>
      </c>
      <c r="H312" s="22">
        <v>406</v>
      </c>
      <c r="I312" s="25">
        <v>43374</v>
      </c>
      <c r="J312" s="24">
        <v>43380</v>
      </c>
    </row>
    <row r="313" spans="2:10" x14ac:dyDescent="0.2">
      <c r="B313" s="22">
        <v>308</v>
      </c>
      <c r="C313" s="23" t="s">
        <v>15909</v>
      </c>
      <c r="D313" s="23" t="s">
        <v>10172</v>
      </c>
      <c r="E313" s="20" t="s">
        <v>15910</v>
      </c>
      <c r="F313" s="22">
        <v>11</v>
      </c>
      <c r="G313" s="22" t="s">
        <v>15911</v>
      </c>
      <c r="H313" s="22">
        <v>11</v>
      </c>
      <c r="I313" s="25">
        <v>43281</v>
      </c>
      <c r="J313" s="24">
        <v>43310</v>
      </c>
    </row>
    <row r="314" spans="2:10" x14ac:dyDescent="0.2">
      <c r="B314" s="22">
        <v>309</v>
      </c>
      <c r="C314" s="23" t="s">
        <v>15912</v>
      </c>
      <c r="D314" s="23" t="s">
        <v>563</v>
      </c>
      <c r="E314" s="20" t="s">
        <v>15913</v>
      </c>
      <c r="F314" s="22" t="s">
        <v>1159</v>
      </c>
      <c r="G314" s="22" t="s">
        <v>1159</v>
      </c>
      <c r="H314" s="22" t="s">
        <v>1159</v>
      </c>
      <c r="I314" s="25">
        <v>43388</v>
      </c>
      <c r="J314" s="24">
        <v>43465</v>
      </c>
    </row>
    <row r="315" spans="2:10" x14ac:dyDescent="0.2">
      <c r="B315" s="22">
        <v>310</v>
      </c>
      <c r="C315" s="23" t="s">
        <v>15914</v>
      </c>
      <c r="D315" s="23" t="s">
        <v>1039</v>
      </c>
      <c r="E315" s="20" t="s">
        <v>15915</v>
      </c>
      <c r="F315" s="22">
        <v>12</v>
      </c>
      <c r="G315" s="22" t="s">
        <v>15916</v>
      </c>
      <c r="H315" s="22">
        <v>6</v>
      </c>
      <c r="I315" s="25">
        <v>43185</v>
      </c>
      <c r="J315" s="24">
        <v>43275</v>
      </c>
    </row>
    <row r="316" spans="2:10" x14ac:dyDescent="0.2">
      <c r="B316" s="22">
        <v>311</v>
      </c>
      <c r="C316" s="23" t="s">
        <v>15917</v>
      </c>
      <c r="D316" s="23" t="s">
        <v>1039</v>
      </c>
      <c r="E316" s="20" t="s">
        <v>15918</v>
      </c>
      <c r="F316" s="22">
        <v>12</v>
      </c>
      <c r="G316" s="22" t="s">
        <v>15919</v>
      </c>
      <c r="H316" s="22">
        <v>3</v>
      </c>
      <c r="I316" s="25">
        <v>43192</v>
      </c>
      <c r="J316" s="24">
        <v>43240</v>
      </c>
    </row>
    <row r="317" spans="2:10" x14ac:dyDescent="0.2">
      <c r="B317" s="22">
        <v>312</v>
      </c>
      <c r="C317" s="23" t="s">
        <v>15920</v>
      </c>
      <c r="D317" s="23" t="s">
        <v>1294</v>
      </c>
      <c r="E317" s="20" t="s">
        <v>15921</v>
      </c>
      <c r="F317" s="22">
        <v>15</v>
      </c>
      <c r="G317" s="22" t="s">
        <v>15922</v>
      </c>
      <c r="H317" s="22">
        <v>1</v>
      </c>
      <c r="I317" s="25">
        <v>43213</v>
      </c>
      <c r="J317" s="24">
        <v>43282</v>
      </c>
    </row>
    <row r="318" spans="2:10" x14ac:dyDescent="0.2">
      <c r="B318" s="22">
        <v>313</v>
      </c>
      <c r="C318" s="23" t="s">
        <v>15923</v>
      </c>
      <c r="D318" s="23" t="s">
        <v>1880</v>
      </c>
      <c r="E318" s="20" t="s">
        <v>15924</v>
      </c>
      <c r="F318" s="22">
        <v>10</v>
      </c>
      <c r="G318" s="22" t="s">
        <v>15925</v>
      </c>
      <c r="H318" s="22">
        <v>4</v>
      </c>
      <c r="I318" s="25">
        <v>43267</v>
      </c>
      <c r="J318" s="24">
        <v>43415</v>
      </c>
    </row>
    <row r="319" spans="2:10" x14ac:dyDescent="0.2">
      <c r="B319" s="22">
        <v>314</v>
      </c>
      <c r="C319" s="23" t="s">
        <v>15926</v>
      </c>
      <c r="D319" s="23" t="s">
        <v>2051</v>
      </c>
      <c r="E319" s="20" t="s">
        <v>15927</v>
      </c>
      <c r="F319" s="22">
        <v>17</v>
      </c>
      <c r="G319" s="22" t="s">
        <v>13152</v>
      </c>
      <c r="H319" s="22">
        <v>2</v>
      </c>
      <c r="I319" s="25">
        <v>43353</v>
      </c>
      <c r="J319" s="24">
        <v>43408</v>
      </c>
    </row>
    <row r="320" spans="2:10" x14ac:dyDescent="0.2">
      <c r="B320" s="22">
        <v>315</v>
      </c>
      <c r="C320" s="23" t="s">
        <v>15928</v>
      </c>
      <c r="D320" s="23" t="s">
        <v>1942</v>
      </c>
      <c r="E320" s="20" t="s">
        <v>15929</v>
      </c>
      <c r="F320" s="22">
        <v>4</v>
      </c>
      <c r="G320" s="22" t="s">
        <v>15930</v>
      </c>
      <c r="H320" s="22">
        <v>2</v>
      </c>
      <c r="I320" s="25">
        <v>43136</v>
      </c>
      <c r="J320" s="24">
        <v>43450</v>
      </c>
    </row>
    <row r="321" spans="2:10" x14ac:dyDescent="0.2">
      <c r="B321" s="22">
        <v>316</v>
      </c>
      <c r="C321" s="23" t="s">
        <v>15931</v>
      </c>
      <c r="D321" s="23" t="s">
        <v>1039</v>
      </c>
      <c r="E321" s="20" t="s">
        <v>15932</v>
      </c>
      <c r="F321" s="22">
        <v>19</v>
      </c>
      <c r="G321" s="22" t="s">
        <v>15933</v>
      </c>
      <c r="H321" s="22">
        <v>12</v>
      </c>
      <c r="I321" s="25">
        <v>43339</v>
      </c>
      <c r="J321" s="24">
        <v>43373</v>
      </c>
    </row>
    <row r="322" spans="2:10" x14ac:dyDescent="0.2">
      <c r="B322" s="22">
        <v>317</v>
      </c>
      <c r="C322" s="23" t="s">
        <v>15934</v>
      </c>
      <c r="D322" s="23" t="s">
        <v>1797</v>
      </c>
      <c r="E322" s="20" t="s">
        <v>15935</v>
      </c>
      <c r="F322" s="22">
        <v>8</v>
      </c>
      <c r="G322" s="22" t="s">
        <v>15936</v>
      </c>
      <c r="H322" s="22">
        <v>4</v>
      </c>
      <c r="I322" s="25">
        <v>43199</v>
      </c>
      <c r="J322" s="24">
        <v>43275</v>
      </c>
    </row>
    <row r="323" spans="2:10" x14ac:dyDescent="0.2">
      <c r="B323" s="22">
        <v>318</v>
      </c>
      <c r="C323" s="23" t="s">
        <v>15937</v>
      </c>
      <c r="D323" s="23" t="s">
        <v>15938</v>
      </c>
      <c r="E323" s="20" t="s">
        <v>15939</v>
      </c>
      <c r="F323" s="22">
        <v>21</v>
      </c>
      <c r="G323" s="22" t="s">
        <v>15940</v>
      </c>
      <c r="H323" s="22">
        <v>1</v>
      </c>
      <c r="I323" s="25">
        <v>43178</v>
      </c>
      <c r="J323" s="24">
        <v>43181</v>
      </c>
    </row>
    <row r="324" spans="2:10" x14ac:dyDescent="0.2">
      <c r="B324" s="22">
        <v>319</v>
      </c>
      <c r="C324" s="23" t="s">
        <v>15941</v>
      </c>
      <c r="D324" s="23" t="s">
        <v>1846</v>
      </c>
      <c r="E324" s="20" t="s">
        <v>15942</v>
      </c>
      <c r="F324" s="22">
        <v>7</v>
      </c>
      <c r="G324" s="22" t="s">
        <v>15943</v>
      </c>
      <c r="H324" s="22">
        <v>3</v>
      </c>
      <c r="I324" s="25">
        <v>43220</v>
      </c>
      <c r="J324" s="24">
        <v>43282</v>
      </c>
    </row>
    <row r="325" spans="2:10" x14ac:dyDescent="0.2">
      <c r="B325" s="22">
        <v>320</v>
      </c>
      <c r="C325" s="23" t="s">
        <v>15944</v>
      </c>
      <c r="D325" s="23" t="s">
        <v>1612</v>
      </c>
      <c r="E325" s="20" t="s">
        <v>15945</v>
      </c>
      <c r="F325" s="22">
        <v>19</v>
      </c>
      <c r="G325" s="22" t="s">
        <v>15946</v>
      </c>
      <c r="H325" s="22">
        <v>8</v>
      </c>
      <c r="I325" s="25">
        <v>43192</v>
      </c>
      <c r="J325" s="24">
        <v>43212</v>
      </c>
    </row>
    <row r="326" spans="2:10" x14ac:dyDescent="0.2">
      <c r="B326" s="22">
        <v>321</v>
      </c>
      <c r="C326" s="23" t="s">
        <v>15947</v>
      </c>
      <c r="D326" s="23" t="s">
        <v>2197</v>
      </c>
      <c r="E326" s="20" t="s">
        <v>15948</v>
      </c>
      <c r="F326" s="22">
        <v>55</v>
      </c>
      <c r="G326" s="22" t="s">
        <v>15949</v>
      </c>
      <c r="H326" s="22">
        <v>16</v>
      </c>
      <c r="I326" s="25">
        <v>43353</v>
      </c>
      <c r="J326" s="24">
        <v>43380</v>
      </c>
    </row>
    <row r="327" spans="2:10" x14ac:dyDescent="0.2">
      <c r="B327" s="22">
        <v>322</v>
      </c>
      <c r="C327" s="23" t="s">
        <v>15950</v>
      </c>
      <c r="D327" s="23" t="s">
        <v>2010</v>
      </c>
      <c r="E327" s="20" t="s">
        <v>15951</v>
      </c>
      <c r="F327" s="22">
        <v>6</v>
      </c>
      <c r="G327" s="22" t="s">
        <v>15952</v>
      </c>
      <c r="H327" s="22">
        <v>1</v>
      </c>
      <c r="I327" s="25">
        <v>43381</v>
      </c>
      <c r="J327" s="24">
        <v>43242</v>
      </c>
    </row>
    <row r="328" spans="2:10" x14ac:dyDescent="0.2">
      <c r="B328" s="22">
        <v>323</v>
      </c>
      <c r="C328" s="23" t="s">
        <v>15953</v>
      </c>
      <c r="D328" s="23" t="s">
        <v>1294</v>
      </c>
      <c r="E328" s="20" t="s">
        <v>15954</v>
      </c>
      <c r="F328" s="22">
        <v>6</v>
      </c>
      <c r="G328" s="22" t="s">
        <v>15955</v>
      </c>
      <c r="H328" s="22">
        <v>2</v>
      </c>
      <c r="I328" s="25">
        <v>43269</v>
      </c>
      <c r="J328" s="24">
        <v>43324</v>
      </c>
    </row>
    <row r="329" spans="2:10" x14ac:dyDescent="0.2">
      <c r="B329" s="22">
        <v>324</v>
      </c>
      <c r="C329" s="23" t="s">
        <v>15956</v>
      </c>
      <c r="D329" s="23" t="s">
        <v>7141</v>
      </c>
      <c r="E329" s="20" t="s">
        <v>15957</v>
      </c>
      <c r="F329" s="22">
        <v>5</v>
      </c>
      <c r="G329" s="22" t="s">
        <v>15958</v>
      </c>
      <c r="H329" s="22">
        <v>2</v>
      </c>
      <c r="I329" s="25">
        <v>43276</v>
      </c>
      <c r="J329" s="24">
        <v>43183</v>
      </c>
    </row>
    <row r="330" spans="2:10" x14ac:dyDescent="0.2">
      <c r="B330" s="22">
        <v>325</v>
      </c>
      <c r="C330" s="23" t="s">
        <v>15959</v>
      </c>
      <c r="D330" s="23" t="s">
        <v>1248</v>
      </c>
      <c r="E330" s="20" t="s">
        <v>15960</v>
      </c>
      <c r="F330" s="22">
        <v>2</v>
      </c>
      <c r="G330" s="22" t="s">
        <v>15961</v>
      </c>
      <c r="H330" s="22">
        <v>1</v>
      </c>
      <c r="I330" s="25">
        <v>43213</v>
      </c>
      <c r="J330" s="24">
        <v>43387</v>
      </c>
    </row>
    <row r="331" spans="2:10" x14ac:dyDescent="0.2">
      <c r="B331" s="22">
        <v>326</v>
      </c>
      <c r="C331" s="23" t="s">
        <v>15962</v>
      </c>
      <c r="D331" s="23" t="s">
        <v>1612</v>
      </c>
      <c r="E331" s="20" t="s">
        <v>15963</v>
      </c>
      <c r="F331" s="22">
        <v>95</v>
      </c>
      <c r="G331" s="22" t="s">
        <v>15964</v>
      </c>
      <c r="H331" s="22">
        <v>95</v>
      </c>
      <c r="I331" s="25">
        <v>43150</v>
      </c>
      <c r="J331" s="24">
        <v>43156</v>
      </c>
    </row>
    <row r="332" spans="2:10" x14ac:dyDescent="0.2">
      <c r="B332" s="22">
        <v>327</v>
      </c>
      <c r="C332" s="23" t="s">
        <v>15965</v>
      </c>
      <c r="D332" s="23" t="s">
        <v>2270</v>
      </c>
      <c r="E332" s="20" t="s">
        <v>15966</v>
      </c>
      <c r="F332" s="22">
        <v>3</v>
      </c>
      <c r="G332" s="22" t="s">
        <v>15967</v>
      </c>
      <c r="H332" s="22">
        <v>1</v>
      </c>
      <c r="I332" s="25">
        <v>43360</v>
      </c>
      <c r="J332" s="24">
        <v>43204</v>
      </c>
    </row>
    <row r="333" spans="2:10" x14ac:dyDescent="0.2">
      <c r="B333" s="22">
        <v>328</v>
      </c>
      <c r="C333" s="23" t="s">
        <v>15968</v>
      </c>
      <c r="D333" s="23" t="s">
        <v>5254</v>
      </c>
      <c r="E333" s="20" t="s">
        <v>15969</v>
      </c>
      <c r="F333" s="22">
        <v>41</v>
      </c>
      <c r="G333" s="22" t="s">
        <v>15970</v>
      </c>
      <c r="H333" s="22">
        <v>41</v>
      </c>
      <c r="I333" s="25">
        <v>43199</v>
      </c>
      <c r="J333" s="24">
        <v>43226</v>
      </c>
    </row>
    <row r="334" spans="2:10" x14ac:dyDescent="0.2">
      <c r="B334" s="22">
        <v>329</v>
      </c>
      <c r="C334" s="23" t="s">
        <v>15971</v>
      </c>
      <c r="D334" s="23" t="s">
        <v>2197</v>
      </c>
      <c r="E334" s="20" t="s">
        <v>15972</v>
      </c>
      <c r="F334" s="22">
        <v>13</v>
      </c>
      <c r="G334" s="22" t="s">
        <v>15973</v>
      </c>
      <c r="H334" s="22">
        <v>4</v>
      </c>
      <c r="I334" s="25">
        <v>43402</v>
      </c>
      <c r="J334" s="24">
        <v>43450</v>
      </c>
    </row>
    <row r="335" spans="2:10" x14ac:dyDescent="0.2">
      <c r="B335" s="22">
        <v>330</v>
      </c>
      <c r="C335" s="23" t="s">
        <v>15974</v>
      </c>
      <c r="D335" s="23" t="s">
        <v>1294</v>
      </c>
      <c r="E335" s="20" t="s">
        <v>15975</v>
      </c>
      <c r="F335" s="22">
        <v>4</v>
      </c>
      <c r="G335" s="22" t="s">
        <v>15976</v>
      </c>
      <c r="H335" s="22">
        <v>2</v>
      </c>
      <c r="I335" s="25">
        <v>43402</v>
      </c>
      <c r="J335" s="24">
        <v>43457</v>
      </c>
    </row>
    <row r="336" spans="2:10" x14ac:dyDescent="0.2">
      <c r="B336" s="22">
        <v>331</v>
      </c>
      <c r="C336" s="23" t="s">
        <v>15977</v>
      </c>
      <c r="D336" s="23" t="s">
        <v>15978</v>
      </c>
      <c r="E336" s="20" t="s">
        <v>15979</v>
      </c>
      <c r="F336" s="22">
        <v>14</v>
      </c>
      <c r="G336" s="22" t="s">
        <v>15980</v>
      </c>
      <c r="H336" s="22">
        <v>2</v>
      </c>
      <c r="I336" s="25">
        <v>43353</v>
      </c>
      <c r="J336" s="24">
        <v>43373</v>
      </c>
    </row>
    <row r="337" spans="2:10" x14ac:dyDescent="0.2">
      <c r="B337" s="22">
        <v>332</v>
      </c>
      <c r="C337" s="23" t="s">
        <v>15981</v>
      </c>
      <c r="D337" s="23" t="s">
        <v>15982</v>
      </c>
      <c r="E337" s="20" t="s">
        <v>15983</v>
      </c>
      <c r="F337" s="22">
        <v>14</v>
      </c>
      <c r="G337" s="22" t="s">
        <v>15984</v>
      </c>
      <c r="H337" s="22">
        <v>2</v>
      </c>
      <c r="I337" s="25">
        <v>43129</v>
      </c>
      <c r="J337" s="24">
        <v>43163</v>
      </c>
    </row>
    <row r="338" spans="2:10" x14ac:dyDescent="0.2">
      <c r="B338" s="22">
        <v>333</v>
      </c>
      <c r="C338" s="23" t="s">
        <v>15985</v>
      </c>
      <c r="D338" s="23" t="s">
        <v>2010</v>
      </c>
      <c r="E338" s="20" t="s">
        <v>15986</v>
      </c>
      <c r="F338" s="22">
        <v>5</v>
      </c>
      <c r="G338" s="22" t="s">
        <v>15987</v>
      </c>
      <c r="H338" s="22">
        <v>1</v>
      </c>
      <c r="I338" s="25">
        <v>43199</v>
      </c>
      <c r="J338" s="24">
        <v>43450</v>
      </c>
    </row>
    <row r="339" spans="2:10" x14ac:dyDescent="0.2">
      <c r="B339" s="22">
        <v>334</v>
      </c>
      <c r="C339" s="23" t="s">
        <v>15988</v>
      </c>
      <c r="D339" s="23" t="s">
        <v>1039</v>
      </c>
      <c r="E339" s="20" t="s">
        <v>15989</v>
      </c>
      <c r="F339" s="22">
        <v>20</v>
      </c>
      <c r="G339" s="22" t="s">
        <v>15990</v>
      </c>
      <c r="H339" s="22">
        <v>20</v>
      </c>
      <c r="I339" s="25">
        <v>43248</v>
      </c>
      <c r="J339" s="24">
        <v>43296</v>
      </c>
    </row>
    <row r="340" spans="2:10" x14ac:dyDescent="0.2">
      <c r="B340" s="22">
        <v>335</v>
      </c>
      <c r="C340" s="23" t="s">
        <v>15991</v>
      </c>
      <c r="D340" s="23" t="s">
        <v>1039</v>
      </c>
      <c r="E340" s="20" t="s">
        <v>15992</v>
      </c>
      <c r="F340" s="22">
        <v>20</v>
      </c>
      <c r="G340" s="22" t="s">
        <v>15993</v>
      </c>
      <c r="H340" s="22">
        <v>20</v>
      </c>
      <c r="I340" s="25">
        <v>43374</v>
      </c>
      <c r="J340" s="24">
        <v>43436</v>
      </c>
    </row>
    <row r="341" spans="2:10" x14ac:dyDescent="0.2">
      <c r="B341" s="22">
        <v>336</v>
      </c>
      <c r="C341" s="23" t="s">
        <v>15994</v>
      </c>
      <c r="D341" s="23" t="s">
        <v>1804</v>
      </c>
      <c r="E341" s="20" t="s">
        <v>15995</v>
      </c>
      <c r="F341" s="22">
        <v>4</v>
      </c>
      <c r="G341" s="22" t="s">
        <v>15996</v>
      </c>
      <c r="H341" s="22">
        <v>1</v>
      </c>
      <c r="I341" s="25">
        <v>43213</v>
      </c>
      <c r="J341" s="24">
        <v>43148</v>
      </c>
    </row>
    <row r="342" spans="2:10" x14ac:dyDescent="0.2">
      <c r="B342" s="22">
        <v>337</v>
      </c>
      <c r="C342" s="23" t="s">
        <v>15997</v>
      </c>
      <c r="D342" s="23" t="s">
        <v>1043</v>
      </c>
      <c r="E342" s="20" t="s">
        <v>15998</v>
      </c>
      <c r="F342" s="22">
        <v>9</v>
      </c>
      <c r="G342" s="22" t="s">
        <v>15999</v>
      </c>
      <c r="H342" s="22">
        <v>9</v>
      </c>
      <c r="I342" s="25">
        <v>43150</v>
      </c>
      <c r="J342" s="24">
        <v>43184</v>
      </c>
    </row>
    <row r="343" spans="2:10" x14ac:dyDescent="0.2">
      <c r="B343" s="22">
        <v>338</v>
      </c>
      <c r="C343" s="23" t="s">
        <v>16000</v>
      </c>
      <c r="D343" s="23" t="s">
        <v>12966</v>
      </c>
      <c r="E343" s="20" t="s">
        <v>16001</v>
      </c>
      <c r="F343" s="22">
        <v>16</v>
      </c>
      <c r="G343" s="22" t="s">
        <v>16002</v>
      </c>
      <c r="H343" s="22">
        <v>16</v>
      </c>
      <c r="I343" s="25">
        <v>43269</v>
      </c>
      <c r="J343" s="24">
        <v>43303</v>
      </c>
    </row>
    <row r="344" spans="2:10" x14ac:dyDescent="0.2">
      <c r="B344" s="22">
        <v>339</v>
      </c>
      <c r="C344" s="23" t="s">
        <v>16003</v>
      </c>
      <c r="D344" s="23" t="s">
        <v>1880</v>
      </c>
      <c r="E344" s="20" t="s">
        <v>16004</v>
      </c>
      <c r="F344" s="22">
        <v>4</v>
      </c>
      <c r="G344" s="22" t="s">
        <v>16005</v>
      </c>
      <c r="H344" s="22">
        <v>2</v>
      </c>
      <c r="I344" s="25">
        <v>43437</v>
      </c>
      <c r="J344" s="24">
        <v>43232</v>
      </c>
    </row>
    <row r="345" spans="2:10" x14ac:dyDescent="0.2">
      <c r="B345" s="22">
        <v>340</v>
      </c>
      <c r="C345" s="23" t="s">
        <v>16006</v>
      </c>
      <c r="D345" s="23" t="s">
        <v>1797</v>
      </c>
      <c r="E345" s="20" t="s">
        <v>16007</v>
      </c>
      <c r="F345" s="22">
        <v>5</v>
      </c>
      <c r="G345" s="22" t="s">
        <v>16008</v>
      </c>
      <c r="H345" s="22">
        <v>4</v>
      </c>
      <c r="I345" s="25">
        <v>43262</v>
      </c>
      <c r="J345" s="24">
        <v>43352</v>
      </c>
    </row>
    <row r="346" spans="2:10" x14ac:dyDescent="0.2">
      <c r="B346" s="22">
        <v>341</v>
      </c>
      <c r="C346" s="23" t="s">
        <v>16009</v>
      </c>
      <c r="D346" s="23" t="s">
        <v>1159</v>
      </c>
      <c r="E346" s="20" t="s">
        <v>16010</v>
      </c>
      <c r="F346" s="22" t="s">
        <v>1159</v>
      </c>
      <c r="G346" s="22" t="s">
        <v>1159</v>
      </c>
      <c r="H346" s="22" t="s">
        <v>1159</v>
      </c>
      <c r="I346" s="25">
        <v>43407</v>
      </c>
      <c r="J346" s="22" t="s">
        <v>558</v>
      </c>
    </row>
    <row r="347" spans="2:10" x14ac:dyDescent="0.2">
      <c r="B347" s="22">
        <v>342</v>
      </c>
      <c r="C347" s="23" t="s">
        <v>16011</v>
      </c>
      <c r="D347" s="23" t="s">
        <v>5254</v>
      </c>
      <c r="E347" s="20" t="s">
        <v>16012</v>
      </c>
      <c r="F347" s="22">
        <v>12</v>
      </c>
      <c r="G347" s="22" t="s">
        <v>16013</v>
      </c>
      <c r="H347" s="22">
        <v>12</v>
      </c>
      <c r="I347" s="25">
        <v>43381</v>
      </c>
      <c r="J347" s="24">
        <v>43429</v>
      </c>
    </row>
    <row r="348" spans="2:10" x14ac:dyDescent="0.2">
      <c r="B348" s="22">
        <v>343</v>
      </c>
      <c r="C348" s="23" t="s">
        <v>16014</v>
      </c>
      <c r="D348" s="23" t="s">
        <v>16015</v>
      </c>
      <c r="E348" s="20" t="s">
        <v>16016</v>
      </c>
      <c r="F348" s="22">
        <v>5</v>
      </c>
      <c r="G348" s="22" t="s">
        <v>16017</v>
      </c>
      <c r="H348" s="22">
        <v>1</v>
      </c>
      <c r="I348" s="25">
        <v>43458</v>
      </c>
      <c r="J348" s="24">
        <v>43162</v>
      </c>
    </row>
    <row r="349" spans="2:10" x14ac:dyDescent="0.2">
      <c r="B349" s="22">
        <v>344</v>
      </c>
      <c r="C349" s="23" t="s">
        <v>16018</v>
      </c>
      <c r="D349" s="23" t="s">
        <v>1213</v>
      </c>
      <c r="E349" s="20" t="s">
        <v>16019</v>
      </c>
      <c r="F349" s="22">
        <v>7</v>
      </c>
      <c r="G349" s="22" t="s">
        <v>16020</v>
      </c>
      <c r="H349" s="22">
        <v>3</v>
      </c>
      <c r="I349" s="25">
        <v>43227</v>
      </c>
      <c r="J349" s="24">
        <v>43331</v>
      </c>
    </row>
    <row r="350" spans="2:10" x14ac:dyDescent="0.2">
      <c r="B350" s="22">
        <v>345</v>
      </c>
      <c r="C350" s="23" t="s">
        <v>16021</v>
      </c>
      <c r="D350" s="23" t="s">
        <v>2197</v>
      </c>
      <c r="E350" s="20" t="s">
        <v>16022</v>
      </c>
      <c r="F350" s="22">
        <v>75</v>
      </c>
      <c r="G350" s="22" t="s">
        <v>16023</v>
      </c>
      <c r="H350" s="22">
        <v>75</v>
      </c>
      <c r="I350" s="25">
        <v>43108</v>
      </c>
      <c r="J350" s="24">
        <v>43114</v>
      </c>
    </row>
    <row r="351" spans="2:10" x14ac:dyDescent="0.2">
      <c r="B351" s="22">
        <v>346</v>
      </c>
      <c r="C351" s="23" t="s">
        <v>16024</v>
      </c>
      <c r="D351" s="23" t="s">
        <v>16025</v>
      </c>
      <c r="E351" s="20" t="s">
        <v>16026</v>
      </c>
      <c r="F351" s="22">
        <v>2</v>
      </c>
      <c r="G351" s="22" t="s">
        <v>16027</v>
      </c>
      <c r="H351" s="22">
        <v>2</v>
      </c>
      <c r="I351" s="25">
        <v>43206</v>
      </c>
      <c r="J351" s="24">
        <v>43281</v>
      </c>
    </row>
    <row r="352" spans="2:10" x14ac:dyDescent="0.2">
      <c r="B352" s="22">
        <v>347</v>
      </c>
      <c r="C352" s="23" t="s">
        <v>16028</v>
      </c>
      <c r="D352" s="23" t="s">
        <v>1294</v>
      </c>
      <c r="E352" s="20" t="s">
        <v>16029</v>
      </c>
      <c r="F352" s="22">
        <v>12</v>
      </c>
      <c r="G352" s="22" t="s">
        <v>16030</v>
      </c>
      <c r="H352" s="22">
        <v>2</v>
      </c>
      <c r="I352" s="25">
        <v>43206</v>
      </c>
      <c r="J352" s="24">
        <v>43268</v>
      </c>
    </row>
    <row r="353" spans="2:10" x14ac:dyDescent="0.2">
      <c r="B353" s="22">
        <v>348</v>
      </c>
      <c r="C353" s="23" t="s">
        <v>16031</v>
      </c>
      <c r="D353" s="23" t="s">
        <v>1142</v>
      </c>
      <c r="E353" s="20" t="s">
        <v>16032</v>
      </c>
      <c r="F353" s="22">
        <v>11</v>
      </c>
      <c r="G353" s="22" t="s">
        <v>6276</v>
      </c>
      <c r="H353" s="22">
        <v>2</v>
      </c>
      <c r="I353" s="25">
        <v>43297</v>
      </c>
      <c r="J353" s="24">
        <v>43345</v>
      </c>
    </row>
    <row r="354" spans="2:10" x14ac:dyDescent="0.2">
      <c r="B354" s="22">
        <v>349</v>
      </c>
      <c r="C354" s="23" t="s">
        <v>16033</v>
      </c>
      <c r="D354" s="23" t="s">
        <v>1559</v>
      </c>
      <c r="E354" s="20" t="s">
        <v>16034</v>
      </c>
      <c r="F354" s="22">
        <v>11</v>
      </c>
      <c r="G354" s="22" t="s">
        <v>16035</v>
      </c>
      <c r="H354" s="22">
        <v>1</v>
      </c>
      <c r="I354" s="25">
        <v>43458</v>
      </c>
      <c r="J354" s="24">
        <v>43141</v>
      </c>
    </row>
    <row r="355" spans="2:10" x14ac:dyDescent="0.2">
      <c r="B355" s="22">
        <v>350</v>
      </c>
      <c r="C355" s="23" t="s">
        <v>16036</v>
      </c>
      <c r="D355" s="23" t="s">
        <v>554</v>
      </c>
      <c r="E355" s="20" t="s">
        <v>16037</v>
      </c>
      <c r="F355" s="22">
        <v>5</v>
      </c>
      <c r="G355" s="22" t="s">
        <v>16038</v>
      </c>
      <c r="H355" s="22">
        <v>5</v>
      </c>
      <c r="I355" s="25">
        <v>43185</v>
      </c>
      <c r="J355" s="24">
        <v>43226</v>
      </c>
    </row>
    <row r="356" spans="2:10" x14ac:dyDescent="0.2">
      <c r="B356" s="22">
        <v>351</v>
      </c>
      <c r="C356" s="23" t="s">
        <v>16039</v>
      </c>
      <c r="D356" s="23" t="s">
        <v>1294</v>
      </c>
      <c r="E356" s="20" t="s">
        <v>16040</v>
      </c>
      <c r="F356" s="22">
        <v>5</v>
      </c>
      <c r="G356" s="22" t="s">
        <v>14187</v>
      </c>
      <c r="H356" s="22">
        <v>1</v>
      </c>
      <c r="I356" s="25">
        <v>43192</v>
      </c>
      <c r="J356" s="24">
        <v>43240</v>
      </c>
    </row>
    <row r="357" spans="2:10" x14ac:dyDescent="0.2">
      <c r="B357" s="22">
        <v>352</v>
      </c>
      <c r="C357" s="23" t="s">
        <v>16041</v>
      </c>
      <c r="D357" s="23" t="s">
        <v>1039</v>
      </c>
      <c r="E357" s="20" t="s">
        <v>16042</v>
      </c>
      <c r="F357" s="22">
        <v>9</v>
      </c>
      <c r="G357" s="22" t="s">
        <v>16043</v>
      </c>
      <c r="H357" s="22">
        <v>4</v>
      </c>
      <c r="I357" s="25">
        <v>43437</v>
      </c>
      <c r="J357" s="24">
        <v>43155</v>
      </c>
    </row>
    <row r="358" spans="2:10" x14ac:dyDescent="0.2">
      <c r="B358" s="22">
        <v>353</v>
      </c>
      <c r="C358" s="23" t="s">
        <v>16044</v>
      </c>
      <c r="D358" s="23" t="s">
        <v>1880</v>
      </c>
      <c r="E358" s="20" t="s">
        <v>16045</v>
      </c>
      <c r="F358" s="22">
        <v>11</v>
      </c>
      <c r="G358" s="22" t="s">
        <v>16046</v>
      </c>
      <c r="H358" s="22">
        <v>1</v>
      </c>
      <c r="I358" s="25">
        <v>43157</v>
      </c>
      <c r="J358" s="24">
        <v>43359</v>
      </c>
    </row>
    <row r="359" spans="2:10" x14ac:dyDescent="0.2">
      <c r="B359" s="22">
        <v>354</v>
      </c>
      <c r="C359" s="23" t="s">
        <v>16047</v>
      </c>
      <c r="D359" s="23" t="s">
        <v>4383</v>
      </c>
      <c r="E359" s="20" t="s">
        <v>16048</v>
      </c>
      <c r="F359" s="22">
        <v>6</v>
      </c>
      <c r="G359" s="22" t="s">
        <v>16049</v>
      </c>
      <c r="H359" s="22">
        <v>1</v>
      </c>
      <c r="I359" s="25">
        <v>43311</v>
      </c>
      <c r="J359" s="24">
        <v>43197</v>
      </c>
    </row>
    <row r="360" spans="2:10" x14ac:dyDescent="0.2">
      <c r="B360" s="22">
        <v>355</v>
      </c>
      <c r="C360" s="23" t="s">
        <v>16050</v>
      </c>
      <c r="D360" s="23" t="s">
        <v>1213</v>
      </c>
      <c r="E360" s="20" t="s">
        <v>16051</v>
      </c>
      <c r="F360" s="22">
        <v>6</v>
      </c>
      <c r="G360" s="22" t="s">
        <v>14308</v>
      </c>
      <c r="H360" s="22">
        <v>1</v>
      </c>
      <c r="I360" s="25">
        <v>43316</v>
      </c>
      <c r="J360" s="24">
        <v>43429</v>
      </c>
    </row>
    <row r="361" spans="2:10" x14ac:dyDescent="0.2">
      <c r="B361" s="22">
        <v>356</v>
      </c>
      <c r="C361" s="23" t="s">
        <v>16052</v>
      </c>
      <c r="D361" s="23" t="s">
        <v>1797</v>
      </c>
      <c r="E361" s="20" t="s">
        <v>16053</v>
      </c>
      <c r="F361" s="22">
        <v>4</v>
      </c>
      <c r="G361" s="22" t="s">
        <v>16054</v>
      </c>
      <c r="H361" s="22">
        <v>2</v>
      </c>
      <c r="I361" s="25">
        <v>43255</v>
      </c>
      <c r="J361" s="24">
        <v>43176</v>
      </c>
    </row>
    <row r="362" spans="2:10" x14ac:dyDescent="0.2">
      <c r="B362" s="22">
        <v>357</v>
      </c>
      <c r="C362" s="23" t="s">
        <v>16055</v>
      </c>
      <c r="D362" s="23" t="s">
        <v>16056</v>
      </c>
      <c r="E362" s="20" t="s">
        <v>16057</v>
      </c>
      <c r="F362" s="22">
        <v>6</v>
      </c>
      <c r="G362" s="22" t="s">
        <v>16058</v>
      </c>
      <c r="H362" s="22">
        <v>3</v>
      </c>
      <c r="I362" s="25">
        <v>43360</v>
      </c>
      <c r="J362" s="24">
        <v>43387</v>
      </c>
    </row>
    <row r="363" spans="2:10" x14ac:dyDescent="0.2">
      <c r="B363" s="22">
        <v>358</v>
      </c>
      <c r="C363" s="23" t="s">
        <v>16059</v>
      </c>
      <c r="D363" s="23" t="s">
        <v>8353</v>
      </c>
      <c r="E363" s="20" t="s">
        <v>16060</v>
      </c>
      <c r="F363" s="22">
        <v>5</v>
      </c>
      <c r="G363" s="22" t="s">
        <v>5026</v>
      </c>
      <c r="H363" s="22">
        <v>1</v>
      </c>
      <c r="I363" s="25">
        <v>43400</v>
      </c>
      <c r="J363" s="24">
        <v>43197</v>
      </c>
    </row>
    <row r="364" spans="2:10" x14ac:dyDescent="0.2">
      <c r="B364" s="22">
        <v>359</v>
      </c>
      <c r="C364" s="23" t="s">
        <v>16061</v>
      </c>
      <c r="D364" s="23" t="s">
        <v>14416</v>
      </c>
      <c r="E364" s="20" t="s">
        <v>16062</v>
      </c>
      <c r="F364" s="22">
        <v>4</v>
      </c>
      <c r="G364" s="22" t="s">
        <v>16063</v>
      </c>
      <c r="H364" s="22">
        <v>1</v>
      </c>
      <c r="I364" s="25">
        <v>43381</v>
      </c>
      <c r="J364" s="24">
        <v>43106</v>
      </c>
    </row>
    <row r="365" spans="2:10" x14ac:dyDescent="0.2">
      <c r="B365" s="22">
        <v>360</v>
      </c>
      <c r="C365" s="23" t="s">
        <v>16064</v>
      </c>
      <c r="D365" s="23" t="s">
        <v>16065</v>
      </c>
      <c r="E365" s="20" t="s">
        <v>16066</v>
      </c>
      <c r="F365" s="22">
        <v>2</v>
      </c>
      <c r="G365" s="22" t="s">
        <v>16067</v>
      </c>
      <c r="H365" s="22">
        <v>1</v>
      </c>
      <c r="I365" s="25">
        <v>43199</v>
      </c>
      <c r="J365" s="24">
        <v>43415</v>
      </c>
    </row>
    <row r="366" spans="2:10" x14ac:dyDescent="0.2">
      <c r="B366" s="22">
        <v>361</v>
      </c>
      <c r="C366" s="23" t="s">
        <v>16068</v>
      </c>
      <c r="D366" s="23" t="s">
        <v>7161</v>
      </c>
      <c r="E366" s="20" t="s">
        <v>16069</v>
      </c>
      <c r="F366" s="22">
        <v>1</v>
      </c>
      <c r="G366" s="22" t="s">
        <v>13826</v>
      </c>
      <c r="H366" s="22">
        <v>1</v>
      </c>
      <c r="I366" s="25">
        <v>43269</v>
      </c>
      <c r="J366" s="22" t="s">
        <v>558</v>
      </c>
    </row>
    <row r="367" spans="2:10" x14ac:dyDescent="0.2">
      <c r="B367" s="22">
        <v>362</v>
      </c>
      <c r="C367" s="23" t="s">
        <v>16070</v>
      </c>
      <c r="D367" s="23" t="s">
        <v>1804</v>
      </c>
      <c r="E367" s="20" t="s">
        <v>16071</v>
      </c>
      <c r="F367" s="22">
        <v>6</v>
      </c>
      <c r="G367" s="22" t="s">
        <v>16072</v>
      </c>
      <c r="H367" s="22">
        <v>3</v>
      </c>
      <c r="I367" s="25">
        <v>43241</v>
      </c>
      <c r="J367" s="24">
        <v>43387</v>
      </c>
    </row>
    <row r="368" spans="2:10" x14ac:dyDescent="0.2">
      <c r="B368" s="22">
        <v>363</v>
      </c>
      <c r="C368" s="23" t="s">
        <v>16073</v>
      </c>
      <c r="D368" s="23" t="s">
        <v>14416</v>
      </c>
      <c r="E368" s="20" t="s">
        <v>16074</v>
      </c>
      <c r="F368" s="22">
        <v>4</v>
      </c>
      <c r="G368" s="22" t="s">
        <v>16075</v>
      </c>
      <c r="H368" s="22">
        <v>1</v>
      </c>
      <c r="I368" s="25">
        <v>43190</v>
      </c>
      <c r="J368" s="22" t="s">
        <v>558</v>
      </c>
    </row>
    <row r="369" spans="2:10" x14ac:dyDescent="0.2">
      <c r="B369" s="22">
        <v>364</v>
      </c>
      <c r="C369" s="23" t="s">
        <v>16076</v>
      </c>
      <c r="D369" s="23" t="s">
        <v>1880</v>
      </c>
      <c r="E369" s="20" t="s">
        <v>16077</v>
      </c>
      <c r="F369" s="22">
        <v>5</v>
      </c>
      <c r="G369" s="22" t="s">
        <v>2231</v>
      </c>
      <c r="H369" s="22">
        <v>1</v>
      </c>
      <c r="I369" s="25">
        <v>43185</v>
      </c>
      <c r="J369" s="24">
        <v>43282</v>
      </c>
    </row>
    <row r="370" spans="2:10" x14ac:dyDescent="0.2">
      <c r="B370" s="22">
        <v>365</v>
      </c>
      <c r="C370" s="23" t="s">
        <v>16078</v>
      </c>
      <c r="D370" s="23" t="s">
        <v>4583</v>
      </c>
      <c r="E370" s="20" t="s">
        <v>16079</v>
      </c>
      <c r="F370" s="22">
        <v>33</v>
      </c>
      <c r="G370" s="22" t="s">
        <v>16080</v>
      </c>
      <c r="H370" s="22">
        <v>33</v>
      </c>
      <c r="I370" s="25">
        <v>43241</v>
      </c>
      <c r="J370" s="24">
        <v>43303</v>
      </c>
    </row>
    <row r="371" spans="2:10" x14ac:dyDescent="0.2">
      <c r="B371" s="22">
        <v>366</v>
      </c>
      <c r="C371" s="23" t="s">
        <v>16081</v>
      </c>
      <c r="D371" s="23" t="s">
        <v>1210</v>
      </c>
      <c r="E371" s="20" t="s">
        <v>16082</v>
      </c>
      <c r="F371" s="22">
        <v>25</v>
      </c>
      <c r="G371" s="22" t="s">
        <v>16083</v>
      </c>
      <c r="H371" s="22">
        <v>25</v>
      </c>
      <c r="I371" s="25">
        <v>43402</v>
      </c>
      <c r="J371" s="24">
        <v>43239</v>
      </c>
    </row>
    <row r="372" spans="2:10" x14ac:dyDescent="0.2">
      <c r="B372" s="22">
        <v>367</v>
      </c>
      <c r="C372" s="23" t="s">
        <v>16084</v>
      </c>
      <c r="D372" s="23" t="s">
        <v>1043</v>
      </c>
      <c r="E372" s="20" t="s">
        <v>16085</v>
      </c>
      <c r="F372" s="22">
        <v>43</v>
      </c>
      <c r="G372" s="22" t="s">
        <v>4082</v>
      </c>
      <c r="H372" s="22">
        <v>41</v>
      </c>
      <c r="I372" s="25">
        <v>43416</v>
      </c>
      <c r="J372" s="24">
        <v>43464</v>
      </c>
    </row>
    <row r="373" spans="2:10" x14ac:dyDescent="0.2">
      <c r="B373" s="22">
        <v>368</v>
      </c>
      <c r="C373" s="23" t="s">
        <v>16086</v>
      </c>
      <c r="D373" s="23" t="s">
        <v>1572</v>
      </c>
      <c r="E373" s="20" t="s">
        <v>16087</v>
      </c>
      <c r="F373" s="22">
        <v>3</v>
      </c>
      <c r="G373" s="22" t="s">
        <v>16088</v>
      </c>
      <c r="H373" s="22">
        <v>1</v>
      </c>
      <c r="I373" s="25">
        <v>43295</v>
      </c>
      <c r="J373" s="24">
        <v>43148</v>
      </c>
    </row>
    <row r="374" spans="2:10" x14ac:dyDescent="0.2">
      <c r="B374" s="22">
        <v>369</v>
      </c>
      <c r="C374" s="23" t="s">
        <v>16089</v>
      </c>
      <c r="D374" s="23" t="s">
        <v>1015</v>
      </c>
      <c r="E374" s="20" t="s">
        <v>16090</v>
      </c>
      <c r="F374" s="22">
        <v>5</v>
      </c>
      <c r="G374" s="22" t="s">
        <v>16091</v>
      </c>
      <c r="H374" s="22">
        <v>2</v>
      </c>
      <c r="I374" s="25">
        <v>43304</v>
      </c>
      <c r="J374" s="24">
        <v>43394</v>
      </c>
    </row>
    <row r="375" spans="2:10" x14ac:dyDescent="0.2">
      <c r="B375" s="22">
        <v>370</v>
      </c>
      <c r="C375" s="23" t="s">
        <v>16092</v>
      </c>
      <c r="D375" s="23" t="s">
        <v>1294</v>
      </c>
      <c r="E375" s="20" t="s">
        <v>4479</v>
      </c>
      <c r="F375" s="22">
        <v>11</v>
      </c>
      <c r="G375" s="22" t="s">
        <v>16093</v>
      </c>
      <c r="H375" s="22">
        <v>2</v>
      </c>
      <c r="I375" s="25">
        <v>43234</v>
      </c>
      <c r="J375" s="24">
        <v>43282</v>
      </c>
    </row>
    <row r="376" spans="2:10" x14ac:dyDescent="0.2">
      <c r="B376" s="22">
        <v>371</v>
      </c>
      <c r="C376" s="23" t="s">
        <v>16094</v>
      </c>
      <c r="D376" s="23" t="s">
        <v>16095</v>
      </c>
      <c r="E376" s="20" t="s">
        <v>16096</v>
      </c>
      <c r="F376" s="22">
        <v>4</v>
      </c>
      <c r="G376" s="22" t="s">
        <v>16097</v>
      </c>
      <c r="H376" s="22">
        <v>1</v>
      </c>
      <c r="I376" s="25">
        <v>43269</v>
      </c>
      <c r="J376" s="24">
        <v>43380</v>
      </c>
    </row>
    <row r="377" spans="2:10" x14ac:dyDescent="0.2">
      <c r="B377" s="22">
        <v>372</v>
      </c>
      <c r="C377" s="23" t="s">
        <v>16098</v>
      </c>
      <c r="D377" s="23" t="s">
        <v>8353</v>
      </c>
      <c r="E377" s="20" t="s">
        <v>16099</v>
      </c>
      <c r="F377" s="22">
        <v>3</v>
      </c>
      <c r="G377" s="22" t="s">
        <v>16100</v>
      </c>
      <c r="H377" s="22">
        <v>1</v>
      </c>
      <c r="I377" s="25">
        <v>43262</v>
      </c>
      <c r="J377" s="24">
        <v>43310</v>
      </c>
    </row>
    <row r="378" spans="2:10" x14ac:dyDescent="0.2">
      <c r="B378" s="22">
        <v>373</v>
      </c>
      <c r="C378" s="23" t="s">
        <v>16101</v>
      </c>
      <c r="D378" s="23" t="s">
        <v>1269</v>
      </c>
      <c r="E378" s="20" t="s">
        <v>16102</v>
      </c>
      <c r="F378" s="22">
        <v>3</v>
      </c>
      <c r="G378" s="22" t="s">
        <v>11005</v>
      </c>
      <c r="H378" s="22">
        <v>1</v>
      </c>
      <c r="I378" s="25">
        <v>43171</v>
      </c>
      <c r="J378" s="24">
        <v>43366</v>
      </c>
    </row>
    <row r="379" spans="2:10" x14ac:dyDescent="0.2">
      <c r="B379" s="22">
        <v>374</v>
      </c>
      <c r="C379" s="23" t="s">
        <v>16103</v>
      </c>
      <c r="D379" s="23" t="s">
        <v>1640</v>
      </c>
      <c r="E379" s="20" t="s">
        <v>16104</v>
      </c>
      <c r="F379" s="22">
        <v>5</v>
      </c>
      <c r="G379" s="22" t="s">
        <v>16105</v>
      </c>
      <c r="H379" s="22">
        <v>1</v>
      </c>
      <c r="I379" s="25">
        <v>43162</v>
      </c>
      <c r="J379" s="24">
        <v>43275</v>
      </c>
    </row>
    <row r="380" spans="2:10" x14ac:dyDescent="0.2">
      <c r="B380" s="22">
        <v>375</v>
      </c>
      <c r="C380" s="23" t="s">
        <v>16106</v>
      </c>
      <c r="D380" s="23" t="s">
        <v>12261</v>
      </c>
      <c r="E380" s="20" t="s">
        <v>16107</v>
      </c>
      <c r="F380" s="22">
        <v>10</v>
      </c>
      <c r="G380" s="22" t="s">
        <v>6889</v>
      </c>
      <c r="H380" s="22">
        <v>10</v>
      </c>
      <c r="I380" s="25">
        <v>43283</v>
      </c>
      <c r="J380" s="24">
        <v>43303</v>
      </c>
    </row>
    <row r="381" spans="2:10" x14ac:dyDescent="0.2">
      <c r="B381" s="22">
        <v>376</v>
      </c>
      <c r="C381" s="23" t="s">
        <v>16108</v>
      </c>
      <c r="D381" s="23" t="s">
        <v>1519</v>
      </c>
      <c r="E381" s="20" t="s">
        <v>16109</v>
      </c>
      <c r="F381" s="22">
        <v>68</v>
      </c>
      <c r="G381" s="22" t="s">
        <v>16109</v>
      </c>
      <c r="H381" s="22">
        <v>68</v>
      </c>
      <c r="I381" s="25">
        <v>43374</v>
      </c>
      <c r="J381" s="24">
        <v>43380</v>
      </c>
    </row>
    <row r="382" spans="2:10" x14ac:dyDescent="0.2">
      <c r="B382" s="22">
        <v>377</v>
      </c>
      <c r="C382" s="23" t="s">
        <v>16110</v>
      </c>
      <c r="D382" s="23" t="s">
        <v>7206</v>
      </c>
      <c r="E382" s="20" t="s">
        <v>16111</v>
      </c>
      <c r="F382" s="22">
        <v>4</v>
      </c>
      <c r="G382" s="22" t="s">
        <v>16112</v>
      </c>
      <c r="H382" s="22">
        <v>1</v>
      </c>
      <c r="I382" s="25">
        <v>43255</v>
      </c>
      <c r="J382" s="24">
        <v>43408</v>
      </c>
    </row>
    <row r="383" spans="2:10" x14ac:dyDescent="0.2">
      <c r="B383" s="22">
        <v>378</v>
      </c>
      <c r="C383" s="23" t="s">
        <v>16113</v>
      </c>
      <c r="D383" s="23" t="s">
        <v>1739</v>
      </c>
      <c r="E383" s="20" t="s">
        <v>16114</v>
      </c>
      <c r="F383" s="22">
        <v>3</v>
      </c>
      <c r="G383" s="22" t="s">
        <v>9111</v>
      </c>
      <c r="H383" s="22">
        <v>3</v>
      </c>
      <c r="I383" s="25">
        <v>43192</v>
      </c>
      <c r="J383" s="24">
        <v>43296</v>
      </c>
    </row>
    <row r="384" spans="2:10" x14ac:dyDescent="0.2">
      <c r="B384" s="22">
        <v>379</v>
      </c>
      <c r="C384" s="23" t="s">
        <v>16115</v>
      </c>
      <c r="D384" s="23" t="s">
        <v>16116</v>
      </c>
      <c r="E384" s="20" t="s">
        <v>16117</v>
      </c>
      <c r="F384" s="22">
        <v>5</v>
      </c>
      <c r="G384" s="22" t="s">
        <v>16118</v>
      </c>
      <c r="H384" s="22">
        <v>5</v>
      </c>
      <c r="I384" s="25">
        <v>43199</v>
      </c>
      <c r="J384" s="24">
        <v>43212</v>
      </c>
    </row>
    <row r="385" spans="2:10" x14ac:dyDescent="0.2">
      <c r="B385" s="22">
        <v>380</v>
      </c>
      <c r="C385" s="23" t="s">
        <v>16119</v>
      </c>
      <c r="D385" s="23" t="s">
        <v>2010</v>
      </c>
      <c r="E385" s="20" t="s">
        <v>16120</v>
      </c>
      <c r="F385" s="22">
        <v>2</v>
      </c>
      <c r="G385" s="22" t="s">
        <v>16121</v>
      </c>
      <c r="H385" s="22">
        <v>1</v>
      </c>
      <c r="I385" s="25">
        <v>43463</v>
      </c>
      <c r="J385" s="24">
        <v>43407</v>
      </c>
    </row>
    <row r="386" spans="2:10" x14ac:dyDescent="0.2">
      <c r="B386" s="22">
        <v>381</v>
      </c>
      <c r="C386" s="23" t="s">
        <v>16122</v>
      </c>
      <c r="D386" s="23" t="s">
        <v>554</v>
      </c>
      <c r="E386" s="20" t="s">
        <v>16123</v>
      </c>
      <c r="F386" s="22">
        <v>5</v>
      </c>
      <c r="G386" s="22" t="s">
        <v>16124</v>
      </c>
      <c r="H386" s="22">
        <v>5</v>
      </c>
      <c r="I386" s="25">
        <v>43325</v>
      </c>
      <c r="J386" s="24">
        <v>43345</v>
      </c>
    </row>
    <row r="387" spans="2:10" x14ac:dyDescent="0.2">
      <c r="B387" s="22">
        <v>382</v>
      </c>
      <c r="C387" s="23" t="s">
        <v>16125</v>
      </c>
      <c r="D387" s="23" t="s">
        <v>7161</v>
      </c>
      <c r="E387" s="20" t="s">
        <v>16126</v>
      </c>
      <c r="F387" s="22">
        <v>2</v>
      </c>
      <c r="G387" s="22" t="s">
        <v>16127</v>
      </c>
      <c r="H387" s="22">
        <v>1</v>
      </c>
      <c r="I387" s="25">
        <v>43416</v>
      </c>
      <c r="J387" s="24">
        <v>43372</v>
      </c>
    </row>
    <row r="388" spans="2:10" x14ac:dyDescent="0.2">
      <c r="B388" s="22">
        <v>383</v>
      </c>
      <c r="C388" s="23" t="s">
        <v>16128</v>
      </c>
      <c r="D388" s="23" t="s">
        <v>1294</v>
      </c>
      <c r="E388" s="20" t="s">
        <v>16129</v>
      </c>
      <c r="F388" s="22">
        <v>2</v>
      </c>
      <c r="G388" s="22" t="s">
        <v>16130</v>
      </c>
      <c r="H388" s="22">
        <v>2</v>
      </c>
      <c r="I388" s="25">
        <v>43339</v>
      </c>
      <c r="J388" s="24">
        <v>43359</v>
      </c>
    </row>
    <row r="389" spans="2:10" x14ac:dyDescent="0.2">
      <c r="B389" s="22">
        <v>384</v>
      </c>
      <c r="C389" s="23" t="s">
        <v>16131</v>
      </c>
      <c r="D389" s="23" t="s">
        <v>1043</v>
      </c>
      <c r="E389" s="20" t="s">
        <v>16132</v>
      </c>
      <c r="F389" s="22">
        <v>43</v>
      </c>
      <c r="G389" s="22" t="s">
        <v>15858</v>
      </c>
      <c r="H389" s="22">
        <v>27</v>
      </c>
      <c r="I389" s="25">
        <v>43185</v>
      </c>
      <c r="J389" s="24">
        <v>43212</v>
      </c>
    </row>
    <row r="390" spans="2:10" x14ac:dyDescent="0.2">
      <c r="B390" s="22">
        <v>385</v>
      </c>
      <c r="C390" s="23" t="s">
        <v>16133</v>
      </c>
      <c r="D390" s="23" t="s">
        <v>1142</v>
      </c>
      <c r="E390" s="20" t="s">
        <v>16134</v>
      </c>
      <c r="F390" s="22">
        <v>4</v>
      </c>
      <c r="G390" s="22" t="s">
        <v>16135</v>
      </c>
      <c r="H390" s="22">
        <v>1</v>
      </c>
      <c r="I390" s="25">
        <v>43421</v>
      </c>
      <c r="J390" s="24">
        <v>43141</v>
      </c>
    </row>
    <row r="391" spans="2:10" x14ac:dyDescent="0.2">
      <c r="B391" s="22">
        <v>386</v>
      </c>
      <c r="C391" s="23" t="s">
        <v>16136</v>
      </c>
      <c r="D391" s="23" t="s">
        <v>16137</v>
      </c>
      <c r="E391" s="20" t="s">
        <v>16138</v>
      </c>
      <c r="F391" s="22">
        <v>4</v>
      </c>
      <c r="G391" s="22" t="s">
        <v>16139</v>
      </c>
      <c r="H391" s="22">
        <v>3</v>
      </c>
      <c r="I391" s="25">
        <v>43150</v>
      </c>
      <c r="J391" s="24">
        <v>43163</v>
      </c>
    </row>
    <row r="392" spans="2:10" x14ac:dyDescent="0.2">
      <c r="B392" s="22">
        <v>387</v>
      </c>
      <c r="C392" s="23" t="s">
        <v>16140</v>
      </c>
      <c r="D392" s="23" t="s">
        <v>1083</v>
      </c>
      <c r="E392" s="20" t="s">
        <v>16141</v>
      </c>
      <c r="F392" s="22">
        <v>32</v>
      </c>
      <c r="G392" s="22" t="s">
        <v>16141</v>
      </c>
      <c r="H392" s="22">
        <v>32</v>
      </c>
      <c r="I392" s="25">
        <v>43444</v>
      </c>
      <c r="J392" s="24">
        <v>43450</v>
      </c>
    </row>
    <row r="393" spans="2:10" x14ac:dyDescent="0.2">
      <c r="B393" s="22">
        <v>388</v>
      </c>
      <c r="C393" s="23" t="s">
        <v>16142</v>
      </c>
      <c r="D393" s="23" t="s">
        <v>1640</v>
      </c>
      <c r="E393" s="20" t="s">
        <v>16143</v>
      </c>
      <c r="F393" s="22">
        <v>4</v>
      </c>
      <c r="G393" s="22" t="s">
        <v>16144</v>
      </c>
      <c r="H393" s="22">
        <v>1</v>
      </c>
      <c r="I393" s="25">
        <v>43227</v>
      </c>
      <c r="J393" s="24">
        <v>43310</v>
      </c>
    </row>
    <row r="394" spans="2:10" x14ac:dyDescent="0.2">
      <c r="B394" s="22">
        <v>389</v>
      </c>
      <c r="C394" s="23" t="s">
        <v>16145</v>
      </c>
      <c r="D394" s="23" t="s">
        <v>16146</v>
      </c>
      <c r="E394" s="20" t="s">
        <v>16147</v>
      </c>
      <c r="F394" s="22">
        <v>1</v>
      </c>
      <c r="G394" s="22" t="s">
        <v>16148</v>
      </c>
      <c r="H394" s="22">
        <v>1</v>
      </c>
      <c r="I394" s="25">
        <v>43360</v>
      </c>
      <c r="J394" s="24">
        <v>43371</v>
      </c>
    </row>
    <row r="395" spans="2:10" x14ac:dyDescent="0.2">
      <c r="B395" s="22">
        <v>390</v>
      </c>
      <c r="C395" s="23" t="s">
        <v>16149</v>
      </c>
      <c r="D395" s="23" t="s">
        <v>1217</v>
      </c>
      <c r="E395" s="20" t="s">
        <v>16150</v>
      </c>
      <c r="F395" s="22">
        <v>40</v>
      </c>
      <c r="G395" s="22" t="s">
        <v>16151</v>
      </c>
      <c r="H395" s="22">
        <v>40</v>
      </c>
      <c r="I395" s="25">
        <v>43248</v>
      </c>
      <c r="J395" s="24">
        <v>43261</v>
      </c>
    </row>
    <row r="396" spans="2:10" x14ac:dyDescent="0.2">
      <c r="B396" s="22">
        <v>391</v>
      </c>
      <c r="C396" s="23" t="s">
        <v>16152</v>
      </c>
      <c r="D396" s="23" t="s">
        <v>1797</v>
      </c>
      <c r="E396" s="20" t="s">
        <v>16153</v>
      </c>
      <c r="F396" s="22">
        <v>4</v>
      </c>
      <c r="G396" s="22" t="s">
        <v>16154</v>
      </c>
      <c r="H396" s="22">
        <v>2</v>
      </c>
      <c r="I396" s="25">
        <v>43388</v>
      </c>
      <c r="J396" s="22" t="s">
        <v>558</v>
      </c>
    </row>
    <row r="397" spans="2:10" x14ac:dyDescent="0.2">
      <c r="B397" s="22">
        <v>392</v>
      </c>
      <c r="C397" s="23" t="s">
        <v>16155</v>
      </c>
      <c r="D397" s="23" t="s">
        <v>6519</v>
      </c>
      <c r="E397" s="20" t="s">
        <v>16156</v>
      </c>
      <c r="F397" s="22">
        <v>5</v>
      </c>
      <c r="G397" s="22" t="s">
        <v>16157</v>
      </c>
      <c r="H397" s="22">
        <v>1</v>
      </c>
      <c r="I397" s="25">
        <v>43115</v>
      </c>
      <c r="J397" s="24">
        <v>43184</v>
      </c>
    </row>
    <row r="398" spans="2:10" x14ac:dyDescent="0.2">
      <c r="B398" s="22">
        <v>393</v>
      </c>
      <c r="C398" s="23" t="s">
        <v>16158</v>
      </c>
      <c r="D398" s="23" t="s">
        <v>16159</v>
      </c>
      <c r="E398" s="20" t="s">
        <v>16160</v>
      </c>
      <c r="F398" s="22">
        <v>2</v>
      </c>
      <c r="G398" s="22" t="s">
        <v>16161</v>
      </c>
      <c r="H398" s="22">
        <v>1</v>
      </c>
      <c r="I398" s="25">
        <v>43372</v>
      </c>
      <c r="J398" s="24">
        <v>43358</v>
      </c>
    </row>
    <row r="399" spans="2:10" x14ac:dyDescent="0.2">
      <c r="B399" s="22">
        <v>394</v>
      </c>
      <c r="C399" s="23" t="s">
        <v>16162</v>
      </c>
      <c r="D399" s="23" t="s">
        <v>14416</v>
      </c>
      <c r="E399" s="20" t="s">
        <v>16163</v>
      </c>
      <c r="F399" s="22">
        <v>4</v>
      </c>
      <c r="G399" s="22" t="s">
        <v>16164</v>
      </c>
      <c r="H399" s="22">
        <v>1</v>
      </c>
      <c r="I399" s="25">
        <v>43428</v>
      </c>
      <c r="J399" s="24">
        <v>43106</v>
      </c>
    </row>
    <row r="400" spans="2:10" x14ac:dyDescent="0.2">
      <c r="B400" s="22">
        <v>395</v>
      </c>
      <c r="C400" s="23" t="s">
        <v>16165</v>
      </c>
      <c r="D400" s="23" t="s">
        <v>2051</v>
      </c>
      <c r="E400" s="20" t="s">
        <v>16166</v>
      </c>
      <c r="F400" s="22">
        <v>19</v>
      </c>
      <c r="G400" s="22" t="s">
        <v>4961</v>
      </c>
      <c r="H400" s="22">
        <v>15</v>
      </c>
      <c r="I400" s="25">
        <v>43178</v>
      </c>
      <c r="J400" s="24">
        <v>43205</v>
      </c>
    </row>
    <row r="401" spans="2:10" x14ac:dyDescent="0.2">
      <c r="B401" s="22">
        <v>396</v>
      </c>
      <c r="C401" s="23" t="s">
        <v>16167</v>
      </c>
      <c r="D401" s="23" t="s">
        <v>14208</v>
      </c>
      <c r="E401" s="20" t="s">
        <v>16168</v>
      </c>
      <c r="F401" s="22">
        <v>3</v>
      </c>
      <c r="G401" s="22" t="s">
        <v>16169</v>
      </c>
      <c r="H401" s="22">
        <v>3</v>
      </c>
      <c r="I401" s="25">
        <v>43332</v>
      </c>
      <c r="J401" s="24">
        <v>43450</v>
      </c>
    </row>
    <row r="402" spans="2:10" x14ac:dyDescent="0.2">
      <c r="B402" s="22">
        <v>397</v>
      </c>
      <c r="C402" s="23" t="s">
        <v>16170</v>
      </c>
      <c r="D402" s="23" t="s">
        <v>1039</v>
      </c>
      <c r="E402" s="20" t="s">
        <v>16171</v>
      </c>
      <c r="F402" s="22">
        <v>9</v>
      </c>
      <c r="G402" s="22" t="s">
        <v>16172</v>
      </c>
      <c r="H402" s="22">
        <v>9</v>
      </c>
      <c r="I402" s="25">
        <v>43136</v>
      </c>
      <c r="J402" s="24">
        <v>43191</v>
      </c>
    </row>
    <row r="403" spans="2:10" x14ac:dyDescent="0.2">
      <c r="B403" s="22">
        <v>398</v>
      </c>
      <c r="C403" s="23" t="s">
        <v>16173</v>
      </c>
      <c r="D403" s="23" t="s">
        <v>8353</v>
      </c>
      <c r="E403" s="20" t="s">
        <v>16174</v>
      </c>
      <c r="F403" s="22">
        <v>5</v>
      </c>
      <c r="G403" s="22" t="s">
        <v>16175</v>
      </c>
      <c r="H403" s="22">
        <v>1</v>
      </c>
      <c r="I403" s="25">
        <v>43409</v>
      </c>
      <c r="J403" s="22" t="s">
        <v>558</v>
      </c>
    </row>
    <row r="404" spans="2:10" x14ac:dyDescent="0.2">
      <c r="B404" s="22">
        <v>399</v>
      </c>
      <c r="C404" s="23" t="s">
        <v>16176</v>
      </c>
      <c r="D404" s="23" t="s">
        <v>1804</v>
      </c>
      <c r="E404" s="20" t="s">
        <v>16177</v>
      </c>
      <c r="F404" s="22">
        <v>5</v>
      </c>
      <c r="G404" s="22" t="s">
        <v>16178</v>
      </c>
      <c r="H404" s="22">
        <v>4</v>
      </c>
      <c r="I404" s="25">
        <v>43353</v>
      </c>
      <c r="J404" s="24">
        <v>43457</v>
      </c>
    </row>
    <row r="405" spans="2:10" x14ac:dyDescent="0.2">
      <c r="B405" s="22">
        <v>400</v>
      </c>
      <c r="C405" s="23" t="s">
        <v>2006</v>
      </c>
      <c r="D405" s="23" t="s">
        <v>1804</v>
      </c>
      <c r="E405" s="20" t="s">
        <v>16179</v>
      </c>
      <c r="F405" s="22">
        <v>3</v>
      </c>
      <c r="G405" s="22" t="s">
        <v>16180</v>
      </c>
      <c r="H405" s="22">
        <v>1</v>
      </c>
      <c r="I405" s="25">
        <v>43185</v>
      </c>
      <c r="J405" s="24">
        <v>43240</v>
      </c>
    </row>
    <row r="406" spans="2:10" x14ac:dyDescent="0.2">
      <c r="B406" s="22">
        <v>401</v>
      </c>
      <c r="C406" s="23" t="s">
        <v>16181</v>
      </c>
      <c r="D406" s="23" t="s">
        <v>2010</v>
      </c>
      <c r="E406" s="20" t="s">
        <v>16182</v>
      </c>
      <c r="F406" s="22">
        <v>3</v>
      </c>
      <c r="G406" s="22" t="s">
        <v>16183</v>
      </c>
      <c r="H406" s="22">
        <v>1</v>
      </c>
      <c r="I406" s="25">
        <v>43290</v>
      </c>
      <c r="J406" s="24">
        <v>43162</v>
      </c>
    </row>
    <row r="407" spans="2:10" x14ac:dyDescent="0.2">
      <c r="B407" s="22">
        <v>402</v>
      </c>
      <c r="C407" s="23" t="s">
        <v>16184</v>
      </c>
      <c r="D407" s="23" t="s">
        <v>1519</v>
      </c>
      <c r="E407" s="20" t="s">
        <v>16185</v>
      </c>
      <c r="F407" s="22">
        <v>3</v>
      </c>
      <c r="G407" s="22" t="s">
        <v>16186</v>
      </c>
      <c r="H407" s="22">
        <v>1</v>
      </c>
      <c r="I407" s="25">
        <v>43353</v>
      </c>
      <c r="J407" s="24">
        <v>43376</v>
      </c>
    </row>
    <row r="408" spans="2:10" x14ac:dyDescent="0.2">
      <c r="B408" s="22">
        <v>403</v>
      </c>
      <c r="C408" s="23" t="s">
        <v>16187</v>
      </c>
      <c r="D408" s="23" t="s">
        <v>8353</v>
      </c>
      <c r="E408" s="20" t="s">
        <v>16188</v>
      </c>
      <c r="F408" s="22">
        <v>4</v>
      </c>
      <c r="G408" s="22" t="s">
        <v>16189</v>
      </c>
      <c r="H408" s="22">
        <v>1</v>
      </c>
      <c r="I408" s="25">
        <v>43304</v>
      </c>
      <c r="J408" s="24">
        <v>43366</v>
      </c>
    </row>
    <row r="409" spans="2:10" x14ac:dyDescent="0.2">
      <c r="B409" s="22">
        <v>404</v>
      </c>
      <c r="C409" s="23" t="s">
        <v>16190</v>
      </c>
      <c r="D409" s="23" t="s">
        <v>1723</v>
      </c>
      <c r="E409" s="20" t="s">
        <v>16191</v>
      </c>
      <c r="F409" s="22">
        <v>7</v>
      </c>
      <c r="G409" s="22" t="s">
        <v>1159</v>
      </c>
      <c r="H409" s="22" t="s">
        <v>1159</v>
      </c>
      <c r="I409" s="25">
        <v>43395</v>
      </c>
      <c r="J409" s="24">
        <v>43436</v>
      </c>
    </row>
    <row r="410" spans="2:10" x14ac:dyDescent="0.2">
      <c r="B410" s="22">
        <v>405</v>
      </c>
      <c r="C410" s="23" t="s">
        <v>16192</v>
      </c>
      <c r="D410" s="23" t="s">
        <v>1739</v>
      </c>
      <c r="E410" s="20" t="s">
        <v>16193</v>
      </c>
      <c r="F410" s="22">
        <v>3</v>
      </c>
      <c r="G410" s="22" t="s">
        <v>14319</v>
      </c>
      <c r="H410" s="22">
        <v>1</v>
      </c>
      <c r="I410" s="25">
        <v>43232</v>
      </c>
      <c r="J410" s="24">
        <v>43310</v>
      </c>
    </row>
    <row r="411" spans="2:10" x14ac:dyDescent="0.2">
      <c r="B411" s="22">
        <v>406</v>
      </c>
      <c r="C411" s="23" t="s">
        <v>16194</v>
      </c>
      <c r="D411" s="23" t="s">
        <v>12870</v>
      </c>
      <c r="E411" s="20" t="s">
        <v>16195</v>
      </c>
      <c r="F411" s="22">
        <v>7</v>
      </c>
      <c r="G411" s="22" t="s">
        <v>16196</v>
      </c>
      <c r="H411" s="22">
        <v>7</v>
      </c>
      <c r="I411" s="25">
        <v>43255</v>
      </c>
      <c r="J411" s="24">
        <v>43261</v>
      </c>
    </row>
    <row r="412" spans="2:10" x14ac:dyDescent="0.2">
      <c r="B412" s="22">
        <v>407</v>
      </c>
      <c r="C412" s="23" t="s">
        <v>16197</v>
      </c>
      <c r="D412" s="23" t="s">
        <v>1039</v>
      </c>
      <c r="E412" s="20" t="s">
        <v>16198</v>
      </c>
      <c r="F412" s="22">
        <v>4</v>
      </c>
      <c r="G412" s="22" t="s">
        <v>16199</v>
      </c>
      <c r="H412" s="22">
        <v>4</v>
      </c>
      <c r="I412" s="25">
        <v>43241</v>
      </c>
      <c r="J412" s="24">
        <v>43261</v>
      </c>
    </row>
    <row r="413" spans="2:10" x14ac:dyDescent="0.2">
      <c r="B413" s="22">
        <v>408</v>
      </c>
      <c r="C413" s="23" t="s">
        <v>16200</v>
      </c>
      <c r="D413" s="23" t="s">
        <v>14208</v>
      </c>
      <c r="E413" s="20" t="s">
        <v>16201</v>
      </c>
      <c r="F413" s="22">
        <v>3</v>
      </c>
      <c r="G413" s="22" t="s">
        <v>16202</v>
      </c>
      <c r="H413" s="22">
        <v>1</v>
      </c>
      <c r="I413" s="25">
        <v>43353</v>
      </c>
      <c r="J413" s="24">
        <v>43387</v>
      </c>
    </row>
    <row r="414" spans="2:10" x14ac:dyDescent="0.2">
      <c r="B414" s="22">
        <v>409</v>
      </c>
      <c r="C414" s="23" t="s">
        <v>16203</v>
      </c>
      <c r="D414" s="23" t="s">
        <v>4609</v>
      </c>
      <c r="E414" s="20" t="s">
        <v>16204</v>
      </c>
      <c r="F414" s="22">
        <v>2</v>
      </c>
      <c r="G414" s="22" t="s">
        <v>16205</v>
      </c>
      <c r="H414" s="22">
        <v>1</v>
      </c>
      <c r="I414" s="25">
        <v>43358</v>
      </c>
      <c r="J414" s="24">
        <v>43394</v>
      </c>
    </row>
    <row r="415" spans="2:10" x14ac:dyDescent="0.2">
      <c r="B415" s="22">
        <v>410</v>
      </c>
      <c r="C415" s="23" t="s">
        <v>16206</v>
      </c>
      <c r="D415" s="23" t="s">
        <v>1294</v>
      </c>
      <c r="E415" s="20" t="s">
        <v>16207</v>
      </c>
      <c r="F415" s="22">
        <v>2</v>
      </c>
      <c r="G415" s="22" t="s">
        <v>16208</v>
      </c>
      <c r="H415" s="22">
        <v>1</v>
      </c>
      <c r="I415" s="25">
        <v>43297</v>
      </c>
      <c r="J415" s="24">
        <v>43317</v>
      </c>
    </row>
    <row r="416" spans="2:10" x14ac:dyDescent="0.2">
      <c r="B416" s="22">
        <v>411</v>
      </c>
      <c r="C416" s="23" t="s">
        <v>16209</v>
      </c>
      <c r="D416" s="23" t="s">
        <v>1797</v>
      </c>
      <c r="E416" s="20" t="s">
        <v>16210</v>
      </c>
      <c r="F416" s="22">
        <v>3</v>
      </c>
      <c r="G416" s="22" t="s">
        <v>16211</v>
      </c>
      <c r="H416" s="22">
        <v>1</v>
      </c>
      <c r="I416" s="25">
        <v>43143</v>
      </c>
      <c r="J416" s="22" t="s">
        <v>558</v>
      </c>
    </row>
    <row r="417" spans="2:10" x14ac:dyDescent="0.2">
      <c r="B417" s="22">
        <v>412</v>
      </c>
      <c r="C417" s="23" t="s">
        <v>16212</v>
      </c>
      <c r="D417" s="23" t="s">
        <v>16213</v>
      </c>
      <c r="E417" s="20" t="s">
        <v>16214</v>
      </c>
      <c r="F417" s="22">
        <v>2</v>
      </c>
      <c r="G417" s="22" t="s">
        <v>16215</v>
      </c>
      <c r="H417" s="22">
        <v>1</v>
      </c>
      <c r="I417" s="25">
        <v>43213</v>
      </c>
      <c r="J417" s="24">
        <v>43296</v>
      </c>
    </row>
    <row r="418" spans="2:10" x14ac:dyDescent="0.2">
      <c r="B418" s="22">
        <v>413</v>
      </c>
      <c r="C418" s="23" t="s">
        <v>16216</v>
      </c>
      <c r="D418" s="23" t="s">
        <v>1739</v>
      </c>
      <c r="E418" s="20" t="s">
        <v>16217</v>
      </c>
      <c r="F418" s="22">
        <v>3</v>
      </c>
      <c r="G418" s="22" t="s">
        <v>16218</v>
      </c>
      <c r="H418" s="22">
        <v>3</v>
      </c>
      <c r="I418" s="25">
        <v>43437</v>
      </c>
      <c r="J418" s="24">
        <v>43176</v>
      </c>
    </row>
    <row r="419" spans="2:10" x14ac:dyDescent="0.2">
      <c r="B419" s="22">
        <v>414</v>
      </c>
      <c r="C419" s="23" t="s">
        <v>16219</v>
      </c>
      <c r="D419" s="23" t="s">
        <v>12870</v>
      </c>
      <c r="E419" s="20" t="s">
        <v>16220</v>
      </c>
      <c r="F419" s="22">
        <v>1</v>
      </c>
      <c r="G419" s="22" t="s">
        <v>16221</v>
      </c>
      <c r="H419" s="22">
        <v>1</v>
      </c>
      <c r="I419" s="25">
        <v>43185</v>
      </c>
      <c r="J419" s="24">
        <v>43324</v>
      </c>
    </row>
    <row r="420" spans="2:10" x14ac:dyDescent="0.2">
      <c r="B420" s="22">
        <v>415</v>
      </c>
      <c r="C420" s="23" t="s">
        <v>16222</v>
      </c>
      <c r="D420" s="23" t="s">
        <v>16223</v>
      </c>
      <c r="E420" s="20" t="s">
        <v>16224</v>
      </c>
      <c r="F420" s="22">
        <v>15</v>
      </c>
      <c r="G420" s="22" t="s">
        <v>16225</v>
      </c>
      <c r="H420" s="22">
        <v>15</v>
      </c>
      <c r="I420" s="25">
        <v>43227</v>
      </c>
      <c r="J420" s="24">
        <v>43247</v>
      </c>
    </row>
    <row r="421" spans="2:10" x14ac:dyDescent="0.2">
      <c r="B421" s="22">
        <v>416</v>
      </c>
      <c r="C421" s="23" t="s">
        <v>16226</v>
      </c>
      <c r="D421" s="23" t="s">
        <v>14208</v>
      </c>
      <c r="E421" s="20" t="s">
        <v>16227</v>
      </c>
      <c r="F421" s="22">
        <v>1</v>
      </c>
      <c r="G421" s="22" t="s">
        <v>16228</v>
      </c>
      <c r="H421" s="22">
        <v>1</v>
      </c>
      <c r="I421" s="25">
        <v>43239</v>
      </c>
      <c r="J421" s="24">
        <v>43380</v>
      </c>
    </row>
    <row r="422" spans="2:10" x14ac:dyDescent="0.2">
      <c r="B422" s="22">
        <v>417</v>
      </c>
      <c r="C422" s="23" t="s">
        <v>16229</v>
      </c>
      <c r="D422" s="23" t="s">
        <v>1039</v>
      </c>
      <c r="E422" s="20" t="s">
        <v>16230</v>
      </c>
      <c r="F422" s="22">
        <v>7</v>
      </c>
      <c r="G422" s="22" t="s">
        <v>16231</v>
      </c>
      <c r="H422" s="22">
        <v>5</v>
      </c>
      <c r="I422" s="25">
        <v>43290</v>
      </c>
      <c r="J422" s="24">
        <v>43324</v>
      </c>
    </row>
    <row r="423" spans="2:10" x14ac:dyDescent="0.2">
      <c r="B423" s="22">
        <v>418</v>
      </c>
      <c r="C423" s="23" t="s">
        <v>16232</v>
      </c>
      <c r="D423" s="23" t="s">
        <v>7206</v>
      </c>
      <c r="E423" s="20" t="s">
        <v>16233</v>
      </c>
      <c r="F423" s="22">
        <v>5</v>
      </c>
      <c r="G423" s="22" t="s">
        <v>16234</v>
      </c>
      <c r="H423" s="22">
        <v>1</v>
      </c>
      <c r="I423" s="25">
        <v>43234</v>
      </c>
      <c r="J423" s="22" t="s">
        <v>558</v>
      </c>
    </row>
    <row r="424" spans="2:10" x14ac:dyDescent="0.2">
      <c r="B424" s="22">
        <v>419</v>
      </c>
      <c r="C424" s="23" t="s">
        <v>16235</v>
      </c>
      <c r="D424" s="23" t="s">
        <v>16236</v>
      </c>
      <c r="E424" s="20" t="s">
        <v>16237</v>
      </c>
      <c r="F424" s="22">
        <v>1</v>
      </c>
      <c r="G424" s="22" t="s">
        <v>16238</v>
      </c>
      <c r="H424" s="22">
        <v>1</v>
      </c>
      <c r="I424" s="25">
        <v>43136</v>
      </c>
      <c r="J424" s="24">
        <v>43177</v>
      </c>
    </row>
    <row r="425" spans="2:10" x14ac:dyDescent="0.2">
      <c r="B425" s="22">
        <v>420</v>
      </c>
      <c r="C425" s="23" t="s">
        <v>16239</v>
      </c>
      <c r="D425" s="23" t="s">
        <v>4383</v>
      </c>
      <c r="E425" s="20" t="s">
        <v>16240</v>
      </c>
      <c r="F425" s="22">
        <v>4</v>
      </c>
      <c r="G425" s="22" t="s">
        <v>16241</v>
      </c>
      <c r="H425" s="22">
        <v>1</v>
      </c>
      <c r="I425" s="25">
        <v>43143</v>
      </c>
      <c r="J425" s="24">
        <v>43275</v>
      </c>
    </row>
    <row r="426" spans="2:10" x14ac:dyDescent="0.2">
      <c r="B426" s="22">
        <v>421</v>
      </c>
      <c r="C426" s="23" t="s">
        <v>16242</v>
      </c>
      <c r="D426" s="23" t="s">
        <v>1142</v>
      </c>
      <c r="E426" s="20" t="s">
        <v>16243</v>
      </c>
      <c r="F426" s="22">
        <v>3</v>
      </c>
      <c r="G426" s="22" t="s">
        <v>16244</v>
      </c>
      <c r="H426" s="22">
        <v>1</v>
      </c>
      <c r="I426" s="25">
        <v>43171</v>
      </c>
      <c r="J426" s="24">
        <v>43212</v>
      </c>
    </row>
    <row r="427" spans="2:10" x14ac:dyDescent="0.2">
      <c r="B427" s="22">
        <v>422</v>
      </c>
      <c r="C427" s="23" t="s">
        <v>16245</v>
      </c>
      <c r="D427" s="23" t="s">
        <v>12559</v>
      </c>
      <c r="E427" s="20" t="s">
        <v>16246</v>
      </c>
      <c r="F427" s="22">
        <v>3</v>
      </c>
      <c r="G427" s="22" t="s">
        <v>2634</v>
      </c>
      <c r="H427" s="22">
        <v>1</v>
      </c>
      <c r="I427" s="25">
        <v>43297</v>
      </c>
      <c r="J427" s="24">
        <v>43141</v>
      </c>
    </row>
    <row r="428" spans="2:10" x14ac:dyDescent="0.2">
      <c r="B428" s="22">
        <v>423</v>
      </c>
      <c r="C428" s="23" t="s">
        <v>16247</v>
      </c>
      <c r="D428" s="23" t="s">
        <v>6194</v>
      </c>
      <c r="E428" s="20" t="s">
        <v>16248</v>
      </c>
      <c r="F428" s="22">
        <v>3</v>
      </c>
      <c r="G428" s="22" t="s">
        <v>1159</v>
      </c>
      <c r="H428" s="22" t="s">
        <v>1159</v>
      </c>
      <c r="I428" s="25">
        <v>43199</v>
      </c>
      <c r="J428" s="24">
        <v>43387</v>
      </c>
    </row>
    <row r="429" spans="2:10" x14ac:dyDescent="0.2">
      <c r="B429" s="22">
        <v>424</v>
      </c>
      <c r="C429" s="23" t="s">
        <v>16249</v>
      </c>
      <c r="D429" s="23" t="s">
        <v>1880</v>
      </c>
      <c r="E429" s="20" t="s">
        <v>16250</v>
      </c>
      <c r="F429" s="22">
        <v>2</v>
      </c>
      <c r="G429" s="22" t="s">
        <v>14762</v>
      </c>
      <c r="H429" s="22">
        <v>1</v>
      </c>
      <c r="I429" s="25">
        <v>43213</v>
      </c>
      <c r="J429" s="24">
        <v>43394</v>
      </c>
    </row>
    <row r="430" spans="2:10" x14ac:dyDescent="0.2">
      <c r="B430" s="22">
        <v>425</v>
      </c>
      <c r="C430" s="23" t="s">
        <v>16251</v>
      </c>
      <c r="D430" s="23" t="s">
        <v>7141</v>
      </c>
      <c r="E430" s="20" t="s">
        <v>16252</v>
      </c>
      <c r="F430" s="22">
        <v>1</v>
      </c>
      <c r="G430" s="22" t="s">
        <v>16253</v>
      </c>
      <c r="H430" s="22">
        <v>1</v>
      </c>
      <c r="I430" s="25">
        <v>43143</v>
      </c>
      <c r="J430" s="24">
        <v>43338</v>
      </c>
    </row>
    <row r="431" spans="2:10" x14ac:dyDescent="0.2">
      <c r="B431" s="22">
        <v>426</v>
      </c>
      <c r="C431" s="23" t="s">
        <v>16254</v>
      </c>
      <c r="D431" s="23" t="s">
        <v>16255</v>
      </c>
      <c r="E431" s="20" t="s">
        <v>16256</v>
      </c>
      <c r="F431" s="22">
        <v>2</v>
      </c>
      <c r="G431" s="22" t="s">
        <v>16257</v>
      </c>
      <c r="H431" s="22">
        <v>2</v>
      </c>
      <c r="I431" s="25">
        <v>43360</v>
      </c>
      <c r="J431" s="24">
        <v>43373</v>
      </c>
    </row>
    <row r="432" spans="2:10" x14ac:dyDescent="0.2">
      <c r="B432" s="22">
        <v>427</v>
      </c>
      <c r="C432" s="23" t="s">
        <v>16258</v>
      </c>
      <c r="D432" s="23" t="s">
        <v>1043</v>
      </c>
      <c r="E432" s="20" t="s">
        <v>6143</v>
      </c>
      <c r="F432" s="22">
        <v>15</v>
      </c>
      <c r="G432" s="22" t="s">
        <v>16259</v>
      </c>
      <c r="H432" s="22">
        <v>15</v>
      </c>
      <c r="I432" s="25">
        <v>43150</v>
      </c>
      <c r="J432" s="24">
        <v>43170</v>
      </c>
    </row>
    <row r="433" spans="2:10" x14ac:dyDescent="0.2">
      <c r="B433" s="22">
        <v>428</v>
      </c>
      <c r="C433" s="23" t="s">
        <v>16260</v>
      </c>
      <c r="D433" s="23" t="s">
        <v>1043</v>
      </c>
      <c r="E433" s="20" t="s">
        <v>4058</v>
      </c>
      <c r="F433" s="22">
        <v>14</v>
      </c>
      <c r="G433" s="22" t="s">
        <v>16261</v>
      </c>
      <c r="H433" s="22">
        <v>14</v>
      </c>
      <c r="I433" s="25">
        <v>43444</v>
      </c>
      <c r="J433" s="24">
        <v>43464</v>
      </c>
    </row>
    <row r="434" spans="2:10" x14ac:dyDescent="0.2">
      <c r="B434" s="22">
        <v>429</v>
      </c>
      <c r="C434" s="23" t="s">
        <v>16262</v>
      </c>
      <c r="D434" s="23" t="s">
        <v>1294</v>
      </c>
      <c r="E434" s="20" t="s">
        <v>10817</v>
      </c>
      <c r="F434" s="22">
        <v>2</v>
      </c>
      <c r="G434" s="22" t="s">
        <v>2268</v>
      </c>
      <c r="H434" s="22">
        <v>1</v>
      </c>
      <c r="I434" s="25">
        <v>43444</v>
      </c>
      <c r="J434" s="24">
        <v>43464</v>
      </c>
    </row>
    <row r="435" spans="2:10" x14ac:dyDescent="0.2">
      <c r="B435" s="22">
        <v>430</v>
      </c>
      <c r="C435" s="23" t="s">
        <v>16263</v>
      </c>
      <c r="D435" s="23" t="s">
        <v>1294</v>
      </c>
      <c r="E435" s="20" t="s">
        <v>16264</v>
      </c>
      <c r="F435" s="22">
        <v>2</v>
      </c>
      <c r="G435" s="22" t="s">
        <v>16265</v>
      </c>
      <c r="H435" s="22">
        <v>1</v>
      </c>
      <c r="I435" s="25">
        <v>43234</v>
      </c>
      <c r="J435" s="24">
        <v>43254</v>
      </c>
    </row>
    <row r="436" spans="2:10" x14ac:dyDescent="0.2">
      <c r="B436" s="22">
        <v>431</v>
      </c>
      <c r="C436" s="23" t="s">
        <v>16266</v>
      </c>
      <c r="D436" s="23" t="s">
        <v>1804</v>
      </c>
      <c r="E436" s="20" t="s">
        <v>16267</v>
      </c>
      <c r="F436" s="22">
        <v>2</v>
      </c>
      <c r="G436" s="22" t="s">
        <v>16268</v>
      </c>
      <c r="H436" s="22">
        <v>1</v>
      </c>
      <c r="I436" s="25">
        <v>43157</v>
      </c>
      <c r="J436" s="24">
        <v>43233</v>
      </c>
    </row>
    <row r="437" spans="2:10" x14ac:dyDescent="0.2">
      <c r="B437" s="22">
        <v>432</v>
      </c>
      <c r="C437" s="23" t="s">
        <v>16269</v>
      </c>
      <c r="D437" s="23" t="s">
        <v>1804</v>
      </c>
      <c r="E437" s="20" t="s">
        <v>16270</v>
      </c>
      <c r="F437" s="22">
        <v>5</v>
      </c>
      <c r="G437" s="22" t="s">
        <v>16271</v>
      </c>
      <c r="H437" s="22">
        <v>5</v>
      </c>
      <c r="I437" s="25">
        <v>43409</v>
      </c>
      <c r="J437" s="24">
        <v>43120</v>
      </c>
    </row>
    <row r="438" spans="2:10" x14ac:dyDescent="0.2">
      <c r="B438" s="22">
        <v>433</v>
      </c>
      <c r="C438" s="23" t="s">
        <v>16272</v>
      </c>
      <c r="D438" s="23" t="s">
        <v>1039</v>
      </c>
      <c r="E438" s="20" t="s">
        <v>16273</v>
      </c>
      <c r="F438" s="22">
        <v>6</v>
      </c>
      <c r="G438" s="22" t="s">
        <v>16274</v>
      </c>
      <c r="H438" s="22">
        <v>5</v>
      </c>
      <c r="I438" s="25">
        <v>43220</v>
      </c>
      <c r="J438" s="22" t="s">
        <v>558</v>
      </c>
    </row>
    <row r="439" spans="2:10" x14ac:dyDescent="0.2">
      <c r="B439" s="22">
        <v>434</v>
      </c>
      <c r="C439" s="23" t="s">
        <v>16275</v>
      </c>
      <c r="D439" s="23" t="s">
        <v>1612</v>
      </c>
      <c r="E439" s="20" t="s">
        <v>16276</v>
      </c>
      <c r="F439" s="22">
        <v>6</v>
      </c>
      <c r="G439" s="22" t="s">
        <v>16277</v>
      </c>
      <c r="H439" s="22">
        <v>1</v>
      </c>
      <c r="I439" s="25">
        <v>43374</v>
      </c>
      <c r="J439" s="22" t="s">
        <v>558</v>
      </c>
    </row>
    <row r="440" spans="2:10" x14ac:dyDescent="0.2">
      <c r="B440" s="22">
        <v>435</v>
      </c>
      <c r="C440" s="23" t="s">
        <v>16278</v>
      </c>
      <c r="D440" s="23" t="s">
        <v>1797</v>
      </c>
      <c r="E440" s="20" t="s">
        <v>16279</v>
      </c>
      <c r="F440" s="22">
        <v>2</v>
      </c>
      <c r="G440" s="22" t="s">
        <v>16280</v>
      </c>
      <c r="H440" s="22">
        <v>1</v>
      </c>
      <c r="I440" s="25">
        <v>43136</v>
      </c>
      <c r="J440" s="24">
        <v>43170</v>
      </c>
    </row>
    <row r="441" spans="2:10" x14ac:dyDescent="0.2">
      <c r="B441" s="22">
        <v>436</v>
      </c>
      <c r="C441" s="23" t="s">
        <v>16281</v>
      </c>
      <c r="D441" s="23" t="s">
        <v>7141</v>
      </c>
      <c r="E441" s="20" t="s">
        <v>16282</v>
      </c>
      <c r="F441" s="22">
        <v>1</v>
      </c>
      <c r="G441" s="22" t="s">
        <v>2606</v>
      </c>
      <c r="H441" s="22">
        <v>1</v>
      </c>
      <c r="I441" s="25">
        <v>43253</v>
      </c>
      <c r="J441" s="24">
        <v>43401</v>
      </c>
    </row>
    <row r="442" spans="2:10" x14ac:dyDescent="0.2">
      <c r="B442" s="22">
        <v>437</v>
      </c>
      <c r="C442" s="23" t="s">
        <v>16283</v>
      </c>
      <c r="D442" s="23" t="s">
        <v>1294</v>
      </c>
      <c r="E442" s="20" t="s">
        <v>16284</v>
      </c>
      <c r="F442" s="22">
        <v>1</v>
      </c>
      <c r="G442" s="22" t="s">
        <v>16285</v>
      </c>
      <c r="H442" s="22">
        <v>1</v>
      </c>
      <c r="I442" s="25">
        <v>43444</v>
      </c>
      <c r="J442" s="24">
        <v>43106</v>
      </c>
    </row>
    <row r="443" spans="2:10" x14ac:dyDescent="0.2">
      <c r="B443" s="22">
        <v>438</v>
      </c>
      <c r="C443" s="23" t="s">
        <v>16286</v>
      </c>
      <c r="D443" s="23" t="s">
        <v>16287</v>
      </c>
      <c r="E443" s="20" t="s">
        <v>16288</v>
      </c>
      <c r="F443" s="22">
        <v>2</v>
      </c>
      <c r="G443" s="22" t="s">
        <v>16289</v>
      </c>
      <c r="H443" s="22">
        <v>1</v>
      </c>
      <c r="I443" s="25">
        <v>43353</v>
      </c>
      <c r="J443" s="24">
        <v>43373</v>
      </c>
    </row>
    <row r="444" spans="2:10" x14ac:dyDescent="0.2">
      <c r="B444" s="22">
        <v>439</v>
      </c>
      <c r="C444" s="23" t="s">
        <v>16290</v>
      </c>
      <c r="D444" s="23" t="s">
        <v>1880</v>
      </c>
      <c r="E444" s="20" t="s">
        <v>16291</v>
      </c>
      <c r="F444" s="22">
        <v>2</v>
      </c>
      <c r="G444" s="22" t="s">
        <v>16292</v>
      </c>
      <c r="H444" s="22">
        <v>1</v>
      </c>
      <c r="I444" s="25">
        <v>43325</v>
      </c>
      <c r="J444" s="24">
        <v>43394</v>
      </c>
    </row>
    <row r="445" spans="2:10" x14ac:dyDescent="0.2">
      <c r="B445" s="22">
        <v>440</v>
      </c>
      <c r="C445" s="23" t="s">
        <v>16293</v>
      </c>
      <c r="D445" s="23" t="s">
        <v>16294</v>
      </c>
      <c r="E445" s="20" t="s">
        <v>16295</v>
      </c>
      <c r="F445" s="22">
        <v>2</v>
      </c>
      <c r="G445" s="22" t="s">
        <v>2278</v>
      </c>
      <c r="H445" s="22">
        <v>1</v>
      </c>
      <c r="I445" s="25">
        <v>43325</v>
      </c>
      <c r="J445" s="24">
        <v>43352</v>
      </c>
    </row>
    <row r="446" spans="2:10" x14ac:dyDescent="0.2">
      <c r="B446" s="22">
        <v>441</v>
      </c>
      <c r="C446" s="23" t="s">
        <v>16296</v>
      </c>
      <c r="D446" s="23" t="s">
        <v>1880</v>
      </c>
      <c r="E446" s="20" t="s">
        <v>16297</v>
      </c>
      <c r="F446" s="22">
        <v>1</v>
      </c>
      <c r="G446" s="22" t="s">
        <v>16298</v>
      </c>
      <c r="H446" s="22">
        <v>1</v>
      </c>
      <c r="I446" s="25">
        <v>43129</v>
      </c>
      <c r="J446" s="24">
        <v>43289</v>
      </c>
    </row>
    <row r="447" spans="2:10" x14ac:dyDescent="0.2">
      <c r="B447" s="22">
        <v>442</v>
      </c>
      <c r="C447" s="23" t="s">
        <v>16299</v>
      </c>
      <c r="D447" s="23" t="s">
        <v>7141</v>
      </c>
      <c r="E447" s="20" t="s">
        <v>16300</v>
      </c>
      <c r="F447" s="22">
        <v>3</v>
      </c>
      <c r="G447" s="22" t="s">
        <v>16301</v>
      </c>
      <c r="H447" s="22">
        <v>1</v>
      </c>
      <c r="I447" s="25">
        <v>43456</v>
      </c>
      <c r="J447" s="24">
        <v>43218</v>
      </c>
    </row>
    <row r="448" spans="2:10" x14ac:dyDescent="0.2">
      <c r="B448" s="22">
        <v>443</v>
      </c>
      <c r="C448" s="23" t="s">
        <v>16302</v>
      </c>
      <c r="D448" s="23" t="s">
        <v>1612</v>
      </c>
      <c r="E448" s="20" t="s">
        <v>16303</v>
      </c>
      <c r="F448" s="22">
        <v>4</v>
      </c>
      <c r="G448" s="22" t="s">
        <v>16304</v>
      </c>
      <c r="H448" s="22">
        <v>3</v>
      </c>
      <c r="I448" s="25">
        <v>43283</v>
      </c>
      <c r="J448" s="24">
        <v>43317</v>
      </c>
    </row>
    <row r="449" spans="2:10" x14ac:dyDescent="0.2">
      <c r="B449" s="22">
        <v>444</v>
      </c>
      <c r="C449" s="23" t="s">
        <v>16305</v>
      </c>
      <c r="D449" s="23" t="s">
        <v>2197</v>
      </c>
      <c r="E449" s="20" t="s">
        <v>16306</v>
      </c>
      <c r="F449" s="22">
        <v>3</v>
      </c>
      <c r="G449" s="22" t="s">
        <v>16307</v>
      </c>
      <c r="H449" s="22">
        <v>3</v>
      </c>
      <c r="I449" s="25">
        <v>43108</v>
      </c>
      <c r="J449" s="24">
        <v>43121</v>
      </c>
    </row>
    <row r="450" spans="2:10" x14ac:dyDescent="0.2">
      <c r="B450" s="22">
        <v>445</v>
      </c>
      <c r="C450" s="23" t="s">
        <v>16308</v>
      </c>
      <c r="D450" s="23" t="s">
        <v>1142</v>
      </c>
      <c r="E450" s="20" t="s">
        <v>16309</v>
      </c>
      <c r="F450" s="22">
        <v>1</v>
      </c>
      <c r="G450" s="22" t="s">
        <v>1159</v>
      </c>
      <c r="H450" s="22" t="s">
        <v>1159</v>
      </c>
      <c r="I450" s="25">
        <v>43274</v>
      </c>
      <c r="J450" s="24">
        <v>43345</v>
      </c>
    </row>
    <row r="451" spans="2:10" x14ac:dyDescent="0.2">
      <c r="B451" s="22">
        <v>446</v>
      </c>
      <c r="C451" s="23" t="s">
        <v>16310</v>
      </c>
      <c r="D451" s="23" t="s">
        <v>16311</v>
      </c>
      <c r="E451" s="20" t="s">
        <v>16312</v>
      </c>
      <c r="F451" s="22">
        <v>2</v>
      </c>
      <c r="G451" s="22" t="s">
        <v>13246</v>
      </c>
      <c r="H451" s="22">
        <v>1</v>
      </c>
      <c r="I451" s="25">
        <v>43227</v>
      </c>
      <c r="J451" s="22" t="s">
        <v>558</v>
      </c>
    </row>
    <row r="452" spans="2:10" x14ac:dyDescent="0.2">
      <c r="B452" s="22">
        <v>447</v>
      </c>
      <c r="C452" s="23" t="s">
        <v>16313</v>
      </c>
      <c r="D452" s="23" t="s">
        <v>7135</v>
      </c>
      <c r="E452" s="20" t="s">
        <v>16314</v>
      </c>
      <c r="F452" s="22">
        <v>4</v>
      </c>
      <c r="G452" s="22" t="s">
        <v>16315</v>
      </c>
      <c r="H452" s="22">
        <v>1</v>
      </c>
      <c r="I452" s="25">
        <v>43360</v>
      </c>
      <c r="J452" s="24">
        <v>43422</v>
      </c>
    </row>
    <row r="453" spans="2:10" x14ac:dyDescent="0.2">
      <c r="B453" s="22">
        <v>448</v>
      </c>
      <c r="C453" s="23" t="s">
        <v>16316</v>
      </c>
      <c r="D453" s="23" t="s">
        <v>16317</v>
      </c>
      <c r="E453" s="20" t="s">
        <v>16318</v>
      </c>
      <c r="F453" s="22">
        <v>2</v>
      </c>
      <c r="G453" s="22" t="s">
        <v>16319</v>
      </c>
      <c r="H453" s="22">
        <v>1</v>
      </c>
      <c r="I453" s="25">
        <v>43255</v>
      </c>
      <c r="J453" s="24">
        <v>43268</v>
      </c>
    </row>
    <row r="454" spans="2:10" x14ac:dyDescent="0.2">
      <c r="B454" s="22">
        <v>449</v>
      </c>
      <c r="C454" s="23" t="s">
        <v>16320</v>
      </c>
      <c r="D454" s="23" t="s">
        <v>16321</v>
      </c>
      <c r="E454" s="20" t="s">
        <v>10679</v>
      </c>
      <c r="F454" s="22">
        <v>3</v>
      </c>
      <c r="G454" s="22" t="s">
        <v>16322</v>
      </c>
      <c r="H454" s="22">
        <v>3</v>
      </c>
      <c r="I454" s="25">
        <v>43150</v>
      </c>
      <c r="J454" s="22" t="s">
        <v>558</v>
      </c>
    </row>
    <row r="455" spans="2:10" x14ac:dyDescent="0.2">
      <c r="B455" s="22">
        <v>450</v>
      </c>
      <c r="C455" s="23" t="s">
        <v>16323</v>
      </c>
      <c r="D455" s="23" t="s">
        <v>16324</v>
      </c>
      <c r="E455" s="20" t="s">
        <v>16325</v>
      </c>
      <c r="F455" s="22">
        <v>1</v>
      </c>
      <c r="G455" s="22" t="s">
        <v>1159</v>
      </c>
      <c r="H455" s="22" t="s">
        <v>1159</v>
      </c>
      <c r="I455" s="25">
        <v>43339</v>
      </c>
      <c r="J455" s="24">
        <v>43408</v>
      </c>
    </row>
    <row r="456" spans="2:10" x14ac:dyDescent="0.2">
      <c r="B456" s="22">
        <v>451</v>
      </c>
      <c r="C456" s="23" t="s">
        <v>16326</v>
      </c>
      <c r="D456" s="23" t="s">
        <v>1594</v>
      </c>
      <c r="E456" s="20" t="s">
        <v>16327</v>
      </c>
      <c r="F456" s="22">
        <v>9</v>
      </c>
      <c r="G456" s="22" t="s">
        <v>16328</v>
      </c>
      <c r="H456" s="22">
        <v>9</v>
      </c>
      <c r="I456" s="25">
        <v>43381</v>
      </c>
      <c r="J456" s="24">
        <v>43387</v>
      </c>
    </row>
    <row r="457" spans="2:10" x14ac:dyDescent="0.2">
      <c r="B457" s="22">
        <v>452</v>
      </c>
      <c r="C457" s="23" t="s">
        <v>16329</v>
      </c>
      <c r="D457" s="23" t="s">
        <v>6519</v>
      </c>
      <c r="E457" s="20" t="s">
        <v>16330</v>
      </c>
      <c r="F457" s="22">
        <v>7</v>
      </c>
      <c r="G457" s="22" t="s">
        <v>13042</v>
      </c>
      <c r="H457" s="22">
        <v>7</v>
      </c>
      <c r="I457" s="25">
        <v>43192</v>
      </c>
      <c r="J457" s="24">
        <v>43205</v>
      </c>
    </row>
    <row r="458" spans="2:10" x14ac:dyDescent="0.2">
      <c r="B458" s="22">
        <v>453</v>
      </c>
      <c r="C458" s="23" t="s">
        <v>16331</v>
      </c>
      <c r="D458" s="23" t="s">
        <v>10416</v>
      </c>
      <c r="E458" s="20" t="s">
        <v>16332</v>
      </c>
      <c r="F458" s="22">
        <v>3</v>
      </c>
      <c r="G458" s="22" t="s">
        <v>16333</v>
      </c>
      <c r="H458" s="22">
        <v>3</v>
      </c>
      <c r="I458" s="25">
        <v>43213</v>
      </c>
      <c r="J458" s="24">
        <v>43226</v>
      </c>
    </row>
    <row r="459" spans="2:10" x14ac:dyDescent="0.2">
      <c r="B459" s="22">
        <v>454</v>
      </c>
      <c r="C459" s="23" t="s">
        <v>16334</v>
      </c>
      <c r="D459" s="23" t="s">
        <v>1612</v>
      </c>
      <c r="E459" s="20" t="s">
        <v>6302</v>
      </c>
      <c r="F459" s="22">
        <v>4</v>
      </c>
      <c r="G459" s="22" t="s">
        <v>6302</v>
      </c>
      <c r="H459" s="22">
        <v>4</v>
      </c>
      <c r="I459" s="25">
        <v>43206</v>
      </c>
      <c r="J459" s="22" t="s">
        <v>558</v>
      </c>
    </row>
    <row r="460" spans="2:10" x14ac:dyDescent="0.2">
      <c r="B460" s="22">
        <v>455</v>
      </c>
      <c r="C460" s="23" t="s">
        <v>16335</v>
      </c>
      <c r="D460" s="23" t="s">
        <v>16336</v>
      </c>
      <c r="E460" s="20" t="s">
        <v>16337</v>
      </c>
      <c r="F460" s="22">
        <v>1</v>
      </c>
      <c r="G460" s="22" t="s">
        <v>7094</v>
      </c>
      <c r="H460" s="22">
        <v>1</v>
      </c>
      <c r="I460" s="25">
        <v>43409</v>
      </c>
      <c r="J460" s="24">
        <v>43204</v>
      </c>
    </row>
    <row r="461" spans="2:10" x14ac:dyDescent="0.2">
      <c r="B461" s="22">
        <v>456</v>
      </c>
      <c r="C461" s="23" t="s">
        <v>16338</v>
      </c>
      <c r="D461" s="23" t="s">
        <v>4580</v>
      </c>
      <c r="E461" s="20" t="s">
        <v>16339</v>
      </c>
      <c r="F461" s="22">
        <v>1</v>
      </c>
      <c r="G461" s="22" t="s">
        <v>16340</v>
      </c>
      <c r="H461" s="22">
        <v>1</v>
      </c>
      <c r="I461" s="25">
        <v>43381</v>
      </c>
      <c r="J461" s="24">
        <v>43394</v>
      </c>
    </row>
    <row r="462" spans="2:10" x14ac:dyDescent="0.2">
      <c r="B462" s="22">
        <v>457</v>
      </c>
      <c r="C462" s="23" t="s">
        <v>16341</v>
      </c>
      <c r="D462" s="23" t="s">
        <v>16065</v>
      </c>
      <c r="E462" s="20" t="s">
        <v>16342</v>
      </c>
      <c r="F462" s="22">
        <v>1</v>
      </c>
      <c r="G462" s="22" t="s">
        <v>16343</v>
      </c>
      <c r="H462" s="22">
        <v>1</v>
      </c>
      <c r="I462" s="25">
        <v>43234</v>
      </c>
      <c r="J462" s="24">
        <v>43303</v>
      </c>
    </row>
    <row r="463" spans="2:10" x14ac:dyDescent="0.2">
      <c r="B463" s="22">
        <v>458</v>
      </c>
      <c r="C463" s="23" t="s">
        <v>16344</v>
      </c>
      <c r="D463" s="23" t="s">
        <v>4408</v>
      </c>
      <c r="E463" s="20" t="s">
        <v>16345</v>
      </c>
      <c r="F463" s="22">
        <v>1</v>
      </c>
      <c r="G463" s="22" t="s">
        <v>12707</v>
      </c>
      <c r="H463" s="22">
        <v>1</v>
      </c>
      <c r="I463" s="25">
        <v>43402</v>
      </c>
      <c r="J463" s="24">
        <v>43450</v>
      </c>
    </row>
    <row r="464" spans="2:10" x14ac:dyDescent="0.2">
      <c r="B464" s="22">
        <v>459</v>
      </c>
      <c r="C464" s="23" t="s">
        <v>16346</v>
      </c>
      <c r="D464" s="23" t="s">
        <v>1804</v>
      </c>
      <c r="E464" s="20" t="s">
        <v>16347</v>
      </c>
      <c r="F464" s="22">
        <v>1</v>
      </c>
      <c r="G464" s="22" t="s">
        <v>16348</v>
      </c>
      <c r="H464" s="22">
        <v>1</v>
      </c>
      <c r="I464" s="25">
        <v>43360</v>
      </c>
      <c r="J464" s="22" t="s">
        <v>558</v>
      </c>
    </row>
    <row r="465" spans="2:10" x14ac:dyDescent="0.2">
      <c r="B465" s="22">
        <v>460</v>
      </c>
      <c r="C465" s="23" t="s">
        <v>16349</v>
      </c>
      <c r="D465" s="23" t="s">
        <v>2197</v>
      </c>
      <c r="E465" s="20" t="s">
        <v>16350</v>
      </c>
      <c r="F465" s="22">
        <v>5</v>
      </c>
      <c r="G465" s="22" t="s">
        <v>16351</v>
      </c>
      <c r="H465" s="22">
        <v>5</v>
      </c>
      <c r="I465" s="25">
        <v>43311</v>
      </c>
      <c r="J465" s="24">
        <v>43317</v>
      </c>
    </row>
    <row r="466" spans="2:10" x14ac:dyDescent="0.2">
      <c r="B466" s="22">
        <v>461</v>
      </c>
      <c r="C466" s="23" t="s">
        <v>16352</v>
      </c>
      <c r="D466" s="23" t="s">
        <v>1909</v>
      </c>
      <c r="E466" s="20" t="s">
        <v>16353</v>
      </c>
      <c r="F466" s="22">
        <v>4</v>
      </c>
      <c r="G466" s="22" t="s">
        <v>13119</v>
      </c>
      <c r="H466" s="22">
        <v>4</v>
      </c>
      <c r="I466" s="25">
        <v>43346</v>
      </c>
      <c r="J466" s="24">
        <v>43359</v>
      </c>
    </row>
    <row r="467" spans="2:10" x14ac:dyDescent="0.2">
      <c r="B467" s="22">
        <v>462</v>
      </c>
      <c r="C467" s="23" t="s">
        <v>16354</v>
      </c>
      <c r="D467" s="23" t="s">
        <v>14208</v>
      </c>
      <c r="E467" s="20" t="s">
        <v>16355</v>
      </c>
      <c r="F467" s="22">
        <v>2</v>
      </c>
      <c r="G467" s="22" t="s">
        <v>7139</v>
      </c>
      <c r="H467" s="22">
        <v>1</v>
      </c>
      <c r="I467" s="25">
        <v>43325</v>
      </c>
      <c r="J467" s="24">
        <v>43394</v>
      </c>
    </row>
    <row r="468" spans="2:10" x14ac:dyDescent="0.2">
      <c r="B468" s="22">
        <v>463</v>
      </c>
      <c r="C468" s="23" t="s">
        <v>16356</v>
      </c>
      <c r="D468" s="23" t="s">
        <v>8353</v>
      </c>
      <c r="E468" s="20" t="s">
        <v>16357</v>
      </c>
      <c r="F468" s="22">
        <v>3</v>
      </c>
      <c r="G468" s="22" t="s">
        <v>16358</v>
      </c>
      <c r="H468" s="22">
        <v>1</v>
      </c>
      <c r="I468" s="25">
        <v>43241</v>
      </c>
      <c r="J468" s="24">
        <v>43275</v>
      </c>
    </row>
    <row r="469" spans="2:10" x14ac:dyDescent="0.2">
      <c r="B469" s="22">
        <v>464</v>
      </c>
      <c r="C469" s="23" t="s">
        <v>16359</v>
      </c>
      <c r="D469" s="23" t="s">
        <v>1804</v>
      </c>
      <c r="E469" s="20" t="s">
        <v>16360</v>
      </c>
      <c r="F469" s="22">
        <v>2</v>
      </c>
      <c r="G469" s="22" t="s">
        <v>16361</v>
      </c>
      <c r="H469" s="22">
        <v>1</v>
      </c>
      <c r="I469" s="25">
        <v>43395</v>
      </c>
      <c r="J469" s="24">
        <v>43169</v>
      </c>
    </row>
    <row r="470" spans="2:10" x14ac:dyDescent="0.2">
      <c r="B470" s="22">
        <v>465</v>
      </c>
      <c r="C470" s="23" t="s">
        <v>16362</v>
      </c>
      <c r="D470" s="23" t="s">
        <v>1248</v>
      </c>
      <c r="E470" s="20" t="s">
        <v>16363</v>
      </c>
      <c r="F470" s="22">
        <v>3</v>
      </c>
      <c r="G470" s="22" t="s">
        <v>16364</v>
      </c>
      <c r="H470" s="22">
        <v>1</v>
      </c>
      <c r="I470" s="25">
        <v>43381</v>
      </c>
      <c r="J470" s="24">
        <v>43408</v>
      </c>
    </row>
    <row r="471" spans="2:10" x14ac:dyDescent="0.2">
      <c r="B471" s="22">
        <v>466</v>
      </c>
      <c r="C471" s="23" t="s">
        <v>16365</v>
      </c>
      <c r="D471" s="23" t="s">
        <v>1159</v>
      </c>
      <c r="E471" s="20" t="s">
        <v>16366</v>
      </c>
      <c r="F471" s="22">
        <v>2</v>
      </c>
      <c r="G471" s="22" t="s">
        <v>16367</v>
      </c>
      <c r="H471" s="22">
        <v>2</v>
      </c>
      <c r="I471" s="25">
        <v>43171</v>
      </c>
      <c r="J471" s="22" t="s">
        <v>558</v>
      </c>
    </row>
    <row r="472" spans="2:10" x14ac:dyDescent="0.2">
      <c r="B472" s="22">
        <v>467</v>
      </c>
      <c r="C472" s="23" t="s">
        <v>16368</v>
      </c>
      <c r="D472" s="23" t="s">
        <v>1797</v>
      </c>
      <c r="E472" s="20" t="s">
        <v>16369</v>
      </c>
      <c r="F472" s="22" t="s">
        <v>1159</v>
      </c>
      <c r="G472" s="22" t="s">
        <v>1159</v>
      </c>
      <c r="H472" s="22" t="s">
        <v>1159</v>
      </c>
      <c r="I472" s="25">
        <v>43437</v>
      </c>
      <c r="J472" s="22" t="s">
        <v>558</v>
      </c>
    </row>
    <row r="473" spans="2:10" x14ac:dyDescent="0.2">
      <c r="B473" s="22">
        <v>468</v>
      </c>
      <c r="C473" s="23" t="s">
        <v>16370</v>
      </c>
      <c r="D473" s="23" t="s">
        <v>1804</v>
      </c>
      <c r="E473" s="20" t="s">
        <v>16371</v>
      </c>
      <c r="F473" s="22">
        <v>2</v>
      </c>
      <c r="G473" s="22" t="s">
        <v>16372</v>
      </c>
      <c r="H473" s="22">
        <v>1</v>
      </c>
      <c r="I473" s="25">
        <v>43255</v>
      </c>
      <c r="J473" s="24">
        <v>43338</v>
      </c>
    </row>
    <row r="474" spans="2:10" x14ac:dyDescent="0.2">
      <c r="B474" s="22">
        <v>469</v>
      </c>
      <c r="C474" s="23" t="s">
        <v>16373</v>
      </c>
      <c r="D474" s="23" t="s">
        <v>1797</v>
      </c>
      <c r="E474" s="20" t="s">
        <v>16374</v>
      </c>
      <c r="F474" s="22">
        <v>2</v>
      </c>
      <c r="G474" s="22" t="s">
        <v>9256</v>
      </c>
      <c r="H474" s="22">
        <v>2</v>
      </c>
      <c r="I474" s="25">
        <v>43185</v>
      </c>
      <c r="J474" s="24">
        <v>43233</v>
      </c>
    </row>
    <row r="475" spans="2:10" x14ac:dyDescent="0.2">
      <c r="B475" s="22">
        <v>470</v>
      </c>
      <c r="C475" s="23" t="s">
        <v>16375</v>
      </c>
      <c r="D475" s="23" t="s">
        <v>1880</v>
      </c>
      <c r="E475" s="20" t="s">
        <v>16376</v>
      </c>
      <c r="F475" s="22">
        <v>1</v>
      </c>
      <c r="G475" s="22" t="s">
        <v>16377</v>
      </c>
      <c r="H475" s="22">
        <v>1</v>
      </c>
      <c r="I475" s="25">
        <v>43108</v>
      </c>
      <c r="J475" s="24">
        <v>43156</v>
      </c>
    </row>
    <row r="476" spans="2:10" x14ac:dyDescent="0.2">
      <c r="B476" s="22">
        <v>471</v>
      </c>
      <c r="C476" s="23" t="s">
        <v>16378</v>
      </c>
      <c r="D476" s="23" t="s">
        <v>14714</v>
      </c>
      <c r="E476" s="20" t="s">
        <v>16379</v>
      </c>
      <c r="F476" s="22">
        <v>2</v>
      </c>
      <c r="G476" s="22" t="s">
        <v>16380</v>
      </c>
      <c r="H476" s="22">
        <v>1</v>
      </c>
      <c r="I476" s="25">
        <v>43339</v>
      </c>
      <c r="J476" s="22" t="s">
        <v>558</v>
      </c>
    </row>
    <row r="477" spans="2:10" x14ac:dyDescent="0.2">
      <c r="B477" s="22">
        <v>472</v>
      </c>
      <c r="C477" s="23" t="s">
        <v>16381</v>
      </c>
      <c r="D477" s="23" t="s">
        <v>1572</v>
      </c>
      <c r="E477" s="20" t="s">
        <v>16382</v>
      </c>
      <c r="F477" s="22">
        <v>2</v>
      </c>
      <c r="G477" s="22" t="s">
        <v>16383</v>
      </c>
      <c r="H477" s="22">
        <v>1</v>
      </c>
      <c r="I477" s="25">
        <v>43437</v>
      </c>
      <c r="J477" s="24">
        <v>43148</v>
      </c>
    </row>
    <row r="478" spans="2:10" x14ac:dyDescent="0.2">
      <c r="B478" s="22">
        <v>473</v>
      </c>
      <c r="C478" s="23" t="s">
        <v>16384</v>
      </c>
      <c r="D478" s="23" t="s">
        <v>1797</v>
      </c>
      <c r="E478" s="20" t="s">
        <v>16385</v>
      </c>
      <c r="F478" s="22">
        <v>2</v>
      </c>
      <c r="G478" s="22" t="s">
        <v>16386</v>
      </c>
      <c r="H478" s="22">
        <v>2</v>
      </c>
      <c r="I478" s="25">
        <v>43339</v>
      </c>
      <c r="J478" s="24">
        <v>43366</v>
      </c>
    </row>
    <row r="479" spans="2:10" x14ac:dyDescent="0.2">
      <c r="B479" s="22">
        <v>474</v>
      </c>
      <c r="C479" s="23" t="s">
        <v>16387</v>
      </c>
      <c r="D479" s="23" t="s">
        <v>7135</v>
      </c>
      <c r="E479" s="20" t="s">
        <v>6539</v>
      </c>
      <c r="F479" s="22">
        <v>4</v>
      </c>
      <c r="G479" s="22" t="s">
        <v>6539</v>
      </c>
      <c r="H479" s="22">
        <v>4</v>
      </c>
      <c r="I479" s="25">
        <v>43311</v>
      </c>
      <c r="J479" s="24">
        <v>43317</v>
      </c>
    </row>
    <row r="480" spans="2:10" x14ac:dyDescent="0.2">
      <c r="B480" s="22">
        <v>475</v>
      </c>
      <c r="C480" s="23" t="s">
        <v>16388</v>
      </c>
      <c r="D480" s="23" t="s">
        <v>1039</v>
      </c>
      <c r="E480" s="20" t="s">
        <v>16389</v>
      </c>
      <c r="F480" s="22">
        <v>2</v>
      </c>
      <c r="G480" s="22" t="s">
        <v>16390</v>
      </c>
      <c r="H480" s="22">
        <v>2</v>
      </c>
      <c r="I480" s="25">
        <v>43388</v>
      </c>
      <c r="J480" s="24">
        <v>43408</v>
      </c>
    </row>
    <row r="481" spans="2:10" x14ac:dyDescent="0.2">
      <c r="B481" s="22">
        <v>476</v>
      </c>
      <c r="C481" s="23" t="s">
        <v>16391</v>
      </c>
      <c r="D481" s="23" t="s">
        <v>7206</v>
      </c>
      <c r="E481" s="20" t="s">
        <v>16392</v>
      </c>
      <c r="F481" s="22">
        <v>2</v>
      </c>
      <c r="G481" s="22" t="s">
        <v>1159</v>
      </c>
      <c r="H481" s="22" t="s">
        <v>1159</v>
      </c>
      <c r="I481" s="25">
        <v>43108</v>
      </c>
      <c r="J481" s="22" t="s">
        <v>558</v>
      </c>
    </row>
    <row r="482" spans="2:10" x14ac:dyDescent="0.2">
      <c r="B482" s="22">
        <v>477</v>
      </c>
      <c r="C482" s="23" t="s">
        <v>16393</v>
      </c>
      <c r="D482" s="23" t="s">
        <v>1039</v>
      </c>
      <c r="E482" s="20" t="s">
        <v>16394</v>
      </c>
      <c r="F482" s="22">
        <v>4</v>
      </c>
      <c r="G482" s="22" t="s">
        <v>16395</v>
      </c>
      <c r="H482" s="22">
        <v>4</v>
      </c>
      <c r="I482" s="25">
        <v>43108</v>
      </c>
      <c r="J482" s="24">
        <v>43121</v>
      </c>
    </row>
    <row r="483" spans="2:10" x14ac:dyDescent="0.2">
      <c r="B483" s="22">
        <v>478</v>
      </c>
      <c r="C483" s="23" t="s">
        <v>16396</v>
      </c>
      <c r="D483" s="23" t="s">
        <v>14714</v>
      </c>
      <c r="E483" s="20" t="s">
        <v>16397</v>
      </c>
      <c r="F483" s="22">
        <v>1</v>
      </c>
      <c r="G483" s="22" t="s">
        <v>16398</v>
      </c>
      <c r="H483" s="22">
        <v>1</v>
      </c>
      <c r="I483" s="25">
        <v>43318</v>
      </c>
      <c r="J483" s="24">
        <v>43338</v>
      </c>
    </row>
    <row r="484" spans="2:10" x14ac:dyDescent="0.2">
      <c r="B484" s="22">
        <v>479</v>
      </c>
      <c r="C484" s="23" t="s">
        <v>16399</v>
      </c>
      <c r="D484" s="23" t="s">
        <v>1572</v>
      </c>
      <c r="E484" s="20" t="s">
        <v>16400</v>
      </c>
      <c r="F484" s="22">
        <v>1</v>
      </c>
      <c r="G484" s="22" t="s">
        <v>16401</v>
      </c>
      <c r="H484" s="22">
        <v>1</v>
      </c>
      <c r="I484" s="25">
        <v>43283</v>
      </c>
      <c r="J484" s="22" t="s">
        <v>558</v>
      </c>
    </row>
    <row r="485" spans="2:10" x14ac:dyDescent="0.2">
      <c r="B485" s="22">
        <v>480</v>
      </c>
      <c r="C485" s="23" t="s">
        <v>16402</v>
      </c>
      <c r="D485" s="23" t="s">
        <v>16403</v>
      </c>
      <c r="E485" s="20" t="s">
        <v>16404</v>
      </c>
      <c r="F485" s="22">
        <v>1</v>
      </c>
      <c r="G485" s="22" t="s">
        <v>4465</v>
      </c>
      <c r="H485" s="22">
        <v>1</v>
      </c>
      <c r="I485" s="25">
        <v>43290</v>
      </c>
      <c r="J485" s="24">
        <v>43303</v>
      </c>
    </row>
    <row r="486" spans="2:10" x14ac:dyDescent="0.2">
      <c r="B486" s="22">
        <v>481</v>
      </c>
      <c r="C486" s="23" t="s">
        <v>16405</v>
      </c>
      <c r="D486" s="23" t="s">
        <v>1294</v>
      </c>
      <c r="E486" s="20" t="s">
        <v>16406</v>
      </c>
      <c r="F486" s="22">
        <v>2</v>
      </c>
      <c r="G486" s="22" t="s">
        <v>16407</v>
      </c>
      <c r="H486" s="22">
        <v>1</v>
      </c>
      <c r="I486" s="25">
        <v>43171</v>
      </c>
      <c r="J486" s="24">
        <v>43198</v>
      </c>
    </row>
    <row r="487" spans="2:10" x14ac:dyDescent="0.2">
      <c r="B487" s="22">
        <v>482</v>
      </c>
      <c r="C487" s="23" t="s">
        <v>16408</v>
      </c>
      <c r="D487" s="23" t="s">
        <v>1880</v>
      </c>
      <c r="E487" s="20" t="s">
        <v>16409</v>
      </c>
      <c r="F487" s="22">
        <v>1</v>
      </c>
      <c r="G487" s="22" t="s">
        <v>16410</v>
      </c>
      <c r="H487" s="22">
        <v>1</v>
      </c>
      <c r="I487" s="25">
        <v>43304</v>
      </c>
      <c r="J487" s="24">
        <v>43401</v>
      </c>
    </row>
    <row r="488" spans="2:10" x14ac:dyDescent="0.2">
      <c r="B488" s="22">
        <v>483</v>
      </c>
      <c r="C488" s="23" t="s">
        <v>16411</v>
      </c>
      <c r="D488" s="23" t="s">
        <v>7206</v>
      </c>
      <c r="E488" s="20" t="s">
        <v>16412</v>
      </c>
      <c r="F488" s="22">
        <v>4</v>
      </c>
      <c r="G488" s="22" t="s">
        <v>16413</v>
      </c>
      <c r="H488" s="22">
        <v>1</v>
      </c>
      <c r="I488" s="25">
        <v>43374</v>
      </c>
      <c r="J488" s="24">
        <v>43141</v>
      </c>
    </row>
    <row r="489" spans="2:10" x14ac:dyDescent="0.2">
      <c r="B489" s="22">
        <v>484</v>
      </c>
      <c r="C489" s="23" t="s">
        <v>16414</v>
      </c>
      <c r="D489" s="23" t="s">
        <v>1880</v>
      </c>
      <c r="E489" s="20" t="s">
        <v>16415</v>
      </c>
      <c r="F489" s="22">
        <v>1</v>
      </c>
      <c r="G489" s="22" t="s">
        <v>9249</v>
      </c>
      <c r="H489" s="22">
        <v>1</v>
      </c>
      <c r="I489" s="25">
        <v>43171</v>
      </c>
      <c r="J489" s="22" t="s">
        <v>558</v>
      </c>
    </row>
    <row r="490" spans="2:10" x14ac:dyDescent="0.2">
      <c r="B490" s="22">
        <v>485</v>
      </c>
      <c r="C490" s="23" t="s">
        <v>16416</v>
      </c>
      <c r="D490" s="23" t="s">
        <v>1377</v>
      </c>
      <c r="E490" s="20" t="s">
        <v>16417</v>
      </c>
      <c r="F490" s="22">
        <v>2</v>
      </c>
      <c r="G490" s="22" t="s">
        <v>16418</v>
      </c>
      <c r="H490" s="22">
        <v>2</v>
      </c>
      <c r="I490" s="25">
        <v>43297</v>
      </c>
      <c r="J490" s="22" t="s">
        <v>558</v>
      </c>
    </row>
    <row r="491" spans="2:10" x14ac:dyDescent="0.2">
      <c r="B491" s="22">
        <v>486</v>
      </c>
      <c r="C491" s="23" t="s">
        <v>16419</v>
      </c>
      <c r="D491" s="23" t="s">
        <v>1142</v>
      </c>
      <c r="E491" s="20" t="s">
        <v>16420</v>
      </c>
      <c r="F491" s="22">
        <v>1</v>
      </c>
      <c r="G491" s="22" t="s">
        <v>16421</v>
      </c>
      <c r="H491" s="22">
        <v>1</v>
      </c>
      <c r="I491" s="25">
        <v>43192</v>
      </c>
      <c r="J491" s="24">
        <v>43205</v>
      </c>
    </row>
    <row r="492" spans="2:10" x14ac:dyDescent="0.2">
      <c r="B492" s="22">
        <v>487</v>
      </c>
      <c r="C492" s="23" t="s">
        <v>16422</v>
      </c>
      <c r="D492" s="23" t="s">
        <v>5254</v>
      </c>
      <c r="E492" s="20" t="s">
        <v>16423</v>
      </c>
      <c r="F492" s="22">
        <v>4</v>
      </c>
      <c r="G492" s="22" t="s">
        <v>16424</v>
      </c>
      <c r="H492" s="22">
        <v>4</v>
      </c>
      <c r="I492" s="25">
        <v>43262</v>
      </c>
      <c r="J492" s="24">
        <v>43268</v>
      </c>
    </row>
    <row r="493" spans="2:10" x14ac:dyDescent="0.2">
      <c r="B493" s="22">
        <v>488</v>
      </c>
      <c r="C493" s="23" t="s">
        <v>16425</v>
      </c>
      <c r="D493" s="23" t="s">
        <v>1804</v>
      </c>
      <c r="E493" s="20" t="s">
        <v>16426</v>
      </c>
      <c r="F493" s="22">
        <v>2</v>
      </c>
      <c r="G493" s="22" t="s">
        <v>16427</v>
      </c>
      <c r="H493" s="22">
        <v>1</v>
      </c>
      <c r="I493" s="25">
        <v>43227</v>
      </c>
      <c r="J493" s="24">
        <v>43247</v>
      </c>
    </row>
    <row r="494" spans="2:10" x14ac:dyDescent="0.2">
      <c r="B494" s="22">
        <v>489</v>
      </c>
      <c r="C494" s="23" t="s">
        <v>120</v>
      </c>
      <c r="D494" s="23" t="s">
        <v>16428</v>
      </c>
      <c r="E494" s="20" t="s">
        <v>1894</v>
      </c>
      <c r="F494" s="22">
        <v>1</v>
      </c>
      <c r="G494" s="22" t="s">
        <v>1894</v>
      </c>
      <c r="H494" s="22">
        <v>1</v>
      </c>
      <c r="I494" s="25">
        <v>43353</v>
      </c>
      <c r="J494" s="24">
        <v>43359</v>
      </c>
    </row>
    <row r="495" spans="2:10" x14ac:dyDescent="0.2">
      <c r="B495" s="22">
        <v>490</v>
      </c>
      <c r="C495" s="23" t="s">
        <v>16429</v>
      </c>
      <c r="D495" s="23" t="s">
        <v>16430</v>
      </c>
      <c r="E495" s="20" t="s">
        <v>16431</v>
      </c>
      <c r="F495" s="22">
        <v>2</v>
      </c>
      <c r="G495" s="22" t="s">
        <v>16432</v>
      </c>
      <c r="H495" s="22">
        <v>2</v>
      </c>
      <c r="I495" s="25">
        <v>43122</v>
      </c>
      <c r="J495" s="24">
        <v>43205</v>
      </c>
    </row>
    <row r="496" spans="2:10" x14ac:dyDescent="0.2">
      <c r="B496" s="22">
        <v>491</v>
      </c>
      <c r="C496" s="23" t="s">
        <v>16433</v>
      </c>
      <c r="D496" s="23" t="s">
        <v>7135</v>
      </c>
      <c r="E496" s="20" t="s">
        <v>16434</v>
      </c>
      <c r="F496" s="22">
        <v>1</v>
      </c>
      <c r="G496" s="22" t="s">
        <v>16435</v>
      </c>
      <c r="H496" s="22">
        <v>1</v>
      </c>
      <c r="I496" s="25">
        <v>43255</v>
      </c>
      <c r="J496" s="24">
        <v>43268</v>
      </c>
    </row>
    <row r="497" spans="2:10" x14ac:dyDescent="0.2">
      <c r="B497" s="22">
        <v>492</v>
      </c>
      <c r="C497" s="23" t="s">
        <v>16436</v>
      </c>
      <c r="D497" s="23" t="s">
        <v>1294</v>
      </c>
      <c r="E497" s="20" t="s">
        <v>16437</v>
      </c>
      <c r="F497" s="22">
        <v>2</v>
      </c>
      <c r="G497" s="22" t="s">
        <v>16438</v>
      </c>
      <c r="H497" s="22">
        <v>1</v>
      </c>
      <c r="I497" s="25">
        <v>43220</v>
      </c>
      <c r="J497" s="24">
        <v>43233</v>
      </c>
    </row>
    <row r="498" spans="2:10" x14ac:dyDescent="0.2">
      <c r="B498" s="22">
        <v>493</v>
      </c>
      <c r="C498" s="23" t="s">
        <v>16439</v>
      </c>
      <c r="D498" s="23" t="s">
        <v>7206</v>
      </c>
      <c r="E498" s="20" t="s">
        <v>16440</v>
      </c>
      <c r="F498" s="22">
        <v>9</v>
      </c>
      <c r="G498" s="22" t="s">
        <v>16441</v>
      </c>
      <c r="H498" s="22">
        <v>9</v>
      </c>
      <c r="I498" s="25">
        <v>43423</v>
      </c>
      <c r="J498" s="22" t="s">
        <v>558</v>
      </c>
    </row>
    <row r="499" spans="2:10" x14ac:dyDescent="0.2">
      <c r="B499" s="22">
        <v>494</v>
      </c>
      <c r="C499" s="23" t="s">
        <v>16442</v>
      </c>
      <c r="D499" s="23" t="s">
        <v>16430</v>
      </c>
      <c r="E499" s="20" t="s">
        <v>16443</v>
      </c>
      <c r="F499" s="22">
        <v>1</v>
      </c>
      <c r="G499" s="22" t="s">
        <v>16444</v>
      </c>
      <c r="H499" s="22">
        <v>1</v>
      </c>
      <c r="I499" s="25">
        <v>43185</v>
      </c>
      <c r="J499" s="24">
        <v>43282</v>
      </c>
    </row>
    <row r="500" spans="2:10" x14ac:dyDescent="0.2">
      <c r="B500" s="22">
        <v>495</v>
      </c>
      <c r="C500" s="23" t="s">
        <v>16445</v>
      </c>
      <c r="D500" s="23" t="s">
        <v>16430</v>
      </c>
      <c r="E500" s="20" t="s">
        <v>16446</v>
      </c>
      <c r="F500" s="22">
        <v>2</v>
      </c>
      <c r="G500" s="22" t="s">
        <v>12746</v>
      </c>
      <c r="H500" s="22">
        <v>2</v>
      </c>
      <c r="I500" s="25">
        <v>43122</v>
      </c>
      <c r="J500" s="24">
        <v>43205</v>
      </c>
    </row>
    <row r="501" spans="2:10" x14ac:dyDescent="0.2">
      <c r="B501" s="22">
        <v>496</v>
      </c>
      <c r="C501" s="23" t="s">
        <v>16447</v>
      </c>
      <c r="D501" s="23" t="s">
        <v>14208</v>
      </c>
      <c r="E501" s="20" t="s">
        <v>16448</v>
      </c>
      <c r="F501" s="22">
        <v>2</v>
      </c>
      <c r="G501" s="22" t="s">
        <v>16449</v>
      </c>
      <c r="H501" s="22">
        <v>1</v>
      </c>
      <c r="I501" s="25">
        <v>43463</v>
      </c>
      <c r="J501" s="24">
        <v>43176</v>
      </c>
    </row>
    <row r="502" spans="2:10" x14ac:dyDescent="0.2">
      <c r="B502" s="22">
        <v>497</v>
      </c>
      <c r="C502" s="23" t="s">
        <v>16450</v>
      </c>
      <c r="D502" s="23" t="s">
        <v>16451</v>
      </c>
      <c r="E502" s="20" t="s">
        <v>4070</v>
      </c>
      <c r="F502" s="22">
        <v>1</v>
      </c>
      <c r="G502" s="22" t="s">
        <v>4070</v>
      </c>
      <c r="H502" s="22">
        <v>1</v>
      </c>
      <c r="I502" s="25">
        <v>43395</v>
      </c>
      <c r="J502" s="24">
        <v>43401</v>
      </c>
    </row>
    <row r="503" spans="2:10" x14ac:dyDescent="0.2">
      <c r="B503" s="22">
        <v>498</v>
      </c>
      <c r="C503" s="23" t="s">
        <v>16452</v>
      </c>
      <c r="D503" s="23" t="s">
        <v>7206</v>
      </c>
      <c r="E503" s="20" t="s">
        <v>14308</v>
      </c>
      <c r="F503" s="22">
        <v>2</v>
      </c>
      <c r="G503" s="22" t="s">
        <v>2584</v>
      </c>
      <c r="H503" s="22">
        <v>2</v>
      </c>
      <c r="I503" s="25">
        <v>43360</v>
      </c>
      <c r="J503" s="24">
        <v>43457</v>
      </c>
    </row>
    <row r="504" spans="2:10" x14ac:dyDescent="0.2">
      <c r="B504" s="22">
        <v>499</v>
      </c>
      <c r="C504" s="23" t="s">
        <v>16453</v>
      </c>
      <c r="D504" s="23" t="s">
        <v>16454</v>
      </c>
      <c r="E504" s="20" t="s">
        <v>16455</v>
      </c>
      <c r="F504" s="22">
        <v>7</v>
      </c>
      <c r="G504" s="22" t="s">
        <v>11317</v>
      </c>
      <c r="H504" s="22">
        <v>1</v>
      </c>
      <c r="I504" s="25">
        <v>43353</v>
      </c>
      <c r="J504" s="24">
        <v>43408</v>
      </c>
    </row>
    <row r="505" spans="2:10" x14ac:dyDescent="0.2">
      <c r="B505" s="22">
        <v>500</v>
      </c>
      <c r="C505" s="23" t="s">
        <v>16456</v>
      </c>
      <c r="D505" s="23" t="s">
        <v>14208</v>
      </c>
      <c r="E505" s="20" t="s">
        <v>16457</v>
      </c>
      <c r="F505" s="22">
        <v>2</v>
      </c>
      <c r="G505" s="22" t="s">
        <v>1159</v>
      </c>
      <c r="H505" s="22" t="s">
        <v>1159</v>
      </c>
      <c r="I505" s="25">
        <v>43269</v>
      </c>
      <c r="J505" s="24">
        <v>43141</v>
      </c>
    </row>
    <row r="506" spans="2:10" x14ac:dyDescent="0.2">
      <c r="B506" s="22">
        <v>501</v>
      </c>
      <c r="C506" s="23" t="s">
        <v>16458</v>
      </c>
      <c r="D506" s="23" t="s">
        <v>4408</v>
      </c>
      <c r="E506" s="20" t="s">
        <v>16459</v>
      </c>
      <c r="F506" s="22">
        <v>2</v>
      </c>
      <c r="G506" s="22" t="s">
        <v>16460</v>
      </c>
      <c r="H506" s="22">
        <v>1</v>
      </c>
      <c r="I506" s="25">
        <v>43255</v>
      </c>
      <c r="J506" s="24">
        <v>43282</v>
      </c>
    </row>
    <row r="507" spans="2:10" x14ac:dyDescent="0.2">
      <c r="B507" s="22">
        <v>502</v>
      </c>
      <c r="C507" s="23" t="s">
        <v>16461</v>
      </c>
      <c r="D507" s="23" t="s">
        <v>10644</v>
      </c>
      <c r="E507" s="20" t="s">
        <v>7164</v>
      </c>
      <c r="F507" s="22">
        <v>1</v>
      </c>
      <c r="G507" s="22" t="s">
        <v>16462</v>
      </c>
      <c r="H507" s="22">
        <v>1</v>
      </c>
      <c r="I507" s="25">
        <v>43255</v>
      </c>
      <c r="J507" s="24">
        <v>43268</v>
      </c>
    </row>
    <row r="508" spans="2:10" x14ac:dyDescent="0.2">
      <c r="B508" s="22">
        <v>503</v>
      </c>
      <c r="C508" s="23" t="s">
        <v>16463</v>
      </c>
      <c r="D508" s="23" t="s">
        <v>1294</v>
      </c>
      <c r="E508" s="20" t="s">
        <v>16464</v>
      </c>
      <c r="F508" s="22">
        <v>2</v>
      </c>
      <c r="G508" s="22" t="s">
        <v>16465</v>
      </c>
      <c r="H508" s="22">
        <v>1</v>
      </c>
      <c r="I508" s="25">
        <v>43458</v>
      </c>
      <c r="J508" s="24">
        <v>43106</v>
      </c>
    </row>
    <row r="509" spans="2:10" x14ac:dyDescent="0.2">
      <c r="B509" s="22">
        <v>504</v>
      </c>
      <c r="C509" s="23" t="s">
        <v>16466</v>
      </c>
      <c r="D509" s="23" t="s">
        <v>1039</v>
      </c>
      <c r="E509" s="20" t="s">
        <v>16467</v>
      </c>
      <c r="F509" s="22">
        <v>2</v>
      </c>
      <c r="G509" s="22" t="s">
        <v>16468</v>
      </c>
      <c r="H509" s="22">
        <v>1</v>
      </c>
      <c r="I509" s="25">
        <v>43318</v>
      </c>
      <c r="J509" s="22" t="s">
        <v>558</v>
      </c>
    </row>
    <row r="510" spans="2:10" x14ac:dyDescent="0.2">
      <c r="B510" s="22">
        <v>505</v>
      </c>
      <c r="C510" s="23" t="s">
        <v>16469</v>
      </c>
      <c r="D510" s="23" t="s">
        <v>5197</v>
      </c>
      <c r="E510" s="20" t="s">
        <v>16470</v>
      </c>
      <c r="F510" s="22">
        <v>1</v>
      </c>
      <c r="G510" s="22" t="s">
        <v>16471</v>
      </c>
      <c r="H510" s="22">
        <v>1</v>
      </c>
      <c r="I510" s="25">
        <v>43451</v>
      </c>
      <c r="J510" s="22" t="s">
        <v>558</v>
      </c>
    </row>
    <row r="511" spans="2:10" x14ac:dyDescent="0.2">
      <c r="B511" s="22">
        <v>506</v>
      </c>
      <c r="C511" s="23" t="s">
        <v>16472</v>
      </c>
      <c r="D511" s="23" t="s">
        <v>7161</v>
      </c>
      <c r="E511" s="20" t="s">
        <v>16473</v>
      </c>
      <c r="F511" s="22">
        <v>1</v>
      </c>
      <c r="G511" s="22" t="s">
        <v>16474</v>
      </c>
      <c r="H511" s="22">
        <v>1</v>
      </c>
      <c r="I511" s="25">
        <v>43136</v>
      </c>
      <c r="J511" s="24">
        <v>43183</v>
      </c>
    </row>
    <row r="512" spans="2:10" x14ac:dyDescent="0.2">
      <c r="B512" s="22">
        <v>507</v>
      </c>
      <c r="C512" s="23" t="s">
        <v>16475</v>
      </c>
      <c r="D512" s="23" t="s">
        <v>14208</v>
      </c>
      <c r="E512" s="20" t="s">
        <v>16476</v>
      </c>
      <c r="F512" s="22">
        <v>1</v>
      </c>
      <c r="G512" s="22" t="s">
        <v>16477</v>
      </c>
      <c r="H512" s="22">
        <v>1</v>
      </c>
      <c r="I512" s="25">
        <v>43178</v>
      </c>
      <c r="J512" s="22" t="s">
        <v>558</v>
      </c>
    </row>
    <row r="513" spans="2:10" x14ac:dyDescent="0.2">
      <c r="B513" s="22">
        <v>508</v>
      </c>
      <c r="C513" s="23" t="s">
        <v>16478</v>
      </c>
      <c r="D513" s="23" t="s">
        <v>1572</v>
      </c>
      <c r="E513" s="20" t="s">
        <v>16479</v>
      </c>
      <c r="F513" s="22">
        <v>1</v>
      </c>
      <c r="G513" s="22" t="s">
        <v>5162</v>
      </c>
      <c r="H513" s="22">
        <v>1</v>
      </c>
      <c r="I513" s="25">
        <v>43416</v>
      </c>
      <c r="J513" s="24">
        <v>43464</v>
      </c>
    </row>
    <row r="514" spans="2:10" x14ac:dyDescent="0.2">
      <c r="B514" s="22">
        <v>509</v>
      </c>
      <c r="C514" s="23" t="s">
        <v>16480</v>
      </c>
      <c r="D514" s="23" t="s">
        <v>1294</v>
      </c>
      <c r="E514" s="20" t="s">
        <v>16481</v>
      </c>
      <c r="F514" s="22">
        <v>2</v>
      </c>
      <c r="G514" s="22" t="s">
        <v>5043</v>
      </c>
      <c r="H514" s="22">
        <v>2</v>
      </c>
      <c r="I514" s="25">
        <v>43395</v>
      </c>
      <c r="J514" s="24">
        <v>43401</v>
      </c>
    </row>
    <row r="515" spans="2:10" x14ac:dyDescent="0.2">
      <c r="B515" s="22">
        <v>510</v>
      </c>
      <c r="C515" s="23" t="s">
        <v>16482</v>
      </c>
      <c r="D515" s="23" t="s">
        <v>16430</v>
      </c>
      <c r="E515" s="20" t="s">
        <v>8877</v>
      </c>
      <c r="F515" s="22">
        <v>1</v>
      </c>
      <c r="G515" s="22" t="s">
        <v>16483</v>
      </c>
      <c r="H515" s="22">
        <v>1</v>
      </c>
      <c r="I515" s="25">
        <v>43185</v>
      </c>
      <c r="J515" s="24">
        <v>43261</v>
      </c>
    </row>
    <row r="516" spans="2:10" x14ac:dyDescent="0.2">
      <c r="B516" s="22">
        <v>511</v>
      </c>
      <c r="C516" s="23" t="s">
        <v>16484</v>
      </c>
      <c r="D516" s="23" t="s">
        <v>16485</v>
      </c>
      <c r="E516" s="20" t="s">
        <v>16486</v>
      </c>
      <c r="F516" s="22">
        <v>1</v>
      </c>
      <c r="G516" s="22" t="s">
        <v>16487</v>
      </c>
      <c r="H516" s="22">
        <v>1</v>
      </c>
      <c r="I516" s="25">
        <v>43234</v>
      </c>
      <c r="J516" s="24">
        <v>43310</v>
      </c>
    </row>
    <row r="517" spans="2:10" x14ac:dyDescent="0.2">
      <c r="B517" s="22">
        <v>512</v>
      </c>
      <c r="C517" s="23" t="s">
        <v>16488</v>
      </c>
      <c r="D517" s="23" t="s">
        <v>1294</v>
      </c>
      <c r="E517" s="20" t="s">
        <v>16489</v>
      </c>
      <c r="F517" s="22">
        <v>1</v>
      </c>
      <c r="G517" s="22" t="s">
        <v>16490</v>
      </c>
      <c r="H517" s="22">
        <v>1</v>
      </c>
      <c r="I517" s="25">
        <v>43423</v>
      </c>
      <c r="J517" s="24">
        <v>43429</v>
      </c>
    </row>
    <row r="518" spans="2:10" x14ac:dyDescent="0.2">
      <c r="B518" s="22">
        <v>513</v>
      </c>
      <c r="C518" s="23" t="s">
        <v>16491</v>
      </c>
      <c r="D518" s="23" t="s">
        <v>1039</v>
      </c>
      <c r="E518" s="20" t="s">
        <v>16492</v>
      </c>
      <c r="F518" s="22">
        <v>1</v>
      </c>
      <c r="G518" s="22" t="s">
        <v>16493</v>
      </c>
      <c r="H518" s="22">
        <v>1</v>
      </c>
      <c r="I518" s="25">
        <v>43311</v>
      </c>
      <c r="J518" s="24">
        <v>43317</v>
      </c>
    </row>
    <row r="519" spans="2:10" x14ac:dyDescent="0.2">
      <c r="B519" s="22">
        <v>514</v>
      </c>
      <c r="C519" s="23" t="s">
        <v>16494</v>
      </c>
      <c r="D519" s="23" t="s">
        <v>16495</v>
      </c>
      <c r="E519" s="20" t="s">
        <v>11051</v>
      </c>
      <c r="F519" s="22">
        <v>1</v>
      </c>
      <c r="G519" s="22" t="s">
        <v>1159</v>
      </c>
      <c r="H519" s="22" t="s">
        <v>1159</v>
      </c>
      <c r="I519" s="25">
        <v>43359</v>
      </c>
      <c r="J519" s="24">
        <v>43173</v>
      </c>
    </row>
    <row r="520" spans="2:10" x14ac:dyDescent="0.2">
      <c r="B520" s="22">
        <v>515</v>
      </c>
      <c r="C520" s="23" t="s">
        <v>16496</v>
      </c>
      <c r="D520" s="23" t="s">
        <v>1159</v>
      </c>
      <c r="E520" s="20" t="s">
        <v>16497</v>
      </c>
      <c r="F520" s="22">
        <v>1</v>
      </c>
      <c r="G520" s="22" t="s">
        <v>16498</v>
      </c>
      <c r="H520" s="22">
        <v>1</v>
      </c>
      <c r="I520" s="25">
        <v>43262</v>
      </c>
      <c r="J520" s="24">
        <v>43275</v>
      </c>
    </row>
    <row r="521" spans="2:10" x14ac:dyDescent="0.2">
      <c r="B521" s="22">
        <v>516</v>
      </c>
      <c r="C521" s="23" t="s">
        <v>16499</v>
      </c>
      <c r="D521" s="23" t="s">
        <v>16430</v>
      </c>
      <c r="E521" s="20" t="s">
        <v>16500</v>
      </c>
      <c r="F521" s="22">
        <v>2</v>
      </c>
      <c r="G521" s="22" t="s">
        <v>16501</v>
      </c>
      <c r="H521" s="22">
        <v>2</v>
      </c>
      <c r="I521" s="25">
        <v>43122</v>
      </c>
      <c r="J521" s="24">
        <v>43205</v>
      </c>
    </row>
    <row r="522" spans="2:10" x14ac:dyDescent="0.2">
      <c r="B522" s="22">
        <v>517</v>
      </c>
      <c r="C522" s="23" t="s">
        <v>16502</v>
      </c>
      <c r="D522" s="23" t="s">
        <v>1930</v>
      </c>
      <c r="E522" s="20" t="s">
        <v>16503</v>
      </c>
      <c r="F522" s="22">
        <v>1</v>
      </c>
      <c r="G522" s="22" t="s">
        <v>7213</v>
      </c>
      <c r="H522" s="22">
        <v>1</v>
      </c>
      <c r="I522" s="25">
        <v>43360</v>
      </c>
      <c r="J522" s="24">
        <v>43366</v>
      </c>
    </row>
    <row r="523" spans="2:10" x14ac:dyDescent="0.2">
      <c r="B523" s="22">
        <v>518</v>
      </c>
      <c r="C523" s="23" t="s">
        <v>16504</v>
      </c>
      <c r="D523" s="23" t="s">
        <v>1804</v>
      </c>
      <c r="E523" s="20" t="s">
        <v>16505</v>
      </c>
      <c r="F523" s="22">
        <v>1</v>
      </c>
      <c r="G523" s="22" t="s">
        <v>16506</v>
      </c>
      <c r="H523" s="22">
        <v>1</v>
      </c>
      <c r="I523" s="25">
        <v>43171</v>
      </c>
      <c r="J523" s="24">
        <v>43212</v>
      </c>
    </row>
    <row r="524" spans="2:10" x14ac:dyDescent="0.2">
      <c r="B524" s="22">
        <v>519</v>
      </c>
      <c r="C524" s="23" t="s">
        <v>16507</v>
      </c>
      <c r="D524" s="23" t="s">
        <v>7206</v>
      </c>
      <c r="E524" s="20" t="s">
        <v>16508</v>
      </c>
      <c r="F524" s="22">
        <v>1</v>
      </c>
      <c r="G524" s="22" t="s">
        <v>16509</v>
      </c>
      <c r="H524" s="22">
        <v>1</v>
      </c>
      <c r="I524" s="25">
        <v>43353</v>
      </c>
      <c r="J524" s="24">
        <v>43253</v>
      </c>
    </row>
    <row r="525" spans="2:10" x14ac:dyDescent="0.2">
      <c r="B525" s="22">
        <v>520</v>
      </c>
      <c r="C525" s="23" t="s">
        <v>16510</v>
      </c>
      <c r="D525" s="23" t="s">
        <v>1880</v>
      </c>
      <c r="E525" s="20" t="s">
        <v>16511</v>
      </c>
      <c r="F525" s="22">
        <v>1</v>
      </c>
      <c r="G525" s="22" t="s">
        <v>16512</v>
      </c>
      <c r="H525" s="22">
        <v>1</v>
      </c>
      <c r="I525" s="25">
        <v>43332</v>
      </c>
      <c r="J525" s="24">
        <v>43380</v>
      </c>
    </row>
    <row r="526" spans="2:10" x14ac:dyDescent="0.2">
      <c r="B526" s="22">
        <v>521</v>
      </c>
      <c r="C526" s="23" t="s">
        <v>16513</v>
      </c>
      <c r="D526" s="23" t="s">
        <v>16430</v>
      </c>
      <c r="E526" s="20" t="s">
        <v>16514</v>
      </c>
      <c r="F526" s="22">
        <v>1</v>
      </c>
      <c r="G526" s="22" t="s">
        <v>14986</v>
      </c>
      <c r="H526" s="22">
        <v>1</v>
      </c>
      <c r="I526" s="25">
        <v>43402</v>
      </c>
      <c r="J526" s="24">
        <v>43422</v>
      </c>
    </row>
    <row r="527" spans="2:10" x14ac:dyDescent="0.2">
      <c r="B527" s="22">
        <v>522</v>
      </c>
      <c r="C527" s="23" t="s">
        <v>16515</v>
      </c>
      <c r="D527" s="23" t="s">
        <v>1294</v>
      </c>
      <c r="E527" s="20" t="s">
        <v>16516</v>
      </c>
      <c r="F527" s="22">
        <v>1</v>
      </c>
      <c r="G527" s="22" t="s">
        <v>16438</v>
      </c>
      <c r="H527" s="22">
        <v>1</v>
      </c>
      <c r="I527" s="25">
        <v>43213</v>
      </c>
      <c r="J527" s="24">
        <v>43219</v>
      </c>
    </row>
    <row r="528" spans="2:10" x14ac:dyDescent="0.2">
      <c r="B528" s="22">
        <v>523</v>
      </c>
      <c r="C528" s="23" t="s">
        <v>16517</v>
      </c>
      <c r="D528" s="23" t="s">
        <v>1804</v>
      </c>
      <c r="E528" s="20" t="s">
        <v>16518</v>
      </c>
      <c r="F528" s="22">
        <v>1</v>
      </c>
      <c r="G528" s="22" t="s">
        <v>16519</v>
      </c>
      <c r="H528" s="22">
        <v>1</v>
      </c>
      <c r="I528" s="25">
        <v>43339</v>
      </c>
      <c r="J528" s="22" t="s">
        <v>558</v>
      </c>
    </row>
    <row r="529" spans="2:10" x14ac:dyDescent="0.2">
      <c r="B529" s="22">
        <v>524</v>
      </c>
      <c r="C529" s="23" t="s">
        <v>16520</v>
      </c>
      <c r="D529" s="23" t="s">
        <v>16521</v>
      </c>
      <c r="E529" s="20" t="s">
        <v>16522</v>
      </c>
      <c r="F529" s="22">
        <v>1</v>
      </c>
      <c r="G529" s="22" t="s">
        <v>16522</v>
      </c>
      <c r="H529" s="22">
        <v>1</v>
      </c>
      <c r="I529" s="25">
        <v>43444</v>
      </c>
      <c r="J529" s="24">
        <v>43450</v>
      </c>
    </row>
    <row r="530" spans="2:10" x14ac:dyDescent="0.2">
      <c r="B530" s="22">
        <v>525</v>
      </c>
      <c r="C530" s="23" t="s">
        <v>16523</v>
      </c>
      <c r="D530" s="23" t="s">
        <v>14714</v>
      </c>
      <c r="E530" s="20" t="s">
        <v>16524</v>
      </c>
      <c r="F530" s="22">
        <v>1</v>
      </c>
      <c r="G530" s="22" t="s">
        <v>16525</v>
      </c>
      <c r="H530" s="22">
        <v>1</v>
      </c>
      <c r="I530" s="25">
        <v>43360</v>
      </c>
      <c r="J530" s="24">
        <v>43380</v>
      </c>
    </row>
    <row r="531" spans="2:10" x14ac:dyDescent="0.2">
      <c r="B531" s="22">
        <v>526</v>
      </c>
      <c r="C531" s="23" t="s">
        <v>16526</v>
      </c>
      <c r="D531" s="23" t="s">
        <v>14208</v>
      </c>
      <c r="E531" s="20" t="s">
        <v>16527</v>
      </c>
      <c r="F531" s="22">
        <v>1</v>
      </c>
      <c r="G531" s="22" t="s">
        <v>2629</v>
      </c>
      <c r="H531" s="22">
        <v>1</v>
      </c>
      <c r="I531" s="25">
        <v>43206</v>
      </c>
      <c r="J531" s="24">
        <v>43348</v>
      </c>
    </row>
    <row r="532" spans="2:10" x14ac:dyDescent="0.2">
      <c r="B532" s="22">
        <v>527</v>
      </c>
      <c r="C532" s="23" t="s">
        <v>16528</v>
      </c>
      <c r="D532" s="23" t="s">
        <v>16056</v>
      </c>
      <c r="E532" s="20" t="s">
        <v>16529</v>
      </c>
      <c r="F532" s="22">
        <v>1</v>
      </c>
      <c r="G532" s="22" t="s">
        <v>16530</v>
      </c>
      <c r="H532" s="22">
        <v>1</v>
      </c>
      <c r="I532" s="25">
        <v>43381</v>
      </c>
      <c r="J532" s="24">
        <v>43387</v>
      </c>
    </row>
    <row r="533" spans="2:10" x14ac:dyDescent="0.2">
      <c r="B533" s="22">
        <v>528</v>
      </c>
      <c r="C533" s="23" t="s">
        <v>16531</v>
      </c>
      <c r="D533" s="23" t="s">
        <v>1294</v>
      </c>
      <c r="E533" s="20" t="s">
        <v>16532</v>
      </c>
      <c r="F533" s="22">
        <v>2</v>
      </c>
      <c r="G533" s="22" t="s">
        <v>16533</v>
      </c>
      <c r="H533" s="22">
        <v>2</v>
      </c>
      <c r="I533" s="25">
        <v>43129</v>
      </c>
      <c r="J533" s="24">
        <v>43142</v>
      </c>
    </row>
    <row r="534" spans="2:10" x14ac:dyDescent="0.2">
      <c r="B534" s="22">
        <v>529</v>
      </c>
      <c r="C534" s="23" t="s">
        <v>16534</v>
      </c>
      <c r="D534" s="23" t="s">
        <v>14714</v>
      </c>
      <c r="E534" s="20" t="s">
        <v>12926</v>
      </c>
      <c r="F534" s="22">
        <v>1</v>
      </c>
      <c r="G534" s="22" t="s">
        <v>16535</v>
      </c>
      <c r="H534" s="22">
        <v>1</v>
      </c>
      <c r="I534" s="25">
        <v>43360</v>
      </c>
      <c r="J534" s="24">
        <v>43380</v>
      </c>
    </row>
    <row r="535" spans="2:10" x14ac:dyDescent="0.2">
      <c r="B535" s="22">
        <v>530</v>
      </c>
      <c r="C535" s="23" t="s">
        <v>16536</v>
      </c>
      <c r="D535" s="23" t="s">
        <v>1880</v>
      </c>
      <c r="E535" s="20" t="s">
        <v>16537</v>
      </c>
      <c r="F535" s="22">
        <v>2</v>
      </c>
      <c r="G535" s="22" t="s">
        <v>16538</v>
      </c>
      <c r="H535" s="22">
        <v>2</v>
      </c>
      <c r="I535" s="25">
        <v>43367</v>
      </c>
      <c r="J535" s="24">
        <v>43415</v>
      </c>
    </row>
    <row r="536" spans="2:10" x14ac:dyDescent="0.2">
      <c r="B536" s="22">
        <v>531</v>
      </c>
      <c r="C536" s="23" t="s">
        <v>16539</v>
      </c>
      <c r="D536" s="23" t="s">
        <v>16430</v>
      </c>
      <c r="E536" s="20" t="s">
        <v>2682</v>
      </c>
      <c r="F536" s="22">
        <v>1</v>
      </c>
      <c r="G536" s="22" t="s">
        <v>16540</v>
      </c>
      <c r="H536" s="22">
        <v>1</v>
      </c>
      <c r="I536" s="25">
        <v>43185</v>
      </c>
      <c r="J536" s="24">
        <v>43261</v>
      </c>
    </row>
    <row r="537" spans="2:10" x14ac:dyDescent="0.2">
      <c r="B537" s="22">
        <v>532</v>
      </c>
      <c r="C537" s="23" t="s">
        <v>16541</v>
      </c>
      <c r="D537" s="23" t="s">
        <v>1880</v>
      </c>
      <c r="E537" s="20" t="s">
        <v>5006</v>
      </c>
      <c r="F537" s="22">
        <v>1</v>
      </c>
      <c r="G537" s="22" t="s">
        <v>2464</v>
      </c>
      <c r="H537" s="22">
        <v>1</v>
      </c>
      <c r="I537" s="25">
        <v>43388</v>
      </c>
      <c r="J537" s="24">
        <v>43394</v>
      </c>
    </row>
    <row r="538" spans="2:10" x14ac:dyDescent="0.2">
      <c r="B538" s="22">
        <v>533</v>
      </c>
      <c r="C538" s="23" t="s">
        <v>16542</v>
      </c>
      <c r="D538" s="23" t="s">
        <v>1804</v>
      </c>
      <c r="E538" s="20" t="s">
        <v>16543</v>
      </c>
      <c r="F538" s="22">
        <v>1</v>
      </c>
      <c r="G538" s="22" t="s">
        <v>16544</v>
      </c>
      <c r="H538" s="22">
        <v>1</v>
      </c>
      <c r="I538" s="25">
        <v>43122</v>
      </c>
      <c r="J538" s="24">
        <v>43128</v>
      </c>
    </row>
    <row r="539" spans="2:10" x14ac:dyDescent="0.2">
      <c r="B539" s="22">
        <v>534</v>
      </c>
      <c r="C539" s="23">
        <v>45365</v>
      </c>
      <c r="D539" s="23" t="s">
        <v>16545</v>
      </c>
      <c r="E539" s="20" t="s">
        <v>16546</v>
      </c>
      <c r="F539" s="22">
        <v>1</v>
      </c>
      <c r="G539" s="22" t="s">
        <v>7285</v>
      </c>
      <c r="H539" s="22">
        <v>1</v>
      </c>
      <c r="I539" s="25">
        <v>43157</v>
      </c>
      <c r="J539" s="24">
        <v>43170</v>
      </c>
    </row>
    <row r="540" spans="2:10" x14ac:dyDescent="0.2">
      <c r="B540" s="22">
        <v>535</v>
      </c>
      <c r="C540" s="23" t="s">
        <v>16547</v>
      </c>
      <c r="D540" s="23" t="s">
        <v>1294</v>
      </c>
      <c r="E540" s="20" t="s">
        <v>16548</v>
      </c>
      <c r="F540" s="22">
        <v>1</v>
      </c>
      <c r="G540" s="22" t="s">
        <v>16548</v>
      </c>
      <c r="H540" s="22">
        <v>1</v>
      </c>
      <c r="I540" s="25">
        <v>43241</v>
      </c>
      <c r="J540" s="24">
        <v>43247</v>
      </c>
    </row>
    <row r="541" spans="2:10" x14ac:dyDescent="0.2">
      <c r="B541" s="22">
        <v>536</v>
      </c>
      <c r="C541" s="23" t="s">
        <v>16549</v>
      </c>
      <c r="D541" s="23" t="s">
        <v>16430</v>
      </c>
      <c r="E541" s="20" t="s">
        <v>16550</v>
      </c>
      <c r="F541" s="22">
        <v>1</v>
      </c>
      <c r="G541" s="22" t="s">
        <v>13201</v>
      </c>
      <c r="H541" s="22">
        <v>1</v>
      </c>
      <c r="I541" s="25">
        <v>43402</v>
      </c>
      <c r="J541" s="24">
        <v>43422</v>
      </c>
    </row>
    <row r="542" spans="2:10" x14ac:dyDescent="0.2">
      <c r="B542" s="22">
        <v>537</v>
      </c>
      <c r="C542" s="23" t="s">
        <v>16551</v>
      </c>
      <c r="D542" s="23" t="s">
        <v>16430</v>
      </c>
      <c r="E542" s="20" t="s">
        <v>16552</v>
      </c>
      <c r="F542" s="22">
        <v>1</v>
      </c>
      <c r="G542" s="22" t="s">
        <v>16553</v>
      </c>
      <c r="H542" s="22">
        <v>1</v>
      </c>
      <c r="I542" s="25">
        <v>43402</v>
      </c>
      <c r="J542" s="24">
        <v>43422</v>
      </c>
    </row>
  </sheetData>
  <mergeCells count="2">
    <mergeCell ref="C3:C4"/>
    <mergeCell ref="B3:B4"/>
  </mergeCells>
  <hyperlinks>
    <hyperlink ref="B3" r:id="rId1"/>
    <hyperlink ref="C3" r:id="rId2"/>
    <hyperlink ref="D3" r:id="rId3"/>
    <hyperlink ref="E5" r:id="rId4"/>
    <hyperlink ref="F5" r:id="rId5"/>
    <hyperlink ref="C6" r:id="rId6"/>
    <hyperlink ref="D6" r:id="rId7"/>
    <hyperlink ref="I6" r:id="rId8" display="http://www.boxofficemojo.com/schedule/?view=bydate&amp;release=theatrical&amp;date=2010-06-18&amp;p=.htm"/>
    <hyperlink ref="C7" r:id="rId9"/>
    <hyperlink ref="D7" r:id="rId10"/>
    <hyperlink ref="I7" r:id="rId11" display="http://www.boxofficemojo.com/schedule/?view=bydate&amp;release=theatrical&amp;date=2010-03-05&amp;p=.htm"/>
    <hyperlink ref="C8" r:id="rId12"/>
    <hyperlink ref="D8" r:id="rId13"/>
    <hyperlink ref="I8" r:id="rId14" display="http://www.boxofficemojo.com/schedule/?view=bydate&amp;release=theatrical&amp;date=2010-05-07&amp;p=.htm"/>
    <hyperlink ref="C9" r:id="rId15"/>
    <hyperlink ref="D9" r:id="rId16"/>
    <hyperlink ref="I9" r:id="rId17" display="http://www.boxofficemojo.com/schedule/?view=bydate&amp;release=theatrical&amp;date=2010-06-30&amp;p=.htm"/>
    <hyperlink ref="C10" r:id="rId18"/>
    <hyperlink ref="D10" r:id="rId19"/>
    <hyperlink ref="I10" r:id="rId20" display="http://www.boxofficemojo.com/schedule/?view=bydate&amp;release=theatrical&amp;date=2010-11-19&amp;p=.htm"/>
    <hyperlink ref="C11" r:id="rId21"/>
    <hyperlink ref="D11" r:id="rId22"/>
    <hyperlink ref="I11" r:id="rId23" display="http://www.boxofficemojo.com/schedule/?view=bydate&amp;release=theatrical&amp;date=2010-07-16&amp;p=.htm"/>
    <hyperlink ref="C12" r:id="rId24"/>
    <hyperlink ref="D12" r:id="rId25"/>
    <hyperlink ref="I12" r:id="rId26" display="http://www.boxofficemojo.com/schedule/?view=bydate&amp;release=theatrical&amp;date=2010-07-09&amp;p=.htm"/>
    <hyperlink ref="C13" r:id="rId27"/>
    <hyperlink ref="D13" r:id="rId28"/>
    <hyperlink ref="I13" r:id="rId29" display="http://www.boxofficemojo.com/schedule/?view=bydate&amp;release=theatrical&amp;date=2010-05-21&amp;p=.htm"/>
    <hyperlink ref="C14" r:id="rId30"/>
    <hyperlink ref="D14" r:id="rId31"/>
    <hyperlink ref="I14" r:id="rId32" display="http://www.boxofficemojo.com/schedule/?view=bydate&amp;release=theatrical&amp;date=2010-03-26&amp;p=.htm"/>
    <hyperlink ref="C15" r:id="rId33"/>
    <hyperlink ref="D15" r:id="rId34"/>
    <hyperlink ref="I15" r:id="rId35" display="http://www.boxofficemojo.com/schedule/?view=bydate&amp;release=theatrical&amp;date=2010-11-24&amp;p=.htm"/>
    <hyperlink ref="C16" r:id="rId36"/>
    <hyperlink ref="D16" r:id="rId37"/>
    <hyperlink ref="I16" r:id="rId38" display="http://www.boxofficemojo.com/schedule/?view=bydate&amp;release=theatrical&amp;date=2010-06-11&amp;p=.htm"/>
    <hyperlink ref="C17" r:id="rId39"/>
    <hyperlink ref="D17" r:id="rId40"/>
    <hyperlink ref="I17" r:id="rId41" display="http://www.boxofficemojo.com/schedule/?view=bydate&amp;release=theatrical&amp;date=2010-12-17&amp;p=.htm"/>
    <hyperlink ref="C18" r:id="rId42"/>
    <hyperlink ref="D18" r:id="rId43"/>
    <hyperlink ref="I18" r:id="rId44" display="http://www.boxofficemojo.com/schedule/?view=bydate&amp;release=theatrical&amp;date=2010-12-22&amp;p=.htm"/>
    <hyperlink ref="C19" r:id="rId45"/>
    <hyperlink ref="D19" r:id="rId46"/>
    <hyperlink ref="I19" r:id="rId47" display="http://www.boxofficemojo.com/schedule/?view=bydate&amp;release=theatrical&amp;date=2010-04-02&amp;p=.htm"/>
    <hyperlink ref="C20" r:id="rId48"/>
    <hyperlink ref="D20" r:id="rId49"/>
    <hyperlink ref="I20" r:id="rId50" display="http://www.boxofficemojo.com/schedule/?view=bydate&amp;release=theatrical&amp;date=2010-06-25&amp;p=.htm"/>
    <hyperlink ref="C21" r:id="rId51"/>
    <hyperlink ref="D21" r:id="rId52"/>
    <hyperlink ref="I21" r:id="rId53" display="http://www.boxofficemojo.com/schedule/?view=bydate&amp;release=theatrical&amp;date=2010-12-22&amp;p=.htm"/>
    <hyperlink ref="C22" r:id="rId54"/>
    <hyperlink ref="D22" r:id="rId55"/>
    <hyperlink ref="I22" r:id="rId56" display="http://www.boxofficemojo.com/schedule/?view=bydate&amp;release=theatrical&amp;date=2010-11-05&amp;p=.htm"/>
    <hyperlink ref="C23" r:id="rId57"/>
    <hyperlink ref="D23" r:id="rId58"/>
    <hyperlink ref="I23" r:id="rId59" display="http://www.boxofficemojo.com/schedule/?view=bydate&amp;release=theatrical&amp;date=2010-11-26&amp;p=.htm"/>
    <hyperlink ref="C24" r:id="rId60"/>
    <hyperlink ref="D24" r:id="rId61"/>
    <hyperlink ref="I24" r:id="rId62" display="http://www.boxofficemojo.com/schedule/?view=bydate&amp;release=theatrical&amp;date=2010-07-01&amp;p=.htm"/>
    <hyperlink ref="C25" r:id="rId63"/>
    <hyperlink ref="D25" r:id="rId64"/>
    <hyperlink ref="I25" r:id="rId65" display="http://www.boxofficemojo.com/schedule/?view=bydate&amp;release=theatrical&amp;date=2010-02-19&amp;p=.htm"/>
    <hyperlink ref="C26" r:id="rId66"/>
    <hyperlink ref="D26" r:id="rId67"/>
    <hyperlink ref="I26" r:id="rId68" display="http://www.boxofficemojo.com/schedule/?view=bydate&amp;release=theatrical&amp;date=2010-08-06&amp;p=.htm"/>
    <hyperlink ref="C27" r:id="rId69"/>
    <hyperlink ref="D27" r:id="rId70"/>
    <hyperlink ref="I27" r:id="rId71" display="http://www.boxofficemojo.com/schedule/?view=bydate&amp;release=theatrical&amp;date=2010-07-23&amp;p=.htm"/>
    <hyperlink ref="C28" r:id="rId72"/>
    <hyperlink ref="D28" r:id="rId73"/>
    <hyperlink ref="I28" r:id="rId74" display="http://www.boxofficemojo.com/schedule/?view=bydate&amp;release=theatrical&amp;date=2010-10-15&amp;p=.htm"/>
    <hyperlink ref="C29" r:id="rId75"/>
    <hyperlink ref="D29" r:id="rId76"/>
    <hyperlink ref="I29" r:id="rId77" display="http://www.boxofficemojo.com/schedule/?view=bydate&amp;release=theatrical&amp;date=2010-02-12&amp;p=.htm"/>
    <hyperlink ref="C30" r:id="rId78"/>
    <hyperlink ref="D30" r:id="rId79"/>
    <hyperlink ref="I30" r:id="rId80" display="http://www.boxofficemojo.com/schedule/?view=bydate&amp;release=theatrical&amp;date=2010-12-03&amp;p=.htm"/>
    <hyperlink ref="C31" r:id="rId81"/>
    <hyperlink ref="D31" r:id="rId82"/>
    <hyperlink ref="I31" r:id="rId83" display="http://www.boxofficemojo.com/schedule/?view=bydate&amp;release=theatrical&amp;date=2010-05-14&amp;p=.htm"/>
    <hyperlink ref="C32" r:id="rId84"/>
    <hyperlink ref="D32" r:id="rId85"/>
    <hyperlink ref="I32" r:id="rId86" display="http://www.boxofficemojo.com/schedule/?view=bydate&amp;release=theatrical&amp;date=2010-12-10&amp;p=.htm"/>
    <hyperlink ref="C33" r:id="rId87"/>
    <hyperlink ref="D33" r:id="rId88"/>
    <hyperlink ref="I33" r:id="rId89" display="http://www.boxofficemojo.com/schedule/?view=bydate&amp;release=theatrical&amp;date=2010-08-13&amp;p=.htm"/>
    <hyperlink ref="C34" r:id="rId90"/>
    <hyperlink ref="D34" r:id="rId91"/>
    <hyperlink ref="I34" r:id="rId92" display="http://www.boxofficemojo.com/schedule/?view=bydate&amp;release=theatrical&amp;date=2010-11-05&amp;p=.htm"/>
    <hyperlink ref="C35" r:id="rId93"/>
    <hyperlink ref="D35" r:id="rId94"/>
    <hyperlink ref="I35" r:id="rId95" display="http://www.boxofficemojo.com/schedule/?view=bydate&amp;release=theatrical&amp;date=2010-12-17&amp;p=.htm"/>
    <hyperlink ref="C36" r:id="rId96"/>
    <hyperlink ref="D36" r:id="rId97"/>
    <hyperlink ref="I36" r:id="rId98" display="http://www.boxofficemojo.com/schedule/?view=bydate&amp;release=theatrical&amp;date=2010-04-09&amp;p=.htm"/>
    <hyperlink ref="C37" r:id="rId99"/>
    <hyperlink ref="D37" r:id="rId100"/>
    <hyperlink ref="I37" r:id="rId101" display="http://www.boxofficemojo.com/schedule/?view=bydate&amp;release=theatrical&amp;date=2010-10-01&amp;p=.htm"/>
    <hyperlink ref="C38" r:id="rId102"/>
    <hyperlink ref="D38" r:id="rId103"/>
    <hyperlink ref="I38" r:id="rId104" display="http://www.boxofficemojo.com/schedule/?view=bydate&amp;release=theatrical&amp;date=2010-05-27&amp;p=.htm"/>
    <hyperlink ref="C39" r:id="rId105"/>
    <hyperlink ref="D39" r:id="rId106"/>
    <hyperlink ref="I39" r:id="rId107" display="http://www.boxofficemojo.com/schedule/?view=bydate&amp;release=theatrical&amp;date=2010-01-15&amp;p=.htm"/>
    <hyperlink ref="C40" r:id="rId108"/>
    <hyperlink ref="D40" r:id="rId109"/>
    <hyperlink ref="I40" r:id="rId110" display="http://www.boxofficemojo.com/schedule/?view=bydate&amp;release=theatrical&amp;date=2010-12-10&amp;p=.htm"/>
    <hyperlink ref="C41" r:id="rId111"/>
    <hyperlink ref="D41" r:id="rId112"/>
    <hyperlink ref="I41" r:id="rId113" display="http://www.boxofficemojo.com/schedule/?view=bydate&amp;release=theatrical&amp;date=2010-09-17&amp;p=.htm"/>
    <hyperlink ref="C42" r:id="rId114"/>
    <hyperlink ref="D42" r:id="rId115"/>
    <hyperlink ref="I42" r:id="rId116" display="http://www.boxofficemojo.com/schedule/?view=bydate&amp;release=theatrical&amp;date=2010-05-28&amp;p=.htm"/>
    <hyperlink ref="C43" r:id="rId117"/>
    <hyperlink ref="D43" r:id="rId118"/>
    <hyperlink ref="I43" r:id="rId119" display="http://www.boxofficemojo.com/schedule/?view=bydate&amp;release=theatrical&amp;date=2010-10-15&amp;p=.htm"/>
    <hyperlink ref="C44" r:id="rId120"/>
    <hyperlink ref="D44" r:id="rId121"/>
    <hyperlink ref="I44" r:id="rId122" display="http://www.boxofficemojo.com/schedule/?view=bydate&amp;release=theatrical&amp;date=2010-02-12&amp;p=.htm"/>
    <hyperlink ref="C45" r:id="rId123"/>
    <hyperlink ref="D45" r:id="rId124"/>
    <hyperlink ref="I45" r:id="rId125" display="http://www.boxofficemojo.com/schedule/?view=bydate&amp;release=theatrical&amp;date=2010-10-22&amp;p=.htm"/>
    <hyperlink ref="C46" r:id="rId126"/>
    <hyperlink ref="D46" r:id="rId127"/>
    <hyperlink ref="I46" r:id="rId128" display="http://www.boxofficemojo.com/schedule/?view=bydate&amp;release=theatrical&amp;date=2010-11-12&amp;p=.htm"/>
    <hyperlink ref="C47" r:id="rId129"/>
    <hyperlink ref="D47" r:id="rId130"/>
    <hyperlink ref="I47" r:id="rId131" display="http://www.boxofficemojo.com/schedule/?view=bydate&amp;release=theatrical&amp;date=2010-08-13&amp;p=.htm"/>
    <hyperlink ref="C48" r:id="rId132"/>
    <hyperlink ref="D48" r:id="rId133"/>
    <hyperlink ref="I48" r:id="rId134" display="http://www.boxofficemojo.com/schedule/?view=bydate&amp;release=theatrical&amp;date=2010-02-05&amp;p=.htm"/>
    <hyperlink ref="C49" r:id="rId135"/>
    <hyperlink ref="D49" r:id="rId136"/>
    <hyperlink ref="I49" r:id="rId137" display="http://www.boxofficemojo.com/schedule/?view=bydate&amp;release=theatrical&amp;date=2010-06-11&amp;p=.htm"/>
    <hyperlink ref="C50" r:id="rId138"/>
    <hyperlink ref="D50" r:id="rId139"/>
    <hyperlink ref="I50" r:id="rId140" display="http://www.boxofficemojo.com/schedule/?view=bydate&amp;release=theatrical&amp;date=2010-06-23&amp;p=.htm"/>
    <hyperlink ref="C51" r:id="rId141"/>
    <hyperlink ref="D51" r:id="rId142"/>
    <hyperlink ref="I51" r:id="rId143" display="http://www.boxofficemojo.com/schedule/?view=bydate&amp;release=theatrical&amp;date=2010-07-30&amp;p=.htm"/>
    <hyperlink ref="C52" r:id="rId144"/>
    <hyperlink ref="D52" r:id="rId145"/>
    <hyperlink ref="I52" r:id="rId146" display="http://www.boxofficemojo.com/schedule/?view=bydate&amp;release=theatrical&amp;date=2010-12-10&amp;p=.htm"/>
    <hyperlink ref="C53" r:id="rId147"/>
    <hyperlink ref="D53" r:id="rId148"/>
    <hyperlink ref="I53" r:id="rId149" display="http://www.boxofficemojo.com/schedule/?view=bydate&amp;release=theatrical&amp;date=2010-03-19&amp;p=.htm"/>
    <hyperlink ref="C54" r:id="rId150"/>
    <hyperlink ref="D54" r:id="rId151"/>
    <hyperlink ref="I54" r:id="rId152" display="http://www.boxofficemojo.com/schedule/?view=bydate&amp;release=theatrical&amp;date=2010-03-19&amp;p=.htm"/>
    <hyperlink ref="C55" r:id="rId153"/>
    <hyperlink ref="D55" r:id="rId154"/>
    <hyperlink ref="I55" r:id="rId155" display="http://www.boxofficemojo.com/schedule/?view=bydate&amp;release=theatrical&amp;date=2010-07-14&amp;p=.htm"/>
    <hyperlink ref="C56" r:id="rId156"/>
    <hyperlink ref="D56" r:id="rId157"/>
    <hyperlink ref="I56" r:id="rId158" display="http://www.boxofficemojo.com/schedule/?view=bydate&amp;release=theatrical&amp;date=2010-04-30&amp;p=.htm"/>
    <hyperlink ref="C57" r:id="rId159"/>
    <hyperlink ref="D57" r:id="rId160"/>
    <hyperlink ref="I57" r:id="rId161" display="http://www.boxofficemojo.com/schedule/?view=bydate&amp;release=theatrical&amp;date=2010-03-31&amp;p=.htm"/>
    <hyperlink ref="C58" r:id="rId162"/>
    <hyperlink ref="D58" r:id="rId163"/>
    <hyperlink ref="I58" r:id="rId164" display="http://www.boxofficemojo.com/schedule/?view=bydate&amp;release=theatrical&amp;date=2010-02-12&amp;p=.htm"/>
    <hyperlink ref="C59" r:id="rId165"/>
    <hyperlink ref="D59" r:id="rId166"/>
    <hyperlink ref="I59" r:id="rId167" display="http://www.boxofficemojo.com/schedule/?view=bydate&amp;release=theatrical&amp;date=2010-06-04&amp;p=.htm"/>
    <hyperlink ref="C60" r:id="rId168"/>
    <hyperlink ref="D60" r:id="rId169"/>
    <hyperlink ref="I60" r:id="rId170" display="http://www.boxofficemojo.com/schedule/?view=bydate&amp;release=theatrical&amp;date=2010-09-10&amp;p=.htm"/>
    <hyperlink ref="C61" r:id="rId171"/>
    <hyperlink ref="D61" r:id="rId172"/>
    <hyperlink ref="I61" r:id="rId173" display="http://www.boxofficemojo.com/schedule/?view=bydate&amp;release=theatrical&amp;date=2010-04-02&amp;p=.htm"/>
    <hyperlink ref="C62" r:id="rId174"/>
    <hyperlink ref="D62" r:id="rId175"/>
    <hyperlink ref="I62" r:id="rId176" display="http://www.boxofficemojo.com/schedule/?view=bydate&amp;release=theatrical&amp;date=2010-01-22&amp;p=.htm"/>
    <hyperlink ref="C63" r:id="rId177"/>
    <hyperlink ref="D63" r:id="rId178"/>
    <hyperlink ref="I63" r:id="rId179" display="http://www.boxofficemojo.com/schedule/?view=bydate&amp;release=theatrical&amp;date=2010-10-08&amp;p=.htm"/>
    <hyperlink ref="C64" r:id="rId180"/>
    <hyperlink ref="D64" r:id="rId181"/>
    <hyperlink ref="I64" r:id="rId182" display="http://www.boxofficemojo.com/schedule/?view=bydate&amp;release=theatrical&amp;date=2010-09-17&amp;p=.htm"/>
    <hyperlink ref="C65" r:id="rId183"/>
    <hyperlink ref="D65" r:id="rId184"/>
    <hyperlink ref="I65" r:id="rId185" display="http://www.boxofficemojo.com/schedule/?view=bydate&amp;release=theatrical&amp;date=2010-08-27&amp;p=.htm"/>
    <hyperlink ref="C66" r:id="rId186"/>
    <hyperlink ref="D66" r:id="rId187"/>
    <hyperlink ref="I66" r:id="rId188" display="http://www.boxofficemojo.com/schedule/?view=bydate&amp;release=theatrical&amp;date=2010-09-24&amp;p=.htm"/>
    <hyperlink ref="C67" r:id="rId189"/>
    <hyperlink ref="D67" r:id="rId190"/>
    <hyperlink ref="I67" r:id="rId191" display="http://www.boxofficemojo.com/schedule/?view=bydate&amp;release=theatrical&amp;date=2010-10-08&amp;p=.htm"/>
    <hyperlink ref="C68" r:id="rId192"/>
    <hyperlink ref="D68" r:id="rId193"/>
    <hyperlink ref="I68" r:id="rId194" display="http://www.boxofficemojo.com/schedule/?view=bydate&amp;release=theatrical&amp;date=2010-05-14&amp;p=.htm"/>
    <hyperlink ref="C69" r:id="rId195"/>
    <hyperlink ref="D69" r:id="rId196"/>
    <hyperlink ref="I69" r:id="rId197" display="http://www.boxofficemojo.com/schedule/?view=bydate&amp;release=theatrical&amp;date=2010-09-24&amp;p=.htm"/>
    <hyperlink ref="C70" r:id="rId198"/>
    <hyperlink ref="D70" r:id="rId199"/>
    <hyperlink ref="I70" r:id="rId200" display="http://www.boxofficemojo.com/schedule/?view=bydate&amp;release=theatrical&amp;date=2010-03-19&amp;p=.htm"/>
    <hyperlink ref="C71" r:id="rId201"/>
    <hyperlink ref="D71" r:id="rId202"/>
    <hyperlink ref="I71" r:id="rId203" display="http://www.boxofficemojo.com/schedule/?view=bydate&amp;release=theatrical&amp;date=2010-07-09&amp;p=.htm"/>
    <hyperlink ref="C72" r:id="rId204"/>
    <hyperlink ref="D72" r:id="rId205"/>
    <hyperlink ref="I72" r:id="rId206" display="http://www.boxofficemojo.com/schedule/?view=bydate&amp;release=theatrical&amp;date=2010-03-26&amp;p=.htm"/>
    <hyperlink ref="C73" r:id="rId207"/>
    <hyperlink ref="D73" r:id="rId208"/>
    <hyperlink ref="I73" r:id="rId209" display="http://www.boxofficemojo.com/schedule/?view=bydate&amp;release=theatrical&amp;date=2010-04-16&amp;p=.htm"/>
    <hyperlink ref="C74" r:id="rId210"/>
    <hyperlink ref="D74" r:id="rId211"/>
    <hyperlink ref="I74" r:id="rId212" display="http://www.boxofficemojo.com/schedule/?view=bydate&amp;release=theatrical&amp;date=2010-06-04&amp;p=.htm"/>
    <hyperlink ref="C75" r:id="rId213"/>
    <hyperlink ref="D75" r:id="rId214"/>
    <hyperlink ref="I75" r:id="rId215" display="http://www.boxofficemojo.com/schedule/?view=bydate&amp;release=theatrical&amp;date=2010-10-29&amp;p=.htm"/>
    <hyperlink ref="C76" r:id="rId216"/>
    <hyperlink ref="D76" r:id="rId217"/>
    <hyperlink ref="I76" r:id="rId218" display="http://www.boxofficemojo.com/schedule/?view=bydate&amp;release=theatrical&amp;date=2010-02-26&amp;p=.htm"/>
    <hyperlink ref="C77" r:id="rId219"/>
    <hyperlink ref="D77" r:id="rId220"/>
    <hyperlink ref="I77" r:id="rId221" display="http://www.boxofficemojo.com/schedule/?view=bydate&amp;release=theatrical&amp;date=2010-07-30&amp;p=.htm"/>
    <hyperlink ref="C78" r:id="rId222"/>
    <hyperlink ref="D78" r:id="rId223"/>
    <hyperlink ref="I78" r:id="rId224" display="http://www.boxofficemojo.com/schedule/?view=bydate&amp;release=theatrical&amp;date=2010-01-29&amp;p=.htm"/>
    <hyperlink ref="C79" r:id="rId225"/>
    <hyperlink ref="D79" r:id="rId226"/>
    <hyperlink ref="I79" r:id="rId227" display="http://www.boxofficemojo.com/schedule/?view=bydate&amp;release=theatrical&amp;date=2010-12-25&amp;p=.htm"/>
    <hyperlink ref="C80" r:id="rId228"/>
    <hyperlink ref="D80" r:id="rId229"/>
    <hyperlink ref="I80" r:id="rId230" display="http://www.boxofficemojo.com/schedule/?view=bydate&amp;release=theatrical&amp;date=2010-04-16&amp;p=.htm"/>
    <hyperlink ref="C81" r:id="rId231"/>
    <hyperlink ref="D81" r:id="rId232"/>
    <hyperlink ref="I81" r:id="rId233" display="http://www.boxofficemojo.com/schedule/?view=bydate&amp;release=theatrical&amp;date=2010-08-06&amp;p=.htm"/>
    <hyperlink ref="C82" r:id="rId234"/>
    <hyperlink ref="D82" r:id="rId235"/>
    <hyperlink ref="I82" r:id="rId236" display="http://www.boxofficemojo.com/schedule/?view=bydate&amp;release=theatrical&amp;date=2010-08-27&amp;p=.htm"/>
    <hyperlink ref="C83" r:id="rId237"/>
    <hyperlink ref="D83" r:id="rId238"/>
    <hyperlink ref="I83" r:id="rId239" display="http://www.boxofficemojo.com/schedule/?view=bydate&amp;release=theatrical&amp;date=2010-01-22&amp;p=.htm"/>
    <hyperlink ref="C84" r:id="rId240"/>
    <hyperlink ref="D84" r:id="rId241"/>
    <hyperlink ref="I84" r:id="rId242" display="http://www.boxofficemojo.com/schedule/?view=bydate&amp;release=theatrical&amp;date=2010-11-24&amp;p=.htm"/>
    <hyperlink ref="C85" r:id="rId243"/>
    <hyperlink ref="D85" r:id="rId244"/>
    <hyperlink ref="I85" r:id="rId245" display="http://www.boxofficemojo.com/schedule/?view=bydate&amp;release=theatrical&amp;date=2010-02-26&amp;p=.htm"/>
    <hyperlink ref="C86" r:id="rId246"/>
    <hyperlink ref="D86" r:id="rId247"/>
    <hyperlink ref="I86" r:id="rId248" display="http://www.boxofficemojo.com/schedule/?view=bydate&amp;release=theatrical&amp;date=2010-11-05&amp;p=.htm"/>
    <hyperlink ref="C87" r:id="rId249"/>
    <hyperlink ref="D87" r:id="rId250"/>
    <hyperlink ref="I87" r:id="rId251" display="http://www.boxofficemojo.com/schedule/?view=bydate&amp;release=theatrical&amp;date=2010-04-23&amp;p=.htm"/>
    <hyperlink ref="C88" r:id="rId252"/>
    <hyperlink ref="D88" r:id="rId253"/>
    <hyperlink ref="I88" r:id="rId254" display="http://www.boxofficemojo.com/schedule/?view=bydate&amp;release=theatrical&amp;date=2010-08-18&amp;p=.htm"/>
    <hyperlink ref="C89" r:id="rId255"/>
    <hyperlink ref="D89" r:id="rId256"/>
    <hyperlink ref="I89" r:id="rId257" display="http://www.boxofficemojo.com/schedule/?view=bydate&amp;release=theatrical&amp;date=2010-09-01&amp;p=.htm"/>
    <hyperlink ref="C90" r:id="rId258"/>
    <hyperlink ref="D90" r:id="rId259"/>
    <hyperlink ref="I90" r:id="rId260" display="http://www.boxofficemojo.com/schedule/?view=bydate&amp;release=theatrical&amp;date=2010-03-12&amp;p=.htm"/>
    <hyperlink ref="C91" r:id="rId261"/>
    <hyperlink ref="D91" r:id="rId262"/>
    <hyperlink ref="I91" r:id="rId263" display="http://www.boxofficemojo.com/schedule/?view=bydate&amp;release=theatrical&amp;date=2010-06-04&amp;p=.htm"/>
    <hyperlink ref="C92" r:id="rId264"/>
    <hyperlink ref="D92" r:id="rId265"/>
    <hyperlink ref="I92" r:id="rId266" display="http://www.boxofficemojo.com/schedule/?view=bydate&amp;release=theatrical&amp;date=2010-09-17&amp;p=.htm"/>
    <hyperlink ref="C93" r:id="rId267"/>
    <hyperlink ref="D93" r:id="rId268"/>
    <hyperlink ref="I93" r:id="rId269" display="http://www.boxofficemojo.com/schedule/?view=bydate&amp;release=theatrical&amp;date=2010-10-15&amp;p=.htm"/>
    <hyperlink ref="C94" r:id="rId270"/>
    <hyperlink ref="D94" r:id="rId271"/>
    <hyperlink ref="I94" r:id="rId272" display="http://www.boxofficemojo.com/schedule/?view=bydate&amp;release=theatrical&amp;date=2010-01-29&amp;p=.htm"/>
    <hyperlink ref="C95" r:id="rId273"/>
    <hyperlink ref="D95" r:id="rId274"/>
    <hyperlink ref="I95" r:id="rId275" display="http://www.boxofficemojo.com/schedule/?view=bydate&amp;release=theatrical&amp;date=2010-11-24&amp;p=.htm"/>
    <hyperlink ref="C96" r:id="rId276"/>
    <hyperlink ref="D96" r:id="rId277"/>
    <hyperlink ref="I96" r:id="rId278" display="http://www.boxofficemojo.com/schedule/?view=bydate&amp;release=theatrical&amp;date=2010-03-12&amp;p=.htm"/>
    <hyperlink ref="C97" r:id="rId279"/>
    <hyperlink ref="D97" r:id="rId280"/>
    <hyperlink ref="I97" r:id="rId281" display="http://www.boxofficemojo.com/schedule/?view=bydate&amp;release=theatrical&amp;date=2010-08-13&amp;p=.htm"/>
    <hyperlink ref="C98" r:id="rId282"/>
    <hyperlink ref="D98" r:id="rId283"/>
    <hyperlink ref="I98" r:id="rId284" display="http://www.boxofficemojo.com/schedule/?view=bydate&amp;release=theatrical&amp;date=2010-07-30&amp;p=.htm"/>
    <hyperlink ref="C99" r:id="rId285"/>
    <hyperlink ref="D99" r:id="rId286"/>
    <hyperlink ref="I99" r:id="rId287" display="http://www.boxofficemojo.com/schedule/?view=bydate&amp;release=theatrical&amp;date=2010-11-10&amp;p=.htm"/>
    <hyperlink ref="C100" r:id="rId288"/>
    <hyperlink ref="D100" r:id="rId289"/>
    <hyperlink ref="I100" r:id="rId290" display="http://www.boxofficemojo.com/schedule/?view=bydate&amp;release=theatrical&amp;date=2010-12-17&amp;p=.htm"/>
    <hyperlink ref="C101" r:id="rId291"/>
    <hyperlink ref="D101" r:id="rId292"/>
    <hyperlink ref="I101" r:id="rId293" display="http://www.boxofficemojo.com/schedule/?view=bydate&amp;release=theatrical&amp;date=2010-01-08&amp;p=.htm"/>
    <hyperlink ref="C102" r:id="rId294"/>
    <hyperlink ref="D102" r:id="rId295"/>
    <hyperlink ref="I102" r:id="rId296" display="http://www.boxofficemojo.com/schedule/?view=bydate&amp;release=theatrical&amp;date=2010-08-20&amp;p=.htm"/>
    <hyperlink ref="C103" r:id="rId297"/>
    <hyperlink ref="D103" r:id="rId298"/>
    <hyperlink ref="I103" r:id="rId299" display="http://www.boxofficemojo.com/schedule/?view=bydate&amp;release=theatrical&amp;date=2010-08-20&amp;p=.htm"/>
    <hyperlink ref="C104" r:id="rId300"/>
    <hyperlink ref="D104" r:id="rId301"/>
    <hyperlink ref="I104" r:id="rId302" display="http://www.boxofficemojo.com/schedule/?view=bydate&amp;release=theatrical&amp;date=2010-03-05&amp;p=.htm"/>
    <hyperlink ref="C105" r:id="rId303"/>
    <hyperlink ref="D105" r:id="rId304"/>
    <hyperlink ref="I105" r:id="rId305" display="http://www.boxofficemojo.com/schedule/?view=bydate&amp;release=theatrical&amp;date=2010-09-03&amp;p=.htm"/>
    <hyperlink ref="C106" r:id="rId306"/>
    <hyperlink ref="D106" r:id="rId307"/>
    <hyperlink ref="I106" r:id="rId308" display="http://www.boxofficemojo.com/schedule/?view=bydate&amp;release=theatrical&amp;date=2010-07-23&amp;p=.htm"/>
    <hyperlink ref="C107" r:id="rId309"/>
    <hyperlink ref="D107" r:id="rId310"/>
    <hyperlink ref="I107" r:id="rId311" display="http://www.boxofficemojo.com/schedule/?view=bydate&amp;release=theatrical&amp;date=2010-01-08&amp;p=.htm"/>
    <hyperlink ref="C108" r:id="rId312"/>
    <hyperlink ref="D108" r:id="rId313"/>
    <hyperlink ref="I108" r:id="rId314" display="http://www.boxofficemojo.com/schedule/?view=bydate&amp;release=theatrical&amp;date=2010-09-24&amp;p=.htm"/>
    <hyperlink ref="C109" r:id="rId315"/>
    <hyperlink ref="D109" r:id="rId316"/>
    <hyperlink ref="I109" r:id="rId317" display="http://www.boxofficemojo.com/schedule/?view=bydate&amp;release=theatrical&amp;date=2010-09-17&amp;p=.htm"/>
    <hyperlink ref="C110" r:id="rId318"/>
    <hyperlink ref="D110" r:id="rId319"/>
    <hyperlink ref="I110" r:id="rId320" display="http://www.boxofficemojo.com/schedule/?view=bydate&amp;release=theatrical&amp;date=2010-08-20&amp;p=.htm"/>
    <hyperlink ref="C111" r:id="rId321"/>
    <hyperlink ref="D111" r:id="rId322"/>
    <hyperlink ref="I111" r:id="rId323" display="http://www.boxofficemojo.com/schedule/?view=bydate&amp;release=theatrical&amp;date=2010-08-20&amp;p=.htm"/>
    <hyperlink ref="C112" r:id="rId324"/>
    <hyperlink ref="D112" r:id="rId325"/>
    <hyperlink ref="I112" r:id="rId326" display="http://www.boxofficemojo.com/schedule/?view=bydate&amp;release=theatrical&amp;date=2010-01-15&amp;p=.htm"/>
    <hyperlink ref="C113" r:id="rId327"/>
    <hyperlink ref="D113" r:id="rId328"/>
    <hyperlink ref="I113" r:id="rId329" display="http://www.boxofficemojo.com/schedule/?view=bydate&amp;release=theatrical&amp;date=2010-02-05&amp;p=.htm"/>
    <hyperlink ref="C114" r:id="rId330"/>
    <hyperlink ref="D114" r:id="rId331"/>
    <hyperlink ref="I114" r:id="rId332" display="http://www.boxofficemojo.com/schedule/?view=bydate&amp;release=theatrical&amp;date=2010-04-23&amp;p=.htm"/>
    <hyperlink ref="C115" r:id="rId333"/>
    <hyperlink ref="D115" r:id="rId334"/>
    <hyperlink ref="I115" r:id="rId335" display="http://www.boxofficemojo.com/schedule/?view=bydate&amp;release=theatrical&amp;date=2010-11-24&amp;p=.htm"/>
    <hyperlink ref="C116" r:id="rId336"/>
    <hyperlink ref="D116" r:id="rId337"/>
    <hyperlink ref="I116" r:id="rId338" display="http://www.boxofficemojo.com/schedule/?view=bydate&amp;release=theatrical&amp;date=2010-05-14&amp;p=.htm"/>
    <hyperlink ref="C117" r:id="rId339"/>
    <hyperlink ref="D117" r:id="rId340"/>
    <hyperlink ref="I117" r:id="rId341" display="http://www.boxofficemojo.com/schedule/?view=bydate&amp;release=theatrical&amp;date=2010-11-12&amp;p=.htm"/>
    <hyperlink ref="C118" r:id="rId342"/>
    <hyperlink ref="D118" r:id="rId343"/>
    <hyperlink ref="I118" r:id="rId344" display="http://www.boxofficemojo.com/schedule/?view=bydate&amp;release=theatrical&amp;date=2010-11-19&amp;p=.htm"/>
    <hyperlink ref="C119" r:id="rId345"/>
    <hyperlink ref="D119" r:id="rId346"/>
    <hyperlink ref="I119" r:id="rId347" display="http://www.boxofficemojo.com/schedule/?view=bydate&amp;release=theatrical&amp;date=2010-07-09&amp;p=.htm"/>
    <hyperlink ref="C120" r:id="rId348"/>
    <hyperlink ref="D120" r:id="rId349"/>
    <hyperlink ref="I120" r:id="rId350" display="http://www.boxofficemojo.com/schedule/?view=bydate&amp;release=theatrical&amp;date=2010-03-12&amp;p=.htm"/>
    <hyperlink ref="C121" r:id="rId351"/>
    <hyperlink ref="D121" r:id="rId352"/>
    <hyperlink ref="I121" r:id="rId353" display="http://www.boxofficemojo.com/schedule/?view=bydate&amp;release=theatrical&amp;date=2010-12-22&amp;p=.htm"/>
    <hyperlink ref="C122" r:id="rId354"/>
    <hyperlink ref="D122" r:id="rId355"/>
    <hyperlink ref="I122" r:id="rId356" display="http://www.boxofficemojo.com/schedule/?view=bydate&amp;release=theatrical&amp;date=2010-04-22&amp;p=.htm"/>
    <hyperlink ref="C123" r:id="rId357"/>
    <hyperlink ref="D123" r:id="rId358"/>
    <hyperlink ref="I123" r:id="rId359" display="http://www.boxofficemojo.com/schedule/?view=bydate&amp;release=theatrical&amp;date=2010-03-12&amp;p=.htm"/>
    <hyperlink ref="C124" r:id="rId360"/>
    <hyperlink ref="D124" r:id="rId361"/>
    <hyperlink ref="I124" r:id="rId362" display="http://www.boxofficemojo.com/schedule/?view=bydate&amp;release=theatrical&amp;date=2010-11-05&amp;p=.htm"/>
    <hyperlink ref="C125" r:id="rId363"/>
    <hyperlink ref="D125" r:id="rId364"/>
    <hyperlink ref="I125" r:id="rId365" display="http://www.boxofficemojo.com/schedule/?view=bydate&amp;release=theatrical&amp;date=2010-09-03&amp;p=.htm"/>
    <hyperlink ref="C126" r:id="rId366"/>
    <hyperlink ref="D126" r:id="rId367"/>
    <hyperlink ref="I126" r:id="rId368" display="http://www.boxofficemojo.com/schedule/?view=bydate&amp;release=theatrical&amp;date=2010-04-30&amp;p=.htm"/>
    <hyperlink ref="C127" r:id="rId369"/>
    <hyperlink ref="D127" r:id="rId370"/>
    <hyperlink ref="I127" r:id="rId371" display="http://www.boxofficemojo.com/schedule/?view=bydate&amp;release=theatrical&amp;date=2010-06-04&amp;p=.htm"/>
    <hyperlink ref="C128" r:id="rId372"/>
    <hyperlink ref="D128" r:id="rId373"/>
    <hyperlink ref="I128" r:id="rId374" display="http://www.boxofficemojo.com/schedule/?view=bydate&amp;release=theatrical&amp;date=2010-02-19&amp;p=.htm"/>
    <hyperlink ref="C129" r:id="rId375"/>
    <hyperlink ref="D129" r:id="rId376"/>
    <hyperlink ref="I129" r:id="rId377" display="http://www.boxofficemojo.com/schedule/?view=bydate&amp;release=theatrical&amp;date=2010-01-08&amp;p=.htm"/>
    <hyperlink ref="C130" r:id="rId378"/>
    <hyperlink ref="D130" r:id="rId379"/>
    <hyperlink ref="I130" r:id="rId380" display="http://www.boxofficemojo.com/schedule/?view=bydate&amp;release=theatrical&amp;date=2010-10-08&amp;p=.htm"/>
    <hyperlink ref="C131" r:id="rId381"/>
    <hyperlink ref="D131" r:id="rId382"/>
    <hyperlink ref="I131" r:id="rId383" display="http://www.boxofficemojo.com/schedule/?view=bydate&amp;release=theatrical&amp;date=2010-03-19&amp;p=.htm"/>
    <hyperlink ref="C132" r:id="rId384"/>
    <hyperlink ref="D132" r:id="rId385"/>
    <hyperlink ref="I132" r:id="rId386" display="http://www.boxofficemojo.com/schedule/?view=bydate&amp;release=theatrical&amp;date=2010-10-01&amp;p=.htm"/>
    <hyperlink ref="C133" r:id="rId387"/>
    <hyperlink ref="D133" r:id="rId388"/>
    <hyperlink ref="I133" r:id="rId389" display="http://www.boxofficemojo.com/schedule/?view=bydate&amp;release=theatrical&amp;date=2010-10-01&amp;p=.htm"/>
    <hyperlink ref="C134" r:id="rId390"/>
    <hyperlink ref="D134" r:id="rId391"/>
    <hyperlink ref="I134" r:id="rId392" display="http://www.boxofficemojo.com/schedule/?view=bydate&amp;release=theatrical&amp;date=2010-01-22&amp;p=.htm"/>
    <hyperlink ref="C135" r:id="rId393"/>
    <hyperlink ref="D135" r:id="rId394"/>
    <hyperlink ref="I135" r:id="rId395" display="http://www.boxofficemojo.com/schedule/?view=bydate&amp;release=theatrical&amp;date=2010-08-27&amp;p=.htm"/>
    <hyperlink ref="C136" r:id="rId396"/>
    <hyperlink ref="D136" r:id="rId397"/>
    <hyperlink ref="I136" r:id="rId398" display="http://www.boxofficemojo.com/schedule/?view=bydate&amp;release=theatrical&amp;date=2010-06-18&amp;p=.htm"/>
    <hyperlink ref="C137" r:id="rId399"/>
    <hyperlink ref="D137" r:id="rId400"/>
    <hyperlink ref="I137" r:id="rId401" display="http://www.boxofficemojo.com/schedule/?view=bydate&amp;release=theatrical&amp;date=2010-03-19&amp;p=.htm"/>
    <hyperlink ref="C138" r:id="rId402"/>
    <hyperlink ref="D138" r:id="rId403"/>
    <hyperlink ref="I138" r:id="rId404" display="http://www.boxofficemojo.com/schedule/?view=bydate&amp;release=theatrical&amp;date=2010-12-29&amp;p=.htm"/>
    <hyperlink ref="C139" r:id="rId405"/>
    <hyperlink ref="D139" r:id="rId406"/>
    <hyperlink ref="I139" r:id="rId407" display="http://www.boxofficemojo.com/schedule/?view=bydate&amp;release=theatrical&amp;date=2010-11-05&amp;p=.htm"/>
    <hyperlink ref="C140" r:id="rId408"/>
    <hyperlink ref="D140" r:id="rId409"/>
    <hyperlink ref="I140" r:id="rId410" display="http://www.boxofficemojo.com/schedule/?view=bydate&amp;release=theatrical&amp;date=2010-07-30&amp;p=.htm"/>
    <hyperlink ref="C141" r:id="rId411"/>
    <hyperlink ref="D141" r:id="rId412"/>
    <hyperlink ref="I141" r:id="rId413" display="http://www.boxofficemojo.com/schedule/?view=bydate&amp;release=theatrical&amp;date=2010-05-21&amp;p=.htm"/>
    <hyperlink ref="C142" r:id="rId414"/>
    <hyperlink ref="D142" r:id="rId415"/>
    <hyperlink ref="I142" r:id="rId416" display="http://www.boxofficemojo.com/schedule/?view=bydate&amp;release=theatrical&amp;date=2010-07-09&amp;p=.htm"/>
    <hyperlink ref="C143" r:id="rId417"/>
    <hyperlink ref="D143" r:id="rId418"/>
    <hyperlink ref="I143" r:id="rId419" display="http://www.boxofficemojo.com/schedule/?view=bydate&amp;release=theatrical&amp;date=2010-06-18&amp;p=.htm"/>
    <hyperlink ref="C144" r:id="rId420"/>
    <hyperlink ref="D144" r:id="rId421"/>
    <hyperlink ref="I144" r:id="rId422" display="http://www.boxofficemojo.com/schedule/?view=bydate&amp;release=theatrical&amp;date=2010-05-07&amp;p=.htm"/>
    <hyperlink ref="C145" r:id="rId423"/>
    <hyperlink ref="D145" r:id="rId424"/>
    <hyperlink ref="I145" r:id="rId425" display="http://www.boxofficemojo.com/schedule/?view=bydate&amp;release=theatrical&amp;date=2010-10-15&amp;p=.htm"/>
    <hyperlink ref="C146" r:id="rId426"/>
    <hyperlink ref="D146" r:id="rId427"/>
    <hyperlink ref="I146" r:id="rId428" display="http://www.boxofficemojo.com/schedule/?view=bydate&amp;release=theatrical&amp;date=2010-03-19&amp;p=.htm"/>
    <hyperlink ref="C147" r:id="rId429"/>
    <hyperlink ref="D147" r:id="rId430"/>
    <hyperlink ref="I147" r:id="rId431" display="http://www.boxofficemojo.com/schedule/?view=bydate&amp;release=theatrical&amp;date=2010-01-15&amp;p=.htm"/>
    <hyperlink ref="C148" r:id="rId432"/>
    <hyperlink ref="D148" r:id="rId433"/>
    <hyperlink ref="I148" r:id="rId434" display="http://www.boxofficemojo.com/schedule/?view=bydate&amp;release=theatrical&amp;date=2010-06-11&amp;p=.htm"/>
    <hyperlink ref="C149" r:id="rId435"/>
    <hyperlink ref="D149" r:id="rId436"/>
    <hyperlink ref="I149" r:id="rId437" display="http://www.boxofficemojo.com/schedule/?view=bydate&amp;release=theatrical&amp;date=2010-09-24&amp;p=.htm"/>
    <hyperlink ref="C150" r:id="rId438"/>
    <hyperlink ref="D150" r:id="rId439"/>
    <hyperlink ref="I150" r:id="rId440" display="http://www.boxofficemojo.com/schedule/?view=bydate&amp;release=theatrical&amp;date=2010-04-16&amp;p=.htm"/>
    <hyperlink ref="C151" r:id="rId441"/>
    <hyperlink ref="D151" r:id="rId442"/>
    <hyperlink ref="I151" r:id="rId443" display="http://www.boxofficemojo.com/schedule/?view=bydate&amp;release=theatrical&amp;date=2010-10-08&amp;p=.htm"/>
    <hyperlink ref="C152" r:id="rId444"/>
    <hyperlink ref="D152" r:id="rId445"/>
    <hyperlink ref="I152" r:id="rId446" display="http://www.boxofficemojo.com/schedule/?view=bydate&amp;release=theatrical&amp;date=2010-05-28&amp;p=.htm"/>
    <hyperlink ref="C153" r:id="rId447"/>
    <hyperlink ref="D153" r:id="rId448"/>
    <hyperlink ref="I153" r:id="rId449" display="http://www.boxofficemojo.com/schedule/?view=bydate&amp;release=theatrical&amp;date=2010-12-03&amp;p=.htm"/>
    <hyperlink ref="C154" r:id="rId450"/>
    <hyperlink ref="D154" r:id="rId451"/>
    <hyperlink ref="I154" r:id="rId452" display="http://www.boxofficemojo.com/schedule/?view=bydate&amp;release=theatrical&amp;date=2010-10-29&amp;p=.htm"/>
    <hyperlink ref="C155" r:id="rId453"/>
    <hyperlink ref="D155" r:id="rId454"/>
    <hyperlink ref="I155" r:id="rId455" display="http://www.boxofficemojo.com/schedule/?view=bydate&amp;release=theatrical&amp;date=2010-06-18&amp;p=.htm"/>
    <hyperlink ref="C156" r:id="rId456"/>
    <hyperlink ref="D156" r:id="rId457"/>
    <hyperlink ref="I156" r:id="rId458" display="http://www.boxofficemojo.com/schedule/?view=bydate&amp;release=theatrical&amp;date=2010-08-20&amp;p=.htm"/>
    <hyperlink ref="C157" r:id="rId459"/>
    <hyperlink ref="D157" r:id="rId460"/>
    <hyperlink ref="I157" r:id="rId461" display="http://www.boxofficemojo.com/schedule/?view=bydate&amp;release=theatrical&amp;date=2010-05-21&amp;p=.htm"/>
    <hyperlink ref="C158" r:id="rId462"/>
    <hyperlink ref="D158" r:id="rId463"/>
    <hyperlink ref="I158" r:id="rId464" display="http://www.boxofficemojo.com/schedule/?view=bydate&amp;release=theatrical&amp;date=2010-10-08&amp;p=.htm"/>
    <hyperlink ref="C159" r:id="rId465"/>
    <hyperlink ref="D159" r:id="rId466"/>
    <hyperlink ref="I159" r:id="rId467" display="http://www.boxofficemojo.com/schedule/?view=bydate&amp;release=theatrical&amp;date=2010-03-19&amp;p=.htm"/>
    <hyperlink ref="C160" r:id="rId468"/>
    <hyperlink ref="D160" r:id="rId469"/>
    <hyperlink ref="I160" r:id="rId470" display="http://www.boxofficemojo.com/schedule/?view=bydate&amp;release=theatrical&amp;date=2010-04-30&amp;p=.htm"/>
    <hyperlink ref="C161" r:id="rId471"/>
    <hyperlink ref="D161" r:id="rId472"/>
    <hyperlink ref="I161" r:id="rId473" display="http://www.boxofficemojo.com/schedule/?view=bydate&amp;release=theatrical&amp;date=2010-02-12&amp;p=.htm"/>
    <hyperlink ref="C162" r:id="rId474"/>
    <hyperlink ref="D162" r:id="rId475"/>
    <hyperlink ref="I162" r:id="rId476" display="http://www.boxofficemojo.com/schedule/?view=bydate&amp;release=theatrical&amp;date=2010-01-22&amp;p=.htm"/>
    <hyperlink ref="C163" r:id="rId477"/>
    <hyperlink ref="D163" r:id="rId478"/>
    <hyperlink ref="I163" r:id="rId479" display="http://www.boxofficemojo.com/schedule/?view=bydate&amp;release=theatrical&amp;date=2010-03-19&amp;p=.htm"/>
    <hyperlink ref="C164" r:id="rId480"/>
    <hyperlink ref="D164" r:id="rId481"/>
    <hyperlink ref="I164" r:id="rId482" display="http://www.boxofficemojo.com/schedule/?view=bydate&amp;release=theatrical&amp;date=2010-04-16&amp;p=.htm"/>
    <hyperlink ref="C165" r:id="rId483"/>
    <hyperlink ref="D165" r:id="rId484"/>
    <hyperlink ref="I165" r:id="rId485" display="http://www.boxofficemojo.com/schedule/?view=bydate&amp;release=theatrical&amp;date=2010-09-22&amp;p=.htm"/>
    <hyperlink ref="C166" r:id="rId486"/>
    <hyperlink ref="D166" r:id="rId487"/>
    <hyperlink ref="I166" r:id="rId488" display="http://www.boxofficemojo.com/schedule/?view=bydate&amp;release=theatrical&amp;date=2010-09-17&amp;p=.htm"/>
    <hyperlink ref="C167" r:id="rId489"/>
    <hyperlink ref="D167" r:id="rId490"/>
    <hyperlink ref="I167" r:id="rId491" display="http://www.boxofficemojo.com/schedule/?view=bydate&amp;release=theatrical&amp;date=2010-12-29&amp;p=.htm"/>
    <hyperlink ref="C168" r:id="rId492"/>
    <hyperlink ref="D168" r:id="rId493"/>
    <hyperlink ref="I168" r:id="rId494" display="http://www.boxofficemojo.com/schedule/?view=bydate&amp;release=theatrical&amp;date=2010-03-26&amp;p=.htm"/>
    <hyperlink ref="C169" r:id="rId495"/>
    <hyperlink ref="D169" r:id="rId496"/>
    <hyperlink ref="I169" r:id="rId497" display="http://www.boxofficemojo.com/schedule/?view=bydate&amp;release=theatrical&amp;date=2010-06-11&amp;p=.htm"/>
    <hyperlink ref="C170" r:id="rId498"/>
    <hyperlink ref="D170" r:id="rId499"/>
    <hyperlink ref="I170" r:id="rId500" display="http://www.boxofficemojo.com/schedule/?view=bydate&amp;release=theatrical&amp;date=2010-04-09&amp;p=.htm"/>
    <hyperlink ref="C171" r:id="rId501"/>
    <hyperlink ref="D171" r:id="rId502"/>
    <hyperlink ref="I171" r:id="rId503" display="http://www.boxofficemojo.com/schedule/?view=bydate&amp;release=theatrical&amp;date=2010-10-15&amp;p=.htm"/>
    <hyperlink ref="C172" r:id="rId504"/>
    <hyperlink ref="D172" r:id="rId505"/>
    <hyperlink ref="I172" r:id="rId506" display="http://www.boxofficemojo.com/schedule/?view=bydate&amp;release=theatrical&amp;date=2010-09-15&amp;p=.htm"/>
    <hyperlink ref="C173" r:id="rId507"/>
    <hyperlink ref="D173" r:id="rId508"/>
    <hyperlink ref="I173" r:id="rId509" display="http://www.boxofficemojo.com/schedule/?view=bydate&amp;release=theatrical&amp;date=2010-06-29&amp;p=.htm"/>
    <hyperlink ref="C174" r:id="rId510"/>
    <hyperlink ref="D174" r:id="rId511"/>
    <hyperlink ref="I174" r:id="rId512" display="http://www.boxofficemojo.com/schedule/?view=bydate&amp;release=theatrical&amp;date=2010-12-25&amp;p=.htm"/>
    <hyperlink ref="C175" r:id="rId513"/>
    <hyperlink ref="D175" r:id="rId514"/>
    <hyperlink ref="I175" r:id="rId515" display="http://www.boxofficemojo.com/schedule/?view=bydate&amp;release=theatrical&amp;date=2010-12-17&amp;p=.htm"/>
    <hyperlink ref="C176" r:id="rId516"/>
    <hyperlink ref="D176" r:id="rId517"/>
    <hyperlink ref="I176" r:id="rId518" display="http://www.boxofficemojo.com/schedule/?view=bydate&amp;release=theatrical&amp;date=2010-02-26&amp;p=.htm"/>
    <hyperlink ref="C177" r:id="rId519"/>
    <hyperlink ref="D177" r:id="rId520"/>
    <hyperlink ref="I177" r:id="rId521" display="http://www.boxofficemojo.com/schedule/?view=bydate&amp;release=theatrical&amp;date=2010-12-03&amp;p=.htm"/>
    <hyperlink ref="C178" r:id="rId522"/>
    <hyperlink ref="D178" r:id="rId523"/>
    <hyperlink ref="I178" r:id="rId524" display="http://www.boxofficemojo.com/schedule/?view=bydate&amp;release=theatrical&amp;date=2010-04-30&amp;p=.htm"/>
    <hyperlink ref="C179" r:id="rId525"/>
    <hyperlink ref="D179" r:id="rId526"/>
    <hyperlink ref="I179" r:id="rId527" display="http://www.boxofficemojo.com/schedule/?view=bydate&amp;release=theatrical&amp;date=2010-10-08&amp;p=.htm"/>
    <hyperlink ref="C180" r:id="rId528"/>
    <hyperlink ref="D180" r:id="rId529"/>
    <hyperlink ref="I180" r:id="rId530" display="http://www.boxofficemojo.com/schedule/?view=bydate&amp;release=theatrical&amp;date=2010-12-22&amp;p=.htm"/>
    <hyperlink ref="C181" r:id="rId531"/>
    <hyperlink ref="D181" r:id="rId532"/>
    <hyperlink ref="I181" r:id="rId533" display="http://www.boxofficemojo.com/schedule/?view=bydate&amp;release=theatrical&amp;date=2010-08-06&amp;p=.htm"/>
    <hyperlink ref="C182" r:id="rId534"/>
    <hyperlink ref="D182" r:id="rId535"/>
    <hyperlink ref="I182" r:id="rId536" display="http://www.boxofficemojo.com/schedule/?view=bydate&amp;release=theatrical&amp;date=2010-05-21&amp;p=.htm"/>
    <hyperlink ref="C183" r:id="rId537"/>
    <hyperlink ref="D183" r:id="rId538"/>
    <hyperlink ref="I183" r:id="rId539" display="http://www.boxofficemojo.com/schedule/?view=bydate&amp;release=theatrical&amp;date=2010-06-11&amp;p=.htm"/>
    <hyperlink ref="C184" r:id="rId540"/>
    <hyperlink ref="D184" r:id="rId541"/>
    <hyperlink ref="I184" r:id="rId542" display="http://www.boxofficemojo.com/schedule/?view=bydate&amp;release=theatrical&amp;date=2010-08-06&amp;p=.htm"/>
    <hyperlink ref="C185" r:id="rId543"/>
    <hyperlink ref="D185" r:id="rId544"/>
    <hyperlink ref="I185" r:id="rId545" display="http://www.boxofficemojo.com/schedule/?view=bydate&amp;release=theatrical&amp;date=2010-06-04&amp;p=.htm"/>
    <hyperlink ref="C186" r:id="rId546"/>
    <hyperlink ref="D186" r:id="rId547"/>
    <hyperlink ref="I186" r:id="rId548" display="http://www.boxofficemojo.com/schedule/?view=bydate&amp;release=theatrical&amp;date=2010-04-16&amp;p=.htm"/>
    <hyperlink ref="C187" r:id="rId549"/>
    <hyperlink ref="D187" r:id="rId550"/>
    <hyperlink ref="I187" r:id="rId551" display="http://www.boxofficemojo.com/schedule/?view=bydate&amp;release=theatrical&amp;date=2010-10-08&amp;p=.htm"/>
    <hyperlink ref="C188" r:id="rId552"/>
    <hyperlink ref="D188" r:id="rId553"/>
    <hyperlink ref="I188" r:id="rId554" display="http://www.boxofficemojo.com/schedule/?view=bydate&amp;release=theatrical&amp;date=2010-06-25&amp;p=.htm"/>
    <hyperlink ref="C189" r:id="rId555"/>
    <hyperlink ref="D189" r:id="rId556"/>
    <hyperlink ref="I189" r:id="rId557" display="http://www.boxofficemojo.com/schedule/?view=bydate&amp;release=theatrical&amp;date=2010-09-10&amp;p=.htm"/>
    <hyperlink ref="C190" r:id="rId558"/>
    <hyperlink ref="D190" r:id="rId559"/>
    <hyperlink ref="I190" r:id="rId560" display="http://www.boxofficemojo.com/schedule/?view=bydate&amp;release=theatrical&amp;date=2010-05-28&amp;p=.htm"/>
    <hyperlink ref="C191" r:id="rId561"/>
    <hyperlink ref="D191" r:id="rId562"/>
    <hyperlink ref="I191" r:id="rId563" display="http://www.boxofficemojo.com/schedule/?view=bydate&amp;release=theatrical&amp;date=2010-04-30&amp;p=.htm"/>
    <hyperlink ref="C192" r:id="rId564"/>
    <hyperlink ref="D192" r:id="rId565"/>
    <hyperlink ref="I192" r:id="rId566" display="http://www.boxofficemojo.com/schedule/?view=bydate&amp;release=theatrical&amp;date=2010-11-05&amp;p=.htm"/>
    <hyperlink ref="C193" r:id="rId567"/>
    <hyperlink ref="D193" r:id="rId568"/>
    <hyperlink ref="I193" r:id="rId569" display="http://www.boxofficemojo.com/schedule/?view=bydate&amp;release=theatrical&amp;date=2010-05-07&amp;p=.htm"/>
    <hyperlink ref="C194" r:id="rId570"/>
    <hyperlink ref="D194" r:id="rId571"/>
    <hyperlink ref="I194" r:id="rId572" display="http://www.boxofficemojo.com/schedule/?view=bydate&amp;release=theatrical&amp;date=2010-11-19&amp;p=.htm"/>
    <hyperlink ref="C195" r:id="rId573"/>
    <hyperlink ref="D195" r:id="rId574"/>
    <hyperlink ref="I195" r:id="rId575" display="http://www.boxofficemojo.com/schedule/?view=bydate&amp;release=theatrical&amp;date=2010-12-22&amp;p=.htm"/>
    <hyperlink ref="C196" r:id="rId576"/>
    <hyperlink ref="D196" r:id="rId577"/>
    <hyperlink ref="I196" r:id="rId578" display="http://www.boxofficemojo.com/schedule/?view=bydate&amp;release=theatrical&amp;date=2010-04-09&amp;p=.htm"/>
    <hyperlink ref="C197" r:id="rId579"/>
    <hyperlink ref="D197" r:id="rId580"/>
    <hyperlink ref="I197" r:id="rId581" display="http://www.boxofficemojo.com/schedule/?view=bydate&amp;release=theatrical&amp;date=2010-09-24&amp;p=.htm"/>
    <hyperlink ref="C198" r:id="rId582"/>
    <hyperlink ref="D198" r:id="rId583"/>
    <hyperlink ref="I198" r:id="rId584" display="http://www.boxofficemojo.com/schedule/?view=bydate&amp;release=theatrical&amp;date=2010-08-13&amp;p=.htm"/>
    <hyperlink ref="C199" r:id="rId585"/>
    <hyperlink ref="D199" r:id="rId586"/>
    <hyperlink ref="I199" r:id="rId587" display="http://www.boxofficemojo.com/schedule/?view=bydate&amp;release=theatrical&amp;date=2010-12-17&amp;p=.htm"/>
    <hyperlink ref="C200" r:id="rId588"/>
    <hyperlink ref="D200" r:id="rId589"/>
    <hyperlink ref="I200" r:id="rId590" display="http://www.boxofficemojo.com/schedule/?view=bydate&amp;release=theatrical&amp;date=2010-04-16&amp;p=.htm"/>
    <hyperlink ref="C201" r:id="rId591"/>
    <hyperlink ref="D201" r:id="rId592"/>
    <hyperlink ref="I201" r:id="rId593" display="http://www.boxofficemojo.com/schedule/?view=bydate&amp;release=theatrical&amp;date=2010-02-19&amp;p=.htm"/>
    <hyperlink ref="C202" r:id="rId594"/>
    <hyperlink ref="D202" r:id="rId595"/>
    <hyperlink ref="I202" r:id="rId596" display="http://www.boxofficemojo.com/schedule/?view=bydate&amp;release=theatrical&amp;date=2010-11-19&amp;p=.htm"/>
    <hyperlink ref="C203" r:id="rId597"/>
    <hyperlink ref="D203" r:id="rId598"/>
    <hyperlink ref="I203" r:id="rId599" display="http://www.boxofficemojo.com/schedule/?view=bydate&amp;release=theatrical&amp;date=2010-08-27&amp;p=.htm"/>
    <hyperlink ref="C204" r:id="rId600"/>
    <hyperlink ref="D204" r:id="rId601"/>
    <hyperlink ref="I204" r:id="rId602" display="http://www.boxofficemojo.com/schedule/?view=bydate&amp;release=theatrical&amp;date=2010-08-06&amp;p=.htm"/>
    <hyperlink ref="C205" r:id="rId603"/>
    <hyperlink ref="D205" r:id="rId604"/>
    <hyperlink ref="I205" r:id="rId605" display="http://www.boxofficemojo.com/schedule/?view=bydate&amp;release=theatrical&amp;date=2010-05-14&amp;p=.htm"/>
    <hyperlink ref="C206" r:id="rId606"/>
    <hyperlink ref="D206" r:id="rId607"/>
    <hyperlink ref="I206" r:id="rId608" display="http://www.boxofficemojo.com/schedule/?view=bydate&amp;release=theatrical&amp;date=2010-10-01&amp;p=.htm"/>
    <hyperlink ref="C207" r:id="rId609"/>
    <hyperlink ref="D207" r:id="rId610"/>
    <hyperlink ref="I207" r:id="rId611" display="http://www.boxofficemojo.com/schedule/?view=bydate&amp;release=theatrical&amp;date=2010-06-30&amp;p=.htm"/>
    <hyperlink ref="C208" r:id="rId612"/>
    <hyperlink ref="D208" r:id="rId613"/>
    <hyperlink ref="I208" r:id="rId614" display="http://www.boxofficemojo.com/schedule/?view=bydate&amp;release=theatrical&amp;date=2010-08-20&amp;p=.htm"/>
    <hyperlink ref="C209" r:id="rId615"/>
    <hyperlink ref="D209" r:id="rId616"/>
    <hyperlink ref="I209" r:id="rId617" display="http://www.boxofficemojo.com/schedule/?view=bydate&amp;release=theatrical&amp;date=2010-08-20&amp;p=.htm"/>
    <hyperlink ref="C210" r:id="rId618"/>
    <hyperlink ref="D210" r:id="rId619"/>
    <hyperlink ref="I210" r:id="rId620" display="http://www.boxofficemojo.com/schedule/?view=bydate&amp;release=theatrical&amp;date=2010-08-13&amp;p=.htm"/>
    <hyperlink ref="C211" r:id="rId621"/>
    <hyperlink ref="D211" r:id="rId622"/>
    <hyperlink ref="I211" r:id="rId623" display="http://www.boxofficemojo.com/schedule/?view=bydate&amp;release=theatrical&amp;date=2010-08-06&amp;p=.htm"/>
    <hyperlink ref="C212" r:id="rId624"/>
    <hyperlink ref="D212" r:id="rId625"/>
    <hyperlink ref="I212" r:id="rId626" display="http://www.boxofficemojo.com/schedule/?view=bydate&amp;release=theatrical&amp;date=2010-01-29&amp;p=.htm"/>
    <hyperlink ref="C213" r:id="rId627"/>
    <hyperlink ref="D213" r:id="rId628"/>
    <hyperlink ref="I213" r:id="rId629" display="http://www.boxofficemojo.com/schedule/?view=bydate&amp;release=theatrical&amp;date=2010-06-18&amp;p=.htm"/>
    <hyperlink ref="C214" r:id="rId630"/>
    <hyperlink ref="D214" r:id="rId631"/>
    <hyperlink ref="I214" r:id="rId632" display="http://www.boxofficemojo.com/schedule/?view=bydate&amp;release=theatrical&amp;date=2010-03-05&amp;p=.htm"/>
    <hyperlink ref="C215" r:id="rId633"/>
    <hyperlink ref="D215" r:id="rId634"/>
    <hyperlink ref="I215" r:id="rId635" display="http://www.boxofficemojo.com/schedule/?view=bydate&amp;release=theatrical&amp;date=2010-03-17&amp;p=.htm"/>
    <hyperlink ref="C216" r:id="rId636"/>
    <hyperlink ref="D216" r:id="rId637"/>
    <hyperlink ref="I216" r:id="rId638" display="http://www.boxofficemojo.com/schedule/?view=bydate&amp;release=theatrical&amp;date=2010-12-03&amp;p=.htm"/>
    <hyperlink ref="C217" r:id="rId639"/>
    <hyperlink ref="D217" r:id="rId640"/>
    <hyperlink ref="I217" r:id="rId641" display="http://www.boxofficemojo.com/schedule/?view=bydate&amp;release=theatrical&amp;date=2010-07-30&amp;p=.htm"/>
    <hyperlink ref="C218" r:id="rId642"/>
    <hyperlink ref="D218" r:id="rId643"/>
    <hyperlink ref="I218" r:id="rId644" display="http://www.boxofficemojo.com/schedule/?view=bydate&amp;release=theatrical&amp;date=2010-09-03&amp;p=.htm"/>
    <hyperlink ref="C219" r:id="rId645"/>
    <hyperlink ref="D219" r:id="rId646"/>
    <hyperlink ref="I219" r:id="rId647" display="http://www.boxofficemojo.com/schedule/?view=bydate&amp;release=theatrical&amp;date=2010-09-24&amp;p=.htm"/>
    <hyperlink ref="C220" r:id="rId648"/>
    <hyperlink ref="D220" r:id="rId649"/>
    <hyperlink ref="I220" r:id="rId650" display="http://www.boxofficemojo.com/schedule/?view=bydate&amp;release=theatrical&amp;date=2010-02-03&amp;p=.htm"/>
    <hyperlink ref="C221" r:id="rId651"/>
    <hyperlink ref="D221" r:id="rId652"/>
    <hyperlink ref="I221" r:id="rId653" display="http://www.boxofficemojo.com/schedule/?view=bydate&amp;release=theatrical&amp;date=2010-05-28&amp;p=.htm"/>
    <hyperlink ref="C222" r:id="rId654"/>
    <hyperlink ref="D222" r:id="rId655"/>
    <hyperlink ref="I222" r:id="rId656" display="http://www.boxofficemojo.com/schedule/?view=bydate&amp;release=theatrical&amp;date=2010-03-19&amp;p=.htm"/>
    <hyperlink ref="C223" r:id="rId657"/>
    <hyperlink ref="D223" r:id="rId658"/>
    <hyperlink ref="I223" r:id="rId659" display="http://www.boxofficemojo.com/schedule/?view=bydate&amp;release=theatrical&amp;date=2010-09-24&amp;p=.htm"/>
    <hyperlink ref="C224" r:id="rId660"/>
    <hyperlink ref="D224" r:id="rId661"/>
    <hyperlink ref="I224" r:id="rId662" display="http://www.boxofficemojo.com/schedule/?view=bydate&amp;release=theatrical&amp;date=2010-07-29&amp;p=.htm"/>
    <hyperlink ref="C225" r:id="rId663"/>
    <hyperlink ref="D225" r:id="rId664"/>
    <hyperlink ref="I225" r:id="rId665" display="http://www.boxofficemojo.com/schedule/?view=bydate&amp;release=theatrical&amp;date=2010-12-03&amp;p=.htm"/>
    <hyperlink ref="C226" r:id="rId666"/>
    <hyperlink ref="D226" r:id="rId667"/>
    <hyperlink ref="I226" r:id="rId668" display="http://www.boxofficemojo.com/schedule/?view=bydate&amp;release=theatrical&amp;date=2010-10-08&amp;p=.htm"/>
    <hyperlink ref="C227" r:id="rId669"/>
    <hyperlink ref="D227" r:id="rId670"/>
    <hyperlink ref="I227" r:id="rId671" display="http://www.boxofficemojo.com/schedule/?view=bydate&amp;release=theatrical&amp;date=2010-08-27&amp;p=.htm"/>
    <hyperlink ref="C228" r:id="rId672"/>
    <hyperlink ref="D228" r:id="rId673"/>
    <hyperlink ref="I228" r:id="rId674" display="http://www.boxofficemojo.com/schedule/?view=bydate&amp;release=theatrical&amp;date=2010-03-12&amp;p=.htm"/>
    <hyperlink ref="C229" r:id="rId675"/>
    <hyperlink ref="D229" r:id="rId676"/>
    <hyperlink ref="I229" r:id="rId677" display="http://www.boxofficemojo.com/schedule/?view=bydate&amp;release=theatrical&amp;date=2010-06-04&amp;p=.htm"/>
    <hyperlink ref="C230" r:id="rId678"/>
    <hyperlink ref="D230" r:id="rId679"/>
    <hyperlink ref="I230" r:id="rId680" display="http://www.boxofficemojo.com/schedule/?view=bydate&amp;release=theatrical&amp;date=2010-02-26&amp;p=.htm"/>
    <hyperlink ref="C231" r:id="rId681"/>
    <hyperlink ref="D231" r:id="rId682"/>
    <hyperlink ref="I231" r:id="rId683" display="http://www.boxofficemojo.com/schedule/?view=bydate&amp;release=theatrical&amp;date=2010-09-17&amp;p=.htm"/>
    <hyperlink ref="C232" r:id="rId684"/>
    <hyperlink ref="D232" r:id="rId685"/>
    <hyperlink ref="I232" r:id="rId686" display="http://www.boxofficemojo.com/schedule/?view=bydate&amp;release=theatrical&amp;date=2010-07-23&amp;p=.htm"/>
    <hyperlink ref="C233" r:id="rId687"/>
    <hyperlink ref="D233" r:id="rId688"/>
    <hyperlink ref="I233" r:id="rId689" display="http://www.boxofficemojo.com/schedule/?view=bydate&amp;release=theatrical&amp;date=2010-07-16&amp;p=.htm"/>
    <hyperlink ref="C234" r:id="rId690"/>
    <hyperlink ref="D234" r:id="rId691"/>
    <hyperlink ref="I234" r:id="rId692" display="http://www.boxofficemojo.com/schedule/?view=bydate&amp;release=theatrical&amp;date=2010-05-28&amp;p=.htm"/>
    <hyperlink ref="C235" r:id="rId693"/>
    <hyperlink ref="D235" r:id="rId694"/>
    <hyperlink ref="I235" r:id="rId695" display="http://www.boxofficemojo.com/schedule/?view=bydate&amp;release=theatrical&amp;date=2010-05-07&amp;p=.htm"/>
    <hyperlink ref="C236" r:id="rId696"/>
    <hyperlink ref="D236" r:id="rId697"/>
    <hyperlink ref="I236" r:id="rId698" display="http://www.boxofficemojo.com/schedule/?view=bydate&amp;release=theatrical&amp;date=2010-10-01&amp;p=.htm"/>
    <hyperlink ref="C237" r:id="rId699"/>
    <hyperlink ref="D237" r:id="rId700"/>
    <hyperlink ref="I237" r:id="rId701" display="http://www.boxofficemojo.com/schedule/?view=bydate&amp;release=theatrical&amp;date=2010-01-22&amp;p=.htm"/>
    <hyperlink ref="C238" r:id="rId702"/>
    <hyperlink ref="D238" r:id="rId703"/>
    <hyperlink ref="I238" r:id="rId704" display="http://www.boxofficemojo.com/schedule/?view=bydate&amp;release=theatrical&amp;date=2010-01-29&amp;p=.htm"/>
    <hyperlink ref="C239" r:id="rId705"/>
    <hyperlink ref="D239" r:id="rId706"/>
    <hyperlink ref="I239" r:id="rId707" display="http://www.boxofficemojo.com/schedule/?view=bydate&amp;release=theatrical&amp;date=2010-09-10&amp;p=.htm"/>
    <hyperlink ref="C240" r:id="rId708"/>
    <hyperlink ref="D240" r:id="rId709"/>
    <hyperlink ref="I240" r:id="rId710" display="http://www.boxofficemojo.com/schedule/?view=bydate&amp;release=theatrical&amp;date=2010-04-16&amp;p=.htm"/>
    <hyperlink ref="C241" r:id="rId711"/>
    <hyperlink ref="D241" r:id="rId712"/>
    <hyperlink ref="I241" r:id="rId713" display="http://www.boxofficemojo.com/schedule/?view=bydate&amp;release=theatrical&amp;date=2010-01-29&amp;p=.htm"/>
    <hyperlink ref="C242" r:id="rId714"/>
    <hyperlink ref="D242" r:id="rId715"/>
    <hyperlink ref="I242" r:id="rId716" display="http://www.boxofficemojo.com/schedule/?view=bydate&amp;release=theatrical&amp;date=2010-07-30&amp;p=.htm"/>
    <hyperlink ref="C243" r:id="rId717"/>
    <hyperlink ref="D243" r:id="rId718"/>
    <hyperlink ref="I243" r:id="rId719" display="http://www.boxofficemojo.com/schedule/?view=bydate&amp;release=theatrical&amp;date=2010-10-13&amp;p=.htm"/>
    <hyperlink ref="C244" r:id="rId720"/>
    <hyperlink ref="D244" r:id="rId721"/>
    <hyperlink ref="I244" r:id="rId722" display="http://www.boxofficemojo.com/schedule/?view=bydate&amp;release=theatrical&amp;date=2010-10-15&amp;p=.htm"/>
    <hyperlink ref="C245" r:id="rId723"/>
    <hyperlink ref="D245" r:id="rId724"/>
    <hyperlink ref="I245" r:id="rId725" display="http://www.boxofficemojo.com/schedule/?view=bydate&amp;release=theatrical&amp;date=2010-11-24&amp;p=.htm"/>
    <hyperlink ref="C246" r:id="rId726"/>
    <hyperlink ref="D246" r:id="rId727"/>
    <hyperlink ref="I246" r:id="rId728" display="http://www.boxofficemojo.com/schedule/?view=bydate&amp;release=theatrical&amp;date=2010-12-24&amp;p=.htm"/>
    <hyperlink ref="C247" r:id="rId729"/>
    <hyperlink ref="D247" r:id="rId730"/>
    <hyperlink ref="I247" r:id="rId731" display="http://www.boxofficemojo.com/schedule/?view=bydate&amp;release=theatrical&amp;date=2010-09-10&amp;p=.htm"/>
    <hyperlink ref="C248" r:id="rId732"/>
    <hyperlink ref="D248" r:id="rId733"/>
    <hyperlink ref="I248" r:id="rId734" display="http://www.boxofficemojo.com/schedule/?view=bydate&amp;release=theatrical&amp;date=2010-04-09&amp;p=.htm"/>
    <hyperlink ref="C249" r:id="rId735"/>
    <hyperlink ref="D249" r:id="rId736"/>
    <hyperlink ref="I249" r:id="rId737" display="http://www.boxofficemojo.com/schedule/?view=bydate&amp;release=theatrical&amp;date=2010-06-25&amp;p=.htm"/>
    <hyperlink ref="C250" r:id="rId738"/>
    <hyperlink ref="D250" r:id="rId739"/>
    <hyperlink ref="I250" r:id="rId740" display="http://www.boxofficemojo.com/schedule/?view=bydate&amp;release=theatrical&amp;date=2010-11-12&amp;p=.htm"/>
    <hyperlink ref="C251" r:id="rId741"/>
    <hyperlink ref="D251" r:id="rId742"/>
    <hyperlink ref="I251" r:id="rId743" display="http://www.boxofficemojo.com/schedule/?view=bydate&amp;release=theatrical&amp;date=2010-01-15&amp;p=.htm"/>
    <hyperlink ref="C252" r:id="rId744"/>
    <hyperlink ref="D252" r:id="rId745"/>
    <hyperlink ref="I252" r:id="rId746" display="http://www.boxofficemojo.com/schedule/?view=bydate&amp;release=theatrical&amp;date=2010-08-06&amp;p=.htm"/>
    <hyperlink ref="C253" r:id="rId747"/>
    <hyperlink ref="D253" r:id="rId748"/>
    <hyperlink ref="I253" r:id="rId749" display="http://www.boxofficemojo.com/schedule/?view=bydate&amp;release=theatrical&amp;date=2010-07-08&amp;p=.htm"/>
    <hyperlink ref="C254" r:id="rId750"/>
    <hyperlink ref="D254" r:id="rId751"/>
    <hyperlink ref="I254" r:id="rId752" display="http://www.boxofficemojo.com/schedule/?view=bydate&amp;release=theatrical&amp;date=2010-05-28&amp;p=.htm"/>
    <hyperlink ref="C255" r:id="rId753"/>
    <hyperlink ref="D255" r:id="rId754"/>
    <hyperlink ref="I255" r:id="rId755" display="http://www.boxofficemojo.com/schedule/?view=bydate&amp;release=theatrical&amp;date=2010-09-24&amp;p=.htm"/>
    <hyperlink ref="C256" r:id="rId756"/>
    <hyperlink ref="D256" r:id="rId757"/>
    <hyperlink ref="I256" r:id="rId758" display="http://www.boxofficemojo.com/schedule/?view=bydate&amp;release=theatrical&amp;date=2010-01-22&amp;p=.htm"/>
    <hyperlink ref="C257" r:id="rId759"/>
    <hyperlink ref="D257" r:id="rId760"/>
    <hyperlink ref="I257" r:id="rId761" display="http://www.boxofficemojo.com/schedule/?view=bydate&amp;release=theatrical&amp;date=2010-09-24&amp;p=.htm"/>
    <hyperlink ref="C258" r:id="rId762"/>
    <hyperlink ref="D258" r:id="rId763"/>
    <hyperlink ref="I258" r:id="rId764" display="http://www.boxofficemojo.com/schedule/?view=bydate&amp;release=theatrical&amp;date=2010-09-15&amp;p=.htm"/>
    <hyperlink ref="C259" r:id="rId765"/>
    <hyperlink ref="D259" r:id="rId766"/>
    <hyperlink ref="I259" r:id="rId767" display="http://www.boxofficemojo.com/schedule/?view=bydate&amp;release=theatrical&amp;date=2010-08-18&amp;p=.htm"/>
    <hyperlink ref="C260" r:id="rId768"/>
    <hyperlink ref="D260" r:id="rId769"/>
    <hyperlink ref="I260" r:id="rId770" display="http://www.boxofficemojo.com/schedule/?view=bydate&amp;release=theatrical&amp;date=2010-02-26&amp;p=.htm"/>
    <hyperlink ref="C261" r:id="rId771"/>
    <hyperlink ref="D261" r:id="rId772"/>
    <hyperlink ref="I261" r:id="rId773" display="http://www.boxofficemojo.com/schedule/?view=bydate&amp;release=theatrical&amp;date=2010-11-19&amp;p=.htm"/>
    <hyperlink ref="C262" r:id="rId774"/>
    <hyperlink ref="D262" r:id="rId775"/>
    <hyperlink ref="I262" r:id="rId776" display="http://www.boxofficemojo.com/schedule/?view=bydate&amp;release=theatrical&amp;date=2010-11-05&amp;p=.htm"/>
    <hyperlink ref="C263" r:id="rId777"/>
    <hyperlink ref="D263" r:id="rId778"/>
    <hyperlink ref="I263" r:id="rId779" display="http://www.boxofficemojo.com/schedule/?view=bydate&amp;release=theatrical&amp;date=2010-11-19&amp;p=.htm"/>
    <hyperlink ref="C264" r:id="rId780"/>
    <hyperlink ref="D264" r:id="rId781"/>
    <hyperlink ref="I264" r:id="rId782" display="http://www.boxofficemojo.com/schedule/?view=bydate&amp;release=theatrical&amp;date=2010-05-21&amp;p=.htm"/>
    <hyperlink ref="C265" r:id="rId783"/>
    <hyperlink ref="D265" r:id="rId784"/>
    <hyperlink ref="I265" r:id="rId785" display="http://www.boxofficemojo.com/schedule/?view=bydate&amp;release=theatrical&amp;date=2010-09-03&amp;p=.htm"/>
    <hyperlink ref="C266" r:id="rId786"/>
    <hyperlink ref="D266" r:id="rId787"/>
    <hyperlink ref="I266" r:id="rId788" display="http://www.boxofficemojo.com/schedule/?view=bydate&amp;release=theatrical&amp;date=2010-02-26&amp;p=.htm"/>
    <hyperlink ref="C267" r:id="rId789"/>
    <hyperlink ref="D267" r:id="rId790"/>
    <hyperlink ref="I267" r:id="rId791" display="http://www.boxofficemojo.com/schedule/?view=bydate&amp;release=theatrical&amp;date=2010-12-10&amp;p=.htm"/>
    <hyperlink ref="C268" r:id="rId792"/>
    <hyperlink ref="D268" r:id="rId793"/>
    <hyperlink ref="I268" r:id="rId794" display="http://www.boxofficemojo.com/schedule/?view=bydate&amp;release=theatrical&amp;date=2010-07-23&amp;p=.htm"/>
    <hyperlink ref="C269" r:id="rId795"/>
    <hyperlink ref="D269" r:id="rId796"/>
    <hyperlink ref="I269" r:id="rId797" display="http://www.boxofficemojo.com/schedule/?view=bydate&amp;release=theatrical&amp;date=2010-12-10&amp;p=.htm"/>
    <hyperlink ref="C270" r:id="rId798"/>
    <hyperlink ref="D270" r:id="rId799"/>
    <hyperlink ref="I270" r:id="rId800" display="http://www.boxofficemojo.com/schedule/?view=bydate&amp;release=theatrical&amp;date=2010-08-20&amp;p=.htm"/>
    <hyperlink ref="C271" r:id="rId801"/>
    <hyperlink ref="D271" r:id="rId802"/>
    <hyperlink ref="I271" r:id="rId803" display="http://www.boxofficemojo.com/schedule/?view=bydate&amp;release=theatrical&amp;date=2010-09-03&amp;p=.htm"/>
    <hyperlink ref="C272" r:id="rId804"/>
    <hyperlink ref="D272" r:id="rId805"/>
    <hyperlink ref="I272" r:id="rId806" display="http://www.boxofficemojo.com/schedule/?view=bydate&amp;release=theatrical&amp;date=2010-07-23&amp;p=.htm"/>
    <hyperlink ref="C273" r:id="rId807"/>
    <hyperlink ref="D273" r:id="rId808"/>
    <hyperlink ref="I273" r:id="rId809" display="http://www.boxofficemojo.com/schedule/?view=bydate&amp;release=theatrical&amp;date=2010-07-21&amp;p=.htm"/>
    <hyperlink ref="C274" r:id="rId810"/>
    <hyperlink ref="D274" r:id="rId811"/>
    <hyperlink ref="I274" r:id="rId812" display="http://www.boxofficemojo.com/schedule/?view=bydate&amp;release=theatrical&amp;date=2010-09-01&amp;p=.htm"/>
    <hyperlink ref="C275" r:id="rId813"/>
    <hyperlink ref="D275" r:id="rId814"/>
    <hyperlink ref="I275" r:id="rId815" display="http://www.boxofficemojo.com/schedule/?view=bydate&amp;release=theatrical&amp;date=2010-02-05&amp;p=.htm"/>
    <hyperlink ref="C276" r:id="rId816"/>
    <hyperlink ref="D276" r:id="rId817"/>
    <hyperlink ref="I276" r:id="rId818" display="http://www.boxofficemojo.com/schedule/?view=bydate&amp;release=theatrical&amp;date=2010-04-09&amp;p=.htm"/>
    <hyperlink ref="C277" r:id="rId819"/>
    <hyperlink ref="D277" r:id="rId820"/>
    <hyperlink ref="I277" r:id="rId821" display="http://www.boxofficemojo.com/schedule/?view=bydate&amp;release=theatrical&amp;date=2010-10-29&amp;p=.htm"/>
    <hyperlink ref="C278" r:id="rId822"/>
    <hyperlink ref="D278" r:id="rId823"/>
    <hyperlink ref="I278" r:id="rId824" display="http://www.boxofficemojo.com/schedule/?view=bydate&amp;release=theatrical&amp;date=2010-12-03&amp;p=.htm"/>
    <hyperlink ref="C279" r:id="rId825"/>
    <hyperlink ref="D279" r:id="rId826"/>
    <hyperlink ref="I279" r:id="rId827" display="http://www.boxofficemojo.com/schedule/?view=bydate&amp;release=theatrical&amp;date=2010-09-30&amp;p=.htm"/>
    <hyperlink ref="C280" r:id="rId828"/>
    <hyperlink ref="D280" r:id="rId829"/>
    <hyperlink ref="I280" r:id="rId830" display="http://www.boxofficemojo.com/schedule/?view=bydate&amp;release=theatrical&amp;date=2010-02-26&amp;p=.htm"/>
    <hyperlink ref="C281" r:id="rId831"/>
    <hyperlink ref="D281" r:id="rId832"/>
    <hyperlink ref="I281" r:id="rId833" display="http://www.boxofficemojo.com/schedule/?view=bydate&amp;release=theatrical&amp;date=2010-04-09&amp;p=.htm"/>
    <hyperlink ref="C282" r:id="rId834"/>
    <hyperlink ref="D282" r:id="rId835"/>
    <hyperlink ref="I282" r:id="rId836" display="http://www.boxofficemojo.com/schedule/?view=bydate&amp;release=theatrical&amp;date=2010-06-18&amp;p=.htm"/>
    <hyperlink ref="C283" r:id="rId837"/>
    <hyperlink ref="D283" r:id="rId838"/>
    <hyperlink ref="I283" r:id="rId839" display="http://www.boxofficemojo.com/schedule/?view=bydate&amp;release=theatrical&amp;date=2010-08-13&amp;p=.htm"/>
    <hyperlink ref="C284" r:id="rId840"/>
    <hyperlink ref="D284" r:id="rId841"/>
    <hyperlink ref="I284" r:id="rId842" display="http://www.boxofficemojo.com/schedule/?view=bydate&amp;release=theatrical&amp;date=2010-01-22&amp;p=.htm"/>
    <hyperlink ref="C285" r:id="rId843"/>
    <hyperlink ref="D285" r:id="rId844"/>
    <hyperlink ref="I285" r:id="rId845" display="http://www.boxofficemojo.com/schedule/?view=bydate&amp;release=theatrical&amp;date=2010-01-06&amp;p=.htm"/>
    <hyperlink ref="C286" r:id="rId846"/>
    <hyperlink ref="D286" r:id="rId847"/>
    <hyperlink ref="I286" r:id="rId848" display="http://www.boxofficemojo.com/schedule/?view=bydate&amp;release=theatrical&amp;date=2010-09-10&amp;p=.htm"/>
    <hyperlink ref="C287" r:id="rId849"/>
    <hyperlink ref="D287" r:id="rId850"/>
    <hyperlink ref="I287" r:id="rId851" display="http://www.boxofficemojo.com/schedule/?view=bydate&amp;release=theatrical&amp;date=2010-06-25&amp;p=.htm"/>
    <hyperlink ref="C288" r:id="rId852"/>
    <hyperlink ref="D288" r:id="rId853"/>
    <hyperlink ref="I288" r:id="rId854" display="http://www.boxofficemojo.com/schedule/?view=bydate&amp;release=theatrical&amp;date=2010-11-24&amp;p=.htm"/>
    <hyperlink ref="C289" r:id="rId855"/>
    <hyperlink ref="D289" r:id="rId856"/>
    <hyperlink ref="I289" r:id="rId857" display="http://www.boxofficemojo.com/schedule/?view=bydate&amp;release=theatrical&amp;date=2010-09-03&amp;p=.htm"/>
    <hyperlink ref="C290" r:id="rId858"/>
    <hyperlink ref="D290" r:id="rId859"/>
    <hyperlink ref="I290" r:id="rId860" display="http://www.boxofficemojo.com/schedule/?view=bydate&amp;release=theatrical&amp;date=2010-11-05&amp;p=.htm"/>
    <hyperlink ref="C291" r:id="rId861"/>
    <hyperlink ref="D291" r:id="rId862"/>
    <hyperlink ref="I291" r:id="rId863" display="http://www.boxofficemojo.com/schedule/?view=bydate&amp;release=theatrical&amp;date=2010-08-27&amp;p=.htm"/>
    <hyperlink ref="C292" r:id="rId864"/>
    <hyperlink ref="D292" r:id="rId865"/>
    <hyperlink ref="I292" r:id="rId866" display="http://www.boxofficemojo.com/schedule/?view=bydate&amp;release=theatrical&amp;date=2010-10-29&amp;p=.htm"/>
    <hyperlink ref="C293" r:id="rId867"/>
    <hyperlink ref="D293" r:id="rId868"/>
    <hyperlink ref="I293" r:id="rId869" display="http://www.boxofficemojo.com/schedule/?view=bydate&amp;release=theatrical&amp;date=2010-08-06&amp;p=.htm"/>
    <hyperlink ref="C294" r:id="rId870"/>
    <hyperlink ref="D294" r:id="rId871"/>
    <hyperlink ref="I294" r:id="rId872" display="http://www.boxofficemojo.com/schedule/?view=bydate&amp;release=theatrical&amp;date=2010-04-30&amp;p=.htm"/>
    <hyperlink ref="C295" r:id="rId873"/>
    <hyperlink ref="D295" r:id="rId874"/>
    <hyperlink ref="I295" r:id="rId875" display="http://www.boxofficemojo.com/schedule/?view=bydate&amp;release=theatrical&amp;date=2010-07-09&amp;p=.htm"/>
    <hyperlink ref="C296" r:id="rId876"/>
    <hyperlink ref="D296" r:id="rId877"/>
    <hyperlink ref="I296" r:id="rId878" display="http://www.boxofficemojo.com/schedule/?view=bydate&amp;release=theatrical&amp;date=2010-05-07&amp;p=.htm"/>
    <hyperlink ref="C297" r:id="rId879"/>
    <hyperlink ref="D297" r:id="rId880"/>
    <hyperlink ref="I297" r:id="rId881" display="http://www.boxofficemojo.com/schedule/?view=bydate&amp;release=theatrical&amp;date=2010-07-30&amp;p=.htm"/>
    <hyperlink ref="C298" r:id="rId882"/>
    <hyperlink ref="D298" r:id="rId883"/>
    <hyperlink ref="I298" r:id="rId884" display="http://www.boxofficemojo.com/schedule/?view=bydate&amp;release=theatrical&amp;date=2010-10-01&amp;p=.htm"/>
    <hyperlink ref="C299" r:id="rId885"/>
    <hyperlink ref="D299" r:id="rId886"/>
    <hyperlink ref="I299" r:id="rId887" display="http://www.boxofficemojo.com/schedule/?view=bydate&amp;release=theatrical&amp;date=2010-02-05&amp;p=.htm"/>
    <hyperlink ref="C300" r:id="rId888"/>
    <hyperlink ref="D300" r:id="rId889"/>
    <hyperlink ref="I300" r:id="rId890" display="http://www.boxofficemojo.com/schedule/?view=bydate&amp;release=theatrical&amp;date=2010-01-15&amp;p=.htm"/>
    <hyperlink ref="C301" r:id="rId891"/>
    <hyperlink ref="D301" r:id="rId892"/>
    <hyperlink ref="I301" r:id="rId893" display="http://www.boxofficemojo.com/schedule/?view=bydate&amp;release=theatrical&amp;date=2010-09-10&amp;p=.htm"/>
    <hyperlink ref="C302" r:id="rId894"/>
    <hyperlink ref="D302" r:id="rId895"/>
    <hyperlink ref="I302" r:id="rId896" display="http://www.boxofficemojo.com/schedule/?view=bydate&amp;release=theatrical&amp;date=2010-08-06&amp;p=.htm"/>
    <hyperlink ref="C303" r:id="rId897"/>
    <hyperlink ref="D303" r:id="rId898"/>
    <hyperlink ref="I303" r:id="rId899" display="http://www.boxofficemojo.com/schedule/?view=bydate&amp;release=theatrical&amp;date=2010-09-10&amp;p=.htm"/>
    <hyperlink ref="C304" r:id="rId900"/>
    <hyperlink ref="D304" r:id="rId901"/>
    <hyperlink ref="I304" r:id="rId902" display="http://www.boxofficemojo.com/schedule/?view=bydate&amp;release=theatrical&amp;date=2010-10-29&amp;p=.htm"/>
    <hyperlink ref="C305" r:id="rId903"/>
    <hyperlink ref="D305" r:id="rId904"/>
    <hyperlink ref="I305" r:id="rId905" display="http://www.boxofficemojo.com/schedule/?view=bydate&amp;release=theatrical&amp;date=2010-02-05&amp;p=.htm"/>
    <hyperlink ref="C306" r:id="rId906"/>
    <hyperlink ref="D306" r:id="rId907"/>
    <hyperlink ref="I306" r:id="rId908" display="http://www.boxofficemojo.com/schedule/?view=bydate&amp;release=theatrical&amp;date=2010-04-09&amp;p=.htm"/>
    <hyperlink ref="C307" r:id="rId909"/>
    <hyperlink ref="D307" r:id="rId910"/>
    <hyperlink ref="I307" r:id="rId911" display="http://www.boxofficemojo.com/schedule/?view=bydate&amp;release=theatrical&amp;date=2010-01-15&amp;p=.htm"/>
    <hyperlink ref="C308" r:id="rId912"/>
    <hyperlink ref="D308" r:id="rId913"/>
    <hyperlink ref="I308" r:id="rId914" display="http://www.boxofficemojo.com/schedule/?view=bydate&amp;release=theatrical&amp;date=2010-05-28&amp;p=.htm"/>
    <hyperlink ref="C309" r:id="rId915"/>
    <hyperlink ref="D309" r:id="rId916"/>
    <hyperlink ref="I309" r:id="rId917" display="http://www.boxofficemojo.com/schedule/?view=bydate&amp;release=theatrical&amp;date=2010-10-15&amp;p=.htm"/>
    <hyperlink ref="C310" r:id="rId918"/>
    <hyperlink ref="D310" r:id="rId919"/>
    <hyperlink ref="I310" r:id="rId920" display="http://www.boxofficemojo.com/schedule/?view=bydate&amp;release=theatrical&amp;date=2010-05-21&amp;p=.htm"/>
    <hyperlink ref="C311" r:id="rId921"/>
    <hyperlink ref="D311" r:id="rId922"/>
    <hyperlink ref="I311" r:id="rId923" display="http://www.boxofficemojo.com/schedule/?view=bydate&amp;release=theatrical&amp;date=2010-01-26&amp;p=.htm"/>
    <hyperlink ref="C312" r:id="rId924"/>
    <hyperlink ref="D312" r:id="rId925"/>
    <hyperlink ref="I312" r:id="rId926" display="http://www.boxofficemojo.com/schedule/?view=bydate&amp;release=theatrical&amp;date=2010-10-01&amp;p=.htm"/>
    <hyperlink ref="C313" r:id="rId927"/>
    <hyperlink ref="D313" r:id="rId928"/>
    <hyperlink ref="I313" r:id="rId929" display="http://www.boxofficemojo.com/schedule/?view=bydate&amp;release=theatrical&amp;date=2010-06-30&amp;p=.htm"/>
    <hyperlink ref="C314" r:id="rId930"/>
    <hyperlink ref="D314" r:id="rId931"/>
    <hyperlink ref="I314" r:id="rId932" display="http://www.boxofficemojo.com/schedule/?view=bydate&amp;release=theatrical&amp;date=2010-10-15&amp;p=.htm"/>
    <hyperlink ref="C315" r:id="rId933"/>
    <hyperlink ref="D315" r:id="rId934"/>
    <hyperlink ref="I315" r:id="rId935" display="http://www.boxofficemojo.com/schedule/?view=bydate&amp;release=theatrical&amp;date=2010-03-26&amp;p=.htm"/>
    <hyperlink ref="C316" r:id="rId936"/>
    <hyperlink ref="D316" r:id="rId937"/>
    <hyperlink ref="I316" r:id="rId938" display="http://www.boxofficemojo.com/schedule/?view=bydate&amp;release=theatrical&amp;date=2010-04-02&amp;p=.htm"/>
    <hyperlink ref="C317" r:id="rId939"/>
    <hyperlink ref="D317" r:id="rId940"/>
    <hyperlink ref="I317" r:id="rId941" display="http://www.boxofficemojo.com/schedule/?view=bydate&amp;release=theatrical&amp;date=2010-04-23&amp;p=.htm"/>
    <hyperlink ref="C318" r:id="rId942"/>
    <hyperlink ref="D318" r:id="rId943"/>
    <hyperlink ref="I318" r:id="rId944" display="http://www.boxofficemojo.com/schedule/?view=bydate&amp;release=theatrical&amp;date=2010-06-16&amp;p=.htm"/>
    <hyperlink ref="C319" r:id="rId945"/>
    <hyperlink ref="D319" r:id="rId946"/>
    <hyperlink ref="I319" r:id="rId947" display="http://www.boxofficemojo.com/schedule/?view=bydate&amp;release=theatrical&amp;date=2010-09-10&amp;p=.htm"/>
    <hyperlink ref="C320" r:id="rId948"/>
    <hyperlink ref="D320" r:id="rId949"/>
    <hyperlink ref="I320" r:id="rId950" display="http://www.boxofficemojo.com/schedule/?view=bydate&amp;release=theatrical&amp;date=2010-02-05&amp;p=.htm"/>
    <hyperlink ref="C321" r:id="rId951"/>
    <hyperlink ref="D321" r:id="rId952"/>
    <hyperlink ref="I321" r:id="rId953" display="http://www.boxofficemojo.com/schedule/?view=bydate&amp;release=theatrical&amp;date=2010-08-27&amp;p=.htm"/>
    <hyperlink ref="C322" r:id="rId954"/>
    <hyperlink ref="D322" r:id="rId955"/>
    <hyperlink ref="I322" r:id="rId956" display="http://www.boxofficemojo.com/schedule/?view=bydate&amp;release=theatrical&amp;date=2010-04-09&amp;p=.htm"/>
    <hyperlink ref="C323" r:id="rId957"/>
    <hyperlink ref="D323" r:id="rId958"/>
    <hyperlink ref="I323" r:id="rId959" display="http://www.boxofficemojo.com/schedule/?view=bydate&amp;release=theatrical&amp;date=2010-03-19&amp;p=.htm"/>
    <hyperlink ref="C324" r:id="rId960"/>
    <hyperlink ref="D324" r:id="rId961"/>
    <hyperlink ref="I324" r:id="rId962" display="http://www.boxofficemojo.com/schedule/?view=bydate&amp;release=theatrical&amp;date=2010-04-30&amp;p=.htm"/>
    <hyperlink ref="C325" r:id="rId963"/>
    <hyperlink ref="D325" r:id="rId964"/>
    <hyperlink ref="I325" r:id="rId965" display="http://www.boxofficemojo.com/schedule/?view=bydate&amp;release=theatrical&amp;date=2010-04-02&amp;p=.htm"/>
    <hyperlink ref="C326" r:id="rId966"/>
    <hyperlink ref="D326" r:id="rId967"/>
    <hyperlink ref="I326" r:id="rId968" display="http://www.boxofficemojo.com/schedule/?view=bydate&amp;release=theatrical&amp;date=2010-09-10&amp;p=.htm"/>
    <hyperlink ref="C327" r:id="rId969"/>
    <hyperlink ref="D327" r:id="rId970"/>
    <hyperlink ref="I327" r:id="rId971" display="http://www.boxofficemojo.com/schedule/?view=bydate&amp;release=theatrical&amp;date=2010-10-08&amp;p=.htm"/>
    <hyperlink ref="C328" r:id="rId972"/>
    <hyperlink ref="D328" r:id="rId973"/>
    <hyperlink ref="I328" r:id="rId974" display="http://www.boxofficemojo.com/schedule/?view=bydate&amp;release=theatrical&amp;date=2010-06-18&amp;p=.htm"/>
    <hyperlink ref="C329" r:id="rId975"/>
    <hyperlink ref="D329" r:id="rId976"/>
    <hyperlink ref="I329" r:id="rId977" display="http://www.boxofficemojo.com/schedule/?view=bydate&amp;release=theatrical&amp;date=2010-06-25&amp;p=.htm"/>
    <hyperlink ref="C330" r:id="rId978"/>
    <hyperlink ref="D330" r:id="rId979"/>
    <hyperlink ref="I330" r:id="rId980" display="http://www.boxofficemojo.com/schedule/?view=bydate&amp;release=theatrical&amp;date=2010-04-23&amp;p=.htm"/>
    <hyperlink ref="C331" r:id="rId981"/>
    <hyperlink ref="D331" r:id="rId982"/>
    <hyperlink ref="I331" r:id="rId983" display="http://www.boxofficemojo.com/schedule/?view=bydate&amp;release=theatrical&amp;date=2010-02-19&amp;p=.htm"/>
    <hyperlink ref="C332" r:id="rId984"/>
    <hyperlink ref="D332" r:id="rId985"/>
    <hyperlink ref="I332" r:id="rId986" display="http://www.boxofficemojo.com/schedule/?view=bydate&amp;release=theatrical&amp;date=2010-09-17&amp;p=.htm"/>
    <hyperlink ref="C333" r:id="rId987"/>
    <hyperlink ref="D333" r:id="rId988"/>
    <hyperlink ref="I333" r:id="rId989" display="http://www.boxofficemojo.com/schedule/?view=bydate&amp;release=theatrical&amp;date=2010-04-09&amp;p=.htm"/>
    <hyperlink ref="C334" r:id="rId990"/>
    <hyperlink ref="D334" r:id="rId991"/>
    <hyperlink ref="I334" r:id="rId992" display="http://www.boxofficemojo.com/schedule/?view=bydate&amp;release=theatrical&amp;date=2010-10-29&amp;p=.htm"/>
    <hyperlink ref="C335" r:id="rId993"/>
    <hyperlink ref="D335" r:id="rId994"/>
    <hyperlink ref="I335" r:id="rId995" display="http://www.boxofficemojo.com/schedule/?view=bydate&amp;release=theatrical&amp;date=2010-10-29&amp;p=.htm"/>
    <hyperlink ref="C336" r:id="rId996"/>
    <hyperlink ref="D336" r:id="rId997"/>
    <hyperlink ref="I336" r:id="rId998" display="http://www.boxofficemojo.com/schedule/?view=bydate&amp;release=theatrical&amp;date=2010-09-10&amp;p=.htm"/>
    <hyperlink ref="C337" r:id="rId999"/>
    <hyperlink ref="D337" r:id="rId1000"/>
    <hyperlink ref="I337" r:id="rId1001" display="http://www.boxofficemojo.com/schedule/?view=bydate&amp;release=theatrical&amp;date=2010-01-29&amp;p=.htm"/>
    <hyperlink ref="C338" r:id="rId1002"/>
    <hyperlink ref="D338" r:id="rId1003"/>
    <hyperlink ref="I338" r:id="rId1004" display="http://www.boxofficemojo.com/schedule/?view=bydate&amp;release=theatrical&amp;date=2010-04-09&amp;p=.htm"/>
    <hyperlink ref="C339" r:id="rId1005"/>
    <hyperlink ref="D339" r:id="rId1006"/>
    <hyperlink ref="I339" r:id="rId1007" display="http://www.boxofficemojo.com/schedule/?view=bydate&amp;release=theatrical&amp;date=2010-05-28&amp;p=.htm"/>
    <hyperlink ref="C340" r:id="rId1008"/>
    <hyperlink ref="D340" r:id="rId1009"/>
    <hyperlink ref="I340" r:id="rId1010" display="http://www.boxofficemojo.com/schedule/?view=bydate&amp;release=theatrical&amp;date=2010-10-01&amp;p=.htm"/>
    <hyperlink ref="C341" r:id="rId1011"/>
    <hyperlink ref="D341" r:id="rId1012"/>
    <hyperlink ref="I341" r:id="rId1013" display="http://www.boxofficemojo.com/schedule/?view=bydate&amp;release=theatrical&amp;date=2010-04-23&amp;p=.htm"/>
    <hyperlink ref="C342" r:id="rId1014"/>
    <hyperlink ref="D342" r:id="rId1015"/>
    <hyperlink ref="I342" r:id="rId1016" display="http://www.boxofficemojo.com/schedule/?view=bydate&amp;release=theatrical&amp;date=2010-02-19&amp;p=.htm"/>
    <hyperlink ref="C343" r:id="rId1017"/>
    <hyperlink ref="D343" r:id="rId1018"/>
    <hyperlink ref="I343" r:id="rId1019" display="http://www.boxofficemojo.com/schedule/?view=bydate&amp;release=theatrical&amp;date=2010-06-18&amp;p=.htm"/>
    <hyperlink ref="C344" r:id="rId1020"/>
    <hyperlink ref="D344" r:id="rId1021"/>
    <hyperlink ref="I344" r:id="rId1022" display="http://www.boxofficemojo.com/schedule/?view=bydate&amp;release=theatrical&amp;date=2010-12-03&amp;p=.htm"/>
    <hyperlink ref="C345" r:id="rId1023"/>
    <hyperlink ref="D345" r:id="rId1024"/>
    <hyperlink ref="I345" r:id="rId1025" display="http://www.boxofficemojo.com/schedule/?view=bydate&amp;release=theatrical&amp;date=2010-06-11&amp;p=.htm"/>
    <hyperlink ref="C346" r:id="rId1026"/>
    <hyperlink ref="D346" r:id="rId1027"/>
    <hyperlink ref="I346" r:id="rId1028" display="http://www.boxofficemojo.com/schedule/?view=bydate&amp;release=theatrical&amp;date=2010-11-03&amp;p=.htm"/>
    <hyperlink ref="C347" r:id="rId1029"/>
    <hyperlink ref="D347" r:id="rId1030"/>
    <hyperlink ref="I347" r:id="rId1031" display="http://www.boxofficemojo.com/schedule/?view=bydate&amp;release=theatrical&amp;date=2010-10-08&amp;p=.htm"/>
    <hyperlink ref="C348" r:id="rId1032"/>
    <hyperlink ref="D348" r:id="rId1033"/>
    <hyperlink ref="I348" r:id="rId1034" display="http://www.boxofficemojo.com/schedule/?view=bydate&amp;release=theatrical&amp;date=2010-12-24&amp;p=.htm"/>
    <hyperlink ref="C349" r:id="rId1035"/>
    <hyperlink ref="D349" r:id="rId1036"/>
    <hyperlink ref="I349" r:id="rId1037" display="http://www.boxofficemojo.com/schedule/?view=bydate&amp;release=theatrical&amp;date=2010-05-07&amp;p=.htm"/>
    <hyperlink ref="C350" r:id="rId1038"/>
    <hyperlink ref="D350" r:id="rId1039"/>
    <hyperlink ref="I350" r:id="rId1040" display="http://www.boxofficemojo.com/schedule/?view=bydate&amp;release=theatrical&amp;date=2010-01-08&amp;p=.htm"/>
    <hyperlink ref="C351" r:id="rId1041"/>
    <hyperlink ref="D351" r:id="rId1042"/>
    <hyperlink ref="I351" r:id="rId1043" display="http://www.boxofficemojo.com/schedule/?view=bydate&amp;release=theatrical&amp;date=2010-04-16&amp;p=.htm"/>
    <hyperlink ref="C352" r:id="rId1044"/>
    <hyperlink ref="D352" r:id="rId1045"/>
    <hyperlink ref="I352" r:id="rId1046" display="http://www.boxofficemojo.com/schedule/?view=bydate&amp;release=theatrical&amp;date=2010-04-16&amp;p=.htm"/>
    <hyperlink ref="C353" r:id="rId1047"/>
    <hyperlink ref="D353" r:id="rId1048"/>
    <hyperlink ref="I353" r:id="rId1049" display="http://www.boxofficemojo.com/schedule/?view=bydate&amp;release=theatrical&amp;date=2010-07-16&amp;p=.htm"/>
    <hyperlink ref="C354" r:id="rId1050"/>
    <hyperlink ref="D354" r:id="rId1051"/>
    <hyperlink ref="I354" r:id="rId1052" display="http://www.boxofficemojo.com/schedule/?view=bydate&amp;release=theatrical&amp;date=2010-12-24&amp;p=.htm"/>
    <hyperlink ref="C355" r:id="rId1053"/>
    <hyperlink ref="D355" r:id="rId1054"/>
    <hyperlink ref="I355" r:id="rId1055" display="http://www.boxofficemojo.com/schedule/?view=bydate&amp;release=theatrical&amp;date=2010-03-26&amp;p=.htm"/>
    <hyperlink ref="C356" r:id="rId1056"/>
    <hyperlink ref="D356" r:id="rId1057"/>
    <hyperlink ref="I356" r:id="rId1058" display="http://www.boxofficemojo.com/schedule/?view=bydate&amp;release=theatrical&amp;date=2010-04-02&amp;p=.htm"/>
    <hyperlink ref="C357" r:id="rId1059"/>
    <hyperlink ref="D357" r:id="rId1060"/>
    <hyperlink ref="I357" r:id="rId1061" display="http://www.boxofficemojo.com/schedule/?view=bydate&amp;release=theatrical&amp;date=2010-12-03&amp;p=.htm"/>
    <hyperlink ref="C358" r:id="rId1062"/>
    <hyperlink ref="D358" r:id="rId1063"/>
    <hyperlink ref="I358" r:id="rId1064" display="http://www.boxofficemojo.com/schedule/?view=bydate&amp;release=theatrical&amp;date=2010-02-26&amp;p=.htm"/>
    <hyperlink ref="C359" r:id="rId1065"/>
    <hyperlink ref="D359" r:id="rId1066"/>
    <hyperlink ref="I359" r:id="rId1067" display="http://www.boxofficemojo.com/schedule/?view=bydate&amp;release=theatrical&amp;date=2010-07-30&amp;p=.htm"/>
    <hyperlink ref="C360" r:id="rId1068"/>
    <hyperlink ref="D360" r:id="rId1069"/>
    <hyperlink ref="I360" r:id="rId1070" display="http://www.boxofficemojo.com/schedule/?view=bydate&amp;release=theatrical&amp;date=2010-08-04&amp;p=.htm"/>
    <hyperlink ref="C361" r:id="rId1071"/>
    <hyperlink ref="D361" r:id="rId1072"/>
    <hyperlink ref="I361" r:id="rId1073" display="http://www.boxofficemojo.com/schedule/?view=bydate&amp;release=theatrical&amp;date=2010-06-04&amp;p=.htm"/>
    <hyperlink ref="C362" r:id="rId1074"/>
    <hyperlink ref="D362" r:id="rId1075"/>
    <hyperlink ref="I362" r:id="rId1076" display="http://www.boxofficemojo.com/schedule/?view=bydate&amp;release=theatrical&amp;date=2010-09-17&amp;p=.htm"/>
    <hyperlink ref="C363" r:id="rId1077"/>
    <hyperlink ref="D363" r:id="rId1078"/>
    <hyperlink ref="I363" r:id="rId1079" display="http://www.boxofficemojo.com/schedule/?view=bydate&amp;release=theatrical&amp;date=2010-10-27&amp;p=.htm"/>
    <hyperlink ref="C364" r:id="rId1080"/>
    <hyperlink ref="D364" r:id="rId1081"/>
    <hyperlink ref="I364" r:id="rId1082" display="http://www.boxofficemojo.com/schedule/?view=bydate&amp;release=theatrical&amp;date=2010-10-08&amp;p=.htm"/>
    <hyperlink ref="C365" r:id="rId1083"/>
    <hyperlink ref="D365" r:id="rId1084"/>
    <hyperlink ref="I365" r:id="rId1085" display="http://www.boxofficemojo.com/schedule/?view=bydate&amp;release=theatrical&amp;date=2010-04-09&amp;p=.htm"/>
    <hyperlink ref="C366" r:id="rId1086"/>
    <hyperlink ref="D366" r:id="rId1087"/>
    <hyperlink ref="I366" r:id="rId1088" display="http://www.boxofficemojo.com/schedule/?view=bydate&amp;release=theatrical&amp;date=2010-06-18&amp;p=.htm"/>
    <hyperlink ref="C367" r:id="rId1089"/>
    <hyperlink ref="D367" r:id="rId1090"/>
    <hyperlink ref="I367" r:id="rId1091" display="http://www.boxofficemojo.com/schedule/?view=bydate&amp;release=theatrical&amp;date=2010-05-21&amp;p=.htm"/>
    <hyperlink ref="C368" r:id="rId1092"/>
    <hyperlink ref="D368" r:id="rId1093"/>
    <hyperlink ref="I368" r:id="rId1094" display="http://www.boxofficemojo.com/schedule/?view=bydate&amp;release=theatrical&amp;date=2010-03-31&amp;p=.htm"/>
    <hyperlink ref="C369" r:id="rId1095"/>
    <hyperlink ref="D369" r:id="rId1096"/>
    <hyperlink ref="I369" r:id="rId1097" display="http://www.boxofficemojo.com/schedule/?view=bydate&amp;release=theatrical&amp;date=2010-03-26&amp;p=.htm"/>
    <hyperlink ref="C370" r:id="rId1098"/>
    <hyperlink ref="D370" r:id="rId1099"/>
    <hyperlink ref="I370" r:id="rId1100" display="http://www.boxofficemojo.com/schedule/?view=bydate&amp;release=theatrical&amp;date=2010-05-21&amp;p=.htm"/>
    <hyperlink ref="C371" r:id="rId1101"/>
    <hyperlink ref="D371" r:id="rId1102"/>
    <hyperlink ref="I371" r:id="rId1103" display="http://www.boxofficemojo.com/schedule/?view=bydate&amp;release=theatrical&amp;date=2010-10-29&amp;p=.htm"/>
    <hyperlink ref="C372" r:id="rId1104"/>
    <hyperlink ref="D372" r:id="rId1105"/>
    <hyperlink ref="I372" r:id="rId1106" display="http://www.boxofficemojo.com/schedule/?view=bydate&amp;release=theatrical&amp;date=2010-11-12&amp;p=.htm"/>
    <hyperlink ref="C373" r:id="rId1107"/>
    <hyperlink ref="D373" r:id="rId1108"/>
    <hyperlink ref="I373" r:id="rId1109" display="http://www.boxofficemojo.com/schedule/?view=bydate&amp;release=theatrical&amp;date=2010-07-14&amp;p=.htm"/>
    <hyperlink ref="C374" r:id="rId1110"/>
    <hyperlink ref="D374" r:id="rId1111"/>
    <hyperlink ref="I374" r:id="rId1112" display="http://www.boxofficemojo.com/schedule/?view=bydate&amp;release=theatrical&amp;date=2010-07-23&amp;p=.htm"/>
    <hyperlink ref="C375" r:id="rId1113"/>
    <hyperlink ref="D375" r:id="rId1114"/>
    <hyperlink ref="I375" r:id="rId1115" display="http://www.boxofficemojo.com/schedule/?view=bydate&amp;release=theatrical&amp;date=2010-05-14&amp;p=.htm"/>
    <hyperlink ref="C376" r:id="rId1116"/>
    <hyperlink ref="D376" r:id="rId1117"/>
    <hyperlink ref="I376" r:id="rId1118" display="http://www.boxofficemojo.com/schedule/?view=bydate&amp;release=theatrical&amp;date=2010-06-18&amp;p=.htm"/>
    <hyperlink ref="C377" r:id="rId1119"/>
    <hyperlink ref="D377" r:id="rId1120"/>
    <hyperlink ref="I377" r:id="rId1121" display="http://www.boxofficemojo.com/schedule/?view=bydate&amp;release=theatrical&amp;date=2010-06-11&amp;p=.htm"/>
    <hyperlink ref="C378" r:id="rId1122"/>
    <hyperlink ref="D378" r:id="rId1123"/>
    <hyperlink ref="I378" r:id="rId1124" display="http://www.boxofficemojo.com/schedule/?view=bydate&amp;release=theatrical&amp;date=2010-03-12&amp;p=.htm"/>
    <hyperlink ref="C379" r:id="rId1125"/>
    <hyperlink ref="D379" r:id="rId1126"/>
    <hyperlink ref="I379" r:id="rId1127" display="http://www.boxofficemojo.com/schedule/?view=bydate&amp;release=theatrical&amp;date=2010-03-03&amp;p=.htm"/>
    <hyperlink ref="C380" r:id="rId1128"/>
    <hyperlink ref="D380" r:id="rId1129"/>
    <hyperlink ref="I380" r:id="rId1130" display="http://www.boxofficemojo.com/schedule/?view=bydate&amp;release=theatrical&amp;date=2010-07-02&amp;p=.htm"/>
    <hyperlink ref="C381" r:id="rId1131"/>
    <hyperlink ref="D381" r:id="rId1132"/>
    <hyperlink ref="I381" r:id="rId1133" display="http://www.boxofficemojo.com/schedule/?view=bydate&amp;release=theatrical&amp;date=2010-10-01&amp;p=.htm"/>
    <hyperlink ref="C382" r:id="rId1134"/>
    <hyperlink ref="D382" r:id="rId1135"/>
    <hyperlink ref="I382" r:id="rId1136" display="http://www.boxofficemojo.com/schedule/?view=bydate&amp;release=theatrical&amp;date=2010-06-04&amp;p=.htm"/>
    <hyperlink ref="C383" r:id="rId1137"/>
    <hyperlink ref="D383" r:id="rId1138"/>
    <hyperlink ref="I383" r:id="rId1139" display="http://www.boxofficemojo.com/schedule/?view=bydate&amp;release=theatrical&amp;date=2010-04-02&amp;p=.htm"/>
    <hyperlink ref="C384" r:id="rId1140"/>
    <hyperlink ref="D384" r:id="rId1141"/>
    <hyperlink ref="I384" r:id="rId1142" display="http://www.boxofficemojo.com/schedule/?view=bydate&amp;release=theatrical&amp;date=2010-04-09&amp;p=.htm"/>
    <hyperlink ref="C385" r:id="rId1143"/>
    <hyperlink ref="D385" r:id="rId1144"/>
    <hyperlink ref="I385" r:id="rId1145" display="http://www.boxofficemojo.com/schedule/?view=bydate&amp;release=theatrical&amp;date=2010-12-29&amp;p=.htm"/>
    <hyperlink ref="C386" r:id="rId1146"/>
    <hyperlink ref="D386" r:id="rId1147"/>
    <hyperlink ref="I386" r:id="rId1148" display="http://www.boxofficemojo.com/schedule/?view=bydate&amp;release=theatrical&amp;date=2010-08-13&amp;p=.htm"/>
    <hyperlink ref="C387" r:id="rId1149"/>
    <hyperlink ref="D387" r:id="rId1150"/>
    <hyperlink ref="I387" r:id="rId1151" display="http://www.boxofficemojo.com/schedule/?view=bydate&amp;release=theatrical&amp;date=2010-11-12&amp;p=.htm"/>
    <hyperlink ref="C388" r:id="rId1152"/>
    <hyperlink ref="D388" r:id="rId1153"/>
    <hyperlink ref="I388" r:id="rId1154" display="http://www.boxofficemojo.com/schedule/?view=bydate&amp;release=theatrical&amp;date=2010-08-27&amp;p=.htm"/>
    <hyperlink ref="C389" r:id="rId1155"/>
    <hyperlink ref="D389" r:id="rId1156"/>
    <hyperlink ref="I389" r:id="rId1157" display="http://www.boxofficemojo.com/schedule/?view=bydate&amp;release=theatrical&amp;date=2010-03-26&amp;p=.htm"/>
    <hyperlink ref="C390" r:id="rId1158"/>
    <hyperlink ref="D390" r:id="rId1159"/>
    <hyperlink ref="I390" r:id="rId1160" display="http://www.boxofficemojo.com/schedule/?view=bydate&amp;release=theatrical&amp;date=2010-11-17&amp;p=.htm"/>
    <hyperlink ref="C391" r:id="rId1161"/>
    <hyperlink ref="D391" r:id="rId1162"/>
    <hyperlink ref="I391" r:id="rId1163" display="http://www.boxofficemojo.com/schedule/?view=bydate&amp;release=theatrical&amp;date=2010-02-19&amp;p=.htm"/>
    <hyperlink ref="C392" r:id="rId1164"/>
    <hyperlink ref="D392" r:id="rId1165"/>
    <hyperlink ref="I392" r:id="rId1166" display="http://www.boxofficemojo.com/schedule/?view=bydate&amp;release=theatrical&amp;date=2010-12-10&amp;p=.htm"/>
    <hyperlink ref="C393" r:id="rId1167"/>
    <hyperlink ref="D393" r:id="rId1168"/>
    <hyperlink ref="I393" r:id="rId1169" display="http://www.boxofficemojo.com/schedule/?view=bydate&amp;release=theatrical&amp;date=2010-05-07&amp;p=.htm"/>
    <hyperlink ref="C394" r:id="rId1170"/>
    <hyperlink ref="D394" r:id="rId1171"/>
    <hyperlink ref="I394" r:id="rId1172" display="http://www.boxofficemojo.com/schedule/?view=bydate&amp;release=theatrical&amp;date=2010-09-17&amp;p=.htm"/>
    <hyperlink ref="C395" r:id="rId1173"/>
    <hyperlink ref="D395" r:id="rId1174"/>
    <hyperlink ref="I395" r:id="rId1175" display="http://www.boxofficemojo.com/schedule/?view=bydate&amp;release=theatrical&amp;date=2010-05-28&amp;p=.htm"/>
    <hyperlink ref="C396" r:id="rId1176"/>
    <hyperlink ref="D396" r:id="rId1177"/>
    <hyperlink ref="I396" r:id="rId1178" display="http://www.boxofficemojo.com/schedule/?view=bydate&amp;release=theatrical&amp;date=2010-10-15&amp;p=.htm"/>
    <hyperlink ref="C397" r:id="rId1179"/>
    <hyperlink ref="D397" r:id="rId1180"/>
    <hyperlink ref="I397" r:id="rId1181" display="http://www.boxofficemojo.com/schedule/?view=bydate&amp;release=theatrical&amp;date=2010-01-15&amp;p=.htm"/>
    <hyperlink ref="C398" r:id="rId1182"/>
    <hyperlink ref="D398" r:id="rId1183"/>
    <hyperlink ref="I398" r:id="rId1184" display="http://www.boxofficemojo.com/schedule/?view=bydate&amp;release=theatrical&amp;date=2010-09-29&amp;p=.htm"/>
    <hyperlink ref="C399" r:id="rId1185"/>
    <hyperlink ref="D399" r:id="rId1186"/>
    <hyperlink ref="I399" r:id="rId1187" display="http://www.boxofficemojo.com/schedule/?view=bydate&amp;release=theatrical&amp;date=2010-11-24&amp;p=.htm"/>
    <hyperlink ref="C400" r:id="rId1188"/>
    <hyperlink ref="D400" r:id="rId1189"/>
    <hyperlink ref="I400" r:id="rId1190" display="http://www.boxofficemojo.com/schedule/?view=bydate&amp;release=theatrical&amp;date=2010-03-19&amp;p=.htm"/>
    <hyperlink ref="C401" r:id="rId1191"/>
    <hyperlink ref="D401" r:id="rId1192"/>
    <hyperlink ref="I401" r:id="rId1193" display="http://www.boxofficemojo.com/schedule/?view=bydate&amp;release=theatrical&amp;date=2010-08-20&amp;p=.htm"/>
    <hyperlink ref="C402" r:id="rId1194"/>
    <hyperlink ref="D402" r:id="rId1195"/>
    <hyperlink ref="I402" r:id="rId1196" display="http://www.boxofficemojo.com/schedule/?view=bydate&amp;release=theatrical&amp;date=2010-02-05&amp;p=.htm"/>
    <hyperlink ref="C403" r:id="rId1197"/>
    <hyperlink ref="D403" r:id="rId1198"/>
    <hyperlink ref="I403" r:id="rId1199" display="http://www.boxofficemojo.com/schedule/?view=bydate&amp;release=theatrical&amp;date=2010-11-05&amp;p=.htm"/>
    <hyperlink ref="C404" r:id="rId1200"/>
    <hyperlink ref="D404" r:id="rId1201"/>
    <hyperlink ref="I404" r:id="rId1202" display="http://www.boxofficemojo.com/schedule/?view=bydate&amp;release=theatrical&amp;date=2010-09-10&amp;p=.htm"/>
    <hyperlink ref="C405" r:id="rId1203"/>
    <hyperlink ref="D405" r:id="rId1204"/>
    <hyperlink ref="I405" r:id="rId1205" display="http://www.boxofficemojo.com/schedule/?view=bydate&amp;release=theatrical&amp;date=2010-03-26&amp;p=.htm"/>
    <hyperlink ref="C406" r:id="rId1206"/>
    <hyperlink ref="D406" r:id="rId1207"/>
    <hyperlink ref="I406" r:id="rId1208" display="http://www.boxofficemojo.com/schedule/?view=bydate&amp;release=theatrical&amp;date=2010-07-09&amp;p=.htm"/>
    <hyperlink ref="C407" r:id="rId1209"/>
    <hyperlink ref="D407" r:id="rId1210"/>
    <hyperlink ref="I407" r:id="rId1211" display="http://www.boxofficemojo.com/schedule/?view=bydate&amp;release=theatrical&amp;date=2010-09-10&amp;p=.htm"/>
    <hyperlink ref="C408" r:id="rId1212"/>
    <hyperlink ref="D408" r:id="rId1213"/>
    <hyperlink ref="I408" r:id="rId1214" display="http://www.boxofficemojo.com/schedule/?view=bydate&amp;release=theatrical&amp;date=2010-07-23&amp;p=.htm"/>
    <hyperlink ref="C409" r:id="rId1215"/>
    <hyperlink ref="D409" r:id="rId1216"/>
    <hyperlink ref="I409" r:id="rId1217" display="http://www.boxofficemojo.com/schedule/?view=bydate&amp;release=theatrical&amp;date=2010-10-22&amp;p=.htm"/>
    <hyperlink ref="C410" r:id="rId1218"/>
    <hyperlink ref="D410" r:id="rId1219"/>
    <hyperlink ref="I410" r:id="rId1220" display="http://www.boxofficemojo.com/schedule/?view=bydate&amp;release=theatrical&amp;date=2010-05-12&amp;p=.htm"/>
    <hyperlink ref="C411" r:id="rId1221"/>
    <hyperlink ref="D411" r:id="rId1222"/>
    <hyperlink ref="I411" r:id="rId1223" display="http://www.boxofficemojo.com/schedule/?view=bydate&amp;release=theatrical&amp;date=2010-06-04&amp;p=.htm"/>
    <hyperlink ref="C412" r:id="rId1224"/>
    <hyperlink ref="D412" r:id="rId1225"/>
    <hyperlink ref="I412" r:id="rId1226" display="http://www.boxofficemojo.com/schedule/?view=bydate&amp;release=theatrical&amp;date=2010-05-21&amp;p=.htm"/>
    <hyperlink ref="C413" r:id="rId1227"/>
    <hyperlink ref="D413" r:id="rId1228"/>
    <hyperlink ref="I413" r:id="rId1229" display="http://www.boxofficemojo.com/schedule/?view=bydate&amp;release=theatrical&amp;date=2010-09-10&amp;p=.htm"/>
    <hyperlink ref="C414" r:id="rId1230"/>
    <hyperlink ref="D414" r:id="rId1231"/>
    <hyperlink ref="I414" r:id="rId1232" display="http://www.boxofficemojo.com/schedule/?view=bydate&amp;release=theatrical&amp;date=2010-09-15&amp;p=.htm"/>
    <hyperlink ref="C415" r:id="rId1233"/>
    <hyperlink ref="D415" r:id="rId1234"/>
    <hyperlink ref="I415" r:id="rId1235" display="http://www.boxofficemojo.com/schedule/?view=bydate&amp;release=theatrical&amp;date=2010-07-16&amp;p=.htm"/>
    <hyperlink ref="C416" r:id="rId1236"/>
    <hyperlink ref="D416" r:id="rId1237"/>
    <hyperlink ref="I416" r:id="rId1238" display="http://www.boxofficemojo.com/schedule/?view=bydate&amp;release=theatrical&amp;date=2010-02-12&amp;p=.htm"/>
    <hyperlink ref="C417" r:id="rId1239"/>
    <hyperlink ref="D417" r:id="rId1240"/>
    <hyperlink ref="I417" r:id="rId1241" display="http://www.boxofficemojo.com/schedule/?view=bydate&amp;release=theatrical&amp;date=2010-04-23&amp;p=.htm"/>
    <hyperlink ref="C418" r:id="rId1242"/>
    <hyperlink ref="D418" r:id="rId1243"/>
    <hyperlink ref="I418" r:id="rId1244" display="http://www.boxofficemojo.com/schedule/?view=bydate&amp;release=theatrical&amp;date=2010-12-03&amp;p=.htm"/>
    <hyperlink ref="C419" r:id="rId1245"/>
    <hyperlink ref="D419" r:id="rId1246"/>
    <hyperlink ref="I419" r:id="rId1247" display="http://www.boxofficemojo.com/schedule/?view=bydate&amp;release=theatrical&amp;date=2010-03-26&amp;p=.htm"/>
    <hyperlink ref="C420" r:id="rId1248"/>
    <hyperlink ref="D420" r:id="rId1249"/>
    <hyperlink ref="I420" r:id="rId1250" display="http://www.boxofficemojo.com/schedule/?view=bydate&amp;release=theatrical&amp;date=2010-05-07&amp;p=.htm"/>
    <hyperlink ref="C421" r:id="rId1251"/>
    <hyperlink ref="D421" r:id="rId1252"/>
    <hyperlink ref="I421" r:id="rId1253" display="http://www.boxofficemojo.com/schedule/?view=bydate&amp;release=theatrical&amp;date=2010-05-19&amp;p=.htm"/>
    <hyperlink ref="C422" r:id="rId1254"/>
    <hyperlink ref="D422" r:id="rId1255"/>
    <hyperlink ref="I422" r:id="rId1256" display="http://www.boxofficemojo.com/schedule/?view=bydate&amp;release=theatrical&amp;date=2010-07-09&amp;p=.htm"/>
    <hyperlink ref="C423" r:id="rId1257"/>
    <hyperlink ref="D423" r:id="rId1258"/>
    <hyperlink ref="I423" r:id="rId1259" display="http://www.boxofficemojo.com/schedule/?view=bydate&amp;release=theatrical&amp;date=2010-05-14&amp;p=.htm"/>
    <hyperlink ref="C424" r:id="rId1260"/>
    <hyperlink ref="D424" r:id="rId1261"/>
    <hyperlink ref="I424" r:id="rId1262" display="http://www.boxofficemojo.com/schedule/?view=bydate&amp;release=theatrical&amp;date=2010-02-05&amp;p=.htm"/>
    <hyperlink ref="C425" r:id="rId1263"/>
    <hyperlink ref="D425" r:id="rId1264"/>
    <hyperlink ref="I425" r:id="rId1265" display="http://www.boxofficemojo.com/schedule/?view=bydate&amp;release=theatrical&amp;date=2010-02-12&amp;p=.htm"/>
    <hyperlink ref="C426" r:id="rId1266"/>
    <hyperlink ref="D426" r:id="rId1267"/>
    <hyperlink ref="I426" r:id="rId1268" display="http://www.boxofficemojo.com/schedule/?view=bydate&amp;release=theatrical&amp;date=2010-03-12&amp;p=.htm"/>
    <hyperlink ref="C427" r:id="rId1269"/>
    <hyperlink ref="D427" r:id="rId1270"/>
    <hyperlink ref="I427" r:id="rId1271" display="http://www.boxofficemojo.com/schedule/?view=bydate&amp;release=theatrical&amp;date=2010-07-16&amp;p=.htm"/>
    <hyperlink ref="C428" r:id="rId1272"/>
    <hyperlink ref="D428" r:id="rId1273"/>
    <hyperlink ref="I428" r:id="rId1274" display="http://www.boxofficemojo.com/schedule/?view=bydate&amp;release=theatrical&amp;date=2010-04-09&amp;p=.htm"/>
    <hyperlink ref="C429" r:id="rId1275"/>
    <hyperlink ref="D429" r:id="rId1276"/>
    <hyperlink ref="I429" r:id="rId1277" display="http://www.boxofficemojo.com/schedule/?view=bydate&amp;release=theatrical&amp;date=2010-04-23&amp;p=.htm"/>
    <hyperlink ref="C430" r:id="rId1278"/>
    <hyperlink ref="D430" r:id="rId1279"/>
    <hyperlink ref="I430" r:id="rId1280" display="http://www.boxofficemojo.com/schedule/?view=bydate&amp;release=theatrical&amp;date=2010-02-12&amp;p=.htm"/>
    <hyperlink ref="C431" r:id="rId1281"/>
    <hyperlink ref="D431" r:id="rId1282"/>
    <hyperlink ref="I431" r:id="rId1283" display="http://www.boxofficemojo.com/schedule/?view=bydate&amp;release=theatrical&amp;date=2010-09-17&amp;p=.htm"/>
    <hyperlink ref="C432" r:id="rId1284"/>
    <hyperlink ref="D432" r:id="rId1285"/>
    <hyperlink ref="I432" r:id="rId1286" display="http://www.boxofficemojo.com/schedule/?view=bydate&amp;release=theatrical&amp;date=2010-02-19&amp;p=.htm"/>
    <hyperlink ref="C433" r:id="rId1287"/>
    <hyperlink ref="D433" r:id="rId1288"/>
    <hyperlink ref="I433" r:id="rId1289" display="http://www.boxofficemojo.com/schedule/?view=bydate&amp;release=theatrical&amp;date=2010-12-10&amp;p=.htm"/>
    <hyperlink ref="C434" r:id="rId1290"/>
    <hyperlink ref="D434" r:id="rId1291"/>
    <hyperlink ref="I434" r:id="rId1292" display="http://www.boxofficemojo.com/schedule/?view=bydate&amp;release=theatrical&amp;date=2010-12-10&amp;p=.htm"/>
    <hyperlink ref="C435" r:id="rId1293"/>
    <hyperlink ref="D435" r:id="rId1294"/>
    <hyperlink ref="I435" r:id="rId1295" display="http://www.boxofficemojo.com/schedule/?view=bydate&amp;release=theatrical&amp;date=2010-05-14&amp;p=.htm"/>
    <hyperlink ref="C436" r:id="rId1296"/>
    <hyperlink ref="D436" r:id="rId1297"/>
    <hyperlink ref="I436" r:id="rId1298" display="http://www.boxofficemojo.com/schedule/?view=bydate&amp;release=theatrical&amp;date=2010-02-26&amp;p=.htm"/>
    <hyperlink ref="C437" r:id="rId1299"/>
    <hyperlink ref="D437" r:id="rId1300"/>
    <hyperlink ref="I437" r:id="rId1301" display="http://www.boxofficemojo.com/schedule/?view=bydate&amp;release=theatrical&amp;date=2010-11-05&amp;p=.htm"/>
    <hyperlink ref="C438" r:id="rId1302"/>
    <hyperlink ref="D438" r:id="rId1303"/>
    <hyperlink ref="I438" r:id="rId1304" display="http://www.boxofficemojo.com/schedule/?view=bydate&amp;release=theatrical&amp;date=2010-04-30&amp;p=.htm"/>
    <hyperlink ref="C439" r:id="rId1305"/>
    <hyperlink ref="D439" r:id="rId1306"/>
    <hyperlink ref="I439" r:id="rId1307" display="http://www.boxofficemojo.com/schedule/?view=bydate&amp;release=theatrical&amp;date=2010-10-01&amp;p=.htm"/>
    <hyperlink ref="C440" r:id="rId1308"/>
    <hyperlink ref="D440" r:id="rId1309"/>
    <hyperlink ref="I440" r:id="rId1310" display="http://www.boxofficemojo.com/schedule/?view=bydate&amp;release=theatrical&amp;date=2010-02-05&amp;p=.htm"/>
    <hyperlink ref="C441" r:id="rId1311"/>
    <hyperlink ref="D441" r:id="rId1312"/>
    <hyperlink ref="I441" r:id="rId1313" display="http://www.boxofficemojo.com/schedule/?view=bydate&amp;release=theatrical&amp;date=2010-06-02&amp;p=.htm"/>
    <hyperlink ref="C442" r:id="rId1314"/>
    <hyperlink ref="D442" r:id="rId1315"/>
    <hyperlink ref="I442" r:id="rId1316" display="http://www.boxofficemojo.com/schedule/?view=bydate&amp;release=theatrical&amp;date=2010-12-10&amp;p=.htm"/>
    <hyperlink ref="C443" r:id="rId1317"/>
    <hyperlink ref="D443" r:id="rId1318"/>
    <hyperlink ref="I443" r:id="rId1319" display="http://www.boxofficemojo.com/schedule/?view=bydate&amp;release=theatrical&amp;date=2010-09-10&amp;p=.htm"/>
    <hyperlink ref="C444" r:id="rId1320"/>
    <hyperlink ref="D444" r:id="rId1321"/>
    <hyperlink ref="I444" r:id="rId1322" display="http://www.boxofficemojo.com/schedule/?view=bydate&amp;release=theatrical&amp;date=2010-08-13&amp;p=.htm"/>
    <hyperlink ref="C445" r:id="rId1323"/>
    <hyperlink ref="D445" r:id="rId1324"/>
    <hyperlink ref="I445" r:id="rId1325" display="http://www.boxofficemojo.com/schedule/?view=bydate&amp;release=theatrical&amp;date=2010-08-13&amp;p=.htm"/>
    <hyperlink ref="C446" r:id="rId1326"/>
    <hyperlink ref="D446" r:id="rId1327"/>
    <hyperlink ref="I446" r:id="rId1328" display="http://www.boxofficemojo.com/schedule/?view=bydate&amp;release=theatrical&amp;date=2010-01-29&amp;p=.htm"/>
    <hyperlink ref="C447" r:id="rId1329"/>
    <hyperlink ref="D447" r:id="rId1330"/>
    <hyperlink ref="I447" r:id="rId1331" display="http://www.boxofficemojo.com/schedule/?view=bydate&amp;release=theatrical&amp;date=2010-12-22&amp;p=.htm"/>
    <hyperlink ref="C448" r:id="rId1332"/>
    <hyperlink ref="D448" r:id="rId1333"/>
    <hyperlink ref="I448" r:id="rId1334" display="http://www.boxofficemojo.com/schedule/?view=bydate&amp;release=theatrical&amp;date=2010-07-02&amp;p=.htm"/>
    <hyperlink ref="C449" r:id="rId1335"/>
    <hyperlink ref="D449" r:id="rId1336"/>
    <hyperlink ref="I449" r:id="rId1337" display="http://www.boxofficemojo.com/schedule/?view=bydate&amp;release=theatrical&amp;date=2010-01-08&amp;p=.htm"/>
    <hyperlink ref="C450" r:id="rId1338"/>
    <hyperlink ref="D450" r:id="rId1339"/>
    <hyperlink ref="I450" r:id="rId1340" display="http://www.boxofficemojo.com/schedule/?view=bydate&amp;release=theatrical&amp;date=2010-06-23&amp;p=.htm"/>
    <hyperlink ref="C451" r:id="rId1341"/>
    <hyperlink ref="D451" r:id="rId1342"/>
    <hyperlink ref="I451" r:id="rId1343" display="http://www.boxofficemojo.com/schedule/?view=bydate&amp;release=theatrical&amp;date=2010-05-07&amp;p=.htm"/>
    <hyperlink ref="C452" r:id="rId1344"/>
    <hyperlink ref="D452" r:id="rId1345"/>
    <hyperlink ref="I452" r:id="rId1346" display="http://www.boxofficemojo.com/schedule/?view=bydate&amp;release=theatrical&amp;date=2010-09-17&amp;p=.htm"/>
    <hyperlink ref="C453" r:id="rId1347"/>
    <hyperlink ref="D453" r:id="rId1348"/>
    <hyperlink ref="I453" r:id="rId1349" display="http://www.boxofficemojo.com/schedule/?view=bydate&amp;release=theatrical&amp;date=2010-06-04&amp;p=.htm"/>
    <hyperlink ref="C454" r:id="rId1350"/>
    <hyperlink ref="D454" r:id="rId1351"/>
    <hyperlink ref="I454" r:id="rId1352" display="http://www.boxofficemojo.com/schedule/?view=bydate&amp;release=theatrical&amp;date=2010-02-19&amp;p=.htm"/>
    <hyperlink ref="C455" r:id="rId1353"/>
    <hyperlink ref="D455" r:id="rId1354"/>
    <hyperlink ref="I455" r:id="rId1355" display="http://www.boxofficemojo.com/schedule/?view=bydate&amp;release=theatrical&amp;date=2010-08-27&amp;p=.htm"/>
    <hyperlink ref="C456" r:id="rId1356"/>
    <hyperlink ref="D456" r:id="rId1357"/>
    <hyperlink ref="I456" r:id="rId1358" display="http://www.boxofficemojo.com/schedule/?view=bydate&amp;release=theatrical&amp;date=2010-10-08&amp;p=.htm"/>
    <hyperlink ref="C457" r:id="rId1359"/>
    <hyperlink ref="D457" r:id="rId1360"/>
    <hyperlink ref="I457" r:id="rId1361" display="http://www.boxofficemojo.com/schedule/?view=bydate&amp;release=theatrical&amp;date=2010-04-02&amp;p=.htm"/>
    <hyperlink ref="C458" r:id="rId1362"/>
    <hyperlink ref="D458" r:id="rId1363"/>
    <hyperlink ref="I458" r:id="rId1364" display="http://www.boxofficemojo.com/schedule/?view=bydate&amp;release=theatrical&amp;date=2010-04-23&amp;p=.htm"/>
    <hyperlink ref="C459" r:id="rId1365"/>
    <hyperlink ref="D459" r:id="rId1366"/>
    <hyperlink ref="I459" r:id="rId1367" display="http://www.boxofficemojo.com/schedule/?view=bydate&amp;release=theatrical&amp;date=2010-04-16&amp;p=.htm"/>
    <hyperlink ref="C460" r:id="rId1368"/>
    <hyperlink ref="D460" r:id="rId1369"/>
    <hyperlink ref="I460" r:id="rId1370" display="http://www.boxofficemojo.com/schedule/?view=bydate&amp;release=theatrical&amp;date=2010-11-05&amp;p=.htm"/>
    <hyperlink ref="C461" r:id="rId1371"/>
    <hyperlink ref="D461" r:id="rId1372"/>
    <hyperlink ref="I461" r:id="rId1373" display="http://www.boxofficemojo.com/schedule/?view=bydate&amp;release=theatrical&amp;date=2010-10-08&amp;p=.htm"/>
    <hyperlink ref="C462" r:id="rId1374"/>
    <hyperlink ref="D462" r:id="rId1375"/>
    <hyperlink ref="I462" r:id="rId1376" display="http://www.boxofficemojo.com/schedule/?view=bydate&amp;release=theatrical&amp;date=2010-05-14&amp;p=.htm"/>
    <hyperlink ref="C463" r:id="rId1377"/>
    <hyperlink ref="D463" r:id="rId1378"/>
    <hyperlink ref="I463" r:id="rId1379" display="http://www.boxofficemojo.com/schedule/?view=bydate&amp;release=theatrical&amp;date=2010-10-29&amp;p=.htm"/>
    <hyperlink ref="C464" r:id="rId1380"/>
    <hyperlink ref="D464" r:id="rId1381"/>
    <hyperlink ref="I464" r:id="rId1382" display="http://www.boxofficemojo.com/schedule/?view=bydate&amp;release=theatrical&amp;date=2010-09-17&amp;p=.htm"/>
    <hyperlink ref="C465" r:id="rId1383"/>
    <hyperlink ref="D465" r:id="rId1384"/>
    <hyperlink ref="I465" r:id="rId1385" display="http://www.boxofficemojo.com/schedule/?view=bydate&amp;release=theatrical&amp;date=2010-07-30&amp;p=.htm"/>
    <hyperlink ref="C466" r:id="rId1386"/>
    <hyperlink ref="D466" r:id="rId1387"/>
    <hyperlink ref="I466" r:id="rId1388" display="http://www.boxofficemojo.com/schedule/?view=bydate&amp;release=theatrical&amp;date=2010-09-03&amp;p=.htm"/>
    <hyperlink ref="C467" r:id="rId1389"/>
    <hyperlink ref="D467" r:id="rId1390"/>
    <hyperlink ref="I467" r:id="rId1391" display="http://www.boxofficemojo.com/schedule/?view=bydate&amp;release=theatrical&amp;date=2010-08-13&amp;p=.htm"/>
    <hyperlink ref="C468" r:id="rId1392"/>
    <hyperlink ref="D468" r:id="rId1393"/>
    <hyperlink ref="I468" r:id="rId1394" display="http://www.boxofficemojo.com/schedule/?view=bydate&amp;release=theatrical&amp;date=2010-05-21&amp;p=.htm"/>
    <hyperlink ref="C469" r:id="rId1395"/>
    <hyperlink ref="D469" r:id="rId1396"/>
    <hyperlink ref="I469" r:id="rId1397" display="http://www.boxofficemojo.com/schedule/?view=bydate&amp;release=theatrical&amp;date=2010-10-22&amp;p=.htm"/>
    <hyperlink ref="C470" r:id="rId1398"/>
    <hyperlink ref="D470" r:id="rId1399"/>
    <hyperlink ref="I470" r:id="rId1400" display="http://www.boxofficemojo.com/schedule/?view=bydate&amp;release=theatrical&amp;date=2010-10-08&amp;p=.htm"/>
    <hyperlink ref="C471" r:id="rId1401"/>
    <hyperlink ref="D471" r:id="rId1402"/>
    <hyperlink ref="I471" r:id="rId1403" display="http://www.boxofficemojo.com/schedule/?view=bydate&amp;release=theatrical&amp;date=2010-03-12&amp;p=.htm"/>
    <hyperlink ref="C472" r:id="rId1404"/>
    <hyperlink ref="D472" r:id="rId1405"/>
    <hyperlink ref="I472" r:id="rId1406" display="http://www.boxofficemojo.com/schedule/?view=bydate&amp;release=theatrical&amp;date=2010-12-03&amp;p=.htm"/>
    <hyperlink ref="C473" r:id="rId1407"/>
    <hyperlink ref="D473" r:id="rId1408"/>
    <hyperlink ref="I473" r:id="rId1409" display="http://www.boxofficemojo.com/schedule/?view=bydate&amp;release=theatrical&amp;date=2010-06-04&amp;p=.htm"/>
    <hyperlink ref="C474" r:id="rId1410"/>
    <hyperlink ref="D474" r:id="rId1411"/>
    <hyperlink ref="I474" r:id="rId1412" display="http://www.boxofficemojo.com/schedule/?view=bydate&amp;release=theatrical&amp;date=2010-03-26&amp;p=.htm"/>
    <hyperlink ref="C475" r:id="rId1413"/>
    <hyperlink ref="D475" r:id="rId1414"/>
    <hyperlink ref="I475" r:id="rId1415" display="http://www.boxofficemojo.com/schedule/?view=bydate&amp;release=theatrical&amp;date=2010-01-08&amp;p=.htm"/>
    <hyperlink ref="C476" r:id="rId1416"/>
    <hyperlink ref="D476" r:id="rId1417"/>
    <hyperlink ref="I476" r:id="rId1418" display="http://www.boxofficemojo.com/schedule/?view=bydate&amp;release=theatrical&amp;date=2010-08-27&amp;p=.htm"/>
    <hyperlink ref="C477" r:id="rId1419"/>
    <hyperlink ref="D477" r:id="rId1420"/>
    <hyperlink ref="I477" r:id="rId1421" display="http://www.boxofficemojo.com/schedule/?view=bydate&amp;release=theatrical&amp;date=2010-12-03&amp;p=.htm"/>
    <hyperlink ref="C478" r:id="rId1422"/>
    <hyperlink ref="D478" r:id="rId1423"/>
    <hyperlink ref="I478" r:id="rId1424" display="http://www.boxofficemojo.com/schedule/?view=bydate&amp;release=theatrical&amp;date=2010-08-27&amp;p=.htm"/>
    <hyperlink ref="C479" r:id="rId1425"/>
    <hyperlink ref="D479" r:id="rId1426"/>
    <hyperlink ref="I479" r:id="rId1427" display="http://www.boxofficemojo.com/schedule/?view=bydate&amp;release=theatrical&amp;date=2010-07-30&amp;p=.htm"/>
    <hyperlink ref="C480" r:id="rId1428"/>
    <hyperlink ref="D480" r:id="rId1429"/>
    <hyperlink ref="I480" r:id="rId1430" display="http://www.boxofficemojo.com/schedule/?view=bydate&amp;release=theatrical&amp;date=2010-10-15&amp;p=.htm"/>
    <hyperlink ref="C481" r:id="rId1431"/>
    <hyperlink ref="D481" r:id="rId1432"/>
    <hyperlink ref="I481" r:id="rId1433" display="http://www.boxofficemojo.com/schedule/?view=bydate&amp;release=theatrical&amp;date=2010-01-08&amp;p=.htm"/>
    <hyperlink ref="C482" r:id="rId1434"/>
    <hyperlink ref="D482" r:id="rId1435"/>
    <hyperlink ref="I482" r:id="rId1436" display="http://www.boxofficemojo.com/schedule/?view=bydate&amp;release=theatrical&amp;date=2010-01-08&amp;p=.htm"/>
    <hyperlink ref="C483" r:id="rId1437"/>
    <hyperlink ref="D483" r:id="rId1438"/>
    <hyperlink ref="I483" r:id="rId1439" display="http://www.boxofficemojo.com/schedule/?view=bydate&amp;release=theatrical&amp;date=2010-08-06&amp;p=.htm"/>
    <hyperlink ref="C484" r:id="rId1440"/>
    <hyperlink ref="D484" r:id="rId1441"/>
    <hyperlink ref="I484" r:id="rId1442" display="http://www.boxofficemojo.com/schedule/?view=bydate&amp;release=theatrical&amp;date=2010-07-02&amp;p=.htm"/>
    <hyperlink ref="C485" r:id="rId1443"/>
    <hyperlink ref="D485" r:id="rId1444"/>
    <hyperlink ref="I485" r:id="rId1445" display="http://www.boxofficemojo.com/schedule/?view=bydate&amp;release=theatrical&amp;date=2010-07-09&amp;p=.htm"/>
    <hyperlink ref="C486" r:id="rId1446"/>
    <hyperlink ref="D486" r:id="rId1447"/>
    <hyperlink ref="I486" r:id="rId1448" display="http://www.boxofficemojo.com/schedule/?view=bydate&amp;release=theatrical&amp;date=2010-03-12&amp;p=.htm"/>
    <hyperlink ref="C487" r:id="rId1449"/>
    <hyperlink ref="D487" r:id="rId1450"/>
    <hyperlink ref="I487" r:id="rId1451" display="http://www.boxofficemojo.com/schedule/?view=bydate&amp;release=theatrical&amp;date=2010-07-23&amp;p=.htm"/>
    <hyperlink ref="C488" r:id="rId1452"/>
    <hyperlink ref="D488" r:id="rId1453"/>
    <hyperlink ref="I488" r:id="rId1454" display="http://www.boxofficemojo.com/schedule/?view=bydate&amp;release=theatrical&amp;date=2010-10-01&amp;p=.htm"/>
    <hyperlink ref="C489" r:id="rId1455"/>
    <hyperlink ref="D489" r:id="rId1456"/>
    <hyperlink ref="I489" r:id="rId1457" display="http://www.boxofficemojo.com/schedule/?view=bydate&amp;release=theatrical&amp;date=2010-03-12&amp;p=.htm"/>
    <hyperlink ref="C490" r:id="rId1458"/>
    <hyperlink ref="D490" r:id="rId1459"/>
    <hyperlink ref="I490" r:id="rId1460" display="http://www.boxofficemojo.com/schedule/?view=bydate&amp;release=theatrical&amp;date=2010-07-16&amp;p=.htm"/>
    <hyperlink ref="C491" r:id="rId1461"/>
    <hyperlink ref="D491" r:id="rId1462"/>
    <hyperlink ref="I491" r:id="rId1463" display="http://www.boxofficemojo.com/schedule/?view=bydate&amp;release=theatrical&amp;date=2010-04-02&amp;p=.htm"/>
    <hyperlink ref="C492" r:id="rId1464"/>
    <hyperlink ref="D492" r:id="rId1465"/>
    <hyperlink ref="I492" r:id="rId1466" display="http://www.boxofficemojo.com/schedule/?view=bydate&amp;release=theatrical&amp;date=2010-06-11&amp;p=.htm"/>
    <hyperlink ref="C493" r:id="rId1467"/>
    <hyperlink ref="D493" r:id="rId1468"/>
    <hyperlink ref="I493" r:id="rId1469" display="http://www.boxofficemojo.com/schedule/?view=bydate&amp;release=theatrical&amp;date=2010-05-07&amp;p=.htm"/>
    <hyperlink ref="C494" r:id="rId1470"/>
    <hyperlink ref="D494" r:id="rId1471"/>
    <hyperlink ref="I494" r:id="rId1472" display="http://www.boxofficemojo.com/schedule/?view=bydate&amp;release=theatrical&amp;date=2010-09-10&amp;p=.htm"/>
    <hyperlink ref="C495" r:id="rId1473"/>
    <hyperlink ref="D495" r:id="rId1474"/>
    <hyperlink ref="I495" r:id="rId1475" display="http://www.boxofficemojo.com/schedule/?view=bydate&amp;release=theatrical&amp;date=2010-01-22&amp;p=.htm"/>
    <hyperlink ref="C496" r:id="rId1476"/>
    <hyperlink ref="D496" r:id="rId1477"/>
    <hyperlink ref="I496" r:id="rId1478" display="http://www.boxofficemojo.com/schedule/?view=bydate&amp;release=theatrical&amp;date=2010-06-04&amp;p=.htm"/>
    <hyperlink ref="C497" r:id="rId1479"/>
    <hyperlink ref="D497" r:id="rId1480"/>
    <hyperlink ref="I497" r:id="rId1481" display="http://www.boxofficemojo.com/schedule/?view=bydate&amp;release=theatrical&amp;date=2010-04-30&amp;p=.htm"/>
    <hyperlink ref="C498" r:id="rId1482"/>
    <hyperlink ref="D498" r:id="rId1483"/>
    <hyperlink ref="I498" r:id="rId1484" display="http://www.boxofficemojo.com/schedule/?view=bydate&amp;release=theatrical&amp;date=2010-11-19&amp;p=.htm"/>
    <hyperlink ref="C499" r:id="rId1485"/>
    <hyperlink ref="D499" r:id="rId1486"/>
    <hyperlink ref="I499" r:id="rId1487" display="http://www.boxofficemojo.com/schedule/?view=bydate&amp;release=theatrical&amp;date=2010-03-26&amp;p=.htm"/>
    <hyperlink ref="C500" r:id="rId1488"/>
    <hyperlink ref="D500" r:id="rId1489"/>
    <hyperlink ref="I500" r:id="rId1490" display="http://www.boxofficemojo.com/schedule/?view=bydate&amp;release=theatrical&amp;date=2010-01-22&amp;p=.htm"/>
    <hyperlink ref="C501" r:id="rId1491"/>
    <hyperlink ref="D501" r:id="rId1492"/>
    <hyperlink ref="I501" r:id="rId1493" display="http://www.boxofficemojo.com/schedule/?view=bydate&amp;release=theatrical&amp;date=2010-12-29&amp;p=.htm"/>
    <hyperlink ref="C502" r:id="rId1494"/>
    <hyperlink ref="D502" r:id="rId1495"/>
    <hyperlink ref="I502" r:id="rId1496" display="http://www.boxofficemojo.com/schedule/?view=bydate&amp;release=theatrical&amp;date=2010-10-22&amp;p=.htm"/>
    <hyperlink ref="C503" r:id="rId1497"/>
    <hyperlink ref="D503" r:id="rId1498"/>
    <hyperlink ref="I503" r:id="rId1499" display="http://www.boxofficemojo.com/schedule/?view=bydate&amp;release=theatrical&amp;date=2010-09-17&amp;p=.htm"/>
    <hyperlink ref="C504" r:id="rId1500"/>
    <hyperlink ref="D504" r:id="rId1501"/>
    <hyperlink ref="I504" r:id="rId1502" display="http://www.boxofficemojo.com/schedule/?view=bydate&amp;release=theatrical&amp;date=2010-09-10&amp;p=.htm"/>
    <hyperlink ref="C505" r:id="rId1503"/>
    <hyperlink ref="D505" r:id="rId1504"/>
    <hyperlink ref="I505" r:id="rId1505" display="http://www.boxofficemojo.com/schedule/?view=bydate&amp;release=theatrical&amp;date=2010-06-18&amp;p=.htm"/>
    <hyperlink ref="C506" r:id="rId1506"/>
    <hyperlink ref="D506" r:id="rId1507"/>
    <hyperlink ref="I506" r:id="rId1508" display="http://www.boxofficemojo.com/schedule/?view=bydate&amp;release=theatrical&amp;date=2010-06-04&amp;p=.htm"/>
    <hyperlink ref="C507" r:id="rId1509"/>
    <hyperlink ref="D507" r:id="rId1510"/>
    <hyperlink ref="I507" r:id="rId1511" display="http://www.boxofficemojo.com/schedule/?view=bydate&amp;release=theatrical&amp;date=2010-06-04&amp;p=.htm"/>
    <hyperlink ref="C508" r:id="rId1512"/>
    <hyperlink ref="D508" r:id="rId1513"/>
    <hyperlink ref="I508" r:id="rId1514" display="http://www.boxofficemojo.com/schedule/?view=bydate&amp;release=theatrical&amp;date=2010-12-24&amp;p=.htm"/>
    <hyperlink ref="C509" r:id="rId1515"/>
    <hyperlink ref="D509" r:id="rId1516"/>
    <hyperlink ref="I509" r:id="rId1517" display="http://www.boxofficemojo.com/schedule/?view=bydate&amp;release=theatrical&amp;date=2010-08-06&amp;p=.htm"/>
    <hyperlink ref="C510" r:id="rId1518"/>
    <hyperlink ref="D510" r:id="rId1519"/>
    <hyperlink ref="I510" r:id="rId1520" display="http://www.boxofficemojo.com/schedule/?view=bydate&amp;release=theatrical&amp;date=2010-12-17&amp;p=.htm"/>
    <hyperlink ref="C511" r:id="rId1521"/>
    <hyperlink ref="D511" r:id="rId1522"/>
    <hyperlink ref="I511" r:id="rId1523" display="http://www.boxofficemojo.com/schedule/?view=bydate&amp;release=theatrical&amp;date=2010-02-05&amp;p=.htm"/>
    <hyperlink ref="C512" r:id="rId1524"/>
    <hyperlink ref="D512" r:id="rId1525"/>
    <hyperlink ref="I512" r:id="rId1526" display="http://www.boxofficemojo.com/schedule/?view=bydate&amp;release=theatrical&amp;date=2010-03-19&amp;p=.htm"/>
    <hyperlink ref="C513" r:id="rId1527"/>
    <hyperlink ref="D513" r:id="rId1528"/>
    <hyperlink ref="I513" r:id="rId1529" display="http://www.boxofficemojo.com/schedule/?view=bydate&amp;release=theatrical&amp;date=2010-11-12&amp;p=.htm"/>
    <hyperlink ref="C514" r:id="rId1530"/>
    <hyperlink ref="D514" r:id="rId1531"/>
    <hyperlink ref="I514" r:id="rId1532" display="http://www.boxofficemojo.com/schedule/?view=bydate&amp;release=theatrical&amp;date=2010-10-22&amp;p=.htm"/>
    <hyperlink ref="C515" r:id="rId1533"/>
    <hyperlink ref="D515" r:id="rId1534"/>
    <hyperlink ref="I515" r:id="rId1535" display="http://www.boxofficemojo.com/schedule/?view=bydate&amp;release=theatrical&amp;date=2010-03-26&amp;p=.htm"/>
    <hyperlink ref="C516" r:id="rId1536"/>
    <hyperlink ref="D516" r:id="rId1537"/>
    <hyperlink ref="I516" r:id="rId1538" display="http://www.boxofficemojo.com/schedule/?view=bydate&amp;release=theatrical&amp;date=2010-05-14&amp;p=.htm"/>
    <hyperlink ref="C517" r:id="rId1539"/>
    <hyperlink ref="D517" r:id="rId1540"/>
    <hyperlink ref="I517" r:id="rId1541" display="http://www.boxofficemojo.com/schedule/?view=bydate&amp;release=theatrical&amp;date=2010-11-19&amp;p=.htm"/>
    <hyperlink ref="C518" r:id="rId1542"/>
    <hyperlink ref="D518" r:id="rId1543"/>
    <hyperlink ref="I518" r:id="rId1544" display="http://www.boxofficemojo.com/schedule/?view=bydate&amp;release=theatrical&amp;date=2010-07-30&amp;p=.htm"/>
    <hyperlink ref="C519" r:id="rId1545"/>
    <hyperlink ref="D519" r:id="rId1546"/>
    <hyperlink ref="I519" r:id="rId1547" display="http://www.boxofficemojo.com/schedule/?view=bydate&amp;release=theatrical&amp;date=2010-09-16&amp;p=.htm"/>
    <hyperlink ref="C520" r:id="rId1548"/>
    <hyperlink ref="D520" r:id="rId1549"/>
    <hyperlink ref="I520" r:id="rId1550" display="http://www.boxofficemojo.com/schedule/?view=bydate&amp;release=theatrical&amp;date=2010-06-11&amp;p=.htm"/>
    <hyperlink ref="C521" r:id="rId1551"/>
    <hyperlink ref="D521" r:id="rId1552"/>
    <hyperlink ref="I521" r:id="rId1553" display="http://www.boxofficemojo.com/schedule/?view=bydate&amp;release=theatrical&amp;date=2010-01-22&amp;p=.htm"/>
    <hyperlink ref="C522" r:id="rId1554"/>
    <hyperlink ref="D522" r:id="rId1555"/>
    <hyperlink ref="I522" r:id="rId1556" display="http://www.boxofficemojo.com/schedule/?view=bydate&amp;release=theatrical&amp;date=2010-09-17&amp;p=.htm"/>
    <hyperlink ref="C523" r:id="rId1557"/>
    <hyperlink ref="D523" r:id="rId1558"/>
    <hyperlink ref="I523" r:id="rId1559" display="http://www.boxofficemojo.com/schedule/?view=bydate&amp;release=theatrical&amp;date=2010-03-12&amp;p=.htm"/>
    <hyperlink ref="C524" r:id="rId1560"/>
    <hyperlink ref="D524" r:id="rId1561"/>
    <hyperlink ref="I524" r:id="rId1562" display="http://www.boxofficemojo.com/schedule/?view=bydate&amp;release=theatrical&amp;date=2010-09-10&amp;p=.htm"/>
    <hyperlink ref="C525" r:id="rId1563"/>
    <hyperlink ref="D525" r:id="rId1564"/>
    <hyperlink ref="I525" r:id="rId1565" display="http://www.boxofficemojo.com/schedule/?view=bydate&amp;release=theatrical&amp;date=2010-08-20&amp;p=.htm"/>
    <hyperlink ref="C526" r:id="rId1566"/>
    <hyperlink ref="D526" r:id="rId1567"/>
    <hyperlink ref="I526" r:id="rId1568" display="http://www.boxofficemojo.com/schedule/?view=bydate&amp;release=theatrical&amp;date=2010-10-29&amp;p=.htm"/>
    <hyperlink ref="C527" r:id="rId1569"/>
    <hyperlink ref="D527" r:id="rId1570"/>
    <hyperlink ref="I527" r:id="rId1571" display="http://www.boxofficemojo.com/schedule/?view=bydate&amp;release=theatrical&amp;date=2010-04-23&amp;p=.htm"/>
    <hyperlink ref="C528" r:id="rId1572"/>
    <hyperlink ref="D528" r:id="rId1573"/>
    <hyperlink ref="I528" r:id="rId1574" display="http://www.boxofficemojo.com/schedule/?view=bydate&amp;release=theatrical&amp;date=2010-08-27&amp;p=.htm"/>
    <hyperlink ref="C529" r:id="rId1575"/>
    <hyperlink ref="D529" r:id="rId1576"/>
    <hyperlink ref="I529" r:id="rId1577" display="http://www.boxofficemojo.com/schedule/?view=bydate&amp;release=theatrical&amp;date=2010-12-10&amp;p=.htm"/>
    <hyperlink ref="C530" r:id="rId1578"/>
    <hyperlink ref="D530" r:id="rId1579"/>
    <hyperlink ref="I530" r:id="rId1580" display="http://www.boxofficemojo.com/schedule/?view=bydate&amp;release=theatrical&amp;date=2010-09-17&amp;p=.htm"/>
    <hyperlink ref="C531" r:id="rId1581"/>
    <hyperlink ref="D531" r:id="rId1582"/>
    <hyperlink ref="I531" r:id="rId1583" display="http://www.boxofficemojo.com/schedule/?view=bydate&amp;release=theatrical&amp;date=2010-04-16&amp;p=.htm"/>
    <hyperlink ref="C532" r:id="rId1584"/>
    <hyperlink ref="D532" r:id="rId1585"/>
    <hyperlink ref="I532" r:id="rId1586" display="http://www.boxofficemojo.com/schedule/?view=bydate&amp;release=theatrical&amp;date=2010-10-08&amp;p=.htm"/>
    <hyperlink ref="C533" r:id="rId1587"/>
    <hyperlink ref="D533" r:id="rId1588"/>
    <hyperlink ref="I533" r:id="rId1589" display="http://www.boxofficemojo.com/schedule/?view=bydate&amp;release=theatrical&amp;date=2010-01-29&amp;p=.htm"/>
    <hyperlink ref="C534" r:id="rId1590"/>
    <hyperlink ref="D534" r:id="rId1591"/>
    <hyperlink ref="I534" r:id="rId1592" display="http://www.boxofficemojo.com/schedule/?view=bydate&amp;release=theatrical&amp;date=2010-09-17&amp;p=.htm"/>
    <hyperlink ref="C535" r:id="rId1593"/>
    <hyperlink ref="D535" r:id="rId1594"/>
    <hyperlink ref="I535" r:id="rId1595" display="http://www.boxofficemojo.com/schedule/?view=bydate&amp;release=theatrical&amp;date=2010-09-24&amp;p=.htm"/>
    <hyperlink ref="C536" r:id="rId1596"/>
    <hyperlink ref="D536" r:id="rId1597"/>
    <hyperlink ref="I536" r:id="rId1598" display="http://www.boxofficemojo.com/schedule/?view=bydate&amp;release=theatrical&amp;date=2010-03-26&amp;p=.htm"/>
    <hyperlink ref="C537" r:id="rId1599"/>
    <hyperlink ref="D537" r:id="rId1600"/>
    <hyperlink ref="I537" r:id="rId1601" display="http://www.boxofficemojo.com/schedule/?view=bydate&amp;release=theatrical&amp;date=2010-10-15&amp;p=.htm"/>
    <hyperlink ref="C538" r:id="rId1602"/>
    <hyperlink ref="D538" r:id="rId1603"/>
    <hyperlink ref="I538" r:id="rId1604" display="http://www.boxofficemojo.com/schedule/?view=bydate&amp;release=theatrical&amp;date=2010-01-22&amp;p=.htm"/>
    <hyperlink ref="C539" r:id="rId1605" display="http://www.boxofficemojo.com/movies/?id=45365.htm"/>
    <hyperlink ref="D539" r:id="rId1606"/>
    <hyperlink ref="I539" r:id="rId1607" display="http://www.boxofficemojo.com/schedule/?view=bydate&amp;release=theatrical&amp;date=2010-02-26&amp;p=.htm"/>
    <hyperlink ref="C540" r:id="rId1608"/>
    <hyperlink ref="D540" r:id="rId1609"/>
    <hyperlink ref="I540" r:id="rId1610" display="http://www.boxofficemojo.com/schedule/?view=bydate&amp;release=theatrical&amp;date=2010-05-21&amp;p=.htm"/>
    <hyperlink ref="C541" r:id="rId1611"/>
    <hyperlink ref="D541" r:id="rId1612"/>
    <hyperlink ref="I541" r:id="rId1613" display="http://www.boxofficemojo.com/schedule/?view=bydate&amp;release=theatrical&amp;date=2010-10-29&amp;p=.htm"/>
    <hyperlink ref="C542" r:id="rId1614"/>
    <hyperlink ref="D542" r:id="rId1615"/>
    <hyperlink ref="I542" r:id="rId1616" display="http://www.boxofficemojo.com/schedule/?view=bydate&amp;release=theatrical&amp;date=2010-10-29&amp;p=.htm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729"/>
  <sheetViews>
    <sheetView topLeftCell="A272" workbookViewId="0">
      <selection activeCell="A289" sqref="A289"/>
    </sheetView>
  </sheetViews>
  <sheetFormatPr baseColWidth="10" defaultRowHeight="16" x14ac:dyDescent="0.2"/>
  <cols>
    <col min="1" max="2" width="10.83203125" style="1"/>
    <col min="3" max="3" width="38.5" style="1" customWidth="1"/>
    <col min="4" max="4" width="43.6640625" style="1" bestFit="1" customWidth="1"/>
    <col min="5" max="11" width="10.83203125" style="1"/>
    <col min="12" max="12" width="24" style="1" bestFit="1" customWidth="1"/>
    <col min="13" max="13" width="24.5" style="1" customWidth="1"/>
    <col min="14" max="14" width="46" style="1" bestFit="1" customWidth="1"/>
    <col min="15" max="16384" width="10.83203125" style="1"/>
  </cols>
  <sheetData>
    <row r="1" spans="2:14" x14ac:dyDescent="0.2">
      <c r="M1" s="19" t="s">
        <v>3122</v>
      </c>
      <c r="N1" s="19"/>
    </row>
    <row r="2" spans="2:14" x14ac:dyDescent="0.2">
      <c r="L2" s="1" t="str">
        <f>"TRUE for all 727 "&amp;TEXT((COUNTIF(L6:L729,"TRUE")/COUNTA(L6:L729)),"0.00%")</f>
        <v>TRUE for all 727 0.00%</v>
      </c>
      <c r="M2" s="1" t="str">
        <f>"TRUE for all 727 "&amp;TEXT(1-(COUNTIF(M6:M729,#N/A)/COUNTA(M6:M729)),"0.00%")</f>
        <v>TRUE for all 727 0.27%</v>
      </c>
      <c r="N2" s="1" t="str">
        <f>"TRUE for all 727 "&amp;TEXT(1-((COUNTIF(N6:N729,#N/A)+COUNTIF(N6:N729,"#VALUE!"))/COUNTA(N6:N729)),"0.00%")</f>
        <v>TRUE for all 727 0.92%</v>
      </c>
    </row>
    <row r="3" spans="2:14" x14ac:dyDescent="0.2">
      <c r="L3" s="1" t="str">
        <f>"TRUE for all 300 "&amp;TEXT((COUNTIF(L6:L306,"TRUE")/COUNTA(L6:L306)),"0.00%")</f>
        <v>TRUE for all 300 0.00%</v>
      </c>
      <c r="M3" s="1" t="str">
        <f>"TRUE for all 300 "&amp;TEXT(1-(COUNTIF(M6:M306,#N/A)/COUNTA(M6:M306)),"0.00%")</f>
        <v>TRUE for all 300 0.57%</v>
      </c>
      <c r="N3" s="1" t="str">
        <f>"TRUE for all 300 "&amp;TEXT(1-((COUNTIF(N6:N306,#N/A)+COUNTIF(N6:N306,"#VALUE!"))/COUNTA(N6:N306)),"0.00%")</f>
        <v>TRUE for all 300 0.96%</v>
      </c>
    </row>
    <row r="4" spans="2:14" x14ac:dyDescent="0.2">
      <c r="L4" s="1" t="str">
        <f>"TRUE for all 100 "&amp;TEXT((COUNTIF(L6:L106,"TRUE")/COUNTA(L6:L106)),"0.00%")</f>
        <v>TRUE for all 100 0.00%</v>
      </c>
      <c r="M4" s="1" t="str">
        <f>"TRUE for all 100 "&amp;TEXT(1-(COUNTIF(M6:M106,#N/A)/COUNTA(M6:M106)),"0.00%")</f>
        <v>TRUE for all 100 0.87%</v>
      </c>
      <c r="N4" s="1" t="str">
        <f>"TRUE for all 100 "&amp;TEXT(1-((COUNTIF(N6:N106,#N/A)+COUNTIF(N6:N106,"#VALUE!"))/COUNTA(N6:N106)),"0.00%")</f>
        <v>TRUE for all 100 1.00%</v>
      </c>
    </row>
    <row r="5" spans="2:14" x14ac:dyDescent="0.2">
      <c r="B5" s="2" t="s">
        <v>550</v>
      </c>
      <c r="C5" s="2" t="s">
        <v>551</v>
      </c>
      <c r="D5" s="2" t="s">
        <v>3118</v>
      </c>
      <c r="E5" s="2"/>
      <c r="F5" s="2" t="s">
        <v>2751</v>
      </c>
      <c r="G5" s="2"/>
      <c r="H5" s="2" t="s">
        <v>2752</v>
      </c>
      <c r="I5" s="2"/>
      <c r="J5" s="2" t="s">
        <v>552</v>
      </c>
      <c r="K5" s="2" t="s">
        <v>553</v>
      </c>
      <c r="L5" s="2" t="s">
        <v>923</v>
      </c>
      <c r="M5" s="2" t="s">
        <v>3119</v>
      </c>
      <c r="N5" s="2" t="s">
        <v>3120</v>
      </c>
    </row>
    <row r="6" spans="2:14" x14ac:dyDescent="0.2">
      <c r="B6" s="6">
        <v>1</v>
      </c>
      <c r="C6" s="3" t="s">
        <v>525</v>
      </c>
      <c r="D6" t="str">
        <f t="shared" ref="D6:D69" si="0">IF(ISERROR(M6),TRIM(LEFT(C6,FIND("(",C6)-1)),"")</f>
        <v/>
      </c>
      <c r="E6" s="3" t="s">
        <v>554</v>
      </c>
      <c r="F6" s="7" t="s">
        <v>555</v>
      </c>
      <c r="G6" s="6" t="s">
        <v>556</v>
      </c>
      <c r="H6" s="6" t="s">
        <v>557</v>
      </c>
      <c r="I6" s="6" t="s">
        <v>556</v>
      </c>
      <c r="J6" s="4">
        <v>43449</v>
      </c>
      <c r="K6" s="6" t="s">
        <v>558</v>
      </c>
      <c r="L6" s="1" t="b">
        <f>IF(MATCH(C6,Wiki!B:B,0)&lt;&gt;0,TRUE,FALSE)</f>
        <v>1</v>
      </c>
      <c r="M6" s="1" t="str">
        <f>INDEX(Wiki!K:K,MATCH('BOM2017'!C6,Wiki!B:B,0))</f>
        <v>Star_Wars:_The_Last_Jedi</v>
      </c>
      <c r="N6" s="1" t="str">
        <f>IFERROR(M6,INDEX(Wiki!K:K,MATCH('BOM2017'!D6,Wiki!B:B,0)))</f>
        <v>Star_Wars:_The_Last_Jedi</v>
      </c>
    </row>
    <row r="7" spans="2:14" x14ac:dyDescent="0.2">
      <c r="B7" s="6">
        <v>2</v>
      </c>
      <c r="C7" s="3" t="s">
        <v>559</v>
      </c>
      <c r="D7" t="str">
        <f t="shared" si="0"/>
        <v>Beauty and the Beast</v>
      </c>
      <c r="E7" s="3" t="s">
        <v>554</v>
      </c>
      <c r="F7" s="7" t="s">
        <v>560</v>
      </c>
      <c r="G7" s="6" t="s">
        <v>561</v>
      </c>
      <c r="H7" s="6" t="s">
        <v>562</v>
      </c>
      <c r="I7" s="6" t="s">
        <v>561</v>
      </c>
      <c r="J7" s="4">
        <v>43176</v>
      </c>
      <c r="K7" s="8">
        <v>43294</v>
      </c>
      <c r="L7" s="1" t="e">
        <f>IF(MATCH(C7,Wiki!B:B,0)&lt;&gt;0,TRUE,FALSE)</f>
        <v>#N/A</v>
      </c>
      <c r="M7" s="1" t="e">
        <f>INDEX(Wiki!K:K,MATCH('BOM2017'!C7,Wiki!B:B,0))</f>
        <v>#N/A</v>
      </c>
      <c r="N7" s="1" t="str">
        <f>IFERROR(M7,INDEX(Wiki!K:K,MATCH('BOM2017'!D7,Wiki!B:B,0)))</f>
        <v>Beauty_and_the_Beast_(2017_film)</v>
      </c>
    </row>
    <row r="8" spans="2:14" x14ac:dyDescent="0.2">
      <c r="B8" s="6">
        <v>3</v>
      </c>
      <c r="C8" s="3" t="s">
        <v>265</v>
      </c>
      <c r="D8" t="str">
        <f t="shared" si="0"/>
        <v/>
      </c>
      <c r="E8" s="3" t="s">
        <v>563</v>
      </c>
      <c r="F8" s="7" t="s">
        <v>564</v>
      </c>
      <c r="G8" s="6" t="s">
        <v>565</v>
      </c>
      <c r="H8" s="6" t="s">
        <v>566</v>
      </c>
      <c r="I8" s="6" t="s">
        <v>565</v>
      </c>
      <c r="J8" s="4">
        <v>43253</v>
      </c>
      <c r="K8" s="8">
        <v>43413</v>
      </c>
      <c r="L8" s="1" t="b">
        <f>IF(MATCH(C8,Wiki!B:B,0)&lt;&gt;0,TRUE,FALSE)</f>
        <v>1</v>
      </c>
      <c r="M8" s="1" t="str">
        <f>INDEX(Wiki!K:K,MATCH('BOM2017'!C8,Wiki!B:B,0))</f>
        <v>Wonder_Woman_(2017_film)</v>
      </c>
      <c r="N8" s="1" t="str">
        <f>IFERROR(M8,INDEX(Wiki!K:K,MATCH('BOM2017'!D8,Wiki!B:B,0)))</f>
        <v>Wonder_Woman_(2017_film)</v>
      </c>
    </row>
    <row r="9" spans="2:14" x14ac:dyDescent="0.2">
      <c r="B9" s="6">
        <v>4</v>
      </c>
      <c r="C9" s="3" t="s">
        <v>204</v>
      </c>
      <c r="D9" t="str">
        <f t="shared" si="0"/>
        <v/>
      </c>
      <c r="E9" s="3" t="s">
        <v>554</v>
      </c>
      <c r="F9" s="7" t="s">
        <v>567</v>
      </c>
      <c r="G9" s="6" t="s">
        <v>568</v>
      </c>
      <c r="H9" s="6" t="s">
        <v>569</v>
      </c>
      <c r="I9" s="6" t="s">
        <v>568</v>
      </c>
      <c r="J9" s="4">
        <v>43225</v>
      </c>
      <c r="K9" s="8">
        <v>43364</v>
      </c>
      <c r="L9" s="1" t="b">
        <f>IF(MATCH(C9,Wiki!B:B,0)&lt;&gt;0,TRUE,FALSE)</f>
        <v>1</v>
      </c>
      <c r="M9" s="1" t="str">
        <f>INDEX(Wiki!K:K,MATCH('BOM2017'!C9,Wiki!B:B,0))</f>
        <v>Guardians_of_the_Galaxy_Vol._2</v>
      </c>
      <c r="N9" s="1" t="str">
        <f>IFERROR(M9,INDEX(Wiki!K:K,MATCH('BOM2017'!D9,Wiki!B:B,0)))</f>
        <v>Guardians_of_the_Galaxy_Vol._2</v>
      </c>
    </row>
    <row r="10" spans="2:14" x14ac:dyDescent="0.2">
      <c r="B10" s="6">
        <v>5</v>
      </c>
      <c r="C10" s="3" t="s">
        <v>313</v>
      </c>
      <c r="D10" t="str">
        <f t="shared" si="0"/>
        <v/>
      </c>
      <c r="E10" s="3" t="s">
        <v>570</v>
      </c>
      <c r="F10" s="7" t="s">
        <v>571</v>
      </c>
      <c r="G10" s="6" t="s">
        <v>572</v>
      </c>
      <c r="H10" s="6" t="s">
        <v>573</v>
      </c>
      <c r="I10" s="6" t="s">
        <v>572</v>
      </c>
      <c r="J10" s="4">
        <v>43288</v>
      </c>
      <c r="K10" s="8">
        <v>43434</v>
      </c>
      <c r="L10" s="1" t="b">
        <f>IF(MATCH(C10,Wiki!B:B,0)&lt;&gt;0,TRUE,FALSE)</f>
        <v>1</v>
      </c>
      <c r="M10" s="1" t="str">
        <f>INDEX(Wiki!K:K,MATCH('BOM2017'!C10,Wiki!B:B,0))</f>
        <v>Spider-Man:_Homecoming</v>
      </c>
      <c r="N10" s="1" t="str">
        <f>IFERROR(M10,INDEX(Wiki!K:K,MATCH('BOM2017'!D10,Wiki!B:B,0)))</f>
        <v>Spider-Man:_Homecoming</v>
      </c>
    </row>
    <row r="11" spans="2:14" x14ac:dyDescent="0.2">
      <c r="B11" s="6">
        <v>6</v>
      </c>
      <c r="C11" s="3" t="s">
        <v>392</v>
      </c>
      <c r="D11" t="str">
        <f t="shared" si="0"/>
        <v/>
      </c>
      <c r="E11" s="3" t="s">
        <v>574</v>
      </c>
      <c r="F11" s="7" t="s">
        <v>575</v>
      </c>
      <c r="G11" s="6" t="s">
        <v>576</v>
      </c>
      <c r="H11" s="6" t="s">
        <v>577</v>
      </c>
      <c r="I11" s="6" t="s">
        <v>578</v>
      </c>
      <c r="J11" s="4">
        <v>43351</v>
      </c>
      <c r="K11" s="8">
        <v>43448</v>
      </c>
      <c r="L11" s="1" t="b">
        <f>IF(MATCH(C11,Wiki!B:B,0)&lt;&gt;0,TRUE,FALSE)</f>
        <v>1</v>
      </c>
      <c r="M11" s="1" t="str">
        <f>INDEX(Wiki!K:K,MATCH('BOM2017'!C11,Wiki!B:B,0))</f>
        <v>It_(2017_film)</v>
      </c>
      <c r="N11" s="1" t="str">
        <f>IFERROR(M11,INDEX(Wiki!K:K,MATCH('BOM2017'!D11,Wiki!B:B,0)))</f>
        <v>It_(2017_film)</v>
      </c>
    </row>
    <row r="12" spans="2:14" x14ac:dyDescent="0.2">
      <c r="B12" s="6">
        <v>7</v>
      </c>
      <c r="C12" s="3" t="s">
        <v>520</v>
      </c>
      <c r="D12" t="str">
        <f t="shared" si="0"/>
        <v/>
      </c>
      <c r="E12" s="3" t="s">
        <v>570</v>
      </c>
      <c r="F12" s="7" t="s">
        <v>579</v>
      </c>
      <c r="G12" s="6" t="s">
        <v>580</v>
      </c>
      <c r="H12" s="6" t="s">
        <v>581</v>
      </c>
      <c r="I12" s="6" t="s">
        <v>582</v>
      </c>
      <c r="J12" s="4">
        <v>43454</v>
      </c>
      <c r="K12" s="6" t="s">
        <v>558</v>
      </c>
      <c r="L12" s="1" t="b">
        <f>IF(MATCH(C12,Wiki!B:B,0)&lt;&gt;0,TRUE,FALSE)</f>
        <v>1</v>
      </c>
      <c r="M12" s="1" t="str">
        <f>INDEX(Wiki!K:K,MATCH('BOM2017'!C12,Wiki!B:B,0))</f>
        <v>Jumanji:_Welcome_to_the_Jungle</v>
      </c>
      <c r="N12" s="1" t="str">
        <f>IFERROR(M12,INDEX(Wiki!K:K,MATCH('BOM2017'!D12,Wiki!B:B,0)))</f>
        <v>Jumanji:_Welcome_to_the_Jungle</v>
      </c>
    </row>
    <row r="13" spans="2:14" x14ac:dyDescent="0.2">
      <c r="B13" s="6">
        <v>8</v>
      </c>
      <c r="C13" s="3" t="s">
        <v>452</v>
      </c>
      <c r="D13" t="str">
        <f t="shared" si="0"/>
        <v/>
      </c>
      <c r="E13" s="3" t="s">
        <v>554</v>
      </c>
      <c r="F13" s="7" t="s">
        <v>583</v>
      </c>
      <c r="G13" s="6" t="s">
        <v>584</v>
      </c>
      <c r="H13" s="6" t="s">
        <v>585</v>
      </c>
      <c r="I13" s="6" t="s">
        <v>584</v>
      </c>
      <c r="J13" s="4">
        <v>43407</v>
      </c>
      <c r="K13" s="6" t="s">
        <v>558</v>
      </c>
      <c r="L13" s="1" t="b">
        <f>IF(MATCH(C13,Wiki!B:B,0)&lt;&gt;0,TRUE,FALSE)</f>
        <v>1</v>
      </c>
      <c r="M13" s="1" t="str">
        <f>INDEX(Wiki!K:K,MATCH('BOM2017'!C13,Wiki!B:B,0))</f>
        <v>Thor:_Ragnarok</v>
      </c>
      <c r="N13" s="1" t="str">
        <f>IFERROR(M13,INDEX(Wiki!K:K,MATCH('BOM2017'!D13,Wiki!B:B,0)))</f>
        <v>Thor:_Ragnarok</v>
      </c>
    </row>
    <row r="14" spans="2:14" x14ac:dyDescent="0.2">
      <c r="B14" s="6">
        <v>9</v>
      </c>
      <c r="C14" s="3" t="s">
        <v>296</v>
      </c>
      <c r="D14" t="str">
        <f t="shared" si="0"/>
        <v/>
      </c>
      <c r="E14" s="3" t="s">
        <v>586</v>
      </c>
      <c r="F14" s="7" t="s">
        <v>587</v>
      </c>
      <c r="G14" s="6" t="s">
        <v>588</v>
      </c>
      <c r="H14" s="6" t="s">
        <v>589</v>
      </c>
      <c r="I14" s="6" t="s">
        <v>590</v>
      </c>
      <c r="J14" s="4">
        <v>43281</v>
      </c>
      <c r="K14" s="8">
        <v>43455</v>
      </c>
      <c r="L14" s="1" t="b">
        <f>IF(MATCH(C14,Wiki!B:B,0)&lt;&gt;0,TRUE,FALSE)</f>
        <v>1</v>
      </c>
      <c r="M14" s="1" t="str">
        <f>INDEX(Wiki!K:K,MATCH('BOM2017'!C14,Wiki!B:B,0))</f>
        <v>Despicable_Me_3</v>
      </c>
      <c r="N14" s="1" t="str">
        <f>IFERROR(M14,INDEX(Wiki!K:K,MATCH('BOM2017'!D14,Wiki!B:B,0)))</f>
        <v>Despicable_Me_3</v>
      </c>
    </row>
    <row r="15" spans="2:14" x14ac:dyDescent="0.2">
      <c r="B15" s="6">
        <v>10</v>
      </c>
      <c r="C15" s="3" t="s">
        <v>476</v>
      </c>
      <c r="D15" t="str">
        <f t="shared" si="0"/>
        <v/>
      </c>
      <c r="E15" s="3" t="s">
        <v>563</v>
      </c>
      <c r="F15" s="7" t="s">
        <v>591</v>
      </c>
      <c r="G15" s="6" t="s">
        <v>592</v>
      </c>
      <c r="H15" s="6" t="s">
        <v>593</v>
      </c>
      <c r="I15" s="6" t="s">
        <v>592</v>
      </c>
      <c r="J15" s="4">
        <v>43421</v>
      </c>
      <c r="K15" s="6" t="s">
        <v>558</v>
      </c>
      <c r="L15" s="1" t="b">
        <f>IF(MATCH(C15,Wiki!B:B,0)&lt;&gt;0,TRUE,FALSE)</f>
        <v>1</v>
      </c>
      <c r="M15" s="1" t="str">
        <f>INDEX(Wiki!K:K,MATCH('BOM2017'!C15,Wiki!B:B,0))</f>
        <v>Justice_League_(film)</v>
      </c>
      <c r="N15" s="1" t="str">
        <f>IFERROR(M15,INDEX(Wiki!K:K,MATCH('BOM2017'!D15,Wiki!B:B,0)))</f>
        <v>Justice_League_(film)</v>
      </c>
    </row>
    <row r="16" spans="2:14" x14ac:dyDescent="0.2">
      <c r="B16" s="6">
        <v>11</v>
      </c>
      <c r="C16" s="3" t="s">
        <v>120</v>
      </c>
      <c r="D16" t="str">
        <f t="shared" si="0"/>
        <v/>
      </c>
      <c r="E16" s="3" t="s">
        <v>594</v>
      </c>
      <c r="F16" s="7" t="s">
        <v>595</v>
      </c>
      <c r="G16" s="6" t="s">
        <v>596</v>
      </c>
      <c r="H16" s="6" t="s">
        <v>597</v>
      </c>
      <c r="I16" s="6" t="s">
        <v>596</v>
      </c>
      <c r="J16" s="4">
        <v>43162</v>
      </c>
      <c r="K16" s="8">
        <v>43294</v>
      </c>
      <c r="L16" s="1" t="b">
        <f>IF(MATCH(C16,Wiki!B:B,0)&lt;&gt;0,TRUE,FALSE)</f>
        <v>1</v>
      </c>
      <c r="M16" s="1" t="str">
        <f>INDEX(Wiki!K:K,MATCH('BOM2017'!C16,Wiki!B:B,0))</f>
        <v>Logan_(film)</v>
      </c>
      <c r="N16" s="1" t="str">
        <f>IFERROR(M16,INDEX(Wiki!K:K,MATCH('BOM2017'!D16,Wiki!B:B,0)))</f>
        <v>Logan_(film)</v>
      </c>
    </row>
    <row r="17" spans="2:14" x14ac:dyDescent="0.2">
      <c r="B17" s="6">
        <v>12</v>
      </c>
      <c r="C17" s="3" t="s">
        <v>187</v>
      </c>
      <c r="D17" t="str">
        <f t="shared" si="0"/>
        <v/>
      </c>
      <c r="E17" s="3" t="s">
        <v>586</v>
      </c>
      <c r="F17" s="7" t="s">
        <v>598</v>
      </c>
      <c r="G17" s="6" t="s">
        <v>599</v>
      </c>
      <c r="H17" s="6" t="s">
        <v>600</v>
      </c>
      <c r="I17" s="6" t="s">
        <v>601</v>
      </c>
      <c r="J17" s="4">
        <v>43204</v>
      </c>
      <c r="K17" s="8">
        <v>43322</v>
      </c>
      <c r="L17" s="1" t="b">
        <f>IF(MATCH(C17,Wiki!B:B,0)&lt;&gt;0,TRUE,FALSE)</f>
        <v>1</v>
      </c>
      <c r="M17" s="1" t="str">
        <f>INDEX(Wiki!K:K,MATCH('BOM2017'!C17,Wiki!B:B,0))</f>
        <v>The_Fate_of_the_Furious</v>
      </c>
      <c r="N17" s="1" t="str">
        <f>IFERROR(M17,INDEX(Wiki!K:K,MATCH('BOM2017'!D17,Wiki!B:B,0)))</f>
        <v>The_Fate_of_the_Furious</v>
      </c>
    </row>
    <row r="18" spans="2:14" x14ac:dyDescent="0.2">
      <c r="B18" s="6">
        <v>13</v>
      </c>
      <c r="C18" s="3" t="s">
        <v>474</v>
      </c>
      <c r="D18" t="str">
        <f t="shared" si="0"/>
        <v/>
      </c>
      <c r="E18" s="3" t="s">
        <v>554</v>
      </c>
      <c r="F18" s="7" t="s">
        <v>602</v>
      </c>
      <c r="G18" s="6" t="s">
        <v>603</v>
      </c>
      <c r="H18" s="6" t="s">
        <v>604</v>
      </c>
      <c r="I18" s="6" t="s">
        <v>603</v>
      </c>
      <c r="J18" s="4">
        <v>43426</v>
      </c>
      <c r="K18" s="6" t="s">
        <v>558</v>
      </c>
      <c r="L18" s="1" t="b">
        <f>IF(MATCH(C18,Wiki!B:B,0)&lt;&gt;0,TRUE,FALSE)</f>
        <v>1</v>
      </c>
      <c r="M18" s="1" t="str">
        <f>INDEX(Wiki!K:K,MATCH('BOM2017'!C18,Wiki!B:B,0))</f>
        <v>Coco_(2017_film)</v>
      </c>
      <c r="N18" s="1" t="str">
        <f>IFERROR(M18,INDEX(Wiki!K:K,MATCH('BOM2017'!D18,Wiki!B:B,0)))</f>
        <v>Coco_(2017_film)</v>
      </c>
    </row>
    <row r="19" spans="2:14" x14ac:dyDescent="0.2">
      <c r="B19" s="6">
        <v>14</v>
      </c>
      <c r="C19" s="3" t="s">
        <v>324</v>
      </c>
      <c r="D19" t="str">
        <f t="shared" si="0"/>
        <v/>
      </c>
      <c r="E19" s="3" t="s">
        <v>563</v>
      </c>
      <c r="F19" s="7" t="s">
        <v>605</v>
      </c>
      <c r="G19" s="6" t="s">
        <v>606</v>
      </c>
      <c r="H19" s="6" t="s">
        <v>607</v>
      </c>
      <c r="I19" s="6" t="s">
        <v>608</v>
      </c>
      <c r="J19" s="4">
        <v>43302</v>
      </c>
      <c r="K19" s="8">
        <v>43427</v>
      </c>
      <c r="L19" s="1" t="b">
        <f>IF(MATCH(C19,Wiki!B:B,0)&lt;&gt;0,TRUE,FALSE)</f>
        <v>1</v>
      </c>
      <c r="M19" s="1" t="str">
        <f>INDEX(Wiki!K:K,MATCH('BOM2017'!C19,Wiki!B:B,0))</f>
        <v>Dunkirk_(2017_film)</v>
      </c>
      <c r="N19" s="1" t="str">
        <f>IFERROR(M19,INDEX(Wiki!K:K,MATCH('BOM2017'!D19,Wiki!B:B,0)))</f>
        <v>Dunkirk_(2017_film)</v>
      </c>
    </row>
    <row r="20" spans="2:14" x14ac:dyDescent="0.2">
      <c r="B20" s="6">
        <v>15</v>
      </c>
      <c r="C20" s="3" t="s">
        <v>609</v>
      </c>
      <c r="D20" t="str">
        <f t="shared" si="0"/>
        <v/>
      </c>
      <c r="E20" s="3" t="s">
        <v>563</v>
      </c>
      <c r="F20" s="7" t="s">
        <v>610</v>
      </c>
      <c r="G20" s="6" t="s">
        <v>611</v>
      </c>
      <c r="H20" s="6" t="s">
        <v>612</v>
      </c>
      <c r="I20" s="6" t="s">
        <v>611</v>
      </c>
      <c r="J20" s="4">
        <v>43141</v>
      </c>
      <c r="K20" s="8">
        <v>43259</v>
      </c>
      <c r="L20" s="1" t="b">
        <f>IF(MATCH(C20,Wiki!B:B,0)&lt;&gt;0,TRUE,FALSE)</f>
        <v>1</v>
      </c>
      <c r="M20" s="1" t="str">
        <f>INDEX(Wiki!K:K,MATCH('BOM2017'!C20,Wiki!B:B,0))</f>
        <v>The_Lego_Batman_Movie</v>
      </c>
      <c r="N20" s="1" t="str">
        <f>IFERROR(M20,INDEX(Wiki!K:K,MATCH('BOM2017'!D20,Wiki!B:B,0)))</f>
        <v>The_Lego_Batman_Movie</v>
      </c>
    </row>
    <row r="21" spans="2:14" x14ac:dyDescent="0.2">
      <c r="B21" s="6">
        <v>16</v>
      </c>
      <c r="C21" s="3" t="s">
        <v>52</v>
      </c>
      <c r="D21" t="str">
        <f t="shared" si="0"/>
        <v/>
      </c>
      <c r="E21" s="3" t="s">
        <v>586</v>
      </c>
      <c r="F21" s="7" t="s">
        <v>613</v>
      </c>
      <c r="G21" s="6" t="s">
        <v>614</v>
      </c>
      <c r="H21" s="6" t="s">
        <v>615</v>
      </c>
      <c r="I21" s="6" t="s">
        <v>616</v>
      </c>
      <c r="J21" s="4">
        <v>43155</v>
      </c>
      <c r="K21" s="8">
        <v>43294</v>
      </c>
      <c r="L21" s="1" t="b">
        <f>IF(MATCH(C21,Wiki!B:B,0)&lt;&gt;0,TRUE,FALSE)</f>
        <v>1</v>
      </c>
      <c r="M21" s="1" t="str">
        <f>INDEX(Wiki!K:K,MATCH('BOM2017'!C21,Wiki!B:B,0))</f>
        <v>Get_Out</v>
      </c>
      <c r="N21" s="1" t="str">
        <f>IFERROR(M21,INDEX(Wiki!K:K,MATCH('BOM2017'!D21,Wiki!B:B,0)))</f>
        <v>Get_Out</v>
      </c>
    </row>
    <row r="22" spans="2:14" x14ac:dyDescent="0.2">
      <c r="B22" s="6">
        <v>17</v>
      </c>
      <c r="C22" s="3" t="s">
        <v>161</v>
      </c>
      <c r="D22" t="str">
        <f t="shared" si="0"/>
        <v/>
      </c>
      <c r="E22" s="3" t="s">
        <v>594</v>
      </c>
      <c r="F22" s="7" t="s">
        <v>617</v>
      </c>
      <c r="G22" s="6" t="s">
        <v>618</v>
      </c>
      <c r="H22" s="6" t="s">
        <v>619</v>
      </c>
      <c r="I22" s="6" t="s">
        <v>620</v>
      </c>
      <c r="J22" s="4">
        <v>43190</v>
      </c>
      <c r="K22" s="8">
        <v>43406</v>
      </c>
      <c r="L22" s="1" t="b">
        <f>IF(MATCH(C22,Wiki!B:B,0)&lt;&gt;0,TRUE,FALSE)</f>
        <v>1</v>
      </c>
      <c r="M22" s="1" t="str">
        <f>INDEX(Wiki!K:K,MATCH('BOM2017'!C22,Wiki!B:B,0))</f>
        <v>The_Boss_Baby</v>
      </c>
      <c r="N22" s="1" t="str">
        <f>IFERROR(M22,INDEX(Wiki!K:K,MATCH('BOM2017'!D22,Wiki!B:B,0)))</f>
        <v>The_Boss_Baby</v>
      </c>
    </row>
    <row r="23" spans="2:14" x14ac:dyDescent="0.2">
      <c r="B23" s="6">
        <v>18</v>
      </c>
      <c r="C23" s="3" t="s">
        <v>252</v>
      </c>
      <c r="D23" t="str">
        <f t="shared" si="0"/>
        <v/>
      </c>
      <c r="E23" s="3" t="s">
        <v>554</v>
      </c>
      <c r="F23" s="7" t="s">
        <v>621</v>
      </c>
      <c r="G23" s="6" t="s">
        <v>622</v>
      </c>
      <c r="H23" s="6" t="s">
        <v>623</v>
      </c>
      <c r="I23" s="6" t="s">
        <v>622</v>
      </c>
      <c r="J23" s="4">
        <v>43246</v>
      </c>
      <c r="K23" s="8">
        <v>43364</v>
      </c>
      <c r="L23" s="1" t="b">
        <f>IF(MATCH(C23,Wiki!B:B,0)&lt;&gt;0,TRUE,FALSE)</f>
        <v>1</v>
      </c>
      <c r="M23" s="1" t="str">
        <f>INDEX(Wiki!K:K,MATCH('BOM2017'!C23,Wiki!B:B,0))</f>
        <v>Pirates_of_the_Caribbean:_Dead_Men_Tell_No_Tales</v>
      </c>
      <c r="N23" s="1" t="str">
        <f>IFERROR(M23,INDEX(Wiki!K:K,MATCH('BOM2017'!D23,Wiki!B:B,0)))</f>
        <v>Pirates_of_the_Caribbean:_Dead_Men_Tell_No_Tales</v>
      </c>
    </row>
    <row r="24" spans="2:14" x14ac:dyDescent="0.2">
      <c r="B24" s="6">
        <v>19</v>
      </c>
      <c r="C24" s="3" t="s">
        <v>137</v>
      </c>
      <c r="D24" t="str">
        <f t="shared" si="0"/>
        <v/>
      </c>
      <c r="E24" s="3" t="s">
        <v>563</v>
      </c>
      <c r="F24" s="7" t="s">
        <v>624</v>
      </c>
      <c r="G24" s="6" t="s">
        <v>625</v>
      </c>
      <c r="H24" s="6" t="s">
        <v>626</v>
      </c>
      <c r="I24" s="6" t="s">
        <v>625</v>
      </c>
      <c r="J24" s="4">
        <v>43169</v>
      </c>
      <c r="K24" s="8">
        <v>43266</v>
      </c>
      <c r="L24" s="1" t="b">
        <f>IF(MATCH(C24,Wiki!B:B,0)&lt;&gt;0,TRUE,FALSE)</f>
        <v>1</v>
      </c>
      <c r="M24" s="1" t="str">
        <f>INDEX(Wiki!K:K,MATCH('BOM2017'!C24,Wiki!B:B,0))</f>
        <v>Kong:_Skull_Island</v>
      </c>
      <c r="N24" s="1" t="str">
        <f>IFERROR(M24,INDEX(Wiki!K:K,MATCH('BOM2017'!D24,Wiki!B:B,0)))</f>
        <v>Kong:_Skull_Island</v>
      </c>
    </row>
    <row r="25" spans="2:14" x14ac:dyDescent="0.2">
      <c r="B25" s="6">
        <v>20</v>
      </c>
      <c r="C25" s="3" t="s">
        <v>277</v>
      </c>
      <c r="D25" t="str">
        <f t="shared" si="0"/>
        <v/>
      </c>
      <c r="E25" s="3" t="s">
        <v>554</v>
      </c>
      <c r="F25" s="7" t="s">
        <v>627</v>
      </c>
      <c r="G25" s="6" t="s">
        <v>628</v>
      </c>
      <c r="H25" s="6" t="s">
        <v>629</v>
      </c>
      <c r="I25" s="6" t="s">
        <v>628</v>
      </c>
      <c r="J25" s="4">
        <v>43267</v>
      </c>
      <c r="K25" s="8">
        <v>43406</v>
      </c>
      <c r="L25" s="1" t="b">
        <f>IF(MATCH(C25,Wiki!B:B,0)&lt;&gt;0,TRUE,FALSE)</f>
        <v>1</v>
      </c>
      <c r="M25" s="1" t="str">
        <f>INDEX(Wiki!K:K,MATCH('BOM2017'!C25,Wiki!B:B,0))</f>
        <v>Cars_3</v>
      </c>
      <c r="N25" s="1" t="str">
        <f>IFERROR(M25,INDEX(Wiki!K:K,MATCH('BOM2017'!D25,Wiki!B:B,0)))</f>
        <v>Cars_3</v>
      </c>
    </row>
    <row r="26" spans="2:14" x14ac:dyDescent="0.2">
      <c r="B26" s="6">
        <v>21</v>
      </c>
      <c r="C26" s="3" t="s">
        <v>322</v>
      </c>
      <c r="D26" t="str">
        <f t="shared" si="0"/>
        <v/>
      </c>
      <c r="E26" s="3" t="s">
        <v>594</v>
      </c>
      <c r="F26" s="7" t="s">
        <v>630</v>
      </c>
      <c r="G26" s="6" t="s">
        <v>631</v>
      </c>
      <c r="H26" s="6" t="s">
        <v>632</v>
      </c>
      <c r="I26" s="6" t="s">
        <v>633</v>
      </c>
      <c r="J26" s="4">
        <v>43295</v>
      </c>
      <c r="K26" s="8">
        <v>43434</v>
      </c>
      <c r="L26" s="1" t="b">
        <f>IF(MATCH(C26,Wiki!B:B,0)&lt;&gt;0,TRUE,FALSE)</f>
        <v>1</v>
      </c>
      <c r="M26" s="1" t="str">
        <f>INDEX(Wiki!K:K,MATCH('BOM2017'!C26,Wiki!B:B,0))</f>
        <v>War_for_the_Planet_of_the_Apes</v>
      </c>
      <c r="N26" s="1" t="str">
        <f>IFERROR(M26,INDEX(Wiki!K:K,MATCH('BOM2017'!D26,Wiki!B:B,0)))</f>
        <v>War_for_the_Planet_of_the_Apes</v>
      </c>
    </row>
    <row r="27" spans="2:14" x14ac:dyDescent="0.2">
      <c r="B27" s="6">
        <v>22</v>
      </c>
      <c r="C27" s="3" t="s">
        <v>30</v>
      </c>
      <c r="D27" t="str">
        <f t="shared" si="0"/>
        <v/>
      </c>
      <c r="E27" s="3" t="s">
        <v>586</v>
      </c>
      <c r="F27" s="7" t="s">
        <v>634</v>
      </c>
      <c r="G27" s="6" t="s">
        <v>635</v>
      </c>
      <c r="H27" s="6" t="s">
        <v>636</v>
      </c>
      <c r="I27" s="6" t="s">
        <v>637</v>
      </c>
      <c r="J27" s="4">
        <v>43120</v>
      </c>
      <c r="K27" s="8">
        <v>43231</v>
      </c>
      <c r="L27" s="1" t="b">
        <f>IF(MATCH(C27,Wiki!B:B,0)&lt;&gt;0,TRUE,FALSE)</f>
        <v>1</v>
      </c>
      <c r="M27" s="1" t="str">
        <f>INDEX(Wiki!K:K,MATCH('BOM2017'!C27,Wiki!B:B,0))</f>
        <v>Split_(2016_American_film)</v>
      </c>
      <c r="N27" s="1" t="str">
        <f>IFERROR(M27,INDEX(Wiki!K:K,MATCH('BOM2017'!D27,Wiki!B:B,0)))</f>
        <v>Split_(2016_American_film)</v>
      </c>
    </row>
    <row r="28" spans="2:14" x14ac:dyDescent="0.2">
      <c r="B28" s="6">
        <v>23</v>
      </c>
      <c r="C28" s="3" t="s">
        <v>304</v>
      </c>
      <c r="D28" t="str">
        <f t="shared" si="0"/>
        <v/>
      </c>
      <c r="E28" s="3" t="s">
        <v>638</v>
      </c>
      <c r="F28" s="7" t="s">
        <v>639</v>
      </c>
      <c r="G28" s="6" t="s">
        <v>640</v>
      </c>
      <c r="H28" s="6" t="s">
        <v>641</v>
      </c>
      <c r="I28" s="6" t="s">
        <v>642</v>
      </c>
      <c r="J28" s="4">
        <v>43272</v>
      </c>
      <c r="K28" s="8">
        <v>43336</v>
      </c>
      <c r="L28" s="1" t="b">
        <f>IF(MATCH(C28,Wiki!B:B,0)&lt;&gt;0,TRUE,FALSE)</f>
        <v>1</v>
      </c>
      <c r="M28" s="1" t="str">
        <f>INDEX(Wiki!K:K,MATCH('BOM2017'!C28,Wiki!B:B,0))</f>
        <v>Transformers:_The_Last_Knight</v>
      </c>
      <c r="N28" s="1" t="str">
        <f>IFERROR(M28,INDEX(Wiki!K:K,MATCH('BOM2017'!D28,Wiki!B:B,0)))</f>
        <v>Transformers:_The_Last_Knight</v>
      </c>
    </row>
    <row r="29" spans="2:14" x14ac:dyDescent="0.2">
      <c r="B29" s="6">
        <v>24</v>
      </c>
      <c r="C29" s="3" t="s">
        <v>506</v>
      </c>
      <c r="D29" t="str">
        <f t="shared" si="0"/>
        <v/>
      </c>
      <c r="E29" s="3" t="s">
        <v>643</v>
      </c>
      <c r="F29" s="7" t="s">
        <v>644</v>
      </c>
      <c r="G29" s="6" t="s">
        <v>645</v>
      </c>
      <c r="H29" s="6" t="s">
        <v>646</v>
      </c>
      <c r="I29" s="6" t="s">
        <v>647</v>
      </c>
      <c r="J29" s="4">
        <v>43421</v>
      </c>
      <c r="K29" s="6" t="s">
        <v>558</v>
      </c>
      <c r="L29" s="1" t="b">
        <f>IF(MATCH(C29,Wiki!B:B,0)&lt;&gt;0,TRUE,FALSE)</f>
        <v>1</v>
      </c>
      <c r="M29" s="1" t="str">
        <f>INDEX(Wiki!K:K,MATCH('BOM2017'!C29,Wiki!B:B,0))</f>
        <v>Wonder_(film)</v>
      </c>
      <c r="N29" s="1" t="str">
        <f>IFERROR(M29,INDEX(Wiki!K:K,MATCH('BOM2017'!D29,Wiki!B:B,0)))</f>
        <v>Wonder_(film)</v>
      </c>
    </row>
    <row r="30" spans="2:14" x14ac:dyDescent="0.2">
      <c r="B30" s="6">
        <v>25</v>
      </c>
      <c r="C30" s="3" t="s">
        <v>333</v>
      </c>
      <c r="D30" t="str">
        <f t="shared" si="0"/>
        <v/>
      </c>
      <c r="E30" s="3" t="s">
        <v>586</v>
      </c>
      <c r="F30" s="7" t="s">
        <v>648</v>
      </c>
      <c r="G30" s="6" t="s">
        <v>649</v>
      </c>
      <c r="H30" s="6" t="s">
        <v>650</v>
      </c>
      <c r="I30" s="6" t="s">
        <v>651</v>
      </c>
      <c r="J30" s="4">
        <v>43302</v>
      </c>
      <c r="K30" s="8">
        <v>43392</v>
      </c>
      <c r="L30" s="1" t="b">
        <f>IF(MATCH(C30,Wiki!B:B,0)&lt;&gt;0,TRUE,FALSE)</f>
        <v>1</v>
      </c>
      <c r="M30" s="1" t="str">
        <f>INDEX(Wiki!K:K,MATCH('BOM2017'!C30,Wiki!B:B,0))</f>
        <v>Girls_Trip</v>
      </c>
      <c r="N30" s="1" t="str">
        <f>IFERROR(M30,INDEX(Wiki!K:K,MATCH('BOM2017'!D30,Wiki!B:B,0)))</f>
        <v>Girls_Trip</v>
      </c>
    </row>
    <row r="31" spans="2:14" x14ac:dyDescent="0.2">
      <c r="B31" s="6">
        <v>26</v>
      </c>
      <c r="C31" s="3" t="s">
        <v>92</v>
      </c>
      <c r="D31" t="str">
        <f t="shared" si="0"/>
        <v/>
      </c>
      <c r="E31" s="3" t="s">
        <v>586</v>
      </c>
      <c r="F31" s="7" t="s">
        <v>652</v>
      </c>
      <c r="G31" s="6" t="s">
        <v>653</v>
      </c>
      <c r="H31" s="6" t="s">
        <v>654</v>
      </c>
      <c r="I31" s="6" t="s">
        <v>655</v>
      </c>
      <c r="J31" s="4">
        <v>43141</v>
      </c>
      <c r="K31" s="8">
        <v>43196</v>
      </c>
      <c r="L31" s="1" t="b">
        <f>IF(MATCH(C31,Wiki!B:B,0)&lt;&gt;0,TRUE,FALSE)</f>
        <v>1</v>
      </c>
      <c r="M31" s="1" t="str">
        <f>INDEX(Wiki!K:K,MATCH('BOM2017'!C31,Wiki!B:B,0))</f>
        <v>Fifty_Shades_Darker_(film)</v>
      </c>
      <c r="N31" s="1" t="str">
        <f>IFERROR(M31,INDEX(Wiki!K:K,MATCH('BOM2017'!D31,Wiki!B:B,0)))</f>
        <v>Fifty_Shades_Darker_(film)</v>
      </c>
    </row>
    <row r="32" spans="2:14" x14ac:dyDescent="0.2">
      <c r="B32" s="6">
        <v>27</v>
      </c>
      <c r="C32" s="3" t="s">
        <v>523</v>
      </c>
      <c r="D32" t="str">
        <f t="shared" si="0"/>
        <v/>
      </c>
      <c r="E32" s="3" t="s">
        <v>594</v>
      </c>
      <c r="F32" s="7" t="s">
        <v>656</v>
      </c>
      <c r="G32" s="6" t="s">
        <v>657</v>
      </c>
      <c r="H32" s="6" t="s">
        <v>658</v>
      </c>
      <c r="I32" s="6" t="s">
        <v>659</v>
      </c>
      <c r="J32" s="4">
        <v>43454</v>
      </c>
      <c r="K32" s="6" t="s">
        <v>558</v>
      </c>
      <c r="L32" s="1" t="b">
        <f>IF(MATCH(C32,Wiki!B:B,0)&lt;&gt;0,TRUE,FALSE)</f>
        <v>1</v>
      </c>
      <c r="M32" s="1" t="str">
        <f>INDEX(Wiki!K:K,MATCH('BOM2017'!C32,Wiki!B:B,0))</f>
        <v>The_Greatest_Showman</v>
      </c>
      <c r="N32" s="1" t="str">
        <f>IFERROR(M32,INDEX(Wiki!K:K,MATCH('BOM2017'!D32,Wiki!B:B,0)))</f>
        <v>The_Greatest_Showman</v>
      </c>
    </row>
    <row r="33" spans="2:14" x14ac:dyDescent="0.2">
      <c r="B33" s="6">
        <v>28</v>
      </c>
      <c r="C33" s="3" t="s">
        <v>159</v>
      </c>
      <c r="D33" t="str">
        <f t="shared" si="0"/>
        <v/>
      </c>
      <c r="E33" s="3" t="s">
        <v>660</v>
      </c>
      <c r="F33" s="7" t="s">
        <v>661</v>
      </c>
      <c r="G33" s="6" t="s">
        <v>662</v>
      </c>
      <c r="H33" s="6" t="s">
        <v>663</v>
      </c>
      <c r="I33" s="6" t="s">
        <v>662</v>
      </c>
      <c r="J33" s="4">
        <v>43279</v>
      </c>
      <c r="K33" s="8">
        <v>43392</v>
      </c>
      <c r="L33" s="1" t="b">
        <f>IF(MATCH(C33,Wiki!B:B,0)&lt;&gt;0,TRUE,FALSE)</f>
        <v>1</v>
      </c>
      <c r="M33" s="1" t="str">
        <f>INDEX(Wiki!K:K,MATCH('BOM2017'!C33,Wiki!B:B,0))</f>
        <v>Baby_Driver</v>
      </c>
      <c r="N33" s="1" t="str">
        <f>IFERROR(M33,INDEX(Wiki!K:K,MATCH('BOM2017'!D33,Wiki!B:B,0)))</f>
        <v>Baby_Driver</v>
      </c>
    </row>
    <row r="34" spans="2:14" x14ac:dyDescent="0.2">
      <c r="B34" s="6">
        <v>29</v>
      </c>
      <c r="C34" s="3" t="s">
        <v>497</v>
      </c>
      <c r="D34" t="str">
        <f t="shared" si="0"/>
        <v/>
      </c>
      <c r="E34" s="3" t="s">
        <v>638</v>
      </c>
      <c r="F34" s="7" t="s">
        <v>664</v>
      </c>
      <c r="G34" s="6" t="s">
        <v>665</v>
      </c>
      <c r="H34" s="6" t="s">
        <v>666</v>
      </c>
      <c r="I34" s="6" t="s">
        <v>665</v>
      </c>
      <c r="J34" s="4">
        <v>43414</v>
      </c>
      <c r="K34" s="6" t="s">
        <v>558</v>
      </c>
      <c r="L34" s="1" t="b">
        <f>IF(MATCH(C34,Wiki!B:B,0)&lt;&gt;0,TRUE,FALSE)</f>
        <v>1</v>
      </c>
      <c r="M34" s="1" t="str">
        <f>INDEX(Wiki!K:K,MATCH('BOM2017'!C34,Wiki!B:B,0))</f>
        <v>Daddy%27s_Home_2</v>
      </c>
      <c r="N34" s="1" t="str">
        <f>IFERROR(M34,INDEX(Wiki!K:K,MATCH('BOM2017'!D34,Wiki!B:B,0)))</f>
        <v>Daddy%27s_Home_2</v>
      </c>
    </row>
    <row r="35" spans="2:14" x14ac:dyDescent="0.2">
      <c r="B35" s="6">
        <v>30</v>
      </c>
      <c r="C35" s="3" t="s">
        <v>667</v>
      </c>
      <c r="D35" t="str">
        <f t="shared" si="0"/>
        <v>Murder on the Orient Express</v>
      </c>
      <c r="E35" s="3" t="s">
        <v>594</v>
      </c>
      <c r="F35" s="7" t="s">
        <v>668</v>
      </c>
      <c r="G35" s="6" t="s">
        <v>669</v>
      </c>
      <c r="H35" s="6" t="s">
        <v>670</v>
      </c>
      <c r="I35" s="6" t="s">
        <v>671</v>
      </c>
      <c r="J35" s="4">
        <v>43414</v>
      </c>
      <c r="K35" s="6" t="s">
        <v>558</v>
      </c>
      <c r="L35" s="1" t="e">
        <f>IF(MATCH(C35,Wiki!B:B,0)&lt;&gt;0,TRUE,FALSE)</f>
        <v>#N/A</v>
      </c>
      <c r="M35" s="1" t="e">
        <f>INDEX(Wiki!K:K,MATCH('BOM2017'!C35,Wiki!B:B,0))</f>
        <v>#N/A</v>
      </c>
      <c r="N35" s="1" t="str">
        <f>IFERROR(M35,INDEX(Wiki!K:K,MATCH('BOM2017'!D35,Wiki!B:B,0)))</f>
        <v>Murder_on_the_Orient_Express_(2017_film)</v>
      </c>
    </row>
    <row r="36" spans="2:14" x14ac:dyDescent="0.2">
      <c r="B36" s="6">
        <v>31</v>
      </c>
      <c r="C36" s="3" t="s">
        <v>358</v>
      </c>
      <c r="D36" t="str">
        <f t="shared" si="0"/>
        <v/>
      </c>
      <c r="E36" s="3" t="s">
        <v>574</v>
      </c>
      <c r="F36" s="7" t="s">
        <v>672</v>
      </c>
      <c r="G36" s="6" t="s">
        <v>673</v>
      </c>
      <c r="H36" s="6" t="s">
        <v>674</v>
      </c>
      <c r="I36" s="6" t="s">
        <v>675</v>
      </c>
      <c r="J36" s="4">
        <v>43323</v>
      </c>
      <c r="K36" s="8">
        <v>43406</v>
      </c>
      <c r="L36" s="1" t="b">
        <f>IF(MATCH(C36,Wiki!B:B,0)&lt;&gt;0,TRUE,FALSE)</f>
        <v>1</v>
      </c>
      <c r="M36" s="1" t="str">
        <f>INDEX(Wiki!K:K,MATCH('BOM2017'!C36,Wiki!B:B,0))</f>
        <v>Annabelle:_Creation</v>
      </c>
      <c r="N36" s="1" t="str">
        <f>IFERROR(M36,INDEX(Wiki!K:K,MATCH('BOM2017'!D36,Wiki!B:B,0)))</f>
        <v>Annabelle:_Creation</v>
      </c>
    </row>
    <row r="37" spans="2:14" x14ac:dyDescent="0.2">
      <c r="B37" s="6">
        <v>32</v>
      </c>
      <c r="C37" s="3" t="s">
        <v>514</v>
      </c>
      <c r="D37" t="str">
        <f t="shared" si="0"/>
        <v/>
      </c>
      <c r="E37" s="3" t="s">
        <v>586</v>
      </c>
      <c r="F37" s="7" t="s">
        <v>676</v>
      </c>
      <c r="G37" s="6" t="s">
        <v>677</v>
      </c>
      <c r="H37" s="6" t="s">
        <v>678</v>
      </c>
      <c r="I37" s="6" t="s">
        <v>679</v>
      </c>
      <c r="J37" s="4">
        <v>43456</v>
      </c>
      <c r="K37" s="6" t="s">
        <v>558</v>
      </c>
      <c r="L37" s="1" t="b">
        <f>IF(MATCH(C37,Wiki!B:B,0)&lt;&gt;0,TRUE,FALSE)</f>
        <v>1</v>
      </c>
      <c r="M37" s="1" t="str">
        <f>INDEX(Wiki!K:K,MATCH('BOM2017'!C37,Wiki!B:B,0))</f>
        <v>Pitch_Perfect_3</v>
      </c>
      <c r="N37" s="1" t="str">
        <f>IFERROR(M37,INDEX(Wiki!K:K,MATCH('BOM2017'!D37,Wiki!B:B,0)))</f>
        <v>Pitch_Perfect_3</v>
      </c>
    </row>
    <row r="38" spans="2:14" x14ac:dyDescent="0.2">
      <c r="B38" s="6">
        <v>33</v>
      </c>
      <c r="C38" s="3" t="s">
        <v>419</v>
      </c>
      <c r="D38" t="str">
        <f t="shared" si="0"/>
        <v/>
      </c>
      <c r="E38" s="3" t="s">
        <v>594</v>
      </c>
      <c r="F38" s="7" t="s">
        <v>680</v>
      </c>
      <c r="G38" s="6" t="s">
        <v>681</v>
      </c>
      <c r="H38" s="6" t="s">
        <v>682</v>
      </c>
      <c r="I38" s="6" t="s">
        <v>683</v>
      </c>
      <c r="J38" s="4">
        <v>43365</v>
      </c>
      <c r="K38" s="8">
        <v>43104</v>
      </c>
      <c r="L38" s="1" t="b">
        <f>IF(MATCH(C38,Wiki!B:B,0)&lt;&gt;0,TRUE,FALSE)</f>
        <v>1</v>
      </c>
      <c r="M38" s="1" t="str">
        <f>INDEX(Wiki!K:K,MATCH('BOM2017'!C38,Wiki!B:B,0))</f>
        <v>Kingsman:_The_Golden_Circle</v>
      </c>
      <c r="N38" s="1" t="str">
        <f>IFERROR(M38,INDEX(Wiki!K:K,MATCH('BOM2017'!D38,Wiki!B:B,0)))</f>
        <v>Kingsman:_The_Golden_Circle</v>
      </c>
    </row>
    <row r="39" spans="2:14" x14ac:dyDescent="0.2">
      <c r="B39" s="6">
        <v>34</v>
      </c>
      <c r="C39" s="3" t="s">
        <v>684</v>
      </c>
      <c r="D39" t="e">
        <f t="shared" si="0"/>
        <v>#VALUE!</v>
      </c>
      <c r="E39" s="3" t="s">
        <v>685</v>
      </c>
      <c r="F39" s="7" t="s">
        <v>686</v>
      </c>
      <c r="G39" s="6" t="s">
        <v>687</v>
      </c>
      <c r="H39" s="6" t="s">
        <v>688</v>
      </c>
      <c r="I39" s="6" t="s">
        <v>687</v>
      </c>
      <c r="J39" s="4">
        <v>43141</v>
      </c>
      <c r="K39" s="8">
        <v>43217</v>
      </c>
      <c r="L39" s="1" t="e">
        <f>IF(MATCH(C39,Wiki!B:B,0)&lt;&gt;0,TRUE,FALSE)</f>
        <v>#N/A</v>
      </c>
      <c r="M39" s="1" t="e">
        <f>INDEX(Wiki!K:K,MATCH('BOM2017'!C39,Wiki!B:B,0))</f>
        <v>#N/A</v>
      </c>
      <c r="N39" s="1" t="e">
        <f>IFERROR(M39,INDEX(Wiki!K:K,MATCH('BOM2017'!D39,Wiki!B:B,0)))</f>
        <v>#VALUE!</v>
      </c>
    </row>
    <row r="40" spans="2:14" x14ac:dyDescent="0.2">
      <c r="B40" s="6">
        <v>35</v>
      </c>
      <c r="C40" s="3" t="s">
        <v>439</v>
      </c>
      <c r="D40" t="str">
        <f t="shared" si="0"/>
        <v/>
      </c>
      <c r="E40" s="3" t="s">
        <v>563</v>
      </c>
      <c r="F40" s="7" t="s">
        <v>689</v>
      </c>
      <c r="G40" s="6" t="s">
        <v>690</v>
      </c>
      <c r="H40" s="6" t="s">
        <v>691</v>
      </c>
      <c r="I40" s="6" t="s">
        <v>690</v>
      </c>
      <c r="J40" s="4">
        <v>43379</v>
      </c>
      <c r="K40" s="6" t="s">
        <v>558</v>
      </c>
      <c r="L40" s="1" t="b">
        <f>IF(MATCH(C40,Wiki!B:B,0)&lt;&gt;0,TRUE,FALSE)</f>
        <v>1</v>
      </c>
      <c r="M40" s="1" t="str">
        <f>INDEX(Wiki!K:K,MATCH('BOM2017'!C40,Wiki!B:B,0))</f>
        <v>Blade_Runner_2049</v>
      </c>
      <c r="N40" s="1" t="str">
        <f>IFERROR(M40,INDEX(Wiki!K:K,MATCH('BOM2017'!D40,Wiki!B:B,0)))</f>
        <v>Blade_Runner_2049</v>
      </c>
    </row>
    <row r="41" spans="2:14" x14ac:dyDescent="0.2">
      <c r="B41" s="6">
        <v>36</v>
      </c>
      <c r="C41" s="3" t="s">
        <v>339</v>
      </c>
      <c r="D41" t="str">
        <f t="shared" si="0"/>
        <v/>
      </c>
      <c r="E41" s="3" t="s">
        <v>570</v>
      </c>
      <c r="F41" s="7" t="s">
        <v>692</v>
      </c>
      <c r="G41" s="6" t="s">
        <v>693</v>
      </c>
      <c r="H41" s="6" t="s">
        <v>694</v>
      </c>
      <c r="I41" s="6" t="s">
        <v>693</v>
      </c>
      <c r="J41" s="4">
        <v>43309</v>
      </c>
      <c r="K41" s="8">
        <v>43434</v>
      </c>
      <c r="L41" s="1" t="b">
        <f>IF(MATCH(C41,Wiki!B:B,0)&lt;&gt;0,TRUE,FALSE)</f>
        <v>1</v>
      </c>
      <c r="M41" s="1" t="str">
        <f>INDEX(Wiki!K:K,MATCH('BOM2017'!C41,Wiki!B:B,0))</f>
        <v>The_Emoji_Movie</v>
      </c>
      <c r="N41" s="1" t="str">
        <f>IFERROR(M41,INDEX(Wiki!K:K,MATCH('BOM2017'!D41,Wiki!B:B,0)))</f>
        <v>The_Emoji_Movie</v>
      </c>
    </row>
    <row r="42" spans="2:14" x14ac:dyDescent="0.2">
      <c r="B42" s="6">
        <v>37</v>
      </c>
      <c r="C42" s="3" t="s">
        <v>695</v>
      </c>
      <c r="D42" t="str">
        <f t="shared" si="0"/>
        <v>Power Rangers</v>
      </c>
      <c r="E42" s="3" t="s">
        <v>643</v>
      </c>
      <c r="F42" s="7" t="s">
        <v>696</v>
      </c>
      <c r="G42" s="6" t="s">
        <v>697</v>
      </c>
      <c r="H42" s="6" t="s">
        <v>698</v>
      </c>
      <c r="I42" s="6" t="s">
        <v>697</v>
      </c>
      <c r="J42" s="4">
        <v>43183</v>
      </c>
      <c r="K42" s="8">
        <v>43252</v>
      </c>
      <c r="L42" s="1" t="e">
        <f>IF(MATCH(C42,Wiki!B:B,0)&lt;&gt;0,TRUE,FALSE)</f>
        <v>#N/A</v>
      </c>
      <c r="M42" s="1" t="e">
        <f>INDEX(Wiki!K:K,MATCH('BOM2017'!C42,Wiki!B:B,0))</f>
        <v>#N/A</v>
      </c>
      <c r="N42" s="1" t="str">
        <f>IFERROR(M42,INDEX(Wiki!K:K,MATCH('BOM2017'!D42,Wiki!B:B,0)))</f>
        <v>Power_Rangers_(film)</v>
      </c>
    </row>
    <row r="43" spans="2:14" x14ac:dyDescent="0.2">
      <c r="B43" s="6">
        <v>38</v>
      </c>
      <c r="C43" s="3" t="s">
        <v>699</v>
      </c>
      <c r="D43" t="str">
        <f t="shared" si="0"/>
        <v>The Mummy</v>
      </c>
      <c r="E43" s="3" t="s">
        <v>586</v>
      </c>
      <c r="F43" s="7" t="s">
        <v>700</v>
      </c>
      <c r="G43" s="6" t="s">
        <v>701</v>
      </c>
      <c r="H43" s="6" t="s">
        <v>702</v>
      </c>
      <c r="I43" s="6" t="s">
        <v>701</v>
      </c>
      <c r="J43" s="4">
        <v>43260</v>
      </c>
      <c r="K43" s="8">
        <v>43336</v>
      </c>
      <c r="L43" s="1" t="e">
        <f>IF(MATCH(C43,Wiki!B:B,0)&lt;&gt;0,TRUE,FALSE)</f>
        <v>#N/A</v>
      </c>
      <c r="M43" s="1" t="e">
        <f>INDEX(Wiki!K:K,MATCH('BOM2017'!C43,Wiki!B:B,0))</f>
        <v>#N/A</v>
      </c>
      <c r="N43" s="1" t="str">
        <f>IFERROR(M43,INDEX(Wiki!K:K,MATCH('BOM2017'!D43,Wiki!B:B,0)))</f>
        <v>The_Mummy_(2017_film)</v>
      </c>
    </row>
    <row r="44" spans="2:14" x14ac:dyDescent="0.2">
      <c r="B44" s="6">
        <v>39</v>
      </c>
      <c r="C44" s="3" t="s">
        <v>527</v>
      </c>
      <c r="D44" t="str">
        <f t="shared" si="0"/>
        <v/>
      </c>
      <c r="E44" s="3" t="s">
        <v>594</v>
      </c>
      <c r="F44" s="7" t="s">
        <v>703</v>
      </c>
      <c r="G44" s="6" t="s">
        <v>704</v>
      </c>
      <c r="H44" s="6" t="s">
        <v>705</v>
      </c>
      <c r="I44" s="6" t="s">
        <v>706</v>
      </c>
      <c r="J44" s="4">
        <v>43449</v>
      </c>
      <c r="K44" s="6" t="s">
        <v>558</v>
      </c>
      <c r="L44" s="1" t="b">
        <f>IF(MATCH(C44,Wiki!B:B,0)&lt;&gt;0,TRUE,FALSE)</f>
        <v>1</v>
      </c>
      <c r="M44" s="1" t="str">
        <f>INDEX(Wiki!K:K,MATCH('BOM2017'!C44,Wiki!B:B,0))</f>
        <v>Ferdinand_(film)</v>
      </c>
      <c r="N44" s="1" t="str">
        <f>IFERROR(M44,INDEX(Wiki!K:K,MATCH('BOM2017'!D44,Wiki!B:B,0)))</f>
        <v>Ferdinand_(film)</v>
      </c>
    </row>
    <row r="45" spans="2:14" x14ac:dyDescent="0.2">
      <c r="B45" s="6">
        <v>40</v>
      </c>
      <c r="C45" s="3" t="s">
        <v>365</v>
      </c>
      <c r="D45" t="str">
        <f t="shared" si="0"/>
        <v/>
      </c>
      <c r="E45" s="3" t="s">
        <v>685</v>
      </c>
      <c r="F45" s="7" t="s">
        <v>707</v>
      </c>
      <c r="G45" s="6" t="s">
        <v>708</v>
      </c>
      <c r="H45" s="6" t="s">
        <v>709</v>
      </c>
      <c r="I45" s="6" t="s">
        <v>708</v>
      </c>
      <c r="J45" s="4">
        <v>43330</v>
      </c>
      <c r="K45" s="8">
        <v>43406</v>
      </c>
      <c r="L45" s="1" t="b">
        <f>IF(MATCH(C45,Wiki!B:B,0)&lt;&gt;0,TRUE,FALSE)</f>
        <v>1</v>
      </c>
      <c r="M45" s="1" t="str">
        <f>INDEX(Wiki!K:K,MATCH('BOM2017'!C45,Wiki!B:B,0))</f>
        <v>The_Hitman%27s_Bodyguard</v>
      </c>
      <c r="N45" s="1" t="str">
        <f>IFERROR(M45,INDEX(Wiki!K:K,MATCH('BOM2017'!D45,Wiki!B:B,0)))</f>
        <v>The_Hitman%27s_Bodyguard</v>
      </c>
    </row>
    <row r="46" spans="2:14" x14ac:dyDescent="0.2">
      <c r="B46" s="6">
        <v>41</v>
      </c>
      <c r="C46" s="3" t="s">
        <v>242</v>
      </c>
      <c r="D46" t="str">
        <f t="shared" si="0"/>
        <v/>
      </c>
      <c r="E46" s="3" t="s">
        <v>594</v>
      </c>
      <c r="F46" s="7" t="s">
        <v>710</v>
      </c>
      <c r="G46" s="6" t="s">
        <v>711</v>
      </c>
      <c r="H46" s="6" t="s">
        <v>712</v>
      </c>
      <c r="I46" s="6" t="s">
        <v>713</v>
      </c>
      <c r="J46" s="4">
        <v>43239</v>
      </c>
      <c r="K46" s="8">
        <v>43343</v>
      </c>
      <c r="L46" s="1" t="b">
        <f>IF(MATCH(C46,Wiki!B:B,0)&lt;&gt;0,TRUE,FALSE)</f>
        <v>1</v>
      </c>
      <c r="M46" s="1" t="str">
        <f>INDEX(Wiki!K:K,MATCH('BOM2017'!C46,Wiki!B:B,0))</f>
        <v>Alien:_Covenant</v>
      </c>
      <c r="N46" s="1" t="str">
        <f>IFERROR(M46,INDEX(Wiki!K:K,MATCH('BOM2017'!D46,Wiki!B:B,0)))</f>
        <v>Alien:_Covenant</v>
      </c>
    </row>
    <row r="47" spans="2:14" x14ac:dyDescent="0.2">
      <c r="B47" s="6">
        <v>42</v>
      </c>
      <c r="C47" s="3" t="s">
        <v>273</v>
      </c>
      <c r="D47" t="str">
        <f t="shared" si="0"/>
        <v/>
      </c>
      <c r="E47" s="3" t="s">
        <v>594</v>
      </c>
      <c r="F47" s="7" t="s">
        <v>714</v>
      </c>
      <c r="G47" s="6" t="s">
        <v>715</v>
      </c>
      <c r="H47" s="6" t="s">
        <v>716</v>
      </c>
      <c r="I47" s="6" t="s">
        <v>717</v>
      </c>
      <c r="J47" s="4">
        <v>43253</v>
      </c>
      <c r="K47" s="8">
        <v>43406</v>
      </c>
      <c r="L47" s="1" t="b">
        <f>IF(MATCH(C47,Wiki!B:B,0)&lt;&gt;0,TRUE,FALSE)</f>
        <v>1</v>
      </c>
      <c r="M47" s="1" t="str">
        <f>INDEX(Wiki!K:K,MATCH('BOM2017'!C47,Wiki!B:B,0))</f>
        <v>Captain_Underpants:_The_First_Epic_Movie</v>
      </c>
      <c r="N47" s="1" t="str">
        <f>IFERROR(M47,INDEX(Wiki!K:K,MATCH('BOM2017'!D47,Wiki!B:B,0)))</f>
        <v>Captain_Underpants:_The_First_Epic_Movie</v>
      </c>
    </row>
    <row r="48" spans="2:14" x14ac:dyDescent="0.2">
      <c r="B48" s="6">
        <v>43</v>
      </c>
      <c r="C48" s="3" t="s">
        <v>492</v>
      </c>
      <c r="D48" t="str">
        <f t="shared" si="0"/>
        <v/>
      </c>
      <c r="E48" s="3" t="s">
        <v>718</v>
      </c>
      <c r="F48" s="7" t="s">
        <v>719</v>
      </c>
      <c r="G48" s="6" t="s">
        <v>720</v>
      </c>
      <c r="H48" s="6" t="s">
        <v>721</v>
      </c>
      <c r="I48" s="6" t="s">
        <v>720</v>
      </c>
      <c r="J48" s="4">
        <v>43405</v>
      </c>
      <c r="K48" s="8">
        <v>43111</v>
      </c>
      <c r="L48" s="1" t="b">
        <f>IF(MATCH(C48,Wiki!B:B,0)&lt;&gt;0,TRUE,FALSE)</f>
        <v>1</v>
      </c>
      <c r="M48" s="1" t="str">
        <f>INDEX(Wiki!K:K,MATCH('BOM2017'!C48,Wiki!B:B,0))</f>
        <v>A_Bad_Moms_Christmas</v>
      </c>
      <c r="N48" s="1" t="str">
        <f>IFERROR(M48,INDEX(Wiki!K:K,MATCH('BOM2017'!D48,Wiki!B:B,0)))</f>
        <v>A_Bad_Moms_Christmas</v>
      </c>
    </row>
    <row r="49" spans="2:14" x14ac:dyDescent="0.2">
      <c r="B49" s="6">
        <v>44</v>
      </c>
      <c r="C49" s="3" t="s">
        <v>57</v>
      </c>
      <c r="D49" t="str">
        <f t="shared" si="0"/>
        <v/>
      </c>
      <c r="E49" s="3" t="s">
        <v>586</v>
      </c>
      <c r="F49" s="7" t="s">
        <v>722</v>
      </c>
      <c r="G49" s="6" t="s">
        <v>723</v>
      </c>
      <c r="H49" s="6" t="s">
        <v>724</v>
      </c>
      <c r="I49" s="6" t="s">
        <v>725</v>
      </c>
      <c r="J49" s="4">
        <v>43127</v>
      </c>
      <c r="K49" s="8">
        <v>43238</v>
      </c>
      <c r="L49" s="1" t="b">
        <f>IF(MATCH(C49,Wiki!B:B,0)&lt;&gt;0,TRUE,FALSE)</f>
        <v>1</v>
      </c>
      <c r="M49" s="1" t="str">
        <f>INDEX(Wiki!K:K,MATCH('BOM2017'!C49,Wiki!B:B,0))</f>
        <v>A_Dog%27s_Purpose_(film)</v>
      </c>
      <c r="N49" s="1" t="str">
        <f>IFERROR(M49,INDEX(Wiki!K:K,MATCH('BOM2017'!D49,Wiki!B:B,0)))</f>
        <v>A_Dog%27s_Purpose_(film)</v>
      </c>
    </row>
    <row r="50" spans="2:14" x14ac:dyDescent="0.2">
      <c r="B50" s="6">
        <v>45</v>
      </c>
      <c r="C50" s="3" t="s">
        <v>726</v>
      </c>
      <c r="D50" t="str">
        <f t="shared" si="0"/>
        <v/>
      </c>
      <c r="E50" s="3" t="s">
        <v>563</v>
      </c>
      <c r="F50" s="7" t="s">
        <v>727</v>
      </c>
      <c r="G50" s="6" t="s">
        <v>728</v>
      </c>
      <c r="H50" s="6" t="s">
        <v>729</v>
      </c>
      <c r="I50" s="6" t="s">
        <v>728</v>
      </c>
      <c r="J50" s="4">
        <v>43365</v>
      </c>
      <c r="K50" s="8">
        <v>43434</v>
      </c>
      <c r="L50" s="1" t="b">
        <f>IF(MATCH(C50,Wiki!B:B,0)&lt;&gt;0,TRUE,FALSE)</f>
        <v>1</v>
      </c>
      <c r="M50" s="1" t="str">
        <f>INDEX(Wiki!K:K,MATCH('BOM2017'!C50,Wiki!B:B,0))</f>
        <v>The_Lego_Ninjago_Movie</v>
      </c>
      <c r="N50" s="1" t="str">
        <f>IFERROR(M50,INDEX(Wiki!K:K,MATCH('BOM2017'!D50,Wiki!B:B,0)))</f>
        <v>The_Lego_Ninjago_Movie</v>
      </c>
    </row>
    <row r="51" spans="2:14" x14ac:dyDescent="0.2">
      <c r="B51" s="6">
        <v>46</v>
      </c>
      <c r="C51" s="3" t="s">
        <v>264</v>
      </c>
      <c r="D51" t="str">
        <f t="shared" si="0"/>
        <v/>
      </c>
      <c r="E51" s="3" t="s">
        <v>638</v>
      </c>
      <c r="F51" s="7" t="s">
        <v>730</v>
      </c>
      <c r="G51" s="6" t="s">
        <v>731</v>
      </c>
      <c r="H51" s="6" t="s">
        <v>732</v>
      </c>
      <c r="I51" s="6" t="s">
        <v>731</v>
      </c>
      <c r="J51" s="4">
        <v>43245</v>
      </c>
      <c r="K51" s="8">
        <v>43308</v>
      </c>
      <c r="L51" s="1" t="b">
        <f>IF(MATCH(C51,Wiki!B:B,0)&lt;&gt;0,TRUE,FALSE)</f>
        <v>1</v>
      </c>
      <c r="M51" s="1" t="str">
        <f>INDEX(Wiki!K:K,MATCH('BOM2017'!C51,Wiki!B:B,0))</f>
        <v>Baywatch_(film)</v>
      </c>
      <c r="N51" s="1" t="str">
        <f>IFERROR(M51,INDEX(Wiki!K:K,MATCH('BOM2017'!D51,Wiki!B:B,0)))</f>
        <v>Baywatch_(film)</v>
      </c>
    </row>
    <row r="52" spans="2:14" x14ac:dyDescent="0.2">
      <c r="B52" s="6">
        <v>47</v>
      </c>
      <c r="C52" s="3" t="s">
        <v>139</v>
      </c>
      <c r="D52" t="str">
        <f t="shared" si="0"/>
        <v/>
      </c>
      <c r="E52" s="3" t="s">
        <v>685</v>
      </c>
      <c r="F52" s="7" t="s">
        <v>733</v>
      </c>
      <c r="G52" s="6" t="s">
        <v>734</v>
      </c>
      <c r="H52" s="6" t="s">
        <v>735</v>
      </c>
      <c r="I52" s="6" t="s">
        <v>734</v>
      </c>
      <c r="J52" s="4">
        <v>43162</v>
      </c>
      <c r="K52" s="8">
        <v>43238</v>
      </c>
      <c r="L52" s="1" t="b">
        <f>IF(MATCH(C52,Wiki!B:B,0)&lt;&gt;0,TRUE,FALSE)</f>
        <v>1</v>
      </c>
      <c r="M52" s="1" t="str">
        <f>INDEX(Wiki!K:K,MATCH('BOM2017'!C52,Wiki!B:B,0))</f>
        <v>The_Shack_(2017_film)</v>
      </c>
      <c r="N52" s="1" t="str">
        <f>IFERROR(M52,INDEX(Wiki!K:K,MATCH('BOM2017'!D52,Wiki!B:B,0)))</f>
        <v>The_Shack_(2017_film)</v>
      </c>
    </row>
    <row r="53" spans="2:14" x14ac:dyDescent="0.2">
      <c r="B53" s="6">
        <v>48</v>
      </c>
      <c r="C53" s="3" t="s">
        <v>454</v>
      </c>
      <c r="D53" t="str">
        <f t="shared" si="0"/>
        <v/>
      </c>
      <c r="E53" s="3" t="s">
        <v>586</v>
      </c>
      <c r="F53" s="7" t="s">
        <v>736</v>
      </c>
      <c r="G53" s="6" t="s">
        <v>737</v>
      </c>
      <c r="H53" s="6" t="s">
        <v>738</v>
      </c>
      <c r="I53" s="6" t="s">
        <v>739</v>
      </c>
      <c r="J53" s="4">
        <v>43386</v>
      </c>
      <c r="K53" s="8">
        <v>43448</v>
      </c>
      <c r="L53" s="1" t="b">
        <f>IF(MATCH(C53,Wiki!B:B,0)&lt;&gt;0,TRUE,FALSE)</f>
        <v>1</v>
      </c>
      <c r="M53" s="1" t="str">
        <f>INDEX(Wiki!K:K,MATCH('BOM2017'!C53,Wiki!B:B,0))</f>
        <v>Happy_Death_Day</v>
      </c>
      <c r="N53" s="1" t="str">
        <f>IFERROR(M53,INDEX(Wiki!K:K,MATCH('BOM2017'!D53,Wiki!B:B,0)))</f>
        <v>Happy_Death_Day</v>
      </c>
    </row>
    <row r="54" spans="2:14" x14ac:dyDescent="0.2">
      <c r="B54" s="6">
        <v>49</v>
      </c>
      <c r="C54" s="3" t="s">
        <v>336</v>
      </c>
      <c r="D54" t="str">
        <f t="shared" si="0"/>
        <v/>
      </c>
      <c r="E54" s="3" t="s">
        <v>740</v>
      </c>
      <c r="F54" s="7" t="s">
        <v>741</v>
      </c>
      <c r="G54" s="6" t="s">
        <v>742</v>
      </c>
      <c r="H54" s="6" t="s">
        <v>743</v>
      </c>
      <c r="I54" s="6" t="s">
        <v>744</v>
      </c>
      <c r="J54" s="4">
        <v>43309</v>
      </c>
      <c r="K54" s="8">
        <v>43378</v>
      </c>
      <c r="L54" s="1" t="b">
        <f>IF(MATCH(C54,Wiki!B:B,0)&lt;&gt;0,TRUE,FALSE)</f>
        <v>1</v>
      </c>
      <c r="M54" s="1" t="str">
        <f>INDEX(Wiki!K:K,MATCH('BOM2017'!C54,Wiki!B:B,0))</f>
        <v>Atomic_Blonde</v>
      </c>
      <c r="N54" s="1" t="str">
        <f>IFERROR(M54,INDEX(Wiki!K:K,MATCH('BOM2017'!D54,Wiki!B:B,0)))</f>
        <v>Atomic_Blonde</v>
      </c>
    </row>
    <row r="55" spans="2:14" x14ac:dyDescent="0.2">
      <c r="B55" s="6">
        <v>50</v>
      </c>
      <c r="C55" s="3" t="s">
        <v>434</v>
      </c>
      <c r="D55" t="str">
        <f t="shared" si="0"/>
        <v/>
      </c>
      <c r="E55" s="3" t="s">
        <v>586</v>
      </c>
      <c r="F55" s="7" t="s">
        <v>745</v>
      </c>
      <c r="G55" s="6" t="s">
        <v>746</v>
      </c>
      <c r="H55" s="6" t="s">
        <v>747</v>
      </c>
      <c r="I55" s="6" t="s">
        <v>748</v>
      </c>
      <c r="J55" s="4">
        <v>43372</v>
      </c>
      <c r="K55" s="8">
        <v>43448</v>
      </c>
      <c r="L55" s="1" t="b">
        <f>IF(MATCH(C55,Wiki!B:B,0)&lt;&gt;0,TRUE,FALSE)</f>
        <v>1</v>
      </c>
      <c r="M55" s="1" t="str">
        <f>INDEX(Wiki!K:K,MATCH('BOM2017'!C55,Wiki!B:B,0))</f>
        <v>American_Made_(film)</v>
      </c>
      <c r="N55" s="1" t="str">
        <f>IFERROR(M55,INDEX(Wiki!K:K,MATCH('BOM2017'!D55,Wiki!B:B,0)))</f>
        <v>American_Made_(film)</v>
      </c>
    </row>
    <row r="56" spans="2:14" x14ac:dyDescent="0.2">
      <c r="B56" s="6">
        <v>51</v>
      </c>
      <c r="C56" s="3" t="s">
        <v>349</v>
      </c>
      <c r="D56" t="str">
        <f t="shared" si="0"/>
        <v/>
      </c>
      <c r="E56" s="3" t="s">
        <v>570</v>
      </c>
      <c r="F56" s="7" t="s">
        <v>749</v>
      </c>
      <c r="G56" s="6" t="s">
        <v>750</v>
      </c>
      <c r="H56" s="6" t="s">
        <v>751</v>
      </c>
      <c r="I56" s="6" t="s">
        <v>750</v>
      </c>
      <c r="J56" s="4">
        <v>43316</v>
      </c>
      <c r="K56" s="8">
        <v>43392</v>
      </c>
      <c r="L56" s="1" t="b">
        <f>IF(MATCH(C56,Wiki!B:B,0)&lt;&gt;0,TRUE,FALSE)</f>
        <v>1</v>
      </c>
      <c r="M56" s="1" t="str">
        <f>INDEX(Wiki!K:K,MATCH('BOM2017'!C56,Wiki!B:B,0))</f>
        <v>The_Dark_Tower_(2017_film)</v>
      </c>
      <c r="N56" s="1" t="str">
        <f>IFERROR(M56,INDEX(Wiki!K:K,MATCH('BOM2017'!D56,Wiki!B:B,0)))</f>
        <v>The_Dark_Tower_(2017_film)</v>
      </c>
    </row>
    <row r="57" spans="2:14" x14ac:dyDescent="0.2">
      <c r="B57" s="6">
        <v>52</v>
      </c>
      <c r="C57" s="3" t="s">
        <v>752</v>
      </c>
      <c r="D57" t="e">
        <f t="shared" si="0"/>
        <v>#VALUE!</v>
      </c>
      <c r="E57" s="3" t="s">
        <v>643</v>
      </c>
      <c r="F57" s="7" t="s">
        <v>753</v>
      </c>
      <c r="G57" s="6" t="s">
        <v>754</v>
      </c>
      <c r="H57" s="6" t="s">
        <v>755</v>
      </c>
      <c r="I57" s="6" t="s">
        <v>754</v>
      </c>
      <c r="J57" s="4">
        <v>43393</v>
      </c>
      <c r="K57" s="8">
        <v>43448</v>
      </c>
      <c r="L57" s="1" t="e">
        <f>IF(MATCH(C57,Wiki!B:B,0)&lt;&gt;0,TRUE,FALSE)</f>
        <v>#N/A</v>
      </c>
      <c r="M57" s="1" t="e">
        <f>INDEX(Wiki!K:K,MATCH('BOM2017'!C57,Wiki!B:B,0))</f>
        <v>#N/A</v>
      </c>
      <c r="N57" s="1" t="e">
        <f>IFERROR(M57,INDEX(Wiki!K:K,MATCH('BOM2017'!D57,Wiki!B:B,0)))</f>
        <v>#VALUE!</v>
      </c>
    </row>
    <row r="58" spans="2:14" x14ac:dyDescent="0.2">
      <c r="B58" s="6">
        <v>53</v>
      </c>
      <c r="C58" s="3" t="s">
        <v>257</v>
      </c>
      <c r="D58" t="str">
        <f t="shared" si="0"/>
        <v/>
      </c>
      <c r="E58" s="3" t="s">
        <v>594</v>
      </c>
      <c r="F58" s="7" t="s">
        <v>756</v>
      </c>
      <c r="G58" s="6" t="s">
        <v>757</v>
      </c>
      <c r="H58" s="6" t="s">
        <v>758</v>
      </c>
      <c r="I58" s="6" t="s">
        <v>759</v>
      </c>
      <c r="J58" s="4">
        <v>43232</v>
      </c>
      <c r="K58" s="8">
        <v>43315</v>
      </c>
      <c r="L58" s="1" t="b">
        <f>IF(MATCH(C58,Wiki!B:B,0)&lt;&gt;0,TRUE,FALSE)</f>
        <v>1</v>
      </c>
      <c r="M58" s="1" t="str">
        <f>INDEX(Wiki!K:K,MATCH('BOM2017'!C58,Wiki!B:B,0))</f>
        <v>Snatched_(2017_film)</v>
      </c>
      <c r="N58" s="1" t="str">
        <f>IFERROR(M58,INDEX(Wiki!K:K,MATCH('BOM2017'!D58,Wiki!B:B,0)))</f>
        <v>Snatched_(2017_film)</v>
      </c>
    </row>
    <row r="59" spans="2:14" x14ac:dyDescent="0.2">
      <c r="B59" s="6">
        <v>54</v>
      </c>
      <c r="C59" s="3" t="s">
        <v>530</v>
      </c>
      <c r="D59" t="str">
        <f t="shared" si="0"/>
        <v/>
      </c>
      <c r="E59" s="3" t="s">
        <v>594</v>
      </c>
      <c r="F59" s="7" t="s">
        <v>760</v>
      </c>
      <c r="G59" s="6" t="s">
        <v>761</v>
      </c>
      <c r="H59" s="6" t="s">
        <v>762</v>
      </c>
      <c r="I59" s="6">
        <v>9</v>
      </c>
      <c r="J59" s="4">
        <v>43456</v>
      </c>
      <c r="K59" s="6" t="s">
        <v>558</v>
      </c>
      <c r="L59" s="1" t="b">
        <f>IF(MATCH(C59,Wiki!B:B,0)&lt;&gt;0,TRUE,FALSE)</f>
        <v>1</v>
      </c>
      <c r="M59" s="1" t="str">
        <f>INDEX(Wiki!K:K,MATCH('BOM2017'!C59,Wiki!B:B,0))</f>
        <v>The_Post_(film)</v>
      </c>
      <c r="N59" s="1" t="str">
        <f>IFERROR(M59,INDEX(Wiki!K:K,MATCH('BOM2017'!D59,Wiki!B:B,0)))</f>
        <v>The_Post_(film)</v>
      </c>
    </row>
    <row r="60" spans="2:14" x14ac:dyDescent="0.2">
      <c r="B60" s="6">
        <v>55</v>
      </c>
      <c r="C60" s="3" t="s">
        <v>103</v>
      </c>
      <c r="D60" t="str">
        <f t="shared" si="0"/>
        <v/>
      </c>
      <c r="E60" s="3" t="s">
        <v>586</v>
      </c>
      <c r="F60" s="7" t="s">
        <v>763</v>
      </c>
      <c r="G60" s="6" t="s">
        <v>764</v>
      </c>
      <c r="H60" s="6" t="s">
        <v>765</v>
      </c>
      <c r="I60" s="6" t="s">
        <v>742</v>
      </c>
      <c r="J60" s="4">
        <v>43148</v>
      </c>
      <c r="K60" s="8">
        <v>43252</v>
      </c>
      <c r="L60" s="1" t="b">
        <f>IF(MATCH(C60,Wiki!B:B,0)&lt;&gt;0,TRUE,FALSE)</f>
        <v>1</v>
      </c>
      <c r="M60" s="1" t="str">
        <f>INDEX(Wiki!K:K,MATCH('BOM2017'!C60,Wiki!B:B,0))</f>
        <v>The_Great_Wall_(film)</v>
      </c>
      <c r="N60" s="1" t="str">
        <f>IFERROR(M60,INDEX(Wiki!K:K,MATCH('BOM2017'!D60,Wiki!B:B,0)))</f>
        <v>The_Great_Wall_(film)</v>
      </c>
    </row>
    <row r="61" spans="2:14" x14ac:dyDescent="0.2">
      <c r="B61" s="6">
        <v>56</v>
      </c>
      <c r="C61" s="3" t="s">
        <v>188</v>
      </c>
      <c r="D61" t="str">
        <f t="shared" si="0"/>
        <v/>
      </c>
      <c r="E61" s="3" t="s">
        <v>570</v>
      </c>
      <c r="F61" s="7" t="s">
        <v>766</v>
      </c>
      <c r="G61" s="6" t="s">
        <v>767</v>
      </c>
      <c r="H61" s="6" t="s">
        <v>768</v>
      </c>
      <c r="I61" s="6" t="s">
        <v>767</v>
      </c>
      <c r="J61" s="4">
        <v>43197</v>
      </c>
      <c r="K61" s="8">
        <v>43315</v>
      </c>
      <c r="L61" s="1" t="b">
        <f>IF(MATCH(C61,Wiki!B:B,0)&lt;&gt;0,TRUE,FALSE)</f>
        <v>1</v>
      </c>
      <c r="M61" s="1" t="str">
        <f>INDEX(Wiki!K:K,MATCH('BOM2017'!C61,Wiki!B:B,0))</f>
        <v>Smurfs:_The_Lost_Village</v>
      </c>
      <c r="N61" s="1" t="str">
        <f>IFERROR(M61,INDEX(Wiki!K:K,MATCH('BOM2017'!D61,Wiki!B:B,0)))</f>
        <v>Smurfs:_The_Lost_Village</v>
      </c>
    </row>
    <row r="62" spans="2:14" x14ac:dyDescent="0.2">
      <c r="B62" s="6">
        <v>57</v>
      </c>
      <c r="C62" s="3" t="s">
        <v>769</v>
      </c>
      <c r="D62" t="str">
        <f t="shared" si="0"/>
        <v>Going in Style</v>
      </c>
      <c r="E62" s="3" t="s">
        <v>574</v>
      </c>
      <c r="F62" s="7" t="s">
        <v>770</v>
      </c>
      <c r="G62" s="6" t="s">
        <v>771</v>
      </c>
      <c r="H62" s="6" t="s">
        <v>772</v>
      </c>
      <c r="I62" s="6" t="s">
        <v>773</v>
      </c>
      <c r="J62" s="4">
        <v>43197</v>
      </c>
      <c r="K62" s="8">
        <v>43294</v>
      </c>
      <c r="L62" s="1" t="e">
        <f>IF(MATCH(C62,Wiki!B:B,0)&lt;&gt;0,TRUE,FALSE)</f>
        <v>#N/A</v>
      </c>
      <c r="M62" s="1" t="e">
        <f>INDEX(Wiki!K:K,MATCH('BOM2017'!C62,Wiki!B:B,0))</f>
        <v>#N/A</v>
      </c>
      <c r="N62" s="1" t="str">
        <f>IFERROR(M62,INDEX(Wiki!K:K,MATCH('BOM2017'!D62,Wiki!B:B,0)))</f>
        <v>Going_in_Style_(2017_film)</v>
      </c>
    </row>
    <row r="63" spans="2:14" x14ac:dyDescent="0.2">
      <c r="B63" s="6">
        <v>58</v>
      </c>
      <c r="C63" s="3" t="s">
        <v>300</v>
      </c>
      <c r="D63" t="str">
        <f t="shared" si="0"/>
        <v/>
      </c>
      <c r="E63" s="3" t="s">
        <v>685</v>
      </c>
      <c r="F63" s="7" t="s">
        <v>774</v>
      </c>
      <c r="G63" s="6" t="s">
        <v>775</v>
      </c>
      <c r="H63" s="6" t="s">
        <v>776</v>
      </c>
      <c r="I63" s="6" t="s">
        <v>775</v>
      </c>
      <c r="J63" s="4">
        <v>43267</v>
      </c>
      <c r="K63" s="8">
        <v>43315</v>
      </c>
      <c r="L63" s="1" t="b">
        <f>IF(MATCH(C63,Wiki!B:B,0)&lt;&gt;0,TRUE,FALSE)</f>
        <v>1</v>
      </c>
      <c r="M63" s="1" t="str">
        <f>INDEX(Wiki!K:K,MATCH('BOM2017'!C63,Wiki!B:B,0))</f>
        <v>All_Eyez_on_Me_(film)</v>
      </c>
      <c r="N63" s="1" t="str">
        <f>IFERROR(M63,INDEX(Wiki!K:K,MATCH('BOM2017'!D63,Wiki!B:B,0)))</f>
        <v>All_Eyez_on_Me_(film)</v>
      </c>
    </row>
    <row r="64" spans="2:14" x14ac:dyDescent="0.2">
      <c r="B64" s="6">
        <v>59</v>
      </c>
      <c r="C64" s="3" t="s">
        <v>777</v>
      </c>
      <c r="D64" t="e">
        <f t="shared" si="0"/>
        <v>#VALUE!</v>
      </c>
      <c r="E64" s="3" t="s">
        <v>638</v>
      </c>
      <c r="F64" s="7" t="s">
        <v>778</v>
      </c>
      <c r="G64" s="6" t="s">
        <v>779</v>
      </c>
      <c r="H64" s="6" t="s">
        <v>780</v>
      </c>
      <c r="I64" s="6" t="s">
        <v>779</v>
      </c>
      <c r="J64" s="4">
        <v>43120</v>
      </c>
      <c r="K64" s="8">
        <v>43175</v>
      </c>
      <c r="L64" s="1" t="e">
        <f>IF(MATCH(C64,Wiki!B:B,0)&lt;&gt;0,TRUE,FALSE)</f>
        <v>#N/A</v>
      </c>
      <c r="M64" s="1" t="e">
        <f>INDEX(Wiki!K:K,MATCH('BOM2017'!C64,Wiki!B:B,0))</f>
        <v>#N/A</v>
      </c>
      <c r="N64" s="1" t="e">
        <f>IFERROR(M64,INDEX(Wiki!K:K,MATCH('BOM2017'!D64,Wiki!B:B,0)))</f>
        <v>#VALUE!</v>
      </c>
    </row>
    <row r="65" spans="2:14" x14ac:dyDescent="0.2">
      <c r="B65" s="6">
        <v>60</v>
      </c>
      <c r="C65" s="3" t="s">
        <v>301</v>
      </c>
      <c r="D65" t="str">
        <f t="shared" si="0"/>
        <v/>
      </c>
      <c r="E65" s="3" t="s">
        <v>781</v>
      </c>
      <c r="F65" s="7" t="s">
        <v>782</v>
      </c>
      <c r="G65" s="6" t="s">
        <v>775</v>
      </c>
      <c r="H65" s="6" t="s">
        <v>783</v>
      </c>
      <c r="I65" s="6" t="s">
        <v>784</v>
      </c>
      <c r="J65" s="4">
        <v>43267</v>
      </c>
      <c r="K65" s="8">
        <v>43392</v>
      </c>
      <c r="L65" s="1" t="b">
        <f>IF(MATCH(C65,Wiki!B:B,0)&lt;&gt;0,TRUE,FALSE)</f>
        <v>1</v>
      </c>
      <c r="M65" s="1" t="str">
        <f>INDEX(Wiki!K:K,MATCH('BOM2017'!C65,Wiki!B:B,0))</f>
        <v>47_Meters_Down</v>
      </c>
      <c r="N65" s="1" t="str">
        <f>IFERROR(M65,INDEX(Wiki!K:K,MATCH('BOM2017'!D65,Wiki!B:B,0)))</f>
        <v>47_Meters_Down</v>
      </c>
    </row>
    <row r="66" spans="2:14" x14ac:dyDescent="0.2">
      <c r="B66" s="6">
        <v>61</v>
      </c>
      <c r="C66" s="3" t="s">
        <v>49</v>
      </c>
      <c r="D66" t="str">
        <f t="shared" si="0"/>
        <v/>
      </c>
      <c r="E66" s="3" t="s">
        <v>643</v>
      </c>
      <c r="F66" s="7" t="s">
        <v>785</v>
      </c>
      <c r="G66" s="6" t="s">
        <v>786</v>
      </c>
      <c r="H66" s="6" t="s">
        <v>787</v>
      </c>
      <c r="I66" s="6">
        <v>5</v>
      </c>
      <c r="J66" s="4">
        <v>43274</v>
      </c>
      <c r="K66" s="8">
        <v>43395</v>
      </c>
      <c r="L66" s="1" t="b">
        <f>IF(MATCH(C66,Wiki!B:B,0)&lt;&gt;0,TRUE,FALSE)</f>
        <v>1</v>
      </c>
      <c r="M66" s="1" t="str">
        <f>INDEX(Wiki!K:K,MATCH('BOM2017'!C66,Wiki!B:B,0))</f>
        <v>The_Big_Sick</v>
      </c>
      <c r="N66" s="1" t="str">
        <f>IFERROR(M66,INDEX(Wiki!K:K,MATCH('BOM2017'!D66,Wiki!B:B,0)))</f>
        <v>The_Big_Sick</v>
      </c>
    </row>
    <row r="67" spans="2:14" x14ac:dyDescent="0.2">
      <c r="B67" s="6">
        <v>62</v>
      </c>
      <c r="C67" s="3" t="s">
        <v>330</v>
      </c>
      <c r="D67" t="str">
        <f t="shared" si="0"/>
        <v/>
      </c>
      <c r="E67" s="3" t="s">
        <v>718</v>
      </c>
      <c r="F67" s="7" t="s">
        <v>788</v>
      </c>
      <c r="G67" s="6" t="s">
        <v>789</v>
      </c>
      <c r="H67" s="6" t="s">
        <v>790</v>
      </c>
      <c r="I67" s="6" t="s">
        <v>789</v>
      </c>
      <c r="J67" s="4">
        <v>43302</v>
      </c>
      <c r="K67" s="8">
        <v>43364</v>
      </c>
      <c r="L67" s="1" t="b">
        <f>IF(MATCH(C67,Wiki!B:B,0)&lt;&gt;0,TRUE,FALSE)</f>
        <v>1</v>
      </c>
      <c r="M67" s="1" t="str">
        <f>INDEX(Wiki!K:K,MATCH('BOM2017'!C67,Wiki!B:B,0))</f>
        <v>Valerian_and_the_City_of_a_Thousand_Planets</v>
      </c>
      <c r="N67" s="1" t="str">
        <f>IFERROR(M67,INDEX(Wiki!K:K,MATCH('BOM2017'!D67,Wiki!B:B,0)))</f>
        <v>Valerian_and_the_City_of_a_Thousand_Planets</v>
      </c>
    </row>
    <row r="68" spans="2:14" x14ac:dyDescent="0.2">
      <c r="B68" s="6">
        <v>63</v>
      </c>
      <c r="C68" s="3" t="s">
        <v>384</v>
      </c>
      <c r="D68" t="str">
        <f t="shared" si="0"/>
        <v/>
      </c>
      <c r="E68" s="3" t="s">
        <v>740</v>
      </c>
      <c r="F68" s="7" t="s">
        <v>791</v>
      </c>
      <c r="G68" s="6" t="s">
        <v>792</v>
      </c>
      <c r="H68" s="6" t="s">
        <v>793</v>
      </c>
      <c r="I68" s="6">
        <v>4</v>
      </c>
      <c r="J68" s="4">
        <v>43426</v>
      </c>
      <c r="K68" s="6" t="s">
        <v>558</v>
      </c>
      <c r="L68" s="1" t="b">
        <f>IF(MATCH(C68,Wiki!B:B,0)&lt;&gt;0,TRUE,FALSE)</f>
        <v>1</v>
      </c>
      <c r="M68" s="1" t="str">
        <f>INDEX(Wiki!K:K,MATCH('BOM2017'!C68,Wiki!B:B,0))</f>
        <v>Darkest_Hour_(film)</v>
      </c>
      <c r="N68" s="1" t="str">
        <f>IFERROR(M68,INDEX(Wiki!K:K,MATCH('BOM2017'!D68,Wiki!B:B,0)))</f>
        <v>Darkest_Hour_(film)</v>
      </c>
    </row>
    <row r="69" spans="2:14" x14ac:dyDescent="0.2">
      <c r="B69" s="6">
        <v>64</v>
      </c>
      <c r="C69" s="3" t="s">
        <v>504</v>
      </c>
      <c r="D69" t="str">
        <f t="shared" si="0"/>
        <v/>
      </c>
      <c r="E69" s="3" t="s">
        <v>570</v>
      </c>
      <c r="F69" s="7" t="s">
        <v>794</v>
      </c>
      <c r="G69" s="6" t="s">
        <v>795</v>
      </c>
      <c r="H69" s="6" t="s">
        <v>796</v>
      </c>
      <c r="I69" s="6" t="s">
        <v>797</v>
      </c>
      <c r="J69" s="4">
        <v>43421</v>
      </c>
      <c r="K69" s="6" t="s">
        <v>558</v>
      </c>
      <c r="L69" s="1" t="b">
        <f>IF(MATCH(C69,Wiki!B:B,0)&lt;&gt;0,TRUE,FALSE)</f>
        <v>1</v>
      </c>
      <c r="M69" s="1" t="str">
        <f>INDEX(Wiki!K:K,MATCH('BOM2017'!C69,Wiki!B:B,0))</f>
        <v>The_Star_(2017_film)</v>
      </c>
      <c r="N69" s="1" t="str">
        <f>IFERROR(M69,INDEX(Wiki!K:K,MATCH('BOM2017'!D69,Wiki!B:B,0)))</f>
        <v>The_Star_(2017_film)</v>
      </c>
    </row>
    <row r="70" spans="2:14" x14ac:dyDescent="0.2">
      <c r="B70" s="6">
        <v>65</v>
      </c>
      <c r="C70" s="3" t="s">
        <v>798</v>
      </c>
      <c r="D70" t="str">
        <f t="shared" ref="D70:D133" si="1">IF(ISERROR(M70),TRIM(LEFT(C70,FIND("(",C70)-1)),"")</f>
        <v>Ghost in the Shell</v>
      </c>
      <c r="E70" s="3" t="s">
        <v>638</v>
      </c>
      <c r="F70" s="7" t="s">
        <v>799</v>
      </c>
      <c r="G70" s="6" t="s">
        <v>800</v>
      </c>
      <c r="H70" s="6" t="s">
        <v>801</v>
      </c>
      <c r="I70" s="6" t="s">
        <v>800</v>
      </c>
      <c r="J70" s="4">
        <v>43190</v>
      </c>
      <c r="K70" s="8">
        <v>43245</v>
      </c>
      <c r="L70" s="1" t="e">
        <f>IF(MATCH(C70,Wiki!B:B,0)&lt;&gt;0,TRUE,FALSE)</f>
        <v>#N/A</v>
      </c>
      <c r="M70" s="1" t="e">
        <f>INDEX(Wiki!K:K,MATCH('BOM2017'!C70,Wiki!B:B,0))</f>
        <v>#N/A</v>
      </c>
      <c r="N70" s="1" t="str">
        <f>IFERROR(M70,INDEX(Wiki!K:K,MATCH('BOM2017'!D70,Wiki!B:B,0)))</f>
        <v>Ghost_in_the_Shell_(2017_film)</v>
      </c>
    </row>
    <row r="71" spans="2:14" x14ac:dyDescent="0.2">
      <c r="B71" s="6">
        <v>66</v>
      </c>
      <c r="C71" s="3" t="s">
        <v>254</v>
      </c>
      <c r="D71" t="str">
        <f t="shared" si="1"/>
        <v/>
      </c>
      <c r="E71" s="3" t="s">
        <v>563</v>
      </c>
      <c r="F71" s="7" t="s">
        <v>802</v>
      </c>
      <c r="G71" s="6" t="s">
        <v>803</v>
      </c>
      <c r="H71" s="6" t="s">
        <v>804</v>
      </c>
      <c r="I71" s="6" t="s">
        <v>803</v>
      </c>
      <c r="J71" s="4">
        <v>43232</v>
      </c>
      <c r="K71" s="8">
        <v>43301</v>
      </c>
      <c r="L71" s="1" t="b">
        <f>IF(MATCH(C71,Wiki!B:B,0)&lt;&gt;0,TRUE,FALSE)</f>
        <v>1</v>
      </c>
      <c r="M71" s="1" t="str">
        <f>INDEX(Wiki!K:K,MATCH('BOM2017'!C71,Wiki!B:B,0))</f>
        <v>King_Arthur:_Legend_of_the_Sword</v>
      </c>
      <c r="N71" s="1" t="str">
        <f>IFERROR(M71,INDEX(Wiki!K:K,MATCH('BOM2017'!D71,Wiki!B:B,0)))</f>
        <v>King_Arthur:_Legend_of_the_Sword</v>
      </c>
    </row>
    <row r="72" spans="2:14" x14ac:dyDescent="0.2">
      <c r="B72" s="6">
        <v>67</v>
      </c>
      <c r="C72" s="3" t="s">
        <v>386</v>
      </c>
      <c r="D72" t="str">
        <f t="shared" si="1"/>
        <v/>
      </c>
      <c r="E72" s="3" t="s">
        <v>38</v>
      </c>
      <c r="F72" s="7" t="s">
        <v>805</v>
      </c>
      <c r="G72" s="6" t="s">
        <v>806</v>
      </c>
      <c r="H72" s="6" t="s">
        <v>807</v>
      </c>
      <c r="I72" s="6">
        <v>4</v>
      </c>
      <c r="J72" s="4">
        <v>43407</v>
      </c>
      <c r="K72" s="6" t="s">
        <v>558</v>
      </c>
      <c r="L72" s="1" t="b">
        <f>IF(MATCH(C72,Wiki!B:B,0)&lt;&gt;0,TRUE,FALSE)</f>
        <v>1</v>
      </c>
      <c r="M72" s="1" t="str">
        <f>INDEX(Wiki!K:K,MATCH('BOM2017'!C72,Wiki!B:B,0))</f>
        <v>Lady_Bird_(film)</v>
      </c>
      <c r="N72" s="1" t="str">
        <f>IFERROR(M72,INDEX(Wiki!K:K,MATCH('BOM2017'!D72,Wiki!B:B,0)))</f>
        <v>Lady_Bird_(film)</v>
      </c>
    </row>
    <row r="73" spans="2:14" x14ac:dyDescent="0.2">
      <c r="B73" s="6">
        <v>68</v>
      </c>
      <c r="C73" s="3" t="s">
        <v>481</v>
      </c>
      <c r="D73" t="str">
        <f t="shared" si="1"/>
        <v/>
      </c>
      <c r="E73" s="3" t="s">
        <v>643</v>
      </c>
      <c r="F73" s="7" t="s">
        <v>808</v>
      </c>
      <c r="G73" s="6" t="s">
        <v>809</v>
      </c>
      <c r="H73" s="6" t="s">
        <v>810</v>
      </c>
      <c r="I73" s="6" t="s">
        <v>809</v>
      </c>
      <c r="J73" s="4">
        <v>43400</v>
      </c>
      <c r="K73" s="8">
        <v>43455</v>
      </c>
      <c r="L73" s="1" t="b">
        <f>IF(MATCH(C73,Wiki!B:B,0)&lt;&gt;0,TRUE,FALSE)</f>
        <v>1</v>
      </c>
      <c r="M73" s="1" t="str">
        <f>INDEX(Wiki!K:K,MATCH('BOM2017'!C73,Wiki!B:B,0))</f>
        <v>Jigsaw_(2017_film)</v>
      </c>
      <c r="N73" s="1" t="str">
        <f>IFERROR(M73,INDEX(Wiki!K:K,MATCH('BOM2017'!D73,Wiki!B:B,0)))</f>
        <v>Jigsaw_(2017_film)</v>
      </c>
    </row>
    <row r="74" spans="2:14" x14ac:dyDescent="0.2">
      <c r="B74" s="6">
        <v>69</v>
      </c>
      <c r="C74" s="3" t="s">
        <v>410</v>
      </c>
      <c r="D74" t="str">
        <f t="shared" si="1"/>
        <v/>
      </c>
      <c r="E74" s="3" t="s">
        <v>643</v>
      </c>
      <c r="F74" s="7" t="s">
        <v>811</v>
      </c>
      <c r="G74" s="6" t="s">
        <v>812</v>
      </c>
      <c r="H74" s="6" t="s">
        <v>813</v>
      </c>
      <c r="I74" s="6" t="s">
        <v>812</v>
      </c>
      <c r="J74" s="4">
        <v>43358</v>
      </c>
      <c r="K74" s="8">
        <v>43413</v>
      </c>
      <c r="L74" s="1" t="b">
        <f>IF(MATCH(C74,Wiki!B:B,0)&lt;&gt;0,TRUE,FALSE)</f>
        <v>1</v>
      </c>
      <c r="M74" s="1" t="str">
        <f>INDEX(Wiki!K:K,MATCH('BOM2017'!C74,Wiki!B:B,0))</f>
        <v>American_Assassin</v>
      </c>
      <c r="N74" s="1" t="str">
        <f>IFERROR(M74,INDEX(Wiki!K:K,MATCH('BOM2017'!D74,Wiki!B:B,0)))</f>
        <v>American_Assassin</v>
      </c>
    </row>
    <row r="75" spans="2:14" x14ac:dyDescent="0.2">
      <c r="B75" s="6">
        <v>70</v>
      </c>
      <c r="C75" s="3" t="s">
        <v>456</v>
      </c>
      <c r="D75" t="str">
        <f t="shared" si="1"/>
        <v/>
      </c>
      <c r="E75" s="3" t="s">
        <v>718</v>
      </c>
      <c r="F75" s="7" t="s">
        <v>814</v>
      </c>
      <c r="G75" s="6" t="s">
        <v>815</v>
      </c>
      <c r="H75" s="6" t="s">
        <v>816</v>
      </c>
      <c r="I75" s="6" t="s">
        <v>815</v>
      </c>
      <c r="J75" s="4">
        <v>43386</v>
      </c>
      <c r="K75" s="8">
        <v>43455</v>
      </c>
      <c r="L75" s="1" t="b">
        <f>IF(MATCH(C75,Wiki!B:B,0)&lt;&gt;0,TRUE,FALSE)</f>
        <v>1</v>
      </c>
      <c r="M75" s="1" t="str">
        <f>INDEX(Wiki!K:K,MATCH('BOM2017'!C75,Wiki!B:B,0))</f>
        <v>The_Foreigner_(2017_film)</v>
      </c>
      <c r="N75" s="1" t="str">
        <f>IFERROR(M75,INDEX(Wiki!K:K,MATCH('BOM2017'!D75,Wiki!B:B,0)))</f>
        <v>The_Foreigner_(2017_film)</v>
      </c>
    </row>
    <row r="76" spans="2:14" x14ac:dyDescent="0.2">
      <c r="B76" s="6">
        <v>71</v>
      </c>
      <c r="C76" s="3" t="s">
        <v>271</v>
      </c>
      <c r="D76" t="str">
        <f t="shared" si="1"/>
        <v/>
      </c>
      <c r="E76" s="3" t="s">
        <v>563</v>
      </c>
      <c r="F76" s="7" t="s">
        <v>817</v>
      </c>
      <c r="G76" s="6" t="s">
        <v>818</v>
      </c>
      <c r="H76" s="6" t="s">
        <v>819</v>
      </c>
      <c r="I76" s="6" t="s">
        <v>818</v>
      </c>
      <c r="J76" s="4">
        <v>43239</v>
      </c>
      <c r="K76" s="8">
        <v>43308</v>
      </c>
      <c r="L76" s="1" t="b">
        <f>IF(MATCH(C76,Wiki!B:B,0)&lt;&gt;0,TRUE,FALSE)</f>
        <v>1</v>
      </c>
      <c r="M76" s="1" t="str">
        <f>INDEX(Wiki!K:K,MATCH('BOM2017'!C76,Wiki!B:B,0))</f>
        <v>Everything,_Everything_(film)</v>
      </c>
      <c r="N76" s="1" t="str">
        <f>IFERROR(M76,INDEX(Wiki!K:K,MATCH('BOM2017'!D76,Wiki!B:B,0)))</f>
        <v>Everything,_Everything_(film)</v>
      </c>
    </row>
    <row r="77" spans="2:14" x14ac:dyDescent="0.2">
      <c r="B77" s="6">
        <v>72</v>
      </c>
      <c r="C77" s="3" t="s">
        <v>355</v>
      </c>
      <c r="D77" t="str">
        <f t="shared" si="1"/>
        <v/>
      </c>
      <c r="E77" s="3" t="s">
        <v>820</v>
      </c>
      <c r="F77" s="7" t="s">
        <v>821</v>
      </c>
      <c r="G77" s="6" t="s">
        <v>822</v>
      </c>
      <c r="H77" s="6" t="s">
        <v>823</v>
      </c>
      <c r="I77" s="6">
        <v>4</v>
      </c>
      <c r="J77" s="4">
        <v>43316</v>
      </c>
      <c r="K77" s="8">
        <v>43441</v>
      </c>
      <c r="L77" s="1" t="b">
        <f>IF(MATCH(C77,Wiki!B:B,0)&lt;&gt;0,TRUE,FALSE)</f>
        <v>1</v>
      </c>
      <c r="M77" s="1" t="str">
        <f>INDEX(Wiki!K:K,MATCH('BOM2017'!C77,Wiki!B:B,0))</f>
        <v>Wind_River_(film)</v>
      </c>
      <c r="N77" s="1" t="str">
        <f>IFERROR(M77,INDEX(Wiki!K:K,MATCH('BOM2017'!D77,Wiki!B:B,0)))</f>
        <v>Wind_River_(film)</v>
      </c>
    </row>
    <row r="78" spans="2:14" x14ac:dyDescent="0.2">
      <c r="B78" s="6">
        <v>73</v>
      </c>
      <c r="C78" s="3" t="s">
        <v>464</v>
      </c>
      <c r="D78" t="str">
        <f t="shared" si="1"/>
        <v/>
      </c>
      <c r="E78" s="3" t="s">
        <v>563</v>
      </c>
      <c r="F78" s="7" t="s">
        <v>824</v>
      </c>
      <c r="G78" s="6" t="s">
        <v>825</v>
      </c>
      <c r="H78" s="6" t="s">
        <v>826</v>
      </c>
      <c r="I78" s="6" t="s">
        <v>825</v>
      </c>
      <c r="J78" s="4">
        <v>43393</v>
      </c>
      <c r="K78" s="8">
        <v>43111</v>
      </c>
      <c r="L78" s="1" t="b">
        <f>IF(MATCH(C78,Wiki!B:B,0)&lt;&gt;0,TRUE,FALSE)</f>
        <v>1</v>
      </c>
      <c r="M78" s="1" t="str">
        <f>INDEX(Wiki!K:K,MATCH('BOM2017'!C78,Wiki!B:B,0))</f>
        <v>Geostorm</v>
      </c>
      <c r="N78" s="1" t="str">
        <f>IFERROR(M78,INDEX(Wiki!K:K,MATCH('BOM2017'!D78,Wiki!B:B,0)))</f>
        <v>Geostorm</v>
      </c>
    </row>
    <row r="79" spans="2:14" x14ac:dyDescent="0.2">
      <c r="B79" s="6">
        <v>74</v>
      </c>
      <c r="C79" s="3" t="s">
        <v>16</v>
      </c>
      <c r="D79" t="str">
        <f t="shared" si="1"/>
        <v/>
      </c>
      <c r="E79" s="3" t="s">
        <v>638</v>
      </c>
      <c r="F79" s="7" t="s">
        <v>827</v>
      </c>
      <c r="G79" s="6" t="s">
        <v>828</v>
      </c>
      <c r="H79" s="6" t="s">
        <v>829</v>
      </c>
      <c r="I79" s="6" t="s">
        <v>828</v>
      </c>
      <c r="J79" s="4">
        <v>43113</v>
      </c>
      <c r="K79" s="8">
        <v>43175</v>
      </c>
      <c r="L79" s="1" t="b">
        <f>IF(MATCH(C79,Wiki!B:B,0)&lt;&gt;0,TRUE,FALSE)</f>
        <v>1</v>
      </c>
      <c r="M79" s="1" t="str">
        <f>INDEX(Wiki!K:K,MATCH('BOM2017'!C79,Wiki!B:B,0))</f>
        <v>Monster_Trucks_(film)</v>
      </c>
      <c r="N79" s="1" t="str">
        <f>IFERROR(M79,INDEX(Wiki!K:K,MATCH('BOM2017'!D79,Wiki!B:B,0)))</f>
        <v>Monster_Trucks_(film)</v>
      </c>
    </row>
    <row r="80" spans="2:14" x14ac:dyDescent="0.2">
      <c r="B80" s="6">
        <v>75</v>
      </c>
      <c r="C80" s="3" t="s">
        <v>390</v>
      </c>
      <c r="D80" t="str">
        <f t="shared" si="1"/>
        <v/>
      </c>
      <c r="E80" s="3" t="s">
        <v>830</v>
      </c>
      <c r="F80" s="7" t="s">
        <v>831</v>
      </c>
      <c r="G80" s="6" t="s">
        <v>832</v>
      </c>
      <c r="H80" s="6" t="s">
        <v>833</v>
      </c>
      <c r="I80" s="6">
        <v>4</v>
      </c>
      <c r="J80" s="4">
        <v>43414</v>
      </c>
      <c r="K80" s="6" t="s">
        <v>558</v>
      </c>
      <c r="L80" s="1" t="b">
        <f>IF(MATCH(C80,Wiki!B:B,0)&lt;&gt;0,TRUE,FALSE)</f>
        <v>1</v>
      </c>
      <c r="M80" s="1" t="str">
        <f>INDEX(Wiki!K:K,MATCH('BOM2017'!C80,Wiki!B:B,0))</f>
        <v>Three_Billboards_Outside_Ebbing,_Missouri</v>
      </c>
      <c r="N80" s="1" t="str">
        <f>IFERROR(M80,INDEX(Wiki!K:K,MATCH('BOM2017'!D80,Wiki!B:B,0)))</f>
        <v>Three_Billboards_Outside_Ebbing,_Missouri</v>
      </c>
    </row>
    <row r="81" spans="2:14" x14ac:dyDescent="0.2">
      <c r="B81" s="6">
        <v>76</v>
      </c>
      <c r="C81" s="3" t="s">
        <v>108</v>
      </c>
      <c r="D81" t="str">
        <f t="shared" si="1"/>
        <v/>
      </c>
      <c r="E81" s="3" t="s">
        <v>574</v>
      </c>
      <c r="F81" s="7" t="s">
        <v>834</v>
      </c>
      <c r="G81" s="6" t="s">
        <v>835</v>
      </c>
      <c r="H81" s="6" t="s">
        <v>836</v>
      </c>
      <c r="I81" s="6" t="s">
        <v>835</v>
      </c>
      <c r="J81" s="4">
        <v>43148</v>
      </c>
      <c r="K81" s="8">
        <v>43203</v>
      </c>
      <c r="L81" s="1" t="b">
        <f>IF(MATCH(C81,Wiki!B:B,0)&lt;&gt;0,TRUE,FALSE)</f>
        <v>1</v>
      </c>
      <c r="M81" s="1" t="str">
        <f>INDEX(Wiki!K:K,MATCH('BOM2017'!C81,Wiki!B:B,0))</f>
        <v>Fist_Fight</v>
      </c>
      <c r="N81" s="1" t="str">
        <f>IFERROR(M81,INDEX(Wiki!K:K,MATCH('BOM2017'!D81,Wiki!B:B,0)))</f>
        <v>Fist_Fight</v>
      </c>
    </row>
    <row r="82" spans="2:14" x14ac:dyDescent="0.2">
      <c r="B82" s="6">
        <v>77</v>
      </c>
      <c r="C82" s="3" t="s">
        <v>837</v>
      </c>
      <c r="D82" t="str">
        <f t="shared" si="1"/>
        <v/>
      </c>
      <c r="E82" s="3" t="s">
        <v>838</v>
      </c>
      <c r="F82" s="7" t="s">
        <v>839</v>
      </c>
      <c r="G82" s="6" t="s">
        <v>840</v>
      </c>
      <c r="H82" s="6" t="s">
        <v>841</v>
      </c>
      <c r="I82" s="6" t="s">
        <v>842</v>
      </c>
      <c r="J82" s="4">
        <v>43218</v>
      </c>
      <c r="K82" s="8">
        <v>43273</v>
      </c>
      <c r="L82" s="1" t="b">
        <f>IF(MATCH(C82,Wiki!B:B,0)&lt;&gt;0,TRUE,FALSE)</f>
        <v>1</v>
      </c>
      <c r="M82" s="1" t="str">
        <f>INDEX(Wiki!K:K,MATCH('BOM2017'!C82,Wiki!B:B,0))</f>
        <v>How_to_Be_a_Latin_Lover</v>
      </c>
      <c r="N82" s="1" t="str">
        <f>IFERROR(M82,INDEX(Wiki!K:K,MATCH('BOM2017'!D82,Wiki!B:B,0)))</f>
        <v>How_to_Be_a_Latin_Lover</v>
      </c>
    </row>
    <row r="83" spans="2:14" x14ac:dyDescent="0.2">
      <c r="B83" s="6">
        <v>78</v>
      </c>
      <c r="C83" s="3" t="s">
        <v>843</v>
      </c>
      <c r="D83" t="str">
        <f t="shared" si="1"/>
        <v>Kidnap</v>
      </c>
      <c r="E83" s="3" t="s">
        <v>844</v>
      </c>
      <c r="F83" s="7" t="s">
        <v>845</v>
      </c>
      <c r="G83" s="6" t="s">
        <v>846</v>
      </c>
      <c r="H83" s="6" t="s">
        <v>847</v>
      </c>
      <c r="I83" s="6" t="s">
        <v>848</v>
      </c>
      <c r="J83" s="4">
        <v>43316</v>
      </c>
      <c r="K83" s="8">
        <v>43420</v>
      </c>
      <c r="L83" s="1" t="e">
        <f>IF(MATCH(C83,Wiki!B:B,0)&lt;&gt;0,TRUE,FALSE)</f>
        <v>#N/A</v>
      </c>
      <c r="M83" s="1" t="e">
        <f>INDEX(Wiki!K:K,MATCH('BOM2017'!C83,Wiki!B:B,0))</f>
        <v>#N/A</v>
      </c>
      <c r="N83" s="1" t="str">
        <f>IFERROR(M83,INDEX(Wiki!K:K,MATCH('BOM2017'!D83,Wiki!B:B,0)))</f>
        <v>Kidnap_(2017_film)</v>
      </c>
    </row>
    <row r="84" spans="2:14" x14ac:dyDescent="0.2">
      <c r="B84" s="6">
        <v>79</v>
      </c>
      <c r="C84" s="3" t="s">
        <v>518</v>
      </c>
      <c r="D84" t="str">
        <f t="shared" si="1"/>
        <v/>
      </c>
      <c r="E84" s="3" t="s">
        <v>830</v>
      </c>
      <c r="F84" s="7" t="s">
        <v>849</v>
      </c>
      <c r="G84" s="6">
        <v>853</v>
      </c>
      <c r="H84" s="6" t="s">
        <v>850</v>
      </c>
      <c r="I84" s="6">
        <v>2</v>
      </c>
      <c r="J84" s="4">
        <v>43435</v>
      </c>
      <c r="K84" s="6" t="s">
        <v>558</v>
      </c>
      <c r="L84" s="1" t="b">
        <f>IF(MATCH(C84,Wiki!B:B,0)&lt;&gt;0,TRUE,FALSE)</f>
        <v>1</v>
      </c>
      <c r="M84" s="1" t="str">
        <f>INDEX(Wiki!K:K,MATCH('BOM2017'!C84,Wiki!B:B,0))</f>
        <v>The_Shape_of_Water_(film)</v>
      </c>
      <c r="N84" s="1" t="str">
        <f>IFERROR(M84,INDEX(Wiki!K:K,MATCH('BOM2017'!D84,Wiki!B:B,0)))</f>
        <v>The_Shape_of_Water_(film)</v>
      </c>
    </row>
    <row r="85" spans="2:14" x14ac:dyDescent="0.2">
      <c r="B85" s="6">
        <v>80</v>
      </c>
      <c r="C85" s="3" t="s">
        <v>4</v>
      </c>
      <c r="D85" t="str">
        <f t="shared" si="1"/>
        <v/>
      </c>
      <c r="E85" s="3" t="s">
        <v>851</v>
      </c>
      <c r="F85" s="7" t="s">
        <v>852</v>
      </c>
      <c r="G85" s="6" t="s">
        <v>853</v>
      </c>
      <c r="H85" s="6" t="s">
        <v>854</v>
      </c>
      <c r="I85" s="6" t="s">
        <v>853</v>
      </c>
      <c r="J85" s="4">
        <v>43106</v>
      </c>
      <c r="K85" s="8">
        <v>43168</v>
      </c>
      <c r="L85" s="1" t="b">
        <f>IF(MATCH(C85,Wiki!B:B,0)&lt;&gt;0,TRUE,FALSE)</f>
        <v>1</v>
      </c>
      <c r="M85" s="1" t="str">
        <f>INDEX(Wiki!K:K,MATCH('BOM2017'!C85,Wiki!B:B,0))</f>
        <v>Underworld:_Blood_Wars</v>
      </c>
      <c r="N85" s="1" t="str">
        <f>IFERROR(M85,INDEX(Wiki!K:K,MATCH('BOM2017'!D85,Wiki!B:B,0)))</f>
        <v>Underworld:_Blood_Wars</v>
      </c>
    </row>
    <row r="86" spans="2:14" x14ac:dyDescent="0.2">
      <c r="B86" s="6">
        <v>81</v>
      </c>
      <c r="C86" s="3" t="s">
        <v>441</v>
      </c>
      <c r="D86" t="str">
        <f t="shared" si="1"/>
        <v/>
      </c>
      <c r="E86" s="3" t="s">
        <v>594</v>
      </c>
      <c r="F86" s="7" t="s">
        <v>855</v>
      </c>
      <c r="G86" s="6" t="s">
        <v>856</v>
      </c>
      <c r="H86" s="6" t="s">
        <v>857</v>
      </c>
      <c r="I86" s="6" t="s">
        <v>858</v>
      </c>
      <c r="J86" s="4">
        <v>43379</v>
      </c>
      <c r="K86" s="8">
        <v>43455</v>
      </c>
      <c r="L86" s="1" t="b">
        <f>IF(MATCH(C86,Wiki!B:B,0)&lt;&gt;0,TRUE,FALSE)</f>
        <v>1</v>
      </c>
      <c r="M86" s="1" t="str">
        <f>INDEX(Wiki!K:K,MATCH('BOM2017'!C86,Wiki!B:B,0))</f>
        <v>The_Mountain_Between_Us_(film)</v>
      </c>
      <c r="N86" s="1" t="str">
        <f>IFERROR(M86,INDEX(Wiki!K:K,MATCH('BOM2017'!D86,Wiki!B:B,0)))</f>
        <v>The_Mountain_Between_Us_(film)</v>
      </c>
    </row>
    <row r="87" spans="2:14" x14ac:dyDescent="0.2">
      <c r="B87" s="6">
        <v>82</v>
      </c>
      <c r="C87" s="3" t="s">
        <v>859</v>
      </c>
      <c r="D87" t="str">
        <f t="shared" si="1"/>
        <v>Life</v>
      </c>
      <c r="E87" s="3" t="s">
        <v>570</v>
      </c>
      <c r="F87" s="7" t="s">
        <v>860</v>
      </c>
      <c r="G87" s="6" t="s">
        <v>861</v>
      </c>
      <c r="H87" s="6" t="s">
        <v>862</v>
      </c>
      <c r="I87" s="6" t="s">
        <v>861</v>
      </c>
      <c r="J87" s="4">
        <v>43183</v>
      </c>
      <c r="K87" s="8">
        <v>43252</v>
      </c>
      <c r="L87" s="1" t="e">
        <f>IF(MATCH(C87,Wiki!B:B,0)&lt;&gt;0,TRUE,FALSE)</f>
        <v>#N/A</v>
      </c>
      <c r="M87" s="1" t="e">
        <f>INDEX(Wiki!K:K,MATCH('BOM2017'!C87,Wiki!B:B,0))</f>
        <v>#N/A</v>
      </c>
      <c r="N87" s="1" t="str">
        <f>IFERROR(M87,INDEX(Wiki!K:K,MATCH('BOM2017'!D87,Wiki!B:B,0)))</f>
        <v>Life_(2017_film)</v>
      </c>
    </row>
    <row r="88" spans="2:14" x14ac:dyDescent="0.2">
      <c r="B88" s="6">
        <v>83</v>
      </c>
      <c r="C88" s="3" t="s">
        <v>360</v>
      </c>
      <c r="D88" t="str">
        <f t="shared" si="1"/>
        <v/>
      </c>
      <c r="E88" s="3" t="s">
        <v>863</v>
      </c>
      <c r="F88" s="7" t="s">
        <v>864</v>
      </c>
      <c r="G88" s="6" t="s">
        <v>683</v>
      </c>
      <c r="H88" s="6" t="s">
        <v>865</v>
      </c>
      <c r="I88" s="6" t="s">
        <v>683</v>
      </c>
      <c r="J88" s="4">
        <v>43323</v>
      </c>
      <c r="K88" s="8">
        <v>43371</v>
      </c>
      <c r="L88" s="1" t="b">
        <f>IF(MATCH(C88,Wiki!B:B,0)&lt;&gt;0,TRUE,FALSE)</f>
        <v>1</v>
      </c>
      <c r="M88" s="1" t="str">
        <f>INDEX(Wiki!K:K,MATCH('BOM2017'!C88,Wiki!B:B,0))</f>
        <v>The_Nut_Job_2:_Nutty_by_Nature</v>
      </c>
      <c r="N88" s="1" t="str">
        <f>IFERROR(M88,INDEX(Wiki!K:K,MATCH('BOM2017'!D88,Wiki!B:B,0)))</f>
        <v>The_Nut_Job_2:_Nutty_by_Nature</v>
      </c>
    </row>
    <row r="89" spans="2:14" x14ac:dyDescent="0.2">
      <c r="B89" s="6">
        <v>84</v>
      </c>
      <c r="C89" s="3" t="s">
        <v>74</v>
      </c>
      <c r="D89" t="str">
        <f t="shared" si="1"/>
        <v/>
      </c>
      <c r="E89" s="3" t="s">
        <v>638</v>
      </c>
      <c r="F89" s="7" t="s">
        <v>866</v>
      </c>
      <c r="G89" s="6" t="s">
        <v>867</v>
      </c>
      <c r="H89" s="6" t="s">
        <v>868</v>
      </c>
      <c r="I89" s="6" t="s">
        <v>867</v>
      </c>
      <c r="J89" s="4">
        <v>43134</v>
      </c>
      <c r="K89" s="8">
        <v>43182</v>
      </c>
      <c r="L89" s="1" t="b">
        <f>IF(MATCH(C89,Wiki!B:B,0)&lt;&gt;0,TRUE,FALSE)</f>
        <v>1</v>
      </c>
      <c r="M89" s="1" t="str">
        <f>INDEX(Wiki!K:K,MATCH('BOM2017'!C89,Wiki!B:B,0))</f>
        <v>Rings_(2017_film)</v>
      </c>
      <c r="N89" s="1" t="str">
        <f>IFERROR(M89,INDEX(Wiki!K:K,MATCH('BOM2017'!D89,Wiki!B:B,0)))</f>
        <v>Rings_(2017_film)</v>
      </c>
    </row>
    <row r="90" spans="2:14" x14ac:dyDescent="0.2">
      <c r="B90" s="6">
        <v>85</v>
      </c>
      <c r="C90" s="3" t="s">
        <v>366</v>
      </c>
      <c r="D90" t="str">
        <f t="shared" si="1"/>
        <v/>
      </c>
      <c r="E90" s="3" t="s">
        <v>869</v>
      </c>
      <c r="F90" s="7" t="s">
        <v>870</v>
      </c>
      <c r="G90" s="6" t="s">
        <v>871</v>
      </c>
      <c r="H90" s="6" t="s">
        <v>872</v>
      </c>
      <c r="I90" s="6" t="s">
        <v>871</v>
      </c>
      <c r="J90" s="4">
        <v>43330</v>
      </c>
      <c r="K90" s="8">
        <v>43413</v>
      </c>
      <c r="L90" s="1" t="b">
        <f>IF(MATCH(C90,Wiki!B:B,0)&lt;&gt;0,TRUE,FALSE)</f>
        <v>1</v>
      </c>
      <c r="M90" s="1" t="str">
        <f>INDEX(Wiki!K:K,MATCH('BOM2017'!C90,Wiki!B:B,0))</f>
        <v>Logan_Lucky</v>
      </c>
      <c r="N90" s="1" t="str">
        <f>IFERROR(M90,INDEX(Wiki!K:K,MATCH('BOM2017'!D90,Wiki!B:B,0)))</f>
        <v>Logan_Lucky</v>
      </c>
    </row>
    <row r="91" spans="2:14" x14ac:dyDescent="0.2">
      <c r="B91" s="6">
        <v>86</v>
      </c>
      <c r="C91" s="3" t="s">
        <v>376</v>
      </c>
      <c r="D91" t="str">
        <f t="shared" si="1"/>
        <v/>
      </c>
      <c r="E91" s="3" t="s">
        <v>863</v>
      </c>
      <c r="F91" s="7" t="s">
        <v>873</v>
      </c>
      <c r="G91" s="6" t="s">
        <v>874</v>
      </c>
      <c r="H91" s="6" t="s">
        <v>875</v>
      </c>
      <c r="I91" s="6" t="s">
        <v>876</v>
      </c>
      <c r="J91" s="4">
        <v>43351</v>
      </c>
      <c r="K91" s="8">
        <v>43413</v>
      </c>
      <c r="L91" s="1" t="b">
        <f>IF(MATCH(C91,Wiki!B:B,0)&lt;&gt;0,TRUE,FALSE)</f>
        <v>1</v>
      </c>
      <c r="M91" s="1" t="str">
        <f>INDEX(Wiki!K:K,MATCH('BOM2017'!C91,Wiki!B:B,0))</f>
        <v>Home_Again_(2017_film)</v>
      </c>
      <c r="N91" s="1" t="str">
        <f>IFERROR(M91,INDEX(Wiki!K:K,MATCH('BOM2017'!D91,Wiki!B:B,0)))</f>
        <v>Home_Again_(2017_film)</v>
      </c>
    </row>
    <row r="92" spans="2:14" x14ac:dyDescent="0.2">
      <c r="B92" s="6">
        <v>87</v>
      </c>
      <c r="C92" s="3" t="s">
        <v>59</v>
      </c>
      <c r="D92" t="str">
        <f t="shared" si="1"/>
        <v/>
      </c>
      <c r="E92" s="3" t="s">
        <v>851</v>
      </c>
      <c r="F92" s="7" t="s">
        <v>877</v>
      </c>
      <c r="G92" s="6" t="s">
        <v>878</v>
      </c>
      <c r="H92" s="6" t="s">
        <v>879</v>
      </c>
      <c r="I92" s="6" t="s">
        <v>878</v>
      </c>
      <c r="J92" s="4">
        <v>43127</v>
      </c>
      <c r="K92" s="8">
        <v>43189</v>
      </c>
      <c r="L92" s="1" t="b">
        <f>IF(MATCH(C92,Wiki!B:B,0)&lt;&gt;0,TRUE,FALSE)</f>
        <v>1</v>
      </c>
      <c r="M92" s="1" t="str">
        <f>INDEX(Wiki!K:K,MATCH('BOM2017'!C92,Wiki!B:B,0))</f>
        <v>Resident_Evil:_The_Final_Chapter</v>
      </c>
      <c r="N92" s="1" t="str">
        <f>IFERROR(M92,INDEX(Wiki!K:K,MATCH('BOM2017'!D92,Wiki!B:B,0)))</f>
        <v>Resident_Evil:_The_Final_Chapter</v>
      </c>
    </row>
    <row r="93" spans="2:14" x14ac:dyDescent="0.2">
      <c r="B93" s="6">
        <v>88</v>
      </c>
      <c r="C93" s="3" t="s">
        <v>315</v>
      </c>
      <c r="D93" t="str">
        <f t="shared" si="1"/>
        <v/>
      </c>
      <c r="E93" s="3" t="s">
        <v>574</v>
      </c>
      <c r="F93" s="7" t="s">
        <v>880</v>
      </c>
      <c r="G93" s="6" t="s">
        <v>881</v>
      </c>
      <c r="H93" s="6" t="s">
        <v>882</v>
      </c>
      <c r="I93" s="6" t="s">
        <v>881</v>
      </c>
      <c r="J93" s="4">
        <v>43281</v>
      </c>
      <c r="K93" s="8">
        <v>43343</v>
      </c>
      <c r="L93" s="1" t="b">
        <f>IF(MATCH(C93,Wiki!B:B,0)&lt;&gt;0,TRUE,FALSE)</f>
        <v>1</v>
      </c>
      <c r="M93" s="1" t="str">
        <f>INDEX(Wiki!K:K,MATCH('BOM2017'!C93,Wiki!B:B,0))</f>
        <v>The_House_(2017_film)</v>
      </c>
      <c r="N93" s="1" t="str">
        <f>IFERROR(M93,INDEX(Wiki!K:K,MATCH('BOM2017'!D93,Wiki!B:B,0)))</f>
        <v>The_House_(2017_film)</v>
      </c>
    </row>
    <row r="94" spans="2:14" x14ac:dyDescent="0.2">
      <c r="B94" s="6">
        <v>89</v>
      </c>
      <c r="C94" s="3" t="s">
        <v>197</v>
      </c>
      <c r="D94" t="str">
        <f t="shared" si="1"/>
        <v/>
      </c>
      <c r="E94" s="3" t="s">
        <v>830</v>
      </c>
      <c r="F94" s="7" t="s">
        <v>883</v>
      </c>
      <c r="G94" s="6" t="s">
        <v>884</v>
      </c>
      <c r="H94" s="6" t="s">
        <v>885</v>
      </c>
      <c r="I94" s="6">
        <v>56</v>
      </c>
      <c r="J94" s="4">
        <v>43197</v>
      </c>
      <c r="K94" s="8">
        <v>43336</v>
      </c>
      <c r="L94" s="1" t="b">
        <f>IF(MATCH(C94,Wiki!B:B,0)&lt;&gt;0,TRUE,FALSE)</f>
        <v>1</v>
      </c>
      <c r="M94" s="1" t="str">
        <f>INDEX(Wiki!K:K,MATCH('BOM2017'!C94,Wiki!B:B,0))</f>
        <v>Gifted_(film)</v>
      </c>
      <c r="N94" s="1" t="str">
        <f>IFERROR(M94,INDEX(Wiki!K:K,MATCH('BOM2017'!D94,Wiki!B:B,0)))</f>
        <v>Gifted_(film)</v>
      </c>
    </row>
    <row r="95" spans="2:14" x14ac:dyDescent="0.2">
      <c r="B95" s="6">
        <v>90</v>
      </c>
      <c r="C95" s="3" t="s">
        <v>407</v>
      </c>
      <c r="D95" t="str">
        <f t="shared" si="1"/>
        <v/>
      </c>
      <c r="E95" s="3" t="s">
        <v>718</v>
      </c>
      <c r="F95" s="7" t="s">
        <v>886</v>
      </c>
      <c r="G95" s="6" t="s">
        <v>887</v>
      </c>
      <c r="H95" s="6" t="s">
        <v>888</v>
      </c>
      <c r="I95" s="6">
        <v>271</v>
      </c>
      <c r="J95" s="4">
        <v>43459</v>
      </c>
      <c r="K95" s="6" t="s">
        <v>558</v>
      </c>
      <c r="L95" s="1" t="b">
        <f>IF(MATCH(C95,Wiki!B:B,0)&lt;&gt;0,TRUE,FALSE)</f>
        <v>1</v>
      </c>
      <c r="M95" s="1" t="str">
        <f>INDEX(Wiki!K:K,MATCH('BOM2017'!C95,Wiki!B:B,0))</f>
        <v>Molly%27s_Game</v>
      </c>
      <c r="N95" s="1" t="str">
        <f>IFERROR(M95,INDEX(Wiki!K:K,MATCH('BOM2017'!D95,Wiki!B:B,0)))</f>
        <v>Molly%27s_Game</v>
      </c>
    </row>
    <row r="96" spans="2:14" x14ac:dyDescent="0.2">
      <c r="B96" s="6">
        <v>91</v>
      </c>
      <c r="C96" s="3" t="s">
        <v>377</v>
      </c>
      <c r="D96" t="str">
        <f t="shared" si="1"/>
        <v/>
      </c>
      <c r="E96" s="3" t="s">
        <v>638</v>
      </c>
      <c r="F96" s="7" t="s">
        <v>889</v>
      </c>
      <c r="G96" s="6" t="s">
        <v>890</v>
      </c>
      <c r="H96" s="6" t="s">
        <v>891</v>
      </c>
      <c r="I96" s="6" t="s">
        <v>890</v>
      </c>
      <c r="J96" s="4">
        <v>43456</v>
      </c>
      <c r="K96" s="6" t="s">
        <v>558</v>
      </c>
      <c r="L96" s="1" t="b">
        <f>IF(MATCH(C96,Wiki!B:B,0)&lt;&gt;0,TRUE,FALSE)</f>
        <v>1</v>
      </c>
      <c r="M96" s="1" t="str">
        <f>INDEX(Wiki!K:K,MATCH('BOM2017'!C96,Wiki!B:B,0))</f>
        <v>Downsizing_(film)</v>
      </c>
      <c r="N96" s="1" t="str">
        <f>IFERROR(M96,INDEX(Wiki!K:K,MATCH('BOM2017'!D96,Wiki!B:B,0)))</f>
        <v>Downsizing_(film)</v>
      </c>
    </row>
    <row r="97" spans="2:14" x14ac:dyDescent="0.2">
      <c r="B97" s="6">
        <v>92</v>
      </c>
      <c r="C97" s="3" t="s">
        <v>536</v>
      </c>
      <c r="D97" t="str">
        <f t="shared" si="1"/>
        <v/>
      </c>
      <c r="E97" s="3" t="s">
        <v>660</v>
      </c>
      <c r="F97" s="7" t="s">
        <v>892</v>
      </c>
      <c r="G97" s="6" t="s">
        <v>893</v>
      </c>
      <c r="H97" s="6" t="s">
        <v>894</v>
      </c>
      <c r="I97" s="6" t="s">
        <v>895</v>
      </c>
      <c r="J97" s="4">
        <v>43459</v>
      </c>
      <c r="K97" s="6" t="s">
        <v>558</v>
      </c>
      <c r="L97" s="1" t="b">
        <f>IF(MATCH(C97,Wiki!B:B,0)&lt;&gt;0,TRUE,FALSE)</f>
        <v>1</v>
      </c>
      <c r="M97" s="1" t="str">
        <f>INDEX(Wiki!K:K,MATCH('BOM2017'!C97,Wiki!B:B,0))</f>
        <v>All_the_Money_in_the_World</v>
      </c>
      <c r="N97" s="1" t="str">
        <f>IFERROR(M97,INDEX(Wiki!K:K,MATCH('BOM2017'!D97,Wiki!B:B,0)))</f>
        <v>All_the_Money_in_the_World</v>
      </c>
    </row>
    <row r="98" spans="2:14" x14ac:dyDescent="0.2">
      <c r="B98" s="6">
        <v>93</v>
      </c>
      <c r="C98" s="3" t="s">
        <v>18</v>
      </c>
      <c r="D98" t="str">
        <f t="shared" si="1"/>
        <v/>
      </c>
      <c r="E98" s="3" t="s">
        <v>718</v>
      </c>
      <c r="F98" s="7" t="s">
        <v>896</v>
      </c>
      <c r="G98" s="6" t="s">
        <v>897</v>
      </c>
      <c r="H98" s="6" t="s">
        <v>898</v>
      </c>
      <c r="I98" s="6" t="s">
        <v>897</v>
      </c>
      <c r="J98" s="4">
        <v>43113</v>
      </c>
      <c r="K98" s="8">
        <v>43147</v>
      </c>
      <c r="L98" s="1" t="b">
        <f>IF(MATCH(C98,Wiki!B:B,0)&lt;&gt;0,TRUE,FALSE)</f>
        <v>1</v>
      </c>
      <c r="M98" s="1" t="str">
        <f>INDEX(Wiki!K:K,MATCH('BOM2017'!C98,Wiki!B:B,0))</f>
        <v>The_Bye_Bye_Man</v>
      </c>
      <c r="N98" s="1" t="str">
        <f>IFERROR(M98,INDEX(Wiki!K:K,MATCH('BOM2017'!D98,Wiki!B:B,0)))</f>
        <v>The_Bye_Bye_Man</v>
      </c>
    </row>
    <row r="99" spans="2:14" x14ac:dyDescent="0.2">
      <c r="B99" s="6">
        <v>94</v>
      </c>
      <c r="C99" s="3" t="s">
        <v>899</v>
      </c>
      <c r="D99" t="e">
        <f t="shared" si="1"/>
        <v>#VALUE!</v>
      </c>
      <c r="E99" s="3" t="s">
        <v>740</v>
      </c>
      <c r="F99" s="7" t="s">
        <v>900</v>
      </c>
      <c r="G99" s="6" t="s">
        <v>901</v>
      </c>
      <c r="H99" s="6" t="s">
        <v>902</v>
      </c>
      <c r="I99" s="6">
        <v>4</v>
      </c>
      <c r="J99" s="4">
        <v>43365</v>
      </c>
      <c r="K99" s="6" t="s">
        <v>558</v>
      </c>
      <c r="L99" s="1" t="e">
        <f>IF(MATCH(C99,Wiki!B:B,0)&lt;&gt;0,TRUE,FALSE)</f>
        <v>#N/A</v>
      </c>
      <c r="M99" s="1" t="e">
        <f>INDEX(Wiki!K:K,MATCH('BOM2017'!C99,Wiki!B:B,0))</f>
        <v>#N/A</v>
      </c>
      <c r="N99" s="1" t="e">
        <f>IFERROR(M99,INDEX(Wiki!K:K,MATCH('BOM2017'!D99,Wiki!B:B,0)))</f>
        <v>#VALUE!</v>
      </c>
    </row>
    <row r="100" spans="2:14" x14ac:dyDescent="0.2">
      <c r="B100" s="6">
        <v>95</v>
      </c>
      <c r="C100" s="3" t="s">
        <v>298</v>
      </c>
      <c r="D100" t="str">
        <f t="shared" si="1"/>
        <v/>
      </c>
      <c r="E100" s="3" t="s">
        <v>570</v>
      </c>
      <c r="F100" s="7" t="s">
        <v>903</v>
      </c>
      <c r="G100" s="6" t="s">
        <v>904</v>
      </c>
      <c r="H100" s="6" t="s">
        <v>905</v>
      </c>
      <c r="I100" s="6" t="s">
        <v>904</v>
      </c>
      <c r="J100" s="4">
        <v>43267</v>
      </c>
      <c r="K100" s="8">
        <v>43343</v>
      </c>
      <c r="L100" s="1" t="b">
        <f>IF(MATCH(C100,Wiki!B:B,0)&lt;&gt;0,TRUE,FALSE)</f>
        <v>1</v>
      </c>
      <c r="M100" s="1" t="str">
        <f>INDEX(Wiki!K:K,MATCH('BOM2017'!C100,Wiki!B:B,0))</f>
        <v>Rough_Night</v>
      </c>
      <c r="N100" s="1" t="str">
        <f>IFERROR(M100,INDEX(Wiki!K:K,MATCH('BOM2017'!D100,Wiki!B:B,0)))</f>
        <v>Rough_Night</v>
      </c>
    </row>
    <row r="101" spans="2:14" x14ac:dyDescent="0.2">
      <c r="B101" s="6">
        <v>96</v>
      </c>
      <c r="C101" s="3" t="s">
        <v>431</v>
      </c>
      <c r="D101" t="str">
        <f t="shared" si="1"/>
        <v/>
      </c>
      <c r="E101" s="3" t="s">
        <v>643</v>
      </c>
      <c r="F101" s="7" t="s">
        <v>906</v>
      </c>
      <c r="G101" s="6" t="s">
        <v>907</v>
      </c>
      <c r="H101" s="6" t="s">
        <v>908</v>
      </c>
      <c r="I101" s="6" t="s">
        <v>907</v>
      </c>
      <c r="J101" s="4">
        <v>43379</v>
      </c>
      <c r="K101" s="6" t="s">
        <v>558</v>
      </c>
      <c r="L101" s="1" t="b">
        <f>IF(MATCH(C101,Wiki!B:B,0)&lt;&gt;0,TRUE,FALSE)</f>
        <v>1</v>
      </c>
      <c r="M101" s="1" t="str">
        <f>INDEX(Wiki!K:K,MATCH('BOM2017'!C101,Wiki!B:B,0))</f>
        <v>My_Little_Pony:_The_Movie_(2017_film)</v>
      </c>
      <c r="N101" s="1" t="str">
        <f>IFERROR(M101,INDEX(Wiki!K:K,MATCH('BOM2017'!D101,Wiki!B:B,0)))</f>
        <v>My_Little_Pony:_The_Movie_(2017_film)</v>
      </c>
    </row>
    <row r="102" spans="2:14" x14ac:dyDescent="0.2">
      <c r="B102" s="6">
        <v>97</v>
      </c>
      <c r="C102" s="3" t="s">
        <v>370</v>
      </c>
      <c r="D102" t="str">
        <f t="shared" si="1"/>
        <v/>
      </c>
      <c r="E102" s="3" t="s">
        <v>820</v>
      </c>
      <c r="F102" s="7" t="s">
        <v>909</v>
      </c>
      <c r="G102" s="6" t="s">
        <v>910</v>
      </c>
      <c r="H102" s="6" t="s">
        <v>911</v>
      </c>
      <c r="I102" s="6" t="s">
        <v>912</v>
      </c>
      <c r="J102" s="4">
        <v>43337</v>
      </c>
      <c r="K102" s="8">
        <v>43441</v>
      </c>
      <c r="L102" s="1" t="b">
        <f>IF(MATCH(C102,Wiki!B:B,0)&lt;&gt;0,TRUE,FALSE)</f>
        <v>1</v>
      </c>
      <c r="M102" s="1" t="str">
        <f>INDEX(Wiki!K:K,MATCH('BOM2017'!C102,Wiki!B:B,0))</f>
        <v>Ballerina_(2016_film)</v>
      </c>
      <c r="N102" s="1" t="str">
        <f>IFERROR(M102,INDEX(Wiki!K:K,MATCH('BOM2017'!D102,Wiki!B:B,0)))</f>
        <v>Ballerina_(2016_film)</v>
      </c>
    </row>
    <row r="103" spans="2:14" x14ac:dyDescent="0.2">
      <c r="B103" s="6">
        <v>98</v>
      </c>
      <c r="C103" s="3" t="s">
        <v>20</v>
      </c>
      <c r="D103" t="str">
        <f t="shared" si="1"/>
        <v/>
      </c>
      <c r="E103" s="3" t="s">
        <v>863</v>
      </c>
      <c r="F103" s="7" t="s">
        <v>913</v>
      </c>
      <c r="G103" s="6" t="s">
        <v>914</v>
      </c>
      <c r="H103" s="6" t="s">
        <v>915</v>
      </c>
      <c r="I103" s="6" t="s">
        <v>914</v>
      </c>
      <c r="J103" s="4">
        <v>43113</v>
      </c>
      <c r="K103" s="8">
        <v>43168</v>
      </c>
      <c r="L103" s="1" t="b">
        <f>IF(MATCH(C103,Wiki!B:B,0)&lt;&gt;0,TRUE,FALSE)</f>
        <v>1</v>
      </c>
      <c r="M103" s="1" t="str">
        <f>INDEX(Wiki!K:K,MATCH('BOM2017'!C103,Wiki!B:B,0))</f>
        <v>Sleepless_(2017_film)</v>
      </c>
      <c r="N103" s="1" t="str">
        <f>IFERROR(M103,INDEX(Wiki!K:K,MATCH('BOM2017'!D103,Wiki!B:B,0)))</f>
        <v>Sleepless_(2017_film)</v>
      </c>
    </row>
    <row r="104" spans="2:14" x14ac:dyDescent="0.2">
      <c r="B104" s="6">
        <v>99</v>
      </c>
      <c r="C104" s="3" t="s">
        <v>516</v>
      </c>
      <c r="D104" t="str">
        <f t="shared" si="1"/>
        <v/>
      </c>
      <c r="E104" s="3" t="s">
        <v>38</v>
      </c>
      <c r="F104" s="7" t="s">
        <v>916</v>
      </c>
      <c r="G104" s="6" t="s">
        <v>917</v>
      </c>
      <c r="H104" s="6" t="s">
        <v>918</v>
      </c>
      <c r="I104" s="6">
        <v>19</v>
      </c>
      <c r="J104" s="4">
        <v>43435</v>
      </c>
      <c r="K104" s="6" t="s">
        <v>558</v>
      </c>
      <c r="L104" s="1" t="b">
        <f>IF(MATCH(C104,Wiki!B:B,0)&lt;&gt;0,TRUE,FALSE)</f>
        <v>1</v>
      </c>
      <c r="M104" s="1" t="str">
        <f>INDEX(Wiki!K:K,MATCH('BOM2017'!C104,Wiki!B:B,0))</f>
        <v>The_Disaster_Artist_(film)</v>
      </c>
      <c r="N104" s="1" t="str">
        <f>IFERROR(M104,INDEX(Wiki!K:K,MATCH('BOM2017'!D104,Wiki!B:B,0)))</f>
        <v>The_Disaster_Artist_(film)</v>
      </c>
    </row>
    <row r="105" spans="2:14" x14ac:dyDescent="0.2">
      <c r="B105" s="6">
        <v>100</v>
      </c>
      <c r="C105" s="3" t="s">
        <v>268</v>
      </c>
      <c r="D105" t="str">
        <f t="shared" si="1"/>
        <v/>
      </c>
      <c r="E105" s="3" t="s">
        <v>594</v>
      </c>
      <c r="F105" s="7" t="s">
        <v>919</v>
      </c>
      <c r="G105" s="6" t="s">
        <v>920</v>
      </c>
      <c r="H105" s="6" t="s">
        <v>921</v>
      </c>
      <c r="I105" s="6" t="s">
        <v>922</v>
      </c>
      <c r="J105" s="4">
        <v>43239</v>
      </c>
      <c r="K105" s="8">
        <v>43329</v>
      </c>
      <c r="L105" s="1" t="b">
        <f>IF(MATCH(C105,Wiki!B:B,0)&lt;&gt;0,TRUE,FALSE)</f>
        <v>1</v>
      </c>
      <c r="M105" s="1" t="str">
        <f>INDEX(Wiki!K:K,MATCH('BOM2017'!C105,Wiki!B:B,0))</f>
        <v>Diary_of_a_Wimpy_Kid:_The_Long_Haul_(film)</v>
      </c>
      <c r="N105" s="1" t="str">
        <f>IFERROR(M105,INDEX(Wiki!K:K,MATCH('BOM2017'!D105,Wiki!B:B,0)))</f>
        <v>Diary_of_a_Wimpy_Kid:_The_Long_Haul_(film)</v>
      </c>
    </row>
    <row r="106" spans="2:14" x14ac:dyDescent="0.2">
      <c r="B106" s="6">
        <v>101</v>
      </c>
      <c r="C106" s="3" t="s">
        <v>924</v>
      </c>
      <c r="D106" t="str">
        <f t="shared" si="1"/>
        <v>The Circle</v>
      </c>
      <c r="E106" s="3" t="s">
        <v>718</v>
      </c>
      <c r="F106" s="7" t="s">
        <v>925</v>
      </c>
      <c r="G106" s="6" t="s">
        <v>926</v>
      </c>
      <c r="H106" s="6" t="s">
        <v>927</v>
      </c>
      <c r="I106" s="6" t="s">
        <v>926</v>
      </c>
      <c r="J106" s="4">
        <v>43218</v>
      </c>
      <c r="K106" s="8">
        <v>43259</v>
      </c>
      <c r="L106" s="1" t="e">
        <f>IF(MATCH(C106,Wiki!B:B,0)&lt;&gt;0,TRUE,FALSE)</f>
        <v>#N/A</v>
      </c>
      <c r="M106" s="1" t="e">
        <f>INDEX(Wiki!K:K,MATCH('BOM2017'!C106,Wiki!B:B,0))</f>
        <v>#N/A</v>
      </c>
      <c r="N106" s="1" t="str">
        <f>IFERROR(M106,INDEX(Wiki!K:K,MATCH('BOM2017'!D106,Wiki!B:B,0)))</f>
        <v>The_Circle_(2017_film)</v>
      </c>
    </row>
    <row r="107" spans="2:14" x14ac:dyDescent="0.2">
      <c r="B107" s="6">
        <v>102</v>
      </c>
      <c r="C107" s="3" t="s">
        <v>236</v>
      </c>
      <c r="D107" t="str">
        <f t="shared" si="1"/>
        <v/>
      </c>
      <c r="E107" s="3" t="s">
        <v>928</v>
      </c>
      <c r="F107" s="7" t="s">
        <v>929</v>
      </c>
      <c r="G107" s="6">
        <v>425</v>
      </c>
      <c r="H107" s="6" t="s">
        <v>930</v>
      </c>
      <c r="I107" s="6">
        <v>425</v>
      </c>
      <c r="J107" s="4">
        <v>43218</v>
      </c>
      <c r="K107" s="8">
        <v>43245</v>
      </c>
      <c r="L107" s="1" t="b">
        <f>IF(MATCH(C107,Wiki!B:B,0)&lt;&gt;0,TRUE,FALSE)</f>
        <v>1</v>
      </c>
      <c r="M107" s="1" t="str">
        <f>INDEX(Wiki!K:K,MATCH('BOM2017'!C107,Wiki!B:B,0))</f>
        <v>Baahubali_2:_The_Conclusion</v>
      </c>
      <c r="N107" s="1" t="str">
        <f>IFERROR(M107,INDEX(Wiki!K:K,MATCH('BOM2017'!D107,Wiki!B:B,0)))</f>
        <v>Baahubali_2:_The_Conclusion</v>
      </c>
    </row>
    <row r="108" spans="2:14" x14ac:dyDescent="0.2">
      <c r="B108" s="6">
        <v>103</v>
      </c>
      <c r="C108" s="3" t="s">
        <v>177</v>
      </c>
      <c r="D108" t="str">
        <f t="shared" si="1"/>
        <v/>
      </c>
      <c r="E108" s="3" t="s">
        <v>563</v>
      </c>
      <c r="F108" s="7" t="s">
        <v>931</v>
      </c>
      <c r="G108" s="6" t="s">
        <v>932</v>
      </c>
      <c r="H108" s="6" t="s">
        <v>933</v>
      </c>
      <c r="I108" s="6" t="s">
        <v>932</v>
      </c>
      <c r="J108" s="4">
        <v>43183</v>
      </c>
      <c r="K108" s="8">
        <v>43245</v>
      </c>
      <c r="L108" s="1" t="b">
        <f>IF(MATCH(C108,Wiki!B:B,0)&lt;&gt;0,TRUE,FALSE)</f>
        <v>1</v>
      </c>
      <c r="M108" s="1" t="str">
        <f>INDEX(Wiki!K:K,MATCH('BOM2017'!C108,Wiki!B:B,0))</f>
        <v>CHiPs_(film)</v>
      </c>
      <c r="N108" s="1" t="str">
        <f>IFERROR(M108,INDEX(Wiki!K:K,MATCH('BOM2017'!D108,Wiki!B:B,0)))</f>
        <v>CHiPs_(film)</v>
      </c>
    </row>
    <row r="109" spans="2:14" x14ac:dyDescent="0.2">
      <c r="B109" s="6">
        <v>104</v>
      </c>
      <c r="C109" s="3" t="s">
        <v>934</v>
      </c>
      <c r="D109" t="str">
        <f t="shared" si="1"/>
        <v/>
      </c>
      <c r="E109" s="3" t="s">
        <v>570</v>
      </c>
      <c r="F109" s="7" t="s">
        <v>935</v>
      </c>
      <c r="G109" s="6" t="s">
        <v>936</v>
      </c>
      <c r="H109" s="6" t="s">
        <v>937</v>
      </c>
      <c r="I109" s="6" t="s">
        <v>936</v>
      </c>
      <c r="J109" s="4">
        <v>43393</v>
      </c>
      <c r="K109" s="6" t="s">
        <v>558</v>
      </c>
      <c r="L109" s="1" t="b">
        <f>IF(MATCH(C109,Wiki!B:B,0)&lt;&gt;0,TRUE,FALSE)</f>
        <v>1</v>
      </c>
      <c r="M109" s="1" t="str">
        <f>INDEX(Wiki!K:K,MATCH('BOM2017'!C109,Wiki!B:B,0))</f>
        <v>Only_the_Brave_(2017_film)</v>
      </c>
      <c r="N109" s="1" t="str">
        <f>IFERROR(M109,INDEX(Wiki!K:K,MATCH('BOM2017'!D109,Wiki!B:B,0)))</f>
        <v>Only_the_Brave_(2017_film)</v>
      </c>
    </row>
    <row r="110" spans="2:14" x14ac:dyDescent="0.2">
      <c r="B110" s="6">
        <v>105</v>
      </c>
      <c r="C110" s="3" t="s">
        <v>938</v>
      </c>
      <c r="D110" t="str">
        <f t="shared" si="1"/>
        <v/>
      </c>
      <c r="E110" s="3" t="s">
        <v>638</v>
      </c>
      <c r="F110" s="7" t="s">
        <v>939</v>
      </c>
      <c r="G110" s="6" t="s">
        <v>940</v>
      </c>
      <c r="H110" s="6" t="s">
        <v>941</v>
      </c>
      <c r="I110" s="6" t="s">
        <v>940</v>
      </c>
      <c r="J110" s="4">
        <v>43358</v>
      </c>
      <c r="K110" s="8">
        <v>43399</v>
      </c>
      <c r="L110" s="1" t="b">
        <f>IF(MATCH(C110,Wiki!B:B,0)&lt;&gt;0,TRUE,FALSE)</f>
        <v>1</v>
      </c>
      <c r="M110" s="1" t="str">
        <f>INDEX(Wiki!K:K,MATCH('BOM2017'!C110,Wiki!B:B,0))</f>
        <v>Mother!</v>
      </c>
      <c r="N110" s="1" t="str">
        <f>IFERROR(M110,INDEX(Wiki!K:K,MATCH('BOM2017'!D110,Wiki!B:B,0)))</f>
        <v>Mother!</v>
      </c>
    </row>
    <row r="111" spans="2:14" x14ac:dyDescent="0.2">
      <c r="B111" s="6">
        <v>106</v>
      </c>
      <c r="C111" s="3" t="s">
        <v>181</v>
      </c>
      <c r="D111" t="str">
        <f t="shared" si="1"/>
        <v/>
      </c>
      <c r="E111" s="3" t="s">
        <v>740</v>
      </c>
      <c r="F111" s="7" t="s">
        <v>942</v>
      </c>
      <c r="G111" s="6" t="s">
        <v>943</v>
      </c>
      <c r="H111" s="6" t="s">
        <v>944</v>
      </c>
      <c r="I111" s="6">
        <v>541</v>
      </c>
      <c r="J111" s="4">
        <v>43190</v>
      </c>
      <c r="K111" s="8">
        <v>43273</v>
      </c>
      <c r="L111" s="1" t="b">
        <f>IF(MATCH(C111,Wiki!B:B,0)&lt;&gt;0,TRUE,FALSE)</f>
        <v>1</v>
      </c>
      <c r="M111" s="1" t="str">
        <f>INDEX(Wiki!K:K,MATCH('BOM2017'!C111,Wiki!B:B,0))</f>
        <v>The_Zookeeper%27s_Wife_(film)</v>
      </c>
      <c r="N111" s="1" t="str">
        <f>IFERROR(M111,INDEX(Wiki!K:K,MATCH('BOM2017'!D111,Wiki!B:B,0)))</f>
        <v>The_Zookeeper%27s_Wife_(film)</v>
      </c>
    </row>
    <row r="112" spans="2:14" x14ac:dyDescent="0.2">
      <c r="B112" s="6">
        <v>107</v>
      </c>
      <c r="C112" s="3" t="s">
        <v>538</v>
      </c>
      <c r="D112" t="str">
        <f t="shared" si="1"/>
        <v/>
      </c>
      <c r="E112" s="3" t="s">
        <v>563</v>
      </c>
      <c r="F112" s="7" t="s">
        <v>945</v>
      </c>
      <c r="G112" s="6" t="s">
        <v>946</v>
      </c>
      <c r="H112" s="6" t="s">
        <v>947</v>
      </c>
      <c r="I112" s="6" t="s">
        <v>946</v>
      </c>
      <c r="J112" s="4">
        <v>43456</v>
      </c>
      <c r="K112" s="6" t="s">
        <v>558</v>
      </c>
      <c r="L112" s="1" t="b">
        <f>IF(MATCH(C112,Wiki!B:B,0)&lt;&gt;0,TRUE,FALSE)</f>
        <v>1</v>
      </c>
      <c r="M112" s="1" t="str">
        <f>INDEX(Wiki!K:K,MATCH('BOM2017'!C112,Wiki!B:B,0))</f>
        <v>Father_Figures</v>
      </c>
      <c r="N112" s="1" t="str">
        <f>IFERROR(M112,INDEX(Wiki!K:K,MATCH('BOM2017'!D112,Wiki!B:B,0)))</f>
        <v>Father_Figures</v>
      </c>
    </row>
    <row r="113" spans="2:14" x14ac:dyDescent="0.2">
      <c r="B113" s="6">
        <v>108</v>
      </c>
      <c r="C113" s="3" t="s">
        <v>359</v>
      </c>
      <c r="D113" t="str">
        <f t="shared" si="1"/>
        <v/>
      </c>
      <c r="E113" s="3" t="s">
        <v>643</v>
      </c>
      <c r="F113" s="7" t="s">
        <v>948</v>
      </c>
      <c r="G113" s="6" t="s">
        <v>949</v>
      </c>
      <c r="H113" s="6" t="s">
        <v>950</v>
      </c>
      <c r="I113" s="6" t="s">
        <v>949</v>
      </c>
      <c r="J113" s="4">
        <v>43323</v>
      </c>
      <c r="K113" s="8">
        <v>43385</v>
      </c>
      <c r="L113" s="1" t="b">
        <f>IF(MATCH(C113,Wiki!B:B,0)&lt;&gt;0,TRUE,FALSE)</f>
        <v>1</v>
      </c>
      <c r="M113" s="1" t="str">
        <f>INDEX(Wiki!K:K,MATCH('BOM2017'!C113,Wiki!B:B,0))</f>
        <v>The_Glass_Castle_(film)</v>
      </c>
      <c r="N113" s="1" t="str">
        <f>IFERROR(M113,INDEX(Wiki!K:K,MATCH('BOM2017'!D113,Wiki!B:B,0)))</f>
        <v>The_Glass_Castle_(film)</v>
      </c>
    </row>
    <row r="114" spans="2:14" x14ac:dyDescent="0.2">
      <c r="B114" s="6">
        <v>109</v>
      </c>
      <c r="C114" s="3" t="s">
        <v>951</v>
      </c>
      <c r="D114" t="str">
        <f t="shared" si="1"/>
        <v>Flatliners</v>
      </c>
      <c r="E114" s="3" t="s">
        <v>570</v>
      </c>
      <c r="F114" s="7" t="s">
        <v>952</v>
      </c>
      <c r="G114" s="6" t="s">
        <v>953</v>
      </c>
      <c r="H114" s="6" t="s">
        <v>954</v>
      </c>
      <c r="I114" s="6" t="s">
        <v>953</v>
      </c>
      <c r="J114" s="4">
        <v>43372</v>
      </c>
      <c r="K114" s="8">
        <v>43427</v>
      </c>
      <c r="L114" s="1" t="e">
        <f>IF(MATCH(C114,Wiki!B:B,0)&lt;&gt;0,TRUE,FALSE)</f>
        <v>#N/A</v>
      </c>
      <c r="M114" s="1" t="e">
        <f>INDEX(Wiki!K:K,MATCH('BOM2017'!C114,Wiki!B:B,0))</f>
        <v>#N/A</v>
      </c>
      <c r="N114" s="1" t="str">
        <f>IFERROR(M114,INDEX(Wiki!K:K,MATCH('BOM2017'!D114,Wiki!B:B,0)))</f>
        <v>Flatliners_(2017_film)</v>
      </c>
    </row>
    <row r="115" spans="2:14" x14ac:dyDescent="0.2">
      <c r="B115" s="6">
        <v>110</v>
      </c>
      <c r="C115" s="3" t="s">
        <v>343</v>
      </c>
      <c r="D115" t="str">
        <f t="shared" si="1"/>
        <v/>
      </c>
      <c r="E115" s="3" t="s">
        <v>955</v>
      </c>
      <c r="F115" s="7" t="s">
        <v>956</v>
      </c>
      <c r="G115" s="6" t="s">
        <v>957</v>
      </c>
      <c r="H115" s="6" t="s">
        <v>958</v>
      </c>
      <c r="I115" s="6">
        <v>20</v>
      </c>
      <c r="J115" s="4">
        <v>43309</v>
      </c>
      <c r="K115" s="8">
        <v>43385</v>
      </c>
      <c r="L115" s="1" t="b">
        <f>IF(MATCH(C115,Wiki!B:B,0)&lt;&gt;0,TRUE,FALSE)</f>
        <v>1</v>
      </c>
      <c r="M115" s="1" t="str">
        <f>INDEX(Wiki!K:K,MATCH('BOM2017'!C115,Wiki!B:B,0))</f>
        <v>Detroit_(film)</v>
      </c>
      <c r="N115" s="1" t="str">
        <f>IFERROR(M115,INDEX(Wiki!K:K,MATCH('BOM2017'!D115,Wiki!B:B,0)))</f>
        <v>Detroit_(film)</v>
      </c>
    </row>
    <row r="116" spans="2:14" x14ac:dyDescent="0.2">
      <c r="B116" s="6">
        <v>111</v>
      </c>
      <c r="C116" s="3" t="s">
        <v>406</v>
      </c>
      <c r="D116" t="str">
        <f t="shared" si="1"/>
        <v/>
      </c>
      <c r="E116" s="3" t="s">
        <v>195</v>
      </c>
      <c r="F116" s="7" t="s">
        <v>959</v>
      </c>
      <c r="G116" s="6">
        <v>799</v>
      </c>
      <c r="H116" s="6" t="s">
        <v>960</v>
      </c>
      <c r="I116" s="6">
        <v>4</v>
      </c>
      <c r="J116" s="4">
        <v>43442</v>
      </c>
      <c r="K116" s="6" t="s">
        <v>558</v>
      </c>
      <c r="L116" s="1" t="b">
        <f>IF(MATCH(C116,Wiki!B:B,0)&lt;&gt;0,TRUE,FALSE)</f>
        <v>1</v>
      </c>
      <c r="M116" s="1" t="str">
        <f>INDEX(Wiki!K:K,MATCH('BOM2017'!C116,Wiki!B:B,0))</f>
        <v>I,_Tonya</v>
      </c>
      <c r="N116" s="1" t="str">
        <f>IFERROR(M116,INDEX(Wiki!K:K,MATCH('BOM2017'!D116,Wiki!B:B,0)))</f>
        <v>I,_Tonya</v>
      </c>
    </row>
    <row r="117" spans="2:14" x14ac:dyDescent="0.2">
      <c r="B117" s="6">
        <v>112</v>
      </c>
      <c r="C117" s="3" t="s">
        <v>190</v>
      </c>
      <c r="D117" t="str">
        <f t="shared" si="1"/>
        <v/>
      </c>
      <c r="E117" s="3" t="s">
        <v>961</v>
      </c>
      <c r="F117" s="7" t="s">
        <v>962</v>
      </c>
      <c r="G117" s="6" t="s">
        <v>963</v>
      </c>
      <c r="H117" s="6" t="s">
        <v>964</v>
      </c>
      <c r="I117" s="6" t="s">
        <v>965</v>
      </c>
      <c r="J117" s="4">
        <v>43197</v>
      </c>
      <c r="K117" s="8">
        <v>43280</v>
      </c>
      <c r="L117" s="1" t="b">
        <f>IF(MATCH(C117,Wiki!B:B,0)&lt;&gt;0,TRUE,FALSE)</f>
        <v>1</v>
      </c>
      <c r="M117" s="1" t="str">
        <f>INDEX(Wiki!K:K,MATCH('BOM2017'!C117,Wiki!B:B,0))</f>
        <v>The_Case_for_Christ</v>
      </c>
      <c r="N117" s="1" t="str">
        <f>IFERROR(M117,INDEX(Wiki!K:K,MATCH('BOM2017'!D117,Wiki!B:B,0)))</f>
        <v>The_Case_for_Christ</v>
      </c>
    </row>
    <row r="118" spans="2:14" x14ac:dyDescent="0.2">
      <c r="B118" s="6">
        <v>113</v>
      </c>
      <c r="C118" s="3" t="s">
        <v>326</v>
      </c>
      <c r="D118" t="str">
        <f t="shared" si="1"/>
        <v/>
      </c>
      <c r="E118" s="3" t="s">
        <v>966</v>
      </c>
      <c r="F118" s="7" t="s">
        <v>967</v>
      </c>
      <c r="G118" s="6" t="s">
        <v>968</v>
      </c>
      <c r="H118" s="6" t="s">
        <v>969</v>
      </c>
      <c r="I118" s="6" t="s">
        <v>968</v>
      </c>
      <c r="J118" s="4">
        <v>43295</v>
      </c>
      <c r="K118" s="8">
        <v>43385</v>
      </c>
      <c r="L118" s="1" t="b">
        <f>IF(MATCH(C118,Wiki!B:B,0)&lt;&gt;0,TRUE,FALSE)</f>
        <v>1</v>
      </c>
      <c r="M118" s="1" t="str">
        <f>INDEX(Wiki!K:K,MATCH('BOM2017'!C118,Wiki!B:B,0))</f>
        <v>Wish_Upon</v>
      </c>
      <c r="N118" s="1" t="str">
        <f>IFERROR(M118,INDEX(Wiki!K:K,MATCH('BOM2017'!D118,Wiki!B:B,0)))</f>
        <v>Wish_Upon</v>
      </c>
    </row>
    <row r="119" spans="2:14" x14ac:dyDescent="0.2">
      <c r="B119" s="6">
        <v>114</v>
      </c>
      <c r="C119" s="3" t="s">
        <v>970</v>
      </c>
      <c r="D119" t="str">
        <f t="shared" si="1"/>
        <v/>
      </c>
      <c r="E119" s="3" t="s">
        <v>38</v>
      </c>
      <c r="F119" s="7" t="s">
        <v>971</v>
      </c>
      <c r="G119" s="6" t="s">
        <v>972</v>
      </c>
      <c r="H119" s="6" t="s">
        <v>973</v>
      </c>
      <c r="I119" s="6" t="s">
        <v>972</v>
      </c>
      <c r="J119" s="4">
        <v>43260</v>
      </c>
      <c r="K119" s="8">
        <v>43360</v>
      </c>
      <c r="L119" s="1" t="b">
        <f>IF(MATCH(C119,Wiki!B:B,0)&lt;&gt;0,TRUE,FALSE)</f>
        <v>1</v>
      </c>
      <c r="M119" s="1" t="str">
        <f>INDEX(Wiki!K:K,MATCH('BOM2017'!C119,Wiki!B:B,0))</f>
        <v>It_Comes_at_Night</v>
      </c>
      <c r="N119" s="1" t="str">
        <f>IFERROR(M119,INDEX(Wiki!K:K,MATCH('BOM2017'!D119,Wiki!B:B,0)))</f>
        <v>It_Comes_at_Night</v>
      </c>
    </row>
    <row r="120" spans="2:14" x14ac:dyDescent="0.2">
      <c r="B120" s="6">
        <v>115</v>
      </c>
      <c r="C120" s="3" t="s">
        <v>221</v>
      </c>
      <c r="D120" t="str">
        <f t="shared" si="1"/>
        <v/>
      </c>
      <c r="E120" s="3" t="s">
        <v>554</v>
      </c>
      <c r="F120" s="7" t="s">
        <v>974</v>
      </c>
      <c r="G120" s="6" t="s">
        <v>975</v>
      </c>
      <c r="H120" s="6" t="s">
        <v>976</v>
      </c>
      <c r="I120" s="6" t="s">
        <v>975</v>
      </c>
      <c r="J120" s="4">
        <v>43211</v>
      </c>
      <c r="K120" s="8">
        <v>43287</v>
      </c>
      <c r="L120" s="1" t="b">
        <f>IF(MATCH(C120,Wiki!B:B,0)&lt;&gt;0,TRUE,FALSE)</f>
        <v>1</v>
      </c>
      <c r="M120" s="1" t="str">
        <f>INDEX(Wiki!K:K,MATCH('BOM2017'!C120,Wiki!B:B,0))</f>
        <v>Born_in_China</v>
      </c>
      <c r="N120" s="1" t="str">
        <f>IFERROR(M120,INDEX(Wiki!K:K,MATCH('BOM2017'!D120,Wiki!B:B,0)))</f>
        <v>Born_in_China</v>
      </c>
    </row>
    <row r="121" spans="2:14" x14ac:dyDescent="0.2">
      <c r="B121" s="6">
        <v>116</v>
      </c>
      <c r="C121" s="3" t="s">
        <v>292</v>
      </c>
      <c r="D121" t="str">
        <f t="shared" si="1"/>
        <v/>
      </c>
      <c r="E121" s="3" t="s">
        <v>869</v>
      </c>
      <c r="F121" s="7" t="s">
        <v>977</v>
      </c>
      <c r="G121" s="6" t="s">
        <v>978</v>
      </c>
      <c r="H121" s="6" t="s">
        <v>979</v>
      </c>
      <c r="I121" s="6" t="s">
        <v>978</v>
      </c>
      <c r="J121" s="4">
        <v>43260</v>
      </c>
      <c r="K121" s="8">
        <v>43357</v>
      </c>
      <c r="L121" s="1" t="b">
        <f>IF(MATCH(C121,Wiki!B:B,0)&lt;&gt;0,TRUE,FALSE)</f>
        <v>1</v>
      </c>
      <c r="M121" s="1" t="str">
        <f>INDEX(Wiki!K:K,MATCH('BOM2017'!C121,Wiki!B:B,0))</f>
        <v>Megan_Leavey_(film)</v>
      </c>
      <c r="N121" s="1" t="str">
        <f>IFERROR(M121,INDEX(Wiki!K:K,MATCH('BOM2017'!D121,Wiki!B:B,0)))</f>
        <v>Megan_Leavey_(film)</v>
      </c>
    </row>
    <row r="122" spans="2:14" x14ac:dyDescent="0.2">
      <c r="B122" s="6">
        <v>117</v>
      </c>
      <c r="C122" s="3" t="s">
        <v>980</v>
      </c>
      <c r="D122" t="e">
        <f t="shared" si="1"/>
        <v>#VALUE!</v>
      </c>
      <c r="E122" s="3" t="s">
        <v>820</v>
      </c>
      <c r="F122" s="7" t="s">
        <v>981</v>
      </c>
      <c r="G122" s="6" t="s">
        <v>982</v>
      </c>
      <c r="H122" s="6" t="s">
        <v>983</v>
      </c>
      <c r="I122" s="6" t="s">
        <v>982</v>
      </c>
      <c r="J122" s="4">
        <v>43119</v>
      </c>
      <c r="K122" s="8">
        <v>43217</v>
      </c>
      <c r="L122" s="1" t="e">
        <f>IF(MATCH(C122,Wiki!B:B,0)&lt;&gt;0,TRUE,FALSE)</f>
        <v>#N/A</v>
      </c>
      <c r="M122" s="1" t="e">
        <f>INDEX(Wiki!K:K,MATCH('BOM2017'!C122,Wiki!B:B,0))</f>
        <v>#N/A</v>
      </c>
      <c r="N122" s="1" t="e">
        <f>IFERROR(M122,INDEX(Wiki!K:K,MATCH('BOM2017'!D122,Wiki!B:B,0)))</f>
        <v>#VALUE!</v>
      </c>
    </row>
    <row r="123" spans="2:14" x14ac:dyDescent="0.2">
      <c r="B123" s="6">
        <v>118</v>
      </c>
      <c r="C123" s="3" t="s">
        <v>388</v>
      </c>
      <c r="D123" t="str">
        <f t="shared" si="1"/>
        <v/>
      </c>
      <c r="E123" s="3" t="s">
        <v>830</v>
      </c>
      <c r="F123" s="7" t="s">
        <v>984</v>
      </c>
      <c r="G123" s="6" t="s">
        <v>985</v>
      </c>
      <c r="H123" s="6" t="s">
        <v>986</v>
      </c>
      <c r="I123" s="6">
        <v>21</v>
      </c>
      <c r="J123" s="4">
        <v>43365</v>
      </c>
      <c r="K123" s="8">
        <v>43455</v>
      </c>
      <c r="L123" s="1" t="b">
        <f>IF(MATCH(C123,Wiki!B:B,0)&lt;&gt;0,TRUE,FALSE)</f>
        <v>1</v>
      </c>
      <c r="M123" s="1" t="str">
        <f>INDEX(Wiki!K:K,MATCH('BOM2017'!C123,Wiki!B:B,0))</f>
        <v>Battle_of_the_Sexes_(film)</v>
      </c>
      <c r="N123" s="1" t="str">
        <f>IFERROR(M123,INDEX(Wiki!K:K,MATCH('BOM2017'!D123,Wiki!B:B,0)))</f>
        <v>Battle_of_the_Sexes_(film)</v>
      </c>
    </row>
    <row r="124" spans="2:14" x14ac:dyDescent="0.2">
      <c r="B124" s="6">
        <v>119</v>
      </c>
      <c r="C124" s="3" t="s">
        <v>140</v>
      </c>
      <c r="D124" t="str">
        <f t="shared" si="1"/>
        <v/>
      </c>
      <c r="E124" s="3" t="s">
        <v>863</v>
      </c>
      <c r="F124" s="7" t="s">
        <v>987</v>
      </c>
      <c r="G124" s="6" t="s">
        <v>988</v>
      </c>
      <c r="H124" s="6" t="s">
        <v>989</v>
      </c>
      <c r="I124" s="6" t="s">
        <v>988</v>
      </c>
      <c r="J124" s="4">
        <v>43162</v>
      </c>
      <c r="K124" s="8">
        <v>43217</v>
      </c>
      <c r="L124" s="1" t="b">
        <f>IF(MATCH(C124,Wiki!B:B,0)&lt;&gt;0,TRUE,FALSE)</f>
        <v>1</v>
      </c>
      <c r="M124" s="1" t="str">
        <f>INDEX(Wiki!K:K,MATCH('BOM2017'!C124,Wiki!B:B,0))</f>
        <v>Before_I_Fall_(film)</v>
      </c>
      <c r="N124" s="1" t="str">
        <f>IFERROR(M124,INDEX(Wiki!K:K,MATCH('BOM2017'!D124,Wiki!B:B,0)))</f>
        <v>Before_I_Fall_(film)</v>
      </c>
    </row>
    <row r="125" spans="2:14" x14ac:dyDescent="0.2">
      <c r="B125" s="6">
        <v>120</v>
      </c>
      <c r="C125" s="3" t="s">
        <v>511</v>
      </c>
      <c r="D125" t="str">
        <f t="shared" si="1"/>
        <v/>
      </c>
      <c r="E125" s="3" t="s">
        <v>570</v>
      </c>
      <c r="F125" s="7" t="s">
        <v>990</v>
      </c>
      <c r="G125" s="6" t="s">
        <v>991</v>
      </c>
      <c r="H125" s="6" t="s">
        <v>992</v>
      </c>
      <c r="I125" s="6">
        <v>4</v>
      </c>
      <c r="J125" s="4">
        <v>43421</v>
      </c>
      <c r="K125" s="8">
        <v>43118</v>
      </c>
      <c r="L125" s="1" t="b">
        <f>IF(MATCH(C125,Wiki!B:B,0)&lt;&gt;0,TRUE,FALSE)</f>
        <v>1</v>
      </c>
      <c r="M125" s="1" t="str">
        <f>INDEX(Wiki!K:K,MATCH('BOM2017'!C125,Wiki!B:B,0))</f>
        <v>Roman_J._Israel,_Esq.</v>
      </c>
      <c r="N125" s="1" t="str">
        <f>IFERROR(M125,INDEX(Wiki!K:K,MATCH('BOM2017'!D125,Wiki!B:B,0)))</f>
        <v>Roman_J._Israel,_Esq.</v>
      </c>
    </row>
    <row r="126" spans="2:14" x14ac:dyDescent="0.2">
      <c r="B126" s="6">
        <v>121</v>
      </c>
      <c r="C126" s="3" t="s">
        <v>993</v>
      </c>
      <c r="D126" t="str">
        <f t="shared" si="1"/>
        <v>Unforgettable</v>
      </c>
      <c r="E126" s="3" t="s">
        <v>563</v>
      </c>
      <c r="F126" s="7" t="s">
        <v>994</v>
      </c>
      <c r="G126" s="6" t="s">
        <v>995</v>
      </c>
      <c r="H126" s="6" t="s">
        <v>996</v>
      </c>
      <c r="I126" s="6" t="s">
        <v>995</v>
      </c>
      <c r="J126" s="4">
        <v>43211</v>
      </c>
      <c r="K126" s="8">
        <v>43252</v>
      </c>
      <c r="L126" s="1" t="e">
        <f>IF(MATCH(C126,Wiki!B:B,0)&lt;&gt;0,TRUE,FALSE)</f>
        <v>#N/A</v>
      </c>
      <c r="M126" s="1" t="e">
        <f>INDEX(Wiki!K:K,MATCH('BOM2017'!C126,Wiki!B:B,0))</f>
        <v>#N/A</v>
      </c>
      <c r="N126" s="1" t="str">
        <f>IFERROR(M126,INDEX(Wiki!K:K,MATCH('BOM2017'!D126,Wiki!B:B,0)))</f>
        <v>Unforgettable_(2017_film)</v>
      </c>
    </row>
    <row r="127" spans="2:14" x14ac:dyDescent="0.2">
      <c r="B127" s="6">
        <v>122</v>
      </c>
      <c r="C127" s="3" t="s">
        <v>997</v>
      </c>
      <c r="D127" t="str">
        <f t="shared" si="1"/>
        <v>The Beguiled</v>
      </c>
      <c r="E127" s="3" t="s">
        <v>740</v>
      </c>
      <c r="F127" s="7" t="s">
        <v>998</v>
      </c>
      <c r="G127" s="6">
        <v>941</v>
      </c>
      <c r="H127" s="6" t="s">
        <v>999</v>
      </c>
      <c r="I127" s="6">
        <v>4</v>
      </c>
      <c r="J127" s="4">
        <v>43274</v>
      </c>
      <c r="K127" s="8">
        <v>43329</v>
      </c>
      <c r="L127" s="1" t="e">
        <f>IF(MATCH(C127,Wiki!B:B,0)&lt;&gt;0,TRUE,FALSE)</f>
        <v>#N/A</v>
      </c>
      <c r="M127" s="1" t="e">
        <f>INDEX(Wiki!K:K,MATCH('BOM2017'!C127,Wiki!B:B,0))</f>
        <v>#N/A</v>
      </c>
      <c r="N127" s="1" t="str">
        <f>IFERROR(M127,INDEX(Wiki!K:K,MATCH('BOM2017'!D127,Wiki!B:B,0)))</f>
        <v>The_Beguiled_(2017_film)</v>
      </c>
    </row>
    <row r="128" spans="2:14" x14ac:dyDescent="0.2">
      <c r="B128" s="6">
        <v>123</v>
      </c>
      <c r="C128" s="3" t="s">
        <v>163</v>
      </c>
      <c r="D128" t="str">
        <f t="shared" si="1"/>
        <v/>
      </c>
      <c r="E128" s="3" t="s">
        <v>1000</v>
      </c>
      <c r="F128" s="7" t="s">
        <v>1001</v>
      </c>
      <c r="G128" s="6" t="s">
        <v>1002</v>
      </c>
      <c r="H128" s="6" t="s">
        <v>1003</v>
      </c>
      <c r="I128" s="6" t="s">
        <v>1002</v>
      </c>
      <c r="J128" s="4">
        <v>43176</v>
      </c>
      <c r="K128" s="8">
        <v>43245</v>
      </c>
      <c r="L128" s="1" t="b">
        <f>IF(MATCH(C128,Wiki!B:B,0)&lt;&gt;0,TRUE,FALSE)</f>
        <v>1</v>
      </c>
      <c r="M128" s="1" t="str">
        <f>INDEX(Wiki!K:K,MATCH('BOM2017'!C128,Wiki!B:B,0))</f>
        <v>The_Belko_Experiment</v>
      </c>
      <c r="N128" s="1" t="str">
        <f>IFERROR(M128,INDEX(Wiki!K:K,MATCH('BOM2017'!D128,Wiki!B:B,0)))</f>
        <v>The_Belko_Experiment</v>
      </c>
    </row>
    <row r="129" spans="2:14" x14ac:dyDescent="0.2">
      <c r="B129" s="6">
        <v>124</v>
      </c>
      <c r="C129" s="3" t="s">
        <v>421</v>
      </c>
      <c r="D129" t="str">
        <f t="shared" si="1"/>
        <v/>
      </c>
      <c r="E129" s="3" t="s">
        <v>863</v>
      </c>
      <c r="F129" s="7" t="s">
        <v>1004</v>
      </c>
      <c r="G129" s="6">
        <v>821</v>
      </c>
      <c r="H129" s="6" t="s">
        <v>1005</v>
      </c>
      <c r="I129" s="6">
        <v>821</v>
      </c>
      <c r="J129" s="4">
        <v>43386</v>
      </c>
      <c r="K129" s="8">
        <v>43118</v>
      </c>
      <c r="L129" s="1" t="b">
        <f>IF(MATCH(C129,Wiki!B:B,0)&lt;&gt;0,TRUE,FALSE)</f>
        <v>1</v>
      </c>
      <c r="M129" s="1" t="str">
        <f>INDEX(Wiki!K:K,MATCH('BOM2017'!C129,Wiki!B:B,0))</f>
        <v>Marshall_(film)</v>
      </c>
      <c r="N129" s="1" t="str">
        <f>IFERROR(M129,INDEX(Wiki!K:K,MATCH('BOM2017'!D129,Wiki!B:B,0)))</f>
        <v>Marshall_(film)</v>
      </c>
    </row>
    <row r="130" spans="2:14" x14ac:dyDescent="0.2">
      <c r="B130" s="6">
        <v>125</v>
      </c>
      <c r="C130" s="3" t="s">
        <v>1006</v>
      </c>
      <c r="D130" t="str">
        <f t="shared" si="1"/>
        <v>Thank You for Your Service</v>
      </c>
      <c r="E130" s="3" t="s">
        <v>586</v>
      </c>
      <c r="F130" s="7" t="s">
        <v>1007</v>
      </c>
      <c r="G130" s="6" t="s">
        <v>1008</v>
      </c>
      <c r="H130" s="6" t="s">
        <v>1009</v>
      </c>
      <c r="I130" s="6" t="s">
        <v>1010</v>
      </c>
      <c r="J130" s="4">
        <v>43400</v>
      </c>
      <c r="K130" s="8">
        <v>43434</v>
      </c>
      <c r="L130" s="1" t="e">
        <f>IF(MATCH(C130,Wiki!B:B,0)&lt;&gt;0,TRUE,FALSE)</f>
        <v>#N/A</v>
      </c>
      <c r="M130" s="1" t="e">
        <f>INDEX(Wiki!K:K,MATCH('BOM2017'!C130,Wiki!B:B,0))</f>
        <v>#N/A</v>
      </c>
      <c r="N130" s="1" t="str">
        <f>IFERROR(M130,INDEX(Wiki!K:K,MATCH('BOM2017'!D130,Wiki!B:B,0)))</f>
        <v>Thank_You_for_Your_Service_(2017_film)</v>
      </c>
    </row>
    <row r="131" spans="2:14" x14ac:dyDescent="0.2">
      <c r="B131" s="6">
        <v>126</v>
      </c>
      <c r="C131" s="3" t="s">
        <v>1011</v>
      </c>
      <c r="D131" t="e">
        <f t="shared" si="1"/>
        <v>#VALUE!</v>
      </c>
      <c r="E131" s="3" t="s">
        <v>685</v>
      </c>
      <c r="F131" s="7" t="s">
        <v>1012</v>
      </c>
      <c r="G131" s="6" t="s">
        <v>1013</v>
      </c>
      <c r="H131" s="6" t="s">
        <v>1014</v>
      </c>
      <c r="I131" s="6" t="s">
        <v>1013</v>
      </c>
      <c r="J131" s="4">
        <v>43155</v>
      </c>
      <c r="K131" s="8">
        <v>43203</v>
      </c>
      <c r="L131" s="1" t="e">
        <f>IF(MATCH(C131,Wiki!B:B,0)&lt;&gt;0,TRUE,FALSE)</f>
        <v>#N/A</v>
      </c>
      <c r="M131" s="1" t="e">
        <f>INDEX(Wiki!K:K,MATCH('BOM2017'!C131,Wiki!B:B,0))</f>
        <v>#N/A</v>
      </c>
      <c r="N131" s="1" t="e">
        <f>IFERROR(M131,INDEX(Wiki!K:K,MATCH('BOM2017'!D131,Wiki!B:B,0)))</f>
        <v>#VALUE!</v>
      </c>
    </row>
    <row r="132" spans="2:14" x14ac:dyDescent="0.2">
      <c r="B132" s="6">
        <v>127</v>
      </c>
      <c r="C132" s="3" t="s">
        <v>512</v>
      </c>
      <c r="D132" t="str">
        <f t="shared" si="1"/>
        <v/>
      </c>
      <c r="E132" s="3" t="s">
        <v>1015</v>
      </c>
      <c r="F132" s="7" t="s">
        <v>1016</v>
      </c>
      <c r="G132" s="6">
        <v>815</v>
      </c>
      <c r="H132" s="6" t="s">
        <v>1017</v>
      </c>
      <c r="I132" s="6">
        <v>4</v>
      </c>
      <c r="J132" s="4">
        <v>43428</v>
      </c>
      <c r="K132" s="6" t="s">
        <v>558</v>
      </c>
      <c r="L132" s="1" t="b">
        <f>IF(MATCH(C132,Wiki!B:B,0)&lt;&gt;0,TRUE,FALSE)</f>
        <v>1</v>
      </c>
      <c r="M132" s="1" t="str">
        <f>INDEX(Wiki!K:K,MATCH('BOM2017'!C132,Wiki!B:B,0))</f>
        <v>Call_Me_by_Your_Name_(film)</v>
      </c>
      <c r="N132" s="1" t="str">
        <f>IFERROR(M132,INDEX(Wiki!K:K,MATCH('BOM2017'!D132,Wiki!B:B,0)))</f>
        <v>Call_Me_by_Your_Name_(film)</v>
      </c>
    </row>
    <row r="133" spans="2:14" x14ac:dyDescent="0.2">
      <c r="B133" s="6">
        <v>128</v>
      </c>
      <c r="C133" s="3" t="s">
        <v>210</v>
      </c>
      <c r="D133" t="str">
        <f t="shared" si="1"/>
        <v/>
      </c>
      <c r="E133" s="3" t="s">
        <v>869</v>
      </c>
      <c r="F133" s="7" t="s">
        <v>1018</v>
      </c>
      <c r="G133" s="6">
        <v>866</v>
      </c>
      <c r="H133" s="6" t="s">
        <v>1019</v>
      </c>
      <c r="I133" s="6">
        <v>4</v>
      </c>
      <c r="J133" s="4">
        <v>43204</v>
      </c>
      <c r="K133" s="8">
        <v>43301</v>
      </c>
      <c r="L133" s="1" t="b">
        <f>IF(MATCH(C133,Wiki!B:B,0)&lt;&gt;0,TRUE,FALSE)</f>
        <v>1</v>
      </c>
      <c r="M133" s="1" t="str">
        <f>INDEX(Wiki!K:K,MATCH('BOM2017'!C133,Wiki!B:B,0))</f>
        <v>The_Lost_City_of_Z_(film)</v>
      </c>
      <c r="N133" s="1" t="str">
        <f>IFERROR(M133,INDEX(Wiki!K:K,MATCH('BOM2017'!D133,Wiki!B:B,0)))</f>
        <v>The_Lost_City_of_Z_(film)</v>
      </c>
    </row>
    <row r="134" spans="2:14" x14ac:dyDescent="0.2">
      <c r="B134" s="6">
        <v>129</v>
      </c>
      <c r="C134" s="3" t="s">
        <v>1020</v>
      </c>
      <c r="D134" t="str">
        <f t="shared" ref="D134:D197" si="2">IF(ISERROR(M134),TRIM(LEFT(C134,FIND("(",C134)-1)),"")</f>
        <v>The Promise</v>
      </c>
      <c r="E134" s="3" t="s">
        <v>863</v>
      </c>
      <c r="F134" s="7" t="s">
        <v>1021</v>
      </c>
      <c r="G134" s="6" t="s">
        <v>1022</v>
      </c>
      <c r="H134" s="6" t="s">
        <v>1023</v>
      </c>
      <c r="I134" s="6" t="s">
        <v>1022</v>
      </c>
      <c r="J134" s="4">
        <v>43211</v>
      </c>
      <c r="K134" s="8">
        <v>43238</v>
      </c>
      <c r="L134" s="1" t="e">
        <f>IF(MATCH(C134,Wiki!B:B,0)&lt;&gt;0,TRUE,FALSE)</f>
        <v>#N/A</v>
      </c>
      <c r="M134" s="1" t="e">
        <f>INDEX(Wiki!K:K,MATCH('BOM2017'!C134,Wiki!B:B,0))</f>
        <v>#N/A</v>
      </c>
      <c r="N134" s="1" t="str">
        <f>IFERROR(M134,INDEX(Wiki!K:K,MATCH('BOM2017'!D134,Wiki!B:B,0)))</f>
        <v>The_Promise_(2016_American_film)</v>
      </c>
    </row>
    <row r="135" spans="2:14" x14ac:dyDescent="0.2">
      <c r="B135" s="6">
        <v>130</v>
      </c>
      <c r="C135" s="3" t="s">
        <v>106</v>
      </c>
      <c r="D135" t="str">
        <f t="shared" si="2"/>
        <v/>
      </c>
      <c r="E135" s="3" t="s">
        <v>594</v>
      </c>
      <c r="F135" s="7" t="s">
        <v>1024</v>
      </c>
      <c r="G135" s="6" t="s">
        <v>1025</v>
      </c>
      <c r="H135" s="6" t="s">
        <v>1026</v>
      </c>
      <c r="I135" s="6" t="s">
        <v>1025</v>
      </c>
      <c r="J135" s="4">
        <v>43148</v>
      </c>
      <c r="K135" s="8">
        <v>43182</v>
      </c>
      <c r="L135" s="1" t="b">
        <f>IF(MATCH(C135,Wiki!B:B,0)&lt;&gt;0,TRUE,FALSE)</f>
        <v>1</v>
      </c>
      <c r="M135" s="1" t="str">
        <f>INDEX(Wiki!K:K,MATCH('BOM2017'!C135,Wiki!B:B,0))</f>
        <v>A_Cure_for_Wellness</v>
      </c>
      <c r="N135" s="1" t="str">
        <f>IFERROR(M135,INDEX(Wiki!K:K,MATCH('BOM2017'!D135,Wiki!B:B,0)))</f>
        <v>A_Cure_for_Wellness</v>
      </c>
    </row>
    <row r="136" spans="2:14" x14ac:dyDescent="0.2">
      <c r="B136" s="6">
        <v>131</v>
      </c>
      <c r="C136" s="3" t="s">
        <v>77</v>
      </c>
      <c r="D136" t="str">
        <f t="shared" si="2"/>
        <v/>
      </c>
      <c r="E136" s="3" t="s">
        <v>718</v>
      </c>
      <c r="F136" s="7" t="s">
        <v>1027</v>
      </c>
      <c r="G136" s="6" t="s">
        <v>1028</v>
      </c>
      <c r="H136" s="6" t="s">
        <v>1029</v>
      </c>
      <c r="I136" s="6" t="s">
        <v>1028</v>
      </c>
      <c r="J136" s="4">
        <v>43134</v>
      </c>
      <c r="K136" s="8">
        <v>43161</v>
      </c>
      <c r="L136" s="1" t="b">
        <f>IF(MATCH(C136,Wiki!B:B,0)&lt;&gt;0,TRUE,FALSE)</f>
        <v>1</v>
      </c>
      <c r="M136" s="1" t="str">
        <f>INDEX(Wiki!K:K,MATCH('BOM2017'!C136,Wiki!B:B,0))</f>
        <v>The_Space_Between_Us_(film)</v>
      </c>
      <c r="N136" s="1" t="str">
        <f>IFERROR(M136,INDEX(Wiki!K:K,MATCH('BOM2017'!D136,Wiki!B:B,0)))</f>
        <v>The_Space_Between_Us_(film)</v>
      </c>
    </row>
    <row r="137" spans="2:14" x14ac:dyDescent="0.2">
      <c r="B137" s="6">
        <v>132</v>
      </c>
      <c r="C137" s="3" t="s">
        <v>1030</v>
      </c>
      <c r="D137" t="e">
        <f t="shared" si="2"/>
        <v>#VALUE!</v>
      </c>
      <c r="E137" s="3" t="s">
        <v>820</v>
      </c>
      <c r="F137" s="7" t="s">
        <v>1031</v>
      </c>
      <c r="G137" s="6" t="s">
        <v>1032</v>
      </c>
      <c r="H137" s="6" t="s">
        <v>1033</v>
      </c>
      <c r="I137" s="6" t="s">
        <v>1032</v>
      </c>
      <c r="J137" s="4">
        <v>43127</v>
      </c>
      <c r="K137" s="8">
        <v>43168</v>
      </c>
      <c r="L137" s="1" t="e">
        <f>IF(MATCH(C137,Wiki!B:B,0)&lt;&gt;0,TRUE,FALSE)</f>
        <v>#N/A</v>
      </c>
      <c r="M137" s="1" t="e">
        <f>INDEX(Wiki!K:K,MATCH('BOM2017'!C137,Wiki!B:B,0))</f>
        <v>#N/A</v>
      </c>
      <c r="N137" s="1" t="e">
        <f>IFERROR(M137,INDEX(Wiki!K:K,MATCH('BOM2017'!D137,Wiki!B:B,0)))</f>
        <v>#VALUE!</v>
      </c>
    </row>
    <row r="138" spans="2:14" x14ac:dyDescent="0.2">
      <c r="B138" s="6">
        <v>133</v>
      </c>
      <c r="C138" s="3" t="s">
        <v>1034</v>
      </c>
      <c r="D138" t="e">
        <f t="shared" si="2"/>
        <v>#VALUE!</v>
      </c>
      <c r="E138" s="3" t="s">
        <v>1035</v>
      </c>
      <c r="F138" s="7" t="s">
        <v>1036</v>
      </c>
      <c r="G138" s="6">
        <v>774</v>
      </c>
      <c r="H138" s="6" t="s">
        <v>1037</v>
      </c>
      <c r="I138" s="6">
        <v>373</v>
      </c>
      <c r="J138" s="4">
        <v>43400</v>
      </c>
      <c r="K138" s="6" t="s">
        <v>558</v>
      </c>
      <c r="L138" s="1" t="e">
        <f>IF(MATCH(C138,Wiki!B:B,0)&lt;&gt;0,TRUE,FALSE)</f>
        <v>#N/A</v>
      </c>
      <c r="M138" s="1" t="e">
        <f>INDEX(Wiki!K:K,MATCH('BOM2017'!C138,Wiki!B:B,0))</f>
        <v>#N/A</v>
      </c>
      <c r="N138" s="1" t="e">
        <f>IFERROR(M138,INDEX(Wiki!K:K,MATCH('BOM2017'!D138,Wiki!B:B,0)))</f>
        <v>#VALUE!</v>
      </c>
    </row>
    <row r="139" spans="2:14" x14ac:dyDescent="0.2">
      <c r="B139" s="6">
        <v>134</v>
      </c>
      <c r="C139" s="3" t="s">
        <v>1038</v>
      </c>
      <c r="D139" t="str">
        <f t="shared" si="2"/>
        <v/>
      </c>
      <c r="E139" s="3" t="s">
        <v>1039</v>
      </c>
      <c r="F139" s="7" t="s">
        <v>1040</v>
      </c>
      <c r="G139" s="6">
        <v>320</v>
      </c>
      <c r="H139" s="6" t="s">
        <v>1041</v>
      </c>
      <c r="I139" s="6">
        <v>43</v>
      </c>
      <c r="J139" s="4">
        <v>43134</v>
      </c>
      <c r="K139" s="8">
        <v>43259</v>
      </c>
      <c r="L139" s="1" t="b">
        <f>IF(MATCH(C139,Wiki!B:B,0)&lt;&gt;0,TRUE,FALSE)</f>
        <v>1</v>
      </c>
      <c r="M139" s="1" t="str">
        <f>INDEX(Wiki!K:K,MATCH('BOM2017'!C139,Wiki!B:B,0))</f>
        <v>I_Am_Not_Your_Negro</v>
      </c>
      <c r="N139" s="1" t="str">
        <f>IFERROR(M139,INDEX(Wiki!K:K,MATCH('BOM2017'!D139,Wiki!B:B,0)))</f>
        <v>I_Am_Not_Your_Negro</v>
      </c>
    </row>
    <row r="140" spans="2:14" x14ac:dyDescent="0.2">
      <c r="B140" s="6">
        <v>135</v>
      </c>
      <c r="C140" s="3" t="s">
        <v>1042</v>
      </c>
      <c r="D140" t="str">
        <f t="shared" si="2"/>
        <v/>
      </c>
      <c r="E140" s="3" t="s">
        <v>1043</v>
      </c>
      <c r="F140" s="7" t="s">
        <v>1044</v>
      </c>
      <c r="G140" s="6">
        <v>683</v>
      </c>
      <c r="H140" s="6" t="s">
        <v>1045</v>
      </c>
      <c r="I140" s="6">
        <v>5</v>
      </c>
      <c r="J140" s="4">
        <v>43260</v>
      </c>
      <c r="K140" s="8">
        <v>43378</v>
      </c>
      <c r="L140" s="1" t="b">
        <f>IF(MATCH(C140,Wiki!B:B,0)&lt;&gt;0,TRUE,FALSE)</f>
        <v>1</v>
      </c>
      <c r="M140" s="1" t="str">
        <f>INDEX(Wiki!K:K,MATCH('BOM2017'!C140,Wiki!B:B,0))</f>
        <v>Beatriz_at_Dinner</v>
      </c>
      <c r="N140" s="1" t="str">
        <f>IFERROR(M140,INDEX(Wiki!K:K,MATCH('BOM2017'!D140,Wiki!B:B,0)))</f>
        <v>Beatriz_at_Dinner</v>
      </c>
    </row>
    <row r="141" spans="2:14" x14ac:dyDescent="0.2">
      <c r="B141" s="6">
        <v>136</v>
      </c>
      <c r="C141" s="3" t="s">
        <v>1046</v>
      </c>
      <c r="D141" t="e">
        <f t="shared" si="2"/>
        <v>#VALUE!</v>
      </c>
      <c r="E141" s="3" t="s">
        <v>1000</v>
      </c>
      <c r="F141" s="7" t="s">
        <v>1047</v>
      </c>
      <c r="G141" s="6" t="s">
        <v>1048</v>
      </c>
      <c r="H141" s="6" t="s">
        <v>1049</v>
      </c>
      <c r="I141" s="6" t="s">
        <v>1050</v>
      </c>
      <c r="J141" s="4">
        <v>43337</v>
      </c>
      <c r="K141" s="8">
        <v>43371</v>
      </c>
      <c r="L141" s="1" t="e">
        <f>IF(MATCH(C141,Wiki!B:B,0)&lt;&gt;0,TRUE,FALSE)</f>
        <v>#N/A</v>
      </c>
      <c r="M141" s="1" t="e">
        <f>INDEX(Wiki!K:K,MATCH('BOM2017'!C141,Wiki!B:B,0))</f>
        <v>#N/A</v>
      </c>
      <c r="N141" s="1" t="e">
        <f>IFERROR(M141,INDEX(Wiki!K:K,MATCH('BOM2017'!D141,Wiki!B:B,0)))</f>
        <v>#VALUE!</v>
      </c>
    </row>
    <row r="142" spans="2:14" x14ac:dyDescent="0.2">
      <c r="B142" s="6">
        <v>137</v>
      </c>
      <c r="C142" s="3" t="s">
        <v>462</v>
      </c>
      <c r="D142" t="str">
        <f t="shared" si="2"/>
        <v/>
      </c>
      <c r="E142" s="3" t="s">
        <v>586</v>
      </c>
      <c r="F142" s="7" t="s">
        <v>1051</v>
      </c>
      <c r="G142" s="6" t="s">
        <v>1052</v>
      </c>
      <c r="H142" s="6" t="s">
        <v>1053</v>
      </c>
      <c r="I142" s="6" t="s">
        <v>1054</v>
      </c>
      <c r="J142" s="4">
        <v>43393</v>
      </c>
      <c r="K142" s="8">
        <v>43427</v>
      </c>
      <c r="L142" s="1" t="b">
        <f>IF(MATCH(C142,Wiki!B:B,0)&lt;&gt;0,TRUE,FALSE)</f>
        <v>1</v>
      </c>
      <c r="M142" s="1" t="str">
        <f>INDEX(Wiki!K:K,MATCH('BOM2017'!C142,Wiki!B:B,0))</f>
        <v>The_Snowman_(2017_film)</v>
      </c>
      <c r="N142" s="1" t="str">
        <f>IFERROR(M142,INDEX(Wiki!K:K,MATCH('BOM2017'!D142,Wiki!B:B,0)))</f>
        <v>The_Snowman_(2017_film)</v>
      </c>
    </row>
    <row r="143" spans="2:14" x14ac:dyDescent="0.2">
      <c r="B143" s="6">
        <v>138</v>
      </c>
      <c r="C143" s="3" t="s">
        <v>426</v>
      </c>
      <c r="D143" t="str">
        <f t="shared" si="2"/>
        <v/>
      </c>
      <c r="E143" s="3" t="s">
        <v>1055</v>
      </c>
      <c r="F143" s="7" t="s">
        <v>1056</v>
      </c>
      <c r="G143" s="6">
        <v>218</v>
      </c>
      <c r="H143" s="6" t="s">
        <v>1057</v>
      </c>
      <c r="I143" s="6">
        <v>1</v>
      </c>
      <c r="J143" s="4">
        <v>43365</v>
      </c>
      <c r="K143" s="6" t="s">
        <v>558</v>
      </c>
      <c r="L143" s="1" t="b">
        <f>IF(MATCH(C143,Wiki!B:B,0)&lt;&gt;0,TRUE,FALSE)</f>
        <v>1</v>
      </c>
      <c r="M143" s="1" t="str">
        <f>INDEX(Wiki!K:K,MATCH('BOM2017'!C143,Wiki!B:B,0))</f>
        <v>Loving_Vincent</v>
      </c>
      <c r="N143" s="1" t="str">
        <f>IFERROR(M143,INDEX(Wiki!K:K,MATCH('BOM2017'!D143,Wiki!B:B,0)))</f>
        <v>Loving_Vincent</v>
      </c>
    </row>
    <row r="144" spans="2:14" x14ac:dyDescent="0.2">
      <c r="B144" s="6">
        <v>139</v>
      </c>
      <c r="C144" s="3" t="s">
        <v>470</v>
      </c>
      <c r="D144" t="str">
        <f t="shared" si="2"/>
        <v/>
      </c>
      <c r="E144" s="3" t="s">
        <v>961</v>
      </c>
      <c r="F144" s="7" t="s">
        <v>1058</v>
      </c>
      <c r="G144" s="6" t="s">
        <v>1059</v>
      </c>
      <c r="H144" s="6" t="s">
        <v>1060</v>
      </c>
      <c r="I144" s="6" t="s">
        <v>1059</v>
      </c>
      <c r="J144" s="4">
        <v>43393</v>
      </c>
      <c r="K144" s="6" t="s">
        <v>558</v>
      </c>
      <c r="L144" s="1" t="b">
        <f>IF(MATCH(C144,Wiki!B:B,0)&lt;&gt;0,TRUE,FALSE)</f>
        <v>1</v>
      </c>
      <c r="M144" s="1" t="str">
        <f>INDEX(Wiki!K:K,MATCH('BOM2017'!C144,Wiki!B:B,0))</f>
        <v>Same_Kind_of_Different_as_Me_(film)</v>
      </c>
      <c r="N144" s="1" t="str">
        <f>IFERROR(M144,INDEX(Wiki!K:K,MATCH('BOM2017'!D144,Wiki!B:B,0)))</f>
        <v>Same_Kind_of_Different_as_Me_(film)</v>
      </c>
    </row>
    <row r="145" spans="2:14" x14ac:dyDescent="0.2">
      <c r="B145" s="6">
        <v>140</v>
      </c>
      <c r="C145" s="3" t="s">
        <v>529</v>
      </c>
      <c r="D145" t="str">
        <f t="shared" si="2"/>
        <v/>
      </c>
      <c r="E145" s="3" t="s">
        <v>740</v>
      </c>
      <c r="F145" s="7" t="s">
        <v>1061</v>
      </c>
      <c r="G145" s="6">
        <v>896</v>
      </c>
      <c r="H145" s="6" t="s">
        <v>1062</v>
      </c>
      <c r="I145" s="6">
        <v>4</v>
      </c>
      <c r="J145" s="4">
        <v>43459</v>
      </c>
      <c r="K145" s="6" t="s">
        <v>558</v>
      </c>
      <c r="L145" s="1" t="b">
        <f>IF(MATCH(C145,Wiki!B:B,0)&lt;&gt;0,TRUE,FALSE)</f>
        <v>1</v>
      </c>
      <c r="M145" s="1" t="str">
        <f>INDEX(Wiki!K:K,MATCH('BOM2017'!C145,Wiki!B:B,0))</f>
        <v>Phantom_Thread</v>
      </c>
      <c r="N145" s="1" t="str">
        <f>IFERROR(M145,INDEX(Wiki!K:K,MATCH('BOM2017'!D145,Wiki!B:B,0)))</f>
        <v>Phantom_Thread</v>
      </c>
    </row>
    <row r="146" spans="2:14" x14ac:dyDescent="0.2">
      <c r="B146" s="6">
        <v>141</v>
      </c>
      <c r="C146" s="3" t="s">
        <v>258</v>
      </c>
      <c r="D146" t="str">
        <f t="shared" si="2"/>
        <v/>
      </c>
      <c r="E146" s="3" t="s">
        <v>1000</v>
      </c>
      <c r="F146" s="7" t="s">
        <v>1063</v>
      </c>
      <c r="G146" s="6">
        <v>365</v>
      </c>
      <c r="H146" s="6" t="s">
        <v>1064</v>
      </c>
      <c r="I146" s="6">
        <v>295</v>
      </c>
      <c r="J146" s="4">
        <v>43232</v>
      </c>
      <c r="K146" s="8">
        <v>43280</v>
      </c>
      <c r="L146" s="1" t="b">
        <f>IF(MATCH(C146,Wiki!B:B,0)&lt;&gt;0,TRUE,FALSE)</f>
        <v>1</v>
      </c>
      <c r="M146" s="1" t="str">
        <f>INDEX(Wiki!K:K,MATCH('BOM2017'!C146,Wiki!B:B,0))</f>
        <v>Lowriders_(film)</v>
      </c>
      <c r="N146" s="1" t="str">
        <f>IFERROR(M146,INDEX(Wiki!K:K,MATCH('BOM2017'!D146,Wiki!B:B,0)))</f>
        <v>Lowriders_(film)</v>
      </c>
    </row>
    <row r="147" spans="2:14" x14ac:dyDescent="0.2">
      <c r="B147" s="6">
        <v>142</v>
      </c>
      <c r="C147" s="3" t="s">
        <v>1065</v>
      </c>
      <c r="D147" t="e">
        <f t="shared" si="2"/>
        <v>#VALUE!</v>
      </c>
      <c r="E147" s="3" t="s">
        <v>1015</v>
      </c>
      <c r="F147" s="7" t="s">
        <v>1066</v>
      </c>
      <c r="G147" s="6">
        <v>233</v>
      </c>
      <c r="H147" s="6" t="s">
        <v>1067</v>
      </c>
      <c r="I147" s="6">
        <v>4</v>
      </c>
      <c r="J147" s="4">
        <v>43204</v>
      </c>
      <c r="K147" s="8">
        <v>43420</v>
      </c>
      <c r="L147" s="1" t="e">
        <f>IF(MATCH(C147,Wiki!B:B,0)&lt;&gt;0,TRUE,FALSE)</f>
        <v>#N/A</v>
      </c>
      <c r="M147" s="1" t="e">
        <f>INDEX(Wiki!K:K,MATCH('BOM2017'!C147,Wiki!B:B,0))</f>
        <v>#N/A</v>
      </c>
      <c r="N147" s="1" t="e">
        <f>IFERROR(M147,INDEX(Wiki!K:K,MATCH('BOM2017'!D147,Wiki!B:B,0)))</f>
        <v>#VALUE!</v>
      </c>
    </row>
    <row r="148" spans="2:14" x14ac:dyDescent="0.2">
      <c r="B148" s="6">
        <v>143</v>
      </c>
      <c r="C148" s="3" t="s">
        <v>522</v>
      </c>
      <c r="D148" t="str">
        <f t="shared" si="2"/>
        <v/>
      </c>
      <c r="E148" s="3" t="s">
        <v>966</v>
      </c>
      <c r="F148" s="7" t="s">
        <v>1068</v>
      </c>
      <c r="G148" s="6" t="s">
        <v>1069</v>
      </c>
      <c r="H148" s="6" t="s">
        <v>1070</v>
      </c>
      <c r="I148" s="6" t="s">
        <v>1069</v>
      </c>
      <c r="J148" s="4">
        <v>43442</v>
      </c>
      <c r="K148" s="6" t="s">
        <v>558</v>
      </c>
      <c r="L148" s="1" t="b">
        <f>IF(MATCH(C148,Wiki!B:B,0)&lt;&gt;0,TRUE,FALSE)</f>
        <v>1</v>
      </c>
      <c r="M148" s="1" t="str">
        <f>INDEX(Wiki!K:K,MATCH('BOM2017'!C148,Wiki!B:B,0))</f>
        <v>Just_Getting_Started_(film)</v>
      </c>
      <c r="N148" s="1" t="str">
        <f>IFERROR(M148,INDEX(Wiki!K:K,MATCH('BOM2017'!D148,Wiki!B:B,0)))</f>
        <v>Just_Getting_Started_(film)</v>
      </c>
    </row>
    <row r="149" spans="2:14" x14ac:dyDescent="0.2">
      <c r="B149" s="6">
        <v>144</v>
      </c>
      <c r="C149" s="3" t="s">
        <v>372</v>
      </c>
      <c r="D149" t="str">
        <f t="shared" si="2"/>
        <v/>
      </c>
      <c r="E149" s="3" t="s">
        <v>570</v>
      </c>
      <c r="F149" s="7" t="s">
        <v>1071</v>
      </c>
      <c r="G149" s="6">
        <v>846</v>
      </c>
      <c r="H149" s="6" t="s">
        <v>1072</v>
      </c>
      <c r="I149" s="6">
        <v>846</v>
      </c>
      <c r="J149" s="4">
        <v>43337</v>
      </c>
      <c r="K149" s="8">
        <v>43399</v>
      </c>
      <c r="L149" s="1" t="b">
        <f>IF(MATCH(C149,Wiki!B:B,0)&lt;&gt;0,TRUE,FALSE)</f>
        <v>1</v>
      </c>
      <c r="M149" s="1" t="str">
        <f>INDEX(Wiki!K:K,MATCH('BOM2017'!C149,Wiki!B:B,0))</f>
        <v>All_Saints_(film)</v>
      </c>
      <c r="N149" s="1" t="str">
        <f>IFERROR(M149,INDEX(Wiki!K:K,MATCH('BOM2017'!D149,Wiki!B:B,0)))</f>
        <v>All_Saints_(film)</v>
      </c>
    </row>
    <row r="150" spans="2:14" x14ac:dyDescent="0.2">
      <c r="B150" s="6">
        <v>145</v>
      </c>
      <c r="C150" s="3" t="s">
        <v>479</v>
      </c>
      <c r="D150" t="str">
        <f t="shared" si="2"/>
        <v/>
      </c>
      <c r="E150" s="3" t="s">
        <v>638</v>
      </c>
      <c r="F150" s="7" t="s">
        <v>1073</v>
      </c>
      <c r="G150" s="6" t="s">
        <v>1074</v>
      </c>
      <c r="H150" s="6" t="s">
        <v>1075</v>
      </c>
      <c r="I150" s="6" t="s">
        <v>1074</v>
      </c>
      <c r="J150" s="4">
        <v>43400</v>
      </c>
      <c r="K150" s="8">
        <v>43420</v>
      </c>
      <c r="L150" s="1" t="b">
        <f>IF(MATCH(C150,Wiki!B:B,0)&lt;&gt;0,TRUE,FALSE)</f>
        <v>1</v>
      </c>
      <c r="M150" s="1" t="str">
        <f>INDEX(Wiki!K:K,MATCH('BOM2017'!C150,Wiki!B:B,0))</f>
        <v>Suburbicon</v>
      </c>
      <c r="N150" s="1" t="str">
        <f>IFERROR(M150,INDEX(Wiki!K:K,MATCH('BOM2017'!D150,Wiki!B:B,0)))</f>
        <v>Suburbicon</v>
      </c>
    </row>
    <row r="151" spans="2:14" x14ac:dyDescent="0.2">
      <c r="B151" s="6">
        <v>146</v>
      </c>
      <c r="C151" s="3" t="s">
        <v>503</v>
      </c>
      <c r="D151" t="str">
        <f t="shared" si="2"/>
        <v/>
      </c>
      <c r="E151" s="3" t="s">
        <v>869</v>
      </c>
      <c r="F151" s="7" t="s">
        <v>1076</v>
      </c>
      <c r="G151" s="6">
        <v>720</v>
      </c>
      <c r="H151" s="6" t="s">
        <v>1077</v>
      </c>
      <c r="I151" s="6">
        <v>626</v>
      </c>
      <c r="J151" s="4">
        <v>43426</v>
      </c>
      <c r="K151" s="6" t="s">
        <v>558</v>
      </c>
      <c r="L151" s="1" t="b">
        <f>IF(MATCH(C151,Wiki!B:B,0)&lt;&gt;0,TRUE,FALSE)</f>
        <v>1</v>
      </c>
      <c r="M151" s="1" t="str">
        <f>INDEX(Wiki!K:K,MATCH('BOM2017'!C151,Wiki!B:B,0))</f>
        <v>The_Man_Who_Invented_Christmas_(film)</v>
      </c>
      <c r="N151" s="1" t="str">
        <f>IFERROR(M151,INDEX(Wiki!K:K,MATCH('BOM2017'!D151,Wiki!B:B,0)))</f>
        <v>The_Man_Who_Invented_Christmas_(film)</v>
      </c>
    </row>
    <row r="152" spans="2:14" x14ac:dyDescent="0.2">
      <c r="B152" s="6">
        <v>147</v>
      </c>
      <c r="C152" s="3" t="s">
        <v>260</v>
      </c>
      <c r="D152" t="str">
        <f t="shared" si="2"/>
        <v/>
      </c>
      <c r="E152" s="3" t="s">
        <v>1015</v>
      </c>
      <c r="F152" s="7" t="s">
        <v>1078</v>
      </c>
      <c r="G152" s="6">
        <v>447</v>
      </c>
      <c r="H152" s="6" t="s">
        <v>1079</v>
      </c>
      <c r="I152" s="6">
        <v>4</v>
      </c>
      <c r="J152" s="4">
        <v>43232</v>
      </c>
      <c r="K152" s="8">
        <v>43371</v>
      </c>
      <c r="L152" s="1" t="b">
        <f>IF(MATCH(C152,Wiki!B:B,0)&lt;&gt;0,TRUE,FALSE)</f>
        <v>1</v>
      </c>
      <c r="M152" s="1" t="str">
        <f>INDEX(Wiki!K:K,MATCH('BOM2017'!C152,Wiki!B:B,0))</f>
        <v>Paris_Can_Wait</v>
      </c>
      <c r="N152" s="1" t="str">
        <f>IFERROR(M152,INDEX(Wiki!K:K,MATCH('BOM2017'!D152,Wiki!B:B,0)))</f>
        <v>Paris_Can_Wait</v>
      </c>
    </row>
    <row r="153" spans="2:14" x14ac:dyDescent="0.2">
      <c r="B153" s="6">
        <v>148</v>
      </c>
      <c r="C153" s="3" t="s">
        <v>443</v>
      </c>
      <c r="D153" t="str">
        <f t="shared" si="2"/>
        <v/>
      </c>
      <c r="E153" s="3" t="s">
        <v>38</v>
      </c>
      <c r="F153" s="7" t="s">
        <v>1080</v>
      </c>
      <c r="G153" s="6">
        <v>229</v>
      </c>
      <c r="H153" s="6" t="s">
        <v>1081</v>
      </c>
      <c r="I153" s="6">
        <v>4</v>
      </c>
      <c r="J153" s="4">
        <v>43379</v>
      </c>
      <c r="K153" s="6" t="s">
        <v>558</v>
      </c>
      <c r="L153" s="1" t="b">
        <f>IF(MATCH(C153,Wiki!B:B,0)&lt;&gt;0,TRUE,FALSE)</f>
        <v>1</v>
      </c>
      <c r="M153" s="1" t="str">
        <f>INDEX(Wiki!K:K,MATCH('BOM2017'!C153,Wiki!B:B,0))</f>
        <v>The_Florida_Project</v>
      </c>
      <c r="N153" s="1" t="str">
        <f>IFERROR(M153,INDEX(Wiki!K:K,MATCH('BOM2017'!D153,Wiki!B:B,0)))</f>
        <v>The_Florida_Project</v>
      </c>
    </row>
    <row r="154" spans="2:14" x14ac:dyDescent="0.2">
      <c r="B154" s="6">
        <v>149</v>
      </c>
      <c r="C154" s="3" t="s">
        <v>1082</v>
      </c>
      <c r="D154" t="e">
        <f t="shared" si="2"/>
        <v>#VALUE!</v>
      </c>
      <c r="E154" s="3" t="s">
        <v>1083</v>
      </c>
      <c r="F154" s="7" t="s">
        <v>1084</v>
      </c>
      <c r="G154" s="6">
        <v>299</v>
      </c>
      <c r="H154" s="6" t="s">
        <v>1085</v>
      </c>
      <c r="I154" s="6">
        <v>299</v>
      </c>
      <c r="J154" s="4">
        <v>43456</v>
      </c>
      <c r="K154" s="6" t="s">
        <v>558</v>
      </c>
      <c r="L154" s="1" t="e">
        <f>IF(MATCH(C154,Wiki!B:B,0)&lt;&gt;0,TRUE,FALSE)</f>
        <v>#N/A</v>
      </c>
      <c r="M154" s="1" t="e">
        <f>INDEX(Wiki!K:K,MATCH('BOM2017'!C154,Wiki!B:B,0))</f>
        <v>#N/A</v>
      </c>
      <c r="N154" s="1" t="e">
        <f>IFERROR(M154,INDEX(Wiki!K:K,MATCH('BOM2017'!D154,Wiki!B:B,0)))</f>
        <v>#VALUE!</v>
      </c>
    </row>
    <row r="155" spans="2:14" x14ac:dyDescent="0.2">
      <c r="B155" s="6">
        <v>150</v>
      </c>
      <c r="C155" s="3" t="s">
        <v>1086</v>
      </c>
      <c r="D155" t="e">
        <f t="shared" si="2"/>
        <v>#VALUE!</v>
      </c>
      <c r="E155" s="3" t="s">
        <v>1087</v>
      </c>
      <c r="F155" s="7" t="s">
        <v>1088</v>
      </c>
      <c r="G155" s="6">
        <v>311</v>
      </c>
      <c r="H155" s="6" t="s">
        <v>1089</v>
      </c>
      <c r="I155" s="6">
        <v>311</v>
      </c>
      <c r="J155" s="4">
        <v>43197</v>
      </c>
      <c r="K155" s="8">
        <v>43308</v>
      </c>
      <c r="L155" s="1" t="e">
        <f>IF(MATCH(C155,Wiki!B:B,0)&lt;&gt;0,TRUE,FALSE)</f>
        <v>#N/A</v>
      </c>
      <c r="M155" s="1" t="e">
        <f>INDEX(Wiki!K:K,MATCH('BOM2017'!C155,Wiki!B:B,0))</f>
        <v>#N/A</v>
      </c>
      <c r="N155" s="1" t="e">
        <f>IFERROR(M155,INDEX(Wiki!K:K,MATCH('BOM2017'!D155,Wiki!B:B,0)))</f>
        <v>#VALUE!</v>
      </c>
    </row>
    <row r="156" spans="2:14" x14ac:dyDescent="0.2">
      <c r="B156" s="6">
        <v>151</v>
      </c>
      <c r="C156" s="3" t="s">
        <v>303</v>
      </c>
      <c r="D156" t="str">
        <f t="shared" si="2"/>
        <v/>
      </c>
      <c r="E156" s="3" t="s">
        <v>740</v>
      </c>
      <c r="F156" s="7" t="s">
        <v>1090</v>
      </c>
      <c r="G156" s="6">
        <v>650</v>
      </c>
      <c r="H156" s="6" t="s">
        <v>1091</v>
      </c>
      <c r="I156" s="6">
        <v>579</v>
      </c>
      <c r="J156" s="4">
        <v>43267</v>
      </c>
      <c r="K156" s="8">
        <v>43329</v>
      </c>
      <c r="L156" s="1" t="b">
        <f>IF(MATCH(C156,Wiki!B:B,0)&lt;&gt;0,TRUE,FALSE)</f>
        <v>1</v>
      </c>
      <c r="M156" s="1" t="str">
        <f>INDEX(Wiki!K:K,MATCH('BOM2017'!C156,Wiki!B:B,0))</f>
        <v>The_Book_of_Henry</v>
      </c>
      <c r="N156" s="1" t="str">
        <f>IFERROR(M156,INDEX(Wiki!K:K,MATCH('BOM2017'!D156,Wiki!B:B,0)))</f>
        <v>The_Book_of_Henry</v>
      </c>
    </row>
    <row r="157" spans="2:14" x14ac:dyDescent="0.2">
      <c r="B157" s="6">
        <v>152</v>
      </c>
      <c r="C157" s="3" t="s">
        <v>425</v>
      </c>
      <c r="D157" t="str">
        <f t="shared" si="2"/>
        <v/>
      </c>
      <c r="E157" s="3" t="s">
        <v>1043</v>
      </c>
      <c r="F157" s="7" t="s">
        <v>1092</v>
      </c>
      <c r="G157" s="6">
        <v>645</v>
      </c>
      <c r="H157" s="6" t="s">
        <v>1093</v>
      </c>
      <c r="I157" s="6">
        <v>573</v>
      </c>
      <c r="J157" s="4">
        <v>43365</v>
      </c>
      <c r="K157" s="8">
        <v>43434</v>
      </c>
      <c r="L157" s="1" t="b">
        <f>IF(MATCH(C157,Wiki!B:B,0)&lt;&gt;0,TRUE,FALSE)</f>
        <v>1</v>
      </c>
      <c r="M157" s="1" t="str">
        <f>INDEX(Wiki!K:K,MATCH('BOM2017'!C157,Wiki!B:B,0))</f>
        <v>Stronger_(film)</v>
      </c>
      <c r="N157" s="1" t="str">
        <f>IFERROR(M157,INDEX(Wiki!K:K,MATCH('BOM2017'!D157,Wiki!B:B,0)))</f>
        <v>Stronger_(film)</v>
      </c>
    </row>
    <row r="158" spans="2:14" x14ac:dyDescent="0.2">
      <c r="B158" s="6">
        <v>153</v>
      </c>
      <c r="C158" s="3" t="s">
        <v>1094</v>
      </c>
      <c r="D158" t="e">
        <f t="shared" si="2"/>
        <v>#VALUE!</v>
      </c>
      <c r="E158" s="3" t="s">
        <v>1095</v>
      </c>
      <c r="F158" s="7" t="s">
        <v>1096</v>
      </c>
      <c r="G158" s="6">
        <v>447</v>
      </c>
      <c r="H158" s="6" t="s">
        <v>1097</v>
      </c>
      <c r="I158" s="6">
        <v>4</v>
      </c>
      <c r="J158" s="4">
        <v>43260</v>
      </c>
      <c r="K158" s="8">
        <v>43385</v>
      </c>
      <c r="L158" s="1" t="e">
        <f>IF(MATCH(C158,Wiki!B:B,0)&lt;&gt;0,TRUE,FALSE)</f>
        <v>#N/A</v>
      </c>
      <c r="M158" s="1" t="e">
        <f>INDEX(Wiki!K:K,MATCH('BOM2017'!C158,Wiki!B:B,0))</f>
        <v>#N/A</v>
      </c>
      <c r="N158" s="1" t="e">
        <f>IFERROR(M158,INDEX(Wiki!K:K,MATCH('BOM2017'!D158,Wiki!B:B,0)))</f>
        <v>#VALUE!</v>
      </c>
    </row>
    <row r="159" spans="2:14" x14ac:dyDescent="0.2">
      <c r="B159" s="6">
        <v>154</v>
      </c>
      <c r="C159" s="3" t="s">
        <v>240</v>
      </c>
      <c r="D159" t="str">
        <f t="shared" si="2"/>
        <v/>
      </c>
      <c r="E159" s="3" t="s">
        <v>1000</v>
      </c>
      <c r="F159" s="7" t="s">
        <v>1098</v>
      </c>
      <c r="G159" s="6">
        <v>591</v>
      </c>
      <c r="H159" s="6" t="s">
        <v>1099</v>
      </c>
      <c r="I159" s="6">
        <v>565</v>
      </c>
      <c r="J159" s="4">
        <v>43218</v>
      </c>
      <c r="K159" s="8">
        <v>43259</v>
      </c>
      <c r="L159" s="1" t="b">
        <f>IF(MATCH(C159,Wiki!B:B,0)&lt;&gt;0,TRUE,FALSE)</f>
        <v>1</v>
      </c>
      <c r="M159" s="1" t="str">
        <f>INDEX(Wiki!K:K,MATCH('BOM2017'!C159,Wiki!B:B,0))</f>
        <v>Sleight</v>
      </c>
      <c r="N159" s="1" t="str">
        <f>IFERROR(M159,INDEX(Wiki!K:K,MATCH('BOM2017'!D159,Wiki!B:B,0)))</f>
        <v>Sleight</v>
      </c>
    </row>
    <row r="160" spans="2:14" x14ac:dyDescent="0.2">
      <c r="B160" s="6">
        <v>155</v>
      </c>
      <c r="C160" s="3" t="s">
        <v>96</v>
      </c>
      <c r="D160" t="str">
        <f t="shared" si="2"/>
        <v/>
      </c>
      <c r="E160" s="3" t="s">
        <v>830</v>
      </c>
      <c r="F160" s="7" t="s">
        <v>1100</v>
      </c>
      <c r="G160" s="6">
        <v>317</v>
      </c>
      <c r="H160" s="6" t="s">
        <v>1101</v>
      </c>
      <c r="I160" s="6">
        <v>4</v>
      </c>
      <c r="J160" s="4">
        <v>43141</v>
      </c>
      <c r="K160" s="8">
        <v>43245</v>
      </c>
      <c r="L160" s="1" t="b">
        <f>IF(MATCH(C160,Wiki!B:B,0)&lt;&gt;0,TRUE,FALSE)</f>
        <v>1</v>
      </c>
      <c r="M160" s="1" t="str">
        <f>INDEX(Wiki!K:K,MATCH('BOM2017'!C160,Wiki!B:B,0))</f>
        <v>A_United_Kingdom</v>
      </c>
      <c r="N160" s="1" t="str">
        <f>IFERROR(M160,INDEX(Wiki!K:K,MATCH('BOM2017'!D160,Wiki!B:B,0)))</f>
        <v>A_United_Kingdom</v>
      </c>
    </row>
    <row r="161" spans="2:14" x14ac:dyDescent="0.2">
      <c r="B161" s="6">
        <v>156</v>
      </c>
      <c r="C161" s="3" t="s">
        <v>217</v>
      </c>
      <c r="D161" t="str">
        <f t="shared" si="2"/>
        <v/>
      </c>
      <c r="E161" s="3" t="s">
        <v>1015</v>
      </c>
      <c r="F161" s="7" t="s">
        <v>1102</v>
      </c>
      <c r="G161" s="6">
        <v>373</v>
      </c>
      <c r="H161" s="6" t="s">
        <v>1103</v>
      </c>
      <c r="I161" s="6">
        <v>5</v>
      </c>
      <c r="J161" s="4">
        <v>43204</v>
      </c>
      <c r="K161" s="8">
        <v>43311</v>
      </c>
      <c r="L161" s="1" t="b">
        <f>IF(MATCH(C161,Wiki!B:B,0)&lt;&gt;0,TRUE,FALSE)</f>
        <v>1</v>
      </c>
      <c r="M161" s="1" t="str">
        <f>INDEX(Wiki!K:K,MATCH('BOM2017'!C161,Wiki!B:B,0))</f>
        <v>Norman:_The_Moderate_Rise_and_Tragic_Fall_of_a_New_York_Fixer</v>
      </c>
      <c r="N161" s="1" t="str">
        <f>IFERROR(M161,INDEX(Wiki!K:K,MATCH('BOM2017'!D161,Wiki!B:B,0)))</f>
        <v>Norman:_The_Moderate_Rise_and_Tragic_Fall_of_a_New_York_Fixer</v>
      </c>
    </row>
    <row r="162" spans="2:14" x14ac:dyDescent="0.2">
      <c r="B162" s="6">
        <v>157</v>
      </c>
      <c r="C162" s="3" t="s">
        <v>1104</v>
      </c>
      <c r="D162" t="e">
        <f t="shared" si="2"/>
        <v>#VALUE!</v>
      </c>
      <c r="E162" s="3" t="s">
        <v>781</v>
      </c>
      <c r="F162" s="7" t="s">
        <v>1105</v>
      </c>
      <c r="G162" s="6" t="s">
        <v>1106</v>
      </c>
      <c r="H162" s="6" t="s">
        <v>1107</v>
      </c>
      <c r="I162" s="6" t="s">
        <v>1106</v>
      </c>
      <c r="J162" s="4">
        <v>43365</v>
      </c>
      <c r="K162" s="8">
        <v>43434</v>
      </c>
      <c r="L162" s="1" t="e">
        <f>IF(MATCH(C162,Wiki!B:B,0)&lt;&gt;0,TRUE,FALSE)</f>
        <v>#N/A</v>
      </c>
      <c r="M162" s="1" t="e">
        <f>INDEX(Wiki!K:K,MATCH('BOM2017'!C162,Wiki!B:B,0))</f>
        <v>#N/A</v>
      </c>
      <c r="N162" s="1" t="e">
        <f>IFERROR(M162,INDEX(Wiki!K:K,MATCH('BOM2017'!D162,Wiki!B:B,0)))</f>
        <v>#VALUE!</v>
      </c>
    </row>
    <row r="163" spans="2:14" x14ac:dyDescent="0.2">
      <c r="B163" s="6">
        <v>158</v>
      </c>
      <c r="C163" s="3" t="s">
        <v>141</v>
      </c>
      <c r="D163" t="str">
        <f t="shared" si="2"/>
        <v/>
      </c>
      <c r="E163" s="3" t="s">
        <v>830</v>
      </c>
      <c r="F163" s="7" t="s">
        <v>1108</v>
      </c>
      <c r="G163" s="6">
        <v>868</v>
      </c>
      <c r="H163" s="6" t="s">
        <v>1109</v>
      </c>
      <c r="I163" s="6">
        <v>868</v>
      </c>
      <c r="J163" s="4">
        <v>43162</v>
      </c>
      <c r="K163" s="8">
        <v>43196</v>
      </c>
      <c r="L163" s="1" t="b">
        <f>IF(MATCH(C163,Wiki!B:B,0)&lt;&gt;0,TRUE,FALSE)</f>
        <v>1</v>
      </c>
      <c r="M163" s="1" t="str">
        <f>INDEX(Wiki!K:K,MATCH('BOM2017'!C163,Wiki!B:B,0))</f>
        <v>Table_19</v>
      </c>
      <c r="N163" s="1" t="str">
        <f>IFERROR(M163,INDEX(Wiki!K:K,MATCH('BOM2017'!D163,Wiki!B:B,0)))</f>
        <v>Table_19</v>
      </c>
    </row>
    <row r="164" spans="2:14" x14ac:dyDescent="0.2">
      <c r="B164" s="6">
        <v>159</v>
      </c>
      <c r="C164" s="3" t="s">
        <v>1110</v>
      </c>
      <c r="D164" t="e">
        <f t="shared" si="2"/>
        <v>#VALUE!</v>
      </c>
      <c r="E164" s="3" t="s">
        <v>718</v>
      </c>
      <c r="F164" s="7" t="s">
        <v>1111</v>
      </c>
      <c r="G164" s="6">
        <v>330</v>
      </c>
      <c r="H164" s="6" t="s">
        <v>1112</v>
      </c>
      <c r="I164" s="6">
        <v>4</v>
      </c>
      <c r="J164" s="4">
        <v>43197</v>
      </c>
      <c r="K164" s="8">
        <v>43273</v>
      </c>
      <c r="L164" s="1" t="e">
        <f>IF(MATCH(C164,Wiki!B:B,0)&lt;&gt;0,TRUE,FALSE)</f>
        <v>#N/A</v>
      </c>
      <c r="M164" s="1" t="e">
        <f>INDEX(Wiki!K:K,MATCH('BOM2017'!C164,Wiki!B:B,0))</f>
        <v>#N/A</v>
      </c>
      <c r="N164" s="1" t="e">
        <f>IFERROR(M164,INDEX(Wiki!K:K,MATCH('BOM2017'!D164,Wiki!B:B,0)))</f>
        <v>#VALUE!</v>
      </c>
    </row>
    <row r="165" spans="2:14" x14ac:dyDescent="0.2">
      <c r="B165" s="6">
        <v>160</v>
      </c>
      <c r="C165" s="3" t="s">
        <v>229</v>
      </c>
      <c r="D165" t="str">
        <f t="shared" si="2"/>
        <v/>
      </c>
      <c r="E165" s="3" t="s">
        <v>1113</v>
      </c>
      <c r="F165" s="7" t="s">
        <v>1114</v>
      </c>
      <c r="G165" s="6" t="s">
        <v>1115</v>
      </c>
      <c r="H165" s="6" t="s">
        <v>1116</v>
      </c>
      <c r="I165" s="6" t="s">
        <v>1115</v>
      </c>
      <c r="J165" s="4">
        <v>43211</v>
      </c>
      <c r="K165" s="8">
        <v>43266</v>
      </c>
      <c r="L165" s="1" t="b">
        <f>IF(MATCH(C165,Wiki!B:B,0)&lt;&gt;0,TRUE,FALSE)</f>
        <v>1</v>
      </c>
      <c r="M165" s="1" t="str">
        <f>INDEX(Wiki!K:K,MATCH('BOM2017'!C165,Wiki!B:B,0))</f>
        <v>Phoenix_Forgotten</v>
      </c>
      <c r="N165" s="1" t="str">
        <f>IFERROR(M165,INDEX(Wiki!K:K,MATCH('BOM2017'!D165,Wiki!B:B,0)))</f>
        <v>Phoenix_Forgotten</v>
      </c>
    </row>
    <row r="166" spans="2:14" x14ac:dyDescent="0.2">
      <c r="B166" s="6">
        <v>161</v>
      </c>
      <c r="C166" s="3" t="s">
        <v>341</v>
      </c>
      <c r="D166" t="str">
        <f t="shared" si="2"/>
        <v/>
      </c>
      <c r="E166" s="3" t="s">
        <v>638</v>
      </c>
      <c r="F166" s="7" t="s">
        <v>1117</v>
      </c>
      <c r="G166" s="6">
        <v>556</v>
      </c>
      <c r="H166" s="6" t="s">
        <v>1118</v>
      </c>
      <c r="I166" s="6">
        <v>4</v>
      </c>
      <c r="J166" s="4">
        <v>43309</v>
      </c>
      <c r="K166" s="8">
        <v>43350</v>
      </c>
      <c r="L166" s="1" t="b">
        <f>IF(MATCH(C166,Wiki!B:B,0)&lt;&gt;0,TRUE,FALSE)</f>
        <v>1</v>
      </c>
      <c r="M166" s="1" t="str">
        <f>INDEX(Wiki!K:K,MATCH('BOM2017'!C166,Wiki!B:B,0))</f>
        <v>An_Inconvenient_Sequel:_Truth_to_Power</v>
      </c>
      <c r="N166" s="1" t="str">
        <f>IFERROR(M166,INDEX(Wiki!K:K,MATCH('BOM2017'!D166,Wiki!B:B,0)))</f>
        <v>An_Inconvenient_Sequel:_Truth_to_Power</v>
      </c>
    </row>
    <row r="167" spans="2:14" x14ac:dyDescent="0.2">
      <c r="B167" s="6">
        <v>162</v>
      </c>
      <c r="C167" s="3" t="s">
        <v>1119</v>
      </c>
      <c r="D167" t="e">
        <f t="shared" si="2"/>
        <v>#VALUE!</v>
      </c>
      <c r="E167" s="3" t="s">
        <v>1120</v>
      </c>
      <c r="F167" s="7" t="s">
        <v>1121</v>
      </c>
      <c r="G167" s="6">
        <v>562</v>
      </c>
      <c r="H167" s="6" t="s">
        <v>1122</v>
      </c>
      <c r="I167" s="6">
        <v>562</v>
      </c>
      <c r="J167" s="4">
        <v>43372</v>
      </c>
      <c r="K167" s="8">
        <v>43416</v>
      </c>
      <c r="L167" s="1" t="e">
        <f>IF(MATCH(C167,Wiki!B:B,0)&lt;&gt;0,TRUE,FALSE)</f>
        <v>#N/A</v>
      </c>
      <c r="M167" s="1" t="e">
        <f>INDEX(Wiki!K:K,MATCH('BOM2017'!C167,Wiki!B:B,0))</f>
        <v>#N/A</v>
      </c>
      <c r="N167" s="1" t="e">
        <f>IFERROR(M167,INDEX(Wiki!K:K,MATCH('BOM2017'!D167,Wiki!B:B,0)))</f>
        <v>#VALUE!</v>
      </c>
    </row>
    <row r="168" spans="2:14" x14ac:dyDescent="0.2">
      <c r="B168" s="6">
        <v>163</v>
      </c>
      <c r="C168" s="3" t="s">
        <v>1123</v>
      </c>
      <c r="D168" t="e">
        <f t="shared" si="2"/>
        <v>#VALUE!</v>
      </c>
      <c r="E168" s="3" t="s">
        <v>1124</v>
      </c>
      <c r="F168" s="7" t="s">
        <v>1125</v>
      </c>
      <c r="G168" s="6">
        <v>265</v>
      </c>
      <c r="H168" s="6" t="s">
        <v>1126</v>
      </c>
      <c r="I168" s="6">
        <v>265</v>
      </c>
      <c r="J168" s="4">
        <v>43125</v>
      </c>
      <c r="K168" s="8">
        <v>43136</v>
      </c>
      <c r="L168" s="1" t="e">
        <f>IF(MATCH(C168,Wiki!B:B,0)&lt;&gt;0,TRUE,FALSE)</f>
        <v>#N/A</v>
      </c>
      <c r="M168" s="1" t="e">
        <f>INDEX(Wiki!K:K,MATCH('BOM2017'!C168,Wiki!B:B,0))</f>
        <v>#N/A</v>
      </c>
      <c r="N168" s="1" t="e">
        <f>IFERROR(M168,INDEX(Wiki!K:K,MATCH('BOM2017'!D168,Wiki!B:B,0)))</f>
        <v>#VALUE!</v>
      </c>
    </row>
    <row r="169" spans="2:14" x14ac:dyDescent="0.2">
      <c r="B169" s="6">
        <v>164</v>
      </c>
      <c r="C169" s="3" t="s">
        <v>1127</v>
      </c>
      <c r="D169" t="str">
        <f t="shared" si="2"/>
        <v>Close Encounters of the Third Kind</v>
      </c>
      <c r="E169" s="3" t="s">
        <v>570</v>
      </c>
      <c r="F169" s="7" t="s">
        <v>1128</v>
      </c>
      <c r="G169" s="6">
        <v>901</v>
      </c>
      <c r="H169" s="6" t="s">
        <v>1129</v>
      </c>
      <c r="I169" s="6">
        <v>901</v>
      </c>
      <c r="J169" s="4">
        <v>43344</v>
      </c>
      <c r="K169" s="8">
        <v>43364</v>
      </c>
      <c r="L169" s="1" t="e">
        <f>IF(MATCH(C169,Wiki!B:B,0)&lt;&gt;0,TRUE,FALSE)</f>
        <v>#N/A</v>
      </c>
      <c r="M169" s="1" t="e">
        <f>INDEX(Wiki!K:K,MATCH('BOM2017'!C169,Wiki!B:B,0))</f>
        <v>#N/A</v>
      </c>
      <c r="N169" s="1" t="e">
        <f>IFERROR(M169,INDEX(Wiki!K:K,MATCH('BOM2017'!D169,Wiki!B:B,0)))</f>
        <v>#N/A</v>
      </c>
    </row>
    <row r="170" spans="2:14" x14ac:dyDescent="0.2">
      <c r="B170" s="6">
        <v>165</v>
      </c>
      <c r="C170" s="3" t="s">
        <v>194</v>
      </c>
      <c r="D170" t="str">
        <f t="shared" si="2"/>
        <v/>
      </c>
      <c r="E170" s="3" t="s">
        <v>195</v>
      </c>
      <c r="F170" s="7" t="s">
        <v>1130</v>
      </c>
      <c r="G170" s="6">
        <v>327</v>
      </c>
      <c r="H170" s="6" t="s">
        <v>1131</v>
      </c>
      <c r="I170" s="6">
        <v>4</v>
      </c>
      <c r="J170" s="4">
        <v>43197</v>
      </c>
      <c r="K170" s="8">
        <v>43294</v>
      </c>
      <c r="L170" s="1" t="b">
        <f>IF(MATCH(C170,Wiki!B:B,0)&lt;&gt;0,TRUE,FALSE)</f>
        <v>1</v>
      </c>
      <c r="M170" s="1" t="str">
        <f>INDEX(Wiki!K:K,MATCH('BOM2017'!C170,Wiki!B:B,0))</f>
        <v>Colossal_(film)</v>
      </c>
      <c r="N170" s="1" t="str">
        <f>IFERROR(M170,INDEX(Wiki!K:K,MATCH('BOM2017'!D170,Wiki!B:B,0)))</f>
        <v>Colossal_(film)</v>
      </c>
    </row>
    <row r="171" spans="2:14" x14ac:dyDescent="0.2">
      <c r="B171" s="6">
        <v>166</v>
      </c>
      <c r="C171" s="3" t="s">
        <v>363</v>
      </c>
      <c r="D171" t="str">
        <f t="shared" si="2"/>
        <v/>
      </c>
      <c r="E171" s="3" t="s">
        <v>195</v>
      </c>
      <c r="F171" s="7" t="s">
        <v>1132</v>
      </c>
      <c r="G171" s="6">
        <v>647</v>
      </c>
      <c r="H171" s="6" t="s">
        <v>1133</v>
      </c>
      <c r="I171" s="6">
        <v>3</v>
      </c>
      <c r="J171" s="4">
        <v>43323</v>
      </c>
      <c r="K171" s="8">
        <v>43399</v>
      </c>
      <c r="L171" s="1" t="b">
        <f>IF(MATCH(C171,Wiki!B:B,0)&lt;&gt;0,TRUE,FALSE)</f>
        <v>1</v>
      </c>
      <c r="M171" s="1" t="str">
        <f>INDEX(Wiki!K:K,MATCH('BOM2017'!C171,Wiki!B:B,0))</f>
        <v>Ingrid_Goes_West</v>
      </c>
      <c r="N171" s="1" t="str">
        <f>IFERROR(M171,INDEX(Wiki!K:K,MATCH('BOM2017'!D171,Wiki!B:B,0)))</f>
        <v>Ingrid_Goes_West</v>
      </c>
    </row>
    <row r="172" spans="2:14" x14ac:dyDescent="0.2">
      <c r="B172" s="6">
        <v>167</v>
      </c>
      <c r="C172" s="3" t="s">
        <v>1134</v>
      </c>
      <c r="D172" t="str">
        <f t="shared" si="2"/>
        <v>Ballerina</v>
      </c>
      <c r="E172" s="3" t="s">
        <v>1135</v>
      </c>
      <c r="F172" s="7" t="s">
        <v>1136</v>
      </c>
      <c r="G172" s="6">
        <v>237</v>
      </c>
      <c r="H172" s="6" t="s">
        <v>1137</v>
      </c>
      <c r="I172" s="6">
        <v>77</v>
      </c>
      <c r="J172" s="4">
        <v>43155</v>
      </c>
      <c r="K172" s="6" t="s">
        <v>558</v>
      </c>
      <c r="L172" s="1" t="e">
        <f>IF(MATCH(C172,Wiki!B:B,0)&lt;&gt;0,TRUE,FALSE)</f>
        <v>#N/A</v>
      </c>
      <c r="M172" s="1" t="e">
        <f>INDEX(Wiki!K:K,MATCH('BOM2017'!C172,Wiki!B:B,0))</f>
        <v>#N/A</v>
      </c>
      <c r="N172" s="1" t="e">
        <f>IFERROR(M172,INDEX(Wiki!K:K,MATCH('BOM2017'!D172,Wiki!B:B,0)))</f>
        <v>#N/A</v>
      </c>
    </row>
    <row r="173" spans="2:14" x14ac:dyDescent="0.2">
      <c r="B173" s="6">
        <v>168</v>
      </c>
      <c r="C173" s="3" t="s">
        <v>1138</v>
      </c>
      <c r="D173" t="e">
        <f t="shared" si="2"/>
        <v>#VALUE!</v>
      </c>
      <c r="E173" s="3" t="s">
        <v>1139</v>
      </c>
      <c r="F173" s="7" t="s">
        <v>1140</v>
      </c>
      <c r="G173" s="6">
        <v>272</v>
      </c>
      <c r="H173" s="6" t="s">
        <v>1141</v>
      </c>
      <c r="I173" s="6">
        <v>206</v>
      </c>
      <c r="J173" s="4">
        <v>43141</v>
      </c>
      <c r="K173" s="8">
        <v>43189</v>
      </c>
      <c r="L173" s="1" t="e">
        <f>IF(MATCH(C173,Wiki!B:B,0)&lt;&gt;0,TRUE,FALSE)</f>
        <v>#N/A</v>
      </c>
      <c r="M173" s="1" t="e">
        <f>INDEX(Wiki!K:K,MATCH('BOM2017'!C173,Wiki!B:B,0))</f>
        <v>#N/A</v>
      </c>
      <c r="N173" s="1" t="e">
        <f>IFERROR(M173,INDEX(Wiki!K:K,MATCH('BOM2017'!D173,Wiki!B:B,0)))</f>
        <v>#VALUE!</v>
      </c>
    </row>
    <row r="174" spans="2:14" x14ac:dyDescent="0.2">
      <c r="B174" s="6">
        <v>169</v>
      </c>
      <c r="C174" s="3" t="s">
        <v>99</v>
      </c>
      <c r="D174" t="str">
        <f t="shared" si="2"/>
        <v/>
      </c>
      <c r="E174" s="3" t="s">
        <v>1142</v>
      </c>
      <c r="F174" s="7" t="s">
        <v>1143</v>
      </c>
      <c r="G174" s="6">
        <v>130</v>
      </c>
      <c r="H174" s="6" t="s">
        <v>1144</v>
      </c>
      <c r="I174" s="6">
        <v>1</v>
      </c>
      <c r="J174" s="4">
        <v>43141</v>
      </c>
      <c r="K174" s="6" t="s">
        <v>558</v>
      </c>
      <c r="L174" s="1" t="b">
        <f>IF(MATCH(C174,Wiki!B:B,0)&lt;&gt;0,TRUE,FALSE)</f>
        <v>1</v>
      </c>
      <c r="M174" s="1" t="str">
        <f>INDEX(Wiki!K:K,MATCH('BOM2017'!C174,Wiki!B:B,0))</f>
        <v>Kedi_(2016_film)</v>
      </c>
      <c r="N174" s="1" t="str">
        <f>IFERROR(M174,INDEX(Wiki!K:K,MATCH('BOM2017'!D174,Wiki!B:B,0)))</f>
        <v>Kedi_(2016_film)</v>
      </c>
    </row>
    <row r="175" spans="2:14" x14ac:dyDescent="0.2">
      <c r="B175" s="6">
        <v>170</v>
      </c>
      <c r="C175" s="3" t="s">
        <v>1145</v>
      </c>
      <c r="D175" t="e">
        <f t="shared" si="2"/>
        <v>#VALUE!</v>
      </c>
      <c r="E175" s="3" t="s">
        <v>1146</v>
      </c>
      <c r="F175" s="7" t="s">
        <v>1147</v>
      </c>
      <c r="G175" s="6">
        <v>53</v>
      </c>
      <c r="H175" s="6" t="s">
        <v>1148</v>
      </c>
      <c r="I175" s="6">
        <v>53</v>
      </c>
      <c r="J175" s="4">
        <v>43309</v>
      </c>
      <c r="K175" s="8">
        <v>43392</v>
      </c>
      <c r="L175" s="1" t="e">
        <f>IF(MATCH(C175,Wiki!B:B,0)&lt;&gt;0,TRUE,FALSE)</f>
        <v>#N/A</v>
      </c>
      <c r="M175" s="1" t="e">
        <f>INDEX(Wiki!K:K,MATCH('BOM2017'!C175,Wiki!B:B,0))</f>
        <v>#N/A</v>
      </c>
      <c r="N175" s="1" t="e">
        <f>IFERROR(M175,INDEX(Wiki!K:K,MATCH('BOM2017'!D175,Wiki!B:B,0)))</f>
        <v>#VALUE!</v>
      </c>
    </row>
    <row r="176" spans="2:14" x14ac:dyDescent="0.2">
      <c r="B176" s="6">
        <v>171</v>
      </c>
      <c r="C176" s="3" t="s">
        <v>291</v>
      </c>
      <c r="D176" t="str">
        <f t="shared" si="2"/>
        <v/>
      </c>
      <c r="E176" s="3" t="s">
        <v>830</v>
      </c>
      <c r="F176" s="7" t="s">
        <v>1149</v>
      </c>
      <c r="G176" s="6">
        <v>531</v>
      </c>
      <c r="H176" s="6" t="s">
        <v>1150</v>
      </c>
      <c r="I176" s="6">
        <v>523</v>
      </c>
      <c r="J176" s="4">
        <v>43260</v>
      </c>
      <c r="K176" s="8">
        <v>43315</v>
      </c>
      <c r="L176" s="1" t="b">
        <f>IF(MATCH(C176,Wiki!B:B,0)&lt;&gt;0,TRUE,FALSE)</f>
        <v>1</v>
      </c>
      <c r="M176" s="1" t="str">
        <f>INDEX(Wiki!K:K,MATCH('BOM2017'!C176,Wiki!B:B,0))</f>
        <v>My_Cousin_Rachel_(2017_film)</v>
      </c>
      <c r="N176" s="1" t="str">
        <f>IFERROR(M176,INDEX(Wiki!K:K,MATCH('BOM2017'!D176,Wiki!B:B,0)))</f>
        <v>My_Cousin_Rachel_(2017_film)</v>
      </c>
    </row>
    <row r="177" spans="2:14" x14ac:dyDescent="0.2">
      <c r="B177" s="6">
        <v>172</v>
      </c>
      <c r="C177" s="3" t="s">
        <v>1151</v>
      </c>
      <c r="D177" t="e">
        <f t="shared" si="2"/>
        <v>#VALUE!</v>
      </c>
      <c r="E177" s="3" t="s">
        <v>1152</v>
      </c>
      <c r="F177" s="7" t="s">
        <v>1153</v>
      </c>
      <c r="G177" s="6">
        <v>532</v>
      </c>
      <c r="H177" s="6" t="s">
        <v>1153</v>
      </c>
      <c r="I177" s="6">
        <v>532</v>
      </c>
      <c r="J177" s="4">
        <v>43338</v>
      </c>
      <c r="K177" s="8">
        <v>43338</v>
      </c>
      <c r="L177" s="1" t="e">
        <f>IF(MATCH(C177,Wiki!B:B,0)&lt;&gt;0,TRUE,FALSE)</f>
        <v>#N/A</v>
      </c>
      <c r="M177" s="1" t="e">
        <f>INDEX(Wiki!K:K,MATCH('BOM2017'!C177,Wiki!B:B,0))</f>
        <v>#N/A</v>
      </c>
      <c r="N177" s="1" t="e">
        <f>IFERROR(M177,INDEX(Wiki!K:K,MATCH('BOM2017'!D177,Wiki!B:B,0)))</f>
        <v>#VALUE!</v>
      </c>
    </row>
    <row r="178" spans="2:14" x14ac:dyDescent="0.2">
      <c r="B178" s="6">
        <v>173</v>
      </c>
      <c r="C178" s="3" t="s">
        <v>1154</v>
      </c>
      <c r="D178" t="e">
        <f t="shared" si="2"/>
        <v>#VALUE!</v>
      </c>
      <c r="E178" s="3" t="s">
        <v>961</v>
      </c>
      <c r="F178" s="7" t="s">
        <v>1155</v>
      </c>
      <c r="G178" s="6">
        <v>661</v>
      </c>
      <c r="H178" s="6" t="s">
        <v>1156</v>
      </c>
      <c r="I178" s="6">
        <v>661</v>
      </c>
      <c r="J178" s="4">
        <v>43372</v>
      </c>
      <c r="K178" s="8">
        <v>43448</v>
      </c>
      <c r="L178" s="1" t="e">
        <f>IF(MATCH(C178,Wiki!B:B,0)&lt;&gt;0,TRUE,FALSE)</f>
        <v>#N/A</v>
      </c>
      <c r="M178" s="1" t="e">
        <f>INDEX(Wiki!K:K,MATCH('BOM2017'!C178,Wiki!B:B,0))</f>
        <v>#N/A</v>
      </c>
      <c r="N178" s="1" t="e">
        <f>IFERROR(M178,INDEX(Wiki!K:K,MATCH('BOM2017'!D178,Wiki!B:B,0)))</f>
        <v>#VALUE!</v>
      </c>
    </row>
    <row r="179" spans="2:14" x14ac:dyDescent="0.2">
      <c r="B179" s="6">
        <v>174</v>
      </c>
      <c r="C179" s="3" t="s">
        <v>1157</v>
      </c>
      <c r="D179" t="e">
        <f t="shared" si="2"/>
        <v>#VALUE!</v>
      </c>
      <c r="E179" s="3" t="s">
        <v>1152</v>
      </c>
      <c r="F179" s="7" t="s">
        <v>1158</v>
      </c>
      <c r="G179" s="6">
        <v>704</v>
      </c>
      <c r="H179" s="6" t="s">
        <v>1159</v>
      </c>
      <c r="I179" s="6" t="s">
        <v>1159</v>
      </c>
      <c r="J179" s="4">
        <v>43154</v>
      </c>
      <c r="K179" s="8">
        <v>43176</v>
      </c>
      <c r="L179" s="1" t="e">
        <f>IF(MATCH(C179,Wiki!B:B,0)&lt;&gt;0,TRUE,FALSE)</f>
        <v>#N/A</v>
      </c>
      <c r="M179" s="1" t="e">
        <f>INDEX(Wiki!K:K,MATCH('BOM2017'!C179,Wiki!B:B,0))</f>
        <v>#N/A</v>
      </c>
      <c r="N179" s="1" t="e">
        <f>IFERROR(M179,INDEX(Wiki!K:K,MATCH('BOM2017'!D179,Wiki!B:B,0)))</f>
        <v>#VALUE!</v>
      </c>
    </row>
    <row r="180" spans="2:14" x14ac:dyDescent="0.2">
      <c r="B180" s="6">
        <v>175</v>
      </c>
      <c r="C180" s="3" t="s">
        <v>1160</v>
      </c>
      <c r="D180" t="e">
        <f t="shared" si="2"/>
        <v>#VALUE!</v>
      </c>
      <c r="E180" s="3" t="s">
        <v>1152</v>
      </c>
      <c r="F180" s="7" t="s">
        <v>1161</v>
      </c>
      <c r="G180" s="6">
        <v>780</v>
      </c>
      <c r="H180" s="6" t="s">
        <v>1162</v>
      </c>
      <c r="I180" s="6">
        <v>780</v>
      </c>
      <c r="J180" s="4">
        <v>43149</v>
      </c>
      <c r="K180" s="8">
        <v>43154</v>
      </c>
      <c r="L180" s="1" t="e">
        <f>IF(MATCH(C180,Wiki!B:B,0)&lt;&gt;0,TRUE,FALSE)</f>
        <v>#N/A</v>
      </c>
      <c r="M180" s="1" t="e">
        <f>INDEX(Wiki!K:K,MATCH('BOM2017'!C180,Wiki!B:B,0))</f>
        <v>#N/A</v>
      </c>
      <c r="N180" s="1" t="e">
        <f>IFERROR(M180,INDEX(Wiki!K:K,MATCH('BOM2017'!D180,Wiki!B:B,0)))</f>
        <v>#VALUE!</v>
      </c>
    </row>
    <row r="181" spans="2:14" x14ac:dyDescent="0.2">
      <c r="B181" s="6">
        <v>176</v>
      </c>
      <c r="C181" s="3" t="s">
        <v>1163</v>
      </c>
      <c r="D181" t="e">
        <f t="shared" si="2"/>
        <v>#VALUE!</v>
      </c>
      <c r="E181" s="3" t="s">
        <v>1152</v>
      </c>
      <c r="F181" s="7" t="s">
        <v>1164</v>
      </c>
      <c r="G181" s="6">
        <v>733</v>
      </c>
      <c r="H181" s="6" t="s">
        <v>1159</v>
      </c>
      <c r="I181" s="6" t="s">
        <v>1159</v>
      </c>
      <c r="J181" s="4">
        <v>43243</v>
      </c>
      <c r="K181" s="8">
        <v>43257</v>
      </c>
      <c r="L181" s="1" t="e">
        <f>IF(MATCH(C181,Wiki!B:B,0)&lt;&gt;0,TRUE,FALSE)</f>
        <v>#N/A</v>
      </c>
      <c r="M181" s="1" t="e">
        <f>INDEX(Wiki!K:K,MATCH('BOM2017'!C181,Wiki!B:B,0))</f>
        <v>#N/A</v>
      </c>
      <c r="N181" s="1" t="e">
        <f>IFERROR(M181,INDEX(Wiki!K:K,MATCH('BOM2017'!D181,Wiki!B:B,0)))</f>
        <v>#VALUE!</v>
      </c>
    </row>
    <row r="182" spans="2:14" x14ac:dyDescent="0.2">
      <c r="B182" s="6">
        <v>177</v>
      </c>
      <c r="C182" s="3" t="s">
        <v>1165</v>
      </c>
      <c r="D182" t="str">
        <f t="shared" si="2"/>
        <v>Hazlo Como Hombre</v>
      </c>
      <c r="E182" s="3" t="s">
        <v>838</v>
      </c>
      <c r="F182" s="7" t="s">
        <v>1166</v>
      </c>
      <c r="G182" s="6">
        <v>382</v>
      </c>
      <c r="H182" s="6" t="s">
        <v>1167</v>
      </c>
      <c r="I182" s="6">
        <v>382</v>
      </c>
      <c r="J182" s="4">
        <v>43344</v>
      </c>
      <c r="K182" s="8">
        <v>43378</v>
      </c>
      <c r="L182" s="1" t="e">
        <f>IF(MATCH(C182,Wiki!B:B,0)&lt;&gt;0,TRUE,FALSE)</f>
        <v>#N/A</v>
      </c>
      <c r="M182" s="1" t="e">
        <f>INDEX(Wiki!K:K,MATCH('BOM2017'!C182,Wiki!B:B,0))</f>
        <v>#N/A</v>
      </c>
      <c r="N182" s="1" t="e">
        <f>IFERROR(M182,INDEX(Wiki!K:K,MATCH('BOM2017'!D182,Wiki!B:B,0)))</f>
        <v>#N/A</v>
      </c>
    </row>
    <row r="183" spans="2:14" x14ac:dyDescent="0.2">
      <c r="B183" s="6">
        <v>178</v>
      </c>
      <c r="C183" s="3" t="s">
        <v>1168</v>
      </c>
      <c r="D183" t="e">
        <f t="shared" si="2"/>
        <v>#VALUE!</v>
      </c>
      <c r="E183" s="3" t="s">
        <v>1169</v>
      </c>
      <c r="F183" s="7" t="s">
        <v>1170</v>
      </c>
      <c r="G183" s="6">
        <v>659</v>
      </c>
      <c r="H183" s="6" t="s">
        <v>1171</v>
      </c>
      <c r="I183" s="6">
        <v>659</v>
      </c>
      <c r="J183" s="4">
        <v>43407</v>
      </c>
      <c r="K183" s="8">
        <v>43455</v>
      </c>
      <c r="L183" s="1" t="e">
        <f>IF(MATCH(C183,Wiki!B:B,0)&lt;&gt;0,TRUE,FALSE)</f>
        <v>#N/A</v>
      </c>
      <c r="M183" s="1" t="e">
        <f>INDEX(Wiki!K:K,MATCH('BOM2017'!C183,Wiki!B:B,0))</f>
        <v>#N/A</v>
      </c>
      <c r="N183" s="1" t="e">
        <f>IFERROR(M183,INDEX(Wiki!K:K,MATCH('BOM2017'!D183,Wiki!B:B,0)))</f>
        <v>#VALUE!</v>
      </c>
    </row>
    <row r="184" spans="2:14" x14ac:dyDescent="0.2">
      <c r="B184" s="6">
        <v>179</v>
      </c>
      <c r="C184" s="3" t="s">
        <v>379</v>
      </c>
      <c r="D184" t="str">
        <f t="shared" si="2"/>
        <v/>
      </c>
      <c r="E184" s="3" t="s">
        <v>820</v>
      </c>
      <c r="F184" s="7" t="s">
        <v>1172</v>
      </c>
      <c r="G184" s="6">
        <v>772</v>
      </c>
      <c r="H184" s="6" t="s">
        <v>1173</v>
      </c>
      <c r="I184" s="6">
        <v>765</v>
      </c>
      <c r="J184" s="4">
        <v>43344</v>
      </c>
      <c r="K184" s="8">
        <v>43420</v>
      </c>
      <c r="L184" s="1" t="b">
        <f>IF(MATCH(C184,Wiki!B:B,0)&lt;&gt;0,TRUE,FALSE)</f>
        <v>1</v>
      </c>
      <c r="M184" s="1" t="str">
        <f>INDEX(Wiki!K:K,MATCH('BOM2017'!C184,Wiki!B:B,0))</f>
        <v>Tulip_Fever</v>
      </c>
      <c r="N184" s="1" t="str">
        <f>IFERROR(M184,INDEX(Wiki!K:K,MATCH('BOM2017'!D184,Wiki!B:B,0)))</f>
        <v>Tulip_Fever</v>
      </c>
    </row>
    <row r="185" spans="2:14" x14ac:dyDescent="0.2">
      <c r="B185" s="6">
        <v>180</v>
      </c>
      <c r="C185" s="3" t="s">
        <v>1174</v>
      </c>
      <c r="D185" t="e">
        <f t="shared" si="2"/>
        <v>#VALUE!</v>
      </c>
      <c r="E185" s="3" t="s">
        <v>1175</v>
      </c>
      <c r="F185" s="7" t="s">
        <v>1176</v>
      </c>
      <c r="G185" s="6">
        <v>115</v>
      </c>
      <c r="H185" s="6" t="s">
        <v>1177</v>
      </c>
      <c r="I185" s="6">
        <v>3</v>
      </c>
      <c r="J185" s="4">
        <v>43127</v>
      </c>
      <c r="K185" s="8">
        <v>43206</v>
      </c>
      <c r="L185" s="1" t="e">
        <f>IF(MATCH(C185,Wiki!B:B,0)&lt;&gt;0,TRUE,FALSE)</f>
        <v>#N/A</v>
      </c>
      <c r="M185" s="1" t="e">
        <f>INDEX(Wiki!K:K,MATCH('BOM2017'!C185,Wiki!B:B,0))</f>
        <v>#N/A</v>
      </c>
      <c r="N185" s="1" t="e">
        <f>IFERROR(M185,INDEX(Wiki!K:K,MATCH('BOM2017'!D185,Wiki!B:B,0)))</f>
        <v>#VALUE!</v>
      </c>
    </row>
    <row r="186" spans="2:14" x14ac:dyDescent="0.2">
      <c r="B186" s="6">
        <v>181</v>
      </c>
      <c r="C186" s="3" t="s">
        <v>1178</v>
      </c>
      <c r="D186" t="e">
        <f t="shared" si="2"/>
        <v>#VALUE!</v>
      </c>
      <c r="E186" s="3" t="s">
        <v>660</v>
      </c>
      <c r="F186" s="7" t="s">
        <v>1179</v>
      </c>
      <c r="G186" s="6">
        <v>331</v>
      </c>
      <c r="H186" s="6" t="s">
        <v>1180</v>
      </c>
      <c r="I186" s="6">
        <v>5</v>
      </c>
      <c r="J186" s="4">
        <v>43176</v>
      </c>
      <c r="K186" s="8">
        <v>43245</v>
      </c>
      <c r="L186" s="1" t="e">
        <f>IF(MATCH(C186,Wiki!B:B,0)&lt;&gt;0,TRUE,FALSE)</f>
        <v>#N/A</v>
      </c>
      <c r="M186" s="1" t="e">
        <f>INDEX(Wiki!K:K,MATCH('BOM2017'!C186,Wiki!B:B,0))</f>
        <v>#N/A</v>
      </c>
      <c r="N186" s="1" t="e">
        <f>IFERROR(M186,INDEX(Wiki!K:K,MATCH('BOM2017'!D186,Wiki!B:B,0)))</f>
        <v>#VALUE!</v>
      </c>
    </row>
    <row r="187" spans="2:14" x14ac:dyDescent="0.2">
      <c r="B187" s="6">
        <v>182</v>
      </c>
      <c r="C187" s="3" t="s">
        <v>1181</v>
      </c>
      <c r="D187" t="e">
        <f t="shared" si="2"/>
        <v>#VALUE!</v>
      </c>
      <c r="E187" s="3" t="s">
        <v>1152</v>
      </c>
      <c r="F187" s="7" t="s">
        <v>1182</v>
      </c>
      <c r="G187" s="6">
        <v>789</v>
      </c>
      <c r="H187" s="6" t="s">
        <v>1159</v>
      </c>
      <c r="I187" s="6" t="s">
        <v>1159</v>
      </c>
      <c r="J187" s="4">
        <v>43409</v>
      </c>
      <c r="K187" s="8">
        <v>43420</v>
      </c>
      <c r="L187" s="1" t="e">
        <f>IF(MATCH(C187,Wiki!B:B,0)&lt;&gt;0,TRUE,FALSE)</f>
        <v>#N/A</v>
      </c>
      <c r="M187" s="1" t="e">
        <f>INDEX(Wiki!K:K,MATCH('BOM2017'!C187,Wiki!B:B,0))</f>
        <v>#N/A</v>
      </c>
      <c r="N187" s="1" t="e">
        <f>IFERROR(M187,INDEX(Wiki!K:K,MATCH('BOM2017'!D187,Wiki!B:B,0)))</f>
        <v>#VALUE!</v>
      </c>
    </row>
    <row r="188" spans="2:14" x14ac:dyDescent="0.2">
      <c r="B188" s="6">
        <v>183</v>
      </c>
      <c r="C188" s="3" t="s">
        <v>433</v>
      </c>
      <c r="D188" t="str">
        <f t="shared" si="2"/>
        <v/>
      </c>
      <c r="E188" s="3" t="s">
        <v>1183</v>
      </c>
      <c r="F188" s="7" t="s">
        <v>1184</v>
      </c>
      <c r="G188" s="6">
        <v>669</v>
      </c>
      <c r="H188" s="6" t="s">
        <v>1185</v>
      </c>
      <c r="I188" s="6">
        <v>10</v>
      </c>
      <c r="J188" s="4">
        <v>43369</v>
      </c>
      <c r="K188" s="8">
        <v>43378</v>
      </c>
      <c r="L188" s="1" t="b">
        <f>IF(MATCH(C188,Wiki!B:B,0)&lt;&gt;0,TRUE,FALSE)</f>
        <v>1</v>
      </c>
      <c r="M188" s="1" t="str">
        <f>INDEX(Wiki!K:K,MATCH('BOM2017'!C188,Wiki!B:B,0))</f>
        <v>Jeepers_Creepers_3</v>
      </c>
      <c r="N188" s="1" t="str">
        <f>IFERROR(M188,INDEX(Wiki!K:K,MATCH('BOM2017'!D188,Wiki!B:B,0)))</f>
        <v>Jeepers_Creepers_3</v>
      </c>
    </row>
    <row r="189" spans="2:14" x14ac:dyDescent="0.2">
      <c r="B189" s="6">
        <v>184</v>
      </c>
      <c r="C189" s="3" t="s">
        <v>1186</v>
      </c>
      <c r="D189" t="e">
        <f t="shared" si="2"/>
        <v>#VALUE!</v>
      </c>
      <c r="E189" s="3" t="s">
        <v>1000</v>
      </c>
      <c r="F189" s="7" t="s">
        <v>1187</v>
      </c>
      <c r="G189" s="6">
        <v>890</v>
      </c>
      <c r="H189" s="6" t="s">
        <v>1188</v>
      </c>
      <c r="I189" s="6">
        <v>890</v>
      </c>
      <c r="J189" s="4">
        <v>43120</v>
      </c>
      <c r="K189" s="8">
        <v>43140</v>
      </c>
      <c r="L189" s="1" t="e">
        <f>IF(MATCH(C189,Wiki!B:B,0)&lt;&gt;0,TRUE,FALSE)</f>
        <v>#N/A</v>
      </c>
      <c r="M189" s="1" t="e">
        <f>INDEX(Wiki!K:K,MATCH('BOM2017'!C189,Wiki!B:B,0))</f>
        <v>#N/A</v>
      </c>
      <c r="N189" s="1" t="e">
        <f>IFERROR(M189,INDEX(Wiki!K:K,MATCH('BOM2017'!D189,Wiki!B:B,0)))</f>
        <v>#VALUE!</v>
      </c>
    </row>
    <row r="190" spans="2:14" x14ac:dyDescent="0.2">
      <c r="B190" s="6">
        <v>185</v>
      </c>
      <c r="C190" s="3" t="s">
        <v>472</v>
      </c>
      <c r="D190" t="str">
        <f t="shared" si="2"/>
        <v/>
      </c>
      <c r="E190" s="3" t="s">
        <v>38</v>
      </c>
      <c r="F190" s="7" t="s">
        <v>1189</v>
      </c>
      <c r="G190" s="6">
        <v>238</v>
      </c>
      <c r="H190" s="6" t="s">
        <v>1190</v>
      </c>
      <c r="I190" s="6">
        <v>4</v>
      </c>
      <c r="J190" s="4">
        <v>43393</v>
      </c>
      <c r="K190" s="6" t="s">
        <v>558</v>
      </c>
      <c r="L190" s="1" t="b">
        <f>IF(MATCH(C190,Wiki!B:B,0)&lt;&gt;0,TRUE,FALSE)</f>
        <v>1</v>
      </c>
      <c r="M190" s="1" t="str">
        <f>INDEX(Wiki!K:K,MATCH('BOM2017'!C190,Wiki!B:B,0))</f>
        <v>The_Killing_of_a_Sacred_Deer</v>
      </c>
      <c r="N190" s="1" t="str">
        <f>IFERROR(M190,INDEX(Wiki!K:K,MATCH('BOM2017'!D190,Wiki!B:B,0)))</f>
        <v>The_Killing_of_a_Sacred_Deer</v>
      </c>
    </row>
    <row r="191" spans="2:14" x14ac:dyDescent="0.2">
      <c r="B191" s="6">
        <v>186</v>
      </c>
      <c r="C191" s="3" t="s">
        <v>127</v>
      </c>
      <c r="D191" t="str">
        <f t="shared" si="2"/>
        <v/>
      </c>
      <c r="E191" s="3" t="s">
        <v>863</v>
      </c>
      <c r="F191" s="7" t="s">
        <v>1191</v>
      </c>
      <c r="G191" s="6" t="s">
        <v>1192</v>
      </c>
      <c r="H191" s="6" t="s">
        <v>1193</v>
      </c>
      <c r="I191" s="6" t="s">
        <v>1192</v>
      </c>
      <c r="J191" s="4">
        <v>43155</v>
      </c>
      <c r="K191" s="8">
        <v>43168</v>
      </c>
      <c r="L191" s="1" t="b">
        <f>IF(MATCH(C191,Wiki!B:B,0)&lt;&gt;0,TRUE,FALSE)</f>
        <v>1</v>
      </c>
      <c r="M191" s="1" t="str">
        <f>INDEX(Wiki!K:K,MATCH('BOM2017'!C191,Wiki!B:B,0))</f>
        <v>Collide_(film)</v>
      </c>
      <c r="N191" s="1" t="str">
        <f>IFERROR(M191,INDEX(Wiki!K:K,MATCH('BOM2017'!D191,Wiki!B:B,0)))</f>
        <v>Collide_(film)</v>
      </c>
    </row>
    <row r="192" spans="2:14" x14ac:dyDescent="0.2">
      <c r="B192" s="6">
        <v>187</v>
      </c>
      <c r="C192" s="3" t="s">
        <v>246</v>
      </c>
      <c r="D192" t="str">
        <f t="shared" si="2"/>
        <v/>
      </c>
      <c r="E192" s="3" t="s">
        <v>38</v>
      </c>
      <c r="F192" s="7" t="s">
        <v>1194</v>
      </c>
      <c r="G192" s="6">
        <v>443</v>
      </c>
      <c r="H192" s="6" t="s">
        <v>1195</v>
      </c>
      <c r="I192" s="6">
        <v>4</v>
      </c>
      <c r="J192" s="4">
        <v>43225</v>
      </c>
      <c r="K192" s="8">
        <v>43297</v>
      </c>
      <c r="L192" s="1" t="b">
        <f>IF(MATCH(C192,Wiki!B:B,0)&lt;&gt;0,TRUE,FALSE)</f>
        <v>1</v>
      </c>
      <c r="M192" s="1" t="str">
        <f>INDEX(Wiki!K:K,MATCH('BOM2017'!C192,Wiki!B:B,0))</f>
        <v>The_Lovers_(2017_film)</v>
      </c>
      <c r="N192" s="1" t="str">
        <f>IFERROR(M192,INDEX(Wiki!K:K,MATCH('BOM2017'!D192,Wiki!B:B,0)))</f>
        <v>The_Lovers_(2017_film)</v>
      </c>
    </row>
    <row r="193" spans="2:14" x14ac:dyDescent="0.2">
      <c r="B193" s="6">
        <v>188</v>
      </c>
      <c r="C193" s="3" t="s">
        <v>1196</v>
      </c>
      <c r="D193" t="e">
        <f t="shared" si="2"/>
        <v>#VALUE!</v>
      </c>
      <c r="E193" s="3" t="s">
        <v>838</v>
      </c>
      <c r="F193" s="7" t="s">
        <v>1197</v>
      </c>
      <c r="G193" s="6">
        <v>312</v>
      </c>
      <c r="H193" s="6" t="s">
        <v>1198</v>
      </c>
      <c r="I193" s="6">
        <v>312</v>
      </c>
      <c r="J193" s="4">
        <v>43127</v>
      </c>
      <c r="K193" s="8">
        <v>43168</v>
      </c>
      <c r="L193" s="1" t="e">
        <f>IF(MATCH(C193,Wiki!B:B,0)&lt;&gt;0,TRUE,FALSE)</f>
        <v>#N/A</v>
      </c>
      <c r="M193" s="1" t="e">
        <f>INDEX(Wiki!K:K,MATCH('BOM2017'!C193,Wiki!B:B,0))</f>
        <v>#N/A</v>
      </c>
      <c r="N193" s="1" t="e">
        <f>IFERROR(M193,INDEX(Wiki!K:K,MATCH('BOM2017'!D193,Wiki!B:B,0)))</f>
        <v>#VALUE!</v>
      </c>
    </row>
    <row r="194" spans="2:14" x14ac:dyDescent="0.2">
      <c r="B194" s="6">
        <v>189</v>
      </c>
      <c r="C194" s="3" t="s">
        <v>414</v>
      </c>
      <c r="D194" t="str">
        <f t="shared" si="2"/>
        <v/>
      </c>
      <c r="E194" s="3" t="s">
        <v>955</v>
      </c>
      <c r="F194" s="7" t="s">
        <v>1199</v>
      </c>
      <c r="G194" s="6">
        <v>453</v>
      </c>
      <c r="H194" s="6" t="s">
        <v>1200</v>
      </c>
      <c r="I194" s="6">
        <v>4</v>
      </c>
      <c r="J194" s="4">
        <v>43358</v>
      </c>
      <c r="K194" s="8">
        <v>43399</v>
      </c>
      <c r="L194" s="1" t="b">
        <f>IF(MATCH(C194,Wiki!B:B,0)&lt;&gt;0,TRUE,FALSE)</f>
        <v>1</v>
      </c>
      <c r="M194" s="1" t="str">
        <f>INDEX(Wiki!K:K,MATCH('BOM2017'!C194,Wiki!B:B,0))</f>
        <v>Brad%27s_Status</v>
      </c>
      <c r="N194" s="1" t="str">
        <f>IFERROR(M194,INDEX(Wiki!K:K,MATCH('BOM2017'!D194,Wiki!B:B,0)))</f>
        <v>Brad%27s_Status</v>
      </c>
    </row>
    <row r="195" spans="2:14" x14ac:dyDescent="0.2">
      <c r="B195" s="6">
        <v>190</v>
      </c>
      <c r="C195" s="3" t="s">
        <v>362</v>
      </c>
      <c r="D195" t="str">
        <f t="shared" si="2"/>
        <v/>
      </c>
      <c r="E195" s="3" t="s">
        <v>38</v>
      </c>
      <c r="F195" s="7" t="s">
        <v>1201</v>
      </c>
      <c r="G195" s="6">
        <v>721</v>
      </c>
      <c r="H195" s="6" t="s">
        <v>1202</v>
      </c>
      <c r="I195" s="6">
        <v>4</v>
      </c>
      <c r="J195" s="4">
        <v>43323</v>
      </c>
      <c r="K195" s="8">
        <v>43416</v>
      </c>
      <c r="L195" s="1" t="b">
        <f>IF(MATCH(C195,Wiki!B:B,0)&lt;&gt;0,TRUE,FALSE)</f>
        <v>1</v>
      </c>
      <c r="M195" s="1" t="str">
        <f>INDEX(Wiki!K:K,MATCH('BOM2017'!C195,Wiki!B:B,0))</f>
        <v>Good_Time_(film)</v>
      </c>
      <c r="N195" s="1" t="str">
        <f>IFERROR(M195,INDEX(Wiki!K:K,MATCH('BOM2017'!D195,Wiki!B:B,0)))</f>
        <v>Good_Time_(film)</v>
      </c>
    </row>
    <row r="196" spans="2:14" x14ac:dyDescent="0.2">
      <c r="B196" s="6">
        <v>191</v>
      </c>
      <c r="C196" s="3" t="s">
        <v>1203</v>
      </c>
      <c r="D196" t="e">
        <f t="shared" si="2"/>
        <v>#VALUE!</v>
      </c>
      <c r="E196" s="3" t="s">
        <v>1204</v>
      </c>
      <c r="F196" s="7" t="s">
        <v>1205</v>
      </c>
      <c r="G196" s="6">
        <v>156</v>
      </c>
      <c r="H196" s="6" t="s">
        <v>1206</v>
      </c>
      <c r="I196" s="6">
        <v>152</v>
      </c>
      <c r="J196" s="4">
        <v>43169</v>
      </c>
      <c r="K196" s="8">
        <v>43203</v>
      </c>
      <c r="L196" s="1" t="e">
        <f>IF(MATCH(C196,Wiki!B:B,0)&lt;&gt;0,TRUE,FALSE)</f>
        <v>#N/A</v>
      </c>
      <c r="M196" s="1" t="e">
        <f>INDEX(Wiki!K:K,MATCH('BOM2017'!C196,Wiki!B:B,0))</f>
        <v>#N/A</v>
      </c>
      <c r="N196" s="1" t="e">
        <f>IFERROR(M196,INDEX(Wiki!K:K,MATCH('BOM2017'!D196,Wiki!B:B,0)))</f>
        <v>#VALUE!</v>
      </c>
    </row>
    <row r="197" spans="2:14" x14ac:dyDescent="0.2">
      <c r="B197" s="6">
        <v>192</v>
      </c>
      <c r="C197" s="3" t="s">
        <v>113</v>
      </c>
      <c r="D197" t="str">
        <f t="shared" si="2"/>
        <v/>
      </c>
      <c r="E197" s="3" t="s">
        <v>838</v>
      </c>
      <c r="F197" s="7" t="s">
        <v>1207</v>
      </c>
      <c r="G197" s="6">
        <v>333</v>
      </c>
      <c r="H197" s="6" t="s">
        <v>1208</v>
      </c>
      <c r="I197" s="6">
        <v>333</v>
      </c>
      <c r="J197" s="4">
        <v>43148</v>
      </c>
      <c r="K197" s="8">
        <v>43182</v>
      </c>
      <c r="L197" s="1" t="b">
        <f>IF(MATCH(C197,Wiki!B:B,0)&lt;&gt;0,TRUE,FALSE)</f>
        <v>1</v>
      </c>
      <c r="M197" s="1" t="str">
        <f>INDEX(Wiki!K:K,MATCH('BOM2017'!C197,Wiki!B:B,0))</f>
        <v>Everybody_Loves_Somebody_(film)</v>
      </c>
      <c r="N197" s="1" t="str">
        <f>IFERROR(M197,INDEX(Wiki!K:K,MATCH('BOM2017'!D197,Wiki!B:B,0)))</f>
        <v>Everybody_Loves_Somebody_(film)</v>
      </c>
    </row>
    <row r="198" spans="2:14" x14ac:dyDescent="0.2">
      <c r="B198" s="6">
        <v>193</v>
      </c>
      <c r="C198" s="3" t="s">
        <v>1209</v>
      </c>
      <c r="D198" t="str">
        <f t="shared" ref="D198:D261" si="3">IF(ISERROR(M198),TRIM(LEFT(C198,FIND("(",C198)-1)),"")</f>
        <v>Youth</v>
      </c>
      <c r="E198" s="3" t="s">
        <v>1210</v>
      </c>
      <c r="F198" s="7" t="s">
        <v>1211</v>
      </c>
      <c r="G198" s="6">
        <v>35</v>
      </c>
      <c r="H198" s="6" t="s">
        <v>1212</v>
      </c>
      <c r="I198" s="6">
        <v>30</v>
      </c>
      <c r="J198" s="4">
        <v>43449</v>
      </c>
      <c r="K198" s="6" t="s">
        <v>558</v>
      </c>
      <c r="L198" s="1" t="e">
        <f>IF(MATCH(C198,Wiki!B:B,0)&lt;&gt;0,TRUE,FALSE)</f>
        <v>#N/A</v>
      </c>
      <c r="M198" s="1" t="e">
        <f>INDEX(Wiki!K:K,MATCH('BOM2017'!C198,Wiki!B:B,0))</f>
        <v>#N/A</v>
      </c>
      <c r="N198" s="1" t="e">
        <f>IFERROR(M198,INDEX(Wiki!K:K,MATCH('BOM2017'!D198,Wiki!B:B,0)))</f>
        <v>#N/A</v>
      </c>
    </row>
    <row r="199" spans="2:14" x14ac:dyDescent="0.2">
      <c r="B199" s="6">
        <v>194</v>
      </c>
      <c r="C199" s="3" t="s">
        <v>219</v>
      </c>
      <c r="D199" t="str">
        <f t="shared" si="3"/>
        <v/>
      </c>
      <c r="E199" s="3" t="s">
        <v>1213</v>
      </c>
      <c r="F199" s="7" t="s">
        <v>1214</v>
      </c>
      <c r="G199" s="6">
        <v>135</v>
      </c>
      <c r="H199" s="6" t="s">
        <v>1215</v>
      </c>
      <c r="I199" s="6">
        <v>6</v>
      </c>
      <c r="J199" s="4">
        <v>43204</v>
      </c>
      <c r="K199" s="8">
        <v>43294</v>
      </c>
      <c r="L199" s="1" t="b">
        <f>IF(MATCH(C199,Wiki!B:B,0)&lt;&gt;0,TRUE,FALSE)</f>
        <v>1</v>
      </c>
      <c r="M199" s="1" t="str">
        <f>INDEX(Wiki!K:K,MATCH('BOM2017'!C199,Wiki!B:B,0))</f>
        <v>A_Quiet_Passion</v>
      </c>
      <c r="N199" s="1" t="str">
        <f>IFERROR(M199,INDEX(Wiki!K:K,MATCH('BOM2017'!D199,Wiki!B:B,0)))</f>
        <v>A_Quiet_Passion</v>
      </c>
    </row>
    <row r="200" spans="2:14" x14ac:dyDescent="0.2">
      <c r="B200" s="6">
        <v>195</v>
      </c>
      <c r="C200" s="3" t="s">
        <v>1216</v>
      </c>
      <c r="D200" t="e">
        <f t="shared" si="3"/>
        <v>#VALUE!</v>
      </c>
      <c r="E200" s="3" t="s">
        <v>1217</v>
      </c>
      <c r="F200" s="7" t="s">
        <v>1218</v>
      </c>
      <c r="G200" s="6">
        <v>178</v>
      </c>
      <c r="H200" s="6" t="s">
        <v>1219</v>
      </c>
      <c r="I200" s="6">
        <v>178</v>
      </c>
      <c r="J200" s="4">
        <v>43323</v>
      </c>
      <c r="K200" s="8">
        <v>43350</v>
      </c>
      <c r="L200" s="1" t="e">
        <f>IF(MATCH(C200,Wiki!B:B,0)&lt;&gt;0,TRUE,FALSE)</f>
        <v>#N/A</v>
      </c>
      <c r="M200" s="1" t="e">
        <f>INDEX(Wiki!K:K,MATCH('BOM2017'!C200,Wiki!B:B,0))</f>
        <v>#N/A</v>
      </c>
      <c r="N200" s="1" t="e">
        <f>IFERROR(M200,INDEX(Wiki!K:K,MATCH('BOM2017'!D200,Wiki!B:B,0)))</f>
        <v>#VALUE!</v>
      </c>
    </row>
    <row r="201" spans="2:14" x14ac:dyDescent="0.2">
      <c r="B201" s="6">
        <v>196</v>
      </c>
      <c r="C201" s="3" t="s">
        <v>259</v>
      </c>
      <c r="D201" t="str">
        <f t="shared" si="3"/>
        <v/>
      </c>
      <c r="E201" s="3" t="s">
        <v>1043</v>
      </c>
      <c r="F201" s="7" t="s">
        <v>1220</v>
      </c>
      <c r="G201" s="6">
        <v>540</v>
      </c>
      <c r="H201" s="6" t="s">
        <v>1221</v>
      </c>
      <c r="I201" s="6">
        <v>540</v>
      </c>
      <c r="J201" s="4">
        <v>43232</v>
      </c>
      <c r="K201" s="8">
        <v>43273</v>
      </c>
      <c r="L201" s="1" t="b">
        <f>IF(MATCH(C201,Wiki!B:B,0)&lt;&gt;0,TRUE,FALSE)</f>
        <v>1</v>
      </c>
      <c r="M201" s="1" t="str">
        <f>INDEX(Wiki!K:K,MATCH('BOM2017'!C201,Wiki!B:B,0))</f>
        <v>The_Wall_(2017_film)</v>
      </c>
      <c r="N201" s="1" t="str">
        <f>IFERROR(M201,INDEX(Wiki!K:K,MATCH('BOM2017'!D201,Wiki!B:B,0)))</f>
        <v>The_Wall_(2017_film)</v>
      </c>
    </row>
    <row r="202" spans="2:14" x14ac:dyDescent="0.2">
      <c r="B202" s="6">
        <v>197</v>
      </c>
      <c r="C202" s="3" t="s">
        <v>225</v>
      </c>
      <c r="D202" t="str">
        <f t="shared" si="3"/>
        <v/>
      </c>
      <c r="E202" s="3" t="s">
        <v>38</v>
      </c>
      <c r="F202" s="7" t="s">
        <v>1222</v>
      </c>
      <c r="G202" s="6" t="s">
        <v>1223</v>
      </c>
      <c r="H202" s="6" t="s">
        <v>1224</v>
      </c>
      <c r="I202" s="6" t="s">
        <v>1223</v>
      </c>
      <c r="J202" s="4">
        <v>43211</v>
      </c>
      <c r="K202" s="8">
        <v>43238</v>
      </c>
      <c r="L202" s="1" t="b">
        <f>IF(MATCH(C202,Wiki!B:B,0)&lt;&gt;0,TRUE,FALSE)</f>
        <v>1</v>
      </c>
      <c r="M202" s="1" t="str">
        <f>INDEX(Wiki!K:K,MATCH('BOM2017'!C202,Wiki!B:B,0))</f>
        <v>Free_Fire</v>
      </c>
      <c r="N202" s="1" t="str">
        <f>IFERROR(M202,INDEX(Wiki!K:K,MATCH('BOM2017'!D202,Wiki!B:B,0)))</f>
        <v>Free_Fire</v>
      </c>
    </row>
    <row r="203" spans="2:14" x14ac:dyDescent="0.2">
      <c r="B203" s="6">
        <v>198</v>
      </c>
      <c r="C203" s="3" t="s">
        <v>142</v>
      </c>
      <c r="D203" t="str">
        <f t="shared" si="3"/>
        <v/>
      </c>
      <c r="E203" s="3" t="s">
        <v>869</v>
      </c>
      <c r="F203" s="7" t="s">
        <v>1225</v>
      </c>
      <c r="G203" s="6">
        <v>380</v>
      </c>
      <c r="H203" s="6" t="s">
        <v>1226</v>
      </c>
      <c r="I203" s="6">
        <v>4</v>
      </c>
      <c r="J203" s="4">
        <v>43162</v>
      </c>
      <c r="K203" s="8">
        <v>43245</v>
      </c>
      <c r="L203" s="1" t="b">
        <f>IF(MATCH(C203,Wiki!B:B,0)&lt;&gt;0,TRUE,FALSE)</f>
        <v>1</v>
      </c>
      <c r="M203" s="1" t="str">
        <f>INDEX(Wiki!K:K,MATCH('BOM2017'!C203,Wiki!B:B,0))</f>
        <v>The_Last_Word_(2017_film)</v>
      </c>
      <c r="N203" s="1" t="str">
        <f>IFERROR(M203,INDEX(Wiki!K:K,MATCH('BOM2017'!D203,Wiki!B:B,0)))</f>
        <v>The_Last_Word_(2017_film)</v>
      </c>
    </row>
    <row r="204" spans="2:14" x14ac:dyDescent="0.2">
      <c r="B204" s="6">
        <v>199</v>
      </c>
      <c r="C204" s="3" t="s">
        <v>423</v>
      </c>
      <c r="D204" t="str">
        <f t="shared" si="3"/>
        <v/>
      </c>
      <c r="E204" s="3" t="s">
        <v>830</v>
      </c>
      <c r="F204" s="7" t="s">
        <v>1227</v>
      </c>
      <c r="G204" s="6">
        <v>262</v>
      </c>
      <c r="H204" s="6" t="s">
        <v>1228</v>
      </c>
      <c r="I204" s="6">
        <v>9</v>
      </c>
      <c r="J204" s="4">
        <v>43386</v>
      </c>
      <c r="K204" s="8">
        <v>43455</v>
      </c>
      <c r="L204" s="1" t="b">
        <f>IF(MATCH(C204,Wiki!B:B,0)&lt;&gt;0,TRUE,FALSE)</f>
        <v>1</v>
      </c>
      <c r="M204" s="1" t="str">
        <f>INDEX(Wiki!K:K,MATCH('BOM2017'!C204,Wiki!B:B,0))</f>
        <v>Goodbye_Christopher_Robin</v>
      </c>
      <c r="N204" s="1" t="str">
        <f>IFERROR(M204,INDEX(Wiki!K:K,MATCH('BOM2017'!D204,Wiki!B:B,0)))</f>
        <v>Goodbye_Christopher_Robin</v>
      </c>
    </row>
    <row r="205" spans="2:14" x14ac:dyDescent="0.2">
      <c r="B205" s="6">
        <v>200</v>
      </c>
      <c r="C205" s="3" t="s">
        <v>347</v>
      </c>
      <c r="D205" t="str">
        <f t="shared" si="3"/>
        <v/>
      </c>
      <c r="E205" s="3" t="s">
        <v>38</v>
      </c>
      <c r="F205" s="7" t="s">
        <v>1229</v>
      </c>
      <c r="G205" s="6">
        <v>126</v>
      </c>
      <c r="H205" s="6" t="s">
        <v>1230</v>
      </c>
      <c r="I205" s="6">
        <v>3</v>
      </c>
      <c r="J205" s="4">
        <v>43309</v>
      </c>
      <c r="K205" s="8">
        <v>43392</v>
      </c>
      <c r="L205" s="1" t="b">
        <f>IF(MATCH(C205,Wiki!B:B,0)&lt;&gt;0,TRUE,FALSE)</f>
        <v>1</v>
      </c>
      <c r="M205" s="1" t="str">
        <f>INDEX(Wiki!K:K,MATCH('BOM2017'!C205,Wiki!B:B,0))</f>
        <v>Menashe_(film)</v>
      </c>
      <c r="N205" s="1" t="str">
        <f>IFERROR(M205,INDEX(Wiki!K:K,MATCH('BOM2017'!D205,Wiki!B:B,0)))</f>
        <v>Menashe_(film)</v>
      </c>
    </row>
    <row r="206" spans="2:14" x14ac:dyDescent="0.2">
      <c r="B206" s="6">
        <v>201</v>
      </c>
      <c r="C206" s="3" t="s">
        <v>1231</v>
      </c>
      <c r="D206" t="e">
        <f t="shared" si="3"/>
        <v>#VALUE!</v>
      </c>
      <c r="E206" s="3" t="s">
        <v>1232</v>
      </c>
      <c r="F206" s="7" t="s">
        <v>1233</v>
      </c>
      <c r="G206" s="6">
        <v>502</v>
      </c>
      <c r="H206" s="6" t="s">
        <v>1233</v>
      </c>
      <c r="I206" s="6">
        <v>502</v>
      </c>
      <c r="J206" s="4">
        <v>43183</v>
      </c>
      <c r="K206" s="8">
        <v>43185</v>
      </c>
      <c r="L206" s="1" t="e">
        <f>IF(MATCH(C206,Wiki!B:B,0)&lt;&gt;0,TRUE,FALSE)</f>
        <v>#N/A</v>
      </c>
      <c r="M206" s="1" t="e">
        <f>INDEX(Wiki!K:K,MATCH('BOM2017'!C206,Wiki!B:B,0))</f>
        <v>#N/A</v>
      </c>
      <c r="N206" s="1" t="e">
        <f>IFERROR(M206,INDEX(Wiki!K:K,MATCH('BOM2017'!D206,Wiki!B:B,0)))</f>
        <v>#VALUE!</v>
      </c>
    </row>
    <row r="207" spans="2:14" x14ac:dyDescent="0.2">
      <c r="B207" s="6">
        <v>202</v>
      </c>
      <c r="C207" s="3" t="s">
        <v>1234</v>
      </c>
      <c r="D207" t="e">
        <f t="shared" si="3"/>
        <v>#VALUE!</v>
      </c>
      <c r="E207" s="3" t="s">
        <v>1235</v>
      </c>
      <c r="F207" s="7" t="s">
        <v>1236</v>
      </c>
      <c r="G207" s="6">
        <v>35</v>
      </c>
      <c r="H207" s="6" t="s">
        <v>1237</v>
      </c>
      <c r="I207" s="6">
        <v>17</v>
      </c>
      <c r="J207" s="4">
        <v>43456</v>
      </c>
      <c r="K207" s="6" t="s">
        <v>558</v>
      </c>
      <c r="L207" s="1" t="e">
        <f>IF(MATCH(C207,Wiki!B:B,0)&lt;&gt;0,TRUE,FALSE)</f>
        <v>#N/A</v>
      </c>
      <c r="M207" s="1" t="e">
        <f>INDEX(Wiki!K:K,MATCH('BOM2017'!C207,Wiki!B:B,0))</f>
        <v>#N/A</v>
      </c>
      <c r="N207" s="1" t="e">
        <f>IFERROR(M207,INDEX(Wiki!K:K,MATCH('BOM2017'!D207,Wiki!B:B,0)))</f>
        <v>#VALUE!</v>
      </c>
    </row>
    <row r="208" spans="2:14" x14ac:dyDescent="0.2">
      <c r="B208" s="6">
        <v>203</v>
      </c>
      <c r="C208" s="3" t="s">
        <v>1238</v>
      </c>
      <c r="D208" t="e">
        <f t="shared" si="3"/>
        <v>#VALUE!</v>
      </c>
      <c r="E208" s="3" t="s">
        <v>1083</v>
      </c>
      <c r="F208" s="7" t="s">
        <v>1239</v>
      </c>
      <c r="G208" s="6">
        <v>280</v>
      </c>
      <c r="H208" s="6" t="s">
        <v>1240</v>
      </c>
      <c r="I208" s="6">
        <v>280</v>
      </c>
      <c r="J208" s="4">
        <v>43316</v>
      </c>
      <c r="K208" s="8">
        <v>43322</v>
      </c>
      <c r="L208" s="1" t="e">
        <f>IF(MATCH(C208,Wiki!B:B,0)&lt;&gt;0,TRUE,FALSE)</f>
        <v>#N/A</v>
      </c>
      <c r="M208" s="1" t="e">
        <f>INDEX(Wiki!K:K,MATCH('BOM2017'!C208,Wiki!B:B,0))</f>
        <v>#N/A</v>
      </c>
      <c r="N208" s="1" t="e">
        <f>IFERROR(M208,INDEX(Wiki!K:K,MATCH('BOM2017'!D208,Wiki!B:B,0)))</f>
        <v>#VALUE!</v>
      </c>
    </row>
    <row r="209" spans="2:14" x14ac:dyDescent="0.2">
      <c r="B209" s="6">
        <v>204</v>
      </c>
      <c r="C209" s="3" t="s">
        <v>1241</v>
      </c>
      <c r="D209" t="e">
        <f t="shared" si="3"/>
        <v>#VALUE!</v>
      </c>
      <c r="E209" s="3" t="s">
        <v>1204</v>
      </c>
      <c r="F209" s="7" t="s">
        <v>1242</v>
      </c>
      <c r="G209" s="6">
        <v>173</v>
      </c>
      <c r="H209" s="6" t="s">
        <v>1243</v>
      </c>
      <c r="I209" s="6">
        <v>173</v>
      </c>
      <c r="J209" s="4">
        <v>43141</v>
      </c>
      <c r="K209" s="8">
        <v>43161</v>
      </c>
      <c r="L209" s="1" t="e">
        <f>IF(MATCH(C209,Wiki!B:B,0)&lt;&gt;0,TRUE,FALSE)</f>
        <v>#N/A</v>
      </c>
      <c r="M209" s="1" t="e">
        <f>INDEX(Wiki!K:K,MATCH('BOM2017'!C209,Wiki!B:B,0))</f>
        <v>#N/A</v>
      </c>
      <c r="N209" s="1" t="e">
        <f>IFERROR(M209,INDEX(Wiki!K:K,MATCH('BOM2017'!D209,Wiki!B:B,0)))</f>
        <v>#VALUE!</v>
      </c>
    </row>
    <row r="210" spans="2:14" x14ac:dyDescent="0.2">
      <c r="B210" s="6">
        <v>205</v>
      </c>
      <c r="C210" s="3" t="s">
        <v>316</v>
      </c>
      <c r="D210" t="str">
        <f t="shared" si="3"/>
        <v/>
      </c>
      <c r="E210" s="3" t="s">
        <v>1244</v>
      </c>
      <c r="F210" s="7" t="s">
        <v>1245</v>
      </c>
      <c r="G210" s="6">
        <v>114</v>
      </c>
      <c r="H210" s="6" t="s">
        <v>1246</v>
      </c>
      <c r="I210" s="6">
        <v>2</v>
      </c>
      <c r="J210" s="4">
        <v>43281</v>
      </c>
      <c r="K210" s="8">
        <v>43385</v>
      </c>
      <c r="L210" s="1" t="b">
        <f>IF(MATCH(C210,Wiki!B:B,0)&lt;&gt;0,TRUE,FALSE)</f>
        <v>1</v>
      </c>
      <c r="M210" s="1" t="str">
        <f>INDEX(Wiki!K:K,MATCH('BOM2017'!C210,Wiki!B:B,0))</f>
        <v>The_Little_Hours</v>
      </c>
      <c r="N210" s="1" t="str">
        <f>IFERROR(M210,INDEX(Wiki!K:K,MATCH('BOM2017'!D210,Wiki!B:B,0)))</f>
        <v>The_Little_Hours</v>
      </c>
    </row>
    <row r="211" spans="2:14" x14ac:dyDescent="0.2">
      <c r="B211" s="6">
        <v>206</v>
      </c>
      <c r="C211" s="3" t="s">
        <v>1247</v>
      </c>
      <c r="D211" t="str">
        <f t="shared" si="3"/>
        <v>Jane</v>
      </c>
      <c r="E211" s="3" t="s">
        <v>1248</v>
      </c>
      <c r="F211" s="7" t="s">
        <v>1249</v>
      </c>
      <c r="G211" s="6">
        <v>96</v>
      </c>
      <c r="H211" s="6" t="s">
        <v>1250</v>
      </c>
      <c r="I211" s="6">
        <v>3</v>
      </c>
      <c r="J211" s="4">
        <v>43393</v>
      </c>
      <c r="K211" s="6" t="s">
        <v>558</v>
      </c>
      <c r="L211" s="1" t="e">
        <f>IF(MATCH(C211,Wiki!B:B,0)&lt;&gt;0,TRUE,FALSE)</f>
        <v>#N/A</v>
      </c>
      <c r="M211" s="1" t="e">
        <f>INDEX(Wiki!K:K,MATCH('BOM2017'!C211,Wiki!B:B,0))</f>
        <v>#N/A</v>
      </c>
      <c r="N211" s="1" t="e">
        <f>IFERROR(M211,INDEX(Wiki!K:K,MATCH('BOM2017'!D211,Wiki!B:B,0)))</f>
        <v>#N/A</v>
      </c>
    </row>
    <row r="212" spans="2:14" x14ac:dyDescent="0.2">
      <c r="B212" s="6">
        <v>207</v>
      </c>
      <c r="C212" s="3" t="s">
        <v>543</v>
      </c>
      <c r="D212" t="str">
        <f t="shared" si="3"/>
        <v/>
      </c>
      <c r="E212" s="3" t="s">
        <v>781</v>
      </c>
      <c r="F212" s="7" t="s">
        <v>1251</v>
      </c>
      <c r="G212" s="6">
        <v>119</v>
      </c>
      <c r="H212" s="6" t="s">
        <v>1252</v>
      </c>
      <c r="I212" s="6">
        <v>3</v>
      </c>
      <c r="J212" s="4">
        <v>43456</v>
      </c>
      <c r="K212" s="6" t="s">
        <v>558</v>
      </c>
      <c r="L212" s="1" t="b">
        <f>IF(MATCH(C212,Wiki!B:B,0)&lt;&gt;0,TRUE,FALSE)</f>
        <v>1</v>
      </c>
      <c r="M212" s="1" t="str">
        <f>INDEX(Wiki!K:K,MATCH('BOM2017'!C212,Wiki!B:B,0))</f>
        <v>Hostiles_(film)</v>
      </c>
      <c r="N212" s="1" t="str">
        <f>IFERROR(M212,INDEX(Wiki!K:K,MATCH('BOM2017'!D212,Wiki!B:B,0)))</f>
        <v>Hostiles_(film)</v>
      </c>
    </row>
    <row r="213" spans="2:14" x14ac:dyDescent="0.2">
      <c r="B213" s="6">
        <v>208</v>
      </c>
      <c r="C213" s="3" t="s">
        <v>320</v>
      </c>
      <c r="D213" t="str">
        <f t="shared" si="3"/>
        <v/>
      </c>
      <c r="E213" s="3" t="s">
        <v>38</v>
      </c>
      <c r="F213" s="7" t="s">
        <v>1253</v>
      </c>
      <c r="G213" s="6">
        <v>329</v>
      </c>
      <c r="H213" s="6" t="s">
        <v>1254</v>
      </c>
      <c r="I213" s="6">
        <v>4</v>
      </c>
      <c r="J213" s="4">
        <v>43288</v>
      </c>
      <c r="K213" s="8">
        <v>43371</v>
      </c>
      <c r="L213" s="1" t="b">
        <f>IF(MATCH(C213,Wiki!B:B,0)&lt;&gt;0,TRUE,FALSE)</f>
        <v>1</v>
      </c>
      <c r="M213" s="1" t="str">
        <f>INDEX(Wiki!K:K,MATCH('BOM2017'!C213,Wiki!B:B,0))</f>
        <v>A_Ghost_Story</v>
      </c>
      <c r="N213" s="1" t="str">
        <f>IFERROR(M213,INDEX(Wiki!K:K,MATCH('BOM2017'!D213,Wiki!B:B,0)))</f>
        <v>A_Ghost_Story</v>
      </c>
    </row>
    <row r="214" spans="2:14" x14ac:dyDescent="0.2">
      <c r="B214" s="6">
        <v>209</v>
      </c>
      <c r="C214" s="3" t="s">
        <v>1255</v>
      </c>
      <c r="D214" t="e">
        <f t="shared" si="3"/>
        <v>#VALUE!</v>
      </c>
      <c r="E214" s="3" t="s">
        <v>955</v>
      </c>
      <c r="F214" s="7" t="s">
        <v>1256</v>
      </c>
      <c r="G214" s="6" t="s">
        <v>1257</v>
      </c>
      <c r="H214" s="6" t="s">
        <v>1258</v>
      </c>
      <c r="I214" s="6" t="s">
        <v>1257</v>
      </c>
      <c r="J214" s="4">
        <v>43386</v>
      </c>
      <c r="K214" s="8">
        <v>43424</v>
      </c>
      <c r="L214" s="1" t="e">
        <f>IF(MATCH(C214,Wiki!B:B,0)&lt;&gt;0,TRUE,FALSE)</f>
        <v>#N/A</v>
      </c>
      <c r="M214" s="1" t="e">
        <f>INDEX(Wiki!K:K,MATCH('BOM2017'!C214,Wiki!B:B,0))</f>
        <v>#N/A</v>
      </c>
      <c r="N214" s="1" t="e">
        <f>IFERROR(M214,INDEX(Wiki!K:K,MATCH('BOM2017'!D214,Wiki!B:B,0)))</f>
        <v>#VALUE!</v>
      </c>
    </row>
    <row r="215" spans="2:14" x14ac:dyDescent="0.2">
      <c r="B215" s="6">
        <v>210</v>
      </c>
      <c r="C215" s="3" t="s">
        <v>1259</v>
      </c>
      <c r="D215" t="e">
        <f t="shared" si="3"/>
        <v>#VALUE!</v>
      </c>
      <c r="E215" s="3" t="s">
        <v>1260</v>
      </c>
      <c r="F215" s="7" t="s">
        <v>1261</v>
      </c>
      <c r="G215" s="6">
        <v>640</v>
      </c>
      <c r="H215" s="6" t="s">
        <v>1262</v>
      </c>
      <c r="I215" s="6">
        <v>640</v>
      </c>
      <c r="J215" s="4">
        <v>43379</v>
      </c>
      <c r="K215" s="8">
        <v>43448</v>
      </c>
      <c r="L215" s="1" t="e">
        <f>IF(MATCH(C215,Wiki!B:B,0)&lt;&gt;0,TRUE,FALSE)</f>
        <v>#N/A</v>
      </c>
      <c r="M215" s="1" t="e">
        <f>INDEX(Wiki!K:K,MATCH('BOM2017'!C215,Wiki!B:B,0))</f>
        <v>#N/A</v>
      </c>
      <c r="N215" s="1" t="e">
        <f>IFERROR(M215,INDEX(Wiki!K:K,MATCH('BOM2017'!D215,Wiki!B:B,0)))</f>
        <v>#VALUE!</v>
      </c>
    </row>
    <row r="216" spans="2:14" x14ac:dyDescent="0.2">
      <c r="B216" s="6">
        <v>211</v>
      </c>
      <c r="C216" s="3" t="s">
        <v>1263</v>
      </c>
      <c r="D216" t="e">
        <f t="shared" si="3"/>
        <v>#VALUE!</v>
      </c>
      <c r="E216" s="3" t="s">
        <v>1152</v>
      </c>
      <c r="F216" s="7" t="s">
        <v>1264</v>
      </c>
      <c r="G216" s="6">
        <v>419</v>
      </c>
      <c r="H216" s="6" t="s">
        <v>1159</v>
      </c>
      <c r="I216" s="6" t="s">
        <v>1159</v>
      </c>
      <c r="J216" s="4">
        <v>43417</v>
      </c>
      <c r="K216" s="8">
        <v>43445</v>
      </c>
      <c r="L216" s="1" t="e">
        <f>IF(MATCH(C216,Wiki!B:B,0)&lt;&gt;0,TRUE,FALSE)</f>
        <v>#N/A</v>
      </c>
      <c r="M216" s="1" t="e">
        <f>INDEX(Wiki!K:K,MATCH('BOM2017'!C216,Wiki!B:B,0))</f>
        <v>#N/A</v>
      </c>
      <c r="N216" s="1" t="e">
        <f>IFERROR(M216,INDEX(Wiki!K:K,MATCH('BOM2017'!D216,Wiki!B:B,0)))</f>
        <v>#VALUE!</v>
      </c>
    </row>
    <row r="217" spans="2:14" x14ac:dyDescent="0.2">
      <c r="B217" s="6">
        <v>212</v>
      </c>
      <c r="C217" s="3" t="s">
        <v>1265</v>
      </c>
      <c r="D217" t="e">
        <f t="shared" si="3"/>
        <v>#VALUE!</v>
      </c>
      <c r="E217" s="3" t="s">
        <v>1235</v>
      </c>
      <c r="F217" s="7" t="s">
        <v>1266</v>
      </c>
      <c r="G217" s="6">
        <v>41</v>
      </c>
      <c r="H217" s="6" t="s">
        <v>1267</v>
      </c>
      <c r="I217" s="6">
        <v>41</v>
      </c>
      <c r="J217" s="4">
        <v>43323</v>
      </c>
      <c r="K217" s="8">
        <v>43392</v>
      </c>
      <c r="L217" s="1" t="e">
        <f>IF(MATCH(C217,Wiki!B:B,0)&lt;&gt;0,TRUE,FALSE)</f>
        <v>#N/A</v>
      </c>
      <c r="M217" s="1" t="e">
        <f>INDEX(Wiki!K:K,MATCH('BOM2017'!C217,Wiki!B:B,0))</f>
        <v>#N/A</v>
      </c>
      <c r="N217" s="1" t="e">
        <f>IFERROR(M217,INDEX(Wiki!K:K,MATCH('BOM2017'!D217,Wiki!B:B,0)))</f>
        <v>#VALUE!</v>
      </c>
    </row>
    <row r="218" spans="2:14" x14ac:dyDescent="0.2">
      <c r="B218" s="6">
        <v>213</v>
      </c>
      <c r="C218" s="3" t="s">
        <v>1268</v>
      </c>
      <c r="D218" t="e">
        <f t="shared" si="3"/>
        <v>#VALUE!</v>
      </c>
      <c r="E218" s="3" t="s">
        <v>1269</v>
      </c>
      <c r="F218" s="7" t="s">
        <v>1270</v>
      </c>
      <c r="G218" s="6">
        <v>621</v>
      </c>
      <c r="H218" s="6" t="s">
        <v>1271</v>
      </c>
      <c r="I218" s="6">
        <v>578</v>
      </c>
      <c r="J218" s="4">
        <v>43168</v>
      </c>
      <c r="K218" s="8">
        <v>43224</v>
      </c>
      <c r="L218" s="1" t="e">
        <f>IF(MATCH(C218,Wiki!B:B,0)&lt;&gt;0,TRUE,FALSE)</f>
        <v>#N/A</v>
      </c>
      <c r="M218" s="1" t="e">
        <f>INDEX(Wiki!K:K,MATCH('BOM2017'!C218,Wiki!B:B,0))</f>
        <v>#N/A</v>
      </c>
      <c r="N218" s="1" t="e">
        <f>IFERROR(M218,INDEX(Wiki!K:K,MATCH('BOM2017'!D218,Wiki!B:B,0)))</f>
        <v>#VALUE!</v>
      </c>
    </row>
    <row r="219" spans="2:14" x14ac:dyDescent="0.2">
      <c r="B219" s="6">
        <v>214</v>
      </c>
      <c r="C219" s="3" t="s">
        <v>1272</v>
      </c>
      <c r="D219" t="e">
        <f t="shared" si="3"/>
        <v>#VALUE!</v>
      </c>
      <c r="E219" s="3" t="s">
        <v>1273</v>
      </c>
      <c r="F219" s="7" t="s">
        <v>1274</v>
      </c>
      <c r="G219" s="6">
        <v>393</v>
      </c>
      <c r="H219" s="6" t="s">
        <v>1275</v>
      </c>
      <c r="I219" s="6">
        <v>393</v>
      </c>
      <c r="J219" s="4">
        <v>43344</v>
      </c>
      <c r="K219" s="8">
        <v>43350</v>
      </c>
      <c r="L219" s="1" t="e">
        <f>IF(MATCH(C219,Wiki!B:B,0)&lt;&gt;0,TRUE,FALSE)</f>
        <v>#N/A</v>
      </c>
      <c r="M219" s="1" t="e">
        <f>INDEX(Wiki!K:K,MATCH('BOM2017'!C219,Wiki!B:B,0))</f>
        <v>#N/A</v>
      </c>
      <c r="N219" s="1" t="e">
        <f>IFERROR(M219,INDEX(Wiki!K:K,MATCH('BOM2017'!D219,Wiki!B:B,0)))</f>
        <v>#VALUE!</v>
      </c>
    </row>
    <row r="220" spans="2:14" x14ac:dyDescent="0.2">
      <c r="B220" s="6">
        <v>215</v>
      </c>
      <c r="C220" s="3" t="s">
        <v>1276</v>
      </c>
      <c r="D220" t="e">
        <f t="shared" si="3"/>
        <v>#VALUE!</v>
      </c>
      <c r="E220" s="3" t="s">
        <v>1152</v>
      </c>
      <c r="F220" s="7" t="s">
        <v>1277</v>
      </c>
      <c r="G220" s="6">
        <v>738</v>
      </c>
      <c r="H220" s="6" t="s">
        <v>1159</v>
      </c>
      <c r="I220" s="6" t="s">
        <v>1159</v>
      </c>
      <c r="J220" s="4">
        <v>43376</v>
      </c>
      <c r="K220" s="8">
        <v>43378</v>
      </c>
      <c r="L220" s="1" t="e">
        <f>IF(MATCH(C220,Wiki!B:B,0)&lt;&gt;0,TRUE,FALSE)</f>
        <v>#N/A</v>
      </c>
      <c r="M220" s="1" t="e">
        <f>INDEX(Wiki!K:K,MATCH('BOM2017'!C220,Wiki!B:B,0))</f>
        <v>#N/A</v>
      </c>
      <c r="N220" s="1" t="e">
        <f>IFERROR(M220,INDEX(Wiki!K:K,MATCH('BOM2017'!D220,Wiki!B:B,0)))</f>
        <v>#VALUE!</v>
      </c>
    </row>
    <row r="221" spans="2:14" x14ac:dyDescent="0.2">
      <c r="B221" s="6">
        <v>216</v>
      </c>
      <c r="C221" s="3" t="s">
        <v>1278</v>
      </c>
      <c r="D221" t="e">
        <f t="shared" si="3"/>
        <v>#VALUE!</v>
      </c>
      <c r="E221" s="3" t="s">
        <v>1204</v>
      </c>
      <c r="F221" s="7" t="s">
        <v>1279</v>
      </c>
      <c r="G221" s="6">
        <v>192</v>
      </c>
      <c r="H221" s="6" t="s">
        <v>1280</v>
      </c>
      <c r="I221" s="6">
        <v>192</v>
      </c>
      <c r="J221" s="4">
        <v>43372</v>
      </c>
      <c r="K221" s="8">
        <v>43392</v>
      </c>
      <c r="L221" s="1" t="e">
        <f>IF(MATCH(C221,Wiki!B:B,0)&lt;&gt;0,TRUE,FALSE)</f>
        <v>#N/A</v>
      </c>
      <c r="M221" s="1" t="e">
        <f>INDEX(Wiki!K:K,MATCH('BOM2017'!C221,Wiki!B:B,0))</f>
        <v>#N/A</v>
      </c>
      <c r="N221" s="1" t="e">
        <f>IFERROR(M221,INDEX(Wiki!K:K,MATCH('BOM2017'!D221,Wiki!B:B,0)))</f>
        <v>#VALUE!</v>
      </c>
    </row>
    <row r="222" spans="2:14" x14ac:dyDescent="0.2">
      <c r="B222" s="6">
        <v>217</v>
      </c>
      <c r="C222" s="3" t="s">
        <v>261</v>
      </c>
      <c r="D222" t="str">
        <f t="shared" si="3"/>
        <v/>
      </c>
      <c r="E222" s="3" t="s">
        <v>1043</v>
      </c>
      <c r="F222" s="7" t="s">
        <v>1281</v>
      </c>
      <c r="G222" s="6">
        <v>123</v>
      </c>
      <c r="H222" s="6" t="s">
        <v>1282</v>
      </c>
      <c r="I222" s="6">
        <v>8</v>
      </c>
      <c r="J222" s="4">
        <v>43232</v>
      </c>
      <c r="K222" s="8">
        <v>43322</v>
      </c>
      <c r="L222" s="1" t="b">
        <f>IF(MATCH(C222,Wiki!B:B,0)&lt;&gt;0,TRUE,FALSE)</f>
        <v>1</v>
      </c>
      <c r="M222" s="1" t="str">
        <f>INDEX(Wiki!K:K,MATCH('BOM2017'!C222,Wiki!B:B,0))</f>
        <v>The_Wedding_Plan</v>
      </c>
      <c r="N222" s="1" t="str">
        <f>IFERROR(M222,INDEX(Wiki!K:K,MATCH('BOM2017'!D222,Wiki!B:B,0)))</f>
        <v>The_Wedding_Plan</v>
      </c>
    </row>
    <row r="223" spans="2:14" x14ac:dyDescent="0.2">
      <c r="B223" s="6">
        <v>218</v>
      </c>
      <c r="C223" s="3" t="s">
        <v>461</v>
      </c>
      <c r="D223" t="str">
        <f t="shared" si="3"/>
        <v/>
      </c>
      <c r="E223" s="3" t="s">
        <v>1283</v>
      </c>
      <c r="F223" s="7" t="s">
        <v>1284</v>
      </c>
      <c r="G223" s="6">
        <v>536</v>
      </c>
      <c r="H223" s="6" t="s">
        <v>1285</v>
      </c>
      <c r="I223" s="6">
        <v>5</v>
      </c>
      <c r="J223" s="4">
        <v>43435</v>
      </c>
      <c r="K223" s="6" t="s">
        <v>558</v>
      </c>
      <c r="L223" s="1" t="b">
        <f>IF(MATCH(C223,Wiki!B:B,0)&lt;&gt;0,TRUE,FALSE)</f>
        <v>1</v>
      </c>
      <c r="M223" s="1" t="str">
        <f>INDEX(Wiki!K:K,MATCH('BOM2017'!C223,Wiki!B:B,0))</f>
        <v>Wonder_Wheel_(film)</v>
      </c>
      <c r="N223" s="1" t="str">
        <f>IFERROR(M223,INDEX(Wiki!K:K,MATCH('BOM2017'!D223,Wiki!B:B,0)))</f>
        <v>Wonder_Wheel_(film)</v>
      </c>
    </row>
    <row r="224" spans="2:14" x14ac:dyDescent="0.2">
      <c r="B224" s="6">
        <v>219</v>
      </c>
      <c r="C224" s="3" t="s">
        <v>1286</v>
      </c>
      <c r="D224" t="e">
        <f t="shared" si="3"/>
        <v>#VALUE!</v>
      </c>
      <c r="E224" s="3" t="s">
        <v>1039</v>
      </c>
      <c r="F224" s="7" t="s">
        <v>1287</v>
      </c>
      <c r="G224" s="6">
        <v>70</v>
      </c>
      <c r="H224" s="6" t="s">
        <v>1288</v>
      </c>
      <c r="I224" s="6">
        <v>4</v>
      </c>
      <c r="J224" s="4">
        <v>43400</v>
      </c>
      <c r="K224" s="6" t="s">
        <v>558</v>
      </c>
      <c r="L224" s="1" t="e">
        <f>IF(MATCH(C224,Wiki!B:B,0)&lt;&gt;0,TRUE,FALSE)</f>
        <v>#N/A</v>
      </c>
      <c r="M224" s="1" t="e">
        <f>INDEX(Wiki!K:K,MATCH('BOM2017'!C224,Wiki!B:B,0))</f>
        <v>#N/A</v>
      </c>
      <c r="N224" s="1" t="e">
        <f>IFERROR(M224,INDEX(Wiki!K:K,MATCH('BOM2017'!D224,Wiki!B:B,0)))</f>
        <v>#VALUE!</v>
      </c>
    </row>
    <row r="225" spans="2:14" x14ac:dyDescent="0.2">
      <c r="B225" s="6">
        <v>220</v>
      </c>
      <c r="C225" s="3" t="s">
        <v>1289</v>
      </c>
      <c r="D225" t="e">
        <f t="shared" si="3"/>
        <v>#VALUE!</v>
      </c>
      <c r="E225" s="3" t="s">
        <v>157</v>
      </c>
      <c r="F225" s="7" t="s">
        <v>1290</v>
      </c>
      <c r="G225" s="6">
        <v>110</v>
      </c>
      <c r="H225" s="6" t="s">
        <v>1291</v>
      </c>
      <c r="I225" s="6">
        <v>4</v>
      </c>
      <c r="J225" s="4">
        <v>43407</v>
      </c>
      <c r="K225" s="6" t="s">
        <v>558</v>
      </c>
      <c r="L225" s="1" t="e">
        <f>IF(MATCH(C225,Wiki!B:B,0)&lt;&gt;0,TRUE,FALSE)</f>
        <v>#N/A</v>
      </c>
      <c r="M225" s="1" t="e">
        <f>INDEX(Wiki!K:K,MATCH('BOM2017'!C225,Wiki!B:B,0))</f>
        <v>#N/A</v>
      </c>
      <c r="N225" s="1" t="e">
        <f>IFERROR(M225,INDEX(Wiki!K:K,MATCH('BOM2017'!D225,Wiki!B:B,0)))</f>
        <v>#VALUE!</v>
      </c>
    </row>
    <row r="226" spans="2:14" x14ac:dyDescent="0.2">
      <c r="B226" s="6">
        <v>221</v>
      </c>
      <c r="C226" s="3" t="s">
        <v>250</v>
      </c>
      <c r="D226" t="str">
        <f t="shared" si="3"/>
        <v/>
      </c>
      <c r="E226" s="3" t="s">
        <v>1095</v>
      </c>
      <c r="F226" s="7" t="s">
        <v>1292</v>
      </c>
      <c r="G226" s="6">
        <v>505</v>
      </c>
      <c r="H226" s="6" t="s">
        <v>1293</v>
      </c>
      <c r="I226" s="6">
        <v>505</v>
      </c>
      <c r="J226" s="4">
        <v>43225</v>
      </c>
      <c r="K226" s="8">
        <v>43266</v>
      </c>
      <c r="L226" s="1" t="b">
        <f>IF(MATCH(C226,Wiki!B:B,0)&lt;&gt;0,TRUE,FALSE)</f>
        <v>1</v>
      </c>
      <c r="M226" s="1" t="str">
        <f>INDEX(Wiki!K:K,MATCH('BOM2017'!C226,Wiki!B:B,0))</f>
        <v>The_Dinner_(2017_film)</v>
      </c>
      <c r="N226" s="1" t="str">
        <f>IFERROR(M226,INDEX(Wiki!K:K,MATCH('BOM2017'!D226,Wiki!B:B,0)))</f>
        <v>The_Dinner_(2017_film)</v>
      </c>
    </row>
    <row r="227" spans="2:14" x14ac:dyDescent="0.2">
      <c r="B227" s="6">
        <v>222</v>
      </c>
      <c r="C227" s="3" t="s">
        <v>156</v>
      </c>
      <c r="D227" t="str">
        <f t="shared" si="3"/>
        <v/>
      </c>
      <c r="E227" s="3" t="s">
        <v>1294</v>
      </c>
      <c r="F227" s="7" t="s">
        <v>1295</v>
      </c>
      <c r="G227" s="6">
        <v>153</v>
      </c>
      <c r="H227" s="6" t="s">
        <v>1296</v>
      </c>
      <c r="I227" s="6">
        <v>4</v>
      </c>
      <c r="J227" s="4">
        <v>43169</v>
      </c>
      <c r="K227" s="8">
        <v>43262</v>
      </c>
      <c r="L227" s="1" t="b">
        <f>IF(MATCH(C227,Wiki!B:B,0)&lt;&gt;0,TRUE,FALSE)</f>
        <v>1</v>
      </c>
      <c r="M227" s="1" t="str">
        <f>INDEX(Wiki!K:K,MATCH('BOM2017'!C227,Wiki!B:B,0))</f>
        <v>Personal_Shopper</v>
      </c>
      <c r="N227" s="1" t="str">
        <f>IFERROR(M227,INDEX(Wiki!K:K,MATCH('BOM2017'!D227,Wiki!B:B,0)))</f>
        <v>Personal_Shopper</v>
      </c>
    </row>
    <row r="228" spans="2:14" x14ac:dyDescent="0.2">
      <c r="B228" s="6">
        <v>223</v>
      </c>
      <c r="C228" s="3" t="s">
        <v>287</v>
      </c>
      <c r="D228" t="str">
        <f t="shared" si="3"/>
        <v/>
      </c>
      <c r="E228" s="3" t="s">
        <v>1175</v>
      </c>
      <c r="F228" s="7" t="s">
        <v>1297</v>
      </c>
      <c r="G228" s="6">
        <v>215</v>
      </c>
      <c r="H228" s="6" t="s">
        <v>1298</v>
      </c>
      <c r="I228" s="6">
        <v>215</v>
      </c>
      <c r="J228" s="4">
        <v>43253</v>
      </c>
      <c r="K228" s="8">
        <v>43328</v>
      </c>
      <c r="L228" s="1" t="b">
        <f>IF(MATCH(C228,Wiki!B:B,0)&lt;&gt;0,TRUE,FALSE)</f>
        <v>1</v>
      </c>
      <c r="M228" s="1" t="str">
        <f>INDEX(Wiki!K:K,MATCH('BOM2017'!C228,Wiki!B:B,0))</f>
        <v>Churchill_(film)</v>
      </c>
      <c r="N228" s="1" t="str">
        <f>IFERROR(M228,INDEX(Wiki!K:K,MATCH('BOM2017'!D228,Wiki!B:B,0)))</f>
        <v>Churchill_(film)</v>
      </c>
    </row>
    <row r="229" spans="2:14" x14ac:dyDescent="0.2">
      <c r="B229" s="6">
        <v>224</v>
      </c>
      <c r="C229" s="3" t="s">
        <v>152</v>
      </c>
      <c r="D229" t="str">
        <f t="shared" si="3"/>
        <v/>
      </c>
      <c r="E229" s="3" t="s">
        <v>1299</v>
      </c>
      <c r="F229" s="7" t="s">
        <v>1300</v>
      </c>
      <c r="G229" s="6">
        <v>282</v>
      </c>
      <c r="H229" s="6" t="s">
        <v>1301</v>
      </c>
      <c r="I229" s="6">
        <v>4</v>
      </c>
      <c r="J229" s="4">
        <v>43169</v>
      </c>
      <c r="K229" s="8">
        <v>43196</v>
      </c>
      <c r="L229" s="1" t="b">
        <f>IF(MATCH(C229,Wiki!B:B,0)&lt;&gt;0,TRUE,FALSE)</f>
        <v>1</v>
      </c>
      <c r="M229" s="1" t="str">
        <f>INDEX(Wiki!K:K,MATCH('BOM2017'!C229,Wiki!B:B,0))</f>
        <v>The_Sense_of_an_Ending_(film)</v>
      </c>
      <c r="N229" s="1" t="str">
        <f>IFERROR(M229,INDEX(Wiki!K:K,MATCH('BOM2017'!D229,Wiki!B:B,0)))</f>
        <v>The_Sense_of_an_Ending_(film)</v>
      </c>
    </row>
    <row r="230" spans="2:14" x14ac:dyDescent="0.2">
      <c r="B230" s="6">
        <v>225</v>
      </c>
      <c r="C230" s="3" t="s">
        <v>1302</v>
      </c>
      <c r="D230" t="e">
        <f t="shared" si="3"/>
        <v>#VALUE!</v>
      </c>
      <c r="E230" s="3" t="s">
        <v>1152</v>
      </c>
      <c r="F230" s="7" t="s">
        <v>1303</v>
      </c>
      <c r="G230" s="6">
        <v>798</v>
      </c>
      <c r="H230" s="6" t="s">
        <v>1159</v>
      </c>
      <c r="I230" s="6" t="s">
        <v>1159</v>
      </c>
      <c r="J230" s="4">
        <v>43215</v>
      </c>
      <c r="K230" s="8">
        <v>43229</v>
      </c>
      <c r="L230" s="1" t="e">
        <f>IF(MATCH(C230,Wiki!B:B,0)&lt;&gt;0,TRUE,FALSE)</f>
        <v>#N/A</v>
      </c>
      <c r="M230" s="1" t="e">
        <f>INDEX(Wiki!K:K,MATCH('BOM2017'!C230,Wiki!B:B,0))</f>
        <v>#N/A</v>
      </c>
      <c r="N230" s="1" t="e">
        <f>IFERROR(M230,INDEX(Wiki!K:K,MATCH('BOM2017'!D230,Wiki!B:B,0)))</f>
        <v>#VALUE!</v>
      </c>
    </row>
    <row r="231" spans="2:14" x14ac:dyDescent="0.2">
      <c r="B231" s="6">
        <v>226</v>
      </c>
      <c r="C231" s="3" t="s">
        <v>1304</v>
      </c>
      <c r="D231" t="e">
        <f t="shared" si="3"/>
        <v>#VALUE!</v>
      </c>
      <c r="E231" s="3" t="s">
        <v>838</v>
      </c>
      <c r="F231" s="7" t="s">
        <v>1305</v>
      </c>
      <c r="G231" s="6">
        <v>349</v>
      </c>
      <c r="H231" s="6" t="s">
        <v>1306</v>
      </c>
      <c r="I231" s="6">
        <v>349</v>
      </c>
      <c r="J231" s="4">
        <v>43253</v>
      </c>
      <c r="K231" s="8">
        <v>43280</v>
      </c>
      <c r="L231" s="1" t="e">
        <f>IF(MATCH(C231,Wiki!B:B,0)&lt;&gt;0,TRUE,FALSE)</f>
        <v>#N/A</v>
      </c>
      <c r="M231" s="1" t="e">
        <f>INDEX(Wiki!K:K,MATCH('BOM2017'!C231,Wiki!B:B,0))</f>
        <v>#N/A</v>
      </c>
      <c r="N231" s="1" t="e">
        <f>IFERROR(M231,INDEX(Wiki!K:K,MATCH('BOM2017'!D231,Wiki!B:B,0)))</f>
        <v>#VALUE!</v>
      </c>
    </row>
    <row r="232" spans="2:14" x14ac:dyDescent="0.2">
      <c r="B232" s="6">
        <v>227</v>
      </c>
      <c r="C232" s="3" t="s">
        <v>1307</v>
      </c>
      <c r="D232" t="e">
        <f t="shared" si="3"/>
        <v>#VALUE!</v>
      </c>
      <c r="E232" s="3" t="s">
        <v>1308</v>
      </c>
      <c r="F232" s="7" t="s">
        <v>1309</v>
      </c>
      <c r="G232" s="6">
        <v>461</v>
      </c>
      <c r="H232" s="6" t="s">
        <v>1310</v>
      </c>
      <c r="I232" s="6">
        <v>461</v>
      </c>
      <c r="J232" s="4">
        <v>43351</v>
      </c>
      <c r="K232" s="8">
        <v>43404</v>
      </c>
      <c r="L232" s="1" t="e">
        <f>IF(MATCH(C232,Wiki!B:B,0)&lt;&gt;0,TRUE,FALSE)</f>
        <v>#N/A</v>
      </c>
      <c r="M232" s="1" t="e">
        <f>INDEX(Wiki!K:K,MATCH('BOM2017'!C232,Wiki!B:B,0))</f>
        <v>#N/A</v>
      </c>
      <c r="N232" s="1" t="e">
        <f>IFERROR(M232,INDEX(Wiki!K:K,MATCH('BOM2017'!D232,Wiki!B:B,0)))</f>
        <v>#VALUE!</v>
      </c>
    </row>
    <row r="233" spans="2:14" x14ac:dyDescent="0.2">
      <c r="B233" s="6">
        <v>228</v>
      </c>
      <c r="C233" s="3" t="s">
        <v>1311</v>
      </c>
      <c r="D233" t="e">
        <f t="shared" si="3"/>
        <v>#VALUE!</v>
      </c>
      <c r="E233" s="3" t="s">
        <v>1152</v>
      </c>
      <c r="F233" s="7" t="s">
        <v>1312</v>
      </c>
      <c r="G233" s="6">
        <v>787</v>
      </c>
      <c r="H233" s="6" t="s">
        <v>1159</v>
      </c>
      <c r="I233" s="6" t="s">
        <v>1159</v>
      </c>
      <c r="J233" s="4">
        <v>43371</v>
      </c>
      <c r="K233" s="8">
        <v>43371</v>
      </c>
      <c r="L233" s="1" t="e">
        <f>IF(MATCH(C233,Wiki!B:B,0)&lt;&gt;0,TRUE,FALSE)</f>
        <v>#N/A</v>
      </c>
      <c r="M233" s="1" t="e">
        <f>INDEX(Wiki!K:K,MATCH('BOM2017'!C233,Wiki!B:B,0))</f>
        <v>#N/A</v>
      </c>
      <c r="N233" s="1" t="e">
        <f>IFERROR(M233,INDEX(Wiki!K:K,MATCH('BOM2017'!D233,Wiki!B:B,0)))</f>
        <v>#VALUE!</v>
      </c>
    </row>
    <row r="234" spans="2:14" x14ac:dyDescent="0.2">
      <c r="B234" s="6">
        <v>229</v>
      </c>
      <c r="C234" s="3" t="s">
        <v>1313</v>
      </c>
      <c r="D234" t="e">
        <f t="shared" si="3"/>
        <v>#VALUE!</v>
      </c>
      <c r="E234" s="3" t="s">
        <v>1314</v>
      </c>
      <c r="F234" s="7" t="s">
        <v>1315</v>
      </c>
      <c r="G234" s="6">
        <v>34</v>
      </c>
      <c r="H234" s="6" t="s">
        <v>1316</v>
      </c>
      <c r="I234" s="6">
        <v>2</v>
      </c>
      <c r="J234" s="4">
        <v>43162</v>
      </c>
      <c r="K234" s="6" t="s">
        <v>558</v>
      </c>
      <c r="L234" s="1" t="e">
        <f>IF(MATCH(C234,Wiki!B:B,0)&lt;&gt;0,TRUE,FALSE)</f>
        <v>#N/A</v>
      </c>
      <c r="M234" s="1" t="e">
        <f>INDEX(Wiki!K:K,MATCH('BOM2017'!C234,Wiki!B:B,0))</f>
        <v>#N/A</v>
      </c>
      <c r="N234" s="1" t="e">
        <f>IFERROR(M234,INDEX(Wiki!K:K,MATCH('BOM2017'!D234,Wiki!B:B,0)))</f>
        <v>#VALUE!</v>
      </c>
    </row>
    <row r="235" spans="2:14" x14ac:dyDescent="0.2">
      <c r="B235" s="6">
        <v>230</v>
      </c>
      <c r="C235" s="3" t="s">
        <v>1317</v>
      </c>
      <c r="D235" t="str">
        <f t="shared" si="3"/>
        <v>Spirited Away</v>
      </c>
      <c r="E235" s="3" t="s">
        <v>1152</v>
      </c>
      <c r="F235" s="7" t="s">
        <v>1318</v>
      </c>
      <c r="G235" s="6">
        <v>632</v>
      </c>
      <c r="H235" s="6" t="s">
        <v>1319</v>
      </c>
      <c r="I235" s="6">
        <v>632</v>
      </c>
      <c r="J235" s="4">
        <v>43400</v>
      </c>
      <c r="K235" s="6" t="s">
        <v>558</v>
      </c>
      <c r="L235" s="1" t="e">
        <f>IF(MATCH(C235,Wiki!B:B,0)&lt;&gt;0,TRUE,FALSE)</f>
        <v>#N/A</v>
      </c>
      <c r="M235" s="1" t="e">
        <f>INDEX(Wiki!K:K,MATCH('BOM2017'!C235,Wiki!B:B,0))</f>
        <v>#N/A</v>
      </c>
      <c r="N235" s="1" t="e">
        <f>IFERROR(M235,INDEX(Wiki!K:K,MATCH('BOM2017'!D235,Wiki!B:B,0)))</f>
        <v>#N/A</v>
      </c>
    </row>
    <row r="236" spans="2:14" x14ac:dyDescent="0.2">
      <c r="B236" s="6">
        <v>231</v>
      </c>
      <c r="C236" s="3" t="s">
        <v>1320</v>
      </c>
      <c r="D236" t="e">
        <f t="shared" si="3"/>
        <v>#VALUE!</v>
      </c>
      <c r="E236" s="3" t="s">
        <v>1294</v>
      </c>
      <c r="F236" s="7" t="s">
        <v>1321</v>
      </c>
      <c r="G236" s="6">
        <v>140</v>
      </c>
      <c r="H236" s="6" t="s">
        <v>1322</v>
      </c>
      <c r="I236" s="6">
        <v>3</v>
      </c>
      <c r="J236" s="4">
        <v>43323</v>
      </c>
      <c r="K236" s="8">
        <v>43399</v>
      </c>
      <c r="L236" s="1" t="e">
        <f>IF(MATCH(C236,Wiki!B:B,0)&lt;&gt;0,TRUE,FALSE)</f>
        <v>#N/A</v>
      </c>
      <c r="M236" s="1" t="e">
        <f>INDEX(Wiki!K:K,MATCH('BOM2017'!C236,Wiki!B:B,0))</f>
        <v>#N/A</v>
      </c>
      <c r="N236" s="1" t="e">
        <f>IFERROR(M236,INDEX(Wiki!K:K,MATCH('BOM2017'!D236,Wiki!B:B,0)))</f>
        <v>#VALUE!</v>
      </c>
    </row>
    <row r="237" spans="2:14" x14ac:dyDescent="0.2">
      <c r="B237" s="6">
        <v>232</v>
      </c>
      <c r="C237" s="3" t="s">
        <v>1323</v>
      </c>
      <c r="D237" t="str">
        <f t="shared" si="3"/>
        <v>Step</v>
      </c>
      <c r="E237" s="3" t="s">
        <v>830</v>
      </c>
      <c r="F237" s="7" t="s">
        <v>1324</v>
      </c>
      <c r="G237" s="6">
        <v>306</v>
      </c>
      <c r="H237" s="6" t="s">
        <v>1325</v>
      </c>
      <c r="I237" s="6">
        <v>29</v>
      </c>
      <c r="J237" s="4">
        <v>43316</v>
      </c>
      <c r="K237" s="8">
        <v>43385</v>
      </c>
      <c r="L237" s="1" t="e">
        <f>IF(MATCH(C237,Wiki!B:B,0)&lt;&gt;0,TRUE,FALSE)</f>
        <v>#N/A</v>
      </c>
      <c r="M237" s="1" t="e">
        <f>INDEX(Wiki!K:K,MATCH('BOM2017'!C237,Wiki!B:B,0))</f>
        <v>#N/A</v>
      </c>
      <c r="N237" s="1" t="str">
        <f>IFERROR(M237,INDEX(Wiki!K:K,MATCH('BOM2017'!D237,Wiki!B:B,0)))</f>
        <v>Step_(film)</v>
      </c>
    </row>
    <row r="238" spans="2:14" x14ac:dyDescent="0.2">
      <c r="B238" s="6">
        <v>233</v>
      </c>
      <c r="C238" s="3" t="s">
        <v>329</v>
      </c>
      <c r="D238" t="str">
        <f t="shared" si="3"/>
        <v/>
      </c>
      <c r="E238" s="3" t="s">
        <v>1043</v>
      </c>
      <c r="F238" s="7" t="s">
        <v>1326</v>
      </c>
      <c r="G238" s="6">
        <v>131</v>
      </c>
      <c r="H238" s="6" t="s">
        <v>1327</v>
      </c>
      <c r="I238" s="6">
        <v>5</v>
      </c>
      <c r="J238" s="4">
        <v>43295</v>
      </c>
      <c r="K238" s="8">
        <v>43378</v>
      </c>
      <c r="L238" s="1" t="b">
        <f>IF(MATCH(C238,Wiki!B:B,0)&lt;&gt;0,TRUE,FALSE)</f>
        <v>1</v>
      </c>
      <c r="M238" s="1" t="str">
        <f>INDEX(Wiki!K:K,MATCH('BOM2017'!C238,Wiki!B:B,0))</f>
        <v>Lady_Macbeth_(film)</v>
      </c>
      <c r="N238" s="1" t="str">
        <f>IFERROR(M238,INDEX(Wiki!K:K,MATCH('BOM2017'!D238,Wiki!B:B,0)))</f>
        <v>Lady_Macbeth_(film)</v>
      </c>
    </row>
    <row r="239" spans="2:14" x14ac:dyDescent="0.2">
      <c r="B239" s="6">
        <v>234</v>
      </c>
      <c r="C239" s="3" t="s">
        <v>1328</v>
      </c>
      <c r="D239" t="e">
        <f t="shared" si="3"/>
        <v>#VALUE!</v>
      </c>
      <c r="E239" s="3" t="s">
        <v>1294</v>
      </c>
      <c r="F239" s="7" t="s">
        <v>1329</v>
      </c>
      <c r="G239" s="6">
        <v>116</v>
      </c>
      <c r="H239" s="6" t="s">
        <v>1330</v>
      </c>
      <c r="I239" s="6">
        <v>4</v>
      </c>
      <c r="J239" s="4">
        <v>43344</v>
      </c>
      <c r="K239" s="8">
        <v>43413</v>
      </c>
      <c r="L239" s="1" t="e">
        <f>IF(MATCH(C239,Wiki!B:B,0)&lt;&gt;0,TRUE,FALSE)</f>
        <v>#N/A</v>
      </c>
      <c r="M239" s="1" t="e">
        <f>INDEX(Wiki!K:K,MATCH('BOM2017'!C239,Wiki!B:B,0))</f>
        <v>#N/A</v>
      </c>
      <c r="N239" s="1" t="e">
        <f>IFERROR(M239,INDEX(Wiki!K:K,MATCH('BOM2017'!D239,Wiki!B:B,0)))</f>
        <v>#VALUE!</v>
      </c>
    </row>
    <row r="240" spans="2:14" x14ac:dyDescent="0.2">
      <c r="B240" s="6">
        <v>235</v>
      </c>
      <c r="C240" s="3" t="s">
        <v>1331</v>
      </c>
      <c r="D240" t="e">
        <f t="shared" si="3"/>
        <v>#VALUE!</v>
      </c>
      <c r="E240" s="3" t="s">
        <v>1332</v>
      </c>
      <c r="F240" s="7" t="s">
        <v>1333</v>
      </c>
      <c r="G240" s="6">
        <v>41</v>
      </c>
      <c r="H240" s="6" t="s">
        <v>1334</v>
      </c>
      <c r="I240" s="6">
        <v>1</v>
      </c>
      <c r="J240" s="4">
        <v>43307</v>
      </c>
      <c r="K240" s="6" t="s">
        <v>558</v>
      </c>
      <c r="L240" s="1" t="e">
        <f>IF(MATCH(C240,Wiki!B:B,0)&lt;&gt;0,TRUE,FALSE)</f>
        <v>#N/A</v>
      </c>
      <c r="M240" s="1" t="e">
        <f>INDEX(Wiki!K:K,MATCH('BOM2017'!C240,Wiki!B:B,0))</f>
        <v>#N/A</v>
      </c>
      <c r="N240" s="1" t="e">
        <f>IFERROR(M240,INDEX(Wiki!K:K,MATCH('BOM2017'!D240,Wiki!B:B,0)))</f>
        <v>#VALUE!</v>
      </c>
    </row>
    <row r="241" spans="2:14" x14ac:dyDescent="0.2">
      <c r="B241" s="6">
        <v>236</v>
      </c>
      <c r="C241" s="3" t="s">
        <v>267</v>
      </c>
      <c r="D241" t="str">
        <f t="shared" si="3"/>
        <v/>
      </c>
      <c r="E241" s="3" t="s">
        <v>1043</v>
      </c>
      <c r="F241" s="7" t="s">
        <v>1335</v>
      </c>
      <c r="G241" s="6">
        <v>261</v>
      </c>
      <c r="H241" s="6" t="s">
        <v>1336</v>
      </c>
      <c r="I241" s="6">
        <v>4</v>
      </c>
      <c r="J241" s="4">
        <v>43393</v>
      </c>
      <c r="K241" s="8">
        <v>43104</v>
      </c>
      <c r="L241" s="1" t="b">
        <f>IF(MATCH(C241,Wiki!B:B,0)&lt;&gt;0,TRUE,FALSE)</f>
        <v>1</v>
      </c>
      <c r="M241" s="1" t="str">
        <f>INDEX(Wiki!K:K,MATCH('BOM2017'!C241,Wiki!B:B,0))</f>
        <v>Wonderstruck_(film)</v>
      </c>
      <c r="N241" s="1" t="str">
        <f>IFERROR(M241,INDEX(Wiki!K:K,MATCH('BOM2017'!D241,Wiki!B:B,0)))</f>
        <v>Wonderstruck_(film)</v>
      </c>
    </row>
    <row r="242" spans="2:14" x14ac:dyDescent="0.2">
      <c r="B242" s="6">
        <v>237</v>
      </c>
      <c r="C242" s="3" t="s">
        <v>1337</v>
      </c>
      <c r="D242" t="e">
        <f t="shared" si="3"/>
        <v>#VALUE!</v>
      </c>
      <c r="E242" s="3" t="s">
        <v>1338</v>
      </c>
      <c r="F242" s="7" t="s">
        <v>1339</v>
      </c>
      <c r="G242" s="6">
        <v>371</v>
      </c>
      <c r="H242" s="6" t="s">
        <v>1340</v>
      </c>
      <c r="I242" s="6">
        <v>371</v>
      </c>
      <c r="J242" s="4">
        <v>43337</v>
      </c>
      <c r="K242" s="8">
        <v>43371</v>
      </c>
      <c r="L242" s="1" t="e">
        <f>IF(MATCH(C242,Wiki!B:B,0)&lt;&gt;0,TRUE,FALSE)</f>
        <v>#N/A</v>
      </c>
      <c r="M242" s="1" t="e">
        <f>INDEX(Wiki!K:K,MATCH('BOM2017'!C242,Wiki!B:B,0))</f>
        <v>#N/A</v>
      </c>
      <c r="N242" s="1" t="e">
        <f>IFERROR(M242,INDEX(Wiki!K:K,MATCH('BOM2017'!D242,Wiki!B:B,0)))</f>
        <v>#VALUE!</v>
      </c>
    </row>
    <row r="243" spans="2:14" x14ac:dyDescent="0.2">
      <c r="B243" s="6">
        <v>238</v>
      </c>
      <c r="C243" s="3" t="s">
        <v>1341</v>
      </c>
      <c r="D243" t="e">
        <f t="shared" si="3"/>
        <v>#VALUE!</v>
      </c>
      <c r="E243" s="3" t="s">
        <v>1152</v>
      </c>
      <c r="F243" s="7" t="s">
        <v>1342</v>
      </c>
      <c r="G243" s="6">
        <v>725</v>
      </c>
      <c r="H243" s="6" t="s">
        <v>1343</v>
      </c>
      <c r="I243" s="6">
        <v>725</v>
      </c>
      <c r="J243" s="4">
        <v>43416</v>
      </c>
      <c r="K243" s="8">
        <v>43419</v>
      </c>
      <c r="L243" s="1" t="e">
        <f>IF(MATCH(C243,Wiki!B:B,0)&lt;&gt;0,TRUE,FALSE)</f>
        <v>#N/A</v>
      </c>
      <c r="M243" s="1" t="e">
        <f>INDEX(Wiki!K:K,MATCH('BOM2017'!C243,Wiki!B:B,0))</f>
        <v>#N/A</v>
      </c>
      <c r="N243" s="1" t="e">
        <f>IFERROR(M243,INDEX(Wiki!K:K,MATCH('BOM2017'!D243,Wiki!B:B,0)))</f>
        <v>#VALUE!</v>
      </c>
    </row>
    <row r="244" spans="2:14" x14ac:dyDescent="0.2">
      <c r="B244" s="6">
        <v>239</v>
      </c>
      <c r="C244" s="3" t="s">
        <v>1344</v>
      </c>
      <c r="D244" t="e">
        <f t="shared" si="3"/>
        <v>#VALUE!</v>
      </c>
      <c r="E244" s="3" t="s">
        <v>1345</v>
      </c>
      <c r="F244" s="7" t="s">
        <v>1346</v>
      </c>
      <c r="G244" s="6">
        <v>63</v>
      </c>
      <c r="H244" s="6" t="s">
        <v>1347</v>
      </c>
      <c r="I244" s="6">
        <v>2</v>
      </c>
      <c r="J244" s="4">
        <v>43316</v>
      </c>
      <c r="K244" s="8">
        <v>43448</v>
      </c>
      <c r="L244" s="1" t="e">
        <f>IF(MATCH(C244,Wiki!B:B,0)&lt;&gt;0,TRUE,FALSE)</f>
        <v>#N/A</v>
      </c>
      <c r="M244" s="1" t="e">
        <f>INDEX(Wiki!K:K,MATCH('BOM2017'!C244,Wiki!B:B,0))</f>
        <v>#N/A</v>
      </c>
      <c r="N244" s="1" t="e">
        <f>IFERROR(M244,INDEX(Wiki!K:K,MATCH('BOM2017'!D244,Wiki!B:B,0)))</f>
        <v>#VALUE!</v>
      </c>
    </row>
    <row r="245" spans="2:14" x14ac:dyDescent="0.2">
      <c r="B245" s="6">
        <v>240</v>
      </c>
      <c r="C245" s="3" t="s">
        <v>1348</v>
      </c>
      <c r="D245" t="e">
        <f t="shared" si="3"/>
        <v>#VALUE!</v>
      </c>
      <c r="E245" s="3" t="s">
        <v>1349</v>
      </c>
      <c r="F245" s="7" t="s">
        <v>1350</v>
      </c>
      <c r="G245" s="6">
        <v>552</v>
      </c>
      <c r="H245" s="6" t="s">
        <v>1351</v>
      </c>
      <c r="I245" s="6">
        <v>381</v>
      </c>
      <c r="J245" s="4">
        <v>43127</v>
      </c>
      <c r="K245" s="8">
        <v>43147</v>
      </c>
      <c r="L245" s="1" t="e">
        <f>IF(MATCH(C245,Wiki!B:B,0)&lt;&gt;0,TRUE,FALSE)</f>
        <v>#N/A</v>
      </c>
      <c r="M245" s="1" t="e">
        <f>INDEX(Wiki!K:K,MATCH('BOM2017'!C245,Wiki!B:B,0))</f>
        <v>#N/A</v>
      </c>
      <c r="N245" s="1" t="e">
        <f>IFERROR(M245,INDEX(Wiki!K:K,MATCH('BOM2017'!D245,Wiki!B:B,0)))</f>
        <v>#VALUE!</v>
      </c>
    </row>
    <row r="246" spans="2:14" x14ac:dyDescent="0.2">
      <c r="B246" s="6">
        <v>241</v>
      </c>
      <c r="C246" s="3" t="s">
        <v>1352</v>
      </c>
      <c r="D246" t="e">
        <f t="shared" si="3"/>
        <v>#VALUE!</v>
      </c>
      <c r="E246" s="3" t="s">
        <v>1353</v>
      </c>
      <c r="F246" s="7" t="s">
        <v>1354</v>
      </c>
      <c r="G246" s="6">
        <v>265</v>
      </c>
      <c r="H246" s="6" t="s">
        <v>1354</v>
      </c>
      <c r="I246" s="6">
        <v>265</v>
      </c>
      <c r="J246" s="4">
        <v>43393</v>
      </c>
      <c r="K246" s="8">
        <v>43395</v>
      </c>
      <c r="L246" s="1" t="e">
        <f>IF(MATCH(C246,Wiki!B:B,0)&lt;&gt;0,TRUE,FALSE)</f>
        <v>#N/A</v>
      </c>
      <c r="M246" s="1" t="e">
        <f>INDEX(Wiki!K:K,MATCH('BOM2017'!C246,Wiki!B:B,0))</f>
        <v>#N/A</v>
      </c>
      <c r="N246" s="1" t="e">
        <f>IFERROR(M246,INDEX(Wiki!K:K,MATCH('BOM2017'!D246,Wiki!B:B,0)))</f>
        <v>#VALUE!</v>
      </c>
    </row>
    <row r="247" spans="2:14" x14ac:dyDescent="0.2">
      <c r="B247" s="6">
        <v>242</v>
      </c>
      <c r="C247" s="3" t="s">
        <v>493</v>
      </c>
      <c r="D247" t="str">
        <f t="shared" si="3"/>
        <v/>
      </c>
      <c r="E247" s="3" t="s">
        <v>643</v>
      </c>
      <c r="F247" s="7" t="s">
        <v>1355</v>
      </c>
      <c r="G247" s="6">
        <v>110</v>
      </c>
      <c r="H247" s="6" t="s">
        <v>1356</v>
      </c>
      <c r="I247" s="6">
        <v>4</v>
      </c>
      <c r="J247" s="4">
        <v>43407</v>
      </c>
      <c r="K247" s="8">
        <v>43455</v>
      </c>
      <c r="L247" s="1" t="b">
        <f>IF(MATCH(C247,Wiki!B:B,0)&lt;&gt;0,TRUE,FALSE)</f>
        <v>1</v>
      </c>
      <c r="M247" s="1" t="str">
        <f>INDEX(Wiki!K:K,MATCH('BOM2017'!C247,Wiki!B:B,0))</f>
        <v>Last_Flag_Flying</v>
      </c>
      <c r="N247" s="1" t="str">
        <f>IFERROR(M247,INDEX(Wiki!K:K,MATCH('BOM2017'!D247,Wiki!B:B,0)))</f>
        <v>Last_Flag_Flying</v>
      </c>
    </row>
    <row r="248" spans="2:14" x14ac:dyDescent="0.2">
      <c r="B248" s="6">
        <v>243</v>
      </c>
      <c r="C248" s="3" t="s">
        <v>1357</v>
      </c>
      <c r="D248" t="str">
        <f t="shared" si="3"/>
        <v>Lucky</v>
      </c>
      <c r="E248" s="3" t="s">
        <v>1039</v>
      </c>
      <c r="F248" s="7" t="s">
        <v>1358</v>
      </c>
      <c r="G248" s="6">
        <v>111</v>
      </c>
      <c r="H248" s="6" t="s">
        <v>1359</v>
      </c>
      <c r="I248" s="6">
        <v>5</v>
      </c>
      <c r="J248" s="4">
        <v>43372</v>
      </c>
      <c r="K248" s="6" t="s">
        <v>558</v>
      </c>
      <c r="L248" s="1" t="e">
        <f>IF(MATCH(C248,Wiki!B:B,0)&lt;&gt;0,TRUE,FALSE)</f>
        <v>#N/A</v>
      </c>
      <c r="M248" s="1" t="e">
        <f>INDEX(Wiki!K:K,MATCH('BOM2017'!C248,Wiki!B:B,0))</f>
        <v>#N/A</v>
      </c>
      <c r="N248" s="1" t="e">
        <f>IFERROR(M248,INDEX(Wiki!K:K,MATCH('BOM2017'!D248,Wiki!B:B,0)))</f>
        <v>#N/A</v>
      </c>
    </row>
    <row r="249" spans="2:14" x14ac:dyDescent="0.2">
      <c r="B249" s="6">
        <v>244</v>
      </c>
      <c r="C249" s="3" t="s">
        <v>1360</v>
      </c>
      <c r="D249" t="e">
        <f t="shared" si="3"/>
        <v>#VALUE!</v>
      </c>
      <c r="E249" s="3" t="s">
        <v>1039</v>
      </c>
      <c r="F249" s="7" t="s">
        <v>1361</v>
      </c>
      <c r="G249" s="6">
        <v>144</v>
      </c>
      <c r="H249" s="6" t="s">
        <v>1362</v>
      </c>
      <c r="I249" s="6">
        <v>4</v>
      </c>
      <c r="J249" s="4">
        <v>43302</v>
      </c>
      <c r="K249" s="8">
        <v>43371</v>
      </c>
      <c r="L249" s="1" t="e">
        <f>IF(MATCH(C249,Wiki!B:B,0)&lt;&gt;0,TRUE,FALSE)</f>
        <v>#N/A</v>
      </c>
      <c r="M249" s="1" t="e">
        <f>INDEX(Wiki!K:K,MATCH('BOM2017'!C249,Wiki!B:B,0))</f>
        <v>#N/A</v>
      </c>
      <c r="N249" s="1" t="e">
        <f>IFERROR(M249,INDEX(Wiki!K:K,MATCH('BOM2017'!D249,Wiki!B:B,0)))</f>
        <v>#VALUE!</v>
      </c>
    </row>
    <row r="250" spans="2:14" x14ac:dyDescent="0.2">
      <c r="B250" s="6">
        <v>245</v>
      </c>
      <c r="C250" s="3" t="s">
        <v>1363</v>
      </c>
      <c r="D250" t="e">
        <f t="shared" si="3"/>
        <v>#VALUE!</v>
      </c>
      <c r="E250" s="3" t="s">
        <v>1083</v>
      </c>
      <c r="F250" s="7" t="s">
        <v>1364</v>
      </c>
      <c r="G250" s="6">
        <v>338</v>
      </c>
      <c r="H250" s="6" t="s">
        <v>1364</v>
      </c>
      <c r="I250" s="6">
        <v>338</v>
      </c>
      <c r="J250" s="4">
        <v>43274</v>
      </c>
      <c r="K250" s="8">
        <v>43276</v>
      </c>
      <c r="L250" s="1" t="e">
        <f>IF(MATCH(C250,Wiki!B:B,0)&lt;&gt;0,TRUE,FALSE)</f>
        <v>#N/A</v>
      </c>
      <c r="M250" s="1" t="e">
        <f>INDEX(Wiki!K:K,MATCH('BOM2017'!C250,Wiki!B:B,0))</f>
        <v>#N/A</v>
      </c>
      <c r="N250" s="1" t="e">
        <f>IFERROR(M250,INDEX(Wiki!K:K,MATCH('BOM2017'!D250,Wiki!B:B,0)))</f>
        <v>#VALUE!</v>
      </c>
    </row>
    <row r="251" spans="2:14" x14ac:dyDescent="0.2">
      <c r="B251" s="6">
        <v>246</v>
      </c>
      <c r="C251" s="3" t="s">
        <v>45</v>
      </c>
      <c r="D251" t="str">
        <f t="shared" si="3"/>
        <v/>
      </c>
      <c r="E251" s="3" t="s">
        <v>1015</v>
      </c>
      <c r="F251" s="7" t="s">
        <v>1365</v>
      </c>
      <c r="G251" s="6">
        <v>127</v>
      </c>
      <c r="H251" s="6" t="s">
        <v>1366</v>
      </c>
      <c r="I251" s="6">
        <v>3</v>
      </c>
      <c r="J251" s="4">
        <v>43120</v>
      </c>
      <c r="K251" s="8">
        <v>43252</v>
      </c>
      <c r="L251" s="1" t="b">
        <f>IF(MATCH(C251,Wiki!B:B,0)&lt;&gt;0,TRUE,FALSE)</f>
        <v>1</v>
      </c>
      <c r="M251" s="1" t="str">
        <f>INDEX(Wiki!K:K,MATCH('BOM2017'!C251,Wiki!B:B,0))</f>
        <v>The_Red_Turtle</v>
      </c>
      <c r="N251" s="1" t="str">
        <f>IFERROR(M251,INDEX(Wiki!K:K,MATCH('BOM2017'!D251,Wiki!B:B,0)))</f>
        <v>The_Red_Turtle</v>
      </c>
    </row>
    <row r="252" spans="2:14" x14ac:dyDescent="0.2">
      <c r="B252" s="6">
        <v>247</v>
      </c>
      <c r="C252" s="3" t="s">
        <v>1367</v>
      </c>
      <c r="D252" t="e">
        <f t="shared" si="3"/>
        <v>#VALUE!</v>
      </c>
      <c r="E252" s="3" t="s">
        <v>1213</v>
      </c>
      <c r="F252" s="7" t="s">
        <v>1368</v>
      </c>
      <c r="G252" s="6">
        <v>106</v>
      </c>
      <c r="H252" s="6" t="s">
        <v>1369</v>
      </c>
      <c r="I252" s="6">
        <v>2</v>
      </c>
      <c r="J252" s="4">
        <v>43174</v>
      </c>
      <c r="K252" s="8">
        <v>43273</v>
      </c>
      <c r="L252" s="1" t="e">
        <f>IF(MATCH(C252,Wiki!B:B,0)&lt;&gt;0,TRUE,FALSE)</f>
        <v>#N/A</v>
      </c>
      <c r="M252" s="1" t="e">
        <f>INDEX(Wiki!K:K,MATCH('BOM2017'!C252,Wiki!B:B,0))</f>
        <v>#N/A</v>
      </c>
      <c r="N252" s="1" t="e">
        <f>IFERROR(M252,INDEX(Wiki!K:K,MATCH('BOM2017'!D252,Wiki!B:B,0)))</f>
        <v>#VALUE!</v>
      </c>
    </row>
    <row r="253" spans="2:14" x14ac:dyDescent="0.2">
      <c r="B253" s="6">
        <v>248</v>
      </c>
      <c r="C253" s="3" t="s">
        <v>1370</v>
      </c>
      <c r="D253" t="e">
        <f t="shared" si="3"/>
        <v>#VALUE!</v>
      </c>
      <c r="E253" s="3" t="s">
        <v>570</v>
      </c>
      <c r="F253" s="7" t="s">
        <v>1371</v>
      </c>
      <c r="G253" s="6">
        <v>67</v>
      </c>
      <c r="H253" s="6" t="s">
        <v>1372</v>
      </c>
      <c r="I253" s="6">
        <v>67</v>
      </c>
      <c r="J253" s="4">
        <v>43134</v>
      </c>
      <c r="K253" s="8">
        <v>43168</v>
      </c>
      <c r="L253" s="1" t="e">
        <f>IF(MATCH(C253,Wiki!B:B,0)&lt;&gt;0,TRUE,FALSE)</f>
        <v>#N/A</v>
      </c>
      <c r="M253" s="1" t="e">
        <f>INDEX(Wiki!K:K,MATCH('BOM2017'!C253,Wiki!B:B,0))</f>
        <v>#N/A</v>
      </c>
      <c r="N253" s="1" t="e">
        <f>IFERROR(M253,INDEX(Wiki!K:K,MATCH('BOM2017'!D253,Wiki!B:B,0)))</f>
        <v>#VALUE!</v>
      </c>
    </row>
    <row r="254" spans="2:14" x14ac:dyDescent="0.2">
      <c r="B254" s="6">
        <v>249</v>
      </c>
      <c r="C254" s="3" t="s">
        <v>1373</v>
      </c>
      <c r="D254" t="str">
        <f t="shared" si="3"/>
        <v>The Polar Express</v>
      </c>
      <c r="E254" s="3" t="s">
        <v>563</v>
      </c>
      <c r="F254" s="7" t="s">
        <v>1374</v>
      </c>
      <c r="G254" s="6" t="s">
        <v>1159</v>
      </c>
      <c r="H254" s="6" t="s">
        <v>1375</v>
      </c>
      <c r="I254" s="6" t="s">
        <v>1159</v>
      </c>
      <c r="J254" s="4">
        <v>43421</v>
      </c>
      <c r="K254" s="8">
        <v>43465</v>
      </c>
      <c r="L254" s="1" t="e">
        <f>IF(MATCH(C254,Wiki!B:B,0)&lt;&gt;0,TRUE,FALSE)</f>
        <v>#N/A</v>
      </c>
      <c r="M254" s="1" t="e">
        <f>INDEX(Wiki!K:K,MATCH('BOM2017'!C254,Wiki!B:B,0))</f>
        <v>#N/A</v>
      </c>
      <c r="N254" s="1" t="e">
        <f>IFERROR(M254,INDEX(Wiki!K:K,MATCH('BOM2017'!D254,Wiki!B:B,0)))</f>
        <v>#N/A</v>
      </c>
    </row>
    <row r="255" spans="2:14" x14ac:dyDescent="0.2">
      <c r="B255" s="6">
        <v>250</v>
      </c>
      <c r="C255" s="3" t="s">
        <v>1376</v>
      </c>
      <c r="D255" t="e">
        <f t="shared" si="3"/>
        <v>#VALUE!</v>
      </c>
      <c r="E255" s="3" t="s">
        <v>1377</v>
      </c>
      <c r="F255" s="7" t="s">
        <v>1378</v>
      </c>
      <c r="G255" s="6">
        <v>210</v>
      </c>
      <c r="H255" s="6" t="s">
        <v>1379</v>
      </c>
      <c r="I255" s="6">
        <v>210</v>
      </c>
      <c r="J255" s="4">
        <v>43295</v>
      </c>
      <c r="K255" s="8">
        <v>43315</v>
      </c>
      <c r="L255" s="1" t="e">
        <f>IF(MATCH(C255,Wiki!B:B,0)&lt;&gt;0,TRUE,FALSE)</f>
        <v>#N/A</v>
      </c>
      <c r="M255" s="1" t="e">
        <f>INDEX(Wiki!K:K,MATCH('BOM2017'!C255,Wiki!B:B,0))</f>
        <v>#N/A</v>
      </c>
      <c r="N255" s="1" t="e">
        <f>IFERROR(M255,INDEX(Wiki!K:K,MATCH('BOM2017'!D255,Wiki!B:B,0)))</f>
        <v>#VALUE!</v>
      </c>
    </row>
    <row r="256" spans="2:14" x14ac:dyDescent="0.2">
      <c r="B256" s="6">
        <v>251</v>
      </c>
      <c r="C256" s="3" t="s">
        <v>1380</v>
      </c>
      <c r="D256" t="str">
        <f t="shared" si="3"/>
        <v>Ex-File 3</v>
      </c>
      <c r="E256" s="3" t="s">
        <v>1210</v>
      </c>
      <c r="F256" s="7" t="s">
        <v>1381</v>
      </c>
      <c r="G256" s="6">
        <v>24</v>
      </c>
      <c r="H256" s="6" t="s">
        <v>1382</v>
      </c>
      <c r="I256" s="6">
        <v>21</v>
      </c>
      <c r="J256" s="4">
        <v>43463</v>
      </c>
      <c r="K256" s="6" t="s">
        <v>558</v>
      </c>
      <c r="L256" s="1" t="e">
        <f>IF(MATCH(C256,Wiki!B:B,0)&lt;&gt;0,TRUE,FALSE)</f>
        <v>#N/A</v>
      </c>
      <c r="M256" s="1" t="e">
        <f>INDEX(Wiki!K:K,MATCH('BOM2017'!C256,Wiki!B:B,0))</f>
        <v>#N/A</v>
      </c>
      <c r="N256" s="1" t="e">
        <f>IFERROR(M256,INDEX(Wiki!K:K,MATCH('BOM2017'!D256,Wiki!B:B,0)))</f>
        <v>#N/A</v>
      </c>
    </row>
    <row r="257" spans="2:14" x14ac:dyDescent="0.2">
      <c r="B257" s="6">
        <v>252</v>
      </c>
      <c r="C257" s="3" t="s">
        <v>368</v>
      </c>
      <c r="D257" t="str">
        <f t="shared" si="3"/>
        <v/>
      </c>
      <c r="E257" s="3" t="s">
        <v>830</v>
      </c>
      <c r="F257" s="7" t="s">
        <v>1383</v>
      </c>
      <c r="G257" s="6">
        <v>303</v>
      </c>
      <c r="H257" s="6" t="s">
        <v>1384</v>
      </c>
      <c r="I257" s="6">
        <v>14</v>
      </c>
      <c r="J257" s="4">
        <v>43330</v>
      </c>
      <c r="K257" s="8">
        <v>43385</v>
      </c>
      <c r="L257" s="1" t="b">
        <f>IF(MATCH(C257,Wiki!B:B,0)&lt;&gt;0,TRUE,FALSE)</f>
        <v>1</v>
      </c>
      <c r="M257" s="1" t="str">
        <f>INDEX(Wiki!K:K,MATCH('BOM2017'!C257,Wiki!B:B,0))</f>
        <v>Patti_Cake$</v>
      </c>
      <c r="N257" s="1" t="str">
        <f>IFERROR(M257,INDEX(Wiki!K:K,MATCH('BOM2017'!D257,Wiki!B:B,0)))</f>
        <v>Patti_Cake$</v>
      </c>
    </row>
    <row r="258" spans="2:14" x14ac:dyDescent="0.2">
      <c r="B258" s="6">
        <v>253</v>
      </c>
      <c r="C258" s="3" t="s">
        <v>1385</v>
      </c>
      <c r="D258" t="e">
        <f t="shared" si="3"/>
        <v>#VALUE!</v>
      </c>
      <c r="E258" s="3" t="s">
        <v>1152</v>
      </c>
      <c r="F258" s="7" t="s">
        <v>1386</v>
      </c>
      <c r="G258" s="6">
        <v>476</v>
      </c>
      <c r="H258" s="6" t="s">
        <v>1386</v>
      </c>
      <c r="I258" s="6">
        <v>476</v>
      </c>
      <c r="J258" s="4">
        <v>43150</v>
      </c>
      <c r="K258" s="8">
        <v>43150</v>
      </c>
      <c r="L258" s="1" t="e">
        <f>IF(MATCH(C258,Wiki!B:B,0)&lt;&gt;0,TRUE,FALSE)</f>
        <v>#N/A</v>
      </c>
      <c r="M258" s="1" t="e">
        <f>INDEX(Wiki!K:K,MATCH('BOM2017'!C258,Wiki!B:B,0))</f>
        <v>#N/A</v>
      </c>
      <c r="N258" s="1" t="e">
        <f>IFERROR(M258,INDEX(Wiki!K:K,MATCH('BOM2017'!D258,Wiki!B:B,0)))</f>
        <v>#VALUE!</v>
      </c>
    </row>
    <row r="259" spans="2:14" x14ac:dyDescent="0.2">
      <c r="B259" s="6">
        <v>254</v>
      </c>
      <c r="C259" s="3" t="s">
        <v>438</v>
      </c>
      <c r="D259" t="str">
        <f t="shared" si="3"/>
        <v/>
      </c>
      <c r="E259" s="3" t="s">
        <v>1015</v>
      </c>
      <c r="F259" s="7" t="s">
        <v>1387</v>
      </c>
      <c r="G259" s="6">
        <v>332</v>
      </c>
      <c r="H259" s="6" t="s">
        <v>1388</v>
      </c>
      <c r="I259" s="6">
        <v>5</v>
      </c>
      <c r="J259" s="4">
        <v>43372</v>
      </c>
      <c r="K259" s="8">
        <v>43441</v>
      </c>
      <c r="L259" s="1" t="b">
        <f>IF(MATCH(C259,Wiki!B:B,0)&lt;&gt;0,TRUE,FALSE)</f>
        <v>1</v>
      </c>
      <c r="M259" s="1" t="str">
        <f>INDEX(Wiki!K:K,MATCH('BOM2017'!C259,Wiki!B:B,0))</f>
        <v>Mark_Felt:_The_Man_Who_Brought_Down_the_White_House</v>
      </c>
      <c r="N259" s="1" t="str">
        <f>IFERROR(M259,INDEX(Wiki!K:K,MATCH('BOM2017'!D259,Wiki!B:B,0)))</f>
        <v>Mark_Felt:_The_Man_Who_Brought_Down_the_White_House</v>
      </c>
    </row>
    <row r="260" spans="2:14" x14ac:dyDescent="0.2">
      <c r="B260" s="6">
        <v>255</v>
      </c>
      <c r="C260" s="3" t="s">
        <v>1389</v>
      </c>
      <c r="D260" t="e">
        <f t="shared" si="3"/>
        <v>#VALUE!</v>
      </c>
      <c r="E260" s="3" t="s">
        <v>570</v>
      </c>
      <c r="F260" s="7" t="s">
        <v>1390</v>
      </c>
      <c r="G260" s="6">
        <v>128</v>
      </c>
      <c r="H260" s="6" t="s">
        <v>1391</v>
      </c>
      <c r="I260" s="6">
        <v>128</v>
      </c>
      <c r="J260" s="4">
        <v>43309</v>
      </c>
      <c r="K260" s="8">
        <v>43336</v>
      </c>
      <c r="L260" s="1" t="e">
        <f>IF(MATCH(C260,Wiki!B:B,0)&lt;&gt;0,TRUE,FALSE)</f>
        <v>#N/A</v>
      </c>
      <c r="M260" s="1" t="e">
        <f>INDEX(Wiki!K:K,MATCH('BOM2017'!C260,Wiki!B:B,0))</f>
        <v>#N/A</v>
      </c>
      <c r="N260" s="1" t="e">
        <f>IFERROR(M260,INDEX(Wiki!K:K,MATCH('BOM2017'!D260,Wiki!B:B,0)))</f>
        <v>#VALUE!</v>
      </c>
    </row>
    <row r="261" spans="2:14" x14ac:dyDescent="0.2">
      <c r="B261" s="6">
        <v>256</v>
      </c>
      <c r="C261" s="3" t="s">
        <v>1392</v>
      </c>
      <c r="D261" t="e">
        <f t="shared" si="3"/>
        <v>#VALUE!</v>
      </c>
      <c r="E261" s="3" t="s">
        <v>1142</v>
      </c>
      <c r="F261" s="7" t="s">
        <v>1393</v>
      </c>
      <c r="G261" s="6">
        <v>326</v>
      </c>
      <c r="H261" s="6" t="s">
        <v>1394</v>
      </c>
      <c r="I261" s="6">
        <v>8</v>
      </c>
      <c r="J261" s="4">
        <v>43355</v>
      </c>
      <c r="K261" s="8">
        <v>43406</v>
      </c>
      <c r="L261" s="1" t="e">
        <f>IF(MATCH(C261,Wiki!B:B,0)&lt;&gt;0,TRUE,FALSE)</f>
        <v>#N/A</v>
      </c>
      <c r="M261" s="1" t="e">
        <f>INDEX(Wiki!K:K,MATCH('BOM2017'!C261,Wiki!B:B,0))</f>
        <v>#N/A</v>
      </c>
      <c r="N261" s="1" t="e">
        <f>IFERROR(M261,INDEX(Wiki!K:K,MATCH('BOM2017'!D261,Wiki!B:B,0)))</f>
        <v>#VALUE!</v>
      </c>
    </row>
    <row r="262" spans="2:14" x14ac:dyDescent="0.2">
      <c r="B262" s="6">
        <v>257</v>
      </c>
      <c r="C262" s="3" t="s">
        <v>1395</v>
      </c>
      <c r="D262" t="e">
        <f t="shared" ref="D262:D325" si="4">IF(ISERROR(M262),TRIM(LEFT(C262,FIND("(",C262)-1)),"")</f>
        <v>#VALUE!</v>
      </c>
      <c r="E262" s="3" t="s">
        <v>1152</v>
      </c>
      <c r="F262" s="7" t="s">
        <v>1396</v>
      </c>
      <c r="G262" s="6">
        <v>731</v>
      </c>
      <c r="H262" s="6" t="s">
        <v>1159</v>
      </c>
      <c r="I262" s="6" t="s">
        <v>1159</v>
      </c>
      <c r="J262" s="4">
        <v>43397</v>
      </c>
      <c r="K262" s="8">
        <v>43406</v>
      </c>
      <c r="L262" s="1" t="e">
        <f>IF(MATCH(C262,Wiki!B:B,0)&lt;&gt;0,TRUE,FALSE)</f>
        <v>#N/A</v>
      </c>
      <c r="M262" s="1" t="e">
        <f>INDEX(Wiki!K:K,MATCH('BOM2017'!C262,Wiki!B:B,0))</f>
        <v>#N/A</v>
      </c>
      <c r="N262" s="1" t="e">
        <f>IFERROR(M262,INDEX(Wiki!K:K,MATCH('BOM2017'!D262,Wiki!B:B,0)))</f>
        <v>#VALUE!</v>
      </c>
    </row>
    <row r="263" spans="2:14" x14ac:dyDescent="0.2">
      <c r="B263" s="6">
        <v>258</v>
      </c>
      <c r="C263" s="3" t="s">
        <v>1397</v>
      </c>
      <c r="D263" t="e">
        <f t="shared" si="4"/>
        <v>#VALUE!</v>
      </c>
      <c r="E263" s="3" t="s">
        <v>38</v>
      </c>
      <c r="F263" s="7" t="s">
        <v>1398</v>
      </c>
      <c r="G263" s="6">
        <v>48</v>
      </c>
      <c r="H263" s="6" t="s">
        <v>1399</v>
      </c>
      <c r="I263" s="6">
        <v>2</v>
      </c>
      <c r="J263" s="4">
        <v>43253</v>
      </c>
      <c r="K263" s="8">
        <v>43343</v>
      </c>
      <c r="L263" s="1" t="e">
        <f>IF(MATCH(C263,Wiki!B:B,0)&lt;&gt;0,TRUE,FALSE)</f>
        <v>#N/A</v>
      </c>
      <c r="M263" s="1" t="e">
        <f>INDEX(Wiki!K:K,MATCH('BOM2017'!C263,Wiki!B:B,0))</f>
        <v>#N/A</v>
      </c>
      <c r="N263" s="1" t="e">
        <f>IFERROR(M263,INDEX(Wiki!K:K,MATCH('BOM2017'!D263,Wiki!B:B,0)))</f>
        <v>#VALUE!</v>
      </c>
    </row>
    <row r="264" spans="2:14" x14ac:dyDescent="0.2">
      <c r="B264" s="6">
        <v>259</v>
      </c>
      <c r="C264" s="3" t="s">
        <v>1400</v>
      </c>
      <c r="D264" t="e">
        <f t="shared" si="4"/>
        <v>#VALUE!</v>
      </c>
      <c r="E264" s="3" t="s">
        <v>1152</v>
      </c>
      <c r="F264" s="7" t="s">
        <v>1401</v>
      </c>
      <c r="G264" s="6">
        <v>465</v>
      </c>
      <c r="H264" s="6" t="s">
        <v>1401</v>
      </c>
      <c r="I264" s="6">
        <v>465</v>
      </c>
      <c r="J264" s="4">
        <v>43359</v>
      </c>
      <c r="K264" s="8">
        <v>43359</v>
      </c>
      <c r="L264" s="1" t="e">
        <f>IF(MATCH(C264,Wiki!B:B,0)&lt;&gt;0,TRUE,FALSE)</f>
        <v>#N/A</v>
      </c>
      <c r="M264" s="1" t="e">
        <f>INDEX(Wiki!K:K,MATCH('BOM2017'!C264,Wiki!B:B,0))</f>
        <v>#N/A</v>
      </c>
      <c r="N264" s="1" t="e">
        <f>IFERROR(M264,INDEX(Wiki!K:K,MATCH('BOM2017'!D264,Wiki!B:B,0)))</f>
        <v>#VALUE!</v>
      </c>
    </row>
    <row r="265" spans="2:14" x14ac:dyDescent="0.2">
      <c r="B265" s="6">
        <v>260</v>
      </c>
      <c r="C265" s="3" t="s">
        <v>1402</v>
      </c>
      <c r="D265" t="e">
        <f t="shared" si="4"/>
        <v>#VALUE!</v>
      </c>
      <c r="E265" s="3" t="s">
        <v>1175</v>
      </c>
      <c r="F265" s="7" t="s">
        <v>1403</v>
      </c>
      <c r="G265" s="6">
        <v>42</v>
      </c>
      <c r="H265" s="6" t="s">
        <v>1404</v>
      </c>
      <c r="I265" s="6">
        <v>5</v>
      </c>
      <c r="J265" s="4">
        <v>43379</v>
      </c>
      <c r="K265" s="6" t="s">
        <v>558</v>
      </c>
      <c r="L265" s="1" t="e">
        <f>IF(MATCH(C265,Wiki!B:B,0)&lt;&gt;0,TRUE,FALSE)</f>
        <v>#N/A</v>
      </c>
      <c r="M265" s="1" t="e">
        <f>INDEX(Wiki!K:K,MATCH('BOM2017'!C265,Wiki!B:B,0))</f>
        <v>#N/A</v>
      </c>
      <c r="N265" s="1" t="e">
        <f>IFERROR(M265,INDEX(Wiki!K:K,MATCH('BOM2017'!D265,Wiki!B:B,0)))</f>
        <v>#VALUE!</v>
      </c>
    </row>
    <row r="266" spans="2:14" x14ac:dyDescent="0.2">
      <c r="B266" s="6">
        <v>261</v>
      </c>
      <c r="C266" s="3" t="s">
        <v>1405</v>
      </c>
      <c r="D266" t="e">
        <f t="shared" si="4"/>
        <v>#VALUE!</v>
      </c>
      <c r="E266" s="3" t="s">
        <v>1152</v>
      </c>
      <c r="F266" s="7" t="s">
        <v>1406</v>
      </c>
      <c r="G266" s="6">
        <v>413</v>
      </c>
      <c r="H266" s="6" t="s">
        <v>1407</v>
      </c>
      <c r="I266" s="6">
        <v>293</v>
      </c>
      <c r="J266" s="4">
        <v>43259</v>
      </c>
      <c r="K266" s="8">
        <v>43269</v>
      </c>
      <c r="L266" s="1" t="e">
        <f>IF(MATCH(C266,Wiki!B:B,0)&lt;&gt;0,TRUE,FALSE)</f>
        <v>#N/A</v>
      </c>
      <c r="M266" s="1" t="e">
        <f>INDEX(Wiki!K:K,MATCH('BOM2017'!C266,Wiki!B:B,0))</f>
        <v>#N/A</v>
      </c>
      <c r="N266" s="1" t="e">
        <f>IFERROR(M266,INDEX(Wiki!K:K,MATCH('BOM2017'!D266,Wiki!B:B,0)))</f>
        <v>#VALUE!</v>
      </c>
    </row>
    <row r="267" spans="2:14" x14ac:dyDescent="0.2">
      <c r="B267" s="6">
        <v>262</v>
      </c>
      <c r="C267" s="3" t="s">
        <v>1408</v>
      </c>
      <c r="D267" t="str">
        <f t="shared" si="4"/>
        <v>Titanic</v>
      </c>
      <c r="E267" s="3" t="s">
        <v>638</v>
      </c>
      <c r="F267" s="7" t="s">
        <v>1409</v>
      </c>
      <c r="G267" s="6">
        <v>87</v>
      </c>
      <c r="H267" s="6" t="s">
        <v>1410</v>
      </c>
      <c r="I267" s="6">
        <v>87</v>
      </c>
      <c r="J267" s="4">
        <v>43435</v>
      </c>
      <c r="K267" s="8">
        <v>43448</v>
      </c>
      <c r="L267" s="1" t="e">
        <f>IF(MATCH(C267,Wiki!B:B,0)&lt;&gt;0,TRUE,FALSE)</f>
        <v>#N/A</v>
      </c>
      <c r="M267" s="1" t="e">
        <f>INDEX(Wiki!K:K,MATCH('BOM2017'!C267,Wiki!B:B,0))</f>
        <v>#N/A</v>
      </c>
      <c r="N267" s="1" t="e">
        <f>IFERROR(M267,INDEX(Wiki!K:K,MATCH('BOM2017'!D267,Wiki!B:B,0)))</f>
        <v>#N/A</v>
      </c>
    </row>
    <row r="268" spans="2:14" x14ac:dyDescent="0.2">
      <c r="B268" s="6">
        <v>263</v>
      </c>
      <c r="C268" s="3" t="s">
        <v>1411</v>
      </c>
      <c r="D268" t="e">
        <f t="shared" si="4"/>
        <v>#VALUE!</v>
      </c>
      <c r="E268" s="3" t="s">
        <v>1142</v>
      </c>
      <c r="F268" s="7" t="s">
        <v>1412</v>
      </c>
      <c r="G268" s="6">
        <v>48</v>
      </c>
      <c r="H268" s="6" t="s">
        <v>1413</v>
      </c>
      <c r="I268" s="6">
        <v>1</v>
      </c>
      <c r="J268" s="4">
        <v>43267</v>
      </c>
      <c r="K268" s="8">
        <v>43434</v>
      </c>
      <c r="L268" s="1" t="e">
        <f>IF(MATCH(C268,Wiki!B:B,0)&lt;&gt;0,TRUE,FALSE)</f>
        <v>#N/A</v>
      </c>
      <c r="M268" s="1" t="e">
        <f>INDEX(Wiki!K:K,MATCH('BOM2017'!C268,Wiki!B:B,0))</f>
        <v>#N/A</v>
      </c>
      <c r="N268" s="1" t="e">
        <f>IFERROR(M268,INDEX(Wiki!K:K,MATCH('BOM2017'!D268,Wiki!B:B,0)))</f>
        <v>#VALUE!</v>
      </c>
    </row>
    <row r="269" spans="2:14" x14ac:dyDescent="0.2">
      <c r="B269" s="6">
        <v>264</v>
      </c>
      <c r="C269" s="3" t="s">
        <v>1414</v>
      </c>
      <c r="D269" t="e">
        <f t="shared" si="4"/>
        <v>#VALUE!</v>
      </c>
      <c r="E269" s="3" t="s">
        <v>1415</v>
      </c>
      <c r="F269" s="7" t="s">
        <v>1416</v>
      </c>
      <c r="G269" s="6">
        <v>80</v>
      </c>
      <c r="H269" s="6" t="s">
        <v>1417</v>
      </c>
      <c r="I269" s="6">
        <v>80</v>
      </c>
      <c r="J269" s="4">
        <v>43344</v>
      </c>
      <c r="K269" s="8">
        <v>43378</v>
      </c>
      <c r="L269" s="1" t="e">
        <f>IF(MATCH(C269,Wiki!B:B,0)&lt;&gt;0,TRUE,FALSE)</f>
        <v>#N/A</v>
      </c>
      <c r="M269" s="1" t="e">
        <f>INDEX(Wiki!K:K,MATCH('BOM2017'!C269,Wiki!B:B,0))</f>
        <v>#N/A</v>
      </c>
      <c r="N269" s="1" t="e">
        <f>IFERROR(M269,INDEX(Wiki!K:K,MATCH('BOM2017'!D269,Wiki!B:B,0)))</f>
        <v>#VALUE!</v>
      </c>
    </row>
    <row r="270" spans="2:14" x14ac:dyDescent="0.2">
      <c r="B270" s="6">
        <v>265</v>
      </c>
      <c r="C270" s="3" t="s">
        <v>1418</v>
      </c>
      <c r="D270" t="e">
        <f t="shared" si="4"/>
        <v>#VALUE!</v>
      </c>
      <c r="E270" s="3" t="s">
        <v>1210</v>
      </c>
      <c r="F270" s="7" t="s">
        <v>1419</v>
      </c>
      <c r="G270" s="6">
        <v>46</v>
      </c>
      <c r="H270" s="6" t="s">
        <v>1420</v>
      </c>
      <c r="I270" s="6">
        <v>43</v>
      </c>
      <c r="J270" s="4">
        <v>43190</v>
      </c>
      <c r="K270" s="8">
        <v>43213</v>
      </c>
      <c r="L270" s="1" t="e">
        <f>IF(MATCH(C270,Wiki!B:B,0)&lt;&gt;0,TRUE,FALSE)</f>
        <v>#N/A</v>
      </c>
      <c r="M270" s="1" t="e">
        <f>INDEX(Wiki!K:K,MATCH('BOM2017'!C270,Wiki!B:B,0))</f>
        <v>#N/A</v>
      </c>
      <c r="N270" s="1" t="e">
        <f>IFERROR(M270,INDEX(Wiki!K:K,MATCH('BOM2017'!D270,Wiki!B:B,0)))</f>
        <v>#VALUE!</v>
      </c>
    </row>
    <row r="271" spans="2:14" x14ac:dyDescent="0.2">
      <c r="B271" s="6">
        <v>266</v>
      </c>
      <c r="C271" s="3" t="s">
        <v>1421</v>
      </c>
      <c r="D271" t="e">
        <f t="shared" si="4"/>
        <v>#VALUE!</v>
      </c>
      <c r="E271" s="3" t="s">
        <v>1422</v>
      </c>
      <c r="F271" s="7" t="s">
        <v>1423</v>
      </c>
      <c r="G271" s="6">
        <v>61</v>
      </c>
      <c r="H271" s="6" t="s">
        <v>1424</v>
      </c>
      <c r="I271" s="6">
        <v>1</v>
      </c>
      <c r="J271" s="4">
        <v>43323</v>
      </c>
      <c r="K271" s="6" t="s">
        <v>558</v>
      </c>
      <c r="L271" s="1" t="e">
        <f>IF(MATCH(C271,Wiki!B:B,0)&lt;&gt;0,TRUE,FALSE)</f>
        <v>#N/A</v>
      </c>
      <c r="M271" s="1" t="e">
        <f>INDEX(Wiki!K:K,MATCH('BOM2017'!C271,Wiki!B:B,0))</f>
        <v>#N/A</v>
      </c>
      <c r="N271" s="1" t="e">
        <f>IFERROR(M271,INDEX(Wiki!K:K,MATCH('BOM2017'!D271,Wiki!B:B,0)))</f>
        <v>#VALUE!</v>
      </c>
    </row>
    <row r="272" spans="2:14" x14ac:dyDescent="0.2">
      <c r="B272" s="6">
        <v>267</v>
      </c>
      <c r="C272" s="3" t="s">
        <v>178</v>
      </c>
      <c r="D272" t="str">
        <f t="shared" si="4"/>
        <v/>
      </c>
      <c r="E272" s="3" t="s">
        <v>830</v>
      </c>
      <c r="F272" s="7" t="s">
        <v>1425</v>
      </c>
      <c r="G272" s="6">
        <v>311</v>
      </c>
      <c r="H272" s="6" t="s">
        <v>1426</v>
      </c>
      <c r="I272" s="6">
        <v>310</v>
      </c>
      <c r="J272" s="4">
        <v>43183</v>
      </c>
      <c r="K272" s="8">
        <v>43210</v>
      </c>
      <c r="L272" s="1" t="b">
        <f>IF(MATCH(C272,Wiki!B:B,0)&lt;&gt;0,TRUE,FALSE)</f>
        <v>1</v>
      </c>
      <c r="M272" s="1" t="str">
        <f>INDEX(Wiki!K:K,MATCH('BOM2017'!C272,Wiki!B:B,0))</f>
        <v>Wilson_(2017_film)</v>
      </c>
      <c r="N272" s="1" t="str">
        <f>IFERROR(M272,INDEX(Wiki!K:K,MATCH('BOM2017'!D272,Wiki!B:B,0)))</f>
        <v>Wilson_(2017_film)</v>
      </c>
    </row>
    <row r="273" spans="2:14" x14ac:dyDescent="0.2">
      <c r="B273" s="6">
        <v>268</v>
      </c>
      <c r="C273" s="3" t="s">
        <v>364</v>
      </c>
      <c r="D273" t="str">
        <f t="shared" si="4"/>
        <v/>
      </c>
      <c r="E273" s="3" t="s">
        <v>1043</v>
      </c>
      <c r="F273" s="7" t="s">
        <v>1427</v>
      </c>
      <c r="G273" s="6">
        <v>289</v>
      </c>
      <c r="H273" s="6" t="s">
        <v>1428</v>
      </c>
      <c r="I273" s="6">
        <v>15</v>
      </c>
      <c r="J273" s="4">
        <v>43323</v>
      </c>
      <c r="K273" s="8">
        <v>43371</v>
      </c>
      <c r="L273" s="1" t="b">
        <f>IF(MATCH(C273,Wiki!B:B,0)&lt;&gt;0,TRUE,FALSE)</f>
        <v>1</v>
      </c>
      <c r="M273" s="1" t="str">
        <f>INDEX(Wiki!K:K,MATCH('BOM2017'!C273,Wiki!B:B,0))</f>
        <v>The_Only_Living_Boy_in_New_York_(film)</v>
      </c>
      <c r="N273" s="1" t="str">
        <f>IFERROR(M273,INDEX(Wiki!K:K,MATCH('BOM2017'!D273,Wiki!B:B,0)))</f>
        <v>The_Only_Living_Boy_in_New_York_(film)</v>
      </c>
    </row>
    <row r="274" spans="2:14" x14ac:dyDescent="0.2">
      <c r="B274" s="6">
        <v>269</v>
      </c>
      <c r="C274" s="3" t="s">
        <v>1429</v>
      </c>
      <c r="D274" t="e">
        <f t="shared" si="4"/>
        <v>#VALUE!</v>
      </c>
      <c r="E274" s="3" t="s">
        <v>1213</v>
      </c>
      <c r="F274" s="7" t="s">
        <v>1430</v>
      </c>
      <c r="G274" s="6">
        <v>44</v>
      </c>
      <c r="H274" s="6" t="s">
        <v>1431</v>
      </c>
      <c r="I274" s="6">
        <v>3</v>
      </c>
      <c r="J274" s="4">
        <v>43302</v>
      </c>
      <c r="K274" s="8">
        <v>43399</v>
      </c>
      <c r="L274" s="1" t="e">
        <f>IF(MATCH(C274,Wiki!B:B,0)&lt;&gt;0,TRUE,FALSE)</f>
        <v>#N/A</v>
      </c>
      <c r="M274" s="1" t="e">
        <f>INDEX(Wiki!K:K,MATCH('BOM2017'!C274,Wiki!B:B,0))</f>
        <v>#N/A</v>
      </c>
      <c r="N274" s="1" t="e">
        <f>IFERROR(M274,INDEX(Wiki!K:K,MATCH('BOM2017'!D274,Wiki!B:B,0)))</f>
        <v>#VALUE!</v>
      </c>
    </row>
    <row r="275" spans="2:14" x14ac:dyDescent="0.2">
      <c r="B275" s="6">
        <v>270</v>
      </c>
      <c r="C275" s="3" t="s">
        <v>1432</v>
      </c>
      <c r="D275" t="e">
        <f t="shared" si="4"/>
        <v>#VALUE!</v>
      </c>
      <c r="E275" s="3" t="s">
        <v>1210</v>
      </c>
      <c r="F275" s="7" t="s">
        <v>1433</v>
      </c>
      <c r="G275" s="6">
        <v>42</v>
      </c>
      <c r="H275" s="6" t="s">
        <v>1434</v>
      </c>
      <c r="I275" s="6">
        <v>42</v>
      </c>
      <c r="J275" s="4">
        <v>43218</v>
      </c>
      <c r="K275" s="8">
        <v>43259</v>
      </c>
      <c r="L275" s="1" t="e">
        <f>IF(MATCH(C275,Wiki!B:B,0)&lt;&gt;0,TRUE,FALSE)</f>
        <v>#N/A</v>
      </c>
      <c r="M275" s="1" t="e">
        <f>INDEX(Wiki!K:K,MATCH('BOM2017'!C275,Wiki!B:B,0))</f>
        <v>#N/A</v>
      </c>
      <c r="N275" s="1" t="e">
        <f>IFERROR(M275,INDEX(Wiki!K:K,MATCH('BOM2017'!D275,Wiki!B:B,0)))</f>
        <v>#VALUE!</v>
      </c>
    </row>
    <row r="276" spans="2:14" x14ac:dyDescent="0.2">
      <c r="B276" s="6">
        <v>271</v>
      </c>
      <c r="C276" s="3" t="s">
        <v>483</v>
      </c>
      <c r="D276" t="str">
        <f t="shared" si="4"/>
        <v/>
      </c>
      <c r="E276" s="3" t="s">
        <v>1015</v>
      </c>
      <c r="F276" s="7" t="s">
        <v>1435</v>
      </c>
      <c r="G276" s="6">
        <v>163</v>
      </c>
      <c r="H276" s="6" t="s">
        <v>1436</v>
      </c>
      <c r="I276" s="6">
        <v>3</v>
      </c>
      <c r="J276" s="4">
        <v>43400</v>
      </c>
      <c r="K276" s="6" t="s">
        <v>558</v>
      </c>
      <c r="L276" s="1" t="b">
        <f>IF(MATCH(C276,Wiki!B:B,0)&lt;&gt;0,TRUE,FALSE)</f>
        <v>1</v>
      </c>
      <c r="M276" s="1" t="str">
        <f>INDEX(Wiki!K:K,MATCH('BOM2017'!C276,Wiki!B:B,0))</f>
        <v>Novitiate_(film)</v>
      </c>
      <c r="N276" s="1" t="str">
        <f>IFERROR(M276,INDEX(Wiki!K:K,MATCH('BOM2017'!D276,Wiki!B:B,0)))</f>
        <v>Novitiate_(film)</v>
      </c>
    </row>
    <row r="277" spans="2:14" x14ac:dyDescent="0.2">
      <c r="B277" s="6">
        <v>272</v>
      </c>
      <c r="C277" s="3" t="s">
        <v>1437</v>
      </c>
      <c r="D277" t="e">
        <f t="shared" si="4"/>
        <v>#VALUE!</v>
      </c>
      <c r="E277" s="3" t="s">
        <v>1043</v>
      </c>
      <c r="F277" s="7" t="s">
        <v>1438</v>
      </c>
      <c r="G277" s="6">
        <v>167</v>
      </c>
      <c r="H277" s="6" t="s">
        <v>1439</v>
      </c>
      <c r="I277" s="6">
        <v>167</v>
      </c>
      <c r="J277" s="4">
        <v>43204</v>
      </c>
      <c r="K277" s="8">
        <v>43252</v>
      </c>
      <c r="L277" s="1" t="e">
        <f>IF(MATCH(C277,Wiki!B:B,0)&lt;&gt;0,TRUE,FALSE)</f>
        <v>#N/A</v>
      </c>
      <c r="M277" s="1" t="e">
        <f>INDEX(Wiki!K:K,MATCH('BOM2017'!C277,Wiki!B:B,0))</f>
        <v>#N/A</v>
      </c>
      <c r="N277" s="1" t="e">
        <f>IFERROR(M277,INDEX(Wiki!K:K,MATCH('BOM2017'!D277,Wiki!B:B,0)))</f>
        <v>#VALUE!</v>
      </c>
    </row>
    <row r="278" spans="2:14" x14ac:dyDescent="0.2">
      <c r="B278" s="6">
        <v>273</v>
      </c>
      <c r="C278" s="3" t="s">
        <v>134</v>
      </c>
      <c r="D278" t="str">
        <f t="shared" si="4"/>
        <v/>
      </c>
      <c r="E278" s="3" t="s">
        <v>1043</v>
      </c>
      <c r="F278" s="7" t="s">
        <v>1440</v>
      </c>
      <c r="G278" s="6">
        <v>127</v>
      </c>
      <c r="H278" s="6" t="s">
        <v>1441</v>
      </c>
      <c r="I278" s="6">
        <v>127</v>
      </c>
      <c r="J278" s="4">
        <v>43155</v>
      </c>
      <c r="K278" s="8">
        <v>43196</v>
      </c>
      <c r="L278" s="1" t="b">
        <f>IF(MATCH(C278,Wiki!B:B,0)&lt;&gt;0,TRUE,FALSE)</f>
        <v>1</v>
      </c>
      <c r="M278" s="1" t="str">
        <f>INDEX(Wiki!K:K,MATCH('BOM2017'!C278,Wiki!B:B,0))</f>
        <v>Bitter_Harvest_(2017_film)</v>
      </c>
      <c r="N278" s="1" t="str">
        <f>IFERROR(M278,INDEX(Wiki!K:K,MATCH('BOM2017'!D278,Wiki!B:B,0)))</f>
        <v>Bitter_Harvest_(2017_film)</v>
      </c>
    </row>
    <row r="279" spans="2:14" x14ac:dyDescent="0.2">
      <c r="B279" s="6">
        <v>274</v>
      </c>
      <c r="C279" s="3" t="s">
        <v>1442</v>
      </c>
      <c r="D279" t="str">
        <f t="shared" si="4"/>
        <v>Samaritan's Purse: Facing Darkness</v>
      </c>
      <c r="E279" s="3" t="s">
        <v>1152</v>
      </c>
      <c r="F279" s="7" t="s">
        <v>1443</v>
      </c>
      <c r="G279" s="6">
        <v>656</v>
      </c>
      <c r="H279" s="6" t="s">
        <v>1159</v>
      </c>
      <c r="I279" s="6" t="s">
        <v>1159</v>
      </c>
      <c r="J279" s="4">
        <v>43200</v>
      </c>
      <c r="K279" s="8">
        <v>43200</v>
      </c>
      <c r="L279" s="1" t="e">
        <f>IF(MATCH(C279,Wiki!B:B,0)&lt;&gt;0,TRUE,FALSE)</f>
        <v>#N/A</v>
      </c>
      <c r="M279" s="1" t="e">
        <f>INDEX(Wiki!K:K,MATCH('BOM2017'!C279,Wiki!B:B,0))</f>
        <v>#N/A</v>
      </c>
      <c r="N279" s="1" t="e">
        <f>IFERROR(M279,INDEX(Wiki!K:K,MATCH('BOM2017'!D279,Wiki!B:B,0)))</f>
        <v>#N/A</v>
      </c>
    </row>
    <row r="280" spans="2:14" x14ac:dyDescent="0.2">
      <c r="B280" s="6">
        <v>275</v>
      </c>
      <c r="C280" s="3" t="s">
        <v>1444</v>
      </c>
      <c r="D280" t="e">
        <f t="shared" si="4"/>
        <v>#VALUE!</v>
      </c>
      <c r="E280" s="3" t="s">
        <v>1445</v>
      </c>
      <c r="F280" s="7" t="s">
        <v>1446</v>
      </c>
      <c r="G280" s="6">
        <v>33</v>
      </c>
      <c r="H280" s="6" t="s">
        <v>1447</v>
      </c>
      <c r="I280" s="6">
        <v>1</v>
      </c>
      <c r="J280" s="4">
        <v>43344</v>
      </c>
      <c r="K280" s="6" t="s">
        <v>558</v>
      </c>
      <c r="L280" s="1" t="e">
        <f>IF(MATCH(C280,Wiki!B:B,0)&lt;&gt;0,TRUE,FALSE)</f>
        <v>#N/A</v>
      </c>
      <c r="M280" s="1" t="e">
        <f>INDEX(Wiki!K:K,MATCH('BOM2017'!C280,Wiki!B:B,0))</f>
        <v>#N/A</v>
      </c>
      <c r="N280" s="1" t="e">
        <f>IFERROR(M280,INDEX(Wiki!K:K,MATCH('BOM2017'!D280,Wiki!B:B,0)))</f>
        <v>#VALUE!</v>
      </c>
    </row>
    <row r="281" spans="2:14" x14ac:dyDescent="0.2">
      <c r="B281" s="6">
        <v>276</v>
      </c>
      <c r="C281" s="3" t="s">
        <v>346</v>
      </c>
      <c r="D281" t="str">
        <f t="shared" si="4"/>
        <v/>
      </c>
      <c r="E281" s="3" t="s">
        <v>1015</v>
      </c>
      <c r="F281" s="7" t="s">
        <v>1448</v>
      </c>
      <c r="G281" s="6">
        <v>408</v>
      </c>
      <c r="H281" s="6" t="s">
        <v>1449</v>
      </c>
      <c r="I281" s="6">
        <v>3</v>
      </c>
      <c r="J281" s="4">
        <v>43309</v>
      </c>
      <c r="K281" s="8">
        <v>43392</v>
      </c>
      <c r="L281" s="1" t="b">
        <f>IF(MATCH(C281,Wiki!B:B,0)&lt;&gt;0,TRUE,FALSE)</f>
        <v>1</v>
      </c>
      <c r="M281" s="1" t="str">
        <f>INDEX(Wiki!K:K,MATCH('BOM2017'!C281,Wiki!B:B,0))</f>
        <v>Brigsby_Bear</v>
      </c>
      <c r="N281" s="1" t="str">
        <f>IFERROR(M281,INDEX(Wiki!K:K,MATCH('BOM2017'!D281,Wiki!B:B,0)))</f>
        <v>Brigsby_Bear</v>
      </c>
    </row>
    <row r="282" spans="2:14" x14ac:dyDescent="0.2">
      <c r="B282" s="6">
        <v>277</v>
      </c>
      <c r="C282" s="3" t="s">
        <v>1450</v>
      </c>
      <c r="D282" t="e">
        <f t="shared" si="4"/>
        <v>#VALUE!</v>
      </c>
      <c r="E282" s="3" t="s">
        <v>1039</v>
      </c>
      <c r="F282" s="7" t="s">
        <v>1451</v>
      </c>
      <c r="G282" s="6">
        <v>36</v>
      </c>
      <c r="H282" s="6" t="s">
        <v>1452</v>
      </c>
      <c r="I282" s="6">
        <v>3</v>
      </c>
      <c r="J282" s="4">
        <v>43386</v>
      </c>
      <c r="K282" s="8">
        <v>43455</v>
      </c>
      <c r="L282" s="1" t="e">
        <f>IF(MATCH(C282,Wiki!B:B,0)&lt;&gt;0,TRUE,FALSE)</f>
        <v>#N/A</v>
      </c>
      <c r="M282" s="1" t="e">
        <f>INDEX(Wiki!K:K,MATCH('BOM2017'!C282,Wiki!B:B,0))</f>
        <v>#N/A</v>
      </c>
      <c r="N282" s="1" t="e">
        <f>IFERROR(M282,INDEX(Wiki!K:K,MATCH('BOM2017'!D282,Wiki!B:B,0)))</f>
        <v>#VALUE!</v>
      </c>
    </row>
    <row r="283" spans="2:14" x14ac:dyDescent="0.2">
      <c r="B283" s="6">
        <v>278</v>
      </c>
      <c r="C283" s="3" t="s">
        <v>1453</v>
      </c>
      <c r="D283" t="e">
        <f t="shared" si="4"/>
        <v>#VALUE!</v>
      </c>
      <c r="E283" s="3" t="s">
        <v>1152</v>
      </c>
      <c r="F283" s="7" t="s">
        <v>1454</v>
      </c>
      <c r="G283" s="6">
        <v>622</v>
      </c>
      <c r="H283" s="6" t="s">
        <v>1159</v>
      </c>
      <c r="I283" s="6" t="s">
        <v>1159</v>
      </c>
      <c r="J283" s="4">
        <v>43222</v>
      </c>
      <c r="K283" s="8">
        <v>43222</v>
      </c>
      <c r="L283" s="1" t="e">
        <f>IF(MATCH(C283,Wiki!B:B,0)&lt;&gt;0,TRUE,FALSE)</f>
        <v>#N/A</v>
      </c>
      <c r="M283" s="1" t="e">
        <f>INDEX(Wiki!K:K,MATCH('BOM2017'!C283,Wiki!B:B,0))</f>
        <v>#N/A</v>
      </c>
      <c r="N283" s="1" t="e">
        <f>IFERROR(M283,INDEX(Wiki!K:K,MATCH('BOM2017'!D283,Wiki!B:B,0)))</f>
        <v>#VALUE!</v>
      </c>
    </row>
    <row r="284" spans="2:14" x14ac:dyDescent="0.2">
      <c r="B284" s="6">
        <v>279</v>
      </c>
      <c r="C284" s="3" t="s">
        <v>1455</v>
      </c>
      <c r="D284" t="e">
        <f t="shared" si="4"/>
        <v>#VALUE!</v>
      </c>
      <c r="E284" s="3" t="s">
        <v>1087</v>
      </c>
      <c r="F284" s="7" t="s">
        <v>1456</v>
      </c>
      <c r="G284" s="6">
        <v>304</v>
      </c>
      <c r="H284" s="6" t="s">
        <v>1457</v>
      </c>
      <c r="I284" s="6">
        <v>292</v>
      </c>
      <c r="J284" s="4">
        <v>43326</v>
      </c>
      <c r="K284" s="8">
        <v>43332</v>
      </c>
      <c r="L284" s="1" t="e">
        <f>IF(MATCH(C284,Wiki!B:B,0)&lt;&gt;0,TRUE,FALSE)</f>
        <v>#N/A</v>
      </c>
      <c r="M284" s="1" t="e">
        <f>INDEX(Wiki!K:K,MATCH('BOM2017'!C284,Wiki!B:B,0))</f>
        <v>#N/A</v>
      </c>
      <c r="N284" s="1" t="e">
        <f>IFERROR(M284,INDEX(Wiki!K:K,MATCH('BOM2017'!D284,Wiki!B:B,0)))</f>
        <v>#VALUE!</v>
      </c>
    </row>
    <row r="285" spans="2:14" x14ac:dyDescent="0.2">
      <c r="B285" s="6">
        <v>280</v>
      </c>
      <c r="C285" s="3" t="s">
        <v>1458</v>
      </c>
      <c r="D285" t="str">
        <f t="shared" si="4"/>
        <v>Raw</v>
      </c>
      <c r="E285" s="3" t="s">
        <v>1459</v>
      </c>
      <c r="F285" s="7" t="s">
        <v>1460</v>
      </c>
      <c r="G285" s="6">
        <v>45</v>
      </c>
      <c r="H285" s="6" t="s">
        <v>1461</v>
      </c>
      <c r="I285" s="6">
        <v>2</v>
      </c>
      <c r="J285" s="4">
        <v>43169</v>
      </c>
      <c r="K285" s="8">
        <v>43224</v>
      </c>
      <c r="L285" s="1" t="e">
        <f>IF(MATCH(C285,Wiki!B:B,0)&lt;&gt;0,TRUE,FALSE)</f>
        <v>#N/A</v>
      </c>
      <c r="M285" s="1" t="e">
        <f>INDEX(Wiki!K:K,MATCH('BOM2017'!C285,Wiki!B:B,0))</f>
        <v>#N/A</v>
      </c>
      <c r="N285" s="1" t="str">
        <f>IFERROR(M285,INDEX(Wiki!K:K,MATCH('BOM2017'!D285,Wiki!B:B,0)))</f>
        <v>Raw_(film)</v>
      </c>
    </row>
    <row r="286" spans="2:14" x14ac:dyDescent="0.2">
      <c r="B286" s="6">
        <v>281</v>
      </c>
      <c r="C286" s="3" t="s">
        <v>1462</v>
      </c>
      <c r="D286" t="e">
        <f t="shared" si="4"/>
        <v>#VALUE!</v>
      </c>
      <c r="E286" s="3" t="s">
        <v>1332</v>
      </c>
      <c r="F286" s="7" t="s">
        <v>1463</v>
      </c>
      <c r="G286" s="6">
        <v>41</v>
      </c>
      <c r="H286" s="6" t="s">
        <v>1464</v>
      </c>
      <c r="I286" s="6">
        <v>1</v>
      </c>
      <c r="J286" s="4">
        <v>43253</v>
      </c>
      <c r="K286" s="8">
        <v>43318</v>
      </c>
      <c r="L286" s="1" t="e">
        <f>IF(MATCH(C286,Wiki!B:B,0)&lt;&gt;0,TRUE,FALSE)</f>
        <v>#N/A</v>
      </c>
      <c r="M286" s="1" t="e">
        <f>INDEX(Wiki!K:K,MATCH('BOM2017'!C286,Wiki!B:B,0))</f>
        <v>#N/A</v>
      </c>
      <c r="N286" s="1" t="e">
        <f>IFERROR(M286,INDEX(Wiki!K:K,MATCH('BOM2017'!D286,Wiki!B:B,0)))</f>
        <v>#VALUE!</v>
      </c>
    </row>
    <row r="287" spans="2:14" x14ac:dyDescent="0.2">
      <c r="B287" s="6">
        <v>282</v>
      </c>
      <c r="C287" s="3" t="s">
        <v>1465</v>
      </c>
      <c r="D287" t="str">
        <f t="shared" si="4"/>
        <v>Breathe</v>
      </c>
      <c r="E287" s="3" t="s">
        <v>869</v>
      </c>
      <c r="F287" s="7" t="s">
        <v>1466</v>
      </c>
      <c r="G287" s="6">
        <v>315</v>
      </c>
      <c r="H287" s="6" t="s">
        <v>1467</v>
      </c>
      <c r="I287" s="6">
        <v>4</v>
      </c>
      <c r="J287" s="4">
        <v>43386</v>
      </c>
      <c r="K287" s="8">
        <v>43448</v>
      </c>
      <c r="L287" s="1" t="e">
        <f>IF(MATCH(C287,Wiki!B:B,0)&lt;&gt;0,TRUE,FALSE)</f>
        <v>#N/A</v>
      </c>
      <c r="M287" s="1" t="e">
        <f>INDEX(Wiki!K:K,MATCH('BOM2017'!C287,Wiki!B:B,0))</f>
        <v>#N/A</v>
      </c>
      <c r="N287" s="1" t="str">
        <f>IFERROR(M287,INDEX(Wiki!K:K,MATCH('BOM2017'!D287,Wiki!B:B,0)))</f>
        <v>Breathe_(2017_film)</v>
      </c>
    </row>
    <row r="288" spans="2:14" x14ac:dyDescent="0.2">
      <c r="B288" s="6">
        <v>283</v>
      </c>
      <c r="C288" s="3" t="s">
        <v>1468</v>
      </c>
      <c r="D288" t="e">
        <f t="shared" si="4"/>
        <v>#VALUE!</v>
      </c>
      <c r="E288" s="3" t="s">
        <v>1235</v>
      </c>
      <c r="F288" s="7" t="s">
        <v>1469</v>
      </c>
      <c r="G288" s="6">
        <v>51</v>
      </c>
      <c r="H288" s="6" t="s">
        <v>1470</v>
      </c>
      <c r="I288" s="6">
        <v>51</v>
      </c>
      <c r="J288" s="4">
        <v>43323</v>
      </c>
      <c r="K288" s="8">
        <v>43364</v>
      </c>
      <c r="L288" s="1" t="e">
        <f>IF(MATCH(C288,Wiki!B:B,0)&lt;&gt;0,TRUE,FALSE)</f>
        <v>#N/A</v>
      </c>
      <c r="M288" s="1" t="e">
        <f>INDEX(Wiki!K:K,MATCH('BOM2017'!C288,Wiki!B:B,0))</f>
        <v>#N/A</v>
      </c>
      <c r="N288" s="1" t="e">
        <f>IFERROR(M288,INDEX(Wiki!K:K,MATCH('BOM2017'!D288,Wiki!B:B,0)))</f>
        <v>#VALUE!</v>
      </c>
    </row>
    <row r="289" spans="2:14" x14ac:dyDescent="0.2">
      <c r="B289" s="6">
        <v>284</v>
      </c>
      <c r="C289" s="3" t="s">
        <v>1471</v>
      </c>
      <c r="D289" t="e">
        <f t="shared" si="4"/>
        <v>#VALUE!</v>
      </c>
      <c r="E289" s="3" t="s">
        <v>1332</v>
      </c>
      <c r="F289" s="7" t="s">
        <v>1472</v>
      </c>
      <c r="G289" s="6">
        <v>13</v>
      </c>
      <c r="H289" s="6" t="s">
        <v>1473</v>
      </c>
      <c r="I289" s="6">
        <v>2</v>
      </c>
      <c r="J289" s="4">
        <v>43127</v>
      </c>
      <c r="K289" s="8">
        <v>43178</v>
      </c>
      <c r="L289" s="1" t="e">
        <f>IF(MATCH(C289,Wiki!B:B,0)&lt;&gt;0,TRUE,FALSE)</f>
        <v>#N/A</v>
      </c>
      <c r="M289" s="1" t="e">
        <f>INDEX(Wiki!K:K,MATCH('BOM2017'!C289,Wiki!B:B,0))</f>
        <v>#N/A</v>
      </c>
      <c r="N289" s="1" t="e">
        <f>IFERROR(M289,INDEX(Wiki!K:K,MATCH('BOM2017'!D289,Wiki!B:B,0)))</f>
        <v>#VALUE!</v>
      </c>
    </row>
    <row r="290" spans="2:14" x14ac:dyDescent="0.2">
      <c r="B290" s="6">
        <v>285</v>
      </c>
      <c r="C290" s="3" t="s">
        <v>375</v>
      </c>
      <c r="D290" t="str">
        <f t="shared" si="4"/>
        <v/>
      </c>
      <c r="E290" s="3" t="s">
        <v>195</v>
      </c>
      <c r="F290" s="7" t="s">
        <v>1474</v>
      </c>
      <c r="G290" s="6">
        <v>67</v>
      </c>
      <c r="H290" s="6" t="s">
        <v>1475</v>
      </c>
      <c r="I290" s="6">
        <v>3</v>
      </c>
      <c r="J290" s="4">
        <v>43337</v>
      </c>
      <c r="K290" s="8">
        <v>43399</v>
      </c>
      <c r="L290" s="1" t="b">
        <f>IF(MATCH(C290,Wiki!B:B,0)&lt;&gt;0,TRUE,FALSE)</f>
        <v>1</v>
      </c>
      <c r="M290" s="1" t="str">
        <f>INDEX(Wiki!K:K,MATCH('BOM2017'!C290,Wiki!B:B,0))</f>
        <v>Beach_Rats</v>
      </c>
      <c r="N290" s="1" t="str">
        <f>IFERROR(M290,INDEX(Wiki!K:K,MATCH('BOM2017'!D290,Wiki!B:B,0)))</f>
        <v>Beach_Rats</v>
      </c>
    </row>
    <row r="291" spans="2:14" x14ac:dyDescent="0.2">
      <c r="B291" s="6">
        <v>286</v>
      </c>
      <c r="C291" s="3" t="s">
        <v>1476</v>
      </c>
      <c r="D291" t="e">
        <f t="shared" si="4"/>
        <v>#VALUE!</v>
      </c>
      <c r="E291" s="3" t="s">
        <v>1210</v>
      </c>
      <c r="F291" s="7" t="s">
        <v>1477</v>
      </c>
      <c r="G291" s="6">
        <v>30</v>
      </c>
      <c r="H291" s="6" t="s">
        <v>1478</v>
      </c>
      <c r="I291" s="6">
        <v>27</v>
      </c>
      <c r="J291" s="4">
        <v>43141</v>
      </c>
      <c r="K291" s="8">
        <v>43182</v>
      </c>
      <c r="L291" s="1" t="e">
        <f>IF(MATCH(C291,Wiki!B:B,0)&lt;&gt;0,TRUE,FALSE)</f>
        <v>#N/A</v>
      </c>
      <c r="M291" s="1" t="e">
        <f>INDEX(Wiki!K:K,MATCH('BOM2017'!C291,Wiki!B:B,0))</f>
        <v>#N/A</v>
      </c>
      <c r="N291" s="1" t="e">
        <f>IFERROR(M291,INDEX(Wiki!K:K,MATCH('BOM2017'!D291,Wiki!B:B,0)))</f>
        <v>#VALUE!</v>
      </c>
    </row>
    <row r="292" spans="2:14" x14ac:dyDescent="0.2">
      <c r="B292" s="6">
        <v>287</v>
      </c>
      <c r="C292" s="3" t="s">
        <v>1479</v>
      </c>
      <c r="D292" t="e">
        <f t="shared" si="4"/>
        <v>#VALUE!</v>
      </c>
      <c r="E292" s="3" t="s">
        <v>1152</v>
      </c>
      <c r="F292" s="7" t="s">
        <v>1480</v>
      </c>
      <c r="G292" s="6">
        <v>478</v>
      </c>
      <c r="H292" s="6" t="s">
        <v>1159</v>
      </c>
      <c r="I292" s="6" t="s">
        <v>1159</v>
      </c>
      <c r="J292" s="4">
        <v>43273</v>
      </c>
      <c r="K292" s="8">
        <v>43273</v>
      </c>
      <c r="L292" s="1" t="e">
        <f>IF(MATCH(C292,Wiki!B:B,0)&lt;&gt;0,TRUE,FALSE)</f>
        <v>#N/A</v>
      </c>
      <c r="M292" s="1" t="e">
        <f>INDEX(Wiki!K:K,MATCH('BOM2017'!C292,Wiki!B:B,0))</f>
        <v>#N/A</v>
      </c>
      <c r="N292" s="1" t="e">
        <f>IFERROR(M292,INDEX(Wiki!K:K,MATCH('BOM2017'!D292,Wiki!B:B,0)))</f>
        <v>#VALUE!</v>
      </c>
    </row>
    <row r="293" spans="2:14" x14ac:dyDescent="0.2">
      <c r="B293" s="6">
        <v>288</v>
      </c>
      <c r="C293" s="3" t="s">
        <v>1481</v>
      </c>
      <c r="D293" t="e">
        <f t="shared" si="4"/>
        <v>#VALUE!</v>
      </c>
      <c r="E293" s="3" t="s">
        <v>1204</v>
      </c>
      <c r="F293" s="7" t="s">
        <v>1482</v>
      </c>
      <c r="G293" s="6">
        <v>74</v>
      </c>
      <c r="H293" s="6" t="s">
        <v>1483</v>
      </c>
      <c r="I293" s="6">
        <v>74</v>
      </c>
      <c r="J293" s="4">
        <v>43183</v>
      </c>
      <c r="K293" s="8">
        <v>43203</v>
      </c>
      <c r="L293" s="1" t="e">
        <f>IF(MATCH(C293,Wiki!B:B,0)&lt;&gt;0,TRUE,FALSE)</f>
        <v>#N/A</v>
      </c>
      <c r="M293" s="1" t="e">
        <f>INDEX(Wiki!K:K,MATCH('BOM2017'!C293,Wiki!B:B,0))</f>
        <v>#N/A</v>
      </c>
      <c r="N293" s="1" t="e">
        <f>IFERROR(M293,INDEX(Wiki!K:K,MATCH('BOM2017'!D293,Wiki!B:B,0)))</f>
        <v>#VALUE!</v>
      </c>
    </row>
    <row r="294" spans="2:14" x14ac:dyDescent="0.2">
      <c r="B294" s="6">
        <v>289</v>
      </c>
      <c r="C294" s="3" t="s">
        <v>1484</v>
      </c>
      <c r="D294" t="e">
        <f t="shared" si="4"/>
        <v>#VALUE!</v>
      </c>
      <c r="E294" s="3" t="s">
        <v>1235</v>
      </c>
      <c r="F294" s="7" t="s">
        <v>1485</v>
      </c>
      <c r="G294" s="6">
        <v>52</v>
      </c>
      <c r="H294" s="6" t="s">
        <v>1486</v>
      </c>
      <c r="I294" s="6">
        <v>52</v>
      </c>
      <c r="J294" s="4">
        <v>43372</v>
      </c>
      <c r="K294" s="8">
        <v>43423</v>
      </c>
      <c r="L294" s="1" t="e">
        <f>IF(MATCH(C294,Wiki!B:B,0)&lt;&gt;0,TRUE,FALSE)</f>
        <v>#N/A</v>
      </c>
      <c r="M294" s="1" t="e">
        <f>INDEX(Wiki!K:K,MATCH('BOM2017'!C294,Wiki!B:B,0))</f>
        <v>#N/A</v>
      </c>
      <c r="N294" s="1" t="e">
        <f>IFERROR(M294,INDEX(Wiki!K:K,MATCH('BOM2017'!D294,Wiki!B:B,0)))</f>
        <v>#VALUE!</v>
      </c>
    </row>
    <row r="295" spans="2:14" x14ac:dyDescent="0.2">
      <c r="B295" s="6">
        <v>290</v>
      </c>
      <c r="C295" s="3" t="s">
        <v>1487</v>
      </c>
      <c r="D295" t="e">
        <f t="shared" si="4"/>
        <v>#VALUE!</v>
      </c>
      <c r="E295" s="3" t="s">
        <v>1269</v>
      </c>
      <c r="F295" s="7" t="s">
        <v>1488</v>
      </c>
      <c r="G295" s="6">
        <v>151</v>
      </c>
      <c r="H295" s="6" t="s">
        <v>1489</v>
      </c>
      <c r="I295" s="6">
        <v>145</v>
      </c>
      <c r="J295" s="4">
        <v>43119</v>
      </c>
      <c r="K295" s="8">
        <v>43147</v>
      </c>
      <c r="L295" s="1" t="e">
        <f>IF(MATCH(C295,Wiki!B:B,0)&lt;&gt;0,TRUE,FALSE)</f>
        <v>#N/A</v>
      </c>
      <c r="M295" s="1" t="e">
        <f>INDEX(Wiki!K:K,MATCH('BOM2017'!C295,Wiki!B:B,0))</f>
        <v>#N/A</v>
      </c>
      <c r="N295" s="1" t="e">
        <f>IFERROR(M295,INDEX(Wiki!K:K,MATCH('BOM2017'!D295,Wiki!B:B,0)))</f>
        <v>#VALUE!</v>
      </c>
    </row>
    <row r="296" spans="2:14" x14ac:dyDescent="0.2">
      <c r="B296" s="6">
        <v>291</v>
      </c>
      <c r="C296" s="3" t="s">
        <v>167</v>
      </c>
      <c r="D296" t="str">
        <f t="shared" si="4"/>
        <v/>
      </c>
      <c r="E296" s="3" t="s">
        <v>966</v>
      </c>
      <c r="F296" s="7" t="s">
        <v>1490</v>
      </c>
      <c r="G296" s="6">
        <v>95</v>
      </c>
      <c r="H296" s="6" t="s">
        <v>1491</v>
      </c>
      <c r="I296" s="6">
        <v>4</v>
      </c>
      <c r="J296" s="4">
        <v>43176</v>
      </c>
      <c r="K296" s="8">
        <v>43252</v>
      </c>
      <c r="L296" s="1" t="b">
        <f>IF(MATCH(C296,Wiki!B:B,0)&lt;&gt;0,TRUE,FALSE)</f>
        <v>1</v>
      </c>
      <c r="M296" s="1" t="str">
        <f>INDEX(Wiki!K:K,MATCH('BOM2017'!C296,Wiki!B:B,0))</f>
        <v>Song_to_Song</v>
      </c>
      <c r="N296" s="1" t="str">
        <f>IFERROR(M296,INDEX(Wiki!K:K,MATCH('BOM2017'!D296,Wiki!B:B,0)))</f>
        <v>Song_to_Song</v>
      </c>
    </row>
    <row r="297" spans="2:14" x14ac:dyDescent="0.2">
      <c r="B297" s="6">
        <v>292</v>
      </c>
      <c r="C297" s="3" t="s">
        <v>1492</v>
      </c>
      <c r="D297" t="e">
        <f t="shared" si="4"/>
        <v>#VALUE!</v>
      </c>
      <c r="E297" s="3" t="s">
        <v>1087</v>
      </c>
      <c r="F297" s="7" t="s">
        <v>1493</v>
      </c>
      <c r="G297" s="6">
        <v>372</v>
      </c>
      <c r="H297" s="6" t="s">
        <v>1494</v>
      </c>
      <c r="I297" s="6">
        <v>13</v>
      </c>
      <c r="J297" s="4">
        <v>43110</v>
      </c>
      <c r="K297" s="8">
        <v>43119</v>
      </c>
      <c r="L297" s="1" t="e">
        <f>IF(MATCH(C297,Wiki!B:B,0)&lt;&gt;0,TRUE,FALSE)</f>
        <v>#N/A</v>
      </c>
      <c r="M297" s="1" t="e">
        <f>INDEX(Wiki!K:K,MATCH('BOM2017'!C297,Wiki!B:B,0))</f>
        <v>#N/A</v>
      </c>
      <c r="N297" s="1" t="e">
        <f>IFERROR(M297,INDEX(Wiki!K:K,MATCH('BOM2017'!D297,Wiki!B:B,0)))</f>
        <v>#VALUE!</v>
      </c>
    </row>
    <row r="298" spans="2:14" x14ac:dyDescent="0.2">
      <c r="B298" s="6">
        <v>293</v>
      </c>
      <c r="C298" s="3" t="s">
        <v>1495</v>
      </c>
      <c r="D298" t="e">
        <f t="shared" si="4"/>
        <v>#VALUE!</v>
      </c>
      <c r="E298" s="3" t="s">
        <v>1204</v>
      </c>
      <c r="F298" s="7" t="s">
        <v>1496</v>
      </c>
      <c r="G298" s="6">
        <v>135</v>
      </c>
      <c r="H298" s="6" t="s">
        <v>1497</v>
      </c>
      <c r="I298" s="6">
        <v>135</v>
      </c>
      <c r="J298" s="4">
        <v>43337</v>
      </c>
      <c r="K298" s="8">
        <v>43357</v>
      </c>
      <c r="L298" s="1" t="e">
        <f>IF(MATCH(C298,Wiki!B:B,0)&lt;&gt;0,TRUE,FALSE)</f>
        <v>#N/A</v>
      </c>
      <c r="M298" s="1" t="e">
        <f>INDEX(Wiki!K:K,MATCH('BOM2017'!C298,Wiki!B:B,0))</f>
        <v>#N/A</v>
      </c>
      <c r="N298" s="1" t="e">
        <f>IFERROR(M298,INDEX(Wiki!K:K,MATCH('BOM2017'!D298,Wiki!B:B,0)))</f>
        <v>#VALUE!</v>
      </c>
    </row>
    <row r="299" spans="2:14" x14ac:dyDescent="0.2">
      <c r="B299" s="6">
        <v>294</v>
      </c>
      <c r="C299" s="3" t="s">
        <v>1498</v>
      </c>
      <c r="D299" t="e">
        <f t="shared" si="4"/>
        <v>#VALUE!</v>
      </c>
      <c r="E299" s="3" t="s">
        <v>1260</v>
      </c>
      <c r="F299" s="7" t="s">
        <v>1499</v>
      </c>
      <c r="G299" s="6">
        <v>19</v>
      </c>
      <c r="H299" s="6" t="s">
        <v>1500</v>
      </c>
      <c r="I299" s="6">
        <v>19</v>
      </c>
      <c r="J299" s="4">
        <v>43253</v>
      </c>
      <c r="K299" s="8">
        <v>43385</v>
      </c>
      <c r="L299" s="1" t="e">
        <f>IF(MATCH(C299,Wiki!B:B,0)&lt;&gt;0,TRUE,FALSE)</f>
        <v>#N/A</v>
      </c>
      <c r="M299" s="1" t="e">
        <f>INDEX(Wiki!K:K,MATCH('BOM2017'!C299,Wiki!B:B,0))</f>
        <v>#N/A</v>
      </c>
      <c r="N299" s="1" t="e">
        <f>IFERROR(M299,INDEX(Wiki!K:K,MATCH('BOM2017'!D299,Wiki!B:B,0)))</f>
        <v>#VALUE!</v>
      </c>
    </row>
    <row r="300" spans="2:14" x14ac:dyDescent="0.2">
      <c r="B300" s="6">
        <v>295</v>
      </c>
      <c r="C300" s="3" t="s">
        <v>1501</v>
      </c>
      <c r="D300" t="e">
        <f t="shared" si="4"/>
        <v>#VALUE!</v>
      </c>
      <c r="E300" s="3" t="s">
        <v>1248</v>
      </c>
      <c r="F300" s="7" t="s">
        <v>1502</v>
      </c>
      <c r="G300" s="6">
        <v>17</v>
      </c>
      <c r="H300" s="6" t="s">
        <v>1503</v>
      </c>
      <c r="I300" s="6">
        <v>1</v>
      </c>
      <c r="J300" s="4">
        <v>43204</v>
      </c>
      <c r="K300" s="8">
        <v>43374</v>
      </c>
      <c r="L300" s="1" t="e">
        <f>IF(MATCH(C300,Wiki!B:B,0)&lt;&gt;0,TRUE,FALSE)</f>
        <v>#N/A</v>
      </c>
      <c r="M300" s="1" t="e">
        <f>INDEX(Wiki!K:K,MATCH('BOM2017'!C300,Wiki!B:B,0))</f>
        <v>#N/A</v>
      </c>
      <c r="N300" s="1" t="e">
        <f>IFERROR(M300,INDEX(Wiki!K:K,MATCH('BOM2017'!D300,Wiki!B:B,0)))</f>
        <v>#VALUE!</v>
      </c>
    </row>
    <row r="301" spans="2:14" x14ac:dyDescent="0.2">
      <c r="B301" s="6">
        <v>296</v>
      </c>
      <c r="C301" s="3" t="s">
        <v>1504</v>
      </c>
      <c r="D301" t="e">
        <f t="shared" si="4"/>
        <v>#VALUE!</v>
      </c>
      <c r="E301" s="3" t="s">
        <v>1152</v>
      </c>
      <c r="F301" s="7" t="s">
        <v>1505</v>
      </c>
      <c r="G301" s="6">
        <v>705</v>
      </c>
      <c r="H301" s="6" t="s">
        <v>1159</v>
      </c>
      <c r="I301" s="6" t="s">
        <v>1159</v>
      </c>
      <c r="J301" s="4">
        <v>43203</v>
      </c>
      <c r="K301" s="8">
        <v>43210</v>
      </c>
      <c r="L301" s="1" t="e">
        <f>IF(MATCH(C301,Wiki!B:B,0)&lt;&gt;0,TRUE,FALSE)</f>
        <v>#N/A</v>
      </c>
      <c r="M301" s="1" t="e">
        <f>INDEX(Wiki!K:K,MATCH('BOM2017'!C301,Wiki!B:B,0))</f>
        <v>#N/A</v>
      </c>
      <c r="N301" s="1" t="e">
        <f>IFERROR(M301,INDEX(Wiki!K:K,MATCH('BOM2017'!D301,Wiki!B:B,0)))</f>
        <v>#VALUE!</v>
      </c>
    </row>
    <row r="302" spans="2:14" x14ac:dyDescent="0.2">
      <c r="B302" s="6">
        <v>297</v>
      </c>
      <c r="C302" s="3" t="s">
        <v>1506</v>
      </c>
      <c r="D302" t="e">
        <f t="shared" si="4"/>
        <v>#VALUE!</v>
      </c>
      <c r="E302" s="3" t="s">
        <v>1152</v>
      </c>
      <c r="F302" s="7" t="s">
        <v>1507</v>
      </c>
      <c r="G302" s="6">
        <v>557</v>
      </c>
      <c r="H302" s="6" t="s">
        <v>1159</v>
      </c>
      <c r="I302" s="6" t="s">
        <v>1159</v>
      </c>
      <c r="J302" s="4">
        <v>43406</v>
      </c>
      <c r="K302" s="8">
        <v>43406</v>
      </c>
      <c r="L302" s="1" t="e">
        <f>IF(MATCH(C302,Wiki!B:B,0)&lt;&gt;0,TRUE,FALSE)</f>
        <v>#N/A</v>
      </c>
      <c r="M302" s="1" t="e">
        <f>INDEX(Wiki!K:K,MATCH('BOM2017'!C302,Wiki!B:B,0))</f>
        <v>#N/A</v>
      </c>
      <c r="N302" s="1" t="e">
        <f>IFERROR(M302,INDEX(Wiki!K:K,MATCH('BOM2017'!D302,Wiki!B:B,0)))</f>
        <v>#VALUE!</v>
      </c>
    </row>
    <row r="303" spans="2:14" x14ac:dyDescent="0.2">
      <c r="B303" s="6">
        <v>298</v>
      </c>
      <c r="C303" s="3" t="s">
        <v>1508</v>
      </c>
      <c r="D303" t="e">
        <f t="shared" si="4"/>
        <v>#VALUE!</v>
      </c>
      <c r="E303" s="3" t="s">
        <v>1294</v>
      </c>
      <c r="F303" s="7" t="s">
        <v>1509</v>
      </c>
      <c r="G303" s="6">
        <v>82</v>
      </c>
      <c r="H303" s="6" t="s">
        <v>1510</v>
      </c>
      <c r="I303" s="6">
        <v>4</v>
      </c>
      <c r="J303" s="4">
        <v>43351</v>
      </c>
      <c r="K303" s="8">
        <v>43406</v>
      </c>
      <c r="L303" s="1" t="e">
        <f>IF(MATCH(C303,Wiki!B:B,0)&lt;&gt;0,TRUE,FALSE)</f>
        <v>#N/A</v>
      </c>
      <c r="M303" s="1" t="e">
        <f>INDEX(Wiki!K:K,MATCH('BOM2017'!C303,Wiki!B:B,0))</f>
        <v>#N/A</v>
      </c>
      <c r="N303" s="1" t="e">
        <f>IFERROR(M303,INDEX(Wiki!K:K,MATCH('BOM2017'!D303,Wiki!B:B,0)))</f>
        <v>#VALUE!</v>
      </c>
    </row>
    <row r="304" spans="2:14" x14ac:dyDescent="0.2">
      <c r="B304" s="6">
        <v>299</v>
      </c>
      <c r="C304" s="3" t="s">
        <v>1511</v>
      </c>
      <c r="D304" t="e">
        <f t="shared" si="4"/>
        <v>#VALUE!</v>
      </c>
      <c r="E304" s="3" t="s">
        <v>1152</v>
      </c>
      <c r="F304" s="7" t="s">
        <v>1512</v>
      </c>
      <c r="G304" s="6">
        <v>481</v>
      </c>
      <c r="H304" s="6" t="s">
        <v>1159</v>
      </c>
      <c r="I304" s="6" t="s">
        <v>1159</v>
      </c>
      <c r="J304" s="4">
        <v>43209</v>
      </c>
      <c r="K304" s="8">
        <v>43229</v>
      </c>
      <c r="L304" s="1" t="e">
        <f>IF(MATCH(C304,Wiki!B:B,0)&lt;&gt;0,TRUE,FALSE)</f>
        <v>#N/A</v>
      </c>
      <c r="M304" s="1" t="e">
        <f>INDEX(Wiki!K:K,MATCH('BOM2017'!C304,Wiki!B:B,0))</f>
        <v>#N/A</v>
      </c>
      <c r="N304" s="1" t="e">
        <f>IFERROR(M304,INDEX(Wiki!K:K,MATCH('BOM2017'!D304,Wiki!B:B,0)))</f>
        <v>#VALUE!</v>
      </c>
    </row>
    <row r="305" spans="2:14" x14ac:dyDescent="0.2">
      <c r="B305" s="6">
        <v>300</v>
      </c>
      <c r="C305" s="3" t="s">
        <v>1513</v>
      </c>
      <c r="D305" t="e">
        <f t="shared" si="4"/>
        <v>#VALUE!</v>
      </c>
      <c r="E305" s="3" t="s">
        <v>1235</v>
      </c>
      <c r="F305" s="7" t="s">
        <v>1514</v>
      </c>
      <c r="G305" s="6">
        <v>27</v>
      </c>
      <c r="H305" s="6" t="s">
        <v>1515</v>
      </c>
      <c r="I305" s="6">
        <v>14</v>
      </c>
      <c r="J305" s="4">
        <v>43127</v>
      </c>
      <c r="K305" s="8">
        <v>43154</v>
      </c>
      <c r="L305" s="1" t="e">
        <f>IF(MATCH(C305,Wiki!B:B,0)&lt;&gt;0,TRUE,FALSE)</f>
        <v>#N/A</v>
      </c>
      <c r="M305" s="1" t="e">
        <f>INDEX(Wiki!K:K,MATCH('BOM2017'!C305,Wiki!B:B,0))</f>
        <v>#N/A</v>
      </c>
      <c r="N305" s="1" t="e">
        <f>IFERROR(M305,INDEX(Wiki!K:K,MATCH('BOM2017'!D305,Wiki!B:B,0)))</f>
        <v>#VALUE!</v>
      </c>
    </row>
    <row r="306" spans="2:14" x14ac:dyDescent="0.2">
      <c r="B306" s="6">
        <v>301</v>
      </c>
      <c r="C306" s="3" t="s">
        <v>1516</v>
      </c>
      <c r="D306" t="e">
        <f t="shared" si="4"/>
        <v>#VALUE!</v>
      </c>
      <c r="E306" s="3" t="s">
        <v>1152</v>
      </c>
      <c r="F306" s="7" t="s">
        <v>1517</v>
      </c>
      <c r="G306" s="6">
        <v>396</v>
      </c>
      <c r="H306" s="6" t="s">
        <v>1159</v>
      </c>
      <c r="I306" s="6" t="s">
        <v>1159</v>
      </c>
      <c r="J306" s="4">
        <v>43394</v>
      </c>
      <c r="K306" s="8">
        <v>43399</v>
      </c>
      <c r="L306" s="1" t="e">
        <f>IF(MATCH(C306,Wiki!B:B,0)&lt;&gt;0,TRUE,FALSE)</f>
        <v>#N/A</v>
      </c>
      <c r="M306" s="1" t="e">
        <f>INDEX(Wiki!K:K,MATCH('BOM2017'!C306,Wiki!B:B,0))</f>
        <v>#N/A</v>
      </c>
      <c r="N306" s="1" t="e">
        <f>IFERROR(M306,INDEX(Wiki!K:K,MATCH('BOM2017'!D306,Wiki!B:B,0)))</f>
        <v>#VALUE!</v>
      </c>
    </row>
    <row r="307" spans="2:14" x14ac:dyDescent="0.2">
      <c r="B307" s="6">
        <v>302</v>
      </c>
      <c r="C307" s="3" t="s">
        <v>1518</v>
      </c>
      <c r="D307" t="e">
        <f t="shared" si="4"/>
        <v>#VALUE!</v>
      </c>
      <c r="E307" s="3" t="s">
        <v>1519</v>
      </c>
      <c r="F307" s="7" t="s">
        <v>1520</v>
      </c>
      <c r="G307" s="6">
        <v>20</v>
      </c>
      <c r="H307" s="6" t="s">
        <v>1521</v>
      </c>
      <c r="I307" s="6">
        <v>2</v>
      </c>
      <c r="J307" s="4">
        <v>43253</v>
      </c>
      <c r="K307" s="8">
        <v>43395</v>
      </c>
      <c r="L307" s="1" t="e">
        <f>IF(MATCH(C307,Wiki!B:B,0)&lt;&gt;0,TRUE,FALSE)</f>
        <v>#N/A</v>
      </c>
      <c r="M307" s="1" t="e">
        <f>INDEX(Wiki!K:K,MATCH('BOM2017'!C307,Wiki!B:B,0))</f>
        <v>#N/A</v>
      </c>
      <c r="N307" s="1" t="e">
        <f>IFERROR(M307,INDEX(Wiki!K:K,MATCH('BOM2017'!D307,Wiki!B:B,0)))</f>
        <v>#VALUE!</v>
      </c>
    </row>
    <row r="308" spans="2:14" x14ac:dyDescent="0.2">
      <c r="B308" s="6">
        <v>303</v>
      </c>
      <c r="C308" s="3" t="s">
        <v>1522</v>
      </c>
      <c r="D308" t="e">
        <f t="shared" si="4"/>
        <v>#VALUE!</v>
      </c>
      <c r="E308" s="3" t="s">
        <v>1204</v>
      </c>
      <c r="F308" s="7" t="s">
        <v>1523</v>
      </c>
      <c r="G308" s="6">
        <v>121</v>
      </c>
      <c r="H308" s="6" t="s">
        <v>1524</v>
      </c>
      <c r="I308" s="6">
        <v>121</v>
      </c>
      <c r="J308" s="4">
        <v>43113</v>
      </c>
      <c r="K308" s="8">
        <v>43126</v>
      </c>
      <c r="L308" s="1" t="e">
        <f>IF(MATCH(C308,Wiki!B:B,0)&lt;&gt;0,TRUE,FALSE)</f>
        <v>#N/A</v>
      </c>
      <c r="M308" s="1" t="e">
        <f>INDEX(Wiki!K:K,MATCH('BOM2017'!C308,Wiki!B:B,0))</f>
        <v>#N/A</v>
      </c>
      <c r="N308" s="1" t="e">
        <f>IFERROR(M308,INDEX(Wiki!K:K,MATCH('BOM2017'!D308,Wiki!B:B,0)))</f>
        <v>#VALUE!</v>
      </c>
    </row>
    <row r="309" spans="2:14" x14ac:dyDescent="0.2">
      <c r="B309" s="6">
        <v>304</v>
      </c>
      <c r="C309" s="3" t="s">
        <v>1525</v>
      </c>
      <c r="D309" t="e">
        <f t="shared" si="4"/>
        <v>#VALUE!</v>
      </c>
      <c r="E309" s="3" t="s">
        <v>1248</v>
      </c>
      <c r="F309" s="7" t="s">
        <v>1526</v>
      </c>
      <c r="G309" s="6">
        <v>56</v>
      </c>
      <c r="H309" s="6" t="s">
        <v>1527</v>
      </c>
      <c r="I309" s="6">
        <v>56</v>
      </c>
      <c r="J309" s="4">
        <v>43245</v>
      </c>
      <c r="K309" s="8">
        <v>43252</v>
      </c>
      <c r="L309" s="1" t="e">
        <f>IF(MATCH(C309,Wiki!B:B,0)&lt;&gt;0,TRUE,FALSE)</f>
        <v>#N/A</v>
      </c>
      <c r="M309" s="1" t="e">
        <f>INDEX(Wiki!K:K,MATCH('BOM2017'!C309,Wiki!B:B,0))</f>
        <v>#N/A</v>
      </c>
      <c r="N309" s="1" t="e">
        <f>IFERROR(M309,INDEX(Wiki!K:K,MATCH('BOM2017'!D309,Wiki!B:B,0)))</f>
        <v>#VALUE!</v>
      </c>
    </row>
    <row r="310" spans="2:14" x14ac:dyDescent="0.2">
      <c r="B310" s="6">
        <v>305</v>
      </c>
      <c r="C310" s="3" t="s">
        <v>1528</v>
      </c>
      <c r="D310" t="e">
        <f t="shared" si="4"/>
        <v>#VALUE!</v>
      </c>
      <c r="E310" s="3" t="s">
        <v>1248</v>
      </c>
      <c r="F310" s="7" t="s">
        <v>1529</v>
      </c>
      <c r="G310" s="6">
        <v>201</v>
      </c>
      <c r="H310" s="6" t="s">
        <v>1530</v>
      </c>
      <c r="I310" s="6">
        <v>5</v>
      </c>
      <c r="J310" s="4">
        <v>43372</v>
      </c>
      <c r="K310" s="8">
        <v>43388</v>
      </c>
      <c r="L310" s="1" t="e">
        <f>IF(MATCH(C310,Wiki!B:B,0)&lt;&gt;0,TRUE,FALSE)</f>
        <v>#N/A</v>
      </c>
      <c r="M310" s="1" t="e">
        <f>INDEX(Wiki!K:K,MATCH('BOM2017'!C310,Wiki!B:B,0))</f>
        <v>#N/A</v>
      </c>
      <c r="N310" s="1" t="e">
        <f>IFERROR(M310,INDEX(Wiki!K:K,MATCH('BOM2017'!D310,Wiki!B:B,0)))</f>
        <v>#VALUE!</v>
      </c>
    </row>
    <row r="311" spans="2:14" x14ac:dyDescent="0.2">
      <c r="B311" s="6">
        <v>306</v>
      </c>
      <c r="C311" s="3" t="s">
        <v>1531</v>
      </c>
      <c r="D311" t="e">
        <f t="shared" si="4"/>
        <v>#VALUE!</v>
      </c>
      <c r="E311" s="3" t="s">
        <v>1532</v>
      </c>
      <c r="F311" s="7" t="s">
        <v>1533</v>
      </c>
      <c r="G311" s="6">
        <v>12</v>
      </c>
      <c r="H311" s="6" t="s">
        <v>1534</v>
      </c>
      <c r="I311" s="6">
        <v>1</v>
      </c>
      <c r="J311" s="4">
        <v>43386</v>
      </c>
      <c r="K311" s="6" t="s">
        <v>558</v>
      </c>
      <c r="L311" s="1" t="e">
        <f>IF(MATCH(C311,Wiki!B:B,0)&lt;&gt;0,TRUE,FALSE)</f>
        <v>#N/A</v>
      </c>
      <c r="M311" s="1" t="e">
        <f>INDEX(Wiki!K:K,MATCH('BOM2017'!C311,Wiki!B:B,0))</f>
        <v>#N/A</v>
      </c>
      <c r="N311" s="1" t="e">
        <f>IFERROR(M311,INDEX(Wiki!K:K,MATCH('BOM2017'!D311,Wiki!B:B,0)))</f>
        <v>#VALUE!</v>
      </c>
    </row>
    <row r="312" spans="2:14" x14ac:dyDescent="0.2">
      <c r="B312" s="6">
        <v>307</v>
      </c>
      <c r="C312" s="3" t="s">
        <v>1535</v>
      </c>
      <c r="D312" t="e">
        <f t="shared" si="4"/>
        <v>#VALUE!</v>
      </c>
      <c r="E312" s="3" t="s">
        <v>1152</v>
      </c>
      <c r="F312" s="7" t="s">
        <v>1536</v>
      </c>
      <c r="G312" s="6">
        <v>273</v>
      </c>
      <c r="H312" s="6" t="s">
        <v>1536</v>
      </c>
      <c r="I312" s="6">
        <v>273</v>
      </c>
      <c r="J312" s="4">
        <v>43226</v>
      </c>
      <c r="K312" s="8">
        <v>43226</v>
      </c>
      <c r="L312" s="1" t="e">
        <f>IF(MATCH(C312,Wiki!B:B,0)&lt;&gt;0,TRUE,FALSE)</f>
        <v>#N/A</v>
      </c>
      <c r="M312" s="1" t="e">
        <f>INDEX(Wiki!K:K,MATCH('BOM2017'!C312,Wiki!B:B,0))</f>
        <v>#N/A</v>
      </c>
      <c r="N312" s="1" t="e">
        <f>IFERROR(M312,INDEX(Wiki!K:K,MATCH('BOM2017'!D312,Wiki!B:B,0)))</f>
        <v>#VALUE!</v>
      </c>
    </row>
    <row r="313" spans="2:14" x14ac:dyDescent="0.2">
      <c r="B313" s="6">
        <v>308</v>
      </c>
      <c r="C313" s="3" t="s">
        <v>1537</v>
      </c>
      <c r="D313" t="e">
        <f t="shared" si="4"/>
        <v>#VALUE!</v>
      </c>
      <c r="E313" s="3" t="s">
        <v>1235</v>
      </c>
      <c r="F313" s="7" t="s">
        <v>1538</v>
      </c>
      <c r="G313" s="6">
        <v>36</v>
      </c>
      <c r="H313" s="6" t="s">
        <v>1539</v>
      </c>
      <c r="I313" s="6">
        <v>36</v>
      </c>
      <c r="J313" s="4">
        <v>43225</v>
      </c>
      <c r="K313" s="6" t="s">
        <v>558</v>
      </c>
      <c r="L313" s="1" t="e">
        <f>IF(MATCH(C313,Wiki!B:B,0)&lt;&gt;0,TRUE,FALSE)</f>
        <v>#N/A</v>
      </c>
      <c r="M313" s="1" t="e">
        <f>INDEX(Wiki!K:K,MATCH('BOM2017'!C313,Wiki!B:B,0))</f>
        <v>#N/A</v>
      </c>
      <c r="N313" s="1" t="e">
        <f>IFERROR(M313,INDEX(Wiki!K:K,MATCH('BOM2017'!D313,Wiki!B:B,0)))</f>
        <v>#VALUE!</v>
      </c>
    </row>
    <row r="314" spans="2:14" x14ac:dyDescent="0.2">
      <c r="B314" s="6">
        <v>309</v>
      </c>
      <c r="C314" s="3" t="s">
        <v>1540</v>
      </c>
      <c r="D314" t="str">
        <f t="shared" si="4"/>
        <v>Dunkirk</v>
      </c>
      <c r="E314" s="3" t="s">
        <v>563</v>
      </c>
      <c r="F314" s="7" t="s">
        <v>1541</v>
      </c>
      <c r="G314" s="6">
        <v>53</v>
      </c>
      <c r="H314" s="6" t="s">
        <v>1542</v>
      </c>
      <c r="I314" s="6">
        <v>53</v>
      </c>
      <c r="J314" s="4">
        <v>43435</v>
      </c>
      <c r="K314" s="8">
        <v>43448</v>
      </c>
      <c r="L314" s="1" t="e">
        <f>IF(MATCH(C314,Wiki!B:B,0)&lt;&gt;0,TRUE,FALSE)</f>
        <v>#N/A</v>
      </c>
      <c r="M314" s="1" t="e">
        <f>INDEX(Wiki!K:K,MATCH('BOM2017'!C314,Wiki!B:B,0))</f>
        <v>#N/A</v>
      </c>
      <c r="N314" s="1" t="str">
        <f>IFERROR(M314,INDEX(Wiki!K:K,MATCH('BOM2017'!D314,Wiki!B:B,0)))</f>
        <v>Dunkirk_(2017_film)</v>
      </c>
    </row>
    <row r="315" spans="2:14" x14ac:dyDescent="0.2">
      <c r="B315" s="6">
        <v>310</v>
      </c>
      <c r="C315" s="3" t="s">
        <v>1543</v>
      </c>
      <c r="D315" t="e">
        <f t="shared" si="4"/>
        <v>#VALUE!</v>
      </c>
      <c r="E315" s="3" t="s">
        <v>1544</v>
      </c>
      <c r="F315" s="7" t="s">
        <v>1545</v>
      </c>
      <c r="G315" s="6">
        <v>13</v>
      </c>
      <c r="H315" s="6" t="s">
        <v>1546</v>
      </c>
      <c r="I315" s="6">
        <v>2</v>
      </c>
      <c r="J315" s="4">
        <v>43397</v>
      </c>
      <c r="K315" s="6" t="s">
        <v>558</v>
      </c>
      <c r="L315" s="1" t="e">
        <f>IF(MATCH(C315,Wiki!B:B,0)&lt;&gt;0,TRUE,FALSE)</f>
        <v>#N/A</v>
      </c>
      <c r="M315" s="1" t="e">
        <f>INDEX(Wiki!K:K,MATCH('BOM2017'!C315,Wiki!B:B,0))</f>
        <v>#N/A</v>
      </c>
      <c r="N315" s="1" t="e">
        <f>IFERROR(M315,INDEX(Wiki!K:K,MATCH('BOM2017'!D315,Wiki!B:B,0)))</f>
        <v>#VALUE!</v>
      </c>
    </row>
    <row r="316" spans="2:14" x14ac:dyDescent="0.2">
      <c r="B316" s="6">
        <v>311</v>
      </c>
      <c r="C316" s="3" t="s">
        <v>1547</v>
      </c>
      <c r="D316" t="e">
        <f t="shared" si="4"/>
        <v>#VALUE!</v>
      </c>
      <c r="E316" s="3" t="s">
        <v>1294</v>
      </c>
      <c r="F316" s="7" t="s">
        <v>1548</v>
      </c>
      <c r="G316" s="6">
        <v>120</v>
      </c>
      <c r="H316" s="6" t="s">
        <v>1549</v>
      </c>
      <c r="I316" s="6">
        <v>4</v>
      </c>
      <c r="J316" s="4">
        <v>43225</v>
      </c>
      <c r="K316" s="8">
        <v>43262</v>
      </c>
      <c r="L316" s="1" t="e">
        <f>IF(MATCH(C316,Wiki!B:B,0)&lt;&gt;0,TRUE,FALSE)</f>
        <v>#N/A</v>
      </c>
      <c r="M316" s="1" t="e">
        <f>INDEX(Wiki!K:K,MATCH('BOM2017'!C316,Wiki!B:B,0))</f>
        <v>#N/A</v>
      </c>
      <c r="N316" s="1" t="e">
        <f>IFERROR(M316,INDEX(Wiki!K:K,MATCH('BOM2017'!D316,Wiki!B:B,0)))</f>
        <v>#VALUE!</v>
      </c>
    </row>
    <row r="317" spans="2:14" x14ac:dyDescent="0.2">
      <c r="B317" s="6">
        <v>312</v>
      </c>
      <c r="C317" s="3" t="s">
        <v>1550</v>
      </c>
      <c r="D317" t="e">
        <f t="shared" si="4"/>
        <v>#VALUE!</v>
      </c>
      <c r="E317" s="3" t="s">
        <v>1532</v>
      </c>
      <c r="F317" s="7" t="s">
        <v>1551</v>
      </c>
      <c r="G317" s="6">
        <v>22</v>
      </c>
      <c r="H317" s="6" t="s">
        <v>1159</v>
      </c>
      <c r="I317" s="6" t="s">
        <v>1159</v>
      </c>
      <c r="J317" s="4">
        <v>43105</v>
      </c>
      <c r="K317" s="8">
        <v>43343</v>
      </c>
      <c r="L317" s="1" t="e">
        <f>IF(MATCH(C317,Wiki!B:B,0)&lt;&gt;0,TRUE,FALSE)</f>
        <v>#N/A</v>
      </c>
      <c r="M317" s="1" t="e">
        <f>INDEX(Wiki!K:K,MATCH('BOM2017'!C317,Wiki!B:B,0))</f>
        <v>#N/A</v>
      </c>
      <c r="N317" s="1" t="e">
        <f>IFERROR(M317,INDEX(Wiki!K:K,MATCH('BOM2017'!D317,Wiki!B:B,0)))</f>
        <v>#VALUE!</v>
      </c>
    </row>
    <row r="318" spans="2:14" x14ac:dyDescent="0.2">
      <c r="B318" s="6">
        <v>313</v>
      </c>
      <c r="C318" s="3" t="s">
        <v>1552</v>
      </c>
      <c r="D318" t="e">
        <f t="shared" si="4"/>
        <v>#VALUE!</v>
      </c>
      <c r="E318" s="3" t="s">
        <v>1294</v>
      </c>
      <c r="F318" s="7" t="s">
        <v>1553</v>
      </c>
      <c r="G318" s="6">
        <v>25</v>
      </c>
      <c r="H318" s="6" t="s">
        <v>1554</v>
      </c>
      <c r="I318" s="6">
        <v>2</v>
      </c>
      <c r="J318" s="4">
        <v>43211</v>
      </c>
      <c r="K318" s="8">
        <v>43287</v>
      </c>
      <c r="L318" s="1" t="e">
        <f>IF(MATCH(C318,Wiki!B:B,0)&lt;&gt;0,TRUE,FALSE)</f>
        <v>#N/A</v>
      </c>
      <c r="M318" s="1" t="e">
        <f>INDEX(Wiki!K:K,MATCH('BOM2017'!C318,Wiki!B:B,0))</f>
        <v>#N/A</v>
      </c>
      <c r="N318" s="1" t="e">
        <f>IFERROR(M318,INDEX(Wiki!K:K,MATCH('BOM2017'!D318,Wiki!B:B,0)))</f>
        <v>#VALUE!</v>
      </c>
    </row>
    <row r="319" spans="2:14" x14ac:dyDescent="0.2">
      <c r="B319" s="6">
        <v>314</v>
      </c>
      <c r="C319" s="3" t="s">
        <v>1555</v>
      </c>
      <c r="D319" t="e">
        <f t="shared" si="4"/>
        <v>#VALUE!</v>
      </c>
      <c r="E319" s="3" t="s">
        <v>1235</v>
      </c>
      <c r="F319" s="7" t="s">
        <v>1556</v>
      </c>
      <c r="G319" s="6">
        <v>43</v>
      </c>
      <c r="H319" s="6" t="s">
        <v>1557</v>
      </c>
      <c r="I319" s="6">
        <v>43</v>
      </c>
      <c r="J319" s="4">
        <v>43379</v>
      </c>
      <c r="K319" s="8">
        <v>43420</v>
      </c>
      <c r="L319" s="1" t="e">
        <f>IF(MATCH(C319,Wiki!B:B,0)&lt;&gt;0,TRUE,FALSE)</f>
        <v>#N/A</v>
      </c>
      <c r="M319" s="1" t="e">
        <f>INDEX(Wiki!K:K,MATCH('BOM2017'!C319,Wiki!B:B,0))</f>
        <v>#N/A</v>
      </c>
      <c r="N319" s="1" t="e">
        <f>IFERROR(M319,INDEX(Wiki!K:K,MATCH('BOM2017'!D319,Wiki!B:B,0)))</f>
        <v>#VALUE!</v>
      </c>
    </row>
    <row r="320" spans="2:14" x14ac:dyDescent="0.2">
      <c r="B320" s="6">
        <v>315</v>
      </c>
      <c r="C320" s="3" t="s">
        <v>1558</v>
      </c>
      <c r="D320" t="e">
        <f t="shared" si="4"/>
        <v>#VALUE!</v>
      </c>
      <c r="E320" s="3" t="s">
        <v>1559</v>
      </c>
      <c r="F320" s="7" t="s">
        <v>1560</v>
      </c>
      <c r="G320" s="6">
        <v>53</v>
      </c>
      <c r="H320" s="6" t="s">
        <v>1561</v>
      </c>
      <c r="I320" s="6">
        <v>2</v>
      </c>
      <c r="J320" s="4">
        <v>43155</v>
      </c>
      <c r="K320" s="8">
        <v>43224</v>
      </c>
      <c r="L320" s="1" t="e">
        <f>IF(MATCH(C320,Wiki!B:B,0)&lt;&gt;0,TRUE,FALSE)</f>
        <v>#N/A</v>
      </c>
      <c r="M320" s="1" t="e">
        <f>INDEX(Wiki!K:K,MATCH('BOM2017'!C320,Wiki!B:B,0))</f>
        <v>#N/A</v>
      </c>
      <c r="N320" s="1" t="e">
        <f>IFERROR(M320,INDEX(Wiki!K:K,MATCH('BOM2017'!D320,Wiki!B:B,0)))</f>
        <v>#VALUE!</v>
      </c>
    </row>
    <row r="321" spans="2:14" x14ac:dyDescent="0.2">
      <c r="B321" s="6">
        <v>316</v>
      </c>
      <c r="C321" s="3" t="s">
        <v>1562</v>
      </c>
      <c r="D321" t="e">
        <f t="shared" si="4"/>
        <v>#VALUE!</v>
      </c>
      <c r="E321" s="3" t="s">
        <v>1083</v>
      </c>
      <c r="F321" s="7" t="s">
        <v>1563</v>
      </c>
      <c r="G321" s="6">
        <v>67</v>
      </c>
      <c r="H321" s="6" t="s">
        <v>1563</v>
      </c>
      <c r="I321" s="6">
        <v>67</v>
      </c>
      <c r="J321" s="4">
        <v>43407</v>
      </c>
      <c r="K321" s="8">
        <v>43409</v>
      </c>
      <c r="L321" s="1" t="e">
        <f>IF(MATCH(C321,Wiki!B:B,0)&lt;&gt;0,TRUE,FALSE)</f>
        <v>#N/A</v>
      </c>
      <c r="M321" s="1" t="e">
        <f>INDEX(Wiki!K:K,MATCH('BOM2017'!C321,Wiki!B:B,0))</f>
        <v>#N/A</v>
      </c>
      <c r="N321" s="1" t="e">
        <f>IFERROR(M321,INDEX(Wiki!K:K,MATCH('BOM2017'!D321,Wiki!B:B,0)))</f>
        <v>#VALUE!</v>
      </c>
    </row>
    <row r="322" spans="2:14" x14ac:dyDescent="0.2">
      <c r="B322" s="6">
        <v>317</v>
      </c>
      <c r="C322" s="3" t="s">
        <v>1564</v>
      </c>
      <c r="D322" t="e">
        <f t="shared" si="4"/>
        <v>#VALUE!</v>
      </c>
      <c r="E322" s="3" t="s">
        <v>1210</v>
      </c>
      <c r="F322" s="7" t="s">
        <v>1565</v>
      </c>
      <c r="G322" s="6">
        <v>55</v>
      </c>
      <c r="H322" s="6" t="s">
        <v>1566</v>
      </c>
      <c r="I322" s="6">
        <v>55</v>
      </c>
      <c r="J322" s="4">
        <v>43127</v>
      </c>
      <c r="K322" s="8">
        <v>43146</v>
      </c>
      <c r="L322" s="1" t="e">
        <f>IF(MATCH(C322,Wiki!B:B,0)&lt;&gt;0,TRUE,FALSE)</f>
        <v>#N/A</v>
      </c>
      <c r="M322" s="1" t="e">
        <f>INDEX(Wiki!K:K,MATCH('BOM2017'!C322,Wiki!B:B,0))</f>
        <v>#N/A</v>
      </c>
      <c r="N322" s="1" t="e">
        <f>IFERROR(M322,INDEX(Wiki!K:K,MATCH('BOM2017'!D322,Wiki!B:B,0)))</f>
        <v>#VALUE!</v>
      </c>
    </row>
    <row r="323" spans="2:14" x14ac:dyDescent="0.2">
      <c r="B323" s="6">
        <v>318</v>
      </c>
      <c r="C323" s="3" t="s">
        <v>1567</v>
      </c>
      <c r="D323" t="e">
        <f t="shared" si="4"/>
        <v>#VALUE!</v>
      </c>
      <c r="E323" s="3" t="s">
        <v>1568</v>
      </c>
      <c r="F323" s="7" t="s">
        <v>1569</v>
      </c>
      <c r="G323" s="6">
        <v>165</v>
      </c>
      <c r="H323" s="6" t="s">
        <v>1570</v>
      </c>
      <c r="I323" s="6">
        <v>165</v>
      </c>
      <c r="J323" s="4">
        <v>43344</v>
      </c>
      <c r="K323" s="8">
        <v>43364</v>
      </c>
      <c r="L323" s="1" t="e">
        <f>IF(MATCH(C323,Wiki!B:B,0)&lt;&gt;0,TRUE,FALSE)</f>
        <v>#N/A</v>
      </c>
      <c r="M323" s="1" t="e">
        <f>INDEX(Wiki!K:K,MATCH('BOM2017'!C323,Wiki!B:B,0))</f>
        <v>#N/A</v>
      </c>
      <c r="N323" s="1" t="e">
        <f>IFERROR(M323,INDEX(Wiki!K:K,MATCH('BOM2017'!D323,Wiki!B:B,0)))</f>
        <v>#VALUE!</v>
      </c>
    </row>
    <row r="324" spans="2:14" x14ac:dyDescent="0.2">
      <c r="B324" s="6">
        <v>319</v>
      </c>
      <c r="C324" s="3" t="s">
        <v>1571</v>
      </c>
      <c r="D324" t="e">
        <f t="shared" si="4"/>
        <v>#VALUE!</v>
      </c>
      <c r="E324" s="3" t="s">
        <v>1572</v>
      </c>
      <c r="F324" s="7" t="s">
        <v>1573</v>
      </c>
      <c r="G324" s="6">
        <v>38</v>
      </c>
      <c r="H324" s="6" t="s">
        <v>1574</v>
      </c>
      <c r="I324" s="6">
        <v>6</v>
      </c>
      <c r="J324" s="4">
        <v>43176</v>
      </c>
      <c r="K324" s="8">
        <v>43343</v>
      </c>
      <c r="L324" s="1" t="e">
        <f>IF(MATCH(C324,Wiki!B:B,0)&lt;&gt;0,TRUE,FALSE)</f>
        <v>#N/A</v>
      </c>
      <c r="M324" s="1" t="e">
        <f>INDEX(Wiki!K:K,MATCH('BOM2017'!C324,Wiki!B:B,0))</f>
        <v>#N/A</v>
      </c>
      <c r="N324" s="1" t="e">
        <f>IFERROR(M324,INDEX(Wiki!K:K,MATCH('BOM2017'!D324,Wiki!B:B,0)))</f>
        <v>#VALUE!</v>
      </c>
    </row>
    <row r="325" spans="2:14" x14ac:dyDescent="0.2">
      <c r="B325" s="6">
        <v>320</v>
      </c>
      <c r="C325" s="3" t="s">
        <v>1575</v>
      </c>
      <c r="D325" t="str">
        <f t="shared" si="4"/>
        <v>Stalker</v>
      </c>
      <c r="E325" s="3" t="s">
        <v>1576</v>
      </c>
      <c r="F325" s="7" t="s">
        <v>1577</v>
      </c>
      <c r="G325" s="6">
        <v>6</v>
      </c>
      <c r="H325" s="6" t="s">
        <v>1578</v>
      </c>
      <c r="I325" s="6">
        <v>1</v>
      </c>
      <c r="J325" s="4">
        <v>43225</v>
      </c>
      <c r="K325" s="6" t="s">
        <v>558</v>
      </c>
      <c r="L325" s="1" t="e">
        <f>IF(MATCH(C325,Wiki!B:B,0)&lt;&gt;0,TRUE,FALSE)</f>
        <v>#N/A</v>
      </c>
      <c r="M325" s="1" t="e">
        <f>INDEX(Wiki!K:K,MATCH('BOM2017'!C325,Wiki!B:B,0))</f>
        <v>#N/A</v>
      </c>
      <c r="N325" s="1" t="e">
        <f>IFERROR(M325,INDEX(Wiki!K:K,MATCH('BOM2017'!D325,Wiki!B:B,0)))</f>
        <v>#N/A</v>
      </c>
    </row>
    <row r="326" spans="2:14" x14ac:dyDescent="0.2">
      <c r="B326" s="6">
        <v>321</v>
      </c>
      <c r="C326" s="3">
        <v>1945</v>
      </c>
      <c r="D326" t="e">
        <f t="shared" ref="D326:D389" si="5">IF(ISERROR(M326),TRIM(LEFT(C326,FIND("(",C326)-1)),"")</f>
        <v>#VALUE!</v>
      </c>
      <c r="E326" s="3" t="s">
        <v>1314</v>
      </c>
      <c r="F326" s="7" t="s">
        <v>1579</v>
      </c>
      <c r="G326" s="6">
        <v>13</v>
      </c>
      <c r="H326" s="6" t="s">
        <v>1580</v>
      </c>
      <c r="I326" s="6">
        <v>2</v>
      </c>
      <c r="J326" s="4">
        <v>43405</v>
      </c>
      <c r="K326" s="6" t="s">
        <v>558</v>
      </c>
      <c r="L326" s="1" t="e">
        <f>IF(MATCH(C326,Wiki!B:B,0)&lt;&gt;0,TRUE,FALSE)</f>
        <v>#N/A</v>
      </c>
      <c r="M326" s="1" t="e">
        <f>INDEX(Wiki!K:K,MATCH('BOM2017'!C326,Wiki!B:B,0))</f>
        <v>#N/A</v>
      </c>
      <c r="N326" s="1" t="e">
        <f>IFERROR(M326,INDEX(Wiki!K:K,MATCH('BOM2017'!D326,Wiki!B:B,0)))</f>
        <v>#VALUE!</v>
      </c>
    </row>
    <row r="327" spans="2:14" x14ac:dyDescent="0.2">
      <c r="B327" s="6">
        <v>322</v>
      </c>
      <c r="C327" s="3" t="s">
        <v>272</v>
      </c>
      <c r="D327" t="str">
        <f t="shared" si="5"/>
        <v/>
      </c>
      <c r="E327" s="3" t="s">
        <v>1294</v>
      </c>
      <c r="F327" s="7" t="s">
        <v>1581</v>
      </c>
      <c r="G327" s="6">
        <v>30</v>
      </c>
      <c r="H327" s="6" t="s">
        <v>1582</v>
      </c>
      <c r="I327" s="6">
        <v>1</v>
      </c>
      <c r="J327" s="4">
        <v>43239</v>
      </c>
      <c r="K327" s="8">
        <v>43301</v>
      </c>
      <c r="L327" s="1" t="b">
        <f>IF(MATCH(C327,Wiki!B:B,0)&lt;&gt;0,TRUE,FALSE)</f>
        <v>1</v>
      </c>
      <c r="M327" s="1" t="str">
        <f>INDEX(Wiki!K:K,MATCH('BOM2017'!C327,Wiki!B:B,0))</f>
        <v>Wakefield_(film)</v>
      </c>
      <c r="N327" s="1" t="str">
        <f>IFERROR(M327,INDEX(Wiki!K:K,MATCH('BOM2017'!D327,Wiki!B:B,0)))</f>
        <v>Wakefield_(film)</v>
      </c>
    </row>
    <row r="328" spans="2:14" x14ac:dyDescent="0.2">
      <c r="B328" s="6">
        <v>323</v>
      </c>
      <c r="C328" s="3" t="s">
        <v>1583</v>
      </c>
      <c r="D328" t="e">
        <f t="shared" si="5"/>
        <v>#VALUE!</v>
      </c>
      <c r="E328" s="3" t="s">
        <v>1294</v>
      </c>
      <c r="F328" s="7" t="s">
        <v>1584</v>
      </c>
      <c r="G328" s="6">
        <v>45</v>
      </c>
      <c r="H328" s="6" t="s">
        <v>1585</v>
      </c>
      <c r="I328" s="6">
        <v>12</v>
      </c>
      <c r="J328" s="4">
        <v>43253</v>
      </c>
      <c r="K328" s="8">
        <v>43301</v>
      </c>
      <c r="L328" s="1" t="e">
        <f>IF(MATCH(C328,Wiki!B:B,0)&lt;&gt;0,TRUE,FALSE)</f>
        <v>#N/A</v>
      </c>
      <c r="M328" s="1" t="e">
        <f>INDEX(Wiki!K:K,MATCH('BOM2017'!C328,Wiki!B:B,0))</f>
        <v>#N/A</v>
      </c>
      <c r="N328" s="1" t="e">
        <f>IFERROR(M328,INDEX(Wiki!K:K,MATCH('BOM2017'!D328,Wiki!B:B,0)))</f>
        <v>#VALUE!</v>
      </c>
    </row>
    <row r="329" spans="2:14" x14ac:dyDescent="0.2">
      <c r="B329" s="6">
        <v>324</v>
      </c>
      <c r="C329" s="3" t="s">
        <v>1586</v>
      </c>
      <c r="D329" t="e">
        <f t="shared" si="5"/>
        <v>#VALUE!</v>
      </c>
      <c r="E329" s="3" t="s">
        <v>1039</v>
      </c>
      <c r="F329" s="7" t="s">
        <v>1587</v>
      </c>
      <c r="G329" s="6">
        <v>29</v>
      </c>
      <c r="H329" s="6" t="s">
        <v>1588</v>
      </c>
      <c r="I329" s="6">
        <v>2</v>
      </c>
      <c r="J329" s="4">
        <v>43190</v>
      </c>
      <c r="K329" s="8">
        <v>43280</v>
      </c>
      <c r="L329" s="1" t="e">
        <f>IF(MATCH(C329,Wiki!B:B,0)&lt;&gt;0,TRUE,FALSE)</f>
        <v>#N/A</v>
      </c>
      <c r="M329" s="1" t="e">
        <f>INDEX(Wiki!K:K,MATCH('BOM2017'!C329,Wiki!B:B,0))</f>
        <v>#N/A</v>
      </c>
      <c r="N329" s="1" t="e">
        <f>IFERROR(M329,INDEX(Wiki!K:K,MATCH('BOM2017'!D329,Wiki!B:B,0)))</f>
        <v>#VALUE!</v>
      </c>
    </row>
    <row r="330" spans="2:14" x14ac:dyDescent="0.2">
      <c r="B330" s="6">
        <v>325</v>
      </c>
      <c r="C330" s="3" t="s">
        <v>283</v>
      </c>
      <c r="D330" t="str">
        <f t="shared" si="5"/>
        <v/>
      </c>
      <c r="E330" s="3" t="s">
        <v>1299</v>
      </c>
      <c r="F330" s="7" t="s">
        <v>1589</v>
      </c>
      <c r="G330" s="6">
        <v>83</v>
      </c>
      <c r="H330" s="6" t="s">
        <v>1590</v>
      </c>
      <c r="I330" s="6">
        <v>15</v>
      </c>
      <c r="J330" s="4">
        <v>43253</v>
      </c>
      <c r="K330" s="8">
        <v>43280</v>
      </c>
      <c r="L330" s="1" t="b">
        <f>IF(MATCH(C330,Wiki!B:B,0)&lt;&gt;0,TRUE,FALSE)</f>
        <v>1</v>
      </c>
      <c r="M330" s="1" t="str">
        <f>INDEX(Wiki!K:K,MATCH('BOM2017'!C330,Wiki!B:B,0))</f>
        <v>Dean_(film)</v>
      </c>
      <c r="N330" s="1" t="str">
        <f>IFERROR(M330,INDEX(Wiki!K:K,MATCH('BOM2017'!D330,Wiki!B:B,0)))</f>
        <v>Dean_(film)</v>
      </c>
    </row>
    <row r="331" spans="2:14" x14ac:dyDescent="0.2">
      <c r="B331" s="6">
        <v>326</v>
      </c>
      <c r="C331" s="3" t="s">
        <v>1591</v>
      </c>
      <c r="D331" t="e">
        <f t="shared" si="5"/>
        <v>#VALUE!</v>
      </c>
      <c r="E331" s="3" t="s">
        <v>1332</v>
      </c>
      <c r="F331" s="7" t="s">
        <v>1592</v>
      </c>
      <c r="G331" s="6">
        <v>27</v>
      </c>
      <c r="H331" s="6" t="s">
        <v>1159</v>
      </c>
      <c r="I331" s="6" t="s">
        <v>1159</v>
      </c>
      <c r="J331" s="4">
        <v>43379</v>
      </c>
      <c r="K331" s="8">
        <v>43409</v>
      </c>
      <c r="L331" s="1" t="e">
        <f>IF(MATCH(C331,Wiki!B:B,0)&lt;&gt;0,TRUE,FALSE)</f>
        <v>#N/A</v>
      </c>
      <c r="M331" s="1" t="e">
        <f>INDEX(Wiki!K:K,MATCH('BOM2017'!C331,Wiki!B:B,0))</f>
        <v>#N/A</v>
      </c>
      <c r="N331" s="1" t="e">
        <f>IFERROR(M331,INDEX(Wiki!K:K,MATCH('BOM2017'!D331,Wiki!B:B,0)))</f>
        <v>#VALUE!</v>
      </c>
    </row>
    <row r="332" spans="2:14" x14ac:dyDescent="0.2">
      <c r="B332" s="6">
        <v>327</v>
      </c>
      <c r="C332" s="3" t="s">
        <v>1593</v>
      </c>
      <c r="D332" t="e">
        <f t="shared" si="5"/>
        <v>#VALUE!</v>
      </c>
      <c r="E332" s="3" t="s">
        <v>1594</v>
      </c>
      <c r="F332" s="7" t="s">
        <v>1595</v>
      </c>
      <c r="G332" s="6">
        <v>27</v>
      </c>
      <c r="H332" s="6" t="s">
        <v>1596</v>
      </c>
      <c r="I332" s="6">
        <v>2</v>
      </c>
      <c r="J332" s="4">
        <v>43330</v>
      </c>
      <c r="K332" s="8">
        <v>43385</v>
      </c>
      <c r="L332" s="1" t="e">
        <f>IF(MATCH(C332,Wiki!B:B,0)&lt;&gt;0,TRUE,FALSE)</f>
        <v>#N/A</v>
      </c>
      <c r="M332" s="1" t="e">
        <f>INDEX(Wiki!K:K,MATCH('BOM2017'!C332,Wiki!B:B,0))</f>
        <v>#N/A</v>
      </c>
      <c r="N332" s="1" t="e">
        <f>IFERROR(M332,INDEX(Wiki!K:K,MATCH('BOM2017'!D332,Wiki!B:B,0)))</f>
        <v>#VALUE!</v>
      </c>
    </row>
    <row r="333" spans="2:14" x14ac:dyDescent="0.2">
      <c r="B333" s="6">
        <v>328</v>
      </c>
      <c r="C333" s="3" t="s">
        <v>1597</v>
      </c>
      <c r="D333" t="e">
        <f t="shared" si="5"/>
        <v>#VALUE!</v>
      </c>
      <c r="E333" s="3" t="s">
        <v>1415</v>
      </c>
      <c r="F333" s="7" t="s">
        <v>1598</v>
      </c>
      <c r="G333" s="6">
        <v>107</v>
      </c>
      <c r="H333" s="6" t="s">
        <v>1599</v>
      </c>
      <c r="I333" s="6">
        <v>107</v>
      </c>
      <c r="J333" s="4">
        <v>43232</v>
      </c>
      <c r="K333" s="8">
        <v>43245</v>
      </c>
      <c r="L333" s="1" t="e">
        <f>IF(MATCH(C333,Wiki!B:B,0)&lt;&gt;0,TRUE,FALSE)</f>
        <v>#N/A</v>
      </c>
      <c r="M333" s="1" t="e">
        <f>INDEX(Wiki!K:K,MATCH('BOM2017'!C333,Wiki!B:B,0))</f>
        <v>#N/A</v>
      </c>
      <c r="N333" s="1" t="e">
        <f>IFERROR(M333,INDEX(Wiki!K:K,MATCH('BOM2017'!D333,Wiki!B:B,0)))</f>
        <v>#VALUE!</v>
      </c>
    </row>
    <row r="334" spans="2:14" x14ac:dyDescent="0.2">
      <c r="B334" s="6">
        <v>329</v>
      </c>
      <c r="C334" s="3" t="s">
        <v>1600</v>
      </c>
      <c r="D334" t="e">
        <f t="shared" si="5"/>
        <v>#VALUE!</v>
      </c>
      <c r="E334" s="3" t="s">
        <v>1294</v>
      </c>
      <c r="F334" s="7" t="s">
        <v>1601</v>
      </c>
      <c r="G334" s="6">
        <v>35</v>
      </c>
      <c r="H334" s="6" t="s">
        <v>1602</v>
      </c>
      <c r="I334" s="6">
        <v>3</v>
      </c>
      <c r="J334" s="4">
        <v>43253</v>
      </c>
      <c r="K334" s="8">
        <v>43315</v>
      </c>
      <c r="L334" s="1" t="e">
        <f>IF(MATCH(C334,Wiki!B:B,0)&lt;&gt;0,TRUE,FALSE)</f>
        <v>#N/A</v>
      </c>
      <c r="M334" s="1" t="e">
        <f>INDEX(Wiki!K:K,MATCH('BOM2017'!C334,Wiki!B:B,0))</f>
        <v>#N/A</v>
      </c>
      <c r="N334" s="1" t="e">
        <f>IFERROR(M334,INDEX(Wiki!K:K,MATCH('BOM2017'!D334,Wiki!B:B,0)))</f>
        <v>#VALUE!</v>
      </c>
    </row>
    <row r="335" spans="2:14" x14ac:dyDescent="0.2">
      <c r="B335" s="6">
        <v>330</v>
      </c>
      <c r="C335" s="3" t="s">
        <v>1603</v>
      </c>
      <c r="D335" t="e">
        <f t="shared" si="5"/>
        <v>#VALUE!</v>
      </c>
      <c r="E335" s="3" t="s">
        <v>1087</v>
      </c>
      <c r="F335" s="7" t="s">
        <v>1604</v>
      </c>
      <c r="G335" s="6">
        <v>187</v>
      </c>
      <c r="H335" s="6" t="s">
        <v>1159</v>
      </c>
      <c r="I335" s="6" t="s">
        <v>1159</v>
      </c>
      <c r="J335" s="4">
        <v>43263</v>
      </c>
      <c r="K335" s="8">
        <v>43266</v>
      </c>
      <c r="L335" s="1" t="e">
        <f>IF(MATCH(C335,Wiki!B:B,0)&lt;&gt;0,TRUE,FALSE)</f>
        <v>#N/A</v>
      </c>
      <c r="M335" s="1" t="e">
        <f>INDEX(Wiki!K:K,MATCH('BOM2017'!C335,Wiki!B:B,0))</f>
        <v>#N/A</v>
      </c>
      <c r="N335" s="1" t="e">
        <f>IFERROR(M335,INDEX(Wiki!K:K,MATCH('BOM2017'!D335,Wiki!B:B,0)))</f>
        <v>#VALUE!</v>
      </c>
    </row>
    <row r="336" spans="2:14" x14ac:dyDescent="0.2">
      <c r="B336" s="6">
        <v>331</v>
      </c>
      <c r="C336" s="3" t="s">
        <v>1605</v>
      </c>
      <c r="D336" t="e">
        <f t="shared" si="5"/>
        <v>#VALUE!</v>
      </c>
      <c r="E336" s="3" t="s">
        <v>1559</v>
      </c>
      <c r="F336" s="7" t="s">
        <v>1606</v>
      </c>
      <c r="G336" s="6">
        <v>43</v>
      </c>
      <c r="H336" s="6" t="s">
        <v>1607</v>
      </c>
      <c r="I336" s="6">
        <v>3</v>
      </c>
      <c r="J336" s="4">
        <v>43421</v>
      </c>
      <c r="K336" s="6" t="s">
        <v>558</v>
      </c>
      <c r="L336" s="1" t="e">
        <f>IF(MATCH(C336,Wiki!B:B,0)&lt;&gt;0,TRUE,FALSE)</f>
        <v>#N/A</v>
      </c>
      <c r="M336" s="1" t="e">
        <f>INDEX(Wiki!K:K,MATCH('BOM2017'!C336,Wiki!B:B,0))</f>
        <v>#N/A</v>
      </c>
      <c r="N336" s="1" t="e">
        <f>IFERROR(M336,INDEX(Wiki!K:K,MATCH('BOM2017'!D336,Wiki!B:B,0)))</f>
        <v>#VALUE!</v>
      </c>
    </row>
    <row r="337" spans="2:14" x14ac:dyDescent="0.2">
      <c r="B337" s="6">
        <v>332</v>
      </c>
      <c r="C337" s="3" t="s">
        <v>1608</v>
      </c>
      <c r="D337" t="e">
        <f t="shared" si="5"/>
        <v>#VALUE!</v>
      </c>
      <c r="E337" s="3" t="s">
        <v>1235</v>
      </c>
      <c r="F337" s="7" t="s">
        <v>1609</v>
      </c>
      <c r="G337" s="6">
        <v>27</v>
      </c>
      <c r="H337" s="6" t="s">
        <v>1610</v>
      </c>
      <c r="I337" s="6">
        <v>27</v>
      </c>
      <c r="J337" s="4">
        <v>43435</v>
      </c>
      <c r="K337" s="6" t="s">
        <v>558</v>
      </c>
      <c r="L337" s="1" t="e">
        <f>IF(MATCH(C337,Wiki!B:B,0)&lt;&gt;0,TRUE,FALSE)</f>
        <v>#N/A</v>
      </c>
      <c r="M337" s="1" t="e">
        <f>INDEX(Wiki!K:K,MATCH('BOM2017'!C337,Wiki!B:B,0))</f>
        <v>#N/A</v>
      </c>
      <c r="N337" s="1" t="e">
        <f>IFERROR(M337,INDEX(Wiki!K:K,MATCH('BOM2017'!D337,Wiki!B:B,0)))</f>
        <v>#VALUE!</v>
      </c>
    </row>
    <row r="338" spans="2:14" x14ac:dyDescent="0.2">
      <c r="B338" s="6">
        <v>333</v>
      </c>
      <c r="C338" s="3" t="s">
        <v>1611</v>
      </c>
      <c r="D338" t="e">
        <f t="shared" si="5"/>
        <v>#VALUE!</v>
      </c>
      <c r="E338" s="3" t="s">
        <v>1612</v>
      </c>
      <c r="F338" s="7" t="s">
        <v>1613</v>
      </c>
      <c r="G338" s="6">
        <v>216</v>
      </c>
      <c r="H338" s="6" t="s">
        <v>1614</v>
      </c>
      <c r="I338" s="6">
        <v>216</v>
      </c>
      <c r="J338" s="4">
        <v>43169</v>
      </c>
      <c r="K338" s="8">
        <v>43182</v>
      </c>
      <c r="L338" s="1" t="e">
        <f>IF(MATCH(C338,Wiki!B:B,0)&lt;&gt;0,TRUE,FALSE)</f>
        <v>#N/A</v>
      </c>
      <c r="M338" s="1" t="e">
        <f>INDEX(Wiki!K:K,MATCH('BOM2017'!C338,Wiki!B:B,0))</f>
        <v>#N/A</v>
      </c>
      <c r="N338" s="1" t="e">
        <f>IFERROR(M338,INDEX(Wiki!K:K,MATCH('BOM2017'!D338,Wiki!B:B,0)))</f>
        <v>#VALUE!</v>
      </c>
    </row>
    <row r="339" spans="2:14" x14ac:dyDescent="0.2">
      <c r="B339" s="6">
        <v>334</v>
      </c>
      <c r="C339" s="3" t="s">
        <v>1615</v>
      </c>
      <c r="D339" t="e">
        <f t="shared" si="5"/>
        <v>#VALUE!</v>
      </c>
      <c r="E339" s="3" t="s">
        <v>1294</v>
      </c>
      <c r="F339" s="7" t="s">
        <v>1616</v>
      </c>
      <c r="G339" s="6">
        <v>91</v>
      </c>
      <c r="H339" s="6" t="s">
        <v>1617</v>
      </c>
      <c r="I339" s="6">
        <v>3</v>
      </c>
      <c r="J339" s="4">
        <v>43330</v>
      </c>
      <c r="K339" s="8">
        <v>43378</v>
      </c>
      <c r="L339" s="1" t="e">
        <f>IF(MATCH(C339,Wiki!B:B,0)&lt;&gt;0,TRUE,FALSE)</f>
        <v>#N/A</v>
      </c>
      <c r="M339" s="1" t="e">
        <f>INDEX(Wiki!K:K,MATCH('BOM2017'!C339,Wiki!B:B,0))</f>
        <v>#N/A</v>
      </c>
      <c r="N339" s="1" t="e">
        <f>IFERROR(M339,INDEX(Wiki!K:K,MATCH('BOM2017'!D339,Wiki!B:B,0)))</f>
        <v>#VALUE!</v>
      </c>
    </row>
    <row r="340" spans="2:14" x14ac:dyDescent="0.2">
      <c r="B340" s="6">
        <v>335</v>
      </c>
      <c r="C340" s="3" t="s">
        <v>1618</v>
      </c>
      <c r="D340" t="e">
        <f t="shared" si="5"/>
        <v>#VALUE!</v>
      </c>
      <c r="E340" s="3" t="s">
        <v>1619</v>
      </c>
      <c r="F340" s="7" t="s">
        <v>1620</v>
      </c>
      <c r="G340" s="6">
        <v>55</v>
      </c>
      <c r="H340" s="6" t="s">
        <v>1621</v>
      </c>
      <c r="I340" s="6">
        <v>55</v>
      </c>
      <c r="J340" s="4">
        <v>43386</v>
      </c>
      <c r="K340" s="8">
        <v>43413</v>
      </c>
      <c r="L340" s="1" t="e">
        <f>IF(MATCH(C340,Wiki!B:B,0)&lt;&gt;0,TRUE,FALSE)</f>
        <v>#N/A</v>
      </c>
      <c r="M340" s="1" t="e">
        <f>INDEX(Wiki!K:K,MATCH('BOM2017'!C340,Wiki!B:B,0))</f>
        <v>#N/A</v>
      </c>
      <c r="N340" s="1" t="e">
        <f>IFERROR(M340,INDEX(Wiki!K:K,MATCH('BOM2017'!D340,Wiki!B:B,0)))</f>
        <v>#VALUE!</v>
      </c>
    </row>
    <row r="341" spans="2:14" x14ac:dyDescent="0.2">
      <c r="B341" s="6">
        <v>336</v>
      </c>
      <c r="C341" s="3" t="s">
        <v>1622</v>
      </c>
      <c r="D341" t="e">
        <f t="shared" si="5"/>
        <v>#VALUE!</v>
      </c>
      <c r="E341" s="3" t="s">
        <v>1152</v>
      </c>
      <c r="F341" s="7" t="s">
        <v>1623</v>
      </c>
      <c r="G341" s="6">
        <v>511</v>
      </c>
      <c r="H341" s="6" t="s">
        <v>1624</v>
      </c>
      <c r="I341" s="6">
        <v>511</v>
      </c>
      <c r="J341" s="4">
        <v>43400</v>
      </c>
      <c r="K341" s="8">
        <v>43406</v>
      </c>
      <c r="L341" s="1" t="e">
        <f>IF(MATCH(C341,Wiki!B:B,0)&lt;&gt;0,TRUE,FALSE)</f>
        <v>#N/A</v>
      </c>
      <c r="M341" s="1" t="e">
        <f>INDEX(Wiki!K:K,MATCH('BOM2017'!C341,Wiki!B:B,0))</f>
        <v>#N/A</v>
      </c>
      <c r="N341" s="1" t="e">
        <f>IFERROR(M341,INDEX(Wiki!K:K,MATCH('BOM2017'!D341,Wiki!B:B,0)))</f>
        <v>#VALUE!</v>
      </c>
    </row>
    <row r="342" spans="2:14" x14ac:dyDescent="0.2">
      <c r="B342" s="6">
        <v>337</v>
      </c>
      <c r="C342" s="3" t="s">
        <v>1625</v>
      </c>
      <c r="D342" t="e">
        <f t="shared" si="5"/>
        <v>#VALUE!</v>
      </c>
      <c r="E342" s="3" t="s">
        <v>1095</v>
      </c>
      <c r="F342" s="7" t="s">
        <v>1626</v>
      </c>
      <c r="G342" s="6">
        <v>33</v>
      </c>
      <c r="H342" s="6" t="s">
        <v>1627</v>
      </c>
      <c r="I342" s="6">
        <v>2</v>
      </c>
      <c r="J342" s="4">
        <v>43211</v>
      </c>
      <c r="K342" s="8">
        <v>43280</v>
      </c>
      <c r="L342" s="1" t="e">
        <f>IF(MATCH(C342,Wiki!B:B,0)&lt;&gt;0,TRUE,FALSE)</f>
        <v>#N/A</v>
      </c>
      <c r="M342" s="1" t="e">
        <f>INDEX(Wiki!K:K,MATCH('BOM2017'!C342,Wiki!B:B,0))</f>
        <v>#N/A</v>
      </c>
      <c r="N342" s="1" t="e">
        <f>IFERROR(M342,INDEX(Wiki!K:K,MATCH('BOM2017'!D342,Wiki!B:B,0)))</f>
        <v>#VALUE!</v>
      </c>
    </row>
    <row r="343" spans="2:14" x14ac:dyDescent="0.2">
      <c r="B343" s="6">
        <v>338</v>
      </c>
      <c r="C343" s="3" t="s">
        <v>1628</v>
      </c>
      <c r="D343" t="e">
        <f t="shared" si="5"/>
        <v>#VALUE!</v>
      </c>
      <c r="E343" s="3" t="s">
        <v>1532</v>
      </c>
      <c r="F343" s="7" t="s">
        <v>1629</v>
      </c>
      <c r="G343" s="6">
        <v>22</v>
      </c>
      <c r="H343" s="6" t="s">
        <v>1159</v>
      </c>
      <c r="I343" s="6" t="s">
        <v>1159</v>
      </c>
      <c r="J343" s="4">
        <v>43238</v>
      </c>
      <c r="K343" s="8">
        <v>43441</v>
      </c>
      <c r="L343" s="1" t="e">
        <f>IF(MATCH(C343,Wiki!B:B,0)&lt;&gt;0,TRUE,FALSE)</f>
        <v>#N/A</v>
      </c>
      <c r="M343" s="1" t="e">
        <f>INDEX(Wiki!K:K,MATCH('BOM2017'!C343,Wiki!B:B,0))</f>
        <v>#N/A</v>
      </c>
      <c r="N343" s="1" t="e">
        <f>IFERROR(M343,INDEX(Wiki!K:K,MATCH('BOM2017'!D343,Wiki!B:B,0)))</f>
        <v>#VALUE!</v>
      </c>
    </row>
    <row r="344" spans="2:14" x14ac:dyDescent="0.2">
      <c r="B344" s="6">
        <v>339</v>
      </c>
      <c r="C344" s="3" t="s">
        <v>1630</v>
      </c>
      <c r="D344" t="e">
        <f t="shared" si="5"/>
        <v>#VALUE!</v>
      </c>
      <c r="E344" s="3" t="s">
        <v>1631</v>
      </c>
      <c r="F344" s="7" t="s">
        <v>1632</v>
      </c>
      <c r="G344" s="6">
        <v>20</v>
      </c>
      <c r="H344" s="6" t="s">
        <v>1633</v>
      </c>
      <c r="I344" s="6">
        <v>1</v>
      </c>
      <c r="J344" s="4">
        <v>43330</v>
      </c>
      <c r="K344" s="8">
        <v>43423</v>
      </c>
      <c r="L344" s="1" t="e">
        <f>IF(MATCH(C344,Wiki!B:B,0)&lt;&gt;0,TRUE,FALSE)</f>
        <v>#N/A</v>
      </c>
      <c r="M344" s="1" t="e">
        <f>INDEX(Wiki!K:K,MATCH('BOM2017'!C344,Wiki!B:B,0))</f>
        <v>#N/A</v>
      </c>
      <c r="N344" s="1" t="e">
        <f>IFERROR(M344,INDEX(Wiki!K:K,MATCH('BOM2017'!D344,Wiki!B:B,0)))</f>
        <v>#VALUE!</v>
      </c>
    </row>
    <row r="345" spans="2:14" x14ac:dyDescent="0.2">
      <c r="B345" s="6">
        <v>340</v>
      </c>
      <c r="C345" s="3" t="s">
        <v>12</v>
      </c>
      <c r="D345" t="str">
        <f t="shared" si="5"/>
        <v/>
      </c>
      <c r="E345" s="3" t="s">
        <v>1235</v>
      </c>
      <c r="F345" s="7" t="s">
        <v>1634</v>
      </c>
      <c r="G345" s="6">
        <v>43</v>
      </c>
      <c r="H345" s="6" t="s">
        <v>1635</v>
      </c>
      <c r="I345" s="6">
        <v>43</v>
      </c>
      <c r="J345" s="4">
        <v>43106</v>
      </c>
      <c r="K345" s="8">
        <v>43133</v>
      </c>
      <c r="L345" s="1" t="b">
        <f>IF(MATCH(C345,Wiki!B:B,0)&lt;&gt;0,TRUE,FALSE)</f>
        <v>1</v>
      </c>
      <c r="M345" s="1" t="str">
        <f>INDEX(Wiki!K:K,MATCH('BOM2017'!C345,Wiki!B:B,0))</f>
        <v>Railroad_Tigers</v>
      </c>
      <c r="N345" s="1" t="str">
        <f>IFERROR(M345,INDEX(Wiki!K:K,MATCH('BOM2017'!D345,Wiki!B:B,0)))</f>
        <v>Railroad_Tigers</v>
      </c>
    </row>
    <row r="346" spans="2:14" x14ac:dyDescent="0.2">
      <c r="B346" s="6">
        <v>341</v>
      </c>
      <c r="C346" s="3" t="s">
        <v>1636</v>
      </c>
      <c r="D346" t="str">
        <f t="shared" si="5"/>
        <v/>
      </c>
      <c r="E346" s="3" t="s">
        <v>863</v>
      </c>
      <c r="F346" s="7" t="s">
        <v>1637</v>
      </c>
      <c r="G346" s="6">
        <v>283</v>
      </c>
      <c r="H346" s="6" t="s">
        <v>1638</v>
      </c>
      <c r="I346" s="6">
        <v>283</v>
      </c>
      <c r="J346" s="4">
        <v>43400</v>
      </c>
      <c r="K346" s="8">
        <v>43413</v>
      </c>
      <c r="L346" s="1" t="b">
        <f>IF(MATCH(C346,Wiki!B:B,0)&lt;&gt;0,TRUE,FALSE)</f>
        <v>1</v>
      </c>
      <c r="M346" s="1" t="str">
        <f>INDEX(Wiki!K:K,MATCH('BOM2017'!C346,Wiki!B:B,0))</f>
        <v>All_I_See_Is_You_(film)</v>
      </c>
      <c r="N346" s="1" t="str">
        <f>IFERROR(M346,INDEX(Wiki!K:K,MATCH('BOM2017'!D346,Wiki!B:B,0)))</f>
        <v>All_I_See_Is_You_(film)</v>
      </c>
    </row>
    <row r="347" spans="2:14" x14ac:dyDescent="0.2">
      <c r="B347" s="6">
        <v>342</v>
      </c>
      <c r="C347" s="3" t="s">
        <v>1639</v>
      </c>
      <c r="D347" t="e">
        <f t="shared" si="5"/>
        <v>#VALUE!</v>
      </c>
      <c r="E347" s="3" t="s">
        <v>1640</v>
      </c>
      <c r="F347" s="7" t="s">
        <v>1641</v>
      </c>
      <c r="G347" s="6">
        <v>12</v>
      </c>
      <c r="H347" s="6" t="s">
        <v>1159</v>
      </c>
      <c r="I347" s="6" t="s">
        <v>1159</v>
      </c>
      <c r="J347" s="4">
        <v>43428</v>
      </c>
      <c r="K347" s="6" t="s">
        <v>558</v>
      </c>
      <c r="L347" s="1" t="e">
        <f>IF(MATCH(C347,Wiki!B:B,0)&lt;&gt;0,TRUE,FALSE)</f>
        <v>#N/A</v>
      </c>
      <c r="M347" s="1" t="e">
        <f>INDEX(Wiki!K:K,MATCH('BOM2017'!C347,Wiki!B:B,0))</f>
        <v>#N/A</v>
      </c>
      <c r="N347" s="1" t="e">
        <f>IFERROR(M347,INDEX(Wiki!K:K,MATCH('BOM2017'!D347,Wiki!B:B,0)))</f>
        <v>#VALUE!</v>
      </c>
    </row>
    <row r="348" spans="2:14" x14ac:dyDescent="0.2">
      <c r="B348" s="6">
        <v>343</v>
      </c>
      <c r="C348" s="3" t="s">
        <v>1642</v>
      </c>
      <c r="D348" t="e">
        <f t="shared" si="5"/>
        <v>#VALUE!</v>
      </c>
      <c r="E348" s="3" t="s">
        <v>1235</v>
      </c>
      <c r="F348" s="7" t="s">
        <v>1643</v>
      </c>
      <c r="G348" s="6">
        <v>17</v>
      </c>
      <c r="H348" s="6" t="s">
        <v>1644</v>
      </c>
      <c r="I348" s="6">
        <v>17</v>
      </c>
      <c r="J348" s="4">
        <v>43330</v>
      </c>
      <c r="K348" s="8">
        <v>43371</v>
      </c>
      <c r="L348" s="1" t="e">
        <f>IF(MATCH(C348,Wiki!B:B,0)&lt;&gt;0,TRUE,FALSE)</f>
        <v>#N/A</v>
      </c>
      <c r="M348" s="1" t="e">
        <f>INDEX(Wiki!K:K,MATCH('BOM2017'!C348,Wiki!B:B,0))</f>
        <v>#N/A</v>
      </c>
      <c r="N348" s="1" t="e">
        <f>IFERROR(M348,INDEX(Wiki!K:K,MATCH('BOM2017'!D348,Wiki!B:B,0)))</f>
        <v>#VALUE!</v>
      </c>
    </row>
    <row r="349" spans="2:14" x14ac:dyDescent="0.2">
      <c r="B349" s="6">
        <v>344</v>
      </c>
      <c r="C349" s="3" t="s">
        <v>1645</v>
      </c>
      <c r="D349" t="e">
        <f t="shared" si="5"/>
        <v>#VALUE!</v>
      </c>
      <c r="E349" s="3" t="s">
        <v>157</v>
      </c>
      <c r="F349" s="7" t="s">
        <v>1646</v>
      </c>
      <c r="G349" s="6">
        <v>22</v>
      </c>
      <c r="H349" s="6" t="s">
        <v>1647</v>
      </c>
      <c r="I349" s="6">
        <v>3</v>
      </c>
      <c r="J349" s="4">
        <v>43197</v>
      </c>
      <c r="K349" s="8">
        <v>43273</v>
      </c>
      <c r="L349" s="1" t="e">
        <f>IF(MATCH(C349,Wiki!B:B,0)&lt;&gt;0,TRUE,FALSE)</f>
        <v>#N/A</v>
      </c>
      <c r="M349" s="1" t="e">
        <f>INDEX(Wiki!K:K,MATCH('BOM2017'!C349,Wiki!B:B,0))</f>
        <v>#N/A</v>
      </c>
      <c r="N349" s="1" t="e">
        <f>IFERROR(M349,INDEX(Wiki!K:K,MATCH('BOM2017'!D349,Wiki!B:B,0)))</f>
        <v>#VALUE!</v>
      </c>
    </row>
    <row r="350" spans="2:14" x14ac:dyDescent="0.2">
      <c r="B350" s="6">
        <v>345</v>
      </c>
      <c r="C350" s="3" t="s">
        <v>1648</v>
      </c>
      <c r="D350" t="str">
        <f t="shared" si="5"/>
        <v>Donnie Darko</v>
      </c>
      <c r="E350" s="3" t="s">
        <v>1649</v>
      </c>
      <c r="F350" s="7" t="s">
        <v>1650</v>
      </c>
      <c r="G350" s="6">
        <v>21</v>
      </c>
      <c r="H350" s="6" t="s">
        <v>1651</v>
      </c>
      <c r="I350" s="6">
        <v>21</v>
      </c>
      <c r="J350" s="4">
        <v>43190</v>
      </c>
      <c r="K350" s="6" t="s">
        <v>558</v>
      </c>
      <c r="L350" s="1" t="e">
        <f>IF(MATCH(C350,Wiki!B:B,0)&lt;&gt;0,TRUE,FALSE)</f>
        <v>#N/A</v>
      </c>
      <c r="M350" s="1" t="e">
        <f>INDEX(Wiki!K:K,MATCH('BOM2017'!C350,Wiki!B:B,0))</f>
        <v>#N/A</v>
      </c>
      <c r="N350" s="1" t="e">
        <f>IFERROR(M350,INDEX(Wiki!K:K,MATCH('BOM2017'!D350,Wiki!B:B,0)))</f>
        <v>#N/A</v>
      </c>
    </row>
    <row r="351" spans="2:14" x14ac:dyDescent="0.2">
      <c r="B351" s="6">
        <v>346</v>
      </c>
      <c r="C351" s="3" t="s">
        <v>1652</v>
      </c>
      <c r="D351" t="e">
        <f t="shared" si="5"/>
        <v>#VALUE!</v>
      </c>
      <c r="E351" s="3" t="s">
        <v>1235</v>
      </c>
      <c r="F351" s="7" t="s">
        <v>1653</v>
      </c>
      <c r="G351" s="6">
        <v>23</v>
      </c>
      <c r="H351" s="6" t="s">
        <v>1654</v>
      </c>
      <c r="I351" s="6">
        <v>23</v>
      </c>
      <c r="J351" s="4">
        <v>43190</v>
      </c>
      <c r="K351" s="8">
        <v>43224</v>
      </c>
      <c r="L351" s="1" t="e">
        <f>IF(MATCH(C351,Wiki!B:B,0)&lt;&gt;0,TRUE,FALSE)</f>
        <v>#N/A</v>
      </c>
      <c r="M351" s="1" t="e">
        <f>INDEX(Wiki!K:K,MATCH('BOM2017'!C351,Wiki!B:B,0))</f>
        <v>#N/A</v>
      </c>
      <c r="N351" s="1" t="e">
        <f>IFERROR(M351,INDEX(Wiki!K:K,MATCH('BOM2017'!D351,Wiki!B:B,0)))</f>
        <v>#VALUE!</v>
      </c>
    </row>
    <row r="352" spans="2:14" x14ac:dyDescent="0.2">
      <c r="B352" s="6">
        <v>347</v>
      </c>
      <c r="C352" s="3" t="s">
        <v>1655</v>
      </c>
      <c r="D352" t="e">
        <f t="shared" si="5"/>
        <v>#VALUE!</v>
      </c>
      <c r="E352" s="3" t="s">
        <v>195</v>
      </c>
      <c r="F352" s="7" t="s">
        <v>1656</v>
      </c>
      <c r="G352" s="6">
        <v>45</v>
      </c>
      <c r="H352" s="6" t="s">
        <v>1657</v>
      </c>
      <c r="I352" s="6">
        <v>34</v>
      </c>
      <c r="J352" s="4">
        <v>43225</v>
      </c>
      <c r="K352" s="8">
        <v>43287</v>
      </c>
      <c r="L352" s="1" t="e">
        <f>IF(MATCH(C352,Wiki!B:B,0)&lt;&gt;0,TRUE,FALSE)</f>
        <v>#N/A</v>
      </c>
      <c r="M352" s="1" t="e">
        <f>INDEX(Wiki!K:K,MATCH('BOM2017'!C352,Wiki!B:B,0))</f>
        <v>#N/A</v>
      </c>
      <c r="N352" s="1" t="e">
        <f>IFERROR(M352,INDEX(Wiki!K:K,MATCH('BOM2017'!D352,Wiki!B:B,0)))</f>
        <v>#VALUE!</v>
      </c>
    </row>
    <row r="353" spans="2:14" x14ac:dyDescent="0.2">
      <c r="B353" s="6">
        <v>348</v>
      </c>
      <c r="C353" s="3" t="s">
        <v>1658</v>
      </c>
      <c r="D353" t="e">
        <f t="shared" si="5"/>
        <v>#VALUE!</v>
      </c>
      <c r="E353" s="3" t="s">
        <v>863</v>
      </c>
      <c r="F353" s="7" t="s">
        <v>1659</v>
      </c>
      <c r="G353" s="6">
        <v>365</v>
      </c>
      <c r="H353" s="6" t="s">
        <v>1660</v>
      </c>
      <c r="I353" s="6">
        <v>365</v>
      </c>
      <c r="J353" s="4">
        <v>43204</v>
      </c>
      <c r="K353" s="8">
        <v>43217</v>
      </c>
      <c r="L353" s="1" t="e">
        <f>IF(MATCH(C353,Wiki!B:B,0)&lt;&gt;0,TRUE,FALSE)</f>
        <v>#N/A</v>
      </c>
      <c r="M353" s="1" t="e">
        <f>INDEX(Wiki!K:K,MATCH('BOM2017'!C353,Wiki!B:B,0))</f>
        <v>#N/A</v>
      </c>
      <c r="N353" s="1" t="e">
        <f>IFERROR(M353,INDEX(Wiki!K:K,MATCH('BOM2017'!D353,Wiki!B:B,0)))</f>
        <v>#VALUE!</v>
      </c>
    </row>
    <row r="354" spans="2:14" x14ac:dyDescent="0.2">
      <c r="B354" s="6">
        <v>349</v>
      </c>
      <c r="C354" s="3" t="s">
        <v>381</v>
      </c>
      <c r="D354" t="str">
        <f t="shared" si="5"/>
        <v/>
      </c>
      <c r="E354" s="3" t="s">
        <v>1015</v>
      </c>
      <c r="F354" s="7" t="s">
        <v>1661</v>
      </c>
      <c r="G354" s="6">
        <v>16</v>
      </c>
      <c r="H354" s="6" t="s">
        <v>1662</v>
      </c>
      <c r="I354" s="6">
        <v>4</v>
      </c>
      <c r="J354" s="4">
        <v>43463</v>
      </c>
      <c r="K354" s="6" t="s">
        <v>558</v>
      </c>
      <c r="L354" s="1" t="b">
        <f>IF(MATCH(C354,Wiki!B:B,0)&lt;&gt;0,TRUE,FALSE)</f>
        <v>1</v>
      </c>
      <c r="M354" s="1" t="str">
        <f>INDEX(Wiki!K:K,MATCH('BOM2017'!C354,Wiki!B:B,0))</f>
        <v>Film_Stars_Don%27t_Die_in_Liverpool</v>
      </c>
      <c r="N354" s="1" t="str">
        <f>IFERROR(M354,INDEX(Wiki!K:K,MATCH('BOM2017'!D354,Wiki!B:B,0)))</f>
        <v>Film_Stars_Don%27t_Die_in_Liverpool</v>
      </c>
    </row>
    <row r="355" spans="2:14" x14ac:dyDescent="0.2">
      <c r="B355" s="6">
        <v>350</v>
      </c>
      <c r="C355" s="3" t="s">
        <v>1663</v>
      </c>
      <c r="D355" t="e">
        <f t="shared" si="5"/>
        <v>#VALUE!</v>
      </c>
      <c r="E355" s="3" t="s">
        <v>1039</v>
      </c>
      <c r="F355" s="7" t="s">
        <v>1664</v>
      </c>
      <c r="G355" s="6">
        <v>39</v>
      </c>
      <c r="H355" s="6" t="s">
        <v>1665</v>
      </c>
      <c r="I355" s="6">
        <v>24</v>
      </c>
      <c r="J355" s="4">
        <v>43323</v>
      </c>
      <c r="K355" s="8">
        <v>43378</v>
      </c>
      <c r="L355" s="1" t="e">
        <f>IF(MATCH(C355,Wiki!B:B,0)&lt;&gt;0,TRUE,FALSE)</f>
        <v>#N/A</v>
      </c>
      <c r="M355" s="1" t="e">
        <f>INDEX(Wiki!K:K,MATCH('BOM2017'!C355,Wiki!B:B,0))</f>
        <v>#N/A</v>
      </c>
      <c r="N355" s="1" t="e">
        <f>IFERROR(M355,INDEX(Wiki!K:K,MATCH('BOM2017'!D355,Wiki!B:B,0)))</f>
        <v>#VALUE!</v>
      </c>
    </row>
    <row r="356" spans="2:14" x14ac:dyDescent="0.2">
      <c r="B356" s="6">
        <v>351</v>
      </c>
      <c r="C356" s="3" t="s">
        <v>308</v>
      </c>
      <c r="D356" t="str">
        <f t="shared" si="5"/>
        <v/>
      </c>
      <c r="E356" s="3" t="s">
        <v>195</v>
      </c>
      <c r="F356" s="7" t="s">
        <v>1666</v>
      </c>
      <c r="G356" s="6">
        <v>46</v>
      </c>
      <c r="H356" s="6" t="s">
        <v>1667</v>
      </c>
      <c r="I356" s="6">
        <v>30</v>
      </c>
      <c r="J356" s="4">
        <v>43274</v>
      </c>
      <c r="K356" s="8">
        <v>43308</v>
      </c>
      <c r="L356" s="1" t="b">
        <f>IF(MATCH(C356,Wiki!B:B,0)&lt;&gt;0,TRUE,FALSE)</f>
        <v>1</v>
      </c>
      <c r="M356" s="1" t="str">
        <f>INDEX(Wiki!K:K,MATCH('BOM2017'!C356,Wiki!B:B,0))</f>
        <v>The_Bad_Batch</v>
      </c>
      <c r="N356" s="1" t="str">
        <f>IFERROR(M356,INDEX(Wiki!K:K,MATCH('BOM2017'!D356,Wiki!B:B,0)))</f>
        <v>The_Bad_Batch</v>
      </c>
    </row>
    <row r="357" spans="2:14" x14ac:dyDescent="0.2">
      <c r="B357" s="6">
        <v>352</v>
      </c>
      <c r="C357" s="3" t="s">
        <v>1668</v>
      </c>
      <c r="D357" t="e">
        <f t="shared" si="5"/>
        <v>#VALUE!</v>
      </c>
      <c r="E357" s="3" t="s">
        <v>157</v>
      </c>
      <c r="F357" s="7" t="s">
        <v>1669</v>
      </c>
      <c r="G357" s="6">
        <v>12</v>
      </c>
      <c r="H357" s="6" t="s">
        <v>1670</v>
      </c>
      <c r="I357" s="6">
        <v>6</v>
      </c>
      <c r="J357" s="4">
        <v>43330</v>
      </c>
      <c r="K357" s="8">
        <v>43406</v>
      </c>
      <c r="L357" s="1" t="e">
        <f>IF(MATCH(C357,Wiki!B:B,0)&lt;&gt;0,TRUE,FALSE)</f>
        <v>#N/A</v>
      </c>
      <c r="M357" s="1" t="e">
        <f>INDEX(Wiki!K:K,MATCH('BOM2017'!C357,Wiki!B:B,0))</f>
        <v>#N/A</v>
      </c>
      <c r="N357" s="1" t="e">
        <f>IFERROR(M357,INDEX(Wiki!K:K,MATCH('BOM2017'!D357,Wiki!B:B,0)))</f>
        <v>#VALUE!</v>
      </c>
    </row>
    <row r="358" spans="2:14" x14ac:dyDescent="0.2">
      <c r="B358" s="6">
        <v>353</v>
      </c>
      <c r="C358" s="3" t="s">
        <v>1671</v>
      </c>
      <c r="D358" t="e">
        <f t="shared" si="5"/>
        <v>#VALUE!</v>
      </c>
      <c r="E358" s="3" t="s">
        <v>1544</v>
      </c>
      <c r="F358" s="7" t="s">
        <v>1672</v>
      </c>
      <c r="G358" s="6">
        <v>23</v>
      </c>
      <c r="H358" s="6" t="s">
        <v>1673</v>
      </c>
      <c r="I358" s="6">
        <v>4</v>
      </c>
      <c r="J358" s="4">
        <v>43253</v>
      </c>
      <c r="K358" s="8">
        <v>43308</v>
      </c>
      <c r="L358" s="1" t="e">
        <f>IF(MATCH(C358,Wiki!B:B,0)&lt;&gt;0,TRUE,FALSE)</f>
        <v>#N/A</v>
      </c>
      <c r="M358" s="1" t="e">
        <f>INDEX(Wiki!K:K,MATCH('BOM2017'!C358,Wiki!B:B,0))</f>
        <v>#N/A</v>
      </c>
      <c r="N358" s="1" t="e">
        <f>IFERROR(M358,INDEX(Wiki!K:K,MATCH('BOM2017'!D358,Wiki!B:B,0)))</f>
        <v>#VALUE!</v>
      </c>
    </row>
    <row r="359" spans="2:14" x14ac:dyDescent="0.2">
      <c r="B359" s="6">
        <v>354</v>
      </c>
      <c r="C359" s="3" t="s">
        <v>1674</v>
      </c>
      <c r="D359" t="e">
        <f t="shared" si="5"/>
        <v>#VALUE!</v>
      </c>
      <c r="E359" s="3" t="s">
        <v>1576</v>
      </c>
      <c r="F359" s="7" t="s">
        <v>1675</v>
      </c>
      <c r="G359" s="6">
        <v>11</v>
      </c>
      <c r="H359" s="6" t="s">
        <v>1676</v>
      </c>
      <c r="I359" s="6">
        <v>3</v>
      </c>
      <c r="J359" s="4">
        <v>43435</v>
      </c>
      <c r="K359" s="6" t="s">
        <v>558</v>
      </c>
      <c r="L359" s="1" t="e">
        <f>IF(MATCH(C359,Wiki!B:B,0)&lt;&gt;0,TRUE,FALSE)</f>
        <v>#N/A</v>
      </c>
      <c r="M359" s="1" t="e">
        <f>INDEX(Wiki!K:K,MATCH('BOM2017'!C359,Wiki!B:B,0))</f>
        <v>#N/A</v>
      </c>
      <c r="N359" s="1" t="e">
        <f>IFERROR(M359,INDEX(Wiki!K:K,MATCH('BOM2017'!D359,Wiki!B:B,0)))</f>
        <v>#VALUE!</v>
      </c>
    </row>
    <row r="360" spans="2:14" x14ac:dyDescent="0.2">
      <c r="B360" s="6">
        <v>355</v>
      </c>
      <c r="C360" s="3" t="s">
        <v>1677</v>
      </c>
      <c r="D360" t="e">
        <f t="shared" si="5"/>
        <v>#VALUE!</v>
      </c>
      <c r="E360" s="3" t="s">
        <v>1294</v>
      </c>
      <c r="F360" s="7" t="s">
        <v>1678</v>
      </c>
      <c r="G360" s="6">
        <v>31</v>
      </c>
      <c r="H360" s="6" t="s">
        <v>1679</v>
      </c>
      <c r="I360" s="6">
        <v>1</v>
      </c>
      <c r="J360" s="4">
        <v>43372</v>
      </c>
      <c r="K360" s="8">
        <v>43420</v>
      </c>
      <c r="L360" s="1" t="e">
        <f>IF(MATCH(C360,Wiki!B:B,0)&lt;&gt;0,TRUE,FALSE)</f>
        <v>#N/A</v>
      </c>
      <c r="M360" s="1" t="e">
        <f>INDEX(Wiki!K:K,MATCH('BOM2017'!C360,Wiki!B:B,0))</f>
        <v>#N/A</v>
      </c>
      <c r="N360" s="1" t="e">
        <f>IFERROR(M360,INDEX(Wiki!K:K,MATCH('BOM2017'!D360,Wiki!B:B,0)))</f>
        <v>#VALUE!</v>
      </c>
    </row>
    <row r="361" spans="2:14" x14ac:dyDescent="0.2">
      <c r="B361" s="6">
        <v>356</v>
      </c>
      <c r="C361" s="3" t="s">
        <v>1680</v>
      </c>
      <c r="D361" t="e">
        <f t="shared" si="5"/>
        <v>#VALUE!</v>
      </c>
      <c r="E361" s="3" t="s">
        <v>1294</v>
      </c>
      <c r="F361" s="7" t="s">
        <v>1681</v>
      </c>
      <c r="G361" s="6">
        <v>36</v>
      </c>
      <c r="H361" s="6" t="s">
        <v>1682</v>
      </c>
      <c r="I361" s="6">
        <v>2</v>
      </c>
      <c r="J361" s="4">
        <v>43197</v>
      </c>
      <c r="K361" s="8">
        <v>43262</v>
      </c>
      <c r="L361" s="1" t="e">
        <f>IF(MATCH(C361,Wiki!B:B,0)&lt;&gt;0,TRUE,FALSE)</f>
        <v>#N/A</v>
      </c>
      <c r="M361" s="1" t="e">
        <f>INDEX(Wiki!K:K,MATCH('BOM2017'!C361,Wiki!B:B,0))</f>
        <v>#N/A</v>
      </c>
      <c r="N361" s="1" t="e">
        <f>IFERROR(M361,INDEX(Wiki!K:K,MATCH('BOM2017'!D361,Wiki!B:B,0)))</f>
        <v>#VALUE!</v>
      </c>
    </row>
    <row r="362" spans="2:14" x14ac:dyDescent="0.2">
      <c r="B362" s="6">
        <v>357</v>
      </c>
      <c r="C362" s="3" t="s">
        <v>1683</v>
      </c>
      <c r="D362" t="e">
        <f t="shared" si="5"/>
        <v>#VALUE!</v>
      </c>
      <c r="E362" s="3" t="s">
        <v>1684</v>
      </c>
      <c r="F362" s="7" t="s">
        <v>1685</v>
      </c>
      <c r="G362" s="6">
        <v>31</v>
      </c>
      <c r="H362" s="6" t="s">
        <v>1686</v>
      </c>
      <c r="I362" s="6">
        <v>31</v>
      </c>
      <c r="J362" s="4">
        <v>43239</v>
      </c>
      <c r="K362" s="8">
        <v>43290</v>
      </c>
      <c r="L362" s="1" t="e">
        <f>IF(MATCH(C362,Wiki!B:B,0)&lt;&gt;0,TRUE,FALSE)</f>
        <v>#N/A</v>
      </c>
      <c r="M362" s="1" t="e">
        <f>INDEX(Wiki!K:K,MATCH('BOM2017'!C362,Wiki!B:B,0))</f>
        <v>#N/A</v>
      </c>
      <c r="N362" s="1" t="e">
        <f>IFERROR(M362,INDEX(Wiki!K:K,MATCH('BOM2017'!D362,Wiki!B:B,0)))</f>
        <v>#VALUE!</v>
      </c>
    </row>
    <row r="363" spans="2:14" x14ac:dyDescent="0.2">
      <c r="B363" s="6">
        <v>358</v>
      </c>
      <c r="C363" s="3" t="s">
        <v>1687</v>
      </c>
      <c r="D363" t="e">
        <f t="shared" si="5"/>
        <v>#VALUE!</v>
      </c>
      <c r="E363" s="3" t="s">
        <v>1248</v>
      </c>
      <c r="F363" s="7" t="s">
        <v>1688</v>
      </c>
      <c r="G363" s="6">
        <v>8</v>
      </c>
      <c r="H363" s="6" t="s">
        <v>1689</v>
      </c>
      <c r="I363" s="6">
        <v>2</v>
      </c>
      <c r="J363" s="4">
        <v>43132</v>
      </c>
      <c r="K363" s="8">
        <v>43220</v>
      </c>
      <c r="L363" s="1" t="e">
        <f>IF(MATCH(C363,Wiki!B:B,0)&lt;&gt;0,TRUE,FALSE)</f>
        <v>#N/A</v>
      </c>
      <c r="M363" s="1" t="e">
        <f>INDEX(Wiki!K:K,MATCH('BOM2017'!C363,Wiki!B:B,0))</f>
        <v>#N/A</v>
      </c>
      <c r="N363" s="1" t="e">
        <f>IFERROR(M363,INDEX(Wiki!K:K,MATCH('BOM2017'!D363,Wiki!B:B,0)))</f>
        <v>#VALUE!</v>
      </c>
    </row>
    <row r="364" spans="2:14" x14ac:dyDescent="0.2">
      <c r="B364" s="6">
        <v>359</v>
      </c>
      <c r="C364" s="3" t="s">
        <v>1690</v>
      </c>
      <c r="D364" t="e">
        <f t="shared" si="5"/>
        <v>#VALUE!</v>
      </c>
      <c r="E364" s="3" t="s">
        <v>1087</v>
      </c>
      <c r="F364" s="7" t="s">
        <v>1691</v>
      </c>
      <c r="G364" s="6">
        <v>20</v>
      </c>
      <c r="H364" s="6" t="s">
        <v>1692</v>
      </c>
      <c r="I364" s="6">
        <v>6</v>
      </c>
      <c r="J364" s="4">
        <v>43323</v>
      </c>
      <c r="K364" s="8">
        <v>43357</v>
      </c>
      <c r="L364" s="1" t="e">
        <f>IF(MATCH(C364,Wiki!B:B,0)&lt;&gt;0,TRUE,FALSE)</f>
        <v>#N/A</v>
      </c>
      <c r="M364" s="1" t="e">
        <f>INDEX(Wiki!K:K,MATCH('BOM2017'!C364,Wiki!B:B,0))</f>
        <v>#N/A</v>
      </c>
      <c r="N364" s="1" t="e">
        <f>IFERROR(M364,INDEX(Wiki!K:K,MATCH('BOM2017'!D364,Wiki!B:B,0)))</f>
        <v>#VALUE!</v>
      </c>
    </row>
    <row r="365" spans="2:14" x14ac:dyDescent="0.2">
      <c r="B365" s="6">
        <v>360</v>
      </c>
      <c r="C365" s="3" t="s">
        <v>1693</v>
      </c>
      <c r="D365" t="e">
        <f t="shared" si="5"/>
        <v>#VALUE!</v>
      </c>
      <c r="E365" s="3" t="s">
        <v>1576</v>
      </c>
      <c r="F365" s="7" t="s">
        <v>1694</v>
      </c>
      <c r="G365" s="6">
        <v>8</v>
      </c>
      <c r="H365" s="6" t="s">
        <v>1695</v>
      </c>
      <c r="I365" s="6">
        <v>1</v>
      </c>
      <c r="J365" s="4">
        <v>43190</v>
      </c>
      <c r="K365" s="8">
        <v>43276</v>
      </c>
      <c r="L365" s="1" t="e">
        <f>IF(MATCH(C365,Wiki!B:B,0)&lt;&gt;0,TRUE,FALSE)</f>
        <v>#N/A</v>
      </c>
      <c r="M365" s="1" t="e">
        <f>INDEX(Wiki!K:K,MATCH('BOM2017'!C365,Wiki!B:B,0))</f>
        <v>#N/A</v>
      </c>
      <c r="N365" s="1" t="e">
        <f>IFERROR(M365,INDEX(Wiki!K:K,MATCH('BOM2017'!D365,Wiki!B:B,0)))</f>
        <v>#VALUE!</v>
      </c>
    </row>
    <row r="366" spans="2:14" x14ac:dyDescent="0.2">
      <c r="B366" s="6">
        <v>361</v>
      </c>
      <c r="C366" s="4">
        <v>43354</v>
      </c>
      <c r="D366" t="str">
        <f t="shared" si="5"/>
        <v/>
      </c>
      <c r="E366" s="3" t="s">
        <v>1035</v>
      </c>
      <c r="F366" s="7" t="s">
        <v>1696</v>
      </c>
      <c r="G366" s="6">
        <v>425</v>
      </c>
      <c r="H366" s="6" t="s">
        <v>1696</v>
      </c>
      <c r="I366" s="6">
        <v>425</v>
      </c>
      <c r="J366" s="4">
        <v>43351</v>
      </c>
      <c r="K366" s="8">
        <v>43353</v>
      </c>
      <c r="L366" s="1" t="b">
        <f>IF(MATCH(C366,Wiki!B:B,0)&lt;&gt;0,TRUE,FALSE)</f>
        <v>1</v>
      </c>
      <c r="M366" s="1" t="str">
        <f>INDEX(Wiki!K:K,MATCH('BOM2017'!C366,Wiki!B:B,0))</f>
        <v>9/11_(2017_film)</v>
      </c>
      <c r="N366" s="1" t="str">
        <f>IFERROR(M366,INDEX(Wiki!K:K,MATCH('BOM2017'!D366,Wiki!B:B,0)))</f>
        <v>9/11_(2017_film)</v>
      </c>
    </row>
    <row r="367" spans="2:14" x14ac:dyDescent="0.2">
      <c r="B367" s="6">
        <v>362</v>
      </c>
      <c r="C367" s="3" t="s">
        <v>1697</v>
      </c>
      <c r="D367" t="e">
        <f t="shared" si="5"/>
        <v>#VALUE!</v>
      </c>
      <c r="E367" s="3" t="s">
        <v>1698</v>
      </c>
      <c r="F367" s="7" t="s">
        <v>1699</v>
      </c>
      <c r="G367" s="6">
        <v>300</v>
      </c>
      <c r="H367" s="6" t="s">
        <v>1700</v>
      </c>
      <c r="I367" s="6">
        <v>300</v>
      </c>
      <c r="J367" s="4">
        <v>43344</v>
      </c>
      <c r="K367" s="8">
        <v>43364</v>
      </c>
      <c r="L367" s="1" t="e">
        <f>IF(MATCH(C367,Wiki!B:B,0)&lt;&gt;0,TRUE,FALSE)</f>
        <v>#N/A</v>
      </c>
      <c r="M367" s="1" t="e">
        <f>INDEX(Wiki!K:K,MATCH('BOM2017'!C367,Wiki!B:B,0))</f>
        <v>#N/A</v>
      </c>
      <c r="N367" s="1" t="e">
        <f>IFERROR(M367,INDEX(Wiki!K:K,MATCH('BOM2017'!D367,Wiki!B:B,0)))</f>
        <v>#VALUE!</v>
      </c>
    </row>
    <row r="368" spans="2:14" x14ac:dyDescent="0.2">
      <c r="B368" s="6">
        <v>363</v>
      </c>
      <c r="C368" s="3" t="s">
        <v>1701</v>
      </c>
      <c r="D368" t="e">
        <f t="shared" si="5"/>
        <v>#VALUE!</v>
      </c>
      <c r="E368" s="3" t="s">
        <v>1142</v>
      </c>
      <c r="F368" s="7" t="s">
        <v>1702</v>
      </c>
      <c r="G368" s="6">
        <v>31</v>
      </c>
      <c r="H368" s="6" t="s">
        <v>1703</v>
      </c>
      <c r="I368" s="6">
        <v>2</v>
      </c>
      <c r="J368" s="4">
        <v>43337</v>
      </c>
      <c r="K368" s="8">
        <v>43399</v>
      </c>
      <c r="L368" s="1" t="e">
        <f>IF(MATCH(C368,Wiki!B:B,0)&lt;&gt;0,TRUE,FALSE)</f>
        <v>#N/A</v>
      </c>
      <c r="M368" s="1" t="e">
        <f>INDEX(Wiki!K:K,MATCH('BOM2017'!C368,Wiki!B:B,0))</f>
        <v>#N/A</v>
      </c>
      <c r="N368" s="1" t="e">
        <f>IFERROR(M368,INDEX(Wiki!K:K,MATCH('BOM2017'!D368,Wiki!B:B,0)))</f>
        <v>#VALUE!</v>
      </c>
    </row>
    <row r="369" spans="2:14" x14ac:dyDescent="0.2">
      <c r="B369" s="6">
        <v>364</v>
      </c>
      <c r="C369" s="3" t="s">
        <v>1704</v>
      </c>
      <c r="D369" t="e">
        <f t="shared" si="5"/>
        <v>#VALUE!</v>
      </c>
      <c r="E369" s="3" t="s">
        <v>1015</v>
      </c>
      <c r="F369" s="7" t="s">
        <v>1705</v>
      </c>
      <c r="G369" s="6">
        <v>18</v>
      </c>
      <c r="H369" s="6" t="s">
        <v>1706</v>
      </c>
      <c r="I369" s="6">
        <v>3</v>
      </c>
      <c r="J369" s="4">
        <v>43456</v>
      </c>
      <c r="K369" s="6" t="s">
        <v>558</v>
      </c>
      <c r="L369" s="1" t="e">
        <f>IF(MATCH(C369,Wiki!B:B,0)&lt;&gt;0,TRUE,FALSE)</f>
        <v>#N/A</v>
      </c>
      <c r="M369" s="1" t="e">
        <f>INDEX(Wiki!K:K,MATCH('BOM2017'!C369,Wiki!B:B,0))</f>
        <v>#N/A</v>
      </c>
      <c r="N369" s="1" t="e">
        <f>IFERROR(M369,INDEX(Wiki!K:K,MATCH('BOM2017'!D369,Wiki!B:B,0)))</f>
        <v>#VALUE!</v>
      </c>
    </row>
    <row r="370" spans="2:14" x14ac:dyDescent="0.2">
      <c r="B370" s="6">
        <v>365</v>
      </c>
      <c r="C370" s="3" t="s">
        <v>1707</v>
      </c>
      <c r="D370" t="e">
        <f t="shared" si="5"/>
        <v>#VALUE!</v>
      </c>
      <c r="E370" s="3" t="s">
        <v>1015</v>
      </c>
      <c r="F370" s="7" t="s">
        <v>1708</v>
      </c>
      <c r="G370" s="6">
        <v>19</v>
      </c>
      <c r="H370" s="6" t="s">
        <v>1709</v>
      </c>
      <c r="I370" s="6">
        <v>3</v>
      </c>
      <c r="J370" s="4">
        <v>43281</v>
      </c>
      <c r="K370" s="8">
        <v>43385</v>
      </c>
      <c r="L370" s="1" t="e">
        <f>IF(MATCH(C370,Wiki!B:B,0)&lt;&gt;0,TRUE,FALSE)</f>
        <v>#N/A</v>
      </c>
      <c r="M370" s="1" t="e">
        <f>INDEX(Wiki!K:K,MATCH('BOM2017'!C370,Wiki!B:B,0))</f>
        <v>#N/A</v>
      </c>
      <c r="N370" s="1" t="e">
        <f>IFERROR(M370,INDEX(Wiki!K:K,MATCH('BOM2017'!D370,Wiki!B:B,0)))</f>
        <v>#VALUE!</v>
      </c>
    </row>
    <row r="371" spans="2:14" x14ac:dyDescent="0.2">
      <c r="B371" s="6">
        <v>366</v>
      </c>
      <c r="C371" s="3" t="s">
        <v>1710</v>
      </c>
      <c r="D371" t="str">
        <f t="shared" si="5"/>
        <v>Manifesto</v>
      </c>
      <c r="E371" s="3" t="s">
        <v>157</v>
      </c>
      <c r="F371" s="7" t="s">
        <v>1711</v>
      </c>
      <c r="G371" s="6">
        <v>10</v>
      </c>
      <c r="H371" s="6" t="s">
        <v>1712</v>
      </c>
      <c r="I371" s="6">
        <v>1</v>
      </c>
      <c r="J371" s="4">
        <v>43230</v>
      </c>
      <c r="K371" s="8">
        <v>43332</v>
      </c>
      <c r="L371" s="1" t="e">
        <f>IF(MATCH(C371,Wiki!B:B,0)&lt;&gt;0,TRUE,FALSE)</f>
        <v>#N/A</v>
      </c>
      <c r="M371" s="1" t="e">
        <f>INDEX(Wiki!K:K,MATCH('BOM2017'!C371,Wiki!B:B,0))</f>
        <v>#N/A</v>
      </c>
      <c r="N371" s="1" t="e">
        <f>IFERROR(M371,INDEX(Wiki!K:K,MATCH('BOM2017'!D371,Wiki!B:B,0)))</f>
        <v>#N/A</v>
      </c>
    </row>
    <row r="372" spans="2:14" x14ac:dyDescent="0.2">
      <c r="B372" s="6">
        <v>367</v>
      </c>
      <c r="C372" s="3" t="s">
        <v>248</v>
      </c>
      <c r="D372" t="str">
        <f t="shared" si="5"/>
        <v/>
      </c>
      <c r="E372" s="3" t="s">
        <v>820</v>
      </c>
      <c r="F372" s="7" t="s">
        <v>1713</v>
      </c>
      <c r="G372" s="6">
        <v>37</v>
      </c>
      <c r="H372" s="6" t="s">
        <v>1714</v>
      </c>
      <c r="I372" s="6">
        <v>6</v>
      </c>
      <c r="J372" s="4">
        <v>43225</v>
      </c>
      <c r="K372" s="8">
        <v>43245</v>
      </c>
      <c r="L372" s="1" t="b">
        <f>IF(MATCH(C372,Wiki!B:B,0)&lt;&gt;0,TRUE,FALSE)</f>
        <v>1</v>
      </c>
      <c r="M372" s="1" t="str">
        <f>INDEX(Wiki!K:K,MATCH('BOM2017'!C372,Wiki!B:B,0))</f>
        <v>3_Generations_(film)</v>
      </c>
      <c r="N372" s="1" t="str">
        <f>IFERROR(M372,INDEX(Wiki!K:K,MATCH('BOM2017'!D372,Wiki!B:B,0)))</f>
        <v>3_Generations_(film)</v>
      </c>
    </row>
    <row r="373" spans="2:14" x14ac:dyDescent="0.2">
      <c r="B373" s="6">
        <v>368</v>
      </c>
      <c r="C373" s="3" t="s">
        <v>1715</v>
      </c>
      <c r="D373" t="e">
        <f t="shared" si="5"/>
        <v>#VALUE!</v>
      </c>
      <c r="E373" s="3" t="s">
        <v>1294</v>
      </c>
      <c r="F373" s="7" t="s">
        <v>1716</v>
      </c>
      <c r="G373" s="6">
        <v>26</v>
      </c>
      <c r="H373" s="6" t="s">
        <v>1717</v>
      </c>
      <c r="I373" s="6">
        <v>2</v>
      </c>
      <c r="J373" s="4">
        <v>43267</v>
      </c>
      <c r="K373" s="8">
        <v>43315</v>
      </c>
      <c r="L373" s="1" t="e">
        <f>IF(MATCH(C373,Wiki!B:B,0)&lt;&gt;0,TRUE,FALSE)</f>
        <v>#N/A</v>
      </c>
      <c r="M373" s="1" t="e">
        <f>INDEX(Wiki!K:K,MATCH('BOM2017'!C373,Wiki!B:B,0))</f>
        <v>#N/A</v>
      </c>
      <c r="N373" s="1" t="e">
        <f>IFERROR(M373,INDEX(Wiki!K:K,MATCH('BOM2017'!D373,Wiki!B:B,0)))</f>
        <v>#VALUE!</v>
      </c>
    </row>
    <row r="374" spans="2:14" x14ac:dyDescent="0.2">
      <c r="B374" s="6">
        <v>369</v>
      </c>
      <c r="C374" s="3" t="s">
        <v>1718</v>
      </c>
      <c r="D374" t="e">
        <f t="shared" si="5"/>
        <v>#VALUE!</v>
      </c>
      <c r="E374" s="3" t="s">
        <v>1719</v>
      </c>
      <c r="F374" s="7" t="s">
        <v>1720</v>
      </c>
      <c r="G374" s="6">
        <v>18</v>
      </c>
      <c r="H374" s="6" t="s">
        <v>1721</v>
      </c>
      <c r="I374" s="6">
        <v>2</v>
      </c>
      <c r="J374" s="4">
        <v>43295</v>
      </c>
      <c r="K374" s="8">
        <v>43318</v>
      </c>
      <c r="L374" s="1" t="e">
        <f>IF(MATCH(C374,Wiki!B:B,0)&lt;&gt;0,TRUE,FALSE)</f>
        <v>#N/A</v>
      </c>
      <c r="M374" s="1" t="e">
        <f>INDEX(Wiki!K:K,MATCH('BOM2017'!C374,Wiki!B:B,0))</f>
        <v>#N/A</v>
      </c>
      <c r="N374" s="1" t="e">
        <f>IFERROR(M374,INDEX(Wiki!K:K,MATCH('BOM2017'!D374,Wiki!B:B,0)))</f>
        <v>#VALUE!</v>
      </c>
    </row>
    <row r="375" spans="2:14" x14ac:dyDescent="0.2">
      <c r="B375" s="6">
        <v>370</v>
      </c>
      <c r="C375" s="3" t="s">
        <v>1722</v>
      </c>
      <c r="D375" t="e">
        <f t="shared" si="5"/>
        <v>#VALUE!</v>
      </c>
      <c r="E375" s="3" t="s">
        <v>1723</v>
      </c>
      <c r="F375" s="7" t="s">
        <v>1724</v>
      </c>
      <c r="G375" s="6">
        <v>15</v>
      </c>
      <c r="H375" s="6" t="s">
        <v>1725</v>
      </c>
      <c r="I375" s="6">
        <v>1</v>
      </c>
      <c r="J375" s="4">
        <v>43356</v>
      </c>
      <c r="K375" s="6" t="s">
        <v>558</v>
      </c>
      <c r="L375" s="1" t="e">
        <f>IF(MATCH(C375,Wiki!B:B,0)&lt;&gt;0,TRUE,FALSE)</f>
        <v>#N/A</v>
      </c>
      <c r="M375" s="1" t="e">
        <f>INDEX(Wiki!K:K,MATCH('BOM2017'!C375,Wiki!B:B,0))</f>
        <v>#N/A</v>
      </c>
      <c r="N375" s="1" t="e">
        <f>IFERROR(M375,INDEX(Wiki!K:K,MATCH('BOM2017'!D375,Wiki!B:B,0)))</f>
        <v>#VALUE!</v>
      </c>
    </row>
    <row r="376" spans="2:14" x14ac:dyDescent="0.2">
      <c r="B376" s="6">
        <v>371</v>
      </c>
      <c r="C376" s="3" t="s">
        <v>1726</v>
      </c>
      <c r="D376" t="e">
        <f t="shared" si="5"/>
        <v>#VALUE!</v>
      </c>
      <c r="E376" s="3" t="s">
        <v>1183</v>
      </c>
      <c r="F376" s="7" t="s">
        <v>1727</v>
      </c>
      <c r="G376" s="6">
        <v>31</v>
      </c>
      <c r="H376" s="6" t="s">
        <v>1728</v>
      </c>
      <c r="I376" s="6">
        <v>31</v>
      </c>
      <c r="J376" s="4">
        <v>43197</v>
      </c>
      <c r="K376" s="8">
        <v>43252</v>
      </c>
      <c r="L376" s="1" t="e">
        <f>IF(MATCH(C376,Wiki!B:B,0)&lt;&gt;0,TRUE,FALSE)</f>
        <v>#N/A</v>
      </c>
      <c r="M376" s="1" t="e">
        <f>INDEX(Wiki!K:K,MATCH('BOM2017'!C376,Wiki!B:B,0))</f>
        <v>#N/A</v>
      </c>
      <c r="N376" s="1" t="e">
        <f>IFERROR(M376,INDEX(Wiki!K:K,MATCH('BOM2017'!D376,Wiki!B:B,0)))</f>
        <v>#VALUE!</v>
      </c>
    </row>
    <row r="377" spans="2:14" x14ac:dyDescent="0.2">
      <c r="B377" s="6">
        <v>372</v>
      </c>
      <c r="C377" s="3" t="s">
        <v>1729</v>
      </c>
      <c r="D377" t="e">
        <f t="shared" si="5"/>
        <v>#VALUE!</v>
      </c>
      <c r="E377" s="3" t="s">
        <v>1294</v>
      </c>
      <c r="F377" s="7" t="s">
        <v>1730</v>
      </c>
      <c r="G377" s="6">
        <v>28</v>
      </c>
      <c r="H377" s="6" t="s">
        <v>1731</v>
      </c>
      <c r="I377" s="6">
        <v>2</v>
      </c>
      <c r="J377" s="4">
        <v>43351</v>
      </c>
      <c r="K377" s="8">
        <v>43406</v>
      </c>
      <c r="L377" s="1" t="e">
        <f>IF(MATCH(C377,Wiki!B:B,0)&lt;&gt;0,TRUE,FALSE)</f>
        <v>#N/A</v>
      </c>
      <c r="M377" s="1" t="e">
        <f>INDEX(Wiki!K:K,MATCH('BOM2017'!C377,Wiki!B:B,0))</f>
        <v>#N/A</v>
      </c>
      <c r="N377" s="1" t="e">
        <f>IFERROR(M377,INDEX(Wiki!K:K,MATCH('BOM2017'!D377,Wiki!B:B,0)))</f>
        <v>#VALUE!</v>
      </c>
    </row>
    <row r="378" spans="2:14" x14ac:dyDescent="0.2">
      <c r="B378" s="6">
        <v>373</v>
      </c>
      <c r="C378" s="3" t="s">
        <v>1732</v>
      </c>
      <c r="D378" t="e">
        <f t="shared" si="5"/>
        <v>#VALUE!</v>
      </c>
      <c r="E378" s="3" t="s">
        <v>1039</v>
      </c>
      <c r="F378" s="7" t="s">
        <v>1733</v>
      </c>
      <c r="G378" s="6">
        <v>31</v>
      </c>
      <c r="H378" s="6" t="s">
        <v>1734</v>
      </c>
      <c r="I378" s="6">
        <v>30</v>
      </c>
      <c r="J378" s="4">
        <v>43407</v>
      </c>
      <c r="K378" s="8">
        <v>43448</v>
      </c>
      <c r="L378" s="1" t="e">
        <f>IF(MATCH(C378,Wiki!B:B,0)&lt;&gt;0,TRUE,FALSE)</f>
        <v>#N/A</v>
      </c>
      <c r="M378" s="1" t="e">
        <f>INDEX(Wiki!K:K,MATCH('BOM2017'!C378,Wiki!B:B,0))</f>
        <v>#N/A</v>
      </c>
      <c r="N378" s="1" t="e">
        <f>IFERROR(M378,INDEX(Wiki!K:K,MATCH('BOM2017'!D378,Wiki!B:B,0)))</f>
        <v>#VALUE!</v>
      </c>
    </row>
    <row r="379" spans="2:14" x14ac:dyDescent="0.2">
      <c r="B379" s="6">
        <v>374</v>
      </c>
      <c r="C379" s="3" t="s">
        <v>1735</v>
      </c>
      <c r="D379" t="e">
        <f t="shared" si="5"/>
        <v>#VALUE!</v>
      </c>
      <c r="E379" s="3" t="s">
        <v>1248</v>
      </c>
      <c r="F379" s="7" t="s">
        <v>1736</v>
      </c>
      <c r="G379" s="6">
        <v>8</v>
      </c>
      <c r="H379" s="6" t="s">
        <v>1737</v>
      </c>
      <c r="I379" s="6">
        <v>2</v>
      </c>
      <c r="J379" s="4">
        <v>43243</v>
      </c>
      <c r="K379" s="8">
        <v>43325</v>
      </c>
      <c r="L379" s="1" t="e">
        <f>IF(MATCH(C379,Wiki!B:B,0)&lt;&gt;0,TRUE,FALSE)</f>
        <v>#N/A</v>
      </c>
      <c r="M379" s="1" t="e">
        <f>INDEX(Wiki!K:K,MATCH('BOM2017'!C379,Wiki!B:B,0))</f>
        <v>#N/A</v>
      </c>
      <c r="N379" s="1" t="e">
        <f>IFERROR(M379,INDEX(Wiki!K:K,MATCH('BOM2017'!D379,Wiki!B:B,0)))</f>
        <v>#VALUE!</v>
      </c>
    </row>
    <row r="380" spans="2:14" x14ac:dyDescent="0.2">
      <c r="B380" s="6">
        <v>375</v>
      </c>
      <c r="C380" s="3" t="s">
        <v>1738</v>
      </c>
      <c r="D380" t="e">
        <f t="shared" si="5"/>
        <v>#VALUE!</v>
      </c>
      <c r="E380" s="3" t="s">
        <v>1739</v>
      </c>
      <c r="F380" s="7" t="s">
        <v>1740</v>
      </c>
      <c r="G380" s="6">
        <v>4</v>
      </c>
      <c r="H380" s="6" t="s">
        <v>1741</v>
      </c>
      <c r="I380" s="6">
        <v>1</v>
      </c>
      <c r="J380" s="4">
        <v>43421</v>
      </c>
      <c r="K380" s="6" t="s">
        <v>558</v>
      </c>
      <c r="L380" s="1" t="e">
        <f>IF(MATCH(C380,Wiki!B:B,0)&lt;&gt;0,TRUE,FALSE)</f>
        <v>#N/A</v>
      </c>
      <c r="M380" s="1" t="e">
        <f>INDEX(Wiki!K:K,MATCH('BOM2017'!C380,Wiki!B:B,0))</f>
        <v>#N/A</v>
      </c>
      <c r="N380" s="1" t="e">
        <f>IFERROR(M380,INDEX(Wiki!K:K,MATCH('BOM2017'!D380,Wiki!B:B,0)))</f>
        <v>#VALUE!</v>
      </c>
    </row>
    <row r="381" spans="2:14" x14ac:dyDescent="0.2">
      <c r="B381" s="6">
        <v>376</v>
      </c>
      <c r="C381" s="3" t="s">
        <v>1742</v>
      </c>
      <c r="D381" t="e">
        <f t="shared" si="5"/>
        <v>#VALUE!</v>
      </c>
      <c r="E381" s="3" t="s">
        <v>1213</v>
      </c>
      <c r="F381" s="7" t="s">
        <v>1743</v>
      </c>
      <c r="G381" s="6">
        <v>14</v>
      </c>
      <c r="H381" s="6" t="s">
        <v>1744</v>
      </c>
      <c r="I381" s="6">
        <v>4</v>
      </c>
      <c r="J381" s="4">
        <v>43377</v>
      </c>
      <c r="K381" s="6" t="s">
        <v>558</v>
      </c>
      <c r="L381" s="1" t="e">
        <f>IF(MATCH(C381,Wiki!B:B,0)&lt;&gt;0,TRUE,FALSE)</f>
        <v>#N/A</v>
      </c>
      <c r="M381" s="1" t="e">
        <f>INDEX(Wiki!K:K,MATCH('BOM2017'!C381,Wiki!B:B,0))</f>
        <v>#N/A</v>
      </c>
      <c r="N381" s="1" t="e">
        <f>IFERROR(M381,INDEX(Wiki!K:K,MATCH('BOM2017'!D381,Wiki!B:B,0)))</f>
        <v>#VALUE!</v>
      </c>
    </row>
    <row r="382" spans="2:14" x14ac:dyDescent="0.2">
      <c r="B382" s="6">
        <v>377</v>
      </c>
      <c r="C382" s="3" t="s">
        <v>1745</v>
      </c>
      <c r="D382" t="e">
        <f t="shared" si="5"/>
        <v>#VALUE!</v>
      </c>
      <c r="E382" s="3" t="s">
        <v>1746</v>
      </c>
      <c r="F382" s="7" t="s">
        <v>1747</v>
      </c>
      <c r="G382" s="6">
        <v>18</v>
      </c>
      <c r="H382" s="6" t="s">
        <v>1748</v>
      </c>
      <c r="I382" s="6">
        <v>4</v>
      </c>
      <c r="J382" s="4">
        <v>43288</v>
      </c>
      <c r="K382" s="6" t="s">
        <v>558</v>
      </c>
      <c r="L382" s="1" t="e">
        <f>IF(MATCH(C382,Wiki!B:B,0)&lt;&gt;0,TRUE,FALSE)</f>
        <v>#N/A</v>
      </c>
      <c r="M382" s="1" t="e">
        <f>INDEX(Wiki!K:K,MATCH('BOM2017'!C382,Wiki!B:B,0))</f>
        <v>#N/A</v>
      </c>
      <c r="N382" s="1" t="e">
        <f>IFERROR(M382,INDEX(Wiki!K:K,MATCH('BOM2017'!D382,Wiki!B:B,0)))</f>
        <v>#VALUE!</v>
      </c>
    </row>
    <row r="383" spans="2:14" x14ac:dyDescent="0.2">
      <c r="B383" s="6">
        <v>378</v>
      </c>
      <c r="C383" s="3" t="s">
        <v>1749</v>
      </c>
      <c r="D383" t="e">
        <f t="shared" si="5"/>
        <v>#VALUE!</v>
      </c>
      <c r="E383" s="3" t="s">
        <v>1152</v>
      </c>
      <c r="F383" s="7" t="s">
        <v>1750</v>
      </c>
      <c r="G383" s="6">
        <v>395</v>
      </c>
      <c r="H383" s="6" t="s">
        <v>1159</v>
      </c>
      <c r="I383" s="6" t="s">
        <v>1159</v>
      </c>
      <c r="J383" s="4">
        <v>43420</v>
      </c>
      <c r="K383" s="8">
        <v>43420</v>
      </c>
      <c r="L383" s="1" t="e">
        <f>IF(MATCH(C383,Wiki!B:B,0)&lt;&gt;0,TRUE,FALSE)</f>
        <v>#N/A</v>
      </c>
      <c r="M383" s="1" t="e">
        <f>INDEX(Wiki!K:K,MATCH('BOM2017'!C383,Wiki!B:B,0))</f>
        <v>#N/A</v>
      </c>
      <c r="N383" s="1" t="e">
        <f>IFERROR(M383,INDEX(Wiki!K:K,MATCH('BOM2017'!D383,Wiki!B:B,0)))</f>
        <v>#VALUE!</v>
      </c>
    </row>
    <row r="384" spans="2:14" x14ac:dyDescent="0.2">
      <c r="B384" s="6">
        <v>379</v>
      </c>
      <c r="C384" s="3" t="s">
        <v>1751</v>
      </c>
      <c r="D384" t="e">
        <f t="shared" si="5"/>
        <v>#VALUE!</v>
      </c>
      <c r="E384" s="3" t="s">
        <v>1095</v>
      </c>
      <c r="F384" s="7" t="s">
        <v>1752</v>
      </c>
      <c r="G384" s="6">
        <v>39</v>
      </c>
      <c r="H384" s="6" t="s">
        <v>1753</v>
      </c>
      <c r="I384" s="6">
        <v>1</v>
      </c>
      <c r="J384" s="4">
        <v>43414</v>
      </c>
      <c r="K384" s="6" t="s">
        <v>558</v>
      </c>
      <c r="L384" s="1" t="e">
        <f>IF(MATCH(C384,Wiki!B:B,0)&lt;&gt;0,TRUE,FALSE)</f>
        <v>#N/A</v>
      </c>
      <c r="M384" s="1" t="e">
        <f>INDEX(Wiki!K:K,MATCH('BOM2017'!C384,Wiki!B:B,0))</f>
        <v>#N/A</v>
      </c>
      <c r="N384" s="1" t="e">
        <f>IFERROR(M384,INDEX(Wiki!K:K,MATCH('BOM2017'!D384,Wiki!B:B,0)))</f>
        <v>#VALUE!</v>
      </c>
    </row>
    <row r="385" spans="2:14" x14ac:dyDescent="0.2">
      <c r="B385" s="6">
        <v>380</v>
      </c>
      <c r="C385" s="3" t="s">
        <v>1754</v>
      </c>
      <c r="D385" t="e">
        <f t="shared" si="5"/>
        <v>#VALUE!</v>
      </c>
      <c r="E385" s="3" t="s">
        <v>1248</v>
      </c>
      <c r="F385" s="7" t="s">
        <v>1755</v>
      </c>
      <c r="G385" s="6">
        <v>54</v>
      </c>
      <c r="H385" s="6" t="s">
        <v>1756</v>
      </c>
      <c r="I385" s="6">
        <v>1</v>
      </c>
      <c r="J385" s="4">
        <v>43267</v>
      </c>
      <c r="K385" s="8">
        <v>43364</v>
      </c>
      <c r="L385" s="1" t="e">
        <f>IF(MATCH(C385,Wiki!B:B,0)&lt;&gt;0,TRUE,FALSE)</f>
        <v>#N/A</v>
      </c>
      <c r="M385" s="1" t="e">
        <f>INDEX(Wiki!K:K,MATCH('BOM2017'!C385,Wiki!B:B,0))</f>
        <v>#N/A</v>
      </c>
      <c r="N385" s="1" t="e">
        <f>IFERROR(M385,INDEX(Wiki!K:K,MATCH('BOM2017'!D385,Wiki!B:B,0)))</f>
        <v>#VALUE!</v>
      </c>
    </row>
    <row r="386" spans="2:14" x14ac:dyDescent="0.2">
      <c r="B386" s="6">
        <v>381</v>
      </c>
      <c r="C386" s="3" t="s">
        <v>1757</v>
      </c>
      <c r="D386" t="e">
        <f t="shared" si="5"/>
        <v>#VALUE!</v>
      </c>
      <c r="E386" s="3" t="s">
        <v>1572</v>
      </c>
      <c r="F386" s="7" t="s">
        <v>1758</v>
      </c>
      <c r="G386" s="6">
        <v>18</v>
      </c>
      <c r="H386" s="6" t="s">
        <v>1759</v>
      </c>
      <c r="I386" s="6">
        <v>1</v>
      </c>
      <c r="J386" s="4">
        <v>43265</v>
      </c>
      <c r="K386" s="8">
        <v>43399</v>
      </c>
      <c r="L386" s="1" t="e">
        <f>IF(MATCH(C386,Wiki!B:B,0)&lt;&gt;0,TRUE,FALSE)</f>
        <v>#N/A</v>
      </c>
      <c r="M386" s="1" t="e">
        <f>INDEX(Wiki!K:K,MATCH('BOM2017'!C386,Wiki!B:B,0))</f>
        <v>#N/A</v>
      </c>
      <c r="N386" s="1" t="e">
        <f>IFERROR(M386,INDEX(Wiki!K:K,MATCH('BOM2017'!D386,Wiki!B:B,0)))</f>
        <v>#VALUE!</v>
      </c>
    </row>
    <row r="387" spans="2:14" x14ac:dyDescent="0.2">
      <c r="B387" s="6">
        <v>382</v>
      </c>
      <c r="C387" s="3" t="s">
        <v>1760</v>
      </c>
      <c r="D387" t="e">
        <f t="shared" si="5"/>
        <v>#VALUE!</v>
      </c>
      <c r="E387" s="3" t="s">
        <v>1761</v>
      </c>
      <c r="F387" s="7" t="s">
        <v>1762</v>
      </c>
      <c r="G387" s="6">
        <v>11</v>
      </c>
      <c r="H387" s="6" t="s">
        <v>1763</v>
      </c>
      <c r="I387" s="6">
        <v>1</v>
      </c>
      <c r="J387" s="4">
        <v>43183</v>
      </c>
      <c r="K387" s="8">
        <v>43336</v>
      </c>
      <c r="L387" s="1" t="e">
        <f>IF(MATCH(C387,Wiki!B:B,0)&lt;&gt;0,TRUE,FALSE)</f>
        <v>#N/A</v>
      </c>
      <c r="M387" s="1" t="e">
        <f>INDEX(Wiki!K:K,MATCH('BOM2017'!C387,Wiki!B:B,0))</f>
        <v>#N/A</v>
      </c>
      <c r="N387" s="1" t="e">
        <f>IFERROR(M387,INDEX(Wiki!K:K,MATCH('BOM2017'!D387,Wiki!B:B,0)))</f>
        <v>#VALUE!</v>
      </c>
    </row>
    <row r="388" spans="2:14" x14ac:dyDescent="0.2">
      <c r="B388" s="6">
        <v>383</v>
      </c>
      <c r="C388" s="3" t="s">
        <v>1764</v>
      </c>
      <c r="D388" t="e">
        <f t="shared" si="5"/>
        <v>#VALUE!</v>
      </c>
      <c r="E388" s="3" t="s">
        <v>1294</v>
      </c>
      <c r="F388" s="7" t="s">
        <v>1765</v>
      </c>
      <c r="G388" s="6">
        <v>18</v>
      </c>
      <c r="H388" s="6" t="s">
        <v>1766</v>
      </c>
      <c r="I388" s="6">
        <v>2</v>
      </c>
      <c r="J388" s="4">
        <v>43288</v>
      </c>
      <c r="K388" s="8">
        <v>43350</v>
      </c>
      <c r="L388" s="1" t="e">
        <f>IF(MATCH(C388,Wiki!B:B,0)&lt;&gt;0,TRUE,FALSE)</f>
        <v>#N/A</v>
      </c>
      <c r="M388" s="1" t="e">
        <f>INDEX(Wiki!K:K,MATCH('BOM2017'!C388,Wiki!B:B,0))</f>
        <v>#N/A</v>
      </c>
      <c r="N388" s="1" t="e">
        <f>IFERROR(M388,INDEX(Wiki!K:K,MATCH('BOM2017'!D388,Wiki!B:B,0)))</f>
        <v>#VALUE!</v>
      </c>
    </row>
    <row r="389" spans="2:14" x14ac:dyDescent="0.2">
      <c r="B389" s="6">
        <v>384</v>
      </c>
      <c r="C389" s="3" t="s">
        <v>1767</v>
      </c>
      <c r="D389" t="e">
        <f t="shared" si="5"/>
        <v>#VALUE!</v>
      </c>
      <c r="E389" s="3" t="s">
        <v>1768</v>
      </c>
      <c r="F389" s="7" t="s">
        <v>1769</v>
      </c>
      <c r="G389" s="6">
        <v>11</v>
      </c>
      <c r="H389" s="6" t="s">
        <v>1770</v>
      </c>
      <c r="I389" s="6">
        <v>6</v>
      </c>
      <c r="J389" s="4">
        <v>43281</v>
      </c>
      <c r="K389" s="8">
        <v>43336</v>
      </c>
      <c r="L389" s="1" t="e">
        <f>IF(MATCH(C389,Wiki!B:B,0)&lt;&gt;0,TRUE,FALSE)</f>
        <v>#N/A</v>
      </c>
      <c r="M389" s="1" t="e">
        <f>INDEX(Wiki!K:K,MATCH('BOM2017'!C389,Wiki!B:B,0))</f>
        <v>#N/A</v>
      </c>
      <c r="N389" s="1" t="e">
        <f>IFERROR(M389,INDEX(Wiki!K:K,MATCH('BOM2017'!D389,Wiki!B:B,0)))</f>
        <v>#VALUE!</v>
      </c>
    </row>
    <row r="390" spans="2:14" x14ac:dyDescent="0.2">
      <c r="B390" s="6">
        <v>385</v>
      </c>
      <c r="C390" s="3" t="s">
        <v>1771</v>
      </c>
      <c r="D390" t="e">
        <f t="shared" ref="D390:D453" si="6">IF(ISERROR(M390),TRIM(LEFT(C390,FIND("(",C390)-1)),"")</f>
        <v>#VALUE!</v>
      </c>
      <c r="E390" s="3" t="s">
        <v>195</v>
      </c>
      <c r="F390" s="7" t="s">
        <v>1772</v>
      </c>
      <c r="G390" s="6">
        <v>25</v>
      </c>
      <c r="H390" s="6" t="s">
        <v>1773</v>
      </c>
      <c r="I390" s="6">
        <v>3</v>
      </c>
      <c r="J390" s="4">
        <v>43281</v>
      </c>
      <c r="K390" s="8">
        <v>43322</v>
      </c>
      <c r="L390" s="1" t="e">
        <f>IF(MATCH(C390,Wiki!B:B,0)&lt;&gt;0,TRUE,FALSE)</f>
        <v>#N/A</v>
      </c>
      <c r="M390" s="1" t="e">
        <f>INDEX(Wiki!K:K,MATCH('BOM2017'!C390,Wiki!B:B,0))</f>
        <v>#N/A</v>
      </c>
      <c r="N390" s="1" t="e">
        <f>IFERROR(M390,INDEX(Wiki!K:K,MATCH('BOM2017'!D390,Wiki!B:B,0)))</f>
        <v>#VALUE!</v>
      </c>
    </row>
    <row r="391" spans="2:14" x14ac:dyDescent="0.2">
      <c r="B391" s="6">
        <v>386</v>
      </c>
      <c r="C391" s="3" t="s">
        <v>1774</v>
      </c>
      <c r="D391" t="e">
        <f t="shared" si="6"/>
        <v>#VALUE!</v>
      </c>
      <c r="E391" s="3" t="s">
        <v>1235</v>
      </c>
      <c r="F391" s="7" t="s">
        <v>1775</v>
      </c>
      <c r="G391" s="6">
        <v>27</v>
      </c>
      <c r="H391" s="6" t="s">
        <v>1776</v>
      </c>
      <c r="I391" s="6">
        <v>27</v>
      </c>
      <c r="J391" s="4">
        <v>43449</v>
      </c>
      <c r="K391" s="6" t="s">
        <v>558</v>
      </c>
      <c r="L391" s="1" t="e">
        <f>IF(MATCH(C391,Wiki!B:B,0)&lt;&gt;0,TRUE,FALSE)</f>
        <v>#N/A</v>
      </c>
      <c r="M391" s="1" t="e">
        <f>INDEX(Wiki!K:K,MATCH('BOM2017'!C391,Wiki!B:B,0))</f>
        <v>#N/A</v>
      </c>
      <c r="N391" s="1" t="e">
        <f>IFERROR(M391,INDEX(Wiki!K:K,MATCH('BOM2017'!D391,Wiki!B:B,0)))</f>
        <v>#VALUE!</v>
      </c>
    </row>
    <row r="392" spans="2:14" x14ac:dyDescent="0.2">
      <c r="B392" s="6">
        <v>387</v>
      </c>
      <c r="C392" s="3" t="s">
        <v>279</v>
      </c>
      <c r="D392" t="str">
        <f t="shared" si="6"/>
        <v/>
      </c>
      <c r="E392" s="3" t="s">
        <v>966</v>
      </c>
      <c r="F392" s="7" t="s">
        <v>1777</v>
      </c>
      <c r="G392" s="6">
        <v>80</v>
      </c>
      <c r="H392" s="6" t="s">
        <v>1778</v>
      </c>
      <c r="I392" s="6">
        <v>80</v>
      </c>
      <c r="J392" s="4">
        <v>43246</v>
      </c>
      <c r="K392" s="8">
        <v>43260</v>
      </c>
      <c r="L392" s="1" t="b">
        <f>IF(MATCH(C392,Wiki!B:B,0)&lt;&gt;0,TRUE,FALSE)</f>
        <v>1</v>
      </c>
      <c r="M392" s="1" t="str">
        <f>INDEX(Wiki!K:K,MATCH('BOM2017'!C392,Wiki!B:B,0))</f>
        <v>Buena_Vista_Social_Club:_Adios</v>
      </c>
      <c r="N392" s="1" t="str">
        <f>IFERROR(M392,INDEX(Wiki!K:K,MATCH('BOM2017'!D392,Wiki!B:B,0)))</f>
        <v>Buena_Vista_Social_Club:_Adios</v>
      </c>
    </row>
    <row r="393" spans="2:14" x14ac:dyDescent="0.2">
      <c r="B393" s="6">
        <v>388</v>
      </c>
      <c r="C393" s="3" t="s">
        <v>1779</v>
      </c>
      <c r="D393" t="e">
        <f t="shared" si="6"/>
        <v>#VALUE!</v>
      </c>
      <c r="E393" s="3" t="s">
        <v>1210</v>
      </c>
      <c r="F393" s="7" t="s">
        <v>1780</v>
      </c>
      <c r="G393" s="6">
        <v>34</v>
      </c>
      <c r="H393" s="6" t="s">
        <v>1781</v>
      </c>
      <c r="I393" s="6">
        <v>33</v>
      </c>
      <c r="J393" s="4">
        <v>43428</v>
      </c>
      <c r="K393" s="8">
        <v>43448</v>
      </c>
      <c r="L393" s="1" t="e">
        <f>IF(MATCH(C393,Wiki!B:B,0)&lt;&gt;0,TRUE,FALSE)</f>
        <v>#N/A</v>
      </c>
      <c r="M393" s="1" t="e">
        <f>INDEX(Wiki!K:K,MATCH('BOM2017'!C393,Wiki!B:B,0))</f>
        <v>#N/A</v>
      </c>
      <c r="N393" s="1" t="e">
        <f>IFERROR(M393,INDEX(Wiki!K:K,MATCH('BOM2017'!D393,Wiki!B:B,0)))</f>
        <v>#VALUE!</v>
      </c>
    </row>
    <row r="394" spans="2:14" x14ac:dyDescent="0.2">
      <c r="B394" s="6">
        <v>389</v>
      </c>
      <c r="C394" s="3" t="s">
        <v>1782</v>
      </c>
      <c r="D394" t="e">
        <f t="shared" si="6"/>
        <v>#VALUE!</v>
      </c>
      <c r="E394" s="3" t="s">
        <v>1210</v>
      </c>
      <c r="F394" s="7" t="s">
        <v>1783</v>
      </c>
      <c r="G394" s="6">
        <v>18</v>
      </c>
      <c r="H394" s="6" t="s">
        <v>1784</v>
      </c>
      <c r="I394" s="6">
        <v>18</v>
      </c>
      <c r="J394" s="4">
        <v>43288</v>
      </c>
      <c r="K394" s="8">
        <v>43315</v>
      </c>
      <c r="L394" s="1" t="e">
        <f>IF(MATCH(C394,Wiki!B:B,0)&lt;&gt;0,TRUE,FALSE)</f>
        <v>#N/A</v>
      </c>
      <c r="M394" s="1" t="e">
        <f>INDEX(Wiki!K:K,MATCH('BOM2017'!C394,Wiki!B:B,0))</f>
        <v>#N/A</v>
      </c>
      <c r="N394" s="1" t="e">
        <f>IFERROR(M394,INDEX(Wiki!K:K,MATCH('BOM2017'!D394,Wiki!B:B,0)))</f>
        <v>#VALUE!</v>
      </c>
    </row>
    <row r="395" spans="2:14" x14ac:dyDescent="0.2">
      <c r="B395" s="6">
        <v>390</v>
      </c>
      <c r="C395" s="3" t="s">
        <v>1785</v>
      </c>
      <c r="D395" t="e">
        <f t="shared" si="6"/>
        <v>#VALUE!</v>
      </c>
      <c r="E395" s="3" t="s">
        <v>1260</v>
      </c>
      <c r="F395" s="7" t="s">
        <v>1786</v>
      </c>
      <c r="G395" s="6">
        <v>11</v>
      </c>
      <c r="H395" s="6" t="s">
        <v>1787</v>
      </c>
      <c r="I395" s="6">
        <v>7</v>
      </c>
      <c r="J395" s="4">
        <v>43316</v>
      </c>
      <c r="K395" s="8">
        <v>43378</v>
      </c>
      <c r="L395" s="1" t="e">
        <f>IF(MATCH(C395,Wiki!B:B,0)&lt;&gt;0,TRUE,FALSE)</f>
        <v>#N/A</v>
      </c>
      <c r="M395" s="1" t="e">
        <f>INDEX(Wiki!K:K,MATCH('BOM2017'!C395,Wiki!B:B,0))</f>
        <v>#N/A</v>
      </c>
      <c r="N395" s="1" t="e">
        <f>IFERROR(M395,INDEX(Wiki!K:K,MATCH('BOM2017'!D395,Wiki!B:B,0)))</f>
        <v>#VALUE!</v>
      </c>
    </row>
    <row r="396" spans="2:14" x14ac:dyDescent="0.2">
      <c r="B396" s="6">
        <v>391</v>
      </c>
      <c r="C396" s="3" t="s">
        <v>1788</v>
      </c>
      <c r="D396" t="e">
        <f t="shared" si="6"/>
        <v>#VALUE!</v>
      </c>
      <c r="E396" s="3" t="s">
        <v>1445</v>
      </c>
      <c r="F396" s="7" t="s">
        <v>1789</v>
      </c>
      <c r="G396" s="6">
        <v>8</v>
      </c>
      <c r="H396" s="6" t="s">
        <v>1790</v>
      </c>
      <c r="I396" s="6">
        <v>1</v>
      </c>
      <c r="J396" s="4">
        <v>43239</v>
      </c>
      <c r="K396" s="8">
        <v>43318</v>
      </c>
      <c r="L396" s="1" t="e">
        <f>IF(MATCH(C396,Wiki!B:B,0)&lt;&gt;0,TRUE,FALSE)</f>
        <v>#N/A</v>
      </c>
      <c r="M396" s="1" t="e">
        <f>INDEX(Wiki!K:K,MATCH('BOM2017'!C396,Wiki!B:B,0))</f>
        <v>#N/A</v>
      </c>
      <c r="N396" s="1" t="e">
        <f>IFERROR(M396,INDEX(Wiki!K:K,MATCH('BOM2017'!D396,Wiki!B:B,0)))</f>
        <v>#VALUE!</v>
      </c>
    </row>
    <row r="397" spans="2:14" x14ac:dyDescent="0.2">
      <c r="B397" s="6">
        <v>392</v>
      </c>
      <c r="C397" s="3" t="s">
        <v>1791</v>
      </c>
      <c r="D397" t="e">
        <f t="shared" si="6"/>
        <v>#VALUE!</v>
      </c>
      <c r="E397" s="3" t="s">
        <v>1594</v>
      </c>
      <c r="F397" s="7" t="s">
        <v>1792</v>
      </c>
      <c r="G397" s="6">
        <v>10</v>
      </c>
      <c r="H397" s="6" t="s">
        <v>1793</v>
      </c>
      <c r="I397" s="6">
        <v>2</v>
      </c>
      <c r="J397" s="4">
        <v>43365</v>
      </c>
      <c r="K397" s="8">
        <v>43423</v>
      </c>
      <c r="L397" s="1" t="e">
        <f>IF(MATCH(C397,Wiki!B:B,0)&lt;&gt;0,TRUE,FALSE)</f>
        <v>#N/A</v>
      </c>
      <c r="M397" s="1" t="e">
        <f>INDEX(Wiki!K:K,MATCH('BOM2017'!C397,Wiki!B:B,0))</f>
        <v>#N/A</v>
      </c>
      <c r="N397" s="1" t="e">
        <f>IFERROR(M397,INDEX(Wiki!K:K,MATCH('BOM2017'!D397,Wiki!B:B,0)))</f>
        <v>#VALUE!</v>
      </c>
    </row>
    <row r="398" spans="2:14" x14ac:dyDescent="0.2">
      <c r="B398" s="6">
        <v>393</v>
      </c>
      <c r="C398" s="3" t="s">
        <v>1794</v>
      </c>
      <c r="D398" t="e">
        <f t="shared" si="6"/>
        <v>#VALUE!</v>
      </c>
      <c r="E398" s="3" t="s">
        <v>1532</v>
      </c>
      <c r="F398" s="7" t="s">
        <v>1795</v>
      </c>
      <c r="G398" s="6">
        <v>7</v>
      </c>
      <c r="H398" s="6" t="s">
        <v>1159</v>
      </c>
      <c r="I398" s="6" t="s">
        <v>1159</v>
      </c>
      <c r="J398" s="4">
        <v>43169</v>
      </c>
      <c r="K398" s="8">
        <v>43378</v>
      </c>
      <c r="L398" s="1" t="e">
        <f>IF(MATCH(C398,Wiki!B:B,0)&lt;&gt;0,TRUE,FALSE)</f>
        <v>#N/A</v>
      </c>
      <c r="M398" s="1" t="e">
        <f>INDEX(Wiki!K:K,MATCH('BOM2017'!C398,Wiki!B:B,0))</f>
        <v>#N/A</v>
      </c>
      <c r="N398" s="1" t="e">
        <f>IFERROR(M398,INDEX(Wiki!K:K,MATCH('BOM2017'!D398,Wiki!B:B,0)))</f>
        <v>#VALUE!</v>
      </c>
    </row>
    <row r="399" spans="2:14" x14ac:dyDescent="0.2">
      <c r="B399" s="6">
        <v>394</v>
      </c>
      <c r="C399" s="3" t="s">
        <v>1796</v>
      </c>
      <c r="D399" t="str">
        <f t="shared" si="6"/>
        <v>The Trouble with Terkel</v>
      </c>
      <c r="E399" s="3" t="s">
        <v>1797</v>
      </c>
      <c r="F399" s="7" t="s">
        <v>1798</v>
      </c>
      <c r="G399" s="6">
        <v>12</v>
      </c>
      <c r="H399" s="6" t="s">
        <v>1799</v>
      </c>
      <c r="I399" s="6">
        <v>12</v>
      </c>
      <c r="J399" s="4">
        <v>43134</v>
      </c>
      <c r="K399" s="6" t="s">
        <v>558</v>
      </c>
      <c r="L399" s="1" t="e">
        <f>IF(MATCH(C399,Wiki!B:B,0)&lt;&gt;0,TRUE,FALSE)</f>
        <v>#N/A</v>
      </c>
      <c r="M399" s="1" t="e">
        <f>INDEX(Wiki!K:K,MATCH('BOM2017'!C399,Wiki!B:B,0))</f>
        <v>#N/A</v>
      </c>
      <c r="N399" s="1" t="e">
        <f>IFERROR(M399,INDEX(Wiki!K:K,MATCH('BOM2017'!D399,Wiki!B:B,0)))</f>
        <v>#N/A</v>
      </c>
    </row>
    <row r="400" spans="2:14" x14ac:dyDescent="0.2">
      <c r="B400" s="6">
        <v>395</v>
      </c>
      <c r="C400" s="3" t="s">
        <v>1800</v>
      </c>
      <c r="D400" t="str">
        <f t="shared" si="6"/>
        <v>Reset</v>
      </c>
      <c r="E400" s="3" t="s">
        <v>1235</v>
      </c>
      <c r="F400" s="7" t="s">
        <v>1801</v>
      </c>
      <c r="G400" s="6">
        <v>20</v>
      </c>
      <c r="H400" s="6" t="s">
        <v>1802</v>
      </c>
      <c r="I400" s="6">
        <v>20</v>
      </c>
      <c r="J400" s="4">
        <v>43281</v>
      </c>
      <c r="K400" s="8">
        <v>43301</v>
      </c>
      <c r="L400" s="1" t="e">
        <f>IF(MATCH(C400,Wiki!B:B,0)&lt;&gt;0,TRUE,FALSE)</f>
        <v>#N/A</v>
      </c>
      <c r="M400" s="1" t="e">
        <f>INDEX(Wiki!K:K,MATCH('BOM2017'!C400,Wiki!B:B,0))</f>
        <v>#N/A</v>
      </c>
      <c r="N400" s="1" t="e">
        <f>IFERROR(M400,INDEX(Wiki!K:K,MATCH('BOM2017'!D400,Wiki!B:B,0)))</f>
        <v>#N/A</v>
      </c>
    </row>
    <row r="401" spans="2:14" x14ac:dyDescent="0.2">
      <c r="B401" s="6">
        <v>396</v>
      </c>
      <c r="C401" s="3" t="s">
        <v>1803</v>
      </c>
      <c r="D401" t="str">
        <f t="shared" si="6"/>
        <v>Like Crazy</v>
      </c>
      <c r="E401" s="3" t="s">
        <v>1804</v>
      </c>
      <c r="F401" s="7" t="s">
        <v>1805</v>
      </c>
      <c r="G401" s="6">
        <v>13</v>
      </c>
      <c r="H401" s="6" t="s">
        <v>1806</v>
      </c>
      <c r="I401" s="6">
        <v>2</v>
      </c>
      <c r="J401" s="4">
        <v>43225</v>
      </c>
      <c r="K401" s="6" t="s">
        <v>558</v>
      </c>
      <c r="L401" s="1" t="e">
        <f>IF(MATCH(C401,Wiki!B:B,0)&lt;&gt;0,TRUE,FALSE)</f>
        <v>#N/A</v>
      </c>
      <c r="M401" s="1" t="e">
        <f>INDEX(Wiki!K:K,MATCH('BOM2017'!C401,Wiki!B:B,0))</f>
        <v>#N/A</v>
      </c>
      <c r="N401" s="1" t="e">
        <f>IFERROR(M401,INDEX(Wiki!K:K,MATCH('BOM2017'!D401,Wiki!B:B,0)))</f>
        <v>#N/A</v>
      </c>
    </row>
    <row r="402" spans="2:14" x14ac:dyDescent="0.2">
      <c r="B402" s="6">
        <v>397</v>
      </c>
      <c r="C402" s="3" t="s">
        <v>1807</v>
      </c>
      <c r="D402" t="e">
        <f t="shared" si="6"/>
        <v>#VALUE!</v>
      </c>
      <c r="E402" s="3" t="s">
        <v>1332</v>
      </c>
      <c r="F402" s="7" t="s">
        <v>1808</v>
      </c>
      <c r="G402" s="6">
        <v>7</v>
      </c>
      <c r="H402" s="6" t="s">
        <v>1809</v>
      </c>
      <c r="I402" s="6">
        <v>7</v>
      </c>
      <c r="J402" s="4">
        <v>43155</v>
      </c>
      <c r="K402" s="8">
        <v>43178</v>
      </c>
      <c r="L402" s="1" t="e">
        <f>IF(MATCH(C402,Wiki!B:B,0)&lt;&gt;0,TRUE,FALSE)</f>
        <v>#N/A</v>
      </c>
      <c r="M402" s="1" t="e">
        <f>INDEX(Wiki!K:K,MATCH('BOM2017'!C402,Wiki!B:B,0))</f>
        <v>#N/A</v>
      </c>
      <c r="N402" s="1" t="e">
        <f>IFERROR(M402,INDEX(Wiki!K:K,MATCH('BOM2017'!D402,Wiki!B:B,0)))</f>
        <v>#VALUE!</v>
      </c>
    </row>
    <row r="403" spans="2:14" x14ac:dyDescent="0.2">
      <c r="B403" s="6">
        <v>398</v>
      </c>
      <c r="C403" s="3" t="s">
        <v>1810</v>
      </c>
      <c r="D403" t="e">
        <f t="shared" si="6"/>
        <v>#VALUE!</v>
      </c>
      <c r="E403" s="3" t="s">
        <v>1152</v>
      </c>
      <c r="F403" s="7" t="s">
        <v>1811</v>
      </c>
      <c r="G403" s="6">
        <v>401</v>
      </c>
      <c r="H403" s="6" t="s">
        <v>1811</v>
      </c>
      <c r="I403" s="6">
        <v>401</v>
      </c>
      <c r="J403" s="4">
        <v>43199</v>
      </c>
      <c r="K403" s="8">
        <v>43199</v>
      </c>
      <c r="L403" s="1" t="e">
        <f>IF(MATCH(C403,Wiki!B:B,0)&lt;&gt;0,TRUE,FALSE)</f>
        <v>#N/A</v>
      </c>
      <c r="M403" s="1" t="e">
        <f>INDEX(Wiki!K:K,MATCH('BOM2017'!C403,Wiki!B:B,0))</f>
        <v>#N/A</v>
      </c>
      <c r="N403" s="1" t="e">
        <f>IFERROR(M403,INDEX(Wiki!K:K,MATCH('BOM2017'!D403,Wiki!B:B,0)))</f>
        <v>#VALUE!</v>
      </c>
    </row>
    <row r="404" spans="2:14" x14ac:dyDescent="0.2">
      <c r="B404" s="6">
        <v>399</v>
      </c>
      <c r="C404" s="3" t="s">
        <v>1812</v>
      </c>
      <c r="D404" t="e">
        <f t="shared" si="6"/>
        <v>#VALUE!</v>
      </c>
      <c r="E404" s="3" t="s">
        <v>1294</v>
      </c>
      <c r="F404" s="7" t="s">
        <v>1813</v>
      </c>
      <c r="G404" s="6">
        <v>32</v>
      </c>
      <c r="H404" s="6" t="s">
        <v>1814</v>
      </c>
      <c r="I404" s="6">
        <v>2</v>
      </c>
      <c r="J404" s="4">
        <v>43378</v>
      </c>
      <c r="K404" s="8">
        <v>43423</v>
      </c>
      <c r="L404" s="1" t="e">
        <f>IF(MATCH(C404,Wiki!B:B,0)&lt;&gt;0,TRUE,FALSE)</f>
        <v>#N/A</v>
      </c>
      <c r="M404" s="1" t="e">
        <f>INDEX(Wiki!K:K,MATCH('BOM2017'!C404,Wiki!B:B,0))</f>
        <v>#N/A</v>
      </c>
      <c r="N404" s="1" t="e">
        <f>IFERROR(M404,INDEX(Wiki!K:K,MATCH('BOM2017'!D404,Wiki!B:B,0)))</f>
        <v>#VALUE!</v>
      </c>
    </row>
    <row r="405" spans="2:14" x14ac:dyDescent="0.2">
      <c r="B405" s="6">
        <v>400</v>
      </c>
      <c r="C405" s="3" t="s">
        <v>1815</v>
      </c>
      <c r="D405" t="e">
        <f t="shared" si="6"/>
        <v>#VALUE!</v>
      </c>
      <c r="E405" s="3" t="s">
        <v>1576</v>
      </c>
      <c r="F405" s="7" t="s">
        <v>1816</v>
      </c>
      <c r="G405" s="6">
        <v>7</v>
      </c>
      <c r="H405" s="6" t="s">
        <v>1817</v>
      </c>
      <c r="I405" s="6">
        <v>1</v>
      </c>
      <c r="J405" s="4">
        <v>43132</v>
      </c>
      <c r="K405" s="8">
        <v>43224</v>
      </c>
      <c r="L405" s="1" t="e">
        <f>IF(MATCH(C405,Wiki!B:B,0)&lt;&gt;0,TRUE,FALSE)</f>
        <v>#N/A</v>
      </c>
      <c r="M405" s="1" t="e">
        <f>INDEX(Wiki!K:K,MATCH('BOM2017'!C405,Wiki!B:B,0))</f>
        <v>#N/A</v>
      </c>
      <c r="N405" s="1" t="e">
        <f>IFERROR(M405,INDEX(Wiki!K:K,MATCH('BOM2017'!D405,Wiki!B:B,0)))</f>
        <v>#VALUE!</v>
      </c>
    </row>
    <row r="406" spans="2:14" x14ac:dyDescent="0.2">
      <c r="B406" s="6">
        <v>401</v>
      </c>
      <c r="C406" s="3" t="s">
        <v>1818</v>
      </c>
      <c r="D406" t="e">
        <f t="shared" si="6"/>
        <v>#VALUE!</v>
      </c>
      <c r="E406" s="3" t="s">
        <v>1631</v>
      </c>
      <c r="F406" s="7" t="s">
        <v>1819</v>
      </c>
      <c r="G406" s="6">
        <v>8</v>
      </c>
      <c r="H406" s="6" t="s">
        <v>1820</v>
      </c>
      <c r="I406" s="6">
        <v>1</v>
      </c>
      <c r="J406" s="4">
        <v>43267</v>
      </c>
      <c r="K406" s="8">
        <v>43434</v>
      </c>
      <c r="L406" s="1" t="e">
        <f>IF(MATCH(C406,Wiki!B:B,0)&lt;&gt;0,TRUE,FALSE)</f>
        <v>#N/A</v>
      </c>
      <c r="M406" s="1" t="e">
        <f>INDEX(Wiki!K:K,MATCH('BOM2017'!C406,Wiki!B:B,0))</f>
        <v>#N/A</v>
      </c>
      <c r="N406" s="1" t="e">
        <f>IFERROR(M406,INDEX(Wiki!K:K,MATCH('BOM2017'!D406,Wiki!B:B,0)))</f>
        <v>#VALUE!</v>
      </c>
    </row>
    <row r="407" spans="2:14" x14ac:dyDescent="0.2">
      <c r="B407" s="6">
        <v>402</v>
      </c>
      <c r="C407" s="3" t="s">
        <v>1821</v>
      </c>
      <c r="D407" t="e">
        <f t="shared" si="6"/>
        <v>#VALUE!</v>
      </c>
      <c r="E407" s="3" t="s">
        <v>1039</v>
      </c>
      <c r="F407" s="7" t="s">
        <v>1822</v>
      </c>
      <c r="G407" s="6">
        <v>10</v>
      </c>
      <c r="H407" s="6" t="s">
        <v>1823</v>
      </c>
      <c r="I407" s="6">
        <v>3</v>
      </c>
      <c r="J407" s="4">
        <v>43461</v>
      </c>
      <c r="K407" s="6" t="s">
        <v>558</v>
      </c>
      <c r="L407" s="1" t="e">
        <f>IF(MATCH(C407,Wiki!B:B,0)&lt;&gt;0,TRUE,FALSE)</f>
        <v>#N/A</v>
      </c>
      <c r="M407" s="1" t="e">
        <f>INDEX(Wiki!K:K,MATCH('BOM2017'!C407,Wiki!B:B,0))</f>
        <v>#N/A</v>
      </c>
      <c r="N407" s="1" t="e">
        <f>IFERROR(M407,INDEX(Wiki!K:K,MATCH('BOM2017'!D407,Wiki!B:B,0)))</f>
        <v>#VALUE!</v>
      </c>
    </row>
    <row r="408" spans="2:14" x14ac:dyDescent="0.2">
      <c r="B408" s="6">
        <v>403</v>
      </c>
      <c r="C408" s="3" t="s">
        <v>1824</v>
      </c>
      <c r="D408" t="str">
        <f t="shared" si="6"/>
        <v>Some Like It Hot</v>
      </c>
      <c r="E408" s="3" t="s">
        <v>1210</v>
      </c>
      <c r="F408" s="7" t="s">
        <v>1825</v>
      </c>
      <c r="G408" s="6">
        <v>10</v>
      </c>
      <c r="H408" s="6" t="s">
        <v>1826</v>
      </c>
      <c r="I408" s="6">
        <v>10</v>
      </c>
      <c r="J408" s="4">
        <v>43113</v>
      </c>
      <c r="K408" s="8">
        <v>43133</v>
      </c>
      <c r="L408" s="1" t="e">
        <f>IF(MATCH(C408,Wiki!B:B,0)&lt;&gt;0,TRUE,FALSE)</f>
        <v>#N/A</v>
      </c>
      <c r="M408" s="1" t="e">
        <f>INDEX(Wiki!K:K,MATCH('BOM2017'!C408,Wiki!B:B,0))</f>
        <v>#N/A</v>
      </c>
      <c r="N408" s="1" t="e">
        <f>IFERROR(M408,INDEX(Wiki!K:K,MATCH('BOM2017'!D408,Wiki!B:B,0)))</f>
        <v>#N/A</v>
      </c>
    </row>
    <row r="409" spans="2:14" x14ac:dyDescent="0.2">
      <c r="B409" s="6">
        <v>404</v>
      </c>
      <c r="C409" s="3" t="s">
        <v>1827</v>
      </c>
      <c r="D409" t="e">
        <f t="shared" si="6"/>
        <v>#VALUE!</v>
      </c>
      <c r="E409" s="3" t="s">
        <v>1415</v>
      </c>
      <c r="F409" s="7" t="s">
        <v>1828</v>
      </c>
      <c r="G409" s="6">
        <v>75</v>
      </c>
      <c r="H409" s="6" t="s">
        <v>1829</v>
      </c>
      <c r="I409" s="6">
        <v>75</v>
      </c>
      <c r="J409" s="4">
        <v>43302</v>
      </c>
      <c r="K409" s="8">
        <v>43308</v>
      </c>
      <c r="L409" s="1" t="e">
        <f>IF(MATCH(C409,Wiki!B:B,0)&lt;&gt;0,TRUE,FALSE)</f>
        <v>#N/A</v>
      </c>
      <c r="M409" s="1" t="e">
        <f>INDEX(Wiki!K:K,MATCH('BOM2017'!C409,Wiki!B:B,0))</f>
        <v>#N/A</v>
      </c>
      <c r="N409" s="1" t="e">
        <f>IFERROR(M409,INDEX(Wiki!K:K,MATCH('BOM2017'!D409,Wiki!B:B,0)))</f>
        <v>#VALUE!</v>
      </c>
    </row>
    <row r="410" spans="2:14" x14ac:dyDescent="0.2">
      <c r="B410" s="6">
        <v>405</v>
      </c>
      <c r="C410" s="3" t="s">
        <v>1830</v>
      </c>
      <c r="D410" t="e">
        <f t="shared" si="6"/>
        <v>#VALUE!</v>
      </c>
      <c r="E410" s="3" t="s">
        <v>1213</v>
      </c>
      <c r="F410" s="7" t="s">
        <v>1831</v>
      </c>
      <c r="G410" s="6">
        <v>9</v>
      </c>
      <c r="H410" s="6" t="s">
        <v>1832</v>
      </c>
      <c r="I410" s="6">
        <v>1</v>
      </c>
      <c r="J410" s="4">
        <v>43393</v>
      </c>
      <c r="K410" s="6" t="s">
        <v>558</v>
      </c>
      <c r="L410" s="1" t="e">
        <f>IF(MATCH(C410,Wiki!B:B,0)&lt;&gt;0,TRUE,FALSE)</f>
        <v>#N/A</v>
      </c>
      <c r="M410" s="1" t="e">
        <f>INDEX(Wiki!K:K,MATCH('BOM2017'!C410,Wiki!B:B,0))</f>
        <v>#N/A</v>
      </c>
      <c r="N410" s="1" t="e">
        <f>IFERROR(M410,INDEX(Wiki!K:K,MATCH('BOM2017'!D410,Wiki!B:B,0)))</f>
        <v>#VALUE!</v>
      </c>
    </row>
    <row r="411" spans="2:14" x14ac:dyDescent="0.2">
      <c r="B411" s="6">
        <v>406</v>
      </c>
      <c r="C411" s="3" t="s">
        <v>1833</v>
      </c>
      <c r="D411" t="e">
        <f t="shared" si="6"/>
        <v>#VALUE!</v>
      </c>
      <c r="E411" s="3" t="s">
        <v>1260</v>
      </c>
      <c r="F411" s="7" t="s">
        <v>1834</v>
      </c>
      <c r="G411" s="6">
        <v>12</v>
      </c>
      <c r="H411" s="6" t="s">
        <v>1835</v>
      </c>
      <c r="I411" s="6">
        <v>12</v>
      </c>
      <c r="J411" s="4">
        <v>43161</v>
      </c>
      <c r="K411" s="8">
        <v>43216</v>
      </c>
      <c r="L411" s="1" t="e">
        <f>IF(MATCH(C411,Wiki!B:B,0)&lt;&gt;0,TRUE,FALSE)</f>
        <v>#N/A</v>
      </c>
      <c r="M411" s="1" t="e">
        <f>INDEX(Wiki!K:K,MATCH('BOM2017'!C411,Wiki!B:B,0))</f>
        <v>#N/A</v>
      </c>
      <c r="N411" s="1" t="e">
        <f>IFERROR(M411,INDEX(Wiki!K:K,MATCH('BOM2017'!D411,Wiki!B:B,0)))</f>
        <v>#VALUE!</v>
      </c>
    </row>
    <row r="412" spans="2:14" x14ac:dyDescent="0.2">
      <c r="B412" s="6">
        <v>407</v>
      </c>
      <c r="C412" s="3" t="s">
        <v>1836</v>
      </c>
      <c r="D412" t="str">
        <f t="shared" si="6"/>
        <v>BPM</v>
      </c>
      <c r="E412" s="3" t="s">
        <v>1095</v>
      </c>
      <c r="F412" s="7" t="s">
        <v>1837</v>
      </c>
      <c r="G412" s="6">
        <v>20</v>
      </c>
      <c r="H412" s="6" t="s">
        <v>1838</v>
      </c>
      <c r="I412" s="6">
        <v>2</v>
      </c>
      <c r="J412" s="4">
        <v>43393</v>
      </c>
      <c r="K412" s="6" t="s">
        <v>558</v>
      </c>
      <c r="L412" s="1" t="e">
        <f>IF(MATCH(C412,Wiki!B:B,0)&lt;&gt;0,TRUE,FALSE)</f>
        <v>#N/A</v>
      </c>
      <c r="M412" s="1" t="e">
        <f>INDEX(Wiki!K:K,MATCH('BOM2017'!C412,Wiki!B:B,0))</f>
        <v>#N/A</v>
      </c>
      <c r="N412" s="1" t="e">
        <f>IFERROR(M412,INDEX(Wiki!K:K,MATCH('BOM2017'!D412,Wiki!B:B,0)))</f>
        <v>#N/A</v>
      </c>
    </row>
    <row r="413" spans="2:14" x14ac:dyDescent="0.2">
      <c r="B413" s="6">
        <v>408</v>
      </c>
      <c r="C413" s="3" t="s">
        <v>1839</v>
      </c>
      <c r="D413" t="e">
        <f t="shared" si="6"/>
        <v>#VALUE!</v>
      </c>
      <c r="E413" s="3" t="s">
        <v>570</v>
      </c>
      <c r="F413" s="7" t="s">
        <v>1840</v>
      </c>
      <c r="G413" s="6">
        <v>50</v>
      </c>
      <c r="H413" s="6" t="s">
        <v>1841</v>
      </c>
      <c r="I413" s="6">
        <v>50</v>
      </c>
      <c r="J413" s="4">
        <v>43351</v>
      </c>
      <c r="K413" s="8">
        <v>43364</v>
      </c>
      <c r="L413" s="1" t="e">
        <f>IF(MATCH(C413,Wiki!B:B,0)&lt;&gt;0,TRUE,FALSE)</f>
        <v>#N/A</v>
      </c>
      <c r="M413" s="1" t="e">
        <f>INDEX(Wiki!K:K,MATCH('BOM2017'!C413,Wiki!B:B,0))</f>
        <v>#N/A</v>
      </c>
      <c r="N413" s="1" t="e">
        <f>IFERROR(M413,INDEX(Wiki!K:K,MATCH('BOM2017'!D413,Wiki!B:B,0)))</f>
        <v>#VALUE!</v>
      </c>
    </row>
    <row r="414" spans="2:14" x14ac:dyDescent="0.2">
      <c r="B414" s="6">
        <v>409</v>
      </c>
      <c r="C414" s="3" t="s">
        <v>1842</v>
      </c>
      <c r="D414" t="e">
        <f t="shared" si="6"/>
        <v>#VALUE!</v>
      </c>
      <c r="E414" s="3" t="s">
        <v>1235</v>
      </c>
      <c r="F414" s="7" t="s">
        <v>1843</v>
      </c>
      <c r="G414" s="6">
        <v>29</v>
      </c>
      <c r="H414" s="6" t="s">
        <v>1844</v>
      </c>
      <c r="I414" s="6">
        <v>29</v>
      </c>
      <c r="J414" s="4">
        <v>43218</v>
      </c>
      <c r="K414" s="8">
        <v>43245</v>
      </c>
      <c r="L414" s="1" t="e">
        <f>IF(MATCH(C414,Wiki!B:B,0)&lt;&gt;0,TRUE,FALSE)</f>
        <v>#N/A</v>
      </c>
      <c r="M414" s="1" t="e">
        <f>INDEX(Wiki!K:K,MATCH('BOM2017'!C414,Wiki!B:B,0))</f>
        <v>#N/A</v>
      </c>
      <c r="N414" s="1" t="e">
        <f>IFERROR(M414,INDEX(Wiki!K:K,MATCH('BOM2017'!D414,Wiki!B:B,0)))</f>
        <v>#VALUE!</v>
      </c>
    </row>
    <row r="415" spans="2:14" x14ac:dyDescent="0.2">
      <c r="B415" s="6">
        <v>410</v>
      </c>
      <c r="C415" s="3" t="s">
        <v>1845</v>
      </c>
      <c r="D415" t="e">
        <f t="shared" si="6"/>
        <v>#VALUE!</v>
      </c>
      <c r="E415" s="3" t="s">
        <v>1846</v>
      </c>
      <c r="F415" s="7" t="s">
        <v>1847</v>
      </c>
      <c r="G415" s="6">
        <v>7</v>
      </c>
      <c r="H415" s="6" t="s">
        <v>1848</v>
      </c>
      <c r="I415" s="6">
        <v>2</v>
      </c>
      <c r="J415" s="4">
        <v>43302</v>
      </c>
      <c r="K415" s="6" t="s">
        <v>558</v>
      </c>
      <c r="L415" s="1" t="e">
        <f>IF(MATCH(C415,Wiki!B:B,0)&lt;&gt;0,TRUE,FALSE)</f>
        <v>#N/A</v>
      </c>
      <c r="M415" s="1" t="e">
        <f>INDEX(Wiki!K:K,MATCH('BOM2017'!C415,Wiki!B:B,0))</f>
        <v>#N/A</v>
      </c>
      <c r="N415" s="1" t="e">
        <f>IFERROR(M415,INDEX(Wiki!K:K,MATCH('BOM2017'!D415,Wiki!B:B,0)))</f>
        <v>#VALUE!</v>
      </c>
    </row>
    <row r="416" spans="2:14" x14ac:dyDescent="0.2">
      <c r="B416" s="6">
        <v>411</v>
      </c>
      <c r="C416" s="3" t="s">
        <v>1849</v>
      </c>
      <c r="D416" t="e">
        <f t="shared" si="6"/>
        <v>#VALUE!</v>
      </c>
      <c r="E416" s="3" t="s">
        <v>851</v>
      </c>
      <c r="F416" s="7" t="s">
        <v>1850</v>
      </c>
      <c r="G416" s="6">
        <v>805</v>
      </c>
      <c r="H416" s="6" t="s">
        <v>1159</v>
      </c>
      <c r="I416" s="6" t="s">
        <v>1159</v>
      </c>
      <c r="J416" s="4">
        <v>43404</v>
      </c>
      <c r="K416" s="8">
        <v>43404</v>
      </c>
      <c r="L416" s="1" t="e">
        <f>IF(MATCH(C416,Wiki!B:B,0)&lt;&gt;0,TRUE,FALSE)</f>
        <v>#N/A</v>
      </c>
      <c r="M416" s="1" t="e">
        <f>INDEX(Wiki!K:K,MATCH('BOM2017'!C416,Wiki!B:B,0))</f>
        <v>#N/A</v>
      </c>
      <c r="N416" s="1" t="e">
        <f>IFERROR(M416,INDEX(Wiki!K:K,MATCH('BOM2017'!D416,Wiki!B:B,0)))</f>
        <v>#VALUE!</v>
      </c>
    </row>
    <row r="417" spans="2:14" x14ac:dyDescent="0.2">
      <c r="B417" s="6">
        <v>412</v>
      </c>
      <c r="C417" s="3" t="s">
        <v>1851</v>
      </c>
      <c r="D417" t="e">
        <f t="shared" si="6"/>
        <v>#VALUE!</v>
      </c>
      <c r="E417" s="3" t="s">
        <v>1235</v>
      </c>
      <c r="F417" s="7" t="s">
        <v>1852</v>
      </c>
      <c r="G417" s="6">
        <v>8</v>
      </c>
      <c r="H417" s="6" t="s">
        <v>1853</v>
      </c>
      <c r="I417" s="6">
        <v>8</v>
      </c>
      <c r="J417" s="4">
        <v>43351</v>
      </c>
      <c r="K417" s="8">
        <v>43392</v>
      </c>
      <c r="L417" s="1" t="e">
        <f>IF(MATCH(C417,Wiki!B:B,0)&lt;&gt;0,TRUE,FALSE)</f>
        <v>#N/A</v>
      </c>
      <c r="M417" s="1" t="e">
        <f>INDEX(Wiki!K:K,MATCH('BOM2017'!C417,Wiki!B:B,0))</f>
        <v>#N/A</v>
      </c>
      <c r="N417" s="1" t="e">
        <f>IFERROR(M417,INDEX(Wiki!K:K,MATCH('BOM2017'!D417,Wiki!B:B,0)))</f>
        <v>#VALUE!</v>
      </c>
    </row>
    <row r="418" spans="2:14" x14ac:dyDescent="0.2">
      <c r="B418" s="6">
        <v>413</v>
      </c>
      <c r="C418" s="3" t="s">
        <v>1854</v>
      </c>
      <c r="D418" t="e">
        <f t="shared" si="6"/>
        <v>#VALUE!</v>
      </c>
      <c r="E418" s="3" t="s">
        <v>1332</v>
      </c>
      <c r="F418" s="7" t="s">
        <v>1855</v>
      </c>
      <c r="G418" s="6">
        <v>7</v>
      </c>
      <c r="H418" s="6" t="s">
        <v>1856</v>
      </c>
      <c r="I418" s="6">
        <v>2</v>
      </c>
      <c r="J418" s="4">
        <v>43218</v>
      </c>
      <c r="K418" s="8">
        <v>43266</v>
      </c>
      <c r="L418" s="1" t="e">
        <f>IF(MATCH(C418,Wiki!B:B,0)&lt;&gt;0,TRUE,FALSE)</f>
        <v>#N/A</v>
      </c>
      <c r="M418" s="1" t="e">
        <f>INDEX(Wiki!K:K,MATCH('BOM2017'!C418,Wiki!B:B,0))</f>
        <v>#N/A</v>
      </c>
      <c r="N418" s="1" t="e">
        <f>IFERROR(M418,INDEX(Wiki!K:K,MATCH('BOM2017'!D418,Wiki!B:B,0)))</f>
        <v>#VALUE!</v>
      </c>
    </row>
    <row r="419" spans="2:14" x14ac:dyDescent="0.2">
      <c r="B419" s="6">
        <v>414</v>
      </c>
      <c r="C419" s="3" t="s">
        <v>1857</v>
      </c>
      <c r="D419" t="e">
        <f t="shared" si="6"/>
        <v>#VALUE!</v>
      </c>
      <c r="E419" s="3" t="s">
        <v>1684</v>
      </c>
      <c r="F419" s="7" t="s">
        <v>1858</v>
      </c>
      <c r="G419" s="6">
        <v>32</v>
      </c>
      <c r="H419" s="6" t="s">
        <v>1859</v>
      </c>
      <c r="I419" s="6">
        <v>32</v>
      </c>
      <c r="J419" s="4">
        <v>43358</v>
      </c>
      <c r="K419" s="8">
        <v>43385</v>
      </c>
      <c r="L419" s="1" t="e">
        <f>IF(MATCH(C419,Wiki!B:B,0)&lt;&gt;0,TRUE,FALSE)</f>
        <v>#N/A</v>
      </c>
      <c r="M419" s="1" t="e">
        <f>INDEX(Wiki!K:K,MATCH('BOM2017'!C419,Wiki!B:B,0))</f>
        <v>#N/A</v>
      </c>
      <c r="N419" s="1" t="e">
        <f>IFERROR(M419,INDEX(Wiki!K:K,MATCH('BOM2017'!D419,Wiki!B:B,0)))</f>
        <v>#VALUE!</v>
      </c>
    </row>
    <row r="420" spans="2:14" x14ac:dyDescent="0.2">
      <c r="B420" s="6">
        <v>415</v>
      </c>
      <c r="C420" s="3" t="s">
        <v>1860</v>
      </c>
      <c r="D420" t="e">
        <f t="shared" si="6"/>
        <v>#VALUE!</v>
      </c>
      <c r="E420" s="3" t="s">
        <v>1095</v>
      </c>
      <c r="F420" s="7" t="s">
        <v>1861</v>
      </c>
      <c r="G420" s="6">
        <v>24</v>
      </c>
      <c r="H420" s="6" t="s">
        <v>1862</v>
      </c>
      <c r="I420" s="6">
        <v>1</v>
      </c>
      <c r="J420" s="4">
        <v>43379</v>
      </c>
      <c r="K420" s="8">
        <v>43427</v>
      </c>
      <c r="L420" s="1" t="e">
        <f>IF(MATCH(C420,Wiki!B:B,0)&lt;&gt;0,TRUE,FALSE)</f>
        <v>#N/A</v>
      </c>
      <c r="M420" s="1" t="e">
        <f>INDEX(Wiki!K:K,MATCH('BOM2017'!C420,Wiki!B:B,0))</f>
        <v>#N/A</v>
      </c>
      <c r="N420" s="1" t="e">
        <f>IFERROR(M420,INDEX(Wiki!K:K,MATCH('BOM2017'!D420,Wiki!B:B,0)))</f>
        <v>#VALUE!</v>
      </c>
    </row>
    <row r="421" spans="2:14" x14ac:dyDescent="0.2">
      <c r="B421" s="6">
        <v>416</v>
      </c>
      <c r="C421" s="3" t="s">
        <v>1863</v>
      </c>
      <c r="D421" t="str">
        <f t="shared" si="6"/>
        <v>Night of the Living Dead</v>
      </c>
      <c r="E421" s="3" t="s">
        <v>1576</v>
      </c>
      <c r="F421" s="7" t="s">
        <v>1864</v>
      </c>
      <c r="G421" s="6">
        <v>8</v>
      </c>
      <c r="H421" s="6" t="s">
        <v>1865</v>
      </c>
      <c r="I421" s="6">
        <v>1</v>
      </c>
      <c r="J421" s="4">
        <v>43386</v>
      </c>
      <c r="K421" s="8">
        <v>43413</v>
      </c>
      <c r="L421" s="1" t="e">
        <f>IF(MATCH(C421,Wiki!B:B,0)&lt;&gt;0,TRUE,FALSE)</f>
        <v>#N/A</v>
      </c>
      <c r="M421" s="1" t="e">
        <f>INDEX(Wiki!K:K,MATCH('BOM2017'!C421,Wiki!B:B,0))</f>
        <v>#N/A</v>
      </c>
      <c r="N421" s="1" t="e">
        <f>IFERROR(M421,INDEX(Wiki!K:K,MATCH('BOM2017'!D421,Wiki!B:B,0)))</f>
        <v>#N/A</v>
      </c>
    </row>
    <row r="422" spans="2:14" x14ac:dyDescent="0.2">
      <c r="B422" s="6">
        <v>417</v>
      </c>
      <c r="C422" s="3" t="s">
        <v>1866</v>
      </c>
      <c r="D422" t="e">
        <f t="shared" si="6"/>
        <v>#VALUE!</v>
      </c>
      <c r="E422" s="3" t="s">
        <v>1204</v>
      </c>
      <c r="F422" s="7" t="s">
        <v>1867</v>
      </c>
      <c r="G422" s="6">
        <v>32</v>
      </c>
      <c r="H422" s="6" t="s">
        <v>1868</v>
      </c>
      <c r="I422" s="6">
        <v>32</v>
      </c>
      <c r="J422" s="4">
        <v>43267</v>
      </c>
      <c r="K422" s="8">
        <v>43280</v>
      </c>
      <c r="L422" s="1" t="e">
        <f>IF(MATCH(C422,Wiki!B:B,0)&lt;&gt;0,TRUE,FALSE)</f>
        <v>#N/A</v>
      </c>
      <c r="M422" s="1" t="e">
        <f>INDEX(Wiki!K:K,MATCH('BOM2017'!C422,Wiki!B:B,0))</f>
        <v>#N/A</v>
      </c>
      <c r="N422" s="1" t="e">
        <f>IFERROR(M422,INDEX(Wiki!K:K,MATCH('BOM2017'!D422,Wiki!B:B,0)))</f>
        <v>#VALUE!</v>
      </c>
    </row>
    <row r="423" spans="2:14" x14ac:dyDescent="0.2">
      <c r="B423" s="6">
        <v>418</v>
      </c>
      <c r="C423" s="3" t="s">
        <v>1869</v>
      </c>
      <c r="D423" t="e">
        <f t="shared" si="6"/>
        <v>#VALUE!</v>
      </c>
      <c r="E423" s="3" t="s">
        <v>1612</v>
      </c>
      <c r="F423" s="7" t="s">
        <v>1870</v>
      </c>
      <c r="G423" s="6">
        <v>5</v>
      </c>
      <c r="H423" s="6" t="s">
        <v>1871</v>
      </c>
      <c r="I423" s="6">
        <v>1</v>
      </c>
      <c r="J423" s="4">
        <v>43134</v>
      </c>
      <c r="K423" s="8">
        <v>43178</v>
      </c>
      <c r="L423" s="1" t="e">
        <f>IF(MATCH(C423,Wiki!B:B,0)&lt;&gt;0,TRUE,FALSE)</f>
        <v>#N/A</v>
      </c>
      <c r="M423" s="1" t="e">
        <f>INDEX(Wiki!K:K,MATCH('BOM2017'!C423,Wiki!B:B,0))</f>
        <v>#N/A</v>
      </c>
      <c r="N423" s="1" t="e">
        <f>IFERROR(M423,INDEX(Wiki!K:K,MATCH('BOM2017'!D423,Wiki!B:B,0)))</f>
        <v>#VALUE!</v>
      </c>
    </row>
    <row r="424" spans="2:14" x14ac:dyDescent="0.2">
      <c r="B424" s="6">
        <v>419</v>
      </c>
      <c r="C424" s="3" t="s">
        <v>1872</v>
      </c>
      <c r="D424" t="e">
        <f t="shared" si="6"/>
        <v>#VALUE!</v>
      </c>
      <c r="E424" s="3" t="s">
        <v>1873</v>
      </c>
      <c r="F424" s="7" t="s">
        <v>1874</v>
      </c>
      <c r="G424" s="6">
        <v>70</v>
      </c>
      <c r="H424" s="6" t="s">
        <v>1875</v>
      </c>
      <c r="I424" s="6">
        <v>70</v>
      </c>
      <c r="J424" s="4">
        <v>43379</v>
      </c>
      <c r="K424" s="8">
        <v>43392</v>
      </c>
      <c r="L424" s="1" t="e">
        <f>IF(MATCH(C424,Wiki!B:B,0)&lt;&gt;0,TRUE,FALSE)</f>
        <v>#N/A</v>
      </c>
      <c r="M424" s="1" t="e">
        <f>INDEX(Wiki!K:K,MATCH('BOM2017'!C424,Wiki!B:B,0))</f>
        <v>#N/A</v>
      </c>
      <c r="N424" s="1" t="e">
        <f>IFERROR(M424,INDEX(Wiki!K:K,MATCH('BOM2017'!D424,Wiki!B:B,0)))</f>
        <v>#VALUE!</v>
      </c>
    </row>
    <row r="425" spans="2:14" x14ac:dyDescent="0.2">
      <c r="B425" s="6">
        <v>420</v>
      </c>
      <c r="C425" s="3" t="s">
        <v>1876</v>
      </c>
      <c r="D425" t="e">
        <f t="shared" si="6"/>
        <v>#VALUE!</v>
      </c>
      <c r="E425" s="3" t="s">
        <v>1804</v>
      </c>
      <c r="F425" s="7" t="s">
        <v>1877</v>
      </c>
      <c r="G425" s="6">
        <v>9</v>
      </c>
      <c r="H425" s="6" t="s">
        <v>1878</v>
      </c>
      <c r="I425" s="6">
        <v>2</v>
      </c>
      <c r="J425" s="4">
        <v>43323</v>
      </c>
      <c r="K425" s="8">
        <v>43413</v>
      </c>
      <c r="L425" s="1" t="e">
        <f>IF(MATCH(C425,Wiki!B:B,0)&lt;&gt;0,TRUE,FALSE)</f>
        <v>#N/A</v>
      </c>
      <c r="M425" s="1" t="e">
        <f>INDEX(Wiki!K:K,MATCH('BOM2017'!C425,Wiki!B:B,0))</f>
        <v>#N/A</v>
      </c>
      <c r="N425" s="1" t="e">
        <f>IFERROR(M425,INDEX(Wiki!K:K,MATCH('BOM2017'!D425,Wiki!B:B,0)))</f>
        <v>#VALUE!</v>
      </c>
    </row>
    <row r="426" spans="2:14" x14ac:dyDescent="0.2">
      <c r="B426" s="6">
        <v>421</v>
      </c>
      <c r="C426" s="3" t="s">
        <v>1879</v>
      </c>
      <c r="D426" t="e">
        <f t="shared" si="6"/>
        <v>#VALUE!</v>
      </c>
      <c r="E426" s="3" t="s">
        <v>1880</v>
      </c>
      <c r="F426" s="7" t="s">
        <v>1881</v>
      </c>
      <c r="G426" s="6">
        <v>4</v>
      </c>
      <c r="H426" s="6" t="s">
        <v>1882</v>
      </c>
      <c r="I426" s="6">
        <v>1</v>
      </c>
      <c r="J426" s="4">
        <v>43232</v>
      </c>
      <c r="K426" s="8">
        <v>43280</v>
      </c>
      <c r="L426" s="1" t="e">
        <f>IF(MATCH(C426,Wiki!B:B,0)&lt;&gt;0,TRUE,FALSE)</f>
        <v>#N/A</v>
      </c>
      <c r="M426" s="1" t="e">
        <f>INDEX(Wiki!K:K,MATCH('BOM2017'!C426,Wiki!B:B,0))</f>
        <v>#N/A</v>
      </c>
      <c r="N426" s="1" t="e">
        <f>IFERROR(M426,INDEX(Wiki!K:K,MATCH('BOM2017'!D426,Wiki!B:B,0)))</f>
        <v>#VALUE!</v>
      </c>
    </row>
    <row r="427" spans="2:14" x14ac:dyDescent="0.2">
      <c r="B427" s="6">
        <v>422</v>
      </c>
      <c r="C427" s="3" t="s">
        <v>1883</v>
      </c>
      <c r="D427" t="e">
        <f t="shared" si="6"/>
        <v>#VALUE!</v>
      </c>
      <c r="E427" s="3" t="s">
        <v>1640</v>
      </c>
      <c r="F427" s="7" t="s">
        <v>1884</v>
      </c>
      <c r="G427" s="6">
        <v>6</v>
      </c>
      <c r="H427" s="6" t="s">
        <v>1885</v>
      </c>
      <c r="I427" s="6">
        <v>2</v>
      </c>
      <c r="J427" s="4">
        <v>43218</v>
      </c>
      <c r="K427" s="6" t="s">
        <v>558</v>
      </c>
      <c r="L427" s="1" t="e">
        <f>IF(MATCH(C427,Wiki!B:B,0)&lt;&gt;0,TRUE,FALSE)</f>
        <v>#N/A</v>
      </c>
      <c r="M427" s="1" t="e">
        <f>INDEX(Wiki!K:K,MATCH('BOM2017'!C427,Wiki!B:B,0))</f>
        <v>#N/A</v>
      </c>
      <c r="N427" s="1" t="e">
        <f>IFERROR(M427,INDEX(Wiki!K:K,MATCH('BOM2017'!D427,Wiki!B:B,0)))</f>
        <v>#VALUE!</v>
      </c>
    </row>
    <row r="428" spans="2:14" x14ac:dyDescent="0.2">
      <c r="B428" s="6">
        <v>423</v>
      </c>
      <c r="C428" s="3" t="s">
        <v>1886</v>
      </c>
      <c r="D428" t="e">
        <f t="shared" si="6"/>
        <v>#VALUE!</v>
      </c>
      <c r="E428" s="3" t="s">
        <v>1532</v>
      </c>
      <c r="F428" s="7" t="s">
        <v>1887</v>
      </c>
      <c r="G428" s="6">
        <v>5</v>
      </c>
      <c r="H428" s="6" t="s">
        <v>1888</v>
      </c>
      <c r="I428" s="6">
        <v>1</v>
      </c>
      <c r="J428" s="4">
        <v>43279</v>
      </c>
      <c r="K428" s="8">
        <v>43399</v>
      </c>
      <c r="L428" s="1" t="e">
        <f>IF(MATCH(C428,Wiki!B:B,0)&lt;&gt;0,TRUE,FALSE)</f>
        <v>#N/A</v>
      </c>
      <c r="M428" s="1" t="e">
        <f>INDEX(Wiki!K:K,MATCH('BOM2017'!C428,Wiki!B:B,0))</f>
        <v>#N/A</v>
      </c>
      <c r="N428" s="1" t="e">
        <f>IFERROR(M428,INDEX(Wiki!K:K,MATCH('BOM2017'!D428,Wiki!B:B,0)))</f>
        <v>#VALUE!</v>
      </c>
    </row>
    <row r="429" spans="2:14" x14ac:dyDescent="0.2">
      <c r="B429" s="6">
        <v>424</v>
      </c>
      <c r="C429" s="3" t="s">
        <v>1889</v>
      </c>
      <c r="D429" t="e">
        <f t="shared" si="6"/>
        <v>#VALUE!</v>
      </c>
      <c r="E429" s="3" t="s">
        <v>1612</v>
      </c>
      <c r="F429" s="7" t="s">
        <v>1890</v>
      </c>
      <c r="G429" s="6">
        <v>43</v>
      </c>
      <c r="H429" s="6" t="s">
        <v>1891</v>
      </c>
      <c r="I429" s="6">
        <v>14</v>
      </c>
      <c r="J429" s="4">
        <v>43372</v>
      </c>
      <c r="K429" s="8">
        <v>43399</v>
      </c>
      <c r="L429" s="1" t="e">
        <f>IF(MATCH(C429,Wiki!B:B,0)&lt;&gt;0,TRUE,FALSE)</f>
        <v>#N/A</v>
      </c>
      <c r="M429" s="1" t="e">
        <f>INDEX(Wiki!K:K,MATCH('BOM2017'!C429,Wiki!B:B,0))</f>
        <v>#N/A</v>
      </c>
      <c r="N429" s="1" t="e">
        <f>IFERROR(M429,INDEX(Wiki!K:K,MATCH('BOM2017'!D429,Wiki!B:B,0)))</f>
        <v>#VALUE!</v>
      </c>
    </row>
    <row r="430" spans="2:14" x14ac:dyDescent="0.2">
      <c r="B430" s="6">
        <v>425</v>
      </c>
      <c r="C430" s="3" t="s">
        <v>1892</v>
      </c>
      <c r="D430" t="e">
        <f t="shared" si="6"/>
        <v>#VALUE!</v>
      </c>
      <c r="E430" s="3" t="s">
        <v>1235</v>
      </c>
      <c r="F430" s="7" t="s">
        <v>1893</v>
      </c>
      <c r="G430" s="6">
        <v>18</v>
      </c>
      <c r="H430" s="6" t="s">
        <v>1894</v>
      </c>
      <c r="I430" s="6">
        <v>1</v>
      </c>
      <c r="J430" s="4">
        <v>43218</v>
      </c>
      <c r="K430" s="8">
        <v>43294</v>
      </c>
      <c r="L430" s="1" t="e">
        <f>IF(MATCH(C430,Wiki!B:B,0)&lt;&gt;0,TRUE,FALSE)</f>
        <v>#N/A</v>
      </c>
      <c r="M430" s="1" t="e">
        <f>INDEX(Wiki!K:K,MATCH('BOM2017'!C430,Wiki!B:B,0))</f>
        <v>#N/A</v>
      </c>
      <c r="N430" s="1" t="e">
        <f>IFERROR(M430,INDEX(Wiki!K:K,MATCH('BOM2017'!D430,Wiki!B:B,0)))</f>
        <v>#VALUE!</v>
      </c>
    </row>
    <row r="431" spans="2:14" x14ac:dyDescent="0.2">
      <c r="B431" s="6">
        <v>426</v>
      </c>
      <c r="C431" s="3" t="s">
        <v>1895</v>
      </c>
      <c r="D431" t="e">
        <f t="shared" si="6"/>
        <v>#VALUE!</v>
      </c>
      <c r="E431" s="3" t="s">
        <v>1445</v>
      </c>
      <c r="F431" s="7" t="s">
        <v>1896</v>
      </c>
      <c r="G431" s="6">
        <v>9</v>
      </c>
      <c r="H431" s="6" t="s">
        <v>1897</v>
      </c>
      <c r="I431" s="6">
        <v>1</v>
      </c>
      <c r="J431" s="4">
        <v>43400</v>
      </c>
      <c r="K431" s="6" t="s">
        <v>558</v>
      </c>
      <c r="L431" s="1" t="e">
        <f>IF(MATCH(C431,Wiki!B:B,0)&lt;&gt;0,TRUE,FALSE)</f>
        <v>#N/A</v>
      </c>
      <c r="M431" s="1" t="e">
        <f>INDEX(Wiki!K:K,MATCH('BOM2017'!C431,Wiki!B:B,0))</f>
        <v>#N/A</v>
      </c>
      <c r="N431" s="1" t="e">
        <f>IFERROR(M431,INDEX(Wiki!K:K,MATCH('BOM2017'!D431,Wiki!B:B,0)))</f>
        <v>#VALUE!</v>
      </c>
    </row>
    <row r="432" spans="2:14" x14ac:dyDescent="0.2">
      <c r="B432" s="6">
        <v>427</v>
      </c>
      <c r="C432" s="3" t="s">
        <v>1898</v>
      </c>
      <c r="D432" t="e">
        <f t="shared" si="6"/>
        <v>#VALUE!</v>
      </c>
      <c r="E432" s="3" t="s">
        <v>1248</v>
      </c>
      <c r="F432" s="7" t="s">
        <v>1899</v>
      </c>
      <c r="G432" s="6">
        <v>3</v>
      </c>
      <c r="H432" s="6" t="s">
        <v>1900</v>
      </c>
      <c r="I432" s="6">
        <v>1</v>
      </c>
      <c r="J432" s="4">
        <v>43309</v>
      </c>
      <c r="K432" s="8">
        <v>43364</v>
      </c>
      <c r="L432" s="1" t="e">
        <f>IF(MATCH(C432,Wiki!B:B,0)&lt;&gt;0,TRUE,FALSE)</f>
        <v>#N/A</v>
      </c>
      <c r="M432" s="1" t="e">
        <f>INDEX(Wiki!K:K,MATCH('BOM2017'!C432,Wiki!B:B,0))</f>
        <v>#N/A</v>
      </c>
      <c r="N432" s="1" t="e">
        <f>IFERROR(M432,INDEX(Wiki!K:K,MATCH('BOM2017'!D432,Wiki!B:B,0)))</f>
        <v>#VALUE!</v>
      </c>
    </row>
    <row r="433" spans="2:14" x14ac:dyDescent="0.2">
      <c r="B433" s="6">
        <v>428</v>
      </c>
      <c r="C433" s="3" t="s">
        <v>213</v>
      </c>
      <c r="D433" t="str">
        <f t="shared" si="6"/>
        <v/>
      </c>
      <c r="E433" s="3" t="s">
        <v>1559</v>
      </c>
      <c r="F433" s="7" t="s">
        <v>1901</v>
      </c>
      <c r="G433" s="6">
        <v>25</v>
      </c>
      <c r="H433" s="6" t="s">
        <v>1902</v>
      </c>
      <c r="I433" s="6">
        <v>3</v>
      </c>
      <c r="J433" s="4">
        <v>43204</v>
      </c>
      <c r="K433" s="8">
        <v>43245</v>
      </c>
      <c r="L433" s="1" t="b">
        <f>IF(MATCH(C433,Wiki!B:B,0)&lt;&gt;0,TRUE,FALSE)</f>
        <v>1</v>
      </c>
      <c r="M433" s="1" t="str">
        <f>INDEX(Wiki!K:K,MATCH('BOM2017'!C433,Wiki!B:B,0))</f>
        <v>My_Entire_High_School_Sinking_Into_the_Sea</v>
      </c>
      <c r="N433" s="1" t="str">
        <f>IFERROR(M433,INDEX(Wiki!K:K,MATCH('BOM2017'!D433,Wiki!B:B,0)))</f>
        <v>My_Entire_High_School_Sinking_Into_the_Sea</v>
      </c>
    </row>
    <row r="434" spans="2:14" x14ac:dyDescent="0.2">
      <c r="B434" s="6">
        <v>429</v>
      </c>
      <c r="C434" s="3" t="s">
        <v>1903</v>
      </c>
      <c r="D434" t="e">
        <f t="shared" si="6"/>
        <v>#VALUE!</v>
      </c>
      <c r="E434" s="3" t="s">
        <v>1039</v>
      </c>
      <c r="F434" s="7" t="s">
        <v>1904</v>
      </c>
      <c r="G434" s="6">
        <v>11</v>
      </c>
      <c r="H434" s="6" t="s">
        <v>1905</v>
      </c>
      <c r="I434" s="6">
        <v>11</v>
      </c>
      <c r="J434" s="4">
        <v>43197</v>
      </c>
      <c r="K434" s="8">
        <v>43273</v>
      </c>
      <c r="L434" s="1" t="e">
        <f>IF(MATCH(C434,Wiki!B:B,0)&lt;&gt;0,TRUE,FALSE)</f>
        <v>#N/A</v>
      </c>
      <c r="M434" s="1" t="e">
        <f>INDEX(Wiki!K:K,MATCH('BOM2017'!C434,Wiki!B:B,0))</f>
        <v>#N/A</v>
      </c>
      <c r="N434" s="1" t="e">
        <f>IFERROR(M434,INDEX(Wiki!K:K,MATCH('BOM2017'!D434,Wiki!B:B,0)))</f>
        <v>#VALUE!</v>
      </c>
    </row>
    <row r="435" spans="2:14" x14ac:dyDescent="0.2">
      <c r="B435" s="6">
        <v>430</v>
      </c>
      <c r="C435" s="3" t="s">
        <v>1906</v>
      </c>
      <c r="D435" t="e">
        <f t="shared" si="6"/>
        <v>#VALUE!</v>
      </c>
      <c r="E435" s="3" t="s">
        <v>1640</v>
      </c>
      <c r="F435" s="7" t="s">
        <v>1907</v>
      </c>
      <c r="G435" s="6">
        <v>9</v>
      </c>
      <c r="H435" s="6" t="s">
        <v>1159</v>
      </c>
      <c r="I435" s="6" t="s">
        <v>1159</v>
      </c>
      <c r="J435" s="4">
        <v>43400</v>
      </c>
      <c r="K435" s="6" t="s">
        <v>558</v>
      </c>
      <c r="L435" s="1" t="e">
        <f>IF(MATCH(C435,Wiki!B:B,0)&lt;&gt;0,TRUE,FALSE)</f>
        <v>#N/A</v>
      </c>
      <c r="M435" s="1" t="e">
        <f>INDEX(Wiki!K:K,MATCH('BOM2017'!C435,Wiki!B:B,0))</f>
        <v>#N/A</v>
      </c>
      <c r="N435" s="1" t="e">
        <f>IFERROR(M435,INDEX(Wiki!K:K,MATCH('BOM2017'!D435,Wiki!B:B,0)))</f>
        <v>#VALUE!</v>
      </c>
    </row>
    <row r="436" spans="2:14" x14ac:dyDescent="0.2">
      <c r="B436" s="6">
        <v>431</v>
      </c>
      <c r="C436" s="3" t="s">
        <v>1908</v>
      </c>
      <c r="D436" t="e">
        <f t="shared" si="6"/>
        <v>#VALUE!</v>
      </c>
      <c r="E436" s="3" t="s">
        <v>1909</v>
      </c>
      <c r="F436" s="7" t="s">
        <v>1910</v>
      </c>
      <c r="G436" s="6">
        <v>11</v>
      </c>
      <c r="H436" s="6" t="s">
        <v>1911</v>
      </c>
      <c r="I436" s="6">
        <v>11</v>
      </c>
      <c r="J436" s="4">
        <v>43379</v>
      </c>
      <c r="K436" s="8">
        <v>43385</v>
      </c>
      <c r="L436" s="1" t="e">
        <f>IF(MATCH(C436,Wiki!B:B,0)&lt;&gt;0,TRUE,FALSE)</f>
        <v>#N/A</v>
      </c>
      <c r="M436" s="1" t="e">
        <f>INDEX(Wiki!K:K,MATCH('BOM2017'!C436,Wiki!B:B,0))</f>
        <v>#N/A</v>
      </c>
      <c r="N436" s="1" t="e">
        <f>IFERROR(M436,INDEX(Wiki!K:K,MATCH('BOM2017'!D436,Wiki!B:B,0)))</f>
        <v>#VALUE!</v>
      </c>
    </row>
    <row r="437" spans="2:14" x14ac:dyDescent="0.2">
      <c r="B437" s="6">
        <v>432</v>
      </c>
      <c r="C437" s="3" t="s">
        <v>1912</v>
      </c>
      <c r="D437" t="e">
        <f t="shared" si="6"/>
        <v>#VALUE!</v>
      </c>
      <c r="E437" s="3" t="s">
        <v>1572</v>
      </c>
      <c r="F437" s="7" t="s">
        <v>1913</v>
      </c>
      <c r="G437" s="6">
        <v>5</v>
      </c>
      <c r="H437" s="6" t="s">
        <v>1914</v>
      </c>
      <c r="I437" s="6">
        <v>5</v>
      </c>
      <c r="J437" s="4">
        <v>43342</v>
      </c>
      <c r="K437" s="8">
        <v>43441</v>
      </c>
      <c r="L437" s="1" t="e">
        <f>IF(MATCH(C437,Wiki!B:B,0)&lt;&gt;0,TRUE,FALSE)</f>
        <v>#N/A</v>
      </c>
      <c r="M437" s="1" t="e">
        <f>INDEX(Wiki!K:K,MATCH('BOM2017'!C437,Wiki!B:B,0))</f>
        <v>#N/A</v>
      </c>
      <c r="N437" s="1" t="e">
        <f>IFERROR(M437,INDEX(Wiki!K:K,MATCH('BOM2017'!D437,Wiki!B:B,0)))</f>
        <v>#VALUE!</v>
      </c>
    </row>
    <row r="438" spans="2:14" x14ac:dyDescent="0.2">
      <c r="B438" s="6">
        <v>433</v>
      </c>
      <c r="C438" s="3" t="s">
        <v>1915</v>
      </c>
      <c r="D438" t="e">
        <f t="shared" si="6"/>
        <v>#VALUE!</v>
      </c>
      <c r="E438" s="3" t="s">
        <v>1332</v>
      </c>
      <c r="F438" s="7" t="s">
        <v>1916</v>
      </c>
      <c r="G438" s="6">
        <v>2</v>
      </c>
      <c r="H438" s="6" t="s">
        <v>1159</v>
      </c>
      <c r="I438" s="6" t="s">
        <v>1159</v>
      </c>
      <c r="J438" s="4">
        <v>43365</v>
      </c>
      <c r="K438" s="8">
        <v>43392</v>
      </c>
      <c r="L438" s="1" t="e">
        <f>IF(MATCH(C438,Wiki!B:B,0)&lt;&gt;0,TRUE,FALSE)</f>
        <v>#N/A</v>
      </c>
      <c r="M438" s="1" t="e">
        <f>INDEX(Wiki!K:K,MATCH('BOM2017'!C438,Wiki!B:B,0))</f>
        <v>#N/A</v>
      </c>
      <c r="N438" s="1" t="e">
        <f>IFERROR(M438,INDEX(Wiki!K:K,MATCH('BOM2017'!D438,Wiki!B:B,0)))</f>
        <v>#VALUE!</v>
      </c>
    </row>
    <row r="439" spans="2:14" x14ac:dyDescent="0.2">
      <c r="B439" s="6">
        <v>434</v>
      </c>
      <c r="C439" s="3" t="s">
        <v>1917</v>
      </c>
      <c r="D439" t="e">
        <f t="shared" si="6"/>
        <v>#VALUE!</v>
      </c>
      <c r="E439" s="3" t="s">
        <v>1918</v>
      </c>
      <c r="F439" s="7" t="s">
        <v>1919</v>
      </c>
      <c r="G439" s="6">
        <v>20</v>
      </c>
      <c r="H439" s="6" t="s">
        <v>1920</v>
      </c>
      <c r="I439" s="6">
        <v>1</v>
      </c>
      <c r="J439" s="4">
        <v>43169</v>
      </c>
      <c r="K439" s="6" t="s">
        <v>558</v>
      </c>
      <c r="L439" s="1" t="e">
        <f>IF(MATCH(C439,Wiki!B:B,0)&lt;&gt;0,TRUE,FALSE)</f>
        <v>#N/A</v>
      </c>
      <c r="M439" s="1" t="e">
        <f>INDEX(Wiki!K:K,MATCH('BOM2017'!C439,Wiki!B:B,0))</f>
        <v>#N/A</v>
      </c>
      <c r="N439" s="1" t="e">
        <f>IFERROR(M439,INDEX(Wiki!K:K,MATCH('BOM2017'!D439,Wiki!B:B,0)))</f>
        <v>#VALUE!</v>
      </c>
    </row>
    <row r="440" spans="2:14" x14ac:dyDescent="0.2">
      <c r="B440" s="6">
        <v>435</v>
      </c>
      <c r="C440" s="3" t="s">
        <v>1921</v>
      </c>
      <c r="D440" t="e">
        <f t="shared" si="6"/>
        <v>#VALUE!</v>
      </c>
      <c r="E440" s="3" t="s">
        <v>1922</v>
      </c>
      <c r="F440" s="7" t="s">
        <v>1923</v>
      </c>
      <c r="G440" s="6">
        <v>42</v>
      </c>
      <c r="H440" s="6" t="s">
        <v>1159</v>
      </c>
      <c r="I440" s="6">
        <v>42</v>
      </c>
      <c r="J440" s="4">
        <v>43365</v>
      </c>
      <c r="K440" s="8">
        <v>43385</v>
      </c>
      <c r="L440" s="1" t="e">
        <f>IF(MATCH(C440,Wiki!B:B,0)&lt;&gt;0,TRUE,FALSE)</f>
        <v>#N/A</v>
      </c>
      <c r="M440" s="1" t="e">
        <f>INDEX(Wiki!K:K,MATCH('BOM2017'!C440,Wiki!B:B,0))</f>
        <v>#N/A</v>
      </c>
      <c r="N440" s="1" t="e">
        <f>IFERROR(M440,INDEX(Wiki!K:K,MATCH('BOM2017'!D440,Wiki!B:B,0)))</f>
        <v>#VALUE!</v>
      </c>
    </row>
    <row r="441" spans="2:14" x14ac:dyDescent="0.2">
      <c r="B441" s="6">
        <v>436</v>
      </c>
      <c r="C441" s="3" t="s">
        <v>1924</v>
      </c>
      <c r="D441" t="e">
        <f t="shared" si="6"/>
        <v>#VALUE!</v>
      </c>
      <c r="E441" s="3" t="s">
        <v>1244</v>
      </c>
      <c r="F441" s="7" t="s">
        <v>1925</v>
      </c>
      <c r="G441" s="6">
        <v>22</v>
      </c>
      <c r="H441" s="6" t="s">
        <v>1926</v>
      </c>
      <c r="I441" s="6">
        <v>2</v>
      </c>
      <c r="J441" s="4">
        <v>43393</v>
      </c>
      <c r="K441" s="8">
        <v>43451</v>
      </c>
      <c r="L441" s="1" t="e">
        <f>IF(MATCH(C441,Wiki!B:B,0)&lt;&gt;0,TRUE,FALSE)</f>
        <v>#N/A</v>
      </c>
      <c r="M441" s="1" t="e">
        <f>INDEX(Wiki!K:K,MATCH('BOM2017'!C441,Wiki!B:B,0))</f>
        <v>#N/A</v>
      </c>
      <c r="N441" s="1" t="e">
        <f>IFERROR(M441,INDEX(Wiki!K:K,MATCH('BOM2017'!D441,Wiki!B:B,0)))</f>
        <v>#VALUE!</v>
      </c>
    </row>
    <row r="442" spans="2:14" x14ac:dyDescent="0.2">
      <c r="B442" s="6">
        <v>437</v>
      </c>
      <c r="C442" s="3" t="s">
        <v>146</v>
      </c>
      <c r="D442" t="str">
        <f t="shared" si="6"/>
        <v/>
      </c>
      <c r="E442" s="3" t="s">
        <v>1095</v>
      </c>
      <c r="F442" s="7" t="s">
        <v>1927</v>
      </c>
      <c r="G442" s="6">
        <v>17</v>
      </c>
      <c r="H442" s="6" t="s">
        <v>1928</v>
      </c>
      <c r="I442" s="6">
        <v>2</v>
      </c>
      <c r="J442" s="4">
        <v>43162</v>
      </c>
      <c r="K442" s="8">
        <v>43238</v>
      </c>
      <c r="L442" s="1" t="b">
        <f>IF(MATCH(C442,Wiki!B:B,0)&lt;&gt;0,TRUE,FALSE)</f>
        <v>1</v>
      </c>
      <c r="M442" s="1" t="str">
        <f>INDEX(Wiki!K:K,MATCH('BOM2017'!C442,Wiki!B:B,0))</f>
        <v>Donald_Cried</v>
      </c>
      <c r="N442" s="1" t="str">
        <f>IFERROR(M442,INDEX(Wiki!K:K,MATCH('BOM2017'!D442,Wiki!B:B,0)))</f>
        <v>Donald_Cried</v>
      </c>
    </row>
    <row r="443" spans="2:14" x14ac:dyDescent="0.2">
      <c r="B443" s="6">
        <v>438</v>
      </c>
      <c r="C443" s="3" t="s">
        <v>1929</v>
      </c>
      <c r="D443" t="e">
        <f t="shared" si="6"/>
        <v>#VALUE!</v>
      </c>
      <c r="E443" s="3" t="s">
        <v>1930</v>
      </c>
      <c r="F443" s="7" t="s">
        <v>1931</v>
      </c>
      <c r="G443" s="6">
        <v>2</v>
      </c>
      <c r="H443" s="6" t="s">
        <v>1932</v>
      </c>
      <c r="I443" s="6">
        <v>1</v>
      </c>
      <c r="J443" s="4">
        <v>43113</v>
      </c>
      <c r="K443" s="8">
        <v>43147</v>
      </c>
      <c r="L443" s="1" t="e">
        <f>IF(MATCH(C443,Wiki!B:B,0)&lt;&gt;0,TRUE,FALSE)</f>
        <v>#N/A</v>
      </c>
      <c r="M443" s="1" t="e">
        <f>INDEX(Wiki!K:K,MATCH('BOM2017'!C443,Wiki!B:B,0))</f>
        <v>#N/A</v>
      </c>
      <c r="N443" s="1" t="e">
        <f>IFERROR(M443,INDEX(Wiki!K:K,MATCH('BOM2017'!D443,Wiki!B:B,0)))</f>
        <v>#VALUE!</v>
      </c>
    </row>
    <row r="444" spans="2:14" x14ac:dyDescent="0.2">
      <c r="B444" s="6">
        <v>439</v>
      </c>
      <c r="C444" s="3" t="s">
        <v>1933</v>
      </c>
      <c r="D444" t="e">
        <f t="shared" si="6"/>
        <v>#VALUE!</v>
      </c>
      <c r="E444" s="3" t="s">
        <v>1213</v>
      </c>
      <c r="F444" s="7" t="s">
        <v>1934</v>
      </c>
      <c r="G444" s="6">
        <v>11</v>
      </c>
      <c r="H444" s="6" t="s">
        <v>1935</v>
      </c>
      <c r="I444" s="6">
        <v>3</v>
      </c>
      <c r="J444" s="4">
        <v>43358</v>
      </c>
      <c r="K444" s="8">
        <v>43434</v>
      </c>
      <c r="L444" s="1" t="e">
        <f>IF(MATCH(C444,Wiki!B:B,0)&lt;&gt;0,TRUE,FALSE)</f>
        <v>#N/A</v>
      </c>
      <c r="M444" s="1" t="e">
        <f>INDEX(Wiki!K:K,MATCH('BOM2017'!C444,Wiki!B:B,0))</f>
        <v>#N/A</v>
      </c>
      <c r="N444" s="1" t="e">
        <f>IFERROR(M444,INDEX(Wiki!K:K,MATCH('BOM2017'!D444,Wiki!B:B,0)))</f>
        <v>#VALUE!</v>
      </c>
    </row>
    <row r="445" spans="2:14" x14ac:dyDescent="0.2">
      <c r="B445" s="6">
        <v>440</v>
      </c>
      <c r="C445" s="3" t="s">
        <v>1936</v>
      </c>
      <c r="D445" t="str">
        <f t="shared" si="6"/>
        <v>The Force</v>
      </c>
      <c r="E445" s="3" t="s">
        <v>1532</v>
      </c>
      <c r="F445" s="7" t="s">
        <v>1937</v>
      </c>
      <c r="G445" s="6">
        <v>5</v>
      </c>
      <c r="H445" s="6" t="s">
        <v>1159</v>
      </c>
      <c r="I445" s="6" t="s">
        <v>1159</v>
      </c>
      <c r="J445" s="4">
        <v>43295</v>
      </c>
      <c r="K445" s="8">
        <v>43420</v>
      </c>
      <c r="L445" s="1" t="e">
        <f>IF(MATCH(C445,Wiki!B:B,0)&lt;&gt;0,TRUE,FALSE)</f>
        <v>#N/A</v>
      </c>
      <c r="M445" s="1" t="e">
        <f>INDEX(Wiki!K:K,MATCH('BOM2017'!C445,Wiki!B:B,0))</f>
        <v>#N/A</v>
      </c>
      <c r="N445" s="1" t="e">
        <f>IFERROR(M445,INDEX(Wiki!K:K,MATCH('BOM2017'!D445,Wiki!B:B,0)))</f>
        <v>#N/A</v>
      </c>
    </row>
    <row r="446" spans="2:14" x14ac:dyDescent="0.2">
      <c r="B446" s="6">
        <v>441</v>
      </c>
      <c r="C446" s="3" t="s">
        <v>1938</v>
      </c>
      <c r="D446" t="e">
        <f t="shared" si="6"/>
        <v>#VALUE!</v>
      </c>
      <c r="E446" s="3" t="s">
        <v>1248</v>
      </c>
      <c r="F446" s="7" t="s">
        <v>1939</v>
      </c>
      <c r="G446" s="6">
        <v>5</v>
      </c>
      <c r="H446" s="6" t="s">
        <v>1940</v>
      </c>
      <c r="I446" s="6">
        <v>1</v>
      </c>
      <c r="J446" s="4">
        <v>43216</v>
      </c>
      <c r="K446" s="8">
        <v>43262</v>
      </c>
      <c r="L446" s="1" t="e">
        <f>IF(MATCH(C446,Wiki!B:B,0)&lt;&gt;0,TRUE,FALSE)</f>
        <v>#N/A</v>
      </c>
      <c r="M446" s="1" t="e">
        <f>INDEX(Wiki!K:K,MATCH('BOM2017'!C446,Wiki!B:B,0))</f>
        <v>#N/A</v>
      </c>
      <c r="N446" s="1" t="e">
        <f>IFERROR(M446,INDEX(Wiki!K:K,MATCH('BOM2017'!D446,Wiki!B:B,0)))</f>
        <v>#VALUE!</v>
      </c>
    </row>
    <row r="447" spans="2:14" x14ac:dyDescent="0.2">
      <c r="B447" s="6">
        <v>442</v>
      </c>
      <c r="C447" s="3" t="s">
        <v>1941</v>
      </c>
      <c r="D447" t="str">
        <f t="shared" si="6"/>
        <v>Il Boom</v>
      </c>
      <c r="E447" s="3" t="s">
        <v>1942</v>
      </c>
      <c r="F447" s="7" t="s">
        <v>1943</v>
      </c>
      <c r="G447" s="6">
        <v>2</v>
      </c>
      <c r="H447" s="6" t="s">
        <v>1944</v>
      </c>
      <c r="I447" s="6">
        <v>1</v>
      </c>
      <c r="J447" s="4">
        <v>43267</v>
      </c>
      <c r="K447" s="8">
        <v>43434</v>
      </c>
      <c r="L447" s="1" t="e">
        <f>IF(MATCH(C447,Wiki!B:B,0)&lt;&gt;0,TRUE,FALSE)</f>
        <v>#N/A</v>
      </c>
      <c r="M447" s="1" t="e">
        <f>INDEX(Wiki!K:K,MATCH('BOM2017'!C447,Wiki!B:B,0))</f>
        <v>#N/A</v>
      </c>
      <c r="N447" s="1" t="e">
        <f>IFERROR(M447,INDEX(Wiki!K:K,MATCH('BOM2017'!D447,Wiki!B:B,0)))</f>
        <v>#N/A</v>
      </c>
    </row>
    <row r="448" spans="2:14" x14ac:dyDescent="0.2">
      <c r="B448" s="6">
        <v>443</v>
      </c>
      <c r="C448" s="3" t="s">
        <v>1945</v>
      </c>
      <c r="D448" t="e">
        <f t="shared" si="6"/>
        <v>#VALUE!</v>
      </c>
      <c r="E448" s="3" t="s">
        <v>1572</v>
      </c>
      <c r="F448" s="7" t="s">
        <v>1946</v>
      </c>
      <c r="G448" s="6">
        <v>9</v>
      </c>
      <c r="H448" s="6" t="s">
        <v>1947</v>
      </c>
      <c r="I448" s="6">
        <v>4</v>
      </c>
      <c r="J448" s="4">
        <v>43391</v>
      </c>
      <c r="K448" s="6" t="s">
        <v>558</v>
      </c>
      <c r="L448" s="1" t="e">
        <f>IF(MATCH(C448,Wiki!B:B,0)&lt;&gt;0,TRUE,FALSE)</f>
        <v>#N/A</v>
      </c>
      <c r="M448" s="1" t="e">
        <f>INDEX(Wiki!K:K,MATCH('BOM2017'!C448,Wiki!B:B,0))</f>
        <v>#N/A</v>
      </c>
      <c r="N448" s="1" t="e">
        <f>IFERROR(M448,INDEX(Wiki!K:K,MATCH('BOM2017'!D448,Wiki!B:B,0)))</f>
        <v>#VALUE!</v>
      </c>
    </row>
    <row r="449" spans="2:14" x14ac:dyDescent="0.2">
      <c r="B449" s="6">
        <v>444</v>
      </c>
      <c r="C449" s="3" t="s">
        <v>1948</v>
      </c>
      <c r="D449" t="e">
        <f t="shared" si="6"/>
        <v>#VALUE!</v>
      </c>
      <c r="E449" s="3" t="s">
        <v>1949</v>
      </c>
      <c r="F449" s="7" t="s">
        <v>1950</v>
      </c>
      <c r="G449" s="6">
        <v>20</v>
      </c>
      <c r="H449" s="6" t="s">
        <v>1951</v>
      </c>
      <c r="I449" s="6">
        <v>20</v>
      </c>
      <c r="J449" s="4">
        <v>43197</v>
      </c>
      <c r="K449" s="8">
        <v>43210</v>
      </c>
      <c r="L449" s="1" t="e">
        <f>IF(MATCH(C449,Wiki!B:B,0)&lt;&gt;0,TRUE,FALSE)</f>
        <v>#N/A</v>
      </c>
      <c r="M449" s="1" t="e">
        <f>INDEX(Wiki!K:K,MATCH('BOM2017'!C449,Wiki!B:B,0))</f>
        <v>#N/A</v>
      </c>
      <c r="N449" s="1" t="e">
        <f>IFERROR(M449,INDEX(Wiki!K:K,MATCH('BOM2017'!D449,Wiki!B:B,0)))</f>
        <v>#VALUE!</v>
      </c>
    </row>
    <row r="450" spans="2:14" x14ac:dyDescent="0.2">
      <c r="B450" s="6">
        <v>445</v>
      </c>
      <c r="C450" s="3" t="s">
        <v>1952</v>
      </c>
      <c r="D450" t="e">
        <f t="shared" si="6"/>
        <v>#VALUE!</v>
      </c>
      <c r="E450" s="3" t="s">
        <v>1235</v>
      </c>
      <c r="F450" s="7" t="s">
        <v>1953</v>
      </c>
      <c r="G450" s="6">
        <v>27</v>
      </c>
      <c r="H450" s="6" t="s">
        <v>1954</v>
      </c>
      <c r="I450" s="6">
        <v>27</v>
      </c>
      <c r="J450" s="4">
        <v>43253</v>
      </c>
      <c r="K450" s="8">
        <v>43280</v>
      </c>
      <c r="L450" s="1" t="e">
        <f>IF(MATCH(C450,Wiki!B:B,0)&lt;&gt;0,TRUE,FALSE)</f>
        <v>#N/A</v>
      </c>
      <c r="M450" s="1" t="e">
        <f>INDEX(Wiki!K:K,MATCH('BOM2017'!C450,Wiki!B:B,0))</f>
        <v>#N/A</v>
      </c>
      <c r="N450" s="1" t="e">
        <f>IFERROR(M450,INDEX(Wiki!K:K,MATCH('BOM2017'!D450,Wiki!B:B,0)))</f>
        <v>#VALUE!</v>
      </c>
    </row>
    <row r="451" spans="2:14" x14ac:dyDescent="0.2">
      <c r="B451" s="6">
        <v>446</v>
      </c>
      <c r="C451" s="3" t="s">
        <v>1955</v>
      </c>
      <c r="D451" t="e">
        <f t="shared" si="6"/>
        <v>#VALUE!</v>
      </c>
      <c r="E451" s="3" t="s">
        <v>1175</v>
      </c>
      <c r="F451" s="7" t="s">
        <v>1956</v>
      </c>
      <c r="G451" s="6">
        <v>4</v>
      </c>
      <c r="H451" s="6" t="s">
        <v>1957</v>
      </c>
      <c r="I451" s="6">
        <v>3</v>
      </c>
      <c r="J451" s="4">
        <v>43274</v>
      </c>
      <c r="K451" s="8">
        <v>43328</v>
      </c>
      <c r="L451" s="1" t="e">
        <f>IF(MATCH(C451,Wiki!B:B,0)&lt;&gt;0,TRUE,FALSE)</f>
        <v>#N/A</v>
      </c>
      <c r="M451" s="1" t="e">
        <f>INDEX(Wiki!K:K,MATCH('BOM2017'!C451,Wiki!B:B,0))</f>
        <v>#N/A</v>
      </c>
      <c r="N451" s="1" t="e">
        <f>IFERROR(M451,INDEX(Wiki!K:K,MATCH('BOM2017'!D451,Wiki!B:B,0)))</f>
        <v>#VALUE!</v>
      </c>
    </row>
    <row r="452" spans="2:14" x14ac:dyDescent="0.2">
      <c r="B452" s="6">
        <v>447</v>
      </c>
      <c r="C452" s="3" t="s">
        <v>1958</v>
      </c>
      <c r="D452" t="e">
        <f t="shared" si="6"/>
        <v>#VALUE!</v>
      </c>
      <c r="E452" s="3" t="s">
        <v>1210</v>
      </c>
      <c r="F452" s="7" t="s">
        <v>1959</v>
      </c>
      <c r="G452" s="6">
        <v>15</v>
      </c>
      <c r="H452" s="6" t="s">
        <v>1960</v>
      </c>
      <c r="I452" s="6">
        <v>15</v>
      </c>
      <c r="J452" s="4">
        <v>43253</v>
      </c>
      <c r="K452" s="8">
        <v>43269</v>
      </c>
      <c r="L452" s="1" t="e">
        <f>IF(MATCH(C452,Wiki!B:B,0)&lt;&gt;0,TRUE,FALSE)</f>
        <v>#N/A</v>
      </c>
      <c r="M452" s="1" t="e">
        <f>INDEX(Wiki!K:K,MATCH('BOM2017'!C452,Wiki!B:B,0))</f>
        <v>#N/A</v>
      </c>
      <c r="N452" s="1" t="e">
        <f>IFERROR(M452,INDEX(Wiki!K:K,MATCH('BOM2017'!D452,Wiki!B:B,0)))</f>
        <v>#VALUE!</v>
      </c>
    </row>
    <row r="453" spans="2:14" x14ac:dyDescent="0.2">
      <c r="B453" s="6">
        <v>448</v>
      </c>
      <c r="C453" s="3" t="s">
        <v>1961</v>
      </c>
      <c r="D453" t="e">
        <f t="shared" si="6"/>
        <v>#VALUE!</v>
      </c>
      <c r="E453" s="3" t="s">
        <v>1962</v>
      </c>
      <c r="F453" s="7" t="s">
        <v>1963</v>
      </c>
      <c r="G453" s="6">
        <v>17</v>
      </c>
      <c r="H453" s="6" t="s">
        <v>1964</v>
      </c>
      <c r="I453" s="6">
        <v>1</v>
      </c>
      <c r="J453" s="4">
        <v>43176</v>
      </c>
      <c r="K453" s="6" t="s">
        <v>558</v>
      </c>
      <c r="L453" s="1" t="e">
        <f>IF(MATCH(C453,Wiki!B:B,0)&lt;&gt;0,TRUE,FALSE)</f>
        <v>#N/A</v>
      </c>
      <c r="M453" s="1" t="e">
        <f>INDEX(Wiki!K:K,MATCH('BOM2017'!C453,Wiki!B:B,0))</f>
        <v>#N/A</v>
      </c>
      <c r="N453" s="1" t="e">
        <f>IFERROR(M453,INDEX(Wiki!K:K,MATCH('BOM2017'!D453,Wiki!B:B,0)))</f>
        <v>#VALUE!</v>
      </c>
    </row>
    <row r="454" spans="2:14" x14ac:dyDescent="0.2">
      <c r="B454" s="6">
        <v>449</v>
      </c>
      <c r="C454" s="3" t="s">
        <v>1965</v>
      </c>
      <c r="D454" t="e">
        <f t="shared" ref="D454:D517" si="7">IF(ISERROR(M454),TRIM(LEFT(C454,FIND("(",C454)-1)),"")</f>
        <v>#VALUE!</v>
      </c>
      <c r="E454" s="3" t="s">
        <v>1804</v>
      </c>
      <c r="F454" s="7" t="s">
        <v>1966</v>
      </c>
      <c r="G454" s="6">
        <v>6</v>
      </c>
      <c r="H454" s="6" t="s">
        <v>1967</v>
      </c>
      <c r="I454" s="6">
        <v>2</v>
      </c>
      <c r="J454" s="4">
        <v>43274</v>
      </c>
      <c r="K454" s="8">
        <v>43357</v>
      </c>
      <c r="L454" s="1" t="e">
        <f>IF(MATCH(C454,Wiki!B:B,0)&lt;&gt;0,TRUE,FALSE)</f>
        <v>#N/A</v>
      </c>
      <c r="M454" s="1" t="e">
        <f>INDEX(Wiki!K:K,MATCH('BOM2017'!C454,Wiki!B:B,0))</f>
        <v>#N/A</v>
      </c>
      <c r="N454" s="1" t="e">
        <f>IFERROR(M454,INDEX(Wiki!K:K,MATCH('BOM2017'!D454,Wiki!B:B,0)))</f>
        <v>#VALUE!</v>
      </c>
    </row>
    <row r="455" spans="2:14" x14ac:dyDescent="0.2">
      <c r="B455" s="6">
        <v>450</v>
      </c>
      <c r="C455" s="3" t="s">
        <v>1968</v>
      </c>
      <c r="D455" t="e">
        <f t="shared" si="7"/>
        <v>#VALUE!</v>
      </c>
      <c r="E455" s="3" t="s">
        <v>1532</v>
      </c>
      <c r="F455" s="7" t="s">
        <v>1969</v>
      </c>
      <c r="G455" s="6">
        <v>3</v>
      </c>
      <c r="H455" s="6" t="s">
        <v>1970</v>
      </c>
      <c r="I455" s="6">
        <v>1</v>
      </c>
      <c r="J455" s="4">
        <v>43148</v>
      </c>
      <c r="K455" s="8">
        <v>43224</v>
      </c>
      <c r="L455" s="1" t="e">
        <f>IF(MATCH(C455,Wiki!B:B,0)&lt;&gt;0,TRUE,FALSE)</f>
        <v>#N/A</v>
      </c>
      <c r="M455" s="1" t="e">
        <f>INDEX(Wiki!K:K,MATCH('BOM2017'!C455,Wiki!B:B,0))</f>
        <v>#N/A</v>
      </c>
      <c r="N455" s="1" t="e">
        <f>IFERROR(M455,INDEX(Wiki!K:K,MATCH('BOM2017'!D455,Wiki!B:B,0)))</f>
        <v>#VALUE!</v>
      </c>
    </row>
    <row r="456" spans="2:14" x14ac:dyDescent="0.2">
      <c r="B456" s="6">
        <v>451</v>
      </c>
      <c r="C456" s="3" t="s">
        <v>1971</v>
      </c>
      <c r="D456" t="e">
        <f t="shared" si="7"/>
        <v>#VALUE!</v>
      </c>
      <c r="E456" s="3" t="s">
        <v>1039</v>
      </c>
      <c r="F456" s="7" t="s">
        <v>1972</v>
      </c>
      <c r="G456" s="6">
        <v>13</v>
      </c>
      <c r="H456" s="6" t="s">
        <v>1973</v>
      </c>
      <c r="I456" s="6">
        <v>3</v>
      </c>
      <c r="J456" s="4">
        <v>43309</v>
      </c>
      <c r="K456" s="8">
        <v>43357</v>
      </c>
      <c r="L456" s="1" t="e">
        <f>IF(MATCH(C456,Wiki!B:B,0)&lt;&gt;0,TRUE,FALSE)</f>
        <v>#N/A</v>
      </c>
      <c r="M456" s="1" t="e">
        <f>INDEX(Wiki!K:K,MATCH('BOM2017'!C456,Wiki!B:B,0))</f>
        <v>#N/A</v>
      </c>
      <c r="N456" s="1" t="e">
        <f>IFERROR(M456,INDEX(Wiki!K:K,MATCH('BOM2017'!D456,Wiki!B:B,0)))</f>
        <v>#VALUE!</v>
      </c>
    </row>
    <row r="457" spans="2:14" x14ac:dyDescent="0.2">
      <c r="B457" s="6">
        <v>452</v>
      </c>
      <c r="C457" s="3" t="s">
        <v>400</v>
      </c>
      <c r="D457" t="str">
        <f t="shared" si="7"/>
        <v/>
      </c>
      <c r="E457" s="3" t="s">
        <v>1559</v>
      </c>
      <c r="F457" s="7" t="s">
        <v>1974</v>
      </c>
      <c r="G457" s="6">
        <v>22</v>
      </c>
      <c r="H457" s="6" t="s">
        <v>1975</v>
      </c>
      <c r="I457" s="6">
        <v>14</v>
      </c>
      <c r="J457" s="4">
        <v>43351</v>
      </c>
      <c r="K457" s="8">
        <v>43378</v>
      </c>
      <c r="L457" s="1" t="b">
        <f>IF(MATCH(C457,Wiki!B:B,0)&lt;&gt;0,TRUE,FALSE)</f>
        <v>1</v>
      </c>
      <c r="M457" s="1" t="str">
        <f>INDEX(Wiki!K:K,MATCH('BOM2017'!C457,Wiki!B:B,0))</f>
        <v>Napping_Princess</v>
      </c>
      <c r="N457" s="1" t="str">
        <f>IFERROR(M457,INDEX(Wiki!K:K,MATCH('BOM2017'!D457,Wiki!B:B,0)))</f>
        <v>Napping_Princess</v>
      </c>
    </row>
    <row r="458" spans="2:14" x14ac:dyDescent="0.2">
      <c r="B458" s="6">
        <v>453</v>
      </c>
      <c r="C458" s="3" t="s">
        <v>1976</v>
      </c>
      <c r="D458" t="e">
        <f t="shared" si="7"/>
        <v>#VALUE!</v>
      </c>
      <c r="E458" s="3" t="s">
        <v>1977</v>
      </c>
      <c r="F458" s="7" t="s">
        <v>1978</v>
      </c>
      <c r="G458" s="6">
        <v>6</v>
      </c>
      <c r="H458" s="6" t="s">
        <v>1979</v>
      </c>
      <c r="I458" s="6">
        <v>1</v>
      </c>
      <c r="J458" s="4">
        <v>43113</v>
      </c>
      <c r="K458" s="8">
        <v>43220</v>
      </c>
      <c r="L458" s="1" t="e">
        <f>IF(MATCH(C458,Wiki!B:B,0)&lt;&gt;0,TRUE,FALSE)</f>
        <v>#N/A</v>
      </c>
      <c r="M458" s="1" t="e">
        <f>INDEX(Wiki!K:K,MATCH('BOM2017'!C458,Wiki!B:B,0))</f>
        <v>#N/A</v>
      </c>
      <c r="N458" s="1" t="e">
        <f>IFERROR(M458,INDEX(Wiki!K:K,MATCH('BOM2017'!D458,Wiki!B:B,0)))</f>
        <v>#VALUE!</v>
      </c>
    </row>
    <row r="459" spans="2:14" x14ac:dyDescent="0.2">
      <c r="B459" s="6">
        <v>454</v>
      </c>
      <c r="C459" s="3" t="s">
        <v>1980</v>
      </c>
      <c r="D459" t="str">
        <f t="shared" si="7"/>
        <v>Quest</v>
      </c>
      <c r="E459" s="3" t="s">
        <v>1880</v>
      </c>
      <c r="F459" s="7" t="s">
        <v>1981</v>
      </c>
      <c r="G459" s="6">
        <v>3</v>
      </c>
      <c r="H459" s="6" t="s">
        <v>1982</v>
      </c>
      <c r="I459" s="6">
        <v>1</v>
      </c>
      <c r="J459" s="4">
        <v>43435</v>
      </c>
      <c r="K459" s="6" t="s">
        <v>558</v>
      </c>
      <c r="L459" s="1" t="e">
        <f>IF(MATCH(C459,Wiki!B:B,0)&lt;&gt;0,TRUE,FALSE)</f>
        <v>#N/A</v>
      </c>
      <c r="M459" s="1" t="e">
        <f>INDEX(Wiki!K:K,MATCH('BOM2017'!C459,Wiki!B:B,0))</f>
        <v>#N/A</v>
      </c>
      <c r="N459" s="1" t="e">
        <f>IFERROR(M459,INDEX(Wiki!K:K,MATCH('BOM2017'!D459,Wiki!B:B,0)))</f>
        <v>#N/A</v>
      </c>
    </row>
    <row r="460" spans="2:14" x14ac:dyDescent="0.2">
      <c r="B460" s="6">
        <v>455</v>
      </c>
      <c r="C460" s="3" t="s">
        <v>1983</v>
      </c>
      <c r="D460" t="e">
        <f t="shared" si="7"/>
        <v>#VALUE!</v>
      </c>
      <c r="E460" s="3" t="s">
        <v>1294</v>
      </c>
      <c r="F460" s="7" t="s">
        <v>1984</v>
      </c>
      <c r="G460" s="6">
        <v>10</v>
      </c>
      <c r="H460" s="6" t="s">
        <v>1985</v>
      </c>
      <c r="I460" s="6">
        <v>2</v>
      </c>
      <c r="J460" s="4">
        <v>43309</v>
      </c>
      <c r="K460" s="8">
        <v>43343</v>
      </c>
      <c r="L460" s="1" t="e">
        <f>IF(MATCH(C460,Wiki!B:B,0)&lt;&gt;0,TRUE,FALSE)</f>
        <v>#N/A</v>
      </c>
      <c r="M460" s="1" t="e">
        <f>INDEX(Wiki!K:K,MATCH('BOM2017'!C460,Wiki!B:B,0))</f>
        <v>#N/A</v>
      </c>
      <c r="N460" s="1" t="e">
        <f>IFERROR(M460,INDEX(Wiki!K:K,MATCH('BOM2017'!D460,Wiki!B:B,0)))</f>
        <v>#VALUE!</v>
      </c>
    </row>
    <row r="461" spans="2:14" x14ac:dyDescent="0.2">
      <c r="B461" s="6">
        <v>456</v>
      </c>
      <c r="C461" s="3" t="s">
        <v>1986</v>
      </c>
      <c r="D461" t="e">
        <f t="shared" si="7"/>
        <v>#VALUE!</v>
      </c>
      <c r="E461" s="3" t="s">
        <v>1055</v>
      </c>
      <c r="F461" s="7" t="s">
        <v>1987</v>
      </c>
      <c r="G461" s="6">
        <v>22</v>
      </c>
      <c r="H461" s="6" t="s">
        <v>1988</v>
      </c>
      <c r="I461" s="6">
        <v>2</v>
      </c>
      <c r="J461" s="4">
        <v>43379</v>
      </c>
      <c r="K461" s="8">
        <v>43413</v>
      </c>
      <c r="L461" s="1" t="e">
        <f>IF(MATCH(C461,Wiki!B:B,0)&lt;&gt;0,TRUE,FALSE)</f>
        <v>#N/A</v>
      </c>
      <c r="M461" s="1" t="e">
        <f>INDEX(Wiki!K:K,MATCH('BOM2017'!C461,Wiki!B:B,0))</f>
        <v>#N/A</v>
      </c>
      <c r="N461" s="1" t="e">
        <f>IFERROR(M461,INDEX(Wiki!K:K,MATCH('BOM2017'!D461,Wiki!B:B,0)))</f>
        <v>#VALUE!</v>
      </c>
    </row>
    <row r="462" spans="2:14" x14ac:dyDescent="0.2">
      <c r="B462" s="6">
        <v>457</v>
      </c>
      <c r="C462" s="3" t="s">
        <v>1989</v>
      </c>
      <c r="D462" t="e">
        <f t="shared" si="7"/>
        <v>#VALUE!</v>
      </c>
      <c r="E462" s="3" t="s">
        <v>1210</v>
      </c>
      <c r="F462" s="7" t="s">
        <v>1990</v>
      </c>
      <c r="G462" s="6">
        <v>11</v>
      </c>
      <c r="H462" s="6" t="s">
        <v>1991</v>
      </c>
      <c r="I462" s="6">
        <v>11</v>
      </c>
      <c r="J462" s="4">
        <v>43351</v>
      </c>
      <c r="K462" s="8">
        <v>43367</v>
      </c>
      <c r="L462" s="1" t="e">
        <f>IF(MATCH(C462,Wiki!B:B,0)&lt;&gt;0,TRUE,FALSE)</f>
        <v>#N/A</v>
      </c>
      <c r="M462" s="1" t="e">
        <f>INDEX(Wiki!K:K,MATCH('BOM2017'!C462,Wiki!B:B,0))</f>
        <v>#N/A</v>
      </c>
      <c r="N462" s="1" t="e">
        <f>IFERROR(M462,INDEX(Wiki!K:K,MATCH('BOM2017'!D462,Wiki!B:B,0)))</f>
        <v>#VALUE!</v>
      </c>
    </row>
    <row r="463" spans="2:14" x14ac:dyDescent="0.2">
      <c r="B463" s="6">
        <v>458</v>
      </c>
      <c r="C463" s="3" t="s">
        <v>1992</v>
      </c>
      <c r="D463" t="str">
        <f t="shared" si="7"/>
        <v>Panique</v>
      </c>
      <c r="E463" s="3" t="s">
        <v>1942</v>
      </c>
      <c r="F463" s="7" t="s">
        <v>1993</v>
      </c>
      <c r="G463" s="6">
        <v>3</v>
      </c>
      <c r="H463" s="6" t="s">
        <v>1994</v>
      </c>
      <c r="I463" s="6">
        <v>1</v>
      </c>
      <c r="J463" s="4">
        <v>43120</v>
      </c>
      <c r="K463" s="6" t="s">
        <v>558</v>
      </c>
      <c r="L463" s="1" t="e">
        <f>IF(MATCH(C463,Wiki!B:B,0)&lt;&gt;0,TRUE,FALSE)</f>
        <v>#N/A</v>
      </c>
      <c r="M463" s="1" t="e">
        <f>INDEX(Wiki!K:K,MATCH('BOM2017'!C463,Wiki!B:B,0))</f>
        <v>#N/A</v>
      </c>
      <c r="N463" s="1" t="e">
        <f>IFERROR(M463,INDEX(Wiki!K:K,MATCH('BOM2017'!D463,Wiki!B:B,0)))</f>
        <v>#N/A</v>
      </c>
    </row>
    <row r="464" spans="2:14" x14ac:dyDescent="0.2">
      <c r="B464" s="6">
        <v>459</v>
      </c>
      <c r="C464" s="3" t="s">
        <v>1995</v>
      </c>
      <c r="D464" t="str">
        <f t="shared" si="7"/>
        <v>Maurice</v>
      </c>
      <c r="E464" s="3" t="s">
        <v>1175</v>
      </c>
      <c r="F464" s="7" t="s">
        <v>1996</v>
      </c>
      <c r="G464" s="6">
        <v>4</v>
      </c>
      <c r="H464" s="6" t="s">
        <v>1997</v>
      </c>
      <c r="I464" s="6">
        <v>1</v>
      </c>
      <c r="J464" s="4">
        <v>43239</v>
      </c>
      <c r="K464" s="8">
        <v>43283</v>
      </c>
      <c r="L464" s="1" t="e">
        <f>IF(MATCH(C464,Wiki!B:B,0)&lt;&gt;0,TRUE,FALSE)</f>
        <v>#N/A</v>
      </c>
      <c r="M464" s="1" t="e">
        <f>INDEX(Wiki!K:K,MATCH('BOM2017'!C464,Wiki!B:B,0))</f>
        <v>#N/A</v>
      </c>
      <c r="N464" s="1" t="e">
        <f>IFERROR(M464,INDEX(Wiki!K:K,MATCH('BOM2017'!D464,Wiki!B:B,0)))</f>
        <v>#N/A</v>
      </c>
    </row>
    <row r="465" spans="2:14" x14ac:dyDescent="0.2">
      <c r="B465" s="6">
        <v>460</v>
      </c>
      <c r="C465" s="3" t="s">
        <v>1998</v>
      </c>
      <c r="D465" t="str">
        <f t="shared" si="7"/>
        <v>Leon Morin, Priest</v>
      </c>
      <c r="E465" s="3" t="s">
        <v>1942</v>
      </c>
      <c r="F465" s="7" t="s">
        <v>1999</v>
      </c>
      <c r="G465" s="6">
        <v>2</v>
      </c>
      <c r="H465" s="6" t="s">
        <v>2000</v>
      </c>
      <c r="I465" s="6">
        <v>1</v>
      </c>
      <c r="J465" s="4">
        <v>43232</v>
      </c>
      <c r="K465" s="8">
        <v>43388</v>
      </c>
      <c r="L465" s="1" t="e">
        <f>IF(MATCH(C465,Wiki!B:B,0)&lt;&gt;0,TRUE,FALSE)</f>
        <v>#N/A</v>
      </c>
      <c r="M465" s="1" t="e">
        <f>INDEX(Wiki!K:K,MATCH('BOM2017'!C465,Wiki!B:B,0))</f>
        <v>#N/A</v>
      </c>
      <c r="N465" s="1" t="e">
        <f>IFERROR(M465,INDEX(Wiki!K:K,MATCH('BOM2017'!D465,Wiki!B:B,0)))</f>
        <v>#N/A</v>
      </c>
    </row>
    <row r="466" spans="2:14" x14ac:dyDescent="0.2">
      <c r="B466" s="6">
        <v>461</v>
      </c>
      <c r="C466" s="3" t="s">
        <v>2001</v>
      </c>
      <c r="D466" t="e">
        <f t="shared" si="7"/>
        <v>#VALUE!</v>
      </c>
      <c r="E466" s="3" t="s">
        <v>1422</v>
      </c>
      <c r="F466" s="7" t="s">
        <v>2002</v>
      </c>
      <c r="G466" s="6">
        <v>6</v>
      </c>
      <c r="H466" s="6" t="s">
        <v>1159</v>
      </c>
      <c r="I466" s="6" t="s">
        <v>1159</v>
      </c>
      <c r="J466" s="4">
        <v>43365</v>
      </c>
      <c r="K466" s="6" t="s">
        <v>558</v>
      </c>
      <c r="L466" s="1" t="e">
        <f>IF(MATCH(C466,Wiki!B:B,0)&lt;&gt;0,TRUE,FALSE)</f>
        <v>#N/A</v>
      </c>
      <c r="M466" s="1" t="e">
        <f>INDEX(Wiki!K:K,MATCH('BOM2017'!C466,Wiki!B:B,0))</f>
        <v>#N/A</v>
      </c>
      <c r="N466" s="1" t="e">
        <f>IFERROR(M466,INDEX(Wiki!K:K,MATCH('BOM2017'!D466,Wiki!B:B,0)))</f>
        <v>#VALUE!</v>
      </c>
    </row>
    <row r="467" spans="2:14" x14ac:dyDescent="0.2">
      <c r="B467" s="6">
        <v>462</v>
      </c>
      <c r="C467" s="3" t="s">
        <v>2003</v>
      </c>
      <c r="D467" t="e">
        <f t="shared" si="7"/>
        <v>#VALUE!</v>
      </c>
      <c r="E467" s="3" t="s">
        <v>1532</v>
      </c>
      <c r="F467" s="7" t="s">
        <v>2004</v>
      </c>
      <c r="G467" s="6">
        <v>4</v>
      </c>
      <c r="H467" s="6" t="s">
        <v>2005</v>
      </c>
      <c r="I467" s="6">
        <v>2</v>
      </c>
      <c r="J467" s="4">
        <v>43246</v>
      </c>
      <c r="K467" s="8">
        <v>43406</v>
      </c>
      <c r="L467" s="1" t="e">
        <f>IF(MATCH(C467,Wiki!B:B,0)&lt;&gt;0,TRUE,FALSE)</f>
        <v>#N/A</v>
      </c>
      <c r="M467" s="1" t="e">
        <f>INDEX(Wiki!K:K,MATCH('BOM2017'!C467,Wiki!B:B,0))</f>
        <v>#N/A</v>
      </c>
      <c r="N467" s="1" t="e">
        <f>IFERROR(M467,INDEX(Wiki!K:K,MATCH('BOM2017'!D467,Wiki!B:B,0)))</f>
        <v>#VALUE!</v>
      </c>
    </row>
    <row r="468" spans="2:14" x14ac:dyDescent="0.2">
      <c r="B468" s="6">
        <v>463</v>
      </c>
      <c r="C468" s="3" t="s">
        <v>2006</v>
      </c>
      <c r="D468" t="e">
        <f t="shared" si="7"/>
        <v>#VALUE!</v>
      </c>
      <c r="E468" s="3" t="s">
        <v>1235</v>
      </c>
      <c r="F468" s="7" t="s">
        <v>2007</v>
      </c>
      <c r="G468" s="6">
        <v>14</v>
      </c>
      <c r="H468" s="6" t="s">
        <v>2008</v>
      </c>
      <c r="I468" s="6">
        <v>14</v>
      </c>
      <c r="J468" s="4">
        <v>43176</v>
      </c>
      <c r="K468" s="8">
        <v>43189</v>
      </c>
      <c r="L468" s="1" t="e">
        <f>IF(MATCH(C468,Wiki!B:B,0)&lt;&gt;0,TRUE,FALSE)</f>
        <v>#N/A</v>
      </c>
      <c r="M468" s="1" t="e">
        <f>INDEX(Wiki!K:K,MATCH('BOM2017'!C468,Wiki!B:B,0))</f>
        <v>#N/A</v>
      </c>
      <c r="N468" s="1" t="e">
        <f>IFERROR(M468,INDEX(Wiki!K:K,MATCH('BOM2017'!D468,Wiki!B:B,0)))</f>
        <v>#VALUE!</v>
      </c>
    </row>
    <row r="469" spans="2:14" x14ac:dyDescent="0.2">
      <c r="B469" s="6">
        <v>464</v>
      </c>
      <c r="C469" s="3" t="s">
        <v>2009</v>
      </c>
      <c r="D469" t="e">
        <f t="shared" si="7"/>
        <v>#VALUE!</v>
      </c>
      <c r="E469" s="3" t="s">
        <v>2010</v>
      </c>
      <c r="F469" s="7" t="s">
        <v>2011</v>
      </c>
      <c r="G469" s="6">
        <v>6</v>
      </c>
      <c r="H469" s="6" t="s">
        <v>2012</v>
      </c>
      <c r="I469" s="6">
        <v>1</v>
      </c>
      <c r="J469" s="4">
        <v>43190</v>
      </c>
      <c r="K469" s="8">
        <v>43294</v>
      </c>
      <c r="L469" s="1" t="e">
        <f>IF(MATCH(C469,Wiki!B:B,0)&lt;&gt;0,TRUE,FALSE)</f>
        <v>#N/A</v>
      </c>
      <c r="M469" s="1" t="e">
        <f>INDEX(Wiki!K:K,MATCH('BOM2017'!C469,Wiki!B:B,0))</f>
        <v>#N/A</v>
      </c>
      <c r="N469" s="1" t="e">
        <f>IFERROR(M469,INDEX(Wiki!K:K,MATCH('BOM2017'!D469,Wiki!B:B,0)))</f>
        <v>#VALUE!</v>
      </c>
    </row>
    <row r="470" spans="2:14" x14ac:dyDescent="0.2">
      <c r="B470" s="6">
        <v>465</v>
      </c>
      <c r="C470" s="3" t="s">
        <v>429</v>
      </c>
      <c r="D470" t="str">
        <f t="shared" si="7"/>
        <v/>
      </c>
      <c r="E470" s="3" t="s">
        <v>38</v>
      </c>
      <c r="F470" s="7" t="s">
        <v>2013</v>
      </c>
      <c r="G470" s="6">
        <v>39</v>
      </c>
      <c r="H470" s="6" t="s">
        <v>2014</v>
      </c>
      <c r="I470" s="6">
        <v>3</v>
      </c>
      <c r="J470" s="4">
        <v>43365</v>
      </c>
      <c r="K470" s="8">
        <v>43385</v>
      </c>
      <c r="L470" s="1" t="b">
        <f>IF(MATCH(C470,Wiki!B:B,0)&lt;&gt;0,TRUE,FALSE)</f>
        <v>1</v>
      </c>
      <c r="M470" s="1" t="str">
        <f>INDEX(Wiki!K:K,MATCH('BOM2017'!C470,Wiki!B:B,0))</f>
        <v>Woodshock</v>
      </c>
      <c r="N470" s="1" t="str">
        <f>IFERROR(M470,INDEX(Wiki!K:K,MATCH('BOM2017'!D470,Wiki!B:B,0)))</f>
        <v>Woodshock</v>
      </c>
    </row>
    <row r="471" spans="2:14" x14ac:dyDescent="0.2">
      <c r="B471" s="6">
        <v>466</v>
      </c>
      <c r="C471" s="3" t="s">
        <v>2015</v>
      </c>
      <c r="D471" t="e">
        <f t="shared" si="7"/>
        <v>#VALUE!</v>
      </c>
      <c r="E471" s="3" t="s">
        <v>1142</v>
      </c>
      <c r="F471" s="7" t="s">
        <v>2016</v>
      </c>
      <c r="G471" s="6">
        <v>16</v>
      </c>
      <c r="H471" s="6" t="s">
        <v>2017</v>
      </c>
      <c r="I471" s="6">
        <v>3</v>
      </c>
      <c r="J471" s="4">
        <v>43218</v>
      </c>
      <c r="K471" s="8">
        <v>43280</v>
      </c>
      <c r="L471" s="1" t="e">
        <f>IF(MATCH(C471,Wiki!B:B,0)&lt;&gt;0,TRUE,FALSE)</f>
        <v>#N/A</v>
      </c>
      <c r="M471" s="1" t="e">
        <f>INDEX(Wiki!K:K,MATCH('BOM2017'!C471,Wiki!B:B,0))</f>
        <v>#N/A</v>
      </c>
      <c r="N471" s="1" t="e">
        <f>IFERROR(M471,INDEX(Wiki!K:K,MATCH('BOM2017'!D471,Wiki!B:B,0)))</f>
        <v>#VALUE!</v>
      </c>
    </row>
    <row r="472" spans="2:14" x14ac:dyDescent="0.2">
      <c r="B472" s="6">
        <v>467</v>
      </c>
      <c r="C472" s="3" t="s">
        <v>2018</v>
      </c>
      <c r="D472" t="str">
        <f t="shared" si="7"/>
        <v>The Settlers</v>
      </c>
      <c r="E472" s="3" t="s">
        <v>1746</v>
      </c>
      <c r="F472" s="7" t="s">
        <v>2019</v>
      </c>
      <c r="G472" s="6">
        <v>6</v>
      </c>
      <c r="H472" s="6" t="s">
        <v>1159</v>
      </c>
      <c r="I472" s="6" t="s">
        <v>1159</v>
      </c>
      <c r="J472" s="4">
        <v>43162</v>
      </c>
      <c r="K472" s="6" t="s">
        <v>558</v>
      </c>
      <c r="L472" s="1" t="e">
        <f>IF(MATCH(C472,Wiki!B:B,0)&lt;&gt;0,TRUE,FALSE)</f>
        <v>#N/A</v>
      </c>
      <c r="M472" s="1" t="e">
        <f>INDEX(Wiki!K:K,MATCH('BOM2017'!C472,Wiki!B:B,0))</f>
        <v>#N/A</v>
      </c>
      <c r="N472" s="1" t="e">
        <f>IFERROR(M472,INDEX(Wiki!K:K,MATCH('BOM2017'!D472,Wiki!B:B,0)))</f>
        <v>#N/A</v>
      </c>
    </row>
    <row r="473" spans="2:14" x14ac:dyDescent="0.2">
      <c r="B473" s="6">
        <v>468</v>
      </c>
      <c r="C473" s="3" t="s">
        <v>2020</v>
      </c>
      <c r="D473" t="str">
        <f t="shared" si="7"/>
        <v>The Sacrifice</v>
      </c>
      <c r="E473" s="3" t="s">
        <v>1532</v>
      </c>
      <c r="F473" s="7" t="s">
        <v>2021</v>
      </c>
      <c r="G473" s="6">
        <v>4</v>
      </c>
      <c r="H473" s="6" t="s">
        <v>2022</v>
      </c>
      <c r="I473" s="6">
        <v>1</v>
      </c>
      <c r="J473" s="4">
        <v>43393</v>
      </c>
      <c r="K473" s="6" t="s">
        <v>558</v>
      </c>
      <c r="L473" s="1" t="e">
        <f>IF(MATCH(C473,Wiki!B:B,0)&lt;&gt;0,TRUE,FALSE)</f>
        <v>#N/A</v>
      </c>
      <c r="M473" s="1" t="e">
        <f>INDEX(Wiki!K:K,MATCH('BOM2017'!C473,Wiki!B:B,0))</f>
        <v>#N/A</v>
      </c>
      <c r="N473" s="1" t="e">
        <f>IFERROR(M473,INDEX(Wiki!K:K,MATCH('BOM2017'!D473,Wiki!B:B,0)))</f>
        <v>#N/A</v>
      </c>
    </row>
    <row r="474" spans="2:14" x14ac:dyDescent="0.2">
      <c r="B474" s="6">
        <v>469</v>
      </c>
      <c r="C474" s="3" t="s">
        <v>2023</v>
      </c>
      <c r="D474" t="e">
        <f t="shared" si="7"/>
        <v>#VALUE!</v>
      </c>
      <c r="E474" s="3" t="s">
        <v>2024</v>
      </c>
      <c r="F474" s="7" t="s">
        <v>2025</v>
      </c>
      <c r="G474" s="6">
        <v>4</v>
      </c>
      <c r="H474" s="6" t="s">
        <v>1159</v>
      </c>
      <c r="I474" s="6" t="s">
        <v>1159</v>
      </c>
      <c r="J474" s="4">
        <v>43188</v>
      </c>
      <c r="K474" s="8">
        <v>43224</v>
      </c>
      <c r="L474" s="1" t="e">
        <f>IF(MATCH(C474,Wiki!B:B,0)&lt;&gt;0,TRUE,FALSE)</f>
        <v>#N/A</v>
      </c>
      <c r="M474" s="1" t="e">
        <f>INDEX(Wiki!K:K,MATCH('BOM2017'!C474,Wiki!B:B,0))</f>
        <v>#N/A</v>
      </c>
      <c r="N474" s="1" t="e">
        <f>IFERROR(M474,INDEX(Wiki!K:K,MATCH('BOM2017'!D474,Wiki!B:B,0)))</f>
        <v>#VALUE!</v>
      </c>
    </row>
    <row r="475" spans="2:14" x14ac:dyDescent="0.2">
      <c r="B475" s="6">
        <v>470</v>
      </c>
      <c r="C475" s="3" t="s">
        <v>2026</v>
      </c>
      <c r="D475" t="e">
        <f t="shared" si="7"/>
        <v>#VALUE!</v>
      </c>
      <c r="E475" s="3" t="s">
        <v>1345</v>
      </c>
      <c r="F475" s="7" t="s">
        <v>2027</v>
      </c>
      <c r="G475" s="6">
        <v>8</v>
      </c>
      <c r="H475" s="6" t="s">
        <v>2028</v>
      </c>
      <c r="I475" s="6">
        <v>1</v>
      </c>
      <c r="J475" s="4">
        <v>43365</v>
      </c>
      <c r="K475" s="8">
        <v>43385</v>
      </c>
      <c r="L475" s="1" t="e">
        <f>IF(MATCH(C475,Wiki!B:B,0)&lt;&gt;0,TRUE,FALSE)</f>
        <v>#N/A</v>
      </c>
      <c r="M475" s="1" t="e">
        <f>INDEX(Wiki!K:K,MATCH('BOM2017'!C475,Wiki!B:B,0))</f>
        <v>#N/A</v>
      </c>
      <c r="N475" s="1" t="e">
        <f>IFERROR(M475,INDEX(Wiki!K:K,MATCH('BOM2017'!D475,Wiki!B:B,0)))</f>
        <v>#VALUE!</v>
      </c>
    </row>
    <row r="476" spans="2:14" x14ac:dyDescent="0.2">
      <c r="B476" s="6">
        <v>471</v>
      </c>
      <c r="C476" s="3" t="s">
        <v>2029</v>
      </c>
      <c r="D476" t="e">
        <f t="shared" si="7"/>
        <v>#VALUE!</v>
      </c>
      <c r="E476" s="3" t="s">
        <v>1039</v>
      </c>
      <c r="F476" s="7" t="s">
        <v>2030</v>
      </c>
      <c r="G476" s="6">
        <v>13</v>
      </c>
      <c r="H476" s="6" t="s">
        <v>2031</v>
      </c>
      <c r="I476" s="6">
        <v>7</v>
      </c>
      <c r="J476" s="4">
        <v>43239</v>
      </c>
      <c r="K476" s="8">
        <v>43280</v>
      </c>
      <c r="L476" s="1" t="e">
        <f>IF(MATCH(C476,Wiki!B:B,0)&lt;&gt;0,TRUE,FALSE)</f>
        <v>#N/A</v>
      </c>
      <c r="M476" s="1" t="e">
        <f>INDEX(Wiki!K:K,MATCH('BOM2017'!C476,Wiki!B:B,0))</f>
        <v>#N/A</v>
      </c>
      <c r="N476" s="1" t="e">
        <f>IFERROR(M476,INDEX(Wiki!K:K,MATCH('BOM2017'!D476,Wiki!B:B,0)))</f>
        <v>#VALUE!</v>
      </c>
    </row>
    <row r="477" spans="2:14" x14ac:dyDescent="0.2">
      <c r="B477" s="6">
        <v>472</v>
      </c>
      <c r="C477" s="3" t="s">
        <v>2032</v>
      </c>
      <c r="D477" t="e">
        <f t="shared" si="7"/>
        <v>#VALUE!</v>
      </c>
      <c r="E477" s="3" t="s">
        <v>1572</v>
      </c>
      <c r="F477" s="7" t="s">
        <v>2033</v>
      </c>
      <c r="G477" s="6">
        <v>5</v>
      </c>
      <c r="H477" s="6" t="s">
        <v>2034</v>
      </c>
      <c r="I477" s="6">
        <v>4</v>
      </c>
      <c r="J477" s="4">
        <v>43293</v>
      </c>
      <c r="K477" s="8">
        <v>43371</v>
      </c>
      <c r="L477" s="1" t="e">
        <f>IF(MATCH(C477,Wiki!B:B,0)&lt;&gt;0,TRUE,FALSE)</f>
        <v>#N/A</v>
      </c>
      <c r="M477" s="1" t="e">
        <f>INDEX(Wiki!K:K,MATCH('BOM2017'!C477,Wiki!B:B,0))</f>
        <v>#N/A</v>
      </c>
      <c r="N477" s="1" t="e">
        <f>IFERROR(M477,INDEX(Wiki!K:K,MATCH('BOM2017'!D477,Wiki!B:B,0)))</f>
        <v>#VALUE!</v>
      </c>
    </row>
    <row r="478" spans="2:14" x14ac:dyDescent="0.2">
      <c r="B478" s="6">
        <v>473</v>
      </c>
      <c r="C478" s="3" t="s">
        <v>2035</v>
      </c>
      <c r="D478" t="e">
        <f t="shared" si="7"/>
        <v>#VALUE!</v>
      </c>
      <c r="E478" s="3" t="s">
        <v>1294</v>
      </c>
      <c r="F478" s="7" t="s">
        <v>2036</v>
      </c>
      <c r="G478" s="6">
        <v>22</v>
      </c>
      <c r="H478" s="6" t="s">
        <v>2037</v>
      </c>
      <c r="I478" s="6">
        <v>1</v>
      </c>
      <c r="J478" s="4">
        <v>43386</v>
      </c>
      <c r="K478" s="8">
        <v>43420</v>
      </c>
      <c r="L478" s="1" t="e">
        <f>IF(MATCH(C478,Wiki!B:B,0)&lt;&gt;0,TRUE,FALSE)</f>
        <v>#N/A</v>
      </c>
      <c r="M478" s="1" t="e">
        <f>INDEX(Wiki!K:K,MATCH('BOM2017'!C478,Wiki!B:B,0))</f>
        <v>#N/A</v>
      </c>
      <c r="N478" s="1" t="e">
        <f>IFERROR(M478,INDEX(Wiki!K:K,MATCH('BOM2017'!D478,Wiki!B:B,0)))</f>
        <v>#VALUE!</v>
      </c>
    </row>
    <row r="479" spans="2:14" x14ac:dyDescent="0.2">
      <c r="B479" s="6">
        <v>474</v>
      </c>
      <c r="C479" s="3" t="s">
        <v>2038</v>
      </c>
      <c r="D479" t="e">
        <f t="shared" si="7"/>
        <v>#VALUE!</v>
      </c>
      <c r="E479" s="3" t="s">
        <v>1532</v>
      </c>
      <c r="F479" s="7" t="s">
        <v>2039</v>
      </c>
      <c r="G479" s="6">
        <v>4</v>
      </c>
      <c r="H479" s="6" t="s">
        <v>2040</v>
      </c>
      <c r="I479" s="6">
        <v>2</v>
      </c>
      <c r="J479" s="4">
        <v>43225</v>
      </c>
      <c r="K479" s="8">
        <v>43315</v>
      </c>
      <c r="L479" s="1" t="e">
        <f>IF(MATCH(C479,Wiki!B:B,0)&lt;&gt;0,TRUE,FALSE)</f>
        <v>#N/A</v>
      </c>
      <c r="M479" s="1" t="e">
        <f>INDEX(Wiki!K:K,MATCH('BOM2017'!C479,Wiki!B:B,0))</f>
        <v>#N/A</v>
      </c>
      <c r="N479" s="1" t="e">
        <f>IFERROR(M479,INDEX(Wiki!K:K,MATCH('BOM2017'!D479,Wiki!B:B,0)))</f>
        <v>#VALUE!</v>
      </c>
    </row>
    <row r="480" spans="2:14" x14ac:dyDescent="0.2">
      <c r="B480" s="6">
        <v>475</v>
      </c>
      <c r="C480" s="3" t="s">
        <v>2041</v>
      </c>
      <c r="D480" t="e">
        <f t="shared" si="7"/>
        <v>#VALUE!</v>
      </c>
      <c r="E480" s="3" t="s">
        <v>1039</v>
      </c>
      <c r="F480" s="7" t="s">
        <v>2042</v>
      </c>
      <c r="G480" s="6">
        <v>13</v>
      </c>
      <c r="H480" s="6" t="s">
        <v>2043</v>
      </c>
      <c r="I480" s="6">
        <v>1</v>
      </c>
      <c r="J480" s="4">
        <v>43351</v>
      </c>
      <c r="K480" s="8">
        <v>43399</v>
      </c>
      <c r="L480" s="1" t="e">
        <f>IF(MATCH(C480,Wiki!B:B,0)&lt;&gt;0,TRUE,FALSE)</f>
        <v>#N/A</v>
      </c>
      <c r="M480" s="1" t="e">
        <f>INDEX(Wiki!K:K,MATCH('BOM2017'!C480,Wiki!B:B,0))</f>
        <v>#N/A</v>
      </c>
      <c r="N480" s="1" t="e">
        <f>IFERROR(M480,INDEX(Wiki!K:K,MATCH('BOM2017'!D480,Wiki!B:B,0)))</f>
        <v>#VALUE!</v>
      </c>
    </row>
    <row r="481" spans="2:14" x14ac:dyDescent="0.2">
      <c r="B481" s="6">
        <v>476</v>
      </c>
      <c r="C481" s="3" t="s">
        <v>2044</v>
      </c>
      <c r="D481" t="e">
        <f t="shared" si="7"/>
        <v>#VALUE!</v>
      </c>
      <c r="E481" s="3" t="s">
        <v>1332</v>
      </c>
      <c r="F481" s="7" t="s">
        <v>2045</v>
      </c>
      <c r="G481" s="6">
        <v>2</v>
      </c>
      <c r="H481" s="6" t="s">
        <v>1159</v>
      </c>
      <c r="I481" s="6">
        <v>2</v>
      </c>
      <c r="J481" s="4">
        <v>43414</v>
      </c>
      <c r="K481" s="8">
        <v>43441</v>
      </c>
      <c r="L481" s="1" t="e">
        <f>IF(MATCH(C481,Wiki!B:B,0)&lt;&gt;0,TRUE,FALSE)</f>
        <v>#N/A</v>
      </c>
      <c r="M481" s="1" t="e">
        <f>INDEX(Wiki!K:K,MATCH('BOM2017'!C481,Wiki!B:B,0))</f>
        <v>#N/A</v>
      </c>
      <c r="N481" s="1" t="e">
        <f>IFERROR(M481,INDEX(Wiki!K:K,MATCH('BOM2017'!D481,Wiki!B:B,0)))</f>
        <v>#VALUE!</v>
      </c>
    </row>
    <row r="482" spans="2:14" x14ac:dyDescent="0.2">
      <c r="B482" s="6">
        <v>477</v>
      </c>
      <c r="C482" s="3" t="s">
        <v>89</v>
      </c>
      <c r="D482" t="str">
        <f t="shared" si="7"/>
        <v/>
      </c>
      <c r="E482" s="3" t="s">
        <v>1055</v>
      </c>
      <c r="F482" s="7" t="s">
        <v>2046</v>
      </c>
      <c r="G482" s="6">
        <v>12</v>
      </c>
      <c r="H482" s="6" t="s">
        <v>2047</v>
      </c>
      <c r="I482" s="6">
        <v>5</v>
      </c>
      <c r="J482" s="4">
        <v>43134</v>
      </c>
      <c r="K482" s="8">
        <v>43147</v>
      </c>
      <c r="L482" s="1" t="b">
        <f>IF(MATCH(C482,Wiki!B:B,0)&lt;&gt;0,TRUE,FALSE)</f>
        <v>1</v>
      </c>
      <c r="M482" s="1" t="str">
        <f>INDEX(Wiki!K:K,MATCH('BOM2017'!C482,Wiki!B:B,0))</f>
        <v>Growing_Up_Smith</v>
      </c>
      <c r="N482" s="1" t="str">
        <f>IFERROR(M482,INDEX(Wiki!K:K,MATCH('BOM2017'!D482,Wiki!B:B,0)))</f>
        <v>Growing_Up_Smith</v>
      </c>
    </row>
    <row r="483" spans="2:14" x14ac:dyDescent="0.2">
      <c r="B483" s="6">
        <v>478</v>
      </c>
      <c r="C483" s="3" t="s">
        <v>2048</v>
      </c>
      <c r="D483" t="e">
        <f t="shared" si="7"/>
        <v>#VALUE!</v>
      </c>
      <c r="E483" s="3" t="s">
        <v>2010</v>
      </c>
      <c r="F483" s="7" t="s">
        <v>2049</v>
      </c>
      <c r="G483" s="6">
        <v>4</v>
      </c>
      <c r="H483" s="6" t="s">
        <v>2050</v>
      </c>
      <c r="I483" s="6">
        <v>2</v>
      </c>
      <c r="J483" s="4">
        <v>43358</v>
      </c>
      <c r="K483" s="6" t="s">
        <v>558</v>
      </c>
      <c r="L483" s="1" t="e">
        <f>IF(MATCH(C483,Wiki!B:B,0)&lt;&gt;0,TRUE,FALSE)</f>
        <v>#N/A</v>
      </c>
      <c r="M483" s="1" t="e">
        <f>INDEX(Wiki!K:K,MATCH('BOM2017'!C483,Wiki!B:B,0))</f>
        <v>#N/A</v>
      </c>
      <c r="N483" s="1" t="e">
        <f>IFERROR(M483,INDEX(Wiki!K:K,MATCH('BOM2017'!D483,Wiki!B:B,0)))</f>
        <v>#VALUE!</v>
      </c>
    </row>
    <row r="484" spans="2:14" x14ac:dyDescent="0.2">
      <c r="B484" s="6">
        <v>479</v>
      </c>
      <c r="C484" s="3" t="s">
        <v>54</v>
      </c>
      <c r="D484" t="str">
        <f t="shared" si="7"/>
        <v/>
      </c>
      <c r="E484" s="3" t="s">
        <v>2051</v>
      </c>
      <c r="F484" s="7" t="s">
        <v>2052</v>
      </c>
      <c r="G484" s="6">
        <v>8</v>
      </c>
      <c r="H484" s="6" t="s">
        <v>1159</v>
      </c>
      <c r="I484" s="6" t="s">
        <v>1159</v>
      </c>
      <c r="J484" s="4">
        <v>43120</v>
      </c>
      <c r="K484" s="8">
        <v>43210</v>
      </c>
      <c r="L484" s="1" t="b">
        <f>IF(MATCH(C484,Wiki!B:B,0)&lt;&gt;0,TRUE,FALSE)</f>
        <v>1</v>
      </c>
      <c r="M484" s="1" t="str">
        <f>INDEX(Wiki!K:K,MATCH('BOM2017'!C484,Wiki!B:B,0))</f>
        <v>Sophie_and_the_Rising_Sun_(film)</v>
      </c>
      <c r="N484" s="1" t="str">
        <f>IFERROR(M484,INDEX(Wiki!K:K,MATCH('BOM2017'!D484,Wiki!B:B,0)))</f>
        <v>Sophie_and_the_Rising_Sun_(film)</v>
      </c>
    </row>
    <row r="485" spans="2:14" x14ac:dyDescent="0.2">
      <c r="B485" s="6">
        <v>480</v>
      </c>
      <c r="C485" s="3" t="s">
        <v>2053</v>
      </c>
      <c r="D485" t="str">
        <f t="shared" si="7"/>
        <v>Le Trou</v>
      </c>
      <c r="E485" s="3" t="s">
        <v>1942</v>
      </c>
      <c r="F485" s="7" t="s">
        <v>2054</v>
      </c>
      <c r="G485" s="6">
        <v>3</v>
      </c>
      <c r="H485" s="6" t="s">
        <v>2055</v>
      </c>
      <c r="I485" s="6">
        <v>1</v>
      </c>
      <c r="J485" s="4">
        <v>43279</v>
      </c>
      <c r="K485" s="8">
        <v>43371</v>
      </c>
      <c r="L485" s="1" t="e">
        <f>IF(MATCH(C485,Wiki!B:B,0)&lt;&gt;0,TRUE,FALSE)</f>
        <v>#N/A</v>
      </c>
      <c r="M485" s="1" t="e">
        <f>INDEX(Wiki!K:K,MATCH('BOM2017'!C485,Wiki!B:B,0))</f>
        <v>#N/A</v>
      </c>
      <c r="N485" s="1" t="e">
        <f>IFERROR(M485,INDEX(Wiki!K:K,MATCH('BOM2017'!D485,Wiki!B:B,0)))</f>
        <v>#N/A</v>
      </c>
    </row>
    <row r="486" spans="2:14" x14ac:dyDescent="0.2">
      <c r="B486" s="6">
        <v>481</v>
      </c>
      <c r="C486" s="3" t="s">
        <v>2056</v>
      </c>
      <c r="D486" t="e">
        <f t="shared" si="7"/>
        <v>#VALUE!</v>
      </c>
      <c r="E486" s="3" t="s">
        <v>1631</v>
      </c>
      <c r="F486" s="7" t="s">
        <v>2057</v>
      </c>
      <c r="G486" s="6">
        <v>17</v>
      </c>
      <c r="H486" s="6" t="s">
        <v>2058</v>
      </c>
      <c r="I486" s="6">
        <v>17</v>
      </c>
      <c r="J486" s="4">
        <v>43330</v>
      </c>
      <c r="K486" s="8">
        <v>43350</v>
      </c>
      <c r="L486" s="1" t="e">
        <f>IF(MATCH(C486,Wiki!B:B,0)&lt;&gt;0,TRUE,FALSE)</f>
        <v>#N/A</v>
      </c>
      <c r="M486" s="1" t="e">
        <f>INDEX(Wiki!K:K,MATCH('BOM2017'!C486,Wiki!B:B,0))</f>
        <v>#N/A</v>
      </c>
      <c r="N486" s="1" t="e">
        <f>IFERROR(M486,INDEX(Wiki!K:K,MATCH('BOM2017'!D486,Wiki!B:B,0)))</f>
        <v>#VALUE!</v>
      </c>
    </row>
    <row r="487" spans="2:14" x14ac:dyDescent="0.2">
      <c r="B487" s="6">
        <v>482</v>
      </c>
      <c r="C487" s="3" t="s">
        <v>2059</v>
      </c>
      <c r="D487" t="e">
        <f t="shared" si="7"/>
        <v>#VALUE!</v>
      </c>
      <c r="E487" s="3" t="s">
        <v>1572</v>
      </c>
      <c r="F487" s="7" t="s">
        <v>2060</v>
      </c>
      <c r="G487" s="6">
        <v>6</v>
      </c>
      <c r="H487" s="6" t="s">
        <v>2061</v>
      </c>
      <c r="I487" s="6">
        <v>1</v>
      </c>
      <c r="J487" s="4">
        <v>43239</v>
      </c>
      <c r="K487" s="8">
        <v>43329</v>
      </c>
      <c r="L487" s="1" t="e">
        <f>IF(MATCH(C487,Wiki!B:B,0)&lt;&gt;0,TRUE,FALSE)</f>
        <v>#N/A</v>
      </c>
      <c r="M487" s="1" t="e">
        <f>INDEX(Wiki!K:K,MATCH('BOM2017'!C487,Wiki!B:B,0))</f>
        <v>#N/A</v>
      </c>
      <c r="N487" s="1" t="e">
        <f>IFERROR(M487,INDEX(Wiki!K:K,MATCH('BOM2017'!D487,Wiki!B:B,0)))</f>
        <v>#VALUE!</v>
      </c>
    </row>
    <row r="488" spans="2:14" x14ac:dyDescent="0.2">
      <c r="B488" s="6">
        <v>483</v>
      </c>
      <c r="C488" s="3" t="s">
        <v>2062</v>
      </c>
      <c r="D488" t="e">
        <f t="shared" si="7"/>
        <v>#VALUE!</v>
      </c>
      <c r="E488" s="3" t="s">
        <v>2063</v>
      </c>
      <c r="F488" s="7" t="s">
        <v>2064</v>
      </c>
      <c r="G488" s="6">
        <v>11</v>
      </c>
      <c r="H488" s="6" t="s">
        <v>2065</v>
      </c>
      <c r="I488" s="6">
        <v>11</v>
      </c>
      <c r="J488" s="4">
        <v>43386</v>
      </c>
      <c r="K488" s="8">
        <v>43399</v>
      </c>
      <c r="L488" s="1" t="e">
        <f>IF(MATCH(C488,Wiki!B:B,0)&lt;&gt;0,TRUE,FALSE)</f>
        <v>#N/A</v>
      </c>
      <c r="M488" s="1" t="e">
        <f>INDEX(Wiki!K:K,MATCH('BOM2017'!C488,Wiki!B:B,0))</f>
        <v>#N/A</v>
      </c>
      <c r="N488" s="1" t="e">
        <f>IFERROR(M488,INDEX(Wiki!K:K,MATCH('BOM2017'!D488,Wiki!B:B,0)))</f>
        <v>#VALUE!</v>
      </c>
    </row>
    <row r="489" spans="2:14" x14ac:dyDescent="0.2">
      <c r="B489" s="6">
        <v>484</v>
      </c>
      <c r="C489" s="3" t="s">
        <v>2066</v>
      </c>
      <c r="D489" t="e">
        <f t="shared" si="7"/>
        <v>#VALUE!</v>
      </c>
      <c r="E489" s="3" t="s">
        <v>1248</v>
      </c>
      <c r="F489" s="7" t="s">
        <v>2067</v>
      </c>
      <c r="G489" s="6">
        <v>4</v>
      </c>
      <c r="H489" s="6" t="s">
        <v>2068</v>
      </c>
      <c r="I489" s="6">
        <v>1</v>
      </c>
      <c r="J489" s="4">
        <v>43162</v>
      </c>
      <c r="K489" s="8">
        <v>43203</v>
      </c>
      <c r="L489" s="1" t="e">
        <f>IF(MATCH(C489,Wiki!B:B,0)&lt;&gt;0,TRUE,FALSE)</f>
        <v>#N/A</v>
      </c>
      <c r="M489" s="1" t="e">
        <f>INDEX(Wiki!K:K,MATCH('BOM2017'!C489,Wiki!B:B,0))</f>
        <v>#N/A</v>
      </c>
      <c r="N489" s="1" t="e">
        <f>IFERROR(M489,INDEX(Wiki!K:K,MATCH('BOM2017'!D489,Wiki!B:B,0)))</f>
        <v>#VALUE!</v>
      </c>
    </row>
    <row r="490" spans="2:14" x14ac:dyDescent="0.2">
      <c r="B490" s="6">
        <v>485</v>
      </c>
      <c r="C490" s="3" t="s">
        <v>28</v>
      </c>
      <c r="D490" t="str">
        <f t="shared" si="7"/>
        <v/>
      </c>
      <c r="E490" s="3" t="s">
        <v>1294</v>
      </c>
      <c r="F490" s="7" t="s">
        <v>2069</v>
      </c>
      <c r="G490" s="6">
        <v>5</v>
      </c>
      <c r="H490" s="6" t="s">
        <v>2070</v>
      </c>
      <c r="I490" s="6">
        <v>2</v>
      </c>
      <c r="J490" s="4">
        <v>43113</v>
      </c>
      <c r="K490" s="8">
        <v>43143</v>
      </c>
      <c r="L490" s="1" t="b">
        <f>IF(MATCH(C490,Wiki!B:B,0)&lt;&gt;0,TRUE,FALSE)</f>
        <v>1</v>
      </c>
      <c r="M490" s="1" t="str">
        <f>INDEX(Wiki!K:K,MATCH('BOM2017'!C490,Wiki!B:B,0))</f>
        <v>Alone_in_Berlin_(film)</v>
      </c>
      <c r="N490" s="1" t="str">
        <f>IFERROR(M490,INDEX(Wiki!K:K,MATCH('BOM2017'!D490,Wiki!B:B,0)))</f>
        <v>Alone_in_Berlin_(film)</v>
      </c>
    </row>
    <row r="491" spans="2:14" x14ac:dyDescent="0.2">
      <c r="B491" s="6">
        <v>486</v>
      </c>
      <c r="C491" s="3" t="s">
        <v>2071</v>
      </c>
      <c r="D491" t="e">
        <f t="shared" si="7"/>
        <v>#VALUE!</v>
      </c>
      <c r="E491" s="3" t="s">
        <v>1095</v>
      </c>
      <c r="F491" s="7" t="s">
        <v>2072</v>
      </c>
      <c r="G491" s="6">
        <v>21</v>
      </c>
      <c r="H491" s="6" t="s">
        <v>2073</v>
      </c>
      <c r="I491" s="6">
        <v>21</v>
      </c>
      <c r="J491" s="4">
        <v>43372</v>
      </c>
      <c r="K491" s="8">
        <v>43402</v>
      </c>
      <c r="L491" s="1" t="e">
        <f>IF(MATCH(C491,Wiki!B:B,0)&lt;&gt;0,TRUE,FALSE)</f>
        <v>#N/A</v>
      </c>
      <c r="M491" s="1" t="e">
        <f>INDEX(Wiki!K:K,MATCH('BOM2017'!C491,Wiki!B:B,0))</f>
        <v>#N/A</v>
      </c>
      <c r="N491" s="1" t="e">
        <f>IFERROR(M491,INDEX(Wiki!K:K,MATCH('BOM2017'!D491,Wiki!B:B,0)))</f>
        <v>#VALUE!</v>
      </c>
    </row>
    <row r="492" spans="2:14" x14ac:dyDescent="0.2">
      <c r="B492" s="6">
        <v>487</v>
      </c>
      <c r="C492" s="3" t="s">
        <v>2074</v>
      </c>
      <c r="D492" t="e">
        <f t="shared" si="7"/>
        <v>#VALUE!</v>
      </c>
      <c r="E492" s="3" t="s">
        <v>1142</v>
      </c>
      <c r="F492" s="7" t="s">
        <v>2075</v>
      </c>
      <c r="G492" s="6">
        <v>8</v>
      </c>
      <c r="H492" s="6" t="s">
        <v>2076</v>
      </c>
      <c r="I492" s="6">
        <v>1</v>
      </c>
      <c r="J492" s="4">
        <v>43400</v>
      </c>
      <c r="K492" s="6" t="s">
        <v>558</v>
      </c>
      <c r="L492" s="1" t="e">
        <f>IF(MATCH(C492,Wiki!B:B,0)&lt;&gt;0,TRUE,FALSE)</f>
        <v>#N/A</v>
      </c>
      <c r="M492" s="1" t="e">
        <f>INDEX(Wiki!K:K,MATCH('BOM2017'!C492,Wiki!B:B,0))</f>
        <v>#N/A</v>
      </c>
      <c r="N492" s="1" t="e">
        <f>IFERROR(M492,INDEX(Wiki!K:K,MATCH('BOM2017'!D492,Wiki!B:B,0)))</f>
        <v>#VALUE!</v>
      </c>
    </row>
    <row r="493" spans="2:14" x14ac:dyDescent="0.2">
      <c r="B493" s="6">
        <v>488</v>
      </c>
      <c r="C493" s="3" t="s">
        <v>2077</v>
      </c>
      <c r="D493" t="e">
        <f t="shared" si="7"/>
        <v>#VALUE!</v>
      </c>
      <c r="E493" s="3" t="s">
        <v>2010</v>
      </c>
      <c r="F493" s="7" t="s">
        <v>2078</v>
      </c>
      <c r="G493" s="6">
        <v>3</v>
      </c>
      <c r="H493" s="6" t="s">
        <v>2079</v>
      </c>
      <c r="I493" s="6">
        <v>1</v>
      </c>
      <c r="J493" s="4">
        <v>43421</v>
      </c>
      <c r="K493" s="6" t="s">
        <v>558</v>
      </c>
      <c r="L493" s="1" t="e">
        <f>IF(MATCH(C493,Wiki!B:B,0)&lt;&gt;0,TRUE,FALSE)</f>
        <v>#N/A</v>
      </c>
      <c r="M493" s="1" t="e">
        <f>INDEX(Wiki!K:K,MATCH('BOM2017'!C493,Wiki!B:B,0))</f>
        <v>#N/A</v>
      </c>
      <c r="N493" s="1" t="e">
        <f>IFERROR(M493,INDEX(Wiki!K:K,MATCH('BOM2017'!D493,Wiki!B:B,0)))</f>
        <v>#VALUE!</v>
      </c>
    </row>
    <row r="494" spans="2:14" x14ac:dyDescent="0.2">
      <c r="B494" s="6">
        <v>489</v>
      </c>
      <c r="C494" s="3" t="s">
        <v>2080</v>
      </c>
      <c r="D494" t="e">
        <f t="shared" si="7"/>
        <v>#VALUE!</v>
      </c>
      <c r="E494" s="3" t="s">
        <v>1248</v>
      </c>
      <c r="F494" s="7" t="s">
        <v>2081</v>
      </c>
      <c r="G494" s="6">
        <v>6</v>
      </c>
      <c r="H494" s="6" t="s">
        <v>2082</v>
      </c>
      <c r="I494" s="6">
        <v>1</v>
      </c>
      <c r="J494" s="4">
        <v>43330</v>
      </c>
      <c r="K494" s="8">
        <v>43367</v>
      </c>
      <c r="L494" s="1" t="e">
        <f>IF(MATCH(C494,Wiki!B:B,0)&lt;&gt;0,TRUE,FALSE)</f>
        <v>#N/A</v>
      </c>
      <c r="M494" s="1" t="e">
        <f>INDEX(Wiki!K:K,MATCH('BOM2017'!C494,Wiki!B:B,0))</f>
        <v>#N/A</v>
      </c>
      <c r="N494" s="1" t="e">
        <f>IFERROR(M494,INDEX(Wiki!K:K,MATCH('BOM2017'!D494,Wiki!B:B,0)))</f>
        <v>#VALUE!</v>
      </c>
    </row>
    <row r="495" spans="2:14" x14ac:dyDescent="0.2">
      <c r="B495" s="6">
        <v>490</v>
      </c>
      <c r="C495" s="3" t="s">
        <v>2083</v>
      </c>
      <c r="D495" t="e">
        <f t="shared" si="7"/>
        <v>#VALUE!</v>
      </c>
      <c r="E495" s="3" t="s">
        <v>1797</v>
      </c>
      <c r="F495" s="7" t="s">
        <v>2084</v>
      </c>
      <c r="G495" s="6">
        <v>4</v>
      </c>
      <c r="H495" s="6" t="s">
        <v>2085</v>
      </c>
      <c r="I495" s="6">
        <v>1</v>
      </c>
      <c r="J495" s="4">
        <v>43211</v>
      </c>
      <c r="K495" s="8">
        <v>43276</v>
      </c>
      <c r="L495" s="1" t="e">
        <f>IF(MATCH(C495,Wiki!B:B,0)&lt;&gt;0,TRUE,FALSE)</f>
        <v>#N/A</v>
      </c>
      <c r="M495" s="1" t="e">
        <f>INDEX(Wiki!K:K,MATCH('BOM2017'!C495,Wiki!B:B,0))</f>
        <v>#N/A</v>
      </c>
      <c r="N495" s="1" t="e">
        <f>IFERROR(M495,INDEX(Wiki!K:K,MATCH('BOM2017'!D495,Wiki!B:B,0)))</f>
        <v>#VALUE!</v>
      </c>
    </row>
    <row r="496" spans="2:14" x14ac:dyDescent="0.2">
      <c r="B496" s="6">
        <v>491</v>
      </c>
      <c r="C496" s="3" t="s">
        <v>2086</v>
      </c>
      <c r="D496" t="str">
        <f t="shared" si="7"/>
        <v>XX</v>
      </c>
      <c r="E496" s="3" t="s">
        <v>1039</v>
      </c>
      <c r="F496" s="7" t="s">
        <v>2087</v>
      </c>
      <c r="G496" s="6">
        <v>16</v>
      </c>
      <c r="H496" s="6" t="s">
        <v>2088</v>
      </c>
      <c r="I496" s="6">
        <v>7</v>
      </c>
      <c r="J496" s="4">
        <v>43148</v>
      </c>
      <c r="K496" s="8">
        <v>43182</v>
      </c>
      <c r="L496" s="1" t="e">
        <f>IF(MATCH(C496,Wiki!B:B,0)&lt;&gt;0,TRUE,FALSE)</f>
        <v>#N/A</v>
      </c>
      <c r="M496" s="1" t="e">
        <f>INDEX(Wiki!K:K,MATCH('BOM2017'!C496,Wiki!B:B,0))</f>
        <v>#N/A</v>
      </c>
      <c r="N496" s="1" t="str">
        <f>IFERROR(M496,INDEX(Wiki!K:K,MATCH('BOM2017'!D496,Wiki!B:B,0)))</f>
        <v>XX_(film)</v>
      </c>
    </row>
    <row r="497" spans="2:14" x14ac:dyDescent="0.2">
      <c r="B497" s="6">
        <v>492</v>
      </c>
      <c r="C497" s="3" t="s">
        <v>2089</v>
      </c>
      <c r="D497" t="e">
        <f t="shared" si="7"/>
        <v>#VALUE!</v>
      </c>
      <c r="E497" s="3" t="s">
        <v>1532</v>
      </c>
      <c r="F497" s="7" t="s">
        <v>2090</v>
      </c>
      <c r="G497" s="6">
        <v>2</v>
      </c>
      <c r="H497" s="6" t="s">
        <v>1159</v>
      </c>
      <c r="I497" s="6" t="s">
        <v>1159</v>
      </c>
      <c r="J497" s="4">
        <v>43174</v>
      </c>
      <c r="K497" s="8">
        <v>43413</v>
      </c>
      <c r="L497" s="1" t="e">
        <f>IF(MATCH(C497,Wiki!B:B,0)&lt;&gt;0,TRUE,FALSE)</f>
        <v>#N/A</v>
      </c>
      <c r="M497" s="1" t="e">
        <f>INDEX(Wiki!K:K,MATCH('BOM2017'!C497,Wiki!B:B,0))</f>
        <v>#N/A</v>
      </c>
      <c r="N497" s="1" t="e">
        <f>IFERROR(M497,INDEX(Wiki!K:K,MATCH('BOM2017'!D497,Wiki!B:B,0)))</f>
        <v>#VALUE!</v>
      </c>
    </row>
    <row r="498" spans="2:14" x14ac:dyDescent="0.2">
      <c r="B498" s="6">
        <v>493</v>
      </c>
      <c r="C498" s="3" t="s">
        <v>2091</v>
      </c>
      <c r="D498" t="e">
        <f t="shared" si="7"/>
        <v>#VALUE!</v>
      </c>
      <c r="E498" s="3" t="s">
        <v>1294</v>
      </c>
      <c r="F498" s="7" t="s">
        <v>2092</v>
      </c>
      <c r="G498" s="6">
        <v>10</v>
      </c>
      <c r="H498" s="6" t="s">
        <v>2093</v>
      </c>
      <c r="I498" s="6">
        <v>1</v>
      </c>
      <c r="J498" s="4">
        <v>43393</v>
      </c>
      <c r="K498" s="8">
        <v>43423</v>
      </c>
      <c r="L498" s="1" t="e">
        <f>IF(MATCH(C498,Wiki!B:B,0)&lt;&gt;0,TRUE,FALSE)</f>
        <v>#N/A</v>
      </c>
      <c r="M498" s="1" t="e">
        <f>INDEX(Wiki!K:K,MATCH('BOM2017'!C498,Wiki!B:B,0))</f>
        <v>#N/A</v>
      </c>
      <c r="N498" s="1" t="e">
        <f>IFERROR(M498,INDEX(Wiki!K:K,MATCH('BOM2017'!D498,Wiki!B:B,0)))</f>
        <v>#VALUE!</v>
      </c>
    </row>
    <row r="499" spans="2:14" x14ac:dyDescent="0.2">
      <c r="B499" s="6">
        <v>494</v>
      </c>
      <c r="C499" s="3" t="s">
        <v>2094</v>
      </c>
      <c r="D499" t="e">
        <f t="shared" si="7"/>
        <v>#VALUE!</v>
      </c>
      <c r="E499" s="3" t="s">
        <v>1035</v>
      </c>
      <c r="F499" s="7" t="s">
        <v>2095</v>
      </c>
      <c r="G499" s="6">
        <v>22</v>
      </c>
      <c r="H499" s="6" t="s">
        <v>2096</v>
      </c>
      <c r="I499" s="6">
        <v>22</v>
      </c>
      <c r="J499" s="4">
        <v>43414</v>
      </c>
      <c r="K499" s="8">
        <v>43437</v>
      </c>
      <c r="L499" s="1" t="e">
        <f>IF(MATCH(C499,Wiki!B:B,0)&lt;&gt;0,TRUE,FALSE)</f>
        <v>#N/A</v>
      </c>
      <c r="M499" s="1" t="e">
        <f>INDEX(Wiki!K:K,MATCH('BOM2017'!C499,Wiki!B:B,0))</f>
        <v>#N/A</v>
      </c>
      <c r="N499" s="1" t="e">
        <f>IFERROR(M499,INDEX(Wiki!K:K,MATCH('BOM2017'!D499,Wiki!B:B,0)))</f>
        <v>#VALUE!</v>
      </c>
    </row>
    <row r="500" spans="2:14" x14ac:dyDescent="0.2">
      <c r="B500" s="6">
        <v>495</v>
      </c>
      <c r="C500" s="3" t="s">
        <v>2097</v>
      </c>
      <c r="D500" t="e">
        <f t="shared" si="7"/>
        <v>#VALUE!</v>
      </c>
      <c r="E500" s="3" t="s">
        <v>2010</v>
      </c>
      <c r="F500" s="7" t="s">
        <v>2098</v>
      </c>
      <c r="G500" s="6">
        <v>2</v>
      </c>
      <c r="H500" s="6" t="s">
        <v>2099</v>
      </c>
      <c r="I500" s="6">
        <v>1</v>
      </c>
      <c r="J500" s="4">
        <v>43274</v>
      </c>
      <c r="K500" s="8">
        <v>43409</v>
      </c>
      <c r="L500" s="1" t="e">
        <f>IF(MATCH(C500,Wiki!B:B,0)&lt;&gt;0,TRUE,FALSE)</f>
        <v>#N/A</v>
      </c>
      <c r="M500" s="1" t="e">
        <f>INDEX(Wiki!K:K,MATCH('BOM2017'!C500,Wiki!B:B,0))</f>
        <v>#N/A</v>
      </c>
      <c r="N500" s="1" t="e">
        <f>IFERROR(M500,INDEX(Wiki!K:K,MATCH('BOM2017'!D500,Wiki!B:B,0)))</f>
        <v>#VALUE!</v>
      </c>
    </row>
    <row r="501" spans="2:14" x14ac:dyDescent="0.2">
      <c r="B501" s="6">
        <v>496</v>
      </c>
      <c r="C501" s="3" t="s">
        <v>2100</v>
      </c>
      <c r="D501" t="e">
        <f t="shared" si="7"/>
        <v>#VALUE!</v>
      </c>
      <c r="E501" s="3" t="s">
        <v>2101</v>
      </c>
      <c r="F501" s="7" t="s">
        <v>2102</v>
      </c>
      <c r="G501" s="6">
        <v>6</v>
      </c>
      <c r="H501" s="6" t="s">
        <v>1159</v>
      </c>
      <c r="I501" s="6" t="s">
        <v>1159</v>
      </c>
      <c r="J501" s="4">
        <v>43165</v>
      </c>
      <c r="K501" s="6" t="s">
        <v>558</v>
      </c>
      <c r="L501" s="1" t="e">
        <f>IF(MATCH(C501,Wiki!B:B,0)&lt;&gt;0,TRUE,FALSE)</f>
        <v>#N/A</v>
      </c>
      <c r="M501" s="1" t="e">
        <f>INDEX(Wiki!K:K,MATCH('BOM2017'!C501,Wiki!B:B,0))</f>
        <v>#N/A</v>
      </c>
      <c r="N501" s="1" t="e">
        <f>IFERROR(M501,INDEX(Wiki!K:K,MATCH('BOM2017'!D501,Wiki!B:B,0)))</f>
        <v>#VALUE!</v>
      </c>
    </row>
    <row r="502" spans="2:14" x14ac:dyDescent="0.2">
      <c r="B502" s="6">
        <v>497</v>
      </c>
      <c r="C502" s="3" t="s">
        <v>2103</v>
      </c>
      <c r="D502" t="e">
        <f t="shared" si="7"/>
        <v>#VALUE!</v>
      </c>
      <c r="E502" s="3" t="s">
        <v>2104</v>
      </c>
      <c r="F502" s="7" t="s">
        <v>2105</v>
      </c>
      <c r="G502" s="6">
        <v>2</v>
      </c>
      <c r="H502" s="6" t="s">
        <v>2106</v>
      </c>
      <c r="I502" s="6">
        <v>1</v>
      </c>
      <c r="J502" s="4">
        <v>43372</v>
      </c>
      <c r="K502" s="8">
        <v>43416</v>
      </c>
      <c r="L502" s="1" t="e">
        <f>IF(MATCH(C502,Wiki!B:B,0)&lt;&gt;0,TRUE,FALSE)</f>
        <v>#N/A</v>
      </c>
      <c r="M502" s="1" t="e">
        <f>INDEX(Wiki!K:K,MATCH('BOM2017'!C502,Wiki!B:B,0))</f>
        <v>#N/A</v>
      </c>
      <c r="N502" s="1" t="e">
        <f>IFERROR(M502,INDEX(Wiki!K:K,MATCH('BOM2017'!D502,Wiki!B:B,0)))</f>
        <v>#VALUE!</v>
      </c>
    </row>
    <row r="503" spans="2:14" x14ac:dyDescent="0.2">
      <c r="B503" s="6">
        <v>498</v>
      </c>
      <c r="C503" s="3" t="s">
        <v>2107</v>
      </c>
      <c r="D503" t="e">
        <f t="shared" si="7"/>
        <v>#VALUE!</v>
      </c>
      <c r="E503" s="3" t="s">
        <v>2108</v>
      </c>
      <c r="F503" s="7" t="s">
        <v>2109</v>
      </c>
      <c r="G503" s="6">
        <v>90</v>
      </c>
      <c r="H503" s="6" t="s">
        <v>2110</v>
      </c>
      <c r="I503" s="6">
        <v>3</v>
      </c>
      <c r="J503" s="4">
        <v>43323</v>
      </c>
      <c r="K503" s="6" t="s">
        <v>558</v>
      </c>
      <c r="L503" s="1" t="e">
        <f>IF(MATCH(C503,Wiki!B:B,0)&lt;&gt;0,TRUE,FALSE)</f>
        <v>#N/A</v>
      </c>
      <c r="M503" s="1" t="e">
        <f>INDEX(Wiki!K:K,MATCH('BOM2017'!C503,Wiki!B:B,0))</f>
        <v>#N/A</v>
      </c>
      <c r="N503" s="1" t="e">
        <f>IFERROR(M503,INDEX(Wiki!K:K,MATCH('BOM2017'!D503,Wiki!B:B,0)))</f>
        <v>#VALUE!</v>
      </c>
    </row>
    <row r="504" spans="2:14" x14ac:dyDescent="0.2">
      <c r="B504" s="6">
        <v>499</v>
      </c>
      <c r="C504" s="3" t="s">
        <v>369</v>
      </c>
      <c r="D504" t="str">
        <f t="shared" si="7"/>
        <v/>
      </c>
      <c r="E504" s="3" t="s">
        <v>1039</v>
      </c>
      <c r="F504" s="7" t="s">
        <v>2111</v>
      </c>
      <c r="G504" s="6">
        <v>13</v>
      </c>
      <c r="H504" s="6" t="s">
        <v>2112</v>
      </c>
      <c r="I504" s="6">
        <v>2</v>
      </c>
      <c r="J504" s="4">
        <v>43330</v>
      </c>
      <c r="K504" s="8">
        <v>43378</v>
      </c>
      <c r="L504" s="1" t="b">
        <f>IF(MATCH(C504,Wiki!B:B,0)&lt;&gt;0,TRUE,FALSE)</f>
        <v>1</v>
      </c>
      <c r="M504" s="1" t="str">
        <f>INDEX(Wiki!K:K,MATCH('BOM2017'!C504,Wiki!B:B,0))</f>
        <v>Lemon_(2017_film)</v>
      </c>
      <c r="N504" s="1" t="str">
        <f>IFERROR(M504,INDEX(Wiki!K:K,MATCH('BOM2017'!D504,Wiki!B:B,0)))</f>
        <v>Lemon_(2017_film)</v>
      </c>
    </row>
    <row r="505" spans="2:14" x14ac:dyDescent="0.2">
      <c r="B505" s="6">
        <v>500</v>
      </c>
      <c r="C505" s="3" t="s">
        <v>2113</v>
      </c>
      <c r="D505" t="e">
        <f t="shared" si="7"/>
        <v>#VALUE!</v>
      </c>
      <c r="E505" s="3" t="s">
        <v>2114</v>
      </c>
      <c r="F505" s="7" t="s">
        <v>2115</v>
      </c>
      <c r="G505" s="6">
        <v>3</v>
      </c>
      <c r="H505" s="6" t="s">
        <v>2116</v>
      </c>
      <c r="I505" s="6">
        <v>2</v>
      </c>
      <c r="J505" s="4">
        <v>43295</v>
      </c>
      <c r="K505" s="6" t="s">
        <v>558</v>
      </c>
      <c r="L505" s="1" t="e">
        <f>IF(MATCH(C505,Wiki!B:B,0)&lt;&gt;0,TRUE,FALSE)</f>
        <v>#N/A</v>
      </c>
      <c r="M505" s="1" t="e">
        <f>INDEX(Wiki!K:K,MATCH('BOM2017'!C505,Wiki!B:B,0))</f>
        <v>#N/A</v>
      </c>
      <c r="N505" s="1" t="e">
        <f>IFERROR(M505,INDEX(Wiki!K:K,MATCH('BOM2017'!D505,Wiki!B:B,0)))</f>
        <v>#VALUE!</v>
      </c>
    </row>
    <row r="506" spans="2:14" x14ac:dyDescent="0.2">
      <c r="B506" s="6">
        <v>501</v>
      </c>
      <c r="C506" s="3" t="s">
        <v>2117</v>
      </c>
      <c r="D506" t="e">
        <f t="shared" si="7"/>
        <v>#VALUE!</v>
      </c>
      <c r="E506" s="3" t="s">
        <v>2108</v>
      </c>
      <c r="F506" s="7" t="s">
        <v>2118</v>
      </c>
      <c r="G506" s="6">
        <v>5</v>
      </c>
      <c r="H506" s="6" t="s">
        <v>2119</v>
      </c>
      <c r="I506" s="6">
        <v>2</v>
      </c>
      <c r="J506" s="4">
        <v>43351</v>
      </c>
      <c r="K506" s="6" t="s">
        <v>558</v>
      </c>
      <c r="L506" s="1" t="e">
        <f>IF(MATCH(C506,Wiki!B:B,0)&lt;&gt;0,TRUE,FALSE)</f>
        <v>#N/A</v>
      </c>
      <c r="M506" s="1" t="e">
        <f>INDEX(Wiki!K:K,MATCH('BOM2017'!C506,Wiki!B:B,0))</f>
        <v>#N/A</v>
      </c>
      <c r="N506" s="1" t="e">
        <f>IFERROR(M506,INDEX(Wiki!K:K,MATCH('BOM2017'!D506,Wiki!B:B,0)))</f>
        <v>#VALUE!</v>
      </c>
    </row>
    <row r="507" spans="2:14" x14ac:dyDescent="0.2">
      <c r="B507" s="6">
        <v>502</v>
      </c>
      <c r="C507" s="3" t="s">
        <v>2120</v>
      </c>
      <c r="D507" t="e">
        <f t="shared" si="7"/>
        <v>#VALUE!</v>
      </c>
      <c r="E507" s="3" t="s">
        <v>2121</v>
      </c>
      <c r="F507" s="7" t="s">
        <v>2122</v>
      </c>
      <c r="G507" s="6">
        <v>25</v>
      </c>
      <c r="H507" s="6" t="s">
        <v>2123</v>
      </c>
      <c r="I507" s="6">
        <v>25</v>
      </c>
      <c r="J507" s="4">
        <v>43246</v>
      </c>
      <c r="K507" s="8">
        <v>43249</v>
      </c>
      <c r="L507" s="1" t="e">
        <f>IF(MATCH(C507,Wiki!B:B,0)&lt;&gt;0,TRUE,FALSE)</f>
        <v>#N/A</v>
      </c>
      <c r="M507" s="1" t="e">
        <f>INDEX(Wiki!K:K,MATCH('BOM2017'!C507,Wiki!B:B,0))</f>
        <v>#N/A</v>
      </c>
      <c r="N507" s="1" t="e">
        <f>IFERROR(M507,INDEX(Wiki!K:K,MATCH('BOM2017'!D507,Wiki!B:B,0)))</f>
        <v>#VALUE!</v>
      </c>
    </row>
    <row r="508" spans="2:14" x14ac:dyDescent="0.2">
      <c r="B508" s="6">
        <v>503</v>
      </c>
      <c r="C508" s="3" t="s">
        <v>2124</v>
      </c>
      <c r="D508" t="e">
        <f t="shared" si="7"/>
        <v>#VALUE!</v>
      </c>
      <c r="E508" s="3" t="s">
        <v>1519</v>
      </c>
      <c r="F508" s="7" t="s">
        <v>2125</v>
      </c>
      <c r="G508" s="6">
        <v>5</v>
      </c>
      <c r="H508" s="6" t="s">
        <v>2126</v>
      </c>
      <c r="I508" s="6">
        <v>2</v>
      </c>
      <c r="J508" s="4">
        <v>43407</v>
      </c>
      <c r="K508" s="8">
        <v>43420</v>
      </c>
      <c r="L508" s="1" t="e">
        <f>IF(MATCH(C508,Wiki!B:B,0)&lt;&gt;0,TRUE,FALSE)</f>
        <v>#N/A</v>
      </c>
      <c r="M508" s="1" t="e">
        <f>INDEX(Wiki!K:K,MATCH('BOM2017'!C508,Wiki!B:B,0))</f>
        <v>#N/A</v>
      </c>
      <c r="N508" s="1" t="e">
        <f>IFERROR(M508,INDEX(Wiki!K:K,MATCH('BOM2017'!D508,Wiki!B:B,0)))</f>
        <v>#VALUE!</v>
      </c>
    </row>
    <row r="509" spans="2:14" x14ac:dyDescent="0.2">
      <c r="B509" s="6">
        <v>504</v>
      </c>
      <c r="C509" s="3" t="s">
        <v>2127</v>
      </c>
      <c r="D509" t="e">
        <f t="shared" si="7"/>
        <v>#VALUE!</v>
      </c>
      <c r="E509" s="3" t="s">
        <v>1797</v>
      </c>
      <c r="F509" s="7" t="s">
        <v>2128</v>
      </c>
      <c r="G509" s="6">
        <v>5</v>
      </c>
      <c r="H509" s="6" t="s">
        <v>2129</v>
      </c>
      <c r="I509" s="6">
        <v>5</v>
      </c>
      <c r="J509" s="4">
        <v>43365</v>
      </c>
      <c r="K509" s="8">
        <v>43427</v>
      </c>
      <c r="L509" s="1" t="e">
        <f>IF(MATCH(C509,Wiki!B:B,0)&lt;&gt;0,TRUE,FALSE)</f>
        <v>#N/A</v>
      </c>
      <c r="M509" s="1" t="e">
        <f>INDEX(Wiki!K:K,MATCH('BOM2017'!C509,Wiki!B:B,0))</f>
        <v>#N/A</v>
      </c>
      <c r="N509" s="1" t="e">
        <f>IFERROR(M509,INDEX(Wiki!K:K,MATCH('BOM2017'!D509,Wiki!B:B,0)))</f>
        <v>#VALUE!</v>
      </c>
    </row>
    <row r="510" spans="2:14" x14ac:dyDescent="0.2">
      <c r="B510" s="6">
        <v>505</v>
      </c>
      <c r="C510" s="3" t="s">
        <v>2130</v>
      </c>
      <c r="D510" t="e">
        <f t="shared" si="7"/>
        <v>#VALUE!</v>
      </c>
      <c r="E510" s="3" t="s">
        <v>1746</v>
      </c>
      <c r="F510" s="7" t="s">
        <v>2131</v>
      </c>
      <c r="G510" s="6">
        <v>5</v>
      </c>
      <c r="H510" s="6" t="s">
        <v>2132</v>
      </c>
      <c r="I510" s="6">
        <v>1</v>
      </c>
      <c r="J510" s="4">
        <v>43253</v>
      </c>
      <c r="K510" s="6" t="s">
        <v>558</v>
      </c>
      <c r="L510" s="1" t="e">
        <f>IF(MATCH(C510,Wiki!B:B,0)&lt;&gt;0,TRUE,FALSE)</f>
        <v>#N/A</v>
      </c>
      <c r="M510" s="1" t="e">
        <f>INDEX(Wiki!K:K,MATCH('BOM2017'!C510,Wiki!B:B,0))</f>
        <v>#N/A</v>
      </c>
      <c r="N510" s="1" t="e">
        <f>IFERROR(M510,INDEX(Wiki!K:K,MATCH('BOM2017'!D510,Wiki!B:B,0)))</f>
        <v>#VALUE!</v>
      </c>
    </row>
    <row r="511" spans="2:14" x14ac:dyDescent="0.2">
      <c r="B511" s="6">
        <v>506</v>
      </c>
      <c r="C511" s="3" t="s">
        <v>2133</v>
      </c>
      <c r="D511" t="e">
        <f t="shared" si="7"/>
        <v>#VALUE!</v>
      </c>
      <c r="E511" s="3" t="s">
        <v>1235</v>
      </c>
      <c r="F511" s="7" t="s">
        <v>2134</v>
      </c>
      <c r="G511" s="6">
        <v>4</v>
      </c>
      <c r="H511" s="6" t="s">
        <v>2135</v>
      </c>
      <c r="I511" s="6">
        <v>1</v>
      </c>
      <c r="J511" s="4">
        <v>43337</v>
      </c>
      <c r="K511" s="8">
        <v>43399</v>
      </c>
      <c r="L511" s="1" t="e">
        <f>IF(MATCH(C511,Wiki!B:B,0)&lt;&gt;0,TRUE,FALSE)</f>
        <v>#N/A</v>
      </c>
      <c r="M511" s="1" t="e">
        <f>INDEX(Wiki!K:K,MATCH('BOM2017'!C511,Wiki!B:B,0))</f>
        <v>#N/A</v>
      </c>
      <c r="N511" s="1" t="e">
        <f>IFERROR(M511,INDEX(Wiki!K:K,MATCH('BOM2017'!D511,Wiki!B:B,0)))</f>
        <v>#VALUE!</v>
      </c>
    </row>
    <row r="512" spans="2:14" x14ac:dyDescent="0.2">
      <c r="B512" s="6">
        <v>507</v>
      </c>
      <c r="C512" s="3" t="s">
        <v>2136</v>
      </c>
      <c r="D512" t="e">
        <f t="shared" si="7"/>
        <v>#VALUE!</v>
      </c>
      <c r="E512" s="3" t="s">
        <v>1804</v>
      </c>
      <c r="F512" s="7" t="s">
        <v>2137</v>
      </c>
      <c r="G512" s="6">
        <v>8</v>
      </c>
      <c r="H512" s="6" t="s">
        <v>2138</v>
      </c>
      <c r="I512" s="6">
        <v>1</v>
      </c>
      <c r="J512" s="4">
        <v>43302</v>
      </c>
      <c r="K512" s="8">
        <v>43392</v>
      </c>
      <c r="L512" s="1" t="e">
        <f>IF(MATCH(C512,Wiki!B:B,0)&lt;&gt;0,TRUE,FALSE)</f>
        <v>#N/A</v>
      </c>
      <c r="M512" s="1" t="e">
        <f>INDEX(Wiki!K:K,MATCH('BOM2017'!C512,Wiki!B:B,0))</f>
        <v>#N/A</v>
      </c>
      <c r="N512" s="1" t="e">
        <f>IFERROR(M512,INDEX(Wiki!K:K,MATCH('BOM2017'!D512,Wiki!B:B,0)))</f>
        <v>#VALUE!</v>
      </c>
    </row>
    <row r="513" spans="2:14" x14ac:dyDescent="0.2">
      <c r="B513" s="6">
        <v>508</v>
      </c>
      <c r="C513" s="3" t="s">
        <v>2139</v>
      </c>
      <c r="D513" t="str">
        <f t="shared" si="7"/>
        <v>The Crime of Monsieur Lange</v>
      </c>
      <c r="E513" s="3" t="s">
        <v>1942</v>
      </c>
      <c r="F513" s="7" t="s">
        <v>2140</v>
      </c>
      <c r="G513" s="6">
        <v>3</v>
      </c>
      <c r="H513" s="6" t="s">
        <v>2141</v>
      </c>
      <c r="I513" s="6">
        <v>1</v>
      </c>
      <c r="J513" s="4">
        <v>43421</v>
      </c>
      <c r="K513" s="8">
        <v>43441</v>
      </c>
      <c r="L513" s="1" t="e">
        <f>IF(MATCH(C513,Wiki!B:B,0)&lt;&gt;0,TRUE,FALSE)</f>
        <v>#N/A</v>
      </c>
      <c r="M513" s="1" t="e">
        <f>INDEX(Wiki!K:K,MATCH('BOM2017'!C513,Wiki!B:B,0))</f>
        <v>#N/A</v>
      </c>
      <c r="N513" s="1" t="e">
        <f>IFERROR(M513,INDEX(Wiki!K:K,MATCH('BOM2017'!D513,Wiki!B:B,0)))</f>
        <v>#N/A</v>
      </c>
    </row>
    <row r="514" spans="2:14" x14ac:dyDescent="0.2">
      <c r="B514" s="6">
        <v>509</v>
      </c>
      <c r="C514" s="3" t="s">
        <v>2142</v>
      </c>
      <c r="D514" t="e">
        <f t="shared" si="7"/>
        <v>#VALUE!</v>
      </c>
      <c r="E514" s="3" t="s">
        <v>1797</v>
      </c>
      <c r="F514" s="7" t="s">
        <v>2143</v>
      </c>
      <c r="G514" s="6">
        <v>2</v>
      </c>
      <c r="H514" s="6" t="s">
        <v>2144</v>
      </c>
      <c r="I514" s="6">
        <v>2</v>
      </c>
      <c r="J514" s="4">
        <v>43323</v>
      </c>
      <c r="K514" s="6" t="s">
        <v>558</v>
      </c>
      <c r="L514" s="1" t="e">
        <f>IF(MATCH(C514,Wiki!B:B,0)&lt;&gt;0,TRUE,FALSE)</f>
        <v>#N/A</v>
      </c>
      <c r="M514" s="1" t="e">
        <f>INDEX(Wiki!K:K,MATCH('BOM2017'!C514,Wiki!B:B,0))</f>
        <v>#N/A</v>
      </c>
      <c r="N514" s="1" t="e">
        <f>IFERROR(M514,INDEX(Wiki!K:K,MATCH('BOM2017'!D514,Wiki!B:B,0)))</f>
        <v>#VALUE!</v>
      </c>
    </row>
    <row r="515" spans="2:14" x14ac:dyDescent="0.2">
      <c r="B515" s="6">
        <v>510</v>
      </c>
      <c r="C515" s="3" t="s">
        <v>2145</v>
      </c>
      <c r="D515" t="e">
        <f t="shared" si="7"/>
        <v>#VALUE!</v>
      </c>
      <c r="E515" s="3" t="s">
        <v>2108</v>
      </c>
      <c r="F515" s="7" t="s">
        <v>2146</v>
      </c>
      <c r="G515" s="6">
        <v>4</v>
      </c>
      <c r="H515" s="6" t="s">
        <v>2022</v>
      </c>
      <c r="I515" s="6">
        <v>1</v>
      </c>
      <c r="J515" s="4">
        <v>43295</v>
      </c>
      <c r="K515" s="6" t="s">
        <v>558</v>
      </c>
      <c r="L515" s="1" t="e">
        <f>IF(MATCH(C515,Wiki!B:B,0)&lt;&gt;0,TRUE,FALSE)</f>
        <v>#N/A</v>
      </c>
      <c r="M515" s="1" t="e">
        <f>INDEX(Wiki!K:K,MATCH('BOM2017'!C515,Wiki!B:B,0))</f>
        <v>#N/A</v>
      </c>
      <c r="N515" s="1" t="e">
        <f>IFERROR(M515,INDEX(Wiki!K:K,MATCH('BOM2017'!D515,Wiki!B:B,0)))</f>
        <v>#VALUE!</v>
      </c>
    </row>
    <row r="516" spans="2:14" x14ac:dyDescent="0.2">
      <c r="B516" s="6">
        <v>511</v>
      </c>
      <c r="C516" s="3" t="s">
        <v>2147</v>
      </c>
      <c r="D516" t="e">
        <f t="shared" si="7"/>
        <v>#VALUE!</v>
      </c>
      <c r="E516" s="3" t="s">
        <v>2148</v>
      </c>
      <c r="F516" s="7" t="s">
        <v>2149</v>
      </c>
      <c r="G516" s="6">
        <v>5</v>
      </c>
      <c r="H516" s="6" t="s">
        <v>1159</v>
      </c>
      <c r="I516" s="6" t="s">
        <v>1159</v>
      </c>
      <c r="J516" s="4">
        <v>43144</v>
      </c>
      <c r="K516" s="6" t="s">
        <v>558</v>
      </c>
      <c r="L516" s="1" t="e">
        <f>IF(MATCH(C516,Wiki!B:B,0)&lt;&gt;0,TRUE,FALSE)</f>
        <v>#N/A</v>
      </c>
      <c r="M516" s="1" t="e">
        <f>INDEX(Wiki!K:K,MATCH('BOM2017'!C516,Wiki!B:B,0))</f>
        <v>#N/A</v>
      </c>
      <c r="N516" s="1" t="e">
        <f>IFERROR(M516,INDEX(Wiki!K:K,MATCH('BOM2017'!D516,Wiki!B:B,0)))</f>
        <v>#VALUE!</v>
      </c>
    </row>
    <row r="517" spans="2:14" x14ac:dyDescent="0.2">
      <c r="B517" s="6">
        <v>512</v>
      </c>
      <c r="C517" s="3" t="s">
        <v>2150</v>
      </c>
      <c r="D517" t="e">
        <f t="shared" si="7"/>
        <v>#VALUE!</v>
      </c>
      <c r="E517" s="3" t="s">
        <v>1532</v>
      </c>
      <c r="F517" s="7" t="s">
        <v>2151</v>
      </c>
      <c r="G517" s="6">
        <v>2</v>
      </c>
      <c r="H517" s="6" t="s">
        <v>1159</v>
      </c>
      <c r="I517" s="6" t="s">
        <v>1159</v>
      </c>
      <c r="J517" s="4">
        <v>43127</v>
      </c>
      <c r="K517" s="8">
        <v>43203</v>
      </c>
      <c r="L517" s="1" t="e">
        <f>IF(MATCH(C517,Wiki!B:B,0)&lt;&gt;0,TRUE,FALSE)</f>
        <v>#N/A</v>
      </c>
      <c r="M517" s="1" t="e">
        <f>INDEX(Wiki!K:K,MATCH('BOM2017'!C517,Wiki!B:B,0))</f>
        <v>#N/A</v>
      </c>
      <c r="N517" s="1" t="e">
        <f>IFERROR(M517,INDEX(Wiki!K:K,MATCH('BOM2017'!D517,Wiki!B:B,0)))</f>
        <v>#VALUE!</v>
      </c>
    </row>
    <row r="518" spans="2:14" x14ac:dyDescent="0.2">
      <c r="B518" s="6">
        <v>513</v>
      </c>
      <c r="C518" s="3" t="s">
        <v>2152</v>
      </c>
      <c r="D518" t="e">
        <f t="shared" ref="D518:D581" si="8">IF(ISERROR(M518),TRIM(LEFT(C518,FIND("(",C518)-1)),"")</f>
        <v>#VALUE!</v>
      </c>
      <c r="E518" s="3" t="s">
        <v>1746</v>
      </c>
      <c r="F518" s="7" t="s">
        <v>2153</v>
      </c>
      <c r="G518" s="6">
        <v>8</v>
      </c>
      <c r="H518" s="6" t="s">
        <v>1159</v>
      </c>
      <c r="I518" s="6" t="s">
        <v>1159</v>
      </c>
      <c r="J518" s="4">
        <v>43109</v>
      </c>
      <c r="K518" s="8">
        <v>43147</v>
      </c>
      <c r="L518" s="1" t="e">
        <f>IF(MATCH(C518,Wiki!B:B,0)&lt;&gt;0,TRUE,FALSE)</f>
        <v>#N/A</v>
      </c>
      <c r="M518" s="1" t="e">
        <f>INDEX(Wiki!K:K,MATCH('BOM2017'!C518,Wiki!B:B,0))</f>
        <v>#N/A</v>
      </c>
      <c r="N518" s="1" t="e">
        <f>IFERROR(M518,INDEX(Wiki!K:K,MATCH('BOM2017'!D518,Wiki!B:B,0)))</f>
        <v>#VALUE!</v>
      </c>
    </row>
    <row r="519" spans="2:14" x14ac:dyDescent="0.2">
      <c r="B519" s="6">
        <v>514</v>
      </c>
      <c r="C519" s="3" t="s">
        <v>2154</v>
      </c>
      <c r="D519" t="str">
        <f t="shared" si="8"/>
        <v>The Old Dark House</v>
      </c>
      <c r="E519" s="3" t="s">
        <v>1175</v>
      </c>
      <c r="F519" s="7" t="s">
        <v>2155</v>
      </c>
      <c r="G519" s="6">
        <v>1</v>
      </c>
      <c r="H519" s="6" t="s">
        <v>1159</v>
      </c>
      <c r="I519" s="6" t="s">
        <v>1159</v>
      </c>
      <c r="J519" s="4">
        <v>43400</v>
      </c>
      <c r="K519" s="8">
        <v>43406</v>
      </c>
      <c r="L519" s="1" t="e">
        <f>IF(MATCH(C519,Wiki!B:B,0)&lt;&gt;0,TRUE,FALSE)</f>
        <v>#N/A</v>
      </c>
      <c r="M519" s="1" t="e">
        <f>INDEX(Wiki!K:K,MATCH('BOM2017'!C519,Wiki!B:B,0))</f>
        <v>#N/A</v>
      </c>
      <c r="N519" s="1" t="e">
        <f>IFERROR(M519,INDEX(Wiki!K:K,MATCH('BOM2017'!D519,Wiki!B:B,0)))</f>
        <v>#N/A</v>
      </c>
    </row>
    <row r="520" spans="2:14" x14ac:dyDescent="0.2">
      <c r="B520" s="6">
        <v>515</v>
      </c>
      <c r="C520" s="3" t="s">
        <v>2156</v>
      </c>
      <c r="D520" t="e">
        <f t="shared" si="8"/>
        <v>#VALUE!</v>
      </c>
      <c r="E520" s="3" t="s">
        <v>1559</v>
      </c>
      <c r="F520" s="7" t="s">
        <v>2157</v>
      </c>
      <c r="G520" s="6">
        <v>9</v>
      </c>
      <c r="H520" s="6" t="s">
        <v>2158</v>
      </c>
      <c r="I520" s="6">
        <v>4</v>
      </c>
      <c r="J520" s="4">
        <v>43449</v>
      </c>
      <c r="K520" s="6" t="s">
        <v>558</v>
      </c>
      <c r="L520" s="1" t="e">
        <f>IF(MATCH(C520,Wiki!B:B,0)&lt;&gt;0,TRUE,FALSE)</f>
        <v>#N/A</v>
      </c>
      <c r="M520" s="1" t="e">
        <f>INDEX(Wiki!K:K,MATCH('BOM2017'!C520,Wiki!B:B,0))</f>
        <v>#N/A</v>
      </c>
      <c r="N520" s="1" t="e">
        <f>IFERROR(M520,INDEX(Wiki!K:K,MATCH('BOM2017'!D520,Wiki!B:B,0)))</f>
        <v>#VALUE!</v>
      </c>
    </row>
    <row r="521" spans="2:14" x14ac:dyDescent="0.2">
      <c r="B521" s="6">
        <v>516</v>
      </c>
      <c r="C521" s="3" t="s">
        <v>2159</v>
      </c>
      <c r="D521" t="e">
        <f t="shared" si="8"/>
        <v>#VALUE!</v>
      </c>
      <c r="E521" s="3" t="s">
        <v>2160</v>
      </c>
      <c r="F521" s="7" t="s">
        <v>2161</v>
      </c>
      <c r="G521" s="6">
        <v>3</v>
      </c>
      <c r="H521" s="6" t="s">
        <v>2162</v>
      </c>
      <c r="I521" s="6">
        <v>1</v>
      </c>
      <c r="J521" s="4">
        <v>43360</v>
      </c>
      <c r="K521" s="8">
        <v>43399</v>
      </c>
      <c r="L521" s="1" t="e">
        <f>IF(MATCH(C521,Wiki!B:B,0)&lt;&gt;0,TRUE,FALSE)</f>
        <v>#N/A</v>
      </c>
      <c r="M521" s="1" t="e">
        <f>INDEX(Wiki!K:K,MATCH('BOM2017'!C521,Wiki!B:B,0))</f>
        <v>#N/A</v>
      </c>
      <c r="N521" s="1" t="e">
        <f>IFERROR(M521,INDEX(Wiki!K:K,MATCH('BOM2017'!D521,Wiki!B:B,0)))</f>
        <v>#VALUE!</v>
      </c>
    </row>
    <row r="522" spans="2:14" x14ac:dyDescent="0.2">
      <c r="B522" s="6">
        <v>517</v>
      </c>
      <c r="C522" s="3" t="s">
        <v>2163</v>
      </c>
      <c r="D522" t="e">
        <f t="shared" si="8"/>
        <v>#VALUE!</v>
      </c>
      <c r="E522" s="3" t="s">
        <v>2164</v>
      </c>
      <c r="F522" s="7" t="s">
        <v>2165</v>
      </c>
      <c r="G522" s="6">
        <v>6</v>
      </c>
      <c r="H522" s="6" t="s">
        <v>1159</v>
      </c>
      <c r="I522" s="6" t="s">
        <v>1159</v>
      </c>
      <c r="J522" s="4">
        <v>43270</v>
      </c>
      <c r="K522" s="6" t="s">
        <v>558</v>
      </c>
      <c r="L522" s="1" t="e">
        <f>IF(MATCH(C522,Wiki!B:B,0)&lt;&gt;0,TRUE,FALSE)</f>
        <v>#N/A</v>
      </c>
      <c r="M522" s="1" t="e">
        <f>INDEX(Wiki!K:K,MATCH('BOM2017'!C522,Wiki!B:B,0))</f>
        <v>#N/A</v>
      </c>
      <c r="N522" s="1" t="e">
        <f>IFERROR(M522,INDEX(Wiki!K:K,MATCH('BOM2017'!D522,Wiki!B:B,0)))</f>
        <v>#VALUE!</v>
      </c>
    </row>
    <row r="523" spans="2:14" x14ac:dyDescent="0.2">
      <c r="B523" s="6">
        <v>518</v>
      </c>
      <c r="C523" s="3" t="s">
        <v>2166</v>
      </c>
      <c r="D523" t="e">
        <f t="shared" si="8"/>
        <v>#VALUE!</v>
      </c>
      <c r="E523" s="3" t="s">
        <v>1576</v>
      </c>
      <c r="F523" s="7" t="s">
        <v>2167</v>
      </c>
      <c r="G523" s="6">
        <v>1</v>
      </c>
      <c r="H523" s="6" t="s">
        <v>2168</v>
      </c>
      <c r="I523" s="6">
        <v>1</v>
      </c>
      <c r="J523" s="4">
        <v>43104</v>
      </c>
      <c r="K523" s="8">
        <v>43133</v>
      </c>
      <c r="L523" s="1" t="e">
        <f>IF(MATCH(C523,Wiki!B:B,0)&lt;&gt;0,TRUE,FALSE)</f>
        <v>#N/A</v>
      </c>
      <c r="M523" s="1" t="e">
        <f>INDEX(Wiki!K:K,MATCH('BOM2017'!C523,Wiki!B:B,0))</f>
        <v>#N/A</v>
      </c>
      <c r="N523" s="1" t="e">
        <f>IFERROR(M523,INDEX(Wiki!K:K,MATCH('BOM2017'!D523,Wiki!B:B,0)))</f>
        <v>#VALUE!</v>
      </c>
    </row>
    <row r="524" spans="2:14" x14ac:dyDescent="0.2">
      <c r="B524" s="6">
        <v>519</v>
      </c>
      <c r="C524" s="3" t="s">
        <v>2169</v>
      </c>
      <c r="D524" t="str">
        <f t="shared" si="8"/>
        <v>Paradise</v>
      </c>
      <c r="E524" s="3" t="s">
        <v>2170</v>
      </c>
      <c r="F524" s="7" t="s">
        <v>2171</v>
      </c>
      <c r="G524" s="6">
        <v>5</v>
      </c>
      <c r="H524" s="6" t="s">
        <v>2172</v>
      </c>
      <c r="I524" s="6">
        <v>4</v>
      </c>
      <c r="J524" s="4">
        <v>43421</v>
      </c>
      <c r="K524" s="8">
        <v>43444</v>
      </c>
      <c r="L524" s="1" t="e">
        <f>IF(MATCH(C524,Wiki!B:B,0)&lt;&gt;0,TRUE,FALSE)</f>
        <v>#N/A</v>
      </c>
      <c r="M524" s="1" t="e">
        <f>INDEX(Wiki!K:K,MATCH('BOM2017'!C524,Wiki!B:B,0))</f>
        <v>#N/A</v>
      </c>
      <c r="N524" s="1" t="e">
        <f>IFERROR(M524,INDEX(Wiki!K:K,MATCH('BOM2017'!D524,Wiki!B:B,0)))</f>
        <v>#N/A</v>
      </c>
    </row>
    <row r="525" spans="2:14" x14ac:dyDescent="0.2">
      <c r="B525" s="6">
        <v>520</v>
      </c>
      <c r="C525" s="3" t="s">
        <v>2173</v>
      </c>
      <c r="D525" t="e">
        <f t="shared" si="8"/>
        <v>#VALUE!</v>
      </c>
      <c r="E525" s="3" t="s">
        <v>1746</v>
      </c>
      <c r="F525" s="7" t="s">
        <v>2174</v>
      </c>
      <c r="G525" s="6">
        <v>7</v>
      </c>
      <c r="H525" s="6" t="s">
        <v>2175</v>
      </c>
      <c r="I525" s="6">
        <v>1</v>
      </c>
      <c r="J525" s="4">
        <v>43386</v>
      </c>
      <c r="K525" s="8">
        <v>43441</v>
      </c>
      <c r="L525" s="1" t="e">
        <f>IF(MATCH(C525,Wiki!B:B,0)&lt;&gt;0,TRUE,FALSE)</f>
        <v>#N/A</v>
      </c>
      <c r="M525" s="1" t="e">
        <f>INDEX(Wiki!K:K,MATCH('BOM2017'!C525,Wiki!B:B,0))</f>
        <v>#N/A</v>
      </c>
      <c r="N525" s="1" t="e">
        <f>IFERROR(M525,INDEX(Wiki!K:K,MATCH('BOM2017'!D525,Wiki!B:B,0)))</f>
        <v>#VALUE!</v>
      </c>
    </row>
    <row r="526" spans="2:14" x14ac:dyDescent="0.2">
      <c r="B526" s="6">
        <v>521</v>
      </c>
      <c r="C526" s="3" t="s">
        <v>2176</v>
      </c>
      <c r="D526" t="e">
        <f t="shared" si="8"/>
        <v>#VALUE!</v>
      </c>
      <c r="E526" s="3" t="s">
        <v>1880</v>
      </c>
      <c r="F526" s="7" t="s">
        <v>2177</v>
      </c>
      <c r="G526" s="6">
        <v>2</v>
      </c>
      <c r="H526" s="6" t="s">
        <v>2178</v>
      </c>
      <c r="I526" s="6">
        <v>1</v>
      </c>
      <c r="J526" s="4">
        <v>43433</v>
      </c>
      <c r="K526" s="6" t="s">
        <v>558</v>
      </c>
      <c r="L526" s="1" t="e">
        <f>IF(MATCH(C526,Wiki!B:B,0)&lt;&gt;0,TRUE,FALSE)</f>
        <v>#N/A</v>
      </c>
      <c r="M526" s="1" t="e">
        <f>INDEX(Wiki!K:K,MATCH('BOM2017'!C526,Wiki!B:B,0))</f>
        <v>#N/A</v>
      </c>
      <c r="N526" s="1" t="e">
        <f>IFERROR(M526,INDEX(Wiki!K:K,MATCH('BOM2017'!D526,Wiki!B:B,0)))</f>
        <v>#VALUE!</v>
      </c>
    </row>
    <row r="527" spans="2:14" x14ac:dyDescent="0.2">
      <c r="B527" s="6">
        <v>522</v>
      </c>
      <c r="C527" s="3" t="s">
        <v>2179</v>
      </c>
      <c r="D527" t="e">
        <f t="shared" si="8"/>
        <v>#VALUE!</v>
      </c>
      <c r="E527" s="3" t="s">
        <v>1797</v>
      </c>
      <c r="F527" s="7" t="s">
        <v>2180</v>
      </c>
      <c r="G527" s="6">
        <v>3</v>
      </c>
      <c r="H527" s="6" t="s">
        <v>2181</v>
      </c>
      <c r="I527" s="6">
        <v>3</v>
      </c>
      <c r="J527" s="4">
        <v>43267</v>
      </c>
      <c r="K527" s="8">
        <v>43343</v>
      </c>
      <c r="L527" s="1" t="e">
        <f>IF(MATCH(C527,Wiki!B:B,0)&lt;&gt;0,TRUE,FALSE)</f>
        <v>#N/A</v>
      </c>
      <c r="M527" s="1" t="e">
        <f>INDEX(Wiki!K:K,MATCH('BOM2017'!C527,Wiki!B:B,0))</f>
        <v>#N/A</v>
      </c>
      <c r="N527" s="1" t="e">
        <f>IFERROR(M527,INDEX(Wiki!K:K,MATCH('BOM2017'!D527,Wiki!B:B,0)))</f>
        <v>#VALUE!</v>
      </c>
    </row>
    <row r="528" spans="2:14" x14ac:dyDescent="0.2">
      <c r="B528" s="6">
        <v>523</v>
      </c>
      <c r="C528" s="3" t="s">
        <v>2182</v>
      </c>
      <c r="D528" t="e">
        <f t="shared" si="8"/>
        <v>#VALUE!</v>
      </c>
      <c r="E528" s="3" t="s">
        <v>1797</v>
      </c>
      <c r="F528" s="7" t="s">
        <v>2183</v>
      </c>
      <c r="G528" s="6">
        <v>3</v>
      </c>
      <c r="H528" s="6" t="s">
        <v>2184</v>
      </c>
      <c r="I528" s="6">
        <v>3</v>
      </c>
      <c r="J528" s="4">
        <v>43317</v>
      </c>
      <c r="K528" s="8">
        <v>43388</v>
      </c>
      <c r="L528" s="1" t="e">
        <f>IF(MATCH(C528,Wiki!B:B,0)&lt;&gt;0,TRUE,FALSE)</f>
        <v>#N/A</v>
      </c>
      <c r="M528" s="1" t="e">
        <f>INDEX(Wiki!K:K,MATCH('BOM2017'!C528,Wiki!B:B,0))</f>
        <v>#N/A</v>
      </c>
      <c r="N528" s="1" t="e">
        <f>IFERROR(M528,INDEX(Wiki!K:K,MATCH('BOM2017'!D528,Wiki!B:B,0)))</f>
        <v>#VALUE!</v>
      </c>
    </row>
    <row r="529" spans="2:14" x14ac:dyDescent="0.2">
      <c r="B529" s="6">
        <v>524</v>
      </c>
      <c r="C529" s="3" t="s">
        <v>2185</v>
      </c>
      <c r="D529" t="e">
        <f t="shared" si="8"/>
        <v>#VALUE!</v>
      </c>
      <c r="E529" s="3" t="s">
        <v>1804</v>
      </c>
      <c r="F529" s="7" t="s">
        <v>2186</v>
      </c>
      <c r="G529" s="6">
        <v>3</v>
      </c>
      <c r="H529" s="6" t="s">
        <v>2187</v>
      </c>
      <c r="I529" s="6">
        <v>1</v>
      </c>
      <c r="J529" s="4">
        <v>43181</v>
      </c>
      <c r="K529" s="8">
        <v>43266</v>
      </c>
      <c r="L529" s="1" t="e">
        <f>IF(MATCH(C529,Wiki!B:B,0)&lt;&gt;0,TRUE,FALSE)</f>
        <v>#N/A</v>
      </c>
      <c r="M529" s="1" t="e">
        <f>INDEX(Wiki!K:K,MATCH('BOM2017'!C529,Wiki!B:B,0))</f>
        <v>#N/A</v>
      </c>
      <c r="N529" s="1" t="e">
        <f>IFERROR(M529,INDEX(Wiki!K:K,MATCH('BOM2017'!D529,Wiki!B:B,0)))</f>
        <v>#VALUE!</v>
      </c>
    </row>
    <row r="530" spans="2:14" x14ac:dyDescent="0.2">
      <c r="B530" s="6">
        <v>525</v>
      </c>
      <c r="C530" s="3" t="s">
        <v>2188</v>
      </c>
      <c r="D530" t="e">
        <f t="shared" si="8"/>
        <v>#VALUE!</v>
      </c>
      <c r="E530" s="3" t="s">
        <v>1519</v>
      </c>
      <c r="F530" s="7" t="s">
        <v>2189</v>
      </c>
      <c r="G530" s="6">
        <v>4</v>
      </c>
      <c r="H530" s="6" t="s">
        <v>2190</v>
      </c>
      <c r="I530" s="6">
        <v>3</v>
      </c>
      <c r="J530" s="4">
        <v>43386</v>
      </c>
      <c r="K530" s="8">
        <v>43395</v>
      </c>
      <c r="L530" s="1" t="e">
        <f>IF(MATCH(C530,Wiki!B:B,0)&lt;&gt;0,TRUE,FALSE)</f>
        <v>#N/A</v>
      </c>
      <c r="M530" s="1" t="e">
        <f>INDEX(Wiki!K:K,MATCH('BOM2017'!C530,Wiki!B:B,0))</f>
        <v>#N/A</v>
      </c>
      <c r="N530" s="1" t="e">
        <f>IFERROR(M530,INDEX(Wiki!K:K,MATCH('BOM2017'!D530,Wiki!B:B,0)))</f>
        <v>#VALUE!</v>
      </c>
    </row>
    <row r="531" spans="2:14" x14ac:dyDescent="0.2">
      <c r="B531" s="6">
        <v>526</v>
      </c>
      <c r="C531" s="3" t="s">
        <v>2191</v>
      </c>
      <c r="D531" t="e">
        <f t="shared" si="8"/>
        <v>#VALUE!</v>
      </c>
      <c r="E531" s="3" t="s">
        <v>157</v>
      </c>
      <c r="F531" s="7" t="s">
        <v>2192</v>
      </c>
      <c r="G531" s="6">
        <v>16</v>
      </c>
      <c r="H531" s="6" t="s">
        <v>2193</v>
      </c>
      <c r="I531" s="6">
        <v>1</v>
      </c>
      <c r="J531" s="4">
        <v>43204</v>
      </c>
      <c r="K531" s="8">
        <v>43238</v>
      </c>
      <c r="L531" s="1" t="e">
        <f>IF(MATCH(C531,Wiki!B:B,0)&lt;&gt;0,TRUE,FALSE)</f>
        <v>#N/A</v>
      </c>
      <c r="M531" s="1" t="e">
        <f>INDEX(Wiki!K:K,MATCH('BOM2017'!C531,Wiki!B:B,0))</f>
        <v>#N/A</v>
      </c>
      <c r="N531" s="1" t="e">
        <f>IFERROR(M531,INDEX(Wiki!K:K,MATCH('BOM2017'!D531,Wiki!B:B,0)))</f>
        <v>#VALUE!</v>
      </c>
    </row>
    <row r="532" spans="2:14" x14ac:dyDescent="0.2">
      <c r="B532" s="6">
        <v>527</v>
      </c>
      <c r="C532" s="3" t="s">
        <v>2194</v>
      </c>
      <c r="D532" t="e">
        <f t="shared" si="8"/>
        <v>#VALUE!</v>
      </c>
      <c r="E532" s="3" t="s">
        <v>1797</v>
      </c>
      <c r="F532" s="7" t="s">
        <v>2195</v>
      </c>
      <c r="G532" s="6">
        <v>2</v>
      </c>
      <c r="H532" s="6" t="s">
        <v>2196</v>
      </c>
      <c r="I532" s="6">
        <v>2</v>
      </c>
      <c r="J532" s="4">
        <v>43134</v>
      </c>
      <c r="K532" s="8">
        <v>43231</v>
      </c>
      <c r="L532" s="1" t="e">
        <f>IF(MATCH(C532,Wiki!B:B,0)&lt;&gt;0,TRUE,FALSE)</f>
        <v>#N/A</v>
      </c>
      <c r="M532" s="1" t="e">
        <f>INDEX(Wiki!K:K,MATCH('BOM2017'!C532,Wiki!B:B,0))</f>
        <v>#N/A</v>
      </c>
      <c r="N532" s="1" t="e">
        <f>IFERROR(M532,INDEX(Wiki!K:K,MATCH('BOM2017'!D532,Wiki!B:B,0)))</f>
        <v>#VALUE!</v>
      </c>
    </row>
    <row r="533" spans="2:14" x14ac:dyDescent="0.2">
      <c r="B533" s="6">
        <v>528</v>
      </c>
      <c r="C533" s="3" t="s">
        <v>285</v>
      </c>
      <c r="D533" t="str">
        <f t="shared" si="8"/>
        <v/>
      </c>
      <c r="E533" s="3" t="s">
        <v>2197</v>
      </c>
      <c r="F533" s="7" t="s">
        <v>2198</v>
      </c>
      <c r="G533" s="6">
        <v>31</v>
      </c>
      <c r="H533" s="6" t="s">
        <v>2199</v>
      </c>
      <c r="I533" s="6">
        <v>7</v>
      </c>
      <c r="J533" s="4">
        <v>43253</v>
      </c>
      <c r="K533" s="8">
        <v>43273</v>
      </c>
      <c r="L533" s="1" t="b">
        <f>IF(MATCH(C533,Wiki!B:B,0)&lt;&gt;0,TRUE,FALSE)</f>
        <v>1</v>
      </c>
      <c r="M533" s="1" t="str">
        <f>INDEX(Wiki!K:K,MATCH('BOM2017'!C533,Wiki!B:B,0))</f>
        <v>The_Recall</v>
      </c>
      <c r="N533" s="1" t="str">
        <f>IFERROR(M533,INDEX(Wiki!K:K,MATCH('BOM2017'!D533,Wiki!B:B,0)))</f>
        <v>The_Recall</v>
      </c>
    </row>
    <row r="534" spans="2:14" x14ac:dyDescent="0.2">
      <c r="B534" s="6">
        <v>529</v>
      </c>
      <c r="C534" s="3" t="s">
        <v>2200</v>
      </c>
      <c r="D534" t="e">
        <f t="shared" si="8"/>
        <v>#VALUE!</v>
      </c>
      <c r="E534" s="3" t="s">
        <v>1039</v>
      </c>
      <c r="F534" s="7" t="s">
        <v>2201</v>
      </c>
      <c r="G534" s="6">
        <v>6</v>
      </c>
      <c r="H534" s="6" t="s">
        <v>2202</v>
      </c>
      <c r="I534" s="6">
        <v>2</v>
      </c>
      <c r="J534" s="4">
        <v>43169</v>
      </c>
      <c r="K534" s="8">
        <v>43203</v>
      </c>
      <c r="L534" s="1" t="e">
        <f>IF(MATCH(C534,Wiki!B:B,0)&lt;&gt;0,TRUE,FALSE)</f>
        <v>#N/A</v>
      </c>
      <c r="M534" s="1" t="e">
        <f>INDEX(Wiki!K:K,MATCH('BOM2017'!C534,Wiki!B:B,0))</f>
        <v>#N/A</v>
      </c>
      <c r="N534" s="1" t="e">
        <f>IFERROR(M534,INDEX(Wiki!K:K,MATCH('BOM2017'!D534,Wiki!B:B,0)))</f>
        <v>#VALUE!</v>
      </c>
    </row>
    <row r="535" spans="2:14" x14ac:dyDescent="0.2">
      <c r="B535" s="6">
        <v>530</v>
      </c>
      <c r="C535" s="3" t="s">
        <v>2203</v>
      </c>
      <c r="D535" t="e">
        <f t="shared" si="8"/>
        <v>#VALUE!</v>
      </c>
      <c r="E535" s="3" t="s">
        <v>2204</v>
      </c>
      <c r="F535" s="7" t="s">
        <v>2205</v>
      </c>
      <c r="G535" s="6">
        <v>7</v>
      </c>
      <c r="H535" s="6" t="s">
        <v>2082</v>
      </c>
      <c r="I535" s="6">
        <v>1</v>
      </c>
      <c r="J535" s="4">
        <v>43379</v>
      </c>
      <c r="K535" s="8">
        <v>43402</v>
      </c>
      <c r="L535" s="1" t="e">
        <f>IF(MATCH(C535,Wiki!B:B,0)&lt;&gt;0,TRUE,FALSE)</f>
        <v>#N/A</v>
      </c>
      <c r="M535" s="1" t="e">
        <f>INDEX(Wiki!K:K,MATCH('BOM2017'!C535,Wiki!B:B,0))</f>
        <v>#N/A</v>
      </c>
      <c r="N535" s="1" t="e">
        <f>IFERROR(M535,INDEX(Wiki!K:K,MATCH('BOM2017'!D535,Wiki!B:B,0)))</f>
        <v>#VALUE!</v>
      </c>
    </row>
    <row r="536" spans="2:14" x14ac:dyDescent="0.2">
      <c r="B536" s="6">
        <v>531</v>
      </c>
      <c r="C536" s="3" t="s">
        <v>2206</v>
      </c>
      <c r="D536" t="e">
        <f t="shared" si="8"/>
        <v>#VALUE!</v>
      </c>
      <c r="E536" s="3" t="s">
        <v>1797</v>
      </c>
      <c r="F536" s="7" t="s">
        <v>2207</v>
      </c>
      <c r="G536" s="6">
        <v>3</v>
      </c>
      <c r="H536" s="6" t="s">
        <v>2208</v>
      </c>
      <c r="I536" s="6">
        <v>2</v>
      </c>
      <c r="J536" s="4">
        <v>43351</v>
      </c>
      <c r="K536" s="8">
        <v>43420</v>
      </c>
      <c r="L536" s="1" t="e">
        <f>IF(MATCH(C536,Wiki!B:B,0)&lt;&gt;0,TRUE,FALSE)</f>
        <v>#N/A</v>
      </c>
      <c r="M536" s="1" t="e">
        <f>INDEX(Wiki!K:K,MATCH('BOM2017'!C536,Wiki!B:B,0))</f>
        <v>#N/A</v>
      </c>
      <c r="N536" s="1" t="e">
        <f>IFERROR(M536,INDEX(Wiki!K:K,MATCH('BOM2017'!D536,Wiki!B:B,0)))</f>
        <v>#VALUE!</v>
      </c>
    </row>
    <row r="537" spans="2:14" x14ac:dyDescent="0.2">
      <c r="B537" s="6">
        <v>532</v>
      </c>
      <c r="C537" s="3" t="s">
        <v>2209</v>
      </c>
      <c r="D537" t="e">
        <f t="shared" si="8"/>
        <v>#VALUE!</v>
      </c>
      <c r="E537" s="3" t="s">
        <v>1804</v>
      </c>
      <c r="F537" s="7" t="s">
        <v>2210</v>
      </c>
      <c r="G537" s="6">
        <v>8</v>
      </c>
      <c r="H537" s="6" t="s">
        <v>2211</v>
      </c>
      <c r="I537" s="6">
        <v>1</v>
      </c>
      <c r="J537" s="4">
        <v>43197</v>
      </c>
      <c r="K537" s="8">
        <v>43315</v>
      </c>
      <c r="L537" s="1" t="e">
        <f>IF(MATCH(C537,Wiki!B:B,0)&lt;&gt;0,TRUE,FALSE)</f>
        <v>#N/A</v>
      </c>
      <c r="M537" s="1" t="e">
        <f>INDEX(Wiki!K:K,MATCH('BOM2017'!C537,Wiki!B:B,0))</f>
        <v>#N/A</v>
      </c>
      <c r="N537" s="1" t="e">
        <f>IFERROR(M537,INDEX(Wiki!K:K,MATCH('BOM2017'!D537,Wiki!B:B,0)))</f>
        <v>#VALUE!</v>
      </c>
    </row>
    <row r="538" spans="2:14" x14ac:dyDescent="0.2">
      <c r="B538" s="6">
        <v>533</v>
      </c>
      <c r="C538" s="3" t="s">
        <v>2212</v>
      </c>
      <c r="D538" t="e">
        <f t="shared" si="8"/>
        <v>#VALUE!</v>
      </c>
      <c r="E538" s="3" t="s">
        <v>1248</v>
      </c>
      <c r="F538" s="7" t="s">
        <v>2213</v>
      </c>
      <c r="G538" s="6">
        <v>3</v>
      </c>
      <c r="H538" s="6" t="s">
        <v>2214</v>
      </c>
      <c r="I538" s="6">
        <v>2</v>
      </c>
      <c r="J538" s="4">
        <v>43379</v>
      </c>
      <c r="K538" s="8">
        <v>43409</v>
      </c>
      <c r="L538" s="1" t="e">
        <f>IF(MATCH(C538,Wiki!B:B,0)&lt;&gt;0,TRUE,FALSE)</f>
        <v>#N/A</v>
      </c>
      <c r="M538" s="1" t="e">
        <f>INDEX(Wiki!K:K,MATCH('BOM2017'!C538,Wiki!B:B,0))</f>
        <v>#N/A</v>
      </c>
      <c r="N538" s="1" t="e">
        <f>IFERROR(M538,INDEX(Wiki!K:K,MATCH('BOM2017'!D538,Wiki!B:B,0)))</f>
        <v>#VALUE!</v>
      </c>
    </row>
    <row r="539" spans="2:14" x14ac:dyDescent="0.2">
      <c r="B539" s="6">
        <v>534</v>
      </c>
      <c r="C539" s="3" t="s">
        <v>2215</v>
      </c>
      <c r="D539" t="str">
        <f t="shared" si="8"/>
        <v>The Passion of Joan of Arc</v>
      </c>
      <c r="E539" s="3" t="s">
        <v>1576</v>
      </c>
      <c r="F539" s="7" t="s">
        <v>2216</v>
      </c>
      <c r="G539" s="6">
        <v>1</v>
      </c>
      <c r="H539" s="6" t="s">
        <v>2217</v>
      </c>
      <c r="I539" s="6">
        <v>1</v>
      </c>
      <c r="J539" s="4">
        <v>43428</v>
      </c>
      <c r="K539" s="8">
        <v>43441</v>
      </c>
      <c r="L539" s="1" t="e">
        <f>IF(MATCH(C539,Wiki!B:B,0)&lt;&gt;0,TRUE,FALSE)</f>
        <v>#N/A</v>
      </c>
      <c r="M539" s="1" t="e">
        <f>INDEX(Wiki!K:K,MATCH('BOM2017'!C539,Wiki!B:B,0))</f>
        <v>#N/A</v>
      </c>
      <c r="N539" s="1" t="e">
        <f>IFERROR(M539,INDEX(Wiki!K:K,MATCH('BOM2017'!D539,Wiki!B:B,0)))</f>
        <v>#N/A</v>
      </c>
    </row>
    <row r="540" spans="2:14" x14ac:dyDescent="0.2">
      <c r="B540" s="6">
        <v>535</v>
      </c>
      <c r="C540" s="3" t="s">
        <v>2218</v>
      </c>
      <c r="D540" t="e">
        <f t="shared" si="8"/>
        <v>#VALUE!</v>
      </c>
      <c r="E540" s="3" t="s">
        <v>1559</v>
      </c>
      <c r="F540" s="7" t="s">
        <v>2219</v>
      </c>
      <c r="G540" s="6">
        <v>7</v>
      </c>
      <c r="H540" s="6" t="s">
        <v>2220</v>
      </c>
      <c r="I540" s="6">
        <v>1</v>
      </c>
      <c r="J540" s="4">
        <v>43302</v>
      </c>
      <c r="K540" s="8">
        <v>43367</v>
      </c>
      <c r="L540" s="1" t="e">
        <f>IF(MATCH(C540,Wiki!B:B,0)&lt;&gt;0,TRUE,FALSE)</f>
        <v>#N/A</v>
      </c>
      <c r="M540" s="1" t="e">
        <f>INDEX(Wiki!K:K,MATCH('BOM2017'!C540,Wiki!B:B,0))</f>
        <v>#N/A</v>
      </c>
      <c r="N540" s="1" t="e">
        <f>IFERROR(M540,INDEX(Wiki!K:K,MATCH('BOM2017'!D540,Wiki!B:B,0)))</f>
        <v>#VALUE!</v>
      </c>
    </row>
    <row r="541" spans="2:14" x14ac:dyDescent="0.2">
      <c r="B541" s="6">
        <v>536</v>
      </c>
      <c r="C541" s="3" t="s">
        <v>2221</v>
      </c>
      <c r="D541" t="e">
        <f t="shared" si="8"/>
        <v>#VALUE!</v>
      </c>
      <c r="E541" s="3" t="s">
        <v>1095</v>
      </c>
      <c r="F541" s="7" t="s">
        <v>2222</v>
      </c>
      <c r="G541" s="6">
        <v>21</v>
      </c>
      <c r="H541" s="6" t="s">
        <v>2223</v>
      </c>
      <c r="I541" s="6">
        <v>1</v>
      </c>
      <c r="J541" s="4">
        <v>43351</v>
      </c>
      <c r="K541" s="8">
        <v>43399</v>
      </c>
      <c r="L541" s="1" t="e">
        <f>IF(MATCH(C541,Wiki!B:B,0)&lt;&gt;0,TRUE,FALSE)</f>
        <v>#N/A</v>
      </c>
      <c r="M541" s="1" t="e">
        <f>INDEX(Wiki!K:K,MATCH('BOM2017'!C541,Wiki!B:B,0))</f>
        <v>#N/A</v>
      </c>
      <c r="N541" s="1" t="e">
        <f>IFERROR(M541,INDEX(Wiki!K:K,MATCH('BOM2017'!D541,Wiki!B:B,0)))</f>
        <v>#VALUE!</v>
      </c>
    </row>
    <row r="542" spans="2:14" x14ac:dyDescent="0.2">
      <c r="B542" s="6">
        <v>537</v>
      </c>
      <c r="C542" s="3" t="s">
        <v>2224</v>
      </c>
      <c r="D542" t="e">
        <f t="shared" si="8"/>
        <v>#VALUE!</v>
      </c>
      <c r="E542" s="3" t="s">
        <v>2024</v>
      </c>
      <c r="F542" s="7" t="s">
        <v>2225</v>
      </c>
      <c r="G542" s="6">
        <v>6</v>
      </c>
      <c r="H542" s="6" t="s">
        <v>1159</v>
      </c>
      <c r="I542" s="6" t="s">
        <v>1159</v>
      </c>
      <c r="J542" s="4">
        <v>43190</v>
      </c>
      <c r="K542" s="8">
        <v>43231</v>
      </c>
      <c r="L542" s="1" t="e">
        <f>IF(MATCH(C542,Wiki!B:B,0)&lt;&gt;0,TRUE,FALSE)</f>
        <v>#N/A</v>
      </c>
      <c r="M542" s="1" t="e">
        <f>INDEX(Wiki!K:K,MATCH('BOM2017'!C542,Wiki!B:B,0))</f>
        <v>#N/A</v>
      </c>
      <c r="N542" s="1" t="e">
        <f>IFERROR(M542,INDEX(Wiki!K:K,MATCH('BOM2017'!D542,Wiki!B:B,0)))</f>
        <v>#VALUE!</v>
      </c>
    </row>
    <row r="543" spans="2:14" x14ac:dyDescent="0.2">
      <c r="B543" s="6">
        <v>538</v>
      </c>
      <c r="C543" s="3" t="s">
        <v>2226</v>
      </c>
      <c r="D543" t="e">
        <f t="shared" si="8"/>
        <v>#VALUE!</v>
      </c>
      <c r="E543" s="3" t="s">
        <v>1797</v>
      </c>
      <c r="F543" s="7" t="s">
        <v>2227</v>
      </c>
      <c r="G543" s="6">
        <v>3</v>
      </c>
      <c r="H543" s="6" t="s">
        <v>2228</v>
      </c>
      <c r="I543" s="6">
        <v>1</v>
      </c>
      <c r="J543" s="4">
        <v>43127</v>
      </c>
      <c r="K543" s="8">
        <v>43231</v>
      </c>
      <c r="L543" s="1" t="e">
        <f>IF(MATCH(C543,Wiki!B:B,0)&lt;&gt;0,TRUE,FALSE)</f>
        <v>#N/A</v>
      </c>
      <c r="M543" s="1" t="e">
        <f>INDEX(Wiki!K:K,MATCH('BOM2017'!C543,Wiki!B:B,0))</f>
        <v>#N/A</v>
      </c>
      <c r="N543" s="1" t="e">
        <f>IFERROR(M543,INDEX(Wiki!K:K,MATCH('BOM2017'!D543,Wiki!B:B,0)))</f>
        <v>#VALUE!</v>
      </c>
    </row>
    <row r="544" spans="2:14" x14ac:dyDescent="0.2">
      <c r="B544" s="6">
        <v>539</v>
      </c>
      <c r="C544" s="3" t="s">
        <v>2229</v>
      </c>
      <c r="D544" t="e">
        <f t="shared" si="8"/>
        <v>#VALUE!</v>
      </c>
      <c r="E544" s="3" t="s">
        <v>1797</v>
      </c>
      <c r="F544" s="7" t="s">
        <v>2230</v>
      </c>
      <c r="G544" s="6">
        <v>3</v>
      </c>
      <c r="H544" s="6" t="s">
        <v>2231</v>
      </c>
      <c r="I544" s="6">
        <v>3</v>
      </c>
      <c r="J544" s="4">
        <v>43274</v>
      </c>
      <c r="K544" s="8">
        <v>43343</v>
      </c>
      <c r="L544" s="1" t="e">
        <f>IF(MATCH(C544,Wiki!B:B,0)&lt;&gt;0,TRUE,FALSE)</f>
        <v>#N/A</v>
      </c>
      <c r="M544" s="1" t="e">
        <f>INDEX(Wiki!K:K,MATCH('BOM2017'!C544,Wiki!B:B,0))</f>
        <v>#N/A</v>
      </c>
      <c r="N544" s="1" t="e">
        <f>IFERROR(M544,INDEX(Wiki!K:K,MATCH('BOM2017'!D544,Wiki!B:B,0)))</f>
        <v>#VALUE!</v>
      </c>
    </row>
    <row r="545" spans="2:14" x14ac:dyDescent="0.2">
      <c r="B545" s="6">
        <v>540</v>
      </c>
      <c r="C545" s="3" t="s">
        <v>2232</v>
      </c>
      <c r="D545" t="e">
        <f t="shared" si="8"/>
        <v>#VALUE!</v>
      </c>
      <c r="E545" s="3" t="s">
        <v>1649</v>
      </c>
      <c r="F545" s="7" t="s">
        <v>2233</v>
      </c>
      <c r="G545" s="6">
        <v>4</v>
      </c>
      <c r="H545" s="6" t="s">
        <v>1159</v>
      </c>
      <c r="I545" s="6" t="s">
        <v>1159</v>
      </c>
      <c r="J545" s="4">
        <v>43232</v>
      </c>
      <c r="K545" s="8">
        <v>43336</v>
      </c>
      <c r="L545" s="1" t="e">
        <f>IF(MATCH(C545,Wiki!B:B,0)&lt;&gt;0,TRUE,FALSE)</f>
        <v>#N/A</v>
      </c>
      <c r="M545" s="1" t="e">
        <f>INDEX(Wiki!K:K,MATCH('BOM2017'!C545,Wiki!B:B,0))</f>
        <v>#N/A</v>
      </c>
      <c r="N545" s="1" t="e">
        <f>IFERROR(M545,INDEX(Wiki!K:K,MATCH('BOM2017'!D545,Wiki!B:B,0)))</f>
        <v>#VALUE!</v>
      </c>
    </row>
    <row r="546" spans="2:14" x14ac:dyDescent="0.2">
      <c r="B546" s="6">
        <v>541</v>
      </c>
      <c r="C546" s="3" t="s">
        <v>2234</v>
      </c>
      <c r="D546" t="e">
        <f t="shared" si="8"/>
        <v>#VALUE!</v>
      </c>
      <c r="E546" s="3" t="s">
        <v>1797</v>
      </c>
      <c r="F546" s="7" t="s">
        <v>2235</v>
      </c>
      <c r="G546" s="6">
        <v>5</v>
      </c>
      <c r="H546" s="6" t="s">
        <v>2236</v>
      </c>
      <c r="I546" s="6">
        <v>3</v>
      </c>
      <c r="J546" s="4">
        <v>43295</v>
      </c>
      <c r="K546" s="8">
        <v>43364</v>
      </c>
      <c r="L546" s="1" t="e">
        <f>IF(MATCH(C546,Wiki!B:B,0)&lt;&gt;0,TRUE,FALSE)</f>
        <v>#N/A</v>
      </c>
      <c r="M546" s="1" t="e">
        <f>INDEX(Wiki!K:K,MATCH('BOM2017'!C546,Wiki!B:B,0))</f>
        <v>#N/A</v>
      </c>
      <c r="N546" s="1" t="e">
        <f>IFERROR(M546,INDEX(Wiki!K:K,MATCH('BOM2017'!D546,Wiki!B:B,0)))</f>
        <v>#VALUE!</v>
      </c>
    </row>
    <row r="547" spans="2:14" x14ac:dyDescent="0.2">
      <c r="B547" s="6">
        <v>542</v>
      </c>
      <c r="C547" s="3" t="s">
        <v>2237</v>
      </c>
      <c r="D547" t="e">
        <f t="shared" si="8"/>
        <v>#VALUE!</v>
      </c>
      <c r="E547" s="3" t="s">
        <v>1095</v>
      </c>
      <c r="F547" s="7" t="s">
        <v>2238</v>
      </c>
      <c r="G547" s="6">
        <v>5</v>
      </c>
      <c r="H547" s="6" t="s">
        <v>1159</v>
      </c>
      <c r="I547" s="6">
        <v>3</v>
      </c>
      <c r="J547" s="4">
        <v>43197</v>
      </c>
      <c r="K547" s="8">
        <v>43238</v>
      </c>
      <c r="L547" s="1" t="e">
        <f>IF(MATCH(C547,Wiki!B:B,0)&lt;&gt;0,TRUE,FALSE)</f>
        <v>#N/A</v>
      </c>
      <c r="M547" s="1" t="e">
        <f>INDEX(Wiki!K:K,MATCH('BOM2017'!C547,Wiki!B:B,0))</f>
        <v>#N/A</v>
      </c>
      <c r="N547" s="1" t="e">
        <f>IFERROR(M547,INDEX(Wiki!K:K,MATCH('BOM2017'!D547,Wiki!B:B,0)))</f>
        <v>#VALUE!</v>
      </c>
    </row>
    <row r="548" spans="2:14" x14ac:dyDescent="0.2">
      <c r="B548" s="6">
        <v>543</v>
      </c>
      <c r="C548" s="3" t="s">
        <v>183</v>
      </c>
      <c r="D548" t="str">
        <f t="shared" si="8"/>
        <v/>
      </c>
      <c r="E548" s="3" t="s">
        <v>38</v>
      </c>
      <c r="F548" s="7" t="s">
        <v>2239</v>
      </c>
      <c r="G548" s="6">
        <v>26</v>
      </c>
      <c r="H548" s="6" t="s">
        <v>2240</v>
      </c>
      <c r="I548" s="6">
        <v>26</v>
      </c>
      <c r="J548" s="4">
        <v>43190</v>
      </c>
      <c r="K548" s="8">
        <v>43203</v>
      </c>
      <c r="L548" s="1" t="b">
        <f>IF(MATCH(C548,Wiki!B:B,0)&lt;&gt;0,TRUE,FALSE)</f>
        <v>1</v>
      </c>
      <c r="M548" s="1" t="str">
        <f>INDEX(Wiki!K:K,MATCH('BOM2017'!C548,Wiki!B:B,0))</f>
        <v>The_Blackcoat%27s_Daughter</v>
      </c>
      <c r="N548" s="1" t="str">
        <f>IFERROR(M548,INDEX(Wiki!K:K,MATCH('BOM2017'!D548,Wiki!B:B,0)))</f>
        <v>The_Blackcoat%27s_Daughter</v>
      </c>
    </row>
    <row r="549" spans="2:14" x14ac:dyDescent="0.2">
      <c r="B549" s="6">
        <v>544</v>
      </c>
      <c r="C549" s="3" t="s">
        <v>2241</v>
      </c>
      <c r="D549" t="e">
        <f t="shared" si="8"/>
        <v>#VALUE!</v>
      </c>
      <c r="E549" s="3" t="s">
        <v>1235</v>
      </c>
      <c r="F549" s="7" t="s">
        <v>2242</v>
      </c>
      <c r="G549" s="6">
        <v>11</v>
      </c>
      <c r="H549" s="6" t="s">
        <v>2243</v>
      </c>
      <c r="I549" s="6">
        <v>11</v>
      </c>
      <c r="J549" s="4">
        <v>43393</v>
      </c>
      <c r="K549" s="8">
        <v>43406</v>
      </c>
      <c r="L549" s="1" t="e">
        <f>IF(MATCH(C549,Wiki!B:B,0)&lt;&gt;0,TRUE,FALSE)</f>
        <v>#N/A</v>
      </c>
      <c r="M549" s="1" t="e">
        <f>INDEX(Wiki!K:K,MATCH('BOM2017'!C549,Wiki!B:B,0))</f>
        <v>#N/A</v>
      </c>
      <c r="N549" s="1" t="e">
        <f>IFERROR(M549,INDEX(Wiki!K:K,MATCH('BOM2017'!D549,Wiki!B:B,0)))</f>
        <v>#VALUE!</v>
      </c>
    </row>
    <row r="550" spans="2:14" x14ac:dyDescent="0.2">
      <c r="B550" s="6">
        <v>545</v>
      </c>
      <c r="C550" s="3" t="s">
        <v>2244</v>
      </c>
      <c r="D550" t="e">
        <f t="shared" si="8"/>
        <v>#VALUE!</v>
      </c>
      <c r="E550" s="3" t="s">
        <v>1235</v>
      </c>
      <c r="F550" s="7" t="s">
        <v>2245</v>
      </c>
      <c r="G550" s="6">
        <v>25</v>
      </c>
      <c r="H550" s="6" t="s">
        <v>2246</v>
      </c>
      <c r="I550" s="6">
        <v>25</v>
      </c>
      <c r="J550" s="4">
        <v>43379</v>
      </c>
      <c r="K550" s="8">
        <v>43399</v>
      </c>
      <c r="L550" s="1" t="e">
        <f>IF(MATCH(C550,Wiki!B:B,0)&lt;&gt;0,TRUE,FALSE)</f>
        <v>#N/A</v>
      </c>
      <c r="M550" s="1" t="e">
        <f>INDEX(Wiki!K:K,MATCH('BOM2017'!C550,Wiki!B:B,0))</f>
        <v>#N/A</v>
      </c>
      <c r="N550" s="1" t="e">
        <f>IFERROR(M550,INDEX(Wiki!K:K,MATCH('BOM2017'!D550,Wiki!B:B,0)))</f>
        <v>#VALUE!</v>
      </c>
    </row>
    <row r="551" spans="2:14" x14ac:dyDescent="0.2">
      <c r="B551" s="6">
        <v>546</v>
      </c>
      <c r="C551" s="3" t="s">
        <v>2247</v>
      </c>
      <c r="D551" t="e">
        <f t="shared" si="8"/>
        <v>#VALUE!</v>
      </c>
      <c r="E551" s="3" t="s">
        <v>1797</v>
      </c>
      <c r="F551" s="7" t="s">
        <v>2248</v>
      </c>
      <c r="G551" s="6">
        <v>2</v>
      </c>
      <c r="H551" s="6" t="s">
        <v>2249</v>
      </c>
      <c r="I551" s="6">
        <v>2</v>
      </c>
      <c r="J551" s="4">
        <v>43351</v>
      </c>
      <c r="K551" s="8">
        <v>43427</v>
      </c>
      <c r="L551" s="1" t="e">
        <f>IF(MATCH(C551,Wiki!B:B,0)&lt;&gt;0,TRUE,FALSE)</f>
        <v>#N/A</v>
      </c>
      <c r="M551" s="1" t="e">
        <f>INDEX(Wiki!K:K,MATCH('BOM2017'!C551,Wiki!B:B,0))</f>
        <v>#N/A</v>
      </c>
      <c r="N551" s="1" t="e">
        <f>IFERROR(M551,INDEX(Wiki!K:K,MATCH('BOM2017'!D551,Wiki!B:B,0)))</f>
        <v>#VALUE!</v>
      </c>
    </row>
    <row r="552" spans="2:14" x14ac:dyDescent="0.2">
      <c r="B552" s="6">
        <v>547</v>
      </c>
      <c r="C552" s="3" t="s">
        <v>2250</v>
      </c>
      <c r="D552" t="str">
        <f t="shared" si="8"/>
        <v>Heat and Dust</v>
      </c>
      <c r="E552" s="3" t="s">
        <v>1175</v>
      </c>
      <c r="F552" s="7" t="s">
        <v>2251</v>
      </c>
      <c r="G552" s="6">
        <v>4</v>
      </c>
      <c r="H552" s="6" t="s">
        <v>2252</v>
      </c>
      <c r="I552" s="6">
        <v>4</v>
      </c>
      <c r="J552" s="4">
        <v>43344</v>
      </c>
      <c r="K552" s="8">
        <v>43353</v>
      </c>
      <c r="L552" s="1" t="e">
        <f>IF(MATCH(C552,Wiki!B:B,0)&lt;&gt;0,TRUE,FALSE)</f>
        <v>#N/A</v>
      </c>
      <c r="M552" s="1" t="e">
        <f>INDEX(Wiki!K:K,MATCH('BOM2017'!C552,Wiki!B:B,0))</f>
        <v>#N/A</v>
      </c>
      <c r="N552" s="1" t="e">
        <f>IFERROR(M552,INDEX(Wiki!K:K,MATCH('BOM2017'!D552,Wiki!B:B,0)))</f>
        <v>#N/A</v>
      </c>
    </row>
    <row r="553" spans="2:14" x14ac:dyDescent="0.2">
      <c r="B553" s="6">
        <v>548</v>
      </c>
      <c r="C553" s="3" t="s">
        <v>2253</v>
      </c>
      <c r="D553" t="e">
        <f t="shared" si="8"/>
        <v>#VALUE!</v>
      </c>
      <c r="E553" s="3" t="s">
        <v>2254</v>
      </c>
      <c r="F553" s="7" t="s">
        <v>2255</v>
      </c>
      <c r="G553" s="6">
        <v>17</v>
      </c>
      <c r="H553" s="6" t="s">
        <v>2256</v>
      </c>
      <c r="I553" s="6">
        <v>17</v>
      </c>
      <c r="J553" s="4">
        <v>43379</v>
      </c>
      <c r="K553" s="6" t="s">
        <v>558</v>
      </c>
      <c r="L553" s="1" t="e">
        <f>IF(MATCH(C553,Wiki!B:B,0)&lt;&gt;0,TRUE,FALSE)</f>
        <v>#N/A</v>
      </c>
      <c r="M553" s="1" t="e">
        <f>INDEX(Wiki!K:K,MATCH('BOM2017'!C553,Wiki!B:B,0))</f>
        <v>#N/A</v>
      </c>
      <c r="N553" s="1" t="e">
        <f>IFERROR(M553,INDEX(Wiki!K:K,MATCH('BOM2017'!D553,Wiki!B:B,0)))</f>
        <v>#VALUE!</v>
      </c>
    </row>
    <row r="554" spans="2:14" x14ac:dyDescent="0.2">
      <c r="B554" s="6">
        <v>549</v>
      </c>
      <c r="C554" s="3" t="s">
        <v>2257</v>
      </c>
      <c r="D554" t="str">
        <f t="shared" si="8"/>
        <v>L'important C'est D'aimer</v>
      </c>
      <c r="E554" s="3" t="s">
        <v>1942</v>
      </c>
      <c r="F554" s="7" t="s">
        <v>2258</v>
      </c>
      <c r="G554" s="6">
        <v>2</v>
      </c>
      <c r="H554" s="6" t="s">
        <v>2259</v>
      </c>
      <c r="I554" s="6">
        <v>1</v>
      </c>
      <c r="J554" s="4">
        <v>43295</v>
      </c>
      <c r="K554" s="8">
        <v>43371</v>
      </c>
      <c r="L554" s="1" t="e">
        <f>IF(MATCH(C554,Wiki!B:B,0)&lt;&gt;0,TRUE,FALSE)</f>
        <v>#N/A</v>
      </c>
      <c r="M554" s="1" t="e">
        <f>INDEX(Wiki!K:K,MATCH('BOM2017'!C554,Wiki!B:B,0))</f>
        <v>#N/A</v>
      </c>
      <c r="N554" s="1" t="e">
        <f>IFERROR(M554,INDEX(Wiki!K:K,MATCH('BOM2017'!D554,Wiki!B:B,0)))</f>
        <v>#N/A</v>
      </c>
    </row>
    <row r="555" spans="2:14" x14ac:dyDescent="0.2">
      <c r="B555" s="6">
        <v>550</v>
      </c>
      <c r="C555" s="3" t="s">
        <v>2260</v>
      </c>
      <c r="D555" t="e">
        <f t="shared" si="8"/>
        <v>#VALUE!</v>
      </c>
      <c r="E555" s="3" t="s">
        <v>1095</v>
      </c>
      <c r="F555" s="7" t="s">
        <v>2261</v>
      </c>
      <c r="G555" s="6">
        <v>6</v>
      </c>
      <c r="H555" s="6" t="s">
        <v>2262</v>
      </c>
      <c r="I555" s="6">
        <v>6</v>
      </c>
      <c r="J555" s="4">
        <v>43190</v>
      </c>
      <c r="K555" s="8">
        <v>43203</v>
      </c>
      <c r="L555" s="1" t="e">
        <f>IF(MATCH(C555,Wiki!B:B,0)&lt;&gt;0,TRUE,FALSE)</f>
        <v>#N/A</v>
      </c>
      <c r="M555" s="1" t="e">
        <f>INDEX(Wiki!K:K,MATCH('BOM2017'!C555,Wiki!B:B,0))</f>
        <v>#N/A</v>
      </c>
      <c r="N555" s="1" t="e">
        <f>IFERROR(M555,INDEX(Wiki!K:K,MATCH('BOM2017'!D555,Wiki!B:B,0)))</f>
        <v>#VALUE!</v>
      </c>
    </row>
    <row r="556" spans="2:14" x14ac:dyDescent="0.2">
      <c r="B556" s="6">
        <v>551</v>
      </c>
      <c r="C556" s="3" t="s">
        <v>2263</v>
      </c>
      <c r="D556" t="e">
        <f t="shared" si="8"/>
        <v>#VALUE!</v>
      </c>
      <c r="E556" s="3" t="s">
        <v>1797</v>
      </c>
      <c r="F556" s="7" t="s">
        <v>2264</v>
      </c>
      <c r="G556" s="6">
        <v>3</v>
      </c>
      <c r="H556" s="6" t="s">
        <v>2265</v>
      </c>
      <c r="I556" s="6">
        <v>3</v>
      </c>
      <c r="J556" s="4">
        <v>43455</v>
      </c>
      <c r="K556" s="6" t="s">
        <v>558</v>
      </c>
      <c r="L556" s="1" t="e">
        <f>IF(MATCH(C556,Wiki!B:B,0)&lt;&gt;0,TRUE,FALSE)</f>
        <v>#N/A</v>
      </c>
      <c r="M556" s="1" t="e">
        <f>INDEX(Wiki!K:K,MATCH('BOM2017'!C556,Wiki!B:B,0))</f>
        <v>#N/A</v>
      </c>
      <c r="N556" s="1" t="e">
        <f>IFERROR(M556,INDEX(Wiki!K:K,MATCH('BOM2017'!D556,Wiki!B:B,0)))</f>
        <v>#VALUE!</v>
      </c>
    </row>
    <row r="557" spans="2:14" x14ac:dyDescent="0.2">
      <c r="B557" s="6">
        <v>552</v>
      </c>
      <c r="C557" s="3" t="s">
        <v>2266</v>
      </c>
      <c r="D557" t="e">
        <f t="shared" si="8"/>
        <v>#VALUE!</v>
      </c>
      <c r="E557" s="3" t="s">
        <v>1142</v>
      </c>
      <c r="F557" s="7" t="s">
        <v>2267</v>
      </c>
      <c r="G557" s="6">
        <v>3</v>
      </c>
      <c r="H557" s="6" t="s">
        <v>2268</v>
      </c>
      <c r="I557" s="6">
        <v>1</v>
      </c>
      <c r="J557" s="4">
        <v>43365</v>
      </c>
      <c r="K557" s="8">
        <v>43409</v>
      </c>
      <c r="L557" s="1" t="e">
        <f>IF(MATCH(C557,Wiki!B:B,0)&lt;&gt;0,TRUE,FALSE)</f>
        <v>#N/A</v>
      </c>
      <c r="M557" s="1" t="e">
        <f>INDEX(Wiki!K:K,MATCH('BOM2017'!C557,Wiki!B:B,0))</f>
        <v>#N/A</v>
      </c>
      <c r="N557" s="1" t="e">
        <f>IFERROR(M557,INDEX(Wiki!K:K,MATCH('BOM2017'!D557,Wiki!B:B,0)))</f>
        <v>#VALUE!</v>
      </c>
    </row>
    <row r="558" spans="2:14" x14ac:dyDescent="0.2">
      <c r="B558" s="6">
        <v>553</v>
      </c>
      <c r="C558" s="3" t="s">
        <v>2269</v>
      </c>
      <c r="D558" t="e">
        <f t="shared" si="8"/>
        <v>#VALUE!</v>
      </c>
      <c r="E558" s="3" t="s">
        <v>2270</v>
      </c>
      <c r="F558" s="7" t="s">
        <v>2271</v>
      </c>
      <c r="G558" s="6">
        <v>1</v>
      </c>
      <c r="H558" s="6" t="s">
        <v>2272</v>
      </c>
      <c r="I558" s="6">
        <v>1</v>
      </c>
      <c r="J558" s="4">
        <v>43274</v>
      </c>
      <c r="K558" s="8">
        <v>43290</v>
      </c>
      <c r="L558" s="1" t="e">
        <f>IF(MATCH(C558,Wiki!B:B,0)&lt;&gt;0,TRUE,FALSE)</f>
        <v>#N/A</v>
      </c>
      <c r="M558" s="1" t="e">
        <f>INDEX(Wiki!K:K,MATCH('BOM2017'!C558,Wiki!B:B,0))</f>
        <v>#N/A</v>
      </c>
      <c r="N558" s="1" t="e">
        <f>IFERROR(M558,INDEX(Wiki!K:K,MATCH('BOM2017'!D558,Wiki!B:B,0)))</f>
        <v>#VALUE!</v>
      </c>
    </row>
    <row r="559" spans="2:14" x14ac:dyDescent="0.2">
      <c r="B559" s="6">
        <v>554</v>
      </c>
      <c r="C559" s="3" t="s">
        <v>2273</v>
      </c>
      <c r="D559" t="e">
        <f t="shared" si="8"/>
        <v>#VALUE!</v>
      </c>
      <c r="E559" s="3" t="s">
        <v>1039</v>
      </c>
      <c r="F559" s="7" t="s">
        <v>2274</v>
      </c>
      <c r="G559" s="6">
        <v>13</v>
      </c>
      <c r="H559" s="6" t="s">
        <v>2275</v>
      </c>
      <c r="I559" s="6">
        <v>2</v>
      </c>
      <c r="J559" s="4">
        <v>43225</v>
      </c>
      <c r="K559" s="8">
        <v>43252</v>
      </c>
      <c r="L559" s="1" t="e">
        <f>IF(MATCH(C559,Wiki!B:B,0)&lt;&gt;0,TRUE,FALSE)</f>
        <v>#N/A</v>
      </c>
      <c r="M559" s="1" t="e">
        <f>INDEX(Wiki!K:K,MATCH('BOM2017'!C559,Wiki!B:B,0))</f>
        <v>#N/A</v>
      </c>
      <c r="N559" s="1" t="e">
        <f>IFERROR(M559,INDEX(Wiki!K:K,MATCH('BOM2017'!D559,Wiki!B:B,0)))</f>
        <v>#VALUE!</v>
      </c>
    </row>
    <row r="560" spans="2:14" x14ac:dyDescent="0.2">
      <c r="B560" s="6">
        <v>555</v>
      </c>
      <c r="C560" s="3" t="s">
        <v>2276</v>
      </c>
      <c r="D560" t="str">
        <f t="shared" si="8"/>
        <v>Glory</v>
      </c>
      <c r="E560" s="3" t="s">
        <v>1572</v>
      </c>
      <c r="F560" s="7" t="s">
        <v>2277</v>
      </c>
      <c r="G560" s="6">
        <v>2</v>
      </c>
      <c r="H560" s="6" t="s">
        <v>2278</v>
      </c>
      <c r="I560" s="6">
        <v>2</v>
      </c>
      <c r="J560" s="4">
        <v>43202</v>
      </c>
      <c r="K560" s="8">
        <v>43308</v>
      </c>
      <c r="L560" s="1" t="e">
        <f>IF(MATCH(C560,Wiki!B:B,0)&lt;&gt;0,TRUE,FALSE)</f>
        <v>#N/A</v>
      </c>
      <c r="M560" s="1" t="e">
        <f>INDEX(Wiki!K:K,MATCH('BOM2017'!C560,Wiki!B:B,0))</f>
        <v>#N/A</v>
      </c>
      <c r="N560" s="1" t="e">
        <f>IFERROR(M560,INDEX(Wiki!K:K,MATCH('BOM2017'!D560,Wiki!B:B,0)))</f>
        <v>#N/A</v>
      </c>
    </row>
    <row r="561" spans="2:14" x14ac:dyDescent="0.2">
      <c r="B561" s="6">
        <v>556</v>
      </c>
      <c r="C561" s="7" t="s">
        <v>2279</v>
      </c>
      <c r="D561" t="e">
        <f t="shared" si="8"/>
        <v>#VALUE!</v>
      </c>
      <c r="E561" s="3" t="s">
        <v>1532</v>
      </c>
      <c r="F561" s="7" t="s">
        <v>2280</v>
      </c>
      <c r="G561" s="6">
        <v>1</v>
      </c>
      <c r="H561" s="6" t="s">
        <v>1159</v>
      </c>
      <c r="I561" s="6" t="s">
        <v>1159</v>
      </c>
      <c r="J561" s="4">
        <v>43170</v>
      </c>
      <c r="K561" s="8">
        <v>43364</v>
      </c>
      <c r="L561" s="1" t="e">
        <f>IF(MATCH(C561,Wiki!B:B,0)&lt;&gt;0,TRUE,FALSE)</f>
        <v>#N/A</v>
      </c>
      <c r="M561" s="1" t="e">
        <f>INDEX(Wiki!K:K,MATCH('BOM2017'!C561,Wiki!B:B,0))</f>
        <v>#N/A</v>
      </c>
      <c r="N561" s="1" t="e">
        <f>IFERROR(M561,INDEX(Wiki!K:K,MATCH('BOM2017'!D561,Wiki!B:B,0)))</f>
        <v>#VALUE!</v>
      </c>
    </row>
    <row r="562" spans="2:14" x14ac:dyDescent="0.2">
      <c r="B562" s="6">
        <v>557</v>
      </c>
      <c r="C562" s="3" t="s">
        <v>2281</v>
      </c>
      <c r="D562" t="e">
        <f t="shared" si="8"/>
        <v>#VALUE!</v>
      </c>
      <c r="E562" s="3" t="s">
        <v>2282</v>
      </c>
      <c r="F562" s="7" t="s">
        <v>2283</v>
      </c>
      <c r="G562" s="6">
        <v>12</v>
      </c>
      <c r="H562" s="6" t="s">
        <v>2284</v>
      </c>
      <c r="I562" s="6">
        <v>1</v>
      </c>
      <c r="J562" s="4">
        <v>43400</v>
      </c>
      <c r="K562" s="8">
        <v>43451</v>
      </c>
      <c r="L562" s="1" t="e">
        <f>IF(MATCH(C562,Wiki!B:B,0)&lt;&gt;0,TRUE,FALSE)</f>
        <v>#N/A</v>
      </c>
      <c r="M562" s="1" t="e">
        <f>INDEX(Wiki!K:K,MATCH('BOM2017'!C562,Wiki!B:B,0))</f>
        <v>#N/A</v>
      </c>
      <c r="N562" s="1" t="e">
        <f>IFERROR(M562,INDEX(Wiki!K:K,MATCH('BOM2017'!D562,Wiki!B:B,0)))</f>
        <v>#VALUE!</v>
      </c>
    </row>
    <row r="563" spans="2:14" x14ac:dyDescent="0.2">
      <c r="B563" s="6">
        <v>558</v>
      </c>
      <c r="C563" s="3" t="s">
        <v>2285</v>
      </c>
      <c r="D563" t="e">
        <f t="shared" si="8"/>
        <v>#VALUE!</v>
      </c>
      <c r="E563" s="3" t="s">
        <v>1248</v>
      </c>
      <c r="F563" s="7" t="s">
        <v>2286</v>
      </c>
      <c r="G563" s="6">
        <v>4</v>
      </c>
      <c r="H563" s="6" t="s">
        <v>2287</v>
      </c>
      <c r="I563" s="6">
        <v>1</v>
      </c>
      <c r="J563" s="4">
        <v>43232</v>
      </c>
      <c r="K563" s="8">
        <v>43259</v>
      </c>
      <c r="L563" s="1" t="e">
        <f>IF(MATCH(C563,Wiki!B:B,0)&lt;&gt;0,TRUE,FALSE)</f>
        <v>#N/A</v>
      </c>
      <c r="M563" s="1" t="e">
        <f>INDEX(Wiki!K:K,MATCH('BOM2017'!C563,Wiki!B:B,0))</f>
        <v>#N/A</v>
      </c>
      <c r="N563" s="1" t="e">
        <f>IFERROR(M563,INDEX(Wiki!K:K,MATCH('BOM2017'!D563,Wiki!B:B,0)))</f>
        <v>#VALUE!</v>
      </c>
    </row>
    <row r="564" spans="2:14" x14ac:dyDescent="0.2">
      <c r="B564" s="6">
        <v>559</v>
      </c>
      <c r="C564" s="3" t="s">
        <v>2288</v>
      </c>
      <c r="D564" t="e">
        <f t="shared" si="8"/>
        <v>#VALUE!</v>
      </c>
      <c r="E564" s="3" t="s">
        <v>2108</v>
      </c>
      <c r="F564" s="7" t="s">
        <v>2289</v>
      </c>
      <c r="G564" s="6">
        <v>4</v>
      </c>
      <c r="H564" s="6" t="s">
        <v>2290</v>
      </c>
      <c r="I564" s="6">
        <v>1</v>
      </c>
      <c r="J564" s="4">
        <v>43309</v>
      </c>
      <c r="K564" s="6" t="s">
        <v>558</v>
      </c>
      <c r="L564" s="1" t="e">
        <f>IF(MATCH(C564,Wiki!B:B,0)&lt;&gt;0,TRUE,FALSE)</f>
        <v>#N/A</v>
      </c>
      <c r="M564" s="1" t="e">
        <f>INDEX(Wiki!K:K,MATCH('BOM2017'!C564,Wiki!B:B,0))</f>
        <v>#N/A</v>
      </c>
      <c r="N564" s="1" t="e">
        <f>IFERROR(M564,INDEX(Wiki!K:K,MATCH('BOM2017'!D564,Wiki!B:B,0)))</f>
        <v>#VALUE!</v>
      </c>
    </row>
    <row r="565" spans="2:14" x14ac:dyDescent="0.2">
      <c r="B565" s="6">
        <v>560</v>
      </c>
      <c r="C565" s="3" t="s">
        <v>2291</v>
      </c>
      <c r="D565" t="e">
        <f t="shared" si="8"/>
        <v>#VALUE!</v>
      </c>
      <c r="E565" s="3" t="s">
        <v>1739</v>
      </c>
      <c r="F565" s="7" t="s">
        <v>2292</v>
      </c>
      <c r="G565" s="6">
        <v>4</v>
      </c>
      <c r="H565" s="6" t="s">
        <v>2293</v>
      </c>
      <c r="I565" s="6">
        <v>1</v>
      </c>
      <c r="J565" s="4">
        <v>43225</v>
      </c>
      <c r="K565" s="8">
        <v>43290</v>
      </c>
      <c r="L565" s="1" t="e">
        <f>IF(MATCH(C565,Wiki!B:B,0)&lt;&gt;0,TRUE,FALSE)</f>
        <v>#N/A</v>
      </c>
      <c r="M565" s="1" t="e">
        <f>INDEX(Wiki!K:K,MATCH('BOM2017'!C565,Wiki!B:B,0))</f>
        <v>#N/A</v>
      </c>
      <c r="N565" s="1" t="e">
        <f>IFERROR(M565,INDEX(Wiki!K:K,MATCH('BOM2017'!D565,Wiki!B:B,0)))</f>
        <v>#VALUE!</v>
      </c>
    </row>
    <row r="566" spans="2:14" x14ac:dyDescent="0.2">
      <c r="B566" s="6">
        <v>561</v>
      </c>
      <c r="C566" s="3" t="s">
        <v>2294</v>
      </c>
      <c r="D566" t="e">
        <f t="shared" si="8"/>
        <v>#VALUE!</v>
      </c>
      <c r="E566" s="3" t="s">
        <v>1977</v>
      </c>
      <c r="F566" s="7" t="s">
        <v>2295</v>
      </c>
      <c r="G566" s="6">
        <v>6</v>
      </c>
      <c r="H566" s="6" t="s">
        <v>2296</v>
      </c>
      <c r="I566" s="6">
        <v>1</v>
      </c>
      <c r="J566" s="4">
        <v>43407</v>
      </c>
      <c r="K566" s="6" t="s">
        <v>558</v>
      </c>
      <c r="L566" s="1" t="e">
        <f>IF(MATCH(C566,Wiki!B:B,0)&lt;&gt;0,TRUE,FALSE)</f>
        <v>#N/A</v>
      </c>
      <c r="M566" s="1" t="e">
        <f>INDEX(Wiki!K:K,MATCH('BOM2017'!C566,Wiki!B:B,0))</f>
        <v>#N/A</v>
      </c>
      <c r="N566" s="1" t="e">
        <f>IFERROR(M566,INDEX(Wiki!K:K,MATCH('BOM2017'!D566,Wiki!B:B,0)))</f>
        <v>#VALUE!</v>
      </c>
    </row>
    <row r="567" spans="2:14" x14ac:dyDescent="0.2">
      <c r="B567" s="6">
        <v>562</v>
      </c>
      <c r="C567" s="3" t="s">
        <v>2297</v>
      </c>
      <c r="D567" t="e">
        <f t="shared" si="8"/>
        <v>#VALUE!</v>
      </c>
      <c r="E567" s="3" t="s">
        <v>1572</v>
      </c>
      <c r="F567" s="7" t="s">
        <v>2298</v>
      </c>
      <c r="G567" s="6">
        <v>4</v>
      </c>
      <c r="H567" s="6" t="s">
        <v>2299</v>
      </c>
      <c r="I567" s="6">
        <v>1</v>
      </c>
      <c r="J567" s="4">
        <v>43267</v>
      </c>
      <c r="K567" s="8">
        <v>43357</v>
      </c>
      <c r="L567" s="1" t="e">
        <f>IF(MATCH(C567,Wiki!B:B,0)&lt;&gt;0,TRUE,FALSE)</f>
        <v>#N/A</v>
      </c>
      <c r="M567" s="1" t="e">
        <f>INDEX(Wiki!K:K,MATCH('BOM2017'!C567,Wiki!B:B,0))</f>
        <v>#N/A</v>
      </c>
      <c r="N567" s="1" t="e">
        <f>IFERROR(M567,INDEX(Wiki!K:K,MATCH('BOM2017'!D567,Wiki!B:B,0)))</f>
        <v>#VALUE!</v>
      </c>
    </row>
    <row r="568" spans="2:14" x14ac:dyDescent="0.2">
      <c r="B568" s="6">
        <v>563</v>
      </c>
      <c r="C568" s="3" t="s">
        <v>2300</v>
      </c>
      <c r="D568" t="e">
        <f t="shared" si="8"/>
        <v>#VALUE!</v>
      </c>
      <c r="E568" s="3" t="s">
        <v>1248</v>
      </c>
      <c r="F568" s="7" t="s">
        <v>2301</v>
      </c>
      <c r="G568" s="6">
        <v>3</v>
      </c>
      <c r="H568" s="6" t="s">
        <v>2302</v>
      </c>
      <c r="I568" s="6">
        <v>1</v>
      </c>
      <c r="J568" s="4">
        <v>43274</v>
      </c>
      <c r="K568" s="8">
        <v>43315</v>
      </c>
      <c r="L568" s="1" t="e">
        <f>IF(MATCH(C568,Wiki!B:B,0)&lt;&gt;0,TRUE,FALSE)</f>
        <v>#N/A</v>
      </c>
      <c r="M568" s="1" t="e">
        <f>INDEX(Wiki!K:K,MATCH('BOM2017'!C568,Wiki!B:B,0))</f>
        <v>#N/A</v>
      </c>
      <c r="N568" s="1" t="e">
        <f>IFERROR(M568,INDEX(Wiki!K:K,MATCH('BOM2017'!D568,Wiki!B:B,0)))</f>
        <v>#VALUE!</v>
      </c>
    </row>
    <row r="569" spans="2:14" x14ac:dyDescent="0.2">
      <c r="B569" s="6">
        <v>564</v>
      </c>
      <c r="C569" s="3" t="s">
        <v>2303</v>
      </c>
      <c r="D569" t="e">
        <f t="shared" si="8"/>
        <v>#VALUE!</v>
      </c>
      <c r="E569" s="3" t="s">
        <v>1739</v>
      </c>
      <c r="F569" s="7" t="s">
        <v>2304</v>
      </c>
      <c r="G569" s="6">
        <v>3</v>
      </c>
      <c r="H569" s="6" t="s">
        <v>2305</v>
      </c>
      <c r="I569" s="6">
        <v>1</v>
      </c>
      <c r="J569" s="4">
        <v>43288</v>
      </c>
      <c r="K569" s="8">
        <v>43308</v>
      </c>
      <c r="L569" s="1" t="e">
        <f>IF(MATCH(C569,Wiki!B:B,0)&lt;&gt;0,TRUE,FALSE)</f>
        <v>#N/A</v>
      </c>
      <c r="M569" s="1" t="e">
        <f>INDEX(Wiki!K:K,MATCH('BOM2017'!C569,Wiki!B:B,0))</f>
        <v>#N/A</v>
      </c>
      <c r="N569" s="1" t="e">
        <f>IFERROR(M569,INDEX(Wiki!K:K,MATCH('BOM2017'!D569,Wiki!B:B,0)))</f>
        <v>#VALUE!</v>
      </c>
    </row>
    <row r="570" spans="2:14" x14ac:dyDescent="0.2">
      <c r="B570" s="6">
        <v>565</v>
      </c>
      <c r="C570" s="3" t="s">
        <v>2306</v>
      </c>
      <c r="D570" t="e">
        <f t="shared" si="8"/>
        <v>#VALUE!</v>
      </c>
      <c r="E570" s="3" t="s">
        <v>1739</v>
      </c>
      <c r="F570" s="7" t="s">
        <v>2307</v>
      </c>
      <c r="G570" s="6">
        <v>3</v>
      </c>
      <c r="H570" s="6" t="s">
        <v>2308</v>
      </c>
      <c r="I570" s="6">
        <v>1</v>
      </c>
      <c r="J570" s="4">
        <v>43162</v>
      </c>
      <c r="K570" s="8">
        <v>43210</v>
      </c>
      <c r="L570" s="1" t="e">
        <f>IF(MATCH(C570,Wiki!B:B,0)&lt;&gt;0,TRUE,FALSE)</f>
        <v>#N/A</v>
      </c>
      <c r="M570" s="1" t="e">
        <f>INDEX(Wiki!K:K,MATCH('BOM2017'!C570,Wiki!B:B,0))</f>
        <v>#N/A</v>
      </c>
      <c r="N570" s="1" t="e">
        <f>IFERROR(M570,INDEX(Wiki!K:K,MATCH('BOM2017'!D570,Wiki!B:B,0)))</f>
        <v>#VALUE!</v>
      </c>
    </row>
    <row r="571" spans="2:14" x14ac:dyDescent="0.2">
      <c r="B571" s="6">
        <v>566</v>
      </c>
      <c r="C571" s="3" t="s">
        <v>2309</v>
      </c>
      <c r="D571" t="e">
        <f t="shared" si="8"/>
        <v>#VALUE!</v>
      </c>
      <c r="E571" s="3" t="s">
        <v>1631</v>
      </c>
      <c r="F571" s="7" t="s">
        <v>2310</v>
      </c>
      <c r="G571" s="6">
        <v>14</v>
      </c>
      <c r="H571" s="6" t="s">
        <v>2311</v>
      </c>
      <c r="I571" s="6">
        <v>14</v>
      </c>
      <c r="J571" s="4">
        <v>43316</v>
      </c>
      <c r="K571" s="6" t="s">
        <v>558</v>
      </c>
      <c r="L571" s="1" t="e">
        <f>IF(MATCH(C571,Wiki!B:B,0)&lt;&gt;0,TRUE,FALSE)</f>
        <v>#N/A</v>
      </c>
      <c r="M571" s="1" t="e">
        <f>INDEX(Wiki!K:K,MATCH('BOM2017'!C571,Wiki!B:B,0))</f>
        <v>#N/A</v>
      </c>
      <c r="N571" s="1" t="e">
        <f>IFERROR(M571,INDEX(Wiki!K:K,MATCH('BOM2017'!D571,Wiki!B:B,0)))</f>
        <v>#VALUE!</v>
      </c>
    </row>
    <row r="572" spans="2:14" x14ac:dyDescent="0.2">
      <c r="B572" s="6">
        <v>567</v>
      </c>
      <c r="C572" s="3" t="s">
        <v>2312</v>
      </c>
      <c r="D572" t="e">
        <f t="shared" si="8"/>
        <v>#VALUE!</v>
      </c>
      <c r="E572" s="3" t="s">
        <v>1345</v>
      </c>
      <c r="F572" s="7" t="s">
        <v>2313</v>
      </c>
      <c r="G572" s="6">
        <v>15</v>
      </c>
      <c r="H572" s="6" t="s">
        <v>1159</v>
      </c>
      <c r="I572" s="6" t="s">
        <v>1159</v>
      </c>
      <c r="J572" s="4">
        <v>43204</v>
      </c>
      <c r="K572" s="8">
        <v>43210</v>
      </c>
      <c r="L572" s="1" t="e">
        <f>IF(MATCH(C572,Wiki!B:B,0)&lt;&gt;0,TRUE,FALSE)</f>
        <v>#N/A</v>
      </c>
      <c r="M572" s="1" t="e">
        <f>INDEX(Wiki!K:K,MATCH('BOM2017'!C572,Wiki!B:B,0))</f>
        <v>#N/A</v>
      </c>
      <c r="N572" s="1" t="e">
        <f>IFERROR(M572,INDEX(Wiki!K:K,MATCH('BOM2017'!D572,Wiki!B:B,0)))</f>
        <v>#VALUE!</v>
      </c>
    </row>
    <row r="573" spans="2:14" x14ac:dyDescent="0.2">
      <c r="B573" s="6">
        <v>568</v>
      </c>
      <c r="C573" s="3" t="s">
        <v>2314</v>
      </c>
      <c r="D573" t="e">
        <f t="shared" si="8"/>
        <v>#VALUE!</v>
      </c>
      <c r="E573" s="3" t="s">
        <v>1739</v>
      </c>
      <c r="F573" s="7" t="s">
        <v>2315</v>
      </c>
      <c r="G573" s="6">
        <v>1</v>
      </c>
      <c r="H573" s="6" t="s">
        <v>2316</v>
      </c>
      <c r="I573" s="6">
        <v>1</v>
      </c>
      <c r="J573" s="4">
        <v>43414</v>
      </c>
      <c r="K573" s="8">
        <v>43427</v>
      </c>
      <c r="L573" s="1" t="e">
        <f>IF(MATCH(C573,Wiki!B:B,0)&lt;&gt;0,TRUE,FALSE)</f>
        <v>#N/A</v>
      </c>
      <c r="M573" s="1" t="e">
        <f>INDEX(Wiki!K:K,MATCH('BOM2017'!C573,Wiki!B:B,0))</f>
        <v>#N/A</v>
      </c>
      <c r="N573" s="1" t="e">
        <f>IFERROR(M573,INDEX(Wiki!K:K,MATCH('BOM2017'!D573,Wiki!B:B,0)))</f>
        <v>#VALUE!</v>
      </c>
    </row>
    <row r="574" spans="2:14" x14ac:dyDescent="0.2">
      <c r="B574" s="6">
        <v>569</v>
      </c>
      <c r="C574" s="3" t="s">
        <v>2317</v>
      </c>
      <c r="D574" t="e">
        <f t="shared" si="8"/>
        <v>#VALUE!</v>
      </c>
      <c r="E574" s="3" t="s">
        <v>1532</v>
      </c>
      <c r="F574" s="7" t="s">
        <v>2318</v>
      </c>
      <c r="G574" s="6">
        <v>1</v>
      </c>
      <c r="H574" s="6" t="s">
        <v>2319</v>
      </c>
      <c r="I574" s="6">
        <v>1</v>
      </c>
      <c r="J574" s="4">
        <v>43393</v>
      </c>
      <c r="K574" s="8">
        <v>43427</v>
      </c>
      <c r="L574" s="1" t="e">
        <f>IF(MATCH(C574,Wiki!B:B,0)&lt;&gt;0,TRUE,FALSE)</f>
        <v>#N/A</v>
      </c>
      <c r="M574" s="1" t="e">
        <f>INDEX(Wiki!K:K,MATCH('BOM2017'!C574,Wiki!B:B,0))</f>
        <v>#N/A</v>
      </c>
      <c r="N574" s="1" t="e">
        <f>IFERROR(M574,INDEX(Wiki!K:K,MATCH('BOM2017'!D574,Wiki!B:B,0)))</f>
        <v>#VALUE!</v>
      </c>
    </row>
    <row r="575" spans="2:14" x14ac:dyDescent="0.2">
      <c r="B575" s="6">
        <v>570</v>
      </c>
      <c r="C575" s="3" t="s">
        <v>2320</v>
      </c>
      <c r="D575" t="e">
        <f t="shared" si="8"/>
        <v>#VALUE!</v>
      </c>
      <c r="E575" s="3" t="s">
        <v>1142</v>
      </c>
      <c r="F575" s="7" t="s">
        <v>2321</v>
      </c>
      <c r="G575" s="6">
        <v>5</v>
      </c>
      <c r="H575" s="6" t="s">
        <v>2322</v>
      </c>
      <c r="I575" s="6">
        <v>1</v>
      </c>
      <c r="J575" s="4">
        <v>43160</v>
      </c>
      <c r="K575" s="8">
        <v>43217</v>
      </c>
      <c r="L575" s="1" t="e">
        <f>IF(MATCH(C575,Wiki!B:B,0)&lt;&gt;0,TRUE,FALSE)</f>
        <v>#N/A</v>
      </c>
      <c r="M575" s="1" t="e">
        <f>INDEX(Wiki!K:K,MATCH('BOM2017'!C575,Wiki!B:B,0))</f>
        <v>#N/A</v>
      </c>
      <c r="N575" s="1" t="e">
        <f>IFERROR(M575,INDEX(Wiki!K:K,MATCH('BOM2017'!D575,Wiki!B:B,0)))</f>
        <v>#VALUE!</v>
      </c>
    </row>
    <row r="576" spans="2:14" x14ac:dyDescent="0.2">
      <c r="B576" s="6">
        <v>571</v>
      </c>
      <c r="C576" s="3" t="s">
        <v>2323</v>
      </c>
      <c r="D576" t="e">
        <f t="shared" si="8"/>
        <v>#VALUE!</v>
      </c>
      <c r="E576" s="3" t="s">
        <v>1039</v>
      </c>
      <c r="F576" s="7" t="s">
        <v>2324</v>
      </c>
      <c r="G576" s="6">
        <v>2</v>
      </c>
      <c r="H576" s="6" t="s">
        <v>2325</v>
      </c>
      <c r="I576" s="6">
        <v>2</v>
      </c>
      <c r="J576" s="4">
        <v>43197</v>
      </c>
      <c r="K576" s="8">
        <v>43217</v>
      </c>
      <c r="L576" s="1" t="e">
        <f>IF(MATCH(C576,Wiki!B:B,0)&lt;&gt;0,TRUE,FALSE)</f>
        <v>#N/A</v>
      </c>
      <c r="M576" s="1" t="e">
        <f>INDEX(Wiki!K:K,MATCH('BOM2017'!C576,Wiki!B:B,0))</f>
        <v>#N/A</v>
      </c>
      <c r="N576" s="1" t="e">
        <f>IFERROR(M576,INDEX(Wiki!K:K,MATCH('BOM2017'!D576,Wiki!B:B,0)))</f>
        <v>#VALUE!</v>
      </c>
    </row>
    <row r="577" spans="2:14" x14ac:dyDescent="0.2">
      <c r="B577" s="6">
        <v>572</v>
      </c>
      <c r="C577" s="3" t="s">
        <v>2326</v>
      </c>
      <c r="D577" t="e">
        <f t="shared" si="8"/>
        <v>#VALUE!</v>
      </c>
      <c r="E577" s="3" t="s">
        <v>2148</v>
      </c>
      <c r="F577" s="7" t="s">
        <v>2327</v>
      </c>
      <c r="G577" s="6">
        <v>3</v>
      </c>
      <c r="H577" s="6" t="s">
        <v>2328</v>
      </c>
      <c r="I577" s="6">
        <v>2</v>
      </c>
      <c r="J577" s="4">
        <v>43419</v>
      </c>
      <c r="K577" s="8">
        <v>43451</v>
      </c>
      <c r="L577" s="1" t="e">
        <f>IF(MATCH(C577,Wiki!B:B,0)&lt;&gt;0,TRUE,FALSE)</f>
        <v>#N/A</v>
      </c>
      <c r="M577" s="1" t="e">
        <f>INDEX(Wiki!K:K,MATCH('BOM2017'!C577,Wiki!B:B,0))</f>
        <v>#N/A</v>
      </c>
      <c r="N577" s="1" t="e">
        <f>IFERROR(M577,INDEX(Wiki!K:K,MATCH('BOM2017'!D577,Wiki!B:B,0)))</f>
        <v>#VALUE!</v>
      </c>
    </row>
    <row r="578" spans="2:14" x14ac:dyDescent="0.2">
      <c r="B578" s="6">
        <v>573</v>
      </c>
      <c r="C578" s="3" t="s">
        <v>2329</v>
      </c>
      <c r="D578" t="str">
        <f t="shared" si="8"/>
        <v>Paradise</v>
      </c>
      <c r="E578" s="3" t="s">
        <v>1572</v>
      </c>
      <c r="F578" s="7" t="s">
        <v>2330</v>
      </c>
      <c r="G578" s="6">
        <v>3</v>
      </c>
      <c r="H578" s="6" t="s">
        <v>2331</v>
      </c>
      <c r="I578" s="6">
        <v>1</v>
      </c>
      <c r="J578" s="4">
        <v>43379</v>
      </c>
      <c r="K578" s="8">
        <v>43448</v>
      </c>
      <c r="L578" s="1" t="e">
        <f>IF(MATCH(C578,Wiki!B:B,0)&lt;&gt;0,TRUE,FALSE)</f>
        <v>#N/A</v>
      </c>
      <c r="M578" s="1" t="e">
        <f>INDEX(Wiki!K:K,MATCH('BOM2017'!C578,Wiki!B:B,0))</f>
        <v>#N/A</v>
      </c>
      <c r="N578" s="1" t="e">
        <f>IFERROR(M578,INDEX(Wiki!K:K,MATCH('BOM2017'!D578,Wiki!B:B,0)))</f>
        <v>#N/A</v>
      </c>
    </row>
    <row r="579" spans="2:14" x14ac:dyDescent="0.2">
      <c r="B579" s="6">
        <v>574</v>
      </c>
      <c r="C579" s="3" t="s">
        <v>2332</v>
      </c>
      <c r="D579" t="e">
        <f t="shared" si="8"/>
        <v>#VALUE!</v>
      </c>
      <c r="E579" s="3" t="s">
        <v>1880</v>
      </c>
      <c r="F579" s="7" t="s">
        <v>2333</v>
      </c>
      <c r="G579" s="6">
        <v>1</v>
      </c>
      <c r="H579" s="6" t="s">
        <v>2334</v>
      </c>
      <c r="I579" s="6">
        <v>1</v>
      </c>
      <c r="J579" s="4">
        <v>43113</v>
      </c>
      <c r="K579" s="6" t="s">
        <v>558</v>
      </c>
      <c r="L579" s="1" t="e">
        <f>IF(MATCH(C579,Wiki!B:B,0)&lt;&gt;0,TRUE,FALSE)</f>
        <v>#N/A</v>
      </c>
      <c r="M579" s="1" t="e">
        <f>INDEX(Wiki!K:K,MATCH('BOM2017'!C579,Wiki!B:B,0))</f>
        <v>#N/A</v>
      </c>
      <c r="N579" s="1" t="e">
        <f>IFERROR(M579,INDEX(Wiki!K:K,MATCH('BOM2017'!D579,Wiki!B:B,0)))</f>
        <v>#VALUE!</v>
      </c>
    </row>
    <row r="580" spans="2:14" x14ac:dyDescent="0.2">
      <c r="B580" s="6">
        <v>575</v>
      </c>
      <c r="C580" s="3" t="s">
        <v>2335</v>
      </c>
      <c r="D580" t="e">
        <f t="shared" si="8"/>
        <v>#VALUE!</v>
      </c>
      <c r="E580" s="3" t="s">
        <v>1248</v>
      </c>
      <c r="F580" s="7" t="s">
        <v>2336</v>
      </c>
      <c r="G580" s="6">
        <v>2</v>
      </c>
      <c r="H580" s="6" t="s">
        <v>2337</v>
      </c>
      <c r="I580" s="6">
        <v>2</v>
      </c>
      <c r="J580" s="4">
        <v>43323</v>
      </c>
      <c r="K580" s="8">
        <v>43336</v>
      </c>
      <c r="L580" s="1" t="e">
        <f>IF(MATCH(C580,Wiki!B:B,0)&lt;&gt;0,TRUE,FALSE)</f>
        <v>#N/A</v>
      </c>
      <c r="M580" s="1" t="e">
        <f>INDEX(Wiki!K:K,MATCH('BOM2017'!C580,Wiki!B:B,0))</f>
        <v>#N/A</v>
      </c>
      <c r="N580" s="1" t="e">
        <f>IFERROR(M580,INDEX(Wiki!K:K,MATCH('BOM2017'!D580,Wiki!B:B,0)))</f>
        <v>#VALUE!</v>
      </c>
    </row>
    <row r="581" spans="2:14" x14ac:dyDescent="0.2">
      <c r="B581" s="6">
        <v>576</v>
      </c>
      <c r="C581" s="3" t="s">
        <v>2338</v>
      </c>
      <c r="D581" t="e">
        <f t="shared" si="8"/>
        <v>#VALUE!</v>
      </c>
      <c r="E581" s="3" t="s">
        <v>1213</v>
      </c>
      <c r="F581" s="7" t="s">
        <v>2339</v>
      </c>
      <c r="G581" s="6">
        <v>5</v>
      </c>
      <c r="H581" s="6" t="s">
        <v>1159</v>
      </c>
      <c r="I581" s="6" t="s">
        <v>1159</v>
      </c>
      <c r="J581" s="4">
        <v>43120</v>
      </c>
      <c r="K581" s="8">
        <v>43154</v>
      </c>
      <c r="L581" s="1" t="e">
        <f>IF(MATCH(C581,Wiki!B:B,0)&lt;&gt;0,TRUE,FALSE)</f>
        <v>#N/A</v>
      </c>
      <c r="M581" s="1" t="e">
        <f>INDEX(Wiki!K:K,MATCH('BOM2017'!C581,Wiki!B:B,0))</f>
        <v>#N/A</v>
      </c>
      <c r="N581" s="1" t="e">
        <f>IFERROR(M581,INDEX(Wiki!K:K,MATCH('BOM2017'!D581,Wiki!B:B,0)))</f>
        <v>#VALUE!</v>
      </c>
    </row>
    <row r="582" spans="2:14" x14ac:dyDescent="0.2">
      <c r="B582" s="6">
        <v>577</v>
      </c>
      <c r="C582" s="3" t="s">
        <v>2340</v>
      </c>
      <c r="D582" t="e">
        <f t="shared" ref="D582:D645" si="9">IF(ISERROR(M582),TRIM(LEFT(C582,FIND("(",C582)-1)),"")</f>
        <v>#VALUE!</v>
      </c>
      <c r="E582" s="3" t="s">
        <v>1235</v>
      </c>
      <c r="F582" s="7" t="s">
        <v>2341</v>
      </c>
      <c r="G582" s="6">
        <v>2</v>
      </c>
      <c r="H582" s="6" t="s">
        <v>2342</v>
      </c>
      <c r="I582" s="6">
        <v>2</v>
      </c>
      <c r="J582" s="4">
        <v>43435</v>
      </c>
      <c r="K582" s="8">
        <v>43455</v>
      </c>
      <c r="L582" s="1" t="e">
        <f>IF(MATCH(C582,Wiki!B:B,0)&lt;&gt;0,TRUE,FALSE)</f>
        <v>#N/A</v>
      </c>
      <c r="M582" s="1" t="e">
        <f>INDEX(Wiki!K:K,MATCH('BOM2017'!C582,Wiki!B:B,0))</f>
        <v>#N/A</v>
      </c>
      <c r="N582" s="1" t="e">
        <f>IFERROR(M582,INDEX(Wiki!K:K,MATCH('BOM2017'!D582,Wiki!B:B,0)))</f>
        <v>#VALUE!</v>
      </c>
    </row>
    <row r="583" spans="2:14" x14ac:dyDescent="0.2">
      <c r="B583" s="6">
        <v>578</v>
      </c>
      <c r="C583" s="3" t="s">
        <v>2343</v>
      </c>
      <c r="D583" t="e">
        <f t="shared" si="9"/>
        <v>#VALUE!</v>
      </c>
      <c r="E583" s="3" t="s">
        <v>570</v>
      </c>
      <c r="F583" s="7" t="s">
        <v>2344</v>
      </c>
      <c r="G583" s="6">
        <v>10</v>
      </c>
      <c r="H583" s="6" t="s">
        <v>2345</v>
      </c>
      <c r="I583" s="6">
        <v>10</v>
      </c>
      <c r="J583" s="4">
        <v>43358</v>
      </c>
      <c r="K583" s="8">
        <v>43441</v>
      </c>
      <c r="L583" s="1" t="e">
        <f>IF(MATCH(C583,Wiki!B:B,0)&lt;&gt;0,TRUE,FALSE)</f>
        <v>#N/A</v>
      </c>
      <c r="M583" s="1" t="e">
        <f>INDEX(Wiki!K:K,MATCH('BOM2017'!C583,Wiki!B:B,0))</f>
        <v>#N/A</v>
      </c>
      <c r="N583" s="1" t="e">
        <f>IFERROR(M583,INDEX(Wiki!K:K,MATCH('BOM2017'!D583,Wiki!B:B,0)))</f>
        <v>#VALUE!</v>
      </c>
    </row>
    <row r="584" spans="2:14" x14ac:dyDescent="0.2">
      <c r="B584" s="6">
        <v>579</v>
      </c>
      <c r="C584" s="3" t="s">
        <v>2346</v>
      </c>
      <c r="D584" t="e">
        <f t="shared" si="9"/>
        <v>#VALUE!</v>
      </c>
      <c r="E584" s="3" t="s">
        <v>1532</v>
      </c>
      <c r="F584" s="7" t="s">
        <v>2347</v>
      </c>
      <c r="G584" s="6">
        <v>2</v>
      </c>
      <c r="H584" s="6" t="s">
        <v>2348</v>
      </c>
      <c r="I584" s="6">
        <v>1</v>
      </c>
      <c r="J584" s="4">
        <v>43421</v>
      </c>
      <c r="K584" s="6" t="s">
        <v>558</v>
      </c>
      <c r="L584" s="1" t="e">
        <f>IF(MATCH(C584,Wiki!B:B,0)&lt;&gt;0,TRUE,FALSE)</f>
        <v>#N/A</v>
      </c>
      <c r="M584" s="1" t="e">
        <f>INDEX(Wiki!K:K,MATCH('BOM2017'!C584,Wiki!B:B,0))</f>
        <v>#N/A</v>
      </c>
      <c r="N584" s="1" t="e">
        <f>IFERROR(M584,INDEX(Wiki!K:K,MATCH('BOM2017'!D584,Wiki!B:B,0)))</f>
        <v>#VALUE!</v>
      </c>
    </row>
    <row r="585" spans="2:14" x14ac:dyDescent="0.2">
      <c r="B585" s="6">
        <v>580</v>
      </c>
      <c r="C585" s="3" t="s">
        <v>2349</v>
      </c>
      <c r="D585" t="e">
        <f t="shared" si="9"/>
        <v>#VALUE!</v>
      </c>
      <c r="E585" s="3" t="s">
        <v>1572</v>
      </c>
      <c r="F585" s="7" t="s">
        <v>2350</v>
      </c>
      <c r="G585" s="6">
        <v>3</v>
      </c>
      <c r="H585" s="6" t="s">
        <v>2351</v>
      </c>
      <c r="I585" s="6">
        <v>1</v>
      </c>
      <c r="J585" s="4">
        <v>43358</v>
      </c>
      <c r="K585" s="8">
        <v>43441</v>
      </c>
      <c r="L585" s="1" t="e">
        <f>IF(MATCH(C585,Wiki!B:B,0)&lt;&gt;0,TRUE,FALSE)</f>
        <v>#N/A</v>
      </c>
      <c r="M585" s="1" t="e">
        <f>INDEX(Wiki!K:K,MATCH('BOM2017'!C585,Wiki!B:B,0))</f>
        <v>#N/A</v>
      </c>
      <c r="N585" s="1" t="e">
        <f>IFERROR(M585,INDEX(Wiki!K:K,MATCH('BOM2017'!D585,Wiki!B:B,0)))</f>
        <v>#VALUE!</v>
      </c>
    </row>
    <row r="586" spans="2:14" x14ac:dyDescent="0.2">
      <c r="B586" s="6">
        <v>581</v>
      </c>
      <c r="C586" s="3" t="s">
        <v>2352</v>
      </c>
      <c r="D586" t="e">
        <f t="shared" si="9"/>
        <v>#VALUE!</v>
      </c>
      <c r="E586" s="3" t="s">
        <v>1338</v>
      </c>
      <c r="F586" s="7" t="s">
        <v>2353</v>
      </c>
      <c r="G586" s="6">
        <v>5</v>
      </c>
      <c r="H586" s="6" t="s">
        <v>2354</v>
      </c>
      <c r="I586" s="6">
        <v>1</v>
      </c>
      <c r="J586" s="4">
        <v>43321</v>
      </c>
      <c r="K586" s="8">
        <v>43371</v>
      </c>
      <c r="L586" s="1" t="e">
        <f>IF(MATCH(C586,Wiki!B:B,0)&lt;&gt;0,TRUE,FALSE)</f>
        <v>#N/A</v>
      </c>
      <c r="M586" s="1" t="e">
        <f>INDEX(Wiki!K:K,MATCH('BOM2017'!C586,Wiki!B:B,0))</f>
        <v>#N/A</v>
      </c>
      <c r="N586" s="1" t="e">
        <f>IFERROR(M586,INDEX(Wiki!K:K,MATCH('BOM2017'!D586,Wiki!B:B,0)))</f>
        <v>#VALUE!</v>
      </c>
    </row>
    <row r="587" spans="2:14" x14ac:dyDescent="0.2">
      <c r="B587" s="6">
        <v>582</v>
      </c>
      <c r="C587" s="3" t="s">
        <v>2355</v>
      </c>
      <c r="D587" t="e">
        <f t="shared" si="9"/>
        <v>#VALUE!</v>
      </c>
      <c r="E587" s="3" t="s">
        <v>1175</v>
      </c>
      <c r="F587" s="7" t="s">
        <v>2356</v>
      </c>
      <c r="G587" s="6">
        <v>9</v>
      </c>
      <c r="H587" s="6" t="s">
        <v>2357</v>
      </c>
      <c r="I587" s="6">
        <v>9</v>
      </c>
      <c r="J587" s="4">
        <v>43358</v>
      </c>
      <c r="K587" s="8">
        <v>43364</v>
      </c>
      <c r="L587" s="1" t="e">
        <f>IF(MATCH(C587,Wiki!B:B,0)&lt;&gt;0,TRUE,FALSE)</f>
        <v>#N/A</v>
      </c>
      <c r="M587" s="1" t="e">
        <f>INDEX(Wiki!K:K,MATCH('BOM2017'!C587,Wiki!B:B,0))</f>
        <v>#N/A</v>
      </c>
      <c r="N587" s="1" t="e">
        <f>IFERROR(M587,INDEX(Wiki!K:K,MATCH('BOM2017'!D587,Wiki!B:B,0)))</f>
        <v>#VALUE!</v>
      </c>
    </row>
    <row r="588" spans="2:14" x14ac:dyDescent="0.2">
      <c r="B588" s="6">
        <v>583</v>
      </c>
      <c r="C588" s="3" t="s">
        <v>2358</v>
      </c>
      <c r="D588" t="e">
        <f t="shared" si="9"/>
        <v>#VALUE!</v>
      </c>
      <c r="E588" s="3" t="s">
        <v>1235</v>
      </c>
      <c r="F588" s="7" t="s">
        <v>2359</v>
      </c>
      <c r="G588" s="6">
        <v>4</v>
      </c>
      <c r="H588" s="6" t="s">
        <v>2360</v>
      </c>
      <c r="I588" s="6">
        <v>4</v>
      </c>
      <c r="J588" s="4">
        <v>43337</v>
      </c>
      <c r="K588" s="8">
        <v>43350</v>
      </c>
      <c r="L588" s="1" t="e">
        <f>IF(MATCH(C588,Wiki!B:B,0)&lt;&gt;0,TRUE,FALSE)</f>
        <v>#N/A</v>
      </c>
      <c r="M588" s="1" t="e">
        <f>INDEX(Wiki!K:K,MATCH('BOM2017'!C588,Wiki!B:B,0))</f>
        <v>#N/A</v>
      </c>
      <c r="N588" s="1" t="e">
        <f>IFERROR(M588,INDEX(Wiki!K:K,MATCH('BOM2017'!D588,Wiki!B:B,0)))</f>
        <v>#VALUE!</v>
      </c>
    </row>
    <row r="589" spans="2:14" x14ac:dyDescent="0.2">
      <c r="B589" s="6">
        <v>584</v>
      </c>
      <c r="C589" s="3" t="s">
        <v>2361</v>
      </c>
      <c r="D589" t="e">
        <f t="shared" si="9"/>
        <v>#VALUE!</v>
      </c>
      <c r="E589" s="3" t="s">
        <v>1422</v>
      </c>
      <c r="F589" s="7" t="s">
        <v>2362</v>
      </c>
      <c r="G589" s="6">
        <v>3</v>
      </c>
      <c r="H589" s="6" t="s">
        <v>1159</v>
      </c>
      <c r="I589" s="6" t="s">
        <v>1159</v>
      </c>
      <c r="J589" s="4">
        <v>43377</v>
      </c>
      <c r="K589" s="8">
        <v>43434</v>
      </c>
      <c r="L589" s="1" t="e">
        <f>IF(MATCH(C589,Wiki!B:B,0)&lt;&gt;0,TRUE,FALSE)</f>
        <v>#N/A</v>
      </c>
      <c r="M589" s="1" t="e">
        <f>INDEX(Wiki!K:K,MATCH('BOM2017'!C589,Wiki!B:B,0))</f>
        <v>#N/A</v>
      </c>
      <c r="N589" s="1" t="e">
        <f>IFERROR(M589,INDEX(Wiki!K:K,MATCH('BOM2017'!D589,Wiki!B:B,0)))</f>
        <v>#VALUE!</v>
      </c>
    </row>
    <row r="590" spans="2:14" x14ac:dyDescent="0.2">
      <c r="B590" s="6">
        <v>585</v>
      </c>
      <c r="C590" s="7" t="s">
        <v>2363</v>
      </c>
      <c r="D590" t="e">
        <f t="shared" si="9"/>
        <v>#VALUE!</v>
      </c>
      <c r="E590" s="3" t="s">
        <v>1248</v>
      </c>
      <c r="F590" s="7" t="s">
        <v>2364</v>
      </c>
      <c r="G590" s="6">
        <v>3</v>
      </c>
      <c r="H590" s="6" t="s">
        <v>2365</v>
      </c>
      <c r="I590" s="6">
        <v>3</v>
      </c>
      <c r="J590" s="4">
        <v>43414</v>
      </c>
      <c r="K590" s="8">
        <v>43423</v>
      </c>
      <c r="L590" s="1" t="e">
        <f>IF(MATCH(C590,Wiki!B:B,0)&lt;&gt;0,TRUE,FALSE)</f>
        <v>#N/A</v>
      </c>
      <c r="M590" s="1" t="e">
        <f>INDEX(Wiki!K:K,MATCH('BOM2017'!C590,Wiki!B:B,0))</f>
        <v>#N/A</v>
      </c>
      <c r="N590" s="1" t="e">
        <f>IFERROR(M590,INDEX(Wiki!K:K,MATCH('BOM2017'!D590,Wiki!B:B,0)))</f>
        <v>#VALUE!</v>
      </c>
    </row>
    <row r="591" spans="2:14" x14ac:dyDescent="0.2">
      <c r="B591" s="6">
        <v>586</v>
      </c>
      <c r="C591" s="3" t="s">
        <v>2366</v>
      </c>
      <c r="D591" t="str">
        <f t="shared" si="9"/>
        <v>Taipei Story</v>
      </c>
      <c r="E591" s="3" t="s">
        <v>1576</v>
      </c>
      <c r="F591" s="7" t="s">
        <v>2367</v>
      </c>
      <c r="G591" s="6">
        <v>1</v>
      </c>
      <c r="H591" s="6" t="s">
        <v>2368</v>
      </c>
      <c r="I591" s="6">
        <v>1</v>
      </c>
      <c r="J591" s="4">
        <v>43176</v>
      </c>
      <c r="K591" s="8">
        <v>43182</v>
      </c>
      <c r="L591" s="1" t="e">
        <f>IF(MATCH(C591,Wiki!B:B,0)&lt;&gt;0,TRUE,FALSE)</f>
        <v>#N/A</v>
      </c>
      <c r="M591" s="1" t="e">
        <f>INDEX(Wiki!K:K,MATCH('BOM2017'!C591,Wiki!B:B,0))</f>
        <v>#N/A</v>
      </c>
      <c r="N591" s="1" t="e">
        <f>IFERROR(M591,INDEX(Wiki!K:K,MATCH('BOM2017'!D591,Wiki!B:B,0)))</f>
        <v>#N/A</v>
      </c>
    </row>
    <row r="592" spans="2:14" x14ac:dyDescent="0.2">
      <c r="B592" s="6">
        <v>587</v>
      </c>
      <c r="C592" s="3" t="s">
        <v>2369</v>
      </c>
      <c r="D592" t="e">
        <f t="shared" si="9"/>
        <v>#VALUE!</v>
      </c>
      <c r="E592" s="3" t="s">
        <v>1142</v>
      </c>
      <c r="F592" s="7" t="s">
        <v>2370</v>
      </c>
      <c r="G592" s="6">
        <v>1</v>
      </c>
      <c r="H592" s="6" t="s">
        <v>2371</v>
      </c>
      <c r="I592" s="6">
        <v>1</v>
      </c>
      <c r="J592" s="4">
        <v>43419</v>
      </c>
      <c r="K592" s="6" t="s">
        <v>558</v>
      </c>
      <c r="L592" s="1" t="e">
        <f>IF(MATCH(C592,Wiki!B:B,0)&lt;&gt;0,TRUE,FALSE)</f>
        <v>#N/A</v>
      </c>
      <c r="M592" s="1" t="e">
        <f>INDEX(Wiki!K:K,MATCH('BOM2017'!C592,Wiki!B:B,0))</f>
        <v>#N/A</v>
      </c>
      <c r="N592" s="1" t="e">
        <f>IFERROR(M592,INDEX(Wiki!K:K,MATCH('BOM2017'!D592,Wiki!B:B,0)))</f>
        <v>#VALUE!</v>
      </c>
    </row>
    <row r="593" spans="2:14" x14ac:dyDescent="0.2">
      <c r="B593" s="6">
        <v>588</v>
      </c>
      <c r="C593" s="3" t="s">
        <v>535</v>
      </c>
      <c r="D593" t="e">
        <f t="shared" si="9"/>
        <v>#VALUE!</v>
      </c>
      <c r="E593" s="3" t="s">
        <v>1039</v>
      </c>
      <c r="F593" s="7" t="s">
        <v>2372</v>
      </c>
      <c r="G593" s="6">
        <v>8</v>
      </c>
      <c r="H593" s="6" t="s">
        <v>2373</v>
      </c>
      <c r="I593" s="6">
        <v>8</v>
      </c>
      <c r="J593" s="4">
        <v>43449</v>
      </c>
      <c r="K593" s="6" t="s">
        <v>558</v>
      </c>
      <c r="L593" s="1" t="b">
        <f>IF(MATCH(C593,Wiki!B:B,0)&lt;&gt;0,TRUE,FALSE)</f>
        <v>1</v>
      </c>
      <c r="M593" s="1" t="e">
        <f>INDEX(Wiki!K:K,MATCH('BOM2017'!C593,Wiki!B:B,0))</f>
        <v>#VALUE!</v>
      </c>
      <c r="N593" s="1" t="e">
        <f>IFERROR(M593,INDEX(Wiki!K:K,MATCH('BOM2017'!D593,Wiki!B:B,0)))</f>
        <v>#VALUE!</v>
      </c>
    </row>
    <row r="594" spans="2:14" x14ac:dyDescent="0.2">
      <c r="B594" s="6">
        <v>589</v>
      </c>
      <c r="C594" s="3" t="s">
        <v>2374</v>
      </c>
      <c r="D594" t="e">
        <f t="shared" si="9"/>
        <v>#VALUE!</v>
      </c>
      <c r="E594" s="3" t="s">
        <v>1095</v>
      </c>
      <c r="F594" s="7" t="s">
        <v>2375</v>
      </c>
      <c r="G594" s="6">
        <v>2</v>
      </c>
      <c r="H594" s="6" t="s">
        <v>2376</v>
      </c>
      <c r="I594" s="6">
        <v>2</v>
      </c>
      <c r="J594" s="4">
        <v>43162</v>
      </c>
      <c r="K594" s="8">
        <v>43175</v>
      </c>
      <c r="L594" s="1" t="e">
        <f>IF(MATCH(C594,Wiki!B:B,0)&lt;&gt;0,TRUE,FALSE)</f>
        <v>#N/A</v>
      </c>
      <c r="M594" s="1" t="e">
        <f>INDEX(Wiki!K:K,MATCH('BOM2017'!C594,Wiki!B:B,0))</f>
        <v>#N/A</v>
      </c>
      <c r="N594" s="1" t="e">
        <f>IFERROR(M594,INDEX(Wiki!K:K,MATCH('BOM2017'!D594,Wiki!B:B,0)))</f>
        <v>#VALUE!</v>
      </c>
    </row>
    <row r="595" spans="2:14" x14ac:dyDescent="0.2">
      <c r="B595" s="6">
        <v>590</v>
      </c>
      <c r="C595" s="3" t="s">
        <v>2377</v>
      </c>
      <c r="D595" t="e">
        <f t="shared" si="9"/>
        <v>#VALUE!</v>
      </c>
      <c r="E595" s="3" t="s">
        <v>2378</v>
      </c>
      <c r="F595" s="7" t="s">
        <v>2379</v>
      </c>
      <c r="G595" s="6">
        <v>3</v>
      </c>
      <c r="H595" s="6" t="s">
        <v>2380</v>
      </c>
      <c r="I595" s="6">
        <v>3</v>
      </c>
      <c r="J595" s="4">
        <v>43358</v>
      </c>
      <c r="K595" s="6" t="s">
        <v>558</v>
      </c>
      <c r="L595" s="1" t="e">
        <f>IF(MATCH(C595,Wiki!B:B,0)&lt;&gt;0,TRUE,FALSE)</f>
        <v>#N/A</v>
      </c>
      <c r="M595" s="1" t="e">
        <f>INDEX(Wiki!K:K,MATCH('BOM2017'!C595,Wiki!B:B,0))</f>
        <v>#N/A</v>
      </c>
      <c r="N595" s="1" t="e">
        <f>IFERROR(M595,INDEX(Wiki!K:K,MATCH('BOM2017'!D595,Wiki!B:B,0)))</f>
        <v>#VALUE!</v>
      </c>
    </row>
    <row r="596" spans="2:14" x14ac:dyDescent="0.2">
      <c r="B596" s="6">
        <v>591</v>
      </c>
      <c r="C596" s="3" t="s">
        <v>2381</v>
      </c>
      <c r="D596" t="e">
        <f t="shared" si="9"/>
        <v>#VALUE!</v>
      </c>
      <c r="E596" s="3" t="s">
        <v>2108</v>
      </c>
      <c r="F596" s="7" t="s">
        <v>2382</v>
      </c>
      <c r="G596" s="6">
        <v>5</v>
      </c>
      <c r="H596" s="6" t="s">
        <v>2383</v>
      </c>
      <c r="I596" s="6">
        <v>1</v>
      </c>
      <c r="J596" s="4">
        <v>43225</v>
      </c>
      <c r="K596" s="8">
        <v>43364</v>
      </c>
      <c r="L596" s="1" t="e">
        <f>IF(MATCH(C596,Wiki!B:B,0)&lt;&gt;0,TRUE,FALSE)</f>
        <v>#N/A</v>
      </c>
      <c r="M596" s="1" t="e">
        <f>INDEX(Wiki!K:K,MATCH('BOM2017'!C596,Wiki!B:B,0))</f>
        <v>#N/A</v>
      </c>
      <c r="N596" s="1" t="e">
        <f>IFERROR(M596,INDEX(Wiki!K:K,MATCH('BOM2017'!D596,Wiki!B:B,0)))</f>
        <v>#VALUE!</v>
      </c>
    </row>
    <row r="597" spans="2:14" x14ac:dyDescent="0.2">
      <c r="B597" s="6">
        <v>592</v>
      </c>
      <c r="C597" s="3" t="s">
        <v>2384</v>
      </c>
      <c r="D597" t="str">
        <f t="shared" si="9"/>
        <v>Heal</v>
      </c>
      <c r="E597" s="3" t="s">
        <v>1612</v>
      </c>
      <c r="F597" s="7" t="s">
        <v>2385</v>
      </c>
      <c r="G597" s="6">
        <v>1</v>
      </c>
      <c r="H597" s="6" t="s">
        <v>2385</v>
      </c>
      <c r="I597" s="6">
        <v>1</v>
      </c>
      <c r="J597" s="4">
        <v>43393</v>
      </c>
      <c r="K597" s="8">
        <v>43395</v>
      </c>
      <c r="L597" s="1" t="e">
        <f>IF(MATCH(C597,Wiki!B:B,0)&lt;&gt;0,TRUE,FALSE)</f>
        <v>#N/A</v>
      </c>
      <c r="M597" s="1" t="e">
        <f>INDEX(Wiki!K:K,MATCH('BOM2017'!C597,Wiki!B:B,0))</f>
        <v>#N/A</v>
      </c>
      <c r="N597" s="1" t="e">
        <f>IFERROR(M597,INDEX(Wiki!K:K,MATCH('BOM2017'!D597,Wiki!B:B,0)))</f>
        <v>#N/A</v>
      </c>
    </row>
    <row r="598" spans="2:14" x14ac:dyDescent="0.2">
      <c r="B598" s="6">
        <v>593</v>
      </c>
      <c r="C598" s="3" t="s">
        <v>2386</v>
      </c>
      <c r="D598" t="e">
        <f t="shared" si="9"/>
        <v>#VALUE!</v>
      </c>
      <c r="E598" s="3" t="s">
        <v>2121</v>
      </c>
      <c r="F598" s="7" t="s">
        <v>2387</v>
      </c>
      <c r="G598" s="6">
        <v>14</v>
      </c>
      <c r="H598" s="6" t="s">
        <v>2387</v>
      </c>
      <c r="I598" s="6">
        <v>14</v>
      </c>
      <c r="J598" s="4">
        <v>43295</v>
      </c>
      <c r="K598" s="6" t="s">
        <v>558</v>
      </c>
      <c r="L598" s="1" t="e">
        <f>IF(MATCH(C598,Wiki!B:B,0)&lt;&gt;0,TRUE,FALSE)</f>
        <v>#N/A</v>
      </c>
      <c r="M598" s="1" t="e">
        <f>INDEX(Wiki!K:K,MATCH('BOM2017'!C598,Wiki!B:B,0))</f>
        <v>#N/A</v>
      </c>
      <c r="N598" s="1" t="e">
        <f>IFERROR(M598,INDEX(Wiki!K:K,MATCH('BOM2017'!D598,Wiki!B:B,0)))</f>
        <v>#VALUE!</v>
      </c>
    </row>
    <row r="599" spans="2:14" x14ac:dyDescent="0.2">
      <c r="B599" s="6">
        <v>594</v>
      </c>
      <c r="C599" s="3" t="s">
        <v>2388</v>
      </c>
      <c r="D599" t="str">
        <f t="shared" si="9"/>
        <v>Seven Beauties</v>
      </c>
      <c r="E599" s="3" t="s">
        <v>1532</v>
      </c>
      <c r="F599" s="7" t="s">
        <v>2389</v>
      </c>
      <c r="G599" s="6">
        <v>2</v>
      </c>
      <c r="H599" s="6" t="s">
        <v>2390</v>
      </c>
      <c r="I599" s="6">
        <v>1</v>
      </c>
      <c r="J599" s="4">
        <v>43204</v>
      </c>
      <c r="K599" s="8">
        <v>43266</v>
      </c>
      <c r="L599" s="1" t="e">
        <f>IF(MATCH(C599,Wiki!B:B,0)&lt;&gt;0,TRUE,FALSE)</f>
        <v>#N/A</v>
      </c>
      <c r="M599" s="1" t="e">
        <f>INDEX(Wiki!K:K,MATCH('BOM2017'!C599,Wiki!B:B,0))</f>
        <v>#N/A</v>
      </c>
      <c r="N599" s="1" t="e">
        <f>IFERROR(M599,INDEX(Wiki!K:K,MATCH('BOM2017'!D599,Wiki!B:B,0)))</f>
        <v>#N/A</v>
      </c>
    </row>
    <row r="600" spans="2:14" x14ac:dyDescent="0.2">
      <c r="B600" s="6">
        <v>595</v>
      </c>
      <c r="C600" s="3" t="s">
        <v>2391</v>
      </c>
      <c r="D600" t="e">
        <f t="shared" si="9"/>
        <v>#VALUE!</v>
      </c>
      <c r="E600" s="3" t="s">
        <v>2010</v>
      </c>
      <c r="F600" s="7" t="s">
        <v>2392</v>
      </c>
      <c r="G600" s="6">
        <v>2</v>
      </c>
      <c r="H600" s="6" t="s">
        <v>2393</v>
      </c>
      <c r="I600" s="6">
        <v>1</v>
      </c>
      <c r="J600" s="4">
        <v>43316</v>
      </c>
      <c r="K600" s="6" t="s">
        <v>558</v>
      </c>
      <c r="L600" s="1" t="e">
        <f>IF(MATCH(C600,Wiki!B:B,0)&lt;&gt;0,TRUE,FALSE)</f>
        <v>#N/A</v>
      </c>
      <c r="M600" s="1" t="e">
        <f>INDEX(Wiki!K:K,MATCH('BOM2017'!C600,Wiki!B:B,0))</f>
        <v>#N/A</v>
      </c>
      <c r="N600" s="1" t="e">
        <f>IFERROR(M600,INDEX(Wiki!K:K,MATCH('BOM2017'!D600,Wiki!B:B,0)))</f>
        <v>#VALUE!</v>
      </c>
    </row>
    <row r="601" spans="2:14" x14ac:dyDescent="0.2">
      <c r="B601" s="6">
        <v>596</v>
      </c>
      <c r="C601" s="3" t="s">
        <v>2394</v>
      </c>
      <c r="D601" t="e">
        <f t="shared" si="9"/>
        <v>#VALUE!</v>
      </c>
      <c r="E601" s="3" t="s">
        <v>1804</v>
      </c>
      <c r="F601" s="7" t="s">
        <v>2395</v>
      </c>
      <c r="G601" s="6">
        <v>4</v>
      </c>
      <c r="H601" s="6" t="s">
        <v>2396</v>
      </c>
      <c r="I601" s="6">
        <v>4</v>
      </c>
      <c r="J601" s="4">
        <v>43120</v>
      </c>
      <c r="K601" s="8">
        <v>43217</v>
      </c>
      <c r="L601" s="1" t="e">
        <f>IF(MATCH(C601,Wiki!B:B,0)&lt;&gt;0,TRUE,FALSE)</f>
        <v>#N/A</v>
      </c>
      <c r="M601" s="1" t="e">
        <f>INDEX(Wiki!K:K,MATCH('BOM2017'!C601,Wiki!B:B,0))</f>
        <v>#N/A</v>
      </c>
      <c r="N601" s="1" t="e">
        <f>IFERROR(M601,INDEX(Wiki!K:K,MATCH('BOM2017'!D601,Wiki!B:B,0)))</f>
        <v>#VALUE!</v>
      </c>
    </row>
    <row r="602" spans="2:14" x14ac:dyDescent="0.2">
      <c r="B602" s="6">
        <v>597</v>
      </c>
      <c r="C602" s="3" t="s">
        <v>2397</v>
      </c>
      <c r="D602" t="e">
        <f t="shared" si="9"/>
        <v>#VALUE!</v>
      </c>
      <c r="E602" s="3" t="s">
        <v>1804</v>
      </c>
      <c r="F602" s="7" t="s">
        <v>2398</v>
      </c>
      <c r="G602" s="6">
        <v>5</v>
      </c>
      <c r="H602" s="6" t="s">
        <v>2399</v>
      </c>
      <c r="I602" s="6">
        <v>1</v>
      </c>
      <c r="J602" s="4">
        <v>43400</v>
      </c>
      <c r="K602" s="6" t="s">
        <v>558</v>
      </c>
      <c r="L602" s="1" t="e">
        <f>IF(MATCH(C602,Wiki!B:B,0)&lt;&gt;0,TRUE,FALSE)</f>
        <v>#N/A</v>
      </c>
      <c r="M602" s="1" t="e">
        <f>INDEX(Wiki!K:K,MATCH('BOM2017'!C602,Wiki!B:B,0))</f>
        <v>#N/A</v>
      </c>
      <c r="N602" s="1" t="e">
        <f>IFERROR(M602,INDEX(Wiki!K:K,MATCH('BOM2017'!D602,Wiki!B:B,0)))</f>
        <v>#VALUE!</v>
      </c>
    </row>
    <row r="603" spans="2:14" x14ac:dyDescent="0.2">
      <c r="B603" s="6">
        <v>598</v>
      </c>
      <c r="C603" s="3" t="s">
        <v>2400</v>
      </c>
      <c r="D603" t="e">
        <f t="shared" si="9"/>
        <v>#VALUE!</v>
      </c>
      <c r="E603" s="3" t="s">
        <v>1572</v>
      </c>
      <c r="F603" s="7" t="s">
        <v>2401</v>
      </c>
      <c r="G603" s="6">
        <v>4</v>
      </c>
      <c r="H603" s="6" t="s">
        <v>2402</v>
      </c>
      <c r="I603" s="6">
        <v>1</v>
      </c>
      <c r="J603" s="4">
        <v>43435</v>
      </c>
      <c r="K603" s="6" t="s">
        <v>558</v>
      </c>
      <c r="L603" s="1" t="e">
        <f>IF(MATCH(C603,Wiki!B:B,0)&lt;&gt;0,TRUE,FALSE)</f>
        <v>#N/A</v>
      </c>
      <c r="M603" s="1" t="e">
        <f>INDEX(Wiki!K:K,MATCH('BOM2017'!C603,Wiki!B:B,0))</f>
        <v>#N/A</v>
      </c>
      <c r="N603" s="1" t="e">
        <f>IFERROR(M603,INDEX(Wiki!K:K,MATCH('BOM2017'!D603,Wiki!B:B,0)))</f>
        <v>#VALUE!</v>
      </c>
    </row>
    <row r="604" spans="2:14" x14ac:dyDescent="0.2">
      <c r="B604" s="6">
        <v>599</v>
      </c>
      <c r="C604" s="3" t="s">
        <v>2403</v>
      </c>
      <c r="D604" t="str">
        <f t="shared" si="9"/>
        <v>Dead Awake</v>
      </c>
      <c r="E604" s="3" t="s">
        <v>157</v>
      </c>
      <c r="F604" s="7" t="s">
        <v>2404</v>
      </c>
      <c r="G604" s="6">
        <v>12</v>
      </c>
      <c r="H604" s="6" t="s">
        <v>2405</v>
      </c>
      <c r="I604" s="6">
        <v>12</v>
      </c>
      <c r="J604" s="4">
        <v>43232</v>
      </c>
      <c r="K604" s="8">
        <v>43238</v>
      </c>
      <c r="L604" s="1" t="e">
        <f>IF(MATCH(C604,Wiki!B:B,0)&lt;&gt;0,TRUE,FALSE)</f>
        <v>#N/A</v>
      </c>
      <c r="M604" s="1" t="e">
        <f>INDEX(Wiki!K:K,MATCH('BOM2017'!C604,Wiki!B:B,0))</f>
        <v>#N/A</v>
      </c>
      <c r="N604" s="1" t="e">
        <f>IFERROR(M604,INDEX(Wiki!K:K,MATCH('BOM2017'!D604,Wiki!B:B,0)))</f>
        <v>#N/A</v>
      </c>
    </row>
    <row r="605" spans="2:14" x14ac:dyDescent="0.2">
      <c r="B605" s="6">
        <v>600</v>
      </c>
      <c r="C605" s="3" t="s">
        <v>2406</v>
      </c>
      <c r="D605" t="e">
        <f t="shared" si="9"/>
        <v>#VALUE!</v>
      </c>
      <c r="E605" s="3" t="s">
        <v>1977</v>
      </c>
      <c r="F605" s="7" t="s">
        <v>2407</v>
      </c>
      <c r="G605" s="6">
        <v>2</v>
      </c>
      <c r="H605" s="6" t="s">
        <v>2408</v>
      </c>
      <c r="I605" s="6">
        <v>1</v>
      </c>
      <c r="J605" s="4">
        <v>43337</v>
      </c>
      <c r="K605" s="8">
        <v>43353</v>
      </c>
      <c r="L605" s="1" t="e">
        <f>IF(MATCH(C605,Wiki!B:B,0)&lt;&gt;0,TRUE,FALSE)</f>
        <v>#N/A</v>
      </c>
      <c r="M605" s="1" t="e">
        <f>INDEX(Wiki!K:K,MATCH('BOM2017'!C605,Wiki!B:B,0))</f>
        <v>#N/A</v>
      </c>
      <c r="N605" s="1" t="e">
        <f>IFERROR(M605,INDEX(Wiki!K:K,MATCH('BOM2017'!D605,Wiki!B:B,0)))</f>
        <v>#VALUE!</v>
      </c>
    </row>
    <row r="606" spans="2:14" x14ac:dyDescent="0.2">
      <c r="B606" s="6">
        <v>601</v>
      </c>
      <c r="C606" s="3" t="s">
        <v>2409</v>
      </c>
      <c r="D606" t="e">
        <f t="shared" si="9"/>
        <v>#VALUE!</v>
      </c>
      <c r="E606" s="3" t="s">
        <v>1332</v>
      </c>
      <c r="F606" s="7" t="s">
        <v>2410</v>
      </c>
      <c r="G606" s="6">
        <v>2</v>
      </c>
      <c r="H606" s="6" t="s">
        <v>2411</v>
      </c>
      <c r="I606" s="6">
        <v>1</v>
      </c>
      <c r="J606" s="4">
        <v>43134</v>
      </c>
      <c r="K606" s="8">
        <v>43178</v>
      </c>
      <c r="L606" s="1" t="e">
        <f>IF(MATCH(C606,Wiki!B:B,0)&lt;&gt;0,TRUE,FALSE)</f>
        <v>#N/A</v>
      </c>
      <c r="M606" s="1" t="e">
        <f>INDEX(Wiki!K:K,MATCH('BOM2017'!C606,Wiki!B:B,0))</f>
        <v>#N/A</v>
      </c>
      <c r="N606" s="1" t="e">
        <f>IFERROR(M606,INDEX(Wiki!K:K,MATCH('BOM2017'!D606,Wiki!B:B,0)))</f>
        <v>#VALUE!</v>
      </c>
    </row>
    <row r="607" spans="2:14" x14ac:dyDescent="0.2">
      <c r="B607" s="6">
        <v>602</v>
      </c>
      <c r="C607" s="3" t="s">
        <v>2412</v>
      </c>
      <c r="D607" t="e">
        <f t="shared" si="9"/>
        <v>#VALUE!</v>
      </c>
      <c r="E607" s="3" t="s">
        <v>1568</v>
      </c>
      <c r="F607" s="7" t="s">
        <v>2413</v>
      </c>
      <c r="G607" s="6">
        <v>2</v>
      </c>
      <c r="H607" s="6" t="s">
        <v>2414</v>
      </c>
      <c r="I607" s="6">
        <v>1</v>
      </c>
      <c r="J607" s="4">
        <v>43372</v>
      </c>
      <c r="K607" s="8">
        <v>43381</v>
      </c>
      <c r="L607" s="1" t="e">
        <f>IF(MATCH(C607,Wiki!B:B,0)&lt;&gt;0,TRUE,FALSE)</f>
        <v>#N/A</v>
      </c>
      <c r="M607" s="1" t="e">
        <f>INDEX(Wiki!K:K,MATCH('BOM2017'!C607,Wiki!B:B,0))</f>
        <v>#N/A</v>
      </c>
      <c r="N607" s="1" t="e">
        <f>IFERROR(M607,INDEX(Wiki!K:K,MATCH('BOM2017'!D607,Wiki!B:B,0)))</f>
        <v>#VALUE!</v>
      </c>
    </row>
    <row r="608" spans="2:14" x14ac:dyDescent="0.2">
      <c r="B608" s="6">
        <v>603</v>
      </c>
      <c r="C608" s="3" t="s">
        <v>2415</v>
      </c>
      <c r="D608" t="str">
        <f t="shared" si="9"/>
        <v>Ugetsu</v>
      </c>
      <c r="E608" s="3" t="s">
        <v>1576</v>
      </c>
      <c r="F608" s="7" t="s">
        <v>2416</v>
      </c>
      <c r="G608" s="6">
        <v>1</v>
      </c>
      <c r="H608" s="6" t="s">
        <v>2417</v>
      </c>
      <c r="I608" s="6">
        <v>1</v>
      </c>
      <c r="J608" s="4">
        <v>43160</v>
      </c>
      <c r="K608" s="6" t="s">
        <v>558</v>
      </c>
      <c r="L608" s="1" t="e">
        <f>IF(MATCH(C608,Wiki!B:B,0)&lt;&gt;0,TRUE,FALSE)</f>
        <v>#N/A</v>
      </c>
      <c r="M608" s="1" t="e">
        <f>INDEX(Wiki!K:K,MATCH('BOM2017'!C608,Wiki!B:B,0))</f>
        <v>#N/A</v>
      </c>
      <c r="N608" s="1" t="e">
        <f>IFERROR(M608,INDEX(Wiki!K:K,MATCH('BOM2017'!D608,Wiki!B:B,0)))</f>
        <v>#N/A</v>
      </c>
    </row>
    <row r="609" spans="2:14" x14ac:dyDescent="0.2">
      <c r="B609" s="6">
        <v>604</v>
      </c>
      <c r="C609" s="3" t="s">
        <v>2418</v>
      </c>
      <c r="D609" t="e">
        <f t="shared" si="9"/>
        <v>#VALUE!</v>
      </c>
      <c r="E609" s="3" t="s">
        <v>1294</v>
      </c>
      <c r="F609" s="7" t="s">
        <v>2419</v>
      </c>
      <c r="G609" s="6">
        <v>8</v>
      </c>
      <c r="H609" s="6" t="s">
        <v>2420</v>
      </c>
      <c r="I609" s="6">
        <v>1</v>
      </c>
      <c r="J609" s="4">
        <v>43421</v>
      </c>
      <c r="K609" s="8">
        <v>43441</v>
      </c>
      <c r="L609" s="1" t="e">
        <f>IF(MATCH(C609,Wiki!B:B,0)&lt;&gt;0,TRUE,FALSE)</f>
        <v>#N/A</v>
      </c>
      <c r="M609" s="1" t="e">
        <f>INDEX(Wiki!K:K,MATCH('BOM2017'!C609,Wiki!B:B,0))</f>
        <v>#N/A</v>
      </c>
      <c r="N609" s="1" t="e">
        <f>IFERROR(M609,INDEX(Wiki!K:K,MATCH('BOM2017'!D609,Wiki!B:B,0)))</f>
        <v>#VALUE!</v>
      </c>
    </row>
    <row r="610" spans="2:14" x14ac:dyDescent="0.2">
      <c r="B610" s="6">
        <v>605</v>
      </c>
      <c r="C610" s="3" t="s">
        <v>2421</v>
      </c>
      <c r="D610" t="str">
        <f t="shared" si="9"/>
        <v>The Challenge</v>
      </c>
      <c r="E610" s="3" t="s">
        <v>1532</v>
      </c>
      <c r="F610" s="7" t="s">
        <v>2422</v>
      </c>
      <c r="G610" s="6">
        <v>5</v>
      </c>
      <c r="H610" s="6" t="s">
        <v>2423</v>
      </c>
      <c r="I610" s="6">
        <v>1</v>
      </c>
      <c r="J610" s="4">
        <v>43351</v>
      </c>
      <c r="K610" s="8">
        <v>43448</v>
      </c>
      <c r="L610" s="1" t="e">
        <f>IF(MATCH(C610,Wiki!B:B,0)&lt;&gt;0,TRUE,FALSE)</f>
        <v>#N/A</v>
      </c>
      <c r="M610" s="1" t="e">
        <f>INDEX(Wiki!K:K,MATCH('BOM2017'!C610,Wiki!B:B,0))</f>
        <v>#N/A</v>
      </c>
      <c r="N610" s="1" t="e">
        <f>IFERROR(M610,INDEX(Wiki!K:K,MATCH('BOM2017'!D610,Wiki!B:B,0)))</f>
        <v>#N/A</v>
      </c>
    </row>
    <row r="611" spans="2:14" x14ac:dyDescent="0.2">
      <c r="B611" s="6">
        <v>606</v>
      </c>
      <c r="C611" s="3" t="s">
        <v>122</v>
      </c>
      <c r="D611" t="str">
        <f t="shared" si="9"/>
        <v/>
      </c>
      <c r="E611" s="3" t="s">
        <v>1804</v>
      </c>
      <c r="F611" s="7" t="s">
        <v>2424</v>
      </c>
      <c r="G611" s="6">
        <v>3</v>
      </c>
      <c r="H611" s="6" t="s">
        <v>2425</v>
      </c>
      <c r="I611" s="6">
        <v>1</v>
      </c>
      <c r="J611" s="4">
        <v>43148</v>
      </c>
      <c r="K611" s="8">
        <v>43217</v>
      </c>
      <c r="L611" s="1" t="b">
        <f>IF(MATCH(C611,Wiki!B:B,0)&lt;&gt;0,TRUE,FALSE)</f>
        <v>1</v>
      </c>
      <c r="M611" s="1" t="str">
        <f>INDEX(Wiki!K:K,MATCH('BOM2017'!C611,Wiki!B:B,0))</f>
        <v>Lovesong</v>
      </c>
      <c r="N611" s="1" t="str">
        <f>IFERROR(M611,INDEX(Wiki!K:K,MATCH('BOM2017'!D611,Wiki!B:B,0)))</f>
        <v>Lovesong</v>
      </c>
    </row>
    <row r="612" spans="2:14" x14ac:dyDescent="0.2">
      <c r="B612" s="6">
        <v>607</v>
      </c>
      <c r="C612" s="3" t="s">
        <v>2426</v>
      </c>
      <c r="D612" t="str">
        <f t="shared" si="9"/>
        <v>Clarence</v>
      </c>
      <c r="E612" s="3" t="s">
        <v>1797</v>
      </c>
      <c r="F612" s="7" t="s">
        <v>2427</v>
      </c>
      <c r="G612" s="6">
        <v>2</v>
      </c>
      <c r="H612" s="6" t="s">
        <v>2428</v>
      </c>
      <c r="I612" s="6">
        <v>2</v>
      </c>
      <c r="J612" s="4">
        <v>43344</v>
      </c>
      <c r="K612" s="8">
        <v>43364</v>
      </c>
      <c r="L612" s="1" t="e">
        <f>IF(MATCH(C612,Wiki!B:B,0)&lt;&gt;0,TRUE,FALSE)</f>
        <v>#N/A</v>
      </c>
      <c r="M612" s="1" t="e">
        <f>INDEX(Wiki!K:K,MATCH('BOM2017'!C612,Wiki!B:B,0))</f>
        <v>#N/A</v>
      </c>
      <c r="N612" s="1" t="e">
        <f>IFERROR(M612,INDEX(Wiki!K:K,MATCH('BOM2017'!D612,Wiki!B:B,0)))</f>
        <v>#N/A</v>
      </c>
    </row>
    <row r="613" spans="2:14" x14ac:dyDescent="0.2">
      <c r="B613" s="6">
        <v>608</v>
      </c>
      <c r="C613" s="3" t="s">
        <v>2429</v>
      </c>
      <c r="D613" t="e">
        <f t="shared" si="9"/>
        <v>#VALUE!</v>
      </c>
      <c r="E613" s="3" t="s">
        <v>2430</v>
      </c>
      <c r="F613" s="7" t="s">
        <v>2431</v>
      </c>
      <c r="G613" s="6">
        <v>4</v>
      </c>
      <c r="H613" s="6" t="s">
        <v>1159</v>
      </c>
      <c r="I613" s="6" t="s">
        <v>1159</v>
      </c>
      <c r="J613" s="4">
        <v>43414</v>
      </c>
      <c r="K613" s="8">
        <v>43451</v>
      </c>
      <c r="L613" s="1" t="e">
        <f>IF(MATCH(C613,Wiki!B:B,0)&lt;&gt;0,TRUE,FALSE)</f>
        <v>#N/A</v>
      </c>
      <c r="M613" s="1" t="e">
        <f>INDEX(Wiki!K:K,MATCH('BOM2017'!C613,Wiki!B:B,0))</f>
        <v>#N/A</v>
      </c>
      <c r="N613" s="1" t="e">
        <f>IFERROR(M613,INDEX(Wiki!K:K,MATCH('BOM2017'!D613,Wiki!B:B,0)))</f>
        <v>#VALUE!</v>
      </c>
    </row>
    <row r="614" spans="2:14" x14ac:dyDescent="0.2">
      <c r="B614" s="6">
        <v>609</v>
      </c>
      <c r="C614" s="3" t="s">
        <v>2432</v>
      </c>
      <c r="D614" t="e">
        <f t="shared" si="9"/>
        <v>#VALUE!</v>
      </c>
      <c r="E614" s="3" t="s">
        <v>2433</v>
      </c>
      <c r="F614" s="7" t="s">
        <v>2434</v>
      </c>
      <c r="G614" s="6">
        <v>1</v>
      </c>
      <c r="H614" s="6" t="s">
        <v>2435</v>
      </c>
      <c r="I614" s="6">
        <v>1</v>
      </c>
      <c r="J614" s="4">
        <v>43316</v>
      </c>
      <c r="K614" s="8">
        <v>43322</v>
      </c>
      <c r="L614" s="1" t="e">
        <f>IF(MATCH(C614,Wiki!B:B,0)&lt;&gt;0,TRUE,FALSE)</f>
        <v>#N/A</v>
      </c>
      <c r="M614" s="1" t="e">
        <f>INDEX(Wiki!K:K,MATCH('BOM2017'!C614,Wiki!B:B,0))</f>
        <v>#N/A</v>
      </c>
      <c r="N614" s="1" t="e">
        <f>IFERROR(M614,INDEX(Wiki!K:K,MATCH('BOM2017'!D614,Wiki!B:B,0)))</f>
        <v>#VALUE!</v>
      </c>
    </row>
    <row r="615" spans="2:14" x14ac:dyDescent="0.2">
      <c r="B615" s="6">
        <v>610</v>
      </c>
      <c r="C615" s="3" t="s">
        <v>2436</v>
      </c>
      <c r="D615" t="e">
        <f t="shared" si="9"/>
        <v>#VALUE!</v>
      </c>
      <c r="E615" s="3" t="s">
        <v>157</v>
      </c>
      <c r="F615" s="7" t="s">
        <v>2437</v>
      </c>
      <c r="G615" s="6">
        <v>7</v>
      </c>
      <c r="H615" s="6" t="s">
        <v>2438</v>
      </c>
      <c r="I615" s="6">
        <v>1</v>
      </c>
      <c r="J615" s="4">
        <v>43120</v>
      </c>
      <c r="K615" s="8">
        <v>43140</v>
      </c>
      <c r="L615" s="1" t="e">
        <f>IF(MATCH(C615,Wiki!B:B,0)&lt;&gt;0,TRUE,FALSE)</f>
        <v>#N/A</v>
      </c>
      <c r="M615" s="1" t="e">
        <f>INDEX(Wiki!K:K,MATCH('BOM2017'!C615,Wiki!B:B,0))</f>
        <v>#N/A</v>
      </c>
      <c r="N615" s="1" t="e">
        <f>IFERROR(M615,INDEX(Wiki!K:K,MATCH('BOM2017'!D615,Wiki!B:B,0)))</f>
        <v>#VALUE!</v>
      </c>
    </row>
    <row r="616" spans="2:14" x14ac:dyDescent="0.2">
      <c r="B616" s="6">
        <v>611</v>
      </c>
      <c r="C616" s="3" t="s">
        <v>2439</v>
      </c>
      <c r="D616" t="str">
        <f t="shared" si="9"/>
        <v>Pelle the Conqueror</v>
      </c>
      <c r="E616" s="3" t="s">
        <v>1572</v>
      </c>
      <c r="F616" s="7" t="s">
        <v>2440</v>
      </c>
      <c r="G616" s="6">
        <v>4</v>
      </c>
      <c r="H616" s="6" t="s">
        <v>2441</v>
      </c>
      <c r="I616" s="6">
        <v>1</v>
      </c>
      <c r="J616" s="4">
        <v>43155</v>
      </c>
      <c r="K616" s="8">
        <v>43224</v>
      </c>
      <c r="L616" s="1" t="e">
        <f>IF(MATCH(C616,Wiki!B:B,0)&lt;&gt;0,TRUE,FALSE)</f>
        <v>#N/A</v>
      </c>
      <c r="M616" s="1" t="e">
        <f>INDEX(Wiki!K:K,MATCH('BOM2017'!C616,Wiki!B:B,0))</f>
        <v>#N/A</v>
      </c>
      <c r="N616" s="1" t="e">
        <f>IFERROR(M616,INDEX(Wiki!K:K,MATCH('BOM2017'!D616,Wiki!B:B,0)))</f>
        <v>#N/A</v>
      </c>
    </row>
    <row r="617" spans="2:14" x14ac:dyDescent="0.2">
      <c r="B617" s="6">
        <v>612</v>
      </c>
      <c r="C617" s="3" t="s">
        <v>2442</v>
      </c>
      <c r="D617" t="e">
        <f t="shared" si="9"/>
        <v>#VALUE!</v>
      </c>
      <c r="E617" s="3" t="s">
        <v>1532</v>
      </c>
      <c r="F617" s="7" t="s">
        <v>2443</v>
      </c>
      <c r="G617" s="6">
        <v>1</v>
      </c>
      <c r="H617" s="6" t="s">
        <v>2444</v>
      </c>
      <c r="I617" s="6">
        <v>1</v>
      </c>
      <c r="J617" s="4">
        <v>43321</v>
      </c>
      <c r="K617" s="8">
        <v>43423</v>
      </c>
      <c r="L617" s="1" t="e">
        <f>IF(MATCH(C617,Wiki!B:B,0)&lt;&gt;0,TRUE,FALSE)</f>
        <v>#N/A</v>
      </c>
      <c r="M617" s="1" t="e">
        <f>INDEX(Wiki!K:K,MATCH('BOM2017'!C617,Wiki!B:B,0))</f>
        <v>#N/A</v>
      </c>
      <c r="N617" s="1" t="e">
        <f>IFERROR(M617,INDEX(Wiki!K:K,MATCH('BOM2017'!D617,Wiki!B:B,0)))</f>
        <v>#VALUE!</v>
      </c>
    </row>
    <row r="618" spans="2:14" x14ac:dyDescent="0.2">
      <c r="B618" s="6">
        <v>613</v>
      </c>
      <c r="C618" s="3" t="s">
        <v>2445</v>
      </c>
      <c r="D618" t="e">
        <f t="shared" si="9"/>
        <v>#VALUE!</v>
      </c>
      <c r="E618" s="3" t="s">
        <v>1594</v>
      </c>
      <c r="F618" s="7" t="s">
        <v>2446</v>
      </c>
      <c r="G618" s="6">
        <v>3</v>
      </c>
      <c r="H618" s="6" t="s">
        <v>2447</v>
      </c>
      <c r="I618" s="6">
        <v>1</v>
      </c>
      <c r="J618" s="4">
        <v>43365</v>
      </c>
      <c r="K618" s="8">
        <v>43427</v>
      </c>
      <c r="L618" s="1" t="e">
        <f>IF(MATCH(C618,Wiki!B:B,0)&lt;&gt;0,TRUE,FALSE)</f>
        <v>#N/A</v>
      </c>
      <c r="M618" s="1" t="e">
        <f>INDEX(Wiki!K:K,MATCH('BOM2017'!C618,Wiki!B:B,0))</f>
        <v>#N/A</v>
      </c>
      <c r="N618" s="1" t="e">
        <f>IFERROR(M618,INDEX(Wiki!K:K,MATCH('BOM2017'!D618,Wiki!B:B,0)))</f>
        <v>#VALUE!</v>
      </c>
    </row>
    <row r="619" spans="2:14" x14ac:dyDescent="0.2">
      <c r="B619" s="6">
        <v>614</v>
      </c>
      <c r="C619" s="3" t="s">
        <v>2448</v>
      </c>
      <c r="D619" t="e">
        <f t="shared" si="9"/>
        <v>#VALUE!</v>
      </c>
      <c r="E619" s="3" t="s">
        <v>1977</v>
      </c>
      <c r="F619" s="7" t="s">
        <v>2449</v>
      </c>
      <c r="G619" s="6">
        <v>5</v>
      </c>
      <c r="H619" s="6" t="s">
        <v>2450</v>
      </c>
      <c r="I619" s="6">
        <v>5</v>
      </c>
      <c r="J619" s="4">
        <v>43330</v>
      </c>
      <c r="K619" s="6" t="s">
        <v>558</v>
      </c>
      <c r="L619" s="1" t="e">
        <f>IF(MATCH(C619,Wiki!B:B,0)&lt;&gt;0,TRUE,FALSE)</f>
        <v>#N/A</v>
      </c>
      <c r="M619" s="1" t="e">
        <f>INDEX(Wiki!K:K,MATCH('BOM2017'!C619,Wiki!B:B,0))</f>
        <v>#N/A</v>
      </c>
      <c r="N619" s="1" t="e">
        <f>IFERROR(M619,INDEX(Wiki!K:K,MATCH('BOM2017'!D619,Wiki!B:B,0)))</f>
        <v>#VALUE!</v>
      </c>
    </row>
    <row r="620" spans="2:14" x14ac:dyDescent="0.2">
      <c r="B620" s="6">
        <v>615</v>
      </c>
      <c r="C620" s="3" t="s">
        <v>2451</v>
      </c>
      <c r="D620" t="e">
        <f t="shared" si="9"/>
        <v>#VALUE!</v>
      </c>
      <c r="E620" s="3" t="s">
        <v>1977</v>
      </c>
      <c r="F620" s="7" t="s">
        <v>2452</v>
      </c>
      <c r="G620" s="6">
        <v>3</v>
      </c>
      <c r="H620" s="6" t="s">
        <v>2453</v>
      </c>
      <c r="I620" s="6">
        <v>1</v>
      </c>
      <c r="J620" s="4">
        <v>43197</v>
      </c>
      <c r="K620" s="8">
        <v>43276</v>
      </c>
      <c r="L620" s="1" t="e">
        <f>IF(MATCH(C620,Wiki!B:B,0)&lt;&gt;0,TRUE,FALSE)</f>
        <v>#N/A</v>
      </c>
      <c r="M620" s="1" t="e">
        <f>INDEX(Wiki!K:K,MATCH('BOM2017'!C620,Wiki!B:B,0))</f>
        <v>#N/A</v>
      </c>
      <c r="N620" s="1" t="e">
        <f>IFERROR(M620,INDEX(Wiki!K:K,MATCH('BOM2017'!D620,Wiki!B:B,0)))</f>
        <v>#VALUE!</v>
      </c>
    </row>
    <row r="621" spans="2:14" x14ac:dyDescent="0.2">
      <c r="B621" s="6">
        <v>616</v>
      </c>
      <c r="C621" s="3" t="s">
        <v>2454</v>
      </c>
      <c r="D621" t="e">
        <f t="shared" si="9"/>
        <v>#VALUE!</v>
      </c>
      <c r="E621" s="3" t="s">
        <v>1175</v>
      </c>
      <c r="F621" s="7" t="s">
        <v>2455</v>
      </c>
      <c r="G621" s="6">
        <v>1</v>
      </c>
      <c r="H621" s="6" t="s">
        <v>1159</v>
      </c>
      <c r="I621" s="6" t="s">
        <v>1159</v>
      </c>
      <c r="J621" s="4">
        <v>43225</v>
      </c>
      <c r="K621" s="8">
        <v>43259</v>
      </c>
      <c r="L621" s="1" t="e">
        <f>IF(MATCH(C621,Wiki!B:B,0)&lt;&gt;0,TRUE,FALSE)</f>
        <v>#N/A</v>
      </c>
      <c r="M621" s="1" t="e">
        <f>INDEX(Wiki!K:K,MATCH('BOM2017'!C621,Wiki!B:B,0))</f>
        <v>#N/A</v>
      </c>
      <c r="N621" s="1" t="e">
        <f>IFERROR(M621,INDEX(Wiki!K:K,MATCH('BOM2017'!D621,Wiki!B:B,0)))</f>
        <v>#VALUE!</v>
      </c>
    </row>
    <row r="622" spans="2:14" x14ac:dyDescent="0.2">
      <c r="B622" s="6">
        <v>617</v>
      </c>
      <c r="C622" s="3" t="s">
        <v>2456</v>
      </c>
      <c r="D622" t="e">
        <f t="shared" si="9"/>
        <v>#VALUE!</v>
      </c>
      <c r="E622" s="3" t="s">
        <v>1572</v>
      </c>
      <c r="F622" s="7" t="s">
        <v>2457</v>
      </c>
      <c r="G622" s="6">
        <v>2</v>
      </c>
      <c r="H622" s="6" t="s">
        <v>2458</v>
      </c>
      <c r="I622" s="6">
        <v>1</v>
      </c>
      <c r="J622" s="4">
        <v>43302</v>
      </c>
      <c r="K622" s="8">
        <v>43329</v>
      </c>
      <c r="L622" s="1" t="e">
        <f>IF(MATCH(C622,Wiki!B:B,0)&lt;&gt;0,TRUE,FALSE)</f>
        <v>#N/A</v>
      </c>
      <c r="M622" s="1" t="e">
        <f>INDEX(Wiki!K:K,MATCH('BOM2017'!C622,Wiki!B:B,0))</f>
        <v>#N/A</v>
      </c>
      <c r="N622" s="1" t="e">
        <f>IFERROR(M622,INDEX(Wiki!K:K,MATCH('BOM2017'!D622,Wiki!B:B,0)))</f>
        <v>#VALUE!</v>
      </c>
    </row>
    <row r="623" spans="2:14" x14ac:dyDescent="0.2">
      <c r="B623" s="6">
        <v>618</v>
      </c>
      <c r="C623" s="3" t="s">
        <v>2459</v>
      </c>
      <c r="D623" t="str">
        <f t="shared" si="9"/>
        <v>Maigret Sets a Trap</v>
      </c>
      <c r="E623" s="3" t="s">
        <v>1532</v>
      </c>
      <c r="F623" s="7" t="s">
        <v>2460</v>
      </c>
      <c r="G623" s="6">
        <v>1</v>
      </c>
      <c r="H623" s="6" t="s">
        <v>2461</v>
      </c>
      <c r="I623" s="6">
        <v>1</v>
      </c>
      <c r="J623" s="4">
        <v>43393</v>
      </c>
      <c r="K623" s="8">
        <v>43420</v>
      </c>
      <c r="L623" s="1" t="e">
        <f>IF(MATCH(C623,Wiki!B:B,0)&lt;&gt;0,TRUE,FALSE)</f>
        <v>#N/A</v>
      </c>
      <c r="M623" s="1" t="e">
        <f>INDEX(Wiki!K:K,MATCH('BOM2017'!C623,Wiki!B:B,0))</f>
        <v>#N/A</v>
      </c>
      <c r="N623" s="1" t="e">
        <f>IFERROR(M623,INDEX(Wiki!K:K,MATCH('BOM2017'!D623,Wiki!B:B,0)))</f>
        <v>#N/A</v>
      </c>
    </row>
    <row r="624" spans="2:14" x14ac:dyDescent="0.2">
      <c r="B624" s="6">
        <v>619</v>
      </c>
      <c r="C624" s="3" t="s">
        <v>2462</v>
      </c>
      <c r="D624" t="e">
        <f t="shared" si="9"/>
        <v>#VALUE!</v>
      </c>
      <c r="E624" s="3" t="s">
        <v>1649</v>
      </c>
      <c r="F624" s="7" t="s">
        <v>2463</v>
      </c>
      <c r="G624" s="6">
        <v>3</v>
      </c>
      <c r="H624" s="6" t="s">
        <v>2464</v>
      </c>
      <c r="I624" s="6">
        <v>3</v>
      </c>
      <c r="J624" s="4">
        <v>43113</v>
      </c>
      <c r="K624" s="8">
        <v>43157</v>
      </c>
      <c r="L624" s="1" t="e">
        <f>IF(MATCH(C624,Wiki!B:B,0)&lt;&gt;0,TRUE,FALSE)</f>
        <v>#N/A</v>
      </c>
      <c r="M624" s="1" t="e">
        <f>INDEX(Wiki!K:K,MATCH('BOM2017'!C624,Wiki!B:B,0))</f>
        <v>#N/A</v>
      </c>
      <c r="N624" s="1" t="e">
        <f>IFERROR(M624,INDEX(Wiki!K:K,MATCH('BOM2017'!D624,Wiki!B:B,0)))</f>
        <v>#VALUE!</v>
      </c>
    </row>
    <row r="625" spans="2:14" x14ac:dyDescent="0.2">
      <c r="B625" s="6">
        <v>620</v>
      </c>
      <c r="C625" s="3" t="s">
        <v>2465</v>
      </c>
      <c r="D625" t="e">
        <f t="shared" si="9"/>
        <v>#VALUE!</v>
      </c>
      <c r="E625" s="3" t="s">
        <v>1761</v>
      </c>
      <c r="F625" s="7" t="s">
        <v>2466</v>
      </c>
      <c r="G625" s="6">
        <v>1</v>
      </c>
      <c r="H625" s="6" t="s">
        <v>2466</v>
      </c>
      <c r="I625" s="6">
        <v>1</v>
      </c>
      <c r="J625" s="4">
        <v>43407</v>
      </c>
      <c r="K625" s="8">
        <v>43409</v>
      </c>
      <c r="L625" s="1" t="e">
        <f>IF(MATCH(C625,Wiki!B:B,0)&lt;&gt;0,TRUE,FALSE)</f>
        <v>#N/A</v>
      </c>
      <c r="M625" s="1" t="e">
        <f>INDEX(Wiki!K:K,MATCH('BOM2017'!C625,Wiki!B:B,0))</f>
        <v>#N/A</v>
      </c>
      <c r="N625" s="1" t="e">
        <f>IFERROR(M625,INDEX(Wiki!K:K,MATCH('BOM2017'!D625,Wiki!B:B,0)))</f>
        <v>#VALUE!</v>
      </c>
    </row>
    <row r="626" spans="2:14" x14ac:dyDescent="0.2">
      <c r="B626" s="6">
        <v>621</v>
      </c>
      <c r="C626" s="3" t="s">
        <v>2467</v>
      </c>
      <c r="D626" t="e">
        <f t="shared" si="9"/>
        <v>#VALUE!</v>
      </c>
      <c r="E626" s="3" t="s">
        <v>1314</v>
      </c>
      <c r="F626" s="7" t="s">
        <v>2468</v>
      </c>
      <c r="G626" s="6">
        <v>1</v>
      </c>
      <c r="H626" s="6" t="s">
        <v>2468</v>
      </c>
      <c r="I626" s="6">
        <v>1</v>
      </c>
      <c r="J626" s="4">
        <v>43218</v>
      </c>
      <c r="K626" s="8">
        <v>43220</v>
      </c>
      <c r="L626" s="1" t="e">
        <f>IF(MATCH(C626,Wiki!B:B,0)&lt;&gt;0,TRUE,FALSE)</f>
        <v>#N/A</v>
      </c>
      <c r="M626" s="1" t="e">
        <f>INDEX(Wiki!K:K,MATCH('BOM2017'!C626,Wiki!B:B,0))</f>
        <v>#N/A</v>
      </c>
      <c r="N626" s="1" t="e">
        <f>IFERROR(M626,INDEX(Wiki!K:K,MATCH('BOM2017'!D626,Wiki!B:B,0)))</f>
        <v>#VALUE!</v>
      </c>
    </row>
    <row r="627" spans="2:14" x14ac:dyDescent="0.2">
      <c r="B627" s="6">
        <v>622</v>
      </c>
      <c r="C627" s="3" t="s">
        <v>2469</v>
      </c>
      <c r="D627" t="e">
        <f t="shared" si="9"/>
        <v>#VALUE!</v>
      </c>
      <c r="E627" s="3" t="s">
        <v>1248</v>
      </c>
      <c r="F627" s="7" t="s">
        <v>2470</v>
      </c>
      <c r="G627" s="6">
        <v>1</v>
      </c>
      <c r="H627" s="6" t="s">
        <v>2471</v>
      </c>
      <c r="I627" s="6">
        <v>1</v>
      </c>
      <c r="J627" s="4">
        <v>43223</v>
      </c>
      <c r="K627" s="8">
        <v>43245</v>
      </c>
      <c r="L627" s="1" t="e">
        <f>IF(MATCH(C627,Wiki!B:B,0)&lt;&gt;0,TRUE,FALSE)</f>
        <v>#N/A</v>
      </c>
      <c r="M627" s="1" t="e">
        <f>INDEX(Wiki!K:K,MATCH('BOM2017'!C627,Wiki!B:B,0))</f>
        <v>#N/A</v>
      </c>
      <c r="N627" s="1" t="e">
        <f>IFERROR(M627,INDEX(Wiki!K:K,MATCH('BOM2017'!D627,Wiki!B:B,0)))</f>
        <v>#VALUE!</v>
      </c>
    </row>
    <row r="628" spans="2:14" x14ac:dyDescent="0.2">
      <c r="B628" s="6">
        <v>623</v>
      </c>
      <c r="C628" s="3" t="s">
        <v>2472</v>
      </c>
      <c r="D628" t="e">
        <f t="shared" si="9"/>
        <v>#VALUE!</v>
      </c>
      <c r="E628" s="3" t="s">
        <v>781</v>
      </c>
      <c r="F628" s="7" t="s">
        <v>2473</v>
      </c>
      <c r="G628" s="6">
        <v>8</v>
      </c>
      <c r="H628" s="6" t="s">
        <v>2474</v>
      </c>
      <c r="I628" s="6">
        <v>4</v>
      </c>
      <c r="J628" s="4">
        <v>43337</v>
      </c>
      <c r="K628" s="8">
        <v>43364</v>
      </c>
      <c r="L628" s="1" t="b">
        <f>IF(MATCH(C628,Wiki!B:B,0)&lt;&gt;0,TRUE,FALSE)</f>
        <v>1</v>
      </c>
      <c r="M628" s="1" t="e">
        <f>INDEX(Wiki!K:K,MATCH('BOM2017'!C628,Wiki!B:B,0))</f>
        <v>#VALUE!</v>
      </c>
      <c r="N628" s="1" t="e">
        <f>IFERROR(M628,INDEX(Wiki!K:K,MATCH('BOM2017'!D628,Wiki!B:B,0)))</f>
        <v>#VALUE!</v>
      </c>
    </row>
    <row r="629" spans="2:14" x14ac:dyDescent="0.2">
      <c r="B629" s="6">
        <v>624</v>
      </c>
      <c r="C629" s="3" t="s">
        <v>2475</v>
      </c>
      <c r="D629" t="str">
        <f t="shared" si="9"/>
        <v>Anatahan</v>
      </c>
      <c r="E629" s="3" t="s">
        <v>1532</v>
      </c>
      <c r="F629" s="7" t="s">
        <v>2476</v>
      </c>
      <c r="G629" s="6">
        <v>1</v>
      </c>
      <c r="H629" s="6" t="s">
        <v>1159</v>
      </c>
      <c r="I629" s="6" t="s">
        <v>1159</v>
      </c>
      <c r="J629" s="4">
        <v>43134</v>
      </c>
      <c r="K629" s="8">
        <v>43224</v>
      </c>
      <c r="L629" s="1" t="e">
        <f>IF(MATCH(C629,Wiki!B:B,0)&lt;&gt;0,TRUE,FALSE)</f>
        <v>#N/A</v>
      </c>
      <c r="M629" s="1" t="e">
        <f>INDEX(Wiki!K:K,MATCH('BOM2017'!C629,Wiki!B:B,0))</f>
        <v>#N/A</v>
      </c>
      <c r="N629" s="1" t="e">
        <f>IFERROR(M629,INDEX(Wiki!K:K,MATCH('BOM2017'!D629,Wiki!B:B,0)))</f>
        <v>#N/A</v>
      </c>
    </row>
    <row r="630" spans="2:14" x14ac:dyDescent="0.2">
      <c r="B630" s="6">
        <v>625</v>
      </c>
      <c r="C630" s="3" t="s">
        <v>2477</v>
      </c>
      <c r="D630" t="e">
        <f t="shared" si="9"/>
        <v>#VALUE!</v>
      </c>
      <c r="E630" s="3" t="s">
        <v>157</v>
      </c>
      <c r="F630" s="7" t="s">
        <v>2478</v>
      </c>
      <c r="G630" s="6">
        <v>2</v>
      </c>
      <c r="H630" s="6" t="s">
        <v>2479</v>
      </c>
      <c r="I630" s="6">
        <v>2</v>
      </c>
      <c r="J630" s="4">
        <v>43148</v>
      </c>
      <c r="K630" s="8">
        <v>43154</v>
      </c>
      <c r="L630" s="1" t="e">
        <f>IF(MATCH(C630,Wiki!B:B,0)&lt;&gt;0,TRUE,FALSE)</f>
        <v>#N/A</v>
      </c>
      <c r="M630" s="1" t="e">
        <f>INDEX(Wiki!K:K,MATCH('BOM2017'!C630,Wiki!B:B,0))</f>
        <v>#N/A</v>
      </c>
      <c r="N630" s="1" t="e">
        <f>IFERROR(M630,INDEX(Wiki!K:K,MATCH('BOM2017'!D630,Wiki!B:B,0)))</f>
        <v>#VALUE!</v>
      </c>
    </row>
    <row r="631" spans="2:14" x14ac:dyDescent="0.2">
      <c r="B631" s="6">
        <v>626</v>
      </c>
      <c r="C631" s="3" t="s">
        <v>2480</v>
      </c>
      <c r="D631" t="str">
        <f t="shared" si="9"/>
        <v>Swept Away</v>
      </c>
      <c r="E631" s="3" t="s">
        <v>1532</v>
      </c>
      <c r="F631" s="7" t="s">
        <v>2481</v>
      </c>
      <c r="G631" s="6">
        <v>2</v>
      </c>
      <c r="H631" s="6" t="s">
        <v>2482</v>
      </c>
      <c r="I631" s="6">
        <v>1</v>
      </c>
      <c r="J631" s="4">
        <v>43204</v>
      </c>
      <c r="K631" s="8">
        <v>43266</v>
      </c>
      <c r="L631" s="1" t="e">
        <f>IF(MATCH(C631,Wiki!B:B,0)&lt;&gt;0,TRUE,FALSE)</f>
        <v>#N/A</v>
      </c>
      <c r="M631" s="1" t="e">
        <f>INDEX(Wiki!K:K,MATCH('BOM2017'!C631,Wiki!B:B,0))</f>
        <v>#N/A</v>
      </c>
      <c r="N631" s="1" t="e">
        <f>IFERROR(M631,INDEX(Wiki!K:K,MATCH('BOM2017'!D631,Wiki!B:B,0)))</f>
        <v>#N/A</v>
      </c>
    </row>
    <row r="632" spans="2:14" x14ac:dyDescent="0.2">
      <c r="B632" s="6">
        <v>627</v>
      </c>
      <c r="C632" s="3" t="s">
        <v>2483</v>
      </c>
      <c r="D632" t="e">
        <f t="shared" si="9"/>
        <v>#VALUE!</v>
      </c>
      <c r="E632" s="3" t="s">
        <v>38</v>
      </c>
      <c r="F632" s="7" t="s">
        <v>2484</v>
      </c>
      <c r="G632" s="6">
        <v>2</v>
      </c>
      <c r="H632" s="6" t="s">
        <v>2485</v>
      </c>
      <c r="I632" s="6">
        <v>2</v>
      </c>
      <c r="J632" s="4">
        <v>43449</v>
      </c>
      <c r="K632" s="8">
        <v>43455</v>
      </c>
      <c r="L632" s="1" t="e">
        <f>IF(MATCH(C632,Wiki!B:B,0)&lt;&gt;0,TRUE,FALSE)</f>
        <v>#N/A</v>
      </c>
      <c r="M632" s="1" t="e">
        <f>INDEX(Wiki!K:K,MATCH('BOM2017'!C632,Wiki!B:B,0))</f>
        <v>#N/A</v>
      </c>
      <c r="N632" s="1" t="e">
        <f>IFERROR(M632,INDEX(Wiki!K:K,MATCH('BOM2017'!D632,Wiki!B:B,0)))</f>
        <v>#VALUE!</v>
      </c>
    </row>
    <row r="633" spans="2:14" x14ac:dyDescent="0.2">
      <c r="B633" s="6">
        <v>628</v>
      </c>
      <c r="C633" s="3" t="s">
        <v>2486</v>
      </c>
      <c r="D633" t="e">
        <f t="shared" si="9"/>
        <v>#VALUE!</v>
      </c>
      <c r="E633" s="3" t="s">
        <v>2121</v>
      </c>
      <c r="F633" s="7" t="s">
        <v>2050</v>
      </c>
      <c r="G633" s="6">
        <v>20</v>
      </c>
      <c r="H633" s="6" t="s">
        <v>2487</v>
      </c>
      <c r="I633" s="6">
        <v>20</v>
      </c>
      <c r="J633" s="4">
        <v>43379</v>
      </c>
      <c r="K633" s="8">
        <v>43385</v>
      </c>
      <c r="L633" s="1" t="e">
        <f>IF(MATCH(C633,Wiki!B:B,0)&lt;&gt;0,TRUE,FALSE)</f>
        <v>#N/A</v>
      </c>
      <c r="M633" s="1" t="e">
        <f>INDEX(Wiki!K:K,MATCH('BOM2017'!C633,Wiki!B:B,0))</f>
        <v>#N/A</v>
      </c>
      <c r="N633" s="1" t="e">
        <f>IFERROR(M633,INDEX(Wiki!K:K,MATCH('BOM2017'!D633,Wiki!B:B,0)))</f>
        <v>#VALUE!</v>
      </c>
    </row>
    <row r="634" spans="2:14" x14ac:dyDescent="0.2">
      <c r="B634" s="6">
        <v>629</v>
      </c>
      <c r="C634" s="3" t="s">
        <v>2488</v>
      </c>
      <c r="D634" t="e">
        <f t="shared" si="9"/>
        <v>#VALUE!</v>
      </c>
      <c r="E634" s="3" t="s">
        <v>2024</v>
      </c>
      <c r="F634" s="7" t="s">
        <v>2489</v>
      </c>
      <c r="G634" s="6">
        <v>2</v>
      </c>
      <c r="H634" s="6" t="s">
        <v>1159</v>
      </c>
      <c r="I634" s="6" t="s">
        <v>1159</v>
      </c>
      <c r="J634" s="4">
        <v>43204</v>
      </c>
      <c r="K634" s="8">
        <v>43217</v>
      </c>
      <c r="L634" s="1" t="e">
        <f>IF(MATCH(C634,Wiki!B:B,0)&lt;&gt;0,TRUE,FALSE)</f>
        <v>#N/A</v>
      </c>
      <c r="M634" s="1" t="e">
        <f>INDEX(Wiki!K:K,MATCH('BOM2017'!C634,Wiki!B:B,0))</f>
        <v>#N/A</v>
      </c>
      <c r="N634" s="1" t="e">
        <f>IFERROR(M634,INDEX(Wiki!K:K,MATCH('BOM2017'!D634,Wiki!B:B,0)))</f>
        <v>#VALUE!</v>
      </c>
    </row>
    <row r="635" spans="2:14" x14ac:dyDescent="0.2">
      <c r="B635" s="6">
        <v>630</v>
      </c>
      <c r="C635" s="3" t="s">
        <v>2490</v>
      </c>
      <c r="D635" t="e">
        <f t="shared" si="9"/>
        <v>#VALUE!</v>
      </c>
      <c r="E635" s="3" t="s">
        <v>2010</v>
      </c>
      <c r="F635" s="7" t="s">
        <v>2491</v>
      </c>
      <c r="G635" s="6">
        <v>1</v>
      </c>
      <c r="H635" s="6" t="s">
        <v>2492</v>
      </c>
      <c r="I635" s="6">
        <v>1</v>
      </c>
      <c r="J635" s="4">
        <v>43295</v>
      </c>
      <c r="K635" s="6" t="s">
        <v>558</v>
      </c>
      <c r="L635" s="1" t="e">
        <f>IF(MATCH(C635,Wiki!B:B,0)&lt;&gt;0,TRUE,FALSE)</f>
        <v>#N/A</v>
      </c>
      <c r="M635" s="1" t="e">
        <f>INDEX(Wiki!K:K,MATCH('BOM2017'!C635,Wiki!B:B,0))</f>
        <v>#N/A</v>
      </c>
      <c r="N635" s="1" t="e">
        <f>IFERROR(M635,INDEX(Wiki!K:K,MATCH('BOM2017'!D635,Wiki!B:B,0)))</f>
        <v>#VALUE!</v>
      </c>
    </row>
    <row r="636" spans="2:14" x14ac:dyDescent="0.2">
      <c r="B636" s="6">
        <v>631</v>
      </c>
      <c r="C636" s="3" t="s">
        <v>2493</v>
      </c>
      <c r="D636" t="e">
        <f t="shared" si="9"/>
        <v>#VALUE!</v>
      </c>
      <c r="E636" s="3" t="s">
        <v>1248</v>
      </c>
      <c r="F636" s="7" t="s">
        <v>2494</v>
      </c>
      <c r="G636" s="6">
        <v>1</v>
      </c>
      <c r="H636" s="6" t="s">
        <v>2184</v>
      </c>
      <c r="I636" s="6">
        <v>1</v>
      </c>
      <c r="J636" s="4">
        <v>43295</v>
      </c>
      <c r="K636" s="8">
        <v>43315</v>
      </c>
      <c r="L636" s="1" t="e">
        <f>IF(MATCH(C636,Wiki!B:B,0)&lt;&gt;0,TRUE,FALSE)</f>
        <v>#N/A</v>
      </c>
      <c r="M636" s="1" t="e">
        <f>INDEX(Wiki!K:K,MATCH('BOM2017'!C636,Wiki!B:B,0))</f>
        <v>#N/A</v>
      </c>
      <c r="N636" s="1" t="e">
        <f>IFERROR(M636,INDEX(Wiki!K:K,MATCH('BOM2017'!D636,Wiki!B:B,0)))</f>
        <v>#VALUE!</v>
      </c>
    </row>
    <row r="637" spans="2:14" x14ac:dyDescent="0.2">
      <c r="B637" s="6">
        <v>632</v>
      </c>
      <c r="C637" s="3" t="s">
        <v>2495</v>
      </c>
      <c r="D637" t="e">
        <f t="shared" si="9"/>
        <v>#VALUE!</v>
      </c>
      <c r="E637" s="3" t="s">
        <v>1294</v>
      </c>
      <c r="F637" s="7" t="s">
        <v>2496</v>
      </c>
      <c r="G637" s="6">
        <v>6</v>
      </c>
      <c r="H637" s="6" t="s">
        <v>2497</v>
      </c>
      <c r="I637" s="6">
        <v>1</v>
      </c>
      <c r="J637" s="4">
        <v>43405</v>
      </c>
      <c r="K637" s="8">
        <v>43423</v>
      </c>
      <c r="L637" s="1" t="e">
        <f>IF(MATCH(C637,Wiki!B:B,0)&lt;&gt;0,TRUE,FALSE)</f>
        <v>#N/A</v>
      </c>
      <c r="M637" s="1" t="e">
        <f>INDEX(Wiki!K:K,MATCH('BOM2017'!C637,Wiki!B:B,0))</f>
        <v>#N/A</v>
      </c>
      <c r="N637" s="1" t="e">
        <f>IFERROR(M637,INDEX(Wiki!K:K,MATCH('BOM2017'!D637,Wiki!B:B,0)))</f>
        <v>#VALUE!</v>
      </c>
    </row>
    <row r="638" spans="2:14" x14ac:dyDescent="0.2">
      <c r="B638" s="6">
        <v>633</v>
      </c>
      <c r="C638" s="3" t="s">
        <v>2498</v>
      </c>
      <c r="D638" t="e">
        <f t="shared" si="9"/>
        <v>#VALUE!</v>
      </c>
      <c r="E638" s="3" t="s">
        <v>1248</v>
      </c>
      <c r="F638" s="7" t="s">
        <v>2499</v>
      </c>
      <c r="G638" s="6">
        <v>2</v>
      </c>
      <c r="H638" s="6" t="s">
        <v>2499</v>
      </c>
      <c r="I638" s="6">
        <v>2</v>
      </c>
      <c r="J638" s="4">
        <v>43435</v>
      </c>
      <c r="K638" s="8">
        <v>43437</v>
      </c>
      <c r="L638" s="1" t="e">
        <f>IF(MATCH(C638,Wiki!B:B,0)&lt;&gt;0,TRUE,FALSE)</f>
        <v>#N/A</v>
      </c>
      <c r="M638" s="1" t="e">
        <f>INDEX(Wiki!K:K,MATCH('BOM2017'!C638,Wiki!B:B,0))</f>
        <v>#N/A</v>
      </c>
      <c r="N638" s="1" t="e">
        <f>IFERROR(M638,INDEX(Wiki!K:K,MATCH('BOM2017'!D638,Wiki!B:B,0)))</f>
        <v>#VALUE!</v>
      </c>
    </row>
    <row r="639" spans="2:14" x14ac:dyDescent="0.2">
      <c r="B639" s="6">
        <v>634</v>
      </c>
      <c r="C639" s="3" t="s">
        <v>2500</v>
      </c>
      <c r="D639" t="e">
        <f t="shared" si="9"/>
        <v>#VALUE!</v>
      </c>
      <c r="E639" s="3" t="s">
        <v>1977</v>
      </c>
      <c r="F639" s="7" t="s">
        <v>2501</v>
      </c>
      <c r="G639" s="6">
        <v>6</v>
      </c>
      <c r="H639" s="6" t="s">
        <v>2502</v>
      </c>
      <c r="I639" s="6">
        <v>6</v>
      </c>
      <c r="J639" s="4">
        <v>43435</v>
      </c>
      <c r="K639" s="6" t="s">
        <v>558</v>
      </c>
      <c r="L639" s="1" t="e">
        <f>IF(MATCH(C639,Wiki!B:B,0)&lt;&gt;0,TRUE,FALSE)</f>
        <v>#N/A</v>
      </c>
      <c r="M639" s="1" t="e">
        <f>INDEX(Wiki!K:K,MATCH('BOM2017'!C639,Wiki!B:B,0))</f>
        <v>#N/A</v>
      </c>
      <c r="N639" s="1" t="e">
        <f>IFERROR(M639,INDEX(Wiki!K:K,MATCH('BOM2017'!D639,Wiki!B:B,0)))</f>
        <v>#VALUE!</v>
      </c>
    </row>
    <row r="640" spans="2:14" x14ac:dyDescent="0.2">
      <c r="B640" s="6">
        <v>635</v>
      </c>
      <c r="C640" s="3" t="s">
        <v>2503</v>
      </c>
      <c r="D640" t="e">
        <f t="shared" si="9"/>
        <v>#VALUE!</v>
      </c>
      <c r="E640" s="3" t="s">
        <v>1797</v>
      </c>
      <c r="F640" s="7" t="s">
        <v>2504</v>
      </c>
      <c r="G640" s="6">
        <v>2</v>
      </c>
      <c r="H640" s="6" t="s">
        <v>2505</v>
      </c>
      <c r="I640" s="6">
        <v>2</v>
      </c>
      <c r="J640" s="4">
        <v>43169</v>
      </c>
      <c r="K640" s="8">
        <v>43182</v>
      </c>
      <c r="L640" s="1" t="e">
        <f>IF(MATCH(C640,Wiki!B:B,0)&lt;&gt;0,TRUE,FALSE)</f>
        <v>#N/A</v>
      </c>
      <c r="M640" s="1" t="e">
        <f>INDEX(Wiki!K:K,MATCH('BOM2017'!C640,Wiki!B:B,0))</f>
        <v>#N/A</v>
      </c>
      <c r="N640" s="1" t="e">
        <f>IFERROR(M640,INDEX(Wiki!K:K,MATCH('BOM2017'!D640,Wiki!B:B,0)))</f>
        <v>#VALUE!</v>
      </c>
    </row>
    <row r="641" spans="2:14" x14ac:dyDescent="0.2">
      <c r="B641" s="6">
        <v>636</v>
      </c>
      <c r="C641" s="3" t="s">
        <v>2506</v>
      </c>
      <c r="D641" t="e">
        <f t="shared" si="9"/>
        <v>#VALUE!</v>
      </c>
      <c r="E641" s="3" t="s">
        <v>1977</v>
      </c>
      <c r="F641" s="7" t="s">
        <v>2507</v>
      </c>
      <c r="G641" s="6">
        <v>3</v>
      </c>
      <c r="H641" s="6" t="s">
        <v>2508</v>
      </c>
      <c r="I641" s="6">
        <v>1</v>
      </c>
      <c r="J641" s="4">
        <v>43169</v>
      </c>
      <c r="K641" s="8">
        <v>43220</v>
      </c>
      <c r="L641" s="1" t="e">
        <f>IF(MATCH(C641,Wiki!B:B,0)&lt;&gt;0,TRUE,FALSE)</f>
        <v>#N/A</v>
      </c>
      <c r="M641" s="1" t="e">
        <f>INDEX(Wiki!K:K,MATCH('BOM2017'!C641,Wiki!B:B,0))</f>
        <v>#N/A</v>
      </c>
      <c r="N641" s="1" t="e">
        <f>IFERROR(M641,INDEX(Wiki!K:K,MATCH('BOM2017'!D641,Wiki!B:B,0)))</f>
        <v>#VALUE!</v>
      </c>
    </row>
    <row r="642" spans="2:14" x14ac:dyDescent="0.2">
      <c r="B642" s="6">
        <v>637</v>
      </c>
      <c r="C642" s="3" t="s">
        <v>2509</v>
      </c>
      <c r="D642" t="str">
        <f t="shared" si="9"/>
        <v>Ichi The Killer</v>
      </c>
      <c r="E642" s="3" t="s">
        <v>1235</v>
      </c>
      <c r="F642" s="7" t="s">
        <v>2510</v>
      </c>
      <c r="G642" s="6">
        <v>3</v>
      </c>
      <c r="H642" s="6" t="s">
        <v>2511</v>
      </c>
      <c r="I642" s="6">
        <v>1</v>
      </c>
      <c r="J642" s="4">
        <v>43414</v>
      </c>
      <c r="K642" s="6" t="s">
        <v>558</v>
      </c>
      <c r="L642" s="1" t="e">
        <f>IF(MATCH(C642,Wiki!B:B,0)&lt;&gt;0,TRUE,FALSE)</f>
        <v>#N/A</v>
      </c>
      <c r="M642" s="1" t="e">
        <f>INDEX(Wiki!K:K,MATCH('BOM2017'!C642,Wiki!B:B,0))</f>
        <v>#N/A</v>
      </c>
      <c r="N642" s="1" t="e">
        <f>IFERROR(M642,INDEX(Wiki!K:K,MATCH('BOM2017'!D642,Wiki!B:B,0)))</f>
        <v>#N/A</v>
      </c>
    </row>
    <row r="643" spans="2:14" x14ac:dyDescent="0.2">
      <c r="B643" s="6">
        <v>638</v>
      </c>
      <c r="C643" s="3" t="s">
        <v>2512</v>
      </c>
      <c r="D643" t="str">
        <f t="shared" si="9"/>
        <v>A Kind of Loving</v>
      </c>
      <c r="E643" s="3" t="s">
        <v>1942</v>
      </c>
      <c r="F643" s="7" t="s">
        <v>2513</v>
      </c>
      <c r="G643" s="6">
        <v>1</v>
      </c>
      <c r="H643" s="6" t="s">
        <v>2514</v>
      </c>
      <c r="I643" s="6">
        <v>1</v>
      </c>
      <c r="J643" s="4">
        <v>43197</v>
      </c>
      <c r="K643" s="8">
        <v>43203</v>
      </c>
      <c r="L643" s="1" t="e">
        <f>IF(MATCH(C643,Wiki!B:B,0)&lt;&gt;0,TRUE,FALSE)</f>
        <v>#N/A</v>
      </c>
      <c r="M643" s="1" t="e">
        <f>INDEX(Wiki!K:K,MATCH('BOM2017'!C643,Wiki!B:B,0))</f>
        <v>#N/A</v>
      </c>
      <c r="N643" s="1" t="e">
        <f>IFERROR(M643,INDEX(Wiki!K:K,MATCH('BOM2017'!D643,Wiki!B:B,0)))</f>
        <v>#N/A</v>
      </c>
    </row>
    <row r="644" spans="2:14" x14ac:dyDescent="0.2">
      <c r="B644" s="6">
        <v>639</v>
      </c>
      <c r="C644" s="3" t="s">
        <v>2515</v>
      </c>
      <c r="D644" t="e">
        <f t="shared" si="9"/>
        <v>#VALUE!</v>
      </c>
      <c r="E644" s="3" t="s">
        <v>2516</v>
      </c>
      <c r="F644" s="7" t="s">
        <v>2517</v>
      </c>
      <c r="G644" s="6">
        <v>2</v>
      </c>
      <c r="H644" s="6" t="s">
        <v>2518</v>
      </c>
      <c r="I644" s="6">
        <v>1</v>
      </c>
      <c r="J644" s="4">
        <v>43295</v>
      </c>
      <c r="K644" s="8">
        <v>43301</v>
      </c>
      <c r="L644" s="1" t="e">
        <f>IF(MATCH(C644,Wiki!B:B,0)&lt;&gt;0,TRUE,FALSE)</f>
        <v>#N/A</v>
      </c>
      <c r="M644" s="1" t="e">
        <f>INDEX(Wiki!K:K,MATCH('BOM2017'!C644,Wiki!B:B,0))</f>
        <v>#N/A</v>
      </c>
      <c r="N644" s="1" t="e">
        <f>IFERROR(M644,INDEX(Wiki!K:K,MATCH('BOM2017'!D644,Wiki!B:B,0)))</f>
        <v>#VALUE!</v>
      </c>
    </row>
    <row r="645" spans="2:14" x14ac:dyDescent="0.2">
      <c r="B645" s="6">
        <v>640</v>
      </c>
      <c r="C645" s="3" t="s">
        <v>2519</v>
      </c>
      <c r="D645" t="e">
        <f t="shared" si="9"/>
        <v>#VALUE!</v>
      </c>
      <c r="E645" s="3" t="s">
        <v>1804</v>
      </c>
      <c r="F645" s="7" t="s">
        <v>2520</v>
      </c>
      <c r="G645" s="6">
        <v>1</v>
      </c>
      <c r="H645" s="6" t="s">
        <v>2521</v>
      </c>
      <c r="I645" s="6">
        <v>1</v>
      </c>
      <c r="J645" s="4">
        <v>43169</v>
      </c>
      <c r="K645" s="8">
        <v>43252</v>
      </c>
      <c r="L645" s="1" t="e">
        <f>IF(MATCH(C645,Wiki!B:B,0)&lt;&gt;0,TRUE,FALSE)</f>
        <v>#N/A</v>
      </c>
      <c r="M645" s="1" t="e">
        <f>INDEX(Wiki!K:K,MATCH('BOM2017'!C645,Wiki!B:B,0))</f>
        <v>#N/A</v>
      </c>
      <c r="N645" s="1" t="e">
        <f>IFERROR(M645,INDEX(Wiki!K:K,MATCH('BOM2017'!D645,Wiki!B:B,0)))</f>
        <v>#VALUE!</v>
      </c>
    </row>
    <row r="646" spans="2:14" x14ac:dyDescent="0.2">
      <c r="B646" s="6">
        <v>641</v>
      </c>
      <c r="C646" s="3" t="s">
        <v>2522</v>
      </c>
      <c r="D646" t="e">
        <f t="shared" ref="D646:D709" si="10">IF(ISERROR(M646),TRIM(LEFT(C646,FIND("(",C646)-1)),"")</f>
        <v>#VALUE!</v>
      </c>
      <c r="E646" s="3" t="s">
        <v>1594</v>
      </c>
      <c r="F646" s="7" t="s">
        <v>2523</v>
      </c>
      <c r="G646" s="6">
        <v>1</v>
      </c>
      <c r="H646" s="6" t="s">
        <v>2523</v>
      </c>
      <c r="I646" s="6">
        <v>1</v>
      </c>
      <c r="J646" s="4">
        <v>43295</v>
      </c>
      <c r="K646" s="6" t="s">
        <v>558</v>
      </c>
      <c r="L646" s="1" t="e">
        <f>IF(MATCH(C646,Wiki!B:B,0)&lt;&gt;0,TRUE,FALSE)</f>
        <v>#N/A</v>
      </c>
      <c r="M646" s="1" t="e">
        <f>INDEX(Wiki!K:K,MATCH('BOM2017'!C646,Wiki!B:B,0))</f>
        <v>#N/A</v>
      </c>
      <c r="N646" s="1" t="e">
        <f>IFERROR(M646,INDEX(Wiki!K:K,MATCH('BOM2017'!D646,Wiki!B:B,0)))</f>
        <v>#VALUE!</v>
      </c>
    </row>
    <row r="647" spans="2:14" x14ac:dyDescent="0.2">
      <c r="B647" s="6">
        <v>642</v>
      </c>
      <c r="C647" s="3" t="s">
        <v>2524</v>
      </c>
      <c r="D647" t="e">
        <f t="shared" si="10"/>
        <v>#VALUE!</v>
      </c>
      <c r="E647" s="3" t="s">
        <v>2525</v>
      </c>
      <c r="F647" s="7" t="s">
        <v>2526</v>
      </c>
      <c r="G647" s="6">
        <v>10</v>
      </c>
      <c r="H647" s="6" t="s">
        <v>2527</v>
      </c>
      <c r="I647" s="6">
        <v>10</v>
      </c>
      <c r="J647" s="4">
        <v>43365</v>
      </c>
      <c r="K647" s="8">
        <v>43383</v>
      </c>
      <c r="L647" s="1" t="e">
        <f>IF(MATCH(C647,Wiki!B:B,0)&lt;&gt;0,TRUE,FALSE)</f>
        <v>#N/A</v>
      </c>
      <c r="M647" s="1" t="e">
        <f>INDEX(Wiki!K:K,MATCH('BOM2017'!C647,Wiki!B:B,0))</f>
        <v>#N/A</v>
      </c>
      <c r="N647" s="1" t="e">
        <f>IFERROR(M647,INDEX(Wiki!K:K,MATCH('BOM2017'!D647,Wiki!B:B,0)))</f>
        <v>#VALUE!</v>
      </c>
    </row>
    <row r="648" spans="2:14" x14ac:dyDescent="0.2">
      <c r="B648" s="6">
        <v>643</v>
      </c>
      <c r="C648" s="3" t="s">
        <v>2528</v>
      </c>
      <c r="D648" t="str">
        <f t="shared" si="10"/>
        <v>Scum</v>
      </c>
      <c r="E648" s="3" t="s">
        <v>1532</v>
      </c>
      <c r="F648" s="7" t="s">
        <v>2529</v>
      </c>
      <c r="G648" s="6">
        <v>1</v>
      </c>
      <c r="H648" s="6" t="s">
        <v>2530</v>
      </c>
      <c r="I648" s="6">
        <v>1</v>
      </c>
      <c r="J648" s="4">
        <v>43267</v>
      </c>
      <c r="K648" s="8">
        <v>43294</v>
      </c>
      <c r="L648" s="1" t="e">
        <f>IF(MATCH(C648,Wiki!B:B,0)&lt;&gt;0,TRUE,FALSE)</f>
        <v>#N/A</v>
      </c>
      <c r="M648" s="1" t="e">
        <f>INDEX(Wiki!K:K,MATCH('BOM2017'!C648,Wiki!B:B,0))</f>
        <v>#N/A</v>
      </c>
      <c r="N648" s="1" t="e">
        <f>IFERROR(M648,INDEX(Wiki!K:K,MATCH('BOM2017'!D648,Wiki!B:B,0)))</f>
        <v>#N/A</v>
      </c>
    </row>
    <row r="649" spans="2:14" x14ac:dyDescent="0.2">
      <c r="B649" s="6">
        <v>644</v>
      </c>
      <c r="C649" s="3" t="s">
        <v>2531</v>
      </c>
      <c r="D649" t="e">
        <f t="shared" si="10"/>
        <v>#VALUE!</v>
      </c>
      <c r="E649" s="3" t="s">
        <v>2254</v>
      </c>
      <c r="F649" s="7" t="s">
        <v>2532</v>
      </c>
      <c r="G649" s="6">
        <v>18</v>
      </c>
      <c r="H649" s="6" t="s">
        <v>2533</v>
      </c>
      <c r="I649" s="6">
        <v>18</v>
      </c>
      <c r="J649" s="4">
        <v>43365</v>
      </c>
      <c r="K649" s="8">
        <v>43378</v>
      </c>
      <c r="L649" s="1" t="e">
        <f>IF(MATCH(C649,Wiki!B:B,0)&lt;&gt;0,TRUE,FALSE)</f>
        <v>#N/A</v>
      </c>
      <c r="M649" s="1" t="e">
        <f>INDEX(Wiki!K:K,MATCH('BOM2017'!C649,Wiki!B:B,0))</f>
        <v>#N/A</v>
      </c>
      <c r="N649" s="1" t="e">
        <f>IFERROR(M649,INDEX(Wiki!K:K,MATCH('BOM2017'!D649,Wiki!B:B,0)))</f>
        <v>#VALUE!</v>
      </c>
    </row>
    <row r="650" spans="2:14" x14ac:dyDescent="0.2">
      <c r="B650" s="6">
        <v>645</v>
      </c>
      <c r="C650" s="3" t="s">
        <v>2534</v>
      </c>
      <c r="D650" t="e">
        <f t="shared" si="10"/>
        <v>#VALUE!</v>
      </c>
      <c r="E650" s="3" t="s">
        <v>1572</v>
      </c>
      <c r="F650" s="7" t="s">
        <v>2535</v>
      </c>
      <c r="G650" s="6">
        <v>1</v>
      </c>
      <c r="H650" s="6" t="s">
        <v>1159</v>
      </c>
      <c r="I650" s="6" t="s">
        <v>1159</v>
      </c>
      <c r="J650" s="4">
        <v>43388</v>
      </c>
      <c r="K650" s="6" t="s">
        <v>558</v>
      </c>
      <c r="L650" s="1" t="e">
        <f>IF(MATCH(C650,Wiki!B:B,0)&lt;&gt;0,TRUE,FALSE)</f>
        <v>#N/A</v>
      </c>
      <c r="M650" s="1" t="e">
        <f>INDEX(Wiki!K:K,MATCH('BOM2017'!C650,Wiki!B:B,0))</f>
        <v>#N/A</v>
      </c>
      <c r="N650" s="1" t="e">
        <f>IFERROR(M650,INDEX(Wiki!K:K,MATCH('BOM2017'!D650,Wiki!B:B,0)))</f>
        <v>#VALUE!</v>
      </c>
    </row>
    <row r="651" spans="2:14" x14ac:dyDescent="0.2">
      <c r="B651" s="6">
        <v>646</v>
      </c>
      <c r="C651" s="3" t="s">
        <v>2536</v>
      </c>
      <c r="D651" t="e">
        <f t="shared" si="10"/>
        <v>#VALUE!</v>
      </c>
      <c r="E651" s="3" t="s">
        <v>1804</v>
      </c>
      <c r="F651" s="7" t="s">
        <v>2537</v>
      </c>
      <c r="G651" s="6">
        <v>2</v>
      </c>
      <c r="H651" s="6" t="s">
        <v>2538</v>
      </c>
      <c r="I651" s="6">
        <v>1</v>
      </c>
      <c r="J651" s="4">
        <v>43281</v>
      </c>
      <c r="K651" s="8">
        <v>43364</v>
      </c>
      <c r="L651" s="1" t="e">
        <f>IF(MATCH(C651,Wiki!B:B,0)&lt;&gt;0,TRUE,FALSE)</f>
        <v>#N/A</v>
      </c>
      <c r="M651" s="1" t="e">
        <f>INDEX(Wiki!K:K,MATCH('BOM2017'!C651,Wiki!B:B,0))</f>
        <v>#N/A</v>
      </c>
      <c r="N651" s="1" t="e">
        <f>IFERROR(M651,INDEX(Wiki!K:K,MATCH('BOM2017'!D651,Wiki!B:B,0)))</f>
        <v>#VALUE!</v>
      </c>
    </row>
    <row r="652" spans="2:14" x14ac:dyDescent="0.2">
      <c r="B652" s="6">
        <v>647</v>
      </c>
      <c r="C652" s="3" t="s">
        <v>2539</v>
      </c>
      <c r="D652" t="e">
        <f t="shared" si="10"/>
        <v>#VALUE!</v>
      </c>
      <c r="E652" s="3" t="s">
        <v>2148</v>
      </c>
      <c r="F652" s="7" t="s">
        <v>2540</v>
      </c>
      <c r="G652" s="6">
        <v>4</v>
      </c>
      <c r="H652" s="6" t="s">
        <v>2541</v>
      </c>
      <c r="I652" s="6">
        <v>1</v>
      </c>
      <c r="J652" s="4">
        <v>43138</v>
      </c>
      <c r="K652" s="6" t="s">
        <v>558</v>
      </c>
      <c r="L652" s="1" t="e">
        <f>IF(MATCH(C652,Wiki!B:B,0)&lt;&gt;0,TRUE,FALSE)</f>
        <v>#N/A</v>
      </c>
      <c r="M652" s="1" t="e">
        <f>INDEX(Wiki!K:K,MATCH('BOM2017'!C652,Wiki!B:B,0))</f>
        <v>#N/A</v>
      </c>
      <c r="N652" s="1" t="e">
        <f>IFERROR(M652,INDEX(Wiki!K:K,MATCH('BOM2017'!D652,Wiki!B:B,0)))</f>
        <v>#VALUE!</v>
      </c>
    </row>
    <row r="653" spans="2:14" x14ac:dyDescent="0.2">
      <c r="B653" s="6">
        <v>648</v>
      </c>
      <c r="C653" s="3" t="s">
        <v>2542</v>
      </c>
      <c r="D653" t="e">
        <f t="shared" si="10"/>
        <v>#VALUE!</v>
      </c>
      <c r="E653" s="3" t="s">
        <v>1797</v>
      </c>
      <c r="F653" s="7" t="s">
        <v>2543</v>
      </c>
      <c r="G653" s="6">
        <v>1</v>
      </c>
      <c r="H653" s="6" t="s">
        <v>1159</v>
      </c>
      <c r="I653" s="6" t="s">
        <v>1159</v>
      </c>
      <c r="J653" s="4">
        <v>43106</v>
      </c>
      <c r="K653" s="8">
        <v>43147</v>
      </c>
      <c r="L653" s="1" t="e">
        <f>IF(MATCH(C653,Wiki!B:B,0)&lt;&gt;0,TRUE,FALSE)</f>
        <v>#N/A</v>
      </c>
      <c r="M653" s="1" t="e">
        <f>INDEX(Wiki!K:K,MATCH('BOM2017'!C653,Wiki!B:B,0))</f>
        <v>#N/A</v>
      </c>
      <c r="N653" s="1" t="e">
        <f>IFERROR(M653,INDEX(Wiki!K:K,MATCH('BOM2017'!D653,Wiki!B:B,0)))</f>
        <v>#VALUE!</v>
      </c>
    </row>
    <row r="654" spans="2:14" x14ac:dyDescent="0.2">
      <c r="B654" s="6">
        <v>649</v>
      </c>
      <c r="C654" s="3" t="s">
        <v>2544</v>
      </c>
      <c r="D654" t="e">
        <f t="shared" si="10"/>
        <v>#VALUE!</v>
      </c>
      <c r="E654" s="3" t="s">
        <v>1797</v>
      </c>
      <c r="F654" s="7" t="s">
        <v>2545</v>
      </c>
      <c r="G654" s="6">
        <v>2</v>
      </c>
      <c r="H654" s="6" t="s">
        <v>2546</v>
      </c>
      <c r="I654" s="6">
        <v>2</v>
      </c>
      <c r="J654" s="4">
        <v>43302</v>
      </c>
      <c r="K654" s="8">
        <v>43329</v>
      </c>
      <c r="L654" s="1" t="e">
        <f>IF(MATCH(C654,Wiki!B:B,0)&lt;&gt;0,TRUE,FALSE)</f>
        <v>#N/A</v>
      </c>
      <c r="M654" s="1" t="e">
        <f>INDEX(Wiki!K:K,MATCH('BOM2017'!C654,Wiki!B:B,0))</f>
        <v>#N/A</v>
      </c>
      <c r="N654" s="1" t="e">
        <f>IFERROR(M654,INDEX(Wiki!K:K,MATCH('BOM2017'!D654,Wiki!B:B,0)))</f>
        <v>#VALUE!</v>
      </c>
    </row>
    <row r="655" spans="2:14" x14ac:dyDescent="0.2">
      <c r="B655" s="6">
        <v>650</v>
      </c>
      <c r="C655" s="3" t="s">
        <v>2547</v>
      </c>
      <c r="D655" t="e">
        <f t="shared" si="10"/>
        <v>#VALUE!</v>
      </c>
      <c r="E655" s="3" t="s">
        <v>2548</v>
      </c>
      <c r="F655" s="7" t="s">
        <v>2549</v>
      </c>
      <c r="G655" s="6">
        <v>10</v>
      </c>
      <c r="H655" s="6" t="s">
        <v>1159</v>
      </c>
      <c r="I655" s="6" t="s">
        <v>1159</v>
      </c>
      <c r="J655" s="4">
        <v>43407</v>
      </c>
      <c r="K655" s="8">
        <v>43413</v>
      </c>
      <c r="L655" s="1" t="e">
        <f>IF(MATCH(C655,Wiki!B:B,0)&lt;&gt;0,TRUE,FALSE)</f>
        <v>#N/A</v>
      </c>
      <c r="M655" s="1" t="e">
        <f>INDEX(Wiki!K:K,MATCH('BOM2017'!C655,Wiki!B:B,0))</f>
        <v>#N/A</v>
      </c>
      <c r="N655" s="1" t="e">
        <f>IFERROR(M655,INDEX(Wiki!K:K,MATCH('BOM2017'!D655,Wiki!B:B,0)))</f>
        <v>#VALUE!</v>
      </c>
    </row>
    <row r="656" spans="2:14" x14ac:dyDescent="0.2">
      <c r="B656" s="6">
        <v>651</v>
      </c>
      <c r="C656" s="3" t="s">
        <v>2550</v>
      </c>
      <c r="D656" t="e">
        <f t="shared" si="10"/>
        <v>#VALUE!</v>
      </c>
      <c r="E656" s="3" t="s">
        <v>2551</v>
      </c>
      <c r="F656" s="7" t="s">
        <v>2552</v>
      </c>
      <c r="G656" s="6">
        <v>100</v>
      </c>
      <c r="H656" s="6" t="s">
        <v>2553</v>
      </c>
      <c r="I656" s="6">
        <v>100</v>
      </c>
      <c r="J656" s="4">
        <v>43435</v>
      </c>
      <c r="K656" s="6" t="s">
        <v>558</v>
      </c>
      <c r="L656" s="1" t="e">
        <f>IF(MATCH(C656,Wiki!B:B,0)&lt;&gt;0,TRUE,FALSE)</f>
        <v>#N/A</v>
      </c>
      <c r="M656" s="1" t="e">
        <f>INDEX(Wiki!K:K,MATCH('BOM2017'!C656,Wiki!B:B,0))</f>
        <v>#N/A</v>
      </c>
      <c r="N656" s="1" t="e">
        <f>IFERROR(M656,INDEX(Wiki!K:K,MATCH('BOM2017'!D656,Wiki!B:B,0)))</f>
        <v>#VALUE!</v>
      </c>
    </row>
    <row r="657" spans="2:14" x14ac:dyDescent="0.2">
      <c r="B657" s="6">
        <v>652</v>
      </c>
      <c r="C657" s="3" t="s">
        <v>2554</v>
      </c>
      <c r="D657" t="e">
        <f t="shared" si="10"/>
        <v>#VALUE!</v>
      </c>
      <c r="E657" s="3" t="s">
        <v>1095</v>
      </c>
      <c r="F657" s="7" t="s">
        <v>2555</v>
      </c>
      <c r="G657" s="6">
        <v>2</v>
      </c>
      <c r="H657" s="6" t="s">
        <v>2556</v>
      </c>
      <c r="I657" s="6">
        <v>2</v>
      </c>
      <c r="J657" s="4">
        <v>43400</v>
      </c>
      <c r="K657" s="8">
        <v>43406</v>
      </c>
      <c r="L657" s="1" t="e">
        <f>IF(MATCH(C657,Wiki!B:B,0)&lt;&gt;0,TRUE,FALSE)</f>
        <v>#N/A</v>
      </c>
      <c r="M657" s="1" t="e">
        <f>INDEX(Wiki!K:K,MATCH('BOM2017'!C657,Wiki!B:B,0))</f>
        <v>#N/A</v>
      </c>
      <c r="N657" s="1" t="e">
        <f>IFERROR(M657,INDEX(Wiki!K:K,MATCH('BOM2017'!D657,Wiki!B:B,0)))</f>
        <v>#VALUE!</v>
      </c>
    </row>
    <row r="658" spans="2:14" x14ac:dyDescent="0.2">
      <c r="B658" s="6">
        <v>653</v>
      </c>
      <c r="C658" s="3" t="s">
        <v>2557</v>
      </c>
      <c r="D658" t="e">
        <f t="shared" si="10"/>
        <v>#VALUE!</v>
      </c>
      <c r="E658" s="3" t="s">
        <v>157</v>
      </c>
      <c r="F658" s="7" t="s">
        <v>2558</v>
      </c>
      <c r="G658" s="6">
        <v>11</v>
      </c>
      <c r="H658" s="6" t="s">
        <v>2559</v>
      </c>
      <c r="I658" s="6">
        <v>11</v>
      </c>
      <c r="J658" s="4">
        <v>43344</v>
      </c>
      <c r="K658" s="8">
        <v>43350</v>
      </c>
      <c r="L658" s="1" t="e">
        <f>IF(MATCH(C658,Wiki!B:B,0)&lt;&gt;0,TRUE,FALSE)</f>
        <v>#N/A</v>
      </c>
      <c r="M658" s="1" t="e">
        <f>INDEX(Wiki!K:K,MATCH('BOM2017'!C658,Wiki!B:B,0))</f>
        <v>#N/A</v>
      </c>
      <c r="N658" s="1" t="e">
        <f>IFERROR(M658,INDEX(Wiki!K:K,MATCH('BOM2017'!D658,Wiki!B:B,0)))</f>
        <v>#VALUE!</v>
      </c>
    </row>
    <row r="659" spans="2:14" x14ac:dyDescent="0.2">
      <c r="B659" s="6">
        <v>654</v>
      </c>
      <c r="C659" s="3" t="s">
        <v>37</v>
      </c>
      <c r="D659" t="str">
        <f t="shared" si="10"/>
        <v/>
      </c>
      <c r="E659" s="3" t="s">
        <v>38</v>
      </c>
      <c r="F659" s="7" t="s">
        <v>2560</v>
      </c>
      <c r="G659" s="6">
        <v>20</v>
      </c>
      <c r="H659" s="6" t="s">
        <v>2561</v>
      </c>
      <c r="I659" s="6">
        <v>20</v>
      </c>
      <c r="J659" s="4">
        <v>43120</v>
      </c>
      <c r="K659" s="8">
        <v>43147</v>
      </c>
      <c r="L659" s="1" t="b">
        <f>IF(MATCH(C659,Wiki!B:B,0)&lt;&gt;0,TRUE,FALSE)</f>
        <v>1</v>
      </c>
      <c r="M659" s="1" t="str">
        <f>INDEX(Wiki!K:K,MATCH('BOM2017'!C659,Wiki!B:B,0))</f>
        <v>Trespass_Against_Us</v>
      </c>
      <c r="N659" s="1" t="str">
        <f>IFERROR(M659,INDEX(Wiki!K:K,MATCH('BOM2017'!D659,Wiki!B:B,0)))</f>
        <v>Trespass_Against_Us</v>
      </c>
    </row>
    <row r="660" spans="2:14" x14ac:dyDescent="0.2">
      <c r="B660" s="6">
        <v>655</v>
      </c>
      <c r="C660" s="3" t="s">
        <v>2562</v>
      </c>
      <c r="D660" t="e">
        <f t="shared" si="10"/>
        <v>#VALUE!</v>
      </c>
      <c r="E660" s="3" t="s">
        <v>1572</v>
      </c>
      <c r="F660" s="7" t="s">
        <v>2563</v>
      </c>
      <c r="G660" s="6">
        <v>6</v>
      </c>
      <c r="H660" s="6" t="s">
        <v>2564</v>
      </c>
      <c r="I660" s="6">
        <v>1</v>
      </c>
      <c r="J660" s="4">
        <v>43106</v>
      </c>
      <c r="K660" s="8">
        <v>43161</v>
      </c>
      <c r="L660" s="1" t="e">
        <f>IF(MATCH(C660,Wiki!B:B,0)&lt;&gt;0,TRUE,FALSE)</f>
        <v>#N/A</v>
      </c>
      <c r="M660" s="1" t="e">
        <f>INDEX(Wiki!K:K,MATCH('BOM2017'!C660,Wiki!B:B,0))</f>
        <v>#N/A</v>
      </c>
      <c r="N660" s="1" t="e">
        <f>IFERROR(M660,INDEX(Wiki!K:K,MATCH('BOM2017'!D660,Wiki!B:B,0)))</f>
        <v>#VALUE!</v>
      </c>
    </row>
    <row r="661" spans="2:14" x14ac:dyDescent="0.2">
      <c r="B661" s="6">
        <v>656</v>
      </c>
      <c r="C661" s="3" t="s">
        <v>2565</v>
      </c>
      <c r="D661" t="str">
        <f t="shared" si="10"/>
        <v>La Chinoise</v>
      </c>
      <c r="E661" s="3" t="s">
        <v>1532</v>
      </c>
      <c r="F661" s="7" t="s">
        <v>2566</v>
      </c>
      <c r="G661" s="6">
        <v>1</v>
      </c>
      <c r="H661" s="6" t="s">
        <v>2567</v>
      </c>
      <c r="I661" s="6">
        <v>1</v>
      </c>
      <c r="J661" s="4">
        <v>43302</v>
      </c>
      <c r="K661" s="8">
        <v>43311</v>
      </c>
      <c r="L661" s="1" t="e">
        <f>IF(MATCH(C661,Wiki!B:B,0)&lt;&gt;0,TRUE,FALSE)</f>
        <v>#N/A</v>
      </c>
      <c r="M661" s="1" t="e">
        <f>INDEX(Wiki!K:K,MATCH('BOM2017'!C661,Wiki!B:B,0))</f>
        <v>#N/A</v>
      </c>
      <c r="N661" s="1" t="e">
        <f>IFERROR(M661,INDEX(Wiki!K:K,MATCH('BOM2017'!D661,Wiki!B:B,0)))</f>
        <v>#N/A</v>
      </c>
    </row>
    <row r="662" spans="2:14" x14ac:dyDescent="0.2">
      <c r="B662" s="6">
        <v>657</v>
      </c>
      <c r="C662" s="3" t="s">
        <v>2568</v>
      </c>
      <c r="D662" t="e">
        <f t="shared" si="10"/>
        <v>#VALUE!</v>
      </c>
      <c r="E662" s="3" t="s">
        <v>570</v>
      </c>
      <c r="F662" s="7" t="s">
        <v>2569</v>
      </c>
      <c r="G662" s="6">
        <v>10</v>
      </c>
      <c r="H662" s="6" t="s">
        <v>2570</v>
      </c>
      <c r="I662" s="6">
        <v>10</v>
      </c>
      <c r="J662" s="4">
        <v>43183</v>
      </c>
      <c r="K662" s="8">
        <v>43192</v>
      </c>
      <c r="L662" s="1" t="e">
        <f>IF(MATCH(C662,Wiki!B:B,0)&lt;&gt;0,TRUE,FALSE)</f>
        <v>#N/A</v>
      </c>
      <c r="M662" s="1" t="e">
        <f>INDEX(Wiki!K:K,MATCH('BOM2017'!C662,Wiki!B:B,0))</f>
        <v>#N/A</v>
      </c>
      <c r="N662" s="1" t="e">
        <f>IFERROR(M662,INDEX(Wiki!K:K,MATCH('BOM2017'!D662,Wiki!B:B,0)))</f>
        <v>#VALUE!</v>
      </c>
    </row>
    <row r="663" spans="2:14" x14ac:dyDescent="0.2">
      <c r="B663" s="6">
        <v>658</v>
      </c>
      <c r="C663" s="3" t="s">
        <v>2571</v>
      </c>
      <c r="D663" t="e">
        <f t="shared" si="10"/>
        <v>#VALUE!</v>
      </c>
      <c r="E663" s="3" t="s">
        <v>570</v>
      </c>
      <c r="F663" s="7" t="s">
        <v>2572</v>
      </c>
      <c r="G663" s="6">
        <v>10</v>
      </c>
      <c r="H663" s="6" t="s">
        <v>2573</v>
      </c>
      <c r="I663" s="6">
        <v>10</v>
      </c>
      <c r="J663" s="4">
        <v>43435</v>
      </c>
      <c r="K663" s="8">
        <v>43451</v>
      </c>
      <c r="L663" s="1" t="e">
        <f>IF(MATCH(C663,Wiki!B:B,0)&lt;&gt;0,TRUE,FALSE)</f>
        <v>#N/A</v>
      </c>
      <c r="M663" s="1" t="e">
        <f>INDEX(Wiki!K:K,MATCH('BOM2017'!C663,Wiki!B:B,0))</f>
        <v>#N/A</v>
      </c>
      <c r="N663" s="1" t="e">
        <f>IFERROR(M663,INDEX(Wiki!K:K,MATCH('BOM2017'!D663,Wiki!B:B,0)))</f>
        <v>#VALUE!</v>
      </c>
    </row>
    <row r="664" spans="2:14" x14ac:dyDescent="0.2">
      <c r="B664" s="6">
        <v>659</v>
      </c>
      <c r="C664" s="3" t="s">
        <v>2574</v>
      </c>
      <c r="D664" t="e">
        <f t="shared" si="10"/>
        <v>#VALUE!</v>
      </c>
      <c r="E664" s="3" t="s">
        <v>2575</v>
      </c>
      <c r="F664" s="7" t="s">
        <v>2576</v>
      </c>
      <c r="G664" s="6">
        <v>1</v>
      </c>
      <c r="H664" s="6" t="s">
        <v>2576</v>
      </c>
      <c r="I664" s="6">
        <v>1</v>
      </c>
      <c r="J664" s="4">
        <v>43239</v>
      </c>
      <c r="K664" s="8">
        <v>43241</v>
      </c>
      <c r="L664" s="1" t="e">
        <f>IF(MATCH(C664,Wiki!B:B,0)&lt;&gt;0,TRUE,FALSE)</f>
        <v>#N/A</v>
      </c>
      <c r="M664" s="1" t="e">
        <f>INDEX(Wiki!K:K,MATCH('BOM2017'!C664,Wiki!B:B,0))</f>
        <v>#N/A</v>
      </c>
      <c r="N664" s="1" t="e">
        <f>IFERROR(M664,INDEX(Wiki!K:K,MATCH('BOM2017'!D664,Wiki!B:B,0)))</f>
        <v>#VALUE!</v>
      </c>
    </row>
    <row r="665" spans="2:14" x14ac:dyDescent="0.2">
      <c r="B665" s="6">
        <v>660</v>
      </c>
      <c r="C665" s="3" t="s">
        <v>2577</v>
      </c>
      <c r="D665" t="e">
        <f t="shared" si="10"/>
        <v>#VALUE!</v>
      </c>
      <c r="E665" s="3" t="s">
        <v>1631</v>
      </c>
      <c r="F665" s="7" t="s">
        <v>2578</v>
      </c>
      <c r="G665" s="6">
        <v>2</v>
      </c>
      <c r="H665" s="6" t="s">
        <v>2578</v>
      </c>
      <c r="I665" s="6">
        <v>2</v>
      </c>
      <c r="J665" s="4">
        <v>43281</v>
      </c>
      <c r="K665" s="6" t="s">
        <v>558</v>
      </c>
      <c r="L665" s="1" t="e">
        <f>IF(MATCH(C665,Wiki!B:B,0)&lt;&gt;0,TRUE,FALSE)</f>
        <v>#N/A</v>
      </c>
      <c r="M665" s="1" t="e">
        <f>INDEX(Wiki!K:K,MATCH('BOM2017'!C665,Wiki!B:B,0))</f>
        <v>#N/A</v>
      </c>
      <c r="N665" s="1" t="e">
        <f>IFERROR(M665,INDEX(Wiki!K:K,MATCH('BOM2017'!D665,Wiki!B:B,0)))</f>
        <v>#VALUE!</v>
      </c>
    </row>
    <row r="666" spans="2:14" x14ac:dyDescent="0.2">
      <c r="B666" s="6">
        <v>661</v>
      </c>
      <c r="C666" s="3" t="s">
        <v>2579</v>
      </c>
      <c r="D666" t="e">
        <f t="shared" si="10"/>
        <v>#VALUE!</v>
      </c>
      <c r="E666" s="3" t="s">
        <v>1977</v>
      </c>
      <c r="F666" s="7" t="s">
        <v>2580</v>
      </c>
      <c r="G666" s="6">
        <v>2</v>
      </c>
      <c r="H666" s="6" t="s">
        <v>2581</v>
      </c>
      <c r="I666" s="6">
        <v>2</v>
      </c>
      <c r="J666" s="4">
        <v>43386</v>
      </c>
      <c r="K666" s="8">
        <v>43430</v>
      </c>
      <c r="L666" s="1" t="e">
        <f>IF(MATCH(C666,Wiki!B:B,0)&lt;&gt;0,TRUE,FALSE)</f>
        <v>#N/A</v>
      </c>
      <c r="M666" s="1" t="e">
        <f>INDEX(Wiki!K:K,MATCH('BOM2017'!C666,Wiki!B:B,0))</f>
        <v>#N/A</v>
      </c>
      <c r="N666" s="1" t="e">
        <f>IFERROR(M666,INDEX(Wiki!K:K,MATCH('BOM2017'!D666,Wiki!B:B,0)))</f>
        <v>#VALUE!</v>
      </c>
    </row>
    <row r="667" spans="2:14" x14ac:dyDescent="0.2">
      <c r="B667" s="6">
        <v>662</v>
      </c>
      <c r="C667" s="3" t="s">
        <v>2582</v>
      </c>
      <c r="D667" t="e">
        <f t="shared" si="10"/>
        <v>#VALUE!</v>
      </c>
      <c r="E667" s="3" t="s">
        <v>157</v>
      </c>
      <c r="F667" s="7" t="s">
        <v>2583</v>
      </c>
      <c r="G667" s="6">
        <v>2</v>
      </c>
      <c r="H667" s="6" t="s">
        <v>2584</v>
      </c>
      <c r="I667" s="6">
        <v>2</v>
      </c>
      <c r="J667" s="4">
        <v>43113</v>
      </c>
      <c r="K667" s="8">
        <v>43140</v>
      </c>
      <c r="L667" s="1" t="e">
        <f>IF(MATCH(C667,Wiki!B:B,0)&lt;&gt;0,TRUE,FALSE)</f>
        <v>#N/A</v>
      </c>
      <c r="M667" s="1" t="e">
        <f>INDEX(Wiki!K:K,MATCH('BOM2017'!C667,Wiki!B:B,0))</f>
        <v>#N/A</v>
      </c>
      <c r="N667" s="1" t="e">
        <f>IFERROR(M667,INDEX(Wiki!K:K,MATCH('BOM2017'!D667,Wiki!B:B,0)))</f>
        <v>#VALUE!</v>
      </c>
    </row>
    <row r="668" spans="2:14" x14ac:dyDescent="0.2">
      <c r="B668" s="6">
        <v>663</v>
      </c>
      <c r="C668" s="3" t="s">
        <v>2585</v>
      </c>
      <c r="D668" t="e">
        <f t="shared" si="10"/>
        <v>#VALUE!</v>
      </c>
      <c r="E668" s="3" t="s">
        <v>1572</v>
      </c>
      <c r="F668" s="7" t="s">
        <v>2586</v>
      </c>
      <c r="G668" s="6">
        <v>4</v>
      </c>
      <c r="H668" s="6" t="s">
        <v>2587</v>
      </c>
      <c r="I668" s="6">
        <v>3</v>
      </c>
      <c r="J668" s="4">
        <v>43386</v>
      </c>
      <c r="K668" s="6" t="s">
        <v>558</v>
      </c>
      <c r="L668" s="1" t="e">
        <f>IF(MATCH(C668,Wiki!B:B,0)&lt;&gt;0,TRUE,FALSE)</f>
        <v>#N/A</v>
      </c>
      <c r="M668" s="1" t="e">
        <f>INDEX(Wiki!K:K,MATCH('BOM2017'!C668,Wiki!B:B,0))</f>
        <v>#N/A</v>
      </c>
      <c r="N668" s="1" t="e">
        <f>IFERROR(M668,INDEX(Wiki!K:K,MATCH('BOM2017'!D668,Wiki!B:B,0)))</f>
        <v>#VALUE!</v>
      </c>
    </row>
    <row r="669" spans="2:14" x14ac:dyDescent="0.2">
      <c r="B669" s="6">
        <v>664</v>
      </c>
      <c r="C669" s="3" t="s">
        <v>2588</v>
      </c>
      <c r="D669" t="e">
        <f t="shared" si="10"/>
        <v>#VALUE!</v>
      </c>
      <c r="E669" s="3" t="s">
        <v>1880</v>
      </c>
      <c r="F669" s="7" t="s">
        <v>2589</v>
      </c>
      <c r="G669" s="6">
        <v>1</v>
      </c>
      <c r="H669" s="6" t="s">
        <v>2590</v>
      </c>
      <c r="I669" s="6">
        <v>1</v>
      </c>
      <c r="J669" s="4">
        <v>43351</v>
      </c>
      <c r="K669" s="6" t="s">
        <v>558</v>
      </c>
      <c r="L669" s="1" t="e">
        <f>IF(MATCH(C669,Wiki!B:B,0)&lt;&gt;0,TRUE,FALSE)</f>
        <v>#N/A</v>
      </c>
      <c r="M669" s="1" t="e">
        <f>INDEX(Wiki!K:K,MATCH('BOM2017'!C669,Wiki!B:B,0))</f>
        <v>#N/A</v>
      </c>
      <c r="N669" s="1" t="e">
        <f>IFERROR(M669,INDEX(Wiki!K:K,MATCH('BOM2017'!D669,Wiki!B:B,0)))</f>
        <v>#VALUE!</v>
      </c>
    </row>
    <row r="670" spans="2:14" x14ac:dyDescent="0.2">
      <c r="B670" s="6">
        <v>665</v>
      </c>
      <c r="C670" s="3" t="s">
        <v>2591</v>
      </c>
      <c r="D670" t="e">
        <f t="shared" si="10"/>
        <v>#VALUE!</v>
      </c>
      <c r="E670" s="3" t="s">
        <v>2010</v>
      </c>
      <c r="F670" s="7" t="s">
        <v>2592</v>
      </c>
      <c r="G670" s="6">
        <v>2</v>
      </c>
      <c r="H670" s="6" t="s">
        <v>2593</v>
      </c>
      <c r="I670" s="6">
        <v>1</v>
      </c>
      <c r="J670" s="4">
        <v>43120</v>
      </c>
      <c r="K670" s="8">
        <v>43238</v>
      </c>
      <c r="L670" s="1" t="e">
        <f>IF(MATCH(C670,Wiki!B:B,0)&lt;&gt;0,TRUE,FALSE)</f>
        <v>#N/A</v>
      </c>
      <c r="M670" s="1" t="e">
        <f>INDEX(Wiki!K:K,MATCH('BOM2017'!C670,Wiki!B:B,0))</f>
        <v>#N/A</v>
      </c>
      <c r="N670" s="1" t="e">
        <f>IFERROR(M670,INDEX(Wiki!K:K,MATCH('BOM2017'!D670,Wiki!B:B,0)))</f>
        <v>#VALUE!</v>
      </c>
    </row>
    <row r="671" spans="2:14" x14ac:dyDescent="0.2">
      <c r="B671" s="6">
        <v>666</v>
      </c>
      <c r="C671" s="3" t="s">
        <v>2594</v>
      </c>
      <c r="D671" t="e">
        <f t="shared" si="10"/>
        <v>#VALUE!</v>
      </c>
      <c r="E671" s="3" t="s">
        <v>1612</v>
      </c>
      <c r="F671" s="7" t="s">
        <v>2595</v>
      </c>
      <c r="G671" s="6">
        <v>10</v>
      </c>
      <c r="H671" s="6" t="s">
        <v>1159</v>
      </c>
      <c r="I671" s="6" t="s">
        <v>1159</v>
      </c>
      <c r="J671" s="4">
        <v>43365</v>
      </c>
      <c r="K671" s="8">
        <v>43371</v>
      </c>
      <c r="L671" s="1" t="e">
        <f>IF(MATCH(C671,Wiki!B:B,0)&lt;&gt;0,TRUE,FALSE)</f>
        <v>#N/A</v>
      </c>
      <c r="M671" s="1" t="e">
        <f>INDEX(Wiki!K:K,MATCH('BOM2017'!C671,Wiki!B:B,0))</f>
        <v>#N/A</v>
      </c>
      <c r="N671" s="1" t="e">
        <f>IFERROR(M671,INDEX(Wiki!K:K,MATCH('BOM2017'!D671,Wiki!B:B,0)))</f>
        <v>#VALUE!</v>
      </c>
    </row>
    <row r="672" spans="2:14" x14ac:dyDescent="0.2">
      <c r="B672" s="6">
        <v>667</v>
      </c>
      <c r="C672" s="3" t="s">
        <v>2596</v>
      </c>
      <c r="D672" t="str">
        <f t="shared" si="10"/>
        <v>Night School</v>
      </c>
      <c r="E672" s="3" t="s">
        <v>1142</v>
      </c>
      <c r="F672" s="7" t="s">
        <v>2597</v>
      </c>
      <c r="G672" s="6">
        <v>2</v>
      </c>
      <c r="H672" s="6" t="s">
        <v>2598</v>
      </c>
      <c r="I672" s="6">
        <v>1</v>
      </c>
      <c r="J672" s="4">
        <v>43260</v>
      </c>
      <c r="K672" s="8">
        <v>43280</v>
      </c>
      <c r="L672" s="1" t="e">
        <f>IF(MATCH(C672,Wiki!B:B,0)&lt;&gt;0,TRUE,FALSE)</f>
        <v>#N/A</v>
      </c>
      <c r="M672" s="1" t="e">
        <f>INDEX(Wiki!K:K,MATCH('BOM2017'!C672,Wiki!B:B,0))</f>
        <v>#N/A</v>
      </c>
      <c r="N672" s="1" t="e">
        <f>IFERROR(M672,INDEX(Wiki!K:K,MATCH('BOM2017'!D672,Wiki!B:B,0)))</f>
        <v>#N/A</v>
      </c>
    </row>
    <row r="673" spans="2:14" x14ac:dyDescent="0.2">
      <c r="B673" s="6">
        <v>668</v>
      </c>
      <c r="C673" s="3" t="s">
        <v>2599</v>
      </c>
      <c r="D673" t="e">
        <f t="shared" si="10"/>
        <v>#VALUE!</v>
      </c>
      <c r="E673" s="3" t="s">
        <v>1039</v>
      </c>
      <c r="F673" s="7" t="s">
        <v>2600</v>
      </c>
      <c r="G673" s="6">
        <v>7</v>
      </c>
      <c r="H673" s="6" t="s">
        <v>2601</v>
      </c>
      <c r="I673" s="6">
        <v>7</v>
      </c>
      <c r="J673" s="4">
        <v>43260</v>
      </c>
      <c r="K673" s="8">
        <v>43280</v>
      </c>
      <c r="L673" s="1" t="e">
        <f>IF(MATCH(C673,Wiki!B:B,0)&lt;&gt;0,TRUE,FALSE)</f>
        <v>#N/A</v>
      </c>
      <c r="M673" s="1" t="e">
        <f>INDEX(Wiki!K:K,MATCH('BOM2017'!C673,Wiki!B:B,0))</f>
        <v>#N/A</v>
      </c>
      <c r="N673" s="1" t="e">
        <f>IFERROR(M673,INDEX(Wiki!K:K,MATCH('BOM2017'!D673,Wiki!B:B,0)))</f>
        <v>#VALUE!</v>
      </c>
    </row>
    <row r="674" spans="2:14" x14ac:dyDescent="0.2">
      <c r="B674" s="6">
        <v>669</v>
      </c>
      <c r="C674" s="3" t="s">
        <v>2602</v>
      </c>
      <c r="D674" t="e">
        <f t="shared" si="10"/>
        <v>#VALUE!</v>
      </c>
      <c r="E674" s="3" t="s">
        <v>1294</v>
      </c>
      <c r="F674" s="7" t="s">
        <v>2603</v>
      </c>
      <c r="G674" s="6">
        <v>9</v>
      </c>
      <c r="H674" s="6" t="s">
        <v>2604</v>
      </c>
      <c r="I674" s="6">
        <v>1</v>
      </c>
      <c r="J674" s="4">
        <v>43435</v>
      </c>
      <c r="K674" s="6" t="s">
        <v>558</v>
      </c>
      <c r="L674" s="1" t="e">
        <f>IF(MATCH(C674,Wiki!B:B,0)&lt;&gt;0,TRUE,FALSE)</f>
        <v>#N/A</v>
      </c>
      <c r="M674" s="1" t="e">
        <f>INDEX(Wiki!K:K,MATCH('BOM2017'!C674,Wiki!B:B,0))</f>
        <v>#N/A</v>
      </c>
      <c r="N674" s="1" t="e">
        <f>IFERROR(M674,INDEX(Wiki!K:K,MATCH('BOM2017'!D674,Wiki!B:B,0)))</f>
        <v>#VALUE!</v>
      </c>
    </row>
    <row r="675" spans="2:14" x14ac:dyDescent="0.2">
      <c r="B675" s="6">
        <v>670</v>
      </c>
      <c r="C675" s="3" t="s">
        <v>2605</v>
      </c>
      <c r="D675" t="str">
        <f t="shared" si="10"/>
        <v>Shakespeare Wallah</v>
      </c>
      <c r="E675" s="3" t="s">
        <v>1175</v>
      </c>
      <c r="F675" s="7" t="s">
        <v>2606</v>
      </c>
      <c r="G675" s="6">
        <v>1</v>
      </c>
      <c r="H675" s="6" t="s">
        <v>2607</v>
      </c>
      <c r="I675" s="6">
        <v>1</v>
      </c>
      <c r="J675" s="4">
        <v>43414</v>
      </c>
      <c r="K675" s="8">
        <v>43420</v>
      </c>
      <c r="L675" s="1" t="e">
        <f>IF(MATCH(C675,Wiki!B:B,0)&lt;&gt;0,TRUE,FALSE)</f>
        <v>#N/A</v>
      </c>
      <c r="M675" s="1" t="e">
        <f>INDEX(Wiki!K:K,MATCH('BOM2017'!C675,Wiki!B:B,0))</f>
        <v>#N/A</v>
      </c>
      <c r="N675" s="1" t="e">
        <f>IFERROR(M675,INDEX(Wiki!K:K,MATCH('BOM2017'!D675,Wiki!B:B,0)))</f>
        <v>#N/A</v>
      </c>
    </row>
    <row r="676" spans="2:14" x14ac:dyDescent="0.2">
      <c r="B676" s="6">
        <v>671</v>
      </c>
      <c r="C676" s="3" t="s">
        <v>2608</v>
      </c>
      <c r="D676" t="e">
        <f t="shared" si="10"/>
        <v>#VALUE!</v>
      </c>
      <c r="E676" s="3" t="s">
        <v>2197</v>
      </c>
      <c r="F676" s="7" t="s">
        <v>2609</v>
      </c>
      <c r="G676" s="6">
        <v>10</v>
      </c>
      <c r="H676" s="6" t="s">
        <v>2610</v>
      </c>
      <c r="I676" s="6">
        <v>10</v>
      </c>
      <c r="J676" s="4">
        <v>43344</v>
      </c>
      <c r="K676" s="8">
        <v>43350</v>
      </c>
      <c r="L676" s="1" t="e">
        <f>IF(MATCH(C676,Wiki!B:B,0)&lt;&gt;0,TRUE,FALSE)</f>
        <v>#N/A</v>
      </c>
      <c r="M676" s="1" t="e">
        <f>INDEX(Wiki!K:K,MATCH('BOM2017'!C676,Wiki!B:B,0))</f>
        <v>#N/A</v>
      </c>
      <c r="N676" s="1" t="e">
        <f>IFERROR(M676,INDEX(Wiki!K:K,MATCH('BOM2017'!D676,Wiki!B:B,0)))</f>
        <v>#VALUE!</v>
      </c>
    </row>
    <row r="677" spans="2:14" x14ac:dyDescent="0.2">
      <c r="B677" s="6">
        <v>672</v>
      </c>
      <c r="C677" s="3" t="s">
        <v>2611</v>
      </c>
      <c r="D677" t="e">
        <f t="shared" si="10"/>
        <v>#VALUE!</v>
      </c>
      <c r="E677" s="3" t="s">
        <v>157</v>
      </c>
      <c r="F677" s="7" t="s">
        <v>2612</v>
      </c>
      <c r="G677" s="6">
        <v>11</v>
      </c>
      <c r="H677" s="6" t="s">
        <v>2612</v>
      </c>
      <c r="I677" s="6">
        <v>11</v>
      </c>
      <c r="J677" s="4">
        <v>43358</v>
      </c>
      <c r="K677" s="8">
        <v>43360</v>
      </c>
      <c r="L677" s="1" t="e">
        <f>IF(MATCH(C677,Wiki!B:B,0)&lt;&gt;0,TRUE,FALSE)</f>
        <v>#N/A</v>
      </c>
      <c r="M677" s="1" t="e">
        <f>INDEX(Wiki!K:K,MATCH('BOM2017'!C677,Wiki!B:B,0))</f>
        <v>#N/A</v>
      </c>
      <c r="N677" s="1" t="e">
        <f>IFERROR(M677,INDEX(Wiki!K:K,MATCH('BOM2017'!D677,Wiki!B:B,0)))</f>
        <v>#VALUE!</v>
      </c>
    </row>
    <row r="678" spans="2:14" x14ac:dyDescent="0.2">
      <c r="B678" s="6">
        <v>673</v>
      </c>
      <c r="C678" s="3" t="s">
        <v>2613</v>
      </c>
      <c r="D678" t="e">
        <f t="shared" si="10"/>
        <v>#VALUE!</v>
      </c>
      <c r="E678" s="3" t="s">
        <v>1880</v>
      </c>
      <c r="F678" s="7" t="s">
        <v>2614</v>
      </c>
      <c r="G678" s="6">
        <v>1</v>
      </c>
      <c r="H678" s="6" t="s">
        <v>2615</v>
      </c>
      <c r="I678" s="6">
        <v>1</v>
      </c>
      <c r="J678" s="4">
        <v>43302</v>
      </c>
      <c r="K678" s="8">
        <v>43308</v>
      </c>
      <c r="L678" s="1" t="e">
        <f>IF(MATCH(C678,Wiki!B:B,0)&lt;&gt;0,TRUE,FALSE)</f>
        <v>#N/A</v>
      </c>
      <c r="M678" s="1" t="e">
        <f>INDEX(Wiki!K:K,MATCH('BOM2017'!C678,Wiki!B:B,0))</f>
        <v>#N/A</v>
      </c>
      <c r="N678" s="1" t="e">
        <f>IFERROR(M678,INDEX(Wiki!K:K,MATCH('BOM2017'!D678,Wiki!B:B,0)))</f>
        <v>#VALUE!</v>
      </c>
    </row>
    <row r="679" spans="2:14" x14ac:dyDescent="0.2">
      <c r="B679" s="6">
        <v>674</v>
      </c>
      <c r="C679" s="3" t="s">
        <v>2616</v>
      </c>
      <c r="D679" t="e">
        <f t="shared" si="10"/>
        <v>#VALUE!</v>
      </c>
      <c r="E679" s="3" t="s">
        <v>1880</v>
      </c>
      <c r="F679" s="7" t="s">
        <v>2617</v>
      </c>
      <c r="G679" s="6">
        <v>1</v>
      </c>
      <c r="H679" s="6" t="s">
        <v>2618</v>
      </c>
      <c r="I679" s="6">
        <v>1</v>
      </c>
      <c r="J679" s="4">
        <v>43106</v>
      </c>
      <c r="K679" s="8">
        <v>43112</v>
      </c>
      <c r="L679" s="1" t="e">
        <f>IF(MATCH(C679,Wiki!B:B,0)&lt;&gt;0,TRUE,FALSE)</f>
        <v>#N/A</v>
      </c>
      <c r="M679" s="1" t="e">
        <f>INDEX(Wiki!K:K,MATCH('BOM2017'!C679,Wiki!B:B,0))</f>
        <v>#N/A</v>
      </c>
      <c r="N679" s="1" t="e">
        <f>IFERROR(M679,INDEX(Wiki!K:K,MATCH('BOM2017'!D679,Wiki!B:B,0)))</f>
        <v>#VALUE!</v>
      </c>
    </row>
    <row r="680" spans="2:14" x14ac:dyDescent="0.2">
      <c r="B680" s="6">
        <v>675</v>
      </c>
      <c r="C680" s="3" t="s">
        <v>2619</v>
      </c>
      <c r="D680" t="e">
        <f t="shared" si="10"/>
        <v>#VALUE!</v>
      </c>
      <c r="E680" s="3" t="s">
        <v>2620</v>
      </c>
      <c r="F680" s="7" t="s">
        <v>2621</v>
      </c>
      <c r="G680" s="6">
        <v>2</v>
      </c>
      <c r="H680" s="6" t="s">
        <v>1159</v>
      </c>
      <c r="I680" s="6">
        <v>2</v>
      </c>
      <c r="J680" s="4">
        <v>43232</v>
      </c>
      <c r="K680" s="6" t="s">
        <v>558</v>
      </c>
      <c r="L680" s="1" t="e">
        <f>IF(MATCH(C680,Wiki!B:B,0)&lt;&gt;0,TRUE,FALSE)</f>
        <v>#N/A</v>
      </c>
      <c r="M680" s="1" t="e">
        <f>INDEX(Wiki!K:K,MATCH('BOM2017'!C680,Wiki!B:B,0))</f>
        <v>#N/A</v>
      </c>
      <c r="N680" s="1" t="e">
        <f>IFERROR(M680,INDEX(Wiki!K:K,MATCH('BOM2017'!D680,Wiki!B:B,0)))</f>
        <v>#VALUE!</v>
      </c>
    </row>
    <row r="681" spans="2:14" x14ac:dyDescent="0.2">
      <c r="B681" s="6">
        <v>676</v>
      </c>
      <c r="C681" s="3" t="s">
        <v>2622</v>
      </c>
      <c r="D681" t="e">
        <f t="shared" si="10"/>
        <v>#VALUE!</v>
      </c>
      <c r="E681" s="3" t="s">
        <v>1159</v>
      </c>
      <c r="F681" s="7" t="s">
        <v>2623</v>
      </c>
      <c r="G681" s="6">
        <v>1</v>
      </c>
      <c r="H681" s="6" t="s">
        <v>1159</v>
      </c>
      <c r="I681" s="6" t="s">
        <v>1159</v>
      </c>
      <c r="J681" s="4">
        <v>43372</v>
      </c>
      <c r="K681" s="6" t="s">
        <v>558</v>
      </c>
      <c r="L681" s="1" t="e">
        <f>IF(MATCH(C681,Wiki!B:B,0)&lt;&gt;0,TRUE,FALSE)</f>
        <v>#N/A</v>
      </c>
      <c r="M681" s="1" t="e">
        <f>INDEX(Wiki!K:K,MATCH('BOM2017'!C681,Wiki!B:B,0))</f>
        <v>#N/A</v>
      </c>
      <c r="N681" s="1" t="e">
        <f>IFERROR(M681,INDEX(Wiki!K:K,MATCH('BOM2017'!D681,Wiki!B:B,0)))</f>
        <v>#VALUE!</v>
      </c>
    </row>
    <row r="682" spans="2:14" x14ac:dyDescent="0.2">
      <c r="B682" s="6">
        <v>677</v>
      </c>
      <c r="C682" s="3" t="s">
        <v>2624</v>
      </c>
      <c r="D682" t="e">
        <f t="shared" si="10"/>
        <v>#VALUE!</v>
      </c>
      <c r="E682" s="3" t="s">
        <v>157</v>
      </c>
      <c r="F682" s="7" t="s">
        <v>2625</v>
      </c>
      <c r="G682" s="6">
        <v>10</v>
      </c>
      <c r="H682" s="6" t="s">
        <v>2626</v>
      </c>
      <c r="I682" s="6">
        <v>10</v>
      </c>
      <c r="J682" s="4">
        <v>43120</v>
      </c>
      <c r="K682" s="8">
        <v>43126</v>
      </c>
      <c r="L682" s="1" t="e">
        <f>IF(MATCH(C682,Wiki!B:B,0)&lt;&gt;0,TRUE,FALSE)</f>
        <v>#N/A</v>
      </c>
      <c r="M682" s="1" t="e">
        <f>INDEX(Wiki!K:K,MATCH('BOM2017'!C682,Wiki!B:B,0))</f>
        <v>#N/A</v>
      </c>
      <c r="N682" s="1" t="e">
        <f>IFERROR(M682,INDEX(Wiki!K:K,MATCH('BOM2017'!D682,Wiki!B:B,0)))</f>
        <v>#VALUE!</v>
      </c>
    </row>
    <row r="683" spans="2:14" x14ac:dyDescent="0.2">
      <c r="B683" s="6">
        <v>678</v>
      </c>
      <c r="C683" s="3" t="s">
        <v>2627</v>
      </c>
      <c r="D683" t="e">
        <f t="shared" si="10"/>
        <v>#VALUE!</v>
      </c>
      <c r="E683" s="3" t="s">
        <v>2121</v>
      </c>
      <c r="F683" s="7" t="s">
        <v>2628</v>
      </c>
      <c r="G683" s="6">
        <v>75</v>
      </c>
      <c r="H683" s="6" t="s">
        <v>2629</v>
      </c>
      <c r="I683" s="6">
        <v>10</v>
      </c>
      <c r="J683" s="4">
        <v>43407</v>
      </c>
      <c r="K683" s="6" t="s">
        <v>558</v>
      </c>
      <c r="L683" s="1" t="e">
        <f>IF(MATCH(C683,Wiki!B:B,0)&lt;&gt;0,TRUE,FALSE)</f>
        <v>#N/A</v>
      </c>
      <c r="M683" s="1" t="e">
        <f>INDEX(Wiki!K:K,MATCH('BOM2017'!C683,Wiki!B:B,0))</f>
        <v>#N/A</v>
      </c>
      <c r="N683" s="1" t="e">
        <f>IFERROR(M683,INDEX(Wiki!K:K,MATCH('BOM2017'!D683,Wiki!B:B,0)))</f>
        <v>#VALUE!</v>
      </c>
    </row>
    <row r="684" spans="2:14" x14ac:dyDescent="0.2">
      <c r="B684" s="6">
        <v>679</v>
      </c>
      <c r="C684" s="3" t="s">
        <v>2630</v>
      </c>
      <c r="D684" t="e">
        <f t="shared" si="10"/>
        <v>#VALUE!</v>
      </c>
      <c r="E684" s="3" t="s">
        <v>2254</v>
      </c>
      <c r="F684" s="7" t="s">
        <v>2631</v>
      </c>
      <c r="G684" s="6">
        <v>2</v>
      </c>
      <c r="H684" s="6" t="s">
        <v>2632</v>
      </c>
      <c r="I684" s="6">
        <v>2</v>
      </c>
      <c r="J684" s="4">
        <v>43435</v>
      </c>
      <c r="K684" s="8">
        <v>43437</v>
      </c>
      <c r="L684" s="1" t="e">
        <f>IF(MATCH(C684,Wiki!B:B,0)&lt;&gt;0,TRUE,FALSE)</f>
        <v>#N/A</v>
      </c>
      <c r="M684" s="1" t="e">
        <f>INDEX(Wiki!K:K,MATCH('BOM2017'!C684,Wiki!B:B,0))</f>
        <v>#N/A</v>
      </c>
      <c r="N684" s="1" t="e">
        <f>IFERROR(M684,INDEX(Wiki!K:K,MATCH('BOM2017'!D684,Wiki!B:B,0)))</f>
        <v>#VALUE!</v>
      </c>
    </row>
    <row r="685" spans="2:14" x14ac:dyDescent="0.2">
      <c r="B685" s="6">
        <v>680</v>
      </c>
      <c r="C685" s="3" t="s">
        <v>2633</v>
      </c>
      <c r="D685" t="e">
        <f t="shared" si="10"/>
        <v>#VALUE!</v>
      </c>
      <c r="E685" s="3" t="s">
        <v>1804</v>
      </c>
      <c r="F685" s="7" t="s">
        <v>2634</v>
      </c>
      <c r="G685" s="6">
        <v>1</v>
      </c>
      <c r="H685" s="6" t="s">
        <v>2635</v>
      </c>
      <c r="I685" s="6">
        <v>1</v>
      </c>
      <c r="J685" s="4">
        <v>43407</v>
      </c>
      <c r="K685" s="8">
        <v>43420</v>
      </c>
      <c r="L685" s="1" t="e">
        <f>IF(MATCH(C685,Wiki!B:B,0)&lt;&gt;0,TRUE,FALSE)</f>
        <v>#N/A</v>
      </c>
      <c r="M685" s="1" t="e">
        <f>INDEX(Wiki!K:K,MATCH('BOM2017'!C685,Wiki!B:B,0))</f>
        <v>#N/A</v>
      </c>
      <c r="N685" s="1" t="e">
        <f>IFERROR(M685,INDEX(Wiki!K:K,MATCH('BOM2017'!D685,Wiki!B:B,0)))</f>
        <v>#VALUE!</v>
      </c>
    </row>
    <row r="686" spans="2:14" x14ac:dyDescent="0.2">
      <c r="B686" s="6">
        <v>681</v>
      </c>
      <c r="C686" s="3" t="s">
        <v>2636</v>
      </c>
      <c r="D686" t="e">
        <f t="shared" si="10"/>
        <v>#VALUE!</v>
      </c>
      <c r="E686" s="3" t="s">
        <v>1532</v>
      </c>
      <c r="F686" s="7" t="s">
        <v>2637</v>
      </c>
      <c r="G686" s="6">
        <v>1</v>
      </c>
      <c r="H686" s="6" t="s">
        <v>2638</v>
      </c>
      <c r="I686" s="6">
        <v>1</v>
      </c>
      <c r="J686" s="4">
        <v>43239</v>
      </c>
      <c r="K686" s="8">
        <v>43280</v>
      </c>
      <c r="L686" s="1" t="e">
        <f>IF(MATCH(C686,Wiki!B:B,0)&lt;&gt;0,TRUE,FALSE)</f>
        <v>#N/A</v>
      </c>
      <c r="M686" s="1" t="e">
        <f>INDEX(Wiki!K:K,MATCH('BOM2017'!C686,Wiki!B:B,0))</f>
        <v>#N/A</v>
      </c>
      <c r="N686" s="1" t="e">
        <f>IFERROR(M686,INDEX(Wiki!K:K,MATCH('BOM2017'!D686,Wiki!B:B,0)))</f>
        <v>#VALUE!</v>
      </c>
    </row>
    <row r="687" spans="2:14" x14ac:dyDescent="0.2">
      <c r="B687" s="6">
        <v>682</v>
      </c>
      <c r="C687" s="3" t="s">
        <v>2639</v>
      </c>
      <c r="D687" t="e">
        <f t="shared" si="10"/>
        <v>#VALUE!</v>
      </c>
      <c r="E687" s="3" t="s">
        <v>2640</v>
      </c>
      <c r="F687" s="7" t="s">
        <v>2641</v>
      </c>
      <c r="G687" s="6">
        <v>1</v>
      </c>
      <c r="H687" s="6" t="s">
        <v>1159</v>
      </c>
      <c r="I687" s="6">
        <v>1</v>
      </c>
      <c r="J687" s="4">
        <v>43351</v>
      </c>
      <c r="K687" s="8">
        <v>43357</v>
      </c>
      <c r="L687" s="1" t="e">
        <f>IF(MATCH(C687,Wiki!B:B,0)&lt;&gt;0,TRUE,FALSE)</f>
        <v>#N/A</v>
      </c>
      <c r="M687" s="1" t="e">
        <f>INDEX(Wiki!K:K,MATCH('BOM2017'!C687,Wiki!B:B,0))</f>
        <v>#N/A</v>
      </c>
      <c r="N687" s="1" t="e">
        <f>IFERROR(M687,INDEX(Wiki!K:K,MATCH('BOM2017'!D687,Wiki!B:B,0)))</f>
        <v>#VALUE!</v>
      </c>
    </row>
    <row r="688" spans="2:14" x14ac:dyDescent="0.2">
      <c r="B688" s="6">
        <v>683</v>
      </c>
      <c r="C688" s="3" t="s">
        <v>2642</v>
      </c>
      <c r="D688" t="e">
        <f t="shared" si="10"/>
        <v>#VALUE!</v>
      </c>
      <c r="E688" s="3" t="s">
        <v>1532</v>
      </c>
      <c r="F688" s="7" t="s">
        <v>2643</v>
      </c>
      <c r="G688" s="6">
        <v>3</v>
      </c>
      <c r="H688" s="6" t="s">
        <v>1159</v>
      </c>
      <c r="I688" s="6" t="s">
        <v>1159</v>
      </c>
      <c r="J688" s="4">
        <v>43256</v>
      </c>
      <c r="K688" s="8">
        <v>43413</v>
      </c>
      <c r="L688" s="1" t="e">
        <f>IF(MATCH(C688,Wiki!B:B,0)&lt;&gt;0,TRUE,FALSE)</f>
        <v>#N/A</v>
      </c>
      <c r="M688" s="1" t="e">
        <f>INDEX(Wiki!K:K,MATCH('BOM2017'!C688,Wiki!B:B,0))</f>
        <v>#N/A</v>
      </c>
      <c r="N688" s="1" t="e">
        <f>IFERROR(M688,INDEX(Wiki!K:K,MATCH('BOM2017'!D688,Wiki!B:B,0)))</f>
        <v>#VALUE!</v>
      </c>
    </row>
    <row r="689" spans="2:14" x14ac:dyDescent="0.2">
      <c r="B689" s="6">
        <v>684</v>
      </c>
      <c r="C689" s="3" t="s">
        <v>2644</v>
      </c>
      <c r="D689" t="e">
        <f t="shared" si="10"/>
        <v>#VALUE!</v>
      </c>
      <c r="E689" s="3" t="s">
        <v>1572</v>
      </c>
      <c r="F689" s="7" t="s">
        <v>2645</v>
      </c>
      <c r="G689" s="6">
        <v>2</v>
      </c>
      <c r="H689" s="6" t="s">
        <v>2646</v>
      </c>
      <c r="I689" s="6">
        <v>2</v>
      </c>
      <c r="J689" s="4">
        <v>43239</v>
      </c>
      <c r="K689" s="8">
        <v>43287</v>
      </c>
      <c r="L689" s="1" t="e">
        <f>IF(MATCH(C689,Wiki!B:B,0)&lt;&gt;0,TRUE,FALSE)</f>
        <v>#N/A</v>
      </c>
      <c r="M689" s="1" t="e">
        <f>INDEX(Wiki!K:K,MATCH('BOM2017'!C689,Wiki!B:B,0))</f>
        <v>#N/A</v>
      </c>
      <c r="N689" s="1" t="e">
        <f>IFERROR(M689,INDEX(Wiki!K:K,MATCH('BOM2017'!D689,Wiki!B:B,0)))</f>
        <v>#VALUE!</v>
      </c>
    </row>
    <row r="690" spans="2:14" x14ac:dyDescent="0.2">
      <c r="B690" s="6">
        <v>685</v>
      </c>
      <c r="C690" s="3" t="s">
        <v>2647</v>
      </c>
      <c r="D690" t="str">
        <f t="shared" si="10"/>
        <v>Emily</v>
      </c>
      <c r="E690" s="3" t="s">
        <v>2648</v>
      </c>
      <c r="F690" s="7" t="s">
        <v>2649</v>
      </c>
      <c r="G690" s="6">
        <v>2</v>
      </c>
      <c r="H690" s="6" t="s">
        <v>2650</v>
      </c>
      <c r="I690" s="6">
        <v>1</v>
      </c>
      <c r="J690" s="4">
        <v>43127</v>
      </c>
      <c r="K690" s="8">
        <v>43220</v>
      </c>
      <c r="L690" s="1" t="e">
        <f>IF(MATCH(C690,Wiki!B:B,0)&lt;&gt;0,TRUE,FALSE)</f>
        <v>#N/A</v>
      </c>
      <c r="M690" s="1" t="e">
        <f>INDEX(Wiki!K:K,MATCH('BOM2017'!C690,Wiki!B:B,0))</f>
        <v>#N/A</v>
      </c>
      <c r="N690" s="1" t="e">
        <f>IFERROR(M690,INDEX(Wiki!K:K,MATCH('BOM2017'!D690,Wiki!B:B,0)))</f>
        <v>#N/A</v>
      </c>
    </row>
    <row r="691" spans="2:14" x14ac:dyDescent="0.2">
      <c r="B691" s="6">
        <v>686</v>
      </c>
      <c r="C691" s="3" t="s">
        <v>2651</v>
      </c>
      <c r="D691" t="str">
        <f t="shared" si="10"/>
        <v>La Belle Noiseuse</v>
      </c>
      <c r="E691" s="3" t="s">
        <v>1175</v>
      </c>
      <c r="F691" s="7" t="s">
        <v>2652</v>
      </c>
      <c r="G691" s="6">
        <v>1</v>
      </c>
      <c r="H691" s="6" t="s">
        <v>2653</v>
      </c>
      <c r="I691" s="6">
        <v>1</v>
      </c>
      <c r="J691" s="4">
        <v>43428</v>
      </c>
      <c r="K691" s="8">
        <v>43434</v>
      </c>
      <c r="L691" s="1" t="e">
        <f>IF(MATCH(C691,Wiki!B:B,0)&lt;&gt;0,TRUE,FALSE)</f>
        <v>#N/A</v>
      </c>
      <c r="M691" s="1" t="e">
        <f>INDEX(Wiki!K:K,MATCH('BOM2017'!C691,Wiki!B:B,0))</f>
        <v>#N/A</v>
      </c>
      <c r="N691" s="1" t="e">
        <f>IFERROR(M691,INDEX(Wiki!K:K,MATCH('BOM2017'!D691,Wiki!B:B,0)))</f>
        <v>#N/A</v>
      </c>
    </row>
    <row r="692" spans="2:14" x14ac:dyDescent="0.2">
      <c r="B692" s="6">
        <v>687</v>
      </c>
      <c r="C692" s="3" t="s">
        <v>2654</v>
      </c>
      <c r="D692" t="str">
        <f t="shared" si="10"/>
        <v>Who's Crazy?</v>
      </c>
      <c r="E692" s="3" t="s">
        <v>1532</v>
      </c>
      <c r="F692" s="7" t="s">
        <v>2655</v>
      </c>
      <c r="G692" s="6">
        <v>2</v>
      </c>
      <c r="H692" s="6" t="s">
        <v>2646</v>
      </c>
      <c r="I692" s="6">
        <v>1</v>
      </c>
      <c r="J692" s="4">
        <v>43169</v>
      </c>
      <c r="K692" s="8">
        <v>43266</v>
      </c>
      <c r="L692" s="1" t="e">
        <f>IF(MATCH(C692,Wiki!B:B,0)&lt;&gt;0,TRUE,FALSE)</f>
        <v>#N/A</v>
      </c>
      <c r="M692" s="1" t="e">
        <f>INDEX(Wiki!K:K,MATCH('BOM2017'!C692,Wiki!B:B,0))</f>
        <v>#N/A</v>
      </c>
      <c r="N692" s="1" t="e">
        <f>IFERROR(M692,INDEX(Wiki!K:K,MATCH('BOM2017'!D692,Wiki!B:B,0)))</f>
        <v>#N/A</v>
      </c>
    </row>
    <row r="693" spans="2:14" x14ac:dyDescent="0.2">
      <c r="B693" s="6">
        <v>688</v>
      </c>
      <c r="C693" s="3" t="s">
        <v>2656</v>
      </c>
      <c r="D693" t="e">
        <f t="shared" si="10"/>
        <v>#VALUE!</v>
      </c>
      <c r="E693" s="3" t="s">
        <v>1532</v>
      </c>
      <c r="F693" s="7" t="s">
        <v>2657</v>
      </c>
      <c r="G693" s="6">
        <v>2</v>
      </c>
      <c r="H693" s="6" t="s">
        <v>2658</v>
      </c>
      <c r="I693" s="6">
        <v>1</v>
      </c>
      <c r="J693" s="4">
        <v>43197</v>
      </c>
      <c r="K693" s="8">
        <v>43224</v>
      </c>
      <c r="L693" s="1" t="e">
        <f>IF(MATCH(C693,Wiki!B:B,0)&lt;&gt;0,TRUE,FALSE)</f>
        <v>#N/A</v>
      </c>
      <c r="M693" s="1" t="e">
        <f>INDEX(Wiki!K:K,MATCH('BOM2017'!C693,Wiki!B:B,0))</f>
        <v>#N/A</v>
      </c>
      <c r="N693" s="1" t="e">
        <f>IFERROR(M693,INDEX(Wiki!K:K,MATCH('BOM2017'!D693,Wiki!B:B,0)))</f>
        <v>#VALUE!</v>
      </c>
    </row>
    <row r="694" spans="2:14" x14ac:dyDescent="0.2">
      <c r="B694" s="6">
        <v>689</v>
      </c>
      <c r="C694" s="3" t="s">
        <v>2659</v>
      </c>
      <c r="D694" t="e">
        <f t="shared" si="10"/>
        <v>#VALUE!</v>
      </c>
      <c r="E694" s="3" t="s">
        <v>1918</v>
      </c>
      <c r="F694" s="7" t="s">
        <v>2660</v>
      </c>
      <c r="G694" s="6">
        <v>1</v>
      </c>
      <c r="H694" s="6" t="s">
        <v>1159</v>
      </c>
      <c r="I694" s="6" t="s">
        <v>1159</v>
      </c>
      <c r="J694" s="4">
        <v>43338</v>
      </c>
      <c r="K694" s="8">
        <v>43368</v>
      </c>
      <c r="L694" s="1" t="e">
        <f>IF(MATCH(C694,Wiki!B:B,0)&lt;&gt;0,TRUE,FALSE)</f>
        <v>#N/A</v>
      </c>
      <c r="M694" s="1" t="e">
        <f>INDEX(Wiki!K:K,MATCH('BOM2017'!C694,Wiki!B:B,0))</f>
        <v>#N/A</v>
      </c>
      <c r="N694" s="1" t="e">
        <f>IFERROR(M694,INDEX(Wiki!K:K,MATCH('BOM2017'!D694,Wiki!B:B,0)))</f>
        <v>#VALUE!</v>
      </c>
    </row>
    <row r="695" spans="2:14" x14ac:dyDescent="0.2">
      <c r="B695" s="6">
        <v>690</v>
      </c>
      <c r="C695" s="3" t="s">
        <v>2661</v>
      </c>
      <c r="D695" t="e">
        <f t="shared" si="10"/>
        <v>#VALUE!</v>
      </c>
      <c r="E695" s="3" t="s">
        <v>1880</v>
      </c>
      <c r="F695" s="7" t="s">
        <v>2662</v>
      </c>
      <c r="G695" s="6">
        <v>2</v>
      </c>
      <c r="H695" s="6" t="s">
        <v>2663</v>
      </c>
      <c r="I695" s="6">
        <v>1</v>
      </c>
      <c r="J695" s="4">
        <v>43127</v>
      </c>
      <c r="K695" s="8">
        <v>43147</v>
      </c>
      <c r="L695" s="1" t="e">
        <f>IF(MATCH(C695,Wiki!B:B,0)&lt;&gt;0,TRUE,FALSE)</f>
        <v>#N/A</v>
      </c>
      <c r="M695" s="1" t="e">
        <f>INDEX(Wiki!K:K,MATCH('BOM2017'!C695,Wiki!B:B,0))</f>
        <v>#N/A</v>
      </c>
      <c r="N695" s="1" t="e">
        <f>IFERROR(M695,INDEX(Wiki!K:K,MATCH('BOM2017'!D695,Wiki!B:B,0)))</f>
        <v>#VALUE!</v>
      </c>
    </row>
    <row r="696" spans="2:14" x14ac:dyDescent="0.2">
      <c r="B696" s="6">
        <v>691</v>
      </c>
      <c r="C696" s="3" t="s">
        <v>2664</v>
      </c>
      <c r="D696" t="e">
        <f t="shared" si="10"/>
        <v>#VALUE!</v>
      </c>
      <c r="E696" s="3" t="s">
        <v>1544</v>
      </c>
      <c r="F696" s="7" t="s">
        <v>2665</v>
      </c>
      <c r="G696" s="6">
        <v>12</v>
      </c>
      <c r="H696" s="6" t="s">
        <v>2665</v>
      </c>
      <c r="I696" s="6">
        <v>12</v>
      </c>
      <c r="J696" s="4">
        <v>43414</v>
      </c>
      <c r="K696" s="8">
        <v>43420</v>
      </c>
      <c r="L696" s="1" t="e">
        <f>IF(MATCH(C696,Wiki!B:B,0)&lt;&gt;0,TRUE,FALSE)</f>
        <v>#N/A</v>
      </c>
      <c r="M696" s="1" t="e">
        <f>INDEX(Wiki!K:K,MATCH('BOM2017'!C696,Wiki!B:B,0))</f>
        <v>#N/A</v>
      </c>
      <c r="N696" s="1" t="e">
        <f>IFERROR(M696,INDEX(Wiki!K:K,MATCH('BOM2017'!D696,Wiki!B:B,0)))</f>
        <v>#VALUE!</v>
      </c>
    </row>
    <row r="697" spans="2:14" x14ac:dyDescent="0.2">
      <c r="B697" s="6">
        <v>692</v>
      </c>
      <c r="C697" s="3" t="s">
        <v>2666</v>
      </c>
      <c r="D697" t="e">
        <f t="shared" si="10"/>
        <v>#VALUE!</v>
      </c>
      <c r="E697" s="3" t="s">
        <v>1544</v>
      </c>
      <c r="F697" s="7" t="s">
        <v>2667</v>
      </c>
      <c r="G697" s="6">
        <v>10</v>
      </c>
      <c r="H697" s="6" t="s">
        <v>1159</v>
      </c>
      <c r="I697" s="6" t="s">
        <v>1159</v>
      </c>
      <c r="J697" s="4">
        <v>43407</v>
      </c>
      <c r="K697" s="8">
        <v>43413</v>
      </c>
      <c r="L697" s="1" t="e">
        <f>IF(MATCH(C697,Wiki!B:B,0)&lt;&gt;0,TRUE,FALSE)</f>
        <v>#N/A</v>
      </c>
      <c r="M697" s="1" t="e">
        <f>INDEX(Wiki!K:K,MATCH('BOM2017'!C697,Wiki!B:B,0))</f>
        <v>#N/A</v>
      </c>
      <c r="N697" s="1" t="e">
        <f>IFERROR(M697,INDEX(Wiki!K:K,MATCH('BOM2017'!D697,Wiki!B:B,0)))</f>
        <v>#VALUE!</v>
      </c>
    </row>
    <row r="698" spans="2:14" x14ac:dyDescent="0.2">
      <c r="B698" s="6">
        <v>693</v>
      </c>
      <c r="C698" s="3" t="s">
        <v>2668</v>
      </c>
      <c r="D698" t="e">
        <f t="shared" si="10"/>
        <v>#VALUE!</v>
      </c>
      <c r="E698" s="3" t="s">
        <v>2669</v>
      </c>
      <c r="F698" s="7" t="s">
        <v>2670</v>
      </c>
      <c r="G698" s="6">
        <v>1</v>
      </c>
      <c r="H698" s="6" t="s">
        <v>2671</v>
      </c>
      <c r="I698" s="6">
        <v>1</v>
      </c>
      <c r="J698" s="4">
        <v>43323</v>
      </c>
      <c r="K698" s="8">
        <v>43343</v>
      </c>
      <c r="L698" s="1" t="e">
        <f>IF(MATCH(C698,Wiki!B:B,0)&lt;&gt;0,TRUE,FALSE)</f>
        <v>#N/A</v>
      </c>
      <c r="M698" s="1" t="e">
        <f>INDEX(Wiki!K:K,MATCH('BOM2017'!C698,Wiki!B:B,0))</f>
        <v>#N/A</v>
      </c>
      <c r="N698" s="1" t="e">
        <f>IFERROR(M698,INDEX(Wiki!K:K,MATCH('BOM2017'!D698,Wiki!B:B,0)))</f>
        <v>#VALUE!</v>
      </c>
    </row>
    <row r="699" spans="2:14" x14ac:dyDescent="0.2">
      <c r="B699" s="6">
        <v>694</v>
      </c>
      <c r="C699" s="3" t="s">
        <v>2672</v>
      </c>
      <c r="D699" t="str">
        <f t="shared" si="10"/>
        <v>Justice</v>
      </c>
      <c r="E699" s="3" t="s">
        <v>1345</v>
      </c>
      <c r="F699" s="7" t="s">
        <v>2673</v>
      </c>
      <c r="G699" s="6">
        <v>10</v>
      </c>
      <c r="H699" s="6" t="s">
        <v>2674</v>
      </c>
      <c r="I699" s="6">
        <v>10</v>
      </c>
      <c r="J699" s="4">
        <v>43358</v>
      </c>
      <c r="K699" s="6" t="s">
        <v>558</v>
      </c>
      <c r="L699" s="1" t="e">
        <f>IF(MATCH(C699,Wiki!B:B,0)&lt;&gt;0,TRUE,FALSE)</f>
        <v>#N/A</v>
      </c>
      <c r="M699" s="1" t="e">
        <f>INDEX(Wiki!K:K,MATCH('BOM2017'!C699,Wiki!B:B,0))</f>
        <v>#N/A</v>
      </c>
      <c r="N699" s="1" t="e">
        <f>IFERROR(M699,INDEX(Wiki!K:K,MATCH('BOM2017'!D699,Wiki!B:B,0)))</f>
        <v>#N/A</v>
      </c>
    </row>
    <row r="700" spans="2:14" x14ac:dyDescent="0.2">
      <c r="B700" s="6">
        <v>695</v>
      </c>
      <c r="C700" s="3" t="s">
        <v>2675</v>
      </c>
      <c r="D700" t="e">
        <f t="shared" si="10"/>
        <v>#VALUE!</v>
      </c>
      <c r="E700" s="3" t="s">
        <v>1175</v>
      </c>
      <c r="F700" s="7" t="s">
        <v>2676</v>
      </c>
      <c r="G700" s="6">
        <v>2</v>
      </c>
      <c r="H700" s="6" t="s">
        <v>2676</v>
      </c>
      <c r="I700" s="6">
        <v>2</v>
      </c>
      <c r="J700" s="4">
        <v>43204</v>
      </c>
      <c r="K700" s="8">
        <v>43206</v>
      </c>
      <c r="L700" s="1" t="e">
        <f>IF(MATCH(C700,Wiki!B:B,0)&lt;&gt;0,TRUE,FALSE)</f>
        <v>#N/A</v>
      </c>
      <c r="M700" s="1" t="e">
        <f>INDEX(Wiki!K:K,MATCH('BOM2017'!C700,Wiki!B:B,0))</f>
        <v>#N/A</v>
      </c>
      <c r="N700" s="1" t="e">
        <f>IFERROR(M700,INDEX(Wiki!K:K,MATCH('BOM2017'!D700,Wiki!B:B,0)))</f>
        <v>#VALUE!</v>
      </c>
    </row>
    <row r="701" spans="2:14" x14ac:dyDescent="0.2">
      <c r="B701" s="6">
        <v>696</v>
      </c>
      <c r="C701" s="3" t="s">
        <v>2677</v>
      </c>
      <c r="D701" t="e">
        <f t="shared" si="10"/>
        <v>#VALUE!</v>
      </c>
      <c r="E701" s="3" t="s">
        <v>2051</v>
      </c>
      <c r="F701" s="7" t="s">
        <v>2678</v>
      </c>
      <c r="G701" s="6">
        <v>4</v>
      </c>
      <c r="H701" s="6" t="s">
        <v>2679</v>
      </c>
      <c r="I701" s="6">
        <v>1</v>
      </c>
      <c r="J701" s="4">
        <v>43183</v>
      </c>
      <c r="K701" s="8">
        <v>43227</v>
      </c>
      <c r="L701" s="1" t="e">
        <f>IF(MATCH(C701,Wiki!B:B,0)&lt;&gt;0,TRUE,FALSE)</f>
        <v>#N/A</v>
      </c>
      <c r="M701" s="1" t="e">
        <f>INDEX(Wiki!K:K,MATCH('BOM2017'!C701,Wiki!B:B,0))</f>
        <v>#N/A</v>
      </c>
      <c r="N701" s="1" t="e">
        <f>IFERROR(M701,INDEX(Wiki!K:K,MATCH('BOM2017'!D701,Wiki!B:B,0)))</f>
        <v>#VALUE!</v>
      </c>
    </row>
    <row r="702" spans="2:14" x14ac:dyDescent="0.2">
      <c r="B702" s="6">
        <v>697</v>
      </c>
      <c r="C702" s="3" t="s">
        <v>2680</v>
      </c>
      <c r="D702" t="e">
        <f t="shared" si="10"/>
        <v>#VALUE!</v>
      </c>
      <c r="E702" s="3" t="s">
        <v>1345</v>
      </c>
      <c r="F702" s="7" t="s">
        <v>2681</v>
      </c>
      <c r="G702" s="6">
        <v>11</v>
      </c>
      <c r="H702" s="6" t="s">
        <v>2682</v>
      </c>
      <c r="I702" s="6">
        <v>11</v>
      </c>
      <c r="J702" s="4">
        <v>43435</v>
      </c>
      <c r="K702" s="8">
        <v>43448</v>
      </c>
      <c r="L702" s="1" t="e">
        <f>IF(MATCH(C702,Wiki!B:B,0)&lt;&gt;0,TRUE,FALSE)</f>
        <v>#N/A</v>
      </c>
      <c r="M702" s="1" t="e">
        <f>INDEX(Wiki!K:K,MATCH('BOM2017'!C702,Wiki!B:B,0))</f>
        <v>#N/A</v>
      </c>
      <c r="N702" s="1" t="e">
        <f>IFERROR(M702,INDEX(Wiki!K:K,MATCH('BOM2017'!D702,Wiki!B:B,0)))</f>
        <v>#VALUE!</v>
      </c>
    </row>
    <row r="703" spans="2:14" x14ac:dyDescent="0.2">
      <c r="B703" s="6">
        <v>698</v>
      </c>
      <c r="C703" s="3" t="s">
        <v>2683</v>
      </c>
      <c r="D703" t="e">
        <f t="shared" si="10"/>
        <v>#VALUE!</v>
      </c>
      <c r="E703" s="3" t="s">
        <v>2684</v>
      </c>
      <c r="F703" s="7" t="s">
        <v>2685</v>
      </c>
      <c r="G703" s="6">
        <v>3</v>
      </c>
      <c r="H703" s="6" t="s">
        <v>2458</v>
      </c>
      <c r="I703" s="6">
        <v>2</v>
      </c>
      <c r="J703" s="4">
        <v>43378</v>
      </c>
      <c r="K703" s="8">
        <v>43392</v>
      </c>
      <c r="L703" s="1" t="e">
        <f>IF(MATCH(C703,Wiki!B:B,0)&lt;&gt;0,TRUE,FALSE)</f>
        <v>#N/A</v>
      </c>
      <c r="M703" s="1" t="e">
        <f>INDEX(Wiki!K:K,MATCH('BOM2017'!C703,Wiki!B:B,0))</f>
        <v>#N/A</v>
      </c>
      <c r="N703" s="1" t="e">
        <f>IFERROR(M703,INDEX(Wiki!K:K,MATCH('BOM2017'!D703,Wiki!B:B,0)))</f>
        <v>#VALUE!</v>
      </c>
    </row>
    <row r="704" spans="2:14" x14ac:dyDescent="0.2">
      <c r="B704" s="6">
        <v>699</v>
      </c>
      <c r="C704" s="3" t="s">
        <v>2686</v>
      </c>
      <c r="D704" t="e">
        <f t="shared" si="10"/>
        <v>#VALUE!</v>
      </c>
      <c r="E704" s="3" t="s">
        <v>570</v>
      </c>
      <c r="F704" s="7" t="s">
        <v>2687</v>
      </c>
      <c r="G704" s="6">
        <v>10</v>
      </c>
      <c r="H704" s="6" t="s">
        <v>2474</v>
      </c>
      <c r="I704" s="6">
        <v>10</v>
      </c>
      <c r="J704" s="4">
        <v>43162</v>
      </c>
      <c r="K704" s="8">
        <v>43168</v>
      </c>
      <c r="L704" s="1" t="e">
        <f>IF(MATCH(C704,Wiki!B:B,0)&lt;&gt;0,TRUE,FALSE)</f>
        <v>#N/A</v>
      </c>
      <c r="M704" s="1" t="e">
        <f>INDEX(Wiki!K:K,MATCH('BOM2017'!C704,Wiki!B:B,0))</f>
        <v>#N/A</v>
      </c>
      <c r="N704" s="1" t="e">
        <f>IFERROR(M704,INDEX(Wiki!K:K,MATCH('BOM2017'!D704,Wiki!B:B,0)))</f>
        <v>#VALUE!</v>
      </c>
    </row>
    <row r="705" spans="2:14" x14ac:dyDescent="0.2">
      <c r="B705" s="6">
        <v>700</v>
      </c>
      <c r="C705" s="3" t="s">
        <v>2688</v>
      </c>
      <c r="D705" t="e">
        <f t="shared" si="10"/>
        <v>#VALUE!</v>
      </c>
      <c r="E705" s="3" t="s">
        <v>157</v>
      </c>
      <c r="F705" s="7" t="s">
        <v>2689</v>
      </c>
      <c r="G705" s="6">
        <v>1</v>
      </c>
      <c r="H705" s="6" t="s">
        <v>2354</v>
      </c>
      <c r="I705" s="6">
        <v>1</v>
      </c>
      <c r="J705" s="4">
        <v>43309</v>
      </c>
      <c r="K705" s="8">
        <v>43322</v>
      </c>
      <c r="L705" s="1" t="e">
        <f>IF(MATCH(C705,Wiki!B:B,0)&lt;&gt;0,TRUE,FALSE)</f>
        <v>#N/A</v>
      </c>
      <c r="M705" s="1" t="e">
        <f>INDEX(Wiki!K:K,MATCH('BOM2017'!C705,Wiki!B:B,0))</f>
        <v>#N/A</v>
      </c>
      <c r="N705" s="1" t="e">
        <f>IFERROR(M705,INDEX(Wiki!K:K,MATCH('BOM2017'!D705,Wiki!B:B,0)))</f>
        <v>#VALUE!</v>
      </c>
    </row>
    <row r="706" spans="2:14" x14ac:dyDescent="0.2">
      <c r="B706" s="6">
        <v>701</v>
      </c>
      <c r="C706" s="3" t="s">
        <v>2690</v>
      </c>
      <c r="D706" t="e">
        <f t="shared" si="10"/>
        <v>#VALUE!</v>
      </c>
      <c r="E706" s="3" t="s">
        <v>1142</v>
      </c>
      <c r="F706" s="7" t="s">
        <v>2691</v>
      </c>
      <c r="G706" s="6">
        <v>1</v>
      </c>
      <c r="H706" s="6" t="s">
        <v>2692</v>
      </c>
      <c r="I706" s="6">
        <v>1</v>
      </c>
      <c r="J706" s="4">
        <v>43300</v>
      </c>
      <c r="K706" s="8">
        <v>43315</v>
      </c>
      <c r="L706" s="1" t="e">
        <f>IF(MATCH(C706,Wiki!B:B,0)&lt;&gt;0,TRUE,FALSE)</f>
        <v>#N/A</v>
      </c>
      <c r="M706" s="1" t="e">
        <f>INDEX(Wiki!K:K,MATCH('BOM2017'!C706,Wiki!B:B,0))</f>
        <v>#N/A</v>
      </c>
      <c r="N706" s="1" t="e">
        <f>IFERROR(M706,INDEX(Wiki!K:K,MATCH('BOM2017'!D706,Wiki!B:B,0)))</f>
        <v>#VALUE!</v>
      </c>
    </row>
    <row r="707" spans="2:14" x14ac:dyDescent="0.2">
      <c r="B707" s="6">
        <v>702</v>
      </c>
      <c r="C707" s="3" t="s">
        <v>2693</v>
      </c>
      <c r="D707" t="str">
        <f t="shared" si="10"/>
        <v>Daughter of the Nile</v>
      </c>
      <c r="E707" s="3" t="s">
        <v>1175</v>
      </c>
      <c r="F707" s="7" t="s">
        <v>2694</v>
      </c>
      <c r="G707" s="6">
        <v>1</v>
      </c>
      <c r="H707" s="6" t="s">
        <v>1159</v>
      </c>
      <c r="I707" s="6" t="s">
        <v>1159</v>
      </c>
      <c r="J707" s="4">
        <v>43400</v>
      </c>
      <c r="K707" s="8">
        <v>43406</v>
      </c>
      <c r="L707" s="1" t="e">
        <f>IF(MATCH(C707,Wiki!B:B,0)&lt;&gt;0,TRUE,FALSE)</f>
        <v>#N/A</v>
      </c>
      <c r="M707" s="1" t="e">
        <f>INDEX(Wiki!K:K,MATCH('BOM2017'!C707,Wiki!B:B,0))</f>
        <v>#N/A</v>
      </c>
      <c r="N707" s="1" t="e">
        <f>IFERROR(M707,INDEX(Wiki!K:K,MATCH('BOM2017'!D707,Wiki!B:B,0)))</f>
        <v>#N/A</v>
      </c>
    </row>
    <row r="708" spans="2:14" x14ac:dyDescent="0.2">
      <c r="B708" s="6">
        <v>703</v>
      </c>
      <c r="C708" s="3" t="s">
        <v>2695</v>
      </c>
      <c r="D708" t="e">
        <f t="shared" si="10"/>
        <v>#VALUE!</v>
      </c>
      <c r="E708" s="3" t="s">
        <v>1095</v>
      </c>
      <c r="F708" s="7" t="s">
        <v>2696</v>
      </c>
      <c r="G708" s="6">
        <v>2</v>
      </c>
      <c r="H708" s="6" t="s">
        <v>2696</v>
      </c>
      <c r="I708" s="6">
        <v>2</v>
      </c>
      <c r="J708" s="4">
        <v>43225</v>
      </c>
      <c r="K708" s="8">
        <v>43227</v>
      </c>
      <c r="L708" s="1" t="e">
        <f>IF(MATCH(C708,Wiki!B:B,0)&lt;&gt;0,TRUE,FALSE)</f>
        <v>#N/A</v>
      </c>
      <c r="M708" s="1" t="e">
        <f>INDEX(Wiki!K:K,MATCH('BOM2017'!C708,Wiki!B:B,0))</f>
        <v>#N/A</v>
      </c>
      <c r="N708" s="1" t="e">
        <f>IFERROR(M708,INDEX(Wiki!K:K,MATCH('BOM2017'!D708,Wiki!B:B,0)))</f>
        <v>#VALUE!</v>
      </c>
    </row>
    <row r="709" spans="2:14" x14ac:dyDescent="0.2">
      <c r="B709" s="6">
        <v>704</v>
      </c>
      <c r="C709" s="3" t="s">
        <v>2697</v>
      </c>
      <c r="D709" t="e">
        <f t="shared" si="10"/>
        <v>#VALUE!</v>
      </c>
      <c r="E709" s="3" t="s">
        <v>1572</v>
      </c>
      <c r="F709" s="7" t="s">
        <v>2698</v>
      </c>
      <c r="G709" s="6">
        <v>3</v>
      </c>
      <c r="H709" s="6" t="s">
        <v>1159</v>
      </c>
      <c r="I709" s="6" t="s">
        <v>1159</v>
      </c>
      <c r="J709" s="4">
        <v>43162</v>
      </c>
      <c r="K709" s="8">
        <v>43210</v>
      </c>
      <c r="L709" s="1" t="e">
        <f>IF(MATCH(C709,Wiki!B:B,0)&lt;&gt;0,TRUE,FALSE)</f>
        <v>#N/A</v>
      </c>
      <c r="M709" s="1" t="e">
        <f>INDEX(Wiki!K:K,MATCH('BOM2017'!C709,Wiki!B:B,0))</f>
        <v>#N/A</v>
      </c>
      <c r="N709" s="1" t="e">
        <f>IFERROR(M709,INDEX(Wiki!K:K,MATCH('BOM2017'!D709,Wiki!B:B,0)))</f>
        <v>#VALUE!</v>
      </c>
    </row>
    <row r="710" spans="2:14" x14ac:dyDescent="0.2">
      <c r="B710" s="6">
        <v>705</v>
      </c>
      <c r="C710" s="3" t="s">
        <v>2699</v>
      </c>
      <c r="D710" t="e">
        <f t="shared" ref="D710:D729" si="11">IF(ISERROR(M710),TRIM(LEFT(C710,FIND("(",C710)-1)),"")</f>
        <v>#VALUE!</v>
      </c>
      <c r="E710" s="3" t="s">
        <v>2197</v>
      </c>
      <c r="F710" s="7" t="s">
        <v>2700</v>
      </c>
      <c r="G710" s="6">
        <v>2</v>
      </c>
      <c r="H710" s="6" t="s">
        <v>2701</v>
      </c>
      <c r="I710" s="6">
        <v>2</v>
      </c>
      <c r="J710" s="4">
        <v>43260</v>
      </c>
      <c r="K710" s="8">
        <v>43266</v>
      </c>
      <c r="L710" s="1" t="e">
        <f>IF(MATCH(C710,Wiki!B:B,0)&lt;&gt;0,TRUE,FALSE)</f>
        <v>#N/A</v>
      </c>
      <c r="M710" s="1" t="e">
        <f>INDEX(Wiki!K:K,MATCH('BOM2017'!C710,Wiki!B:B,0))</f>
        <v>#N/A</v>
      </c>
      <c r="N710" s="1" t="e">
        <f>IFERROR(M710,INDEX(Wiki!K:K,MATCH('BOM2017'!D710,Wiki!B:B,0)))</f>
        <v>#VALUE!</v>
      </c>
    </row>
    <row r="711" spans="2:14" x14ac:dyDescent="0.2">
      <c r="B711" s="6">
        <v>706</v>
      </c>
      <c r="C711" s="3" t="s">
        <v>2702</v>
      </c>
      <c r="D711" t="e">
        <f t="shared" si="11"/>
        <v>#VALUE!</v>
      </c>
      <c r="E711" s="3" t="s">
        <v>2148</v>
      </c>
      <c r="F711" s="7" t="s">
        <v>2703</v>
      </c>
      <c r="G711" s="6">
        <v>2</v>
      </c>
      <c r="H711" s="6" t="s">
        <v>2703</v>
      </c>
      <c r="I711" s="6">
        <v>2</v>
      </c>
      <c r="J711" s="4">
        <v>43447</v>
      </c>
      <c r="K711" s="6" t="s">
        <v>558</v>
      </c>
      <c r="L711" s="1" t="e">
        <f>IF(MATCH(C711,Wiki!B:B,0)&lt;&gt;0,TRUE,FALSE)</f>
        <v>#N/A</v>
      </c>
      <c r="M711" s="1" t="e">
        <f>INDEX(Wiki!K:K,MATCH('BOM2017'!C711,Wiki!B:B,0))</f>
        <v>#N/A</v>
      </c>
      <c r="N711" s="1" t="e">
        <f>IFERROR(M711,INDEX(Wiki!K:K,MATCH('BOM2017'!D711,Wiki!B:B,0)))</f>
        <v>#VALUE!</v>
      </c>
    </row>
    <row r="712" spans="2:14" x14ac:dyDescent="0.2">
      <c r="B712" s="6">
        <v>707</v>
      </c>
      <c r="C712" s="3" t="s">
        <v>2704</v>
      </c>
      <c r="D712" t="e">
        <f t="shared" si="11"/>
        <v>#VALUE!</v>
      </c>
      <c r="E712" s="3" t="s">
        <v>2705</v>
      </c>
      <c r="F712" s="7" t="s">
        <v>2706</v>
      </c>
      <c r="G712" s="6">
        <v>3</v>
      </c>
      <c r="H712" s="6" t="s">
        <v>2707</v>
      </c>
      <c r="I712" s="6">
        <v>1</v>
      </c>
      <c r="J712" s="4">
        <v>43337</v>
      </c>
      <c r="K712" s="8">
        <v>43392</v>
      </c>
      <c r="L712" s="1" t="e">
        <f>IF(MATCH(C712,Wiki!B:B,0)&lt;&gt;0,TRUE,FALSE)</f>
        <v>#N/A</v>
      </c>
      <c r="M712" s="1" t="e">
        <f>INDEX(Wiki!K:K,MATCH('BOM2017'!C712,Wiki!B:B,0))</f>
        <v>#N/A</v>
      </c>
      <c r="N712" s="1" t="e">
        <f>IFERROR(M712,INDEX(Wiki!K:K,MATCH('BOM2017'!D712,Wiki!B:B,0)))</f>
        <v>#VALUE!</v>
      </c>
    </row>
    <row r="713" spans="2:14" x14ac:dyDescent="0.2">
      <c r="B713" s="6">
        <v>708</v>
      </c>
      <c r="C713" s="3" t="s">
        <v>2708</v>
      </c>
      <c r="D713" t="e">
        <f t="shared" si="11"/>
        <v>#VALUE!</v>
      </c>
      <c r="E713" s="3" t="s">
        <v>1532</v>
      </c>
      <c r="F713" s="7" t="s">
        <v>2709</v>
      </c>
      <c r="G713" s="6">
        <v>1</v>
      </c>
      <c r="H713" s="6" t="s">
        <v>2710</v>
      </c>
      <c r="I713" s="6">
        <v>1</v>
      </c>
      <c r="J713" s="4">
        <v>43211</v>
      </c>
      <c r="K713" s="8">
        <v>43266</v>
      </c>
      <c r="L713" s="1" t="e">
        <f>IF(MATCH(C713,Wiki!B:B,0)&lt;&gt;0,TRUE,FALSE)</f>
        <v>#N/A</v>
      </c>
      <c r="M713" s="1" t="e">
        <f>INDEX(Wiki!K:K,MATCH('BOM2017'!C713,Wiki!B:B,0))</f>
        <v>#N/A</v>
      </c>
      <c r="N713" s="1" t="e">
        <f>IFERROR(M713,INDEX(Wiki!K:K,MATCH('BOM2017'!D713,Wiki!B:B,0)))</f>
        <v>#VALUE!</v>
      </c>
    </row>
    <row r="714" spans="2:14" x14ac:dyDescent="0.2">
      <c r="B714" s="6">
        <v>709</v>
      </c>
      <c r="C714" s="3" t="s">
        <v>2711</v>
      </c>
      <c r="D714" t="e">
        <f t="shared" si="11"/>
        <v>#VALUE!</v>
      </c>
      <c r="E714" s="3" t="s">
        <v>1977</v>
      </c>
      <c r="F714" s="7" t="s">
        <v>2712</v>
      </c>
      <c r="G714" s="6">
        <v>2</v>
      </c>
      <c r="H714" s="6" t="s">
        <v>2713</v>
      </c>
      <c r="I714" s="6">
        <v>1</v>
      </c>
      <c r="J714" s="4">
        <v>43288</v>
      </c>
      <c r="K714" s="6" t="s">
        <v>558</v>
      </c>
      <c r="L714" s="1" t="e">
        <f>IF(MATCH(C714,Wiki!B:B,0)&lt;&gt;0,TRUE,FALSE)</f>
        <v>#N/A</v>
      </c>
      <c r="M714" s="1" t="e">
        <f>INDEX(Wiki!K:K,MATCH('BOM2017'!C714,Wiki!B:B,0))</f>
        <v>#N/A</v>
      </c>
      <c r="N714" s="1" t="e">
        <f>IFERROR(M714,INDEX(Wiki!K:K,MATCH('BOM2017'!D714,Wiki!B:B,0)))</f>
        <v>#VALUE!</v>
      </c>
    </row>
    <row r="715" spans="2:14" x14ac:dyDescent="0.2">
      <c r="B715" s="6">
        <v>710</v>
      </c>
      <c r="C715" s="3" t="s">
        <v>2714</v>
      </c>
      <c r="D715" t="e">
        <f t="shared" si="11"/>
        <v>#VALUE!</v>
      </c>
      <c r="E715" s="3" t="s">
        <v>157</v>
      </c>
      <c r="F715" s="7" t="s">
        <v>2715</v>
      </c>
      <c r="G715" s="6">
        <v>3</v>
      </c>
      <c r="H715" s="6" t="s">
        <v>2716</v>
      </c>
      <c r="I715" s="6">
        <v>3</v>
      </c>
      <c r="J715" s="4">
        <v>43356</v>
      </c>
      <c r="K715" s="8">
        <v>43364</v>
      </c>
      <c r="L715" s="1" t="e">
        <f>IF(MATCH(C715,Wiki!B:B,0)&lt;&gt;0,TRUE,FALSE)</f>
        <v>#N/A</v>
      </c>
      <c r="M715" s="1" t="e">
        <f>INDEX(Wiki!K:K,MATCH('BOM2017'!C715,Wiki!B:B,0))</f>
        <v>#N/A</v>
      </c>
      <c r="N715" s="1" t="e">
        <f>IFERROR(M715,INDEX(Wiki!K:K,MATCH('BOM2017'!D715,Wiki!B:B,0)))</f>
        <v>#VALUE!</v>
      </c>
    </row>
    <row r="716" spans="2:14" x14ac:dyDescent="0.2">
      <c r="B716" s="6">
        <v>711</v>
      </c>
      <c r="C716" s="3" t="s">
        <v>2717</v>
      </c>
      <c r="D716" t="e">
        <f t="shared" si="11"/>
        <v>#VALUE!</v>
      </c>
      <c r="E716" s="3" t="s">
        <v>1649</v>
      </c>
      <c r="F716" s="7" t="s">
        <v>2718</v>
      </c>
      <c r="G716" s="6">
        <v>4</v>
      </c>
      <c r="H716" s="6" t="s">
        <v>2719</v>
      </c>
      <c r="I716" s="6">
        <v>1</v>
      </c>
      <c r="J716" s="4">
        <v>43316</v>
      </c>
      <c r="K716" s="8">
        <v>43343</v>
      </c>
      <c r="L716" s="1" t="e">
        <f>IF(MATCH(C716,Wiki!B:B,0)&lt;&gt;0,TRUE,FALSE)</f>
        <v>#N/A</v>
      </c>
      <c r="M716" s="1" t="e">
        <f>INDEX(Wiki!K:K,MATCH('BOM2017'!C716,Wiki!B:B,0))</f>
        <v>#N/A</v>
      </c>
      <c r="N716" s="1" t="e">
        <f>IFERROR(M716,INDEX(Wiki!K:K,MATCH('BOM2017'!D716,Wiki!B:B,0)))</f>
        <v>#VALUE!</v>
      </c>
    </row>
    <row r="717" spans="2:14" x14ac:dyDescent="0.2">
      <c r="B717" s="6">
        <v>712</v>
      </c>
      <c r="C717" s="3" t="s">
        <v>2720</v>
      </c>
      <c r="D717" t="e">
        <f t="shared" si="11"/>
        <v>#VALUE!</v>
      </c>
      <c r="E717" s="3" t="s">
        <v>1880</v>
      </c>
      <c r="F717" s="7" t="s">
        <v>2721</v>
      </c>
      <c r="G717" s="6">
        <v>1</v>
      </c>
      <c r="H717" s="6" t="s">
        <v>2722</v>
      </c>
      <c r="I717" s="6">
        <v>1</v>
      </c>
      <c r="J717" s="4">
        <v>43106</v>
      </c>
      <c r="K717" s="8">
        <v>43112</v>
      </c>
      <c r="L717" s="1" t="e">
        <f>IF(MATCH(C717,Wiki!B:B,0)&lt;&gt;0,TRUE,FALSE)</f>
        <v>#N/A</v>
      </c>
      <c r="M717" s="1" t="e">
        <f>INDEX(Wiki!K:K,MATCH('BOM2017'!C717,Wiki!B:B,0))</f>
        <v>#N/A</v>
      </c>
      <c r="N717" s="1" t="e">
        <f>IFERROR(M717,INDEX(Wiki!K:K,MATCH('BOM2017'!D717,Wiki!B:B,0)))</f>
        <v>#VALUE!</v>
      </c>
    </row>
    <row r="718" spans="2:14" x14ac:dyDescent="0.2">
      <c r="B718" s="6">
        <v>713</v>
      </c>
      <c r="C718" s="3" t="s">
        <v>41</v>
      </c>
      <c r="D718" t="str">
        <f t="shared" si="11"/>
        <v/>
      </c>
      <c r="E718" s="3" t="s">
        <v>1039</v>
      </c>
      <c r="F718" s="7" t="s">
        <v>2723</v>
      </c>
      <c r="G718" s="6">
        <v>5</v>
      </c>
      <c r="H718" s="6" t="s">
        <v>2724</v>
      </c>
      <c r="I718" s="6">
        <v>5</v>
      </c>
      <c r="J718" s="4">
        <v>43120</v>
      </c>
      <c r="K718" s="8">
        <v>43126</v>
      </c>
      <c r="L718" s="1" t="b">
        <f>IF(MATCH(C718,Wiki!B:B,0)&lt;&gt;0,TRUE,FALSE)</f>
        <v>1</v>
      </c>
      <c r="M718" s="1" t="str">
        <f>INDEX(Wiki!K:K,MATCH('BOM2017'!C718,Wiki!B:B,0))</f>
        <v>Detour_(2016_film)</v>
      </c>
      <c r="N718" s="1" t="str">
        <f>IFERROR(M718,INDEX(Wiki!K:K,MATCH('BOM2017'!D718,Wiki!B:B,0)))</f>
        <v>Detour_(2016_film)</v>
      </c>
    </row>
    <row r="719" spans="2:14" x14ac:dyDescent="0.2">
      <c r="B719" s="6">
        <v>714</v>
      </c>
      <c r="C719" s="3" t="s">
        <v>2725</v>
      </c>
      <c r="D719" t="e">
        <f t="shared" si="11"/>
        <v>#VALUE!</v>
      </c>
      <c r="E719" s="3" t="s">
        <v>1544</v>
      </c>
      <c r="F719" s="7" t="s">
        <v>2726</v>
      </c>
      <c r="G719" s="6">
        <v>12</v>
      </c>
      <c r="H719" s="6" t="s">
        <v>1159</v>
      </c>
      <c r="I719" s="6" t="s">
        <v>1159</v>
      </c>
      <c r="J719" s="4">
        <v>43421</v>
      </c>
      <c r="K719" s="8">
        <v>43427</v>
      </c>
      <c r="L719" s="1" t="e">
        <f>IF(MATCH(C719,Wiki!B:B,0)&lt;&gt;0,TRUE,FALSE)</f>
        <v>#N/A</v>
      </c>
      <c r="M719" s="1" t="e">
        <f>INDEX(Wiki!K:K,MATCH('BOM2017'!C719,Wiki!B:B,0))</f>
        <v>#N/A</v>
      </c>
      <c r="N719" s="1" t="e">
        <f>IFERROR(M719,INDEX(Wiki!K:K,MATCH('BOM2017'!D719,Wiki!B:B,0)))</f>
        <v>#VALUE!</v>
      </c>
    </row>
    <row r="720" spans="2:14" x14ac:dyDescent="0.2">
      <c r="B720" s="6">
        <v>715</v>
      </c>
      <c r="C720" s="3" t="s">
        <v>215</v>
      </c>
      <c r="D720" t="str">
        <f t="shared" si="11"/>
        <v/>
      </c>
      <c r="E720" s="3" t="s">
        <v>2669</v>
      </c>
      <c r="F720" s="7" t="s">
        <v>2727</v>
      </c>
      <c r="G720" s="6">
        <v>11</v>
      </c>
      <c r="H720" s="6" t="s">
        <v>2728</v>
      </c>
      <c r="I720" s="6">
        <v>11</v>
      </c>
      <c r="J720" s="4">
        <v>43204</v>
      </c>
      <c r="K720" s="8">
        <v>43210</v>
      </c>
      <c r="L720" s="1" t="b">
        <f>IF(MATCH(C720,Wiki!B:B,0)&lt;&gt;0,TRUE,FALSE)</f>
        <v>1</v>
      </c>
      <c r="M720" s="1" t="str">
        <f>INDEX(Wiki!K:K,MATCH('BOM2017'!C720,Wiki!B:B,0))</f>
        <v>The_Outcasts_(2017_film)</v>
      </c>
      <c r="N720" s="1" t="str">
        <f>IFERROR(M720,INDEX(Wiki!K:K,MATCH('BOM2017'!D720,Wiki!B:B,0)))</f>
        <v>The_Outcasts_(2017_film)</v>
      </c>
    </row>
    <row r="721" spans="2:14" x14ac:dyDescent="0.2">
      <c r="B721" s="6">
        <v>716</v>
      </c>
      <c r="C721" s="3" t="s">
        <v>2729</v>
      </c>
      <c r="D721" t="str">
        <f t="shared" si="11"/>
        <v>Forest for the Trees</v>
      </c>
      <c r="E721" s="3" t="s">
        <v>1572</v>
      </c>
      <c r="F721" s="7" t="s">
        <v>2730</v>
      </c>
      <c r="G721" s="6">
        <v>1</v>
      </c>
      <c r="H721" s="6" t="s">
        <v>1159</v>
      </c>
      <c r="I721" s="6" t="s">
        <v>1159</v>
      </c>
      <c r="J721" s="4">
        <v>43118</v>
      </c>
      <c r="K721" s="8">
        <v>43168</v>
      </c>
      <c r="L721" s="1" t="e">
        <f>IF(MATCH(C721,Wiki!B:B,0)&lt;&gt;0,TRUE,FALSE)</f>
        <v>#N/A</v>
      </c>
      <c r="M721" s="1" t="e">
        <f>INDEX(Wiki!K:K,MATCH('BOM2017'!C721,Wiki!B:B,0))</f>
        <v>#N/A</v>
      </c>
      <c r="N721" s="1" t="e">
        <f>IFERROR(M721,INDEX(Wiki!K:K,MATCH('BOM2017'!D721,Wiki!B:B,0)))</f>
        <v>#N/A</v>
      </c>
    </row>
    <row r="722" spans="2:14" x14ac:dyDescent="0.2">
      <c r="B722" s="6">
        <v>717</v>
      </c>
      <c r="C722" s="3" t="s">
        <v>2731</v>
      </c>
      <c r="D722" t="e">
        <f t="shared" si="11"/>
        <v>#VALUE!</v>
      </c>
      <c r="E722" s="3" t="s">
        <v>157</v>
      </c>
      <c r="F722" s="7" t="s">
        <v>2732</v>
      </c>
      <c r="G722" s="6">
        <v>2</v>
      </c>
      <c r="H722" s="6" t="s">
        <v>2733</v>
      </c>
      <c r="I722" s="6">
        <v>2</v>
      </c>
      <c r="J722" s="4">
        <v>43316</v>
      </c>
      <c r="K722" s="8">
        <v>43322</v>
      </c>
      <c r="L722" s="1" t="e">
        <f>IF(MATCH(C722,Wiki!B:B,0)&lt;&gt;0,TRUE,FALSE)</f>
        <v>#N/A</v>
      </c>
      <c r="M722" s="1" t="e">
        <f>INDEX(Wiki!K:K,MATCH('BOM2017'!C722,Wiki!B:B,0))</f>
        <v>#N/A</v>
      </c>
      <c r="N722" s="1" t="e">
        <f>IFERROR(M722,INDEX(Wiki!K:K,MATCH('BOM2017'!D722,Wiki!B:B,0)))</f>
        <v>#VALUE!</v>
      </c>
    </row>
    <row r="723" spans="2:14" x14ac:dyDescent="0.2">
      <c r="B723" s="6">
        <v>718</v>
      </c>
      <c r="C723" s="3" t="s">
        <v>2734</v>
      </c>
      <c r="D723" t="e">
        <f t="shared" si="11"/>
        <v>#VALUE!</v>
      </c>
      <c r="E723" s="3" t="s">
        <v>1880</v>
      </c>
      <c r="F723" s="7" t="s">
        <v>2735</v>
      </c>
      <c r="G723" s="6">
        <v>1</v>
      </c>
      <c r="H723" s="6" t="s">
        <v>2736</v>
      </c>
      <c r="I723" s="6" t="s">
        <v>1159</v>
      </c>
      <c r="J723" s="4">
        <v>43106</v>
      </c>
      <c r="K723" s="8">
        <v>43112</v>
      </c>
      <c r="L723" s="1" t="e">
        <f>IF(MATCH(C723,Wiki!B:B,0)&lt;&gt;0,TRUE,FALSE)</f>
        <v>#N/A</v>
      </c>
      <c r="M723" s="1" t="e">
        <f>INDEX(Wiki!K:K,MATCH('BOM2017'!C723,Wiki!B:B,0))</f>
        <v>#N/A</v>
      </c>
      <c r="N723" s="1" t="e">
        <f>IFERROR(M723,INDEX(Wiki!K:K,MATCH('BOM2017'!D723,Wiki!B:B,0)))</f>
        <v>#VALUE!</v>
      </c>
    </row>
    <row r="724" spans="2:14" x14ac:dyDescent="0.2">
      <c r="B724" s="6">
        <v>719</v>
      </c>
      <c r="C724" s="3" t="s">
        <v>2737</v>
      </c>
      <c r="D724" t="e">
        <f t="shared" si="11"/>
        <v>#VALUE!</v>
      </c>
      <c r="E724" s="3" t="s">
        <v>1880</v>
      </c>
      <c r="F724" s="7" t="s">
        <v>2738</v>
      </c>
      <c r="G724" s="6">
        <v>1</v>
      </c>
      <c r="H724" s="6" t="s">
        <v>2738</v>
      </c>
      <c r="I724" s="6">
        <v>1</v>
      </c>
      <c r="J724" s="4">
        <v>43211</v>
      </c>
      <c r="K724" s="8">
        <v>43213</v>
      </c>
      <c r="L724" s="1" t="e">
        <f>IF(MATCH(C724,Wiki!B:B,0)&lt;&gt;0,TRUE,FALSE)</f>
        <v>#N/A</v>
      </c>
      <c r="M724" s="1" t="e">
        <f>INDEX(Wiki!K:K,MATCH('BOM2017'!C724,Wiki!B:B,0))</f>
        <v>#N/A</v>
      </c>
      <c r="N724" s="1" t="e">
        <f>IFERROR(M724,INDEX(Wiki!K:K,MATCH('BOM2017'!D724,Wiki!B:B,0)))</f>
        <v>#VALUE!</v>
      </c>
    </row>
    <row r="725" spans="2:14" x14ac:dyDescent="0.2">
      <c r="B725" s="6">
        <v>720</v>
      </c>
      <c r="C725" s="3" t="s">
        <v>2739</v>
      </c>
      <c r="D725" t="e">
        <f t="shared" si="11"/>
        <v>#VALUE!</v>
      </c>
      <c r="E725" s="3" t="s">
        <v>1880</v>
      </c>
      <c r="F725" s="7" t="s">
        <v>2740</v>
      </c>
      <c r="G725" s="6">
        <v>1</v>
      </c>
      <c r="H725" s="6" t="s">
        <v>2741</v>
      </c>
      <c r="I725" s="6">
        <v>1</v>
      </c>
      <c r="J725" s="4">
        <v>43358</v>
      </c>
      <c r="K725" s="8">
        <v>43364</v>
      </c>
      <c r="L725" s="1" t="e">
        <f>IF(MATCH(C725,Wiki!B:B,0)&lt;&gt;0,TRUE,FALSE)</f>
        <v>#N/A</v>
      </c>
      <c r="M725" s="1" t="e">
        <f>INDEX(Wiki!K:K,MATCH('BOM2017'!C725,Wiki!B:B,0))</f>
        <v>#N/A</v>
      </c>
      <c r="N725" s="1" t="e">
        <f>IFERROR(M725,INDEX(Wiki!K:K,MATCH('BOM2017'!D725,Wiki!B:B,0)))</f>
        <v>#VALUE!</v>
      </c>
    </row>
    <row r="726" spans="2:14" x14ac:dyDescent="0.2">
      <c r="B726" s="6">
        <v>721</v>
      </c>
      <c r="C726" s="3" t="s">
        <v>489</v>
      </c>
      <c r="D726" t="str">
        <f t="shared" si="11"/>
        <v/>
      </c>
      <c r="E726" s="3" t="s">
        <v>2742</v>
      </c>
      <c r="F726" s="7" t="s">
        <v>2743</v>
      </c>
      <c r="G726" s="6">
        <v>10</v>
      </c>
      <c r="H726" s="6" t="s">
        <v>2743</v>
      </c>
      <c r="I726" s="6">
        <v>10</v>
      </c>
      <c r="J726" s="4">
        <v>43401</v>
      </c>
      <c r="K726" s="8">
        <v>43401</v>
      </c>
      <c r="L726" s="1" t="b">
        <f>IF(MATCH(C726,Wiki!B:B,0)&lt;&gt;0,TRUE,FALSE)</f>
        <v>1</v>
      </c>
      <c r="M726" s="1" t="str">
        <f>INDEX(Wiki!K:K,MATCH('BOM2017'!C726,Wiki!B:B,0))</f>
        <v>Amityville:_The_Awakening</v>
      </c>
      <c r="N726" s="1" t="str">
        <f>IFERROR(M726,INDEX(Wiki!K:K,MATCH('BOM2017'!D726,Wiki!B:B,0)))</f>
        <v>Amityville:_The_Awakening</v>
      </c>
    </row>
    <row r="727" spans="2:14" x14ac:dyDescent="0.2">
      <c r="B727" s="6">
        <v>722</v>
      </c>
      <c r="C727" s="3" t="s">
        <v>2744</v>
      </c>
      <c r="D727" t="e">
        <f t="shared" si="11"/>
        <v>#VALUE!</v>
      </c>
      <c r="E727" s="3" t="s">
        <v>1338</v>
      </c>
      <c r="F727" s="7" t="s">
        <v>2745</v>
      </c>
      <c r="G727" s="6">
        <v>1</v>
      </c>
      <c r="H727" s="6" t="s">
        <v>1159</v>
      </c>
      <c r="I727" s="6" t="s">
        <v>1159</v>
      </c>
      <c r="J727" s="4">
        <v>43174</v>
      </c>
      <c r="K727" s="8">
        <v>43175</v>
      </c>
      <c r="L727" s="1" t="e">
        <f>IF(MATCH(C727,Wiki!B:B,0)&lt;&gt;0,TRUE,FALSE)</f>
        <v>#N/A</v>
      </c>
      <c r="M727" s="1" t="e">
        <f>INDEX(Wiki!K:K,MATCH('BOM2017'!C727,Wiki!B:B,0))</f>
        <v>#N/A</v>
      </c>
      <c r="N727" s="1" t="e">
        <f>IFERROR(M727,INDEX(Wiki!K:K,MATCH('BOM2017'!D727,Wiki!B:B,0)))</f>
        <v>#VALUE!</v>
      </c>
    </row>
    <row r="728" spans="2:14" x14ac:dyDescent="0.2">
      <c r="B728" s="6">
        <v>723</v>
      </c>
      <c r="C728" s="3" t="s">
        <v>2746</v>
      </c>
      <c r="D728" t="e">
        <f t="shared" si="11"/>
        <v>#VALUE!</v>
      </c>
      <c r="E728" s="3" t="s">
        <v>1918</v>
      </c>
      <c r="F728" s="7" t="s">
        <v>2658</v>
      </c>
      <c r="G728" s="6">
        <v>1</v>
      </c>
      <c r="H728" s="6" t="s">
        <v>1159</v>
      </c>
      <c r="I728" s="6" t="s">
        <v>1159</v>
      </c>
      <c r="J728" s="4">
        <v>43204</v>
      </c>
      <c r="K728" s="8">
        <v>43224</v>
      </c>
      <c r="L728" s="1" t="e">
        <f>IF(MATCH(C728,Wiki!B:B,0)&lt;&gt;0,TRUE,FALSE)</f>
        <v>#N/A</v>
      </c>
      <c r="M728" s="1" t="e">
        <f>INDEX(Wiki!K:K,MATCH('BOM2017'!C728,Wiki!B:B,0))</f>
        <v>#N/A</v>
      </c>
      <c r="N728" s="1" t="e">
        <f>IFERROR(M728,INDEX(Wiki!K:K,MATCH('BOM2017'!D728,Wiki!B:B,0)))</f>
        <v>#VALUE!</v>
      </c>
    </row>
    <row r="729" spans="2:14" x14ac:dyDescent="0.2">
      <c r="B729" s="6">
        <v>724</v>
      </c>
      <c r="C729" s="5">
        <v>9.8611111111111108E-2</v>
      </c>
      <c r="D729" t="str">
        <f t="shared" si="11"/>
        <v/>
      </c>
      <c r="E729" s="3" t="s">
        <v>1039</v>
      </c>
      <c r="F729" s="7" t="s">
        <v>2747</v>
      </c>
      <c r="G729" s="6">
        <v>3</v>
      </c>
      <c r="H729" s="6" t="s">
        <v>2748</v>
      </c>
      <c r="I729" s="6">
        <v>3</v>
      </c>
      <c r="J729" s="4">
        <v>43281</v>
      </c>
      <c r="K729" s="8">
        <v>43287</v>
      </c>
      <c r="L729" s="1" t="b">
        <f>IF(MATCH(C729,Wiki!B:B,0)&lt;&gt;0,TRUE,FALSE)</f>
        <v>1</v>
      </c>
      <c r="M729" s="1" t="str">
        <f>INDEX(Wiki!K:K,MATCH('BOM2017'!C729,Wiki!B:B,0))</f>
        <v>2:22_(2017_film)</v>
      </c>
      <c r="N729" s="1" t="str">
        <f>IFERROR(M729,INDEX(Wiki!K:K,MATCH('BOM2017'!D729,Wiki!B:B,0)))</f>
        <v>2:22_(2017_film)</v>
      </c>
    </row>
  </sheetData>
  <autoFilter ref="B5:N729"/>
  <hyperlinks>
    <hyperlink ref="C6" r:id="rId1" display="http://www.boxofficemojo.com/movies/?id=starwars8.htm"/>
    <hyperlink ref="E6" r:id="rId2" display="http://www.boxofficemojo.com/studio/chart/?studio=buenavista.htm"/>
    <hyperlink ref="J6" r:id="rId3" display="http://www.boxofficemojo.com/schedule/?view=bydate&amp;release=theatrical&amp;date=2017-12-15&amp;p=.htm"/>
    <hyperlink ref="C7" r:id="rId4" display="http://www.boxofficemojo.com/movies/?id=beautyandthebeast2017.htm"/>
    <hyperlink ref="E7" r:id="rId5" display="http://www.boxofficemojo.com/studio/chart/?studio=buenavista.htm"/>
    <hyperlink ref="J7" r:id="rId6" display="http://www.boxofficemojo.com/schedule/?view=bydate&amp;release=theatrical&amp;date=2017-03-17&amp;p=.htm"/>
    <hyperlink ref="C8" r:id="rId7" display="http://www.boxofficemojo.com/movies/?id=wonderwoman.htm"/>
    <hyperlink ref="E8" r:id="rId8" display="http://www.boxofficemojo.com/studio/chart/?studio=warnerbros.htm"/>
    <hyperlink ref="J8" r:id="rId9" display="http://www.boxofficemojo.com/schedule/?view=bydate&amp;release=theatrical&amp;date=2017-06-02&amp;p=.htm"/>
    <hyperlink ref="C9" r:id="rId10" display="http://www.boxofficemojo.com/movies/?id=marvel17a.htm"/>
    <hyperlink ref="E9" r:id="rId11" display="http://www.boxofficemojo.com/studio/chart/?studio=buenavista.htm"/>
    <hyperlink ref="J9" r:id="rId12" display="http://www.boxofficemojo.com/schedule/?view=bydate&amp;release=theatrical&amp;date=2017-05-05&amp;p=.htm"/>
    <hyperlink ref="C10" r:id="rId13" display="http://www.boxofficemojo.com/movies/?id=spiderman2017.htm"/>
    <hyperlink ref="E10" r:id="rId14" display="http://www.boxofficemojo.com/studio/chart/?studio=sony.htm"/>
    <hyperlink ref="J10" r:id="rId15" display="http://www.boxofficemojo.com/schedule/?view=bydate&amp;release=theatrical&amp;date=2017-07-07&amp;p=.htm"/>
    <hyperlink ref="C11" r:id="rId16" display="http://www.boxofficemojo.com/movies/?id=it.htm"/>
    <hyperlink ref="E11" r:id="rId17" display="http://www.boxofficemojo.com/studio/chart/?studio=wb-newline.htm"/>
    <hyperlink ref="J11" r:id="rId18" display="http://www.boxofficemojo.com/schedule/?view=bydate&amp;release=theatrical&amp;date=2017-09-08&amp;p=.htm"/>
    <hyperlink ref="C12" r:id="rId19" display="http://www.boxofficemojo.com/movies/?id=jumanji2016.htm"/>
    <hyperlink ref="E12" r:id="rId20" display="http://www.boxofficemojo.com/studio/chart/?studio=sony.htm"/>
    <hyperlink ref="J12" r:id="rId21" display="http://www.boxofficemojo.com/schedule/?view=bydate&amp;release=theatrical&amp;date=2017-12-20&amp;p=.htm"/>
    <hyperlink ref="C13" r:id="rId22" display="http://www.boxofficemojo.com/movies/?id=marvel2017.htm"/>
    <hyperlink ref="E13" r:id="rId23" display="http://www.boxofficemojo.com/studio/chart/?studio=buenavista.htm"/>
    <hyperlink ref="J13" r:id="rId24" display="http://www.boxofficemojo.com/schedule/?view=bydate&amp;release=theatrical&amp;date=2017-11-03&amp;p=.htm"/>
    <hyperlink ref="C14" r:id="rId25" display="http://www.boxofficemojo.com/movies/?id=despicableme3.htm"/>
    <hyperlink ref="E14" r:id="rId26" display="http://www.boxofficemojo.com/studio/chart/?studio=universal.htm"/>
    <hyperlink ref="J14" r:id="rId27" display="http://www.boxofficemojo.com/schedule/?view=bydate&amp;release=theatrical&amp;date=2017-06-30&amp;p=.htm"/>
    <hyperlink ref="C15" r:id="rId28" display="http://www.boxofficemojo.com/movies/?id=dcfilm1117.htm"/>
    <hyperlink ref="E15" r:id="rId29" display="http://www.boxofficemojo.com/studio/chart/?studio=warnerbros.htm"/>
    <hyperlink ref="J15" r:id="rId30" display="http://www.boxofficemojo.com/schedule/?view=bydate&amp;release=theatrical&amp;date=2017-11-17&amp;p=.htm"/>
    <hyperlink ref="C16" r:id="rId31" display="http://www.boxofficemojo.com/movies/?id=wolverine2017.htm"/>
    <hyperlink ref="E16" r:id="rId32" display="http://www.boxofficemojo.com/studio/chart/?studio=fox.htm"/>
    <hyperlink ref="J16" r:id="rId33" display="http://www.boxofficemojo.com/schedule/?view=bydate&amp;release=theatrical&amp;date=2017-03-03&amp;p=.htm"/>
    <hyperlink ref="C17" r:id="rId34" display="http://www.boxofficemojo.com/movies/?id=furious8.htm"/>
    <hyperlink ref="E17" r:id="rId35" display="http://www.boxofficemojo.com/studio/chart/?studio=universal.htm"/>
    <hyperlink ref="J17" r:id="rId36" display="http://www.boxofficemojo.com/schedule/?view=bydate&amp;release=theatrical&amp;date=2017-04-14&amp;p=.htm"/>
    <hyperlink ref="C18" r:id="rId37" display="http://www.boxofficemojo.com/movies/?id=pixar1117.htm"/>
    <hyperlink ref="E18" r:id="rId38" display="http://www.boxofficemojo.com/studio/chart/?studio=buenavista.htm"/>
    <hyperlink ref="J18" r:id="rId39" display="http://www.boxofficemojo.com/schedule/?view=bydate&amp;release=theatrical&amp;date=2017-11-22&amp;p=.htm"/>
    <hyperlink ref="C19" r:id="rId40" display="http://www.boxofficemojo.com/movies/?id=chrisnolan2017.htm"/>
    <hyperlink ref="E19" r:id="rId41" display="http://www.boxofficemojo.com/studio/chart/?studio=warnerbros.htm"/>
    <hyperlink ref="J19" r:id="rId42" display="http://www.boxofficemojo.com/schedule/?view=bydate&amp;release=theatrical&amp;date=2017-07-21&amp;p=.htm"/>
    <hyperlink ref="C20" r:id="rId43" display="http://www.boxofficemojo.com/movies/?id=lego2.htm"/>
    <hyperlink ref="E20" r:id="rId44" display="http://www.boxofficemojo.com/studio/chart/?studio=warnerbros.htm"/>
    <hyperlink ref="J20" r:id="rId45" display="http://www.boxofficemojo.com/schedule/?view=bydate&amp;release=theatrical&amp;date=2017-02-10&amp;p=.htm"/>
    <hyperlink ref="C21" r:id="rId46" display="http://www.boxofficemojo.com/movies/?id=blumhouse2.htm"/>
    <hyperlink ref="E21" r:id="rId47" display="http://www.boxofficemojo.com/studio/chart/?studio=universal.htm"/>
    <hyperlink ref="J21" r:id="rId48" display="http://www.boxofficemojo.com/schedule/?view=bydate&amp;release=theatrical&amp;date=2017-02-24&amp;p=.htm"/>
    <hyperlink ref="C22" r:id="rId49" display="http://www.boxofficemojo.com/movies/?id=bossbaby.htm"/>
    <hyperlink ref="E22" r:id="rId50" display="http://www.boxofficemojo.com/studio/chart/?studio=fox.htm"/>
    <hyperlink ref="J22" r:id="rId51" display="http://www.boxofficemojo.com/schedule/?view=bydate&amp;release=theatrical&amp;date=2017-03-31&amp;p=.htm"/>
    <hyperlink ref="C23" r:id="rId52" display="http://www.boxofficemojo.com/movies/?id=potc5.htm"/>
    <hyperlink ref="E23" r:id="rId53" display="http://www.boxofficemojo.com/studio/chart/?studio=buenavista.htm"/>
    <hyperlink ref="J23" r:id="rId54" display="http://www.boxofficemojo.com/schedule/?view=bydate&amp;release=theatrical&amp;date=2017-05-26&amp;p=.htm"/>
    <hyperlink ref="C24" r:id="rId55" display="http://www.boxofficemojo.com/movies/?id=legendary2016.htm"/>
    <hyperlink ref="E24" r:id="rId56" display="http://www.boxofficemojo.com/studio/chart/?studio=warnerbros.htm"/>
    <hyperlink ref="J24" r:id="rId57" display="http://www.boxofficemojo.com/schedule/?view=bydate&amp;release=theatrical&amp;date=2017-03-10&amp;p=.htm"/>
    <hyperlink ref="C25" r:id="rId58" display="http://www.boxofficemojo.com/movies/?id=cars3.htm"/>
    <hyperlink ref="E25" r:id="rId59" display="http://www.boxofficemojo.com/studio/chart/?studio=buenavista.htm"/>
    <hyperlink ref="J25" r:id="rId60" display="http://www.boxofficemojo.com/schedule/?view=bydate&amp;release=theatrical&amp;date=2017-06-16&amp;p=.htm"/>
    <hyperlink ref="C26" r:id="rId61" display="http://www.boxofficemojo.com/movies/?id=planetoftheapes16.htm"/>
    <hyperlink ref="E26" r:id="rId62" display="http://www.boxofficemojo.com/studio/chart/?studio=fox.htm"/>
    <hyperlink ref="J26" r:id="rId63" display="http://www.boxofficemojo.com/schedule/?view=bydate&amp;release=theatrical&amp;date=2017-07-14&amp;p=.htm"/>
    <hyperlink ref="C27" r:id="rId64" display="http://www.boxofficemojo.com/movies/?id=split2017.htm"/>
    <hyperlink ref="E27" r:id="rId65" display="http://www.boxofficemojo.com/studio/chart/?studio=universal.htm"/>
    <hyperlink ref="J27" r:id="rId66" display="http://www.boxofficemojo.com/schedule/?view=bydate&amp;release=theatrical&amp;date=2017-01-20&amp;p=.htm"/>
    <hyperlink ref="C28" r:id="rId67" display="http://www.boxofficemojo.com/movies/?id=transformers5.htm"/>
    <hyperlink ref="E28" r:id="rId68" display="http://www.boxofficemojo.com/studio/chart/?studio=paramount.htm"/>
    <hyperlink ref="J28" r:id="rId69" display="http://www.boxofficemojo.com/schedule/?view=bydate&amp;release=theatrical&amp;date=2017-06-21&amp;p=.htm"/>
    <hyperlink ref="C29" r:id="rId70" display="http://www.boxofficemojo.com/movies/?id=wonder.htm"/>
    <hyperlink ref="E29" r:id="rId71" display="http://www.boxofficemojo.com/studio/chart/?studio=lionsgate.htm"/>
    <hyperlink ref="J29" r:id="rId72" display="http://www.boxofficemojo.com/schedule/?view=bydate&amp;release=theatrical&amp;date=2017-11-17&amp;p=.htm"/>
    <hyperlink ref="C30" r:id="rId73" display="http://www.boxofficemojo.com/movies/?id=girltrip.htm"/>
    <hyperlink ref="E30" r:id="rId74" display="http://www.boxofficemojo.com/studio/chart/?studio=universal.htm"/>
    <hyperlink ref="J30" r:id="rId75" display="http://www.boxofficemojo.com/schedule/?view=bydate&amp;release=theatrical&amp;date=2017-07-21&amp;p=.htm"/>
    <hyperlink ref="C31" r:id="rId76" display="http://www.boxofficemojo.com/movies/?id=fiftyshadesdarker.htm"/>
    <hyperlink ref="E31" r:id="rId77" display="http://www.boxofficemojo.com/studio/chart/?studio=universal.htm"/>
    <hyperlink ref="J31" r:id="rId78" display="http://www.boxofficemojo.com/schedule/?view=bydate&amp;release=theatrical&amp;date=2017-02-10&amp;p=.htm"/>
    <hyperlink ref="C32" r:id="rId79" display="http://www.boxofficemojo.com/movies/?id=greatestshowman.htm"/>
    <hyperlink ref="E32" r:id="rId80" display="http://www.boxofficemojo.com/studio/chart/?studio=fox.htm"/>
    <hyperlink ref="J32" r:id="rId81" display="http://www.boxofficemojo.com/schedule/?view=bydate&amp;release=theatrical&amp;date=2017-12-20&amp;p=.htm"/>
    <hyperlink ref="C33" r:id="rId82" display="http://www.boxofficemojo.com/movies/?id=babydriver.htm"/>
    <hyperlink ref="E33" r:id="rId83" display="http://www.boxofficemojo.com/studio/chart/?studio=tristar.htm"/>
    <hyperlink ref="J33" r:id="rId84" display="http://www.boxofficemojo.com/schedule/?view=bydate&amp;release=theatrical&amp;date=2017-06-28&amp;p=.htm"/>
    <hyperlink ref="C34" r:id="rId85" display="http://www.boxofficemojo.com/movies/?id=daddyshome2.htm"/>
    <hyperlink ref="E34" r:id="rId86" display="http://www.boxofficemojo.com/studio/chart/?studio=paramount.htm"/>
    <hyperlink ref="J34" r:id="rId87" display="http://www.boxofficemojo.com/schedule/?view=bydate&amp;release=theatrical&amp;date=2017-11-10&amp;p=.htm"/>
    <hyperlink ref="C35" r:id="rId88" display="http://www.boxofficemojo.com/movies/?id=murderorientexpress17.htm"/>
    <hyperlink ref="E35" r:id="rId89" display="http://www.boxofficemojo.com/studio/chart/?studio=fox.htm"/>
    <hyperlink ref="J35" r:id="rId90" display="http://www.boxofficemojo.com/schedule/?view=bydate&amp;release=theatrical&amp;date=2017-11-10&amp;p=.htm"/>
    <hyperlink ref="C36" r:id="rId91" display="http://www.boxofficemojo.com/movies/?id=annabelle2.htm"/>
    <hyperlink ref="E36" r:id="rId92" display="http://www.boxofficemojo.com/studio/chart/?studio=wb-newline.htm"/>
    <hyperlink ref="J36" r:id="rId93" display="http://www.boxofficemojo.com/schedule/?view=bydate&amp;release=theatrical&amp;date=2017-08-11&amp;p=.htm"/>
    <hyperlink ref="C37" r:id="rId94" display="http://www.boxofficemojo.com/movies/?id=pitchperfect3.htm"/>
    <hyperlink ref="E37" r:id="rId95" display="http://www.boxofficemojo.com/studio/chart/?studio=universal.htm"/>
    <hyperlink ref="J37" r:id="rId96" display="http://www.boxofficemojo.com/schedule/?view=bydate&amp;release=theatrical&amp;date=2017-12-22&amp;p=.htm"/>
    <hyperlink ref="C38" r:id="rId97" display="http://www.boxofficemojo.com/movies/?id=kingsman2.htm"/>
    <hyperlink ref="E38" r:id="rId98" display="http://www.boxofficemojo.com/studio/chart/?studio=fox.htm"/>
    <hyperlink ref="J38" r:id="rId99" display="http://www.boxofficemojo.com/schedule/?view=bydate&amp;release=theatrical&amp;date=2017-09-22&amp;p=.htm"/>
    <hyperlink ref="C39" r:id="rId100" display="http://www.boxofficemojo.com/movies/?id=johnwick2.htm"/>
    <hyperlink ref="E39" r:id="rId101" display="http://www.boxofficemojo.com/studio/chart/?studio=lionsgatesummit.htm"/>
    <hyperlink ref="J39" r:id="rId102" display="http://www.boxofficemojo.com/schedule/?view=bydate&amp;release=theatrical&amp;date=2017-02-10&amp;p=.htm"/>
    <hyperlink ref="C40" r:id="rId103" display="http://www.boxofficemojo.com/movies/?id=bladerunnersequel.htm"/>
    <hyperlink ref="E40" r:id="rId104" display="http://www.boxofficemojo.com/studio/chart/?studio=warnerbros.htm"/>
    <hyperlink ref="J40" r:id="rId105" display="http://www.boxofficemojo.com/schedule/?view=bydate&amp;release=theatrical&amp;date=2017-10-06&amp;p=.htm"/>
    <hyperlink ref="C41" r:id="rId106" display="http://www.boxofficemojo.com/movies/?id=theemojimovie.htm"/>
    <hyperlink ref="E41" r:id="rId107" display="http://www.boxofficemojo.com/studio/chart/?studio=sony.htm"/>
    <hyperlink ref="J41" r:id="rId108" display="http://www.boxofficemojo.com/schedule/?view=bydate&amp;release=theatrical&amp;date=2017-07-28&amp;p=.htm"/>
    <hyperlink ref="C42" r:id="rId109" display="http://www.boxofficemojo.com/movies/?id=powerrangers16.htm"/>
    <hyperlink ref="E42" r:id="rId110" display="http://www.boxofficemojo.com/studio/chart/?studio=lionsgate.htm"/>
    <hyperlink ref="J42" r:id="rId111" display="http://www.boxofficemojo.com/schedule/?view=bydate&amp;release=theatrical&amp;date=2017-03-24&amp;p=.htm"/>
    <hyperlink ref="C43" r:id="rId112" display="http://www.boxofficemojo.com/movies/?id=mummy2016.htm"/>
    <hyperlink ref="E43" r:id="rId113" display="http://www.boxofficemojo.com/studio/chart/?studio=universal.htm"/>
    <hyperlink ref="J43" r:id="rId114" display="http://www.boxofficemojo.com/schedule/?view=bydate&amp;release=theatrical&amp;date=2017-06-09&amp;p=.htm"/>
    <hyperlink ref="C44" r:id="rId115" display="http://www.boxofficemojo.com/movies/?id=ferdinand.htm"/>
    <hyperlink ref="E44" r:id="rId116" display="http://www.boxofficemojo.com/studio/chart/?studio=fox.htm"/>
    <hyperlink ref="J44" r:id="rId117" display="http://www.boxofficemojo.com/schedule/?view=bydate&amp;release=theatrical&amp;date=2017-12-15&amp;p=.htm"/>
    <hyperlink ref="C45" r:id="rId118" display="http://www.boxofficemojo.com/movies/?id=hitmansbodyguard.htm"/>
    <hyperlink ref="E45" r:id="rId119" display="http://www.boxofficemojo.com/studio/chart/?studio=lionsgatesummit.htm"/>
    <hyperlink ref="J45" r:id="rId120" display="http://www.boxofficemojo.com/schedule/?view=bydate&amp;release=theatrical&amp;date=2017-08-18&amp;p=.htm"/>
    <hyperlink ref="C46" r:id="rId121" display="http://www.boxofficemojo.com/movies/?id=alienparadiselost.htm"/>
    <hyperlink ref="E46" r:id="rId122" display="http://www.boxofficemojo.com/studio/chart/?studio=fox.htm"/>
    <hyperlink ref="J46" r:id="rId123" display="http://www.boxofficemojo.com/schedule/?view=bydate&amp;release=theatrical&amp;date=2017-05-19&amp;p=.htm"/>
    <hyperlink ref="C47" r:id="rId124" display="http://www.boxofficemojo.com/movies/?id=captainunderpants.htm"/>
    <hyperlink ref="E47" r:id="rId125" display="http://www.boxofficemojo.com/studio/chart/?studio=fox.htm"/>
    <hyperlink ref="J47" r:id="rId126" display="http://www.boxofficemojo.com/schedule/?view=bydate&amp;release=theatrical&amp;date=2017-06-02&amp;p=.htm"/>
    <hyperlink ref="C48" r:id="rId127" display="http://www.boxofficemojo.com/movies/?id=badmomschristmas.htm"/>
    <hyperlink ref="E48" r:id="rId128" display="http://www.boxofficemojo.com/studio/chart/?studio=stx.htm"/>
    <hyperlink ref="J48" r:id="rId129" display="http://www.boxofficemojo.com/schedule/?view=bydate&amp;release=theatrical&amp;date=2017-11-01&amp;p=.htm"/>
    <hyperlink ref="C49" r:id="rId130" display="http://www.boxofficemojo.com/movies/?id=adogspurpose.htm"/>
    <hyperlink ref="E49" r:id="rId131" display="http://www.boxofficemojo.com/studio/chart/?studio=universal.htm"/>
    <hyperlink ref="J49" r:id="rId132" display="http://www.boxofficemojo.com/schedule/?view=bydate&amp;release=theatrical&amp;date=2017-01-27&amp;p=.htm"/>
    <hyperlink ref="C50" r:id="rId133" display="http://www.boxofficemojo.com/movies/?id=ninjago.htm"/>
    <hyperlink ref="E50" r:id="rId134" display="http://www.boxofficemojo.com/studio/chart/?studio=warnerbros.htm"/>
    <hyperlink ref="J50" r:id="rId135" display="http://www.boxofficemojo.com/schedule/?view=bydate&amp;release=theatrical&amp;date=2017-09-22&amp;p=.htm"/>
    <hyperlink ref="C51" r:id="rId136" display="http://www.boxofficemojo.com/movies/?id=baywatch.htm"/>
    <hyperlink ref="E51" r:id="rId137" display="http://www.boxofficemojo.com/studio/chart/?studio=paramount.htm"/>
    <hyperlink ref="J51" r:id="rId138" display="http://www.boxofficemojo.com/schedule/?view=bydate&amp;release=theatrical&amp;date=2017-05-25&amp;p=.htm"/>
    <hyperlink ref="C52" r:id="rId139" display="http://www.boxofficemojo.com/movies/?id=theshack.htm"/>
    <hyperlink ref="E52" r:id="rId140" display="http://www.boxofficemojo.com/studio/chart/?studio=lionsgatesummit.htm"/>
    <hyperlink ref="J52" r:id="rId141" display="http://www.boxofficemojo.com/schedule/?view=bydate&amp;release=theatrical&amp;date=2017-03-03&amp;p=.htm"/>
    <hyperlink ref="C53" r:id="rId142" display="http://www.boxofficemojo.com/movies/?id=blumhousehorror2018.htm"/>
    <hyperlink ref="E53" r:id="rId143" display="http://www.boxofficemojo.com/studio/chart/?studio=universal.htm"/>
    <hyperlink ref="J53" r:id="rId144" display="http://www.boxofficemojo.com/schedule/?view=bydate&amp;release=theatrical&amp;date=2017-10-13&amp;p=.htm"/>
    <hyperlink ref="C54" r:id="rId145" display="http://www.boxofficemojo.com/movies/?id=thecoldestcity.htm"/>
    <hyperlink ref="E54" r:id="rId146" display="http://www.boxofficemojo.com/studio/chart/?studio=focus.htm"/>
    <hyperlink ref="J54" r:id="rId147" display="http://www.boxofficemojo.com/schedule/?view=bydate&amp;release=theatrical&amp;date=2017-07-28&amp;p=.htm"/>
    <hyperlink ref="C55" r:id="rId148" display="http://www.boxofficemojo.com/movies/?id=mena.htm"/>
    <hyperlink ref="E55" r:id="rId149" display="http://www.boxofficemojo.com/studio/chart/?studio=universal.htm"/>
    <hyperlink ref="J55" r:id="rId150" display="http://www.boxofficemojo.com/schedule/?view=bydate&amp;release=theatrical&amp;date=2017-09-29&amp;p=.htm"/>
    <hyperlink ref="C56" r:id="rId151" display="http://www.boxofficemojo.com/movies/?id=darktower.htm"/>
    <hyperlink ref="E56" r:id="rId152" display="http://www.boxofficemojo.com/studio/chart/?studio=sony.htm"/>
    <hyperlink ref="J56" r:id="rId153" display="http://www.boxofficemojo.com/schedule/?view=bydate&amp;release=theatrical&amp;date=2017-08-04&amp;p=.htm"/>
    <hyperlink ref="C57" r:id="rId154" display="http://www.boxofficemojo.com/movies/?id=amadeahalloween2.htm"/>
    <hyperlink ref="E57" r:id="rId155" display="http://www.boxofficemojo.com/studio/chart/?studio=lionsgate.htm"/>
    <hyperlink ref="J57" r:id="rId156" display="http://www.boxofficemojo.com/schedule/?view=bydate&amp;release=theatrical&amp;date=2017-10-20&amp;p=.htm"/>
    <hyperlink ref="C58" r:id="rId157" display="http://www.boxofficemojo.com/movies/?id=motherdaughter.htm"/>
    <hyperlink ref="E58" r:id="rId158" display="http://www.boxofficemojo.com/studio/chart/?studio=fox.htm"/>
    <hyperlink ref="J58" r:id="rId159" display="http://www.boxofficemojo.com/schedule/?view=bydate&amp;release=theatrical&amp;date=2017-05-12&amp;p=.htm"/>
    <hyperlink ref="C59" r:id="rId160" display="http://www.boxofficemojo.com/movies/?id=untitledstevenspielberg.htm"/>
    <hyperlink ref="E59" r:id="rId161" display="http://www.boxofficemojo.com/studio/chart/?studio=fox.htm"/>
    <hyperlink ref="J59" r:id="rId162" display="http://www.boxofficemojo.com/schedule/?view=bydate&amp;release=theatrical&amp;date=2017-12-22&amp;p=.htm"/>
    <hyperlink ref="C60" r:id="rId163" display="http://www.boxofficemojo.com/movies/?id=greatwall.htm"/>
    <hyperlink ref="E60" r:id="rId164" display="http://www.boxofficemojo.com/studio/chart/?studio=universal.htm"/>
    <hyperlink ref="J60" r:id="rId165" display="http://www.boxofficemojo.com/schedule/?view=bydate&amp;release=theatrical&amp;date=2017-02-17&amp;p=.htm"/>
    <hyperlink ref="C61" r:id="rId166" display="http://www.boxofficemojo.com/movies/?id=smurfs3.htm"/>
    <hyperlink ref="E61" r:id="rId167" display="http://www.boxofficemojo.com/studio/chart/?studio=sony.htm"/>
    <hyperlink ref="J61" r:id="rId168" display="http://www.boxofficemojo.com/schedule/?view=bydate&amp;release=theatrical&amp;date=2017-04-07&amp;p=.htm"/>
    <hyperlink ref="C62" r:id="rId169" display="http://www.boxofficemojo.com/movies/?id=goinginsty2017.htm"/>
    <hyperlink ref="E62" r:id="rId170" display="http://www.boxofficemojo.com/studio/chart/?studio=wb-newline.htm"/>
    <hyperlink ref="J62" r:id="rId171" display="http://www.boxofficemojo.com/schedule/?view=bydate&amp;release=theatrical&amp;date=2017-04-07&amp;p=.htm"/>
    <hyperlink ref="C63" r:id="rId172" display="http://www.boxofficemojo.com/movies/?id=tupac.htm"/>
    <hyperlink ref="E63" r:id="rId173" display="http://www.boxofficemojo.com/studio/chart/?studio=lionsgatesummit.htm"/>
    <hyperlink ref="J63" r:id="rId174" display="http://www.boxofficemojo.com/schedule/?view=bydate&amp;release=theatrical&amp;date=2017-06-16&amp;p=.htm"/>
    <hyperlink ref="C64" r:id="rId175" display="http://www.boxofficemojo.com/movies/?id=xxx3.htm"/>
    <hyperlink ref="E64" r:id="rId176" display="http://www.boxofficemojo.com/studio/chart/?studio=paramount.htm"/>
    <hyperlink ref="J64" r:id="rId177" display="http://www.boxofficemojo.com/schedule/?view=bydate&amp;release=theatrical&amp;date=2017-01-20&amp;p=.htm"/>
    <hyperlink ref="C65" r:id="rId178" display="http://www.boxofficemojo.com/movies/?id=47metersdown.htm"/>
    <hyperlink ref="E65" r:id="rId179" display="http://www.boxofficemojo.com/studio/chart/?studio=entertainmentstudios.htm"/>
    <hyperlink ref="J65" r:id="rId180" display="http://www.boxofficemojo.com/schedule/?view=bydate&amp;release=theatrical&amp;date=2017-06-16&amp;p=.htm"/>
    <hyperlink ref="C66" r:id="rId181" display="http://www.boxofficemojo.com/movies/?id=thebigsick.htm"/>
    <hyperlink ref="E66" r:id="rId182" display="http://www.boxofficemojo.com/studio/chart/?studio=lionsgate.htm"/>
    <hyperlink ref="J66" r:id="rId183" display="http://www.boxofficemojo.com/schedule/?view=bydate&amp;release=theatrical&amp;date=2017-06-23&amp;p=.htm"/>
    <hyperlink ref="C67" r:id="rId184" display="http://www.boxofficemojo.com/movies/?id=valerian.htm"/>
    <hyperlink ref="E67" r:id="rId185" display="http://www.boxofficemojo.com/studio/chart/?studio=stx.htm"/>
    <hyperlink ref="J67" r:id="rId186" display="http://www.boxofficemojo.com/schedule/?view=bydate&amp;release=theatrical&amp;date=2017-07-21&amp;p=.htm"/>
    <hyperlink ref="C68" r:id="rId187" display="http://www.boxofficemojo.com/movies/?id=darkesthour2017.htm"/>
    <hyperlink ref="E68" r:id="rId188" display="http://www.boxofficemojo.com/studio/chart/?studio=focus.htm"/>
    <hyperlink ref="J68" r:id="rId189" display="http://www.boxofficemojo.com/schedule/?view=bydate&amp;release=theatrical&amp;date=2017-11-22&amp;p=.htm"/>
    <hyperlink ref="C69" r:id="rId190" display="http://www.boxofficemojo.com/movies/?id=thelamb.htm"/>
    <hyperlink ref="E69" r:id="rId191" display="http://www.boxofficemojo.com/studio/chart/?studio=sony.htm"/>
    <hyperlink ref="J69" r:id="rId192" display="http://www.boxofficemojo.com/schedule/?view=bydate&amp;release=theatrical&amp;date=2017-11-17&amp;p=.htm"/>
    <hyperlink ref="C70" r:id="rId193" display="http://www.boxofficemojo.com/movies/?id=ghostintheshell2017.htm"/>
    <hyperlink ref="E70" r:id="rId194" display="http://www.boxofficemojo.com/studio/chart/?studio=paramount.htm"/>
    <hyperlink ref="J70" r:id="rId195" display="http://www.boxofficemojo.com/schedule/?view=bydate&amp;release=theatrical&amp;date=2017-03-31&amp;p=.htm"/>
    <hyperlink ref="C71" r:id="rId196" display="http://www.boxofficemojo.com/movies/?id=kingarthur2016.htm"/>
    <hyperlink ref="E71" r:id="rId197" display="http://www.boxofficemojo.com/studio/chart/?studio=warnerbros.htm"/>
    <hyperlink ref="J71" r:id="rId198" display="http://www.boxofficemojo.com/schedule/?view=bydate&amp;release=theatrical&amp;date=2017-05-12&amp;p=.htm"/>
    <hyperlink ref="C72" r:id="rId199" display="http://www.boxofficemojo.com/movies/?id=ladybird.htm"/>
    <hyperlink ref="E72" r:id="rId200" display="http://www.boxofficemojo.com/studio/chart/?studio=a24.htm"/>
    <hyperlink ref="J72" r:id="rId201" display="http://www.boxofficemojo.com/schedule/?view=bydate&amp;release=theatrical&amp;date=2017-11-03&amp;p=.htm"/>
    <hyperlink ref="C73" r:id="rId202" display="http://www.boxofficemojo.com/movies/?id=saw2017.htm"/>
    <hyperlink ref="E73" r:id="rId203" display="http://www.boxofficemojo.com/studio/chart/?studio=lionsgate.htm"/>
    <hyperlink ref="J73" r:id="rId204" display="http://www.boxofficemojo.com/schedule/?view=bydate&amp;release=theatrical&amp;date=2017-10-27&amp;p=.htm"/>
    <hyperlink ref="C74" r:id="rId205" display="http://www.boxofficemojo.com/movies/?id=americanassassin.htm"/>
    <hyperlink ref="E74" r:id="rId206" display="http://www.boxofficemojo.com/studio/chart/?studio=lionsgate.htm"/>
    <hyperlink ref="J74" r:id="rId207" display="http://www.boxofficemojo.com/schedule/?view=bydate&amp;release=theatrical&amp;date=2017-09-15&amp;p=.htm"/>
    <hyperlink ref="C75" r:id="rId208" display="http://www.boxofficemojo.com/movies/?id=theforeigner.htm"/>
    <hyperlink ref="E75" r:id="rId209" display="http://www.boxofficemojo.com/studio/chart/?studio=stx.htm"/>
    <hyperlink ref="J75" r:id="rId210" display="http://www.boxofficemojo.com/schedule/?view=bydate&amp;release=theatrical&amp;date=2017-10-13&amp;p=.htm"/>
    <hyperlink ref="C76" r:id="rId211" display="http://www.boxofficemojo.com/movies/?id=everythingeverything.htm"/>
    <hyperlink ref="E76" r:id="rId212" display="http://www.boxofficemojo.com/studio/chart/?studio=warnerbros.htm"/>
    <hyperlink ref="J76" r:id="rId213" display="http://www.boxofficemojo.com/schedule/?view=bydate&amp;release=theatrical&amp;date=2017-05-19&amp;p=.htm"/>
    <hyperlink ref="C77" r:id="rId214" display="http://www.boxofficemojo.com/movies/?id=windriver.htm"/>
    <hyperlink ref="E77" r:id="rId215" display="http://www.boxofficemojo.com/studio/chart/?studio=weinsteincompany.htm"/>
    <hyperlink ref="J77" r:id="rId216" display="http://www.boxofficemojo.com/schedule/?view=bydate&amp;release=theatrical&amp;date=2017-08-04&amp;p=.htm"/>
    <hyperlink ref="C78" r:id="rId217" display="http://www.boxofficemojo.com/movies/?id=geostorm.htm"/>
    <hyperlink ref="E78" r:id="rId218" display="http://www.boxofficemojo.com/studio/chart/?studio=warnerbros.htm"/>
    <hyperlink ref="J78" r:id="rId219" display="http://www.boxofficemojo.com/schedule/?view=bydate&amp;release=theatrical&amp;date=2017-10-20&amp;p=.htm"/>
    <hyperlink ref="C79" r:id="rId220" display="http://www.boxofficemojo.com/movies/?id=monstertrucks.htm"/>
    <hyperlink ref="E79" r:id="rId221" display="http://www.boxofficemojo.com/studio/chart/?studio=paramount.htm"/>
    <hyperlink ref="J79" r:id="rId222" display="http://www.boxofficemojo.com/schedule/?view=bydate&amp;release=theatrical&amp;date=2017-01-13&amp;p=.htm"/>
    <hyperlink ref="C80" r:id="rId223" display="http://www.boxofficemojo.com/movies/?id=threebillboards.htm"/>
    <hyperlink ref="E80" r:id="rId224" display="http://www.boxofficemojo.com/studio/chart/?studio=foxsearchlight.htm"/>
    <hyperlink ref="J80" r:id="rId225" display="http://www.boxofficemojo.com/schedule/?view=bydate&amp;release=theatrical&amp;date=2017-11-10&amp;p=.htm"/>
    <hyperlink ref="C81" r:id="rId226" display="http://www.boxofficemojo.com/movies/?id=fistfight.htm"/>
    <hyperlink ref="E81" r:id="rId227" display="http://www.boxofficemojo.com/studio/chart/?studio=wb-newline.htm"/>
    <hyperlink ref="J81" r:id="rId228" display="http://www.boxofficemojo.com/schedule/?view=bydate&amp;release=theatrical&amp;date=2017-02-17&amp;p=.htm"/>
    <hyperlink ref="C82" r:id="rId229" display="http://www.boxofficemojo.com/movies/?id=howtobealatinlover.htm"/>
    <hyperlink ref="E82" r:id="rId230" display="http://www.boxofficemojo.com/studio/chart/?studio=pantelion.htm"/>
    <hyperlink ref="J82" r:id="rId231" display="http://www.boxofficemojo.com/schedule/?view=bydate&amp;release=theatrical&amp;date=2017-04-28&amp;p=.htm"/>
    <hyperlink ref="C83" r:id="rId232" display="http://www.boxofficemojo.com/movies/?id=kidnap2015.htm"/>
    <hyperlink ref="E83" r:id="rId233" display="http://www.boxofficemojo.com/studio/chart/?studio=aviron.htm"/>
    <hyperlink ref="J83" r:id="rId234" display="http://www.boxofficemojo.com/schedule/?view=bydate&amp;release=theatrical&amp;date=2017-08-04&amp;p=.htm"/>
    <hyperlink ref="C84" r:id="rId235" display="http://www.boxofficemojo.com/movies/?id=theshapeofwater.htm"/>
    <hyperlink ref="E84" r:id="rId236" display="http://www.boxofficemojo.com/studio/chart/?studio=foxsearchlight.htm"/>
    <hyperlink ref="J84" r:id="rId237" display="http://www.boxofficemojo.com/schedule/?view=bydate&amp;release=theatrical&amp;date=2017-12-01&amp;p=.htm"/>
    <hyperlink ref="C85" r:id="rId238" display="http://www.boxofficemojo.com/movies/?id=underworld5.htm"/>
    <hyperlink ref="E85" r:id="rId239" display="http://www.boxofficemojo.com/studio/chart/?studio=screengems.htm"/>
    <hyperlink ref="J85" r:id="rId240" display="http://www.boxofficemojo.com/schedule/?view=bydate&amp;release=theatrical&amp;date=2017-01-06&amp;p=.htm"/>
    <hyperlink ref="C86" r:id="rId241" display="http://www.boxofficemojo.com/movies/?id=mountainbetweenus.htm"/>
    <hyperlink ref="E86" r:id="rId242" display="http://www.boxofficemojo.com/studio/chart/?studio=fox.htm"/>
    <hyperlink ref="J86" r:id="rId243" display="http://www.boxofficemojo.com/schedule/?view=bydate&amp;release=theatrical&amp;date=2017-10-06&amp;p=.htm"/>
    <hyperlink ref="C87" r:id="rId244" display="http://www.boxofficemojo.com/movies/?id=life2017.htm"/>
    <hyperlink ref="E87" r:id="rId245" display="http://www.boxofficemojo.com/studio/chart/?studio=sony.htm"/>
    <hyperlink ref="J87" r:id="rId246" display="http://www.boxofficemojo.com/schedule/?view=bydate&amp;release=theatrical&amp;date=2017-03-24&amp;p=.htm"/>
    <hyperlink ref="C88" r:id="rId247" display="http://www.boxofficemojo.com/movies/?id=nutjob2.htm"/>
    <hyperlink ref="E88" r:id="rId248" display="http://www.boxofficemojo.com/studio/chart/?studio=openroads.htm"/>
    <hyperlink ref="J88" r:id="rId249" display="http://www.boxofficemojo.com/schedule/?view=bydate&amp;release=theatrical&amp;date=2017-08-11&amp;p=.htm"/>
    <hyperlink ref="C89" r:id="rId250" display="http://www.boxofficemojo.com/movies/?id=rings.htm"/>
    <hyperlink ref="E89" r:id="rId251" display="http://www.boxofficemojo.com/studio/chart/?studio=paramount.htm"/>
    <hyperlink ref="J89" r:id="rId252" display="http://www.boxofficemojo.com/schedule/?view=bydate&amp;release=theatrical&amp;date=2017-02-03&amp;p=.htm"/>
    <hyperlink ref="C90" r:id="rId253" display="http://www.boxofficemojo.com/movies/?id=loganlucky.htm"/>
    <hyperlink ref="E90" r:id="rId254" display="http://www.boxofficemojo.com/studio/chart/?studio=bleeckerstreet.htm"/>
    <hyperlink ref="J90" r:id="rId255" display="http://www.boxofficemojo.com/schedule/?view=bydate&amp;release=theatrical&amp;date=2017-08-18&amp;p=.htm"/>
    <hyperlink ref="C91" r:id="rId256" display="http://www.boxofficemojo.com/movies/?id=homeagain.htm"/>
    <hyperlink ref="E91" r:id="rId257" display="http://www.boxofficemojo.com/studio/chart/?studio=openroads.htm"/>
    <hyperlink ref="J91" r:id="rId258" display="http://www.boxofficemojo.com/schedule/?view=bydate&amp;release=theatrical&amp;date=2017-09-08&amp;p=.htm"/>
    <hyperlink ref="C92" r:id="rId259" display="http://www.boxofficemojo.com/movies/?id=residentevil6.htm"/>
    <hyperlink ref="E92" r:id="rId260" display="http://www.boxofficemojo.com/studio/chart/?studio=screengems.htm"/>
    <hyperlink ref="J92" r:id="rId261" display="http://www.boxofficemojo.com/schedule/?view=bydate&amp;release=theatrical&amp;date=2017-01-27&amp;p=.htm"/>
    <hyperlink ref="C93" r:id="rId262" display="http://www.boxofficemojo.com/movies/?id=thehouse.htm"/>
    <hyperlink ref="E93" r:id="rId263" display="http://www.boxofficemojo.com/studio/chart/?studio=wb-newline.htm"/>
    <hyperlink ref="J93" r:id="rId264" display="http://www.boxofficemojo.com/schedule/?view=bydate&amp;release=theatrical&amp;date=2017-06-30&amp;p=.htm"/>
    <hyperlink ref="C94" r:id="rId265" display="http://www.boxofficemojo.com/movies/?id=gifted.htm"/>
    <hyperlink ref="E94" r:id="rId266" display="http://www.boxofficemojo.com/studio/chart/?studio=foxsearchlight.htm"/>
    <hyperlink ref="J94" r:id="rId267" display="http://www.boxofficemojo.com/schedule/?view=bydate&amp;release=theatrical&amp;date=2017-04-07&amp;p=.htm"/>
    <hyperlink ref="C95" r:id="rId268" display="http://www.boxofficemojo.com/movies/?id=mollysgame.htm"/>
    <hyperlink ref="E95" r:id="rId269" display="http://www.boxofficemojo.com/studio/chart/?studio=stx.htm"/>
    <hyperlink ref="J95" r:id="rId270" display="http://www.boxofficemojo.com/schedule/?view=bydate&amp;release=theatrical&amp;date=2017-12-25&amp;p=.htm"/>
    <hyperlink ref="C96" r:id="rId271" display="http://www.boxofficemojo.com/movies/?id=downsizing.htm"/>
    <hyperlink ref="E96" r:id="rId272" display="http://www.boxofficemojo.com/studio/chart/?studio=paramount.htm"/>
    <hyperlink ref="J96" r:id="rId273" display="http://www.boxofficemojo.com/schedule/?view=bydate&amp;release=theatrical&amp;date=2017-12-22&amp;p=.htm"/>
    <hyperlink ref="C97" r:id="rId274" display="http://www.boxofficemojo.com/movies/?id=allthemoneyintheworld.htm"/>
    <hyperlink ref="E97" r:id="rId275" display="http://www.boxofficemojo.com/studio/chart/?studio=tristar.htm"/>
    <hyperlink ref="J97" r:id="rId276" display="http://www.boxofficemojo.com/schedule/?view=bydate&amp;release=theatrical&amp;date=2017-12-25&amp;p=.htm"/>
    <hyperlink ref="C98" r:id="rId277" display="http://www.boxofficemojo.com/movies/?id=thebyebyeman.htm"/>
    <hyperlink ref="E98" r:id="rId278" display="http://www.boxofficemojo.com/studio/chart/?studio=stx.htm"/>
    <hyperlink ref="J98" r:id="rId279" display="http://www.boxofficemojo.com/schedule/?view=bydate&amp;release=theatrical&amp;date=2017-01-13&amp;p=.htm"/>
    <hyperlink ref="C99" r:id="rId280" display="http://www.boxofficemojo.com/movies/?id=victoriaandabdul.htm"/>
    <hyperlink ref="E99" r:id="rId281" display="http://www.boxofficemojo.com/studio/chart/?studio=focus.htm"/>
    <hyperlink ref="J99" r:id="rId282" display="http://www.boxofficemojo.com/schedule/?view=bydate&amp;release=theatrical&amp;date=2017-09-22&amp;p=.htm"/>
    <hyperlink ref="C100" r:id="rId283" display="http://www.boxofficemojo.com/movies/?id=rockthatbody.htm"/>
    <hyperlink ref="E100" r:id="rId284" display="http://www.boxofficemojo.com/studio/chart/?studio=sony.htm"/>
    <hyperlink ref="J100" r:id="rId285" display="http://www.boxofficemojo.com/schedule/?view=bydate&amp;release=theatrical&amp;date=2017-06-16&amp;p=.htm"/>
    <hyperlink ref="C101" r:id="rId286" display="http://www.boxofficemojo.com/movies/?id=mylittlepony2017.htm"/>
    <hyperlink ref="E101" r:id="rId287" display="http://www.boxofficemojo.com/studio/chart/?studio=lionsgate.htm"/>
    <hyperlink ref="J101" r:id="rId288" display="http://www.boxofficemojo.com/schedule/?view=bydate&amp;release=theatrical&amp;date=2017-10-06&amp;p=.htm"/>
    <hyperlink ref="C102" r:id="rId289" display="http://www.boxofficemojo.com/movies/?id=leap.htm"/>
    <hyperlink ref="E102" r:id="rId290" display="http://www.boxofficemojo.com/studio/chart/?studio=weinsteincompany.htm"/>
    <hyperlink ref="J102" r:id="rId291" display="http://www.boxofficemojo.com/schedule/?view=bydate&amp;release=theatrical&amp;date=2017-08-25&amp;p=.htm"/>
    <hyperlink ref="C103" r:id="rId292" display="http://www.boxofficemojo.com/movies/?id=sleepless.htm"/>
    <hyperlink ref="E103" r:id="rId293" display="http://www.boxofficemojo.com/studio/chart/?studio=openroads.htm"/>
    <hyperlink ref="J103" r:id="rId294" display="http://www.boxofficemojo.com/schedule/?view=bydate&amp;release=theatrical&amp;date=2017-01-13&amp;p=.htm"/>
    <hyperlink ref="C104" r:id="rId295" display="http://www.boxofficemojo.com/movies/?id=thedisasterartist.htm"/>
    <hyperlink ref="E104" r:id="rId296" display="http://www.boxofficemojo.com/studio/chart/?studio=a24.htm"/>
    <hyperlink ref="J104" r:id="rId297" display="http://www.boxofficemojo.com/schedule/?view=bydate&amp;release=theatrical&amp;date=2017-12-01&amp;p=.htm"/>
    <hyperlink ref="C105" r:id="rId298" display="http://www.boxofficemojo.com/movies/?id=diaryofawimpykid4.htm"/>
    <hyperlink ref="E105" r:id="rId299" display="http://www.boxofficemojo.com/studio/chart/?studio=fox.htm"/>
    <hyperlink ref="J105" r:id="rId300" display="http://www.boxofficemojo.com/schedule/?view=bydate&amp;release=theatrical&amp;date=2017-05-19&amp;p=.htm"/>
    <hyperlink ref="C106" r:id="rId301" display="http://www.boxofficemojo.com/movies/?id=thecircle2017.htm"/>
    <hyperlink ref="E106" r:id="rId302" display="http://www.boxofficemojo.com/studio/chart/?studio=stx.htm"/>
    <hyperlink ref="J106" r:id="rId303" display="http://www.boxofficemojo.com/schedule/?view=bydate&amp;release=theatrical&amp;date=2017-04-28&amp;p=.htm"/>
    <hyperlink ref="C107" r:id="rId304" display="http://www.boxofficemojo.com/movies/?id=baahubali2.htm"/>
    <hyperlink ref="E107" r:id="rId305" display="http://www.boxofficemojo.com/studio/chart/?studio=greatindiafilms.htm"/>
    <hyperlink ref="J107" r:id="rId306" display="http://www.boxofficemojo.com/schedule/?view=bydate&amp;release=theatrical&amp;date=2017-04-28&amp;p=.htm"/>
    <hyperlink ref="C108" r:id="rId307" display="http://www.boxofficemojo.com/movies/?id=chips.htm"/>
    <hyperlink ref="E108" r:id="rId308" display="http://www.boxofficemojo.com/studio/chart/?studio=warnerbros.htm"/>
    <hyperlink ref="J108" r:id="rId309" display="http://www.boxofficemojo.com/schedule/?view=bydate&amp;release=theatrical&amp;date=2017-03-24&amp;p=.htm"/>
    <hyperlink ref="C109" r:id="rId310" display="http://www.boxofficemojo.com/movies/?id=granitemountain.htm"/>
    <hyperlink ref="E109" r:id="rId311" display="http://www.boxofficemojo.com/studio/chart/?studio=sony.htm"/>
    <hyperlink ref="J109" r:id="rId312" display="http://www.boxofficemojo.com/schedule/?view=bydate&amp;release=theatrical&amp;date=2017-10-20&amp;p=.htm"/>
    <hyperlink ref="C110" r:id="rId313" display="http://www.boxofficemojo.com/movies/?id=mother2017.htm"/>
    <hyperlink ref="E110" r:id="rId314" display="http://www.boxofficemojo.com/studio/chart/?studio=paramount.htm"/>
    <hyperlink ref="J110" r:id="rId315" display="http://www.boxofficemojo.com/schedule/?view=bydate&amp;release=theatrical&amp;date=2017-09-15&amp;p=.htm"/>
    <hyperlink ref="C111" r:id="rId316" display="http://www.boxofficemojo.com/movies/?id=zookeeperswife.htm"/>
    <hyperlink ref="E111" r:id="rId317" display="http://www.boxofficemojo.com/studio/chart/?studio=focus.htm"/>
    <hyperlink ref="J111" r:id="rId318" display="http://www.boxofficemojo.com/schedule/?view=bydate&amp;release=theatrical&amp;date=2017-03-31&amp;p=.htm"/>
    <hyperlink ref="C112" r:id="rId319" display="http://www.boxofficemojo.com/movies/?id=bastards2016.htm"/>
    <hyperlink ref="E112" r:id="rId320" display="http://www.boxofficemojo.com/studio/chart/?studio=warnerbros.htm"/>
    <hyperlink ref="J112" r:id="rId321" display="http://www.boxofficemojo.com/schedule/?view=bydate&amp;release=theatrical&amp;date=2017-12-22&amp;p=.htm"/>
    <hyperlink ref="C113" r:id="rId322" display="http://www.boxofficemojo.com/movies/?id=theglasscastle.htm"/>
    <hyperlink ref="E113" r:id="rId323" display="http://www.boxofficemojo.com/studio/chart/?studio=lionsgate.htm"/>
    <hyperlink ref="J113" r:id="rId324" display="http://www.boxofficemojo.com/schedule/?view=bydate&amp;release=theatrical&amp;date=2017-08-11&amp;p=.htm"/>
    <hyperlink ref="C114" r:id="rId325" display="http://www.boxofficemojo.com/movies/?id=flatliners2017.htm"/>
    <hyperlink ref="E114" r:id="rId326" display="http://www.boxofficemojo.com/studio/chart/?studio=sony.htm"/>
    <hyperlink ref="J114" r:id="rId327" display="http://www.boxofficemojo.com/schedule/?view=bydate&amp;release=theatrical&amp;date=2017-09-29&amp;p=.htm"/>
    <hyperlink ref="C115" r:id="rId328" display="http://www.boxofficemojo.com/movies/?id=detroit.htm"/>
    <hyperlink ref="E115" r:id="rId329" display="http://www.boxofficemojo.com/studio/chart/?studio=annapurna.htm"/>
    <hyperlink ref="J115" r:id="rId330" display="http://www.boxofficemojo.com/schedule/?view=bydate&amp;release=theatrical&amp;date=2017-07-28&amp;p=.htm"/>
    <hyperlink ref="C116" r:id="rId331" display="http://www.boxofficemojo.com/movies/?id=itonya.htm"/>
    <hyperlink ref="E116" r:id="rId332" display="http://www.boxofficemojo.com/studio/chart/?studio=neon.htm"/>
    <hyperlink ref="J116" r:id="rId333" display="http://www.boxofficemojo.com/schedule/?view=bydate&amp;release=theatrical&amp;date=2017-12-08&amp;p=.htm"/>
    <hyperlink ref="C117" r:id="rId334" display="http://www.boxofficemojo.com/movies/?id=thecaseforchrist.htm"/>
    <hyperlink ref="E117" r:id="rId335" display="http://www.boxofficemojo.com/studio/chart/?studio=pureflix.htm"/>
    <hyperlink ref="J117" r:id="rId336" display="http://www.boxofficemojo.com/schedule/?view=bydate&amp;release=theatrical&amp;date=2017-04-07&amp;p=.htm"/>
    <hyperlink ref="C118" r:id="rId337" display="http://www.boxofficemojo.com/movies/?id=wishupon.htm"/>
    <hyperlink ref="E118" r:id="rId338" display="http://www.boxofficemojo.com/studio/chart/?studio=broadgreen.htm"/>
    <hyperlink ref="J118" r:id="rId339" display="http://www.boxofficemojo.com/schedule/?view=bydate&amp;release=theatrical&amp;date=2017-07-14&amp;p=.htm"/>
    <hyperlink ref="C119" r:id="rId340" display="http://www.boxofficemojo.com/movies/?id=itcomesatnight.htm"/>
    <hyperlink ref="E119" r:id="rId341" display="http://www.boxofficemojo.com/studio/chart/?studio=a24.htm"/>
    <hyperlink ref="J119" r:id="rId342" display="http://www.boxofficemojo.com/schedule/?view=bydate&amp;release=theatrical&amp;date=2017-06-09&amp;p=.htm"/>
    <hyperlink ref="C120" r:id="rId343" display="http://www.boxofficemojo.com/movies/?id=borninchina.htm"/>
    <hyperlink ref="E120" r:id="rId344" display="http://www.boxofficemojo.com/studio/chart/?studio=buenavista.htm"/>
    <hyperlink ref="J120" r:id="rId345" display="http://www.boxofficemojo.com/schedule/?view=bydate&amp;release=theatrical&amp;date=2017-04-21&amp;p=.htm"/>
    <hyperlink ref="C121" r:id="rId346" display="http://www.boxofficemojo.com/movies/?id=meganleavey.htm"/>
    <hyperlink ref="E121" r:id="rId347" display="http://www.boxofficemojo.com/studio/chart/?studio=bleeckerstreet.htm"/>
    <hyperlink ref="J121" r:id="rId348" display="http://www.boxofficemojo.com/schedule/?view=bydate&amp;release=theatrical&amp;date=2017-06-09&amp;p=.htm"/>
    <hyperlink ref="C122" r:id="rId349" display="http://www.boxofficemojo.com/movies/?id=founder.htm"/>
    <hyperlink ref="E122" r:id="rId350" display="http://www.boxofficemojo.com/studio/chart/?studio=weinsteincompany.htm"/>
    <hyperlink ref="J122" r:id="rId351" display="http://www.boxofficemojo.com/schedule/?view=bydate&amp;release=theatrical&amp;date=2017-01-19&amp;p=.htm"/>
    <hyperlink ref="C123" r:id="rId352" display="http://www.boxofficemojo.com/movies/?id=battleofthesexes.htm"/>
    <hyperlink ref="E123" r:id="rId353" display="http://www.boxofficemojo.com/studio/chart/?studio=foxsearchlight.htm"/>
    <hyperlink ref="J123" r:id="rId354" display="http://www.boxofficemojo.com/schedule/?view=bydate&amp;release=theatrical&amp;date=2017-09-22&amp;p=.htm"/>
    <hyperlink ref="C124" r:id="rId355" display="http://www.boxofficemojo.com/movies/?id=beforeifall.htm"/>
    <hyperlink ref="E124" r:id="rId356" display="http://www.boxofficemojo.com/studio/chart/?studio=openroads.htm"/>
    <hyperlink ref="J124" r:id="rId357" display="http://www.boxofficemojo.com/schedule/?view=bydate&amp;release=theatrical&amp;date=2017-03-03&amp;p=.htm"/>
    <hyperlink ref="C125" r:id="rId358" display="http://www.boxofficemojo.com/movies/?id=romanisrael.htm"/>
    <hyperlink ref="E125" r:id="rId359" display="http://www.boxofficemojo.com/studio/chart/?studio=sony.htm"/>
    <hyperlink ref="J125" r:id="rId360" display="http://www.boxofficemojo.com/schedule/?view=bydate&amp;release=theatrical&amp;date=2017-11-17&amp;p=.htm"/>
    <hyperlink ref="C126" r:id="rId361" display="http://www.boxofficemojo.com/movies/?id=unforgettable2016.htm"/>
    <hyperlink ref="E126" r:id="rId362" display="http://www.boxofficemojo.com/studio/chart/?studio=warnerbros.htm"/>
    <hyperlink ref="J126" r:id="rId363" display="http://www.boxofficemojo.com/schedule/?view=bydate&amp;release=theatrical&amp;date=2017-04-21&amp;p=.htm"/>
    <hyperlink ref="C127" r:id="rId364" display="http://www.boxofficemojo.com/movies/?id=thebeguiled2017.htm"/>
    <hyperlink ref="E127" r:id="rId365" display="http://www.boxofficemojo.com/studio/chart/?studio=focus.htm"/>
    <hyperlink ref="J127" r:id="rId366" display="http://www.boxofficemojo.com/schedule/?view=bydate&amp;release=theatrical&amp;date=2017-06-23&amp;p=.htm"/>
    <hyperlink ref="C128" r:id="rId367" display="http://www.boxofficemojo.com/movies/?id=blumhousetilt2017.htm"/>
    <hyperlink ref="E128" r:id="rId368" display="http://www.boxofficemojo.com/studio/chart/?studio=bhtilt.htm"/>
    <hyperlink ref="J128" r:id="rId369" display="http://www.boxofficemojo.com/schedule/?view=bydate&amp;release=theatrical&amp;date=2017-03-17&amp;p=.htm"/>
    <hyperlink ref="C129" r:id="rId370" display="http://www.boxofficemojo.com/movies/?id=marshall.htm"/>
    <hyperlink ref="E129" r:id="rId371" display="http://www.boxofficemojo.com/studio/chart/?studio=openroads.htm"/>
    <hyperlink ref="J129" r:id="rId372" display="http://www.boxofficemojo.com/schedule/?view=bydate&amp;release=theatrical&amp;date=2017-10-13&amp;p=.htm"/>
    <hyperlink ref="C130" r:id="rId373" display="http://www.boxofficemojo.com/movies/?id=thankyou2017.htm"/>
    <hyperlink ref="E130" r:id="rId374" display="http://www.boxofficemojo.com/studio/chart/?studio=universal.htm"/>
    <hyperlink ref="J130" r:id="rId375" display="http://www.boxofficemojo.com/schedule/?view=bydate&amp;release=theatrical&amp;date=2017-10-27&amp;p=.htm"/>
    <hyperlink ref="C131" r:id="rId376" display="http://www.boxofficemojo.com/movies/?id=rockdog.htm"/>
    <hyperlink ref="E131" r:id="rId377" display="http://www.boxofficemojo.com/studio/chart/?studio=lionsgatesummit.htm"/>
    <hyperlink ref="J131" r:id="rId378" display="http://www.boxofficemojo.com/schedule/?view=bydate&amp;release=theatrical&amp;date=2017-02-24&amp;p=.htm"/>
    <hyperlink ref="C132" r:id="rId379" display="http://www.boxofficemojo.com/movies/?id=callmebyyourname.htm"/>
    <hyperlink ref="E132" r:id="rId380" display="http://www.boxofficemojo.com/studio/chart/?studio=sonyclassics.htm"/>
    <hyperlink ref="J132" r:id="rId381" display="http://www.boxofficemojo.com/schedule/?view=bydate&amp;release=theatrical&amp;date=2017-11-24&amp;p=.htm"/>
    <hyperlink ref="C133" r:id="rId382" display="http://www.boxofficemojo.com/movies/?id=thelostcityofz.htm"/>
    <hyperlink ref="E133" r:id="rId383" display="http://www.boxofficemojo.com/studio/chart/?studio=bleeckerstreet.htm"/>
    <hyperlink ref="J133" r:id="rId384" display="http://www.boxofficemojo.com/schedule/?view=bydate&amp;release=theatrical&amp;date=2017-04-14&amp;p=.htm"/>
    <hyperlink ref="C134" r:id="rId385" display="http://www.boxofficemojo.com/movies/?id=thepromise2017.htm"/>
    <hyperlink ref="E134" r:id="rId386" display="http://www.boxofficemojo.com/studio/chart/?studio=openroads.htm"/>
    <hyperlink ref="J134" r:id="rId387" display="http://www.boxofficemojo.com/schedule/?view=bydate&amp;release=theatrical&amp;date=2017-04-21&amp;p=.htm"/>
    <hyperlink ref="C135" r:id="rId388" display="http://www.boxofficemojo.com/movies/?id=acureforwellness.htm"/>
    <hyperlink ref="E135" r:id="rId389" display="http://www.boxofficemojo.com/studio/chart/?studio=fox.htm"/>
    <hyperlink ref="J135" r:id="rId390" display="http://www.boxofficemojo.com/schedule/?view=bydate&amp;release=theatrical&amp;date=2017-02-17&amp;p=.htm"/>
    <hyperlink ref="C136" r:id="rId391" display="http://www.boxofficemojo.com/movies/?id=thespacebetweenus.htm"/>
    <hyperlink ref="E136" r:id="rId392" display="http://www.boxofficemojo.com/studio/chart/?studio=stx.htm"/>
    <hyperlink ref="J136" r:id="rId393" display="http://www.boxofficemojo.com/schedule/?view=bydate&amp;release=theatrical&amp;date=2017-02-03&amp;p=.htm"/>
    <hyperlink ref="C137" r:id="rId394" display="http://www.boxofficemojo.com/movies/?id=gold.htm"/>
    <hyperlink ref="E137" r:id="rId395" display="http://www.boxofficemojo.com/studio/chart/?studio=weinsteincompany.htm"/>
    <hyperlink ref="J137" r:id="rId396" display="http://www.boxofficemojo.com/schedule/?view=bydate&amp;release=theatrical&amp;date=2017-01-27&amp;p=.htm"/>
    <hyperlink ref="C138" r:id="rId397" display="http://www.boxofficemojo.com/movies/?id=lettherebelight.htm"/>
    <hyperlink ref="E138" r:id="rId398" display="http://www.boxofficemojo.com/studio/chart/?studio=atlas.htm"/>
    <hyperlink ref="J138" r:id="rId399" display="http://www.boxofficemojo.com/schedule/?view=bydate&amp;release=theatrical&amp;date=2017-10-27&amp;p=.htm"/>
    <hyperlink ref="C139" r:id="rId400" display="http://www.boxofficemojo.com/movies/?id=iamnotyournegro.htm"/>
    <hyperlink ref="E139" r:id="rId401" display="http://www.boxofficemojo.com/studio/chart/?studio=magnolia.htm"/>
    <hyperlink ref="J139" r:id="rId402" display="http://www.boxofficemojo.com/schedule/?view=bydate&amp;release=theatrical&amp;date=2017-02-03&amp;p=.htm"/>
    <hyperlink ref="C140" r:id="rId403" display="http://www.boxofficemojo.com/movies/?id=beatrizatdinner.htm"/>
    <hyperlink ref="E140" r:id="rId404" display="http://www.boxofficemojo.com/studio/chart/?studio=roadsideattractions.htm"/>
    <hyperlink ref="J140" r:id="rId405" display="http://www.boxofficemojo.com/schedule/?view=bydate&amp;release=theatrical&amp;date=2017-06-09&amp;p=.htm"/>
    <hyperlink ref="C141" r:id="rId406" display="http://www.boxofficemojo.com/movies/?id=birthofthedragon.htm"/>
    <hyperlink ref="E141" r:id="rId407" display="http://www.boxofficemojo.com/studio/chart/?studio=bhtilt.htm"/>
    <hyperlink ref="J141" r:id="rId408" display="http://www.boxofficemojo.com/schedule/?view=bydate&amp;release=theatrical&amp;date=2017-08-25&amp;p=.htm"/>
    <hyperlink ref="C142" r:id="rId409" display="http://www.boxofficemojo.com/movies/?id=thesnowman.htm"/>
    <hyperlink ref="E142" r:id="rId410" display="http://www.boxofficemojo.com/studio/chart/?studio=universal.htm"/>
    <hyperlink ref="J142" r:id="rId411" display="http://www.boxofficemojo.com/schedule/?view=bydate&amp;release=theatrical&amp;date=2017-10-20&amp;p=.htm"/>
    <hyperlink ref="C143" r:id="rId412" display="http://www.boxofficemojo.com/movies/?id=lovingvincent.htm"/>
    <hyperlink ref="E143" r:id="rId413" display="http://www.boxofficemojo.com/studio/chart/?studio=gooddeed.htm"/>
    <hyperlink ref="J143" r:id="rId414" display="http://www.boxofficemojo.com/schedule/?view=bydate&amp;release=theatrical&amp;date=2017-09-22&amp;p=.htm"/>
    <hyperlink ref="C144" r:id="rId415" display="http://www.boxofficemojo.com/movies/?id=samekindofdifferent.htm"/>
    <hyperlink ref="E144" r:id="rId416" display="http://www.boxofficemojo.com/studio/chart/?studio=pureflix.htm"/>
    <hyperlink ref="J144" r:id="rId417" display="http://www.boxofficemojo.com/schedule/?view=bydate&amp;release=theatrical&amp;date=2017-10-20&amp;p=.htm"/>
    <hyperlink ref="C145" r:id="rId418" display="http://www.boxofficemojo.com/movies/?id=paulthomasanderson2017.htm"/>
    <hyperlink ref="E145" r:id="rId419" display="http://www.boxofficemojo.com/studio/chart/?studio=focus.htm"/>
    <hyperlink ref="J145" r:id="rId420" display="http://www.boxofficemojo.com/schedule/?view=bydate&amp;release=theatrical&amp;date=2017-12-25&amp;p=.htm"/>
    <hyperlink ref="C146" r:id="rId421" display="http://www.boxofficemojo.com/movies/?id=bhtilt2017.htm"/>
    <hyperlink ref="E146" r:id="rId422" display="http://www.boxofficemojo.com/studio/chart/?studio=bhtilt.htm"/>
    <hyperlink ref="J146" r:id="rId423" display="http://www.boxofficemojo.com/schedule/?view=bydate&amp;release=theatrical&amp;date=2017-05-12&amp;p=.htm"/>
    <hyperlink ref="C147" r:id="rId424" display="http://www.boxofficemojo.com/movies/?id=maudie.htm"/>
    <hyperlink ref="E147" r:id="rId425" display="http://www.boxofficemojo.com/studio/chart/?studio=sonyclassics.htm"/>
    <hyperlink ref="J147" r:id="rId426" display="http://www.boxofficemojo.com/schedule/?view=bydate&amp;release=theatrical&amp;date=2017-04-14&amp;p=.htm"/>
    <hyperlink ref="C148" r:id="rId427" display="http://www.boxofficemojo.com/movies/?id=villacapri.htm"/>
    <hyperlink ref="E148" r:id="rId428" display="http://www.boxofficemojo.com/studio/chart/?studio=broadgreen.htm"/>
    <hyperlink ref="J148" r:id="rId429" display="http://www.boxofficemojo.com/schedule/?view=bydate&amp;release=theatrical&amp;date=2017-12-08&amp;p=.htm"/>
    <hyperlink ref="C149" r:id="rId430" display="http://www.boxofficemojo.com/movies/?id=allsaints.htm"/>
    <hyperlink ref="E149" r:id="rId431" display="http://www.boxofficemojo.com/studio/chart/?studio=sony.htm"/>
    <hyperlink ref="J149" r:id="rId432" display="http://www.boxofficemojo.com/schedule/?view=bydate&amp;release=theatrical&amp;date=2017-08-25&amp;p=.htm"/>
    <hyperlink ref="C150" r:id="rId433" display="http://www.boxofficemojo.com/movies/?id=suburbicon.htm"/>
    <hyperlink ref="E150" r:id="rId434" display="http://www.boxofficemojo.com/studio/chart/?studio=paramount.htm"/>
    <hyperlink ref="J150" r:id="rId435" display="http://www.boxofficemojo.com/schedule/?view=bydate&amp;release=theatrical&amp;date=2017-10-27&amp;p=.htm"/>
    <hyperlink ref="C151" r:id="rId436" display="http://www.boxofficemojo.com/movies/?id=themanwhoinventedchristmas.htm"/>
    <hyperlink ref="E151" r:id="rId437" display="http://www.boxofficemojo.com/studio/chart/?studio=bleeckerstreet.htm"/>
    <hyperlink ref="J151" r:id="rId438" display="http://www.boxofficemojo.com/schedule/?view=bydate&amp;release=theatrical&amp;date=2017-11-22&amp;p=.htm"/>
    <hyperlink ref="C152" r:id="rId439" display="http://www.boxofficemojo.com/movies/?id=pariscanwait.htm"/>
    <hyperlink ref="E152" r:id="rId440" display="http://www.boxofficemojo.com/studio/chart/?studio=sonyclassics.htm"/>
    <hyperlink ref="J152" r:id="rId441" display="http://www.boxofficemojo.com/schedule/?view=bydate&amp;release=theatrical&amp;date=2017-05-12&amp;p=.htm"/>
    <hyperlink ref="C153" r:id="rId442" display="http://www.boxofficemojo.com/movies/?id=thefloridaproject.htm"/>
    <hyperlink ref="E153" r:id="rId443" display="http://www.boxofficemojo.com/studio/chart/?studio=a24.htm"/>
    <hyperlink ref="J153" r:id="rId444" display="http://www.boxofficemojo.com/schedule/?view=bydate&amp;release=theatrical&amp;date=2017-10-06&amp;p=.htm"/>
    <hyperlink ref="C154" r:id="rId445" display="http://www.boxofficemojo.com/movies/?id=tigerzindahai.htm"/>
    <hyperlink ref="E154" r:id="rId446" display="http://www.boxofficemojo.com/studio/chart/?studio=yashraj.htm"/>
    <hyperlink ref="J154" r:id="rId447" display="http://www.boxofficemojo.com/schedule/?view=bydate&amp;release=theatrical&amp;date=2017-12-22&amp;p=.htm"/>
    <hyperlink ref="C155" r:id="rId448" display="http://www.boxofficemojo.com/movies/?id=yourname.htm"/>
    <hyperlink ref="E155" r:id="rId449" display="http://www.boxofficemojo.com/studio/chart/?studio=funimation.htm"/>
    <hyperlink ref="J155" r:id="rId450" display="http://www.boxofficemojo.com/schedule/?view=bydate&amp;release=theatrical&amp;date=2017-04-07&amp;p=.htm"/>
    <hyperlink ref="C156" r:id="rId451" display="http://www.boxofficemojo.com/movies/?id=thebookofhenry.htm"/>
    <hyperlink ref="E156" r:id="rId452" display="http://www.boxofficemojo.com/studio/chart/?studio=focus.htm"/>
    <hyperlink ref="J156" r:id="rId453" display="http://www.boxofficemojo.com/schedule/?view=bydate&amp;release=theatrical&amp;date=2017-06-16&amp;p=.htm"/>
    <hyperlink ref="C157" r:id="rId454" display="http://www.boxofficemojo.com/movies/?id=stronger.htm"/>
    <hyperlink ref="E157" r:id="rId455" display="http://www.boxofficemojo.com/studio/chart/?studio=roadsideattractions.htm"/>
    <hyperlink ref="J157" r:id="rId456" display="http://www.boxofficemojo.com/schedule/?view=bydate&amp;release=theatrical&amp;date=2017-09-22&amp;p=.htm"/>
    <hyperlink ref="C158" r:id="rId457" display="http://www.boxofficemojo.com/movies/?id=thehero.htm"/>
    <hyperlink ref="E158" r:id="rId458" display="http://www.boxofficemojo.com/studio/chart/?studio=orchard.htm"/>
    <hyperlink ref="J158" r:id="rId459" display="http://www.boxofficemojo.com/schedule/?view=bydate&amp;release=theatrical&amp;date=2017-06-09&amp;p=.htm"/>
    <hyperlink ref="C159" r:id="rId460" display="http://www.boxofficemojo.com/movies/?id=untitledbhtiltii2017.htm"/>
    <hyperlink ref="E159" r:id="rId461" display="http://www.boxofficemojo.com/studio/chart/?studio=bhtilt.htm"/>
    <hyperlink ref="J159" r:id="rId462" display="http://www.boxofficemojo.com/schedule/?view=bydate&amp;release=theatrical&amp;date=2017-04-28&amp;p=.htm"/>
    <hyperlink ref="C160" r:id="rId463" display="http://www.boxofficemojo.com/movies/?id=aunitedkingdom.htm"/>
    <hyperlink ref="E160" r:id="rId464" display="http://www.boxofficemojo.com/studio/chart/?studio=foxsearchlight.htm"/>
    <hyperlink ref="J160" r:id="rId465" display="http://www.boxofficemojo.com/schedule/?view=bydate&amp;release=theatrical&amp;date=2017-02-10&amp;p=.htm"/>
    <hyperlink ref="C161" r:id="rId466" display="http://www.boxofficemojo.com/movies/?id=norman2017.htm"/>
    <hyperlink ref="E161" r:id="rId467" display="http://www.boxofficemojo.com/studio/chart/?studio=sonyclassics.htm"/>
    <hyperlink ref="J161" r:id="rId468" display="http://www.boxofficemojo.com/schedule/?view=bydate&amp;release=theatrical&amp;date=2017-04-14&amp;p=.htm"/>
    <hyperlink ref="C162" r:id="rId469" display="http://www.boxofficemojo.com/movies/?id=friendrequest.htm"/>
    <hyperlink ref="E162" r:id="rId470" display="http://www.boxofficemojo.com/studio/chart/?studio=entertainmentstudios.htm"/>
    <hyperlink ref="J162" r:id="rId471" display="http://www.boxofficemojo.com/schedule/?view=bydate&amp;release=theatrical&amp;date=2017-09-22&amp;p=.htm"/>
    <hyperlink ref="C163" r:id="rId472" display="http://www.boxofficemojo.com/movies/?id=table19.htm"/>
    <hyperlink ref="E163" r:id="rId473" display="http://www.boxofficemojo.com/studio/chart/?studio=foxsearchlight.htm"/>
    <hyperlink ref="J163" r:id="rId474" display="http://www.boxofficemojo.com/schedule/?view=bydate&amp;release=theatrical&amp;date=2017-03-03&amp;p=.htm"/>
    <hyperlink ref="C164" r:id="rId475" display="http://www.boxofficemojo.com/movies/?id=theirfinest.htm"/>
    <hyperlink ref="E164" r:id="rId476" display="http://www.boxofficemojo.com/studio/chart/?studio=stx.htm"/>
    <hyperlink ref="J164" r:id="rId477" display="http://www.boxofficemojo.com/schedule/?view=bydate&amp;release=theatrical&amp;date=2017-04-07&amp;p=.htm"/>
    <hyperlink ref="C165" r:id="rId478" display="http://www.boxofficemojo.com/movies/?id=phoenix2017.htm"/>
    <hyperlink ref="E165" r:id="rId479" display="http://www.boxofficemojo.com/studio/chart/?studio=cinelou.htm"/>
    <hyperlink ref="J165" r:id="rId480" display="http://www.boxofficemojo.com/schedule/?view=bydate&amp;release=theatrical&amp;date=2017-04-21&amp;p=.htm"/>
    <hyperlink ref="C166" r:id="rId481" display="http://www.boxofficemojo.com/movies/?id=aninconvenientsequel.htm"/>
    <hyperlink ref="E166" r:id="rId482" display="http://www.boxofficemojo.com/studio/chart/?studio=paramount.htm"/>
    <hyperlink ref="J166" r:id="rId483" display="http://www.boxofficemojo.com/schedule/?view=bydate&amp;release=theatrical&amp;date=2017-07-28&amp;p=.htm"/>
    <hyperlink ref="C167" r:id="rId484" display="http://www.boxofficemojo.com/movies/?id=tildeathdouspart.htm"/>
    <hyperlink ref="E167" r:id="rId485" display="http://www.boxofficemojo.com/studio/chart/?studio=novus.htm"/>
    <hyperlink ref="J167" r:id="rId486" display="http://www.boxofficemojo.com/schedule/?view=bydate&amp;release=theatrical&amp;date=2017-09-29&amp;p=.htm"/>
    <hyperlink ref="C168" r:id="rId487" display="http://www.boxofficemojo.com/movies/?id=raees.htm"/>
    <hyperlink ref="E168" r:id="rId488" display="http://www.boxofficemojo.com/studio/chart/?studio=zeetv.htm"/>
    <hyperlink ref="J168" r:id="rId489" display="http://www.boxofficemojo.com/schedule/?view=bydate&amp;release=theatrical&amp;date=2017-01-25&amp;p=.htm"/>
    <hyperlink ref="C169" r:id="rId490" display="http://www.boxofficemojo.com/movies/?id=closeencounters2017.htm"/>
    <hyperlink ref="E169" r:id="rId491" display="http://www.boxofficemojo.com/studio/chart/?studio=sony.htm"/>
    <hyperlink ref="J169" r:id="rId492" display="http://www.boxofficemojo.com/schedule/?view=bydate&amp;release=theatrical&amp;date=2017-09-01&amp;p=.htm"/>
    <hyperlink ref="C170" r:id="rId493" display="http://www.boxofficemojo.com/movies/?id=colossal.htm"/>
    <hyperlink ref="E170" r:id="rId494" display="http://www.boxofficemojo.com/studio/chart/?studio=neon.htm"/>
    <hyperlink ref="J170" r:id="rId495" display="http://www.boxofficemojo.com/schedule/?view=bydate&amp;release=theatrical&amp;date=2017-04-07&amp;p=.htm"/>
    <hyperlink ref="C171" r:id="rId496" display="http://www.boxofficemojo.com/movies/?id=ingridgoeswest.htm"/>
    <hyperlink ref="E171" r:id="rId497" display="http://www.boxofficemojo.com/studio/chart/?studio=neon.htm"/>
    <hyperlink ref="J171" r:id="rId498" display="http://www.boxofficemojo.com/schedule/?view=bydate&amp;release=theatrical&amp;date=2017-08-11&amp;p=.htm"/>
    <hyperlink ref="C172" r:id="rId499" display="http://www.boxofficemojo.com/movies/?id=ballerina2017.htm"/>
    <hyperlink ref="E172" r:id="rId500" display="http://www.boxofficemojo.com/studio/chart/?studio=entertainmentone.htm"/>
    <hyperlink ref="J172" r:id="rId501" display="http://www.boxofficemojo.com/schedule/?view=bydate&amp;release=theatrical&amp;date=2017-02-24&amp;p=.htm"/>
    <hyperlink ref="C173" r:id="rId502" display="http://www.boxofficemojo.com/movies/?id=oscarshorts2017.htm"/>
    <hyperlink ref="E173" r:id="rId503" display="http://www.boxofficemojo.com/studio/chart/?studio=shortsinternational.htm"/>
    <hyperlink ref="J173" r:id="rId504" display="http://www.boxofficemojo.com/schedule/?view=bydate&amp;release=theatrical&amp;date=2017-02-10&amp;p=.htm"/>
    <hyperlink ref="C174" r:id="rId505" display="http://www.boxofficemojo.com/movies/?id=kedi.htm"/>
    <hyperlink ref="E174" r:id="rId506" display="http://www.boxofficemojo.com/studio/chart/?studio=oscilloscopepictures.htm"/>
    <hyperlink ref="J174" r:id="rId507" display="http://www.boxofficemojo.com/schedule/?view=bydate&amp;release=theatrical&amp;date=2017-02-10&amp;p=.htm"/>
    <hyperlink ref="C175" r:id="rId508" display="http://www.boxofficemojo.com/movies/?id=wolfwarrior2.htm"/>
    <hyperlink ref="E175" r:id="rId509" display="http://www.boxofficemojo.com/studio/chart/?studio=hcollective.htm"/>
    <hyperlink ref="J175" r:id="rId510" display="http://www.boxofficemojo.com/schedule/?view=bydate&amp;release=theatrical&amp;date=2017-07-28&amp;p=.htm"/>
    <hyperlink ref="C176" r:id="rId511" display="http://www.boxofficemojo.com/movies/?id=mycousinrachel.htm"/>
    <hyperlink ref="E176" r:id="rId512" display="http://www.boxofficemojo.com/studio/chart/?studio=foxsearchlight.htm"/>
    <hyperlink ref="J176" r:id="rId513" display="http://www.boxofficemojo.com/schedule/?view=bydate&amp;release=theatrical&amp;date=2017-06-09&amp;p=.htm"/>
    <hyperlink ref="C177" r:id="rId514" display="http://www.boxofficemojo.com/movies/?id=mayweathervsmcgregor.htm"/>
    <hyperlink ref="E177" r:id="rId515" display="http://www.boxofficemojo.com/studio/chart/?studio=fathom.htm"/>
    <hyperlink ref="J177" r:id="rId516" display="http://www.boxofficemojo.com/schedule/?view=bydate&amp;release=theatrical&amp;date=2017-08-26&amp;p=.htm"/>
    <hyperlink ref="C178" r:id="rId517" display="http://www.boxofficemojo.com/movies/?id=aquestionoffaith.htm"/>
    <hyperlink ref="E178" r:id="rId518" display="http://www.boxofficemojo.com/studio/chart/?studio=pureflix.htm"/>
    <hyperlink ref="J178" r:id="rId519" display="http://www.boxofficemojo.com/schedule/?view=bydate&amp;release=theatrical&amp;date=2017-09-29&amp;p=.htm"/>
    <hyperlink ref="C179" r:id="rId520" display="http://www.boxofficemojo.com/movies/?id=isgenesishistory.htm"/>
    <hyperlink ref="E179" r:id="rId521" display="http://www.boxofficemojo.com/studio/chart/?studio=fathom.htm"/>
    <hyperlink ref="J179" r:id="rId522" display="http://www.boxofficemojo.com/schedule/?view=bydate&amp;release=theatrical&amp;date=2017-02-23&amp;p=.htm"/>
    <hyperlink ref="C180" r:id="rId523" display="http://www.boxofficemojo.com/movies/?id=newsiesfathom.htm"/>
    <hyperlink ref="E180" r:id="rId524" display="http://www.boxofficemojo.com/studio/chart/?studio=fathom.htm"/>
    <hyperlink ref="J180" r:id="rId525" display="http://www.boxofficemojo.com/schedule/?view=bydate&amp;release=theatrical&amp;date=2017-02-18&amp;p=.htm"/>
    <hyperlink ref="C181" r:id="rId526" display="http://www.boxofficemojo.com/movies/?id=inourhandsbattleforjerusalem.htm"/>
    <hyperlink ref="E181" r:id="rId527" display="http://www.boxofficemojo.com/studio/chart/?studio=fathom.htm"/>
    <hyperlink ref="J181" r:id="rId528" display="http://www.boxofficemojo.com/schedule/?view=bydate&amp;release=theatrical&amp;date=2017-05-23&amp;p=.htm"/>
    <hyperlink ref="C182" r:id="rId529" display="http://www.boxofficemojo.com/movies/?id=untitledpantelionfilm.htm"/>
    <hyperlink ref="E182" r:id="rId530" display="http://www.boxofficemojo.com/studio/chart/?studio=pantelion.htm"/>
    <hyperlink ref="J182" r:id="rId531" display="http://www.boxofficemojo.com/schedule/?view=bydate&amp;release=theatrical&amp;date=2017-09-01&amp;p=.htm"/>
    <hyperlink ref="C183" r:id="rId532" display="http://www.boxofficemojo.com/movies/?id=lbj.htm"/>
    <hyperlink ref="E183" r:id="rId533" display="http://www.boxofficemojo.com/studio/chart/?studio=electric.htm"/>
    <hyperlink ref="J183" r:id="rId534" display="http://www.boxofficemojo.com/schedule/?view=bydate&amp;release=theatrical&amp;date=2017-11-03&amp;p=.htm"/>
    <hyperlink ref="C184" r:id="rId535" display="http://www.boxofficemojo.com/movies/?id=tulipfever.htm"/>
    <hyperlink ref="E184" r:id="rId536" display="http://www.boxofficemojo.com/studio/chart/?studio=weinsteincompany.htm"/>
    <hyperlink ref="J184" r:id="rId537" display="http://www.boxofficemojo.com/schedule/?view=bydate&amp;release=theatrical&amp;date=2017-09-01&amp;p=.htm"/>
    <hyperlink ref="C185" r:id="rId538" display="http://www.boxofficemojo.com/movies/?id=thesalesman.htm"/>
    <hyperlink ref="E185" r:id="rId539" display="http://www.boxofficemojo.com/studio/chart/?studio=cohenmedia.htm"/>
    <hyperlink ref="J185" r:id="rId540" display="http://www.boxofficemojo.com/schedule/?view=bydate&amp;release=theatrical&amp;date=2017-01-27&amp;p=.htm"/>
    <hyperlink ref="C186" r:id="rId541" display="http://www.boxofficemojo.com/movies/?id=trainspotting2.htm"/>
    <hyperlink ref="E186" r:id="rId542" display="http://www.boxofficemojo.com/studio/chart/?studio=tristar.htm"/>
    <hyperlink ref="J186" r:id="rId543" display="http://www.boxofficemojo.com/schedule/?view=bydate&amp;release=theatrical&amp;date=2017-03-17&amp;p=.htm"/>
    <hyperlink ref="C187" r:id="rId544" display="http://www.boxofficemojo.com/movies/?id=pokemonichooseyou.htm"/>
    <hyperlink ref="E187" r:id="rId545" display="http://www.boxofficemojo.com/studio/chart/?studio=fathom.htm"/>
    <hyperlink ref="J187" r:id="rId546" display="http://www.boxofficemojo.com/schedule/?view=bydate&amp;release=theatrical&amp;date=2017-11-05&amp;p=.htm"/>
    <hyperlink ref="C188" r:id="rId547" display="http://www.boxofficemojo.com/movies/?id=jeeperscreepers3.htm"/>
    <hyperlink ref="E188" r:id="rId548" display="http://www.boxofficemojo.com/studio/chart/?studio=screenmedia.htm"/>
    <hyperlink ref="J188" r:id="rId549" display="http://www.boxofficemojo.com/schedule/?view=bydate&amp;release=theatrical&amp;date=2017-09-26&amp;p=.htm"/>
    <hyperlink ref="C189" r:id="rId550" display="http://www.boxofficemojo.com/movies/?id=theresurrectionofgavinstone.htm"/>
    <hyperlink ref="E189" r:id="rId551" display="http://www.boxofficemojo.com/studio/chart/?studio=bhtilt.htm"/>
    <hyperlink ref="J189" r:id="rId552" display="http://www.boxofficemojo.com/schedule/?view=bydate&amp;release=theatrical&amp;date=2017-01-20&amp;p=.htm"/>
    <hyperlink ref="C190" r:id="rId553" display="http://www.boxofficemojo.com/movies/?id=killingofasacreddeer.htm"/>
    <hyperlink ref="E190" r:id="rId554" display="http://www.boxofficemojo.com/studio/chart/?studio=a24.htm"/>
    <hyperlink ref="J190" r:id="rId555" display="http://www.boxofficemojo.com/schedule/?view=bydate&amp;release=theatrical&amp;date=2017-10-20&amp;p=.htm"/>
    <hyperlink ref="C191" r:id="rId556" display="http://www.boxofficemojo.com/movies/?id=autobahn.htm"/>
    <hyperlink ref="E191" r:id="rId557" display="http://www.boxofficemojo.com/studio/chart/?studio=openroads.htm"/>
    <hyperlink ref="J191" r:id="rId558" display="http://www.boxofficemojo.com/schedule/?view=bydate&amp;release=theatrical&amp;date=2017-02-24&amp;p=.htm"/>
    <hyperlink ref="C192" r:id="rId559" display="http://www.boxofficemojo.com/movies/?id=thelovers.htm"/>
    <hyperlink ref="E192" r:id="rId560" display="http://www.boxofficemojo.com/studio/chart/?studio=a24.htm"/>
    <hyperlink ref="J192" r:id="rId561" display="http://www.boxofficemojo.com/schedule/?view=bydate&amp;release=theatrical&amp;date=2017-05-05&amp;p=.htm"/>
    <hyperlink ref="C193" r:id="rId562" display="http://www.boxofficemojo.com/movies/?id=padrenotanpadre.htm"/>
    <hyperlink ref="E193" r:id="rId563" display="http://www.boxofficemojo.com/studio/chart/?studio=pantelion.htm"/>
    <hyperlink ref="J193" r:id="rId564" display="http://www.boxofficemojo.com/schedule/?view=bydate&amp;release=theatrical&amp;date=2017-01-27&amp;p=.htm"/>
    <hyperlink ref="C194" r:id="rId565" display="http://www.boxofficemojo.com/movies/?id=bradsstatus.htm"/>
    <hyperlink ref="E194" r:id="rId566" display="http://www.boxofficemojo.com/studio/chart/?studio=annapurna.htm"/>
    <hyperlink ref="J194" r:id="rId567" display="http://www.boxofficemojo.com/schedule/?view=bydate&amp;release=theatrical&amp;date=2017-09-15&amp;p=.htm"/>
    <hyperlink ref="C195" r:id="rId568" display="http://www.boxofficemojo.com/movies/?id=goodtime.htm"/>
    <hyperlink ref="E195" r:id="rId569" display="http://www.boxofficemojo.com/studio/chart/?studio=a24.htm"/>
    <hyperlink ref="J195" r:id="rId570" display="http://www.boxofficemojo.com/schedule/?view=bydate&amp;release=theatrical&amp;date=2017-08-11&amp;p=.htm"/>
    <hyperlink ref="C196" r:id="rId571" display="http://www.boxofficemojo.com/movies/?id=badrinathkidulhania.htm"/>
    <hyperlink ref="E196" r:id="rId572" display="http://www.boxofficemojo.com/studio/chart/?studio=fip.htm"/>
    <hyperlink ref="J196" r:id="rId573" display="http://www.boxofficemojo.com/schedule/?view=bydate&amp;release=theatrical&amp;date=2017-03-10&amp;p=.htm"/>
    <hyperlink ref="C197" r:id="rId574" display="http://www.boxofficemojo.com/movies/?id=everybodylovessomebody.htm"/>
    <hyperlink ref="E197" r:id="rId575" display="http://www.boxofficemojo.com/studio/chart/?studio=pantelion.htm"/>
    <hyperlink ref="J197" r:id="rId576" display="http://www.boxofficemojo.com/schedule/?view=bydate&amp;release=theatrical&amp;date=2017-02-17&amp;p=.htm"/>
    <hyperlink ref="C198" r:id="rId577" display="http://www.boxofficemojo.com/movies/?id=youth2017.htm"/>
    <hyperlink ref="E198" r:id="rId578" display="http://www.boxofficemojo.com/studio/chart/?studio=chinalion.htm"/>
    <hyperlink ref="J198" r:id="rId579" display="http://www.boxofficemojo.com/schedule/?view=bydate&amp;release=theatrical&amp;date=2017-12-15&amp;p=.htm"/>
    <hyperlink ref="C199" r:id="rId580" display="http://www.boxofficemojo.com/movies/?id=aquietpassion.htm"/>
    <hyperlink ref="E199" r:id="rId581" display="http://www.boxofficemojo.com/studio/chart/?studio=musicboxfilms.htm"/>
    <hyperlink ref="J199" r:id="rId582" display="http://www.boxofficemojo.com/schedule/?view=bydate&amp;release=theatrical&amp;date=2017-04-14&amp;p=.htm"/>
    <hyperlink ref="C200" r:id="rId583" display="http://www.boxofficemojo.com/movies/?id=toiletekpremkatha.htm"/>
    <hyperlink ref="E200" r:id="rId584" display="http://www.boxofficemojo.com/studio/chart/?studio=reliancebigpictures.htm"/>
    <hyperlink ref="J200" r:id="rId585" display="http://www.boxofficemojo.com/schedule/?view=bydate&amp;release=theatrical&amp;date=2017-08-11&amp;p=.htm"/>
    <hyperlink ref="C201" r:id="rId586" display="http://www.boxofficemojo.com/movies/?id=thewall2016.htm"/>
    <hyperlink ref="E201" r:id="rId587" display="http://www.boxofficemojo.com/studio/chart/?studio=roadsideattractions.htm"/>
    <hyperlink ref="J201" r:id="rId588" display="http://www.boxofficemojo.com/schedule/?view=bydate&amp;release=theatrical&amp;date=2017-05-12&amp;p=.htm"/>
    <hyperlink ref="C202" r:id="rId589" display="http://www.boxofficemojo.com/movies/?id=freefire.htm"/>
    <hyperlink ref="E202" r:id="rId590" display="http://www.boxofficemojo.com/studio/chart/?studio=a24.htm"/>
    <hyperlink ref="J202" r:id="rId591" display="http://www.boxofficemojo.com/schedule/?view=bydate&amp;release=theatrical&amp;date=2017-04-21&amp;p=.htm"/>
    <hyperlink ref="C203" r:id="rId592" display="http://www.boxofficemojo.com/movies/?id=thelastword.htm"/>
    <hyperlink ref="E203" r:id="rId593" display="http://www.boxofficemojo.com/studio/chart/?studio=bleeckerstreet.htm"/>
    <hyperlink ref="J203" r:id="rId594" display="http://www.boxofficemojo.com/schedule/?view=bydate&amp;release=theatrical&amp;date=2017-03-03&amp;p=.htm"/>
    <hyperlink ref="C204" r:id="rId595" display="http://www.boxofficemojo.com/movies/?id=goodbyechristopherrobin.htm"/>
    <hyperlink ref="E204" r:id="rId596" display="http://www.boxofficemojo.com/studio/chart/?studio=foxsearchlight.htm"/>
    <hyperlink ref="J204" r:id="rId597" display="http://www.boxofficemojo.com/schedule/?view=bydate&amp;release=theatrical&amp;date=2017-10-13&amp;p=.htm"/>
    <hyperlink ref="C205" r:id="rId598" display="http://www.boxofficemojo.com/movies/?id=menashe.htm"/>
    <hyperlink ref="E205" r:id="rId599" display="http://www.boxofficemojo.com/studio/chart/?studio=a24.htm"/>
    <hyperlink ref="J205" r:id="rId600" display="http://www.boxofficemojo.com/schedule/?view=bydate&amp;release=theatrical&amp;date=2017-07-28&amp;p=.htm"/>
    <hyperlink ref="C206" r:id="rId601" display="http://www.boxofficemojo.com/movies/?id=slammajamma.htm"/>
    <hyperlink ref="E206" r:id="rId602" display="http://www.boxofficemojo.com/studio/chart/?studio=riverrain.htm"/>
    <hyperlink ref="J206" r:id="rId603" display="http://www.boxofficemojo.com/schedule/?view=bydate&amp;release=theatrical&amp;date=2017-03-24&amp;p=.htm"/>
    <hyperlink ref="C207" r:id="rId604" display="http://www.boxofficemojo.com/movies/?id=alongwiththegods.htm"/>
    <hyperlink ref="E207" r:id="rId605" display="http://www.boxofficemojo.com/studio/chart/?studio=wellgo.htm"/>
    <hyperlink ref="J207" r:id="rId606" display="http://www.boxofficemojo.com/schedule/?view=bydate&amp;release=theatrical&amp;date=2017-12-22&amp;p=.htm"/>
    <hyperlink ref="C208" r:id="rId607" display="http://www.boxofficemojo.com/movies/?id=jabharrymetsejal.htm"/>
    <hyperlink ref="E208" r:id="rId608" display="http://www.boxofficemojo.com/studio/chart/?studio=yashraj.htm"/>
    <hyperlink ref="J208" r:id="rId609" display="http://www.boxofficemojo.com/schedule/?view=bydate&amp;release=theatrical&amp;date=2017-08-04&amp;p=.htm"/>
    <hyperlink ref="C209" r:id="rId610" display="http://www.boxofficemojo.com/movies/?id=jollyllb2.htm"/>
    <hyperlink ref="E209" r:id="rId611" display="http://www.boxofficemojo.com/studio/chart/?studio=fip.htm"/>
    <hyperlink ref="J209" r:id="rId612" display="http://www.boxofficemojo.com/schedule/?view=bydate&amp;release=theatrical&amp;date=2017-02-10&amp;p=.htm"/>
    <hyperlink ref="C210" r:id="rId613" display="http://www.boxofficemojo.com/movies/?id=thelittlehours.htm"/>
    <hyperlink ref="E210" r:id="rId614" display="http://www.boxofficemojo.com/studio/chart/?studio=gunpowderandsky.htm"/>
    <hyperlink ref="J210" r:id="rId615" display="http://www.boxofficemojo.com/schedule/?view=bydate&amp;release=theatrical&amp;date=2017-06-30&amp;p=.htm"/>
    <hyperlink ref="C211" r:id="rId616" display="http://www.boxofficemojo.com/movies/?id=jane2017.htm"/>
    <hyperlink ref="E211" r:id="rId617" display="http://www.boxofficemojo.com/studio/chart/?studio=abramorama.htm"/>
    <hyperlink ref="J211" r:id="rId618" display="http://www.boxofficemojo.com/schedule/?view=bydate&amp;release=theatrical&amp;date=2017-10-20&amp;p=.htm"/>
    <hyperlink ref="C212" r:id="rId619" display="http://www.boxofficemojo.com/movies/?id=hostiles.htm"/>
    <hyperlink ref="E212" r:id="rId620" display="http://www.boxofficemojo.com/studio/chart/?studio=entertainmentstudios.htm"/>
    <hyperlink ref="J212" r:id="rId621" display="http://www.boxofficemojo.com/schedule/?view=bydate&amp;release=theatrical&amp;date=2017-12-22&amp;p=.htm"/>
    <hyperlink ref="C213" r:id="rId622" display="http://www.boxofficemojo.com/movies/?id=aghoststory.htm"/>
    <hyperlink ref="E213" r:id="rId623" display="http://www.boxofficemojo.com/studio/chart/?studio=a24.htm"/>
    <hyperlink ref="J213" r:id="rId624" display="http://www.boxofficemojo.com/schedule/?view=bydate&amp;release=theatrical&amp;date=2017-07-07&amp;p=.htm"/>
    <hyperlink ref="C214" r:id="rId625" display="http://www.boxofficemojo.com/movies/?id=professormarstonandthewonderwomen.htm"/>
    <hyperlink ref="E214" r:id="rId626" display="http://www.boxofficemojo.com/studio/chart/?studio=annapurna.htm"/>
    <hyperlink ref="J214" r:id="rId627" display="http://www.boxofficemojo.com/schedule/?view=bydate&amp;release=theatrical&amp;date=2017-10-13&amp;p=.htm"/>
    <hyperlink ref="C215" r:id="rId628" display="http://www.boxofficemojo.com/movies/?id=thestray.htm"/>
    <hyperlink ref="E215" r:id="rId629" display="http://www.boxofficemojo.com/studio/chart/?studio=purdie.htm"/>
    <hyperlink ref="J215" r:id="rId630" display="http://www.boxofficemojo.com/schedule/?view=bydate&amp;release=theatrical&amp;date=2017-10-06&amp;p=.htm"/>
    <hyperlink ref="C216" r:id="rId631" display="http://www.boxofficemojo.com/movies/?id=genesisparadiselost.htm"/>
    <hyperlink ref="E216" r:id="rId632" display="http://www.boxofficemojo.com/studio/chart/?studio=fathom.htm"/>
    <hyperlink ref="J216" r:id="rId633" display="http://www.boxofficemojo.com/schedule/?view=bydate&amp;release=theatrical&amp;date=2017-11-13&amp;p=.htm"/>
    <hyperlink ref="C217" r:id="rId634" display="http://www.boxofficemojo.com/movies/?id=ataxidriver.htm"/>
    <hyperlink ref="E217" r:id="rId635" display="http://www.boxofficemojo.com/studio/chart/?studio=wellgo.htm"/>
    <hyperlink ref="J217" r:id="rId636" display="http://www.boxofficemojo.com/schedule/?view=bydate&amp;release=theatrical&amp;date=2017-08-11&amp;p=.htm"/>
    <hyperlink ref="C218" r:id="rId637" display="http://www.boxofficemojo.com/movies/?id=swordartonline.htm"/>
    <hyperlink ref="E218" r:id="rId638" display="http://www.boxofficemojo.com/studio/chart/?studio=elevenarts.htm"/>
    <hyperlink ref="J218" r:id="rId639" display="http://www.boxofficemojo.com/schedule/?view=bydate&amp;release=theatrical&amp;date=2017-03-09&amp;p=.htm"/>
    <hyperlink ref="C219" r:id="rId640" display="http://www.boxofficemojo.com/movies/?id=marvel2018b.htm"/>
    <hyperlink ref="E219" r:id="rId641" display="http://www.boxofficemojo.com/studio/chart/?studio=imax.htm"/>
    <hyperlink ref="J219" r:id="rId642" display="http://www.boxofficemojo.com/schedule/?view=bydate&amp;release=theatrical&amp;date=2017-09-01&amp;p=.htm"/>
    <hyperlink ref="C220" r:id="rId643" display="http://www.boxofficemojo.com/movies/?id=mully.htm"/>
    <hyperlink ref="E220" r:id="rId644" display="http://www.boxofficemojo.com/studio/chart/?studio=fathom.htm"/>
    <hyperlink ref="J220" r:id="rId645" display="http://www.boxofficemojo.com/schedule/?view=bydate&amp;release=theatrical&amp;date=2017-10-03&amp;p=.htm"/>
    <hyperlink ref="C221" r:id="rId646" display="http://www.boxofficemojo.com/movies/?id=judwaa2.htm"/>
    <hyperlink ref="E221" r:id="rId647" display="http://www.boxofficemojo.com/studio/chart/?studio=fip.htm"/>
    <hyperlink ref="J221" r:id="rId648" display="http://www.boxofficemojo.com/schedule/?view=bydate&amp;release=theatrical&amp;date=2017-09-29&amp;p=.htm"/>
    <hyperlink ref="C222" r:id="rId649" display="http://www.boxofficemojo.com/movies/?id=theweddingplan.htm"/>
    <hyperlink ref="E222" r:id="rId650" display="http://www.boxofficemojo.com/studio/chart/?studio=roadsideattractions.htm"/>
    <hyperlink ref="J222" r:id="rId651" display="http://www.boxofficemojo.com/schedule/?view=bydate&amp;release=theatrical&amp;date=2017-05-12&amp;p=.htm"/>
    <hyperlink ref="C223" r:id="rId652" display="http://www.boxofficemojo.com/movies/?id=wonderwheel.htm"/>
    <hyperlink ref="E223" r:id="rId653" display="http://www.boxofficemojo.com/studio/chart/?studio=amazon.htm"/>
    <hyperlink ref="J223" r:id="rId654" display="http://www.boxofficemojo.com/schedule/?view=bydate&amp;release=theatrical&amp;date=2017-12-01&amp;p=.htm"/>
    <hyperlink ref="C224" r:id="rId655" display="http://www.boxofficemojo.com/movies/?id=thesquare.htm"/>
    <hyperlink ref="E224" r:id="rId656" display="http://www.boxofficemojo.com/studio/chart/?studio=magnolia.htm"/>
    <hyperlink ref="J224" r:id="rId657" display="http://www.boxofficemojo.com/schedule/?view=bydate&amp;release=theatrical&amp;date=2017-10-27&amp;p=.htm"/>
    <hyperlink ref="C225" r:id="rId658" display="http://www.boxofficemojo.com/movies/?id=myfrienddahmer.htm"/>
    <hyperlink ref="E225" r:id="rId659" display="http://www.boxofficemojo.com/studio/chart/?studio=filmrise.htm"/>
    <hyperlink ref="J225" r:id="rId660" display="http://www.boxofficemojo.com/schedule/?view=bydate&amp;release=theatrical&amp;date=2017-11-03&amp;p=.htm"/>
    <hyperlink ref="C226" r:id="rId661" display="http://www.boxofficemojo.com/movies/?id=thedinner17.htm"/>
    <hyperlink ref="E226" r:id="rId662" display="http://www.boxofficemojo.com/studio/chart/?studio=orchard.htm"/>
    <hyperlink ref="J226" r:id="rId663" display="http://www.boxofficemojo.com/schedule/?view=bydate&amp;release=theatrical&amp;date=2017-05-05&amp;p=.htm"/>
    <hyperlink ref="C227" r:id="rId664" display="http://www.boxofficemojo.com/movies/?id=personalshopper.htm"/>
    <hyperlink ref="E227" r:id="rId665" display="http://www.boxofficemojo.com/studio/chart/?studio=ifc.htm"/>
    <hyperlink ref="J227" r:id="rId666" display="http://www.boxofficemojo.com/schedule/?view=bydate&amp;release=theatrical&amp;date=2017-03-10&amp;p=.htm"/>
    <hyperlink ref="C228" r:id="rId667" display="http://www.boxofficemojo.com/movies/?id=churchill.htm"/>
    <hyperlink ref="E228" r:id="rId668" display="http://www.boxofficemojo.com/studio/chart/?studio=cohenmedia.htm"/>
    <hyperlink ref="J228" r:id="rId669" display="http://www.boxofficemojo.com/schedule/?view=bydate&amp;release=theatrical&amp;date=2017-06-02&amp;p=.htm"/>
    <hyperlink ref="C229" r:id="rId670" display="http://www.boxofficemojo.com/movies/?id=thesenseofanending.htm"/>
    <hyperlink ref="E229" r:id="rId671" display="http://www.boxofficemojo.com/studio/chart/?studio=cbsfilms.htm"/>
    <hyperlink ref="J229" r:id="rId672" display="http://www.boxofficemojo.com/schedule/?view=bydate&amp;release=theatrical&amp;date=2017-03-10&amp;p=.htm"/>
    <hyperlink ref="C230" r:id="rId673" display="http://www.boxofficemojo.com/movies/?id=chondapierceenough.htm"/>
    <hyperlink ref="E230" r:id="rId674" display="http://www.boxofficemojo.com/studio/chart/?studio=fathom.htm"/>
    <hyperlink ref="J230" r:id="rId675" display="http://www.boxofficemojo.com/schedule/?view=bydate&amp;release=theatrical&amp;date=2017-04-25&amp;p=.htm"/>
    <hyperlink ref="C231" r:id="rId676" display="http://www.boxofficemojo.com/movies/?id=3idiotas.htm"/>
    <hyperlink ref="E231" r:id="rId677" display="http://www.boxofficemojo.com/studio/chart/?studio=pantelion.htm"/>
    <hyperlink ref="J231" r:id="rId678" display="http://www.boxofficemojo.com/schedule/?view=bydate&amp;release=theatrical&amp;date=2017-06-02&amp;p=.htm"/>
    <hyperlink ref="C232" r:id="rId679" display="http://www.boxofficemojo.com/movies/?id=truetothegame.htm"/>
    <hyperlink ref="E232" r:id="rId680" display="http://www.boxofficemojo.com/studio/chart/?studio=faithmedia.htm"/>
    <hyperlink ref="J232" r:id="rId681" display="http://www.boxofficemojo.com/schedule/?view=bydate&amp;release=theatrical&amp;date=2017-09-08&amp;p=.htm"/>
    <hyperlink ref="C233" r:id="rId682" display="http://www.boxofficemojo.com/movies/?id=stevemcqueenamericanicon.htm"/>
    <hyperlink ref="E233" r:id="rId683" display="http://www.boxofficemojo.com/studio/chart/?studio=fathom.htm"/>
    <hyperlink ref="J233" r:id="rId684" display="http://www.boxofficemojo.com/schedule/?view=bydate&amp;release=theatrical&amp;date=2017-09-28&amp;p=.htm"/>
    <hyperlink ref="C234" r:id="rId685" display="http://www.boxofficemojo.com/movies/?id=thewomansbalcony.htm"/>
    <hyperlink ref="E234" r:id="rId686" display="http://www.boxofficemojo.com/studio/chart/?studio=menemsha.htm"/>
    <hyperlink ref="J234" r:id="rId687" display="http://www.boxofficemojo.com/schedule/?view=bydate&amp;release=theatrical&amp;date=2017-03-03&amp;p=.htm"/>
    <hyperlink ref="C235" r:id="rId688" display="http://www.boxofficemojo.com/movies/?id=spiritedawayfathom.htm"/>
    <hyperlink ref="E235" r:id="rId689" display="http://www.boxofficemojo.com/studio/chart/?studio=fathom.htm"/>
    <hyperlink ref="J235" r:id="rId690" display="http://www.boxofficemojo.com/schedule/?view=bydate&amp;release=theatrical&amp;date=2017-10-27&amp;p=.htm"/>
    <hyperlink ref="C236" r:id="rId691" display="http://www.boxofficemojo.com/movies/?id=thetriptospain.htm"/>
    <hyperlink ref="E236" r:id="rId692" display="http://www.boxofficemojo.com/studio/chart/?studio=ifc.htm"/>
    <hyperlink ref="J236" r:id="rId693" display="http://www.boxofficemojo.com/schedule/?view=bydate&amp;release=theatrical&amp;date=2017-08-11&amp;p=.htm"/>
    <hyperlink ref="C237" r:id="rId694" display="http://www.boxofficemojo.com/movies/?id=step2017.htm"/>
    <hyperlink ref="E237" r:id="rId695" display="http://www.boxofficemojo.com/studio/chart/?studio=foxsearchlight.htm"/>
    <hyperlink ref="J237" r:id="rId696" display="http://www.boxofficemojo.com/schedule/?view=bydate&amp;release=theatrical&amp;date=2017-08-04&amp;p=.htm"/>
    <hyperlink ref="C238" r:id="rId697" display="http://www.boxofficemojo.com/movies/?id=ladymacbeth.htm"/>
    <hyperlink ref="E238" r:id="rId698" display="http://www.boxofficemojo.com/studio/chart/?studio=roadsideattractions.htm"/>
    <hyperlink ref="J238" r:id="rId699" display="http://www.boxofficemojo.com/schedule/?view=bydate&amp;release=theatrical&amp;date=2017-07-14&amp;p=.htm"/>
    <hyperlink ref="C239" r:id="rId700" display="http://www.boxofficemojo.com/movies/?id=viceroyshouse.htm"/>
    <hyperlink ref="E239" r:id="rId701" display="http://www.boxofficemojo.com/studio/chart/?studio=ifc.htm"/>
    <hyperlink ref="J239" r:id="rId702" display="http://www.boxofficemojo.com/schedule/?view=bydate&amp;release=theatrical&amp;date=2017-09-01&amp;p=.htm"/>
    <hyperlink ref="C240" r:id="rId703" display="http://www.boxofficemojo.com/movies/?id=thebattleshipisland.htm"/>
    <hyperlink ref="E240" r:id="rId704" display="http://www.boxofficemojo.com/studio/chart/?studio=cjentertainment.htm"/>
    <hyperlink ref="J240" r:id="rId705" display="http://www.boxofficemojo.com/schedule/?view=bydate&amp;release=theatrical&amp;date=2017-07-26&amp;p=.htm"/>
    <hyperlink ref="C241" r:id="rId706" display="http://www.boxofficemojo.com/movies/?id=wonderstruck.htm"/>
    <hyperlink ref="E241" r:id="rId707" display="http://www.boxofficemojo.com/studio/chart/?studio=roadsideattractions.htm"/>
    <hyperlink ref="J241" r:id="rId708" display="http://www.boxofficemojo.com/schedule/?view=bydate&amp;release=theatrical&amp;date=2017-10-20&amp;p=.htm"/>
    <hyperlink ref="C242" r:id="rId709" display="http://www.boxofficemojo.com/movies/?id=judgmentday3d.htm"/>
    <hyperlink ref="E242" r:id="rId710" display="http://www.boxofficemojo.com/studio/chart/?studio=distribfilms.htm"/>
    <hyperlink ref="J242" r:id="rId711" display="http://www.boxofficemojo.com/schedule/?view=bydate&amp;release=theatrical&amp;date=2017-08-25&amp;p=.htm"/>
    <hyperlink ref="C243" r:id="rId712" display="http://www.boxofficemojo.com/movies/?id=casablanca75.htm"/>
    <hyperlink ref="E243" r:id="rId713" display="http://www.boxofficemojo.com/studio/chart/?studio=fathom.htm"/>
    <hyperlink ref="J243" r:id="rId714" display="http://www.boxofficemojo.com/schedule/?view=bydate&amp;release=theatrical&amp;date=2017-11-12&amp;p=.htm"/>
    <hyperlink ref="C244" r:id="rId715" display="http://www.boxofficemojo.com/movies/?id=columbus.htm"/>
    <hyperlink ref="E244" r:id="rId716" display="http://www.boxofficemojo.com/studio/chart/?studio=independent.htm"/>
    <hyperlink ref="J244" r:id="rId717" display="http://www.boxofficemojo.com/schedule/?view=bydate&amp;release=theatrical&amp;date=2017-08-04&amp;p=.htm"/>
    <hyperlink ref="C245" r:id="rId718" display="http://www.boxofficemojo.com/movies/?id=yugiohthedarkside.htm"/>
    <hyperlink ref="E245" r:id="rId719" display="http://www.boxofficemojo.com/studio/chart/?studio=screenvision.htm"/>
    <hyperlink ref="J245" r:id="rId720" display="http://www.boxofficemojo.com/schedule/?view=bydate&amp;release=theatrical&amp;date=2017-01-27&amp;p=.htm"/>
    <hyperlink ref="C246" r:id="rId721" display="http://www.boxofficemojo.com/movies/?id=golmaalagain.htm"/>
    <hyperlink ref="E246" r:id="rId722" display="http://www.boxofficemojo.com/studio/chart/?studio=reliance.htm"/>
    <hyperlink ref="J246" r:id="rId723" display="http://www.boxofficemojo.com/schedule/?view=bydate&amp;release=theatrical&amp;date=2017-10-20&amp;p=.htm"/>
    <hyperlink ref="C247" r:id="rId724" display="http://www.boxofficemojo.com/movies/?id=lastflagflying.htm"/>
    <hyperlink ref="E247" r:id="rId725" display="http://www.boxofficemojo.com/studio/chart/?studio=lionsgate.htm"/>
    <hyperlink ref="J247" r:id="rId726" display="http://www.boxofficemojo.com/schedule/?view=bydate&amp;release=theatrical&amp;date=2017-11-03&amp;p=.htm"/>
    <hyperlink ref="C248" r:id="rId727" display="http://www.boxofficemojo.com/movies/?id=lucky2017.htm"/>
    <hyperlink ref="E248" r:id="rId728" display="http://www.boxofficemojo.com/studio/chart/?studio=magnolia.htm"/>
    <hyperlink ref="J248" r:id="rId729" display="http://www.boxofficemojo.com/schedule/?view=bydate&amp;release=theatrical&amp;date=2017-09-29&amp;p=.htm"/>
    <hyperlink ref="C249" r:id="rId730" display="http://www.boxofficemojo.com/movies/?id=landline.htm"/>
    <hyperlink ref="E249" r:id="rId731" display="http://www.boxofficemojo.com/studio/chart/?studio=magnolia.htm"/>
    <hyperlink ref="J249" r:id="rId732" display="http://www.boxofficemojo.com/schedule/?view=bydate&amp;release=theatrical&amp;date=2017-07-21&amp;p=.htm"/>
    <hyperlink ref="C250" r:id="rId733" display="http://www.boxofficemojo.com/movies/?id=tubelight.htm"/>
    <hyperlink ref="E250" r:id="rId734" display="http://www.boxofficemojo.com/studio/chart/?studio=yashraj.htm"/>
    <hyperlink ref="J250" r:id="rId735" display="http://www.boxofficemojo.com/schedule/?view=bydate&amp;release=theatrical&amp;date=2017-06-23&amp;p=.htm"/>
    <hyperlink ref="C251" r:id="rId736" display="http://www.boxofficemojo.com/movies/?id=theredturtle.htm"/>
    <hyperlink ref="E251" r:id="rId737" display="http://www.boxofficemojo.com/studio/chart/?studio=sonyclassics.htm"/>
    <hyperlink ref="J251" r:id="rId738" display="http://www.boxofficemojo.com/schedule/?view=bydate&amp;release=theatrical&amp;date=2017-01-20&amp;p=.htm"/>
    <hyperlink ref="C252" r:id="rId739" display="http://www.boxofficemojo.com/movies/?id=frantz.htm"/>
    <hyperlink ref="E252" r:id="rId740" display="http://www.boxofficemojo.com/studio/chart/?studio=musicboxfilms.htm"/>
    <hyperlink ref="J252" r:id="rId741" display="http://www.boxofficemojo.com/schedule/?view=bydate&amp;release=theatrical&amp;date=2017-03-15&amp;p=.htm"/>
    <hyperlink ref="C253" r:id="rId742" display="http://www.boxofficemojo.com/movies/?id=journeytothewest2.htm"/>
    <hyperlink ref="E253" r:id="rId743" display="http://www.boxofficemojo.com/studio/chart/?studio=sony.htm"/>
    <hyperlink ref="J253" r:id="rId744" display="http://www.boxofficemojo.com/schedule/?view=bydate&amp;release=theatrical&amp;date=2017-02-03&amp;p=.htm"/>
    <hyperlink ref="C254" r:id="rId745" display="http://www.boxofficemojo.com/movies/?id=thepolarexpress2017.htm"/>
    <hyperlink ref="E254" r:id="rId746" display="http://www.boxofficemojo.com/studio/chart/?studio=warnerbros.htm"/>
    <hyperlink ref="J254" r:id="rId747" display="http://www.boxofficemojo.com/schedule/?view=bydate&amp;release=theatrical&amp;date=2017-11-17&amp;p=.htm"/>
    <hyperlink ref="C255" r:id="rId748" display="http://www.boxofficemojo.com/movies/?id=jaggajasoos.htm"/>
    <hyperlink ref="E255" r:id="rId749" display="http://www.boxofficemojo.com/studio/chart/?studio=utv.htm"/>
    <hyperlink ref="J255" r:id="rId750" display="http://www.boxofficemojo.com/schedule/?view=bydate&amp;release=theatrical&amp;date=2017-07-14&amp;p=.htm"/>
    <hyperlink ref="C256" r:id="rId751" display="http://www.boxofficemojo.com/movies/?id=exfile3.htm"/>
    <hyperlink ref="E256" r:id="rId752" display="http://www.boxofficemojo.com/studio/chart/?studio=chinalion.htm"/>
    <hyperlink ref="J256" r:id="rId753" display="http://www.boxofficemojo.com/schedule/?view=bydate&amp;release=theatrical&amp;date=2017-12-29&amp;p=.htm"/>
    <hyperlink ref="C257" r:id="rId754" display="http://www.boxofficemojo.com/movies/?id=patticakes.htm"/>
    <hyperlink ref="E257" r:id="rId755" display="http://www.boxofficemojo.com/studio/chart/?studio=foxsearchlight.htm"/>
    <hyperlink ref="J257" r:id="rId756" display="http://www.boxofficemojo.com/schedule/?view=bydate&amp;release=theatrical&amp;date=2017-08-18&amp;p=.htm"/>
    <hyperlink ref="C258" r:id="rId757" display="http://www.boxofficemojo.com/movies/?id=georgetakeisallegiance.htm"/>
    <hyperlink ref="E258" r:id="rId758" display="http://www.boxofficemojo.com/studio/chart/?studio=fathom.htm"/>
    <hyperlink ref="J258" r:id="rId759" display="http://www.boxofficemojo.com/schedule/?view=bydate&amp;release=theatrical&amp;date=2017-02-19&amp;p=.htm"/>
    <hyperlink ref="C259" r:id="rId760" display="http://www.boxofficemojo.com/movies/?id=markfelt.htm"/>
    <hyperlink ref="E259" r:id="rId761" display="http://www.boxofficemojo.com/studio/chart/?studio=sonyclassics.htm"/>
    <hyperlink ref="J259" r:id="rId762" display="http://www.boxofficemojo.com/schedule/?view=bydate&amp;release=theatrical&amp;date=2017-09-29&amp;p=.htm"/>
    <hyperlink ref="C260" r:id="rId763" display="http://www.boxofficemojo.com/movies/?id=mubarakan.htm"/>
    <hyperlink ref="E260" r:id="rId764" display="http://www.boxofficemojo.com/studio/chart/?studio=sony.htm"/>
    <hyperlink ref="J260" r:id="rId765" display="http://www.boxofficemojo.com/schedule/?view=bydate&amp;release=theatrical&amp;date=2017-07-28&amp;p=.htm"/>
    <hyperlink ref="C261" r:id="rId766" display="http://www.boxofficemojo.com/movies/?id=mayitlast:aportraitoftheavettbrothers.htm"/>
    <hyperlink ref="E261" r:id="rId767" display="http://www.boxofficemojo.com/studio/chart/?studio=oscilloscopepictures.htm"/>
    <hyperlink ref="J261" r:id="rId768" display="http://www.boxofficemojo.com/schedule/?view=bydate&amp;release=theatrical&amp;date=2017-09-12&amp;p=.htm"/>
    <hyperlink ref="C262" r:id="rId769" display="http://www.boxofficemojo.com/movies/?id=kirkcameronreviveus2.htm"/>
    <hyperlink ref="E262" r:id="rId770" display="http://www.boxofficemojo.com/studio/chart/?studio=fathom.htm"/>
    <hyperlink ref="J262" r:id="rId771" display="http://www.boxofficemojo.com/schedule/?view=bydate&amp;release=theatrical&amp;date=2017-10-24&amp;p=.htm"/>
    <hyperlink ref="C263" r:id="rId772" display="http://www.boxofficemojo.com/movies/?id=theexception.htm"/>
    <hyperlink ref="E263" r:id="rId773" display="http://www.boxofficemojo.com/studio/chart/?studio=a24.htm"/>
    <hyperlink ref="J263" r:id="rId774" display="http://www.boxofficemojo.com/schedule/?view=bydate&amp;release=theatrical&amp;date=2017-06-02&amp;p=.htm"/>
    <hyperlink ref="C264" r:id="rId775" display="http://www.boxofficemojo.com/movies/?id=canelovsggg.htm"/>
    <hyperlink ref="E264" r:id="rId776" display="http://www.boxofficemojo.com/studio/chart/?studio=fathom.htm"/>
    <hyperlink ref="J264" r:id="rId777" display="http://www.boxofficemojo.com/schedule/?view=bydate&amp;release=theatrical&amp;date=2017-09-16&amp;p=.htm"/>
    <hyperlink ref="C265" r:id="rId778" display="http://www.boxofficemojo.com/movies/?id=facesplaces.htm"/>
    <hyperlink ref="E265" r:id="rId779" display="http://www.boxofficemojo.com/studio/chart/?studio=cohenmedia.htm"/>
    <hyperlink ref="J265" r:id="rId780" display="http://www.boxofficemojo.com/schedule/?view=bydate&amp;release=theatrical&amp;date=2017-10-06&amp;p=.htm"/>
    <hyperlink ref="C266" r:id="rId781" display="http://www.boxofficemojo.com/movies/?id=chrisbrownwelcome.htm"/>
    <hyperlink ref="E266" r:id="rId782" display="http://www.boxofficemojo.com/studio/chart/?studio=fathom.htm"/>
    <hyperlink ref="J266" r:id="rId783" display="http://www.boxofficemojo.com/schedule/?view=bydate&amp;release=theatrical&amp;date=2017-06-08&amp;p=.htm"/>
    <hyperlink ref="C267" r:id="rId784" display="http://www.boxofficemojo.com/movies/?id=titanic20thanniversary.htm"/>
    <hyperlink ref="E267" r:id="rId785" display="http://www.boxofficemojo.com/studio/chart/?studio=paramount.htm"/>
    <hyperlink ref="J267" r:id="rId786" display="http://www.boxofficemojo.com/schedule/?view=bydate&amp;release=theatrical&amp;date=2017-12-01&amp;p=.htm"/>
    <hyperlink ref="C268" r:id="rId787" display="http://www.boxofficemojo.com/movies/?id=lostinparis.htm"/>
    <hyperlink ref="E268" r:id="rId788" display="http://www.boxofficemojo.com/studio/chart/?studio=oscilloscopepictures.htm"/>
    <hyperlink ref="J268" r:id="rId789" display="http://www.boxofficemojo.com/schedule/?view=bydate&amp;release=theatrical&amp;date=2017-06-16&amp;p=.htm"/>
    <hyperlink ref="C269" r:id="rId790" display="http://www.boxofficemojo.com/movies/?id=subhmangalsavdhan.htm"/>
    <hyperlink ref="E269" r:id="rId791" display="http://www.boxofficemojo.com/studio/chart/?studio=eros.htm"/>
    <hyperlink ref="J269" r:id="rId792" display="http://www.boxofficemojo.com/schedule/?view=bydate&amp;release=theatrical&amp;date=2017-09-01&amp;p=.htm"/>
    <hyperlink ref="C270" r:id="rId793" display="http://www.boxofficemojo.com/movies/?id=thedevotionofsuspectx.htm"/>
    <hyperlink ref="E270" r:id="rId794" display="http://www.boxofficemojo.com/studio/chart/?studio=chinalion.htm"/>
    <hyperlink ref="J270" r:id="rId795" display="http://www.boxofficemojo.com/schedule/?view=bydate&amp;release=theatrical&amp;date=2017-03-31&amp;p=.htm"/>
    <hyperlink ref="C271" r:id="rId796" display="http://www.boxofficemojo.com/movies/?id=walkwithme.htm"/>
    <hyperlink ref="E271" r:id="rId797" display="http://www.boxofficemojo.com/studio/chart/?studio=gathrfilms.htm"/>
    <hyperlink ref="J271" r:id="rId798" display="http://www.boxofficemojo.com/schedule/?view=bydate&amp;release=theatrical&amp;date=2017-08-11&amp;p=.htm"/>
    <hyperlink ref="C272" r:id="rId799" display="http://www.boxofficemojo.com/movies/?id=wilson2016.htm"/>
    <hyperlink ref="E272" r:id="rId800" display="http://www.boxofficemojo.com/studio/chart/?studio=foxsearchlight.htm"/>
    <hyperlink ref="J272" r:id="rId801" display="http://www.boxofficemojo.com/schedule/?view=bydate&amp;release=theatrical&amp;date=2017-03-24&amp;p=.htm"/>
    <hyperlink ref="C273" r:id="rId802" display="http://www.boxofficemojo.com/movies/?id=theonlylivingboyinnewyork.htm"/>
    <hyperlink ref="E273" r:id="rId803" display="http://www.boxofficemojo.com/studio/chart/?studio=roadsideattractions.htm"/>
    <hyperlink ref="J273" r:id="rId804" display="http://www.boxofficemojo.com/schedule/?view=bydate&amp;release=theatrical&amp;date=2017-08-11&amp;p=.htm"/>
    <hyperlink ref="C274" r:id="rId805" display="http://www.boxofficemojo.com/movies/?id=themidwife.htm"/>
    <hyperlink ref="E274" r:id="rId806" display="http://www.boxofficemojo.com/studio/chart/?studio=musicboxfilms.htm"/>
    <hyperlink ref="J274" r:id="rId807" display="http://www.boxofficemojo.com/schedule/?view=bydate&amp;release=theatrical&amp;date=2017-07-21&amp;p=.htm"/>
    <hyperlink ref="C275" r:id="rId808" display="http://www.boxofficemojo.com/movies/?id=battleofmemories.htm"/>
    <hyperlink ref="E275" r:id="rId809" display="http://www.boxofficemojo.com/studio/chart/?studio=chinalion.htm"/>
    <hyperlink ref="J275" r:id="rId810" display="http://www.boxofficemojo.com/schedule/?view=bydate&amp;release=theatrical&amp;date=2017-04-28&amp;p=.htm"/>
    <hyperlink ref="C276" r:id="rId811" display="http://www.boxofficemojo.com/movies/?id=novitiate.htm"/>
    <hyperlink ref="E276" r:id="rId812" display="http://www.boxofficemojo.com/studio/chart/?studio=sonyclassics.htm"/>
    <hyperlink ref="J276" r:id="rId813" display="http://www.boxofficemojo.com/schedule/?view=bydate&amp;release=theatrical&amp;date=2017-10-27&amp;p=.htm"/>
    <hyperlink ref="C277" r:id="rId814" display="http://www.boxofficemojo.com/movies/?id=tommyshonour.htm"/>
    <hyperlink ref="E277" r:id="rId815" display="http://www.boxofficemojo.com/studio/chart/?studio=roadsideattractions.htm"/>
    <hyperlink ref="J277" r:id="rId816" display="http://www.boxofficemojo.com/schedule/?view=bydate&amp;release=theatrical&amp;date=2017-04-14&amp;p=.htm"/>
    <hyperlink ref="C278" r:id="rId817" display="http://www.boxofficemojo.com/movies/?id=bitterharvest.htm"/>
    <hyperlink ref="E278" r:id="rId818" display="http://www.boxofficemojo.com/studio/chart/?studio=roadsideattractions.htm"/>
    <hyperlink ref="J278" r:id="rId819" display="http://www.boxofficemojo.com/schedule/?view=bydate&amp;release=theatrical&amp;date=2017-02-24&amp;p=.htm"/>
    <hyperlink ref="C279" r:id="rId820" display="http://www.boxofficemojo.com/movies/?id=samaritanspurse.htm"/>
    <hyperlink ref="E279" r:id="rId821" display="http://www.boxofficemojo.com/studio/chart/?studio=fathom.htm"/>
    <hyperlink ref="J279" r:id="rId822" display="http://www.boxofficemojo.com/schedule/?view=bydate&amp;release=theatrical&amp;date=2017-04-10&amp;p=.htm"/>
    <hyperlink ref="C280" r:id="rId823" display="http://www.boxofficemojo.com/movies/?id=dolores.htm"/>
    <hyperlink ref="E280" r:id="rId824" display="http://www.boxofficemojo.com/studio/chart/?studio=pbs.htm"/>
    <hyperlink ref="J280" r:id="rId825" display="http://www.boxofficemojo.com/schedule/?view=bydate&amp;release=theatrical&amp;date=2017-09-01&amp;p=.htm"/>
    <hyperlink ref="C281" r:id="rId826" display="http://www.boxofficemojo.com/movies/?id=brigsbybear.htm"/>
    <hyperlink ref="E281" r:id="rId827" display="http://www.boxofficemojo.com/studio/chart/?studio=sonyclassics.htm"/>
    <hyperlink ref="J281" r:id="rId828" display="http://www.boxofficemojo.com/schedule/?view=bydate&amp;release=theatrical&amp;date=2017-07-28&amp;p=.htm"/>
    <hyperlink ref="C282" r:id="rId829" display="http://www.boxofficemojo.com/movies/?id=humanflow.htm"/>
    <hyperlink ref="E282" r:id="rId830" display="http://www.boxofficemojo.com/studio/chart/?studio=magnolia.htm"/>
    <hyperlink ref="J282" r:id="rId831" display="http://www.boxofficemojo.com/schedule/?view=bydate&amp;release=theatrical&amp;date=2017-10-13&amp;p=.htm"/>
    <hyperlink ref="C283" r:id="rId832" display="http://www.boxofficemojo.com/movies/?id=jonahonstage.htm"/>
    <hyperlink ref="E283" r:id="rId833" display="http://www.boxofficemojo.com/studio/chart/?studio=fathom.htm"/>
    <hyperlink ref="J283" r:id="rId834" display="http://www.boxofficemojo.com/schedule/?view=bydate&amp;release=theatrical&amp;date=2017-05-02&amp;p=.htm"/>
    <hyperlink ref="C284" r:id="rId835" display="http://www.boxofficemojo.com/movies/?id=fairytaildragoncry.htm"/>
    <hyperlink ref="E284" r:id="rId836" display="http://www.boxofficemojo.com/studio/chart/?studio=funimation.htm"/>
    <hyperlink ref="J284" r:id="rId837" display="http://www.boxofficemojo.com/schedule/?view=bydate&amp;release=theatrical&amp;date=2017-08-14&amp;p=.htm"/>
    <hyperlink ref="C285" r:id="rId838" display="http://www.boxofficemojo.com/movies/?id=raw2017.htm"/>
    <hyperlink ref="E285" r:id="rId839" display="http://www.boxofficemojo.com/studio/chart/?studio=focusworld.htm"/>
    <hyperlink ref="J285" r:id="rId840" display="http://www.boxofficemojo.com/schedule/?view=bydate&amp;release=theatrical&amp;date=2017-03-10&amp;p=.htm"/>
    <hyperlink ref="C286" r:id="rId841" display="http://www.boxofficemojo.com/movies/?id=ourpresident.htm"/>
    <hyperlink ref="E286" r:id="rId842" display="http://www.boxofficemojo.com/studio/chart/?studio=cjentertainment.htm"/>
    <hyperlink ref="J286" r:id="rId843" display="http://www.boxofficemojo.com/schedule/?view=bydate&amp;release=theatrical&amp;date=2017-06-02&amp;p=.htm"/>
    <hyperlink ref="C287" r:id="rId844" display="http://www.boxofficemojo.com/movies/?id=breathe2017.htm"/>
    <hyperlink ref="E287" r:id="rId845" display="http://www.boxofficemojo.com/studio/chart/?studio=bleeckerstreet.htm"/>
    <hyperlink ref="J287" r:id="rId846" display="http://www.boxofficemojo.com/schedule/?view=bydate&amp;release=theatrical&amp;date=2017-10-13&amp;p=.htm"/>
    <hyperlink ref="C288" r:id="rId847" display="http://www.boxofficemojo.com/movies/?id=onceuponatime.htm"/>
    <hyperlink ref="E288" r:id="rId848" display="http://www.boxofficemojo.com/studio/chart/?studio=wellgo.htm"/>
    <hyperlink ref="J288" r:id="rId849" display="http://www.boxofficemojo.com/schedule/?view=bydate&amp;release=theatrical&amp;date=2017-08-11&amp;p=.htm"/>
    <hyperlink ref="C289" r:id="rId850" display="http://www.boxofficemojo.com/movies/?id=confidentialassignment.htm"/>
    <hyperlink ref="E289" r:id="rId851" display="http://www.boxofficemojo.com/studio/chart/?studio=cjentertainment.htm"/>
    <hyperlink ref="J289" r:id="rId852" display="http://www.boxofficemojo.com/schedule/?view=bydate&amp;release=theatrical&amp;date=2017-01-27&amp;p=.htm"/>
    <hyperlink ref="C290" r:id="rId853" display="http://www.boxofficemojo.com/movies/?id=beachrats.htm"/>
    <hyperlink ref="E290" r:id="rId854" display="http://www.boxofficemojo.com/studio/chart/?studio=neon.htm"/>
    <hyperlink ref="J290" r:id="rId855" display="http://www.boxofficemojo.com/schedule/?view=bydate&amp;release=theatrical&amp;date=2017-08-25&amp;p=.htm"/>
    <hyperlink ref="C291" r:id="rId856" display="http://www.boxofficemojo.com/movies/?id=duckweed.htm"/>
    <hyperlink ref="E291" r:id="rId857" display="http://www.boxofficemojo.com/studio/chart/?studio=chinalion.htm"/>
    <hyperlink ref="J291" r:id="rId858" display="http://www.boxofficemojo.com/schedule/?view=bydate&amp;release=theatrical&amp;date=2017-02-10&amp;p=.htm"/>
    <hyperlink ref="C292" r:id="rId859" display="http://www.boxofficemojo.com/movies/?id=dci2017tourpremeire.htm"/>
    <hyperlink ref="E292" r:id="rId860" display="http://www.boxofficemojo.com/studio/chart/?studio=fathom.htm"/>
    <hyperlink ref="J292" r:id="rId861" display="http://www.boxofficemojo.com/schedule/?view=bydate&amp;release=theatrical&amp;date=2017-06-22&amp;p=.htm"/>
    <hyperlink ref="C293" r:id="rId862" display="http://www.boxofficemojo.com/movies/?id=phillauri.htm"/>
    <hyperlink ref="E293" r:id="rId863" display="http://www.boxofficemojo.com/studio/chart/?studio=fip.htm"/>
    <hyperlink ref="J293" r:id="rId864" display="http://www.boxofficemojo.com/schedule/?view=bydate&amp;release=theatrical&amp;date=2017-03-24&amp;p=.htm"/>
    <hyperlink ref="C294" r:id="rId865" display="http://www.boxofficemojo.com/movies/?id=chasingthedragon.htm"/>
    <hyperlink ref="E294" r:id="rId866" display="http://www.boxofficemojo.com/studio/chart/?studio=wellgo.htm"/>
    <hyperlink ref="J294" r:id="rId867" display="http://www.boxofficemojo.com/schedule/?view=bydate&amp;release=theatrical&amp;date=2017-09-29&amp;p=.htm"/>
    <hyperlink ref="C295" r:id="rId868" display="http://www.boxofficemojo.com/movies/?id=sailormoonrthemovie.htm"/>
    <hyperlink ref="E295" r:id="rId869" display="http://www.boxofficemojo.com/studio/chart/?studio=elevenarts.htm"/>
    <hyperlink ref="J295" r:id="rId870" display="http://www.boxofficemojo.com/schedule/?view=bydate&amp;release=theatrical&amp;date=2017-01-19&amp;p=.htm"/>
    <hyperlink ref="C296" r:id="rId871" display="http://www.boxofficemojo.com/movies/?id=songtosong.htm"/>
    <hyperlink ref="E296" r:id="rId872" display="http://www.boxofficemojo.com/studio/chart/?studio=broadgreen.htm"/>
    <hyperlink ref="J296" r:id="rId873" display="http://www.boxofficemojo.com/schedule/?view=bydate&amp;release=theatrical&amp;date=2017-03-17&amp;p=.htm"/>
    <hyperlink ref="C297" r:id="rId874" display="http://www.boxofficemojo.com/movies/?id=onepiecefilmgold.htm"/>
    <hyperlink ref="E297" r:id="rId875" display="http://www.boxofficemojo.com/studio/chart/?studio=funimation.htm"/>
    <hyperlink ref="J297" r:id="rId876" display="http://www.boxofficemojo.com/schedule/?view=bydate&amp;release=theatrical&amp;date=2017-01-10&amp;p=.htm"/>
    <hyperlink ref="C298" r:id="rId877" display="http://www.boxofficemojo.com/movies/?id=agentleman.htm"/>
    <hyperlink ref="E298" r:id="rId878" display="http://www.boxofficemojo.com/studio/chart/?studio=fip.htm"/>
    <hyperlink ref="J298" r:id="rId879" display="http://www.boxofficemojo.com/schedule/?view=bydate&amp;release=theatrical&amp;date=2017-08-25&amp;p=.htm"/>
    <hyperlink ref="C299" r:id="rId880" display="http://www.boxofficemojo.com/movies/?id=love,kennedy.htm"/>
    <hyperlink ref="E299" r:id="rId881" display="http://www.boxofficemojo.com/studio/chart/?studio=purdie.htm"/>
    <hyperlink ref="J299" r:id="rId882" display="http://www.boxofficemojo.com/schedule/?view=bydate&amp;release=theatrical&amp;date=2017-06-02&amp;p=.htm"/>
    <hyperlink ref="C300" r:id="rId883" display="http://www.boxofficemojo.com/movies/?id=chasingtrane.htm"/>
    <hyperlink ref="E300" r:id="rId884" display="http://www.boxofficemojo.com/studio/chart/?studio=abramorama.htm"/>
    <hyperlink ref="J300" r:id="rId885" display="http://www.boxofficemojo.com/schedule/?view=bydate&amp;release=theatrical&amp;date=2017-04-14&amp;p=.htm"/>
    <hyperlink ref="C301" r:id="rId886" display="http://www.boxofficemojo.com/movies/?id=rifftraxsamuraicop.htm"/>
    <hyperlink ref="E301" r:id="rId887" display="http://www.boxofficemojo.com/studio/chart/?studio=fathom.htm"/>
    <hyperlink ref="J301" r:id="rId888" display="http://www.boxofficemojo.com/schedule/?view=bydate&amp;release=theatrical&amp;date=2017-04-13&amp;p=.htm"/>
    <hyperlink ref="C302" r:id="rId889" display="http://www.boxofficemojo.com/movies/?id=i'llpushyou.htm"/>
    <hyperlink ref="E302" r:id="rId890" display="http://www.boxofficemojo.com/studio/chart/?studio=fathom.htm"/>
    <hyperlink ref="J302" r:id="rId891" display="http://www.boxofficemojo.com/schedule/?view=bydate&amp;release=theatrical&amp;date=2017-11-02&amp;p=.htm"/>
    <hyperlink ref="C303" r:id="rId892" display="http://www.boxofficemojo.com/movies/?id=rebelintherye.htm"/>
    <hyperlink ref="E303" r:id="rId893" display="http://www.boxofficemojo.com/studio/chart/?studio=ifc.htm"/>
    <hyperlink ref="J303" r:id="rId894" display="http://www.boxofficemojo.com/schedule/?view=bydate&amp;release=theatrical&amp;date=2017-09-08&amp;p=.htm"/>
    <hyperlink ref="C304" r:id="rId895" display="http://www.boxofficemojo.com/movies/?id=bostonrunning.htm"/>
    <hyperlink ref="E304" r:id="rId896" display="http://www.boxofficemojo.com/studio/chart/?studio=fathom.htm"/>
    <hyperlink ref="J304" r:id="rId897" display="http://www.boxofficemojo.com/schedule/?view=bydate&amp;release=theatrical&amp;date=2017-04-19&amp;p=.htm"/>
    <hyperlink ref="C305" r:id="rId898" display="http://www.boxofficemojo.com/movies/?id=kungfuyoga.htm"/>
    <hyperlink ref="E305" r:id="rId899" display="http://www.boxofficemojo.com/studio/chart/?studio=wellgo.htm"/>
    <hyperlink ref="J305" r:id="rId900" display="http://www.boxofficemojo.com/schedule/?view=bydate&amp;release=theatrical&amp;date=2017-01-27&amp;p=.htm"/>
    <hyperlink ref="C306" r:id="rId901" display="http://www.boxofficemojo.com/movies/?id=disneyjuniorhalloveenparty.htm"/>
    <hyperlink ref="E306" r:id="rId902" display="http://www.boxofficemojo.com/studio/chart/?studio=fathom.htm"/>
    <hyperlink ref="J306" r:id="rId903" display="http://www.boxofficemojo.com/schedule/?view=bydate&amp;release=theatrical&amp;date=2017-10-21&amp;p=.htm"/>
    <hyperlink ref="C307" r:id="rId904" display="http://www.boxofficemojo.com/movies/?id=lettersfrombaghdad.htm"/>
    <hyperlink ref="E307" r:id="rId905" display="http://www.boxofficemojo.com/studio/chart/?studio=vitagraph.htm"/>
    <hyperlink ref="J307" r:id="rId906" display="http://www.boxofficemojo.com/schedule/?view=bydate&amp;release=theatrical&amp;date=2017-06-02&amp;p=.htm"/>
    <hyperlink ref="C308" r:id="rId907" display="http://www.boxofficemojo.com/movies/?id=okjaanu.htm"/>
    <hyperlink ref="E308" r:id="rId908" display="http://www.boxofficemojo.com/studio/chart/?studio=fip.htm"/>
    <hyperlink ref="J308" r:id="rId909" display="http://www.boxofficemojo.com/schedule/?view=bydate&amp;release=theatrical&amp;date=2017-01-13&amp;p=.htm"/>
    <hyperlink ref="C309" r:id="rId910" display="http://www.boxofficemojo.com/movies/?id=longstrangetriptheuntoldstoryofthegratefuldead.htm"/>
    <hyperlink ref="E309" r:id="rId911" display="http://www.boxofficemojo.com/studio/chart/?studio=abramorama.htm"/>
    <hyperlink ref="J309" r:id="rId912" display="http://www.boxofficemojo.com/schedule/?view=bydate&amp;release=theatrical&amp;date=2017-05-25&amp;p=.htm"/>
    <hyperlink ref="C310" r:id="rId913" display="http://www.boxofficemojo.com/movies/?id=pearljamletsplaytwo.htm"/>
    <hyperlink ref="E310" r:id="rId914" display="http://www.boxofficemojo.com/studio/chart/?studio=abramorama.htm"/>
    <hyperlink ref="J310" r:id="rId915" display="http://www.boxofficemojo.com/schedule/?view=bydate&amp;release=theatrical&amp;date=2017-09-29&amp;p=.htm"/>
    <hyperlink ref="C311" r:id="rId916" display="http://www.boxofficemojo.com/movies/?id=tomoffinland.htm"/>
    <hyperlink ref="E311" r:id="rId917" display="http://www.boxofficemojo.com/studio/chart/?studio=kinolorber.htm"/>
    <hyperlink ref="J311" r:id="rId918" display="http://www.boxofficemojo.com/schedule/?view=bydate&amp;release=theatrical&amp;date=2017-10-13&amp;p=.htm"/>
    <hyperlink ref="C312" r:id="rId919" display="http://www.boxofficemojo.com/movies/?id=canelovschavezjr.htm"/>
    <hyperlink ref="E312" r:id="rId920" display="http://www.boxofficemojo.com/studio/chart/?studio=fathom.htm"/>
    <hyperlink ref="J312" r:id="rId921" display="http://www.boxofficemojo.com/schedule/?view=bydate&amp;release=theatrical&amp;date=2017-05-06&amp;p=.htm"/>
    <hyperlink ref="C313" r:id="rId922" display="http://www.boxofficemojo.com/movies/?id=thisisnotwhatiexpected.htm"/>
    <hyperlink ref="E313" r:id="rId923" display="http://www.boxofficemojo.com/studio/chart/?studio=wellgo.htm"/>
    <hyperlink ref="J313" r:id="rId924" display="http://www.boxofficemojo.com/schedule/?view=bydate&amp;release=theatrical&amp;date=2017-05-05&amp;p=.htm"/>
    <hyperlink ref="C314" r:id="rId925" display="http://www.boxofficemojo.com/movies/?id=dunkirkreissue.htm"/>
    <hyperlink ref="E314" r:id="rId926" display="http://www.boxofficemojo.com/studio/chart/?studio=warnerbros.htm"/>
    <hyperlink ref="J314" r:id="rId927" display="http://www.boxofficemojo.com/schedule/?view=bydate&amp;release=theatrical&amp;date=2017-12-01&amp;p=.htm"/>
    <hyperlink ref="C315" r:id="rId928" display="http://www.boxofficemojo.com/movies/?id=godsowncountry.htm"/>
    <hyperlink ref="E315" r:id="rId929" display="http://www.boxofficemojo.com/studio/chart/?studio=orion.htm"/>
    <hyperlink ref="J315" r:id="rId930" display="http://www.boxofficemojo.com/schedule/?view=bydate&amp;release=theatrical&amp;date=2017-10-24&amp;p=.htm"/>
    <hyperlink ref="C316" r:id="rId931" display="http://www.boxofficemojo.com/movies/?id=chuck.htm"/>
    <hyperlink ref="E316" r:id="rId932" display="http://www.boxofficemojo.com/studio/chart/?studio=ifc.htm"/>
    <hyperlink ref="J316" r:id="rId933" display="http://www.boxofficemojo.com/schedule/?view=bydate&amp;release=theatrical&amp;date=2017-05-05&amp;p=.htm"/>
    <hyperlink ref="C317" r:id="rId934" display="http://www.boxofficemojo.com/movies/?id=obit.htm"/>
    <hyperlink ref="E317" r:id="rId935" display="http://www.boxofficemojo.com/studio/chart/?studio=kinolorber.htm"/>
    <hyperlink ref="J317" r:id="rId936" display="http://www.boxofficemojo.com/schedule/?view=bydate&amp;release=theatrical&amp;date=2017-01-05&amp;p=.htm"/>
    <hyperlink ref="C318" r:id="rId937" display="http://www.boxofficemojo.com/movies/?id=citizenjane.htm"/>
    <hyperlink ref="E318" r:id="rId938" display="http://www.boxofficemojo.com/studio/chart/?studio=ifc.htm"/>
    <hyperlink ref="J318" r:id="rId939" display="http://www.boxofficemojo.com/schedule/?view=bydate&amp;release=theatrical&amp;date=2017-04-21&amp;p=.htm"/>
    <hyperlink ref="C319" r:id="rId940" display="http://www.boxofficemojo.com/movies/?id=cityofrock.htm"/>
    <hyperlink ref="E319" r:id="rId941" display="http://www.boxofficemojo.com/studio/chart/?studio=wellgo.htm"/>
    <hyperlink ref="J319" r:id="rId942" display="http://www.boxofficemojo.com/schedule/?view=bydate&amp;release=theatrical&amp;date=2017-10-06&amp;p=.htm"/>
    <hyperlink ref="C320" r:id="rId943" display="http://www.boxofficemojo.com/movies/?id=mylifeasazucchini.htm"/>
    <hyperlink ref="E320" r:id="rId944" display="http://www.boxofficemojo.com/studio/chart/?studio=gkids.htm"/>
    <hyperlink ref="J320" r:id="rId945" display="http://www.boxofficemojo.com/schedule/?view=bydate&amp;release=theatrical&amp;date=2017-02-24&amp;p=.htm"/>
    <hyperlink ref="C321" r:id="rId946" display="http://www.boxofficemojo.com/movies/?id=ittefaq.htm"/>
    <hyperlink ref="E321" r:id="rId947" display="http://www.boxofficemojo.com/studio/chart/?studio=yashraj.htm"/>
    <hyperlink ref="J321" r:id="rId948" display="http://www.boxofficemojo.com/schedule/?view=bydate&amp;release=theatrical&amp;date=2017-11-03&amp;p=.htm"/>
    <hyperlink ref="C322" r:id="rId949" display="http://www.boxofficemojo.com/movies/?id=buddiesinindia.htm"/>
    <hyperlink ref="E322" r:id="rId950" display="http://www.boxofficemojo.com/studio/chart/?studio=chinalion.htm"/>
    <hyperlink ref="J322" r:id="rId951" display="http://www.boxofficemojo.com/schedule/?view=bydate&amp;release=theatrical&amp;date=2017-01-27&amp;p=.htm"/>
    <hyperlink ref="C323" r:id="rId952" display="http://www.boxofficemojo.com/movies/?id=idountilidont.htm"/>
    <hyperlink ref="E323" r:id="rId953" display="http://www.boxofficemojo.com/studio/chart/?studio=filmarcade.htm"/>
    <hyperlink ref="J323" r:id="rId954" display="http://www.boxofficemojo.com/schedule/?view=bydate&amp;release=theatrical&amp;date=2017-09-01&amp;p=.htm"/>
    <hyperlink ref="C324" r:id="rId955" display="http://www.boxofficemojo.com/movies/?id=afterthestorm.htm"/>
    <hyperlink ref="E324" r:id="rId956" display="http://www.boxofficemojo.com/studio/chart/?studio=filmmovement.htm"/>
    <hyperlink ref="J324" r:id="rId957" display="http://www.boxofficemojo.com/schedule/?view=bydate&amp;release=theatrical&amp;date=2017-03-17&amp;p=.htm"/>
    <hyperlink ref="C325" r:id="rId958" display="http://www.boxofficemojo.com/movies/?id=stalker2017.htm"/>
    <hyperlink ref="E325" r:id="rId959" display="http://www.boxofficemojo.com/studio/chart/?studio=janusfilms.htm"/>
    <hyperlink ref="J325" r:id="rId960" display="http://www.boxofficemojo.com/schedule/?view=bydate&amp;release=theatrical&amp;date=2017-05-05&amp;p=.htm"/>
    <hyperlink ref="C326" r:id="rId961" display="http://www.boxofficemojo.com/movies/?id=1945.htm"/>
    <hyperlink ref="E326" r:id="rId962" display="http://www.boxofficemojo.com/studio/chart/?studio=menemsha.htm"/>
    <hyperlink ref="J326" r:id="rId963" display="http://www.boxofficemojo.com/schedule/?view=bydate&amp;release=theatrical&amp;date=2017-11-01&amp;p=.htm"/>
    <hyperlink ref="C327" r:id="rId964" display="http://www.boxofficemojo.com/movies/?id=wakefield.htm"/>
    <hyperlink ref="E327" r:id="rId965" display="http://www.boxofficemojo.com/studio/chart/?studio=ifc.htm"/>
    <hyperlink ref="J327" r:id="rId966" display="http://www.boxofficemojo.com/schedule/?view=bydate&amp;release=theatrical&amp;date=2017-05-19&amp;p=.htm"/>
    <hyperlink ref="C328" r:id="rId967" display="http://www.boxofficemojo.com/movies/?id=i,danielblake.htm"/>
    <hyperlink ref="E328" r:id="rId968" display="http://www.boxofficemojo.com/studio/chart/?studio=ifc.htm"/>
    <hyperlink ref="J328" r:id="rId969" display="http://www.boxofficemojo.com/schedule/?view=bydate&amp;release=theatrical&amp;date=2017-06-02&amp;p=.htm"/>
    <hyperlink ref="C329" r:id="rId970" display="http://www.boxofficemojo.com/movies/?id=cezanneetmoi.htm"/>
    <hyperlink ref="E329" r:id="rId971" display="http://www.boxofficemojo.com/studio/chart/?studio=magnolia.htm"/>
    <hyperlink ref="J329" r:id="rId972" display="http://www.boxofficemojo.com/schedule/?view=bydate&amp;release=theatrical&amp;date=2017-03-31&amp;p=.htm"/>
    <hyperlink ref="C330" r:id="rId973" display="http://www.boxofficemojo.com/movies/?id=dean.htm"/>
    <hyperlink ref="E330" r:id="rId974" display="http://www.boxofficemojo.com/studio/chart/?studio=cbsfilms.htm"/>
    <hyperlink ref="J330" r:id="rId975" display="http://www.boxofficemojo.com/schedule/?view=bydate&amp;release=theatrical&amp;date=2017-06-02&amp;p=.htm"/>
    <hyperlink ref="C331" r:id="rId976" display="http://www.boxofficemojo.com/movies/?id=thefortress.htm"/>
    <hyperlink ref="E331" r:id="rId977" display="http://www.boxofficemojo.com/studio/chart/?studio=cjentertainment.htm"/>
    <hyperlink ref="J331" r:id="rId978" display="http://www.boxofficemojo.com/schedule/?view=bydate&amp;release=theatrical&amp;date=2017-10-06&amp;p=.htm"/>
    <hyperlink ref="C332" r:id="rId979" display="http://www.boxofficemojo.com/movies/?id=gook.htm"/>
    <hyperlink ref="E332" r:id="rId980" display="http://www.boxofficemojo.com/studio/chart/?studio=samuelgoldwyn.htm"/>
    <hyperlink ref="J332" r:id="rId981" display="http://www.boxofficemojo.com/schedule/?view=bydate&amp;release=theatrical&amp;date=2017-08-18&amp;p=.htm"/>
    <hyperlink ref="C333" r:id="rId982" display="http://www.boxofficemojo.com/movies/?id=sarkar3.htm"/>
    <hyperlink ref="E333" r:id="rId983" display="http://www.boxofficemojo.com/studio/chart/?studio=eros.htm"/>
    <hyperlink ref="J333" r:id="rId984" display="http://www.boxofficemojo.com/schedule/?view=bydate&amp;release=theatrical&amp;date=2017-05-12&amp;p=.htm"/>
    <hyperlink ref="C334" r:id="rId985" display="http://www.boxofficemojo.com/movies/?id=bandaid.htm"/>
    <hyperlink ref="E334" r:id="rId986" display="http://www.boxofficemojo.com/studio/chart/?studio=ifc.htm"/>
    <hyperlink ref="J334" r:id="rId987" display="http://www.boxofficemojo.com/schedule/?view=bydate&amp;release=theatrical&amp;date=2017-06-02&amp;p=.htm"/>
    <hyperlink ref="C335" r:id="rId988" display="http://www.boxofficemojo.com/movies/?id=blackbutler.htm"/>
    <hyperlink ref="E335" r:id="rId989" display="http://www.boxofficemojo.com/studio/chart/?studio=funimation.htm"/>
    <hyperlink ref="J335" r:id="rId990" display="http://www.boxofficemojo.com/schedule/?view=bydate&amp;release=theatrical&amp;date=2017-06-12&amp;p=.htm"/>
    <hyperlink ref="C336" r:id="rId991" display="http://www.boxofficemojo.com/movies/?id=thebreadwinner.htm"/>
    <hyperlink ref="E336" r:id="rId992" display="http://www.boxofficemojo.com/studio/chart/?studio=gkids.htm"/>
    <hyperlink ref="J336" r:id="rId993" display="http://www.boxofficemojo.com/schedule/?view=bydate&amp;release=theatrical&amp;date=2017-11-17&amp;p=.htm"/>
    <hyperlink ref="C337" r:id="rId994" display="http://www.boxofficemojo.com/movies/?id=theswindlers.htm"/>
    <hyperlink ref="E337" r:id="rId995" display="http://www.boxofficemojo.com/studio/chart/?studio=wellgo.htm"/>
    <hyperlink ref="J337" r:id="rId996" display="http://www.boxofficemojo.com/schedule/?view=bydate&amp;release=theatrical&amp;date=2017-12-01&amp;p=.htm"/>
    <hyperlink ref="C338" r:id="rId997" display="http://www.boxofficemojo.com/movies/?id=ottomanlieutenant.htm"/>
    <hyperlink ref="E338" r:id="rId998" display="http://www.boxofficemojo.com/studio/chart/?studio=paladin.htm"/>
    <hyperlink ref="J338" r:id="rId999" display="http://www.boxofficemojo.com/schedule/?view=bydate&amp;release=theatrical&amp;date=2017-03-10&amp;p=.htm"/>
    <hyperlink ref="C339" r:id="rId1000" display="http://www.boxofficemojo.com/movies/?id=crownheights.htm"/>
    <hyperlink ref="E339" r:id="rId1001" display="http://www.boxofficemojo.com/studio/chart/?studio=ifc.htm"/>
    <hyperlink ref="J339" r:id="rId1002" display="http://www.boxofficemojo.com/schedule/?view=bydate&amp;release=theatrical&amp;date=2017-08-18&amp;p=.htm"/>
    <hyperlink ref="C340" r:id="rId1003" display="http://www.boxofficemojo.com/movies/?id=americansatan.htm"/>
    <hyperlink ref="E340" r:id="rId1004" display="http://www.boxofficemojo.com/studio/chart/?studio=sumerian.htm"/>
    <hyperlink ref="J340" r:id="rId1005" display="http://www.boxofficemojo.com/schedule/?view=bydate&amp;release=theatrical&amp;date=2017-10-13&amp;p=.htm"/>
    <hyperlink ref="C341" r:id="rId1006" display="http://www.boxofficemojo.com/movies/?id=littleshopofhorrorsdc.htm"/>
    <hyperlink ref="E341" r:id="rId1007" display="http://www.boxofficemojo.com/studio/chart/?studio=fathom.htm"/>
    <hyperlink ref="J341" r:id="rId1008" display="http://www.boxofficemojo.com/schedule/?view=bydate&amp;release=theatrical&amp;date=2017-10-27&amp;p=.htm"/>
    <hyperlink ref="C342" r:id="rId1009" display="http://www.boxofficemojo.com/movies/?id=jeremiahtower.htm"/>
    <hyperlink ref="E342" r:id="rId1010" display="http://www.boxofficemojo.com/studio/chart/?studio=orchard.htm"/>
    <hyperlink ref="J342" r:id="rId1011" display="http://www.boxofficemojo.com/schedule/?view=bydate&amp;release=theatrical&amp;date=2017-04-21&amp;p=.htm"/>
    <hyperlink ref="C343" r:id="rId1012" display="http://www.boxofficemojo.com/movies/?id=rumble.htm"/>
    <hyperlink ref="E343" r:id="rId1013" display="http://www.boxofficemojo.com/studio/chart/?studio=kinolorber.htm"/>
    <hyperlink ref="J343" r:id="rId1014" display="http://www.boxofficemojo.com/schedule/?view=bydate&amp;release=theatrical&amp;date=2017-05-18&amp;p=.htm"/>
    <hyperlink ref="C344" r:id="rId1015" display="http://www.boxofficemojo.com/movies/?id=californiatypewriter.htm"/>
    <hyperlink ref="E344" r:id="rId1016" display="http://www.boxofficemojo.com/studio/chart/?studio=gravitas.htm"/>
    <hyperlink ref="J344" r:id="rId1017" display="http://www.boxofficemojo.com/schedule/?view=bydate&amp;release=theatrical&amp;date=2017-08-18&amp;p=.htm"/>
    <hyperlink ref="C345" r:id="rId1018" display="http://www.boxofficemojo.com/movies/?id=railroadtigers.htm"/>
    <hyperlink ref="E345" r:id="rId1019" display="http://www.boxofficemojo.com/studio/chart/?studio=wellgo.htm"/>
    <hyperlink ref="J345" r:id="rId1020" display="http://www.boxofficemojo.com/schedule/?view=bydate&amp;release=theatrical&amp;date=2017-01-06&amp;p=.htm"/>
    <hyperlink ref="C346" r:id="rId1021" display="http://www.boxofficemojo.com/movies/?id=alliseeisyou.htm"/>
    <hyperlink ref="E346" r:id="rId1022" display="http://www.boxofficemojo.com/studio/chart/?studio=openroads.htm"/>
    <hyperlink ref="J346" r:id="rId1023" display="http://www.boxofficemojo.com/schedule/?view=bydate&amp;release=theatrical&amp;date=2017-10-27&amp;p=.htm"/>
    <hyperlink ref="C347" r:id="rId1024" display="http://www.boxofficemojo.com/movies/?id=bombshell.htm"/>
    <hyperlink ref="E347" r:id="rId1025" display="http://www.boxofficemojo.com/studio/chart/?studio=zeitgeist.htm"/>
    <hyperlink ref="J347" r:id="rId1026" display="http://www.boxofficemojo.com/schedule/?view=bydate&amp;release=theatrical&amp;date=2017-11-24&amp;p=.htm"/>
    <hyperlink ref="C348" r:id="rId1027" display="http://www.boxofficemojo.com/movies/?id=theadventurers.htm"/>
    <hyperlink ref="E348" r:id="rId1028" display="http://www.boxofficemojo.com/studio/chart/?studio=wellgo.htm"/>
    <hyperlink ref="J348" r:id="rId1029" display="http://www.boxofficemojo.com/schedule/?view=bydate&amp;release=theatrical&amp;date=2017-08-18&amp;p=.htm"/>
    <hyperlink ref="C349" r:id="rId1030" display="http://www.boxofficemojo.com/movies/?id=truman.htm"/>
    <hyperlink ref="E349" r:id="rId1031" display="http://www.boxofficemojo.com/studio/chart/?studio=filmrise.htm"/>
    <hyperlink ref="J349" r:id="rId1032" display="http://www.boxofficemojo.com/schedule/?view=bydate&amp;release=theatrical&amp;date=2017-04-07&amp;p=.htm"/>
    <hyperlink ref="C350" r:id="rId1033" display="http://www.boxofficemojo.com/movies/?id=donniedarko2017.htm"/>
    <hyperlink ref="E350" r:id="rId1034" display="http://www.boxofficemojo.com/studio/chart/?studio=arrowfilms.htm"/>
    <hyperlink ref="J350" r:id="rId1035" display="http://www.boxofficemojo.com/schedule/?view=bydate&amp;release=theatrical&amp;date=2017-03-31&amp;p=.htm"/>
    <hyperlink ref="C351" r:id="rId1036" display="http://www.boxofficemojo.com/movies/?id=theprison.htm"/>
    <hyperlink ref="E351" r:id="rId1037" display="http://www.boxofficemojo.com/studio/chart/?studio=wellgo.htm"/>
    <hyperlink ref="J351" r:id="rId1038" display="http://www.boxofficemojo.com/schedule/?view=bydate&amp;release=theatrical&amp;date=2017-03-31&amp;p=.htm"/>
    <hyperlink ref="C352" r:id="rId1039" display="http://www.boxofficemojo.com/movies/?id=risk.htm"/>
    <hyperlink ref="E352" r:id="rId1040" display="http://www.boxofficemojo.com/studio/chart/?studio=neon.htm"/>
    <hyperlink ref="J352" r:id="rId1041" display="http://www.boxofficemojo.com/schedule/?view=bydate&amp;release=theatrical&amp;date=2017-05-05&amp;p=.htm"/>
    <hyperlink ref="C353" r:id="rId1042" display="http://www.boxofficemojo.com/movies/?id=spark17.htm"/>
    <hyperlink ref="E353" r:id="rId1043" display="http://www.boxofficemojo.com/studio/chart/?studio=openroads.htm"/>
    <hyperlink ref="J353" r:id="rId1044" display="http://www.boxofficemojo.com/schedule/?view=bydate&amp;release=theatrical&amp;date=2017-04-14&amp;p=.htm"/>
    <hyperlink ref="C354" r:id="rId1045" display="http://www.boxofficemojo.com/movies/?id=filmstarsdontdieinliverpool.htm"/>
    <hyperlink ref="E354" r:id="rId1046" display="http://www.boxofficemojo.com/studio/chart/?studio=sonyclassics.htm"/>
    <hyperlink ref="J354" r:id="rId1047" display="http://www.boxofficemojo.com/schedule/?view=bydate&amp;release=theatrical&amp;date=2017-12-29&amp;p=.htm"/>
    <hyperlink ref="C355" r:id="rId1048" display="http://www.boxofficemojo.com/movies/?id=whosestreets?.htm"/>
    <hyperlink ref="E355" r:id="rId1049" display="http://www.boxofficemojo.com/studio/chart/?studio=magnolia.htm"/>
    <hyperlink ref="J355" r:id="rId1050" display="http://www.boxofficemojo.com/schedule/?view=bydate&amp;release=theatrical&amp;date=2017-08-11&amp;p=.htm"/>
    <hyperlink ref="C356" r:id="rId1051" display="http://www.boxofficemojo.com/movies/?id=thebadbatch.htm"/>
    <hyperlink ref="E356" r:id="rId1052" display="http://www.boxofficemojo.com/studio/chart/?studio=neon.htm"/>
    <hyperlink ref="J356" r:id="rId1053" display="http://www.boxofficemojo.com/schedule/?view=bydate&amp;release=theatrical&amp;date=2017-06-23&amp;p=.htm"/>
    <hyperlink ref="C357" r:id="rId1054" display="http://www.boxofficemojo.com/movies/?id=marjorieprime.htm"/>
    <hyperlink ref="E357" r:id="rId1055" display="http://www.boxofficemojo.com/studio/chart/?studio=filmrise.htm"/>
    <hyperlink ref="J357" r:id="rId1056" display="http://www.boxofficemojo.com/schedule/?view=bydate&amp;release=theatrical&amp;date=2017-08-18&amp;p=.htm"/>
    <hyperlink ref="C358" r:id="rId1057" display="http://www.boxofficemojo.com/movies/?id=pastlife.htm"/>
    <hyperlink ref="E358" r:id="rId1058" display="http://www.boxofficemojo.com/studio/chart/?studio=orion.htm"/>
    <hyperlink ref="J358" r:id="rId1059" display="http://www.boxofficemojo.com/schedule/?view=bydate&amp;release=theatrical&amp;date=2017-06-02&amp;p=.htm"/>
    <hyperlink ref="C359" r:id="rId1060" display="http://www.boxofficemojo.com/movies/?id=theothersideofhope.htm"/>
    <hyperlink ref="E359" r:id="rId1061" display="http://www.boxofficemojo.com/studio/chart/?studio=janusfilms.htm"/>
    <hyperlink ref="J359" r:id="rId1062" display="http://www.boxofficemojo.com/schedule/?view=bydate&amp;release=theatrical&amp;date=2017-12-01&amp;p=.htm"/>
    <hyperlink ref="C360" r:id="rId1063" display="http://www.boxofficemojo.com/movies/?id=takeeverywavethelifeofliardhamilton.htm"/>
    <hyperlink ref="E360" r:id="rId1064" display="http://www.boxofficemojo.com/studio/chart/?studio=ifc.htm"/>
    <hyperlink ref="J360" r:id="rId1065" display="http://www.boxofficemojo.com/schedule/?view=bydate&amp;release=theatrical&amp;date=2017-09-29&amp;p=.htm"/>
    <hyperlink ref="C361" r:id="rId1066" display="http://www.boxofficemojo.com/movies/?id=graduation.htm"/>
    <hyperlink ref="E361" r:id="rId1067" display="http://www.boxofficemojo.com/studio/chart/?studio=ifc.htm"/>
    <hyperlink ref="J361" r:id="rId1068" display="http://www.boxofficemojo.com/schedule/?view=bydate&amp;release=theatrical&amp;date=2017-04-07&amp;p=.htm"/>
    <hyperlink ref="C362" r:id="rId1069" display="http://www.boxofficemojo.com/movies/?id=champion.htm"/>
    <hyperlink ref="E362" r:id="rId1070" display="http://www.boxofficemojo.com/studio/chart/?studio=artaffects.htm"/>
    <hyperlink ref="J362" r:id="rId1071" display="http://www.boxofficemojo.com/schedule/?view=bydate&amp;release=theatrical&amp;date=2017-05-19&amp;p=.htm"/>
    <hyperlink ref="C363" r:id="rId1072" display="http://www.boxofficemojo.com/movies/?id=mrgaga.htm"/>
    <hyperlink ref="E363" r:id="rId1073" display="http://www.boxofficemojo.com/studio/chart/?studio=abramorama.htm"/>
    <hyperlink ref="J363" r:id="rId1074" display="http://www.boxofficemojo.com/schedule/?view=bydate&amp;release=theatrical&amp;date=2017-02-01&amp;p=.htm"/>
    <hyperlink ref="C364" r:id="rId1075" display="http://www.boxofficemojo.com/movies/?id=inthiscorneroftheworld.htm"/>
    <hyperlink ref="E364" r:id="rId1076" display="http://www.boxofficemojo.com/studio/chart/?studio=funimation.htm"/>
    <hyperlink ref="J364" r:id="rId1077" display="http://www.boxofficemojo.com/schedule/?view=bydate&amp;release=theatrical&amp;date=2017-08-11&amp;p=.htm"/>
    <hyperlink ref="C365" r:id="rId1078" display="http://www.boxofficemojo.com/movies/?id=davidlynchartlife.htm"/>
    <hyperlink ref="E365" r:id="rId1079" display="http://www.boxofficemojo.com/studio/chart/?studio=janusfilms.htm"/>
    <hyperlink ref="J365" r:id="rId1080" display="http://www.boxofficemojo.com/schedule/?view=bydate&amp;release=theatrical&amp;date=2017-03-31&amp;p=.htm"/>
    <hyperlink ref="C366" r:id="rId1081" display="http://www.boxofficemojo.com/movies/?id=9112017.htm"/>
    <hyperlink ref="E366" r:id="rId1082" display="http://www.boxofficemojo.com/studio/chart/?studio=atlas.htm"/>
    <hyperlink ref="J366" r:id="rId1083" display="http://www.boxofficemojo.com/schedule/?view=bydate&amp;release=theatrical&amp;date=2017-09-08&amp;p=.htm"/>
    <hyperlink ref="C367" r:id="rId1084" display="http://www.boxofficemojo.com/movies/?id=valleyofbones.htm"/>
    <hyperlink ref="E367" r:id="rId1085" display="http://www.boxofficemojo.com/studio/chart/?studio=smithglobal.htm"/>
    <hyperlink ref="J367" r:id="rId1086" display="http://www.boxofficemojo.com/schedule/?view=bydate&amp;release=theatrical&amp;date=2017-09-01&amp;p=.htm"/>
    <hyperlink ref="C368" r:id="rId1087" display="http://www.boxofficemojo.com/movies/?id=polina.htm"/>
    <hyperlink ref="E368" r:id="rId1088" display="http://www.boxofficemojo.com/studio/chart/?studio=oscilloscopepictures.htm"/>
    <hyperlink ref="J368" r:id="rId1089" display="http://www.boxofficemojo.com/schedule/?view=bydate&amp;release=theatrical&amp;date=2017-08-25&amp;p=.htm"/>
    <hyperlink ref="C369" r:id="rId1090" display="http://www.boxofficemojo.com/movies/?id=happyend.htm"/>
    <hyperlink ref="E369" r:id="rId1091" display="http://www.boxofficemojo.com/studio/chart/?studio=sonyclassics.htm"/>
    <hyperlink ref="J369" r:id="rId1092" display="http://www.boxofficemojo.com/schedule/?view=bydate&amp;release=theatrical&amp;date=2017-12-22&amp;p=.htm"/>
    <hyperlink ref="C370" r:id="rId1093" display="http://www.boxofficemojo.com/movies/?id=13minutes.htm"/>
    <hyperlink ref="E370" r:id="rId1094" display="http://www.boxofficemojo.com/studio/chart/?studio=sonyclassics.htm"/>
    <hyperlink ref="J370" r:id="rId1095" display="http://www.boxofficemojo.com/schedule/?view=bydate&amp;release=theatrical&amp;date=2017-06-30&amp;p=.htm"/>
    <hyperlink ref="C371" r:id="rId1096" display="http://www.boxofficemojo.com/movies/?id=manifesto2017.htm"/>
    <hyperlink ref="E371" r:id="rId1097" display="http://www.boxofficemojo.com/studio/chart/?studio=filmrise.htm"/>
    <hyperlink ref="J371" r:id="rId1098" display="http://www.boxofficemojo.com/schedule/?view=bydate&amp;release=theatrical&amp;date=2017-05-10&amp;p=.htm"/>
    <hyperlink ref="C372" r:id="rId1099" display="http://www.boxofficemojo.com/movies/?id=aboutray.htm"/>
    <hyperlink ref="E372" r:id="rId1100" display="http://www.boxofficemojo.com/studio/chart/?studio=weinsteincompany.htm"/>
    <hyperlink ref="J372" r:id="rId1101" display="http://www.boxofficemojo.com/schedule/?view=bydate&amp;release=theatrical&amp;date=2017-05-05&amp;p=.htm"/>
    <hyperlink ref="C373" r:id="rId1102" display="http://www.boxofficemojo.com/movies/?id=thejourney.htm"/>
    <hyperlink ref="E373" r:id="rId1103" display="http://www.boxofficemojo.com/studio/chart/?studio=ifc.htm"/>
    <hyperlink ref="J373" r:id="rId1104" display="http://www.boxofficemojo.com/schedule/?view=bydate&amp;release=theatrical&amp;date=2017-06-16&amp;p=.htm"/>
    <hyperlink ref="C374" r:id="rId1105" display="http://www.boxofficemojo.com/movies/?id=endlesspoetry.htm"/>
    <hyperlink ref="E374" r:id="rId1106" display="http://www.boxofficemojo.com/studio/chart/?studio=abkcofilms.htm"/>
    <hyperlink ref="J374" r:id="rId1107" display="http://www.boxofficemojo.com/schedule/?view=bydate&amp;release=theatrical&amp;date=2017-07-14&amp;p=.htm"/>
    <hyperlink ref="C375" r:id="rId1108" display="http://www.boxofficemojo.com/movies/?id=exlibris.htm"/>
    <hyperlink ref="E375" r:id="rId1109" display="http://www.boxofficemojo.com/studio/chart/?studio=zipporahfilms.htm"/>
    <hyperlink ref="J375" r:id="rId1110" display="http://www.boxofficemojo.com/schedule/?view=bydate&amp;release=theatrical&amp;date=2017-09-13&amp;p=.htm"/>
    <hyperlink ref="C376" r:id="rId1111" display="http://www.boxofficemojo.com/movies/?id=thevoid.htm"/>
    <hyperlink ref="E376" r:id="rId1112" display="http://www.boxofficemojo.com/studio/chart/?studio=screenmedia.htm"/>
    <hyperlink ref="J376" r:id="rId1113" display="http://www.boxofficemojo.com/schedule/?view=bydate&amp;release=theatrical&amp;date=2017-04-07&amp;p=.htm"/>
    <hyperlink ref="C377" r:id="rId1114" display="http://www.boxofficemojo.com/movies/?id=theunknowngirl.htm"/>
    <hyperlink ref="E377" r:id="rId1115" display="http://www.boxofficemojo.com/studio/chart/?studio=ifc.htm"/>
    <hyperlink ref="J377" r:id="rId1116" display="http://www.boxofficemojo.com/schedule/?view=bydate&amp;release=theatrical&amp;date=2017-09-08&amp;p=.htm"/>
    <hyperlink ref="C378" r:id="rId1117" display="http://www.boxofficemojo.com/movies/?id=bladeoftheimmortal.htm"/>
    <hyperlink ref="E378" r:id="rId1118" display="http://www.boxofficemojo.com/studio/chart/?studio=magnolia.htm"/>
    <hyperlink ref="J378" r:id="rId1119" display="http://www.boxofficemojo.com/schedule/?view=bydate&amp;release=theatrical&amp;date=2017-11-03&amp;p=.htm"/>
    <hyperlink ref="C379" r:id="rId1120" display="http://www.boxofficemojo.com/movies/?id=restlesscreaturewendywhelan.htm"/>
    <hyperlink ref="E379" r:id="rId1121" display="http://www.boxofficemojo.com/studio/chart/?studio=abramorama.htm"/>
    <hyperlink ref="J379" r:id="rId1122" display="http://www.boxofficemojo.com/schedule/?view=bydate&amp;release=theatrical&amp;date=2017-05-23&amp;p=.htm"/>
    <hyperlink ref="C380" r:id="rId1123" display="http://www.boxofficemojo.com/movies/?id=bigsonia.htm"/>
    <hyperlink ref="E380" r:id="rId1124" display="http://www.boxofficemojo.com/studio/chart/?studio=argotpictures.htm"/>
    <hyperlink ref="J380" r:id="rId1125" display="http://www.boxofficemojo.com/schedule/?view=bydate&amp;release=theatrical&amp;date=2017-11-17&amp;p=.htm"/>
    <hyperlink ref="C381" r:id="rId1126" display="http://www.boxofficemojo.com/movies/?id=chavela.htm"/>
    <hyperlink ref="E381" r:id="rId1127" display="http://www.boxofficemojo.com/studio/chart/?studio=musicboxfilms.htm"/>
    <hyperlink ref="J381" r:id="rId1128" display="http://www.boxofficemojo.com/schedule/?view=bydate&amp;release=theatrical&amp;date=2017-10-04&amp;p=.htm"/>
    <hyperlink ref="C382" r:id="rId1129" display="http://www.boxofficemojo.com/movies/?id=thelastdalailama.htm"/>
    <hyperlink ref="E382" r:id="rId1130" display="http://www.boxofficemojo.com/studio/chart/?studio=matson.htm"/>
    <hyperlink ref="J382" r:id="rId1131" display="http://www.boxofficemojo.com/schedule/?view=bydate&amp;release=theatrical&amp;date=2017-07-07&amp;p=.htm"/>
    <hyperlink ref="C383" r:id="rId1132" display="http://www.boxofficemojo.com/movies/?id=irvingberlinsholidayinn.htm"/>
    <hyperlink ref="E383" r:id="rId1133" display="http://www.boxofficemojo.com/studio/chart/?studio=fathom.htm"/>
    <hyperlink ref="J383" r:id="rId1134" display="http://www.boxofficemojo.com/schedule/?view=bydate&amp;release=theatrical&amp;date=2017-11-16&amp;p=.htm"/>
    <hyperlink ref="C384" r:id="rId1135" display="http://www.boxofficemojo.com/movies/?id=thelma.htm"/>
    <hyperlink ref="E384" r:id="rId1136" display="http://www.boxofficemojo.com/studio/chart/?studio=orchard.htm"/>
    <hyperlink ref="J384" r:id="rId1137" display="http://www.boxofficemojo.com/schedule/?view=bydate&amp;release=theatrical&amp;date=2017-11-10&amp;p=.htm"/>
    <hyperlink ref="C385" r:id="rId1138" display="http://www.boxofficemojo.com/movies/?id=harekrishna.htm"/>
    <hyperlink ref="E385" r:id="rId1139" display="http://www.boxofficemojo.com/studio/chart/?studio=abramorama.htm"/>
    <hyperlink ref="J385" r:id="rId1140" display="http://www.boxofficemojo.com/schedule/?view=bydate&amp;release=theatrical&amp;date=2017-06-16&amp;p=.htm"/>
    <hyperlink ref="C386" r:id="rId1141" display="http://www.boxofficemojo.com/movies/?id=moka.htm"/>
    <hyperlink ref="E386" r:id="rId1142" display="http://www.boxofficemojo.com/studio/chart/?studio=filmmovement.htm"/>
    <hyperlink ref="J386" r:id="rId1143" display="http://www.boxofficemojo.com/schedule/?view=bydate&amp;release=theatrical&amp;date=2017-06-14&amp;p=.htm"/>
    <hyperlink ref="C387" r:id="rId1144" display="http://www.boxofficemojo.com/movies/?id=icalledhimmorgan.htm"/>
    <hyperlink ref="E387" r:id="rId1145" display="http://www.boxofficemojo.com/studio/chart/?studio=submarinedeluxe.htm"/>
    <hyperlink ref="J387" r:id="rId1146" display="http://www.boxofficemojo.com/schedule/?view=bydate&amp;release=theatrical&amp;date=2017-03-24&amp;p=.htm"/>
    <hyperlink ref="C388" r:id="rId1147" display="http://www.boxofficemojo.com/movies/?id=cityofghosts17.htm"/>
    <hyperlink ref="E388" r:id="rId1148" display="http://www.boxofficemojo.com/studio/chart/?studio=ifc.htm"/>
    <hyperlink ref="J388" r:id="rId1149" display="http://www.boxofficemojo.com/schedule/?view=bydate&amp;release=theatrical&amp;date=2017-07-07&amp;p=.htm"/>
    <hyperlink ref="C389" r:id="rId1150" display="http://www.boxofficemojo.com/movies/?id=mariecuriethecourageofknowledge.htm"/>
    <hyperlink ref="E389" r:id="rId1151" display="http://www.boxofficemojo.com/studio/chart/?studio=societyfilms.htm"/>
    <hyperlink ref="J389" r:id="rId1152" display="http://www.boxofficemojo.com/schedule/?view=bydate&amp;release=theatrical&amp;date=2017-06-30&amp;p=.htm"/>
    <hyperlink ref="C390" r:id="rId1153" display="http://www.boxofficemojo.com/movies/?id=thebside.htm"/>
    <hyperlink ref="E390" r:id="rId1154" display="http://www.boxofficemojo.com/studio/chart/?studio=neon.htm"/>
    <hyperlink ref="J390" r:id="rId1155" display="http://www.boxofficemojo.com/schedule/?view=bydate&amp;release=theatrical&amp;date=2017-06-30&amp;p=.htm"/>
    <hyperlink ref="C391" r:id="rId1156" display="http://www.boxofficemojo.com/movies/?id=thethousandfacesofdunjia.htm"/>
    <hyperlink ref="E391" r:id="rId1157" display="http://www.boxofficemojo.com/studio/chart/?studio=wellgo.htm"/>
    <hyperlink ref="J391" r:id="rId1158" display="http://www.boxofficemojo.com/schedule/?view=bydate&amp;release=theatrical&amp;date=2017-12-15&amp;p=.htm"/>
    <hyperlink ref="C392" r:id="rId1159" display="http://www.boxofficemojo.com/movies/?id=bvsocialclubadios.htm"/>
    <hyperlink ref="E392" r:id="rId1160" display="http://www.boxofficemojo.com/studio/chart/?studio=broadgreen.htm"/>
    <hyperlink ref="J392" r:id="rId1161" display="http://www.boxofficemojo.com/schedule/?view=bydate&amp;release=theatrical&amp;date=2017-05-26&amp;p=.htm"/>
    <hyperlink ref="C393" r:id="rId1162" display="http://www.boxofficemojo.com/movies/?id=explosion.htm"/>
    <hyperlink ref="E393" r:id="rId1163" display="http://www.boxofficemojo.com/studio/chart/?studio=chinalion.htm"/>
    <hyperlink ref="J393" r:id="rId1164" display="http://www.boxofficemojo.com/schedule/?view=bydate&amp;release=theatrical&amp;date=2017-11-24&amp;p=.htm"/>
    <hyperlink ref="C394" r:id="rId1165" display="http://www.boxofficemojo.com/movies/?id=ourtimewillcome.htm"/>
    <hyperlink ref="E394" r:id="rId1166" display="http://www.boxofficemojo.com/studio/chart/?studio=chinalion.htm"/>
    <hyperlink ref="J394" r:id="rId1167" display="http://www.boxofficemojo.com/schedule/?view=bydate&amp;release=theatrical&amp;date=2017-07-07&amp;p=.htm"/>
    <hyperlink ref="C395" r:id="rId1168" display="http://www.boxofficemojo.com/movies/?id=sallycarmichael.htm"/>
    <hyperlink ref="E395" r:id="rId1169" display="http://www.boxofficemojo.com/studio/chart/?studio=purdie.htm"/>
    <hyperlink ref="J395" r:id="rId1170" display="http://www.boxofficemojo.com/schedule/?view=bydate&amp;release=theatrical&amp;date=2017-08-04&amp;p=.htm"/>
    <hyperlink ref="C396" r:id="rId1171" display="http://www.boxofficemojo.com/movies/?id=abacus.htm"/>
    <hyperlink ref="E396" r:id="rId1172" display="http://www.boxofficemojo.com/studio/chart/?studio=pbs.htm"/>
    <hyperlink ref="J396" r:id="rId1173" display="http://www.boxofficemojo.com/schedule/?view=bydate&amp;release=theatrical&amp;date=2017-05-19&amp;p=.htm"/>
    <hyperlink ref="C397" r:id="rId1174" display="http://www.boxofficemojo.com/movies/?id=thekingschoice.htm"/>
    <hyperlink ref="E397" r:id="rId1175" display="http://www.boxofficemojo.com/studio/chart/?studio=samuelgoldwyn.htm"/>
    <hyperlink ref="J397" r:id="rId1176" display="http://www.boxofficemojo.com/schedule/?view=bydate&amp;release=theatrical&amp;date=2017-09-22&amp;p=.htm"/>
    <hyperlink ref="C398" r:id="rId1177" display="http://www.boxofficemojo.com/movies/?id=slackbay.htm"/>
    <hyperlink ref="E398" r:id="rId1178" display="http://www.boxofficemojo.com/studio/chart/?studio=kinolorber.htm"/>
    <hyperlink ref="J398" r:id="rId1179" display="http://www.boxofficemojo.com/schedule/?view=bydate&amp;release=theatrical&amp;date=2017-03-10&amp;p=.htm"/>
    <hyperlink ref="C399" r:id="rId1180" display="http://www.boxofficemojo.com/movies/?id=troublewithterkel2017.htm"/>
    <hyperlink ref="E399" r:id="rId1181" display="http://www.boxofficemojo.com/studio/chart/?studio=indican.htm"/>
    <hyperlink ref="J399" r:id="rId1182" display="http://www.boxofficemojo.com/schedule/?view=bydate&amp;release=theatrical&amp;date=2017-02-03&amp;p=.htm"/>
    <hyperlink ref="C400" r:id="rId1183" display="http://www.boxofficemojo.com/movies/?id=resetnishiyingjiu.htm"/>
    <hyperlink ref="E400" r:id="rId1184" display="http://www.boxofficemojo.com/studio/chart/?studio=wellgo.htm"/>
    <hyperlink ref="J400" r:id="rId1185" display="http://www.boxofficemojo.com/schedule/?view=bydate&amp;release=theatrical&amp;date=2017-06-30&amp;p=.htm"/>
    <hyperlink ref="C401" r:id="rId1186" display="http://www.boxofficemojo.com/movies/?id=likecrazy2017.htm"/>
    <hyperlink ref="E401" r:id="rId1187" display="http://www.boxofficemojo.com/studio/chart/?studio=strand.htm"/>
    <hyperlink ref="J401" r:id="rId1188" display="http://www.boxofficemojo.com/schedule/?view=bydate&amp;release=theatrical&amp;date=2017-05-05&amp;p=.htm"/>
    <hyperlink ref="C402" r:id="rId1189" display="http://www.boxofficemojo.com/movies/?id=fabricatedcity.htm"/>
    <hyperlink ref="E402" r:id="rId1190" display="http://www.boxofficemojo.com/studio/chart/?studio=cjentertainment.htm"/>
    <hyperlink ref="J402" r:id="rId1191" display="http://www.boxofficemojo.com/schedule/?view=bydate&amp;release=theatrical&amp;date=2017-02-24&amp;p=.htm"/>
    <hyperlink ref="C403" r:id="rId1192" display="http://www.boxofficemojo.com/movies/?id=bolshoiballetheroofourtime.htm"/>
    <hyperlink ref="E403" r:id="rId1193" display="http://www.boxofficemojo.com/studio/chart/?studio=fathom.htm"/>
    <hyperlink ref="J403" r:id="rId1194" display="http://www.boxofficemojo.com/schedule/?view=bydate&amp;release=theatrical&amp;date=2017-04-09&amp;p=.htm"/>
    <hyperlink ref="C404" r:id="rId1195" display="http://www.boxofficemojo.com/movies/?id=walkingout.htm"/>
    <hyperlink ref="E404" r:id="rId1196" display="http://www.boxofficemojo.com/studio/chart/?studio=ifc.htm"/>
    <hyperlink ref="J404" r:id="rId1197" display="http://www.boxofficemojo.com/schedule/?view=bydate&amp;release=theatrical&amp;date=2017-10-05&amp;p=.htm"/>
    <hyperlink ref="C405" r:id="rId1198" display="http://www.boxofficemojo.com/movies/?id=thelure.htm"/>
    <hyperlink ref="E405" r:id="rId1199" display="http://www.boxofficemojo.com/studio/chart/?studio=janusfilms.htm"/>
    <hyperlink ref="J405" r:id="rId1200" display="http://www.boxofficemojo.com/schedule/?view=bydate&amp;release=theatrical&amp;date=2017-02-01&amp;p=.htm"/>
    <hyperlink ref="C406" r:id="rId1201" display="http://www.boxofficemojo.com/movies/?id=scorefilmmusicdocumentary.htm"/>
    <hyperlink ref="E406" r:id="rId1202" display="http://www.boxofficemojo.com/studio/chart/?studio=gravitas.htm"/>
    <hyperlink ref="J406" r:id="rId1203" display="http://www.boxofficemojo.com/schedule/?view=bydate&amp;release=theatrical&amp;date=2017-06-16&amp;p=.htm"/>
    <hyperlink ref="C407" r:id="rId1204" display="http://www.boxofficemojo.com/movies/?id=inthefade.htm"/>
    <hyperlink ref="E407" r:id="rId1205" display="http://www.boxofficemojo.com/studio/chart/?studio=magnolia.htm"/>
    <hyperlink ref="J407" r:id="rId1206" display="http://www.boxofficemojo.com/schedule/?view=bydate&amp;release=theatrical&amp;date=2017-12-27&amp;p=.htm"/>
    <hyperlink ref="C408" r:id="rId1207" display="http://www.boxofficemojo.com/movies/?id=qingshung.htm"/>
    <hyperlink ref="E408" r:id="rId1208" display="http://www.boxofficemojo.com/studio/chart/?studio=chinalion.htm"/>
    <hyperlink ref="J408" r:id="rId1209" display="http://www.boxofficemojo.com/schedule/?view=bydate&amp;release=theatrical&amp;date=2017-01-13&amp;p=.htm"/>
    <hyperlink ref="C409" r:id="rId1210" display="http://www.boxofficemojo.com/movies/?id=munnamichael.htm"/>
    <hyperlink ref="E409" r:id="rId1211" display="http://www.boxofficemojo.com/studio/chart/?studio=eros.htm"/>
    <hyperlink ref="J409" r:id="rId1212" display="http://www.boxofficemojo.com/schedule/?view=bydate&amp;release=theatrical&amp;date=2017-07-21&amp;p=.htm"/>
    <hyperlink ref="C410" r:id="rId1213" display="http://www.boxofficemojo.com/movies/?id=aidassecrets.htm"/>
    <hyperlink ref="E410" r:id="rId1214" display="http://www.boxofficemojo.com/studio/chart/?studio=musicboxfilms.htm"/>
    <hyperlink ref="J410" r:id="rId1215" display="http://www.boxofficemojo.com/schedule/?view=bydate&amp;release=theatrical&amp;date=2017-10-20&amp;p=.htm"/>
    <hyperlink ref="C411" r:id="rId1216" display="http://www.boxofficemojo.com/movies/?id=timtimmerman,hopeofamerica.htm"/>
    <hyperlink ref="E411" r:id="rId1217" display="http://www.boxofficemojo.com/studio/chart/?studio=purdie.htm"/>
    <hyperlink ref="J411" r:id="rId1218" display="http://www.boxofficemojo.com/schedule/?view=bydate&amp;release=theatrical&amp;date=2017-03-02&amp;p=.htm"/>
    <hyperlink ref="C412" r:id="rId1219" display="http://www.boxofficemojo.com/movies/?id=beatsperminute.htm"/>
    <hyperlink ref="E412" r:id="rId1220" display="http://www.boxofficemojo.com/studio/chart/?studio=orchard.htm"/>
    <hyperlink ref="J412" r:id="rId1221" display="http://www.boxofficemojo.com/schedule/?view=bydate&amp;release=theatrical&amp;date=2017-10-20&amp;p=.htm"/>
    <hyperlink ref="C413" r:id="rId1222" display="http://www.boxofficemojo.com/movies/?id=posterboys.htm"/>
    <hyperlink ref="E413" r:id="rId1223" display="http://www.boxofficemojo.com/studio/chart/?studio=sony.htm"/>
    <hyperlink ref="J413" r:id="rId1224" display="http://www.boxofficemojo.com/schedule/?view=bydate&amp;release=theatrical&amp;date=2017-09-08&amp;p=.htm"/>
    <hyperlink ref="C414" r:id="rId1225" display="http://www.boxofficemojo.com/movies/?id=themayor.htm"/>
    <hyperlink ref="E414" r:id="rId1226" display="http://www.boxofficemojo.com/studio/chart/?studio=wellgo.htm"/>
    <hyperlink ref="J414" r:id="rId1227" display="http://www.boxofficemojo.com/schedule/?view=bydate&amp;release=theatrical&amp;date=2017-04-28&amp;p=.htm"/>
    <hyperlink ref="C415" r:id="rId1228" display="http://www.boxofficemojo.com/movies/?id=thefencer.htm"/>
    <hyperlink ref="E415" r:id="rId1229" display="http://www.boxofficemojo.com/studio/chart/?studio=cfireleasing.htm"/>
    <hyperlink ref="J415" r:id="rId1230" display="http://www.boxofficemojo.com/schedule/?view=bydate&amp;release=theatrical&amp;date=2017-07-21&amp;p=.htm"/>
    <hyperlink ref="C416" r:id="rId1231" display="http://www.boxofficemojo.com/movies/?id=keepwatching.htm"/>
    <hyperlink ref="E416" r:id="rId1232" display="http://www.boxofficemojo.com/studio/chart/?studio=screengems.htm"/>
    <hyperlink ref="J416" r:id="rId1233" display="http://www.boxofficemojo.com/schedule/?view=bydate&amp;release=theatrical&amp;date=2017-10-31&amp;p=.htm"/>
    <hyperlink ref="C417" r:id="rId1234" display="http://www.boxofficemojo.com/movies/?id=memoirofamurder.htm"/>
    <hyperlink ref="E417" r:id="rId1235" display="http://www.boxofficemojo.com/studio/chart/?studio=wellgo.htm"/>
    <hyperlink ref="J417" r:id="rId1236" display="http://www.boxofficemojo.com/schedule/?view=bydate&amp;release=theatrical&amp;date=2017-09-08&amp;p=.htm"/>
    <hyperlink ref="C418" r:id="rId1237" display="http://www.boxofficemojo.com/movies/?id=thekingscasenote.htm"/>
    <hyperlink ref="E418" r:id="rId1238" display="http://www.boxofficemojo.com/studio/chart/?studio=cjentertainment.htm"/>
    <hyperlink ref="J418" r:id="rId1239" display="http://www.boxofficemojo.com/schedule/?view=bydate&amp;release=theatrical&amp;date=2017-04-28&amp;p=.htm"/>
    <hyperlink ref="C419" r:id="rId1240" display="http://www.boxofficemojo.com/movies/?id=becauseofgracia.htm"/>
    <hyperlink ref="E419" r:id="rId1241" display="http://www.boxofficemojo.com/studio/chart/?studio=artaffects.htm"/>
    <hyperlink ref="J419" r:id="rId1242" display="http://www.boxofficemojo.com/schedule/?view=bydate&amp;release=theatrical&amp;date=2017-09-15&amp;p=.htm"/>
    <hyperlink ref="C420" r:id="rId1243" display="http://www.boxofficemojo.com/movies/?id=dina.htm"/>
    <hyperlink ref="E420" r:id="rId1244" display="http://www.boxofficemojo.com/studio/chart/?studio=orchard.htm"/>
    <hyperlink ref="J420" r:id="rId1245" display="http://www.boxofficemojo.com/schedule/?view=bydate&amp;release=theatrical&amp;date=2017-10-06&amp;p=.htm"/>
    <hyperlink ref="C421" r:id="rId1246" display="http://www.boxofficemojo.com/movies/?id=nightdead2017.htm"/>
    <hyperlink ref="E421" r:id="rId1247" display="http://www.boxofficemojo.com/studio/chart/?studio=janusfilms.htm"/>
    <hyperlink ref="J421" r:id="rId1248" display="http://www.boxofficemojo.com/schedule/?view=bydate&amp;release=theatrical&amp;date=2017-10-13&amp;p=.htm"/>
    <hyperlink ref="C422" r:id="rId1249" display="http://www.boxofficemojo.com/movies/?id=warriorsofthedawn.htm"/>
    <hyperlink ref="E422" r:id="rId1250" display="http://www.boxofficemojo.com/studio/chart/?studio=fip.htm"/>
    <hyperlink ref="J422" r:id="rId1251" display="http://www.boxofficemojo.com/schedule/?view=bydate&amp;release=theatrical&amp;date=2017-06-16&amp;p=.htm"/>
    <hyperlink ref="C423" r:id="rId1252" display="http://www.boxofficemojo.com/movies/?id=chapterverse.htm"/>
    <hyperlink ref="E423" r:id="rId1253" display="http://www.boxofficemojo.com/studio/chart/?studio=paladin.htm"/>
    <hyperlink ref="J423" r:id="rId1254" display="http://www.boxofficemojo.com/schedule/?view=bydate&amp;release=theatrical&amp;date=2017-02-03&amp;p=.htm"/>
    <hyperlink ref="C424" r:id="rId1255" display="http://www.boxofficemojo.com/movies/?id=earthoneamazingday.htm"/>
    <hyperlink ref="E424" r:id="rId1256" display="http://www.boxofficemojo.com/studio/chart/?studio=bbcworldwide.htm"/>
    <hyperlink ref="J424" r:id="rId1257" display="http://www.boxofficemojo.com/schedule/?view=bydate&amp;release=theatrical&amp;date=2017-10-06&amp;p=.htm"/>
    <hyperlink ref="C425" r:id="rId1258" display="http://www.boxofficemojo.com/movies/?id=thenilehiltonincident.htm"/>
    <hyperlink ref="E425" r:id="rId1259" display="http://www.boxofficemojo.com/studio/chart/?studio=strand.htm"/>
    <hyperlink ref="J425" r:id="rId1260" display="http://www.boxofficemojo.com/schedule/?view=bydate&amp;release=theatrical&amp;date=2017-08-11&amp;p=.htm"/>
    <hyperlink ref="C426" r:id="rId1261" display="http://www.boxofficemojo.com/movies/?id=stefanzweig.htm"/>
    <hyperlink ref="E426" r:id="rId1262" display="http://www.boxofficemojo.com/studio/chart/?studio=firstrun.htm"/>
    <hyperlink ref="J426" r:id="rId1263" display="http://www.boxofficemojo.com/schedule/?view=bydate&amp;release=theatrical&amp;date=2017-05-12&amp;p=.htm"/>
    <hyperlink ref="C427" r:id="rId1264" display="http://www.boxofficemojo.com/movies/?id=haroldandlillian.htm"/>
    <hyperlink ref="E427" r:id="rId1265" display="http://www.boxofficemojo.com/studio/chart/?studio=zeitgeist.htm"/>
    <hyperlink ref="J427" r:id="rId1266" display="http://www.boxofficemojo.com/schedule/?view=bydate&amp;release=theatrical&amp;date=2017-04-28&amp;p=.htm"/>
    <hyperlink ref="C428" r:id="rId1267" display="http://www.boxofficemojo.com/movies/?id=popaye.htm"/>
    <hyperlink ref="E428" r:id="rId1268" display="http://www.boxofficemojo.com/studio/chart/?studio=kinolorber.htm"/>
    <hyperlink ref="J428" r:id="rId1269" display="http://www.boxofficemojo.com/schedule/?view=bydate&amp;release=theatrical&amp;date=2017-06-28&amp;p=.htm"/>
    <hyperlink ref="C429" r:id="rId1270" display="http://www.boxofficemojo.com/movies/?id=teata.htm"/>
    <hyperlink ref="E429" r:id="rId1271" display="http://www.boxofficemojo.com/studio/chart/?studio=paladin.htm"/>
    <hyperlink ref="J429" r:id="rId1272" display="http://www.boxofficemojo.com/schedule/?view=bydate&amp;release=theatrical&amp;date=2017-09-29&amp;p=.htm"/>
    <hyperlink ref="C430" r:id="rId1273" display="http://www.boxofficemojo.com/movies/?id=bustersmalheart.htm"/>
    <hyperlink ref="E430" r:id="rId1274" display="http://www.boxofficemojo.com/studio/chart/?studio=wellgo.htm"/>
    <hyperlink ref="J430" r:id="rId1275" display="http://www.boxofficemojo.com/schedule/?view=bydate&amp;release=theatrical&amp;date=2017-04-28&amp;p=.htm"/>
    <hyperlink ref="C431" r:id="rId1276" display="http://www.boxofficemojo.com/movies/?id=billnyescienceguy.htm"/>
    <hyperlink ref="E431" r:id="rId1277" display="http://www.boxofficemojo.com/studio/chart/?studio=pbs.htm"/>
    <hyperlink ref="J431" r:id="rId1278" display="http://www.boxofficemojo.com/schedule/?view=bydate&amp;release=theatrical&amp;date=2017-10-27&amp;p=.htm"/>
    <hyperlink ref="C432" r:id="rId1279" display="http://www.boxofficemojo.com/movies/?id=turnitaround.htm"/>
    <hyperlink ref="E432" r:id="rId1280" display="http://www.boxofficemojo.com/studio/chart/?studio=abramorama.htm"/>
    <hyperlink ref="J432" r:id="rId1281" display="http://www.boxofficemojo.com/schedule/?view=bydate&amp;release=theatrical&amp;date=2017-07-28&amp;p=.htm"/>
    <hyperlink ref="C433" r:id="rId1282" display="http://www.boxofficemojo.com/movies/?id=myentirehighschool.htm"/>
    <hyperlink ref="E433" r:id="rId1283" display="http://www.boxofficemojo.com/studio/chart/?studio=gkids.htm"/>
    <hyperlink ref="J433" r:id="rId1284" display="http://www.boxofficemojo.com/schedule/?view=bydate&amp;release=theatrical&amp;date=2017-04-14&amp;p=.htm"/>
    <hyperlink ref="C434" r:id="rId1285" display="http://www.boxofficemojo.com/movies/?id=aliveandkicking.htm"/>
    <hyperlink ref="E434" r:id="rId1286" display="http://www.boxofficemojo.com/studio/chart/?studio=magnolia.htm"/>
    <hyperlink ref="J434" r:id="rId1287" display="http://www.boxofficemojo.com/schedule/?view=bydate&amp;release=theatrical&amp;date=2017-04-07&amp;p=.htm"/>
    <hyperlink ref="C435" r:id="rId1288" display="http://www.boxofficemojo.com/movies/?id=thedivineorder.htm"/>
    <hyperlink ref="E435" r:id="rId1289" display="http://www.boxofficemojo.com/studio/chart/?studio=zeitgeist.htm"/>
    <hyperlink ref="J435" r:id="rId1290" display="http://www.boxofficemojo.com/schedule/?view=bydate&amp;release=theatrical&amp;date=2017-10-27&amp;p=.htm"/>
    <hyperlink ref="C436" r:id="rId1291" display="http://www.boxofficemojo.com/movies/?id=architectsofdenial.htm"/>
    <hyperlink ref="E436" r:id="rId1292" display="http://www.boxofficemojo.com/studio/chart/?studio=dada.htm"/>
    <hyperlink ref="J436" r:id="rId1293" display="http://www.boxofficemojo.com/schedule/?view=bydate&amp;release=theatrical&amp;date=2017-10-06&amp;p=.htm"/>
    <hyperlink ref="C437" r:id="rId1294" display="http://www.boxofficemojo.com/movies/?id=theteacher.htm"/>
    <hyperlink ref="E437" r:id="rId1295" display="http://www.boxofficemojo.com/studio/chart/?studio=filmmovement.htm"/>
    <hyperlink ref="J437" r:id="rId1296" display="http://www.boxofficemojo.com/schedule/?view=bydate&amp;release=theatrical&amp;date=2017-08-30&amp;p=.htm"/>
    <hyperlink ref="C438" r:id="rId1297" display="http://www.boxofficemojo.com/movies/?id=icanspeak.htm"/>
    <hyperlink ref="E438" r:id="rId1298" display="http://www.boxofficemojo.com/studio/chart/?studio=cjentertainment.htm"/>
    <hyperlink ref="J438" r:id="rId1299" display="http://www.boxofficemojo.com/schedule/?view=bydate&amp;release=theatrical&amp;date=2017-09-22&amp;p=.htm"/>
    <hyperlink ref="C439" r:id="rId1300" display="http://www.boxofficemojo.com/movies/?id=tomorrow.htm"/>
    <hyperlink ref="E439" r:id="rId1301" display="http://www.boxofficemojo.com/studio/chart/?studio=milkyway.htm"/>
    <hyperlink ref="J439" r:id="rId1302" display="http://www.boxofficemojo.com/schedule/?view=bydate&amp;release=theatrical&amp;date=2017-03-10&amp;p=.htm"/>
    <hyperlink ref="C440" r:id="rId1303" display="http://www.boxofficemojo.com/movies/?id=thetigerhunter.htm"/>
    <hyperlink ref="E440" r:id="rId1304" display="http://www.boxofficemojo.com/studio/chart/?studio=shoutfactory.htm"/>
    <hyperlink ref="J440" r:id="rId1305" display="http://www.boxofficemojo.com/schedule/?view=bydate&amp;release=theatrical&amp;date=2017-09-22&amp;p=.htm"/>
    <hyperlink ref="C441" r:id="rId1306" display="http://www.boxofficemojo.com/movies/?id=tragedygirls.htm"/>
    <hyperlink ref="E441" r:id="rId1307" display="http://www.boxofficemojo.com/studio/chart/?studio=gunpowderandsky.htm"/>
    <hyperlink ref="J441" r:id="rId1308" display="http://www.boxofficemojo.com/schedule/?view=bydate&amp;release=theatrical&amp;date=2017-10-20&amp;p=.htm"/>
    <hyperlink ref="C442" r:id="rId1309" display="http://www.boxofficemojo.com/movies/?id=donaldcried.htm"/>
    <hyperlink ref="E442" r:id="rId1310" display="http://www.boxofficemojo.com/studio/chart/?studio=orchard.htm"/>
    <hyperlink ref="J442" r:id="rId1311" display="http://www.boxofficemojo.com/schedule/?view=bydate&amp;release=theatrical&amp;date=2017-03-03&amp;p=.htm"/>
    <hyperlink ref="C443" r:id="rId1312" display="http://www.boxofficemojo.com/movies/?id=worldsapart.htm"/>
    <hyperlink ref="E443" r:id="rId1313" display="http://www.boxofficemojo.com/studio/chart/?studio=cls.htm"/>
    <hyperlink ref="J443" r:id="rId1314" display="http://www.boxofficemojo.com/schedule/?view=bydate&amp;release=theatrical&amp;date=2017-01-13&amp;p=.htm"/>
    <hyperlink ref="C444" r:id="rId1315" display="http://www.boxofficemojo.com/movies/?id=manolo.htm"/>
    <hyperlink ref="E444" r:id="rId1316" display="http://www.boxofficemojo.com/studio/chart/?studio=musicboxfilms.htm"/>
    <hyperlink ref="J444" r:id="rId1317" display="http://www.boxofficemojo.com/schedule/?view=bydate&amp;release=theatrical&amp;date=2017-09-15&amp;p=.htm"/>
    <hyperlink ref="C445" r:id="rId1318" display="http://www.boxofficemojo.com/movies/?id=theforce2017.htm"/>
    <hyperlink ref="E445" r:id="rId1319" display="http://www.boxofficemojo.com/studio/chart/?studio=kinolorber.htm"/>
    <hyperlink ref="J445" r:id="rId1320" display="http://www.boxofficemojo.com/schedule/?view=bydate&amp;release=theatrical&amp;date=2017-07-14&amp;p=.htm"/>
    <hyperlink ref="C446" r:id="rId1321" display="http://www.boxofficemojo.com/movies/?id=bangthebertbernsstory.htm"/>
    <hyperlink ref="E446" r:id="rId1322" display="http://www.boxofficemojo.com/studio/chart/?studio=abramorama.htm"/>
    <hyperlink ref="J446" r:id="rId1323" display="http://www.boxofficemojo.com/schedule/?view=bydate&amp;release=theatrical&amp;date=2017-04-26&amp;p=.htm"/>
    <hyperlink ref="C447" r:id="rId1324" display="http://www.boxofficemojo.com/movies/?id=ilboom2017.htm"/>
    <hyperlink ref="E447" r:id="rId1325" display="http://www.boxofficemojo.com/studio/chart/?studio=rialto.htm"/>
    <hyperlink ref="J447" r:id="rId1326" display="http://www.boxofficemojo.com/schedule/?view=bydate&amp;release=theatrical&amp;date=2017-06-16&amp;p=.htm"/>
    <hyperlink ref="C448" r:id="rId1327" display="http://www.boxofficemojo.com/movies/?id=theparisopera.htm"/>
    <hyperlink ref="E448" r:id="rId1328" display="http://www.boxofficemojo.com/studio/chart/?studio=filmmovement.htm"/>
    <hyperlink ref="J448" r:id="rId1329" display="http://www.boxofficemojo.com/schedule/?view=bydate&amp;release=theatrical&amp;date=2017-10-18&amp;p=.htm"/>
    <hyperlink ref="C449" r:id="rId1330" display="http://www.boxofficemojo.com/movies/?id=extraordinarymission.htm"/>
    <hyperlink ref="E449" r:id="rId1331" display="http://www.boxofficemojo.com/studio/chart/?studio=crimsonforest.htm"/>
    <hyperlink ref="J449" r:id="rId1332" display="http://www.boxofficemojo.com/schedule/?view=bydate&amp;release=theatrical&amp;date=2017-04-07&amp;p=.htm"/>
    <hyperlink ref="C450" r:id="rId1333" display="http://www.boxofficemojo.com/movies/?id=godofwar.htm"/>
    <hyperlink ref="E450" r:id="rId1334" display="http://www.boxofficemojo.com/studio/chart/?studio=wellgo.htm"/>
    <hyperlink ref="J450" r:id="rId1335" display="http://www.boxofficemojo.com/schedule/?view=bydate&amp;release=theatrical&amp;date=2017-06-02&amp;p=.htm"/>
    <hyperlink ref="C451" r:id="rId1336" display="http://www.boxofficemojo.com/movies/?id=myjourneythroughfrenchcinema.htm"/>
    <hyperlink ref="E451" r:id="rId1337" display="http://www.boxofficemojo.com/studio/chart/?studio=cohenmedia.htm"/>
    <hyperlink ref="J451" r:id="rId1338" display="http://www.boxofficemojo.com/schedule/?view=bydate&amp;release=theatrical&amp;date=2017-06-23&amp;p=.htm"/>
    <hyperlink ref="C452" r:id="rId1339" display="http://www.boxofficemojo.com/movies/?id=beautifulaccident.htm"/>
    <hyperlink ref="E452" r:id="rId1340" display="http://www.boxofficemojo.com/studio/chart/?studio=chinalion.htm"/>
    <hyperlink ref="J452" r:id="rId1341" display="http://www.boxofficemojo.com/schedule/?view=bydate&amp;release=theatrical&amp;date=2017-06-02&amp;p=.htm"/>
    <hyperlink ref="C453" r:id="rId1342" display="http://www.boxofficemojo.com/movies/?id=ticklinggiants.htm"/>
    <hyperlink ref="E453" r:id="rId1343" display="http://www.boxofficemojo.com/studio/chart/?studio=sarkaskmos.htm"/>
    <hyperlink ref="J453" r:id="rId1344" display="http://www.boxofficemojo.com/schedule/?view=bydate&amp;release=theatrical&amp;date=2017-03-17&amp;p=.htm"/>
    <hyperlink ref="C454" r:id="rId1345" display="http://www.boxofficemojo.com/movies/?id=theornithologist.htm"/>
    <hyperlink ref="E454" r:id="rId1346" display="http://www.boxofficemojo.com/studio/chart/?studio=strand.htm"/>
    <hyperlink ref="J454" r:id="rId1347" display="http://www.boxofficemojo.com/schedule/?view=bydate&amp;release=theatrical&amp;date=2017-06-23&amp;p=.htm"/>
    <hyperlink ref="C455" r:id="rId1348" display="http://www.boxofficemojo.com/movies/?id=keepquiet.htm"/>
    <hyperlink ref="E455" r:id="rId1349" display="http://www.boxofficemojo.com/studio/chart/?studio=kinolorber.htm"/>
    <hyperlink ref="J455" r:id="rId1350" display="http://www.boxofficemojo.com/schedule/?view=bydate&amp;release=theatrical&amp;date=2017-02-17&amp;p=.htm"/>
    <hyperlink ref="C456" r:id="rId1351" display="http://www.boxofficemojo.com/movies/?id=persontoperson.htm"/>
    <hyperlink ref="E456" r:id="rId1352" display="http://www.boxofficemojo.com/studio/chart/?studio=magnolia.htm"/>
    <hyperlink ref="J456" r:id="rId1353" display="http://www.boxofficemojo.com/schedule/?view=bydate&amp;release=theatrical&amp;date=2017-07-28&amp;p=.htm"/>
    <hyperlink ref="C457" r:id="rId1354" display="http://www.boxofficemojo.com/movies/?id=nappingprincess.htm"/>
    <hyperlink ref="E457" r:id="rId1355" display="http://www.boxofficemojo.com/studio/chart/?studio=gkids.htm"/>
    <hyperlink ref="J457" r:id="rId1356" display="http://www.boxofficemojo.com/schedule/?view=bydate&amp;release=theatrical&amp;date=2017-09-08&amp;p=.htm"/>
    <hyperlink ref="C458" r:id="rId1357" display="http://www.boxofficemojo.com/movies/?id=savingbanksy.htm"/>
    <hyperlink ref="E458" r:id="rId1358" display="http://www.boxofficemojo.com/studio/chart/?studio=paradedeck.htm"/>
    <hyperlink ref="J458" r:id="rId1359" display="http://www.boxofficemojo.com/schedule/?view=bydate&amp;release=theatrical&amp;date=2017-01-13&amp;p=.htm"/>
    <hyperlink ref="C459" r:id="rId1360" display="http://www.boxofficemojo.com/movies/?id=quest2017.htm"/>
    <hyperlink ref="E459" r:id="rId1361" display="http://www.boxofficemojo.com/studio/chart/?studio=firstrun.htm"/>
    <hyperlink ref="J459" r:id="rId1362" display="http://www.boxofficemojo.com/schedule/?view=bydate&amp;release=theatrical&amp;date=2017-12-01&amp;p=.htm"/>
    <hyperlink ref="C460" r:id="rId1363" display="http://www.boxofficemojo.com/movies/?id=fromthelandofthemoon.htm"/>
    <hyperlink ref="E460" r:id="rId1364" display="http://www.boxofficemojo.com/studio/chart/?studio=ifc.htm"/>
    <hyperlink ref="J460" r:id="rId1365" display="http://www.boxofficemojo.com/schedule/?view=bydate&amp;release=theatrical&amp;date=2017-07-28&amp;p=.htm"/>
    <hyperlink ref="C461" r:id="rId1366" display="http://www.boxofficemojo.com/movies/?id=sob.it.htm"/>
    <hyperlink ref="E461" r:id="rId1367" display="http://www.boxofficemojo.com/studio/chart/?studio=gooddeed.htm"/>
    <hyperlink ref="J461" r:id="rId1368" display="http://www.boxofficemojo.com/schedule/?view=bydate&amp;release=theatrical&amp;date=2017-10-06&amp;p=.htm"/>
    <hyperlink ref="C462" r:id="rId1369" display="http://www.boxofficemojo.com/movies/?id=twentytwo.htm"/>
    <hyperlink ref="E462" r:id="rId1370" display="http://www.boxofficemojo.com/studio/chart/?studio=chinalion.htm"/>
    <hyperlink ref="J462" r:id="rId1371" display="http://www.boxofficemojo.com/schedule/?view=bydate&amp;release=theatrical&amp;date=2017-09-08&amp;p=.htm"/>
    <hyperlink ref="C463" r:id="rId1372" display="http://www.boxofficemojo.com/movies/?id=panique2017.htm"/>
    <hyperlink ref="E463" r:id="rId1373" display="http://www.boxofficemojo.com/studio/chart/?studio=rialto.htm"/>
    <hyperlink ref="J463" r:id="rId1374" display="http://www.boxofficemojo.com/schedule/?view=bydate&amp;release=theatrical&amp;date=2017-01-20&amp;p=.htm"/>
    <hyperlink ref="C464" r:id="rId1375" display="http://www.boxofficemojo.com/movies/?id=maurice2017reissue.htm"/>
    <hyperlink ref="E464" r:id="rId1376" display="http://www.boxofficemojo.com/studio/chart/?studio=cohenmedia.htm"/>
    <hyperlink ref="J464" r:id="rId1377" display="http://www.boxofficemojo.com/schedule/?view=bydate&amp;release=theatrical&amp;date=2017-05-19&amp;p=.htm"/>
    <hyperlink ref="C465" r:id="rId1378" display="http://www.boxofficemojo.com/movies/?id=leonmorin2017.htm"/>
    <hyperlink ref="E465" r:id="rId1379" display="http://www.boxofficemojo.com/studio/chart/?studio=rialto.htm"/>
    <hyperlink ref="J465" r:id="rId1380" display="http://www.boxofficemojo.com/schedule/?view=bydate&amp;release=theatrical&amp;date=2017-05-12&amp;p=.htm"/>
    <hyperlink ref="C466" r:id="rId1381" display="http://www.boxofficemojo.com/movies/?id=justonedrop.htm"/>
    <hyperlink ref="E466" r:id="rId1382" display="http://www.boxofficemojo.com/studio/chart/?studio=gathrfilms.htm"/>
    <hyperlink ref="J466" r:id="rId1383" display="http://www.boxofficemojo.com/schedule/?view=bydate&amp;release=theatrical&amp;date=2017-09-22&amp;p=.htm"/>
    <hyperlink ref="C467" r:id="rId1384" display="http://www.boxofficemojo.com/movies/?id=hermiahelena.htm"/>
    <hyperlink ref="E467" r:id="rId1385" display="http://www.boxofficemojo.com/studio/chart/?studio=kinolorber.htm"/>
    <hyperlink ref="J467" r:id="rId1386" display="http://www.boxofficemojo.com/schedule/?view=bydate&amp;release=theatrical&amp;date=2017-05-26&amp;p=.htm"/>
    <hyperlink ref="C468" r:id="rId1387" display="http://www.boxofficemojo.com/movies/?id=bluebeard17.htm"/>
    <hyperlink ref="E468" r:id="rId1388" display="http://www.boxofficemojo.com/studio/chart/?studio=wellgo.htm"/>
    <hyperlink ref="J468" r:id="rId1389" display="http://www.boxofficemojo.com/schedule/?view=bydate&amp;release=theatrical&amp;date=2017-03-17&amp;p=.htm"/>
    <hyperlink ref="C469" r:id="rId1390" display="http://www.boxofficemojo.com/movies/?id=deathoflouisxiv.htm"/>
    <hyperlink ref="E469" r:id="rId1391" display="http://www.boxofficemojo.com/studio/chart/?studio=cinemaguild.htm"/>
    <hyperlink ref="J469" r:id="rId1392" display="http://www.boxofficemojo.com/schedule/?view=bydate&amp;release=theatrical&amp;date=2017-03-31&amp;p=.htm"/>
    <hyperlink ref="C470" r:id="rId1393" display="http://www.boxofficemojo.com/movies/?id=woodshock.htm"/>
    <hyperlink ref="E470" r:id="rId1394" display="http://www.boxofficemojo.com/studio/chart/?studio=a24.htm"/>
    <hyperlink ref="J470" r:id="rId1395" display="http://www.boxofficemojo.com/schedule/?view=bydate&amp;release=theatrical&amp;date=2017-09-22&amp;p=.htm"/>
    <hyperlink ref="C471" r:id="rId1396" display="http://www.boxofficemojo.com/movies/?id=oneweekandaday.htm"/>
    <hyperlink ref="E471" r:id="rId1397" display="http://www.boxofficemojo.com/studio/chart/?studio=oscilloscopepictures.htm"/>
    <hyperlink ref="J471" r:id="rId1398" display="http://www.boxofficemojo.com/schedule/?view=bydate&amp;release=theatrical&amp;date=2017-04-28&amp;p=.htm"/>
    <hyperlink ref="C472" r:id="rId1399" display="http://www.boxofficemojo.com/movies/?id=thesettlers2017.htm"/>
    <hyperlink ref="E472" r:id="rId1400" display="http://www.boxofficemojo.com/studio/chart/?studio=matson.htm"/>
    <hyperlink ref="J472" r:id="rId1401" display="http://www.boxofficemojo.com/schedule/?view=bydate&amp;release=theatrical&amp;date=2017-03-03&amp;p=.htm"/>
    <hyperlink ref="C473" r:id="rId1402" display="http://www.boxofficemojo.com/movies/?id=thesacrifice2017.htm"/>
    <hyperlink ref="E473" r:id="rId1403" display="http://www.boxofficemojo.com/studio/chart/?studio=kinolorber.htm"/>
    <hyperlink ref="J473" r:id="rId1404" display="http://www.boxofficemojo.com/schedule/?view=bydate&amp;release=theatrical&amp;date=2017-10-20&amp;p=.htm"/>
    <hyperlink ref="C474" r:id="rId1405" display="http://www.boxofficemojo.com/movies/?id=karlmarxcity.htm"/>
    <hyperlink ref="E474" r:id="rId1406" display="http://www.boxofficemojo.com/studio/chart/?studio=bond360.htm"/>
    <hyperlink ref="J474" r:id="rId1407" display="http://www.boxofficemojo.com/schedule/?view=bydate&amp;release=theatrical&amp;date=2017-03-29&amp;p=.htm"/>
    <hyperlink ref="C475" r:id="rId1408" display="http://www.boxofficemojo.com/movies/?id=unrest.htm"/>
    <hyperlink ref="E475" r:id="rId1409" display="http://www.boxofficemojo.com/studio/chart/?studio=independent.htm"/>
    <hyperlink ref="J475" r:id="rId1410" display="http://www.boxofficemojo.com/schedule/?view=bydate&amp;release=theatrical&amp;date=2017-09-22&amp;p=.htm"/>
    <hyperlink ref="C476" r:id="rId1411" display="http://www.boxofficemojo.com/movies/?id=thecommune.htm"/>
    <hyperlink ref="E476" r:id="rId1412" display="http://www.boxofficemojo.com/studio/chart/?studio=magnolia.htm"/>
    <hyperlink ref="J476" r:id="rId1413" display="http://www.boxofficemojo.com/schedule/?view=bydate&amp;release=theatrical&amp;date=2017-05-19&amp;p=.htm"/>
    <hyperlink ref="C477" r:id="rId1414" display="http://www.boxofficemojo.com/movies/?id=iamtheblues.htm"/>
    <hyperlink ref="E477" r:id="rId1415" display="http://www.boxofficemojo.com/studio/chart/?studio=filmmovement.htm"/>
    <hyperlink ref="J477" r:id="rId1416" display="http://www.boxofficemojo.com/schedule/?view=bydate&amp;release=theatrical&amp;date=2017-07-12&amp;p=.htm"/>
    <hyperlink ref="C478" r:id="rId1417" display="http://www.boxofficemojo.com/movies/?id=hitchcocksshowerscene.htm"/>
    <hyperlink ref="E478" r:id="rId1418" display="http://www.boxofficemojo.com/studio/chart/?studio=ifc.htm"/>
    <hyperlink ref="J478" r:id="rId1419" display="http://www.boxofficemojo.com/schedule/?view=bydate&amp;release=theatrical&amp;date=2017-10-13&amp;p=.htm"/>
    <hyperlink ref="C479" r:id="rId1420" display="http://www.boxofficemojo.com/movies/?id=awomanslife.htm"/>
    <hyperlink ref="E479" r:id="rId1421" display="http://www.boxofficemojo.com/studio/chart/?studio=kinolorber.htm"/>
    <hyperlink ref="J479" r:id="rId1422" display="http://www.boxofficemojo.com/schedule/?view=bydate&amp;release=theatrical&amp;date=2017-05-05&amp;p=.htm"/>
    <hyperlink ref="C480" r:id="rId1423" display="http://www.boxofficemojo.com/movies/?id=schoollife.htm"/>
    <hyperlink ref="E480" r:id="rId1424" display="http://www.boxofficemojo.com/studio/chart/?studio=magnolia.htm"/>
    <hyperlink ref="J480" r:id="rId1425" display="http://www.boxofficemojo.com/schedule/?view=bydate&amp;release=theatrical&amp;date=2017-09-08&amp;p=.htm"/>
    <hyperlink ref="C481" r:id="rId1426" display="http://www.boxofficemojo.com/movies/?id=heartblackened.htm"/>
    <hyperlink ref="E481" r:id="rId1427" display="http://www.boxofficemojo.com/studio/chart/?studio=cjentertainment.htm"/>
    <hyperlink ref="J481" r:id="rId1428" display="http://www.boxofficemojo.com/schedule/?view=bydate&amp;release=theatrical&amp;date=2017-11-10&amp;p=.htm"/>
    <hyperlink ref="C482" r:id="rId1429" display="http://www.boxofficemojo.com/movies/?id=growingupsmith.htm"/>
    <hyperlink ref="E482" r:id="rId1430" display="http://www.boxofficemojo.com/studio/chart/?studio=gooddeed.htm"/>
    <hyperlink ref="J482" r:id="rId1431" display="http://www.boxofficemojo.com/schedule/?view=bydate&amp;release=theatrical&amp;date=2017-02-03&amp;p=.htm"/>
    <hyperlink ref="C483" r:id="rId1432" display="http://www.boxofficemojo.com/movies/?id=ratfilm.htm"/>
    <hyperlink ref="E483" r:id="rId1433" display="http://www.boxofficemojo.com/studio/chart/?studio=cinemaguild.htm"/>
    <hyperlink ref="J483" r:id="rId1434" display="http://www.boxofficemojo.com/schedule/?view=bydate&amp;release=theatrical&amp;date=2017-09-15&amp;p=.htm"/>
    <hyperlink ref="C484" r:id="rId1435" display="http://www.boxofficemojo.com/movies/?id=sophieandtherisingsun.htm"/>
    <hyperlink ref="E484" r:id="rId1436" display="http://www.boxofficemojo.com/studio/chart/?studio=montereymediainc.htm"/>
    <hyperlink ref="J484" r:id="rId1437" display="http://www.boxofficemojo.com/schedule/?view=bydate&amp;release=theatrical&amp;date=2017-01-20&amp;p=.htm"/>
    <hyperlink ref="C485" r:id="rId1438" display="http://www.boxofficemojo.com/movies/?id=letrou(2017re-release).htm"/>
    <hyperlink ref="E485" r:id="rId1439" display="http://www.boxofficemojo.com/studio/chart/?studio=rialto.htm"/>
    <hyperlink ref="J485" r:id="rId1440" display="http://www.boxofficemojo.com/schedule/?view=bydate&amp;release=theatrical&amp;date=2017-06-28&amp;p=.htm"/>
    <hyperlink ref="C486" r:id="rId1441" display="http://www.boxofficemojo.com/movies/?id=davemadeamaze.htm"/>
    <hyperlink ref="E486" r:id="rId1442" display="http://www.boxofficemojo.com/studio/chart/?studio=gravitas.htm"/>
    <hyperlink ref="J486" r:id="rId1443" display="http://www.boxofficemojo.com/schedule/?view=bydate&amp;release=theatrical&amp;date=2017-08-18&amp;p=.htm"/>
    <hyperlink ref="C487" r:id="rId1444" display="http://www.boxofficemojo.com/movies/?id=afterimage.htm"/>
    <hyperlink ref="E487" r:id="rId1445" display="http://www.boxofficemojo.com/studio/chart/?studio=filmmovement.htm"/>
    <hyperlink ref="J487" r:id="rId1446" display="http://www.boxofficemojo.com/schedule/?view=bydate&amp;release=theatrical&amp;date=2017-05-19&amp;p=.htm"/>
    <hyperlink ref="C488" r:id="rId1447" display="http://www.boxofficemojo.com/movies/?id=wasted.htm"/>
    <hyperlink ref="E488" r:id="rId1448" display="http://www.boxofficemojo.com/studio/chart/?studio=superltd.htm"/>
    <hyperlink ref="J488" r:id="rId1449" display="http://www.boxofficemojo.com/schedule/?view=bydate&amp;release=theatrical&amp;date=2017-10-13&amp;p=.htm"/>
    <hyperlink ref="C489" r:id="rId1450" display="http://www.boxofficemojo.com/movies/?id=lovetaxes.htm"/>
    <hyperlink ref="E489" r:id="rId1451" display="http://www.boxofficemojo.com/studio/chart/?studio=abramorama.htm"/>
    <hyperlink ref="J489" r:id="rId1452" display="http://www.boxofficemojo.com/schedule/?view=bydate&amp;release=theatrical&amp;date=2017-03-03&amp;p=.htm"/>
    <hyperlink ref="C490" r:id="rId1453" display="http://www.boxofficemojo.com/movies/?id=aloneinberlin.htm"/>
    <hyperlink ref="E490" r:id="rId1454" display="http://www.boxofficemojo.com/studio/chart/?studio=ifc.htm"/>
    <hyperlink ref="J490" r:id="rId1455" display="http://www.boxofficemojo.com/schedule/?view=bydate&amp;release=theatrical&amp;date=2017-01-13&amp;p=.htm"/>
    <hyperlink ref="C491" r:id="rId1456" display="http://www.boxofficemojo.com/movies/?id=superdarktimes.htm"/>
    <hyperlink ref="E491" r:id="rId1457" display="http://www.boxofficemojo.com/studio/chart/?studio=orchard.htm"/>
    <hyperlink ref="J491" r:id="rId1458" display="http://www.boxofficemojo.com/schedule/?view=bydate&amp;release=theatrical&amp;date=2017-09-29&amp;p=.htm"/>
    <hyperlink ref="C492" r:id="rId1459" display="http://www.boxofficemojo.com/movies/?id=brimstoneandglory.htm"/>
    <hyperlink ref="E492" r:id="rId1460" display="http://www.boxofficemojo.com/studio/chart/?studio=oscilloscopepictures.htm"/>
    <hyperlink ref="J492" r:id="rId1461" display="http://www.boxofficemojo.com/schedule/?view=bydate&amp;release=theatrical&amp;date=2017-10-27&amp;p=.htm"/>
    <hyperlink ref="C493" r:id="rId1462" display="http://www.boxofficemojo.com/movies/?id=onthebeachatnightalone.htm"/>
    <hyperlink ref="E493" r:id="rId1463" display="http://www.boxofficemojo.com/studio/chart/?studio=cinemaguild.htm"/>
    <hyperlink ref="J493" r:id="rId1464" display="http://www.boxofficemojo.com/schedule/?view=bydate&amp;release=theatrical&amp;date=2017-11-17&amp;p=.htm"/>
    <hyperlink ref="C494" r:id="rId1465" display="http://www.boxofficemojo.com/movies/?id=sidemen.htm"/>
    <hyperlink ref="E494" r:id="rId1466" display="http://www.boxofficemojo.com/studio/chart/?studio=abramorama.htm"/>
    <hyperlink ref="J494" r:id="rId1467" display="http://www.boxofficemojo.com/schedule/?view=bydate&amp;release=theatrical&amp;date=2017-08-18&amp;p=.htm"/>
    <hyperlink ref="C495" r:id="rId1468" display="http://www.boxofficemojo.com/movies/?id=7witches.htm"/>
    <hyperlink ref="E495" r:id="rId1469" display="http://www.boxofficemojo.com/studio/chart/?studio=indican.htm"/>
    <hyperlink ref="J495" r:id="rId1470" display="http://www.boxofficemojo.com/schedule/?view=bydate&amp;release=theatrical&amp;date=2017-04-21&amp;p=.htm"/>
    <hyperlink ref="C496" r:id="rId1471" display="http://www.boxofficemojo.com/movies/?id=xx2017.htm"/>
    <hyperlink ref="E496" r:id="rId1472" display="http://www.boxofficemojo.com/studio/chart/?studio=magnolia.htm"/>
    <hyperlink ref="J496" r:id="rId1473" display="http://www.boxofficemojo.com/schedule/?view=bydate&amp;release=theatrical&amp;date=2017-02-17&amp;p=.htm"/>
    <hyperlink ref="C497" r:id="rId1474" display="http://www.boxofficemojo.com/movies/?id=thewound.htm"/>
    <hyperlink ref="E497" r:id="rId1475" display="http://www.boxofficemojo.com/studio/chart/?studio=kinolorber.htm"/>
    <hyperlink ref="J497" r:id="rId1476" display="http://www.boxofficemojo.com/schedule/?view=bydate&amp;release=theatrical&amp;date=2017-03-15&amp;p=.htm"/>
    <hyperlink ref="C498" r:id="rId1477" display="http://www.boxofficemojo.com/movies/?id=dealt.htm"/>
    <hyperlink ref="E498" r:id="rId1478" display="http://www.boxofficemojo.com/studio/chart/?studio=ifc.htm"/>
    <hyperlink ref="J498" r:id="rId1479" display="http://www.boxofficemojo.com/schedule/?view=bydate&amp;release=theatrical&amp;date=2017-10-20&amp;p=.htm"/>
    <hyperlink ref="C499" r:id="rId1480" display="http://www.boxofficemojo.com/movies/?id=nogreaterlove.htm"/>
    <hyperlink ref="E499" r:id="rId1481" display="http://www.boxofficemojo.com/studio/chart/?studio=atlas.htm"/>
    <hyperlink ref="J499" r:id="rId1482" display="http://www.boxofficemojo.com/schedule/?view=bydate&amp;release=theatrical&amp;date=2017-11-10&amp;p=.htm"/>
    <hyperlink ref="C500" r:id="rId1483" display="http://www.boxofficemojo.com/movies/?id=inpursuitofsilence.htm"/>
    <hyperlink ref="E500" r:id="rId1484" display="http://www.boxofficemojo.com/studio/chart/?studio=cinemaguild.htm"/>
    <hyperlink ref="J500" r:id="rId1485" display="http://www.boxofficemojo.com/schedule/?view=bydate&amp;release=theatrical&amp;date=2017-06-23&amp;p=.htm"/>
    <hyperlink ref="C501" r:id="rId1486" display="http://www.boxofficemojo.com/movies/?id=uncertain17.htm"/>
    <hyperlink ref="E501" r:id="rId1487" display="http://www.boxofficemojo.com/studio/chart/?studio=luciddreaminginc.htm"/>
    <hyperlink ref="J501" r:id="rId1488" display="http://www.boxofficemojo.com/schedule/?view=bydate&amp;release=theatrical&amp;date=2017-03-06&amp;p=.htm"/>
    <hyperlink ref="C502" r:id="rId1489" display="http://www.boxofficemojo.com/movies/?id=signaturemove.htm"/>
    <hyperlink ref="E502" r:id="rId1490" display="http://www.boxofficemojo.com/studio/chart/?studio=newcity.htm"/>
    <hyperlink ref="J502" r:id="rId1491" display="http://www.boxofficemojo.com/schedule/?view=bydate&amp;release=theatrical&amp;date=2017-09-29&amp;p=.htm"/>
    <hyperlink ref="C503" r:id="rId1492" display="http://www.boxofficemojo.com/movies/?id=nocturama.htm"/>
    <hyperlink ref="E503" r:id="rId1493" display="http://www.boxofficemojo.com/studio/chart/?studio=grasshopper.htm"/>
    <hyperlink ref="J503" r:id="rId1494" display="http://www.boxofficemojo.com/schedule/?view=bydate&amp;release=theatrical&amp;date=2017-08-11&amp;p=.htm"/>
    <hyperlink ref="C504" r:id="rId1495" display="http://www.boxofficemojo.com/movies/?id=lemon.htm"/>
    <hyperlink ref="E504" r:id="rId1496" display="http://www.boxofficemojo.com/studio/chart/?studio=magnolia.htm"/>
    <hyperlink ref="J504" r:id="rId1497" display="http://www.boxofficemojo.com/schedule/?view=bydate&amp;release=theatrical&amp;date=2017-08-18&amp;p=.htm"/>
    <hyperlink ref="C505" r:id="rId1498" display="http://www.boxofficemojo.com/movies/?id=falseconfessions.htm"/>
    <hyperlink ref="E505" r:id="rId1499" display="http://www.boxofficemojo.com/studio/chart/?studio=bigworld.htm"/>
    <hyperlink ref="J505" r:id="rId1500" display="http://www.boxofficemojo.com/schedule/?view=bydate&amp;release=theatrical&amp;date=2017-07-14&amp;p=.htm"/>
    <hyperlink ref="C506" r:id="rId1501" display="http://www.boxofficemojo.com/movies/?id=spettacolo.htm"/>
    <hyperlink ref="E506" r:id="rId1502" display="http://www.boxofficemojo.com/studio/chart/?studio=grasshopper.htm"/>
    <hyperlink ref="J506" r:id="rId1503" display="http://www.boxofficemojo.com/schedule/?view=bydate&amp;release=theatrical&amp;date=2017-09-08&amp;p=.htm"/>
    <hyperlink ref="C507" r:id="rId1504" display="http://www.boxofficemojo.com/movies/?id=berlinsyndrome.htm"/>
    <hyperlink ref="E507" r:id="rId1505" display="http://www.boxofficemojo.com/studio/chart/?studio=vertical.htm"/>
    <hyperlink ref="J507" r:id="rId1506" display="http://www.boxofficemojo.com/schedule/?view=bydate&amp;release=theatrical&amp;date=2017-05-26&amp;p=.htm"/>
    <hyperlink ref="C508" r:id="rId1507" display="http://www.boxofficemojo.com/movies/?id=waitforyourlaugh.htm"/>
    <hyperlink ref="E508" r:id="rId1508" display="http://www.boxofficemojo.com/studio/chart/?studio=vitagraph.htm"/>
    <hyperlink ref="J508" r:id="rId1509" display="http://www.boxofficemojo.com/schedule/?view=bydate&amp;release=theatrical&amp;date=2017-11-03&amp;p=.htm"/>
    <hyperlink ref="C509" r:id="rId1510" display="http://www.boxofficemojo.com/movies/?id=ribbons17.htm"/>
    <hyperlink ref="E509" r:id="rId1511" display="http://www.boxofficemojo.com/studio/chart/?studio=indican.htm"/>
    <hyperlink ref="J509" r:id="rId1512" display="http://www.boxofficemojo.com/schedule/?view=bydate&amp;release=theatrical&amp;date=2017-09-22&amp;p=.htm"/>
    <hyperlink ref="C510" r:id="rId1513" display="http://www.boxofficemojo.com/movies/?id=radiodreams.htm"/>
    <hyperlink ref="E510" r:id="rId1514" display="http://www.boxofficemojo.com/studio/chart/?studio=matson.htm"/>
    <hyperlink ref="J510" r:id="rId1515" display="http://www.boxofficemojo.com/schedule/?view=bydate&amp;release=theatrical&amp;date=2017-06-02&amp;p=.htm"/>
    <hyperlink ref="C511" r:id="rId1516" display="http://www.boxofficemojo.com/movies/?id=thevillainess.htm"/>
    <hyperlink ref="E511" r:id="rId1517" display="http://www.boxofficemojo.com/studio/chart/?studio=wellgo.htm"/>
    <hyperlink ref="J511" r:id="rId1518" display="http://www.boxofficemojo.com/schedule/?view=bydate&amp;release=theatrical&amp;date=2017-08-25&amp;p=.htm"/>
    <hyperlink ref="C512" r:id="rId1519" display="http://www.boxofficemojo.com/movies/?id=theuntamed.htm"/>
    <hyperlink ref="E512" r:id="rId1520" display="http://www.boxofficemojo.com/studio/chart/?studio=strand.htm"/>
    <hyperlink ref="J512" r:id="rId1521" display="http://www.boxofficemojo.com/schedule/?view=bydate&amp;release=theatrical&amp;date=2017-07-21&amp;p=.htm"/>
    <hyperlink ref="C513" r:id="rId1522" display="http://www.boxofficemojo.com/movies/?id=crimeofmonsieurlange2017.htm"/>
    <hyperlink ref="E513" r:id="rId1523" display="http://www.boxofficemojo.com/studio/chart/?studio=rialto.htm"/>
    <hyperlink ref="J513" r:id="rId1524" display="http://www.boxofficemojo.com/schedule/?view=bydate&amp;release=theatrical&amp;date=2017-11-17&amp;p=.htm"/>
    <hyperlink ref="C514" r:id="rId1525" display="http://www.boxofficemojo.com/movies/?id=30yearsofgarbage.htm"/>
    <hyperlink ref="E514" r:id="rId1526" display="http://www.boxofficemojo.com/studio/chart/?studio=indican.htm"/>
    <hyperlink ref="J514" r:id="rId1527" display="http://www.boxofficemojo.com/schedule/?view=bydate&amp;release=theatrical&amp;date=2017-08-11&amp;p=.htm"/>
    <hyperlink ref="C515" r:id="rId1528" display="http://www.boxofficemojo.com/movies/?id=bronxgothic.htm"/>
    <hyperlink ref="E515" r:id="rId1529" display="http://www.boxofficemojo.com/studio/chart/?studio=grasshopper.htm"/>
    <hyperlink ref="J515" r:id="rId1530" display="http://www.boxofficemojo.com/schedule/?view=bydate&amp;release=theatrical&amp;date=2017-07-14&amp;p=.htm"/>
    <hyperlink ref="C516" r:id="rId1531" display="http://www.boxofficemojo.com/movies/?id=maliblues.htm"/>
    <hyperlink ref="E516" r:id="rId1532" display="http://www.boxofficemojo.com/studio/chart/?studio=icarus.htm"/>
    <hyperlink ref="J516" r:id="rId1533" display="http://www.boxofficemojo.com/schedule/?view=bydate&amp;release=theatrical&amp;date=2017-02-13&amp;p=.htm"/>
    <hyperlink ref="C517" r:id="rId1534" display="http://www.boxofficemojo.com/movies/?id=thedaughter.htm"/>
    <hyperlink ref="E517" r:id="rId1535" display="http://www.boxofficemojo.com/studio/chart/?studio=kinolorber.htm"/>
    <hyperlink ref="J517" r:id="rId1536" display="http://www.boxofficemojo.com/schedule/?view=bydate&amp;release=theatrical&amp;date=2017-01-27&amp;p=.htm"/>
    <hyperlink ref="C518" r:id="rId1537" display="http://www.boxofficemojo.com/movies/?id=theycallusmonsters.htm"/>
    <hyperlink ref="E518" r:id="rId1538" display="http://www.boxofficemojo.com/studio/chart/?studio=matson.htm"/>
    <hyperlink ref="J518" r:id="rId1539" display="http://www.boxofficemojo.com/schedule/?view=bydate&amp;release=theatrical&amp;date=2017-01-09&amp;p=.htm"/>
    <hyperlink ref="C519" r:id="rId1540" display="http://www.boxofficemojo.com/movies/?id=olddarkhouse2017.htm"/>
    <hyperlink ref="E519" r:id="rId1541" display="http://www.boxofficemojo.com/studio/chart/?studio=cohenmedia.htm"/>
    <hyperlink ref="J519" r:id="rId1542" display="http://www.boxofficemojo.com/schedule/?view=bydate&amp;release=theatrical&amp;date=2017-10-27&amp;p=.htm"/>
    <hyperlink ref="C520" r:id="rId1543" display="http://www.boxofficemojo.com/movies/?id=birdboy.htm"/>
    <hyperlink ref="E520" r:id="rId1544" display="http://www.boxofficemojo.com/studio/chart/?studio=gkids.htm"/>
    <hyperlink ref="J520" r:id="rId1545" display="http://www.boxofficemojo.com/schedule/?view=bydate&amp;release=theatrical&amp;date=2017-12-15&amp;p=.htm"/>
    <hyperlink ref="C521" r:id="rId1546" display="http://www.boxofficemojo.com/movies/?id=savingbrinton.htm"/>
    <hyperlink ref="E521" r:id="rId1547" display="http://www.boxofficemojo.com/studio/chart/?studio=barnowlpictures.htm"/>
    <hyperlink ref="J521" r:id="rId1548" display="http://www.boxofficemojo.com/schedule/?view=bydate&amp;release=theatrical&amp;date=2017-09-17&amp;p=.htm"/>
    <hyperlink ref="C522" r:id="rId1549" display="http://www.boxofficemojo.com/movies/?id=moscowneversleeps.htm"/>
    <hyperlink ref="E522" r:id="rId1550" display="http://www.boxofficemojo.com/studio/chart/?studio=cavu.htm"/>
    <hyperlink ref="J522" r:id="rId1551" display="http://www.boxofficemojo.com/schedule/?view=bydate&amp;release=theatrical&amp;date=2017-06-19&amp;p=.htm"/>
    <hyperlink ref="C523" r:id="rId1552" display="http://www.boxofficemojo.com/movies/?id=themarseilletrilogy.htm"/>
    <hyperlink ref="E523" r:id="rId1553" display="http://www.boxofficemojo.com/studio/chart/?studio=janusfilms.htm"/>
    <hyperlink ref="J523" r:id="rId1554" display="http://www.boxofficemojo.com/schedule/?view=bydate&amp;release=theatrical&amp;date=2017-01-04&amp;p=.htm"/>
    <hyperlink ref="C524" r:id="rId1555" display="http://www.boxofficemojo.com/movies/?id=paradise2017canada.htm"/>
    <hyperlink ref="E524" r:id="rId1556" display="http://www.boxofficemojo.com/studio/chart/?studio=carusel.htm"/>
    <hyperlink ref="J524" r:id="rId1557" display="http://www.boxofficemojo.com/schedule/?view=bydate&amp;release=theatrical&amp;date=2017-11-17&amp;p=.htm"/>
    <hyperlink ref="C525" r:id="rId1558" display="http://www.boxofficemojo.com/movies/?id=thedeparture.htm"/>
    <hyperlink ref="E525" r:id="rId1559" display="http://www.boxofficemojo.com/studio/chart/?studio=matson.htm"/>
    <hyperlink ref="J525" r:id="rId1560" display="http://www.boxofficemojo.com/schedule/?view=bydate&amp;release=theatrical&amp;date=2017-10-13&amp;p=.htm"/>
    <hyperlink ref="C526" r:id="rId1561" display="http://www.boxofficemojo.com/movies/?id=naples44.htm"/>
    <hyperlink ref="E526" r:id="rId1562" display="http://www.boxofficemojo.com/studio/chart/?studio=firstrun.htm"/>
    <hyperlink ref="J526" r:id="rId1563" display="http://www.boxofficemojo.com/schedule/?view=bydate&amp;release=theatrical&amp;date=2017-11-29&amp;p=.htm"/>
    <hyperlink ref="C527" r:id="rId1564" display="http://www.boxofficemojo.com/movies/?id=jasmine.htm"/>
    <hyperlink ref="E527" r:id="rId1565" display="http://www.boxofficemojo.com/studio/chart/?studio=indican.htm"/>
    <hyperlink ref="J527" r:id="rId1566" display="http://www.boxofficemojo.com/schedule/?view=bydate&amp;release=theatrical&amp;date=2017-06-16&amp;p=.htm"/>
    <hyperlink ref="C528" r:id="rId1567" display="http://www.boxofficemojo.com/movies/?id=simplecreature.htm"/>
    <hyperlink ref="E528" r:id="rId1568" display="http://www.boxofficemojo.com/studio/chart/?studio=indican.htm"/>
    <hyperlink ref="J528" r:id="rId1569" display="http://www.boxofficemojo.com/schedule/?view=bydate&amp;release=theatrical&amp;date=2017-08-05&amp;p=.htm"/>
    <hyperlink ref="C529" r:id="rId1570" display="http://www.boxofficemojo.com/movies/?id=awomanapart.htm"/>
    <hyperlink ref="E529" r:id="rId1571" display="http://www.boxofficemojo.com/studio/chart/?studio=strand.htm"/>
    <hyperlink ref="J529" r:id="rId1572" display="http://www.boxofficemojo.com/schedule/?view=bydate&amp;release=theatrical&amp;date=2017-03-22&amp;p=.htm"/>
    <hyperlink ref="C530" r:id="rId1573" display="http://www.boxofficemojo.com/movies/?id=forahkeem.htm"/>
    <hyperlink ref="E530" r:id="rId1574" display="http://www.boxofficemojo.com/studio/chart/?studio=vitagraph.htm"/>
    <hyperlink ref="J530" r:id="rId1575" display="http://www.boxofficemojo.com/schedule/?view=bydate&amp;release=theatrical&amp;date=2017-10-13&amp;p=.htm"/>
    <hyperlink ref="C531" r:id="rId1576" display="http://www.boxofficemojo.com/movies/?id=findingoscar.htm"/>
    <hyperlink ref="E531" r:id="rId1577" display="http://www.boxofficemojo.com/studio/chart/?studio=filmrise.htm"/>
    <hyperlink ref="J531" r:id="rId1578" display="http://www.boxofficemojo.com/schedule/?view=bydate&amp;release=theatrical&amp;date=2017-04-14&amp;p=.htm"/>
    <hyperlink ref="C532" r:id="rId1579" display="http://www.boxofficemojo.com/movies/?id=graceofjake.htm"/>
    <hyperlink ref="E532" r:id="rId1580" display="http://www.boxofficemojo.com/studio/chart/?studio=indican.htm"/>
    <hyperlink ref="J532" r:id="rId1581" display="http://www.boxofficemojo.com/schedule/?view=bydate&amp;release=theatrical&amp;date=2017-02-03&amp;p=.htm"/>
    <hyperlink ref="C533" r:id="rId1582" display="http://www.boxofficemojo.com/movies/?id=therecall.htm"/>
    <hyperlink ref="E533" r:id="rId1583" display="http://www.boxofficemojo.com/studio/chart/?studio=fs.htm"/>
    <hyperlink ref="J533" r:id="rId1584" display="http://www.boxofficemojo.com/schedule/?view=bydate&amp;release=theatrical&amp;date=2017-06-02&amp;p=.htm"/>
    <hyperlink ref="C534" r:id="rId1585" display="http://www.boxofficemojo.com/movies/?id=myscientologymovie.htm"/>
    <hyperlink ref="E534" r:id="rId1586" display="http://www.boxofficemojo.com/studio/chart/?studio=magnolia.htm"/>
    <hyperlink ref="J534" r:id="rId1587" display="http://www.boxofficemojo.com/schedule/?view=bydate&amp;release=theatrical&amp;date=2017-03-10&amp;p=.htm"/>
    <hyperlink ref="C535" r:id="rId1588" display="http://www.boxofficemojo.com/movies/?id=una.htm"/>
    <hyperlink ref="E535" r:id="rId1589" display="http://www.boxofficemojo.com/studio/chart/?studio=eammonfilms.htm"/>
    <hyperlink ref="J535" r:id="rId1590" display="http://www.boxofficemojo.com/schedule/?view=bydate&amp;release=theatrical&amp;date=2017-10-06&amp;p=.htm"/>
    <hyperlink ref="C536" r:id="rId1591" display="http://www.boxofficemojo.com/movies/?id=paradiseclub.htm"/>
    <hyperlink ref="E536" r:id="rId1592" display="http://www.boxofficemojo.com/studio/chart/?studio=indican.htm"/>
    <hyperlink ref="J536" r:id="rId1593" display="http://www.boxofficemojo.com/schedule/?view=bydate&amp;release=theatrical&amp;date=2017-09-08&amp;p=.htm"/>
    <hyperlink ref="C537" r:id="rId1594" display="http://www.boxofficemojo.com/movies/?id=transfiguration.htm"/>
    <hyperlink ref="E537" r:id="rId1595" display="http://www.boxofficemojo.com/studio/chart/?studio=strand.htm"/>
    <hyperlink ref="J537" r:id="rId1596" display="http://www.boxofficemojo.com/schedule/?view=bydate&amp;release=theatrical&amp;date=2017-04-07&amp;p=.htm"/>
    <hyperlink ref="C538" r:id="rId1597" display="http://www.boxofficemojo.com/movies/?id=bendingthearc.htm"/>
    <hyperlink ref="E538" r:id="rId1598" display="http://www.boxofficemojo.com/studio/chart/?studio=abramorama.htm"/>
    <hyperlink ref="J538" r:id="rId1599" display="http://www.boxofficemojo.com/schedule/?view=bydate&amp;release=theatrical&amp;date=2017-10-06&amp;p=.htm"/>
    <hyperlink ref="C539" r:id="rId1600" display="http://www.boxofficemojo.com/movies/?id=joanofarc2017re.htm"/>
    <hyperlink ref="E539" r:id="rId1601" display="http://www.boxofficemojo.com/studio/chart/?studio=janusfilms.htm"/>
    <hyperlink ref="J539" r:id="rId1602" display="http://www.boxofficemojo.com/schedule/?view=bydate&amp;release=theatrical&amp;date=2017-11-24&amp;p=.htm"/>
    <hyperlink ref="C540" r:id="rId1603" display="http://www.boxofficemojo.com/movies/?id=thegirlwithouthands.htm"/>
    <hyperlink ref="E540" r:id="rId1604" display="http://www.boxofficemojo.com/studio/chart/?studio=gkids.htm"/>
    <hyperlink ref="J540" r:id="rId1605" display="http://www.boxofficemojo.com/schedule/?view=bydate&amp;release=theatrical&amp;date=2017-07-21&amp;p=.htm"/>
    <hyperlink ref="C541" r:id="rId1606" display="http://www.boxofficemojo.com/movies/?id=trophy.htm"/>
    <hyperlink ref="E541" r:id="rId1607" display="http://www.boxofficemojo.com/studio/chart/?studio=orchard.htm"/>
    <hyperlink ref="J541" r:id="rId1608" display="http://www.boxofficemojo.com/schedule/?view=bydate&amp;release=theatrical&amp;date=2017-09-08&amp;p=.htm"/>
    <hyperlink ref="C542" r:id="rId1609" display="http://www.boxofficemojo.com/movies/?id=godknowswhereiam.htm"/>
    <hyperlink ref="E542" r:id="rId1610" display="http://www.boxofficemojo.com/studio/chart/?studio=bond360.htm"/>
    <hyperlink ref="J542" r:id="rId1611" display="http://www.boxofficemojo.com/schedule/?view=bydate&amp;release=theatrical&amp;date=2017-03-31&amp;p=.htm"/>
    <hyperlink ref="C543" r:id="rId1612" display="http://www.boxofficemojo.com/movies/?id=massacreonaisle12.htm"/>
    <hyperlink ref="E543" r:id="rId1613" display="http://www.boxofficemojo.com/studio/chart/?studio=indican.htm"/>
    <hyperlink ref="J543" r:id="rId1614" display="http://www.boxofficemojo.com/schedule/?view=bydate&amp;release=theatrical&amp;date=2017-01-27&amp;p=.htm"/>
    <hyperlink ref="C544" r:id="rId1615" display="http://www.boxofficemojo.com/movies/?id=abeginnersguidetosnuff.htm"/>
    <hyperlink ref="E544" r:id="rId1616" display="http://www.boxofficemojo.com/studio/chart/?studio=indican.htm"/>
    <hyperlink ref="J544" r:id="rId1617" display="http://www.boxofficemojo.com/schedule/?view=bydate&amp;release=theatrical&amp;date=2017-06-23&amp;p=.htm"/>
    <hyperlink ref="C545" r:id="rId1618" display="http://www.boxofficemojo.com/movies/?id=whiskygalore.htm"/>
    <hyperlink ref="E545" r:id="rId1619" display="http://www.boxofficemojo.com/studio/chart/?studio=arrowfilms.htm"/>
    <hyperlink ref="J545" r:id="rId1620" display="http://www.boxofficemojo.com/schedule/?view=bydate&amp;release=theatrical&amp;date=2017-05-12&amp;p=.htm"/>
    <hyperlink ref="C546" r:id="rId1621" display="http://www.boxofficemojo.com/movies/?id=manunderground.htm"/>
    <hyperlink ref="E546" r:id="rId1622" display="http://www.boxofficemojo.com/studio/chart/?studio=indican.htm"/>
    <hyperlink ref="J546" r:id="rId1623" display="http://www.boxofficemojo.com/schedule/?view=bydate&amp;release=theatrical&amp;date=2017-07-14&amp;p=.htm"/>
    <hyperlink ref="C547" r:id="rId1624" display="http://www.boxofficemojo.com/movies/?id=allthesesleeplessnights.htm"/>
    <hyperlink ref="E547" r:id="rId1625" display="http://www.boxofficemojo.com/studio/chart/?studio=orchard.htm"/>
    <hyperlink ref="J547" r:id="rId1626" display="http://www.boxofficemojo.com/schedule/?view=bydate&amp;release=theatrical&amp;date=2017-04-07&amp;p=.htm"/>
    <hyperlink ref="C548" r:id="rId1627" display="http://www.boxofficemojo.com/movies/?id=blackcoatsdaughter.htm"/>
    <hyperlink ref="E548" r:id="rId1628" display="http://www.boxofficemojo.com/studio/chart/?studio=a24.htm"/>
    <hyperlink ref="J548" r:id="rId1629" display="http://www.boxofficemojo.com/schedule/?view=bydate&amp;release=theatrical&amp;date=2017-03-31&amp;p=.htm"/>
    <hyperlink ref="C549" r:id="rId1630" display="http://www.boxofficemojo.com/movies/?id=resurrectedvictims.htm"/>
    <hyperlink ref="E549" r:id="rId1631" display="http://www.boxofficemojo.com/studio/chart/?studio=wellgo.htm"/>
    <hyperlink ref="J549" r:id="rId1632" display="http://www.boxofficemojo.com/schedule/?view=bydate&amp;release=theatrical&amp;date=2017-10-20&amp;p=.htm"/>
    <hyperlink ref="C550" r:id="rId1633" display="http://www.boxofficemojo.com/movies/?id=betterwatchout.htm"/>
    <hyperlink ref="E550" r:id="rId1634" display="http://www.boxofficemojo.com/studio/chart/?studio=wellgo.htm"/>
    <hyperlink ref="J550" r:id="rId1635" display="http://www.boxofficemojo.com/schedule/?view=bydate&amp;release=theatrical&amp;date=2017-10-06&amp;p=.htm"/>
    <hyperlink ref="C551" r:id="rId1636" display="http://www.boxofficemojo.com/movies/?id=manfromouterspace.htm"/>
    <hyperlink ref="E551" r:id="rId1637" display="http://www.boxofficemojo.com/studio/chart/?studio=indican.htm"/>
    <hyperlink ref="J551" r:id="rId1638" display="http://www.boxofficemojo.com/schedule/?view=bydate&amp;release=theatrical&amp;date=2017-09-08&amp;p=.htm"/>
    <hyperlink ref="C552" r:id="rId1639" display="http://www.boxofficemojo.com/movies/?id=heatanddust2017.htm"/>
    <hyperlink ref="E552" r:id="rId1640" display="http://www.boxofficemojo.com/studio/chart/?studio=cohenmedia.htm"/>
    <hyperlink ref="J552" r:id="rId1641" display="http://www.boxofficemojo.com/schedule/?view=bydate&amp;release=theatrical&amp;date=2017-09-01&amp;p=.htm"/>
    <hyperlink ref="C553" r:id="rId1642" display="http://www.boxofficemojo.com/movies/?id=trafficked.htm"/>
    <hyperlink ref="E553" r:id="rId1643" display="http://www.boxofficemojo.com/studio/chart/?studio=epicpics.htm"/>
    <hyperlink ref="J553" r:id="rId1644" display="http://www.boxofficemojo.com/schedule/?view=bydate&amp;release=theatrical&amp;date=2017-10-06&amp;p=.htm"/>
    <hyperlink ref="C554" r:id="rId1645" display="http://www.boxofficemojo.com/movies/?id=limportantcestdaimer.htm"/>
    <hyperlink ref="E554" r:id="rId1646" display="http://www.boxofficemojo.com/studio/chart/?studio=rialto.htm"/>
    <hyperlink ref="J554" r:id="rId1647" display="http://www.boxofficemojo.com/schedule/?view=bydate&amp;release=theatrical&amp;date=2017-07-14&amp;p=.htm"/>
    <hyperlink ref="C555" r:id="rId1648" display="http://www.boxofficemojo.com/movies/?id=carriepilby.htm"/>
    <hyperlink ref="E555" r:id="rId1649" display="http://www.boxofficemojo.com/studio/chart/?studio=orchard.htm"/>
    <hyperlink ref="J555" r:id="rId1650" display="http://www.boxofficemojo.com/schedule/?view=bydate&amp;release=theatrical&amp;date=2017-03-31&amp;p=.htm"/>
    <hyperlink ref="C556" r:id="rId1651" display="http://www.boxofficemojo.com/movies/?id=theluckyman.htm"/>
    <hyperlink ref="E556" r:id="rId1652" display="http://www.boxofficemojo.com/studio/chart/?studio=indican.htm"/>
    <hyperlink ref="J556" r:id="rId1653" display="http://www.boxofficemojo.com/schedule/?view=bydate&amp;release=theatrical&amp;date=2017-12-21&amp;p=.htm"/>
    <hyperlink ref="C557" r:id="rId1654" display="http://www.boxofficemojo.com/movies/?id=bobbijene.htm"/>
    <hyperlink ref="E557" r:id="rId1655" display="http://www.boxofficemojo.com/studio/chart/?studio=oscilloscopepictures.htm"/>
    <hyperlink ref="J557" r:id="rId1656" display="http://www.boxofficemojo.com/schedule/?view=bydate&amp;release=theatrical&amp;date=2017-09-22&amp;p=.htm"/>
    <hyperlink ref="C558" r:id="rId1657" display="http://www.boxofficemojo.com/movies/?id=alltheragesavedbysarno.htm"/>
    <hyperlink ref="E558" r:id="rId1658" display="http://www.boxofficemojo.com/studio/chart/?studio=filmcollaborative.htm"/>
    <hyperlink ref="J558" r:id="rId1659" display="http://www.boxofficemojo.com/schedule/?view=bydate&amp;release=theatrical&amp;date=2017-06-23&amp;p=.htm"/>
    <hyperlink ref="C559" r:id="rId1660" display="http://www.boxofficemojo.com/movies/?id=burden.htm"/>
    <hyperlink ref="E559" r:id="rId1661" display="http://www.boxofficemojo.com/studio/chart/?studio=magnolia.htm"/>
    <hyperlink ref="J559" r:id="rId1662" display="http://www.boxofficemojo.com/schedule/?view=bydate&amp;release=theatrical&amp;date=2017-05-05&amp;p=.htm"/>
    <hyperlink ref="C560" r:id="rId1663" display="http://www.boxofficemojo.com/movies/?id=glory2017.htm"/>
    <hyperlink ref="E560" r:id="rId1664" display="http://www.boxofficemojo.com/studio/chart/?studio=filmmovement.htm"/>
    <hyperlink ref="J560" r:id="rId1665" display="http://www.boxofficemojo.com/schedule/?view=bydate&amp;release=theatrical&amp;date=2017-04-12&amp;p=.htm"/>
    <hyperlink ref="E561" r:id="rId1666" display="http://www.boxofficemojo.com/studio/chart/?studio=kinolorber.htm"/>
    <hyperlink ref="J561" r:id="rId1667" display="http://www.boxofficemojo.com/schedule/?view=bydate&amp;release=theatrical&amp;date=2017-03-11&amp;p=.htm"/>
    <hyperlink ref="C562" r:id="rId1668" display="http://www.boxofficemojo.com/movies/?id=mansfield6667.htm"/>
    <hyperlink ref="E562" r:id="rId1669" display="http://www.boxofficemojo.com/studio/chart/?studio=filmbuff.htm"/>
    <hyperlink ref="J562" r:id="rId1670" display="http://www.boxofficemojo.com/schedule/?view=bydate&amp;release=theatrical&amp;date=2017-10-27&amp;p=.htm"/>
    <hyperlink ref="C563" r:id="rId1671" display="http://www.boxofficemojo.com/movies/?id=thelastshaman.htm"/>
    <hyperlink ref="E563" r:id="rId1672" display="http://www.boxofficemojo.com/studio/chart/?studio=abramorama.htm"/>
    <hyperlink ref="J563" r:id="rId1673" display="http://www.boxofficemojo.com/schedule/?view=bydate&amp;release=theatrical&amp;date=2017-05-12&amp;p=.htm"/>
    <hyperlink ref="C564" r:id="rId1674" display="http://www.boxofficemojo.com/movies/?id=escapes.htm"/>
    <hyperlink ref="E564" r:id="rId1675" display="http://www.boxofficemojo.com/studio/chart/?studio=grasshopper.htm"/>
    <hyperlink ref="J564" r:id="rId1676" display="http://www.boxofficemojo.com/schedule/?view=bydate&amp;release=theatrical&amp;date=2017-07-28&amp;p=.htm"/>
    <hyperlink ref="C565" r:id="rId1677" display="http://www.boxofficemojo.com/movies/?id=sacred.htm"/>
    <hyperlink ref="E565" r:id="rId1678" display="http://www.boxofficemojo.com/studio/chart/?studio=argotpictures.htm"/>
    <hyperlink ref="J565" r:id="rId1679" display="http://www.boxofficemojo.com/schedule/?view=bydate&amp;release=theatrical&amp;date=2017-05-05&amp;p=.htm"/>
    <hyperlink ref="C566" r:id="rId1680" display="http://www.boxofficemojo.com/movies/?id=badgrandmas.htm"/>
    <hyperlink ref="E566" r:id="rId1681" display="http://www.boxofficemojo.com/studio/chart/?studio=paradedeck.htm"/>
    <hyperlink ref="J566" r:id="rId1682" display="http://www.boxofficemojo.com/schedule/?view=bydate&amp;release=theatrical&amp;date=2017-11-03&amp;p=.htm"/>
    <hyperlink ref="C567" r:id="rId1683" display="http://www.boxofficemojo.com/movies/?id=harmonium.htm"/>
    <hyperlink ref="E567" r:id="rId1684" display="http://www.boxofficemojo.com/studio/chart/?studio=filmmovement.htm"/>
    <hyperlink ref="J567" r:id="rId1685" display="http://www.boxofficemojo.com/schedule/?view=bydate&amp;release=theatrical&amp;date=2017-06-16&amp;p=.htm"/>
    <hyperlink ref="C568" r:id="rId1686" display="http://www.boxofficemojo.com/movies/?id=foodevolution.htm"/>
    <hyperlink ref="E568" r:id="rId1687" display="http://www.boxofficemojo.com/studio/chart/?studio=abramorama.htm"/>
    <hyperlink ref="J568" r:id="rId1688" display="http://www.boxofficemojo.com/schedule/?view=bydate&amp;release=theatrical&amp;date=2017-06-23&amp;p=.htm"/>
    <hyperlink ref="C569" r:id="rId1689" display="http://www.boxofficemojo.com/movies/?id=swimteam.htm"/>
    <hyperlink ref="E569" r:id="rId1690" display="http://www.boxofficemojo.com/studio/chart/?studio=argotpictures.htm"/>
    <hyperlink ref="J569" r:id="rId1691" display="http://www.boxofficemojo.com/schedule/?view=bydate&amp;release=theatrical&amp;date=2017-07-07&amp;p=.htm"/>
    <hyperlink ref="C570" r:id="rId1692" display="http://www.boxofficemojo.com/movies/?id=thefreedomtomarry.htm"/>
    <hyperlink ref="E570" r:id="rId1693" display="http://www.boxofficemojo.com/studio/chart/?studio=argotpictures.htm"/>
    <hyperlink ref="J570" r:id="rId1694" display="http://www.boxofficemojo.com/schedule/?view=bydate&amp;release=theatrical&amp;date=2017-03-03&amp;p=.htm"/>
    <hyperlink ref="C571" r:id="rId1695" display="http://www.boxofficemojo.com/movies/?id=bravenewjersey.htm"/>
    <hyperlink ref="E571" r:id="rId1696" display="http://www.boxofficemojo.com/studio/chart/?studio=gravitas.htm"/>
    <hyperlink ref="J571" r:id="rId1697" display="http://www.boxofficemojo.com/schedule/?view=bydate&amp;release=theatrical&amp;date=2017-08-04&amp;p=.htm"/>
    <hyperlink ref="C572" r:id="rId1698" display="http://www.boxofficemojo.com/movies/?id=missioncontrol.htm"/>
    <hyperlink ref="E572" r:id="rId1699" display="http://www.boxofficemojo.com/studio/chart/?studio=independent.htm"/>
    <hyperlink ref="J572" r:id="rId1700" display="http://www.boxofficemojo.com/schedule/?view=bydate&amp;release=theatrical&amp;date=2017-04-14&amp;p=.htm"/>
    <hyperlink ref="C573" r:id="rId1701" display="http://www.boxofficemojo.com/movies/?id=allthequeenshorses.htm"/>
    <hyperlink ref="E573" r:id="rId1702" display="http://www.boxofficemojo.com/studio/chart/?studio=argotpictures.htm"/>
    <hyperlink ref="J573" r:id="rId1703" display="http://www.boxofficemojo.com/schedule/?view=bydate&amp;release=theatrical&amp;date=2017-11-10&amp;p=.htm"/>
    <hyperlink ref="C574" r:id="rId1704" display="http://www.boxofficemojo.com/movies/?id=killsonwheels.htm"/>
    <hyperlink ref="E574" r:id="rId1705" display="http://www.boxofficemojo.com/studio/chart/?studio=kinolorber.htm"/>
    <hyperlink ref="J574" r:id="rId1706" display="http://www.boxofficemojo.com/schedule/?view=bydate&amp;release=theatrical&amp;date=2017-10-20&amp;p=.htm"/>
    <hyperlink ref="C575" r:id="rId1707" display="http://www.boxofficemojo.com/movies/?id=contemporarycolor.htm"/>
    <hyperlink ref="E575" r:id="rId1708" display="http://www.boxofficemojo.com/studio/chart/?studio=oscilloscopepictures.htm"/>
    <hyperlink ref="J575" r:id="rId1709" display="http://www.boxofficemojo.com/schedule/?view=bydate&amp;release=theatrical&amp;date=2017-03-01&amp;p=.htm"/>
    <hyperlink ref="C576" r:id="rId1710" display="http://www.boxofficemojo.com/movies/?id=shotmantraofrock.htm"/>
    <hyperlink ref="E576" r:id="rId1711" display="http://www.boxofficemojo.com/studio/chart/?studio=magnolia.htm"/>
    <hyperlink ref="J576" r:id="rId1712" display="http://www.boxofficemojo.com/schedule/?view=bydate&amp;release=theatrical&amp;date=2017-04-07&amp;p=.htm"/>
    <hyperlink ref="C577" r:id="rId1713" display="http://www.boxofficemojo.com/movies/?id=rebelsonpointe.htm"/>
    <hyperlink ref="E577" r:id="rId1714" display="http://www.boxofficemojo.com/studio/chart/?studio=icarus.htm"/>
    <hyperlink ref="J577" r:id="rId1715" display="http://www.boxofficemojo.com/schedule/?view=bydate&amp;release=theatrical&amp;date=2017-11-15&amp;p=.htm"/>
    <hyperlink ref="C578" r:id="rId1716" display="http://www.boxofficemojo.com/movies/?id=paradise2017.htm"/>
    <hyperlink ref="E578" r:id="rId1717" display="http://www.boxofficemojo.com/studio/chart/?studio=filmmovement.htm"/>
    <hyperlink ref="J578" r:id="rId1718" display="http://www.boxofficemojo.com/schedule/?view=bydate&amp;release=theatrical&amp;date=2017-10-06&amp;p=.htm"/>
    <hyperlink ref="C579" r:id="rId1719" display="http://www.boxofficemojo.com/movies/?id=vincegiordano.htm"/>
    <hyperlink ref="E579" r:id="rId1720" display="http://www.boxofficemojo.com/studio/chart/?studio=firstrun.htm"/>
    <hyperlink ref="J579" r:id="rId1721" display="http://www.boxofficemojo.com/schedule/?view=bydate&amp;release=theatrical&amp;date=2017-01-13&amp;p=.htm"/>
    <hyperlink ref="C580" r:id="rId1722" display="http://www.boxofficemojo.com/movies/?id=thefarthest.htm"/>
    <hyperlink ref="E580" r:id="rId1723" display="http://www.boxofficemojo.com/studio/chart/?studio=abramorama.htm"/>
    <hyperlink ref="J580" r:id="rId1724" display="http://www.boxofficemojo.com/schedule/?view=bydate&amp;release=theatrical&amp;date=2017-08-11&amp;p=.htm"/>
    <hyperlink ref="C581" r:id="rId1725" display="http://www.boxofficemojo.com/movies/?id=antarcticaicesky.htm"/>
    <hyperlink ref="E581" r:id="rId1726" display="http://www.boxofficemojo.com/studio/chart/?studio=musicboxfilms.htm"/>
    <hyperlink ref="J581" r:id="rId1727" display="http://www.boxofficemojo.com/schedule/?view=bydate&amp;release=theatrical&amp;date=2017-01-20&amp;p=.htm"/>
    <hyperlink ref="C582" r:id="rId1728" display="http://www.boxofficemojo.com/movies/?id=brotherhoodofblades2.htm"/>
    <hyperlink ref="E582" r:id="rId1729" display="http://www.boxofficemojo.com/studio/chart/?studio=wellgo.htm"/>
    <hyperlink ref="J582" r:id="rId1730" display="http://www.boxofficemojo.com/schedule/?view=bydate&amp;release=theatrical&amp;date=2017-12-01&amp;p=.htm"/>
    <hyperlink ref="C583" r:id="rId1731" display="http://www.boxofficemojo.com/movies/?id=abracadabra.htm"/>
    <hyperlink ref="E583" r:id="rId1732" display="http://www.boxofficemojo.com/studio/chart/?studio=sony.htm"/>
    <hyperlink ref="J583" r:id="rId1733" display="http://www.boxofficemojo.com/schedule/?view=bydate&amp;release=theatrical&amp;date=2017-09-15&amp;p=.htm"/>
    <hyperlink ref="C584" r:id="rId1734" display="http://www.boxofficemojo.com/movies/?id=porto.htm"/>
    <hyperlink ref="E584" r:id="rId1735" display="http://www.boxofficemojo.com/studio/chart/?studio=kinolorber.htm"/>
    <hyperlink ref="J584" r:id="rId1736" display="http://www.boxofficemojo.com/schedule/?view=bydate&amp;release=theatrical&amp;date=2017-11-17&amp;p=.htm"/>
    <hyperlink ref="C585" r:id="rId1737" display="http://www.boxofficemojo.com/movies/?id=timetoday.htm"/>
    <hyperlink ref="E585" r:id="rId1738" display="http://www.boxofficemojo.com/studio/chart/?studio=filmmovement.htm"/>
    <hyperlink ref="J585" r:id="rId1739" display="http://www.boxofficemojo.com/schedule/?view=bydate&amp;release=theatrical&amp;date=2017-09-15&amp;p=.htm"/>
    <hyperlink ref="C586" r:id="rId1740" display="http://www.boxofficemojo.com/movies/?id=afterlove.htm"/>
    <hyperlink ref="E586" r:id="rId1741" display="http://www.boxofficemojo.com/studio/chart/?studio=distribfilms.htm"/>
    <hyperlink ref="J586" r:id="rId1742" display="http://www.boxofficemojo.com/schedule/?view=bydate&amp;release=theatrical&amp;date=2017-08-09&amp;p=.htm"/>
    <hyperlink ref="C587" r:id="rId1743" display="http://www.boxofficemojo.com/movies/?id=redtrees.htm"/>
    <hyperlink ref="E587" r:id="rId1744" display="http://www.boxofficemojo.com/studio/chart/?studio=cohenmedia.htm"/>
    <hyperlink ref="J587" r:id="rId1745" display="http://www.boxofficemojo.com/schedule/?view=bydate&amp;release=theatrical&amp;date=2017-09-15&amp;p=.htm"/>
    <hyperlink ref="C588" r:id="rId1746" display="http://www.boxofficemojo.com/movies/?id=legendofthenagapearls.htm"/>
    <hyperlink ref="E588" r:id="rId1747" display="http://www.boxofficemojo.com/studio/chart/?studio=wellgo.htm"/>
    <hyperlink ref="J588" r:id="rId1748" display="http://www.boxofficemojo.com/schedule/?view=bydate&amp;release=theatrical&amp;date=2017-08-25&amp;p=.htm"/>
    <hyperlink ref="C589" r:id="rId1749" display="http://www.boxofficemojo.com/movies/?id=charged.htm"/>
    <hyperlink ref="E589" r:id="rId1750" display="http://www.boxofficemojo.com/studio/chart/?studio=gathrfilms.htm"/>
    <hyperlink ref="J589" r:id="rId1751" display="http://www.boxofficemojo.com/schedule/?view=bydate&amp;release=theatrical&amp;date=2017-10-04&amp;p=.htm"/>
    <hyperlink ref="E590" r:id="rId1752" display="http://www.boxofficemojo.com/studio/chart/?studio=abramorama.htm"/>
    <hyperlink ref="J590" r:id="rId1753" display="http://www.boxofficemojo.com/schedule/?view=bydate&amp;release=theatrical&amp;date=2017-11-10&amp;p=.htm"/>
    <hyperlink ref="C591" r:id="rId1754" display="http://www.boxofficemojo.com/movies/?id=taipeistory2017.htm"/>
    <hyperlink ref="E591" r:id="rId1755" display="http://www.boxofficemojo.com/studio/chart/?studio=janusfilms.htm"/>
    <hyperlink ref="J591" r:id="rId1756" display="http://www.boxofficemojo.com/schedule/?view=bydate&amp;release=theatrical&amp;date=2017-03-17&amp;p=.htm"/>
    <hyperlink ref="C592" r:id="rId1757" display="http://www.boxofficemojo.com/movies/?id=songofgranite.htm"/>
    <hyperlink ref="E592" r:id="rId1758" display="http://www.boxofficemojo.com/studio/chart/?studio=oscilloscopepictures.htm"/>
    <hyperlink ref="J592" r:id="rId1759" display="http://www.boxofficemojo.com/schedule/?view=bydate&amp;release=theatrical&amp;date=2017-11-15&amp;p=.htm"/>
    <hyperlink ref="C593" r:id="rId1760" display="http://www.boxofficemojo.com/movies/?id=permanent.htm"/>
    <hyperlink ref="E593" r:id="rId1761" display="http://www.boxofficemojo.com/studio/chart/?studio=magnolia.htm"/>
    <hyperlink ref="J593" r:id="rId1762" display="http://www.boxofficemojo.com/schedule/?view=bydate&amp;release=theatrical&amp;date=2017-12-15&amp;p=.htm"/>
    <hyperlink ref="C594" r:id="rId1763" display="http://www.boxofficemojo.com/movies/?id=junction48.htm"/>
    <hyperlink ref="E594" r:id="rId1764" display="http://www.boxofficemojo.com/studio/chart/?studio=orchard.htm"/>
    <hyperlink ref="J594" r:id="rId1765" display="http://www.boxofficemojo.com/schedule/?view=bydate&amp;release=theatrical&amp;date=2017-03-03&amp;p=.htm"/>
    <hyperlink ref="C595" r:id="rId1766" display="http://www.boxofficemojo.com/movies/?id=insearchoffellini.htm"/>
    <hyperlink ref="E595" r:id="rId1767" display="http://www.boxofficemojo.com/studio/chart/?studio=ambi.htm"/>
    <hyperlink ref="J595" r:id="rId1768" display="http://www.boxofficemojo.com/schedule/?view=bydate&amp;release=theatrical&amp;date=2017-09-15&amp;p=.htm"/>
    <hyperlink ref="C596" r:id="rId1769" display="http://www.boxofficemojo.com/movies/?id=lastmeninaleppo.htm"/>
    <hyperlink ref="E596" r:id="rId1770" display="http://www.boxofficemojo.com/studio/chart/?studio=grasshopper.htm"/>
    <hyperlink ref="J596" r:id="rId1771" display="http://www.boxofficemojo.com/schedule/?view=bydate&amp;release=theatrical&amp;date=2017-05-05&amp;p=.htm"/>
    <hyperlink ref="C597" r:id="rId1772" display="http://www.boxofficemojo.com/movies/?id=heal2017.htm"/>
    <hyperlink ref="E597" r:id="rId1773" display="http://www.boxofficemojo.com/studio/chart/?studio=paladin.htm"/>
    <hyperlink ref="J597" r:id="rId1774" display="http://www.boxofficemojo.com/schedule/?view=bydate&amp;release=theatrical&amp;date=2017-10-20&amp;p=.htm"/>
    <hyperlink ref="C598" r:id="rId1775" display="http://www.boxofficemojo.com/movies/?id=blind.htm"/>
    <hyperlink ref="E598" r:id="rId1776" display="http://www.boxofficemojo.com/studio/chart/?studio=vertical.htm"/>
    <hyperlink ref="J598" r:id="rId1777" display="http://www.boxofficemojo.com/schedule/?view=bydate&amp;release=theatrical&amp;date=2017-07-14&amp;p=.htm"/>
    <hyperlink ref="C599" r:id="rId1778" display="http://www.boxofficemojo.com/movies/?id=sevenbeauties2017.htm"/>
    <hyperlink ref="E599" r:id="rId1779" display="http://www.boxofficemojo.com/studio/chart/?studio=kinolorber.htm"/>
    <hyperlink ref="J599" r:id="rId1780" display="http://www.boxofficemojo.com/schedule/?view=bydate&amp;release=theatrical&amp;date=2017-04-14&amp;p=.htm"/>
    <hyperlink ref="C600" r:id="rId1781" display="http://www.boxofficemojo.com/movies/?id=4daysinfrance.htm"/>
    <hyperlink ref="E600" r:id="rId1782" display="http://www.boxofficemojo.com/studio/chart/?studio=cinemaguild.htm"/>
    <hyperlink ref="J600" r:id="rId1783" display="http://www.boxofficemojo.com/schedule/?view=bydate&amp;release=theatrical&amp;date=2017-08-04&amp;p=.htm"/>
    <hyperlink ref="C601" r:id="rId1784" display="http://www.boxofficemojo.com/movies/?id=stayingvertical.htm"/>
    <hyperlink ref="E601" r:id="rId1785" display="http://www.boxofficemojo.com/studio/chart/?studio=strand.htm"/>
    <hyperlink ref="J601" r:id="rId1786" display="http://www.boxofficemojo.com/schedule/?view=bydate&amp;release=theatrical&amp;date=2017-01-20&amp;p=.htm"/>
    <hyperlink ref="C602" r:id="rId1787" display="http://www.boxofficemojo.com/movies/?id=felicite.htm"/>
    <hyperlink ref="E602" r:id="rId1788" display="http://www.boxofficemojo.com/studio/chart/?studio=strand.htm"/>
    <hyperlink ref="J602" r:id="rId1789" display="http://www.boxofficemojo.com/schedule/?view=bydate&amp;release=theatrical&amp;date=2017-10-27&amp;p=.htm"/>
    <hyperlink ref="C603" r:id="rId1790" display="http://www.boxofficemojo.com/movies/?id=shadowman.htm"/>
    <hyperlink ref="E603" r:id="rId1791" display="http://www.boxofficemojo.com/studio/chart/?studio=filmmovement.htm"/>
    <hyperlink ref="J603" r:id="rId1792" display="http://www.boxofficemojo.com/schedule/?view=bydate&amp;release=theatrical&amp;date=2017-12-01&amp;p=.htm"/>
    <hyperlink ref="C604" r:id="rId1793" display="http://www.boxofficemojo.com/movies/?id=deadawake2017.htm"/>
    <hyperlink ref="E604" r:id="rId1794" display="http://www.boxofficemojo.com/studio/chart/?studio=filmrise.htm"/>
    <hyperlink ref="J604" r:id="rId1795" display="http://www.boxofficemojo.com/schedule/?view=bydate&amp;release=theatrical&amp;date=2017-05-12&amp;p=.htm"/>
    <hyperlink ref="C605" r:id="rId1796" display="http://www.boxofficemojo.com/movies/?id=besidebowie.htm"/>
    <hyperlink ref="E605" r:id="rId1797" display="http://www.boxofficemojo.com/studio/chart/?studio=paradedeck.htm"/>
    <hyperlink ref="J605" r:id="rId1798" display="http://www.boxofficemojo.com/schedule/?view=bydate&amp;release=theatrical&amp;date=2017-08-25&amp;p=.htm"/>
    <hyperlink ref="C606" r:id="rId1799" display="http://www.boxofficemojo.com/movies/?id=saigonbodyguards.htm"/>
    <hyperlink ref="E606" r:id="rId1800" display="http://www.boxofficemojo.com/studio/chart/?studio=cjentertainment.htm"/>
    <hyperlink ref="J606" r:id="rId1801" display="http://www.boxofficemojo.com/schedule/?view=bydate&amp;release=theatrical&amp;date=2017-02-03&amp;p=.htm"/>
    <hyperlink ref="C607" r:id="rId1802" display="http://www.boxofficemojo.com/movies/?id=thepathologicaloptimist.htm"/>
    <hyperlink ref="E607" r:id="rId1803" display="http://www.boxofficemojo.com/studio/chart/?studio=filmarcade.htm"/>
    <hyperlink ref="J607" r:id="rId1804" display="http://www.boxofficemojo.com/schedule/?view=bydate&amp;release=theatrical&amp;date=2017-09-29&amp;p=.htm"/>
    <hyperlink ref="C608" r:id="rId1805" display="http://www.boxofficemojo.com/movies/?id=ugetsu2017.htm"/>
    <hyperlink ref="E608" r:id="rId1806" display="http://www.boxofficemojo.com/studio/chart/?studio=janusfilms.htm"/>
    <hyperlink ref="J608" r:id="rId1807" display="http://www.boxofficemojo.com/schedule/?view=bydate&amp;release=theatrical&amp;date=2017-03-01&amp;p=.htm"/>
    <hyperlink ref="C609" r:id="rId1808" display="http://www.boxofficemojo.com/movies/?id=sweetvirginia.htm"/>
    <hyperlink ref="E609" r:id="rId1809" display="http://www.boxofficemojo.com/studio/chart/?studio=ifc.htm"/>
    <hyperlink ref="J609" r:id="rId1810" display="http://www.boxofficemojo.com/schedule/?view=bydate&amp;release=theatrical&amp;date=2017-11-17&amp;p=.htm"/>
    <hyperlink ref="C610" r:id="rId1811" display="http://www.boxofficemojo.com/movies/?id=challenge2017.htm"/>
    <hyperlink ref="E610" r:id="rId1812" display="http://www.boxofficemojo.com/studio/chart/?studio=kinolorber.htm"/>
    <hyperlink ref="J610" r:id="rId1813" display="http://www.boxofficemojo.com/schedule/?view=bydate&amp;release=theatrical&amp;date=2017-09-08&amp;p=.htm"/>
    <hyperlink ref="C611" r:id="rId1814" display="http://www.boxofficemojo.com/movies/?id=lovesong.htm"/>
    <hyperlink ref="E611" r:id="rId1815" display="http://www.boxofficemojo.com/studio/chart/?studio=strand.htm"/>
    <hyperlink ref="J611" r:id="rId1816" display="http://www.boxofficemojo.com/schedule/?view=bydate&amp;release=theatrical&amp;date=2017-02-17&amp;p=.htm"/>
    <hyperlink ref="C612" r:id="rId1817" display="http://www.boxofficemojo.com/movies/?id=clarence2017.htm"/>
    <hyperlink ref="E612" r:id="rId1818" display="http://www.boxofficemojo.com/studio/chart/?studio=indican.htm"/>
    <hyperlink ref="J612" r:id="rId1819" display="http://www.boxofficemojo.com/schedule/?view=bydate&amp;release=theatrical&amp;date=2017-09-01&amp;p=.htm"/>
    <hyperlink ref="C613" r:id="rId1820" display="http://www.boxofficemojo.com/movies/?id=paintedwoman.htm"/>
    <hyperlink ref="E613" r:id="rId1821" display="http://www.boxofficemojo.com/studio/chart/?studio=amormedia.htm"/>
    <hyperlink ref="J613" r:id="rId1822" display="http://www.boxofficemojo.com/schedule/?view=bydate&amp;release=theatrical&amp;date=2017-11-10&amp;p=.htm"/>
    <hyperlink ref="C614" r:id="rId1823" display="http://www.boxofficemojo.com/movies/?id=amelia2.htm"/>
    <hyperlink ref="E614" r:id="rId1824" display="http://www.boxofficemojo.com/studio/chart/?studio=tricoast.htm"/>
    <hyperlink ref="J614" r:id="rId1825" display="http://www.boxofficemojo.com/schedule/?view=bydate&amp;release=theatrical&amp;date=2017-08-04&amp;p=.htm"/>
    <hyperlink ref="C615" r:id="rId1826" display="http://www.boxofficemojo.com/movies/?id=sunshinemakers.htm"/>
    <hyperlink ref="E615" r:id="rId1827" display="http://www.boxofficemojo.com/studio/chart/?studio=filmrise.htm"/>
    <hyperlink ref="J615" r:id="rId1828" display="http://www.boxofficemojo.com/schedule/?view=bydate&amp;release=theatrical&amp;date=2017-01-20&amp;p=.htm"/>
    <hyperlink ref="C616" r:id="rId1829" display="http://www.boxofficemojo.com/movies/?id=pelletheconqueror2017.htm"/>
    <hyperlink ref="E616" r:id="rId1830" display="http://www.boxofficemojo.com/studio/chart/?studio=filmmovement.htm"/>
    <hyperlink ref="J616" r:id="rId1831" display="http://www.boxofficemojo.com/schedule/?view=bydate&amp;release=theatrical&amp;date=2017-02-24&amp;p=.htm"/>
    <hyperlink ref="C617" r:id="rId1832" display="http://www.boxofficemojo.com/movies/?id=machines.htm"/>
    <hyperlink ref="E617" r:id="rId1833" display="http://www.boxofficemojo.com/studio/chart/?studio=kinolorber.htm"/>
    <hyperlink ref="J617" r:id="rId1834" display="http://www.boxofficemojo.com/schedule/?view=bydate&amp;release=theatrical&amp;date=2017-08-09&amp;p=.htm"/>
    <hyperlink ref="C618" r:id="rId1835" display="http://www.boxofficemojo.com/movies/?id=thirststreet.htm"/>
    <hyperlink ref="E618" r:id="rId1836" display="http://www.boxofficemojo.com/studio/chart/?studio=samuelgoldwyn.htm"/>
    <hyperlink ref="J618" r:id="rId1837" display="http://www.boxofficemojo.com/schedule/?view=bydate&amp;release=theatrical&amp;date=2017-09-22&amp;p=.htm"/>
    <hyperlink ref="C619" r:id="rId1838" display="http://www.boxofficemojo.com/movies/?id=lycan.htm"/>
    <hyperlink ref="E619" r:id="rId1839" display="http://www.boxofficemojo.com/studio/chart/?studio=paradedeck.htm"/>
    <hyperlink ref="J619" r:id="rId1840" display="http://www.boxofficemojo.com/schedule/?view=bydate&amp;release=theatrical&amp;date=2017-08-18&amp;p=.htm"/>
    <hyperlink ref="C620" r:id="rId1841" display="http://www.boxofficemojo.com/movies/?id=theeyes.htm"/>
    <hyperlink ref="E620" r:id="rId1842" display="http://www.boxofficemojo.com/studio/chart/?studio=paradedeck.htm"/>
    <hyperlink ref="J620" r:id="rId1843" display="http://www.boxofficemojo.com/schedule/?view=bydate&amp;release=theatrical&amp;date=2017-04-07&amp;p=.htm"/>
    <hyperlink ref="C621" r:id="rId1844" display="http://www.boxofficemojo.com/movies/?id=julianschnabel.htm"/>
    <hyperlink ref="E621" r:id="rId1845" display="http://www.boxofficemojo.com/studio/chart/?studio=cohenmedia.htm"/>
    <hyperlink ref="J621" r:id="rId1846" display="http://www.boxofficemojo.com/schedule/?view=bydate&amp;release=theatrical&amp;date=2017-05-05&amp;p=.htm"/>
    <hyperlink ref="C622" r:id="rId1847" display="http://www.boxofficemojo.com/movies/?id=amnesia.htm"/>
    <hyperlink ref="E622" r:id="rId1848" display="http://www.boxofficemojo.com/studio/chart/?studio=filmmovement.htm"/>
    <hyperlink ref="J622" r:id="rId1849" display="http://www.boxofficemojo.com/schedule/?view=bydate&amp;release=theatrical&amp;date=2017-07-21&amp;p=.htm"/>
    <hyperlink ref="C623" r:id="rId1850" display="http://www.boxofficemojo.com/movies/?id=maigretsetsatrap2017.htm"/>
    <hyperlink ref="E623" r:id="rId1851" display="http://www.boxofficemojo.com/studio/chart/?studio=kinolorber.htm"/>
    <hyperlink ref="J623" r:id="rId1852" display="http://www.boxofficemojo.com/schedule/?view=bydate&amp;release=theatrical&amp;date=2017-10-20&amp;p=.htm"/>
    <hyperlink ref="C624" r:id="rId1853" display="http://www.boxofficemojo.com/movies/?id=wearetheflesh.htm"/>
    <hyperlink ref="E624" r:id="rId1854" display="http://www.boxofficemojo.com/studio/chart/?studio=arrowfilms.htm"/>
    <hyperlink ref="J624" r:id="rId1855" display="http://www.boxofficemojo.com/schedule/?view=bydate&amp;release=theatrical&amp;date=2017-01-13&amp;p=.htm"/>
    <hyperlink ref="C625" r:id="rId1856" display="http://www.boxofficemojo.com/movies/?id=gilbert.htm"/>
    <hyperlink ref="E625" r:id="rId1857" display="http://www.boxofficemojo.com/studio/chart/?studio=submarinedeluxe.htm"/>
    <hyperlink ref="J625" r:id="rId1858" display="http://www.boxofficemojo.com/schedule/?view=bydate&amp;release=theatrical&amp;date=2017-11-03&amp;p=.htm"/>
    <hyperlink ref="C626" r:id="rId1859" display="http://www.boxofficemojo.com/movies/?id=natasha.htm"/>
    <hyperlink ref="E626" r:id="rId1860" display="http://www.boxofficemojo.com/studio/chart/?studio=menemsha.htm"/>
    <hyperlink ref="J626" r:id="rId1861" display="http://www.boxofficemojo.com/schedule/?view=bydate&amp;release=theatrical&amp;date=2017-04-28&amp;p=.htm"/>
    <hyperlink ref="C627" r:id="rId1862" display="http://www.boxofficemojo.com/movies/?id=mrchibbs.htm"/>
    <hyperlink ref="E627" r:id="rId1863" display="http://www.boxofficemojo.com/studio/chart/?studio=abramorama.htm"/>
    <hyperlink ref="J627" r:id="rId1864" display="http://www.boxofficemojo.com/schedule/?view=bydate&amp;release=theatrical&amp;date=2017-05-03&amp;p=.htm"/>
    <hyperlink ref="C628" r:id="rId1865" display="http://www.boxofficemojo.com/movies/?id=servedlikeagirl.htm"/>
    <hyperlink ref="E628" r:id="rId1866" display="http://www.boxofficemojo.com/studio/chart/?studio=entertainmentstudios.htm"/>
    <hyperlink ref="J628" r:id="rId1867" display="http://www.boxofficemojo.com/schedule/?view=bydate&amp;release=theatrical&amp;date=2017-08-25&amp;p=.htm"/>
    <hyperlink ref="C629" r:id="rId1868" display="http://www.boxofficemojo.com/movies/?id=anatahan2017.htm"/>
    <hyperlink ref="E629" r:id="rId1869" display="http://www.boxofficemojo.com/studio/chart/?studio=kinolorber.htm"/>
    <hyperlink ref="J629" r:id="rId1870" display="http://www.boxofficemojo.com/schedule/?view=bydate&amp;release=theatrical&amp;date=2017-02-03&amp;p=.htm"/>
    <hyperlink ref="C630" r:id="rId1871" display="http://www.boxofficemojo.com/movies/?id=fromnowhere.htm"/>
    <hyperlink ref="E630" r:id="rId1872" display="http://www.boxofficemojo.com/studio/chart/?studio=filmrise.htm"/>
    <hyperlink ref="J630" r:id="rId1873" display="http://www.boxofficemojo.com/schedule/?view=bydate&amp;release=theatrical&amp;date=2017-02-17&amp;p=.htm"/>
    <hyperlink ref="C631" r:id="rId1874" display="http://www.boxofficemojo.com/movies/?id=sweptaway2017.htm"/>
    <hyperlink ref="E631" r:id="rId1875" display="http://www.boxofficemojo.com/studio/chart/?studio=kinolorber.htm"/>
    <hyperlink ref="J631" r:id="rId1876" display="http://www.boxofficemojo.com/schedule/?view=bydate&amp;release=theatrical&amp;date=2017-04-14&amp;p=.htm"/>
    <hyperlink ref="C632" r:id="rId1877" display="http://www.boxofficemojo.com/movies/?id=theballadofleftybrown.htm"/>
    <hyperlink ref="E632" r:id="rId1878" display="http://www.boxofficemojo.com/studio/chart/?studio=a24.htm"/>
    <hyperlink ref="J632" r:id="rId1879" display="http://www.boxofficemojo.com/schedule/?view=bydate&amp;release=theatrical&amp;date=2017-12-15&amp;p=.htm"/>
    <hyperlink ref="C633" r:id="rId1880" display="http://www.boxofficemojo.com/movies/?id=overdrive.htm"/>
    <hyperlink ref="E633" r:id="rId1881" display="http://www.boxofficemojo.com/studio/chart/?studio=vertical.htm"/>
    <hyperlink ref="J633" r:id="rId1882" display="http://www.boxofficemojo.com/schedule/?view=bydate&amp;release=theatrical&amp;date=2017-10-06&amp;p=.htm"/>
    <hyperlink ref="C634" r:id="rId1883" display="http://www.boxofficemojo.com/movies/?id=mauriziocattelan.htm"/>
    <hyperlink ref="E634" r:id="rId1884" display="http://www.boxofficemojo.com/studio/chart/?studio=bond360.htm"/>
    <hyperlink ref="J634" r:id="rId1885" display="http://www.boxofficemojo.com/schedule/?view=bydate&amp;release=theatrical&amp;date=2017-04-14&amp;p=.htm"/>
    <hyperlink ref="C635" r:id="rId1886" display="http://www.boxofficemojo.com/movies/?id=thewronglight.htm"/>
    <hyperlink ref="E635" r:id="rId1887" display="http://www.boxofficemojo.com/studio/chart/?studio=cinemaguild.htm"/>
    <hyperlink ref="J635" r:id="rId1888" display="http://www.boxofficemojo.com/schedule/?view=bydate&amp;release=theatrical&amp;date=2017-07-14&amp;p=.htm"/>
    <hyperlink ref="C636" r:id="rId1889" display="http://www.boxofficemojo.com/movies/?id=birthright.htm"/>
    <hyperlink ref="E636" r:id="rId1890" display="http://www.boxofficemojo.com/studio/chart/?studio=abramorama.htm"/>
    <hyperlink ref="J636" r:id="rId1891" display="http://www.boxofficemojo.com/schedule/?view=bydate&amp;release=theatrical&amp;date=2017-07-14&amp;p=.htm"/>
    <hyperlink ref="C637" r:id="rId1892" display="http://www.boxofficemojo.com/movies/?id=frankserpico.htm"/>
    <hyperlink ref="E637" r:id="rId1893" display="http://www.boxofficemojo.com/studio/chart/?studio=ifc.htm"/>
    <hyperlink ref="J637" r:id="rId1894" display="http://www.boxofficemojo.com/schedule/?view=bydate&amp;release=theatrical&amp;date=2017-11-01&amp;p=.htm"/>
    <hyperlink ref="C638" r:id="rId1895" display="http://www.boxofficemojo.com/movies/?id=bigtime.htm"/>
    <hyperlink ref="E638" r:id="rId1896" display="http://www.boxofficemojo.com/studio/chart/?studio=abramorama.htm"/>
    <hyperlink ref="J638" r:id="rId1897" display="http://www.boxofficemojo.com/schedule/?view=bydate&amp;release=theatrical&amp;date=2017-12-01&amp;p=.htm"/>
    <hyperlink ref="C639" r:id="rId1898" display="http://www.boxofficemojo.com/movies/?id=anotherwolfcop.htm"/>
    <hyperlink ref="E639" r:id="rId1899" display="http://www.boxofficemojo.com/studio/chart/?studio=paradedeck.htm"/>
    <hyperlink ref="J639" r:id="rId1900" display="http://www.boxofficemojo.com/schedule/?view=bydate&amp;release=theatrical&amp;date=2017-12-01&amp;p=.htm"/>
    <hyperlink ref="C640" r:id="rId1901" display="http://www.boxofficemojo.com/movies/?id=thejazzfuneral.htm"/>
    <hyperlink ref="E640" r:id="rId1902" display="http://www.boxofficemojo.com/studio/chart/?studio=indican.htm"/>
    <hyperlink ref="J640" r:id="rId1903" display="http://www.boxofficemojo.com/schedule/?view=bydate&amp;release=theatrical&amp;date=2017-03-10&amp;p=.htm"/>
    <hyperlink ref="C641" r:id="rId1904" display="http://www.boxofficemojo.com/movies/?id=thedarkbelow.htm"/>
    <hyperlink ref="E641" r:id="rId1905" display="http://www.boxofficemojo.com/studio/chart/?studio=paradedeck.htm"/>
    <hyperlink ref="J641" r:id="rId1906" display="http://www.boxofficemojo.com/schedule/?view=bydate&amp;release=theatrical&amp;date=2017-03-10&amp;p=.htm"/>
    <hyperlink ref="C642" r:id="rId1907" display="http://www.boxofficemojo.com/movies/?id=ichi.htm"/>
    <hyperlink ref="E642" r:id="rId1908" display="http://www.boxofficemojo.com/studio/chart/?studio=wellgo.htm"/>
    <hyperlink ref="J642" r:id="rId1909" display="http://www.boxofficemojo.com/schedule/?view=bydate&amp;release=theatrical&amp;date=2017-11-10&amp;p=.htm"/>
    <hyperlink ref="C643" r:id="rId1910" display="http://www.boxofficemojo.com/movies/?id=akindofloving2017.htm"/>
    <hyperlink ref="E643" r:id="rId1911" display="http://www.boxofficemojo.com/studio/chart/?studio=rialto.htm"/>
    <hyperlink ref="J643" r:id="rId1912" display="http://www.boxofficemojo.com/schedule/?view=bydate&amp;release=theatrical&amp;date=2017-04-07&amp;p=.htm"/>
    <hyperlink ref="C644" r:id="rId1913" display="http://www.boxofficemojo.com/movies/?id=footnotes.htm"/>
    <hyperlink ref="E644" r:id="rId1914" display="http://www.boxofficemojo.com/studio/chart/?studio=monument.htm"/>
    <hyperlink ref="J644" r:id="rId1915" display="http://www.boxofficemojo.com/schedule/?view=bydate&amp;release=theatrical&amp;date=2017-07-14&amp;p=.htm"/>
    <hyperlink ref="C645" r:id="rId1916" display="http://www.boxofficemojo.com/movies/?id=suntan.htm"/>
    <hyperlink ref="E645" r:id="rId1917" display="http://www.boxofficemojo.com/studio/chart/?studio=strand.htm"/>
    <hyperlink ref="J645" r:id="rId1918" display="http://www.boxofficemojo.com/schedule/?view=bydate&amp;release=theatrical&amp;date=2017-03-10&amp;p=.htm"/>
    <hyperlink ref="C646" r:id="rId1919" display="http://www.boxofficemojo.com/movies/?id=thepersianconnection.htm"/>
    <hyperlink ref="E646" r:id="rId1920" display="http://www.boxofficemojo.com/studio/chart/?studio=samuelgoldwyn.htm"/>
    <hyperlink ref="J646" r:id="rId1921" display="http://www.boxofficemojo.com/schedule/?view=bydate&amp;release=theatrical&amp;date=2017-07-14&amp;p=.htm"/>
    <hyperlink ref="C647" r:id="rId1922" display="http://www.boxofficemojo.com/movies/?id=elizabethblue.htm"/>
    <hyperlink ref="E647" r:id="rId1923" display="http://www.boxofficemojo.com/studio/chart/?studio=globaldigital.htm"/>
    <hyperlink ref="J647" r:id="rId1924" display="http://www.boxofficemojo.com/schedule/?view=bydate&amp;release=theatrical&amp;date=2017-09-22&amp;p=.htm"/>
    <hyperlink ref="C648" r:id="rId1925" display="http://www.boxofficemojo.com/movies/?id=scum17.htm"/>
    <hyperlink ref="E648" r:id="rId1926" display="http://www.boxofficemojo.com/studio/chart/?studio=kinolorber.htm"/>
    <hyperlink ref="J648" r:id="rId1927" display="http://www.boxofficemojo.com/schedule/?view=bydate&amp;release=theatrical&amp;date=2017-06-16&amp;p=.htm"/>
    <hyperlink ref="C649" r:id="rId1928" display="http://www.boxofficemojo.com/movies/?id=lastrampage.htm"/>
    <hyperlink ref="E649" r:id="rId1929" display="http://www.boxofficemojo.com/studio/chart/?studio=epicpics.htm"/>
    <hyperlink ref="J649" r:id="rId1930" display="http://www.boxofficemojo.com/schedule/?view=bydate&amp;release=theatrical&amp;date=2017-09-22&amp;p=.htm"/>
    <hyperlink ref="C650" r:id="rId1931" display="http://www.boxofficemojo.com/movies/?id=inseparables.htm"/>
    <hyperlink ref="E650" r:id="rId1932" display="http://www.boxofficemojo.com/studio/chart/?studio=filmmovement.htm"/>
    <hyperlink ref="J650" r:id="rId1933" display="http://www.boxofficemojo.com/schedule/?view=bydate&amp;release=theatrical&amp;date=2017-10-15&amp;p=.htm"/>
    <hyperlink ref="C651" r:id="rId1934" display="http://www.boxofficemojo.com/movies/?id=theskyjackerstale.htm"/>
    <hyperlink ref="E651" r:id="rId1935" display="http://www.boxofficemojo.com/studio/chart/?studio=strand.htm"/>
    <hyperlink ref="J651" r:id="rId1936" display="http://www.boxofficemojo.com/schedule/?view=bydate&amp;release=theatrical&amp;date=2017-06-30&amp;p=.htm"/>
    <hyperlink ref="C652" r:id="rId1937" display="http://www.boxofficemojo.com/movies/?id=inthestepsoftrishabrown.htm"/>
    <hyperlink ref="E652" r:id="rId1938" display="http://www.boxofficemojo.com/studio/chart/?studio=icarus.htm"/>
    <hyperlink ref="J652" r:id="rId1939" display="http://www.boxofficemojo.com/schedule/?view=bydate&amp;release=theatrical&amp;date=2017-02-07&amp;p=.htm"/>
    <hyperlink ref="C653" r:id="rId1940" display="http://www.boxofficemojo.com/movies/?id=arisefromdarkness.htm"/>
    <hyperlink ref="E653" r:id="rId1941" display="http://www.boxofficemojo.com/studio/chart/?studio=indican.htm"/>
    <hyperlink ref="J653" r:id="rId1942" display="http://www.boxofficemojo.com/schedule/?view=bydate&amp;release=theatrical&amp;date=2017-01-06&amp;p=.htm"/>
    <hyperlink ref="C654" r:id="rId1943" display="http://www.boxofficemojo.com/movies/?id=thefuzz.htm"/>
    <hyperlink ref="E654" r:id="rId1944" display="http://www.boxofficemojo.com/studio/chart/?studio=indican.htm"/>
    <hyperlink ref="J654" r:id="rId1945" display="http://www.boxofficemojo.com/schedule/?view=bydate&amp;release=theatrical&amp;date=2017-07-21&amp;p=.htm"/>
    <hyperlink ref="C655" r:id="rId1946" display="http://www.boxofficemojo.com/movies/?id=onwingsofeagles.htm"/>
    <hyperlink ref="E655" r:id="rId1947" display="http://www.boxofficemojo.com/studio/chart/?studio=archstone.htm"/>
    <hyperlink ref="J655" r:id="rId1948" display="http://www.boxofficemojo.com/schedule/?view=bydate&amp;release=theatrical&amp;date=2017-11-03&amp;p=.htm"/>
    <hyperlink ref="C656" r:id="rId1949" display="http://www.boxofficemojo.com/movies/?id=tadeojones2.htm"/>
    <hyperlink ref="E656" r:id="rId1950" display="http://www.boxofficemojo.com/studio/chart/?studio=paramountclassics.htm"/>
    <hyperlink ref="J656" r:id="rId1951" display="http://www.boxofficemojo.com/schedule/?view=bydate&amp;release=theatrical&amp;date=2017-12-01&amp;p=.htm"/>
    <hyperlink ref="C657" r:id="rId1952" display="http://www.boxofficemojo.com/movies/?id=thework.htm"/>
    <hyperlink ref="E657" r:id="rId1953" display="http://www.boxofficemojo.com/studio/chart/?studio=orchard.htm"/>
    <hyperlink ref="J657" r:id="rId1954" display="http://www.boxofficemojo.com/schedule/?view=bydate&amp;release=theatrical&amp;date=2017-10-27&amp;p=.htm"/>
    <hyperlink ref="C658" r:id="rId1955" display="http://www.boxofficemojo.com/movies/?id=thevault.htm"/>
    <hyperlink ref="E658" r:id="rId1956" display="http://www.boxofficemojo.com/studio/chart/?studio=filmrise.htm"/>
    <hyperlink ref="J658" r:id="rId1957" display="http://www.boxofficemojo.com/schedule/?view=bydate&amp;release=theatrical&amp;date=2017-09-01&amp;p=.htm"/>
    <hyperlink ref="C659" r:id="rId1958" display="http://www.boxofficemojo.com/movies/?id=trespassagainstus.htm"/>
    <hyperlink ref="E659" r:id="rId1959" display="http://www.boxofficemojo.com/studio/chart/?studio=a24.htm"/>
    <hyperlink ref="J659" r:id="rId1960" display="http://www.boxofficemojo.com/schedule/?view=bydate&amp;release=theatrical&amp;date=2017-01-20&amp;p=.htm"/>
    <hyperlink ref="C660" r:id="rId1961" display="http://www.boxofficemojo.com/movies/?id=theardennes.htm"/>
    <hyperlink ref="E660" r:id="rId1962" display="http://www.boxofficemojo.com/studio/chart/?studio=filmmovement.htm"/>
    <hyperlink ref="J660" r:id="rId1963" display="http://www.boxofficemojo.com/schedule/?view=bydate&amp;release=theatrical&amp;date=2017-01-06&amp;p=.htm"/>
    <hyperlink ref="C661" r:id="rId1964" display="http://www.boxofficemojo.com/movies/?id=lachinoise2017.htm"/>
    <hyperlink ref="E661" r:id="rId1965" display="http://www.boxofficemojo.com/studio/chart/?studio=kinolorber.htm"/>
    <hyperlink ref="J661" r:id="rId1966" display="http://www.boxofficemojo.com/schedule/?view=bydate&amp;release=theatrical&amp;date=2017-07-21&amp;p=.htm"/>
    <hyperlink ref="C662" r:id="rId1967" display="http://www.boxofficemojo.com/movies/?id=noculpesalkarma.htm"/>
    <hyperlink ref="E662" r:id="rId1968" display="http://www.boxofficemojo.com/studio/chart/?studio=sony.htm"/>
    <hyperlink ref="J662" r:id="rId1969" display="http://www.boxofficemojo.com/schedule/?view=bydate&amp;release=theatrical&amp;date=2017-03-24&amp;p=.htm"/>
    <hyperlink ref="C663" r:id="rId1970" display="http://www.boxofficemojo.com/movies/?id=oro.htm"/>
    <hyperlink ref="E663" r:id="rId1971" display="http://www.boxofficemojo.com/studio/chart/?studio=sony.htm"/>
    <hyperlink ref="J663" r:id="rId1972" display="http://www.boxofficemojo.com/schedule/?view=bydate&amp;release=theatrical&amp;date=2017-12-01&amp;p=.htm"/>
    <hyperlink ref="C664" r:id="rId1973" display="http://www.boxofficemojo.com/movies/?id=icaros.htm"/>
    <hyperlink ref="E664" r:id="rId1974" display="http://www.boxofficemojo.com/studio/chart/?studio=factory25.htm"/>
    <hyperlink ref="J664" r:id="rId1975" display="http://www.boxofficemojo.com/schedule/?view=bydate&amp;release=theatrical&amp;date=2017-05-19&amp;p=.htm"/>
    <hyperlink ref="C665" r:id="rId1976" display="http://www.boxofficemojo.com/movies/?id=thereaganshow.htm"/>
    <hyperlink ref="E665" r:id="rId1977" display="http://www.boxofficemojo.com/studio/chart/?studio=gravitas.htm"/>
    <hyperlink ref="J665" r:id="rId1978" display="http://www.boxofficemojo.com/schedule/?view=bydate&amp;release=theatrical&amp;date=2017-06-30&amp;p=.htm"/>
    <hyperlink ref="C666" r:id="rId1979" display="http://www.boxofficemojo.com/movies/?id=manfromearthholocene.htm"/>
    <hyperlink ref="E666" r:id="rId1980" display="http://www.boxofficemojo.com/studio/chart/?studio=paradedeck.htm"/>
    <hyperlink ref="J666" r:id="rId1981" display="http://www.boxofficemojo.com/schedule/?view=bydate&amp;release=theatrical&amp;date=2017-10-13&amp;p=.htm"/>
    <hyperlink ref="C667" r:id="rId1982" display="http://www.boxofficemojo.com/movies/?id=reset.htm"/>
    <hyperlink ref="E667" r:id="rId1983" display="http://www.boxofficemojo.com/studio/chart/?studio=filmrise.htm"/>
    <hyperlink ref="J667" r:id="rId1984" display="http://www.boxofficemojo.com/schedule/?view=bydate&amp;release=theatrical&amp;date=2017-01-13&amp;p=.htm"/>
    <hyperlink ref="C668" r:id="rId1985" display="http://www.boxofficemojo.com/movies/?id=badluckygoat.htm"/>
    <hyperlink ref="E668" r:id="rId1986" display="http://www.boxofficemojo.com/studio/chart/?studio=filmmovement.htm"/>
    <hyperlink ref="J668" r:id="rId1987" display="http://www.boxofficemojo.com/schedule/?view=bydate&amp;release=theatrical&amp;date=2017-10-13&amp;p=.htm"/>
    <hyperlink ref="C669" r:id="rId1988" display="http://www.boxofficemojo.com/movies/?id=companytown.htm"/>
    <hyperlink ref="E669" r:id="rId1989" display="http://www.boxofficemojo.com/studio/chart/?studio=firstrun.htm"/>
    <hyperlink ref="J669" r:id="rId1990" display="http://www.boxofficemojo.com/schedule/?view=bydate&amp;release=theatrical&amp;date=2017-09-08&amp;p=.htm"/>
    <hyperlink ref="C670" r:id="rId1991" display="http://www.boxofficemojo.com/movies/?id=starlessdreams.htm"/>
    <hyperlink ref="E670" r:id="rId1992" display="http://www.boxofficemojo.com/studio/chart/?studio=cinemaguild.htm"/>
    <hyperlink ref="J670" r:id="rId1993" display="http://www.boxofficemojo.com/schedule/?view=bydate&amp;release=theatrical&amp;date=2017-01-20&amp;p=.htm"/>
    <hyperlink ref="C671" r:id="rId1994" display="http://www.boxofficemojo.com/movies/?id=shot17.htm"/>
    <hyperlink ref="E671" r:id="rId1995" display="http://www.boxofficemojo.com/studio/chart/?studio=paladin.htm"/>
    <hyperlink ref="J671" r:id="rId1996" display="http://www.boxofficemojo.com/schedule/?view=bydate&amp;release=theatrical&amp;date=2017-09-22&amp;p=.htm"/>
    <hyperlink ref="C672" r:id="rId1997" display="http://www.boxofficemojo.com/movies/?id=nightschool2017.htm"/>
    <hyperlink ref="E672" r:id="rId1998" display="http://www.boxofficemojo.com/studio/chart/?studio=oscilloscopepictures.htm"/>
    <hyperlink ref="J672" r:id="rId1999" display="http://www.boxofficemojo.com/schedule/?view=bydate&amp;release=theatrical&amp;date=2017-06-09&amp;p=.htm"/>
    <hyperlink ref="C673" r:id="rId2000" display="http://www.boxofficemojo.com/movies/?id=iloveyouboth.htm"/>
    <hyperlink ref="E673" r:id="rId2001" display="http://www.boxofficemojo.com/studio/chart/?studio=magnolia.htm"/>
    <hyperlink ref="J673" r:id="rId2002" display="http://www.boxofficemojo.com/schedule/?view=bydate&amp;release=theatrical&amp;date=2017-06-09&amp;p=.htm"/>
    <hyperlink ref="C674" r:id="rId2003" display="http://www.boxofficemojo.com/movies/?id=tribesofpalosverdes.htm"/>
    <hyperlink ref="E674" r:id="rId2004" display="http://www.boxofficemojo.com/studio/chart/?studio=ifc.htm"/>
    <hyperlink ref="J674" r:id="rId2005" display="http://www.boxofficemojo.com/schedule/?view=bydate&amp;release=theatrical&amp;date=2017-12-01&amp;p=.htm"/>
    <hyperlink ref="C675" r:id="rId2006" display="http://www.boxofficemojo.com/movies/?id=shakespearewallah2017.htm"/>
    <hyperlink ref="E675" r:id="rId2007" display="http://www.boxofficemojo.com/studio/chart/?studio=cohenmedia.htm"/>
    <hyperlink ref="J675" r:id="rId2008" display="http://www.boxofficemojo.com/schedule/?view=bydate&amp;release=theatrical&amp;date=2017-11-10&amp;p=.htm"/>
    <hyperlink ref="C676" r:id="rId2009" display="http://www.boxofficemojo.com/movies/?id=aboycalledpo.htm"/>
    <hyperlink ref="E676" r:id="rId2010" display="http://www.boxofficemojo.com/studio/chart/?studio=fs.htm"/>
    <hyperlink ref="J676" r:id="rId2011" display="http://www.boxofficemojo.com/schedule/?view=bydate&amp;release=theatrical&amp;date=2017-09-01&amp;p=.htm"/>
    <hyperlink ref="C677" r:id="rId2012" display="http://www.boxofficemojo.com/movies/?id=vengeancelovestory.htm"/>
    <hyperlink ref="E677" r:id="rId2013" display="http://www.boxofficemojo.com/studio/chart/?studio=filmrise.htm"/>
    <hyperlink ref="J677" r:id="rId2014" display="http://www.boxofficemojo.com/schedule/?view=bydate&amp;release=theatrical&amp;date=2017-09-15&amp;p=.htm"/>
    <hyperlink ref="C678" r:id="rId2015" display="http://www.boxofficemojo.com/movies/?id=thepulitzerat100.htm"/>
    <hyperlink ref="E678" r:id="rId2016" display="http://www.boxofficemojo.com/studio/chart/?studio=firstrun.htm"/>
    <hyperlink ref="J678" r:id="rId2017" display="http://www.boxofficemojo.com/schedule/?view=bydate&amp;release=theatrical&amp;date=2017-07-21&amp;p=.htm"/>
    <hyperlink ref="C679" r:id="rId2018" display="http://www.boxofficemojo.com/movies/?id=germanconcentrationcamps.htm"/>
    <hyperlink ref="E679" r:id="rId2019" display="http://www.boxofficemojo.com/studio/chart/?studio=firstrun.htm"/>
    <hyperlink ref="J679" r:id="rId2020" display="http://www.boxofficemojo.com/schedule/?view=bydate&amp;release=theatrical&amp;date=2017-01-06&amp;p=.htm"/>
    <hyperlink ref="C680" r:id="rId2021" display="http://www.boxofficemojo.com/movies/?id=generationiron2.htm"/>
    <hyperlink ref="E680" r:id="rId2022" display="http://www.boxofficemojo.com/studio/chart/?studio=vladar.htm"/>
    <hyperlink ref="J680" r:id="rId2023" display="http://www.boxofficemojo.com/schedule/?view=bydate&amp;release=theatrical&amp;date=2017-05-12&amp;p=.htm"/>
    <hyperlink ref="C681" r:id="rId2024" display="http://www.boxofficemojo.com/movies/?id=30love.htm"/>
    <hyperlink ref="E681" r:id="rId2025" display="http://www.boxofficemojo.com/studio/chart/?studio=unknown.htm"/>
    <hyperlink ref="J681" r:id="rId2026" display="http://www.boxofficemojo.com/schedule/?view=bydate&amp;release=theatrical&amp;date=2017-09-29&amp;p=.htm"/>
    <hyperlink ref="C682" r:id="rId2027" display="http://www.boxofficemojo.com/movies/?id=myfatherdie.htm"/>
    <hyperlink ref="E682" r:id="rId2028" display="http://www.boxofficemojo.com/studio/chart/?studio=filmrise.htm"/>
    <hyperlink ref="J682" r:id="rId2029" display="http://www.boxofficemojo.com/schedule/?view=bydate&amp;release=theatrical&amp;date=2017-01-20&amp;p=.htm"/>
    <hyperlink ref="C683" r:id="rId2030" display="http://www.boxofficemojo.com/movies/?id=singularity17.htm"/>
    <hyperlink ref="E683" r:id="rId2031" display="http://www.boxofficemojo.com/studio/chart/?studio=vertical.htm"/>
    <hyperlink ref="J683" r:id="rId2032" display="http://www.boxofficemojo.com/schedule/?view=bydate&amp;release=theatrical&amp;date=2017-11-03&amp;p=.htm"/>
    <hyperlink ref="C684" r:id="rId2033" display="http://www.boxofficemojo.com/movies/?id=badsville.htm"/>
    <hyperlink ref="E684" r:id="rId2034" display="http://www.boxofficemojo.com/studio/chart/?studio=epicpics.htm"/>
    <hyperlink ref="J684" r:id="rId2035" display="http://www.boxofficemojo.com/schedule/?view=bydate&amp;release=theatrical&amp;date=2017-12-01&amp;p=.htm"/>
    <hyperlink ref="C685" r:id="rId2036" display="http://www.boxofficemojo.com/movies/?id=dreamboat.htm"/>
    <hyperlink ref="E685" r:id="rId2037" display="http://www.boxofficemojo.com/studio/chart/?studio=strand.htm"/>
    <hyperlink ref="J685" r:id="rId2038" display="http://www.boxofficemojo.com/schedule/?view=bydate&amp;release=theatrical&amp;date=2017-11-03&amp;p=.htm"/>
    <hyperlink ref="C686" r:id="rId2039" display="http://www.boxofficemojo.com/movies/?id=thewomanwholeft.htm"/>
    <hyperlink ref="E686" r:id="rId2040" display="http://www.boxofficemojo.com/studio/chart/?studio=kinolorber.htm"/>
    <hyperlink ref="J686" r:id="rId2041" display="http://www.boxofficemojo.com/schedule/?view=bydate&amp;release=theatrical&amp;date=2017-05-19&amp;p=.htm"/>
    <hyperlink ref="C687" r:id="rId2042" display="http://www.boxofficemojo.com/movies/?id=secondnature.htm"/>
    <hyperlink ref="E687" r:id="rId2043" display="http://www.boxofficemojo.com/studio/chart/?studio=smarthouse.htm"/>
    <hyperlink ref="J687" r:id="rId2044" display="http://www.boxofficemojo.com/schedule/?view=bydate&amp;release=theatrical&amp;date=2017-09-08&amp;p=.htm"/>
    <hyperlink ref="C688" r:id="rId2045" display="http://www.boxofficemojo.com/movies/?id=bugs2017.htm"/>
    <hyperlink ref="E688" r:id="rId2046" display="http://www.boxofficemojo.com/studio/chart/?studio=kinolorber.htm"/>
    <hyperlink ref="J688" r:id="rId2047" display="http://www.boxofficemojo.com/schedule/?view=bydate&amp;release=theatrical&amp;date=2017-06-05&amp;p=.htm"/>
    <hyperlink ref="C689" r:id="rId2048" display="http://www.boxofficemojo.com/movies/?id=soulonastring.htm"/>
    <hyperlink ref="E689" r:id="rId2049" display="http://www.boxofficemojo.com/studio/chart/?studio=filmmovement.htm"/>
    <hyperlink ref="J689" r:id="rId2050" display="http://www.boxofficemojo.com/schedule/?view=bydate&amp;release=theatrical&amp;date=2017-05-19&amp;p=.htm"/>
    <hyperlink ref="C690" r:id="rId2051" display="http://www.boxofficemojo.com/movies/?id=emily2017.htm"/>
    <hyperlink ref="E690" r:id="rId2052" display="http://www.boxofficemojo.com/studio/chart/?studio=hibernation.htm"/>
    <hyperlink ref="J690" r:id="rId2053" display="http://www.boxofficemojo.com/schedule/?view=bydate&amp;release=theatrical&amp;date=2017-01-27&amp;p=.htm"/>
    <hyperlink ref="C691" r:id="rId2054" display="http://www.boxofficemojo.com/movies/?id=labellenoiseuse2017.htm"/>
    <hyperlink ref="E691" r:id="rId2055" display="http://www.boxofficemojo.com/studio/chart/?studio=cohenmedia.htm"/>
    <hyperlink ref="J691" r:id="rId2056" display="http://www.boxofficemojo.com/schedule/?view=bydate&amp;release=theatrical&amp;date=2017-11-24&amp;p=.htm"/>
    <hyperlink ref="C692" r:id="rId2057" display="http://www.boxofficemojo.com/movies/?id=whoscrazy.htm"/>
    <hyperlink ref="E692" r:id="rId2058" display="http://www.boxofficemojo.com/studio/chart/?studio=kinolorber.htm"/>
    <hyperlink ref="J692" r:id="rId2059" display="http://www.boxofficemojo.com/schedule/?view=bydate&amp;release=theatrical&amp;date=2017-03-10&amp;p=.htm"/>
    <hyperlink ref="C693" r:id="rId2060" display="http://www.boxofficemojo.com/movies/?id=lovesweatandtears.htm"/>
    <hyperlink ref="E693" r:id="rId2061" display="http://www.boxofficemojo.com/studio/chart/?studio=kinolorber.htm"/>
    <hyperlink ref="J693" r:id="rId2062" display="http://www.boxofficemojo.com/schedule/?view=bydate&amp;release=theatrical&amp;date=2017-04-07&amp;p=.htm"/>
    <hyperlink ref="C694" r:id="rId2063" display="http://www.boxofficemojo.com/movies/?id=dalida.htm"/>
    <hyperlink ref="E694" r:id="rId2064" display="http://www.boxofficemojo.com/studio/chart/?studio=milkyway.htm"/>
    <hyperlink ref="J694" r:id="rId2065" display="http://www.boxofficemojo.com/schedule/?view=bydate&amp;release=theatrical&amp;date=2017-08-26&amp;p=.htm"/>
    <hyperlink ref="C695" r:id="rId2066" display="http://www.boxofficemojo.com/movies/?id=speedsisters.htm"/>
    <hyperlink ref="E695" r:id="rId2067" display="http://www.boxofficemojo.com/studio/chart/?studio=firstrun.htm"/>
    <hyperlink ref="J695" r:id="rId2068" display="http://www.boxofficemojo.com/schedule/?view=bydate&amp;release=theatrical&amp;date=2017-01-27&amp;p=.htm"/>
    <hyperlink ref="C696" r:id="rId2069" display="http://www.boxofficemojo.com/movies/?id=amandajack.htm"/>
    <hyperlink ref="E696" r:id="rId2070" display="http://www.boxofficemojo.com/studio/chart/?studio=orion.htm"/>
    <hyperlink ref="J696" r:id="rId2071" display="http://www.boxofficemojo.com/schedule/?view=bydate&amp;release=theatrical&amp;date=2017-11-10&amp;p=.htm"/>
    <hyperlink ref="C697" r:id="rId2072" display="http://www.boxofficemojo.com/movies/?id=badmatch.htm"/>
    <hyperlink ref="E697" r:id="rId2073" display="http://www.boxofficemojo.com/studio/chart/?studio=orion.htm"/>
    <hyperlink ref="J697" r:id="rId2074" display="http://www.boxofficemojo.com/schedule/?view=bydate&amp;release=theatrical&amp;date=2017-11-03&amp;p=.htm"/>
    <hyperlink ref="C698" r:id="rId2075" display="http://www.boxofficemojo.com/movies/?id=planetarium.htm"/>
    <hyperlink ref="E698" r:id="rId2076" display="http://www.boxofficemojo.com/studio/chart/?studio=swen.htm"/>
    <hyperlink ref="J698" r:id="rId2077" display="http://www.boxofficemojo.com/schedule/?view=bydate&amp;release=theatrical&amp;date=2017-08-11&amp;p=.htm"/>
    <hyperlink ref="C699" r:id="rId2078" display="http://www.boxofficemojo.com/movies/?id=justice2017.htm"/>
    <hyperlink ref="E699" r:id="rId2079" display="http://www.boxofficemojo.com/studio/chart/?studio=independent.htm"/>
    <hyperlink ref="J699" r:id="rId2080" display="http://www.boxofficemojo.com/schedule/?view=bydate&amp;release=theatrical&amp;date=2017-09-15&amp;p=.htm"/>
    <hyperlink ref="C700" r:id="rId2081" display="http://www.boxofficemojo.com/movies/?id=healtheliving.htm"/>
    <hyperlink ref="E700" r:id="rId2082" display="http://www.boxofficemojo.com/studio/chart/?studio=cohenmedia.htm"/>
    <hyperlink ref="J700" r:id="rId2083" display="http://www.boxofficemojo.com/schedule/?view=bydate&amp;release=theatrical&amp;date=2017-04-14&amp;p=.htm"/>
    <hyperlink ref="C701" r:id="rId2084" display="http://www.boxofficemojo.com/movies/?id=thelevelling.htm"/>
    <hyperlink ref="E701" r:id="rId2085" display="http://www.boxofficemojo.com/studio/chart/?studio=montereymediainc.htm"/>
    <hyperlink ref="J701" r:id="rId2086" display="http://www.boxofficemojo.com/schedule/?view=bydate&amp;release=theatrical&amp;date=2017-03-24&amp;p=.htm"/>
    <hyperlink ref="C702" r:id="rId2087" display="http://www.boxofficemojo.com/movies/?id=keplersdream.htm"/>
    <hyperlink ref="E702" r:id="rId2088" display="http://www.boxofficemojo.com/studio/chart/?studio=independent.htm"/>
    <hyperlink ref="J702" r:id="rId2089" display="http://www.boxofficemojo.com/schedule/?view=bydate&amp;release=theatrical&amp;date=2017-12-01&amp;p=.htm"/>
    <hyperlink ref="C703" r:id="rId2090" display="http://www.boxofficemojo.com/movies/?id=demons2017.htm"/>
    <hyperlink ref="E703" r:id="rId2091" display="http://www.boxofficemojo.com/studio/chart/?studio=uncorkd.htm"/>
    <hyperlink ref="J703" r:id="rId2092" display="http://www.boxofficemojo.com/schedule/?view=bydate&amp;release=theatrical&amp;date=2017-10-05&amp;p=.htm"/>
    <hyperlink ref="C704" r:id="rId2093" display="http://www.boxofficemojo.com/movies/?id=1898losultimosdefilipinas.htm"/>
    <hyperlink ref="E704" r:id="rId2094" display="http://www.boxofficemojo.com/studio/chart/?studio=sony.htm"/>
    <hyperlink ref="J704" r:id="rId2095" display="http://www.boxofficemojo.com/schedule/?view=bydate&amp;release=theatrical&amp;date=2017-03-03&amp;p=.htm"/>
    <hyperlink ref="C705" r:id="rId2096" display="http://www.boxofficemojo.com/movies/?id=idreaminanotherlanguage.htm"/>
    <hyperlink ref="E705" r:id="rId2097" display="http://www.boxofficemojo.com/studio/chart/?studio=filmrise.htm"/>
    <hyperlink ref="J705" r:id="rId2098" display="http://www.boxofficemojo.com/schedule/?view=bydate&amp;release=theatrical&amp;date=2017-07-28&amp;p=.htm"/>
    <hyperlink ref="C706" r:id="rId2099" display="http://www.boxofficemojo.com/movies/?id=santoalla.htm"/>
    <hyperlink ref="E706" r:id="rId2100" display="http://www.boxofficemojo.com/studio/chart/?studio=oscilloscopepictures.htm"/>
    <hyperlink ref="J706" r:id="rId2101" display="http://www.boxofficemojo.com/schedule/?view=bydate&amp;release=theatrical&amp;date=2017-07-19&amp;p=.htm"/>
    <hyperlink ref="C707" r:id="rId2102" display="http://www.boxofficemojo.com/movies/?id=daughterofthenile2017.htm"/>
    <hyperlink ref="E707" r:id="rId2103" display="http://www.boxofficemojo.com/studio/chart/?studio=cohenmedia.htm"/>
    <hyperlink ref="J707" r:id="rId2104" display="http://www.boxofficemojo.com/schedule/?view=bydate&amp;release=theatrical&amp;date=2017-10-27&amp;p=.htm"/>
    <hyperlink ref="C708" r:id="rId2105" display="http://www.boxofficemojo.com/movies/?id=takeme.htm"/>
    <hyperlink ref="E708" r:id="rId2106" display="http://www.boxofficemojo.com/studio/chart/?studio=orchard.htm"/>
    <hyperlink ref="J708" r:id="rId2107" display="http://www.boxofficemojo.com/schedule/?view=bydate&amp;release=theatrical&amp;date=2017-05-05&amp;p=.htm"/>
    <hyperlink ref="C709" r:id="rId2108" display="http://www.boxofficemojo.com/movies/?id=apprentice.htm"/>
    <hyperlink ref="E709" r:id="rId2109" display="http://www.boxofficemojo.com/studio/chart/?studio=filmmovement.htm"/>
    <hyperlink ref="J709" r:id="rId2110" display="http://www.boxofficemojo.com/schedule/?view=bydate&amp;release=theatrical&amp;date=2017-03-03&amp;p=.htm"/>
    <hyperlink ref="C710" r:id="rId2111" display="http://www.boxofficemojo.com/movies/?id=miles.htm"/>
    <hyperlink ref="E710" r:id="rId2112" display="http://www.boxofficemojo.com/studio/chart/?studio=fs.htm"/>
    <hyperlink ref="J710" r:id="rId2113" display="http://www.boxofficemojo.com/schedule/?view=bydate&amp;release=theatrical&amp;date=2017-06-09&amp;p=.htm"/>
    <hyperlink ref="C711" r:id="rId2114" display="http://www.boxofficemojo.com/movies/?id=misskietschildren.htm"/>
    <hyperlink ref="E711" r:id="rId2115" display="http://www.boxofficemojo.com/studio/chart/?studio=icarus.htm"/>
    <hyperlink ref="J711" r:id="rId2116" display="http://www.boxofficemojo.com/schedule/?view=bydate&amp;release=theatrical&amp;date=2017-12-13&amp;p=.htm"/>
    <hyperlink ref="C712" r:id="rId2117" display="http://www.boxofficemojo.com/movies/?id=redchristmas.htm"/>
    <hyperlink ref="E712" r:id="rId2118" display="http://www.boxofficemojo.com/studio/chart/?studio="/>
    <hyperlink ref="J712" r:id="rId2119" display="http://www.boxofficemojo.com/schedule/?view=bydate&amp;release=theatrical&amp;date=2017-08-25&amp;p=.htm"/>
    <hyperlink ref="C713" r:id="rId2120" display="http://www.boxofficemojo.com/movies/?id=behindthewhiteglasses.htm"/>
    <hyperlink ref="E713" r:id="rId2121" display="http://www.boxofficemojo.com/studio/chart/?studio=kinolorber.htm"/>
    <hyperlink ref="J713" r:id="rId2122" display="http://www.boxofficemojo.com/schedule/?view=bydate&amp;release=theatrical&amp;date=2017-04-21&amp;p=.htm"/>
    <hyperlink ref="C714" r:id="rId2123" display="http://www.boxofficemojo.com/movies/?id=7frometheria.htm"/>
    <hyperlink ref="E714" r:id="rId2124" display="http://www.boxofficemojo.com/studio/chart/?studio=paradedeck.htm"/>
    <hyperlink ref="J714" r:id="rId2125" display="http://www.boxofficemojo.com/schedule/?view=bydate&amp;release=theatrical&amp;date=2017-07-07&amp;p=.htm"/>
    <hyperlink ref="C715" r:id="rId2126" display="http://www.boxofficemojo.com/movies/?id=dayveon.htm"/>
    <hyperlink ref="E715" r:id="rId2127" display="http://www.boxofficemojo.com/studio/chart/?studio=filmrise.htm"/>
    <hyperlink ref="J715" r:id="rId2128" display="http://www.boxofficemojo.com/schedule/?view=bydate&amp;release=theatrical&amp;date=2017-09-13&amp;p=.htm"/>
    <hyperlink ref="C716" r:id="rId2129" display="http://www.boxofficemojo.com/movies/?id=theghoul.htm"/>
    <hyperlink ref="E716" r:id="rId2130" display="http://www.boxofficemojo.com/studio/chart/?studio=arrowfilms.htm"/>
    <hyperlink ref="J716" r:id="rId2131" display="http://www.boxofficemojo.com/schedule/?view=bydate&amp;release=theatrical&amp;date=2017-08-04&amp;p=.htm"/>
    <hyperlink ref="C717" r:id="rId2132" display="http://www.boxofficemojo.com/movies/?id=accidentalcourtesy.htm"/>
    <hyperlink ref="E717" r:id="rId2133" display="http://www.boxofficemojo.com/studio/chart/?studio=firstrun.htm"/>
    <hyperlink ref="J717" r:id="rId2134" display="http://www.boxofficemojo.com/schedule/?view=bydate&amp;release=theatrical&amp;date=2017-01-06&amp;p=.htm"/>
    <hyperlink ref="C718" r:id="rId2135" display="http://www.boxofficemojo.com/movies/?id=detour.htm"/>
    <hyperlink ref="E718" r:id="rId2136" display="http://www.boxofficemojo.com/studio/chart/?studio=magnolia.htm"/>
    <hyperlink ref="J718" r:id="rId2137" display="http://www.boxofficemojo.com/schedule/?view=bydate&amp;release=theatrical&amp;date=2017-01-20&amp;p=.htm"/>
    <hyperlink ref="C719" r:id="rId2138" display="http://www.boxofficemojo.com/movies/?id=almostfriends.htm"/>
    <hyperlink ref="E719" r:id="rId2139" display="http://www.boxofficemojo.com/studio/chart/?studio=orion.htm"/>
    <hyperlink ref="J719" r:id="rId2140" display="http://www.boxofficemojo.com/schedule/?view=bydate&amp;release=theatrical&amp;date=2017-11-17&amp;p=.htm"/>
    <hyperlink ref="C720" r:id="rId2141" display="http://www.boxofficemojo.com/movies/?id=theoutcasts.htm"/>
    <hyperlink ref="E720" r:id="rId2142" display="http://www.boxofficemojo.com/studio/chart/?studio=swen.htm"/>
    <hyperlink ref="J720" r:id="rId2143" display="http://www.boxofficemojo.com/schedule/?view=bydate&amp;release=theatrical&amp;date=2017-04-14&amp;p=.htm"/>
    <hyperlink ref="C721" r:id="rId2144" display="http://www.boxofficemojo.com/movies/?id=forestforthetrees2017.htm"/>
    <hyperlink ref="E721" r:id="rId2145" display="http://www.boxofficemojo.com/studio/chart/?studio=filmmovement.htm"/>
    <hyperlink ref="J721" r:id="rId2146" display="http://www.boxofficemojo.com/schedule/?view=bydate&amp;release=theatrical&amp;date=2017-01-18&amp;p=.htm"/>
    <hyperlink ref="C722" r:id="rId2147" display="http://www.boxofficemojo.com/movies/?id=itsnotyetdark.htm"/>
    <hyperlink ref="E722" r:id="rId2148" display="http://www.boxofficemojo.com/studio/chart/?studio=filmrise.htm"/>
    <hyperlink ref="J722" r:id="rId2149" display="http://www.boxofficemojo.com/schedule/?view=bydate&amp;release=theatrical&amp;date=2017-08-04&amp;p=.htm"/>
    <hyperlink ref="C723" r:id="rId2150" display="http://www.boxofficemojo.com/movies/?id=adifferentamericandream.htm"/>
    <hyperlink ref="E723" r:id="rId2151" display="http://www.boxofficemojo.com/studio/chart/?studio=firstrun.htm"/>
    <hyperlink ref="J723" r:id="rId2152" display="http://www.boxofficemojo.com/schedule/?view=bydate&amp;release=theatrical&amp;date=2017-01-06&amp;p=.htm"/>
    <hyperlink ref="C724" r:id="rId2153" display="http://www.boxofficemojo.com/movies/?id=thepenguincounters.htm"/>
    <hyperlink ref="E724" r:id="rId2154" display="http://www.boxofficemojo.com/studio/chart/?studio=firstrun.htm"/>
    <hyperlink ref="J724" r:id="rId2155" display="http://www.boxofficemojo.com/schedule/?view=bydate&amp;release=theatrical&amp;date=2017-04-21&amp;p=.htm"/>
    <hyperlink ref="C725" r:id="rId2156" display="http://www.boxofficemojo.com/movies/?id=extraordinaryordinarypeople.htm"/>
    <hyperlink ref="E725" r:id="rId2157" display="http://www.boxofficemojo.com/studio/chart/?studio=firstrun.htm"/>
    <hyperlink ref="J725" r:id="rId2158" display="http://www.boxofficemojo.com/schedule/?view=bydate&amp;release=theatrical&amp;date=2017-09-15&amp;p=.htm"/>
    <hyperlink ref="C726" r:id="rId2159" display="http://www.boxofficemojo.com/movies/?id=amityvillehorror12.htm"/>
    <hyperlink ref="E726" r:id="rId2160" display="http://www.boxofficemojo.com/studio/chart/?studio=wdimension.htm"/>
    <hyperlink ref="J726" r:id="rId2161" display="http://www.boxofficemojo.com/schedule/?view=bydate&amp;release=theatrical&amp;date=2017-10-28&amp;p=.htm"/>
    <hyperlink ref="C727" r:id="rId2162" display="http://www.boxofficemojo.com/movies/?id=maxleon.htm"/>
    <hyperlink ref="E727" r:id="rId2163" display="http://www.boxofficemojo.com/studio/chart/?studio=distribfilms.htm"/>
    <hyperlink ref="J727" r:id="rId2164" display="http://www.boxofficemojo.com/schedule/?view=bydate&amp;release=theatrical&amp;date=2017-03-15&amp;p=.htm"/>
    <hyperlink ref="C728" r:id="rId2165" display="http://www.boxofficemojo.com/movies/?id=thestudent.htm"/>
    <hyperlink ref="E728" r:id="rId2166" display="http://www.boxofficemojo.com/studio/chart/?studio=milkyway.htm"/>
    <hyperlink ref="J728" r:id="rId2167" display="http://www.boxofficemojo.com/schedule/?view=bydate&amp;release=theatrical&amp;date=2017-04-14&amp;p=.htm"/>
    <hyperlink ref="C729" r:id="rId2168" display="http://www.boxofficemojo.com/movies/?id=222film.htm"/>
    <hyperlink ref="E729" r:id="rId2169" display="http://www.boxofficemojo.com/studio/chart/?studio=magnolia.htm"/>
    <hyperlink ref="J729" r:id="rId2170" display="http://www.boxofficemojo.com/schedule/?view=bydate&amp;release=theatrical&amp;date=2017-06-30&amp;p=.htm"/>
  </hyperlinks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3:O281"/>
  <sheetViews>
    <sheetView topLeftCell="E1" workbookViewId="0">
      <selection activeCell="K31" sqref="K31"/>
    </sheetView>
  </sheetViews>
  <sheetFormatPr baseColWidth="10" defaultRowHeight="16" x14ac:dyDescent="0.2"/>
  <cols>
    <col min="1" max="1" width="10.83203125" style="1"/>
    <col min="2" max="2" width="23" style="1" customWidth="1"/>
    <col min="3" max="3" width="18.1640625" style="1" customWidth="1"/>
    <col min="4" max="4" width="22" style="1" customWidth="1"/>
    <col min="5" max="5" width="25.83203125" style="1" customWidth="1"/>
    <col min="6" max="6" width="22.83203125" style="1" bestFit="1" customWidth="1"/>
    <col min="7" max="9" width="22.83203125" style="1" customWidth="1"/>
    <col min="10" max="10" width="10.83203125" style="1"/>
    <col min="11" max="11" width="35.1640625" style="1" customWidth="1"/>
    <col min="12" max="12" width="19.33203125" style="1" customWidth="1"/>
    <col min="13" max="13" width="16.1640625" style="1" customWidth="1"/>
    <col min="14" max="16384" width="10.83203125" style="1"/>
  </cols>
  <sheetData>
    <row r="3" spans="2:15" x14ac:dyDescent="0.2">
      <c r="G3" s="19" t="s">
        <v>3121</v>
      </c>
      <c r="H3" s="19"/>
      <c r="I3" s="19"/>
    </row>
    <row r="4" spans="2:15" x14ac:dyDescent="0.2">
      <c r="G4" s="9" t="str">
        <f>"Match on: "&amp;TEXT(1-COUNTIF(G6:G275,#N/A)/COUNTA(G6:G275),"0.00%")</f>
        <v>Match on: 0.80%</v>
      </c>
      <c r="H4" s="9"/>
      <c r="I4" s="9"/>
      <c r="M4" s="2" t="str">
        <f>"False "&amp;TEXT(COUNTIF(M6:M275,FALSE)/COUNTA(M6:M275),"0.00%")</f>
        <v>False 0.53%</v>
      </c>
      <c r="O4" s="10"/>
    </row>
    <row r="5" spans="2:15" x14ac:dyDescent="0.2">
      <c r="B5" s="12" t="s">
        <v>549</v>
      </c>
      <c r="C5" s="12" t="s">
        <v>0</v>
      </c>
      <c r="D5" s="12" t="s">
        <v>1</v>
      </c>
      <c r="E5" s="12" t="s">
        <v>2</v>
      </c>
      <c r="F5" s="12" t="s">
        <v>3</v>
      </c>
      <c r="G5" s="12" t="s">
        <v>2749</v>
      </c>
      <c r="H5" s="12" t="s">
        <v>2750</v>
      </c>
      <c r="I5" s="12" t="s">
        <v>552</v>
      </c>
      <c r="J5" s="12" t="s">
        <v>545</v>
      </c>
      <c r="K5" s="13" t="s">
        <v>546</v>
      </c>
      <c r="L5" s="12" t="s">
        <v>547</v>
      </c>
      <c r="M5" s="12" t="s">
        <v>548</v>
      </c>
    </row>
    <row r="6" spans="2:15" x14ac:dyDescent="0.2">
      <c r="B6" s="5">
        <v>9.8611111111111108E-2</v>
      </c>
      <c r="C6" s="3" t="s">
        <v>112</v>
      </c>
      <c r="D6" s="14" t="s">
        <v>2753</v>
      </c>
      <c r="E6" s="15" t="s">
        <v>29</v>
      </c>
      <c r="F6" s="15" t="s">
        <v>319</v>
      </c>
      <c r="G6" s="15" t="str">
        <f>IFERROR(INDEX('BOM2017'!F:F,MATCH(Wiki!B6,'BOM2017'!C:C,0)),INDEX('BOM2017'!F:F,MATCH(Wiki!B6,'BOM2017'!D:D,0)))</f>
        <v>$422</v>
      </c>
      <c r="H6" s="15" t="str">
        <f>IFERROR(INDEX('BOM2017'!H:H,MATCH(Wiki!B6,'BOM2017'!C:C,0)),INDEX('BOM2017'!H:H,MATCH(Wiki!B6,'BOM2017'!D:D,0)))</f>
        <v>$294</v>
      </c>
      <c r="I6" s="16" t="str">
        <f>IFERROR(INDEX('BOM2017'!H:H,MATCH(Wiki!B6,'BOM2017'!C:C,0)),INDEX('BOM2017'!H:H,MATCH(Wiki!B6,'BOM2017'!D:D,0)))</f>
        <v>$294</v>
      </c>
      <c r="J6" s="1" t="str">
        <f t="shared" ref="J6:J69" si="0">GETURL(B6)</f>
        <v>https://en.wikipedia.org/wiki/2:22_(2017_film)</v>
      </c>
      <c r="K6" s="11" t="str">
        <f>TRIM(RIGHT(J6,LEN(J6)-FIND("wiki/",J6)-4))</f>
        <v>2:22_(2017_film)</v>
      </c>
      <c r="L6" s="1" t="str">
        <f t="shared" ref="L6:L69" si="1">SUBSTITUTE(B6," ","_")</f>
        <v>0,0986111111111111</v>
      </c>
      <c r="M6" s="1" t="b">
        <f t="shared" ref="M6:M69" si="2">K6=L6</f>
        <v>0</v>
      </c>
    </row>
    <row r="7" spans="2:15" x14ac:dyDescent="0.2">
      <c r="B7" s="3" t="s">
        <v>22</v>
      </c>
      <c r="C7" s="3" t="s">
        <v>23</v>
      </c>
      <c r="D7" s="15" t="s">
        <v>2754</v>
      </c>
      <c r="E7" s="15" t="s">
        <v>24</v>
      </c>
      <c r="F7" s="15" t="s">
        <v>6</v>
      </c>
      <c r="G7" s="15" t="e">
        <f>IFERROR(INDEX('BOM2017'!F:F,MATCH(Wiki!B7,'BOM2017'!C:C,0)),INDEX('BOM2017'!F:F,MATCH(Wiki!B7,'BOM2017'!D:D,0)))</f>
        <v>#N/A</v>
      </c>
      <c r="H7" s="15" t="e">
        <f>IFERROR(INDEX('BOM2017'!H:H,MATCH(Wiki!B7,'BOM2017'!C:C,0)),INDEX('BOM2017'!H:H,MATCH(Wiki!B7,'BOM2017'!D:D,0)))</f>
        <v>#N/A</v>
      </c>
      <c r="I7" s="16" t="e">
        <f>IFERROR(INDEX('BOM2017'!H:H,MATCH(Wiki!B7,'BOM2017'!C:C,0)),INDEX('BOM2017'!H:H,MATCH(Wiki!B7,'BOM2017'!D:D,0)))</f>
        <v>#N/A</v>
      </c>
      <c r="J7" s="1" t="str">
        <f t="shared" si="0"/>
        <v>https://en.wikipedia.org/wiki/100_Streets</v>
      </c>
      <c r="K7" s="11" t="str">
        <f t="shared" ref="K7:K70" si="3">TRIM(RIGHT(J7,LEN(J7)-FIND("wiki/",J7)-4))</f>
        <v>100_Streets</v>
      </c>
      <c r="L7" s="1" t="str">
        <f t="shared" si="1"/>
        <v>100_Streets</v>
      </c>
      <c r="M7" s="1" t="b">
        <f t="shared" si="2"/>
        <v>1</v>
      </c>
    </row>
    <row r="8" spans="2:15" x14ac:dyDescent="0.2">
      <c r="B8" s="3" t="s">
        <v>248</v>
      </c>
      <c r="C8" s="3" t="s">
        <v>249</v>
      </c>
      <c r="D8" s="14" t="s">
        <v>2755</v>
      </c>
      <c r="E8" s="15" t="s">
        <v>24</v>
      </c>
      <c r="F8" s="15" t="s">
        <v>6</v>
      </c>
      <c r="G8" s="15" t="str">
        <f>IFERROR(INDEX('BOM2017'!F:F,MATCH(Wiki!B8,'BOM2017'!C:C,0)),INDEX('BOM2017'!F:F,MATCH(Wiki!B8,'BOM2017'!D:D,0)))</f>
        <v>$155,936</v>
      </c>
      <c r="H8" s="15" t="str">
        <f>IFERROR(INDEX('BOM2017'!H:H,MATCH(Wiki!B8,'BOM2017'!C:C,0)),INDEX('BOM2017'!H:H,MATCH(Wiki!B8,'BOM2017'!D:D,0)))</f>
        <v>$105,215</v>
      </c>
      <c r="I8" s="16" t="str">
        <f>IFERROR(INDEX('BOM2017'!H:H,MATCH(Wiki!B8,'BOM2017'!C:C,0)),INDEX('BOM2017'!H:H,MATCH(Wiki!B8,'BOM2017'!D:D,0)))</f>
        <v>$105,215</v>
      </c>
      <c r="J8" s="1" t="str">
        <f t="shared" si="0"/>
        <v>https://en.wikipedia.org/wiki/3_Generations_(film)</v>
      </c>
      <c r="K8" s="11" t="str">
        <f t="shared" si="3"/>
        <v>3_Generations_(film)</v>
      </c>
      <c r="L8" s="1" t="str">
        <f t="shared" si="1"/>
        <v>3_Generations</v>
      </c>
      <c r="M8" s="1" t="b">
        <f t="shared" si="2"/>
        <v>0</v>
      </c>
    </row>
    <row r="9" spans="2:15" x14ac:dyDescent="0.2">
      <c r="B9" s="3" t="s">
        <v>301</v>
      </c>
      <c r="C9" s="3" t="s">
        <v>302</v>
      </c>
      <c r="D9" s="14" t="s">
        <v>2756</v>
      </c>
      <c r="E9" s="15" t="s">
        <v>19</v>
      </c>
      <c r="F9" s="15" t="s">
        <v>6</v>
      </c>
      <c r="G9" s="15" t="str">
        <f>IFERROR(INDEX('BOM2017'!F:F,MATCH(Wiki!B9,'BOM2017'!C:C,0)),INDEX('BOM2017'!F:F,MATCH(Wiki!B9,'BOM2017'!D:D,0)))</f>
        <v>$44,307,192</v>
      </c>
      <c r="H9" s="15" t="str">
        <f>IFERROR(INDEX('BOM2017'!H:H,MATCH(Wiki!B9,'BOM2017'!C:C,0)),INDEX('BOM2017'!H:H,MATCH(Wiki!B9,'BOM2017'!D:D,0)))</f>
        <v>$11,205,561</v>
      </c>
      <c r="I9" s="16" t="str">
        <f>IFERROR(INDEX('BOM2017'!H:H,MATCH(Wiki!B9,'BOM2017'!C:C,0)),INDEX('BOM2017'!H:H,MATCH(Wiki!B9,'BOM2017'!D:D,0)))</f>
        <v>$11,205,561</v>
      </c>
      <c r="J9" s="1" t="str">
        <f t="shared" si="0"/>
        <v>https://en.wikipedia.org/wiki/47_Meters_Down</v>
      </c>
      <c r="K9" s="11" t="str">
        <f t="shared" si="3"/>
        <v>47_Meters_Down</v>
      </c>
      <c r="L9" s="1" t="str">
        <f t="shared" si="1"/>
        <v>47_Meters_Down</v>
      </c>
      <c r="M9" s="1" t="b">
        <f t="shared" si="2"/>
        <v>1</v>
      </c>
    </row>
    <row r="10" spans="2:15" x14ac:dyDescent="0.2">
      <c r="B10" s="3" t="s">
        <v>106</v>
      </c>
      <c r="C10" s="14" t="s">
        <v>2757</v>
      </c>
      <c r="D10" s="14" t="s">
        <v>2758</v>
      </c>
      <c r="E10" s="15" t="s">
        <v>29</v>
      </c>
      <c r="F10" s="15" t="s">
        <v>107</v>
      </c>
      <c r="G10" s="15" t="str">
        <f>IFERROR(INDEX('BOM2017'!F:F,MATCH(Wiki!B10,'BOM2017'!C:C,0)),INDEX('BOM2017'!F:F,MATCH(Wiki!B10,'BOM2017'!D:D,0)))</f>
        <v>$8,106,986</v>
      </c>
      <c r="H10" s="15" t="str">
        <f>IFERROR(INDEX('BOM2017'!H:H,MATCH(Wiki!B10,'BOM2017'!C:C,0)),INDEX('BOM2017'!H:H,MATCH(Wiki!B10,'BOM2017'!D:D,0)))</f>
        <v>$4,356,941</v>
      </c>
      <c r="I10" s="16" t="str">
        <f>IFERROR(INDEX('BOM2017'!H:H,MATCH(Wiki!B10,'BOM2017'!C:C,0)),INDEX('BOM2017'!H:H,MATCH(Wiki!B10,'BOM2017'!D:D,0)))</f>
        <v>$4,356,941</v>
      </c>
      <c r="J10" s="1" t="str">
        <f t="shared" si="0"/>
        <v>https://en.wikipedia.org/wiki/A_Cure_for_Wellness</v>
      </c>
      <c r="K10" s="11" t="str">
        <f t="shared" si="3"/>
        <v>A_Cure_for_Wellness</v>
      </c>
      <c r="L10" s="1" t="str">
        <f t="shared" si="1"/>
        <v>A_Cure_for_Wellness</v>
      </c>
      <c r="M10" s="1" t="b">
        <f t="shared" si="2"/>
        <v>1</v>
      </c>
    </row>
    <row r="11" spans="2:15" x14ac:dyDescent="0.2">
      <c r="B11" s="3" t="s">
        <v>219</v>
      </c>
      <c r="C11" s="3" t="s">
        <v>220</v>
      </c>
      <c r="D11" s="14" t="s">
        <v>2759</v>
      </c>
      <c r="E11" s="15" t="s">
        <v>24</v>
      </c>
      <c r="F11" s="15" t="s">
        <v>88</v>
      </c>
      <c r="G11" s="15" t="str">
        <f>IFERROR(INDEX('BOM2017'!F:F,MATCH(Wiki!B11,'BOM2017'!C:C,0)),INDEX('BOM2017'!F:F,MATCH(Wiki!B11,'BOM2017'!D:D,0)))</f>
        <v>$1,865,396</v>
      </c>
      <c r="H11" s="15" t="str">
        <f>IFERROR(INDEX('BOM2017'!H:H,MATCH(Wiki!B11,'BOM2017'!C:C,0)),INDEX('BOM2017'!H:H,MATCH(Wiki!B11,'BOM2017'!D:D,0)))</f>
        <v>$45,825</v>
      </c>
      <c r="I11" s="16" t="str">
        <f>IFERROR(INDEX('BOM2017'!H:H,MATCH(Wiki!B11,'BOM2017'!C:C,0)),INDEX('BOM2017'!H:H,MATCH(Wiki!B11,'BOM2017'!D:D,0)))</f>
        <v>$45,825</v>
      </c>
      <c r="J11" s="1" t="str">
        <f t="shared" si="0"/>
        <v>https://en.wikipedia.org/wiki/A_Quiet_Passion</v>
      </c>
      <c r="K11" s="11" t="str">
        <f t="shared" si="3"/>
        <v>A_Quiet_Passion</v>
      </c>
      <c r="L11" s="1" t="str">
        <f t="shared" si="1"/>
        <v>A_Quiet_Passion</v>
      </c>
      <c r="M11" s="1" t="b">
        <f t="shared" si="2"/>
        <v>1</v>
      </c>
    </row>
    <row r="12" spans="2:15" x14ac:dyDescent="0.2">
      <c r="B12" s="3" t="s">
        <v>96</v>
      </c>
      <c r="C12" s="3" t="s">
        <v>97</v>
      </c>
      <c r="D12" s="14" t="s">
        <v>2760</v>
      </c>
      <c r="E12" s="15" t="s">
        <v>24</v>
      </c>
      <c r="F12" s="3" t="s">
        <v>98</v>
      </c>
      <c r="G12" s="15" t="str">
        <f>IFERROR(INDEX('BOM2017'!F:F,MATCH(Wiki!B12,'BOM2017'!C:C,0)),INDEX('BOM2017'!F:F,MATCH(Wiki!B12,'BOM2017'!D:D,0)))</f>
        <v>$3,902,185</v>
      </c>
      <c r="H12" s="15" t="str">
        <f>IFERROR(INDEX('BOM2017'!H:H,MATCH(Wiki!B12,'BOM2017'!C:C,0)),INDEX('BOM2017'!H:H,MATCH(Wiki!B12,'BOM2017'!D:D,0)))</f>
        <v>$66,510</v>
      </c>
      <c r="I12" s="16" t="str">
        <f>IFERROR(INDEX('BOM2017'!H:H,MATCH(Wiki!B12,'BOM2017'!C:C,0)),INDEX('BOM2017'!H:H,MATCH(Wiki!B12,'BOM2017'!D:D,0)))</f>
        <v>$66,510</v>
      </c>
      <c r="J12" s="1" t="str">
        <f t="shared" si="0"/>
        <v>https://en.wikipedia.org/wiki/A_United_Kingdom</v>
      </c>
      <c r="K12" s="11" t="str">
        <f t="shared" si="3"/>
        <v>A_United_Kingdom</v>
      </c>
      <c r="L12" s="1" t="str">
        <f t="shared" si="1"/>
        <v>A_United_Kingdom</v>
      </c>
      <c r="M12" s="1" t="b">
        <f t="shared" si="2"/>
        <v>1</v>
      </c>
    </row>
    <row r="13" spans="2:15" x14ac:dyDescent="0.2">
      <c r="B13" s="3" t="s">
        <v>198</v>
      </c>
      <c r="C13" s="3" t="s">
        <v>199</v>
      </c>
      <c r="D13" s="14" t="s">
        <v>2761</v>
      </c>
      <c r="E13" s="15" t="s">
        <v>29</v>
      </c>
      <c r="F13" s="15" t="s">
        <v>6</v>
      </c>
      <c r="G13" s="15" t="e">
        <f>IFERROR(INDEX('BOM2017'!F:F,MATCH(Wiki!B13,'BOM2017'!C:C,0)),INDEX('BOM2017'!F:F,MATCH(Wiki!B13,'BOM2017'!D:D,0)))</f>
        <v>#N/A</v>
      </c>
      <c r="H13" s="15" t="e">
        <f>IFERROR(INDEX('BOM2017'!H:H,MATCH(Wiki!B13,'BOM2017'!C:C,0)),INDEX('BOM2017'!H:H,MATCH(Wiki!B13,'BOM2017'!D:D,0)))</f>
        <v>#N/A</v>
      </c>
      <c r="I13" s="16" t="e">
        <f>IFERROR(INDEX('BOM2017'!H:H,MATCH(Wiki!B13,'BOM2017'!C:C,0)),INDEX('BOM2017'!H:H,MATCH(Wiki!B13,'BOM2017'!D:D,0)))</f>
        <v>#N/A</v>
      </c>
      <c r="J13" s="1" t="str">
        <f t="shared" si="0"/>
        <v>https://en.wikipedia.org/wiki/Aftermath_(2017_film)</v>
      </c>
      <c r="K13" s="11" t="str">
        <f t="shared" si="3"/>
        <v>Aftermath_(2017_film)</v>
      </c>
      <c r="L13" s="1" t="str">
        <f t="shared" si="1"/>
        <v>Aftermath</v>
      </c>
      <c r="M13" s="1" t="b">
        <f t="shared" si="2"/>
        <v>0</v>
      </c>
    </row>
    <row r="14" spans="2:15" x14ac:dyDescent="0.2">
      <c r="B14" s="3" t="s">
        <v>300</v>
      </c>
      <c r="C14" s="14" t="s">
        <v>2762</v>
      </c>
      <c r="D14" s="14" t="s">
        <v>2763</v>
      </c>
      <c r="E14" s="15" t="s">
        <v>67</v>
      </c>
      <c r="F14" s="15" t="s">
        <v>6</v>
      </c>
      <c r="G14" s="15" t="str">
        <f>IFERROR(INDEX('BOM2017'!F:F,MATCH(Wiki!B14,'BOM2017'!C:C,0)),INDEX('BOM2017'!F:F,MATCH(Wiki!B14,'BOM2017'!D:D,0)))</f>
        <v>$44,922,302</v>
      </c>
      <c r="H14" s="15" t="str">
        <f>IFERROR(INDEX('BOM2017'!H:H,MATCH(Wiki!B14,'BOM2017'!C:C,0)),INDEX('BOM2017'!H:H,MATCH(Wiki!B14,'BOM2017'!D:D,0)))</f>
        <v>$26,435,354</v>
      </c>
      <c r="I14" s="16" t="str">
        <f>IFERROR(INDEX('BOM2017'!H:H,MATCH(Wiki!B14,'BOM2017'!C:C,0)),INDEX('BOM2017'!H:H,MATCH(Wiki!B14,'BOM2017'!D:D,0)))</f>
        <v>$26,435,354</v>
      </c>
      <c r="J14" s="1" t="str">
        <f t="shared" si="0"/>
        <v>https://en.wikipedia.org/wiki/All_Eyez_on_Me_(film)</v>
      </c>
      <c r="K14" s="11" t="str">
        <f t="shared" si="3"/>
        <v>All_Eyez_on_Me_(film)</v>
      </c>
      <c r="L14" s="1" t="str">
        <f t="shared" si="1"/>
        <v>All_Eyez_on_Me</v>
      </c>
      <c r="M14" s="1" t="b">
        <f t="shared" si="2"/>
        <v>0</v>
      </c>
    </row>
    <row r="15" spans="2:15" x14ac:dyDescent="0.2">
      <c r="B15" s="3" t="s">
        <v>484</v>
      </c>
      <c r="C15" s="3" t="s">
        <v>485</v>
      </c>
      <c r="D15" s="14" t="s">
        <v>2764</v>
      </c>
      <c r="E15" s="15" t="s">
        <v>29</v>
      </c>
      <c r="F15" s="15" t="s">
        <v>6</v>
      </c>
      <c r="G15" s="15" t="str">
        <f>IFERROR(INDEX('BOM2017'!F:F,MATCH(Wiki!B15,'BOM2017'!C:C,0)),INDEX('BOM2017'!F:F,MATCH(Wiki!B15,'BOM2017'!D:D,0)))</f>
        <v>$217,644</v>
      </c>
      <c r="H15" s="15" t="str">
        <f>IFERROR(INDEX('BOM2017'!H:H,MATCH(Wiki!B15,'BOM2017'!C:C,0)),INDEX('BOM2017'!H:H,MATCH(Wiki!B15,'BOM2017'!D:D,0)))</f>
        <v>$144,076</v>
      </c>
      <c r="I15" s="16" t="str">
        <f>IFERROR(INDEX('BOM2017'!H:H,MATCH(Wiki!B15,'BOM2017'!C:C,0)),INDEX('BOM2017'!H:H,MATCH(Wiki!B15,'BOM2017'!D:D,0)))</f>
        <v>$144,076</v>
      </c>
      <c r="J15" s="1" t="str">
        <f t="shared" si="0"/>
        <v>https://en.wikipedia.org/wiki/All_I_See_Is_You_(film)</v>
      </c>
      <c r="K15" s="11" t="str">
        <f t="shared" si="3"/>
        <v>All_I_See_Is_You_(film)</v>
      </c>
      <c r="L15" s="1" t="str">
        <f t="shared" si="1"/>
        <v>All_I_See_Is_You</v>
      </c>
      <c r="M15" s="1" t="b">
        <f t="shared" si="2"/>
        <v>0</v>
      </c>
    </row>
    <row r="16" spans="2:15" x14ac:dyDescent="0.2">
      <c r="B16" s="3" t="s">
        <v>172</v>
      </c>
      <c r="C16" s="15" t="s">
        <v>90</v>
      </c>
      <c r="D16" s="15" t="s">
        <v>2765</v>
      </c>
      <c r="E16" s="15" t="s">
        <v>91</v>
      </c>
      <c r="F16" s="15" t="s">
        <v>6</v>
      </c>
      <c r="G16" s="15" t="e">
        <f>IFERROR(INDEX('BOM2017'!F:F,MATCH(Wiki!B16,'BOM2017'!C:C,0)),INDEX('BOM2017'!F:F,MATCH(Wiki!B16,'BOM2017'!D:D,0)))</f>
        <v>#N/A</v>
      </c>
      <c r="H16" s="15" t="e">
        <f>IFERROR(INDEX('BOM2017'!H:H,MATCH(Wiki!B16,'BOM2017'!C:C,0)),INDEX('BOM2017'!H:H,MATCH(Wiki!B16,'BOM2017'!D:D,0)))</f>
        <v>#N/A</v>
      </c>
      <c r="I16" s="16" t="e">
        <f>IFERROR(INDEX('BOM2017'!H:H,MATCH(Wiki!B16,'BOM2017'!C:C,0)),INDEX('BOM2017'!H:H,MATCH(Wiki!B16,'BOM2017'!D:D,0)))</f>
        <v>#N/A</v>
      </c>
      <c r="J16" s="1" t="str">
        <f t="shared" si="0"/>
        <v>https://en.wikipedia.org/wiki/All_Nighter_(film)</v>
      </c>
      <c r="K16" s="11" t="str">
        <f t="shared" si="3"/>
        <v>All_Nighter_(film)</v>
      </c>
      <c r="L16" s="1" t="str">
        <f t="shared" si="1"/>
        <v>All_Nighter</v>
      </c>
      <c r="M16" s="1" t="b">
        <f t="shared" si="2"/>
        <v>0</v>
      </c>
    </row>
    <row r="17" spans="2:13" x14ac:dyDescent="0.2">
      <c r="B17" s="3" t="s">
        <v>372</v>
      </c>
      <c r="C17" s="14" t="s">
        <v>2766</v>
      </c>
      <c r="D17" s="14" t="s">
        <v>2767</v>
      </c>
      <c r="E17" s="15" t="s">
        <v>24</v>
      </c>
      <c r="F17" s="15" t="s">
        <v>6</v>
      </c>
      <c r="G17" s="15" t="str">
        <f>IFERROR(INDEX('BOM2017'!F:F,MATCH(Wiki!B17,'BOM2017'!C:C,0)),INDEX('BOM2017'!F:F,MATCH(Wiki!B17,'BOM2017'!D:D,0)))</f>
        <v>$5,802,208</v>
      </c>
      <c r="H17" s="15" t="str">
        <f>IFERROR(INDEX('BOM2017'!H:H,MATCH(Wiki!B17,'BOM2017'!C:C,0)),INDEX('BOM2017'!H:H,MATCH(Wiki!B17,'BOM2017'!D:D,0)))</f>
        <v>$1,514,278</v>
      </c>
      <c r="I17" s="16" t="str">
        <f>IFERROR(INDEX('BOM2017'!H:H,MATCH(Wiki!B17,'BOM2017'!C:C,0)),INDEX('BOM2017'!H:H,MATCH(Wiki!B17,'BOM2017'!D:D,0)))</f>
        <v>$1,514,278</v>
      </c>
      <c r="J17" s="1" t="str">
        <f t="shared" si="0"/>
        <v>https://en.wikipedia.org/wiki/All_Saints_(film)</v>
      </c>
      <c r="K17" s="11" t="str">
        <f t="shared" si="3"/>
        <v>All_Saints_(film)</v>
      </c>
      <c r="L17" s="1" t="str">
        <f t="shared" si="1"/>
        <v>All_Saints</v>
      </c>
      <c r="M17" s="1" t="b">
        <f t="shared" si="2"/>
        <v>0</v>
      </c>
    </row>
    <row r="18" spans="2:13" x14ac:dyDescent="0.2">
      <c r="B18" s="3" t="s">
        <v>28</v>
      </c>
      <c r="C18" s="3" t="s">
        <v>10</v>
      </c>
      <c r="D18" s="14" t="s">
        <v>2768</v>
      </c>
      <c r="E18" s="15" t="s">
        <v>29</v>
      </c>
      <c r="F18" s="14" t="s">
        <v>2769</v>
      </c>
      <c r="G18" s="15" t="str">
        <f>IFERROR(INDEX('BOM2017'!F:F,MATCH(Wiki!B18,'BOM2017'!C:C,0)),INDEX('BOM2017'!F:F,MATCH(Wiki!B18,'BOM2017'!D:D,0)))</f>
        <v>$33,125</v>
      </c>
      <c r="H18" s="15" t="str">
        <f>IFERROR(INDEX('BOM2017'!H:H,MATCH(Wiki!B18,'BOM2017'!C:C,0)),INDEX('BOM2017'!H:H,MATCH(Wiki!B18,'BOM2017'!D:D,0)))</f>
        <v>$8,869</v>
      </c>
      <c r="I18" s="16" t="str">
        <f>IFERROR(INDEX('BOM2017'!H:H,MATCH(Wiki!B18,'BOM2017'!C:C,0)),INDEX('BOM2017'!H:H,MATCH(Wiki!B18,'BOM2017'!D:D,0)))</f>
        <v>$8,869</v>
      </c>
      <c r="J18" s="1" t="str">
        <f t="shared" si="0"/>
        <v>https://en.wikipedia.org/wiki/Alone_in_Berlin_(film)</v>
      </c>
      <c r="K18" s="11" t="str">
        <f t="shared" si="3"/>
        <v>Alone_in_Berlin_(film)</v>
      </c>
      <c r="L18" s="1" t="str">
        <f t="shared" si="1"/>
        <v>Alone_in_Berlin</v>
      </c>
      <c r="M18" s="1" t="b">
        <f t="shared" si="2"/>
        <v>0</v>
      </c>
    </row>
    <row r="19" spans="2:13" x14ac:dyDescent="0.2">
      <c r="B19" s="3" t="s">
        <v>109</v>
      </c>
      <c r="C19" s="3" t="s">
        <v>10</v>
      </c>
      <c r="D19" s="15" t="s">
        <v>2770</v>
      </c>
      <c r="E19" s="15" t="s">
        <v>110</v>
      </c>
      <c r="F19" s="15" t="s">
        <v>6</v>
      </c>
      <c r="G19" s="15" t="e">
        <f>IFERROR(INDEX('BOM2017'!F:F,MATCH(Wiki!B19,'BOM2017'!C:C,0)),INDEX('BOM2017'!F:F,MATCH(Wiki!B19,'BOM2017'!D:D,0)))</f>
        <v>#N/A</v>
      </c>
      <c r="H19" s="15" t="e">
        <f>IFERROR(INDEX('BOM2017'!H:H,MATCH(Wiki!B19,'BOM2017'!C:C,0)),INDEX('BOM2017'!H:H,MATCH(Wiki!B19,'BOM2017'!D:D,0)))</f>
        <v>#N/A</v>
      </c>
      <c r="I19" s="16" t="e">
        <f>IFERROR(INDEX('BOM2017'!H:H,MATCH(Wiki!B19,'BOM2017'!C:C,0)),INDEX('BOM2017'!H:H,MATCH(Wiki!B19,'BOM2017'!D:D,0)))</f>
        <v>#N/A</v>
      </c>
      <c r="J19" s="1" t="str">
        <f t="shared" si="0"/>
        <v>https://en.wikipedia.org/wiki/American_Fable</v>
      </c>
      <c r="K19" s="11" t="str">
        <f t="shared" si="3"/>
        <v>American_Fable</v>
      </c>
      <c r="L19" s="1" t="str">
        <f t="shared" si="1"/>
        <v>American_Fable</v>
      </c>
      <c r="M19" s="1" t="b">
        <f t="shared" si="2"/>
        <v>1</v>
      </c>
    </row>
    <row r="20" spans="2:13" x14ac:dyDescent="0.2">
      <c r="B20" s="3" t="s">
        <v>341</v>
      </c>
      <c r="C20" s="14" t="s">
        <v>2771</v>
      </c>
      <c r="D20" s="3" t="s">
        <v>342</v>
      </c>
      <c r="E20" s="15" t="s">
        <v>85</v>
      </c>
      <c r="F20" s="15" t="s">
        <v>6</v>
      </c>
      <c r="G20" s="15" t="str">
        <f>IFERROR(INDEX('BOM2017'!F:F,MATCH(Wiki!B20,'BOM2017'!C:C,0)),INDEX('BOM2017'!F:F,MATCH(Wiki!B20,'BOM2017'!D:D,0)))</f>
        <v>$3,496,795</v>
      </c>
      <c r="H20" s="15" t="str">
        <f>IFERROR(INDEX('BOM2017'!H:H,MATCH(Wiki!B20,'BOM2017'!C:C,0)),INDEX('BOM2017'!H:H,MATCH(Wiki!B20,'BOM2017'!D:D,0)))</f>
        <v>$124,823</v>
      </c>
      <c r="I20" s="16" t="str">
        <f>IFERROR(INDEX('BOM2017'!H:H,MATCH(Wiki!B20,'BOM2017'!C:C,0)),INDEX('BOM2017'!H:H,MATCH(Wiki!B20,'BOM2017'!D:D,0)))</f>
        <v>$124,823</v>
      </c>
      <c r="J20" s="1" t="str">
        <f t="shared" si="0"/>
        <v>https://en.wikipedia.org/wiki/An_Inconvenient_Sequel:_Truth_to_Power</v>
      </c>
      <c r="K20" s="11" t="str">
        <f t="shared" si="3"/>
        <v>An_Inconvenient_Sequel:_Truth_to_Power</v>
      </c>
      <c r="L20" s="1" t="str">
        <f t="shared" si="1"/>
        <v>An_Inconvenient_Sequel:_Truth_to_Power</v>
      </c>
      <c r="M20" s="1" t="b">
        <f t="shared" si="2"/>
        <v>1</v>
      </c>
    </row>
    <row r="21" spans="2:13" x14ac:dyDescent="0.2">
      <c r="B21" s="3" t="s">
        <v>356</v>
      </c>
      <c r="C21" s="14" t="s">
        <v>2772</v>
      </c>
      <c r="D21" s="14" t="s">
        <v>2773</v>
      </c>
      <c r="E21" s="15" t="s">
        <v>357</v>
      </c>
      <c r="F21" s="15" t="s">
        <v>6</v>
      </c>
      <c r="G21" s="15" t="e">
        <f>IFERROR(INDEX('BOM2017'!F:F,MATCH(Wiki!B21,'BOM2017'!C:C,0)),INDEX('BOM2017'!F:F,MATCH(Wiki!B21,'BOM2017'!D:D,0)))</f>
        <v>#N/A</v>
      </c>
      <c r="H21" s="15" t="e">
        <f>IFERROR(INDEX('BOM2017'!H:H,MATCH(Wiki!B21,'BOM2017'!C:C,0)),INDEX('BOM2017'!H:H,MATCH(Wiki!B21,'BOM2017'!D:D,0)))</f>
        <v>#N/A</v>
      </c>
      <c r="I21" s="16" t="e">
        <f>IFERROR(INDEX('BOM2017'!H:H,MATCH(Wiki!B21,'BOM2017'!C:C,0)),INDEX('BOM2017'!H:H,MATCH(Wiki!B21,'BOM2017'!D:D,0)))</f>
        <v>#N/A</v>
      </c>
      <c r="J21" s="1" t="str">
        <f t="shared" si="0"/>
        <v>https://en.wikipedia.org/wiki/Armed_Response_(2017_film)</v>
      </c>
      <c r="K21" s="11" t="str">
        <f t="shared" si="3"/>
        <v>Armed_Response_(2017_film)</v>
      </c>
      <c r="L21" s="1" t="str">
        <f t="shared" si="1"/>
        <v>Armed_Response</v>
      </c>
      <c r="M21" s="1" t="b">
        <f t="shared" si="2"/>
        <v>0</v>
      </c>
    </row>
    <row r="22" spans="2:13" x14ac:dyDescent="0.2">
      <c r="B22" s="3" t="s">
        <v>7</v>
      </c>
      <c r="C22" s="14" t="s">
        <v>2774</v>
      </c>
      <c r="D22" s="14" t="s">
        <v>2775</v>
      </c>
      <c r="E22" s="15" t="s">
        <v>8</v>
      </c>
      <c r="F22" s="15" t="s">
        <v>6</v>
      </c>
      <c r="G22" s="15" t="e">
        <f>IFERROR(INDEX('BOM2017'!F:F,MATCH(Wiki!B22,'BOM2017'!C:C,0)),INDEX('BOM2017'!F:F,MATCH(Wiki!B22,'BOM2017'!D:D,0)))</f>
        <v>#N/A</v>
      </c>
      <c r="H22" s="15" t="e">
        <f>IFERROR(INDEX('BOM2017'!H:H,MATCH(Wiki!B22,'BOM2017'!C:C,0)),INDEX('BOM2017'!H:H,MATCH(Wiki!B22,'BOM2017'!D:D,0)))</f>
        <v>#N/A</v>
      </c>
      <c r="I22" s="16" t="e">
        <f>IFERROR(INDEX('BOM2017'!H:H,MATCH(Wiki!B22,'BOM2017'!C:C,0)),INDEX('BOM2017'!H:H,MATCH(Wiki!B22,'BOM2017'!D:D,0)))</f>
        <v>#N/A</v>
      </c>
      <c r="J22" s="1" t="str">
        <f t="shared" si="0"/>
        <v>https://en.wikipedia.org/wiki/Arsenal_(2017_film)</v>
      </c>
      <c r="K22" s="11" t="str">
        <f t="shared" si="3"/>
        <v>Arsenal_(2017_film)</v>
      </c>
      <c r="L22" s="1" t="str">
        <f t="shared" si="1"/>
        <v>Arsenal</v>
      </c>
      <c r="M22" s="1" t="b">
        <f t="shared" si="2"/>
        <v>0</v>
      </c>
    </row>
    <row r="23" spans="2:13" x14ac:dyDescent="0.2">
      <c r="B23" s="3" t="s">
        <v>169</v>
      </c>
      <c r="C23" s="3" t="s">
        <v>170</v>
      </c>
      <c r="D23" s="15" t="s">
        <v>2776</v>
      </c>
      <c r="E23" s="15" t="s">
        <v>171</v>
      </c>
      <c r="F23" s="15" t="s">
        <v>6</v>
      </c>
      <c r="G23" s="15" t="e">
        <f>IFERROR(INDEX('BOM2017'!F:F,MATCH(Wiki!B23,'BOM2017'!C:C,0)),INDEX('BOM2017'!F:F,MATCH(Wiki!B23,'BOM2017'!D:D,0)))</f>
        <v>#N/A</v>
      </c>
      <c r="H23" s="15" t="e">
        <f>IFERROR(INDEX('BOM2017'!H:H,MATCH(Wiki!B23,'BOM2017'!C:C,0)),INDEX('BOM2017'!H:H,MATCH(Wiki!B23,'BOM2017'!D:D,0)))</f>
        <v>#N/A</v>
      </c>
      <c r="I23" s="16" t="e">
        <f>IFERROR(INDEX('BOM2017'!H:H,MATCH(Wiki!B23,'BOM2017'!C:C,0)),INDEX('BOM2017'!H:H,MATCH(Wiki!B23,'BOM2017'!D:D,0)))</f>
        <v>#N/A</v>
      </c>
      <c r="J23" s="1" t="str">
        <f t="shared" si="0"/>
        <v>https://en.wikipedia.org/wiki/Atomica_(film)</v>
      </c>
      <c r="K23" s="11" t="str">
        <f t="shared" si="3"/>
        <v>Atomica_(film)</v>
      </c>
      <c r="L23" s="1" t="str">
        <f t="shared" si="1"/>
        <v>Atomica</v>
      </c>
      <c r="M23" s="1" t="b">
        <f t="shared" si="2"/>
        <v>0</v>
      </c>
    </row>
    <row r="24" spans="2:13" x14ac:dyDescent="0.2">
      <c r="B24" s="3" t="s">
        <v>236</v>
      </c>
      <c r="C24" s="3" t="s">
        <v>237</v>
      </c>
      <c r="D24" s="14" t="s">
        <v>2777</v>
      </c>
      <c r="E24" s="15" t="s">
        <v>238</v>
      </c>
      <c r="F24" s="15" t="s">
        <v>239</v>
      </c>
      <c r="G24" s="15" t="str">
        <f>IFERROR(INDEX('BOM2017'!F:F,MATCH(Wiki!B24,'BOM2017'!C:C,0)),INDEX('BOM2017'!F:F,MATCH(Wiki!B24,'BOM2017'!D:D,0)))</f>
        <v>$20,186,659</v>
      </c>
      <c r="H24" s="15" t="str">
        <f>IFERROR(INDEX('BOM2017'!H:H,MATCH(Wiki!B24,'BOM2017'!C:C,0)),INDEX('BOM2017'!H:H,MATCH(Wiki!B24,'BOM2017'!D:D,0)))</f>
        <v>$10,430,497</v>
      </c>
      <c r="I24" s="16" t="str">
        <f>IFERROR(INDEX('BOM2017'!H:H,MATCH(Wiki!B24,'BOM2017'!C:C,0)),INDEX('BOM2017'!H:H,MATCH(Wiki!B24,'BOM2017'!D:D,0)))</f>
        <v>$10,430,497</v>
      </c>
      <c r="J24" s="1" t="str">
        <f t="shared" si="0"/>
        <v>https://en.wikipedia.org/wiki/Baahubali_2:_The_Conclusion</v>
      </c>
      <c r="K24" s="11" t="str">
        <f t="shared" si="3"/>
        <v>Baahubali_2:_The_Conclusion</v>
      </c>
      <c r="L24" s="1" t="str">
        <f t="shared" si="1"/>
        <v>Baahubali_2:_The_Conclusion</v>
      </c>
      <c r="M24" s="1" t="b">
        <f t="shared" si="2"/>
        <v>1</v>
      </c>
    </row>
    <row r="25" spans="2:13" x14ac:dyDescent="0.2">
      <c r="B25" s="3" t="s">
        <v>375</v>
      </c>
      <c r="C25" s="3" t="s">
        <v>195</v>
      </c>
      <c r="D25" s="14" t="s">
        <v>2778</v>
      </c>
      <c r="E25" s="15" t="s">
        <v>24</v>
      </c>
      <c r="F25" s="15" t="s">
        <v>6</v>
      </c>
      <c r="G25" s="15" t="str">
        <f>IFERROR(INDEX('BOM2017'!F:F,MATCH(Wiki!B25,'BOM2017'!C:C,0)),INDEX('BOM2017'!F:F,MATCH(Wiki!B25,'BOM2017'!D:D,0)))</f>
        <v>$473,771</v>
      </c>
      <c r="H25" s="15" t="str">
        <f>IFERROR(INDEX('BOM2017'!H:H,MATCH(Wiki!B25,'BOM2017'!C:C,0)),INDEX('BOM2017'!H:H,MATCH(Wiki!B25,'BOM2017'!D:D,0)))</f>
        <v>$46,451</v>
      </c>
      <c r="I25" s="16" t="str">
        <f>IFERROR(INDEX('BOM2017'!H:H,MATCH(Wiki!B25,'BOM2017'!C:C,0)),INDEX('BOM2017'!H:H,MATCH(Wiki!B25,'BOM2017'!D:D,0)))</f>
        <v>$46,451</v>
      </c>
      <c r="J25" s="1" t="str">
        <f t="shared" si="0"/>
        <v>https://en.wikipedia.org/wiki/Beach_Rats</v>
      </c>
      <c r="K25" s="11" t="str">
        <f t="shared" si="3"/>
        <v>Beach_Rats</v>
      </c>
      <c r="L25" s="1" t="str">
        <f t="shared" si="1"/>
        <v>Beach_Rats</v>
      </c>
      <c r="M25" s="1" t="b">
        <f t="shared" si="2"/>
        <v>1</v>
      </c>
    </row>
    <row r="26" spans="2:13" x14ac:dyDescent="0.2">
      <c r="B26" s="3" t="s">
        <v>294</v>
      </c>
      <c r="C26" s="3" t="s">
        <v>135</v>
      </c>
      <c r="D26" s="14" t="s">
        <v>2779</v>
      </c>
      <c r="E26" s="15" t="s">
        <v>36</v>
      </c>
      <c r="F26" s="15" t="s">
        <v>295</v>
      </c>
      <c r="G26" s="15" t="str">
        <f>IFERROR(INDEX('BOM2017'!F:F,MATCH(Wiki!B26,'BOM2017'!C:C,0)),INDEX('BOM2017'!F:F,MATCH(Wiki!B26,'BOM2017'!D:D,0)))</f>
        <v>$7,115,854</v>
      </c>
      <c r="H26" s="15" t="str">
        <f>IFERROR(INDEX('BOM2017'!H:H,MATCH(Wiki!B26,'BOM2017'!C:C,0)),INDEX('BOM2017'!H:H,MATCH(Wiki!B26,'BOM2017'!D:D,0)))</f>
        <v>$141,959</v>
      </c>
      <c r="I26" s="16" t="str">
        <f>IFERROR(INDEX('BOM2017'!H:H,MATCH(Wiki!B26,'BOM2017'!C:C,0)),INDEX('BOM2017'!H:H,MATCH(Wiki!B26,'BOM2017'!D:D,0)))</f>
        <v>$141,959</v>
      </c>
      <c r="J26" s="1" t="str">
        <f t="shared" si="0"/>
        <v>https://en.wikipedia.org/wiki/Beatriz_at_Dinner</v>
      </c>
      <c r="K26" s="11" t="str">
        <f t="shared" si="3"/>
        <v>Beatriz_at_Dinner</v>
      </c>
      <c r="L26" s="1" t="str">
        <f t="shared" si="1"/>
        <v>Beatriz_at_Dinner</v>
      </c>
      <c r="M26" s="1" t="b">
        <f t="shared" si="2"/>
        <v>1</v>
      </c>
    </row>
    <row r="27" spans="2:13" x14ac:dyDescent="0.2">
      <c r="B27" s="3" t="s">
        <v>140</v>
      </c>
      <c r="C27" s="3" t="s">
        <v>128</v>
      </c>
      <c r="D27" s="14" t="s">
        <v>2780</v>
      </c>
      <c r="E27" s="15" t="s">
        <v>24</v>
      </c>
      <c r="F27" s="15" t="s">
        <v>6</v>
      </c>
      <c r="G27" s="15" t="str">
        <f>IFERROR(INDEX('BOM2017'!F:F,MATCH(Wiki!B27,'BOM2017'!C:C,0)),INDEX('BOM2017'!F:F,MATCH(Wiki!B27,'BOM2017'!D:D,0)))</f>
        <v>$12,241,122</v>
      </c>
      <c r="H27" s="15" t="str">
        <f>IFERROR(INDEX('BOM2017'!H:H,MATCH(Wiki!B27,'BOM2017'!C:C,0)),INDEX('BOM2017'!H:H,MATCH(Wiki!B27,'BOM2017'!D:D,0)))</f>
        <v>$4,690,214</v>
      </c>
      <c r="I27" s="16" t="str">
        <f>IFERROR(INDEX('BOM2017'!H:H,MATCH(Wiki!B27,'BOM2017'!C:C,0)),INDEX('BOM2017'!H:H,MATCH(Wiki!B27,'BOM2017'!D:D,0)))</f>
        <v>$4,690,214</v>
      </c>
      <c r="J27" s="1" t="str">
        <f t="shared" si="0"/>
        <v>https://en.wikipedia.org/wiki/Before_I_Fall_(film)</v>
      </c>
      <c r="K27" s="11" t="str">
        <f t="shared" si="3"/>
        <v>Before_I_Fall_(film)</v>
      </c>
      <c r="L27" s="1" t="str">
        <f t="shared" si="1"/>
        <v>Before_I_Fall</v>
      </c>
      <c r="M27" s="1" t="b">
        <f t="shared" si="2"/>
        <v>0</v>
      </c>
    </row>
    <row r="28" spans="2:13" x14ac:dyDescent="0.2">
      <c r="B28" s="3" t="s">
        <v>9</v>
      </c>
      <c r="C28" s="3" t="s">
        <v>10</v>
      </c>
      <c r="D28" s="15" t="s">
        <v>2781</v>
      </c>
      <c r="E28" s="15" t="s">
        <v>11</v>
      </c>
      <c r="F28" s="15" t="s">
        <v>6</v>
      </c>
      <c r="G28" s="15" t="e">
        <f>IFERROR(INDEX('BOM2017'!F:F,MATCH(Wiki!B28,'BOM2017'!C:C,0)),INDEX('BOM2017'!F:F,MATCH(Wiki!B28,'BOM2017'!D:D,0)))</f>
        <v>#N/A</v>
      </c>
      <c r="H28" s="15" t="e">
        <f>IFERROR(INDEX('BOM2017'!H:H,MATCH(Wiki!B28,'BOM2017'!C:C,0)),INDEX('BOM2017'!H:H,MATCH(Wiki!B28,'BOM2017'!D:D,0)))</f>
        <v>#N/A</v>
      </c>
      <c r="I28" s="16" t="e">
        <f>IFERROR(INDEX('BOM2017'!H:H,MATCH(Wiki!B28,'BOM2017'!C:C,0)),INDEX('BOM2017'!H:H,MATCH(Wiki!B28,'BOM2017'!D:D,0)))</f>
        <v>#N/A</v>
      </c>
      <c r="J28" s="1" t="str">
        <f t="shared" si="0"/>
        <v>https://en.wikipedia.org/wiki/Between_Us_(2016_film)</v>
      </c>
      <c r="K28" s="11" t="str">
        <f t="shared" si="3"/>
        <v>Between_Us_(2016_film)</v>
      </c>
      <c r="L28" s="1" t="str">
        <f t="shared" si="1"/>
        <v>Between_Us</v>
      </c>
      <c r="M28" s="1" t="b">
        <f t="shared" si="2"/>
        <v>0</v>
      </c>
    </row>
    <row r="29" spans="2:13" x14ac:dyDescent="0.2">
      <c r="B29" s="3" t="s">
        <v>134</v>
      </c>
      <c r="C29" s="3" t="s">
        <v>135</v>
      </c>
      <c r="D29" s="14" t="s">
        <v>2782</v>
      </c>
      <c r="E29" s="15" t="s">
        <v>67</v>
      </c>
      <c r="F29" s="15" t="s">
        <v>136</v>
      </c>
      <c r="G29" s="15" t="str">
        <f>IFERROR(INDEX('BOM2017'!F:F,MATCH(Wiki!B29,'BOM2017'!C:C,0)),INDEX('BOM2017'!F:F,MATCH(Wiki!B29,'BOM2017'!D:D,0)))</f>
        <v>$557,241</v>
      </c>
      <c r="H29" s="15" t="str">
        <f>IFERROR(INDEX('BOM2017'!H:H,MATCH(Wiki!B29,'BOM2017'!C:C,0)),INDEX('BOM2017'!H:H,MATCH(Wiki!B29,'BOM2017'!D:D,0)))</f>
        <v>$219,357</v>
      </c>
      <c r="I29" s="16" t="str">
        <f>IFERROR(INDEX('BOM2017'!H:H,MATCH(Wiki!B29,'BOM2017'!C:C,0)),INDEX('BOM2017'!H:H,MATCH(Wiki!B29,'BOM2017'!D:D,0)))</f>
        <v>$219,357</v>
      </c>
      <c r="J29" s="1" t="str">
        <f t="shared" si="0"/>
        <v>https://en.wikipedia.org/wiki/Bitter_Harvest_(2017_film)</v>
      </c>
      <c r="K29" s="11" t="str">
        <f t="shared" si="3"/>
        <v>Bitter_Harvest_(2017_film)</v>
      </c>
      <c r="L29" s="1" t="str">
        <f t="shared" si="1"/>
        <v>Bitter_Harvest</v>
      </c>
      <c r="M29" s="1" t="b">
        <f t="shared" si="2"/>
        <v>0</v>
      </c>
    </row>
    <row r="30" spans="2:13" x14ac:dyDescent="0.2">
      <c r="B30" s="3" t="s">
        <v>460</v>
      </c>
      <c r="C30" s="3" t="s">
        <v>81</v>
      </c>
      <c r="D30" s="14" t="s">
        <v>2783</v>
      </c>
      <c r="E30" s="15" t="s">
        <v>450</v>
      </c>
      <c r="F30" s="15" t="s">
        <v>6</v>
      </c>
      <c r="G30" s="15" t="e">
        <f>IFERROR(INDEX('BOM2017'!F:F,MATCH(Wiki!B30,'BOM2017'!C:C,0)),INDEX('BOM2017'!F:F,MATCH(Wiki!B30,'BOM2017'!D:D,0)))</f>
        <v>#N/A</v>
      </c>
      <c r="H30" s="15" t="e">
        <f>IFERROR(INDEX('BOM2017'!H:H,MATCH(Wiki!B30,'BOM2017'!C:C,0)),INDEX('BOM2017'!H:H,MATCH(Wiki!B30,'BOM2017'!D:D,0)))</f>
        <v>#N/A</v>
      </c>
      <c r="I30" s="16" t="e">
        <f>IFERROR(INDEX('BOM2017'!H:H,MATCH(Wiki!B30,'BOM2017'!C:C,0)),INDEX('BOM2017'!H:H,MATCH(Wiki!B30,'BOM2017'!D:D,0)))</f>
        <v>#N/A</v>
      </c>
      <c r="J30" s="1" t="str">
        <f t="shared" si="0"/>
        <v>https://en.wikipedia.org/wiki/Blood_Money_(2017_film)</v>
      </c>
      <c r="K30" s="11" t="str">
        <f t="shared" si="3"/>
        <v>Blood_Money_(2017_film)</v>
      </c>
      <c r="L30" s="1" t="str">
        <f t="shared" si="1"/>
        <v>Blood_Money</v>
      </c>
      <c r="M30" s="1" t="b">
        <f t="shared" si="2"/>
        <v>0</v>
      </c>
    </row>
    <row r="31" spans="2:13" x14ac:dyDescent="0.2">
      <c r="B31" s="3" t="s">
        <v>468</v>
      </c>
      <c r="C31" s="14" t="s">
        <v>2784</v>
      </c>
      <c r="D31" s="14" t="s">
        <v>2785</v>
      </c>
      <c r="E31" s="15" t="s">
        <v>469</v>
      </c>
      <c r="F31" s="15" t="s">
        <v>6</v>
      </c>
      <c r="G31" s="15" t="e">
        <f>IFERROR(INDEX('BOM2017'!F:F,MATCH(Wiki!B31,'BOM2017'!C:C,0)),INDEX('BOM2017'!F:F,MATCH(Wiki!B31,'BOM2017'!D:D,0)))</f>
        <v>#N/A</v>
      </c>
      <c r="H31" s="15" t="e">
        <f>IFERROR(INDEX('BOM2017'!H:H,MATCH(Wiki!B31,'BOM2017'!C:C,0)),INDEX('BOM2017'!H:H,MATCH(Wiki!B31,'BOM2017'!D:D,0)))</f>
        <v>#N/A</v>
      </c>
      <c r="I31" s="16" t="e">
        <f>IFERROR(INDEX('BOM2017'!H:H,MATCH(Wiki!B31,'BOM2017'!C:C,0)),INDEX('BOM2017'!H:H,MATCH(Wiki!B31,'BOM2017'!D:D,0)))</f>
        <v>#N/A</v>
      </c>
      <c r="J31" s="1" t="str">
        <f t="shared" si="0"/>
        <v>https://en.wikipedia.org/wiki/Boo_2!_A_Madea_Halloween</v>
      </c>
      <c r="K31" s="11" t="str">
        <f t="shared" si="3"/>
        <v>Boo_2!_A_Madea_Halloween</v>
      </c>
      <c r="L31" s="1" t="str">
        <f t="shared" si="1"/>
        <v>Boo_2!_A_Madea_Halloween</v>
      </c>
      <c r="M31" s="1" t="b">
        <f t="shared" si="2"/>
        <v>1</v>
      </c>
    </row>
    <row r="32" spans="2:13" x14ac:dyDescent="0.2">
      <c r="B32" s="3" t="s">
        <v>414</v>
      </c>
      <c r="C32" s="3" t="s">
        <v>415</v>
      </c>
      <c r="D32" s="14" t="s">
        <v>2786</v>
      </c>
      <c r="E32" s="15" t="s">
        <v>91</v>
      </c>
      <c r="F32" s="15" t="s">
        <v>6</v>
      </c>
      <c r="G32" s="15" t="str">
        <f>IFERROR(INDEX('BOM2017'!F:F,MATCH(Wiki!B32,'BOM2017'!C:C,0)),INDEX('BOM2017'!F:F,MATCH(Wiki!B32,'BOM2017'!D:D,0)))</f>
        <v>$2,133,158</v>
      </c>
      <c r="H32" s="15" t="str">
        <f>IFERROR(INDEX('BOM2017'!H:H,MATCH(Wiki!B32,'BOM2017'!C:C,0)),INDEX('BOM2017'!H:H,MATCH(Wiki!B32,'BOM2017'!D:D,0)))</f>
        <v>$89,921</v>
      </c>
      <c r="I32" s="16" t="str">
        <f>IFERROR(INDEX('BOM2017'!H:H,MATCH(Wiki!B32,'BOM2017'!C:C,0)),INDEX('BOM2017'!H:H,MATCH(Wiki!B32,'BOM2017'!D:D,0)))</f>
        <v>$89,921</v>
      </c>
      <c r="J32" s="1" t="str">
        <f t="shared" si="0"/>
        <v>https://en.wikipedia.org/wiki/Brad%27s_Status</v>
      </c>
      <c r="K32" s="11" t="str">
        <f t="shared" si="3"/>
        <v>Brad%27s_Status</v>
      </c>
      <c r="L32" s="1" t="str">
        <f t="shared" si="1"/>
        <v>Brad's_Status</v>
      </c>
      <c r="M32" s="1" t="b">
        <f t="shared" si="2"/>
        <v>0</v>
      </c>
    </row>
    <row r="33" spans="2:13" x14ac:dyDescent="0.2">
      <c r="B33" s="3" t="s">
        <v>444</v>
      </c>
      <c r="C33" s="3" t="s">
        <v>445</v>
      </c>
      <c r="D33" s="14" t="s">
        <v>2787</v>
      </c>
      <c r="E33" s="15" t="s">
        <v>446</v>
      </c>
      <c r="F33" s="15" t="s">
        <v>6</v>
      </c>
      <c r="G33" s="15" t="e">
        <f>IFERROR(INDEX('BOM2017'!F:F,MATCH(Wiki!B33,'BOM2017'!C:C,0)),INDEX('BOM2017'!F:F,MATCH(Wiki!B33,'BOM2017'!D:D,0)))</f>
        <v>#N/A</v>
      </c>
      <c r="H33" s="15" t="e">
        <f>IFERROR(INDEX('BOM2017'!H:H,MATCH(Wiki!B33,'BOM2017'!C:C,0)),INDEX('BOM2017'!H:H,MATCH(Wiki!B33,'BOM2017'!D:D,0)))</f>
        <v>#N/A</v>
      </c>
      <c r="I33" s="16" t="e">
        <f>IFERROR(INDEX('BOM2017'!H:H,MATCH(Wiki!B33,'BOM2017'!C:C,0)),INDEX('BOM2017'!H:H,MATCH(Wiki!B33,'BOM2017'!D:D,0)))</f>
        <v>#N/A</v>
      </c>
      <c r="J33" s="1" t="str">
        <f t="shared" si="0"/>
        <v>https://en.wikipedia.org/wiki/Brawl_in_Cell_Block_99</v>
      </c>
      <c r="K33" s="11" t="str">
        <f t="shared" si="3"/>
        <v>Brawl_in_Cell_Block_99</v>
      </c>
      <c r="L33" s="1" t="str">
        <f t="shared" si="1"/>
        <v>Brawl_in_Cell_Block_99</v>
      </c>
      <c r="M33" s="1" t="b">
        <f t="shared" si="2"/>
        <v>1</v>
      </c>
    </row>
    <row r="34" spans="2:13" x14ac:dyDescent="0.2">
      <c r="B34" s="3" t="s">
        <v>458</v>
      </c>
      <c r="C34" s="14" t="s">
        <v>2788</v>
      </c>
      <c r="D34" s="14" t="s">
        <v>2789</v>
      </c>
      <c r="E34" s="15" t="s">
        <v>424</v>
      </c>
      <c r="F34" s="15" t="s">
        <v>6</v>
      </c>
      <c r="G34" s="15" t="str">
        <f>IFERROR(INDEX('BOM2017'!F:F,MATCH(Wiki!B34,'BOM2017'!C:C,0)),INDEX('BOM2017'!F:F,MATCH(Wiki!B34,'BOM2017'!D:D,0)))</f>
        <v>$490,131</v>
      </c>
      <c r="H34" s="15" t="str">
        <f>IFERROR(INDEX('BOM2017'!H:H,MATCH(Wiki!B34,'BOM2017'!C:C,0)),INDEX('BOM2017'!H:H,MATCH(Wiki!B34,'BOM2017'!D:D,0)))</f>
        <v>$22,285</v>
      </c>
      <c r="I34" s="16" t="str">
        <f>IFERROR(INDEX('BOM2017'!H:H,MATCH(Wiki!B34,'BOM2017'!C:C,0)),INDEX('BOM2017'!H:H,MATCH(Wiki!B34,'BOM2017'!D:D,0)))</f>
        <v>$22,285</v>
      </c>
      <c r="J34" s="1" t="str">
        <f t="shared" si="0"/>
        <v>https://en.wikipedia.org/wiki/Breathe_(2017_film)</v>
      </c>
      <c r="K34" s="11" t="str">
        <f t="shared" si="3"/>
        <v>Breathe_(2017_film)</v>
      </c>
      <c r="L34" s="1" t="str">
        <f t="shared" si="1"/>
        <v>Breathe</v>
      </c>
      <c r="M34" s="1" t="b">
        <f t="shared" si="2"/>
        <v>0</v>
      </c>
    </row>
    <row r="35" spans="2:13" x14ac:dyDescent="0.2">
      <c r="B35" s="3" t="s">
        <v>539</v>
      </c>
      <c r="C35" s="3" t="s">
        <v>69</v>
      </c>
      <c r="D35" s="14" t="s">
        <v>2790</v>
      </c>
      <c r="E35" s="15" t="s">
        <v>540</v>
      </c>
      <c r="F35" s="15" t="s">
        <v>6</v>
      </c>
      <c r="G35" s="15" t="e">
        <f>IFERROR(INDEX('BOM2017'!F:F,MATCH(Wiki!B35,'BOM2017'!C:C,0)),INDEX('BOM2017'!F:F,MATCH(Wiki!B35,'BOM2017'!D:D,0)))</f>
        <v>#N/A</v>
      </c>
      <c r="H35" s="15" t="e">
        <f>IFERROR(INDEX('BOM2017'!H:H,MATCH(Wiki!B35,'BOM2017'!C:C,0)),INDEX('BOM2017'!H:H,MATCH(Wiki!B35,'BOM2017'!D:D,0)))</f>
        <v>#N/A</v>
      </c>
      <c r="I35" s="16" t="e">
        <f>IFERROR(INDEX('BOM2017'!H:H,MATCH(Wiki!B35,'BOM2017'!C:C,0)),INDEX('BOM2017'!H:H,MATCH(Wiki!B35,'BOM2017'!D:D,0)))</f>
        <v>#N/A</v>
      </c>
      <c r="J35" s="1" t="str">
        <f t="shared" si="0"/>
        <v>https://en.wikipedia.org/wiki/Bright_(film)</v>
      </c>
      <c r="K35" s="11" t="str">
        <f t="shared" si="3"/>
        <v>Bright_(film)</v>
      </c>
      <c r="L35" s="1" t="str">
        <f t="shared" si="1"/>
        <v>Bright</v>
      </c>
      <c r="M35" s="1" t="b">
        <f t="shared" si="2"/>
        <v>0</v>
      </c>
    </row>
    <row r="36" spans="2:13" x14ac:dyDescent="0.2">
      <c r="B36" s="3" t="s">
        <v>346</v>
      </c>
      <c r="C36" s="3" t="s">
        <v>46</v>
      </c>
      <c r="D36" s="14" t="s">
        <v>2791</v>
      </c>
      <c r="E36" s="15" t="s">
        <v>36</v>
      </c>
      <c r="F36" s="15" t="s">
        <v>6</v>
      </c>
      <c r="G36" s="15" t="str">
        <f>IFERROR(INDEX('BOM2017'!F:F,MATCH(Wiki!B36,'BOM2017'!C:C,0)),INDEX('BOM2017'!F:F,MATCH(Wiki!B36,'BOM2017'!D:D,0)))</f>
        <v>$532,669</v>
      </c>
      <c r="H36" s="15" t="str">
        <f>IFERROR(INDEX('BOM2017'!H:H,MATCH(Wiki!B36,'BOM2017'!C:C,0)),INDEX('BOM2017'!H:H,MATCH(Wiki!B36,'BOM2017'!D:D,0)))</f>
        <v>$39,652</v>
      </c>
      <c r="I36" s="16" t="str">
        <f>IFERROR(INDEX('BOM2017'!H:H,MATCH(Wiki!B36,'BOM2017'!C:C,0)),INDEX('BOM2017'!H:H,MATCH(Wiki!B36,'BOM2017'!D:D,0)))</f>
        <v>$39,652</v>
      </c>
      <c r="J36" s="1" t="str">
        <f t="shared" si="0"/>
        <v>https://en.wikipedia.org/wiki/Brigsby_Bear</v>
      </c>
      <c r="K36" s="11" t="str">
        <f t="shared" si="3"/>
        <v>Brigsby_Bear</v>
      </c>
      <c r="L36" s="1" t="str">
        <f t="shared" si="1"/>
        <v>Brigsby_Bear</v>
      </c>
      <c r="M36" s="1" t="b">
        <f t="shared" si="2"/>
        <v>1</v>
      </c>
    </row>
    <row r="37" spans="2:13" x14ac:dyDescent="0.2">
      <c r="B37" s="3" t="s">
        <v>158</v>
      </c>
      <c r="C37" s="3" t="s">
        <v>69</v>
      </c>
      <c r="D37" s="15" t="s">
        <v>2792</v>
      </c>
      <c r="E37" s="15" t="s">
        <v>24</v>
      </c>
      <c r="F37" s="15" t="s">
        <v>6</v>
      </c>
      <c r="G37" s="15" t="e">
        <f>IFERROR(INDEX('BOM2017'!F:F,MATCH(Wiki!B37,'BOM2017'!C:C,0)),INDEX('BOM2017'!F:F,MATCH(Wiki!B37,'BOM2017'!D:D,0)))</f>
        <v>#N/A</v>
      </c>
      <c r="H37" s="15" t="e">
        <f>IFERROR(INDEX('BOM2017'!H:H,MATCH(Wiki!B37,'BOM2017'!C:C,0)),INDEX('BOM2017'!H:H,MATCH(Wiki!B37,'BOM2017'!D:D,0)))</f>
        <v>#N/A</v>
      </c>
      <c r="I37" s="16" t="e">
        <f>IFERROR(INDEX('BOM2017'!H:H,MATCH(Wiki!B37,'BOM2017'!C:C,0)),INDEX('BOM2017'!H:H,MATCH(Wiki!B37,'BOM2017'!D:D,0)))</f>
        <v>#N/A</v>
      </c>
      <c r="J37" s="1" t="str">
        <f t="shared" si="0"/>
        <v>https://en.wikipedia.org/wiki/Burning_Sands_(2017_film)</v>
      </c>
      <c r="K37" s="11" t="str">
        <f t="shared" si="3"/>
        <v>Burning_Sands_(2017_film)</v>
      </c>
      <c r="L37" s="1" t="str">
        <f t="shared" si="1"/>
        <v>Burning_Sands</v>
      </c>
      <c r="M37" s="1" t="b">
        <f t="shared" si="2"/>
        <v>0</v>
      </c>
    </row>
    <row r="38" spans="2:13" x14ac:dyDescent="0.2">
      <c r="B38" s="3" t="s">
        <v>144</v>
      </c>
      <c r="C38" s="3" t="s">
        <v>145</v>
      </c>
      <c r="D38" s="14" t="s">
        <v>2793</v>
      </c>
      <c r="E38" s="15" t="s">
        <v>82</v>
      </c>
      <c r="F38" s="15" t="s">
        <v>6</v>
      </c>
      <c r="G38" s="15" t="e">
        <f>IFERROR(INDEX('BOM2017'!F:F,MATCH(Wiki!B38,'BOM2017'!C:C,0)),INDEX('BOM2017'!F:F,MATCH(Wiki!B38,'BOM2017'!D:D,0)))</f>
        <v>#N/A</v>
      </c>
      <c r="H38" s="15" t="e">
        <f>IFERROR(INDEX('BOM2017'!H:H,MATCH(Wiki!B38,'BOM2017'!C:C,0)),INDEX('BOM2017'!H:H,MATCH(Wiki!B38,'BOM2017'!D:D,0)))</f>
        <v>#N/A</v>
      </c>
      <c r="I38" s="16" t="e">
        <f>IFERROR(INDEX('BOM2017'!H:H,MATCH(Wiki!B38,'BOM2017'!C:C,0)),INDEX('BOM2017'!H:H,MATCH(Wiki!B38,'BOM2017'!D:D,0)))</f>
        <v>#N/A</v>
      </c>
      <c r="J38" s="1" t="str">
        <f t="shared" si="0"/>
        <v>https://en.wikipedia.org/wiki/Catfight_(film)</v>
      </c>
      <c r="K38" s="11" t="str">
        <f t="shared" si="3"/>
        <v>Catfight_(film)</v>
      </c>
      <c r="L38" s="1" t="str">
        <f t="shared" si="1"/>
        <v>Catfight</v>
      </c>
      <c r="M38" s="1" t="b">
        <f t="shared" si="2"/>
        <v>0</v>
      </c>
    </row>
    <row r="39" spans="2:13" x14ac:dyDescent="0.2">
      <c r="B39" s="3" t="s">
        <v>177</v>
      </c>
      <c r="C39" s="14" t="s">
        <v>2794</v>
      </c>
      <c r="D39" s="14" t="s">
        <v>2795</v>
      </c>
      <c r="E39" s="15" t="s">
        <v>82</v>
      </c>
      <c r="F39" s="15" t="s">
        <v>6</v>
      </c>
      <c r="G39" s="15" t="str">
        <f>IFERROR(INDEX('BOM2017'!F:F,MATCH(Wiki!B39,'BOM2017'!C:C,0)),INDEX('BOM2017'!F:F,MATCH(Wiki!B39,'BOM2017'!D:D,0)))</f>
        <v>$18,600,152</v>
      </c>
      <c r="H39" s="15" t="str">
        <f>IFERROR(INDEX('BOM2017'!H:H,MATCH(Wiki!B39,'BOM2017'!C:C,0)),INDEX('BOM2017'!H:H,MATCH(Wiki!B39,'BOM2017'!D:D,0)))</f>
        <v>$7,722,802</v>
      </c>
      <c r="I39" s="16" t="str">
        <f>IFERROR(INDEX('BOM2017'!H:H,MATCH(Wiki!B39,'BOM2017'!C:C,0)),INDEX('BOM2017'!H:H,MATCH(Wiki!B39,'BOM2017'!D:D,0)))</f>
        <v>$7,722,802</v>
      </c>
      <c r="J39" s="1" t="str">
        <f t="shared" si="0"/>
        <v>https://en.wikipedia.org/wiki/CHiPs_(film)</v>
      </c>
      <c r="K39" s="11" t="str">
        <f t="shared" si="3"/>
        <v>CHiPs_(film)</v>
      </c>
      <c r="L39" s="1" t="str">
        <f t="shared" si="1"/>
        <v>CHiPs</v>
      </c>
      <c r="M39" s="1" t="b">
        <f t="shared" si="2"/>
        <v>0</v>
      </c>
    </row>
    <row r="40" spans="2:13" x14ac:dyDescent="0.2">
      <c r="B40" s="3" t="s">
        <v>287</v>
      </c>
      <c r="C40" s="15" t="s">
        <v>288</v>
      </c>
      <c r="D40" s="14" t="s">
        <v>2796</v>
      </c>
      <c r="E40" s="15" t="s">
        <v>24</v>
      </c>
      <c r="F40" s="15" t="s">
        <v>88</v>
      </c>
      <c r="G40" s="15" t="str">
        <f>IFERROR(INDEX('BOM2017'!F:F,MATCH(Wiki!B40,'BOM2017'!C:C,0)),INDEX('BOM2017'!F:F,MATCH(Wiki!B40,'BOM2017'!D:D,0)))</f>
        <v>$1,281,258</v>
      </c>
      <c r="H40" s="15" t="str">
        <f>IFERROR(INDEX('BOM2017'!H:H,MATCH(Wiki!B40,'BOM2017'!C:C,0)),INDEX('BOM2017'!H:H,MATCH(Wiki!B40,'BOM2017'!D:D,0)))</f>
        <v>$408,891</v>
      </c>
      <c r="I40" s="16" t="str">
        <f>IFERROR(INDEX('BOM2017'!H:H,MATCH(Wiki!B40,'BOM2017'!C:C,0)),INDEX('BOM2017'!H:H,MATCH(Wiki!B40,'BOM2017'!D:D,0)))</f>
        <v>$408,891</v>
      </c>
      <c r="J40" s="1" t="str">
        <f t="shared" si="0"/>
        <v>https://en.wikipedia.org/wiki/Churchill_(film)</v>
      </c>
      <c r="K40" s="11" t="str">
        <f t="shared" si="3"/>
        <v>Churchill_(film)</v>
      </c>
      <c r="L40" s="1" t="str">
        <f t="shared" si="1"/>
        <v>Churchill</v>
      </c>
      <c r="M40" s="1" t="b">
        <f t="shared" si="2"/>
        <v>0</v>
      </c>
    </row>
    <row r="41" spans="2:13" x14ac:dyDescent="0.2">
      <c r="B41" s="3" t="s">
        <v>474</v>
      </c>
      <c r="C41" s="14" t="s">
        <v>2797</v>
      </c>
      <c r="D41" s="14" t="s">
        <v>2798</v>
      </c>
      <c r="E41" s="15" t="s">
        <v>475</v>
      </c>
      <c r="F41" s="15" t="s">
        <v>6</v>
      </c>
      <c r="G41" s="15" t="str">
        <f>IFERROR(INDEX('BOM2017'!F:F,MATCH(Wiki!B41,'BOM2017'!C:C,0)),INDEX('BOM2017'!F:F,MATCH(Wiki!B41,'BOM2017'!D:D,0)))</f>
        <v>$200,855,432</v>
      </c>
      <c r="H41" s="15" t="str">
        <f>IFERROR(INDEX('BOM2017'!H:H,MATCH(Wiki!B41,'BOM2017'!C:C,0)),INDEX('BOM2017'!H:H,MATCH(Wiki!B41,'BOM2017'!D:D,0)))</f>
        <v>$50,802,605</v>
      </c>
      <c r="I41" s="16" t="str">
        <f>IFERROR(INDEX('BOM2017'!H:H,MATCH(Wiki!B41,'BOM2017'!C:C,0)),INDEX('BOM2017'!H:H,MATCH(Wiki!B41,'BOM2017'!D:D,0)))</f>
        <v>$50,802,605</v>
      </c>
      <c r="J41" s="1" t="str">
        <f t="shared" si="0"/>
        <v>https://en.wikipedia.org/wiki/Coco_(2017_film)</v>
      </c>
      <c r="K41" s="11" t="str">
        <f t="shared" si="3"/>
        <v>Coco_(2017_film)</v>
      </c>
      <c r="L41" s="1" t="str">
        <f t="shared" si="1"/>
        <v>Coco</v>
      </c>
      <c r="M41" s="1" t="b">
        <f t="shared" si="2"/>
        <v>0</v>
      </c>
    </row>
    <row r="42" spans="2:13" x14ac:dyDescent="0.2">
      <c r="B42" s="3" t="s">
        <v>194</v>
      </c>
      <c r="C42" s="3" t="s">
        <v>195</v>
      </c>
      <c r="D42" s="14" t="s">
        <v>2799</v>
      </c>
      <c r="E42" s="15" t="s">
        <v>196</v>
      </c>
      <c r="F42" s="14" t="s">
        <v>2800</v>
      </c>
      <c r="G42" s="15" t="str">
        <f>IFERROR(INDEX('BOM2017'!F:F,MATCH(Wiki!B42,'BOM2017'!C:C,0)),INDEX('BOM2017'!F:F,MATCH(Wiki!B42,'BOM2017'!D:D,0)))</f>
        <v>$3,029,287</v>
      </c>
      <c r="H42" s="15" t="str">
        <f>IFERROR(INDEX('BOM2017'!H:H,MATCH(Wiki!B42,'BOM2017'!C:C,0)),INDEX('BOM2017'!H:H,MATCH(Wiki!B42,'BOM2017'!D:D,0)))</f>
        <v>$120,226</v>
      </c>
      <c r="I42" s="16" t="str">
        <f>IFERROR(INDEX('BOM2017'!H:H,MATCH(Wiki!B42,'BOM2017'!C:C,0)),INDEX('BOM2017'!H:H,MATCH(Wiki!B42,'BOM2017'!D:D,0)))</f>
        <v>$120,226</v>
      </c>
      <c r="J42" s="1" t="str">
        <f t="shared" si="0"/>
        <v>https://en.wikipedia.org/wiki/Colossal_(film)</v>
      </c>
      <c r="K42" s="11" t="str">
        <f t="shared" si="3"/>
        <v>Colossal_(film)</v>
      </c>
      <c r="L42" s="1" t="str">
        <f t="shared" si="1"/>
        <v>Colossal</v>
      </c>
      <c r="M42" s="1" t="b">
        <f t="shared" si="2"/>
        <v>0</v>
      </c>
    </row>
    <row r="43" spans="2:13" x14ac:dyDescent="0.2">
      <c r="B43" s="3" t="s">
        <v>541</v>
      </c>
      <c r="C43" s="14" t="s">
        <v>2801</v>
      </c>
      <c r="D43" s="14" t="s">
        <v>2802</v>
      </c>
      <c r="E43" s="15" t="s">
        <v>542</v>
      </c>
      <c r="F43" s="15" t="s">
        <v>6</v>
      </c>
      <c r="G43" s="15" t="e">
        <f>IFERROR(INDEX('BOM2017'!F:F,MATCH(Wiki!B43,'BOM2017'!C:C,0)),INDEX('BOM2017'!F:F,MATCH(Wiki!B43,'BOM2017'!D:D,0)))</f>
        <v>#N/A</v>
      </c>
      <c r="H43" s="15" t="e">
        <f>IFERROR(INDEX('BOM2017'!H:H,MATCH(Wiki!B43,'BOM2017'!C:C,0)),INDEX('BOM2017'!H:H,MATCH(Wiki!B43,'BOM2017'!D:D,0)))</f>
        <v>#N/A</v>
      </c>
      <c r="I43" s="16" t="e">
        <f>IFERROR(INDEX('BOM2017'!H:H,MATCH(Wiki!B43,'BOM2017'!C:C,0)),INDEX('BOM2017'!H:H,MATCH(Wiki!B43,'BOM2017'!D:D,0)))</f>
        <v>#N/A</v>
      </c>
      <c r="J43" s="1" t="str">
        <f t="shared" si="0"/>
        <v>https://en.wikipedia.org/wiki/Crooked_House_(film)</v>
      </c>
      <c r="K43" s="11" t="str">
        <f t="shared" si="3"/>
        <v>Crooked_House_(film)</v>
      </c>
      <c r="L43" s="1" t="str">
        <f t="shared" si="1"/>
        <v>Crooked_House</v>
      </c>
      <c r="M43" s="1" t="b">
        <f t="shared" si="2"/>
        <v>0</v>
      </c>
    </row>
    <row r="44" spans="2:13" x14ac:dyDescent="0.2">
      <c r="B44" s="3" t="s">
        <v>497</v>
      </c>
      <c r="C44" s="14" t="s">
        <v>2803</v>
      </c>
      <c r="D44" s="14" t="s">
        <v>2804</v>
      </c>
      <c r="E44" s="15" t="s">
        <v>91</v>
      </c>
      <c r="F44" s="15" t="s">
        <v>6</v>
      </c>
      <c r="G44" s="15" t="str">
        <f>IFERROR(INDEX('BOM2017'!F:F,MATCH(Wiki!B44,'BOM2017'!C:C,0)),INDEX('BOM2017'!F:F,MATCH(Wiki!B44,'BOM2017'!D:D,0)))</f>
        <v>$103,556,248</v>
      </c>
      <c r="H44" s="15" t="str">
        <f>IFERROR(INDEX('BOM2017'!H:H,MATCH(Wiki!B44,'BOM2017'!C:C,0)),INDEX('BOM2017'!H:H,MATCH(Wiki!B44,'BOM2017'!D:D,0)))</f>
        <v>$29,651,193</v>
      </c>
      <c r="I44" s="16" t="str">
        <f>IFERROR(INDEX('BOM2017'!H:H,MATCH(Wiki!B44,'BOM2017'!C:C,0)),INDEX('BOM2017'!H:H,MATCH(Wiki!B44,'BOM2017'!D:D,0)))</f>
        <v>$29,651,193</v>
      </c>
      <c r="J44" s="1" t="str">
        <f t="shared" si="0"/>
        <v>https://en.wikipedia.org/wiki/Daddy%27s_Home_2</v>
      </c>
      <c r="K44" s="11" t="str">
        <f t="shared" si="3"/>
        <v>Daddy%27s_Home_2</v>
      </c>
      <c r="L44" s="1" t="str">
        <f t="shared" si="1"/>
        <v>Daddy's_Home_2</v>
      </c>
      <c r="M44" s="1" t="b">
        <f t="shared" si="2"/>
        <v>0</v>
      </c>
    </row>
    <row r="45" spans="2:13" x14ac:dyDescent="0.2">
      <c r="B45" s="3" t="s">
        <v>384</v>
      </c>
      <c r="C45" s="14" t="s">
        <v>2805</v>
      </c>
      <c r="D45" s="14" t="s">
        <v>2806</v>
      </c>
      <c r="E45" s="15" t="s">
        <v>385</v>
      </c>
      <c r="F45" s="15" t="s">
        <v>40</v>
      </c>
      <c r="G45" s="15" t="str">
        <f>IFERROR(INDEX('BOM2017'!F:F,MATCH(Wiki!B45,'BOM2017'!C:C,0)),INDEX('BOM2017'!F:F,MATCH(Wiki!B45,'BOM2017'!D:D,0)))</f>
        <v>$41,085,957</v>
      </c>
      <c r="H45" s="15" t="str">
        <f>IFERROR(INDEX('BOM2017'!H:H,MATCH(Wiki!B45,'BOM2017'!C:C,0)),INDEX('BOM2017'!H:H,MATCH(Wiki!B45,'BOM2017'!D:D,0)))</f>
        <v>$175,006</v>
      </c>
      <c r="I45" s="16" t="str">
        <f>IFERROR(INDEX('BOM2017'!H:H,MATCH(Wiki!B45,'BOM2017'!C:C,0)),INDEX('BOM2017'!H:H,MATCH(Wiki!B45,'BOM2017'!D:D,0)))</f>
        <v>$175,006</v>
      </c>
      <c r="J45" s="1" t="str">
        <f t="shared" si="0"/>
        <v>https://en.wikipedia.org/wiki/Darkest_Hour_(film)</v>
      </c>
      <c r="K45" s="11" t="str">
        <f t="shared" si="3"/>
        <v>Darkest_Hour_(film)</v>
      </c>
      <c r="L45" s="1" t="str">
        <f t="shared" si="1"/>
        <v>Darkest_Hour</v>
      </c>
      <c r="M45" s="1" t="b">
        <f t="shared" si="2"/>
        <v>0</v>
      </c>
    </row>
    <row r="46" spans="2:13" x14ac:dyDescent="0.2">
      <c r="B46" s="3" t="s">
        <v>41</v>
      </c>
      <c r="C46" s="3" t="s">
        <v>42</v>
      </c>
      <c r="D46" s="14" t="s">
        <v>2807</v>
      </c>
      <c r="E46" s="15" t="s">
        <v>43</v>
      </c>
      <c r="F46" s="3" t="s">
        <v>44</v>
      </c>
      <c r="G46" s="15" t="str">
        <f>IFERROR(INDEX('BOM2017'!F:F,MATCH(Wiki!B46,'BOM2017'!C:C,0)),INDEX('BOM2017'!F:F,MATCH(Wiki!B46,'BOM2017'!D:D,0)))</f>
        <v>$1,788</v>
      </c>
      <c r="H46" s="15" t="str">
        <f>IFERROR(INDEX('BOM2017'!H:H,MATCH(Wiki!B46,'BOM2017'!C:C,0)),INDEX('BOM2017'!H:H,MATCH(Wiki!B46,'BOM2017'!D:D,0)))</f>
        <v>$145</v>
      </c>
      <c r="I46" s="16" t="str">
        <f>IFERROR(INDEX('BOM2017'!H:H,MATCH(Wiki!B46,'BOM2017'!C:C,0)),INDEX('BOM2017'!H:H,MATCH(Wiki!B46,'BOM2017'!D:D,0)))</f>
        <v>$145</v>
      </c>
      <c r="J46" s="1" t="str">
        <f t="shared" si="0"/>
        <v>https://en.wikipedia.org/wiki/Detour_(2016_film)</v>
      </c>
      <c r="K46" s="11" t="str">
        <f t="shared" si="3"/>
        <v>Detour_(2016_film)</v>
      </c>
      <c r="L46" s="1" t="str">
        <f t="shared" si="1"/>
        <v>Detour</v>
      </c>
      <c r="M46" s="1" t="b">
        <f t="shared" si="2"/>
        <v>0</v>
      </c>
    </row>
    <row r="47" spans="2:13" x14ac:dyDescent="0.2">
      <c r="B47" s="3" t="s">
        <v>343</v>
      </c>
      <c r="C47" s="3" t="s">
        <v>344</v>
      </c>
      <c r="D47" s="14" t="s">
        <v>2808</v>
      </c>
      <c r="E47" s="15" t="s">
        <v>345</v>
      </c>
      <c r="F47" s="15" t="s">
        <v>251</v>
      </c>
      <c r="G47" s="15" t="str">
        <f>IFERROR(INDEX('BOM2017'!F:F,MATCH(Wiki!B47,'BOM2017'!C:C,0)),INDEX('BOM2017'!F:F,MATCH(Wiki!B47,'BOM2017'!D:D,0)))</f>
        <v>$16,790,139</v>
      </c>
      <c r="H47" s="15" t="str">
        <f>IFERROR(INDEX('BOM2017'!H:H,MATCH(Wiki!B47,'BOM2017'!C:C,0)),INDEX('BOM2017'!H:H,MATCH(Wiki!B47,'BOM2017'!D:D,0)))</f>
        <v>$350,190</v>
      </c>
      <c r="I47" s="16" t="str">
        <f>IFERROR(INDEX('BOM2017'!H:H,MATCH(Wiki!B47,'BOM2017'!C:C,0)),INDEX('BOM2017'!H:H,MATCH(Wiki!B47,'BOM2017'!D:D,0)))</f>
        <v>$350,190</v>
      </c>
      <c r="J47" s="1" t="str">
        <f t="shared" si="0"/>
        <v>https://en.wikipedia.org/wiki/Detroit_(film)</v>
      </c>
      <c r="K47" s="11" t="str">
        <f t="shared" si="3"/>
        <v>Detroit_(film)</v>
      </c>
      <c r="L47" s="1" t="str">
        <f t="shared" si="1"/>
        <v>Detroit</v>
      </c>
      <c r="M47" s="1" t="b">
        <f t="shared" si="2"/>
        <v>0</v>
      </c>
    </row>
    <row r="48" spans="2:13" x14ac:dyDescent="0.2">
      <c r="B48" s="3" t="s">
        <v>86</v>
      </c>
      <c r="C48" s="3" t="s">
        <v>10</v>
      </c>
      <c r="D48" s="14" t="s">
        <v>2809</v>
      </c>
      <c r="E48" s="15" t="s">
        <v>87</v>
      </c>
      <c r="F48" s="15" t="s">
        <v>88</v>
      </c>
      <c r="G48" s="15" t="e">
        <f>IFERROR(INDEX('BOM2017'!F:F,MATCH(Wiki!B48,'BOM2017'!C:C,0)),INDEX('BOM2017'!F:F,MATCH(Wiki!B48,'BOM2017'!D:D,0)))</f>
        <v>#N/A</v>
      </c>
      <c r="H48" s="15" t="e">
        <f>IFERROR(INDEX('BOM2017'!H:H,MATCH(Wiki!B48,'BOM2017'!C:C,0)),INDEX('BOM2017'!H:H,MATCH(Wiki!B48,'BOM2017'!D:D,0)))</f>
        <v>#N/A</v>
      </c>
      <c r="I48" s="16" t="e">
        <f>IFERROR(INDEX('BOM2017'!H:H,MATCH(Wiki!B48,'BOM2017'!C:C,0)),INDEX('BOM2017'!H:H,MATCH(Wiki!B48,'BOM2017'!D:D,0)))</f>
        <v>#N/A</v>
      </c>
      <c r="J48" s="1" t="str">
        <f t="shared" si="0"/>
        <v>https://en.wikipedia.org/wiki/Don%27t_Knock_Twice_(film)</v>
      </c>
      <c r="K48" s="11" t="str">
        <f t="shared" si="3"/>
        <v>Don%27t_Knock_Twice_(film)</v>
      </c>
      <c r="L48" s="1" t="str">
        <f t="shared" si="1"/>
        <v>Don't_Knock_Twice</v>
      </c>
      <c r="M48" s="1" t="b">
        <f t="shared" si="2"/>
        <v>0</v>
      </c>
    </row>
    <row r="49" spans="2:13" x14ac:dyDescent="0.2">
      <c r="B49" s="3" t="s">
        <v>146</v>
      </c>
      <c r="C49" s="3" t="s">
        <v>147</v>
      </c>
      <c r="D49" s="15" t="s">
        <v>2810</v>
      </c>
      <c r="E49" s="15" t="s">
        <v>91</v>
      </c>
      <c r="F49" s="15" t="s">
        <v>6</v>
      </c>
      <c r="G49" s="15" t="str">
        <f>IFERROR(INDEX('BOM2017'!F:F,MATCH(Wiki!B49,'BOM2017'!C:C,0)),INDEX('BOM2017'!F:F,MATCH(Wiki!B49,'BOM2017'!D:D,0)))</f>
        <v>$61,406</v>
      </c>
      <c r="H49" s="15" t="str">
        <f>IFERROR(INDEX('BOM2017'!H:H,MATCH(Wiki!B49,'BOM2017'!C:C,0)),INDEX('BOM2017'!H:H,MATCH(Wiki!B49,'BOM2017'!D:D,0)))</f>
        <v>$7,977</v>
      </c>
      <c r="I49" s="16" t="str">
        <f>IFERROR(INDEX('BOM2017'!H:H,MATCH(Wiki!B49,'BOM2017'!C:C,0)),INDEX('BOM2017'!H:H,MATCH(Wiki!B49,'BOM2017'!D:D,0)))</f>
        <v>$7,977</v>
      </c>
      <c r="J49" s="1" t="str">
        <f t="shared" si="0"/>
        <v>https://en.wikipedia.org/wiki/Donald_Cried</v>
      </c>
      <c r="K49" s="11" t="str">
        <f t="shared" si="3"/>
        <v>Donald_Cried</v>
      </c>
      <c r="L49" s="1" t="str">
        <f t="shared" si="1"/>
        <v>Donald_Cried</v>
      </c>
      <c r="M49" s="1" t="b">
        <f t="shared" si="2"/>
        <v>1</v>
      </c>
    </row>
    <row r="50" spans="2:13" x14ac:dyDescent="0.2">
      <c r="B50" s="3" t="s">
        <v>113</v>
      </c>
      <c r="C50" s="3" t="s">
        <v>114</v>
      </c>
      <c r="D50" s="14" t="s">
        <v>2811</v>
      </c>
      <c r="E50" s="15" t="s">
        <v>115</v>
      </c>
      <c r="F50" s="15" t="s">
        <v>116</v>
      </c>
      <c r="G50" s="15" t="str">
        <f>IFERROR(INDEX('BOM2017'!F:F,MATCH(Wiki!B50,'BOM2017'!C:C,0)),INDEX('BOM2017'!F:F,MATCH(Wiki!B50,'BOM2017'!D:D,0)))</f>
        <v>$1,915,789</v>
      </c>
      <c r="H50" s="15" t="str">
        <f>IFERROR(INDEX('BOM2017'!H:H,MATCH(Wiki!B50,'BOM2017'!C:C,0)),INDEX('BOM2017'!H:H,MATCH(Wiki!B50,'BOM2017'!D:D,0)))</f>
        <v>$924,201</v>
      </c>
      <c r="I50" s="16" t="str">
        <f>IFERROR(INDEX('BOM2017'!H:H,MATCH(Wiki!B50,'BOM2017'!C:C,0)),INDEX('BOM2017'!H:H,MATCH(Wiki!B50,'BOM2017'!D:D,0)))</f>
        <v>$924,201</v>
      </c>
      <c r="J50" s="1" t="str">
        <f t="shared" si="0"/>
        <v>https://en.wikipedia.org/wiki/Everybody_Loves_Somebody_(film)</v>
      </c>
      <c r="K50" s="11" t="str">
        <f t="shared" si="3"/>
        <v>Everybody_Loves_Somebody_(film)</v>
      </c>
      <c r="L50" s="1" t="str">
        <f t="shared" si="1"/>
        <v>Everybody_Loves_Somebody</v>
      </c>
      <c r="M50" s="1" t="b">
        <f t="shared" si="2"/>
        <v>0</v>
      </c>
    </row>
    <row r="51" spans="2:13" x14ac:dyDescent="0.2">
      <c r="B51" s="3" t="s">
        <v>271</v>
      </c>
      <c r="C51" s="14" t="s">
        <v>2812</v>
      </c>
      <c r="D51" s="14" t="s">
        <v>2813</v>
      </c>
      <c r="E51" s="15" t="s">
        <v>63</v>
      </c>
      <c r="F51" s="15" t="s">
        <v>6</v>
      </c>
      <c r="G51" s="15" t="str">
        <f>IFERROR(INDEX('BOM2017'!F:F,MATCH(Wiki!B51,'BOM2017'!C:C,0)),INDEX('BOM2017'!F:F,MATCH(Wiki!B51,'BOM2017'!D:D,0)))</f>
        <v>$34,121,140</v>
      </c>
      <c r="H51" s="15" t="str">
        <f>IFERROR(INDEX('BOM2017'!H:H,MATCH(Wiki!B51,'BOM2017'!C:C,0)),INDEX('BOM2017'!H:H,MATCH(Wiki!B51,'BOM2017'!D:D,0)))</f>
        <v>$11,727,390</v>
      </c>
      <c r="I51" s="16" t="str">
        <f>IFERROR(INDEX('BOM2017'!H:H,MATCH(Wiki!B51,'BOM2017'!C:C,0)),INDEX('BOM2017'!H:H,MATCH(Wiki!B51,'BOM2017'!D:D,0)))</f>
        <v>$11,727,390</v>
      </c>
      <c r="J51" s="1" t="str">
        <f t="shared" si="0"/>
        <v>https://en.wikipedia.org/wiki/Everything,_Everything_(film)</v>
      </c>
      <c r="K51" s="11" t="str">
        <f t="shared" si="3"/>
        <v>Everything,_Everything_(film)</v>
      </c>
      <c r="L51" s="1" t="str">
        <f t="shared" si="1"/>
        <v>Everything,_Everything</v>
      </c>
      <c r="M51" s="1" t="b">
        <f t="shared" si="2"/>
        <v>0</v>
      </c>
    </row>
    <row r="52" spans="2:13" x14ac:dyDescent="0.2">
      <c r="B52" s="3" t="s">
        <v>381</v>
      </c>
      <c r="C52" s="14" t="s">
        <v>2814</v>
      </c>
      <c r="D52" s="14" t="s">
        <v>2815</v>
      </c>
      <c r="E52" s="15" t="s">
        <v>382</v>
      </c>
      <c r="F52" s="15" t="s">
        <v>383</v>
      </c>
      <c r="G52" s="15" t="str">
        <f>IFERROR(INDEX('BOM2017'!F:F,MATCH(Wiki!B52,'BOM2017'!C:C,0)),INDEX('BOM2017'!F:F,MATCH(Wiki!B52,'BOM2017'!D:D,0)))</f>
        <v>$190,829</v>
      </c>
      <c r="H52" s="15" t="str">
        <f>IFERROR(INDEX('BOM2017'!H:H,MATCH(Wiki!B52,'BOM2017'!C:C,0)),INDEX('BOM2017'!H:H,MATCH(Wiki!B52,'BOM2017'!D:D,0)))</f>
        <v>$34,532</v>
      </c>
      <c r="I52" s="16" t="str">
        <f>IFERROR(INDEX('BOM2017'!H:H,MATCH(Wiki!B52,'BOM2017'!C:C,0)),INDEX('BOM2017'!H:H,MATCH(Wiki!B52,'BOM2017'!D:D,0)))</f>
        <v>$34,532</v>
      </c>
      <c r="J52" s="1" t="str">
        <f t="shared" si="0"/>
        <v>https://en.wikipedia.org/wiki/Film_Stars_Don%27t_Die_in_Liverpool</v>
      </c>
      <c r="K52" s="11" t="str">
        <f t="shared" si="3"/>
        <v>Film_Stars_Don%27t_Die_in_Liverpool</v>
      </c>
      <c r="L52" s="1" t="str">
        <f t="shared" si="1"/>
        <v>Film_Stars_Don't_Die_in_Liverpool</v>
      </c>
      <c r="M52" s="1" t="b">
        <f t="shared" si="2"/>
        <v>0</v>
      </c>
    </row>
    <row r="53" spans="2:13" x14ac:dyDescent="0.2">
      <c r="B53" s="3" t="s">
        <v>334</v>
      </c>
      <c r="C53" s="3" t="s">
        <v>199</v>
      </c>
      <c r="D53" s="14" t="s">
        <v>2816</v>
      </c>
      <c r="E53" s="15" t="s">
        <v>335</v>
      </c>
      <c r="F53" s="15" t="s">
        <v>6</v>
      </c>
      <c r="G53" s="15" t="e">
        <f>IFERROR(INDEX('BOM2017'!F:F,MATCH(Wiki!B53,'BOM2017'!C:C,0)),INDEX('BOM2017'!F:F,MATCH(Wiki!B53,'BOM2017'!D:D,0)))</f>
        <v>#N/A</v>
      </c>
      <c r="H53" s="15" t="e">
        <f>IFERROR(INDEX('BOM2017'!H:H,MATCH(Wiki!B53,'BOM2017'!C:C,0)),INDEX('BOM2017'!H:H,MATCH(Wiki!B53,'BOM2017'!D:D,0)))</f>
        <v>#N/A</v>
      </c>
      <c r="I53" s="16" t="e">
        <f>IFERROR(INDEX('BOM2017'!H:H,MATCH(Wiki!B53,'BOM2017'!C:C,0)),INDEX('BOM2017'!H:H,MATCH(Wiki!B53,'BOM2017'!D:D,0)))</f>
        <v>#N/A</v>
      </c>
      <c r="J53" s="1" t="str">
        <f t="shared" si="0"/>
        <v>https://en.wikipedia.org/wiki/First_Kill_(2017_film)</v>
      </c>
      <c r="K53" s="11" t="str">
        <f t="shared" si="3"/>
        <v>First_Kill_(2017_film)</v>
      </c>
      <c r="L53" s="1" t="str">
        <f t="shared" si="1"/>
        <v>First_Kill</v>
      </c>
      <c r="M53" s="1" t="b">
        <f t="shared" si="2"/>
        <v>0</v>
      </c>
    </row>
    <row r="54" spans="2:13" x14ac:dyDescent="0.2">
      <c r="B54" s="3" t="s">
        <v>108</v>
      </c>
      <c r="C54" s="14" t="s">
        <v>2817</v>
      </c>
      <c r="D54" s="15" t="s">
        <v>2818</v>
      </c>
      <c r="E54" s="15" t="s">
        <v>91</v>
      </c>
      <c r="F54" s="15" t="s">
        <v>6</v>
      </c>
      <c r="G54" s="15" t="str">
        <f>IFERROR(INDEX('BOM2017'!F:F,MATCH(Wiki!B54,'BOM2017'!C:C,0)),INDEX('BOM2017'!F:F,MATCH(Wiki!B54,'BOM2017'!D:D,0)))</f>
        <v>$32,187,017</v>
      </c>
      <c r="H54" s="15" t="str">
        <f>IFERROR(INDEX('BOM2017'!H:H,MATCH(Wiki!B54,'BOM2017'!C:C,0)),INDEX('BOM2017'!H:H,MATCH(Wiki!B54,'BOM2017'!D:D,0)))</f>
        <v>$12,201,873</v>
      </c>
      <c r="I54" s="16" t="str">
        <f>IFERROR(INDEX('BOM2017'!H:H,MATCH(Wiki!B54,'BOM2017'!C:C,0)),INDEX('BOM2017'!H:H,MATCH(Wiki!B54,'BOM2017'!D:D,0)))</f>
        <v>$12,201,873</v>
      </c>
      <c r="J54" s="1" t="str">
        <f t="shared" si="0"/>
        <v>https://en.wikipedia.org/wiki/Fist_Fight</v>
      </c>
      <c r="K54" s="11" t="str">
        <f t="shared" si="3"/>
        <v>Fist_Fight</v>
      </c>
      <c r="L54" s="1" t="str">
        <f t="shared" si="1"/>
        <v>Fist_Fight</v>
      </c>
      <c r="M54" s="1" t="b">
        <f t="shared" si="2"/>
        <v>1</v>
      </c>
    </row>
    <row r="55" spans="2:13" x14ac:dyDescent="0.2">
      <c r="B55" s="3" t="s">
        <v>436</v>
      </c>
      <c r="C55" s="14" t="s">
        <v>2819</v>
      </c>
      <c r="D55" s="14" t="s">
        <v>2820</v>
      </c>
      <c r="E55" s="15" t="s">
        <v>437</v>
      </c>
      <c r="F55" s="15" t="s">
        <v>6</v>
      </c>
      <c r="G55" s="15" t="str">
        <f>IFERROR(INDEX('BOM2017'!F:F,MATCH(Wiki!B55,'BOM2017'!C:C,0)),INDEX('BOM2017'!F:F,MATCH(Wiki!B55,'BOM2017'!D:D,0)))</f>
        <v>$16,883,115</v>
      </c>
      <c r="H55" s="15" t="str">
        <f>IFERROR(INDEX('BOM2017'!H:H,MATCH(Wiki!B55,'BOM2017'!C:C,0)),INDEX('BOM2017'!H:H,MATCH(Wiki!B55,'BOM2017'!D:D,0)))</f>
        <v>$6,574,326</v>
      </c>
      <c r="I55" s="16" t="str">
        <f>IFERROR(INDEX('BOM2017'!H:H,MATCH(Wiki!B55,'BOM2017'!C:C,0)),INDEX('BOM2017'!H:H,MATCH(Wiki!B55,'BOM2017'!D:D,0)))</f>
        <v>$6,574,326</v>
      </c>
      <c r="J55" s="1" t="str">
        <f t="shared" si="0"/>
        <v>https://en.wikipedia.org/wiki/Flatliners_(2017_film)</v>
      </c>
      <c r="K55" s="11" t="str">
        <f t="shared" si="3"/>
        <v>Flatliners_(2017_film)</v>
      </c>
      <c r="L55" s="1" t="str">
        <f t="shared" si="1"/>
        <v>Flatliners</v>
      </c>
      <c r="M55" s="1" t="b">
        <f t="shared" si="2"/>
        <v>0</v>
      </c>
    </row>
    <row r="56" spans="2:13" x14ac:dyDescent="0.2">
      <c r="B56" s="3" t="s">
        <v>225</v>
      </c>
      <c r="C56" s="3" t="s">
        <v>226</v>
      </c>
      <c r="D56" s="14" t="s">
        <v>2821</v>
      </c>
      <c r="E56" s="15" t="s">
        <v>21</v>
      </c>
      <c r="F56" s="15" t="s">
        <v>88</v>
      </c>
      <c r="G56" s="15" t="str">
        <f>IFERROR(INDEX('BOM2017'!F:F,MATCH(Wiki!B56,'BOM2017'!C:C,0)),INDEX('BOM2017'!F:F,MATCH(Wiki!B56,'BOM2017'!D:D,0)))</f>
        <v>$1,799,312</v>
      </c>
      <c r="H56" s="15" t="str">
        <f>IFERROR(INDEX('BOM2017'!H:H,MATCH(Wiki!B56,'BOM2017'!C:C,0)),INDEX('BOM2017'!H:H,MATCH(Wiki!B56,'BOM2017'!D:D,0)))</f>
        <v>$994,431</v>
      </c>
      <c r="I56" s="16" t="str">
        <f>IFERROR(INDEX('BOM2017'!H:H,MATCH(Wiki!B56,'BOM2017'!C:C,0)),INDEX('BOM2017'!H:H,MATCH(Wiki!B56,'BOM2017'!D:D,0)))</f>
        <v>$994,431</v>
      </c>
      <c r="J56" s="1" t="str">
        <f t="shared" si="0"/>
        <v>https://en.wikipedia.org/wiki/Free_Fire</v>
      </c>
      <c r="K56" s="11" t="str">
        <f t="shared" si="3"/>
        <v>Free_Fire</v>
      </c>
      <c r="L56" s="1" t="str">
        <f t="shared" si="1"/>
        <v>Free_Fire</v>
      </c>
      <c r="M56" s="1" t="b">
        <f t="shared" si="2"/>
        <v>1</v>
      </c>
    </row>
    <row r="57" spans="2:13" x14ac:dyDescent="0.2">
      <c r="B57" s="3" t="s">
        <v>464</v>
      </c>
      <c r="C57" s="14" t="s">
        <v>2822</v>
      </c>
      <c r="D57" s="14" t="s">
        <v>2823</v>
      </c>
      <c r="E57" s="15" t="s">
        <v>465</v>
      </c>
      <c r="F57" s="15" t="s">
        <v>6</v>
      </c>
      <c r="G57" s="15" t="str">
        <f>IFERROR(INDEX('BOM2017'!F:F,MATCH(Wiki!B57,'BOM2017'!C:C,0)),INDEX('BOM2017'!F:F,MATCH(Wiki!B57,'BOM2017'!D:D,0)))</f>
        <v>$33,700,160</v>
      </c>
      <c r="H57" s="15" t="str">
        <f>IFERROR(INDEX('BOM2017'!H:H,MATCH(Wiki!B57,'BOM2017'!C:C,0)),INDEX('BOM2017'!H:H,MATCH(Wiki!B57,'BOM2017'!D:D,0)))</f>
        <v>$13,707,376</v>
      </c>
      <c r="I57" s="16" t="str">
        <f>IFERROR(INDEX('BOM2017'!H:H,MATCH(Wiki!B57,'BOM2017'!C:C,0)),INDEX('BOM2017'!H:H,MATCH(Wiki!B57,'BOM2017'!D:D,0)))</f>
        <v>$13,707,376</v>
      </c>
      <c r="J57" s="1" t="str">
        <f t="shared" si="0"/>
        <v>https://en.wikipedia.org/wiki/Geostorm</v>
      </c>
      <c r="K57" s="11" t="str">
        <f t="shared" si="3"/>
        <v>Geostorm</v>
      </c>
      <c r="L57" s="1" t="str">
        <f t="shared" si="1"/>
        <v>Geostorm</v>
      </c>
      <c r="M57" s="1" t="b">
        <f t="shared" si="2"/>
        <v>1</v>
      </c>
    </row>
    <row r="58" spans="2:13" x14ac:dyDescent="0.2">
      <c r="B58" s="3" t="s">
        <v>197</v>
      </c>
      <c r="C58" s="14" t="s">
        <v>2824</v>
      </c>
      <c r="D58" s="14" t="s">
        <v>2825</v>
      </c>
      <c r="E58" s="15" t="s">
        <v>24</v>
      </c>
      <c r="F58" s="15" t="s">
        <v>6</v>
      </c>
      <c r="G58" s="15" t="str">
        <f>IFERROR(INDEX('BOM2017'!F:F,MATCH(Wiki!B58,'BOM2017'!C:C,0)),INDEX('BOM2017'!F:F,MATCH(Wiki!B58,'BOM2017'!D:D,0)))</f>
        <v>$24,801,212</v>
      </c>
      <c r="H58" s="15" t="str">
        <f>IFERROR(INDEX('BOM2017'!H:H,MATCH(Wiki!B58,'BOM2017'!C:C,0)),INDEX('BOM2017'!H:H,MATCH(Wiki!B58,'BOM2017'!D:D,0)))</f>
        <v>$446,380</v>
      </c>
      <c r="I58" s="16" t="str">
        <f>IFERROR(INDEX('BOM2017'!H:H,MATCH(Wiki!B58,'BOM2017'!C:C,0)),INDEX('BOM2017'!H:H,MATCH(Wiki!B58,'BOM2017'!D:D,0)))</f>
        <v>$446,380</v>
      </c>
      <c r="J58" s="1" t="str">
        <f t="shared" si="0"/>
        <v>https://en.wikipedia.org/wiki/Gifted_(film)</v>
      </c>
      <c r="K58" s="11" t="str">
        <f t="shared" si="3"/>
        <v>Gifted_(film)</v>
      </c>
      <c r="L58" s="1" t="str">
        <f t="shared" si="1"/>
        <v>Gifted</v>
      </c>
      <c r="M58" s="1" t="b">
        <f t="shared" si="2"/>
        <v>0</v>
      </c>
    </row>
    <row r="59" spans="2:13" x14ac:dyDescent="0.2">
      <c r="B59" s="3" t="s">
        <v>333</v>
      </c>
      <c r="C59" s="14" t="s">
        <v>2826</v>
      </c>
      <c r="D59" s="14" t="s">
        <v>2827</v>
      </c>
      <c r="E59" s="15" t="s">
        <v>51</v>
      </c>
      <c r="F59" s="15" t="s">
        <v>6</v>
      </c>
      <c r="G59" s="15" t="str">
        <f>IFERROR(INDEX('BOM2017'!F:F,MATCH(Wiki!B59,'BOM2017'!C:C,0)),INDEX('BOM2017'!F:F,MATCH(Wiki!B59,'BOM2017'!D:D,0)))</f>
        <v>$115,171,585</v>
      </c>
      <c r="H59" s="15" t="str">
        <f>IFERROR(INDEX('BOM2017'!H:H,MATCH(Wiki!B59,'BOM2017'!C:C,0)),INDEX('BOM2017'!H:H,MATCH(Wiki!B59,'BOM2017'!D:D,0)))</f>
        <v>$31,201,920</v>
      </c>
      <c r="I59" s="16" t="str">
        <f>IFERROR(INDEX('BOM2017'!H:H,MATCH(Wiki!B59,'BOM2017'!C:C,0)),INDEX('BOM2017'!H:H,MATCH(Wiki!B59,'BOM2017'!D:D,0)))</f>
        <v>$31,201,920</v>
      </c>
      <c r="J59" s="1" t="str">
        <f t="shared" si="0"/>
        <v>https://en.wikipedia.org/wiki/Girls_Trip</v>
      </c>
      <c r="K59" s="11" t="str">
        <f t="shared" si="3"/>
        <v>Girls_Trip</v>
      </c>
      <c r="L59" s="1" t="str">
        <f t="shared" si="1"/>
        <v>Girls_Trip</v>
      </c>
      <c r="M59" s="1" t="b">
        <f t="shared" si="2"/>
        <v>1</v>
      </c>
    </row>
    <row r="60" spans="2:13" ht="18" x14ac:dyDescent="0.2">
      <c r="B60" s="3" t="s">
        <v>192</v>
      </c>
      <c r="C60" s="14" t="s">
        <v>2828</v>
      </c>
      <c r="D60" s="14" t="s">
        <v>2829</v>
      </c>
      <c r="E60" s="15" t="s">
        <v>193</v>
      </c>
      <c r="F60" s="15" t="s">
        <v>6</v>
      </c>
      <c r="G60" s="15" t="str">
        <f>IFERROR(INDEX('BOM2017'!F:F,MATCH(Wiki!B60,'BOM2017'!C:C,0)),INDEX('BOM2017'!F:F,MATCH(Wiki!B60,'BOM2017'!D:D,0)))</f>
        <v>$45,018,541</v>
      </c>
      <c r="H60" s="15" t="str">
        <f>IFERROR(INDEX('BOM2017'!H:H,MATCH(Wiki!B60,'BOM2017'!C:C,0)),INDEX('BOM2017'!H:H,MATCH(Wiki!B60,'BOM2017'!D:D,0)))</f>
        <v>$11,932,330</v>
      </c>
      <c r="I60" s="16" t="str">
        <f>IFERROR(INDEX('BOM2017'!H:H,MATCH(Wiki!B60,'BOM2017'!C:C,0)),INDEX('BOM2017'!H:H,MATCH(Wiki!B60,'BOM2017'!D:D,0)))</f>
        <v>$11,932,330</v>
      </c>
      <c r="J60" s="1" t="str">
        <f t="shared" si="0"/>
        <v>https://en.wikipedia.org/wiki/Going_in_Style_(2017_film)</v>
      </c>
      <c r="K60" s="11" t="str">
        <f t="shared" si="3"/>
        <v>Going_in_Style_(2017_film)</v>
      </c>
      <c r="L60" s="1" t="str">
        <f t="shared" si="1"/>
        <v>Going_in_Style</v>
      </c>
      <c r="M60" s="1" t="b">
        <f t="shared" si="2"/>
        <v>0</v>
      </c>
    </row>
    <row r="61" spans="2:13" x14ac:dyDescent="0.2">
      <c r="B61" s="3" t="s">
        <v>362</v>
      </c>
      <c r="C61" s="3" t="s">
        <v>38</v>
      </c>
      <c r="D61" s="14" t="s">
        <v>2830</v>
      </c>
      <c r="E61" s="15" t="s">
        <v>345</v>
      </c>
      <c r="F61" s="15" t="s">
        <v>6</v>
      </c>
      <c r="G61" s="15" t="str">
        <f>IFERROR(INDEX('BOM2017'!F:F,MATCH(Wiki!B61,'BOM2017'!C:C,0)),INDEX('BOM2017'!F:F,MATCH(Wiki!B61,'BOM2017'!D:D,0)))</f>
        <v>$2,026,499</v>
      </c>
      <c r="H61" s="15" t="str">
        <f>IFERROR(INDEX('BOM2017'!H:H,MATCH(Wiki!B61,'BOM2017'!C:C,0)),INDEX('BOM2017'!H:H,MATCH(Wiki!B61,'BOM2017'!D:D,0)))</f>
        <v>$125,101</v>
      </c>
      <c r="I61" s="16" t="str">
        <f>IFERROR(INDEX('BOM2017'!H:H,MATCH(Wiki!B61,'BOM2017'!C:C,0)),INDEX('BOM2017'!H:H,MATCH(Wiki!B61,'BOM2017'!D:D,0)))</f>
        <v>$125,101</v>
      </c>
      <c r="J61" s="1" t="str">
        <f t="shared" si="0"/>
        <v>https://en.wikipedia.org/wiki/Good_Time_(film)</v>
      </c>
      <c r="K61" s="11" t="str">
        <f t="shared" si="3"/>
        <v>Good_Time_(film)</v>
      </c>
      <c r="L61" s="1" t="str">
        <f t="shared" si="1"/>
        <v>Good_Time</v>
      </c>
      <c r="M61" s="1" t="b">
        <f t="shared" si="2"/>
        <v>0</v>
      </c>
    </row>
    <row r="62" spans="2:13" x14ac:dyDescent="0.2">
      <c r="B62" s="3" t="s">
        <v>423</v>
      </c>
      <c r="C62" s="3" t="s">
        <v>97</v>
      </c>
      <c r="D62" s="14" t="s">
        <v>2831</v>
      </c>
      <c r="E62" s="15" t="s">
        <v>424</v>
      </c>
      <c r="F62" s="15" t="s">
        <v>6</v>
      </c>
      <c r="G62" s="15" t="str">
        <f>IFERROR(INDEX('BOM2017'!F:F,MATCH(Wiki!B62,'BOM2017'!C:C,0)),INDEX('BOM2017'!F:F,MATCH(Wiki!B62,'BOM2017'!D:D,0)))</f>
        <v>$1,735,251</v>
      </c>
      <c r="H62" s="15" t="str">
        <f>IFERROR(INDEX('BOM2017'!H:H,MATCH(Wiki!B62,'BOM2017'!C:C,0)),INDEX('BOM2017'!H:H,MATCH(Wiki!B62,'BOM2017'!D:D,0)))</f>
        <v>$57,917</v>
      </c>
      <c r="I62" s="16" t="str">
        <f>IFERROR(INDEX('BOM2017'!H:H,MATCH(Wiki!B62,'BOM2017'!C:C,0)),INDEX('BOM2017'!H:H,MATCH(Wiki!B62,'BOM2017'!D:D,0)))</f>
        <v>$57,917</v>
      </c>
      <c r="J62" s="1" t="str">
        <f t="shared" si="0"/>
        <v>https://en.wikipedia.org/wiki/Goodbye_Christopher_Robin</v>
      </c>
      <c r="K62" s="11" t="str">
        <f t="shared" si="3"/>
        <v>Goodbye_Christopher_Robin</v>
      </c>
      <c r="L62" s="1" t="str">
        <f t="shared" si="1"/>
        <v>Goodbye_Christopher_Robin</v>
      </c>
      <c r="M62" s="1" t="b">
        <f t="shared" si="2"/>
        <v>1</v>
      </c>
    </row>
    <row r="63" spans="2:13" x14ac:dyDescent="0.2">
      <c r="B63" s="3" t="s">
        <v>89</v>
      </c>
      <c r="C63" s="15" t="s">
        <v>90</v>
      </c>
      <c r="D63" s="14" t="s">
        <v>2832</v>
      </c>
      <c r="E63" s="15" t="s">
        <v>91</v>
      </c>
      <c r="F63" s="15" t="s">
        <v>6</v>
      </c>
      <c r="G63" s="15" t="str">
        <f>IFERROR(INDEX('BOM2017'!F:F,MATCH(Wiki!B63,'BOM2017'!C:C,0)),INDEX('BOM2017'!F:F,MATCH(Wiki!B63,'BOM2017'!D:D,0)))</f>
        <v>$35,312</v>
      </c>
      <c r="H63" s="15" t="str">
        <f>IFERROR(INDEX('BOM2017'!H:H,MATCH(Wiki!B63,'BOM2017'!C:C,0)),INDEX('BOM2017'!H:H,MATCH(Wiki!B63,'BOM2017'!D:D,0)))</f>
        <v>$14,867</v>
      </c>
      <c r="I63" s="16" t="str">
        <f>IFERROR(INDEX('BOM2017'!H:H,MATCH(Wiki!B63,'BOM2017'!C:C,0)),INDEX('BOM2017'!H:H,MATCH(Wiki!B63,'BOM2017'!D:D,0)))</f>
        <v>$14,867</v>
      </c>
      <c r="J63" s="1" t="str">
        <f t="shared" si="0"/>
        <v>https://en.wikipedia.org/wiki/Growing_Up_Smith</v>
      </c>
      <c r="K63" s="11" t="str">
        <f t="shared" si="3"/>
        <v>Growing_Up_Smith</v>
      </c>
      <c r="L63" s="1" t="str">
        <f t="shared" si="1"/>
        <v>Growing_Up_Smith</v>
      </c>
      <c r="M63" s="1" t="b">
        <f t="shared" si="2"/>
        <v>1</v>
      </c>
    </row>
    <row r="64" spans="2:13" x14ac:dyDescent="0.2">
      <c r="B64" s="3" t="s">
        <v>404</v>
      </c>
      <c r="C64" s="3" t="s">
        <v>81</v>
      </c>
      <c r="D64" s="14" t="s">
        <v>2833</v>
      </c>
      <c r="E64" s="15" t="s">
        <v>405</v>
      </c>
      <c r="F64" s="15" t="s">
        <v>6</v>
      </c>
      <c r="G64" s="15" t="e">
        <f>IFERROR(INDEX('BOM2017'!F:F,MATCH(Wiki!B64,'BOM2017'!C:C,0)),INDEX('BOM2017'!F:F,MATCH(Wiki!B64,'BOM2017'!D:D,0)))</f>
        <v>#N/A</v>
      </c>
      <c r="H64" s="15" t="e">
        <f>IFERROR(INDEX('BOM2017'!H:H,MATCH(Wiki!B64,'BOM2017'!C:C,0)),INDEX('BOM2017'!H:H,MATCH(Wiki!B64,'BOM2017'!D:D,0)))</f>
        <v>#N/A</v>
      </c>
      <c r="I64" s="16" t="e">
        <f>IFERROR(INDEX('BOM2017'!H:H,MATCH(Wiki!B64,'BOM2017'!C:C,0)),INDEX('BOM2017'!H:H,MATCH(Wiki!B64,'BOM2017'!D:D,0)))</f>
        <v>#N/A</v>
      </c>
      <c r="J64" s="1" t="str">
        <f t="shared" si="0"/>
        <v>https://en.wikipedia.org/wiki/Gun_Shy_(2017_film)</v>
      </c>
      <c r="K64" s="11" t="str">
        <f t="shared" si="3"/>
        <v>Gun_Shy_(2017_film)</v>
      </c>
      <c r="L64" s="1" t="str">
        <f t="shared" si="1"/>
        <v>Gun_Shy</v>
      </c>
      <c r="M64" s="1" t="b">
        <f t="shared" si="2"/>
        <v>0</v>
      </c>
    </row>
    <row r="65" spans="2:13" x14ac:dyDescent="0.2">
      <c r="B65" s="3" t="s">
        <v>454</v>
      </c>
      <c r="C65" s="14" t="s">
        <v>2834</v>
      </c>
      <c r="D65" s="14" t="s">
        <v>2835</v>
      </c>
      <c r="E65" s="15" t="s">
        <v>455</v>
      </c>
      <c r="F65" s="15" t="s">
        <v>6</v>
      </c>
      <c r="G65" s="15" t="str">
        <f>IFERROR(INDEX('BOM2017'!F:F,MATCH(Wiki!B65,'BOM2017'!C:C,0)),INDEX('BOM2017'!F:F,MATCH(Wiki!B65,'BOM2017'!D:D,0)))</f>
        <v>$55,683,845</v>
      </c>
      <c r="H65" s="15" t="str">
        <f>IFERROR(INDEX('BOM2017'!H:H,MATCH(Wiki!B65,'BOM2017'!C:C,0)),INDEX('BOM2017'!H:H,MATCH(Wiki!B65,'BOM2017'!D:D,0)))</f>
        <v>$26,039,025</v>
      </c>
      <c r="I65" s="16" t="str">
        <f>IFERROR(INDEX('BOM2017'!H:H,MATCH(Wiki!B65,'BOM2017'!C:C,0)),INDEX('BOM2017'!H:H,MATCH(Wiki!B65,'BOM2017'!D:D,0)))</f>
        <v>$26,039,025</v>
      </c>
      <c r="J65" s="1" t="str">
        <f t="shared" si="0"/>
        <v>https://en.wikipedia.org/wiki/Happy_Death_Day</v>
      </c>
      <c r="K65" s="11" t="str">
        <f t="shared" si="3"/>
        <v>Happy_Death_Day</v>
      </c>
      <c r="L65" s="1" t="str">
        <f t="shared" si="1"/>
        <v>Happy_Death_Day</v>
      </c>
      <c r="M65" s="1" t="b">
        <f t="shared" si="2"/>
        <v>1</v>
      </c>
    </row>
    <row r="66" spans="2:13" x14ac:dyDescent="0.2">
      <c r="B66" s="3" t="s">
        <v>543</v>
      </c>
      <c r="C66" s="3" t="s">
        <v>302</v>
      </c>
      <c r="D66" s="14" t="s">
        <v>2836</v>
      </c>
      <c r="E66" s="15" t="s">
        <v>544</v>
      </c>
      <c r="F66" s="15" t="s">
        <v>6</v>
      </c>
      <c r="G66" s="15" t="str">
        <f>IFERROR(INDEX('BOM2017'!F:F,MATCH(Wiki!B66,'BOM2017'!C:C,0)),INDEX('BOM2017'!F:F,MATCH(Wiki!B66,'BOM2017'!D:D,0)))</f>
        <v>$1,625,437</v>
      </c>
      <c r="H66" s="15" t="str">
        <f>IFERROR(INDEX('BOM2017'!H:H,MATCH(Wiki!B66,'BOM2017'!C:C,0)),INDEX('BOM2017'!H:H,MATCH(Wiki!B66,'BOM2017'!D:D,0)))</f>
        <v>$22,849</v>
      </c>
      <c r="I66" s="16" t="str">
        <f>IFERROR(INDEX('BOM2017'!H:H,MATCH(Wiki!B66,'BOM2017'!C:C,0)),INDEX('BOM2017'!H:H,MATCH(Wiki!B66,'BOM2017'!D:D,0)))</f>
        <v>$22,849</v>
      </c>
      <c r="J66" s="1" t="str">
        <f t="shared" si="0"/>
        <v>https://en.wikipedia.org/wiki/Hostiles_(film)</v>
      </c>
      <c r="K66" s="11" t="str">
        <f t="shared" si="3"/>
        <v>Hostiles_(film)</v>
      </c>
      <c r="L66" s="1" t="str">
        <f t="shared" si="1"/>
        <v>Hostiles</v>
      </c>
      <c r="M66" s="1" t="b">
        <f t="shared" si="2"/>
        <v>0</v>
      </c>
    </row>
    <row r="67" spans="2:13" x14ac:dyDescent="0.2">
      <c r="B67" s="3" t="s">
        <v>235</v>
      </c>
      <c r="C67" s="3" t="s">
        <v>114</v>
      </c>
      <c r="D67" s="14" t="s">
        <v>2837</v>
      </c>
      <c r="E67" s="15" t="s">
        <v>91</v>
      </c>
      <c r="F67" s="15" t="s">
        <v>6</v>
      </c>
      <c r="G67" s="15" t="str">
        <f>IFERROR(INDEX('BOM2017'!F:F,MATCH(Wiki!B67,'BOM2017'!C:C,0)),INDEX('BOM2017'!F:F,MATCH(Wiki!B67,'BOM2017'!D:D,0)))</f>
        <v>$32,149,404</v>
      </c>
      <c r="H67" s="15" t="str">
        <f>IFERROR(INDEX('BOM2017'!H:H,MATCH(Wiki!B67,'BOM2017'!C:C,0)),INDEX('BOM2017'!H:H,MATCH(Wiki!B67,'BOM2017'!D:D,0)))</f>
        <v>$12,252,439</v>
      </c>
      <c r="I67" s="16" t="str">
        <f>IFERROR(INDEX('BOM2017'!H:H,MATCH(Wiki!B67,'BOM2017'!C:C,0)),INDEX('BOM2017'!H:H,MATCH(Wiki!B67,'BOM2017'!D:D,0)))</f>
        <v>$12,252,439</v>
      </c>
      <c r="J67" s="1" t="str">
        <f t="shared" si="0"/>
        <v>https://en.wikipedia.org/wiki/How_to_Be_a_Latin_Lover</v>
      </c>
      <c r="K67" s="11" t="str">
        <f t="shared" si="3"/>
        <v>How_to_Be_a_Latin_Lover</v>
      </c>
      <c r="L67" s="1" t="str">
        <f t="shared" si="1"/>
        <v>How_to_Be_a_Latin_Lover</v>
      </c>
      <c r="M67" s="1" t="b">
        <f t="shared" si="2"/>
        <v>1</v>
      </c>
    </row>
    <row r="68" spans="2:13" x14ac:dyDescent="0.2">
      <c r="B68" s="3" t="s">
        <v>65</v>
      </c>
      <c r="C68" s="3" t="s">
        <v>66</v>
      </c>
      <c r="D68" s="14" t="s">
        <v>2838</v>
      </c>
      <c r="E68" s="15" t="s">
        <v>67</v>
      </c>
      <c r="F68" s="15" t="s">
        <v>6</v>
      </c>
      <c r="G68" s="15" t="e">
        <f>IFERROR(INDEX('BOM2017'!F:F,MATCH(Wiki!B68,'BOM2017'!C:C,0)),INDEX('BOM2017'!F:F,MATCH(Wiki!B68,'BOM2017'!D:D,0)))</f>
        <v>#N/A</v>
      </c>
      <c r="H68" s="15" t="e">
        <f>IFERROR(INDEX('BOM2017'!H:H,MATCH(Wiki!B68,'BOM2017'!C:C,0)),INDEX('BOM2017'!H:H,MATCH(Wiki!B68,'BOM2017'!D:D,0)))</f>
        <v>#N/A</v>
      </c>
      <c r="I68" s="16" t="e">
        <f>IFERROR(INDEX('BOM2017'!H:H,MATCH(Wiki!B68,'BOM2017'!C:C,0)),INDEX('BOM2017'!H:H,MATCH(Wiki!B68,'BOM2017'!D:D,0)))</f>
        <v>#N/A</v>
      </c>
      <c r="J68" s="1" t="str">
        <f t="shared" si="0"/>
        <v>https://en.wikipedia.org/wiki/I_Am_Michael</v>
      </c>
      <c r="K68" s="11" t="str">
        <f t="shared" si="3"/>
        <v>I_Am_Michael</v>
      </c>
      <c r="L68" s="1" t="str">
        <f t="shared" si="1"/>
        <v>I_Am_Michael</v>
      </c>
      <c r="M68" s="1" t="b">
        <f t="shared" si="2"/>
        <v>1</v>
      </c>
    </row>
    <row r="69" spans="2:13" x14ac:dyDescent="0.2">
      <c r="B69" s="3" t="s">
        <v>84</v>
      </c>
      <c r="C69" s="14" t="s">
        <v>2839</v>
      </c>
      <c r="D69" s="14" t="s">
        <v>2840</v>
      </c>
      <c r="E69" s="15" t="s">
        <v>85</v>
      </c>
      <c r="F69" s="15" t="s">
        <v>6</v>
      </c>
      <c r="G69" s="15" t="str">
        <f>IFERROR(INDEX('BOM2017'!F:F,MATCH(Wiki!B69,'BOM2017'!C:C,0)),INDEX('BOM2017'!F:F,MATCH(Wiki!B69,'BOM2017'!D:D,0)))</f>
        <v>$7,123,919</v>
      </c>
      <c r="H69" s="15" t="str">
        <f>IFERROR(INDEX('BOM2017'!H:H,MATCH(Wiki!B69,'BOM2017'!C:C,0)),INDEX('BOM2017'!H:H,MATCH(Wiki!B69,'BOM2017'!D:D,0)))</f>
        <v>$686,378</v>
      </c>
      <c r="I69" s="16" t="str">
        <f>IFERROR(INDEX('BOM2017'!H:H,MATCH(Wiki!B69,'BOM2017'!C:C,0)),INDEX('BOM2017'!H:H,MATCH(Wiki!B69,'BOM2017'!D:D,0)))</f>
        <v>$686,378</v>
      </c>
      <c r="J69" s="1" t="str">
        <f t="shared" si="0"/>
        <v>https://en.wikipedia.org/wiki/I_Am_Not_Your_Negro</v>
      </c>
      <c r="K69" s="11" t="str">
        <f t="shared" si="3"/>
        <v>I_Am_Not_Your_Negro</v>
      </c>
      <c r="L69" s="1" t="str">
        <f t="shared" si="1"/>
        <v>I_Am_Not_Your_Negro</v>
      </c>
      <c r="M69" s="1" t="b">
        <f t="shared" si="2"/>
        <v>1</v>
      </c>
    </row>
    <row r="70" spans="2:13" x14ac:dyDescent="0.2">
      <c r="B70" s="3" t="s">
        <v>132</v>
      </c>
      <c r="C70" s="14" t="s">
        <v>2841</v>
      </c>
      <c r="D70" s="14" t="s">
        <v>2842</v>
      </c>
      <c r="E70" s="15" t="s">
        <v>133</v>
      </c>
      <c r="F70" s="15" t="s">
        <v>6</v>
      </c>
      <c r="G70" s="15" t="e">
        <f>IFERROR(INDEX('BOM2017'!F:F,MATCH(Wiki!B70,'BOM2017'!C:C,0)),INDEX('BOM2017'!F:F,MATCH(Wiki!B70,'BOM2017'!D:D,0)))</f>
        <v>#N/A</v>
      </c>
      <c r="H70" s="15" t="e">
        <f>IFERROR(INDEX('BOM2017'!H:H,MATCH(Wiki!B70,'BOM2017'!C:C,0)),INDEX('BOM2017'!H:H,MATCH(Wiki!B70,'BOM2017'!D:D,0)))</f>
        <v>#N/A</v>
      </c>
      <c r="I70" s="16" t="e">
        <f>IFERROR(INDEX('BOM2017'!H:H,MATCH(Wiki!B70,'BOM2017'!C:C,0)),INDEX('BOM2017'!H:H,MATCH(Wiki!B70,'BOM2017'!D:D,0)))</f>
        <v>#N/A</v>
      </c>
      <c r="J70" s="1" t="str">
        <f t="shared" ref="J70:J133" si="4">GETURL(B70)</f>
        <v>https://en.wikipedia.org/wiki/I_Don%27t_Feel_at_Home_in_This_World_Anymore</v>
      </c>
      <c r="K70" s="11" t="str">
        <f t="shared" si="3"/>
        <v>I_Don%27t_Feel_at_Home_in_This_World_Anymore</v>
      </c>
      <c r="L70" s="1" t="str">
        <f t="shared" ref="L70:L133" si="5">SUBSTITUTE(B70," ","_")</f>
        <v>I_Don't_Feel_at_Home_in_This_World_Anymore</v>
      </c>
      <c r="M70" s="1" t="b">
        <f t="shared" ref="M70:M133" si="6">K70=L70</f>
        <v>0</v>
      </c>
    </row>
    <row r="71" spans="2:13" x14ac:dyDescent="0.2">
      <c r="B71" s="3" t="s">
        <v>406</v>
      </c>
      <c r="C71" s="3" t="s">
        <v>195</v>
      </c>
      <c r="D71" s="14" t="s">
        <v>2843</v>
      </c>
      <c r="E71" s="15" t="s">
        <v>67</v>
      </c>
      <c r="F71" s="15" t="s">
        <v>6</v>
      </c>
      <c r="G71" s="15" t="str">
        <f>IFERROR(INDEX('BOM2017'!F:F,MATCH(Wiki!B71,'BOM2017'!C:C,0)),INDEX('BOM2017'!F:F,MATCH(Wiki!B71,'BOM2017'!D:D,0)))</f>
        <v>$14,783,202</v>
      </c>
      <c r="H71" s="15" t="str">
        <f>IFERROR(INDEX('BOM2017'!H:H,MATCH(Wiki!B71,'BOM2017'!C:C,0)),INDEX('BOM2017'!H:H,MATCH(Wiki!B71,'BOM2017'!D:D,0)))</f>
        <v>$264,155</v>
      </c>
      <c r="I71" s="16" t="str">
        <f>IFERROR(INDEX('BOM2017'!H:H,MATCH(Wiki!B71,'BOM2017'!C:C,0)),INDEX('BOM2017'!H:H,MATCH(Wiki!B71,'BOM2017'!D:D,0)))</f>
        <v>$264,155</v>
      </c>
      <c r="J71" s="1" t="str">
        <f t="shared" si="4"/>
        <v>https://en.wikipedia.org/wiki/I,_Tonya</v>
      </c>
      <c r="K71" s="11" t="str">
        <f t="shared" ref="K71:K134" si="7">TRIM(RIGHT(J71,LEN(J71)-FIND("wiki/",J71)-4))</f>
        <v>I,_Tonya</v>
      </c>
      <c r="L71" s="1" t="str">
        <f t="shared" si="5"/>
        <v>I,_Tonya</v>
      </c>
      <c r="M71" s="1" t="b">
        <f t="shared" si="6"/>
        <v>1</v>
      </c>
    </row>
    <row r="72" spans="2:13" x14ac:dyDescent="0.2">
      <c r="B72" s="3" t="s">
        <v>68</v>
      </c>
      <c r="C72" s="3" t="s">
        <v>69</v>
      </c>
      <c r="D72" s="15" t="s">
        <v>2844</v>
      </c>
      <c r="E72" s="15" t="s">
        <v>70</v>
      </c>
      <c r="F72" s="15" t="s">
        <v>6</v>
      </c>
      <c r="G72" s="15" t="e">
        <f>IFERROR(INDEX('BOM2017'!F:F,MATCH(Wiki!B72,'BOM2017'!C:C,0)),INDEX('BOM2017'!F:F,MATCH(Wiki!B72,'BOM2017'!D:D,0)))</f>
        <v>#N/A</v>
      </c>
      <c r="H72" s="15" t="e">
        <f>IFERROR(INDEX('BOM2017'!H:H,MATCH(Wiki!B72,'BOM2017'!C:C,0)),INDEX('BOM2017'!H:H,MATCH(Wiki!B72,'BOM2017'!D:D,0)))</f>
        <v>#N/A</v>
      </c>
      <c r="I72" s="16" t="e">
        <f>IFERROR(INDEX('BOM2017'!H:H,MATCH(Wiki!B72,'BOM2017'!C:C,0)),INDEX('BOM2017'!H:H,MATCH(Wiki!B72,'BOM2017'!D:D,0)))</f>
        <v>#N/A</v>
      </c>
      <c r="J72" s="1" t="str">
        <f t="shared" si="4"/>
        <v>https://en.wikipedia.org/wiki/IBoy</v>
      </c>
      <c r="K72" s="11" t="str">
        <f t="shared" si="7"/>
        <v>IBoy</v>
      </c>
      <c r="L72" s="1" t="str">
        <f t="shared" si="5"/>
        <v>iBoy</v>
      </c>
      <c r="M72" s="1" t="b">
        <f t="shared" si="6"/>
        <v>1</v>
      </c>
    </row>
    <row r="73" spans="2:13" x14ac:dyDescent="0.2">
      <c r="B73" s="3" t="s">
        <v>318</v>
      </c>
      <c r="C73" s="3" t="s">
        <v>199</v>
      </c>
      <c r="D73" s="15" t="s">
        <v>2845</v>
      </c>
      <c r="E73" s="15" t="s">
        <v>29</v>
      </c>
      <c r="F73" s="15" t="s">
        <v>6</v>
      </c>
      <c r="G73" s="15" t="e">
        <f>IFERROR(INDEX('BOM2017'!F:F,MATCH(Wiki!B73,'BOM2017'!C:C,0)),INDEX('BOM2017'!F:F,MATCH(Wiki!B73,'BOM2017'!D:D,0)))</f>
        <v>#N/A</v>
      </c>
      <c r="H73" s="15" t="e">
        <f>IFERROR(INDEX('BOM2017'!H:H,MATCH(Wiki!B73,'BOM2017'!C:C,0)),INDEX('BOM2017'!H:H,MATCH(Wiki!B73,'BOM2017'!D:D,0)))</f>
        <v>#N/A</v>
      </c>
      <c r="I73" s="16" t="e">
        <f>IFERROR(INDEX('BOM2017'!H:H,MATCH(Wiki!B73,'BOM2017'!C:C,0)),INDEX('BOM2017'!H:H,MATCH(Wiki!B73,'BOM2017'!D:D,0)))</f>
        <v>#N/A</v>
      </c>
      <c r="J73" s="1" t="str">
        <f t="shared" si="4"/>
        <v>https://en.wikipedia.org/wiki/Inconceivable_(2017_film)</v>
      </c>
      <c r="K73" s="11" t="str">
        <f t="shared" si="7"/>
        <v>Inconceivable_(2017_film)</v>
      </c>
      <c r="L73" s="1" t="str">
        <f t="shared" si="5"/>
        <v>Inconceivable</v>
      </c>
      <c r="M73" s="1" t="b">
        <f t="shared" si="6"/>
        <v>0</v>
      </c>
    </row>
    <row r="74" spans="2:13" x14ac:dyDescent="0.2">
      <c r="B74" s="3" t="s">
        <v>363</v>
      </c>
      <c r="C74" s="3" t="s">
        <v>195</v>
      </c>
      <c r="D74" s="15" t="s">
        <v>2846</v>
      </c>
      <c r="E74" s="15" t="s">
        <v>36</v>
      </c>
      <c r="F74" s="15" t="s">
        <v>6</v>
      </c>
      <c r="G74" s="15" t="str">
        <f>IFERROR(INDEX('BOM2017'!F:F,MATCH(Wiki!B74,'BOM2017'!C:C,0)),INDEX('BOM2017'!F:F,MATCH(Wiki!B74,'BOM2017'!D:D,0)))</f>
        <v>$3,024,308</v>
      </c>
      <c r="H74" s="15" t="str">
        <f>IFERROR(INDEX('BOM2017'!H:H,MATCH(Wiki!B74,'BOM2017'!C:C,0)),INDEX('BOM2017'!H:H,MATCH(Wiki!B74,'BOM2017'!D:D,0)))</f>
        <v>$135,301</v>
      </c>
      <c r="I74" s="16" t="str">
        <f>IFERROR(INDEX('BOM2017'!H:H,MATCH(Wiki!B74,'BOM2017'!C:C,0)),INDEX('BOM2017'!H:H,MATCH(Wiki!B74,'BOM2017'!D:D,0)))</f>
        <v>$135,301</v>
      </c>
      <c r="J74" s="1" t="str">
        <f t="shared" si="4"/>
        <v>https://en.wikipedia.org/wiki/Ingrid_Goes_West</v>
      </c>
      <c r="K74" s="11" t="str">
        <f t="shared" si="7"/>
        <v>Ingrid_Goes_West</v>
      </c>
      <c r="L74" s="1" t="str">
        <f t="shared" si="5"/>
        <v>Ingrid_Goes_West</v>
      </c>
      <c r="M74" s="1" t="b">
        <f t="shared" si="6"/>
        <v>1</v>
      </c>
    </row>
    <row r="75" spans="2:13" x14ac:dyDescent="0.2">
      <c r="B75" s="3" t="s">
        <v>481</v>
      </c>
      <c r="C75" s="14" t="s">
        <v>2847</v>
      </c>
      <c r="D75" s="14" t="s">
        <v>2848</v>
      </c>
      <c r="E75" s="15" t="s">
        <v>482</v>
      </c>
      <c r="F75" s="15" t="s">
        <v>6</v>
      </c>
      <c r="G75" s="15" t="str">
        <f>IFERROR(INDEX('BOM2017'!F:F,MATCH(Wiki!B75,'BOM2017'!C:C,0)),INDEX('BOM2017'!F:F,MATCH(Wiki!B75,'BOM2017'!D:D,0)))</f>
        <v>$38,052,832</v>
      </c>
      <c r="H75" s="15" t="str">
        <f>IFERROR(INDEX('BOM2017'!H:H,MATCH(Wiki!B75,'BOM2017'!C:C,0)),INDEX('BOM2017'!H:H,MATCH(Wiki!B75,'BOM2017'!D:D,0)))</f>
        <v>$16,640,452</v>
      </c>
      <c r="I75" s="16" t="str">
        <f>IFERROR(INDEX('BOM2017'!H:H,MATCH(Wiki!B75,'BOM2017'!C:C,0)),INDEX('BOM2017'!H:H,MATCH(Wiki!B75,'BOM2017'!D:D,0)))</f>
        <v>$16,640,452</v>
      </c>
      <c r="J75" s="1" t="str">
        <f t="shared" si="4"/>
        <v>https://en.wikipedia.org/wiki/Jigsaw_(2017_film)</v>
      </c>
      <c r="K75" s="11" t="str">
        <f t="shared" si="7"/>
        <v>Jigsaw_(2017_film)</v>
      </c>
      <c r="L75" s="1" t="str">
        <f t="shared" si="5"/>
        <v>Jigsaw</v>
      </c>
      <c r="M75" s="1" t="b">
        <f t="shared" si="6"/>
        <v>0</v>
      </c>
    </row>
    <row r="76" spans="2:13" x14ac:dyDescent="0.2">
      <c r="B76" s="3" t="s">
        <v>476</v>
      </c>
      <c r="C76" s="14" t="s">
        <v>2849</v>
      </c>
      <c r="D76" s="14" t="s">
        <v>2850</v>
      </c>
      <c r="E76" s="15" t="s">
        <v>477</v>
      </c>
      <c r="F76" s="15" t="s">
        <v>6</v>
      </c>
      <c r="G76" s="15" t="str">
        <f>IFERROR(INDEX('BOM2017'!F:F,MATCH(Wiki!B76,'BOM2017'!C:C,0)),INDEX('BOM2017'!F:F,MATCH(Wiki!B76,'BOM2017'!D:D,0)))</f>
        <v>$227,712,082</v>
      </c>
      <c r="H76" s="15" t="str">
        <f>IFERROR(INDEX('BOM2017'!H:H,MATCH(Wiki!B76,'BOM2017'!C:C,0)),INDEX('BOM2017'!H:H,MATCH(Wiki!B76,'BOM2017'!D:D,0)))</f>
        <v>$93,842,239</v>
      </c>
      <c r="I76" s="16" t="str">
        <f>IFERROR(INDEX('BOM2017'!H:H,MATCH(Wiki!B76,'BOM2017'!C:C,0)),INDEX('BOM2017'!H:H,MATCH(Wiki!B76,'BOM2017'!D:D,0)))</f>
        <v>$93,842,239</v>
      </c>
      <c r="J76" s="1" t="str">
        <f t="shared" si="4"/>
        <v>https://en.wikipedia.org/wiki/Justice_League_(film)</v>
      </c>
      <c r="K76" s="11" t="str">
        <f t="shared" si="7"/>
        <v>Justice_League_(film)</v>
      </c>
      <c r="L76" s="1" t="str">
        <f t="shared" si="5"/>
        <v>Justice_League</v>
      </c>
      <c r="M76" s="1" t="b">
        <f t="shared" si="6"/>
        <v>0</v>
      </c>
    </row>
    <row r="77" spans="2:13" x14ac:dyDescent="0.2">
      <c r="B77" s="3" t="s">
        <v>99</v>
      </c>
      <c r="C77" s="3" t="s">
        <v>100</v>
      </c>
      <c r="D77" s="15" t="s">
        <v>101</v>
      </c>
      <c r="E77" s="15" t="s">
        <v>85</v>
      </c>
      <c r="F77" s="3" t="s">
        <v>102</v>
      </c>
      <c r="G77" s="15" t="str">
        <f>IFERROR(INDEX('BOM2017'!F:F,MATCH(Wiki!B77,'BOM2017'!C:C,0)),INDEX('BOM2017'!F:F,MATCH(Wiki!B77,'BOM2017'!D:D,0)))</f>
        <v>$2,835,047</v>
      </c>
      <c r="H77" s="15" t="str">
        <f>IFERROR(INDEX('BOM2017'!H:H,MATCH(Wiki!B77,'BOM2017'!C:C,0)),INDEX('BOM2017'!H:H,MATCH(Wiki!B77,'BOM2017'!D:D,0)))</f>
        <v>$40,103</v>
      </c>
      <c r="I77" s="16" t="str">
        <f>IFERROR(INDEX('BOM2017'!H:H,MATCH(Wiki!B77,'BOM2017'!C:C,0)),INDEX('BOM2017'!H:H,MATCH(Wiki!B77,'BOM2017'!D:D,0)))</f>
        <v>$40,103</v>
      </c>
      <c r="J77" s="1" t="str">
        <f t="shared" si="4"/>
        <v>https://en.wikipedia.org/wiki/Kedi_(2016_film)</v>
      </c>
      <c r="K77" s="11" t="str">
        <f t="shared" si="7"/>
        <v>Kedi_(2016_film)</v>
      </c>
      <c r="L77" s="1" t="str">
        <f t="shared" si="5"/>
        <v>Kedi</v>
      </c>
      <c r="M77" s="1" t="b">
        <f t="shared" si="6"/>
        <v>0</v>
      </c>
    </row>
    <row r="78" spans="2:13" x14ac:dyDescent="0.2">
      <c r="B78" s="3" t="s">
        <v>386</v>
      </c>
      <c r="C78" s="3" t="s">
        <v>38</v>
      </c>
      <c r="D78" s="14" t="s">
        <v>2851</v>
      </c>
      <c r="E78" s="15" t="s">
        <v>387</v>
      </c>
      <c r="F78" s="15" t="s">
        <v>6</v>
      </c>
      <c r="G78" s="15" t="str">
        <f>IFERROR(INDEX('BOM2017'!F:F,MATCH(Wiki!B78,'BOM2017'!C:C,0)),INDEX('BOM2017'!F:F,MATCH(Wiki!B78,'BOM2017'!D:D,0)))</f>
        <v>$39,167,960</v>
      </c>
      <c r="H78" s="15" t="str">
        <f>IFERROR(INDEX('BOM2017'!H:H,MATCH(Wiki!B78,'BOM2017'!C:C,0)),INDEX('BOM2017'!H:H,MATCH(Wiki!B78,'BOM2017'!D:D,0)))</f>
        <v>$364,437</v>
      </c>
      <c r="I78" s="16" t="str">
        <f>IFERROR(INDEX('BOM2017'!H:H,MATCH(Wiki!B78,'BOM2017'!C:C,0)),INDEX('BOM2017'!H:H,MATCH(Wiki!B78,'BOM2017'!D:D,0)))</f>
        <v>$364,437</v>
      </c>
      <c r="J78" s="1" t="str">
        <f t="shared" si="4"/>
        <v>https://en.wikipedia.org/wiki/Lady_Bird_(film)</v>
      </c>
      <c r="K78" s="11" t="str">
        <f t="shared" si="7"/>
        <v>Lady_Bird_(film)</v>
      </c>
      <c r="L78" s="1" t="str">
        <f t="shared" si="5"/>
        <v>Lady_Bird</v>
      </c>
      <c r="M78" s="1" t="b">
        <f t="shared" si="6"/>
        <v>0</v>
      </c>
    </row>
    <row r="79" spans="2:13" x14ac:dyDescent="0.2">
      <c r="B79" s="3" t="s">
        <v>329</v>
      </c>
      <c r="C79" s="3" t="s">
        <v>135</v>
      </c>
      <c r="D79" s="15" t="s">
        <v>2852</v>
      </c>
      <c r="E79" s="15" t="s">
        <v>24</v>
      </c>
      <c r="F79" s="15" t="s">
        <v>88</v>
      </c>
      <c r="G79" s="15" t="str">
        <f>IFERROR(INDEX('BOM2017'!F:F,MATCH(Wiki!B79,'BOM2017'!C:C,0)),INDEX('BOM2017'!F:F,MATCH(Wiki!B79,'BOM2017'!D:D,0)))</f>
        <v>$1,129,408</v>
      </c>
      <c r="H79" s="15" t="str">
        <f>IFERROR(INDEX('BOM2017'!H:H,MATCH(Wiki!B79,'BOM2017'!C:C,0)),INDEX('BOM2017'!H:H,MATCH(Wiki!B79,'BOM2017'!D:D,0)))</f>
        <v>$64,537</v>
      </c>
      <c r="I79" s="16" t="str">
        <f>IFERROR(INDEX('BOM2017'!H:H,MATCH(Wiki!B79,'BOM2017'!C:C,0)),INDEX('BOM2017'!H:H,MATCH(Wiki!B79,'BOM2017'!D:D,0)))</f>
        <v>$64,537</v>
      </c>
      <c r="J79" s="1" t="str">
        <f t="shared" si="4"/>
        <v>https://en.wikipedia.org/wiki/Lady_Macbeth_(film)</v>
      </c>
      <c r="K79" s="11" t="str">
        <f t="shared" si="7"/>
        <v>Lady_Macbeth_(film)</v>
      </c>
      <c r="L79" s="1" t="str">
        <f t="shared" si="5"/>
        <v>Lady_Macbeth</v>
      </c>
      <c r="M79" s="1" t="b">
        <f t="shared" si="6"/>
        <v>0</v>
      </c>
    </row>
    <row r="80" spans="2:13" x14ac:dyDescent="0.2">
      <c r="B80" s="3" t="s">
        <v>117</v>
      </c>
      <c r="C80" s="3" t="s">
        <v>46</v>
      </c>
      <c r="D80" s="14" t="s">
        <v>2853</v>
      </c>
      <c r="E80" s="15" t="s">
        <v>118</v>
      </c>
      <c r="F80" s="15" t="s">
        <v>119</v>
      </c>
      <c r="G80" s="15" t="e">
        <f>IFERROR(INDEX('BOM2017'!F:F,MATCH(Wiki!B80,'BOM2017'!C:C,0)),INDEX('BOM2017'!F:F,MATCH(Wiki!B80,'BOM2017'!D:D,0)))</f>
        <v>#N/A</v>
      </c>
      <c r="H80" s="15" t="e">
        <f>IFERROR(INDEX('BOM2017'!H:H,MATCH(Wiki!B80,'BOM2017'!C:C,0)),INDEX('BOM2017'!H:H,MATCH(Wiki!B80,'BOM2017'!D:D,0)))</f>
        <v>#N/A</v>
      </c>
      <c r="I80" s="16" t="e">
        <f>IFERROR(INDEX('BOM2017'!H:H,MATCH(Wiki!B80,'BOM2017'!C:C,0)),INDEX('BOM2017'!H:H,MATCH(Wiki!B80,'BOM2017'!D:D,0)))</f>
        <v>#N/A</v>
      </c>
      <c r="J80" s="1" t="str">
        <f t="shared" si="4"/>
        <v>https://en.wikipedia.org/wiki/Land_of_Mine</v>
      </c>
      <c r="K80" s="11" t="str">
        <f t="shared" si="7"/>
        <v>Land_of_Mine</v>
      </c>
      <c r="L80" s="1" t="str">
        <f t="shared" si="5"/>
        <v>Land_of_Mine</v>
      </c>
      <c r="M80" s="1" t="b">
        <f t="shared" si="6"/>
        <v>1</v>
      </c>
    </row>
    <row r="81" spans="2:13" x14ac:dyDescent="0.2">
      <c r="B81" s="3" t="s">
        <v>493</v>
      </c>
      <c r="C81" s="3" t="s">
        <v>415</v>
      </c>
      <c r="D81" s="14" t="s">
        <v>2854</v>
      </c>
      <c r="E81" s="15" t="s">
        <v>36</v>
      </c>
      <c r="F81" s="15" t="s">
        <v>6</v>
      </c>
      <c r="G81" s="15" t="str">
        <f>IFERROR(INDEX('BOM2017'!F:F,MATCH(Wiki!B81,'BOM2017'!C:C,0)),INDEX('BOM2017'!F:F,MATCH(Wiki!B81,'BOM2017'!D:D,0)))</f>
        <v>$965,481</v>
      </c>
      <c r="H81" s="15" t="str">
        <f>IFERROR(INDEX('BOM2017'!H:H,MATCH(Wiki!B81,'BOM2017'!C:C,0)),INDEX('BOM2017'!H:H,MATCH(Wiki!B81,'BOM2017'!D:D,0)))</f>
        <v>$40,558</v>
      </c>
      <c r="I81" s="16" t="str">
        <f>IFERROR(INDEX('BOM2017'!H:H,MATCH(Wiki!B81,'BOM2017'!C:C,0)),INDEX('BOM2017'!H:H,MATCH(Wiki!B81,'BOM2017'!D:D,0)))</f>
        <v>$40,558</v>
      </c>
      <c r="J81" s="1" t="str">
        <f t="shared" si="4"/>
        <v>https://en.wikipedia.org/wiki/Last_Flag_Flying</v>
      </c>
      <c r="K81" s="11" t="str">
        <f t="shared" si="7"/>
        <v>Last_Flag_Flying</v>
      </c>
      <c r="L81" s="1" t="str">
        <f t="shared" si="5"/>
        <v>Last_Flag_Flying</v>
      </c>
      <c r="M81" s="1" t="b">
        <f t="shared" si="6"/>
        <v>1</v>
      </c>
    </row>
    <row r="82" spans="2:13" x14ac:dyDescent="0.2">
      <c r="B82" s="3" t="s">
        <v>471</v>
      </c>
      <c r="C82" s="14" t="s">
        <v>2855</v>
      </c>
      <c r="D82" s="14" t="s">
        <v>2856</v>
      </c>
      <c r="E82" s="15" t="s">
        <v>76</v>
      </c>
      <c r="F82" s="15" t="s">
        <v>6</v>
      </c>
      <c r="G82" s="15" t="e">
        <f>IFERROR(INDEX('BOM2017'!F:F,MATCH(Wiki!B82,'BOM2017'!C:C,0)),INDEX('BOM2017'!F:F,MATCH(Wiki!B82,'BOM2017'!D:D,0)))</f>
        <v>#N/A</v>
      </c>
      <c r="H82" s="15" t="e">
        <f>IFERROR(INDEX('BOM2017'!H:H,MATCH(Wiki!B82,'BOM2017'!C:C,0)),INDEX('BOM2017'!H:H,MATCH(Wiki!B82,'BOM2017'!D:D,0)))</f>
        <v>#N/A</v>
      </c>
      <c r="I82" s="16" t="e">
        <f>IFERROR(INDEX('BOM2017'!H:H,MATCH(Wiki!B82,'BOM2017'!C:C,0)),INDEX('BOM2017'!H:H,MATCH(Wiki!B82,'BOM2017'!D:D,0)))</f>
        <v>#N/A</v>
      </c>
      <c r="J82" s="1" t="str">
        <f t="shared" si="4"/>
        <v>https://en.wikipedia.org/wiki/Leatherface_(2017_film)</v>
      </c>
      <c r="K82" s="11" t="str">
        <f t="shared" si="7"/>
        <v>Leatherface_(2017_film)</v>
      </c>
      <c r="L82" s="1" t="str">
        <f t="shared" si="5"/>
        <v>Leatherface</v>
      </c>
      <c r="M82" s="1" t="b">
        <f t="shared" si="6"/>
        <v>0</v>
      </c>
    </row>
    <row r="83" spans="2:13" x14ac:dyDescent="0.2">
      <c r="B83" s="3" t="s">
        <v>369</v>
      </c>
      <c r="C83" s="3" t="s">
        <v>42</v>
      </c>
      <c r="D83" s="14" t="s">
        <v>2857</v>
      </c>
      <c r="E83" s="15" t="s">
        <v>24</v>
      </c>
      <c r="F83" s="15" t="s">
        <v>251</v>
      </c>
      <c r="G83" s="15" t="str">
        <f>IFERROR(INDEX('BOM2017'!F:F,MATCH(Wiki!B83,'BOM2017'!C:C,0)),INDEX('BOM2017'!F:F,MATCH(Wiki!B83,'BOM2017'!D:D,0)))</f>
        <v>$29,258</v>
      </c>
      <c r="H83" s="15" t="str">
        <f>IFERROR(INDEX('BOM2017'!H:H,MATCH(Wiki!B83,'BOM2017'!C:C,0)),INDEX('BOM2017'!H:H,MATCH(Wiki!B83,'BOM2017'!D:D,0)))</f>
        <v>$5,957</v>
      </c>
      <c r="I83" s="16" t="str">
        <f>IFERROR(INDEX('BOM2017'!H:H,MATCH(Wiki!B83,'BOM2017'!C:C,0)),INDEX('BOM2017'!H:H,MATCH(Wiki!B83,'BOM2017'!D:D,0)))</f>
        <v>$5,957</v>
      </c>
      <c r="J83" s="1" t="str">
        <f t="shared" si="4"/>
        <v>https://en.wikipedia.org/wiki/Lemon_(2017_film)</v>
      </c>
      <c r="K83" s="11" t="str">
        <f t="shared" si="7"/>
        <v>Lemon_(2017_film)</v>
      </c>
      <c r="L83" s="1" t="str">
        <f t="shared" si="5"/>
        <v>Lemon</v>
      </c>
      <c r="M83" s="1" t="b">
        <f t="shared" si="6"/>
        <v>0</v>
      </c>
    </row>
    <row r="84" spans="2:13" x14ac:dyDescent="0.2">
      <c r="B84" s="3" t="s">
        <v>120</v>
      </c>
      <c r="C84" s="14" t="s">
        <v>2858</v>
      </c>
      <c r="D84" s="14" t="s">
        <v>2859</v>
      </c>
      <c r="E84" s="15" t="s">
        <v>121</v>
      </c>
      <c r="F84" s="15" t="s">
        <v>6</v>
      </c>
      <c r="G84" s="15" t="str">
        <f>IFERROR(INDEX('BOM2017'!F:F,MATCH(Wiki!B84,'BOM2017'!C:C,0)),INDEX('BOM2017'!F:F,MATCH(Wiki!B84,'BOM2017'!D:D,0)))</f>
        <v>$226,277,068</v>
      </c>
      <c r="H84" s="15" t="str">
        <f>IFERROR(INDEX('BOM2017'!H:H,MATCH(Wiki!B84,'BOM2017'!C:C,0)),INDEX('BOM2017'!H:H,MATCH(Wiki!B84,'BOM2017'!D:D,0)))</f>
        <v>$88,411,916</v>
      </c>
      <c r="I84" s="16" t="str">
        <f>IFERROR(INDEX('BOM2017'!H:H,MATCH(Wiki!B84,'BOM2017'!C:C,0)),INDEX('BOM2017'!H:H,MATCH(Wiki!B84,'BOM2017'!D:D,0)))</f>
        <v>$88,411,916</v>
      </c>
      <c r="J84" s="1" t="str">
        <f t="shared" si="4"/>
        <v>https://en.wikipedia.org/wiki/Logan_(film)</v>
      </c>
      <c r="K84" s="11" t="str">
        <f t="shared" si="7"/>
        <v>Logan_(film)</v>
      </c>
      <c r="L84" s="1" t="str">
        <f t="shared" si="5"/>
        <v>Logan</v>
      </c>
      <c r="M84" s="1" t="b">
        <f t="shared" si="6"/>
        <v>0</v>
      </c>
    </row>
    <row r="85" spans="2:13" x14ac:dyDescent="0.2">
      <c r="B85" s="3" t="s">
        <v>366</v>
      </c>
      <c r="C85" s="14" t="s">
        <v>2860</v>
      </c>
      <c r="D85" s="14" t="s">
        <v>2861</v>
      </c>
      <c r="E85" s="15" t="s">
        <v>367</v>
      </c>
      <c r="F85" s="15" t="s">
        <v>6</v>
      </c>
      <c r="G85" s="15" t="str">
        <f>IFERROR(INDEX('BOM2017'!F:F,MATCH(Wiki!B85,'BOM2017'!C:C,0)),INDEX('BOM2017'!F:F,MATCH(Wiki!B85,'BOM2017'!D:D,0)))</f>
        <v>$27,780,977</v>
      </c>
      <c r="H85" s="15" t="str">
        <f>IFERROR(INDEX('BOM2017'!H:H,MATCH(Wiki!B85,'BOM2017'!C:C,0)),INDEX('BOM2017'!H:H,MATCH(Wiki!B85,'BOM2017'!D:D,0)))</f>
        <v>$7,600,036</v>
      </c>
      <c r="I85" s="16" t="str">
        <f>IFERROR(INDEX('BOM2017'!H:H,MATCH(Wiki!B85,'BOM2017'!C:C,0)),INDEX('BOM2017'!H:H,MATCH(Wiki!B85,'BOM2017'!D:D,0)))</f>
        <v>$7,600,036</v>
      </c>
      <c r="J85" s="1" t="str">
        <f t="shared" si="4"/>
        <v>https://en.wikipedia.org/wiki/Logan_Lucky</v>
      </c>
      <c r="K85" s="11" t="str">
        <f t="shared" si="7"/>
        <v>Logan_Lucky</v>
      </c>
      <c r="L85" s="1" t="str">
        <f t="shared" si="5"/>
        <v>Logan_Lucky</v>
      </c>
      <c r="M85" s="1" t="b">
        <f t="shared" si="6"/>
        <v>1</v>
      </c>
    </row>
    <row r="86" spans="2:13" x14ac:dyDescent="0.2">
      <c r="B86" s="3" t="s">
        <v>61</v>
      </c>
      <c r="C86" s="3" t="s">
        <v>62</v>
      </c>
      <c r="D86" s="15" t="s">
        <v>2862</v>
      </c>
      <c r="E86" s="15" t="s">
        <v>63</v>
      </c>
      <c r="F86" s="3" t="s">
        <v>64</v>
      </c>
      <c r="G86" s="15" t="e">
        <f>IFERROR(INDEX('BOM2017'!F:F,MATCH(Wiki!B86,'BOM2017'!C:C,0)),INDEX('BOM2017'!F:F,MATCH(Wiki!B86,'BOM2017'!D:D,0)))</f>
        <v>#N/A</v>
      </c>
      <c r="H86" s="15" t="e">
        <f>IFERROR(INDEX('BOM2017'!H:H,MATCH(Wiki!B86,'BOM2017'!C:C,0)),INDEX('BOM2017'!H:H,MATCH(Wiki!B86,'BOM2017'!D:D,0)))</f>
        <v>#N/A</v>
      </c>
      <c r="I86" s="16" t="e">
        <f>IFERROR(INDEX('BOM2017'!H:H,MATCH(Wiki!B86,'BOM2017'!C:C,0)),INDEX('BOM2017'!H:H,MATCH(Wiki!B86,'BOM2017'!D:D,0)))</f>
        <v>#N/A</v>
      </c>
      <c r="J86" s="1" t="str">
        <f t="shared" si="4"/>
        <v>https://en.wikipedia.org/wiki/Lost_in_Florence</v>
      </c>
      <c r="K86" s="11" t="str">
        <f t="shared" si="7"/>
        <v>Lost_in_Florence</v>
      </c>
      <c r="L86" s="1" t="str">
        <f t="shared" si="5"/>
        <v>Lost_in_Florence</v>
      </c>
      <c r="M86" s="1" t="b">
        <f t="shared" si="6"/>
        <v>1</v>
      </c>
    </row>
    <row r="87" spans="2:13" x14ac:dyDescent="0.2">
      <c r="B87" s="3" t="s">
        <v>122</v>
      </c>
      <c r="C87" s="3" t="s">
        <v>123</v>
      </c>
      <c r="D87" s="14" t="s">
        <v>2863</v>
      </c>
      <c r="E87" s="15" t="s">
        <v>24</v>
      </c>
      <c r="F87" s="15" t="s">
        <v>6</v>
      </c>
      <c r="G87" s="15" t="str">
        <f>IFERROR(INDEX('BOM2017'!F:F,MATCH(Wiki!B87,'BOM2017'!C:C,0)),INDEX('BOM2017'!F:F,MATCH(Wiki!B87,'BOM2017'!D:D,0)))</f>
        <v>$10,626</v>
      </c>
      <c r="H87" s="15" t="str">
        <f>IFERROR(INDEX('BOM2017'!H:H,MATCH(Wiki!B87,'BOM2017'!C:C,0)),INDEX('BOM2017'!H:H,MATCH(Wiki!B87,'BOM2017'!D:D,0)))</f>
        <v>$1,718</v>
      </c>
      <c r="I87" s="16" t="str">
        <f>IFERROR(INDEX('BOM2017'!H:H,MATCH(Wiki!B87,'BOM2017'!C:C,0)),INDEX('BOM2017'!H:H,MATCH(Wiki!B87,'BOM2017'!D:D,0)))</f>
        <v>$1,718</v>
      </c>
      <c r="J87" s="1" t="str">
        <f t="shared" si="4"/>
        <v>https://en.wikipedia.org/wiki/Lovesong</v>
      </c>
      <c r="K87" s="11" t="str">
        <f t="shared" si="7"/>
        <v>Lovesong</v>
      </c>
      <c r="L87" s="1" t="str">
        <f t="shared" si="5"/>
        <v>Lovesong</v>
      </c>
      <c r="M87" s="1" t="b">
        <f t="shared" si="6"/>
        <v>1</v>
      </c>
    </row>
    <row r="88" spans="2:13" x14ac:dyDescent="0.2">
      <c r="B88" s="3" t="s">
        <v>426</v>
      </c>
      <c r="C88" s="15" t="s">
        <v>90</v>
      </c>
      <c r="D88" s="15" t="s">
        <v>2864</v>
      </c>
      <c r="E88" s="15" t="s">
        <v>427</v>
      </c>
      <c r="F88" s="3" t="s">
        <v>428</v>
      </c>
      <c r="G88" s="15" t="str">
        <f>IFERROR(INDEX('BOM2017'!F:F,MATCH(Wiki!B88,'BOM2017'!C:C,0)),INDEX('BOM2017'!F:F,MATCH(Wiki!B88,'BOM2017'!D:D,0)))</f>
        <v>$6,532,388</v>
      </c>
      <c r="H88" s="15" t="str">
        <f>IFERROR(INDEX('BOM2017'!H:H,MATCH(Wiki!B88,'BOM2017'!C:C,0)),INDEX('BOM2017'!H:H,MATCH(Wiki!B88,'BOM2017'!D:D,0)))</f>
        <v>$23,180</v>
      </c>
      <c r="I88" s="16" t="str">
        <f>IFERROR(INDEX('BOM2017'!H:H,MATCH(Wiki!B88,'BOM2017'!C:C,0)),INDEX('BOM2017'!H:H,MATCH(Wiki!B88,'BOM2017'!D:D,0)))</f>
        <v>$23,180</v>
      </c>
      <c r="J88" s="1" t="str">
        <f t="shared" si="4"/>
        <v>https://en.wikipedia.org/wiki/Loving_Vincent</v>
      </c>
      <c r="K88" s="11" t="str">
        <f t="shared" si="7"/>
        <v>Loving_Vincent</v>
      </c>
      <c r="L88" s="1" t="str">
        <f t="shared" si="5"/>
        <v>Loving_Vincent</v>
      </c>
      <c r="M88" s="1" t="b">
        <f t="shared" si="6"/>
        <v>1</v>
      </c>
    </row>
    <row r="89" spans="2:13" x14ac:dyDescent="0.2">
      <c r="B89" s="3" t="s">
        <v>258</v>
      </c>
      <c r="C89" s="14" t="s">
        <v>2865</v>
      </c>
      <c r="D89" s="14" t="s">
        <v>2866</v>
      </c>
      <c r="E89" s="15" t="s">
        <v>24</v>
      </c>
      <c r="F89" s="15" t="s">
        <v>6</v>
      </c>
      <c r="G89" s="15" t="str">
        <f>IFERROR(INDEX('BOM2017'!F:F,MATCH(Wiki!B89,'BOM2017'!C:C,0)),INDEX('BOM2017'!F:F,MATCH(Wiki!B89,'BOM2017'!D:D,0)))</f>
        <v>$6,303,560</v>
      </c>
      <c r="H89" s="15" t="str">
        <f>IFERROR(INDEX('BOM2017'!H:H,MATCH(Wiki!B89,'BOM2017'!C:C,0)),INDEX('BOM2017'!H:H,MATCH(Wiki!B89,'BOM2017'!D:D,0)))</f>
        <v>$2,403,885</v>
      </c>
      <c r="I89" s="16" t="str">
        <f>IFERROR(INDEX('BOM2017'!H:H,MATCH(Wiki!B89,'BOM2017'!C:C,0)),INDEX('BOM2017'!H:H,MATCH(Wiki!B89,'BOM2017'!D:D,0)))</f>
        <v>$2,403,885</v>
      </c>
      <c r="J89" s="1" t="str">
        <f t="shared" si="4"/>
        <v>https://en.wikipedia.org/wiki/Lowriders_(film)</v>
      </c>
      <c r="K89" s="11" t="str">
        <f t="shared" si="7"/>
        <v>Lowriders_(film)</v>
      </c>
      <c r="L89" s="1" t="str">
        <f t="shared" si="5"/>
        <v>Lowriders</v>
      </c>
      <c r="M89" s="1" t="b">
        <f t="shared" si="6"/>
        <v>0</v>
      </c>
    </row>
    <row r="90" spans="2:13" x14ac:dyDescent="0.2">
      <c r="B90" s="3" t="s">
        <v>438</v>
      </c>
      <c r="C90" s="14" t="s">
        <v>2867</v>
      </c>
      <c r="D90" s="14" t="s">
        <v>2868</v>
      </c>
      <c r="E90" s="15" t="s">
        <v>422</v>
      </c>
      <c r="F90" s="15" t="s">
        <v>6</v>
      </c>
      <c r="G90" s="15" t="str">
        <f>IFERROR(INDEX('BOM2017'!F:F,MATCH(Wiki!B90,'BOM2017'!C:C,0)),INDEX('BOM2017'!F:F,MATCH(Wiki!B90,'BOM2017'!D:D,0)))</f>
        <v>$768,946</v>
      </c>
      <c r="H90" s="15" t="str">
        <f>IFERROR(INDEX('BOM2017'!H:H,MATCH(Wiki!B90,'BOM2017'!C:C,0)),INDEX('BOM2017'!H:H,MATCH(Wiki!B90,'BOM2017'!D:D,0)))</f>
        <v>$34,217</v>
      </c>
      <c r="I90" s="16" t="str">
        <f>IFERROR(INDEX('BOM2017'!H:H,MATCH(Wiki!B90,'BOM2017'!C:C,0)),INDEX('BOM2017'!H:H,MATCH(Wiki!B90,'BOM2017'!D:D,0)))</f>
        <v>$34,217</v>
      </c>
      <c r="J90" s="1" t="str">
        <f t="shared" si="4"/>
        <v>https://en.wikipedia.org/wiki/Mark_Felt:_The_Man_Who_Brought_Down_the_White_House</v>
      </c>
      <c r="K90" s="11" t="str">
        <f t="shared" si="7"/>
        <v>Mark_Felt:_The_Man_Who_Brought_Down_the_White_House</v>
      </c>
      <c r="L90" s="1" t="str">
        <f t="shared" si="5"/>
        <v>Mark_Felt:_The_Man_Who_Brought_Down_the_White_House</v>
      </c>
      <c r="M90" s="1" t="b">
        <f t="shared" si="6"/>
        <v>1</v>
      </c>
    </row>
    <row r="91" spans="2:13" x14ac:dyDescent="0.2">
      <c r="B91" s="3" t="s">
        <v>500</v>
      </c>
      <c r="C91" s="15" t="s">
        <v>501</v>
      </c>
      <c r="D91" s="14" t="s">
        <v>2869</v>
      </c>
      <c r="E91" s="15" t="s">
        <v>502</v>
      </c>
      <c r="F91" s="15" t="s">
        <v>6</v>
      </c>
      <c r="G91" s="15" t="e">
        <f>IFERROR(INDEX('BOM2017'!F:F,MATCH(Wiki!B91,'BOM2017'!C:C,0)),INDEX('BOM2017'!F:F,MATCH(Wiki!B91,'BOM2017'!D:D,0)))</f>
        <v>#N/A</v>
      </c>
      <c r="H91" s="15" t="e">
        <f>IFERROR(INDEX('BOM2017'!H:H,MATCH(Wiki!B91,'BOM2017'!C:C,0)),INDEX('BOM2017'!H:H,MATCH(Wiki!B91,'BOM2017'!D:D,0)))</f>
        <v>#N/A</v>
      </c>
      <c r="I91" s="16" t="e">
        <f>IFERROR(INDEX('BOM2017'!H:H,MATCH(Wiki!B91,'BOM2017'!C:C,0)),INDEX('BOM2017'!H:H,MATCH(Wiki!B91,'BOM2017'!D:D,0)))</f>
        <v>#N/A</v>
      </c>
      <c r="J91" s="1" t="str">
        <f t="shared" si="4"/>
        <v>https://en.wikipedia.org/wiki/Mayhem_(film)</v>
      </c>
      <c r="K91" s="11" t="str">
        <f t="shared" si="7"/>
        <v>Mayhem_(film)</v>
      </c>
      <c r="L91" s="1" t="str">
        <f t="shared" si="5"/>
        <v>Mayhem</v>
      </c>
      <c r="M91" s="1" t="b">
        <f t="shared" si="6"/>
        <v>0</v>
      </c>
    </row>
    <row r="92" spans="2:13" x14ac:dyDescent="0.2">
      <c r="B92" s="3" t="s">
        <v>292</v>
      </c>
      <c r="C92" s="3" t="s">
        <v>143</v>
      </c>
      <c r="D92" s="15" t="s">
        <v>2870</v>
      </c>
      <c r="E92" s="15" t="s">
        <v>293</v>
      </c>
      <c r="F92" s="15" t="s">
        <v>6</v>
      </c>
      <c r="G92" s="15" t="str">
        <f>IFERROR(INDEX('BOM2017'!F:F,MATCH(Wiki!B92,'BOM2017'!C:C,0)),INDEX('BOM2017'!F:F,MATCH(Wiki!B92,'BOM2017'!D:D,0)))</f>
        <v>$13,406,883</v>
      </c>
      <c r="H92" s="15" t="str">
        <f>IFERROR(INDEX('BOM2017'!H:H,MATCH(Wiki!B92,'BOM2017'!C:C,0)),INDEX('BOM2017'!H:H,MATCH(Wiki!B92,'BOM2017'!D:D,0)))</f>
        <v>$3,810,867</v>
      </c>
      <c r="I92" s="16" t="str">
        <f>IFERROR(INDEX('BOM2017'!H:H,MATCH(Wiki!B92,'BOM2017'!C:C,0)),INDEX('BOM2017'!H:H,MATCH(Wiki!B92,'BOM2017'!D:D,0)))</f>
        <v>$3,810,867</v>
      </c>
      <c r="J92" s="1" t="str">
        <f t="shared" si="4"/>
        <v>https://en.wikipedia.org/wiki/Megan_Leavey_(film)</v>
      </c>
      <c r="K92" s="11" t="str">
        <f t="shared" si="7"/>
        <v>Megan_Leavey_(film)</v>
      </c>
      <c r="L92" s="1" t="str">
        <f t="shared" si="5"/>
        <v>Megan_Leavey</v>
      </c>
      <c r="M92" s="1" t="b">
        <f t="shared" si="6"/>
        <v>0</v>
      </c>
    </row>
    <row r="93" spans="2:13" x14ac:dyDescent="0.2">
      <c r="B93" s="3" t="s">
        <v>347</v>
      </c>
      <c r="C93" s="3" t="s">
        <v>38</v>
      </c>
      <c r="D93" s="15" t="s">
        <v>348</v>
      </c>
      <c r="E93" s="15" t="s">
        <v>24</v>
      </c>
      <c r="F93" s="15" t="s">
        <v>6</v>
      </c>
      <c r="G93" s="15" t="str">
        <f>IFERROR(INDEX('BOM2017'!F:F,MATCH(Wiki!B93,'BOM2017'!C:C,0)),INDEX('BOM2017'!F:F,MATCH(Wiki!B93,'BOM2017'!D:D,0)))</f>
        <v>$1,703,036</v>
      </c>
      <c r="H93" s="15" t="str">
        <f>IFERROR(INDEX('BOM2017'!H:H,MATCH(Wiki!B93,'BOM2017'!C:C,0)),INDEX('BOM2017'!H:H,MATCH(Wiki!B93,'BOM2017'!D:D,0)))</f>
        <v>$62,078</v>
      </c>
      <c r="I93" s="16" t="str">
        <f>IFERROR(INDEX('BOM2017'!H:H,MATCH(Wiki!B93,'BOM2017'!C:C,0)),INDEX('BOM2017'!H:H,MATCH(Wiki!B93,'BOM2017'!D:D,0)))</f>
        <v>$62,078</v>
      </c>
      <c r="J93" s="1" t="str">
        <f t="shared" si="4"/>
        <v>https://en.wikipedia.org/wiki/Menashe_(film)</v>
      </c>
      <c r="K93" s="11" t="str">
        <f t="shared" si="7"/>
        <v>Menashe_(film)</v>
      </c>
      <c r="L93" s="1" t="str">
        <f t="shared" si="5"/>
        <v>Menashe</v>
      </c>
      <c r="M93" s="1" t="b">
        <f t="shared" si="6"/>
        <v>0</v>
      </c>
    </row>
    <row r="94" spans="2:13" x14ac:dyDescent="0.2">
      <c r="B94" s="3" t="s">
        <v>407</v>
      </c>
      <c r="C94" s="3" t="s">
        <v>408</v>
      </c>
      <c r="D94" s="14" t="s">
        <v>2871</v>
      </c>
      <c r="E94" s="15" t="s">
        <v>409</v>
      </c>
      <c r="F94" s="15" t="s">
        <v>6</v>
      </c>
      <c r="G94" s="15" t="str">
        <f>IFERROR(INDEX('BOM2017'!F:F,MATCH(Wiki!B94,'BOM2017'!C:C,0)),INDEX('BOM2017'!F:F,MATCH(Wiki!B94,'BOM2017'!D:D,0)))</f>
        <v>$24,441,842</v>
      </c>
      <c r="H94" s="15" t="str">
        <f>IFERROR(INDEX('BOM2017'!H:H,MATCH(Wiki!B94,'BOM2017'!C:C,0)),INDEX('BOM2017'!H:H,MATCH(Wiki!B94,'BOM2017'!D:D,0)))</f>
        <v>$2,349,967</v>
      </c>
      <c r="I94" s="16" t="str">
        <f>IFERROR(INDEX('BOM2017'!H:H,MATCH(Wiki!B94,'BOM2017'!C:C,0)),INDEX('BOM2017'!H:H,MATCH(Wiki!B94,'BOM2017'!D:D,0)))</f>
        <v>$2,349,967</v>
      </c>
      <c r="J94" s="1" t="str">
        <f t="shared" si="4"/>
        <v>https://en.wikipedia.org/wiki/Molly%27s_Game</v>
      </c>
      <c r="K94" s="11" t="str">
        <f t="shared" si="7"/>
        <v>Molly%27s_Game</v>
      </c>
      <c r="L94" s="1" t="str">
        <f t="shared" si="5"/>
        <v>Molly's_Game</v>
      </c>
      <c r="M94" s="1" t="b">
        <f t="shared" si="6"/>
        <v>0</v>
      </c>
    </row>
    <row r="95" spans="2:13" x14ac:dyDescent="0.2">
      <c r="B95" s="3" t="s">
        <v>412</v>
      </c>
      <c r="C95" s="3" t="s">
        <v>75</v>
      </c>
      <c r="D95" s="14" t="s">
        <v>2872</v>
      </c>
      <c r="E95" s="15" t="s">
        <v>413</v>
      </c>
      <c r="F95" s="15" t="s">
        <v>6</v>
      </c>
      <c r="G95" s="15" t="str">
        <f>IFERROR(INDEX('BOM2017'!F:F,MATCH(Wiki!B95,'BOM2017'!C:C,0)),INDEX('BOM2017'!F:F,MATCH(Wiki!B95,'BOM2017'!D:D,0)))</f>
        <v>$17,800,004</v>
      </c>
      <c r="H95" s="15" t="str">
        <f>IFERROR(INDEX('BOM2017'!H:H,MATCH(Wiki!B95,'BOM2017'!C:C,0)),INDEX('BOM2017'!H:H,MATCH(Wiki!B95,'BOM2017'!D:D,0)))</f>
        <v>$7,534,673</v>
      </c>
      <c r="I95" s="16" t="str">
        <f>IFERROR(INDEX('BOM2017'!H:H,MATCH(Wiki!B95,'BOM2017'!C:C,0)),INDEX('BOM2017'!H:H,MATCH(Wiki!B95,'BOM2017'!D:D,0)))</f>
        <v>$7,534,673</v>
      </c>
      <c r="J95" s="1" t="str">
        <f t="shared" si="4"/>
        <v>https://en.wikipedia.org/wiki/Mother!</v>
      </c>
      <c r="K95" s="11" t="str">
        <f t="shared" si="7"/>
        <v>Mother!</v>
      </c>
      <c r="L95" s="1" t="str">
        <f t="shared" si="5"/>
        <v>Mother!</v>
      </c>
      <c r="M95" s="1" t="b">
        <f t="shared" si="6"/>
        <v>1</v>
      </c>
    </row>
    <row r="96" spans="2:13" x14ac:dyDescent="0.2">
      <c r="B96" s="3" t="s">
        <v>509</v>
      </c>
      <c r="C96" s="15" t="s">
        <v>510</v>
      </c>
      <c r="D96" s="14" t="s">
        <v>2873</v>
      </c>
      <c r="E96" s="15" t="s">
        <v>91</v>
      </c>
      <c r="F96" s="15" t="s">
        <v>6</v>
      </c>
      <c r="G96" s="15" t="e">
        <f>IFERROR(INDEX('BOM2017'!F:F,MATCH(Wiki!B96,'BOM2017'!C:C,0)),INDEX('BOM2017'!F:F,MATCH(Wiki!B96,'BOM2017'!D:D,0)))</f>
        <v>#N/A</v>
      </c>
      <c r="H96" s="15" t="e">
        <f>IFERROR(INDEX('BOM2017'!H:H,MATCH(Wiki!B96,'BOM2017'!C:C,0)),INDEX('BOM2017'!H:H,MATCH(Wiki!B96,'BOM2017'!D:D,0)))</f>
        <v>#N/A</v>
      </c>
      <c r="I96" s="16" t="e">
        <f>IFERROR(INDEX('BOM2017'!H:H,MATCH(Wiki!B96,'BOM2017'!C:C,0)),INDEX('BOM2017'!H:H,MATCH(Wiki!B96,'BOM2017'!D:D,0)))</f>
        <v>#N/A</v>
      </c>
      <c r="J96" s="1" t="str">
        <f t="shared" si="4"/>
        <v>https://en.wikipedia.org/wiki/Mr._Roosevelt</v>
      </c>
      <c r="K96" s="11" t="str">
        <f t="shared" si="7"/>
        <v>Mr._Roosevelt</v>
      </c>
      <c r="L96" s="1" t="str">
        <f t="shared" si="5"/>
        <v>Mr._Roosevelt</v>
      </c>
      <c r="M96" s="1" t="b">
        <f t="shared" si="6"/>
        <v>1</v>
      </c>
    </row>
    <row r="97" spans="2:13" x14ac:dyDescent="0.2">
      <c r="B97" s="3" t="s">
        <v>291</v>
      </c>
      <c r="C97" s="3" t="s">
        <v>97</v>
      </c>
      <c r="D97" s="14" t="s">
        <v>2874</v>
      </c>
      <c r="E97" s="15" t="s">
        <v>24</v>
      </c>
      <c r="F97" s="15" t="s">
        <v>40</v>
      </c>
      <c r="G97" s="15" t="str">
        <f>IFERROR(INDEX('BOM2017'!F:F,MATCH(Wiki!B97,'BOM2017'!C:C,0)),INDEX('BOM2017'!F:F,MATCH(Wiki!B97,'BOM2017'!D:D,0)))</f>
        <v>$2,716,368</v>
      </c>
      <c r="H97" s="15" t="str">
        <f>IFERROR(INDEX('BOM2017'!H:H,MATCH(Wiki!B97,'BOM2017'!C:C,0)),INDEX('BOM2017'!H:H,MATCH(Wiki!B97,'BOM2017'!D:D,0)))</f>
        <v>$969,941</v>
      </c>
      <c r="I97" s="16" t="str">
        <f>IFERROR(INDEX('BOM2017'!H:H,MATCH(Wiki!B97,'BOM2017'!C:C,0)),INDEX('BOM2017'!H:H,MATCH(Wiki!B97,'BOM2017'!D:D,0)))</f>
        <v>$969,941</v>
      </c>
      <c r="J97" s="1" t="str">
        <f t="shared" si="4"/>
        <v>https://en.wikipedia.org/wiki/My_Cousin_Rachel_(2017_film)</v>
      </c>
      <c r="K97" s="11" t="str">
        <f t="shared" si="7"/>
        <v>My_Cousin_Rachel_(2017_film)</v>
      </c>
      <c r="L97" s="1" t="str">
        <f t="shared" si="5"/>
        <v>My_Cousin_Rachel</v>
      </c>
      <c r="M97" s="1" t="b">
        <f t="shared" si="6"/>
        <v>0</v>
      </c>
    </row>
    <row r="98" spans="2:13" x14ac:dyDescent="0.2">
      <c r="B98" s="3" t="s">
        <v>213</v>
      </c>
      <c r="C98" s="3" t="s">
        <v>214</v>
      </c>
      <c r="D98" s="14" t="s">
        <v>2875</v>
      </c>
      <c r="E98" s="15" t="s">
        <v>162</v>
      </c>
      <c r="F98" s="15" t="s">
        <v>6</v>
      </c>
      <c r="G98" s="15" t="str">
        <f>IFERROR(INDEX('BOM2017'!F:F,MATCH(Wiki!B98,'BOM2017'!C:C,0)),INDEX('BOM2017'!F:F,MATCH(Wiki!B98,'BOM2017'!D:D,0)))</f>
        <v>$68,883</v>
      </c>
      <c r="H98" s="15" t="str">
        <f>IFERROR(INDEX('BOM2017'!H:H,MATCH(Wiki!B98,'BOM2017'!C:C,0)),INDEX('BOM2017'!H:H,MATCH(Wiki!B98,'BOM2017'!D:D,0)))</f>
        <v>$13,684</v>
      </c>
      <c r="I98" s="16" t="str">
        <f>IFERROR(INDEX('BOM2017'!H:H,MATCH(Wiki!B98,'BOM2017'!C:C,0)),INDEX('BOM2017'!H:H,MATCH(Wiki!B98,'BOM2017'!D:D,0)))</f>
        <v>$13,684</v>
      </c>
      <c r="J98" s="1" t="str">
        <f t="shared" si="4"/>
        <v>https://en.wikipedia.org/wiki/My_Entire_High_School_Sinking_Into_the_Sea</v>
      </c>
      <c r="K98" s="11" t="str">
        <f t="shared" si="7"/>
        <v>My_Entire_High_School_Sinking_Into_the_Sea</v>
      </c>
      <c r="L98" s="1" t="str">
        <f t="shared" si="5"/>
        <v>My_Entire_High_School_Sinking_Into_the_Sea</v>
      </c>
      <c r="M98" s="1" t="b">
        <f t="shared" si="6"/>
        <v>1</v>
      </c>
    </row>
    <row r="99" spans="2:13" x14ac:dyDescent="0.2">
      <c r="B99" s="3" t="s">
        <v>400</v>
      </c>
      <c r="C99" s="3" t="s">
        <v>214</v>
      </c>
      <c r="D99" s="3" t="s">
        <v>401</v>
      </c>
      <c r="E99" s="15" t="s">
        <v>402</v>
      </c>
      <c r="F99" s="15" t="s">
        <v>151</v>
      </c>
      <c r="G99" s="15" t="str">
        <f>IFERROR(INDEX('BOM2017'!F:F,MATCH(Wiki!B99,'BOM2017'!C:C,0)),INDEX('BOM2017'!F:F,MATCH(Wiki!B99,'BOM2017'!D:D,0)))</f>
        <v>$48,198</v>
      </c>
      <c r="H99" s="15" t="str">
        <f>IFERROR(INDEX('BOM2017'!H:H,MATCH(Wiki!B99,'BOM2017'!C:C,0)),INDEX('BOM2017'!H:H,MATCH(Wiki!B99,'BOM2017'!D:D,0)))</f>
        <v>$10,865</v>
      </c>
      <c r="I99" s="16" t="str">
        <f>IFERROR(INDEX('BOM2017'!H:H,MATCH(Wiki!B99,'BOM2017'!C:C,0)),INDEX('BOM2017'!H:H,MATCH(Wiki!B99,'BOM2017'!D:D,0)))</f>
        <v>$10,865</v>
      </c>
      <c r="J99" s="1" t="str">
        <f t="shared" si="4"/>
        <v>https://en.wikipedia.org/wiki/Napping_Princess</v>
      </c>
      <c r="K99" s="11" t="str">
        <f t="shared" si="7"/>
        <v>Napping_Princess</v>
      </c>
      <c r="L99" s="1" t="str">
        <f t="shared" si="5"/>
        <v>Napping_Princess</v>
      </c>
      <c r="M99" s="1" t="b">
        <f t="shared" si="6"/>
        <v>1</v>
      </c>
    </row>
    <row r="100" spans="2:13" x14ac:dyDescent="0.2">
      <c r="B100" s="3" t="s">
        <v>217</v>
      </c>
      <c r="C100" s="3" t="s">
        <v>46</v>
      </c>
      <c r="D100" s="14" t="s">
        <v>2876</v>
      </c>
      <c r="E100" s="15" t="s">
        <v>24</v>
      </c>
      <c r="F100" s="15" t="s">
        <v>218</v>
      </c>
      <c r="G100" s="15" t="str">
        <f>IFERROR(INDEX('BOM2017'!F:F,MATCH(Wiki!B100,'BOM2017'!C:C,0)),INDEX('BOM2017'!F:F,MATCH(Wiki!B100,'BOM2017'!D:D,0)))</f>
        <v>$3,814,868</v>
      </c>
      <c r="H100" s="15" t="str">
        <f>IFERROR(INDEX('BOM2017'!H:H,MATCH(Wiki!B100,'BOM2017'!C:C,0)),INDEX('BOM2017'!H:H,MATCH(Wiki!B100,'BOM2017'!D:D,0)))</f>
        <v>$99,211</v>
      </c>
      <c r="I100" s="16" t="str">
        <f>IFERROR(INDEX('BOM2017'!H:H,MATCH(Wiki!B100,'BOM2017'!C:C,0)),INDEX('BOM2017'!H:H,MATCH(Wiki!B100,'BOM2017'!D:D,0)))</f>
        <v>$99,211</v>
      </c>
      <c r="J100" s="1" t="str">
        <f t="shared" si="4"/>
        <v>https://en.wikipedia.org/wiki/Norman:_The_Moderate_Rise_and_Tragic_Fall_of_a_New_York_Fixer</v>
      </c>
      <c r="K100" s="11" t="str">
        <f t="shared" si="7"/>
        <v>Norman:_The_Moderate_Rise_and_Tragic_Fall_of_a_New_York_Fixer</v>
      </c>
      <c r="L100" s="1" t="str">
        <f t="shared" si="5"/>
        <v>Norman:_The_Moderate_Rise_and_Tragic_Fall_of_a_New_York_Fixer</v>
      </c>
      <c r="M100" s="1" t="b">
        <f t="shared" si="6"/>
        <v>1</v>
      </c>
    </row>
    <row r="101" spans="2:13" x14ac:dyDescent="0.2">
      <c r="B101" s="3" t="s">
        <v>483</v>
      </c>
      <c r="C101" s="3" t="s">
        <v>46</v>
      </c>
      <c r="D101" s="14" t="s">
        <v>2877</v>
      </c>
      <c r="E101" s="15" t="s">
        <v>24</v>
      </c>
      <c r="F101" s="15" t="s">
        <v>6</v>
      </c>
      <c r="G101" s="15" t="str">
        <f>IFERROR(INDEX('BOM2017'!F:F,MATCH(Wiki!B101,'BOM2017'!C:C,0)),INDEX('BOM2017'!F:F,MATCH(Wiki!B101,'BOM2017'!D:D,0)))</f>
        <v>$574,809</v>
      </c>
      <c r="H101" s="15" t="str">
        <f>IFERROR(INDEX('BOM2017'!H:H,MATCH(Wiki!B101,'BOM2017'!C:C,0)),INDEX('BOM2017'!H:H,MATCH(Wiki!B101,'BOM2017'!D:D,0)))</f>
        <v>$22,724</v>
      </c>
      <c r="I101" s="16" t="str">
        <f>IFERROR(INDEX('BOM2017'!H:H,MATCH(Wiki!B101,'BOM2017'!C:C,0)),INDEX('BOM2017'!H:H,MATCH(Wiki!B101,'BOM2017'!D:D,0)))</f>
        <v>$22,724</v>
      </c>
      <c r="J101" s="1" t="str">
        <f t="shared" si="4"/>
        <v>https://en.wikipedia.org/wiki/Novitiate_(film)</v>
      </c>
      <c r="K101" s="11" t="str">
        <f t="shared" si="7"/>
        <v>Novitiate_(film)</v>
      </c>
      <c r="L101" s="1" t="str">
        <f t="shared" si="5"/>
        <v>Novitiate</v>
      </c>
      <c r="M101" s="1" t="b">
        <f t="shared" si="6"/>
        <v>0</v>
      </c>
    </row>
    <row r="102" spans="2:13" x14ac:dyDescent="0.2">
      <c r="B102" s="3" t="s">
        <v>466</v>
      </c>
      <c r="C102" s="3" t="s">
        <v>299</v>
      </c>
      <c r="D102" s="14" t="s">
        <v>2878</v>
      </c>
      <c r="E102" s="15" t="s">
        <v>467</v>
      </c>
      <c r="F102" s="15" t="s">
        <v>6</v>
      </c>
      <c r="G102" s="15" t="str">
        <f>IFERROR(INDEX('BOM2017'!F:F,MATCH(Wiki!B102,'BOM2017'!C:C,0)),INDEX('BOM2017'!F:F,MATCH(Wiki!B102,'BOM2017'!D:D,0)))</f>
        <v>$18,324,258</v>
      </c>
      <c r="H102" s="15" t="str">
        <f>IFERROR(INDEX('BOM2017'!H:H,MATCH(Wiki!B102,'BOM2017'!C:C,0)),INDEX('BOM2017'!H:H,MATCH(Wiki!B102,'BOM2017'!D:D,0)))</f>
        <v>$6,002,665</v>
      </c>
      <c r="I102" s="16" t="str">
        <f>IFERROR(INDEX('BOM2017'!H:H,MATCH(Wiki!B102,'BOM2017'!C:C,0)),INDEX('BOM2017'!H:H,MATCH(Wiki!B102,'BOM2017'!D:D,0)))</f>
        <v>$6,002,665</v>
      </c>
      <c r="J102" s="1" t="str">
        <f t="shared" si="4"/>
        <v>https://en.wikipedia.org/wiki/Only_the_Brave_(2017_film)</v>
      </c>
      <c r="K102" s="11" t="str">
        <f t="shared" si="7"/>
        <v>Only_the_Brave_(2017_film)</v>
      </c>
      <c r="L102" s="1" t="str">
        <f t="shared" si="5"/>
        <v>Only_the_Brave</v>
      </c>
      <c r="M102" s="1" t="b">
        <f t="shared" si="6"/>
        <v>0</v>
      </c>
    </row>
    <row r="103" spans="2:13" x14ac:dyDescent="0.2">
      <c r="B103" s="3" t="s">
        <v>447</v>
      </c>
      <c r="C103" s="3" t="s">
        <v>448</v>
      </c>
      <c r="D103" s="3" t="s">
        <v>449</v>
      </c>
      <c r="E103" s="15" t="s">
        <v>450</v>
      </c>
      <c r="F103" s="15" t="s">
        <v>451</v>
      </c>
      <c r="G103" s="15" t="e">
        <f>IFERROR(INDEX('BOM2017'!F:F,MATCH(Wiki!B103,'BOM2017'!C:C,0)),INDEX('BOM2017'!F:F,MATCH(Wiki!B103,'BOM2017'!D:D,0)))</f>
        <v>#N/A</v>
      </c>
      <c r="H103" s="15" t="e">
        <f>IFERROR(INDEX('BOM2017'!H:H,MATCH(Wiki!B103,'BOM2017'!C:C,0)),INDEX('BOM2017'!H:H,MATCH(Wiki!B103,'BOM2017'!D:D,0)))</f>
        <v>#N/A</v>
      </c>
      <c r="I103" s="16" t="e">
        <f>IFERROR(INDEX('BOM2017'!H:H,MATCH(Wiki!B103,'BOM2017'!C:C,0)),INDEX('BOM2017'!H:H,MATCH(Wiki!B103,'BOM2017'!D:D,0)))</f>
        <v>#N/A</v>
      </c>
      <c r="J103" s="1" t="str">
        <f t="shared" si="4"/>
        <v>https://en.wikipedia.org/wiki/Outrage_Coda</v>
      </c>
      <c r="K103" s="11" t="str">
        <f t="shared" si="7"/>
        <v>Outrage_Coda</v>
      </c>
      <c r="L103" s="1" t="str">
        <f t="shared" si="5"/>
        <v>Outrage_Coda</v>
      </c>
      <c r="M103" s="1" t="b">
        <f t="shared" si="6"/>
        <v>1</v>
      </c>
    </row>
    <row r="104" spans="2:13" x14ac:dyDescent="0.2">
      <c r="B104" s="3" t="s">
        <v>260</v>
      </c>
      <c r="C104" s="3" t="s">
        <v>46</v>
      </c>
      <c r="D104" s="14" t="s">
        <v>2879</v>
      </c>
      <c r="E104" s="15" t="s">
        <v>247</v>
      </c>
      <c r="F104" s="15" t="s">
        <v>40</v>
      </c>
      <c r="G104" s="15" t="str">
        <f>IFERROR(INDEX('BOM2017'!F:F,MATCH(Wiki!B104,'BOM2017'!C:C,0)),INDEX('BOM2017'!F:F,MATCH(Wiki!B104,'BOM2017'!D:D,0)))</f>
        <v>$5,617,731</v>
      </c>
      <c r="H104" s="15" t="str">
        <f>IFERROR(INDEX('BOM2017'!H:H,MATCH(Wiki!B104,'BOM2017'!C:C,0)),INDEX('BOM2017'!H:H,MATCH(Wiki!B104,'BOM2017'!D:D,0)))</f>
        <v>$98,850</v>
      </c>
      <c r="I104" s="16" t="str">
        <f>IFERROR(INDEX('BOM2017'!H:H,MATCH(Wiki!B104,'BOM2017'!C:C,0)),INDEX('BOM2017'!H:H,MATCH(Wiki!B104,'BOM2017'!D:D,0)))</f>
        <v>$98,850</v>
      </c>
      <c r="J104" s="1" t="str">
        <f t="shared" si="4"/>
        <v>https://en.wikipedia.org/wiki/Paris_Can_Wait</v>
      </c>
      <c r="K104" s="11" t="str">
        <f t="shared" si="7"/>
        <v>Paris_Can_Wait</v>
      </c>
      <c r="L104" s="1" t="str">
        <f t="shared" si="5"/>
        <v>Paris_Can_Wait</v>
      </c>
      <c r="M104" s="1" t="b">
        <f t="shared" si="6"/>
        <v>1</v>
      </c>
    </row>
    <row r="105" spans="2:13" x14ac:dyDescent="0.2">
      <c r="B105" s="3" t="s">
        <v>368</v>
      </c>
      <c r="C105" s="3" t="s">
        <v>97</v>
      </c>
      <c r="D105" s="15" t="s">
        <v>2880</v>
      </c>
      <c r="E105" s="15" t="s">
        <v>24</v>
      </c>
      <c r="F105" s="15" t="s">
        <v>6</v>
      </c>
      <c r="G105" s="15" t="str">
        <f>IFERROR(INDEX('BOM2017'!F:F,MATCH(Wiki!B105,'BOM2017'!C:C,0)),INDEX('BOM2017'!F:F,MATCH(Wiki!B105,'BOM2017'!D:D,0)))</f>
        <v>$800,148</v>
      </c>
      <c r="H105" s="15" t="str">
        <f>IFERROR(INDEX('BOM2017'!H:H,MATCH(Wiki!B105,'BOM2017'!C:C,0)),INDEX('BOM2017'!H:H,MATCH(Wiki!B105,'BOM2017'!D:D,0)))</f>
        <v>$67,599</v>
      </c>
      <c r="I105" s="16" t="str">
        <f>IFERROR(INDEX('BOM2017'!H:H,MATCH(Wiki!B105,'BOM2017'!C:C,0)),INDEX('BOM2017'!H:H,MATCH(Wiki!B105,'BOM2017'!D:D,0)))</f>
        <v>$67,599</v>
      </c>
      <c r="J105" s="1" t="str">
        <f t="shared" si="4"/>
        <v>https://en.wikipedia.org/wiki/Patti_Cake$</v>
      </c>
      <c r="K105" s="11" t="str">
        <f t="shared" si="7"/>
        <v>Patti_Cake$</v>
      </c>
      <c r="L105" s="1" t="str">
        <f t="shared" si="5"/>
        <v>Patti_Cake$</v>
      </c>
      <c r="M105" s="1" t="b">
        <f t="shared" si="6"/>
        <v>1</v>
      </c>
    </row>
    <row r="106" spans="2:13" x14ac:dyDescent="0.2">
      <c r="B106" s="17" t="s">
        <v>535</v>
      </c>
      <c r="C106" s="3" t="s">
        <v>42</v>
      </c>
      <c r="D106" s="14" t="s">
        <v>2881</v>
      </c>
      <c r="E106" s="15" t="s">
        <v>91</v>
      </c>
      <c r="F106" s="15" t="s">
        <v>6</v>
      </c>
      <c r="G106" s="15" t="str">
        <f>IFERROR(INDEX('BOM2017'!F:F,MATCH(Wiki!B106,'BOM2017'!C:C,0)),INDEX('BOM2017'!F:F,MATCH(Wiki!B106,'BOM2017'!D:D,0)))</f>
        <v>$12,847</v>
      </c>
      <c r="H106" s="15" t="str">
        <f>IFERROR(INDEX('BOM2017'!H:H,MATCH(Wiki!B106,'BOM2017'!C:C,0)),INDEX('BOM2017'!H:H,MATCH(Wiki!B106,'BOM2017'!D:D,0)))</f>
        <v>$5,722</v>
      </c>
      <c r="I106" s="16" t="str">
        <f>IFERROR(INDEX('BOM2017'!H:H,MATCH(Wiki!B106,'BOM2017'!C:C,0)),INDEX('BOM2017'!H:H,MATCH(Wiki!B106,'BOM2017'!D:D,0)))</f>
        <v>$5,722</v>
      </c>
      <c r="J106" s="1" t="e">
        <f t="shared" si="4"/>
        <v>#VALUE!</v>
      </c>
      <c r="K106" s="11" t="e">
        <f t="shared" si="7"/>
        <v>#VALUE!</v>
      </c>
      <c r="L106" s="1" t="str">
        <f t="shared" si="5"/>
        <v>Permanent</v>
      </c>
      <c r="M106" s="1" t="e">
        <f t="shared" si="6"/>
        <v>#VALUE!</v>
      </c>
    </row>
    <row r="107" spans="2:13" x14ac:dyDescent="0.2">
      <c r="B107" s="3" t="s">
        <v>156</v>
      </c>
      <c r="C107" s="3" t="s">
        <v>10</v>
      </c>
      <c r="D107" s="14" t="s">
        <v>2882</v>
      </c>
      <c r="E107" s="15" t="s">
        <v>29</v>
      </c>
      <c r="F107" s="15" t="s">
        <v>157</v>
      </c>
      <c r="G107" s="15" t="str">
        <f>IFERROR(INDEX('BOM2017'!F:F,MATCH(Wiki!B107,'BOM2017'!C:C,0)),INDEX('BOM2017'!F:F,MATCH(Wiki!B107,'BOM2017'!D:D,0)))</f>
        <v>$1,305,195</v>
      </c>
      <c r="H107" s="15" t="str">
        <f>IFERROR(INDEX('BOM2017'!H:H,MATCH(Wiki!B107,'BOM2017'!C:C,0)),INDEX('BOM2017'!H:H,MATCH(Wiki!B107,'BOM2017'!D:D,0)))</f>
        <v>$79,175</v>
      </c>
      <c r="I107" s="16" t="str">
        <f>IFERROR(INDEX('BOM2017'!H:H,MATCH(Wiki!B107,'BOM2017'!C:C,0)),INDEX('BOM2017'!H:H,MATCH(Wiki!B107,'BOM2017'!D:D,0)))</f>
        <v>$79,175</v>
      </c>
      <c r="J107" s="1" t="str">
        <f t="shared" si="4"/>
        <v>https://en.wikipedia.org/wiki/Personal_Shopper</v>
      </c>
      <c r="K107" s="11" t="str">
        <f t="shared" si="7"/>
        <v>Personal_Shopper</v>
      </c>
      <c r="L107" s="1" t="str">
        <f t="shared" si="5"/>
        <v>Personal_Shopper</v>
      </c>
      <c r="M107" s="1" t="b">
        <f t="shared" si="6"/>
        <v>1</v>
      </c>
    </row>
    <row r="108" spans="2:13" x14ac:dyDescent="0.2">
      <c r="B108" s="3" t="s">
        <v>229</v>
      </c>
      <c r="C108" s="3" t="s">
        <v>230</v>
      </c>
      <c r="D108" s="15" t="s">
        <v>231</v>
      </c>
      <c r="E108" s="15" t="s">
        <v>232</v>
      </c>
      <c r="F108" s="15" t="s">
        <v>6</v>
      </c>
      <c r="G108" s="15" t="str">
        <f>IFERROR(INDEX('BOM2017'!F:F,MATCH(Wiki!B108,'BOM2017'!C:C,0)),INDEX('BOM2017'!F:F,MATCH(Wiki!B108,'BOM2017'!D:D,0)))</f>
        <v>$3,600,146</v>
      </c>
      <c r="H108" s="15" t="str">
        <f>IFERROR(INDEX('BOM2017'!H:H,MATCH(Wiki!B108,'BOM2017'!C:C,0)),INDEX('BOM2017'!H:H,MATCH(Wiki!B108,'BOM2017'!D:D,0)))</f>
        <v>$1,816,499</v>
      </c>
      <c r="I108" s="16" t="str">
        <f>IFERROR(INDEX('BOM2017'!H:H,MATCH(Wiki!B108,'BOM2017'!C:C,0)),INDEX('BOM2017'!H:H,MATCH(Wiki!B108,'BOM2017'!D:D,0)))</f>
        <v>$1,816,499</v>
      </c>
      <c r="J108" s="1" t="str">
        <f t="shared" si="4"/>
        <v>https://en.wikipedia.org/wiki/Phoenix_Forgotten</v>
      </c>
      <c r="K108" s="11" t="str">
        <f t="shared" si="7"/>
        <v>Phoenix_Forgotten</v>
      </c>
      <c r="L108" s="1" t="str">
        <f t="shared" si="5"/>
        <v>Phoenix_Forgotten</v>
      </c>
      <c r="M108" s="1" t="b">
        <f t="shared" si="6"/>
        <v>1</v>
      </c>
    </row>
    <row r="109" spans="2:13" x14ac:dyDescent="0.2">
      <c r="B109" s="3" t="s">
        <v>459</v>
      </c>
      <c r="C109" s="3" t="s">
        <v>344</v>
      </c>
      <c r="D109" s="14" t="s">
        <v>2883</v>
      </c>
      <c r="E109" s="15" t="s">
        <v>67</v>
      </c>
      <c r="F109" s="15" t="s">
        <v>6</v>
      </c>
      <c r="G109" s="15" t="e">
        <f>IFERROR(INDEX('BOM2017'!F:F,MATCH(Wiki!B109,'BOM2017'!C:C,0)),INDEX('BOM2017'!F:F,MATCH(Wiki!B109,'BOM2017'!D:D,0)))</f>
        <v>#N/A</v>
      </c>
      <c r="H109" s="15" t="e">
        <f>IFERROR(INDEX('BOM2017'!H:H,MATCH(Wiki!B109,'BOM2017'!C:C,0)),INDEX('BOM2017'!H:H,MATCH(Wiki!B109,'BOM2017'!D:D,0)))</f>
        <v>#N/A</v>
      </c>
      <c r="I109" s="16" t="e">
        <f>IFERROR(INDEX('BOM2017'!H:H,MATCH(Wiki!B109,'BOM2017'!C:C,0)),INDEX('BOM2017'!H:H,MATCH(Wiki!B109,'BOM2017'!D:D,0)))</f>
        <v>#N/A</v>
      </c>
      <c r="J109" s="1" t="str">
        <f t="shared" si="4"/>
        <v>https://en.wikipedia.org/wiki/Professor_Marston_and_the_Wonder_Women</v>
      </c>
      <c r="K109" s="11" t="str">
        <f t="shared" si="7"/>
        <v>Professor_Marston_and_the_Wonder_Women</v>
      </c>
      <c r="L109" s="1" t="str">
        <f t="shared" si="5"/>
        <v>Professor_Marston_and_the_Wonder_Women</v>
      </c>
      <c r="M109" s="1" t="b">
        <f t="shared" si="6"/>
        <v>1</v>
      </c>
    </row>
    <row r="110" spans="2:13" x14ac:dyDescent="0.2">
      <c r="B110" s="3" t="s">
        <v>12</v>
      </c>
      <c r="C110" s="15" t="s">
        <v>13</v>
      </c>
      <c r="D110" s="14" t="s">
        <v>2884</v>
      </c>
      <c r="E110" s="15" t="s">
        <v>14</v>
      </c>
      <c r="F110" s="3" t="s">
        <v>15</v>
      </c>
      <c r="G110" s="15" t="str">
        <f>IFERROR(INDEX('BOM2017'!F:F,MATCH(Wiki!B110,'BOM2017'!C:C,0)),INDEX('BOM2017'!F:F,MATCH(Wiki!B110,'BOM2017'!D:D,0)))</f>
        <v>$218,044</v>
      </c>
      <c r="H110" s="15" t="str">
        <f>IFERROR(INDEX('BOM2017'!H:H,MATCH(Wiki!B110,'BOM2017'!C:C,0)),INDEX('BOM2017'!H:H,MATCH(Wiki!B110,'BOM2017'!D:D,0)))</f>
        <v>$116,211</v>
      </c>
      <c r="I110" s="16" t="str">
        <f>IFERROR(INDEX('BOM2017'!H:H,MATCH(Wiki!B110,'BOM2017'!C:C,0)),INDEX('BOM2017'!H:H,MATCH(Wiki!B110,'BOM2017'!D:D,0)))</f>
        <v>$116,211</v>
      </c>
      <c r="J110" s="1" t="str">
        <f t="shared" si="4"/>
        <v>https://en.wikipedia.org/wiki/Railroad_Tigers</v>
      </c>
      <c r="K110" s="11" t="str">
        <f t="shared" si="7"/>
        <v>Railroad_Tigers</v>
      </c>
      <c r="L110" s="1" t="str">
        <f t="shared" si="5"/>
        <v>Railroad_Tigers</v>
      </c>
      <c r="M110" s="1" t="b">
        <f t="shared" si="6"/>
        <v>1</v>
      </c>
    </row>
    <row r="111" spans="2:13" x14ac:dyDescent="0.2">
      <c r="B111" s="3" t="s">
        <v>153</v>
      </c>
      <c r="C111" s="3" t="s">
        <v>154</v>
      </c>
      <c r="D111" s="14" t="s">
        <v>2885</v>
      </c>
      <c r="E111" s="15" t="s">
        <v>19</v>
      </c>
      <c r="F111" s="15" t="s">
        <v>155</v>
      </c>
      <c r="G111" s="15" t="str">
        <f>IFERROR(INDEX('BOM2017'!F:F,MATCH(Wiki!B111,'BOM2017'!C:C,0)),INDEX('BOM2017'!F:F,MATCH(Wiki!B111,'BOM2017'!D:D,0)))</f>
        <v>$514,870</v>
      </c>
      <c r="H111" s="15" t="str">
        <f>IFERROR(INDEX('BOM2017'!H:H,MATCH(Wiki!B111,'BOM2017'!C:C,0)),INDEX('BOM2017'!H:H,MATCH(Wiki!B111,'BOM2017'!D:D,0)))</f>
        <v>$24,825</v>
      </c>
      <c r="I111" s="16" t="str">
        <f>IFERROR(INDEX('BOM2017'!H:H,MATCH(Wiki!B111,'BOM2017'!C:C,0)),INDEX('BOM2017'!H:H,MATCH(Wiki!B111,'BOM2017'!D:D,0)))</f>
        <v>$24,825</v>
      </c>
      <c r="J111" s="1" t="str">
        <f t="shared" si="4"/>
        <v>https://en.wikipedia.org/wiki/Raw_(film)</v>
      </c>
      <c r="K111" s="11" t="str">
        <f t="shared" si="7"/>
        <v>Raw_(film)</v>
      </c>
      <c r="L111" s="1" t="str">
        <f t="shared" si="5"/>
        <v>Raw</v>
      </c>
      <c r="M111" s="1" t="b">
        <f t="shared" si="6"/>
        <v>0</v>
      </c>
    </row>
    <row r="112" spans="2:13" x14ac:dyDescent="0.2">
      <c r="B112" s="3" t="s">
        <v>59</v>
      </c>
      <c r="C112" s="14" t="s">
        <v>2886</v>
      </c>
      <c r="D112" s="14" t="s">
        <v>2887</v>
      </c>
      <c r="E112" s="15" t="s">
        <v>60</v>
      </c>
      <c r="F112" s="15" t="s">
        <v>6</v>
      </c>
      <c r="G112" s="15" t="str">
        <f>IFERROR(INDEX('BOM2017'!F:F,MATCH(Wiki!B112,'BOM2017'!C:C,0)),INDEX('BOM2017'!F:F,MATCH(Wiki!B112,'BOM2017'!D:D,0)))</f>
        <v>$26,830,068</v>
      </c>
      <c r="H112" s="15" t="str">
        <f>IFERROR(INDEX('BOM2017'!H:H,MATCH(Wiki!B112,'BOM2017'!C:C,0)),INDEX('BOM2017'!H:H,MATCH(Wiki!B112,'BOM2017'!D:D,0)))</f>
        <v>$13,601,682</v>
      </c>
      <c r="I112" s="16" t="str">
        <f>IFERROR(INDEX('BOM2017'!H:H,MATCH(Wiki!B112,'BOM2017'!C:C,0)),INDEX('BOM2017'!H:H,MATCH(Wiki!B112,'BOM2017'!D:D,0)))</f>
        <v>$13,601,682</v>
      </c>
      <c r="J112" s="1" t="str">
        <f t="shared" si="4"/>
        <v>https://en.wikipedia.org/wiki/Resident_Evil:_The_Final_Chapter</v>
      </c>
      <c r="K112" s="11" t="str">
        <f t="shared" si="7"/>
        <v>Resident_Evil:_The_Final_Chapter</v>
      </c>
      <c r="L112" s="1" t="str">
        <f t="shared" si="5"/>
        <v>Resident_Evil:_The_Final_Chapter</v>
      </c>
      <c r="M112" s="1" t="b">
        <f t="shared" si="6"/>
        <v>1</v>
      </c>
    </row>
    <row r="113" spans="2:13" x14ac:dyDescent="0.2">
      <c r="B113" s="3" t="s">
        <v>511</v>
      </c>
      <c r="C113" s="14" t="s">
        <v>2888</v>
      </c>
      <c r="D113" s="14" t="s">
        <v>2889</v>
      </c>
      <c r="E113" s="15" t="s">
        <v>24</v>
      </c>
      <c r="F113" s="15" t="s">
        <v>6</v>
      </c>
      <c r="G113" s="15" t="str">
        <f>IFERROR(INDEX('BOM2017'!F:F,MATCH(Wiki!B113,'BOM2017'!C:C,0)),INDEX('BOM2017'!F:F,MATCH(Wiki!B113,'BOM2017'!D:D,0)))</f>
        <v>$11,921,413</v>
      </c>
      <c r="H113" s="15" t="str">
        <f>IFERROR(INDEX('BOM2017'!H:H,MATCH(Wiki!B113,'BOM2017'!C:C,0)),INDEX('BOM2017'!H:H,MATCH(Wiki!B113,'BOM2017'!D:D,0)))</f>
        <v>$61,999</v>
      </c>
      <c r="I113" s="16" t="str">
        <f>IFERROR(INDEX('BOM2017'!H:H,MATCH(Wiki!B113,'BOM2017'!C:C,0)),INDEX('BOM2017'!H:H,MATCH(Wiki!B113,'BOM2017'!D:D,0)))</f>
        <v>$61,999</v>
      </c>
      <c r="J113" s="1" t="str">
        <f t="shared" si="4"/>
        <v>https://en.wikipedia.org/wiki/Roman_J._Israel,_Esq.</v>
      </c>
      <c r="K113" s="11" t="str">
        <f t="shared" si="7"/>
        <v>Roman_J._Israel,_Esq.</v>
      </c>
      <c r="L113" s="1" t="str">
        <f t="shared" si="5"/>
        <v>Roman_J._Israel,_Esq.</v>
      </c>
      <c r="M113" s="1" t="b">
        <f t="shared" si="6"/>
        <v>1</v>
      </c>
    </row>
    <row r="114" spans="2:13" x14ac:dyDescent="0.2">
      <c r="B114" s="3" t="s">
        <v>470</v>
      </c>
      <c r="C114" s="14" t="s">
        <v>2890</v>
      </c>
      <c r="D114" s="15" t="s">
        <v>2891</v>
      </c>
      <c r="E114" s="15" t="s">
        <v>24</v>
      </c>
      <c r="F114" s="15" t="s">
        <v>6</v>
      </c>
      <c r="G114" s="15" t="str">
        <f>IFERROR(INDEX('BOM2017'!F:F,MATCH(Wiki!B114,'BOM2017'!C:C,0)),INDEX('BOM2017'!F:F,MATCH(Wiki!B114,'BOM2017'!D:D,0)))</f>
        <v>$6,421,798</v>
      </c>
      <c r="H114" s="15" t="str">
        <f>IFERROR(INDEX('BOM2017'!H:H,MATCH(Wiki!B114,'BOM2017'!C:C,0)),INDEX('BOM2017'!H:H,MATCH(Wiki!B114,'BOM2017'!D:D,0)))</f>
        <v>$2,591,985</v>
      </c>
      <c r="I114" s="16" t="str">
        <f>IFERROR(INDEX('BOM2017'!H:H,MATCH(Wiki!B114,'BOM2017'!C:C,0)),INDEX('BOM2017'!H:H,MATCH(Wiki!B114,'BOM2017'!D:D,0)))</f>
        <v>$2,591,985</v>
      </c>
      <c r="J114" s="1" t="str">
        <f t="shared" si="4"/>
        <v>https://en.wikipedia.org/wiki/Same_Kind_of_Different_as_Me_(film)</v>
      </c>
      <c r="K114" s="11" t="str">
        <f t="shared" si="7"/>
        <v>Same_Kind_of_Different_as_Me_(film)</v>
      </c>
      <c r="L114" s="1" t="str">
        <f t="shared" si="5"/>
        <v>Same_Kind_of_Different_as_Me</v>
      </c>
      <c r="M114" s="1" t="b">
        <f t="shared" si="6"/>
        <v>0</v>
      </c>
    </row>
    <row r="115" spans="2:13" x14ac:dyDescent="0.2">
      <c r="B115" s="17" t="s">
        <v>373</v>
      </c>
      <c r="C115" s="3" t="s">
        <v>302</v>
      </c>
      <c r="D115" s="15" t="s">
        <v>374</v>
      </c>
      <c r="E115" s="15" t="s">
        <v>85</v>
      </c>
      <c r="F115" s="15" t="s">
        <v>6</v>
      </c>
      <c r="G115" s="15" t="str">
        <f>IFERROR(INDEX('BOM2017'!F:F,MATCH(Wiki!B115,'BOM2017'!C:C,0)),INDEX('BOM2017'!F:F,MATCH(Wiki!B115,'BOM2017'!D:D,0)))</f>
        <v>$8,290</v>
      </c>
      <c r="H115" s="15" t="str">
        <f>IFERROR(INDEX('BOM2017'!H:H,MATCH(Wiki!B115,'BOM2017'!C:C,0)),INDEX('BOM2017'!H:H,MATCH(Wiki!B115,'BOM2017'!D:D,0)))</f>
        <v>$1,844</v>
      </c>
      <c r="I115" s="16" t="str">
        <f>IFERROR(INDEX('BOM2017'!H:H,MATCH(Wiki!B115,'BOM2017'!C:C,0)),INDEX('BOM2017'!H:H,MATCH(Wiki!B115,'BOM2017'!D:D,0)))</f>
        <v>$1,844</v>
      </c>
      <c r="J115" s="1" t="e">
        <f t="shared" si="4"/>
        <v>#VALUE!</v>
      </c>
      <c r="K115" s="11" t="e">
        <f t="shared" si="7"/>
        <v>#VALUE!</v>
      </c>
      <c r="L115" s="1" t="str">
        <f t="shared" si="5"/>
        <v>Served_Like_A_Girl</v>
      </c>
      <c r="M115" s="1" t="e">
        <f t="shared" si="6"/>
        <v>#VALUE!</v>
      </c>
    </row>
    <row r="116" spans="2:13" x14ac:dyDescent="0.2">
      <c r="B116" s="3" t="s">
        <v>20</v>
      </c>
      <c r="C116" s="14" t="s">
        <v>2892</v>
      </c>
      <c r="D116" s="14" t="s">
        <v>2893</v>
      </c>
      <c r="E116" s="15" t="s">
        <v>21</v>
      </c>
      <c r="F116" s="15" t="s">
        <v>6</v>
      </c>
      <c r="G116" s="15" t="str">
        <f>IFERROR(INDEX('BOM2017'!F:F,MATCH(Wiki!B116,'BOM2017'!C:C,0)),INDEX('BOM2017'!F:F,MATCH(Wiki!B116,'BOM2017'!D:D,0)))</f>
        <v>$20,783,704</v>
      </c>
      <c r="H116" s="15" t="str">
        <f>IFERROR(INDEX('BOM2017'!H:H,MATCH(Wiki!B116,'BOM2017'!C:C,0)),INDEX('BOM2017'!H:H,MATCH(Wiki!B116,'BOM2017'!D:D,0)))</f>
        <v>$8,344,128</v>
      </c>
      <c r="I116" s="16" t="str">
        <f>IFERROR(INDEX('BOM2017'!H:H,MATCH(Wiki!B116,'BOM2017'!C:C,0)),INDEX('BOM2017'!H:H,MATCH(Wiki!B116,'BOM2017'!D:D,0)))</f>
        <v>$8,344,128</v>
      </c>
      <c r="J116" s="1" t="str">
        <f t="shared" si="4"/>
        <v>https://en.wikipedia.org/wiki/Sleepless_(2017_film)</v>
      </c>
      <c r="K116" s="11" t="str">
        <f t="shared" si="7"/>
        <v>Sleepless_(2017_film)</v>
      </c>
      <c r="L116" s="1" t="str">
        <f t="shared" si="5"/>
        <v>Sleepless</v>
      </c>
      <c r="M116" s="1" t="b">
        <f t="shared" si="6"/>
        <v>0</v>
      </c>
    </row>
    <row r="117" spans="2:13" x14ac:dyDescent="0.2">
      <c r="B117" s="3" t="s">
        <v>240</v>
      </c>
      <c r="C117" s="14" t="s">
        <v>2894</v>
      </c>
      <c r="D117" s="15" t="s">
        <v>2895</v>
      </c>
      <c r="E117" s="15" t="s">
        <v>241</v>
      </c>
      <c r="F117" s="15" t="s">
        <v>6</v>
      </c>
      <c r="G117" s="15" t="str">
        <f>IFERROR(INDEX('BOM2017'!F:F,MATCH(Wiki!B117,'BOM2017'!C:C,0)),INDEX('BOM2017'!F:F,MATCH(Wiki!B117,'BOM2017'!D:D,0)))</f>
        <v>$3,986,245</v>
      </c>
      <c r="H117" s="15" t="str">
        <f>IFERROR(INDEX('BOM2017'!H:H,MATCH(Wiki!B117,'BOM2017'!C:C,0)),INDEX('BOM2017'!H:H,MATCH(Wiki!B117,'BOM2017'!D:D,0)))</f>
        <v>$1,701,785</v>
      </c>
      <c r="I117" s="16" t="str">
        <f>IFERROR(INDEX('BOM2017'!H:H,MATCH(Wiki!B117,'BOM2017'!C:C,0)),INDEX('BOM2017'!H:H,MATCH(Wiki!B117,'BOM2017'!D:D,0)))</f>
        <v>$1,701,785</v>
      </c>
      <c r="J117" s="1" t="str">
        <f t="shared" si="4"/>
        <v>https://en.wikipedia.org/wiki/Sleight</v>
      </c>
      <c r="K117" s="11" t="str">
        <f t="shared" si="7"/>
        <v>Sleight</v>
      </c>
      <c r="L117" s="1" t="str">
        <f t="shared" si="5"/>
        <v>Sleight</v>
      </c>
      <c r="M117" s="1" t="b">
        <f t="shared" si="6"/>
        <v>1</v>
      </c>
    </row>
    <row r="118" spans="2:13" x14ac:dyDescent="0.2">
      <c r="B118" s="3" t="s">
        <v>257</v>
      </c>
      <c r="C118" s="14" t="s">
        <v>2896</v>
      </c>
      <c r="D118" s="14" t="s">
        <v>2897</v>
      </c>
      <c r="E118" s="15" t="s">
        <v>91</v>
      </c>
      <c r="F118" s="15" t="s">
        <v>6</v>
      </c>
      <c r="G118" s="15" t="str">
        <f>IFERROR(INDEX('BOM2017'!F:F,MATCH(Wiki!B118,'BOM2017'!C:C,0)),INDEX('BOM2017'!F:F,MATCH(Wiki!B118,'BOM2017'!D:D,0)))</f>
        <v>$45,852,178</v>
      </c>
      <c r="H118" s="15" t="str">
        <f>IFERROR(INDEX('BOM2017'!H:H,MATCH(Wiki!B118,'BOM2017'!C:C,0)),INDEX('BOM2017'!H:H,MATCH(Wiki!B118,'BOM2017'!D:D,0)))</f>
        <v>$19,542,248</v>
      </c>
      <c r="I118" s="16" t="str">
        <f>IFERROR(INDEX('BOM2017'!H:H,MATCH(Wiki!B118,'BOM2017'!C:C,0)),INDEX('BOM2017'!H:H,MATCH(Wiki!B118,'BOM2017'!D:D,0)))</f>
        <v>$19,542,248</v>
      </c>
      <c r="J118" s="1" t="str">
        <f t="shared" si="4"/>
        <v>https://en.wikipedia.org/wiki/Snatched_(2017_film)</v>
      </c>
      <c r="K118" s="11" t="str">
        <f t="shared" si="7"/>
        <v>Snatched_(2017_film)</v>
      </c>
      <c r="L118" s="1" t="str">
        <f t="shared" si="5"/>
        <v>Snatched</v>
      </c>
      <c r="M118" s="1" t="b">
        <f t="shared" si="6"/>
        <v>0</v>
      </c>
    </row>
    <row r="119" spans="2:13" x14ac:dyDescent="0.2">
      <c r="B119" s="3" t="s">
        <v>167</v>
      </c>
      <c r="C119" s="3" t="s">
        <v>168</v>
      </c>
      <c r="D119" s="14" t="s">
        <v>2898</v>
      </c>
      <c r="E119" s="15" t="s">
        <v>56</v>
      </c>
      <c r="F119" s="15" t="s">
        <v>6</v>
      </c>
      <c r="G119" s="15" t="str">
        <f>IFERROR(INDEX('BOM2017'!F:F,MATCH(Wiki!B119,'BOM2017'!C:C,0)),INDEX('BOM2017'!F:F,MATCH(Wiki!B119,'BOM2017'!D:D,0)))</f>
        <v>$443,684</v>
      </c>
      <c r="H119" s="15" t="str">
        <f>IFERROR(INDEX('BOM2017'!H:H,MATCH(Wiki!B119,'BOM2017'!C:C,0)),INDEX('BOM2017'!H:H,MATCH(Wiki!B119,'BOM2017'!D:D,0)))</f>
        <v>$50,559</v>
      </c>
      <c r="I119" s="16" t="str">
        <f>IFERROR(INDEX('BOM2017'!H:H,MATCH(Wiki!B119,'BOM2017'!C:C,0)),INDEX('BOM2017'!H:H,MATCH(Wiki!B119,'BOM2017'!D:D,0)))</f>
        <v>$50,559</v>
      </c>
      <c r="J119" s="1" t="str">
        <f t="shared" si="4"/>
        <v>https://en.wikipedia.org/wiki/Song_to_Song</v>
      </c>
      <c r="K119" s="11" t="str">
        <f t="shared" si="7"/>
        <v>Song_to_Song</v>
      </c>
      <c r="L119" s="1" t="str">
        <f t="shared" si="5"/>
        <v>Song_to_Song</v>
      </c>
      <c r="M119" s="1" t="b">
        <f t="shared" si="6"/>
        <v>1</v>
      </c>
    </row>
    <row r="120" spans="2:13" x14ac:dyDescent="0.2">
      <c r="B120" s="3" t="s">
        <v>207</v>
      </c>
      <c r="C120" s="14" t="s">
        <v>2899</v>
      </c>
      <c r="D120" s="14" t="s">
        <v>2900</v>
      </c>
      <c r="E120" s="15" t="s">
        <v>208</v>
      </c>
      <c r="F120" s="3" t="s">
        <v>209</v>
      </c>
      <c r="G120" s="15" t="e">
        <f>IFERROR(INDEX('BOM2017'!F:F,MATCH(Wiki!B120,'BOM2017'!C:C,0)),INDEX('BOM2017'!F:F,MATCH(Wiki!B120,'BOM2017'!D:D,0)))</f>
        <v>#N/A</v>
      </c>
      <c r="H120" s="15" t="e">
        <f>IFERROR(INDEX('BOM2017'!H:H,MATCH(Wiki!B120,'BOM2017'!C:C,0)),INDEX('BOM2017'!H:H,MATCH(Wiki!B120,'BOM2017'!D:D,0)))</f>
        <v>#N/A</v>
      </c>
      <c r="I120" s="16" t="e">
        <f>IFERROR(INDEX('BOM2017'!H:H,MATCH(Wiki!B120,'BOM2017'!C:C,0)),INDEX('BOM2017'!H:H,MATCH(Wiki!B120,'BOM2017'!D:D,0)))</f>
        <v>#N/A</v>
      </c>
      <c r="J120" s="1" t="str">
        <f t="shared" si="4"/>
        <v>https://en.wikipedia.org/wiki/Spark_(2016_film)</v>
      </c>
      <c r="K120" s="11" t="str">
        <f t="shared" si="7"/>
        <v>Spark_(2016_film)</v>
      </c>
      <c r="L120" s="1" t="str">
        <f t="shared" si="5"/>
        <v>Spark</v>
      </c>
      <c r="M120" s="1" t="b">
        <f t="shared" si="6"/>
        <v>0</v>
      </c>
    </row>
    <row r="121" spans="2:13" x14ac:dyDescent="0.2">
      <c r="B121" s="3" t="s">
        <v>313</v>
      </c>
      <c r="C121" s="14" t="s">
        <v>2901</v>
      </c>
      <c r="D121" s="14" t="s">
        <v>2902</v>
      </c>
      <c r="E121" s="15" t="s">
        <v>314</v>
      </c>
      <c r="F121" s="15" t="s">
        <v>6</v>
      </c>
      <c r="G121" s="15" t="str">
        <f>IFERROR(INDEX('BOM2017'!F:F,MATCH(Wiki!B121,'BOM2017'!C:C,0)),INDEX('BOM2017'!F:F,MATCH(Wiki!B121,'BOM2017'!D:D,0)))</f>
        <v>$334,201,140</v>
      </c>
      <c r="H121" s="15" t="str">
        <f>IFERROR(INDEX('BOM2017'!H:H,MATCH(Wiki!B121,'BOM2017'!C:C,0)),INDEX('BOM2017'!H:H,MATCH(Wiki!B121,'BOM2017'!D:D,0)))</f>
        <v>$117,027,503</v>
      </c>
      <c r="I121" s="16" t="str">
        <f>IFERROR(INDEX('BOM2017'!H:H,MATCH(Wiki!B121,'BOM2017'!C:C,0)),INDEX('BOM2017'!H:H,MATCH(Wiki!B121,'BOM2017'!D:D,0)))</f>
        <v>$117,027,503</v>
      </c>
      <c r="J121" s="1" t="str">
        <f t="shared" si="4"/>
        <v>https://en.wikipedia.org/wiki/Spider-Man:_Homecoming</v>
      </c>
      <c r="K121" s="11" t="str">
        <f t="shared" si="7"/>
        <v>Spider-Man:_Homecoming</v>
      </c>
      <c r="L121" s="1" t="str">
        <f t="shared" si="5"/>
        <v>Spider-Man:_Homecoming</v>
      </c>
      <c r="M121" s="1" t="b">
        <f t="shared" si="6"/>
        <v>1</v>
      </c>
    </row>
    <row r="122" spans="2:13" x14ac:dyDescent="0.2">
      <c r="B122" s="3" t="s">
        <v>353</v>
      </c>
      <c r="C122" s="3" t="s">
        <v>97</v>
      </c>
      <c r="D122" s="3" t="s">
        <v>354</v>
      </c>
      <c r="E122" s="15" t="s">
        <v>85</v>
      </c>
      <c r="F122" s="15" t="s">
        <v>6</v>
      </c>
      <c r="G122" s="15" t="str">
        <f>IFERROR(INDEX('BOM2017'!F:F,MATCH(Wiki!B122,'BOM2017'!C:C,0)),INDEX('BOM2017'!F:F,MATCH(Wiki!B122,'BOM2017'!D:D,0)))</f>
        <v>$1,146,292</v>
      </c>
      <c r="H122" s="15" t="str">
        <f>IFERROR(INDEX('BOM2017'!H:H,MATCH(Wiki!B122,'BOM2017'!C:C,0)),INDEX('BOM2017'!H:H,MATCH(Wiki!B122,'BOM2017'!D:D,0)))</f>
        <v>$146,488</v>
      </c>
      <c r="I122" s="16" t="str">
        <f>IFERROR(INDEX('BOM2017'!H:H,MATCH(Wiki!B122,'BOM2017'!C:C,0)),INDEX('BOM2017'!H:H,MATCH(Wiki!B122,'BOM2017'!D:D,0)))</f>
        <v>$146,488</v>
      </c>
      <c r="J122" s="1" t="str">
        <f t="shared" si="4"/>
        <v>https://en.wikipedia.org/wiki/Step_(film)</v>
      </c>
      <c r="K122" s="11" t="str">
        <f t="shared" si="7"/>
        <v>Step_(film)</v>
      </c>
      <c r="L122" s="1" t="str">
        <f t="shared" si="5"/>
        <v>Step</v>
      </c>
      <c r="M122" s="1" t="b">
        <f t="shared" si="6"/>
        <v>0</v>
      </c>
    </row>
    <row r="123" spans="2:13" x14ac:dyDescent="0.2">
      <c r="B123" s="3" t="s">
        <v>479</v>
      </c>
      <c r="C123" s="3" t="s">
        <v>75</v>
      </c>
      <c r="D123" s="14" t="s">
        <v>2903</v>
      </c>
      <c r="E123" s="15" t="s">
        <v>480</v>
      </c>
      <c r="F123" s="15" t="s">
        <v>6</v>
      </c>
      <c r="G123" s="15" t="str">
        <f>IFERROR(INDEX('BOM2017'!F:F,MATCH(Wiki!B123,'BOM2017'!C:C,0)),INDEX('BOM2017'!F:F,MATCH(Wiki!B123,'BOM2017'!D:D,0)))</f>
        <v>$5,775,178</v>
      </c>
      <c r="H123" s="15" t="str">
        <f>IFERROR(INDEX('BOM2017'!H:H,MATCH(Wiki!B123,'BOM2017'!C:C,0)),INDEX('BOM2017'!H:H,MATCH(Wiki!B123,'BOM2017'!D:D,0)))</f>
        <v>$2,840,246</v>
      </c>
      <c r="I123" s="16" t="str">
        <f>IFERROR(INDEX('BOM2017'!H:H,MATCH(Wiki!B123,'BOM2017'!C:C,0)),INDEX('BOM2017'!H:H,MATCH(Wiki!B123,'BOM2017'!D:D,0)))</f>
        <v>$2,840,246</v>
      </c>
      <c r="J123" s="1" t="str">
        <f t="shared" si="4"/>
        <v>https://en.wikipedia.org/wiki/Suburbicon</v>
      </c>
      <c r="K123" s="11" t="str">
        <f t="shared" si="7"/>
        <v>Suburbicon</v>
      </c>
      <c r="L123" s="1" t="str">
        <f t="shared" si="5"/>
        <v>Suburbicon</v>
      </c>
      <c r="M123" s="1" t="b">
        <f t="shared" si="6"/>
        <v>1</v>
      </c>
    </row>
    <row r="124" spans="2:13" x14ac:dyDescent="0.2">
      <c r="B124" s="3" t="s">
        <v>165</v>
      </c>
      <c r="C124" s="14" t="s">
        <v>2904</v>
      </c>
      <c r="D124" s="14" t="s">
        <v>2905</v>
      </c>
      <c r="E124" s="15" t="s">
        <v>166</v>
      </c>
      <c r="F124" s="15" t="s">
        <v>88</v>
      </c>
      <c r="G124" s="15" t="e">
        <f>IFERROR(INDEX('BOM2017'!F:F,MATCH(Wiki!B124,'BOM2017'!C:C,0)),INDEX('BOM2017'!F:F,MATCH(Wiki!B124,'BOM2017'!D:D,0)))</f>
        <v>#N/A</v>
      </c>
      <c r="H124" s="15" t="e">
        <f>IFERROR(INDEX('BOM2017'!H:H,MATCH(Wiki!B124,'BOM2017'!C:C,0)),INDEX('BOM2017'!H:H,MATCH(Wiki!B124,'BOM2017'!D:D,0)))</f>
        <v>#N/A</v>
      </c>
      <c r="I124" s="16" t="e">
        <f>IFERROR(INDEX('BOM2017'!H:H,MATCH(Wiki!B124,'BOM2017'!C:C,0)),INDEX('BOM2017'!H:H,MATCH(Wiki!B124,'BOM2017'!D:D,0)))</f>
        <v>#N/A</v>
      </c>
      <c r="J124" s="1" t="str">
        <f t="shared" si="4"/>
        <v>https://en.wikipedia.org/wiki/T2_Trainspotting</v>
      </c>
      <c r="K124" s="11" t="str">
        <f t="shared" si="7"/>
        <v>T2_Trainspotting</v>
      </c>
      <c r="L124" s="1" t="str">
        <f t="shared" si="5"/>
        <v>T2_Trainspotting</v>
      </c>
      <c r="M124" s="1" t="b">
        <f t="shared" si="6"/>
        <v>1</v>
      </c>
    </row>
    <row r="125" spans="2:13" x14ac:dyDescent="0.2">
      <c r="B125" s="3" t="s">
        <v>141</v>
      </c>
      <c r="C125" s="3" t="s">
        <v>97</v>
      </c>
      <c r="D125" s="14" t="s">
        <v>2906</v>
      </c>
      <c r="E125" s="15" t="s">
        <v>91</v>
      </c>
      <c r="F125" s="15" t="s">
        <v>6</v>
      </c>
      <c r="G125" s="15" t="str">
        <f>IFERROR(INDEX('BOM2017'!F:F,MATCH(Wiki!B125,'BOM2017'!C:C,0)),INDEX('BOM2017'!F:F,MATCH(Wiki!B125,'BOM2017'!D:D,0)))</f>
        <v>$3,614,896</v>
      </c>
      <c r="H125" s="15" t="str">
        <f>IFERROR(INDEX('BOM2017'!H:H,MATCH(Wiki!B125,'BOM2017'!C:C,0)),INDEX('BOM2017'!H:H,MATCH(Wiki!B125,'BOM2017'!D:D,0)))</f>
        <v>$1,597,928</v>
      </c>
      <c r="I125" s="16" t="str">
        <f>IFERROR(INDEX('BOM2017'!H:H,MATCH(Wiki!B125,'BOM2017'!C:C,0)),INDEX('BOM2017'!H:H,MATCH(Wiki!B125,'BOM2017'!D:D,0)))</f>
        <v>$1,597,928</v>
      </c>
      <c r="J125" s="1" t="str">
        <f t="shared" si="4"/>
        <v>https://en.wikipedia.org/wiki/Table_19</v>
      </c>
      <c r="K125" s="11" t="str">
        <f t="shared" si="7"/>
        <v>Table_19</v>
      </c>
      <c r="L125" s="1" t="str">
        <f t="shared" si="5"/>
        <v>Table_19</v>
      </c>
      <c r="M125" s="1" t="b">
        <f t="shared" si="6"/>
        <v>1</v>
      </c>
    </row>
    <row r="126" spans="2:13" x14ac:dyDescent="0.2">
      <c r="B126" s="3" t="s">
        <v>308</v>
      </c>
      <c r="C126" s="3" t="s">
        <v>195</v>
      </c>
      <c r="D126" s="14" t="s">
        <v>2907</v>
      </c>
      <c r="E126" s="15" t="s">
        <v>309</v>
      </c>
      <c r="F126" s="15" t="s">
        <v>6</v>
      </c>
      <c r="G126" s="15" t="str">
        <f>IFERROR(INDEX('BOM2017'!F:F,MATCH(Wiki!B126,'BOM2017'!C:C,0)),INDEX('BOM2017'!F:F,MATCH(Wiki!B126,'BOM2017'!D:D,0)))</f>
        <v>$180,851</v>
      </c>
      <c r="H126" s="15" t="str">
        <f>IFERROR(INDEX('BOM2017'!H:H,MATCH(Wiki!B126,'BOM2017'!C:C,0)),INDEX('BOM2017'!H:H,MATCH(Wiki!B126,'BOM2017'!D:D,0)))</f>
        <v>$89,111</v>
      </c>
      <c r="I126" s="16" t="str">
        <f>IFERROR(INDEX('BOM2017'!H:H,MATCH(Wiki!B126,'BOM2017'!C:C,0)),INDEX('BOM2017'!H:H,MATCH(Wiki!B126,'BOM2017'!D:D,0)))</f>
        <v>$89,111</v>
      </c>
      <c r="J126" s="1" t="str">
        <f t="shared" si="4"/>
        <v>https://en.wikipedia.org/wiki/The_Bad_Batch</v>
      </c>
      <c r="K126" s="11" t="str">
        <f t="shared" si="7"/>
        <v>The_Bad_Batch</v>
      </c>
      <c r="L126" s="1" t="str">
        <f t="shared" si="5"/>
        <v>The_Bad_Batch</v>
      </c>
      <c r="M126" s="1" t="b">
        <f t="shared" si="6"/>
        <v>1</v>
      </c>
    </row>
    <row r="127" spans="2:13" x14ac:dyDescent="0.2">
      <c r="B127" s="3" t="s">
        <v>49</v>
      </c>
      <c r="C127" s="3" t="s">
        <v>50</v>
      </c>
      <c r="D127" s="14" t="s">
        <v>2908</v>
      </c>
      <c r="E127" s="15" t="s">
        <v>51</v>
      </c>
      <c r="F127" s="15" t="s">
        <v>6</v>
      </c>
      <c r="G127" s="15" t="str">
        <f>IFERROR(INDEX('BOM2017'!F:F,MATCH(Wiki!B127,'BOM2017'!C:C,0)),INDEX('BOM2017'!F:F,MATCH(Wiki!B127,'BOM2017'!D:D,0)))</f>
        <v>$42,873,127</v>
      </c>
      <c r="H127" s="15" t="str">
        <f>IFERROR(INDEX('BOM2017'!H:H,MATCH(Wiki!B127,'BOM2017'!C:C,0)),INDEX('BOM2017'!H:H,MATCH(Wiki!B127,'BOM2017'!D:D,0)))</f>
        <v>$421,577</v>
      </c>
      <c r="I127" s="16" t="str">
        <f>IFERROR(INDEX('BOM2017'!H:H,MATCH(Wiki!B127,'BOM2017'!C:C,0)),INDEX('BOM2017'!H:H,MATCH(Wiki!B127,'BOM2017'!D:D,0)))</f>
        <v>$421,577</v>
      </c>
      <c r="J127" s="1" t="str">
        <f t="shared" si="4"/>
        <v>https://en.wikipedia.org/wiki/The_Big_Sick</v>
      </c>
      <c r="K127" s="11" t="str">
        <f t="shared" si="7"/>
        <v>The_Big_Sick</v>
      </c>
      <c r="L127" s="1" t="str">
        <f t="shared" si="5"/>
        <v>The_Big_Sick</v>
      </c>
      <c r="M127" s="1" t="b">
        <f t="shared" si="6"/>
        <v>1</v>
      </c>
    </row>
    <row r="128" spans="2:13" x14ac:dyDescent="0.2">
      <c r="B128" s="3" t="s">
        <v>183</v>
      </c>
      <c r="C128" s="3" t="s">
        <v>38</v>
      </c>
      <c r="D128" s="14" t="s">
        <v>2909</v>
      </c>
      <c r="E128" s="15" t="s">
        <v>76</v>
      </c>
      <c r="F128" s="3" t="s">
        <v>184</v>
      </c>
      <c r="G128" s="15" t="str">
        <f>IFERROR(INDEX('BOM2017'!F:F,MATCH(Wiki!B128,'BOM2017'!C:C,0)),INDEX('BOM2017'!F:F,MATCH(Wiki!B128,'BOM2017'!D:D,0)))</f>
        <v>$20,435</v>
      </c>
      <c r="H128" s="15" t="str">
        <f>IFERROR(INDEX('BOM2017'!H:H,MATCH(Wiki!B128,'BOM2017'!C:C,0)),INDEX('BOM2017'!H:H,MATCH(Wiki!B128,'BOM2017'!D:D,0)))</f>
        <v>$12,402</v>
      </c>
      <c r="I128" s="16" t="str">
        <f>IFERROR(INDEX('BOM2017'!H:H,MATCH(Wiki!B128,'BOM2017'!C:C,0)),INDEX('BOM2017'!H:H,MATCH(Wiki!B128,'BOM2017'!D:D,0)))</f>
        <v>$12,402</v>
      </c>
      <c r="J128" s="1" t="str">
        <f t="shared" si="4"/>
        <v>https://en.wikipedia.org/wiki/The_Blackcoat%27s_Daughter</v>
      </c>
      <c r="K128" s="11" t="str">
        <f t="shared" si="7"/>
        <v>The_Blackcoat%27s_Daughter</v>
      </c>
      <c r="L128" s="1" t="str">
        <f t="shared" si="5"/>
        <v>The_Blackcoat's_Daughter</v>
      </c>
      <c r="M128" s="1" t="b">
        <f t="shared" si="6"/>
        <v>0</v>
      </c>
    </row>
    <row r="129" spans="2:13" x14ac:dyDescent="0.2">
      <c r="B129" s="3" t="s">
        <v>303</v>
      </c>
      <c r="C129" s="3" t="s">
        <v>154</v>
      </c>
      <c r="D129" s="14" t="s">
        <v>2910</v>
      </c>
      <c r="E129" s="15" t="s">
        <v>24</v>
      </c>
      <c r="F129" s="15" t="s">
        <v>6</v>
      </c>
      <c r="G129" s="15" t="str">
        <f>IFERROR(INDEX('BOM2017'!F:F,MATCH(Wiki!B129,'BOM2017'!C:C,0)),INDEX('BOM2017'!F:F,MATCH(Wiki!B129,'BOM2017'!D:D,0)))</f>
        <v>$4,504,974</v>
      </c>
      <c r="H129" s="15" t="str">
        <f>IFERROR(INDEX('BOM2017'!H:H,MATCH(Wiki!B129,'BOM2017'!C:C,0)),INDEX('BOM2017'!H:H,MATCH(Wiki!B129,'BOM2017'!D:D,0)))</f>
        <v>$1,424,540</v>
      </c>
      <c r="I129" s="16" t="str">
        <f>IFERROR(INDEX('BOM2017'!H:H,MATCH(Wiki!B129,'BOM2017'!C:C,0)),INDEX('BOM2017'!H:H,MATCH(Wiki!B129,'BOM2017'!D:D,0)))</f>
        <v>$1,424,540</v>
      </c>
      <c r="J129" s="1" t="str">
        <f t="shared" si="4"/>
        <v>https://en.wikipedia.org/wiki/The_Book_of_Henry</v>
      </c>
      <c r="K129" s="11" t="str">
        <f t="shared" si="7"/>
        <v>The_Book_of_Henry</v>
      </c>
      <c r="L129" s="1" t="str">
        <f t="shared" si="5"/>
        <v>The_Book_of_Henry</v>
      </c>
      <c r="M129" s="1" t="b">
        <f t="shared" si="6"/>
        <v>1</v>
      </c>
    </row>
    <row r="130" spans="2:13" x14ac:dyDescent="0.2">
      <c r="B130" s="3" t="s">
        <v>25</v>
      </c>
      <c r="C130" s="3" t="s">
        <v>26</v>
      </c>
      <c r="D130" s="15" t="s">
        <v>2911</v>
      </c>
      <c r="E130" s="15" t="s">
        <v>27</v>
      </c>
      <c r="F130" s="15" t="s">
        <v>6</v>
      </c>
      <c r="G130" s="15" t="e">
        <f>IFERROR(INDEX('BOM2017'!F:F,MATCH(Wiki!B130,'BOM2017'!C:C,0)),INDEX('BOM2017'!F:F,MATCH(Wiki!B130,'BOM2017'!D:D,0)))</f>
        <v>#N/A</v>
      </c>
      <c r="H130" s="15" t="e">
        <f>IFERROR(INDEX('BOM2017'!H:H,MATCH(Wiki!B130,'BOM2017'!C:C,0)),INDEX('BOM2017'!H:H,MATCH(Wiki!B130,'BOM2017'!D:D,0)))</f>
        <v>#N/A</v>
      </c>
      <c r="I130" s="16" t="e">
        <f>IFERROR(INDEX('BOM2017'!H:H,MATCH(Wiki!B130,'BOM2017'!C:C,0)),INDEX('BOM2017'!H:H,MATCH(Wiki!B130,'BOM2017'!D:D,0)))</f>
        <v>#N/A</v>
      </c>
      <c r="J130" s="1" t="str">
        <f t="shared" si="4"/>
        <v>https://en.wikipedia.org/wiki/The_Book_of_Love_(film)</v>
      </c>
      <c r="K130" s="11" t="str">
        <f t="shared" si="7"/>
        <v>The_Book_of_Love_(film)</v>
      </c>
      <c r="L130" s="1" t="str">
        <f t="shared" si="5"/>
        <v>The_Book_of_Love</v>
      </c>
      <c r="M130" s="1" t="b">
        <f t="shared" si="6"/>
        <v>0</v>
      </c>
    </row>
    <row r="131" spans="2:13" x14ac:dyDescent="0.2">
      <c r="B131" s="3" t="s">
        <v>18</v>
      </c>
      <c r="C131" s="14" t="s">
        <v>2912</v>
      </c>
      <c r="D131" s="14" t="s">
        <v>2913</v>
      </c>
      <c r="E131" s="15" t="s">
        <v>19</v>
      </c>
      <c r="F131" s="15" t="s">
        <v>6</v>
      </c>
      <c r="G131" s="15" t="str">
        <f>IFERROR(INDEX('BOM2017'!F:F,MATCH(Wiki!B131,'BOM2017'!C:C,0)),INDEX('BOM2017'!F:F,MATCH(Wiki!B131,'BOM2017'!D:D,0)))</f>
        <v>$22,395,806</v>
      </c>
      <c r="H131" s="15" t="str">
        <f>IFERROR(INDEX('BOM2017'!H:H,MATCH(Wiki!B131,'BOM2017'!C:C,0)),INDEX('BOM2017'!H:H,MATCH(Wiki!B131,'BOM2017'!D:D,0)))</f>
        <v>$13,501,349</v>
      </c>
      <c r="I131" s="16" t="str">
        <f>IFERROR(INDEX('BOM2017'!H:H,MATCH(Wiki!B131,'BOM2017'!C:C,0)),INDEX('BOM2017'!H:H,MATCH(Wiki!B131,'BOM2017'!D:D,0)))</f>
        <v>$13,501,349</v>
      </c>
      <c r="J131" s="1" t="str">
        <f t="shared" si="4"/>
        <v>https://en.wikipedia.org/wiki/The_Bye_Bye_Man</v>
      </c>
      <c r="K131" s="11" t="str">
        <f t="shared" si="7"/>
        <v>The_Bye_Bye_Man</v>
      </c>
      <c r="L131" s="1" t="str">
        <f t="shared" si="5"/>
        <v>The_Bye_Bye_Man</v>
      </c>
      <c r="M131" s="1" t="b">
        <f t="shared" si="6"/>
        <v>1</v>
      </c>
    </row>
    <row r="132" spans="2:13" x14ac:dyDescent="0.2">
      <c r="B132" s="3" t="s">
        <v>250</v>
      </c>
      <c r="C132" s="3" t="s">
        <v>147</v>
      </c>
      <c r="D132" s="14" t="s">
        <v>2914</v>
      </c>
      <c r="E132" s="15" t="s">
        <v>29</v>
      </c>
      <c r="F132" s="15" t="s">
        <v>251</v>
      </c>
      <c r="G132" s="15" t="str">
        <f>IFERROR(INDEX('BOM2017'!F:F,MATCH(Wiki!B132,'BOM2017'!C:C,0)),INDEX('BOM2017'!F:F,MATCH(Wiki!B132,'BOM2017'!D:D,0)))</f>
        <v>$1,323,312</v>
      </c>
      <c r="H132" s="15" t="str">
        <f>IFERROR(INDEX('BOM2017'!H:H,MATCH(Wiki!B132,'BOM2017'!C:C,0)),INDEX('BOM2017'!H:H,MATCH(Wiki!B132,'BOM2017'!D:D,0)))</f>
        <v>$653,944</v>
      </c>
      <c r="I132" s="16" t="str">
        <f>IFERROR(INDEX('BOM2017'!H:H,MATCH(Wiki!B132,'BOM2017'!C:C,0)),INDEX('BOM2017'!H:H,MATCH(Wiki!B132,'BOM2017'!D:D,0)))</f>
        <v>$653,944</v>
      </c>
      <c r="J132" s="1" t="str">
        <f t="shared" si="4"/>
        <v>https://en.wikipedia.org/wiki/The_Dinner_(2017_film)</v>
      </c>
      <c r="K132" s="11" t="str">
        <f t="shared" si="7"/>
        <v>The_Dinner_(2017_film)</v>
      </c>
      <c r="L132" s="1" t="str">
        <f t="shared" si="5"/>
        <v>The_Dinner</v>
      </c>
      <c r="M132" s="1" t="b">
        <f t="shared" si="6"/>
        <v>0</v>
      </c>
    </row>
    <row r="133" spans="2:13" x14ac:dyDescent="0.2">
      <c r="B133" s="3" t="s">
        <v>185</v>
      </c>
      <c r="C133" s="3" t="s">
        <v>69</v>
      </c>
      <c r="D133" s="14" t="s">
        <v>2915</v>
      </c>
      <c r="E133" s="15" t="s">
        <v>186</v>
      </c>
      <c r="F133" s="15" t="s">
        <v>6</v>
      </c>
      <c r="G133" s="15" t="e">
        <f>IFERROR(INDEX('BOM2017'!F:F,MATCH(Wiki!B133,'BOM2017'!C:C,0)),INDEX('BOM2017'!F:F,MATCH(Wiki!B133,'BOM2017'!D:D,0)))</f>
        <v>#N/A</v>
      </c>
      <c r="H133" s="15" t="e">
        <f>IFERROR(INDEX('BOM2017'!H:H,MATCH(Wiki!B133,'BOM2017'!C:C,0)),INDEX('BOM2017'!H:H,MATCH(Wiki!B133,'BOM2017'!D:D,0)))</f>
        <v>#N/A</v>
      </c>
      <c r="I133" s="16" t="e">
        <f>IFERROR(INDEX('BOM2017'!H:H,MATCH(Wiki!B133,'BOM2017'!C:C,0)),INDEX('BOM2017'!H:H,MATCH(Wiki!B133,'BOM2017'!D:D,0)))</f>
        <v>#N/A</v>
      </c>
      <c r="J133" s="1" t="str">
        <f t="shared" si="4"/>
        <v>https://en.wikipedia.org/wiki/The_Discovery_(film)</v>
      </c>
      <c r="K133" s="11" t="str">
        <f t="shared" si="7"/>
        <v>The_Discovery_(film)</v>
      </c>
      <c r="L133" s="1" t="str">
        <f t="shared" si="5"/>
        <v>The_Discovery</v>
      </c>
      <c r="M133" s="1" t="b">
        <f t="shared" si="6"/>
        <v>0</v>
      </c>
    </row>
    <row r="134" spans="2:13" x14ac:dyDescent="0.2">
      <c r="B134" s="3" t="s">
        <v>339</v>
      </c>
      <c r="C134" s="14" t="s">
        <v>2916</v>
      </c>
      <c r="D134" s="14" t="s">
        <v>2917</v>
      </c>
      <c r="E134" s="15" t="s">
        <v>340</v>
      </c>
      <c r="F134" s="15" t="s">
        <v>6</v>
      </c>
      <c r="G134" s="15" t="str">
        <f>IFERROR(INDEX('BOM2017'!F:F,MATCH(Wiki!B134,'BOM2017'!C:C,0)),INDEX('BOM2017'!F:F,MATCH(Wiki!B134,'BOM2017'!D:D,0)))</f>
        <v>$86,089,513</v>
      </c>
      <c r="H134" s="15" t="str">
        <f>IFERROR(INDEX('BOM2017'!H:H,MATCH(Wiki!B134,'BOM2017'!C:C,0)),INDEX('BOM2017'!H:H,MATCH(Wiki!B134,'BOM2017'!D:D,0)))</f>
        <v>$24,531,923</v>
      </c>
      <c r="I134" s="16" t="str">
        <f>IFERROR(INDEX('BOM2017'!H:H,MATCH(Wiki!B134,'BOM2017'!C:C,0)),INDEX('BOM2017'!H:H,MATCH(Wiki!B134,'BOM2017'!D:D,0)))</f>
        <v>$24,531,923</v>
      </c>
      <c r="J134" s="1" t="str">
        <f t="shared" ref="J134:J197" si="8">GETURL(B134)</f>
        <v>https://en.wikipedia.org/wiki/The_Emoji_Movie</v>
      </c>
      <c r="K134" s="11" t="str">
        <f t="shared" si="7"/>
        <v>The_Emoji_Movie</v>
      </c>
      <c r="L134" s="1" t="str">
        <f t="shared" ref="L134:L197" si="9">SUBSTITUTE(B134," ","_")</f>
        <v>The_Emoji_Movie</v>
      </c>
      <c r="M134" s="1" t="b">
        <f t="shared" ref="M134:M197" si="10">K134=L134</f>
        <v>1</v>
      </c>
    </row>
    <row r="135" spans="2:13" x14ac:dyDescent="0.2">
      <c r="B135" s="3" t="s">
        <v>443</v>
      </c>
      <c r="C135" s="3" t="s">
        <v>38</v>
      </c>
      <c r="D135" s="14" t="s">
        <v>2918</v>
      </c>
      <c r="E135" s="15" t="s">
        <v>24</v>
      </c>
      <c r="F135" s="15" t="s">
        <v>6</v>
      </c>
      <c r="G135" s="15" t="str">
        <f>IFERROR(INDEX('BOM2017'!F:F,MATCH(Wiki!B135,'BOM2017'!C:C,0)),INDEX('BOM2017'!F:F,MATCH(Wiki!B135,'BOM2017'!D:D,0)))</f>
        <v>$5,578,810</v>
      </c>
      <c r="H135" s="15" t="str">
        <f>IFERROR(INDEX('BOM2017'!H:H,MATCH(Wiki!B135,'BOM2017'!C:C,0)),INDEX('BOM2017'!H:H,MATCH(Wiki!B135,'BOM2017'!D:D,0)))</f>
        <v>$157,553</v>
      </c>
      <c r="I135" s="16" t="str">
        <f>IFERROR(INDEX('BOM2017'!H:H,MATCH(Wiki!B135,'BOM2017'!C:C,0)),INDEX('BOM2017'!H:H,MATCH(Wiki!B135,'BOM2017'!D:D,0)))</f>
        <v>$157,553</v>
      </c>
      <c r="J135" s="1" t="str">
        <f t="shared" si="8"/>
        <v>https://en.wikipedia.org/wiki/The_Florida_Project</v>
      </c>
      <c r="K135" s="11" t="str">
        <f t="shared" ref="K135:K198" si="11">TRIM(RIGHT(J135,LEN(J135)-FIND("wiki/",J135)-4))</f>
        <v>The_Florida_Project</v>
      </c>
      <c r="L135" s="1" t="str">
        <f t="shared" si="9"/>
        <v>The_Florida_Project</v>
      </c>
      <c r="M135" s="1" t="b">
        <f t="shared" si="10"/>
        <v>1</v>
      </c>
    </row>
    <row r="136" spans="2:13" x14ac:dyDescent="0.2">
      <c r="B136" s="3" t="s">
        <v>456</v>
      </c>
      <c r="C136" s="14" t="s">
        <v>2919</v>
      </c>
      <c r="D136" s="14" t="s">
        <v>2920</v>
      </c>
      <c r="E136" s="15" t="s">
        <v>21</v>
      </c>
      <c r="F136" s="15" t="s">
        <v>457</v>
      </c>
      <c r="G136" s="15" t="str">
        <f>IFERROR(INDEX('BOM2017'!F:F,MATCH(Wiki!B136,'BOM2017'!C:C,0)),INDEX('BOM2017'!F:F,MATCH(Wiki!B136,'BOM2017'!D:D,0)))</f>
        <v>$34,393,507</v>
      </c>
      <c r="H136" s="15" t="str">
        <f>IFERROR(INDEX('BOM2017'!H:H,MATCH(Wiki!B136,'BOM2017'!C:C,0)),INDEX('BOM2017'!H:H,MATCH(Wiki!B136,'BOM2017'!D:D,0)))</f>
        <v>$13,113,024</v>
      </c>
      <c r="I136" s="16" t="str">
        <f>IFERROR(INDEX('BOM2017'!H:H,MATCH(Wiki!B136,'BOM2017'!C:C,0)),INDEX('BOM2017'!H:H,MATCH(Wiki!B136,'BOM2017'!D:D,0)))</f>
        <v>$13,113,024</v>
      </c>
      <c r="J136" s="1" t="str">
        <f t="shared" si="8"/>
        <v>https://en.wikipedia.org/wiki/The_Foreigner_(2017_film)</v>
      </c>
      <c r="K136" s="11" t="str">
        <f t="shared" si="11"/>
        <v>The_Foreigner_(2017_film)</v>
      </c>
      <c r="L136" s="1" t="str">
        <f t="shared" si="9"/>
        <v>The_Foreigner</v>
      </c>
      <c r="M136" s="1" t="b">
        <f t="shared" si="10"/>
        <v>0</v>
      </c>
    </row>
    <row r="137" spans="2:13" x14ac:dyDescent="0.2">
      <c r="B137" s="3" t="s">
        <v>130</v>
      </c>
      <c r="C137" s="14" t="s">
        <v>2921</v>
      </c>
      <c r="D137" s="14" t="s">
        <v>2922</v>
      </c>
      <c r="E137" s="15" t="s">
        <v>131</v>
      </c>
      <c r="F137" s="15" t="s">
        <v>6</v>
      </c>
      <c r="G137" s="15" t="e">
        <f>IFERROR(INDEX('BOM2017'!F:F,MATCH(Wiki!B137,'BOM2017'!C:C,0)),INDEX('BOM2017'!F:F,MATCH(Wiki!B137,'BOM2017'!D:D,0)))</f>
        <v>#N/A</v>
      </c>
      <c r="H137" s="15" t="e">
        <f>IFERROR(INDEX('BOM2017'!H:H,MATCH(Wiki!B137,'BOM2017'!C:C,0)),INDEX('BOM2017'!H:H,MATCH(Wiki!B137,'BOM2017'!D:D,0)))</f>
        <v>#N/A</v>
      </c>
      <c r="I137" s="16" t="e">
        <f>IFERROR(INDEX('BOM2017'!H:H,MATCH(Wiki!B137,'BOM2017'!C:C,0)),INDEX('BOM2017'!H:H,MATCH(Wiki!B137,'BOM2017'!D:D,0)))</f>
        <v>#N/A</v>
      </c>
      <c r="J137" s="1" t="str">
        <f t="shared" si="8"/>
        <v>https://en.wikipedia.org/wiki/The_Girl_with_All_the_Gifts_(film)</v>
      </c>
      <c r="K137" s="11" t="str">
        <f t="shared" si="11"/>
        <v>The_Girl_with_All_the_Gifts_(film)</v>
      </c>
      <c r="L137" s="1" t="str">
        <f t="shared" si="9"/>
        <v>The_Girl_with_All_the_Gifts</v>
      </c>
      <c r="M137" s="1" t="b">
        <f t="shared" si="10"/>
        <v>0</v>
      </c>
    </row>
    <row r="138" spans="2:13" x14ac:dyDescent="0.2">
      <c r="B138" s="3" t="s">
        <v>359</v>
      </c>
      <c r="C138" s="3" t="s">
        <v>50</v>
      </c>
      <c r="D138" s="14" t="s">
        <v>2923</v>
      </c>
      <c r="E138" s="15" t="s">
        <v>24</v>
      </c>
      <c r="F138" s="15" t="s">
        <v>6</v>
      </c>
      <c r="G138" s="15" t="str">
        <f>IFERROR(INDEX('BOM2017'!F:F,MATCH(Wiki!B138,'BOM2017'!C:C,0)),INDEX('BOM2017'!F:F,MATCH(Wiki!B138,'BOM2017'!D:D,0)))</f>
        <v>$17,273,059</v>
      </c>
      <c r="H138" s="15" t="str">
        <f>IFERROR(INDEX('BOM2017'!H:H,MATCH(Wiki!B138,'BOM2017'!C:C,0)),INDEX('BOM2017'!H:H,MATCH(Wiki!B138,'BOM2017'!D:D,0)))</f>
        <v>$4,678,548</v>
      </c>
      <c r="I138" s="16" t="str">
        <f>IFERROR(INDEX('BOM2017'!H:H,MATCH(Wiki!B138,'BOM2017'!C:C,0)),INDEX('BOM2017'!H:H,MATCH(Wiki!B138,'BOM2017'!D:D,0)))</f>
        <v>$4,678,548</v>
      </c>
      <c r="J138" s="1" t="str">
        <f t="shared" si="8"/>
        <v>https://en.wikipedia.org/wiki/The_Glass_Castle_(film)</v>
      </c>
      <c r="K138" s="11" t="str">
        <f t="shared" si="11"/>
        <v>The_Glass_Castle_(film)</v>
      </c>
      <c r="L138" s="1" t="str">
        <f t="shared" si="9"/>
        <v>The_Glass_Castle</v>
      </c>
      <c r="M138" s="1" t="b">
        <f t="shared" si="10"/>
        <v>0</v>
      </c>
    </row>
    <row r="139" spans="2:13" x14ac:dyDescent="0.2">
      <c r="B139" s="3" t="s">
        <v>403</v>
      </c>
      <c r="C139" s="3" t="s">
        <v>168</v>
      </c>
      <c r="D139" s="15" t="s">
        <v>2924</v>
      </c>
      <c r="E139" s="15" t="s">
        <v>91</v>
      </c>
      <c r="F139" s="15" t="s">
        <v>6</v>
      </c>
      <c r="G139" s="15" t="e">
        <f>IFERROR(INDEX('BOM2017'!F:F,MATCH(Wiki!B139,'BOM2017'!C:C,0)),INDEX('BOM2017'!F:F,MATCH(Wiki!B139,'BOM2017'!D:D,0)))</f>
        <v>#N/A</v>
      </c>
      <c r="H139" s="15" t="e">
        <f>IFERROR(INDEX('BOM2017'!H:H,MATCH(Wiki!B139,'BOM2017'!C:C,0)),INDEX('BOM2017'!H:H,MATCH(Wiki!B139,'BOM2017'!D:D,0)))</f>
        <v>#N/A</v>
      </c>
      <c r="I139" s="16" t="e">
        <f>IFERROR(INDEX('BOM2017'!H:H,MATCH(Wiki!B139,'BOM2017'!C:C,0)),INDEX('BOM2017'!H:H,MATCH(Wiki!B139,'BOM2017'!D:D,0)))</f>
        <v>#N/A</v>
      </c>
      <c r="J139" s="1" t="str">
        <f t="shared" si="8"/>
        <v>https://en.wikipedia.org/wiki/The_Good_Catholic</v>
      </c>
      <c r="K139" s="11" t="str">
        <f t="shared" si="11"/>
        <v>The_Good_Catholic</v>
      </c>
      <c r="L139" s="1" t="str">
        <f t="shared" si="9"/>
        <v>The_Good_Catholic</v>
      </c>
      <c r="M139" s="1" t="b">
        <f t="shared" si="10"/>
        <v>1</v>
      </c>
    </row>
    <row r="140" spans="2:13" x14ac:dyDescent="0.2">
      <c r="B140" s="3" t="s">
        <v>103</v>
      </c>
      <c r="C140" s="14" t="s">
        <v>2925</v>
      </c>
      <c r="D140" s="14" t="s">
        <v>2926</v>
      </c>
      <c r="E140" s="15" t="s">
        <v>104</v>
      </c>
      <c r="F140" s="15" t="s">
        <v>105</v>
      </c>
      <c r="G140" s="15" t="str">
        <f>IFERROR(INDEX('BOM2017'!F:F,MATCH(Wiki!B140,'BOM2017'!C:C,0)),INDEX('BOM2017'!F:F,MATCH(Wiki!B140,'BOM2017'!D:D,0)))</f>
        <v>$45,540,830</v>
      </c>
      <c r="H140" s="15" t="str">
        <f>IFERROR(INDEX('BOM2017'!H:H,MATCH(Wiki!B140,'BOM2017'!C:C,0)),INDEX('BOM2017'!H:H,MATCH(Wiki!B140,'BOM2017'!D:D,0)))</f>
        <v>$18,469,620</v>
      </c>
      <c r="I140" s="16" t="str">
        <f>IFERROR(INDEX('BOM2017'!H:H,MATCH(Wiki!B140,'BOM2017'!C:C,0)),INDEX('BOM2017'!H:H,MATCH(Wiki!B140,'BOM2017'!D:D,0)))</f>
        <v>$18,469,620</v>
      </c>
      <c r="J140" s="1" t="str">
        <f t="shared" si="8"/>
        <v>https://en.wikipedia.org/wiki/The_Great_Wall_(film)</v>
      </c>
      <c r="K140" s="11" t="str">
        <f t="shared" si="11"/>
        <v>The_Great_Wall_(film)</v>
      </c>
      <c r="L140" s="1" t="str">
        <f t="shared" si="9"/>
        <v>The_Great_Wall</v>
      </c>
      <c r="M140" s="1" t="b">
        <f t="shared" si="10"/>
        <v>0</v>
      </c>
    </row>
    <row r="141" spans="2:13" x14ac:dyDescent="0.2">
      <c r="B141" s="3" t="s">
        <v>523</v>
      </c>
      <c r="C141" s="14" t="s">
        <v>2927</v>
      </c>
      <c r="D141" s="14" t="s">
        <v>2928</v>
      </c>
      <c r="E141" s="15" t="s">
        <v>524</v>
      </c>
      <c r="F141" s="15" t="s">
        <v>6</v>
      </c>
      <c r="G141" s="15" t="str">
        <f>IFERROR(INDEX('BOM2017'!F:F,MATCH(Wiki!B141,'BOM2017'!C:C,0)),INDEX('BOM2017'!F:F,MATCH(Wiki!B141,'BOM2017'!D:D,0)))</f>
        <v>$113,973,270</v>
      </c>
      <c r="H141" s="15" t="str">
        <f>IFERROR(INDEX('BOM2017'!H:H,MATCH(Wiki!B141,'BOM2017'!C:C,0)),INDEX('BOM2017'!H:H,MATCH(Wiki!B141,'BOM2017'!D:D,0)))</f>
        <v>$8,805,843</v>
      </c>
      <c r="I141" s="16" t="str">
        <f>IFERROR(INDEX('BOM2017'!H:H,MATCH(Wiki!B141,'BOM2017'!C:C,0)),INDEX('BOM2017'!H:H,MATCH(Wiki!B141,'BOM2017'!D:D,0)))</f>
        <v>$8,805,843</v>
      </c>
      <c r="J141" s="1" t="str">
        <f t="shared" si="8"/>
        <v>https://en.wikipedia.org/wiki/The_Greatest_Showman</v>
      </c>
      <c r="K141" s="11" t="str">
        <f t="shared" si="11"/>
        <v>The_Greatest_Showman</v>
      </c>
      <c r="L141" s="1" t="str">
        <f t="shared" si="9"/>
        <v>The_Greatest_Showman</v>
      </c>
      <c r="M141" s="1" t="b">
        <f t="shared" si="10"/>
        <v>1</v>
      </c>
    </row>
    <row r="142" spans="2:13" x14ac:dyDescent="0.2">
      <c r="B142" s="3" t="s">
        <v>472</v>
      </c>
      <c r="C142" s="3" t="s">
        <v>38</v>
      </c>
      <c r="D142" s="14" t="s">
        <v>2929</v>
      </c>
      <c r="E142" s="15" t="s">
        <v>473</v>
      </c>
      <c r="F142" s="15" t="s">
        <v>40</v>
      </c>
      <c r="G142" s="15" t="str">
        <f>IFERROR(INDEX('BOM2017'!F:F,MATCH(Wiki!B142,'BOM2017'!C:C,0)),INDEX('BOM2017'!F:F,MATCH(Wiki!B142,'BOM2017'!D:D,0)))</f>
        <v>$2,291,901</v>
      </c>
      <c r="H142" s="15" t="str">
        <f>IFERROR(INDEX('BOM2017'!H:H,MATCH(Wiki!B142,'BOM2017'!C:C,0)),INDEX('BOM2017'!H:H,MATCH(Wiki!B142,'BOM2017'!D:D,0)))</f>
        <v>$115,120</v>
      </c>
      <c r="I142" s="16" t="str">
        <f>IFERROR(INDEX('BOM2017'!H:H,MATCH(Wiki!B142,'BOM2017'!C:C,0)),INDEX('BOM2017'!H:H,MATCH(Wiki!B142,'BOM2017'!D:D,0)))</f>
        <v>$115,120</v>
      </c>
      <c r="J142" s="1" t="str">
        <f t="shared" si="8"/>
        <v>https://en.wikipedia.org/wiki/The_Killing_of_a_Sacred_Deer</v>
      </c>
      <c r="K142" s="11" t="str">
        <f t="shared" si="11"/>
        <v>The_Killing_of_a_Sacred_Deer</v>
      </c>
      <c r="L142" s="1" t="str">
        <f t="shared" si="9"/>
        <v>The_Killing_of_a_Sacred_Deer</v>
      </c>
      <c r="M142" s="1" t="b">
        <f t="shared" si="10"/>
        <v>1</v>
      </c>
    </row>
    <row r="143" spans="2:13" x14ac:dyDescent="0.2">
      <c r="B143" s="3" t="s">
        <v>142</v>
      </c>
      <c r="C143" s="3" t="s">
        <v>143</v>
      </c>
      <c r="D143" s="14" t="s">
        <v>2930</v>
      </c>
      <c r="E143" s="15" t="s">
        <v>36</v>
      </c>
      <c r="F143" s="15" t="s">
        <v>6</v>
      </c>
      <c r="G143" s="15" t="str">
        <f>IFERROR(INDEX('BOM2017'!F:F,MATCH(Wiki!B143,'BOM2017'!C:C,0)),INDEX('BOM2017'!F:F,MATCH(Wiki!B143,'BOM2017'!D:D,0)))</f>
        <v>$1,783,421</v>
      </c>
      <c r="H143" s="15" t="str">
        <f>IFERROR(INDEX('BOM2017'!H:H,MATCH(Wiki!B143,'BOM2017'!C:C,0)),INDEX('BOM2017'!H:H,MATCH(Wiki!B143,'BOM2017'!D:D,0)))</f>
        <v>$31,630</v>
      </c>
      <c r="I143" s="16" t="str">
        <f>IFERROR(INDEX('BOM2017'!H:H,MATCH(Wiki!B143,'BOM2017'!C:C,0)),INDEX('BOM2017'!H:H,MATCH(Wiki!B143,'BOM2017'!D:D,0)))</f>
        <v>$31,630</v>
      </c>
      <c r="J143" s="1" t="str">
        <f t="shared" si="8"/>
        <v>https://en.wikipedia.org/wiki/The_Last_Word_(2017_film)</v>
      </c>
      <c r="K143" s="11" t="str">
        <f t="shared" si="11"/>
        <v>The_Last_Word_(2017_film)</v>
      </c>
      <c r="L143" s="1" t="str">
        <f t="shared" si="9"/>
        <v>The_Last_Word</v>
      </c>
      <c r="M143" s="1" t="b">
        <f t="shared" si="10"/>
        <v>0</v>
      </c>
    </row>
    <row r="144" spans="2:13" x14ac:dyDescent="0.2">
      <c r="B144" s="3" t="s">
        <v>316</v>
      </c>
      <c r="C144" s="3" t="s">
        <v>317</v>
      </c>
      <c r="D144" s="14" t="s">
        <v>2931</v>
      </c>
      <c r="E144" s="15" t="s">
        <v>91</v>
      </c>
      <c r="F144" s="15" t="s">
        <v>6</v>
      </c>
      <c r="G144" s="15" t="str">
        <f>IFERROR(INDEX('BOM2017'!F:F,MATCH(Wiki!B144,'BOM2017'!C:C,0)),INDEX('BOM2017'!F:F,MATCH(Wiki!B144,'BOM2017'!D:D,0)))</f>
        <v>$1,647,175</v>
      </c>
      <c r="H144" s="15" t="str">
        <f>IFERROR(INDEX('BOM2017'!H:H,MATCH(Wiki!B144,'BOM2017'!C:C,0)),INDEX('BOM2017'!H:H,MATCH(Wiki!B144,'BOM2017'!D:D,0)))</f>
        <v>$56,676</v>
      </c>
      <c r="I144" s="16" t="str">
        <f>IFERROR(INDEX('BOM2017'!H:H,MATCH(Wiki!B144,'BOM2017'!C:C,0)),INDEX('BOM2017'!H:H,MATCH(Wiki!B144,'BOM2017'!D:D,0)))</f>
        <v>$56,676</v>
      </c>
      <c r="J144" s="1" t="str">
        <f t="shared" si="8"/>
        <v>https://en.wikipedia.org/wiki/The_Little_Hours</v>
      </c>
      <c r="K144" s="11" t="str">
        <f t="shared" si="11"/>
        <v>The_Little_Hours</v>
      </c>
      <c r="L144" s="1" t="str">
        <f t="shared" si="9"/>
        <v>The_Little_Hours</v>
      </c>
      <c r="M144" s="1" t="b">
        <f t="shared" si="10"/>
        <v>1</v>
      </c>
    </row>
    <row r="145" spans="2:13" x14ac:dyDescent="0.2">
      <c r="B145" s="3" t="s">
        <v>210</v>
      </c>
      <c r="C145" s="3" t="s">
        <v>211</v>
      </c>
      <c r="D145" s="14" t="s">
        <v>2932</v>
      </c>
      <c r="E145" s="15" t="s">
        <v>212</v>
      </c>
      <c r="F145" s="15" t="s">
        <v>6</v>
      </c>
      <c r="G145" s="15" t="str">
        <f>IFERROR(INDEX('BOM2017'!F:F,MATCH(Wiki!B145,'BOM2017'!C:C,0)),INDEX('BOM2017'!F:F,MATCH(Wiki!B145,'BOM2017'!D:D,0)))</f>
        <v>$8,580,410</v>
      </c>
      <c r="H145" s="15" t="str">
        <f>IFERROR(INDEX('BOM2017'!H:H,MATCH(Wiki!B145,'BOM2017'!C:C,0)),INDEX('BOM2017'!H:H,MATCH(Wiki!B145,'BOM2017'!D:D,0)))</f>
        <v>$110,175</v>
      </c>
      <c r="I145" s="16" t="str">
        <f>IFERROR(INDEX('BOM2017'!H:H,MATCH(Wiki!B145,'BOM2017'!C:C,0)),INDEX('BOM2017'!H:H,MATCH(Wiki!B145,'BOM2017'!D:D,0)))</f>
        <v>$110,175</v>
      </c>
      <c r="J145" s="1" t="str">
        <f t="shared" si="8"/>
        <v>https://en.wikipedia.org/wiki/The_Lost_City_of_Z_(film)</v>
      </c>
      <c r="K145" s="11" t="str">
        <f t="shared" si="11"/>
        <v>The_Lost_City_of_Z_(film)</v>
      </c>
      <c r="L145" s="1" t="str">
        <f t="shared" si="9"/>
        <v>The_Lost_City_of_Z</v>
      </c>
      <c r="M145" s="1" t="b">
        <f t="shared" si="10"/>
        <v>0</v>
      </c>
    </row>
    <row r="146" spans="2:13" x14ac:dyDescent="0.2">
      <c r="B146" s="3" t="s">
        <v>246</v>
      </c>
      <c r="C146" s="3" t="s">
        <v>38</v>
      </c>
      <c r="D146" s="14" t="s">
        <v>2933</v>
      </c>
      <c r="E146" s="15" t="s">
        <v>247</v>
      </c>
      <c r="F146" s="15" t="s">
        <v>6</v>
      </c>
      <c r="G146" s="15" t="str">
        <f>IFERROR(INDEX('BOM2017'!F:F,MATCH(Wiki!B146,'BOM2017'!C:C,0)),INDEX('BOM2017'!F:F,MATCH(Wiki!B146,'BOM2017'!D:D,0)))</f>
        <v>$2,194,521</v>
      </c>
      <c r="H146" s="15" t="str">
        <f>IFERROR(INDEX('BOM2017'!H:H,MATCH(Wiki!B146,'BOM2017'!C:C,0)),INDEX('BOM2017'!H:H,MATCH(Wiki!B146,'BOM2017'!D:D,0)))</f>
        <v>$66,286</v>
      </c>
      <c r="I146" s="16" t="str">
        <f>IFERROR(INDEX('BOM2017'!H:H,MATCH(Wiki!B146,'BOM2017'!C:C,0)),INDEX('BOM2017'!H:H,MATCH(Wiki!B146,'BOM2017'!D:D,0)))</f>
        <v>$66,286</v>
      </c>
      <c r="J146" s="1" t="str">
        <f t="shared" si="8"/>
        <v>https://en.wikipedia.org/wiki/The_Lovers_(2017_film)</v>
      </c>
      <c r="K146" s="11" t="str">
        <f t="shared" si="11"/>
        <v>The_Lovers_(2017_film)</v>
      </c>
      <c r="L146" s="1" t="str">
        <f t="shared" si="9"/>
        <v>The_Lovers</v>
      </c>
      <c r="M146" s="1" t="b">
        <f t="shared" si="10"/>
        <v>0</v>
      </c>
    </row>
    <row r="147" spans="2:13" x14ac:dyDescent="0.2">
      <c r="B147" s="3" t="s">
        <v>503</v>
      </c>
      <c r="C147" s="3" t="s">
        <v>143</v>
      </c>
      <c r="D147" s="14" t="s">
        <v>2934</v>
      </c>
      <c r="E147" s="15" t="s">
        <v>67</v>
      </c>
      <c r="F147" s="15" t="s">
        <v>6</v>
      </c>
      <c r="G147" s="15" t="str">
        <f>IFERROR(INDEX('BOM2017'!F:F,MATCH(Wiki!B147,'BOM2017'!C:C,0)),INDEX('BOM2017'!F:F,MATCH(Wiki!B147,'BOM2017'!D:D,0)))</f>
        <v>$5,675,791</v>
      </c>
      <c r="H147" s="15" t="str">
        <f>IFERROR(INDEX('BOM2017'!H:H,MATCH(Wiki!B147,'BOM2017'!C:C,0)),INDEX('BOM2017'!H:H,MATCH(Wiki!B147,'BOM2017'!D:D,0)))</f>
        <v>$1,357,129</v>
      </c>
      <c r="I147" s="16" t="str">
        <f>IFERROR(INDEX('BOM2017'!H:H,MATCH(Wiki!B147,'BOM2017'!C:C,0)),INDEX('BOM2017'!H:H,MATCH(Wiki!B147,'BOM2017'!D:D,0)))</f>
        <v>$1,357,129</v>
      </c>
      <c r="J147" s="1" t="str">
        <f t="shared" si="8"/>
        <v>https://en.wikipedia.org/wiki/The_Man_Who_Invented_Christmas_(film)</v>
      </c>
      <c r="K147" s="11" t="str">
        <f t="shared" si="11"/>
        <v>The_Man_Who_Invented_Christmas_(film)</v>
      </c>
      <c r="L147" s="1" t="str">
        <f t="shared" si="9"/>
        <v>The_Man_Who_Invented_Christmas</v>
      </c>
      <c r="M147" s="1" t="b">
        <f t="shared" si="10"/>
        <v>0</v>
      </c>
    </row>
    <row r="148" spans="2:13" x14ac:dyDescent="0.2">
      <c r="B148" s="3" t="s">
        <v>360</v>
      </c>
      <c r="C148" s="14" t="s">
        <v>2899</v>
      </c>
      <c r="D148" s="15" t="s">
        <v>2935</v>
      </c>
      <c r="E148" s="15" t="s">
        <v>162</v>
      </c>
      <c r="F148" s="15" t="s">
        <v>361</v>
      </c>
      <c r="G148" s="15" t="str">
        <f>IFERROR(INDEX('BOM2017'!F:F,MATCH(Wiki!B148,'BOM2017'!C:C,0)),INDEX('BOM2017'!F:F,MATCH(Wiki!B148,'BOM2017'!D:D,0)))</f>
        <v>$28,370,522</v>
      </c>
      <c r="H148" s="15" t="str">
        <f>IFERROR(INDEX('BOM2017'!H:H,MATCH(Wiki!B148,'BOM2017'!C:C,0)),INDEX('BOM2017'!H:H,MATCH(Wiki!B148,'BOM2017'!D:D,0)))</f>
        <v>$8,342,311</v>
      </c>
      <c r="I148" s="16" t="str">
        <f>IFERROR(INDEX('BOM2017'!H:H,MATCH(Wiki!B148,'BOM2017'!C:C,0)),INDEX('BOM2017'!H:H,MATCH(Wiki!B148,'BOM2017'!D:D,0)))</f>
        <v>$8,342,311</v>
      </c>
      <c r="J148" s="1" t="str">
        <f t="shared" si="8"/>
        <v>https://en.wikipedia.org/wiki/The_Nut_Job_2:_Nutty_by_Nature</v>
      </c>
      <c r="K148" s="11" t="str">
        <f t="shared" si="11"/>
        <v>The_Nut_Job_2:_Nutty_by_Nature</v>
      </c>
      <c r="L148" s="1" t="str">
        <f t="shared" si="9"/>
        <v>The_Nut_Job_2:_Nutty_by_Nature</v>
      </c>
      <c r="M148" s="1" t="b">
        <f t="shared" si="10"/>
        <v>1</v>
      </c>
    </row>
    <row r="149" spans="2:13" x14ac:dyDescent="0.2">
      <c r="B149" s="3" t="s">
        <v>364</v>
      </c>
      <c r="C149" s="14" t="s">
        <v>2936</v>
      </c>
      <c r="D149" s="14" t="s">
        <v>2937</v>
      </c>
      <c r="E149" s="15" t="s">
        <v>24</v>
      </c>
      <c r="F149" s="15" t="s">
        <v>6</v>
      </c>
      <c r="G149" s="15" t="str">
        <f>IFERROR(INDEX('BOM2017'!F:F,MATCH(Wiki!B149,'BOM2017'!C:C,0)),INDEX('BOM2017'!F:F,MATCH(Wiki!B149,'BOM2017'!D:D,0)))</f>
        <v>$624,332</v>
      </c>
      <c r="H149" s="15" t="str">
        <f>IFERROR(INDEX('BOM2017'!H:H,MATCH(Wiki!B149,'BOM2017'!C:C,0)),INDEX('BOM2017'!H:H,MATCH(Wiki!B149,'BOM2017'!D:D,0)))</f>
        <v>$54,458</v>
      </c>
      <c r="I149" s="16" t="str">
        <f>IFERROR(INDEX('BOM2017'!H:H,MATCH(Wiki!B149,'BOM2017'!C:C,0)),INDEX('BOM2017'!H:H,MATCH(Wiki!B149,'BOM2017'!D:D,0)))</f>
        <v>$54,458</v>
      </c>
      <c r="J149" s="1" t="str">
        <f t="shared" si="8"/>
        <v>https://en.wikipedia.org/wiki/The_Only_Living_Boy_in_New_York_(film)</v>
      </c>
      <c r="K149" s="11" t="str">
        <f t="shared" si="11"/>
        <v>The_Only_Living_Boy_in_New_York_(film)</v>
      </c>
      <c r="L149" s="1" t="str">
        <f t="shared" si="9"/>
        <v>The_Only_Living_Boy_in_New_York</v>
      </c>
      <c r="M149" s="1" t="b">
        <f t="shared" si="10"/>
        <v>0</v>
      </c>
    </row>
    <row r="150" spans="2:13" x14ac:dyDescent="0.2">
      <c r="B150" s="3" t="s">
        <v>215</v>
      </c>
      <c r="C150" s="15" t="s">
        <v>216</v>
      </c>
      <c r="D150" s="15" t="s">
        <v>2938</v>
      </c>
      <c r="E150" s="15" t="s">
        <v>91</v>
      </c>
      <c r="F150" s="15" t="s">
        <v>6</v>
      </c>
      <c r="G150" s="15" t="str">
        <f>IFERROR(INDEX('BOM2017'!F:F,MATCH(Wiki!B150,'BOM2017'!C:C,0)),INDEX('BOM2017'!F:F,MATCH(Wiki!B150,'BOM2017'!D:D,0)))</f>
        <v>$1,455</v>
      </c>
      <c r="H150" s="15" t="str">
        <f>IFERROR(INDEX('BOM2017'!H:H,MATCH(Wiki!B150,'BOM2017'!C:C,0)),INDEX('BOM2017'!H:H,MATCH(Wiki!B150,'BOM2017'!D:D,0)))</f>
        <v>$1,008</v>
      </c>
      <c r="I150" s="16" t="str">
        <f>IFERROR(INDEX('BOM2017'!H:H,MATCH(Wiki!B150,'BOM2017'!C:C,0)),INDEX('BOM2017'!H:H,MATCH(Wiki!B150,'BOM2017'!D:D,0)))</f>
        <v>$1,008</v>
      </c>
      <c r="J150" s="1" t="str">
        <f t="shared" si="8"/>
        <v>https://en.wikipedia.org/wiki/The_Outcasts_(2017_film)</v>
      </c>
      <c r="K150" s="11" t="str">
        <f t="shared" si="11"/>
        <v>The_Outcasts_(2017_film)</v>
      </c>
      <c r="L150" s="1" t="str">
        <f t="shared" si="9"/>
        <v>The_Outcasts</v>
      </c>
      <c r="M150" s="1" t="b">
        <f t="shared" si="10"/>
        <v>0</v>
      </c>
    </row>
    <row r="151" spans="2:13" x14ac:dyDescent="0.2">
      <c r="B151" s="3" t="s">
        <v>227</v>
      </c>
      <c r="C151" s="3" t="s">
        <v>128</v>
      </c>
      <c r="D151" s="14" t="s">
        <v>2939</v>
      </c>
      <c r="E151" s="15" t="s">
        <v>24</v>
      </c>
      <c r="F151" s="3" t="s">
        <v>228</v>
      </c>
      <c r="G151" s="15" t="str">
        <f>IFERROR(INDEX('BOM2017'!F:F,MATCH(Wiki!B151,'BOM2017'!C:C,0)),INDEX('BOM2017'!F:F,MATCH(Wiki!B151,'BOM2017'!D:D,0)))</f>
        <v>$8,224,288</v>
      </c>
      <c r="H151" s="15" t="str">
        <f>IFERROR(INDEX('BOM2017'!H:H,MATCH(Wiki!B151,'BOM2017'!C:C,0)),INDEX('BOM2017'!H:H,MATCH(Wiki!B151,'BOM2017'!D:D,0)))</f>
        <v>$4,095,718</v>
      </c>
      <c r="I151" s="16" t="str">
        <f>IFERROR(INDEX('BOM2017'!H:H,MATCH(Wiki!B151,'BOM2017'!C:C,0)),INDEX('BOM2017'!H:H,MATCH(Wiki!B151,'BOM2017'!D:D,0)))</f>
        <v>$4,095,718</v>
      </c>
      <c r="J151" s="1" t="str">
        <f t="shared" si="8"/>
        <v>https://en.wikipedia.org/wiki/The_Promise_(2016_American_film)</v>
      </c>
      <c r="K151" s="11" t="str">
        <f t="shared" si="11"/>
        <v>The_Promise_(2016_American_film)</v>
      </c>
      <c r="L151" s="1" t="str">
        <f t="shared" si="9"/>
        <v>The_Promise</v>
      </c>
      <c r="M151" s="1" t="b">
        <f t="shared" si="10"/>
        <v>0</v>
      </c>
    </row>
    <row r="152" spans="2:13" x14ac:dyDescent="0.2">
      <c r="B152" s="3" t="s">
        <v>285</v>
      </c>
      <c r="C152" s="14" t="s">
        <v>2940</v>
      </c>
      <c r="D152" s="15" t="s">
        <v>2941</v>
      </c>
      <c r="E152" s="15" t="s">
        <v>286</v>
      </c>
      <c r="F152" s="15" t="s">
        <v>136</v>
      </c>
      <c r="G152" s="15" t="str">
        <f>IFERROR(INDEX('BOM2017'!F:F,MATCH(Wiki!B152,'BOM2017'!C:C,0)),INDEX('BOM2017'!F:F,MATCH(Wiki!B152,'BOM2017'!D:D,0)))</f>
        <v>$22,943</v>
      </c>
      <c r="H152" s="15" t="str">
        <f>IFERROR(INDEX('BOM2017'!H:H,MATCH(Wiki!B152,'BOM2017'!C:C,0)),INDEX('BOM2017'!H:H,MATCH(Wiki!B152,'BOM2017'!D:D,0)))</f>
        <v>$6,570</v>
      </c>
      <c r="I152" s="16" t="str">
        <f>IFERROR(INDEX('BOM2017'!H:H,MATCH(Wiki!B152,'BOM2017'!C:C,0)),INDEX('BOM2017'!H:H,MATCH(Wiki!B152,'BOM2017'!D:D,0)))</f>
        <v>$6,570</v>
      </c>
      <c r="J152" s="1" t="str">
        <f t="shared" si="8"/>
        <v>https://en.wikipedia.org/wiki/The_Recall</v>
      </c>
      <c r="K152" s="11" t="str">
        <f t="shared" si="11"/>
        <v>The_Recall</v>
      </c>
      <c r="L152" s="1" t="str">
        <f t="shared" si="9"/>
        <v>The_Recall</v>
      </c>
      <c r="M152" s="1" t="b">
        <f t="shared" si="10"/>
        <v>1</v>
      </c>
    </row>
    <row r="153" spans="2:13" x14ac:dyDescent="0.2">
      <c r="B153" s="3" t="s">
        <v>45</v>
      </c>
      <c r="C153" s="3" t="s">
        <v>46</v>
      </c>
      <c r="D153" s="3" t="s">
        <v>47</v>
      </c>
      <c r="E153" s="15" t="s">
        <v>48</v>
      </c>
      <c r="F153" s="15" t="s">
        <v>2942</v>
      </c>
      <c r="G153" s="15" t="str">
        <f>IFERROR(INDEX('BOM2017'!F:F,MATCH(Wiki!B153,'BOM2017'!C:C,0)),INDEX('BOM2017'!F:F,MATCH(Wiki!B153,'BOM2017'!D:D,0)))</f>
        <v>$921,974</v>
      </c>
      <c r="H153" s="15" t="str">
        <f>IFERROR(INDEX('BOM2017'!H:H,MATCH(Wiki!B153,'BOM2017'!C:C,0)),INDEX('BOM2017'!H:H,MATCH(Wiki!B153,'BOM2017'!D:D,0)))</f>
        <v>$21,010</v>
      </c>
      <c r="I153" s="16" t="str">
        <f>IFERROR(INDEX('BOM2017'!H:H,MATCH(Wiki!B153,'BOM2017'!C:C,0)),INDEX('BOM2017'!H:H,MATCH(Wiki!B153,'BOM2017'!D:D,0)))</f>
        <v>$21,010</v>
      </c>
      <c r="J153" s="1" t="str">
        <f t="shared" si="8"/>
        <v>https://en.wikipedia.org/wiki/The_Red_Turtle</v>
      </c>
      <c r="K153" s="11" t="str">
        <f t="shared" si="11"/>
        <v>The_Red_Turtle</v>
      </c>
      <c r="L153" s="1" t="str">
        <f t="shared" si="9"/>
        <v>The_Red_Turtle</v>
      </c>
      <c r="M153" s="1" t="b">
        <f t="shared" si="10"/>
        <v>1</v>
      </c>
    </row>
    <row r="154" spans="2:13" x14ac:dyDescent="0.2">
      <c r="B154" s="3" t="s">
        <v>35</v>
      </c>
      <c r="C154" s="14" t="s">
        <v>2943</v>
      </c>
      <c r="D154" s="15" t="s">
        <v>2944</v>
      </c>
      <c r="E154" s="15" t="s">
        <v>36</v>
      </c>
      <c r="F154" s="15" t="s">
        <v>6</v>
      </c>
      <c r="G154" s="15" t="e">
        <f>IFERROR(INDEX('BOM2017'!F:F,MATCH(Wiki!B154,'BOM2017'!C:C,0)),INDEX('BOM2017'!F:F,MATCH(Wiki!B154,'BOM2017'!D:D,0)))</f>
        <v>#N/A</v>
      </c>
      <c r="H154" s="15" t="e">
        <f>IFERROR(INDEX('BOM2017'!H:H,MATCH(Wiki!B154,'BOM2017'!C:C,0)),INDEX('BOM2017'!H:H,MATCH(Wiki!B154,'BOM2017'!D:D,0)))</f>
        <v>#N/A</v>
      </c>
      <c r="I154" s="16" t="e">
        <f>IFERROR(INDEX('BOM2017'!H:H,MATCH(Wiki!B154,'BOM2017'!C:C,0)),INDEX('BOM2017'!H:H,MATCH(Wiki!B154,'BOM2017'!D:D,0)))</f>
        <v>#N/A</v>
      </c>
      <c r="J154" s="1" t="str">
        <f t="shared" si="8"/>
        <v>https://en.wikipedia.org/wiki/The_Resurrection_of_Gavin_Stone</v>
      </c>
      <c r="K154" s="11" t="str">
        <f t="shared" si="11"/>
        <v>The_Resurrection_of_Gavin_Stone</v>
      </c>
      <c r="L154" s="1" t="str">
        <f t="shared" si="9"/>
        <v>The_Resurrection_of_Gavin_Stone</v>
      </c>
      <c r="M154" s="1" t="b">
        <f t="shared" si="10"/>
        <v>1</v>
      </c>
    </row>
    <row r="155" spans="2:13" x14ac:dyDescent="0.2">
      <c r="B155" s="3" t="s">
        <v>518</v>
      </c>
      <c r="C155" s="3" t="s">
        <v>97</v>
      </c>
      <c r="D155" s="14" t="s">
        <v>2945</v>
      </c>
      <c r="E155" s="15" t="s">
        <v>519</v>
      </c>
      <c r="F155" s="15" t="s">
        <v>6</v>
      </c>
      <c r="G155" s="15" t="str">
        <f>IFERROR(INDEX('BOM2017'!F:F,MATCH(Wiki!B155,'BOM2017'!C:C,0)),INDEX('BOM2017'!F:F,MATCH(Wiki!B155,'BOM2017'!D:D,0)))</f>
        <v>$30,441,204</v>
      </c>
      <c r="H155" s="15" t="str">
        <f>IFERROR(INDEX('BOM2017'!H:H,MATCH(Wiki!B155,'BOM2017'!C:C,0)),INDEX('BOM2017'!H:H,MATCH(Wiki!B155,'BOM2017'!D:D,0)))</f>
        <v>$166,564</v>
      </c>
      <c r="I155" s="16" t="str">
        <f>IFERROR(INDEX('BOM2017'!H:H,MATCH(Wiki!B155,'BOM2017'!C:C,0)),INDEX('BOM2017'!H:H,MATCH(Wiki!B155,'BOM2017'!D:D,0)))</f>
        <v>$166,564</v>
      </c>
      <c r="J155" s="1" t="str">
        <f t="shared" si="8"/>
        <v>https://en.wikipedia.org/wiki/The_Shape_of_Water_(film)</v>
      </c>
      <c r="K155" s="11" t="str">
        <f t="shared" si="11"/>
        <v>The_Shape_of_Water_(film)</v>
      </c>
      <c r="L155" s="1" t="str">
        <f t="shared" si="9"/>
        <v>The_Shape_of_Water</v>
      </c>
      <c r="M155" s="1" t="b">
        <f t="shared" si="10"/>
        <v>0</v>
      </c>
    </row>
    <row r="156" spans="2:13" x14ac:dyDescent="0.2">
      <c r="B156" s="3" t="s">
        <v>77</v>
      </c>
      <c r="C156" s="14" t="s">
        <v>2946</v>
      </c>
      <c r="D156" s="14" t="s">
        <v>2947</v>
      </c>
      <c r="E156" s="15" t="s">
        <v>78</v>
      </c>
      <c r="F156" s="15" t="s">
        <v>6</v>
      </c>
      <c r="G156" s="15" t="str">
        <f>IFERROR(INDEX('BOM2017'!F:F,MATCH(Wiki!B156,'BOM2017'!C:C,0)),INDEX('BOM2017'!F:F,MATCH(Wiki!B156,'BOM2017'!D:D,0)))</f>
        <v>$7,885,294</v>
      </c>
      <c r="H156" s="15" t="str">
        <f>IFERROR(INDEX('BOM2017'!H:H,MATCH(Wiki!B156,'BOM2017'!C:C,0)),INDEX('BOM2017'!H:H,MATCH(Wiki!B156,'BOM2017'!D:D,0)))</f>
        <v>$3,775,596</v>
      </c>
      <c r="I156" s="16" t="str">
        <f>IFERROR(INDEX('BOM2017'!H:H,MATCH(Wiki!B156,'BOM2017'!C:C,0)),INDEX('BOM2017'!H:H,MATCH(Wiki!B156,'BOM2017'!D:D,0)))</f>
        <v>$3,775,596</v>
      </c>
      <c r="J156" s="1" t="str">
        <f t="shared" si="8"/>
        <v>https://en.wikipedia.org/wiki/The_Space_Between_Us_(film)</v>
      </c>
      <c r="K156" s="11" t="str">
        <f t="shared" si="11"/>
        <v>The_Space_Between_Us_(film)</v>
      </c>
      <c r="L156" s="1" t="str">
        <f t="shared" si="9"/>
        <v>The_Space_Between_Us</v>
      </c>
      <c r="M156" s="1" t="b">
        <f t="shared" si="10"/>
        <v>0</v>
      </c>
    </row>
    <row r="157" spans="2:13" x14ac:dyDescent="0.2">
      <c r="B157" s="3" t="s">
        <v>486</v>
      </c>
      <c r="C157" s="3" t="s">
        <v>487</v>
      </c>
      <c r="D157" s="14" t="s">
        <v>2948</v>
      </c>
      <c r="E157" s="15" t="s">
        <v>182</v>
      </c>
      <c r="F157" s="3" t="s">
        <v>488</v>
      </c>
      <c r="G157" s="15" t="e">
        <f>IFERROR(INDEX('BOM2017'!F:F,MATCH(Wiki!B157,'BOM2017'!C:C,0)),INDEX('BOM2017'!F:F,MATCH(Wiki!B157,'BOM2017'!D:D,0)))</f>
        <v>#N/A</v>
      </c>
      <c r="H157" s="15" t="e">
        <f>IFERROR(INDEX('BOM2017'!H:H,MATCH(Wiki!B157,'BOM2017'!C:C,0)),INDEX('BOM2017'!H:H,MATCH(Wiki!B157,'BOM2017'!D:D,0)))</f>
        <v>#N/A</v>
      </c>
      <c r="I157" s="16" t="e">
        <f>IFERROR(INDEX('BOM2017'!H:H,MATCH(Wiki!B157,'BOM2017'!C:C,0)),INDEX('BOM2017'!H:H,MATCH(Wiki!B157,'BOM2017'!D:D,0)))</f>
        <v>#N/A</v>
      </c>
      <c r="J157" s="1" t="str">
        <f t="shared" si="8"/>
        <v>https://en.wikipedia.org/wiki/The_Unknown_Soldier_(2017_film)</v>
      </c>
      <c r="K157" s="11" t="str">
        <f t="shared" si="11"/>
        <v>The_Unknown_Soldier_(2017_film)</v>
      </c>
      <c r="L157" s="1" t="str">
        <f t="shared" si="9"/>
        <v>The_Unknown_Soldier</v>
      </c>
      <c r="M157" s="1" t="b">
        <f t="shared" si="10"/>
        <v>0</v>
      </c>
    </row>
    <row r="158" spans="2:13" x14ac:dyDescent="0.2">
      <c r="B158" s="3" t="s">
        <v>259</v>
      </c>
      <c r="C158" s="3" t="s">
        <v>135</v>
      </c>
      <c r="D158" s="14" t="s">
        <v>2949</v>
      </c>
      <c r="E158" s="15" t="s">
        <v>29</v>
      </c>
      <c r="F158" s="15" t="s">
        <v>6</v>
      </c>
      <c r="G158" s="15" t="str">
        <f>IFERROR(INDEX('BOM2017'!F:F,MATCH(Wiki!B158,'BOM2017'!C:C,0)),INDEX('BOM2017'!F:F,MATCH(Wiki!B158,'BOM2017'!D:D,0)))</f>
        <v>$1,803,064</v>
      </c>
      <c r="H158" s="15" t="str">
        <f>IFERROR(INDEX('BOM2017'!H:H,MATCH(Wiki!B158,'BOM2017'!C:C,0)),INDEX('BOM2017'!H:H,MATCH(Wiki!B158,'BOM2017'!D:D,0)))</f>
        <v>$897,955</v>
      </c>
      <c r="I158" s="16" t="str">
        <f>IFERROR(INDEX('BOM2017'!H:H,MATCH(Wiki!B158,'BOM2017'!C:C,0)),INDEX('BOM2017'!H:H,MATCH(Wiki!B158,'BOM2017'!D:D,0)))</f>
        <v>$897,955</v>
      </c>
      <c r="J158" s="1" t="str">
        <f t="shared" si="8"/>
        <v>https://en.wikipedia.org/wiki/The_Wall_(2017_film)</v>
      </c>
      <c r="K158" s="11" t="str">
        <f t="shared" si="11"/>
        <v>The_Wall_(2017_film)</v>
      </c>
      <c r="L158" s="1" t="str">
        <f t="shared" si="9"/>
        <v>The_Wall</v>
      </c>
      <c r="M158" s="1" t="b">
        <f t="shared" si="10"/>
        <v>0</v>
      </c>
    </row>
    <row r="159" spans="2:13" x14ac:dyDescent="0.2">
      <c r="B159" s="3" t="s">
        <v>261</v>
      </c>
      <c r="C159" s="3" t="s">
        <v>135</v>
      </c>
      <c r="D159" s="3" t="s">
        <v>262</v>
      </c>
      <c r="E159" s="15" t="s">
        <v>51</v>
      </c>
      <c r="F159" s="15" t="s">
        <v>263</v>
      </c>
      <c r="G159" s="15" t="str">
        <f>IFERROR(INDEX('BOM2017'!F:F,MATCH(Wiki!B159,'BOM2017'!C:C,0)),INDEX('BOM2017'!F:F,MATCH(Wiki!B159,'BOM2017'!D:D,0)))</f>
        <v>$1,412,404</v>
      </c>
      <c r="H159" s="15" t="str">
        <f>IFERROR(INDEX('BOM2017'!H:H,MATCH(Wiki!B159,'BOM2017'!C:C,0)),INDEX('BOM2017'!H:H,MATCH(Wiki!B159,'BOM2017'!D:D,0)))</f>
        <v>$31,658</v>
      </c>
      <c r="I159" s="16" t="str">
        <f>IFERROR(INDEX('BOM2017'!H:H,MATCH(Wiki!B159,'BOM2017'!C:C,0)),INDEX('BOM2017'!H:H,MATCH(Wiki!B159,'BOM2017'!D:D,0)))</f>
        <v>$31,658</v>
      </c>
      <c r="J159" s="1" t="str">
        <f t="shared" si="8"/>
        <v>https://en.wikipedia.org/wiki/The_Wedding_Plan</v>
      </c>
      <c r="K159" s="11" t="str">
        <f t="shared" si="11"/>
        <v>The_Wedding_Plan</v>
      </c>
      <c r="L159" s="1" t="str">
        <f t="shared" si="9"/>
        <v>The_Wedding_Plan</v>
      </c>
      <c r="M159" s="1" t="b">
        <f t="shared" si="10"/>
        <v>1</v>
      </c>
    </row>
    <row r="160" spans="2:13" x14ac:dyDescent="0.2">
      <c r="B160" s="3" t="s">
        <v>181</v>
      </c>
      <c r="C160" s="3" t="s">
        <v>154</v>
      </c>
      <c r="D160" s="14" t="s">
        <v>2950</v>
      </c>
      <c r="E160" s="15" t="s">
        <v>182</v>
      </c>
      <c r="F160" s="15" t="s">
        <v>40</v>
      </c>
      <c r="G160" s="15" t="str">
        <f>IFERROR(INDEX('BOM2017'!F:F,MATCH(Wiki!B160,'BOM2017'!C:C,0)),INDEX('BOM2017'!F:F,MATCH(Wiki!B160,'BOM2017'!D:D,0)))</f>
        <v>$17,571,660</v>
      </c>
      <c r="H160" s="15" t="str">
        <f>IFERROR(INDEX('BOM2017'!H:H,MATCH(Wiki!B160,'BOM2017'!C:C,0)),INDEX('BOM2017'!H:H,MATCH(Wiki!B160,'BOM2017'!D:D,0)))</f>
        <v>$3,288,835</v>
      </c>
      <c r="I160" s="16" t="str">
        <f>IFERROR(INDEX('BOM2017'!H:H,MATCH(Wiki!B160,'BOM2017'!C:C,0)),INDEX('BOM2017'!H:H,MATCH(Wiki!B160,'BOM2017'!D:D,0)))</f>
        <v>$3,288,835</v>
      </c>
      <c r="J160" s="1" t="str">
        <f t="shared" si="8"/>
        <v>https://en.wikipedia.org/wiki/The_Zookeeper%27s_Wife_(film)</v>
      </c>
      <c r="K160" s="11" t="str">
        <f t="shared" si="11"/>
        <v>The_Zookeeper%27s_Wife_(film)</v>
      </c>
      <c r="L160" s="1" t="str">
        <f t="shared" si="9"/>
        <v>The_Zookeeper's_Wife</v>
      </c>
      <c r="M160" s="1" t="b">
        <f t="shared" si="10"/>
        <v>0</v>
      </c>
    </row>
    <row r="161" spans="2:13" x14ac:dyDescent="0.2">
      <c r="B161" s="3" t="s">
        <v>37</v>
      </c>
      <c r="C161" s="3" t="s">
        <v>38</v>
      </c>
      <c r="D161" s="14" t="s">
        <v>2951</v>
      </c>
      <c r="E161" s="15" t="s">
        <v>39</v>
      </c>
      <c r="F161" s="15" t="s">
        <v>40</v>
      </c>
      <c r="G161" s="15" t="str">
        <f>IFERROR(INDEX('BOM2017'!F:F,MATCH(Wiki!B161,'BOM2017'!C:C,0)),INDEX('BOM2017'!F:F,MATCH(Wiki!B161,'BOM2017'!D:D,0)))</f>
        <v>$5,711</v>
      </c>
      <c r="H161" s="15" t="str">
        <f>IFERROR(INDEX('BOM2017'!H:H,MATCH(Wiki!B161,'BOM2017'!C:C,0)),INDEX('BOM2017'!H:H,MATCH(Wiki!B161,'BOM2017'!D:D,0)))</f>
        <v>$1,620</v>
      </c>
      <c r="I161" s="16" t="str">
        <f>IFERROR(INDEX('BOM2017'!H:H,MATCH(Wiki!B161,'BOM2017'!C:C,0)),INDEX('BOM2017'!H:H,MATCH(Wiki!B161,'BOM2017'!D:D,0)))</f>
        <v>$1,620</v>
      </c>
      <c r="J161" s="1" t="str">
        <f t="shared" si="8"/>
        <v>https://en.wikipedia.org/wiki/Trespass_Against_Us</v>
      </c>
      <c r="K161" s="11" t="str">
        <f t="shared" si="11"/>
        <v>Trespass_Against_Us</v>
      </c>
      <c r="L161" s="1" t="str">
        <f t="shared" si="9"/>
        <v>Trespass_Against_Us</v>
      </c>
      <c r="M161" s="1" t="b">
        <f t="shared" si="10"/>
        <v>1</v>
      </c>
    </row>
    <row r="162" spans="2:13" x14ac:dyDescent="0.2">
      <c r="B162" s="3" t="s">
        <v>224</v>
      </c>
      <c r="C162" s="14" t="s">
        <v>2794</v>
      </c>
      <c r="D162" s="14" t="s">
        <v>2952</v>
      </c>
      <c r="E162" s="15" t="s">
        <v>43</v>
      </c>
      <c r="F162" s="15" t="s">
        <v>6</v>
      </c>
      <c r="G162" s="15" t="str">
        <f>IFERROR(INDEX('BOM2017'!F:F,MATCH(Wiki!B162,'BOM2017'!C:C,0)),INDEX('BOM2017'!F:F,MATCH(Wiki!B162,'BOM2017'!D:D,0)))</f>
        <v>$11,368,012</v>
      </c>
      <c r="H162" s="15" t="str">
        <f>IFERROR(INDEX('BOM2017'!H:H,MATCH(Wiki!B162,'BOM2017'!C:C,0)),INDEX('BOM2017'!H:H,MATCH(Wiki!B162,'BOM2017'!D:D,0)))</f>
        <v>$4,785,431</v>
      </c>
      <c r="I162" s="16" t="str">
        <f>IFERROR(INDEX('BOM2017'!H:H,MATCH(Wiki!B162,'BOM2017'!C:C,0)),INDEX('BOM2017'!H:H,MATCH(Wiki!B162,'BOM2017'!D:D,0)))</f>
        <v>$4,785,431</v>
      </c>
      <c r="J162" s="1" t="str">
        <f t="shared" si="8"/>
        <v>https://en.wikipedia.org/wiki/Unforgettable_(2017_film)</v>
      </c>
      <c r="K162" s="11" t="str">
        <f t="shared" si="11"/>
        <v>Unforgettable_(2017_film)</v>
      </c>
      <c r="L162" s="1" t="str">
        <f t="shared" si="9"/>
        <v>Unforgettable</v>
      </c>
      <c r="M162" s="1" t="b">
        <f t="shared" si="10"/>
        <v>0</v>
      </c>
    </row>
    <row r="163" spans="2:13" x14ac:dyDescent="0.2">
      <c r="B163" s="3" t="s">
        <v>380</v>
      </c>
      <c r="C163" s="3" t="s">
        <v>199</v>
      </c>
      <c r="D163" s="14" t="s">
        <v>2953</v>
      </c>
      <c r="E163" s="15" t="s">
        <v>21</v>
      </c>
      <c r="F163" s="15" t="s">
        <v>40</v>
      </c>
      <c r="G163" s="15" t="e">
        <f>IFERROR(INDEX('BOM2017'!F:F,MATCH(Wiki!B163,'BOM2017'!C:C,0)),INDEX('BOM2017'!F:F,MATCH(Wiki!B163,'BOM2017'!D:D,0)))</f>
        <v>#N/A</v>
      </c>
      <c r="H163" s="15" t="e">
        <f>IFERROR(INDEX('BOM2017'!H:H,MATCH(Wiki!B163,'BOM2017'!C:C,0)),INDEX('BOM2017'!H:H,MATCH(Wiki!B163,'BOM2017'!D:D,0)))</f>
        <v>#N/A</v>
      </c>
      <c r="I163" s="16" t="e">
        <f>IFERROR(INDEX('BOM2017'!H:H,MATCH(Wiki!B163,'BOM2017'!C:C,0)),INDEX('BOM2017'!H:H,MATCH(Wiki!B163,'BOM2017'!D:D,0)))</f>
        <v>#N/A</v>
      </c>
      <c r="J163" s="1" t="str">
        <f t="shared" si="8"/>
        <v>https://en.wikipedia.org/wiki/Unlocked_(2017_film)</v>
      </c>
      <c r="K163" s="11" t="str">
        <f t="shared" si="11"/>
        <v>Unlocked_(2017_film)</v>
      </c>
      <c r="L163" s="1" t="str">
        <f t="shared" si="9"/>
        <v>Unlocked</v>
      </c>
      <c r="M163" s="1" t="b">
        <f t="shared" si="10"/>
        <v>0</v>
      </c>
    </row>
    <row r="164" spans="2:13" x14ac:dyDescent="0.2">
      <c r="B164" s="3" t="s">
        <v>430</v>
      </c>
      <c r="C164" s="14" t="s">
        <v>2954</v>
      </c>
      <c r="D164" s="14" t="s">
        <v>2955</v>
      </c>
      <c r="E164" s="15" t="s">
        <v>67</v>
      </c>
      <c r="F164" s="15" t="s">
        <v>243</v>
      </c>
      <c r="G164" s="15" t="e">
        <f>IFERROR(INDEX('BOM2017'!F:F,MATCH(Wiki!B164,'BOM2017'!C:C,0)),INDEX('BOM2017'!F:F,MATCH(Wiki!B164,'BOM2017'!D:D,0)))</f>
        <v>#N/A</v>
      </c>
      <c r="H164" s="15" t="e">
        <f>IFERROR(INDEX('BOM2017'!H:H,MATCH(Wiki!B164,'BOM2017'!C:C,0)),INDEX('BOM2017'!H:H,MATCH(Wiki!B164,'BOM2017'!D:D,0)))</f>
        <v>#N/A</v>
      </c>
      <c r="I164" s="16" t="e">
        <f>IFERROR(INDEX('BOM2017'!H:H,MATCH(Wiki!B164,'BOM2017'!C:C,0)),INDEX('BOM2017'!H:H,MATCH(Wiki!B164,'BOM2017'!D:D,0)))</f>
        <v>#N/A</v>
      </c>
      <c r="J164" s="1" t="str">
        <f t="shared" si="8"/>
        <v>https://en.wikipedia.org/wiki/Victoria_%26_Abdul</v>
      </c>
      <c r="K164" s="11" t="str">
        <f t="shared" si="11"/>
        <v>Victoria_%26_Abdul</v>
      </c>
      <c r="L164" s="1" t="str">
        <f t="shared" si="9"/>
        <v>Victoria_&amp;_Abdul</v>
      </c>
      <c r="M164" s="1" t="b">
        <f t="shared" si="10"/>
        <v>0</v>
      </c>
    </row>
    <row r="165" spans="2:13" x14ac:dyDescent="0.2">
      <c r="B165" s="3" t="s">
        <v>272</v>
      </c>
      <c r="C165" s="3" t="s">
        <v>10</v>
      </c>
      <c r="D165" s="14" t="s">
        <v>2956</v>
      </c>
      <c r="E165" s="15" t="s">
        <v>24</v>
      </c>
      <c r="F165" s="15" t="s">
        <v>6</v>
      </c>
      <c r="G165" s="15" t="str">
        <f>IFERROR(INDEX('BOM2017'!F:F,MATCH(Wiki!B165,'BOM2017'!C:C,0)),INDEX('BOM2017'!F:F,MATCH(Wiki!B165,'BOM2017'!D:D,0)))</f>
        <v>$262,599</v>
      </c>
      <c r="H165" s="15" t="str">
        <f>IFERROR(INDEX('BOM2017'!H:H,MATCH(Wiki!B165,'BOM2017'!C:C,0)),INDEX('BOM2017'!H:H,MATCH(Wiki!B165,'BOM2017'!D:D,0)))</f>
        <v>$11,299</v>
      </c>
      <c r="I165" s="16" t="str">
        <f>IFERROR(INDEX('BOM2017'!H:H,MATCH(Wiki!B165,'BOM2017'!C:C,0)),INDEX('BOM2017'!H:H,MATCH(Wiki!B165,'BOM2017'!D:D,0)))</f>
        <v>$11,299</v>
      </c>
      <c r="J165" s="1" t="str">
        <f t="shared" si="8"/>
        <v>https://en.wikipedia.org/wiki/Wakefield_(film)</v>
      </c>
      <c r="K165" s="11" t="str">
        <f t="shared" si="11"/>
        <v>Wakefield_(film)</v>
      </c>
      <c r="L165" s="1" t="str">
        <f t="shared" si="9"/>
        <v>Wakefield</v>
      </c>
      <c r="M165" s="1" t="b">
        <f t="shared" si="10"/>
        <v>0</v>
      </c>
    </row>
    <row r="166" spans="2:13" x14ac:dyDescent="0.2">
      <c r="B166" s="3" t="s">
        <v>281</v>
      </c>
      <c r="C166" s="14" t="s">
        <v>2957</v>
      </c>
      <c r="D166" s="14" t="s">
        <v>2958</v>
      </c>
      <c r="E166" s="15" t="s">
        <v>282</v>
      </c>
      <c r="F166" s="15" t="s">
        <v>6</v>
      </c>
      <c r="G166" s="15" t="e">
        <f>IFERROR(INDEX('BOM2017'!F:F,MATCH(Wiki!B166,'BOM2017'!C:C,0)),INDEX('BOM2017'!F:F,MATCH(Wiki!B166,'BOM2017'!D:D,0)))</f>
        <v>#N/A</v>
      </c>
      <c r="H166" s="15" t="e">
        <f>IFERROR(INDEX('BOM2017'!H:H,MATCH(Wiki!B166,'BOM2017'!C:C,0)),INDEX('BOM2017'!H:H,MATCH(Wiki!B166,'BOM2017'!D:D,0)))</f>
        <v>#N/A</v>
      </c>
      <c r="I166" s="16" t="e">
        <f>IFERROR(INDEX('BOM2017'!H:H,MATCH(Wiki!B166,'BOM2017'!C:C,0)),INDEX('BOM2017'!H:H,MATCH(Wiki!B166,'BOM2017'!D:D,0)))</f>
        <v>#N/A</v>
      </c>
      <c r="J166" s="1" t="str">
        <f t="shared" si="8"/>
        <v>https://en.wikipedia.org/wiki/War_Machine_(film)</v>
      </c>
      <c r="K166" s="11" t="str">
        <f t="shared" si="11"/>
        <v>War_Machine_(film)</v>
      </c>
      <c r="L166" s="1" t="str">
        <f t="shared" si="9"/>
        <v>War_Machine</v>
      </c>
      <c r="M166" s="1" t="b">
        <f t="shared" si="10"/>
        <v>0</v>
      </c>
    </row>
    <row r="167" spans="2:13" x14ac:dyDescent="0.2">
      <c r="B167" s="3" t="s">
        <v>80</v>
      </c>
      <c r="C167" s="3" t="s">
        <v>81</v>
      </c>
      <c r="D167" s="14" t="s">
        <v>2959</v>
      </c>
      <c r="E167" s="15" t="s">
        <v>82</v>
      </c>
      <c r="F167" s="3" t="s">
        <v>83</v>
      </c>
      <c r="G167" s="15" t="e">
        <f>IFERROR(INDEX('BOM2017'!F:F,MATCH(Wiki!B167,'BOM2017'!C:C,0)),INDEX('BOM2017'!F:F,MATCH(Wiki!B167,'BOM2017'!D:D,0)))</f>
        <v>#N/A</v>
      </c>
      <c r="H167" s="15" t="e">
        <f>IFERROR(INDEX('BOM2017'!H:H,MATCH(Wiki!B167,'BOM2017'!C:C,0)),INDEX('BOM2017'!H:H,MATCH(Wiki!B167,'BOM2017'!D:D,0)))</f>
        <v>#N/A</v>
      </c>
      <c r="I167" s="16" t="e">
        <f>IFERROR(INDEX('BOM2017'!H:H,MATCH(Wiki!B167,'BOM2017'!C:C,0)),INDEX('BOM2017'!H:H,MATCH(Wiki!B167,'BOM2017'!D:D,0)))</f>
        <v>#N/A</v>
      </c>
      <c r="J167" s="1" t="str">
        <f t="shared" si="8"/>
        <v>https://en.wikipedia.org/wiki/War_on_Everyone</v>
      </c>
      <c r="K167" s="11" t="str">
        <f t="shared" si="11"/>
        <v>War_on_Everyone</v>
      </c>
      <c r="L167" s="1" t="str">
        <f t="shared" si="9"/>
        <v>War_on_Everyone</v>
      </c>
      <c r="M167" s="1" t="b">
        <f t="shared" si="10"/>
        <v>1</v>
      </c>
    </row>
    <row r="168" spans="2:13" x14ac:dyDescent="0.2">
      <c r="B168" s="3" t="s">
        <v>178</v>
      </c>
      <c r="C168" s="3" t="s">
        <v>97</v>
      </c>
      <c r="D168" s="14" t="s">
        <v>2960</v>
      </c>
      <c r="E168" s="15" t="s">
        <v>36</v>
      </c>
      <c r="F168" s="15" t="s">
        <v>6</v>
      </c>
      <c r="G168" s="15" t="str">
        <f>IFERROR(INDEX('BOM2017'!F:F,MATCH(Wiki!B168,'BOM2017'!C:C,0)),INDEX('BOM2017'!F:F,MATCH(Wiki!B168,'BOM2017'!D:D,0)))</f>
        <v>$653,951</v>
      </c>
      <c r="H168" s="15" t="str">
        <f>IFERROR(INDEX('BOM2017'!H:H,MATCH(Wiki!B168,'BOM2017'!C:C,0)),INDEX('BOM2017'!H:H,MATCH(Wiki!B168,'BOM2017'!D:D,0)))</f>
        <v>$336,227</v>
      </c>
      <c r="I168" s="16" t="str">
        <f>IFERROR(INDEX('BOM2017'!H:H,MATCH(Wiki!B168,'BOM2017'!C:C,0)),INDEX('BOM2017'!H:H,MATCH(Wiki!B168,'BOM2017'!D:D,0)))</f>
        <v>$336,227</v>
      </c>
      <c r="J168" s="1" t="str">
        <f t="shared" si="8"/>
        <v>https://en.wikipedia.org/wiki/Wilson_(2017_film)</v>
      </c>
      <c r="K168" s="11" t="str">
        <f t="shared" si="11"/>
        <v>Wilson_(2017_film)</v>
      </c>
      <c r="L168" s="1" t="str">
        <f t="shared" si="9"/>
        <v>Wilson</v>
      </c>
      <c r="M168" s="1" t="b">
        <f t="shared" si="10"/>
        <v>0</v>
      </c>
    </row>
    <row r="169" spans="2:13" x14ac:dyDescent="0.2">
      <c r="B169" s="3" t="s">
        <v>355</v>
      </c>
      <c r="C169" s="3" t="s">
        <v>249</v>
      </c>
      <c r="D169" s="14" t="s">
        <v>2961</v>
      </c>
      <c r="E169" s="15" t="s">
        <v>29</v>
      </c>
      <c r="F169" s="15" t="s">
        <v>6</v>
      </c>
      <c r="G169" s="15" t="str">
        <f>IFERROR(INDEX('BOM2017'!F:F,MATCH(Wiki!B169,'BOM2017'!C:C,0)),INDEX('BOM2017'!F:F,MATCH(Wiki!B169,'BOM2017'!D:D,0)))</f>
        <v>$33,800,859</v>
      </c>
      <c r="H169" s="15" t="str">
        <f>IFERROR(INDEX('BOM2017'!H:H,MATCH(Wiki!B169,'BOM2017'!C:C,0)),INDEX('BOM2017'!H:H,MATCH(Wiki!B169,'BOM2017'!D:D,0)))</f>
        <v>$161,558</v>
      </c>
      <c r="I169" s="16" t="str">
        <f>IFERROR(INDEX('BOM2017'!H:H,MATCH(Wiki!B169,'BOM2017'!C:C,0)),INDEX('BOM2017'!H:H,MATCH(Wiki!B169,'BOM2017'!D:D,0)))</f>
        <v>$161,558</v>
      </c>
      <c r="J169" s="1" t="str">
        <f t="shared" si="8"/>
        <v>https://en.wikipedia.org/wiki/Wind_River_(film)</v>
      </c>
      <c r="K169" s="11" t="str">
        <f t="shared" si="11"/>
        <v>Wind_River_(film)</v>
      </c>
      <c r="L169" s="1" t="str">
        <f t="shared" si="9"/>
        <v>Wind_River</v>
      </c>
      <c r="M169" s="1" t="b">
        <f t="shared" si="10"/>
        <v>0</v>
      </c>
    </row>
    <row r="170" spans="2:13" x14ac:dyDescent="0.2">
      <c r="B170" s="3" t="s">
        <v>461</v>
      </c>
      <c r="C170" s="3" t="s">
        <v>415</v>
      </c>
      <c r="D170" s="14" t="s">
        <v>2962</v>
      </c>
      <c r="E170" s="15" t="s">
        <v>345</v>
      </c>
      <c r="F170" s="15" t="s">
        <v>6</v>
      </c>
      <c r="G170" s="15" t="str">
        <f>IFERROR(INDEX('BOM2017'!F:F,MATCH(Wiki!B170,'BOM2017'!C:C,0)),INDEX('BOM2017'!F:F,MATCH(Wiki!B170,'BOM2017'!D:D,0)))</f>
        <v>$1,392,830</v>
      </c>
      <c r="H170" s="15" t="str">
        <f>IFERROR(INDEX('BOM2017'!H:H,MATCH(Wiki!B170,'BOM2017'!C:C,0)),INDEX('BOM2017'!H:H,MATCH(Wiki!B170,'BOM2017'!D:D,0)))</f>
        <v>$125,570</v>
      </c>
      <c r="I170" s="16" t="str">
        <f>IFERROR(INDEX('BOM2017'!H:H,MATCH(Wiki!B170,'BOM2017'!C:C,0)),INDEX('BOM2017'!H:H,MATCH(Wiki!B170,'BOM2017'!D:D,0)))</f>
        <v>$125,570</v>
      </c>
      <c r="J170" s="1" t="str">
        <f t="shared" si="8"/>
        <v>https://en.wikipedia.org/wiki/Wonder_Wheel_(film)</v>
      </c>
      <c r="K170" s="11" t="str">
        <f t="shared" si="11"/>
        <v>Wonder_Wheel_(film)</v>
      </c>
      <c r="L170" s="1" t="str">
        <f t="shared" si="9"/>
        <v>Wonder_Wheel</v>
      </c>
      <c r="M170" s="1" t="b">
        <f t="shared" si="10"/>
        <v>0</v>
      </c>
    </row>
    <row r="171" spans="2:13" x14ac:dyDescent="0.2">
      <c r="B171" s="3" t="s">
        <v>429</v>
      </c>
      <c r="C171" s="3" t="s">
        <v>38</v>
      </c>
      <c r="D171" s="14" t="s">
        <v>2963</v>
      </c>
      <c r="E171" s="15" t="s">
        <v>24</v>
      </c>
      <c r="F171" s="15" t="s">
        <v>6</v>
      </c>
      <c r="G171" s="15" t="str">
        <f>IFERROR(INDEX('BOM2017'!F:F,MATCH(Wiki!B171,'BOM2017'!C:C,0)),INDEX('BOM2017'!F:F,MATCH(Wiki!B171,'BOM2017'!D:D,0)))</f>
        <v>$42,603</v>
      </c>
      <c r="H171" s="15" t="str">
        <f>IFERROR(INDEX('BOM2017'!H:H,MATCH(Wiki!B171,'BOM2017'!C:C,0)),INDEX('BOM2017'!H:H,MATCH(Wiki!B171,'BOM2017'!D:D,0)))</f>
        <v>$12,247</v>
      </c>
      <c r="I171" s="16" t="str">
        <f>IFERROR(INDEX('BOM2017'!H:H,MATCH(Wiki!B171,'BOM2017'!C:C,0)),INDEX('BOM2017'!H:H,MATCH(Wiki!B171,'BOM2017'!D:D,0)))</f>
        <v>$12,247</v>
      </c>
      <c r="J171" s="1" t="str">
        <f t="shared" si="8"/>
        <v>https://en.wikipedia.org/wiki/Woodshock</v>
      </c>
      <c r="K171" s="11" t="str">
        <f t="shared" si="11"/>
        <v>Woodshock</v>
      </c>
      <c r="L171" s="1" t="str">
        <f t="shared" si="9"/>
        <v>Woodshock</v>
      </c>
      <c r="M171" s="1" t="b">
        <f t="shared" si="10"/>
        <v>1</v>
      </c>
    </row>
    <row r="172" spans="2:13" x14ac:dyDescent="0.2">
      <c r="B172" s="3" t="s">
        <v>111</v>
      </c>
      <c r="C172" s="3" t="s">
        <v>112</v>
      </c>
      <c r="D172" s="15" t="s">
        <v>2964</v>
      </c>
      <c r="E172" s="15" t="s">
        <v>87</v>
      </c>
      <c r="F172" s="15" t="s">
        <v>6</v>
      </c>
      <c r="G172" s="15" t="str">
        <f>IFERROR(INDEX('BOM2017'!F:F,MATCH(Wiki!B172,'BOM2017'!C:C,0)),INDEX('BOM2017'!F:F,MATCH(Wiki!B172,'BOM2017'!D:D,0)))</f>
        <v>$30,911</v>
      </c>
      <c r="H172" s="15" t="str">
        <f>IFERROR(INDEX('BOM2017'!H:H,MATCH(Wiki!B172,'BOM2017'!C:C,0)),INDEX('BOM2017'!H:H,MATCH(Wiki!B172,'BOM2017'!D:D,0)))</f>
        <v>$6,222</v>
      </c>
      <c r="I172" s="16" t="str">
        <f>IFERROR(INDEX('BOM2017'!H:H,MATCH(Wiki!B172,'BOM2017'!C:C,0)),INDEX('BOM2017'!H:H,MATCH(Wiki!B172,'BOM2017'!D:D,0)))</f>
        <v>$6,222</v>
      </c>
      <c r="J172" s="1" t="str">
        <f t="shared" si="8"/>
        <v>https://en.wikipedia.org/wiki/XX_(film)</v>
      </c>
      <c r="K172" s="11" t="str">
        <f t="shared" si="11"/>
        <v>XX_(film)</v>
      </c>
      <c r="L172" s="1" t="str">
        <f t="shared" si="9"/>
        <v>XX</v>
      </c>
      <c r="M172" s="1" t="b">
        <f t="shared" si="10"/>
        <v>0</v>
      </c>
    </row>
    <row r="173" spans="2:13" x14ac:dyDescent="0.2">
      <c r="B173" s="3" t="s">
        <v>32</v>
      </c>
      <c r="C173" s="14" t="s">
        <v>2965</v>
      </c>
      <c r="D173" s="14" t="s">
        <v>2966</v>
      </c>
      <c r="E173" s="15" t="s">
        <v>33</v>
      </c>
      <c r="F173" s="3" t="s">
        <v>34</v>
      </c>
      <c r="G173" s="15" t="e">
        <f>IFERROR(INDEX('BOM2017'!F:F,MATCH(Wiki!B173,'BOM2017'!C:C,0)),INDEX('BOM2017'!F:F,MATCH(Wiki!B173,'BOM2017'!D:D,0)))</f>
        <v>#N/A</v>
      </c>
      <c r="H173" s="15" t="e">
        <f>IFERROR(INDEX('BOM2017'!H:H,MATCH(Wiki!B173,'BOM2017'!C:C,0)),INDEX('BOM2017'!H:H,MATCH(Wiki!B173,'BOM2017'!D:D,0)))</f>
        <v>#N/A</v>
      </c>
      <c r="I173" s="16" t="e">
        <f>IFERROR(INDEX('BOM2017'!H:H,MATCH(Wiki!B173,'BOM2017'!C:C,0)),INDEX('BOM2017'!H:H,MATCH(Wiki!B173,'BOM2017'!D:D,0)))</f>
        <v>#N/A</v>
      </c>
      <c r="J173" s="1" t="str">
        <f t="shared" si="8"/>
        <v>https://en.wikipedia.org/wiki/XXx:_Return_of_Xander_Cage</v>
      </c>
      <c r="K173" s="11" t="str">
        <f t="shared" si="11"/>
        <v>XXx:_Return_of_Xander_Cage</v>
      </c>
      <c r="L173" s="1" t="str">
        <f t="shared" si="9"/>
        <v>xXx:_Return_of_Xander_Cage</v>
      </c>
      <c r="M173" s="1" t="b">
        <f t="shared" si="10"/>
        <v>1</v>
      </c>
    </row>
    <row r="174" spans="2:13" x14ac:dyDescent="0.2">
      <c r="B174" s="3" t="s">
        <v>200</v>
      </c>
      <c r="C174" s="3" t="s">
        <v>201</v>
      </c>
      <c r="D174" s="3" t="s">
        <v>202</v>
      </c>
      <c r="E174" s="15" t="s">
        <v>203</v>
      </c>
      <c r="F174" s="15" t="s">
        <v>151</v>
      </c>
      <c r="G174" s="15" t="e">
        <f>IFERROR(INDEX('BOM2017'!F:F,MATCH(Wiki!B174,'BOM2017'!C:C,0)),INDEX('BOM2017'!F:F,MATCH(Wiki!B174,'BOM2017'!D:D,0)))</f>
        <v>#N/A</v>
      </c>
      <c r="H174" s="15" t="e">
        <f>IFERROR(INDEX('BOM2017'!H:H,MATCH(Wiki!B174,'BOM2017'!C:C,0)),INDEX('BOM2017'!H:H,MATCH(Wiki!B174,'BOM2017'!D:D,0)))</f>
        <v>#N/A</v>
      </c>
      <c r="I174" s="16" t="e">
        <f>IFERROR(INDEX('BOM2017'!H:H,MATCH(Wiki!B174,'BOM2017'!C:C,0)),INDEX('BOM2017'!H:H,MATCH(Wiki!B174,'BOM2017'!D:D,0)))</f>
        <v>#N/A</v>
      </c>
      <c r="J174" s="1" t="str">
        <f t="shared" si="8"/>
        <v>https://en.wikipedia.org/wiki/Your_Name</v>
      </c>
      <c r="K174" s="11" t="str">
        <f t="shared" si="11"/>
        <v>Your_Name</v>
      </c>
      <c r="L174" s="1" t="str">
        <f t="shared" si="9"/>
        <v>Your_Name</v>
      </c>
      <c r="M174" s="1" t="b">
        <f t="shared" si="10"/>
        <v>1</v>
      </c>
    </row>
    <row r="175" spans="2:13" x14ac:dyDescent="0.2">
      <c r="B175" s="3" t="s">
        <v>79</v>
      </c>
      <c r="C175" s="14" t="s">
        <v>2967</v>
      </c>
      <c r="D175" s="14" t="s">
        <v>2968</v>
      </c>
      <c r="E175" s="15" t="s">
        <v>36</v>
      </c>
      <c r="F175" s="15" t="s">
        <v>6</v>
      </c>
      <c r="G175" s="15" t="e">
        <f>IFERROR(INDEX('BOM2017'!F:F,MATCH(Wiki!B175,'BOM2017'!C:C,0)),INDEX('BOM2017'!F:F,MATCH(Wiki!B175,'BOM2017'!D:D,0)))</f>
        <v>#N/A</v>
      </c>
      <c r="H175" s="15" t="e">
        <f>IFERROR(INDEX('BOM2017'!H:H,MATCH(Wiki!B175,'BOM2017'!C:C,0)),INDEX('BOM2017'!H:H,MATCH(Wiki!B175,'BOM2017'!D:D,0)))</f>
        <v>#N/A</v>
      </c>
      <c r="I175" s="16" t="e">
        <f>IFERROR(INDEX('BOM2017'!H:H,MATCH(Wiki!B175,'BOM2017'!C:C,0)),INDEX('BOM2017'!H:H,MATCH(Wiki!B175,'BOM2017'!D:D,0)))</f>
        <v>#N/A</v>
      </c>
      <c r="J175" s="1" t="str">
        <f t="shared" si="8"/>
        <v>https://en.wikipedia.org/wiki/Youth_in_Oregon</v>
      </c>
      <c r="K175" s="11" t="str">
        <f t="shared" si="11"/>
        <v>Youth_in_Oregon</v>
      </c>
      <c r="L175" s="1" t="str">
        <f t="shared" si="9"/>
        <v>Youth_in_Oregon</v>
      </c>
      <c r="M175" s="1" t="b">
        <f t="shared" si="10"/>
        <v>1</v>
      </c>
    </row>
    <row r="176" spans="2:13" x14ac:dyDescent="0.2">
      <c r="B176" s="3" t="s">
        <v>433</v>
      </c>
      <c r="C176" s="14" t="s">
        <v>2969</v>
      </c>
      <c r="D176" s="14" t="s">
        <v>2970</v>
      </c>
      <c r="E176" s="15" t="s">
        <v>19</v>
      </c>
      <c r="F176" s="15" t="s">
        <v>6</v>
      </c>
      <c r="G176" s="15" t="str">
        <f>IFERROR(INDEX('BOM2017'!F:F,MATCH(Wiki!B176,'BOM2017'!C:C,0)),INDEX('BOM2017'!F:F,MATCH(Wiki!B176,'BOM2017'!D:D,0)))</f>
        <v>$2,335,162</v>
      </c>
      <c r="H176" s="15" t="str">
        <f>IFERROR(INDEX('BOM2017'!H:H,MATCH(Wiki!B176,'BOM2017'!C:C,0)),INDEX('BOM2017'!H:H,MATCH(Wiki!B176,'BOM2017'!D:D,0)))</f>
        <v>$19,151</v>
      </c>
      <c r="I176" s="16" t="str">
        <f>IFERROR(INDEX('BOM2017'!H:H,MATCH(Wiki!B176,'BOM2017'!C:C,0)),INDEX('BOM2017'!H:H,MATCH(Wiki!B176,'BOM2017'!D:D,0)))</f>
        <v>$19,151</v>
      </c>
      <c r="J176" s="1" t="str">
        <f t="shared" si="8"/>
        <v>https://en.wikipedia.org/wiki/Jeepers_Creepers_3</v>
      </c>
      <c r="K176" s="11" t="str">
        <f t="shared" si="11"/>
        <v>Jeepers_Creepers_3</v>
      </c>
      <c r="L176" s="1" t="str">
        <f t="shared" si="9"/>
        <v>Jeepers_Creepers_3</v>
      </c>
      <c r="M176" s="1" t="b">
        <f t="shared" si="10"/>
        <v>1</v>
      </c>
    </row>
    <row r="177" spans="2:13" x14ac:dyDescent="0.2">
      <c r="B177" s="3" t="s">
        <v>514</v>
      </c>
      <c r="C177" s="3" t="s">
        <v>53</v>
      </c>
      <c r="D177" s="14" t="s">
        <v>2971</v>
      </c>
      <c r="E177" s="15" t="s">
        <v>515</v>
      </c>
      <c r="F177" s="15" t="s">
        <v>6</v>
      </c>
      <c r="G177" s="15" t="str">
        <f>IFERROR(INDEX('BOM2017'!F:F,MATCH(Wiki!B177,'BOM2017'!C:C,0)),INDEX('BOM2017'!F:F,MATCH(Wiki!B177,'BOM2017'!D:D,0)))</f>
        <v>$100,719,410</v>
      </c>
      <c r="H177" s="15" t="str">
        <f>IFERROR(INDEX('BOM2017'!H:H,MATCH(Wiki!B177,'BOM2017'!C:C,0)),INDEX('BOM2017'!H:H,MATCH(Wiki!B177,'BOM2017'!D:D,0)))</f>
        <v>$19,928,525</v>
      </c>
      <c r="I177" s="16" t="str">
        <f>IFERROR(INDEX('BOM2017'!H:H,MATCH(Wiki!B177,'BOM2017'!C:C,0)),INDEX('BOM2017'!H:H,MATCH(Wiki!B177,'BOM2017'!D:D,0)))</f>
        <v>$19,928,525</v>
      </c>
      <c r="J177" s="1" t="str">
        <f t="shared" si="8"/>
        <v>https://en.wikipedia.org/wiki/Pitch_Perfect_3</v>
      </c>
      <c r="K177" s="11" t="str">
        <f t="shared" si="11"/>
        <v>Pitch_Perfect_3</v>
      </c>
      <c r="L177" s="1" t="str">
        <f t="shared" si="9"/>
        <v>Pitch_Perfect_3</v>
      </c>
      <c r="M177" s="1" t="b">
        <f t="shared" si="10"/>
        <v>1</v>
      </c>
    </row>
    <row r="178" spans="2:13" x14ac:dyDescent="0.2">
      <c r="B178" s="3" t="s">
        <v>289</v>
      </c>
      <c r="C178" s="3" t="s">
        <v>38</v>
      </c>
      <c r="D178" s="14" t="s">
        <v>2972</v>
      </c>
      <c r="E178" s="15" t="s">
        <v>290</v>
      </c>
      <c r="F178" s="15" t="s">
        <v>6</v>
      </c>
      <c r="G178" s="15" t="str">
        <f>IFERROR(INDEX('BOM2017'!F:F,MATCH(Wiki!B178,'BOM2017'!C:C,0)),INDEX('BOM2017'!F:F,MATCH(Wiki!B178,'BOM2017'!D:D,0)))</f>
        <v>$13,985,117</v>
      </c>
      <c r="H178" s="15" t="str">
        <f>IFERROR(INDEX('BOM2017'!H:H,MATCH(Wiki!B178,'BOM2017'!C:C,0)),INDEX('BOM2017'!H:H,MATCH(Wiki!B178,'BOM2017'!D:D,0)))</f>
        <v>$5,988,370</v>
      </c>
      <c r="I178" s="16" t="str">
        <f>IFERROR(INDEX('BOM2017'!H:H,MATCH(Wiki!B178,'BOM2017'!C:C,0)),INDEX('BOM2017'!H:H,MATCH(Wiki!B178,'BOM2017'!D:D,0)))</f>
        <v>$5,988,370</v>
      </c>
      <c r="J178" s="1" t="str">
        <f t="shared" si="8"/>
        <v>https://en.wikipedia.org/wiki/It_Comes_at_Night</v>
      </c>
      <c r="K178" s="11" t="str">
        <f t="shared" si="11"/>
        <v>It_Comes_at_Night</v>
      </c>
      <c r="L178" s="1" t="str">
        <f t="shared" si="9"/>
        <v>It_Comes_at_Night</v>
      </c>
      <c r="M178" s="1" t="b">
        <f t="shared" si="10"/>
        <v>1</v>
      </c>
    </row>
    <row r="179" spans="2:13" x14ac:dyDescent="0.2">
      <c r="B179" s="3" t="s">
        <v>148</v>
      </c>
      <c r="C179" s="3" t="s">
        <v>149</v>
      </c>
      <c r="D179" s="14" t="s">
        <v>2973</v>
      </c>
      <c r="E179" s="15" t="s">
        <v>150</v>
      </c>
      <c r="F179" s="15" t="s">
        <v>151</v>
      </c>
      <c r="G179" s="15" t="e">
        <f>IFERROR(INDEX('BOM2017'!F:F,MATCH(Wiki!B179,'BOM2017'!C:C,0)),INDEX('BOM2017'!F:F,MATCH(Wiki!B179,'BOM2017'!D:D,0)))</f>
        <v>#N/A</v>
      </c>
      <c r="H179" s="15" t="e">
        <f>IFERROR(INDEX('BOM2017'!H:H,MATCH(Wiki!B179,'BOM2017'!C:C,0)),INDEX('BOM2017'!H:H,MATCH(Wiki!B179,'BOM2017'!D:D,0)))</f>
        <v>#N/A</v>
      </c>
      <c r="I179" s="16" t="e">
        <f>IFERROR(INDEX('BOM2017'!H:H,MATCH(Wiki!B179,'BOM2017'!C:C,0)),INDEX('BOM2017'!H:H,MATCH(Wiki!B179,'BOM2017'!D:D,0)))</f>
        <v>#N/A</v>
      </c>
      <c r="J179" s="1" t="str">
        <f t="shared" si="8"/>
        <v>https://en.wikipedia.org/wiki/Sword_Art_Online_The_Movie:_Ordinal_Scale</v>
      </c>
      <c r="K179" s="11" t="str">
        <f t="shared" si="11"/>
        <v>Sword_Art_Online_The_Movie:_Ordinal_Scale</v>
      </c>
      <c r="L179" s="1" t="str">
        <f t="shared" si="9"/>
        <v>Sword_Art_Online_The_Movie:_Ordinal_Scale</v>
      </c>
      <c r="M179" s="1" t="b">
        <f t="shared" si="10"/>
        <v>1</v>
      </c>
    </row>
    <row r="180" spans="2:13" x14ac:dyDescent="0.2">
      <c r="B180" s="3" t="s">
        <v>462</v>
      </c>
      <c r="C180" s="14" t="s">
        <v>2974</v>
      </c>
      <c r="D180" s="14" t="s">
        <v>2975</v>
      </c>
      <c r="E180" s="15" t="s">
        <v>463</v>
      </c>
      <c r="F180" s="15" t="s">
        <v>88</v>
      </c>
      <c r="G180" s="15" t="str">
        <f>IFERROR(INDEX('BOM2017'!F:F,MATCH(Wiki!B180,'BOM2017'!C:C,0)),INDEX('BOM2017'!F:F,MATCH(Wiki!B180,'BOM2017'!D:D,0)))</f>
        <v>$6,700,035</v>
      </c>
      <c r="H180" s="15" t="str">
        <f>IFERROR(INDEX('BOM2017'!H:H,MATCH(Wiki!B180,'BOM2017'!C:C,0)),INDEX('BOM2017'!H:H,MATCH(Wiki!B180,'BOM2017'!D:D,0)))</f>
        <v>$3,372,565</v>
      </c>
      <c r="I180" s="16" t="str">
        <f>IFERROR(INDEX('BOM2017'!H:H,MATCH(Wiki!B180,'BOM2017'!C:C,0)),INDEX('BOM2017'!H:H,MATCH(Wiki!B180,'BOM2017'!D:D,0)))</f>
        <v>$3,372,565</v>
      </c>
      <c r="J180" s="1" t="str">
        <f t="shared" si="8"/>
        <v>https://en.wikipedia.org/wiki/The_Snowman_(2017_film)</v>
      </c>
      <c r="K180" s="11" t="str">
        <f t="shared" si="11"/>
        <v>The_Snowman_(2017_film)</v>
      </c>
      <c r="L180" s="1" t="str">
        <f t="shared" si="9"/>
        <v>The_Snowman</v>
      </c>
      <c r="M180" s="1" t="b">
        <f t="shared" si="10"/>
        <v>0</v>
      </c>
    </row>
    <row r="181" spans="2:13" x14ac:dyDescent="0.2">
      <c r="B181" s="3" t="s">
        <v>161</v>
      </c>
      <c r="C181" s="14" t="s">
        <v>2976</v>
      </c>
      <c r="D181" s="14" t="s">
        <v>2977</v>
      </c>
      <c r="E181" s="15" t="s">
        <v>162</v>
      </c>
      <c r="F181" s="15" t="s">
        <v>6</v>
      </c>
      <c r="G181" s="15" t="str">
        <f>IFERROR(INDEX('BOM2017'!F:F,MATCH(Wiki!B181,'BOM2017'!C:C,0)),INDEX('BOM2017'!F:F,MATCH(Wiki!B181,'BOM2017'!D:D,0)))</f>
        <v>$175,003,033</v>
      </c>
      <c r="H181" s="15" t="str">
        <f>IFERROR(INDEX('BOM2017'!H:H,MATCH(Wiki!B181,'BOM2017'!C:C,0)),INDEX('BOM2017'!H:H,MATCH(Wiki!B181,'BOM2017'!D:D,0)))</f>
        <v>$50,198,902</v>
      </c>
      <c r="I181" s="16" t="str">
        <f>IFERROR(INDEX('BOM2017'!H:H,MATCH(Wiki!B181,'BOM2017'!C:C,0)),INDEX('BOM2017'!H:H,MATCH(Wiki!B181,'BOM2017'!D:D,0)))</f>
        <v>$50,198,902</v>
      </c>
      <c r="J181" s="1" t="str">
        <f t="shared" si="8"/>
        <v>https://en.wikipedia.org/wiki/The_Boss_Baby</v>
      </c>
      <c r="K181" s="11" t="str">
        <f t="shared" si="11"/>
        <v>The_Boss_Baby</v>
      </c>
      <c r="L181" s="1" t="str">
        <f t="shared" si="9"/>
        <v>The_Boss_Baby</v>
      </c>
      <c r="M181" s="1" t="b">
        <f t="shared" si="10"/>
        <v>1</v>
      </c>
    </row>
    <row r="182" spans="2:13" x14ac:dyDescent="0.2">
      <c r="B182" s="3" t="s">
        <v>267</v>
      </c>
      <c r="C182" s="14" t="s">
        <v>2936</v>
      </c>
      <c r="D182" s="14" t="s">
        <v>2978</v>
      </c>
      <c r="E182" s="15" t="s">
        <v>24</v>
      </c>
      <c r="F182" s="15" t="s">
        <v>6</v>
      </c>
      <c r="G182" s="15" t="str">
        <f>IFERROR(INDEX('BOM2017'!F:F,MATCH(Wiki!B182,'BOM2017'!C:C,0)),INDEX('BOM2017'!F:F,MATCH(Wiki!B182,'BOM2017'!D:D,0)))</f>
        <v>$1,060,377</v>
      </c>
      <c r="H182" s="15" t="str">
        <f>IFERROR(INDEX('BOM2017'!H:H,MATCH(Wiki!B182,'BOM2017'!C:C,0)),INDEX('BOM2017'!H:H,MATCH(Wiki!B182,'BOM2017'!D:D,0)))</f>
        <v>$65,882</v>
      </c>
      <c r="I182" s="16" t="str">
        <f>IFERROR(INDEX('BOM2017'!H:H,MATCH(Wiki!B182,'BOM2017'!C:C,0)),INDEX('BOM2017'!H:H,MATCH(Wiki!B182,'BOM2017'!D:D,0)))</f>
        <v>$65,882</v>
      </c>
      <c r="J182" s="1" t="str">
        <f t="shared" si="8"/>
        <v>https://en.wikipedia.org/wiki/Wonderstruck_(film)</v>
      </c>
      <c r="K182" s="11" t="str">
        <f t="shared" si="11"/>
        <v>Wonderstruck_(film)</v>
      </c>
      <c r="L182" s="1" t="str">
        <f t="shared" si="9"/>
        <v>Wonderstruck</v>
      </c>
      <c r="M182" s="1" t="b">
        <f t="shared" si="10"/>
        <v>0</v>
      </c>
    </row>
    <row r="183" spans="2:13" x14ac:dyDescent="0.2">
      <c r="B183" s="3" t="s">
        <v>504</v>
      </c>
      <c r="C183" s="14" t="s">
        <v>2979</v>
      </c>
      <c r="D183" s="14" t="s">
        <v>2980</v>
      </c>
      <c r="E183" s="15" t="s">
        <v>505</v>
      </c>
      <c r="F183" s="15" t="s">
        <v>6</v>
      </c>
      <c r="G183" s="15" t="str">
        <f>IFERROR(INDEX('BOM2017'!F:F,MATCH(Wiki!B183,'BOM2017'!C:C,0)),INDEX('BOM2017'!F:F,MATCH(Wiki!B183,'BOM2017'!D:D,0)))</f>
        <v>$40,715,377</v>
      </c>
      <c r="H183" s="15" t="str">
        <f>IFERROR(INDEX('BOM2017'!H:H,MATCH(Wiki!B183,'BOM2017'!C:C,0)),INDEX('BOM2017'!H:H,MATCH(Wiki!B183,'BOM2017'!D:D,0)))</f>
        <v>$9,812,674</v>
      </c>
      <c r="I183" s="16" t="str">
        <f>IFERROR(INDEX('BOM2017'!H:H,MATCH(Wiki!B183,'BOM2017'!C:C,0)),INDEX('BOM2017'!H:H,MATCH(Wiki!B183,'BOM2017'!D:D,0)))</f>
        <v>$9,812,674</v>
      </c>
      <c r="J183" s="1" t="str">
        <f t="shared" si="8"/>
        <v>https://en.wikipedia.org/wiki/The_Star_(2017_film)</v>
      </c>
      <c r="K183" s="11" t="str">
        <f t="shared" si="11"/>
        <v>The_Star_(2017_film)</v>
      </c>
      <c r="L183" s="1" t="str">
        <f t="shared" si="9"/>
        <v>The_Star</v>
      </c>
      <c r="M183" s="1" t="b">
        <f t="shared" si="10"/>
        <v>0</v>
      </c>
    </row>
    <row r="184" spans="2:13" x14ac:dyDescent="0.2">
      <c r="B184" s="3" t="s">
        <v>452</v>
      </c>
      <c r="C184" s="3" t="s">
        <v>205</v>
      </c>
      <c r="D184" s="14" t="s">
        <v>2981</v>
      </c>
      <c r="E184" s="15" t="s">
        <v>453</v>
      </c>
      <c r="F184" s="15" t="s">
        <v>6</v>
      </c>
      <c r="G184" s="15" t="str">
        <f>IFERROR(INDEX('BOM2017'!F:F,MATCH(Wiki!B184,'BOM2017'!C:C,0)),INDEX('BOM2017'!F:F,MATCH(Wiki!B184,'BOM2017'!D:D,0)))</f>
        <v>$313,451,751</v>
      </c>
      <c r="H184" s="15" t="str">
        <f>IFERROR(INDEX('BOM2017'!H:H,MATCH(Wiki!B184,'BOM2017'!C:C,0)),INDEX('BOM2017'!H:H,MATCH(Wiki!B184,'BOM2017'!D:D,0)))</f>
        <v>$122,744,989</v>
      </c>
      <c r="I184" s="16" t="str">
        <f>IFERROR(INDEX('BOM2017'!H:H,MATCH(Wiki!B184,'BOM2017'!C:C,0)),INDEX('BOM2017'!H:H,MATCH(Wiki!B184,'BOM2017'!D:D,0)))</f>
        <v>$122,744,989</v>
      </c>
      <c r="J184" s="1" t="str">
        <f t="shared" si="8"/>
        <v>https://en.wikipedia.org/wiki/Thor:_Ragnarok</v>
      </c>
      <c r="K184" s="11" t="str">
        <f t="shared" si="11"/>
        <v>Thor:_Ragnarok</v>
      </c>
      <c r="L184" s="1" t="str">
        <f t="shared" si="9"/>
        <v>Thor:_Ragnarok</v>
      </c>
      <c r="M184" s="1" t="b">
        <f t="shared" si="10"/>
        <v>1</v>
      </c>
    </row>
    <row r="185" spans="2:13" x14ac:dyDescent="0.2">
      <c r="B185" s="3" t="s">
        <v>139</v>
      </c>
      <c r="C185" s="3" t="s">
        <v>94</v>
      </c>
      <c r="D185" s="14" t="s">
        <v>2982</v>
      </c>
      <c r="E185" s="15" t="s">
        <v>24</v>
      </c>
      <c r="F185" s="15" t="s">
        <v>6</v>
      </c>
      <c r="G185" s="15" t="str">
        <f>IFERROR(INDEX('BOM2017'!F:F,MATCH(Wiki!B185,'BOM2017'!C:C,0)),INDEX('BOM2017'!F:F,MATCH(Wiki!B185,'BOM2017'!D:D,0)))</f>
        <v>$57,386,418</v>
      </c>
      <c r="H185" s="15" t="str">
        <f>IFERROR(INDEX('BOM2017'!H:H,MATCH(Wiki!B185,'BOM2017'!C:C,0)),INDEX('BOM2017'!H:H,MATCH(Wiki!B185,'BOM2017'!D:D,0)))</f>
        <v>$16,172,119</v>
      </c>
      <c r="I185" s="16" t="str">
        <f>IFERROR(INDEX('BOM2017'!H:H,MATCH(Wiki!B185,'BOM2017'!C:C,0)),INDEX('BOM2017'!H:H,MATCH(Wiki!B185,'BOM2017'!D:D,0)))</f>
        <v>$16,172,119</v>
      </c>
      <c r="J185" s="1" t="str">
        <f t="shared" si="8"/>
        <v>https://en.wikipedia.org/wiki/The_Shack_(2017_film)</v>
      </c>
      <c r="K185" s="11" t="str">
        <f t="shared" si="11"/>
        <v>The_Shack_(2017_film)</v>
      </c>
      <c r="L185" s="1" t="str">
        <f t="shared" si="9"/>
        <v>The_Shack</v>
      </c>
      <c r="M185" s="1" t="b">
        <f t="shared" si="10"/>
        <v>0</v>
      </c>
    </row>
    <row r="186" spans="2:13" x14ac:dyDescent="0.2">
      <c r="B186" s="3" t="s">
        <v>530</v>
      </c>
      <c r="C186" s="14" t="s">
        <v>2983</v>
      </c>
      <c r="D186" s="14" t="s">
        <v>2984</v>
      </c>
      <c r="E186" s="15" t="s">
        <v>531</v>
      </c>
      <c r="F186" s="15" t="s">
        <v>6</v>
      </c>
      <c r="G186" s="15" t="str">
        <f>IFERROR(INDEX('BOM2017'!F:F,MATCH(Wiki!B186,'BOM2017'!C:C,0)),INDEX('BOM2017'!F:F,MATCH(Wiki!B186,'BOM2017'!D:D,0)))</f>
        <v>$45,763,616</v>
      </c>
      <c r="H186" s="15" t="str">
        <f>IFERROR(INDEX('BOM2017'!H:H,MATCH(Wiki!B186,'BOM2017'!C:C,0)),INDEX('BOM2017'!H:H,MATCH(Wiki!B186,'BOM2017'!D:D,0)))</f>
        <v>$526,011</v>
      </c>
      <c r="I186" s="16" t="str">
        <f>IFERROR(INDEX('BOM2017'!H:H,MATCH(Wiki!B186,'BOM2017'!C:C,0)),INDEX('BOM2017'!H:H,MATCH(Wiki!B186,'BOM2017'!D:D,0)))</f>
        <v>$526,011</v>
      </c>
      <c r="J186" s="1" t="str">
        <f t="shared" si="8"/>
        <v>https://en.wikipedia.org/wiki/The_Post_(film)</v>
      </c>
      <c r="K186" s="11" t="str">
        <f t="shared" si="11"/>
        <v>The_Post_(film)</v>
      </c>
      <c r="L186" s="1" t="str">
        <f t="shared" si="9"/>
        <v>The_Post</v>
      </c>
      <c r="M186" s="1" t="b">
        <f t="shared" si="10"/>
        <v>0</v>
      </c>
    </row>
    <row r="187" spans="2:13" x14ac:dyDescent="0.2">
      <c r="B187" s="3" t="s">
        <v>506</v>
      </c>
      <c r="C187" s="14" t="s">
        <v>2985</v>
      </c>
      <c r="D187" s="14" t="s">
        <v>2986</v>
      </c>
      <c r="E187" s="15" t="s">
        <v>24</v>
      </c>
      <c r="F187" s="15" t="s">
        <v>6</v>
      </c>
      <c r="G187" s="15" t="str">
        <f>IFERROR(INDEX('BOM2017'!F:F,MATCH(Wiki!B187,'BOM2017'!C:C,0)),INDEX('BOM2017'!F:F,MATCH(Wiki!B187,'BOM2017'!D:D,0)))</f>
        <v>$129,935,845</v>
      </c>
      <c r="H187" s="15" t="str">
        <f>IFERROR(INDEX('BOM2017'!H:H,MATCH(Wiki!B187,'BOM2017'!C:C,0)),INDEX('BOM2017'!H:H,MATCH(Wiki!B187,'BOM2017'!D:D,0)))</f>
        <v>$27,547,866</v>
      </c>
      <c r="I187" s="16" t="str">
        <f>IFERROR(INDEX('BOM2017'!H:H,MATCH(Wiki!B187,'BOM2017'!C:C,0)),INDEX('BOM2017'!H:H,MATCH(Wiki!B187,'BOM2017'!D:D,0)))</f>
        <v>$27,547,866</v>
      </c>
      <c r="J187" s="1" t="str">
        <f t="shared" si="8"/>
        <v>https://en.wikipedia.org/wiki/Wonder_(film)</v>
      </c>
      <c r="K187" s="11" t="str">
        <f t="shared" si="11"/>
        <v>Wonder_(film)</v>
      </c>
      <c r="L187" s="1" t="str">
        <f t="shared" si="9"/>
        <v>Wonder</v>
      </c>
      <c r="M187" s="1" t="b">
        <f t="shared" si="10"/>
        <v>0</v>
      </c>
    </row>
    <row r="188" spans="2:13" x14ac:dyDescent="0.2">
      <c r="B188" s="3" t="s">
        <v>306</v>
      </c>
      <c r="C188" s="3" t="s">
        <v>154</v>
      </c>
      <c r="D188" s="14" t="s">
        <v>2987</v>
      </c>
      <c r="E188" s="15" t="s">
        <v>307</v>
      </c>
      <c r="F188" s="15" t="s">
        <v>6</v>
      </c>
      <c r="G188" s="15" t="str">
        <f>IFERROR(INDEX('BOM2017'!F:F,MATCH(Wiki!B188,'BOM2017'!C:C,0)),INDEX('BOM2017'!F:F,MATCH(Wiki!B188,'BOM2017'!D:D,0)))</f>
        <v>$10,709,995</v>
      </c>
      <c r="H188" s="15" t="str">
        <f>IFERROR(INDEX('BOM2017'!H:H,MATCH(Wiki!B188,'BOM2017'!C:C,0)),INDEX('BOM2017'!H:H,MATCH(Wiki!B188,'BOM2017'!D:D,0)))</f>
        <v>$229,292</v>
      </c>
      <c r="I188" s="16" t="str">
        <f>IFERROR(INDEX('BOM2017'!H:H,MATCH(Wiki!B188,'BOM2017'!C:C,0)),INDEX('BOM2017'!H:H,MATCH(Wiki!B188,'BOM2017'!D:D,0)))</f>
        <v>$229,292</v>
      </c>
      <c r="J188" s="1" t="str">
        <f t="shared" si="8"/>
        <v>https://en.wikipedia.org/wiki/The_Beguiled_(2017_film)</v>
      </c>
      <c r="K188" s="11" t="str">
        <f t="shared" si="11"/>
        <v>The_Beguiled_(2017_film)</v>
      </c>
      <c r="L188" s="1" t="str">
        <f t="shared" si="9"/>
        <v>The_Beguiled</v>
      </c>
      <c r="M188" s="1" t="b">
        <f t="shared" si="10"/>
        <v>0</v>
      </c>
    </row>
    <row r="189" spans="2:13" x14ac:dyDescent="0.2">
      <c r="B189" s="3" t="s">
        <v>264</v>
      </c>
      <c r="C189" s="14" t="s">
        <v>2988</v>
      </c>
      <c r="D189" s="14" t="s">
        <v>2989</v>
      </c>
      <c r="E189" s="15" t="s">
        <v>91</v>
      </c>
      <c r="F189" s="15" t="s">
        <v>6</v>
      </c>
      <c r="G189" s="15" t="str">
        <f>IFERROR(INDEX('BOM2017'!F:F,MATCH(Wiki!B189,'BOM2017'!C:C,0)),INDEX('BOM2017'!F:F,MATCH(Wiki!B189,'BOM2017'!D:D,0)))</f>
        <v>$58,060,186</v>
      </c>
      <c r="H189" s="15" t="str">
        <f>IFERROR(INDEX('BOM2017'!H:H,MATCH(Wiki!B189,'BOM2017'!C:C,0)),INDEX('BOM2017'!H:H,MATCH(Wiki!B189,'BOM2017'!D:D,0)))</f>
        <v>$18,503,871</v>
      </c>
      <c r="I189" s="16" t="str">
        <f>IFERROR(INDEX('BOM2017'!H:H,MATCH(Wiki!B189,'BOM2017'!C:C,0)),INDEX('BOM2017'!H:H,MATCH(Wiki!B189,'BOM2017'!D:D,0)))</f>
        <v>$18,503,871</v>
      </c>
      <c r="J189" s="1" t="str">
        <f t="shared" si="8"/>
        <v>https://en.wikipedia.org/wiki/Baywatch_(film)</v>
      </c>
      <c r="K189" s="11" t="str">
        <f t="shared" si="11"/>
        <v>Baywatch_(film)</v>
      </c>
      <c r="L189" s="1" t="str">
        <f t="shared" si="9"/>
        <v>Baywatch</v>
      </c>
      <c r="M189" s="1" t="b">
        <f t="shared" si="10"/>
        <v>0</v>
      </c>
    </row>
    <row r="190" spans="2:13" x14ac:dyDescent="0.2">
      <c r="B190" s="3" t="s">
        <v>179</v>
      </c>
      <c r="C190" s="14" t="s">
        <v>2990</v>
      </c>
      <c r="D190" s="14" t="s">
        <v>2991</v>
      </c>
      <c r="E190" s="15" t="s">
        <v>180</v>
      </c>
      <c r="F190" s="15" t="s">
        <v>6</v>
      </c>
      <c r="G190" s="15" t="str">
        <f>IFERROR(INDEX('BOM2017'!F:F,MATCH(Wiki!B190,'BOM2017'!C:C,0)),INDEX('BOM2017'!F:F,MATCH(Wiki!B190,'BOM2017'!D:D,0)))</f>
        <v>$40,563,557</v>
      </c>
      <c r="H190" s="15" t="str">
        <f>IFERROR(INDEX('BOM2017'!H:H,MATCH(Wiki!B190,'BOM2017'!C:C,0)),INDEX('BOM2017'!H:H,MATCH(Wiki!B190,'BOM2017'!D:D,0)))</f>
        <v>$18,676,033</v>
      </c>
      <c r="I190" s="16" t="str">
        <f>IFERROR(INDEX('BOM2017'!H:H,MATCH(Wiki!B190,'BOM2017'!C:C,0)),INDEX('BOM2017'!H:H,MATCH(Wiki!B190,'BOM2017'!D:D,0)))</f>
        <v>$18,676,033</v>
      </c>
      <c r="J190" s="1" t="str">
        <f t="shared" si="8"/>
        <v>https://en.wikipedia.org/wiki/Ghost_in_the_Shell_(2017_film)</v>
      </c>
      <c r="K190" s="11" t="str">
        <f t="shared" si="11"/>
        <v>Ghost_in_the_Shell_(2017_film)</v>
      </c>
      <c r="L190" s="1" t="str">
        <f t="shared" si="9"/>
        <v>Ghost_in_the_Shell</v>
      </c>
      <c r="M190" s="1" t="b">
        <f t="shared" si="10"/>
        <v>0</v>
      </c>
    </row>
    <row r="191" spans="2:13" x14ac:dyDescent="0.2">
      <c r="B191" s="3" t="s">
        <v>522</v>
      </c>
      <c r="C191" s="3" t="s">
        <v>168</v>
      </c>
      <c r="D191" s="14" t="s">
        <v>2992</v>
      </c>
      <c r="E191" s="15" t="s">
        <v>14</v>
      </c>
      <c r="F191" s="15" t="s">
        <v>6</v>
      </c>
      <c r="G191" s="15" t="str">
        <f>IFERROR(INDEX('BOM2017'!F:F,MATCH(Wiki!B191,'BOM2017'!C:C,0)),INDEX('BOM2017'!F:F,MATCH(Wiki!B191,'BOM2017'!D:D,0)))</f>
        <v>$5,973,430</v>
      </c>
      <c r="H191" s="15" t="str">
        <f>IFERROR(INDEX('BOM2017'!H:H,MATCH(Wiki!B191,'BOM2017'!C:C,0)),INDEX('BOM2017'!H:H,MATCH(Wiki!B191,'BOM2017'!D:D,0)))</f>
        <v>$3,201,459</v>
      </c>
      <c r="I191" s="16" t="str">
        <f>IFERROR(INDEX('BOM2017'!H:H,MATCH(Wiki!B191,'BOM2017'!C:C,0)),INDEX('BOM2017'!H:H,MATCH(Wiki!B191,'BOM2017'!D:D,0)))</f>
        <v>$3,201,459</v>
      </c>
      <c r="J191" s="1" t="str">
        <f t="shared" si="8"/>
        <v>https://en.wikipedia.org/wiki/Just_Getting_Started_(film)</v>
      </c>
      <c r="K191" s="11" t="str">
        <f t="shared" si="11"/>
        <v>Just_Getting_Started_(film)</v>
      </c>
      <c r="L191" s="1" t="str">
        <f t="shared" si="9"/>
        <v>Just_Getting_Started</v>
      </c>
      <c r="M191" s="1" t="b">
        <f t="shared" si="10"/>
        <v>0</v>
      </c>
    </row>
    <row r="192" spans="2:13" x14ac:dyDescent="0.2">
      <c r="B192" s="3" t="s">
        <v>152</v>
      </c>
      <c r="C192" s="14" t="s">
        <v>2993</v>
      </c>
      <c r="D192" s="14" t="s">
        <v>2994</v>
      </c>
      <c r="E192" s="15" t="s">
        <v>24</v>
      </c>
      <c r="F192" s="15" t="s">
        <v>40</v>
      </c>
      <c r="G192" s="15" t="str">
        <f>IFERROR(INDEX('BOM2017'!F:F,MATCH(Wiki!B192,'BOM2017'!C:C,0)),INDEX('BOM2017'!F:F,MATCH(Wiki!B192,'BOM2017'!D:D,0)))</f>
        <v>$1,274,420</v>
      </c>
      <c r="H192" s="15" t="str">
        <f>IFERROR(INDEX('BOM2017'!H:H,MATCH(Wiki!B192,'BOM2017'!C:C,0)),INDEX('BOM2017'!H:H,MATCH(Wiki!B192,'BOM2017'!D:D,0)))</f>
        <v>$39,692</v>
      </c>
      <c r="I192" s="16" t="str">
        <f>IFERROR(INDEX('BOM2017'!H:H,MATCH(Wiki!B192,'BOM2017'!C:C,0)),INDEX('BOM2017'!H:H,MATCH(Wiki!B192,'BOM2017'!D:D,0)))</f>
        <v>$39,692</v>
      </c>
      <c r="J192" s="1" t="str">
        <f t="shared" si="8"/>
        <v>https://en.wikipedia.org/wiki/The_Sense_of_an_Ending_(film)</v>
      </c>
      <c r="K192" s="11" t="str">
        <f t="shared" si="11"/>
        <v>The_Sense_of_an_Ending_(film)</v>
      </c>
      <c r="L192" s="1" t="str">
        <f t="shared" si="9"/>
        <v>The_Sense_of_an_Ending</v>
      </c>
      <c r="M192" s="1" t="b">
        <f t="shared" si="10"/>
        <v>0</v>
      </c>
    </row>
    <row r="193" spans="2:13" x14ac:dyDescent="0.2">
      <c r="B193" s="3" t="s">
        <v>242</v>
      </c>
      <c r="C193" s="14" t="s">
        <v>2995</v>
      </c>
      <c r="D193" s="14" t="s">
        <v>2996</v>
      </c>
      <c r="E193" s="15" t="s">
        <v>232</v>
      </c>
      <c r="F193" s="15" t="s">
        <v>243</v>
      </c>
      <c r="G193" s="15" t="str">
        <f>IFERROR(INDEX('BOM2017'!F:F,MATCH(Wiki!B193,'BOM2017'!C:C,0)),INDEX('BOM2017'!F:F,MATCH(Wiki!B193,'BOM2017'!D:D,0)))</f>
        <v>$74,262,031</v>
      </c>
      <c r="H193" s="15" t="str">
        <f>IFERROR(INDEX('BOM2017'!H:H,MATCH(Wiki!B193,'BOM2017'!C:C,0)),INDEX('BOM2017'!H:H,MATCH(Wiki!B193,'BOM2017'!D:D,0)))</f>
        <v>$36,160,621</v>
      </c>
      <c r="I193" s="16" t="str">
        <f>IFERROR(INDEX('BOM2017'!H:H,MATCH(Wiki!B193,'BOM2017'!C:C,0)),INDEX('BOM2017'!H:H,MATCH(Wiki!B193,'BOM2017'!D:D,0)))</f>
        <v>$36,160,621</v>
      </c>
      <c r="J193" s="1" t="str">
        <f t="shared" si="8"/>
        <v>https://en.wikipedia.org/wiki/Alien:_Covenant</v>
      </c>
      <c r="K193" s="11" t="str">
        <f t="shared" si="11"/>
        <v>Alien:_Covenant</v>
      </c>
      <c r="L193" s="1" t="str">
        <f t="shared" si="9"/>
        <v>Alien:_Covenant</v>
      </c>
      <c r="M193" s="1" t="b">
        <f t="shared" si="10"/>
        <v>1</v>
      </c>
    </row>
    <row r="194" spans="2:13" x14ac:dyDescent="0.2">
      <c r="B194" s="3" t="s">
        <v>536</v>
      </c>
      <c r="C194" s="3" t="s">
        <v>537</v>
      </c>
      <c r="D194" s="14" t="s">
        <v>2997</v>
      </c>
      <c r="E194" s="15" t="s">
        <v>409</v>
      </c>
      <c r="F194" s="15" t="s">
        <v>6</v>
      </c>
      <c r="G194" s="15" t="str">
        <f>IFERROR(INDEX('BOM2017'!F:F,MATCH(Wiki!B194,'BOM2017'!C:C,0)),INDEX('BOM2017'!F:F,MATCH(Wiki!B194,'BOM2017'!D:D,0)))</f>
        <v>$24,146,293</v>
      </c>
      <c r="H194" s="15" t="str">
        <f>IFERROR(INDEX('BOM2017'!H:H,MATCH(Wiki!B194,'BOM2017'!C:C,0)),INDEX('BOM2017'!H:H,MATCH(Wiki!B194,'BOM2017'!D:D,0)))</f>
        <v>$5,584,684</v>
      </c>
      <c r="I194" s="16" t="str">
        <f>IFERROR(INDEX('BOM2017'!H:H,MATCH(Wiki!B194,'BOM2017'!C:C,0)),INDEX('BOM2017'!H:H,MATCH(Wiki!B194,'BOM2017'!D:D,0)))</f>
        <v>$5,584,684</v>
      </c>
      <c r="J194" s="1" t="str">
        <f t="shared" si="8"/>
        <v>https://en.wikipedia.org/wiki/All_the_Money_in_the_World</v>
      </c>
      <c r="K194" s="11" t="str">
        <f t="shared" si="11"/>
        <v>All_the_Money_in_the_World</v>
      </c>
      <c r="L194" s="1" t="str">
        <f t="shared" si="9"/>
        <v>All_the_Money_in_the_World</v>
      </c>
      <c r="M194" s="1" t="b">
        <f t="shared" si="10"/>
        <v>1</v>
      </c>
    </row>
    <row r="195" spans="2:13" x14ac:dyDescent="0.2">
      <c r="B195" s="3" t="s">
        <v>525</v>
      </c>
      <c r="C195" s="3" t="s">
        <v>526</v>
      </c>
      <c r="D195" s="14" t="s">
        <v>2998</v>
      </c>
      <c r="E195" s="15" t="s">
        <v>138</v>
      </c>
      <c r="F195" s="15" t="s">
        <v>6</v>
      </c>
      <c r="G195" s="15" t="str">
        <f>IFERROR(INDEX('BOM2017'!F:F,MATCH(Wiki!B195,'BOM2017'!C:C,0)),INDEX('BOM2017'!F:F,MATCH(Wiki!B195,'BOM2017'!D:D,0)))</f>
        <v>$604,813,031</v>
      </c>
      <c r="H195" s="15" t="str">
        <f>IFERROR(INDEX('BOM2017'!H:H,MATCH(Wiki!B195,'BOM2017'!C:C,0)),INDEX('BOM2017'!H:H,MATCH(Wiki!B195,'BOM2017'!D:D,0)))</f>
        <v>$220,009,584</v>
      </c>
      <c r="I195" s="16" t="str">
        <f>IFERROR(INDEX('BOM2017'!H:H,MATCH(Wiki!B195,'BOM2017'!C:C,0)),INDEX('BOM2017'!H:H,MATCH(Wiki!B195,'BOM2017'!D:D,0)))</f>
        <v>$220,009,584</v>
      </c>
      <c r="J195" s="1" t="str">
        <f t="shared" si="8"/>
        <v>https://en.wikipedia.org/wiki/Star_Wars:_The_Last_Jedi</v>
      </c>
      <c r="K195" s="11" t="str">
        <f t="shared" si="11"/>
        <v>Star_Wars:_The_Last_Jedi</v>
      </c>
      <c r="L195" s="1" t="str">
        <f t="shared" si="9"/>
        <v>Star_Wars:_The_Last_Jedi</v>
      </c>
      <c r="M195" s="1" t="b">
        <f t="shared" si="10"/>
        <v>1</v>
      </c>
    </row>
    <row r="196" spans="2:13" x14ac:dyDescent="0.2">
      <c r="B196" s="3" t="s">
        <v>421</v>
      </c>
      <c r="C196" s="3" t="s">
        <v>128</v>
      </c>
      <c r="D196" s="14" t="s">
        <v>2999</v>
      </c>
      <c r="E196" s="15" t="s">
        <v>422</v>
      </c>
      <c r="F196" s="15" t="s">
        <v>6</v>
      </c>
      <c r="G196" s="15" t="str">
        <f>IFERROR(INDEX('BOM2017'!F:F,MATCH(Wiki!B196,'BOM2017'!C:C,0)),INDEX('BOM2017'!F:F,MATCH(Wiki!B196,'BOM2017'!D:D,0)))</f>
        <v>$10,051,659</v>
      </c>
      <c r="H196" s="15" t="str">
        <f>IFERROR(INDEX('BOM2017'!H:H,MATCH(Wiki!B196,'BOM2017'!C:C,0)),INDEX('BOM2017'!H:H,MATCH(Wiki!B196,'BOM2017'!D:D,0)))</f>
        <v>$3,000,805</v>
      </c>
      <c r="I196" s="16" t="str">
        <f>IFERROR(INDEX('BOM2017'!H:H,MATCH(Wiki!B196,'BOM2017'!C:C,0)),INDEX('BOM2017'!H:H,MATCH(Wiki!B196,'BOM2017'!D:D,0)))</f>
        <v>$3,000,805</v>
      </c>
      <c r="J196" s="1" t="str">
        <f t="shared" si="8"/>
        <v>https://en.wikipedia.org/wiki/Marshall_(film)</v>
      </c>
      <c r="K196" s="11" t="str">
        <f t="shared" si="11"/>
        <v>Marshall_(film)</v>
      </c>
      <c r="L196" s="1" t="str">
        <f t="shared" si="9"/>
        <v>Marshall</v>
      </c>
      <c r="M196" s="1" t="b">
        <f t="shared" si="10"/>
        <v>0</v>
      </c>
    </row>
    <row r="197" spans="2:13" x14ac:dyDescent="0.2">
      <c r="B197" s="3" t="s">
        <v>296</v>
      </c>
      <c r="C197" s="14" t="s">
        <v>3000</v>
      </c>
      <c r="D197" s="14" t="s">
        <v>3001</v>
      </c>
      <c r="E197" s="15" t="s">
        <v>297</v>
      </c>
      <c r="F197" s="15" t="s">
        <v>6</v>
      </c>
      <c r="G197" s="15" t="str">
        <f>IFERROR(INDEX('BOM2017'!F:F,MATCH(Wiki!B197,'BOM2017'!C:C,0)),INDEX('BOM2017'!F:F,MATCH(Wiki!B197,'BOM2017'!D:D,0)))</f>
        <v>$264,624,300</v>
      </c>
      <c r="H197" s="15" t="str">
        <f>IFERROR(INDEX('BOM2017'!H:H,MATCH(Wiki!B197,'BOM2017'!C:C,0)),INDEX('BOM2017'!H:H,MATCH(Wiki!B197,'BOM2017'!D:D,0)))</f>
        <v>$72,434,025</v>
      </c>
      <c r="I197" s="16" t="str">
        <f>IFERROR(INDEX('BOM2017'!H:H,MATCH(Wiki!B197,'BOM2017'!C:C,0)),INDEX('BOM2017'!H:H,MATCH(Wiki!B197,'BOM2017'!D:D,0)))</f>
        <v>$72,434,025</v>
      </c>
      <c r="J197" s="1" t="str">
        <f t="shared" si="8"/>
        <v>https://en.wikipedia.org/wiki/Despicable_Me_3</v>
      </c>
      <c r="K197" s="11" t="str">
        <f t="shared" si="11"/>
        <v>Despicable_Me_3</v>
      </c>
      <c r="L197" s="1" t="str">
        <f t="shared" si="9"/>
        <v>Despicable_Me_3</v>
      </c>
      <c r="M197" s="1" t="b">
        <f t="shared" si="10"/>
        <v>1</v>
      </c>
    </row>
    <row r="198" spans="2:13" x14ac:dyDescent="0.2">
      <c r="B198" s="3" t="s">
        <v>529</v>
      </c>
      <c r="C198" s="14" t="s">
        <v>3002</v>
      </c>
      <c r="D198" s="14" t="s">
        <v>3003</v>
      </c>
      <c r="E198" s="15" t="s">
        <v>24</v>
      </c>
      <c r="F198" s="15" t="s">
        <v>6</v>
      </c>
      <c r="G198" s="15" t="str">
        <f>IFERROR(INDEX('BOM2017'!F:F,MATCH(Wiki!B198,'BOM2017'!C:C,0)),INDEX('BOM2017'!F:F,MATCH(Wiki!B198,'BOM2017'!D:D,0)))</f>
        <v>$6,385,599</v>
      </c>
      <c r="H198" s="15" t="str">
        <f>IFERROR(INDEX('BOM2017'!H:H,MATCH(Wiki!B198,'BOM2017'!C:C,0)),INDEX('BOM2017'!H:H,MATCH(Wiki!B198,'BOM2017'!D:D,0)))</f>
        <v>$216,495</v>
      </c>
      <c r="I198" s="16" t="str">
        <f>IFERROR(INDEX('BOM2017'!H:H,MATCH(Wiki!B198,'BOM2017'!C:C,0)),INDEX('BOM2017'!H:H,MATCH(Wiki!B198,'BOM2017'!D:D,0)))</f>
        <v>$216,495</v>
      </c>
      <c r="J198" s="1" t="str">
        <f t="shared" ref="J198:J261" si="12">GETURL(B198)</f>
        <v>https://en.wikipedia.org/wiki/Phantom_Thread</v>
      </c>
      <c r="K198" s="11" t="str">
        <f t="shared" si="11"/>
        <v>Phantom_Thread</v>
      </c>
      <c r="L198" s="1" t="str">
        <f t="shared" ref="L198:L261" si="13">SUBSTITUTE(B198," ","_")</f>
        <v>Phantom_Thread</v>
      </c>
      <c r="M198" s="1" t="b">
        <f t="shared" ref="M198:M261" si="14">K198=L198</f>
        <v>1</v>
      </c>
    </row>
    <row r="199" spans="2:13" x14ac:dyDescent="0.2">
      <c r="B199" s="3" t="s">
        <v>498</v>
      </c>
      <c r="C199" s="14" t="s">
        <v>3004</v>
      </c>
      <c r="D199" s="14" t="s">
        <v>3005</v>
      </c>
      <c r="E199" s="15" t="s">
        <v>499</v>
      </c>
      <c r="F199" s="3" t="s">
        <v>88</v>
      </c>
      <c r="G199" s="15" t="e">
        <f>IFERROR(INDEX('BOM2017'!F:F,MATCH(Wiki!B199,'BOM2017'!C:C,0)),INDEX('BOM2017'!F:F,MATCH(Wiki!B199,'BOM2017'!D:D,0)))</f>
        <v>#N/A</v>
      </c>
      <c r="H199" s="15" t="e">
        <f>IFERROR(INDEX('BOM2017'!H:H,MATCH(Wiki!B199,'BOM2017'!C:C,0)),INDEX('BOM2017'!H:H,MATCH(Wiki!B199,'BOM2017'!D:D,0)))</f>
        <v>#N/A</v>
      </c>
      <c r="I199" s="16" t="e">
        <f>IFERROR(INDEX('BOM2017'!H:H,MATCH(Wiki!B199,'BOM2017'!C:C,0)),INDEX('BOM2017'!H:H,MATCH(Wiki!B199,'BOM2017'!D:D,0)))</f>
        <v>#N/A</v>
      </c>
      <c r="J199" s="1" t="str">
        <f t="shared" si="12"/>
        <v>https://en.wikipedia.org/wiki/Paddington_2</v>
      </c>
      <c r="K199" s="11" t="str">
        <f t="shared" ref="K199:K262" si="15">TRIM(RIGHT(J199,LEN(J199)-FIND("wiki/",J199)-4))</f>
        <v>Paddington_2</v>
      </c>
      <c r="L199" s="1" t="str">
        <f t="shared" si="13"/>
        <v>Paddington_2</v>
      </c>
      <c r="M199" s="1" t="b">
        <f t="shared" si="14"/>
        <v>1</v>
      </c>
    </row>
    <row r="200" spans="2:13" x14ac:dyDescent="0.2">
      <c r="B200" s="3" t="s">
        <v>265</v>
      </c>
      <c r="C200" s="14" t="s">
        <v>2849</v>
      </c>
      <c r="D200" s="14" t="s">
        <v>3006</v>
      </c>
      <c r="E200" s="15" t="s">
        <v>266</v>
      </c>
      <c r="F200" s="15" t="s">
        <v>6</v>
      </c>
      <c r="G200" s="15" t="str">
        <f>IFERROR(INDEX('BOM2017'!F:F,MATCH(Wiki!B200,'BOM2017'!C:C,0)),INDEX('BOM2017'!F:F,MATCH(Wiki!B200,'BOM2017'!D:D,0)))</f>
        <v>$412,563,408</v>
      </c>
      <c r="H200" s="15" t="str">
        <f>IFERROR(INDEX('BOM2017'!H:H,MATCH(Wiki!B200,'BOM2017'!C:C,0)),INDEX('BOM2017'!H:H,MATCH(Wiki!B200,'BOM2017'!D:D,0)))</f>
        <v>$103,251,471</v>
      </c>
      <c r="I200" s="16" t="str">
        <f>IFERROR(INDEX('BOM2017'!H:H,MATCH(Wiki!B200,'BOM2017'!C:C,0)),INDEX('BOM2017'!H:H,MATCH(Wiki!B200,'BOM2017'!D:D,0)))</f>
        <v>$103,251,471</v>
      </c>
      <c r="J200" s="1" t="str">
        <f t="shared" si="12"/>
        <v>https://en.wikipedia.org/wiki/Wonder_Woman_(2017_film)</v>
      </c>
      <c r="K200" s="11" t="str">
        <f t="shared" si="15"/>
        <v>Wonder_Woman_(2017_film)</v>
      </c>
      <c r="L200" s="1" t="str">
        <f t="shared" si="13"/>
        <v>Wonder_Woman</v>
      </c>
      <c r="M200" s="1" t="b">
        <f t="shared" si="14"/>
        <v>0</v>
      </c>
    </row>
    <row r="201" spans="2:13" x14ac:dyDescent="0.2">
      <c r="B201" s="3" t="s">
        <v>365</v>
      </c>
      <c r="C201" s="14" t="s">
        <v>3007</v>
      </c>
      <c r="D201" s="14" t="s">
        <v>3008</v>
      </c>
      <c r="E201" s="15" t="s">
        <v>14</v>
      </c>
      <c r="F201" s="15" t="s">
        <v>6</v>
      </c>
      <c r="G201" s="15" t="str">
        <f>IFERROR(INDEX('BOM2017'!F:F,MATCH(Wiki!B201,'BOM2017'!C:C,0)),INDEX('BOM2017'!F:F,MATCH(Wiki!B201,'BOM2017'!D:D,0)))</f>
        <v>$75,468,583</v>
      </c>
      <c r="H201" s="15" t="str">
        <f>IFERROR(INDEX('BOM2017'!H:H,MATCH(Wiki!B201,'BOM2017'!C:C,0)),INDEX('BOM2017'!H:H,MATCH(Wiki!B201,'BOM2017'!D:D,0)))</f>
        <v>$21,384,504</v>
      </c>
      <c r="I201" s="16" t="str">
        <f>IFERROR(INDEX('BOM2017'!H:H,MATCH(Wiki!B201,'BOM2017'!C:C,0)),INDEX('BOM2017'!H:H,MATCH(Wiki!B201,'BOM2017'!D:D,0)))</f>
        <v>$21,384,504</v>
      </c>
      <c r="J201" s="1" t="str">
        <f t="shared" si="12"/>
        <v>https://en.wikipedia.org/wiki/The_Hitman%27s_Bodyguard</v>
      </c>
      <c r="K201" s="11" t="str">
        <f t="shared" si="15"/>
        <v>The_Hitman%27s_Bodyguard</v>
      </c>
      <c r="L201" s="1" t="str">
        <f t="shared" si="13"/>
        <v>The_Hitman's_Bodyguard</v>
      </c>
      <c r="M201" s="1" t="b">
        <f t="shared" si="14"/>
        <v>0</v>
      </c>
    </row>
    <row r="202" spans="2:13" x14ac:dyDescent="0.2">
      <c r="B202" s="3" t="s">
        <v>244</v>
      </c>
      <c r="C202" s="14" t="s">
        <v>3009</v>
      </c>
      <c r="D202" s="14" t="s">
        <v>3010</v>
      </c>
      <c r="E202" s="15" t="s">
        <v>245</v>
      </c>
      <c r="F202" s="15" t="s">
        <v>239</v>
      </c>
      <c r="G202" s="15" t="e">
        <f>IFERROR(INDEX('BOM2017'!F:F,MATCH(Wiki!B202,'BOM2017'!C:C,0)),INDEX('BOM2017'!F:F,MATCH(Wiki!B202,'BOM2017'!D:D,0)))</f>
        <v>#N/A</v>
      </c>
      <c r="H202" s="15" t="e">
        <f>IFERROR(INDEX('BOM2017'!H:H,MATCH(Wiki!B202,'BOM2017'!C:C,0)),INDEX('BOM2017'!H:H,MATCH(Wiki!B202,'BOM2017'!D:D,0)))</f>
        <v>#N/A</v>
      </c>
      <c r="I202" s="16" t="e">
        <f>IFERROR(INDEX('BOM2017'!H:H,MATCH(Wiki!B202,'BOM2017'!C:C,0)),INDEX('BOM2017'!H:H,MATCH(Wiki!B202,'BOM2017'!D:D,0)))</f>
        <v>#N/A</v>
      </c>
      <c r="J202" s="1" t="str">
        <f t="shared" si="12"/>
        <v>https://en.wikipedia.org/wiki/Dangal_(film)</v>
      </c>
      <c r="K202" s="11" t="str">
        <f t="shared" si="15"/>
        <v>Dangal_(film)</v>
      </c>
      <c r="L202" s="1" t="str">
        <f t="shared" si="13"/>
        <v>Dangal</v>
      </c>
      <c r="M202" s="1" t="b">
        <f t="shared" si="14"/>
        <v>0</v>
      </c>
    </row>
    <row r="203" spans="2:13" x14ac:dyDescent="0.2">
      <c r="B203" s="3" t="s">
        <v>349</v>
      </c>
      <c r="C203" s="14" t="s">
        <v>3011</v>
      </c>
      <c r="D203" s="14" t="s">
        <v>3012</v>
      </c>
      <c r="E203" s="15" t="s">
        <v>350</v>
      </c>
      <c r="F203" s="15" t="s">
        <v>6</v>
      </c>
      <c r="G203" s="15" t="str">
        <f>IFERROR(INDEX('BOM2017'!F:F,MATCH(Wiki!B203,'BOM2017'!C:C,0)),INDEX('BOM2017'!F:F,MATCH(Wiki!B203,'BOM2017'!D:D,0)))</f>
        <v>$50,701,325</v>
      </c>
      <c r="H203" s="15" t="str">
        <f>IFERROR(INDEX('BOM2017'!H:H,MATCH(Wiki!B203,'BOM2017'!C:C,0)),INDEX('BOM2017'!H:H,MATCH(Wiki!B203,'BOM2017'!D:D,0)))</f>
        <v>$19,153,698</v>
      </c>
      <c r="I203" s="16" t="str">
        <f>IFERROR(INDEX('BOM2017'!H:H,MATCH(Wiki!B203,'BOM2017'!C:C,0)),INDEX('BOM2017'!H:H,MATCH(Wiki!B203,'BOM2017'!D:D,0)))</f>
        <v>$19,153,698</v>
      </c>
      <c r="J203" s="1" t="str">
        <f t="shared" si="12"/>
        <v>https://en.wikipedia.org/wiki/The_Dark_Tower_(2017_film)</v>
      </c>
      <c r="K203" s="11" t="str">
        <f t="shared" si="15"/>
        <v>The_Dark_Tower_(2017_film)</v>
      </c>
      <c r="L203" s="1" t="str">
        <f t="shared" si="13"/>
        <v>The_Dark_Tower</v>
      </c>
      <c r="M203" s="1" t="b">
        <f t="shared" si="14"/>
        <v>0</v>
      </c>
    </row>
    <row r="204" spans="2:13" x14ac:dyDescent="0.2">
      <c r="B204" s="3" t="s">
        <v>410</v>
      </c>
      <c r="C204" s="3" t="s">
        <v>411</v>
      </c>
      <c r="D204" s="14" t="s">
        <v>3013</v>
      </c>
      <c r="E204" s="15" t="s">
        <v>21</v>
      </c>
      <c r="F204" s="15" t="s">
        <v>6</v>
      </c>
      <c r="G204" s="15" t="str">
        <f>IFERROR(INDEX('BOM2017'!F:F,MATCH(Wiki!B204,'BOM2017'!C:C,0)),INDEX('BOM2017'!F:F,MATCH(Wiki!B204,'BOM2017'!D:D,0)))</f>
        <v>$36,249,674</v>
      </c>
      <c r="H204" s="15" t="str">
        <f>IFERROR(INDEX('BOM2017'!H:H,MATCH(Wiki!B204,'BOM2017'!C:C,0)),INDEX('BOM2017'!H:H,MATCH(Wiki!B204,'BOM2017'!D:D,0)))</f>
        <v>$14,846,778</v>
      </c>
      <c r="I204" s="16" t="str">
        <f>IFERROR(INDEX('BOM2017'!H:H,MATCH(Wiki!B204,'BOM2017'!C:C,0)),INDEX('BOM2017'!H:H,MATCH(Wiki!B204,'BOM2017'!D:D,0)))</f>
        <v>$14,846,778</v>
      </c>
      <c r="J204" s="1" t="str">
        <f t="shared" si="12"/>
        <v>https://en.wikipedia.org/wiki/American_Assassin</v>
      </c>
      <c r="K204" s="11" t="str">
        <f t="shared" si="15"/>
        <v>American_Assassin</v>
      </c>
      <c r="L204" s="1" t="str">
        <f t="shared" si="13"/>
        <v>American_Assassin</v>
      </c>
      <c r="M204" s="1" t="b">
        <f t="shared" si="14"/>
        <v>1</v>
      </c>
    </row>
    <row r="205" spans="2:13" x14ac:dyDescent="0.2">
      <c r="B205" s="3" t="s">
        <v>304</v>
      </c>
      <c r="C205" s="3" t="s">
        <v>75</v>
      </c>
      <c r="D205" s="14" t="s">
        <v>3014</v>
      </c>
      <c r="E205" s="15" t="s">
        <v>305</v>
      </c>
      <c r="F205" s="15" t="s">
        <v>6</v>
      </c>
      <c r="G205" s="15" t="str">
        <f>IFERROR(INDEX('BOM2017'!F:F,MATCH(Wiki!B205,'BOM2017'!C:C,0)),INDEX('BOM2017'!F:F,MATCH(Wiki!B205,'BOM2017'!D:D,0)))</f>
        <v>$130,168,683</v>
      </c>
      <c r="H205" s="15" t="str">
        <f>IFERROR(INDEX('BOM2017'!H:H,MATCH(Wiki!B205,'BOM2017'!C:C,0)),INDEX('BOM2017'!H:H,MATCH(Wiki!B205,'BOM2017'!D:D,0)))</f>
        <v>$44,680,073</v>
      </c>
      <c r="I205" s="16" t="str">
        <f>IFERROR(INDEX('BOM2017'!H:H,MATCH(Wiki!B205,'BOM2017'!C:C,0)),INDEX('BOM2017'!H:H,MATCH(Wiki!B205,'BOM2017'!D:D,0)))</f>
        <v>$44,680,073</v>
      </c>
      <c r="J205" s="1" t="str">
        <f t="shared" si="12"/>
        <v>https://en.wikipedia.org/wiki/Transformers:_The_Last_Knight</v>
      </c>
      <c r="K205" s="11" t="str">
        <f t="shared" si="15"/>
        <v>Transformers:_The_Last_Knight</v>
      </c>
      <c r="L205" s="1" t="str">
        <f t="shared" si="13"/>
        <v>Transformers:_The_Last_Knight</v>
      </c>
      <c r="M205" s="1" t="b">
        <f t="shared" si="14"/>
        <v>1</v>
      </c>
    </row>
    <row r="206" spans="2:13" x14ac:dyDescent="0.2">
      <c r="B206" s="3" t="s">
        <v>419</v>
      </c>
      <c r="C206" s="3" t="s">
        <v>269</v>
      </c>
      <c r="D206" s="14" t="s">
        <v>3015</v>
      </c>
      <c r="E206" s="15" t="s">
        <v>420</v>
      </c>
      <c r="F206" s="15" t="s">
        <v>40</v>
      </c>
      <c r="G206" s="15" t="str">
        <f>IFERROR(INDEX('BOM2017'!F:F,MATCH(Wiki!B206,'BOM2017'!C:C,0)),INDEX('BOM2017'!F:F,MATCH(Wiki!B206,'BOM2017'!D:D,0)))</f>
        <v>$100,234,838</v>
      </c>
      <c r="H206" s="15" t="str">
        <f>IFERROR(INDEX('BOM2017'!H:H,MATCH(Wiki!B206,'BOM2017'!C:C,0)),INDEX('BOM2017'!H:H,MATCH(Wiki!B206,'BOM2017'!D:D,0)))</f>
        <v>$39,023,010</v>
      </c>
      <c r="I206" s="16" t="str">
        <f>IFERROR(INDEX('BOM2017'!H:H,MATCH(Wiki!B206,'BOM2017'!C:C,0)),INDEX('BOM2017'!H:H,MATCH(Wiki!B206,'BOM2017'!D:D,0)))</f>
        <v>$39,023,010</v>
      </c>
      <c r="J206" s="1" t="str">
        <f t="shared" si="12"/>
        <v>https://en.wikipedia.org/wiki/Kingsman:_The_Golden_Circle</v>
      </c>
      <c r="K206" s="11" t="str">
        <f t="shared" si="15"/>
        <v>Kingsman:_The_Golden_Circle</v>
      </c>
      <c r="L206" s="1" t="str">
        <f t="shared" si="13"/>
        <v>Kingsman:_The_Golden_Circle</v>
      </c>
      <c r="M206" s="1" t="b">
        <f t="shared" si="14"/>
        <v>1</v>
      </c>
    </row>
    <row r="207" spans="2:13" x14ac:dyDescent="0.2">
      <c r="B207" s="3" t="s">
        <v>322</v>
      </c>
      <c r="C207" s="14" t="s">
        <v>3016</v>
      </c>
      <c r="D207" s="14" t="s">
        <v>3017</v>
      </c>
      <c r="E207" s="15" t="s">
        <v>323</v>
      </c>
      <c r="F207" s="15" t="s">
        <v>6</v>
      </c>
      <c r="G207" s="15" t="str">
        <f>IFERROR(INDEX('BOM2017'!F:F,MATCH(Wiki!B207,'BOM2017'!C:C,0)),INDEX('BOM2017'!F:F,MATCH(Wiki!B207,'BOM2017'!D:D,0)))</f>
        <v>$146,880,162</v>
      </c>
      <c r="H207" s="15" t="str">
        <f>IFERROR(INDEX('BOM2017'!H:H,MATCH(Wiki!B207,'BOM2017'!C:C,0)),INDEX('BOM2017'!H:H,MATCH(Wiki!B207,'BOM2017'!D:D,0)))</f>
        <v>$56,262,929</v>
      </c>
      <c r="I207" s="16" t="str">
        <f>IFERROR(INDEX('BOM2017'!H:H,MATCH(Wiki!B207,'BOM2017'!C:C,0)),INDEX('BOM2017'!H:H,MATCH(Wiki!B207,'BOM2017'!D:D,0)))</f>
        <v>$56,262,929</v>
      </c>
      <c r="J207" s="1" t="str">
        <f t="shared" si="12"/>
        <v>https://en.wikipedia.org/wiki/War_for_the_Planet_of_the_Apes</v>
      </c>
      <c r="K207" s="11" t="str">
        <f t="shared" si="15"/>
        <v>War_for_the_Planet_of_the_Apes</v>
      </c>
      <c r="L207" s="1" t="str">
        <f t="shared" si="13"/>
        <v>War_for_the_Planet_of_the_Apes</v>
      </c>
      <c r="M207" s="1" t="b">
        <f t="shared" si="14"/>
        <v>1</v>
      </c>
    </row>
    <row r="208" spans="2:13" x14ac:dyDescent="0.2">
      <c r="B208" s="3" t="s">
        <v>390</v>
      </c>
      <c r="C208" s="3" t="s">
        <v>97</v>
      </c>
      <c r="D208" s="14" t="s">
        <v>3018</v>
      </c>
      <c r="E208" s="15" t="s">
        <v>391</v>
      </c>
      <c r="F208" s="15" t="s">
        <v>6</v>
      </c>
      <c r="G208" s="15" t="str">
        <f>IFERROR(INDEX('BOM2017'!F:F,MATCH(Wiki!B208,'BOM2017'!C:C,0)),INDEX('BOM2017'!F:F,MATCH(Wiki!B208,'BOM2017'!D:D,0)))</f>
        <v>$32,254,616</v>
      </c>
      <c r="H208" s="15" t="str">
        <f>IFERROR(INDEX('BOM2017'!H:H,MATCH(Wiki!B208,'BOM2017'!C:C,0)),INDEX('BOM2017'!H:H,MATCH(Wiki!B208,'BOM2017'!D:D,0)))</f>
        <v>$322,168</v>
      </c>
      <c r="I208" s="16" t="str">
        <f>IFERROR(INDEX('BOM2017'!H:H,MATCH(Wiki!B208,'BOM2017'!C:C,0)),INDEX('BOM2017'!H:H,MATCH(Wiki!B208,'BOM2017'!D:D,0)))</f>
        <v>$322,168</v>
      </c>
      <c r="J208" s="1" t="str">
        <f t="shared" si="12"/>
        <v>https://en.wikipedia.org/wiki/Three_Billboards_Outside_Ebbing,_Missouri</v>
      </c>
      <c r="K208" s="11" t="str">
        <f t="shared" si="15"/>
        <v>Three_Billboards_Outside_Ebbing,_Missouri</v>
      </c>
      <c r="L208" s="1" t="str">
        <f t="shared" si="13"/>
        <v>Three_Billboards_Outside_Ebbing,_Missouri</v>
      </c>
      <c r="M208" s="1" t="b">
        <f t="shared" si="14"/>
        <v>1</v>
      </c>
    </row>
    <row r="209" spans="2:13" x14ac:dyDescent="0.2">
      <c r="B209" s="3" t="s">
        <v>54</v>
      </c>
      <c r="C209" s="15" t="s">
        <v>55</v>
      </c>
      <c r="D209" s="14" t="s">
        <v>3019</v>
      </c>
      <c r="E209" s="15" t="s">
        <v>56</v>
      </c>
      <c r="F209" s="15" t="s">
        <v>6</v>
      </c>
      <c r="G209" s="15" t="str">
        <f>IFERROR(INDEX('BOM2017'!F:F,MATCH(Wiki!B209,'BOM2017'!C:C,0)),INDEX('BOM2017'!F:F,MATCH(Wiki!B209,'BOM2017'!D:D,0)))</f>
        <v>$34,630</v>
      </c>
      <c r="H209" s="15" t="str">
        <f>IFERROR(INDEX('BOM2017'!H:H,MATCH(Wiki!B209,'BOM2017'!C:C,0)),INDEX('BOM2017'!H:H,MATCH(Wiki!B209,'BOM2017'!D:D,0)))</f>
        <v>N/A</v>
      </c>
      <c r="I209" s="16" t="str">
        <f>IFERROR(INDEX('BOM2017'!H:H,MATCH(Wiki!B209,'BOM2017'!C:C,0)),INDEX('BOM2017'!H:H,MATCH(Wiki!B209,'BOM2017'!D:D,0)))</f>
        <v>N/A</v>
      </c>
      <c r="J209" s="1" t="str">
        <f t="shared" si="12"/>
        <v>https://en.wikipedia.org/wiki/Sophie_and_the_Rising_Sun_(film)</v>
      </c>
      <c r="K209" s="11" t="str">
        <f t="shared" si="15"/>
        <v>Sophie_and_the_Rising_Sun_(film)</v>
      </c>
      <c r="L209" s="1" t="str">
        <f t="shared" si="13"/>
        <v>Sophie_and_the_Rising_Sun</v>
      </c>
      <c r="M209" s="1" t="b">
        <f t="shared" si="14"/>
        <v>0</v>
      </c>
    </row>
    <row r="210" spans="2:13" x14ac:dyDescent="0.2">
      <c r="B210" s="3" t="s">
        <v>30</v>
      </c>
      <c r="C210" s="14" t="s">
        <v>2834</v>
      </c>
      <c r="D210" s="14" t="s">
        <v>3020</v>
      </c>
      <c r="E210" s="15" t="s">
        <v>31</v>
      </c>
      <c r="F210" s="15" t="s">
        <v>6</v>
      </c>
      <c r="G210" s="15" t="str">
        <f>IFERROR(INDEX('BOM2017'!F:F,MATCH(Wiki!B210,'BOM2017'!C:C,0)),INDEX('BOM2017'!F:F,MATCH(Wiki!B210,'BOM2017'!D:D,0)))</f>
        <v>$138,291,365</v>
      </c>
      <c r="H210" s="15" t="str">
        <f>IFERROR(INDEX('BOM2017'!H:H,MATCH(Wiki!B210,'BOM2017'!C:C,0)),INDEX('BOM2017'!H:H,MATCH(Wiki!B210,'BOM2017'!D:D,0)))</f>
        <v>$40,010,975</v>
      </c>
      <c r="I210" s="16" t="str">
        <f>IFERROR(INDEX('BOM2017'!H:H,MATCH(Wiki!B210,'BOM2017'!C:C,0)),INDEX('BOM2017'!H:H,MATCH(Wiki!B210,'BOM2017'!D:D,0)))</f>
        <v>$40,010,975</v>
      </c>
      <c r="J210" s="1" t="str">
        <f t="shared" si="12"/>
        <v>https://en.wikipedia.org/wiki/Split_(2016_American_film)</v>
      </c>
      <c r="K210" s="11" t="str">
        <f t="shared" si="15"/>
        <v>Split_(2016_American_film)</v>
      </c>
      <c r="L210" s="1" t="str">
        <f t="shared" si="13"/>
        <v>Split</v>
      </c>
      <c r="M210" s="1" t="b">
        <f t="shared" si="14"/>
        <v>0</v>
      </c>
    </row>
    <row r="211" spans="2:13" x14ac:dyDescent="0.2">
      <c r="B211" s="3" t="s">
        <v>351</v>
      </c>
      <c r="C211" s="15" t="s">
        <v>352</v>
      </c>
      <c r="D211" s="14" t="s">
        <v>3021</v>
      </c>
      <c r="E211" s="15" t="s">
        <v>21</v>
      </c>
      <c r="F211" s="15" t="s">
        <v>251</v>
      </c>
      <c r="G211" s="15" t="str">
        <f>IFERROR(INDEX('BOM2017'!F:F,MATCH(Wiki!B211,'BOM2017'!C:C,0)),INDEX('BOM2017'!F:F,MATCH(Wiki!B211,'BOM2017'!D:D,0)))</f>
        <v>$30,718,107</v>
      </c>
      <c r="H211" s="15" t="str">
        <f>IFERROR(INDEX('BOM2017'!H:H,MATCH(Wiki!B211,'BOM2017'!C:C,0)),INDEX('BOM2017'!H:H,MATCH(Wiki!B211,'BOM2017'!D:D,0)))</f>
        <v>$10,016,323</v>
      </c>
      <c r="I211" s="16" t="str">
        <f>IFERROR(INDEX('BOM2017'!H:H,MATCH(Wiki!B211,'BOM2017'!C:C,0)),INDEX('BOM2017'!H:H,MATCH(Wiki!B211,'BOM2017'!D:D,0)))</f>
        <v>$10,016,323</v>
      </c>
      <c r="J211" s="1" t="str">
        <f t="shared" si="12"/>
        <v>https://en.wikipedia.org/wiki/Kidnap_(2017_film)</v>
      </c>
      <c r="K211" s="11" t="str">
        <f t="shared" si="15"/>
        <v>Kidnap_(2017_film)</v>
      </c>
      <c r="L211" s="1" t="str">
        <f t="shared" si="13"/>
        <v>Kidnap</v>
      </c>
      <c r="M211" s="1" t="b">
        <f t="shared" si="14"/>
        <v>0</v>
      </c>
    </row>
    <row r="212" spans="2:13" x14ac:dyDescent="0.2">
      <c r="B212" s="3" t="s">
        <v>279</v>
      </c>
      <c r="C212" s="3" t="s">
        <v>168</v>
      </c>
      <c r="D212" s="3" t="s">
        <v>280</v>
      </c>
      <c r="E212" s="15" t="s">
        <v>85</v>
      </c>
      <c r="F212" s="15" t="s">
        <v>6</v>
      </c>
      <c r="G212" s="15" t="str">
        <f>IFERROR(INDEX('BOM2017'!F:F,MATCH(Wiki!B212,'BOM2017'!C:C,0)),INDEX('BOM2017'!F:F,MATCH(Wiki!B212,'BOM2017'!D:D,0)))</f>
        <v>$123,445</v>
      </c>
      <c r="H212" s="15" t="str">
        <f>IFERROR(INDEX('BOM2017'!H:H,MATCH(Wiki!B212,'BOM2017'!C:C,0)),INDEX('BOM2017'!H:H,MATCH(Wiki!B212,'BOM2017'!D:D,0)))</f>
        <v>$64,469</v>
      </c>
      <c r="I212" s="16" t="str">
        <f>IFERROR(INDEX('BOM2017'!H:H,MATCH(Wiki!B212,'BOM2017'!C:C,0)),INDEX('BOM2017'!H:H,MATCH(Wiki!B212,'BOM2017'!D:D,0)))</f>
        <v>$64,469</v>
      </c>
      <c r="J212" s="1" t="str">
        <f t="shared" si="12"/>
        <v>https://en.wikipedia.org/wiki/Buena_Vista_Social_Club:_Adios</v>
      </c>
      <c r="K212" s="11" t="str">
        <f t="shared" si="15"/>
        <v>Buena_Vista_Social_Club:_Adios</v>
      </c>
      <c r="L212" s="1" t="str">
        <f t="shared" si="13"/>
        <v>Buena_Vista_Social_Club:_Adios</v>
      </c>
      <c r="M212" s="1" t="b">
        <f t="shared" si="14"/>
        <v>1</v>
      </c>
    </row>
    <row r="213" spans="2:13" x14ac:dyDescent="0.2">
      <c r="B213" s="3" t="s">
        <v>298</v>
      </c>
      <c r="C213" s="3" t="s">
        <v>299</v>
      </c>
      <c r="D213" s="14" t="s">
        <v>3022</v>
      </c>
      <c r="E213" s="15" t="s">
        <v>91</v>
      </c>
      <c r="F213" s="15" t="s">
        <v>6</v>
      </c>
      <c r="G213" s="15" t="str">
        <f>IFERROR(INDEX('BOM2017'!F:F,MATCH(Wiki!B213,'BOM2017'!C:C,0)),INDEX('BOM2017'!F:F,MATCH(Wiki!B213,'BOM2017'!D:D,0)))</f>
        <v>$22,105,643</v>
      </c>
      <c r="H213" s="15" t="str">
        <f>IFERROR(INDEX('BOM2017'!H:H,MATCH(Wiki!B213,'BOM2017'!C:C,0)),INDEX('BOM2017'!H:H,MATCH(Wiki!B213,'BOM2017'!D:D,0)))</f>
        <v>$8,004,283</v>
      </c>
      <c r="I213" s="16" t="str">
        <f>IFERROR(INDEX('BOM2017'!H:H,MATCH(Wiki!B213,'BOM2017'!C:C,0)),INDEX('BOM2017'!H:H,MATCH(Wiki!B213,'BOM2017'!D:D,0)))</f>
        <v>$8,004,283</v>
      </c>
      <c r="J213" s="1" t="str">
        <f t="shared" si="12"/>
        <v>https://en.wikipedia.org/wiki/Rough_Night</v>
      </c>
      <c r="K213" s="11" t="str">
        <f t="shared" si="15"/>
        <v>Rough_Night</v>
      </c>
      <c r="L213" s="1" t="str">
        <f t="shared" si="13"/>
        <v>Rough_Night</v>
      </c>
      <c r="M213" s="1" t="b">
        <f t="shared" si="14"/>
        <v>1</v>
      </c>
    </row>
    <row r="214" spans="2:13" x14ac:dyDescent="0.2">
      <c r="B214" s="3" t="s">
        <v>512</v>
      </c>
      <c r="C214" s="3" t="s">
        <v>46</v>
      </c>
      <c r="D214" s="14" t="s">
        <v>3023</v>
      </c>
      <c r="E214" s="15" t="s">
        <v>24</v>
      </c>
      <c r="F214" s="15" t="s">
        <v>513</v>
      </c>
      <c r="G214" s="15" t="str">
        <f>IFERROR(INDEX('BOM2017'!F:F,MATCH(Wiki!B214,'BOM2017'!C:C,0)),INDEX('BOM2017'!F:F,MATCH(Wiki!B214,'BOM2017'!D:D,0)))</f>
        <v>$9,135,264</v>
      </c>
      <c r="H214" s="15" t="str">
        <f>IFERROR(INDEX('BOM2017'!H:H,MATCH(Wiki!B214,'BOM2017'!C:C,0)),INDEX('BOM2017'!H:H,MATCH(Wiki!B214,'BOM2017'!D:D,0)))</f>
        <v>$412,932</v>
      </c>
      <c r="I214" s="16" t="str">
        <f>IFERROR(INDEX('BOM2017'!H:H,MATCH(Wiki!B214,'BOM2017'!C:C,0)),INDEX('BOM2017'!H:H,MATCH(Wiki!B214,'BOM2017'!D:D,0)))</f>
        <v>$412,932</v>
      </c>
      <c r="J214" s="1" t="str">
        <f t="shared" si="12"/>
        <v>https://en.wikipedia.org/wiki/Call_Me_by_Your_Name_(film)</v>
      </c>
      <c r="K214" s="11" t="str">
        <f t="shared" si="15"/>
        <v>Call_Me_by_Your_Name_(film)</v>
      </c>
      <c r="L214" s="1" t="str">
        <f t="shared" si="13"/>
        <v>Call_Me_by_Your_Name</v>
      </c>
      <c r="M214" s="1" t="b">
        <f t="shared" si="14"/>
        <v>0</v>
      </c>
    </row>
    <row r="215" spans="2:13" x14ac:dyDescent="0.2">
      <c r="B215" s="3" t="s">
        <v>330</v>
      </c>
      <c r="C215" s="14" t="s">
        <v>3024</v>
      </c>
      <c r="D215" s="14" t="s">
        <v>3025</v>
      </c>
      <c r="E215" s="15" t="s">
        <v>331</v>
      </c>
      <c r="F215" s="15" t="s">
        <v>332</v>
      </c>
      <c r="G215" s="15" t="str">
        <f>IFERROR(INDEX('BOM2017'!F:F,MATCH(Wiki!B215,'BOM2017'!C:C,0)),INDEX('BOM2017'!F:F,MATCH(Wiki!B215,'BOM2017'!D:D,0)))</f>
        <v>$41,189,488</v>
      </c>
      <c r="H215" s="15" t="str">
        <f>IFERROR(INDEX('BOM2017'!H:H,MATCH(Wiki!B215,'BOM2017'!C:C,0)),INDEX('BOM2017'!H:H,MATCH(Wiki!B215,'BOM2017'!D:D,0)))</f>
        <v>$17,007,624</v>
      </c>
      <c r="I215" s="16" t="str">
        <f>IFERROR(INDEX('BOM2017'!H:H,MATCH(Wiki!B215,'BOM2017'!C:C,0)),INDEX('BOM2017'!H:H,MATCH(Wiki!B215,'BOM2017'!D:D,0)))</f>
        <v>$17,007,624</v>
      </c>
      <c r="J215" s="1" t="str">
        <f t="shared" si="12"/>
        <v>https://en.wikipedia.org/wiki/Valerian_and_the_City_of_a_Thousand_Planets</v>
      </c>
      <c r="K215" s="11" t="str">
        <f t="shared" si="15"/>
        <v>Valerian_and_the_City_of_a_Thousand_Planets</v>
      </c>
      <c r="L215" s="1" t="str">
        <f t="shared" si="13"/>
        <v>Valerian_and_the_City_of_a_Thousand_Planets</v>
      </c>
      <c r="M215" s="1" t="b">
        <f t="shared" si="14"/>
        <v>1</v>
      </c>
    </row>
    <row r="216" spans="2:13" x14ac:dyDescent="0.2">
      <c r="B216" s="3" t="s">
        <v>221</v>
      </c>
      <c r="C216" s="3" t="s">
        <v>222</v>
      </c>
      <c r="D216" s="14" t="s">
        <v>3026</v>
      </c>
      <c r="E216" s="15" t="s">
        <v>85</v>
      </c>
      <c r="F216" s="15" t="s">
        <v>223</v>
      </c>
      <c r="G216" s="15" t="str">
        <f>IFERROR(INDEX('BOM2017'!F:F,MATCH(Wiki!B216,'BOM2017'!C:C,0)),INDEX('BOM2017'!F:F,MATCH(Wiki!B216,'BOM2017'!D:D,0)))</f>
        <v>$13,873,211</v>
      </c>
      <c r="H216" s="15" t="str">
        <f>IFERROR(INDEX('BOM2017'!H:H,MATCH(Wiki!B216,'BOM2017'!C:C,0)),INDEX('BOM2017'!H:H,MATCH(Wiki!B216,'BOM2017'!D:D,0)))</f>
        <v>$4,790,367</v>
      </c>
      <c r="I216" s="16" t="str">
        <f>IFERROR(INDEX('BOM2017'!H:H,MATCH(Wiki!B216,'BOM2017'!C:C,0)),INDEX('BOM2017'!H:H,MATCH(Wiki!B216,'BOM2017'!D:D,0)))</f>
        <v>$4,790,367</v>
      </c>
      <c r="J216" s="1" t="str">
        <f t="shared" si="12"/>
        <v>https://en.wikipedia.org/wiki/Born_in_China</v>
      </c>
      <c r="K216" s="11" t="str">
        <f t="shared" si="15"/>
        <v>Born_in_China</v>
      </c>
      <c r="L216" s="1" t="str">
        <f t="shared" si="13"/>
        <v>Born_in_China</v>
      </c>
      <c r="M216" s="1" t="b">
        <f t="shared" si="14"/>
        <v>1</v>
      </c>
    </row>
    <row r="217" spans="2:13" x14ac:dyDescent="0.2">
      <c r="B217" s="3" t="s">
        <v>532</v>
      </c>
      <c r="C217" s="3" t="s">
        <v>533</v>
      </c>
      <c r="D217" s="14" t="s">
        <v>3027</v>
      </c>
      <c r="E217" s="15" t="s">
        <v>534</v>
      </c>
      <c r="F217" s="15" t="s">
        <v>6</v>
      </c>
      <c r="G217" s="15" t="e">
        <f>IFERROR(INDEX('BOM2017'!F:F,MATCH(Wiki!B217,'BOM2017'!C:C,0)),INDEX('BOM2017'!F:F,MATCH(Wiki!B217,'BOM2017'!D:D,0)))</f>
        <v>#N/A</v>
      </c>
      <c r="H217" s="15" t="e">
        <f>IFERROR(INDEX('BOM2017'!H:H,MATCH(Wiki!B217,'BOM2017'!C:C,0)),INDEX('BOM2017'!H:H,MATCH(Wiki!B217,'BOM2017'!D:D,0)))</f>
        <v>#N/A</v>
      </c>
      <c r="I217" s="16" t="e">
        <f>IFERROR(INDEX('BOM2017'!H:H,MATCH(Wiki!B217,'BOM2017'!C:C,0)),INDEX('BOM2017'!H:H,MATCH(Wiki!B217,'BOM2017'!D:D,0)))</f>
        <v>#N/A</v>
      </c>
      <c r="J217" s="1" t="str">
        <f t="shared" si="12"/>
        <v>https://en.wikipedia.org/wiki/Beyond_Skyline</v>
      </c>
      <c r="K217" s="11" t="str">
        <f t="shared" si="15"/>
        <v>Beyond_Skyline</v>
      </c>
      <c r="L217" s="1" t="str">
        <f t="shared" si="13"/>
        <v>Beyond_Skyline</v>
      </c>
      <c r="M217" s="1" t="b">
        <f t="shared" si="14"/>
        <v>1</v>
      </c>
    </row>
    <row r="218" spans="2:13" x14ac:dyDescent="0.2">
      <c r="B218" s="3" t="s">
        <v>538</v>
      </c>
      <c r="C218" s="14" t="s">
        <v>3028</v>
      </c>
      <c r="D218" s="14" t="s">
        <v>3029</v>
      </c>
      <c r="E218" s="15" t="s">
        <v>91</v>
      </c>
      <c r="F218" s="15" t="s">
        <v>6</v>
      </c>
      <c r="G218" s="15" t="str">
        <f>IFERROR(INDEX('BOM2017'!F:F,MATCH(Wiki!B218,'BOM2017'!C:C,0)),INDEX('BOM2017'!F:F,MATCH(Wiki!B218,'BOM2017'!D:D,0)))</f>
        <v>$17,390,334</v>
      </c>
      <c r="H218" s="15" t="str">
        <f>IFERROR(INDEX('BOM2017'!H:H,MATCH(Wiki!B218,'BOM2017'!C:C,0)),INDEX('BOM2017'!H:H,MATCH(Wiki!B218,'BOM2017'!D:D,0)))</f>
        <v>$3,287,451</v>
      </c>
      <c r="I218" s="16" t="str">
        <f>IFERROR(INDEX('BOM2017'!H:H,MATCH(Wiki!B218,'BOM2017'!C:C,0)),INDEX('BOM2017'!H:H,MATCH(Wiki!B218,'BOM2017'!D:D,0)))</f>
        <v>$3,287,451</v>
      </c>
      <c r="J218" s="1" t="str">
        <f t="shared" si="12"/>
        <v>https://en.wikipedia.org/wiki/Father_Figures</v>
      </c>
      <c r="K218" s="11" t="str">
        <f t="shared" si="15"/>
        <v>Father_Figures</v>
      </c>
      <c r="L218" s="1" t="str">
        <f t="shared" si="13"/>
        <v>Father_Figures</v>
      </c>
      <c r="M218" s="1" t="b">
        <f t="shared" si="14"/>
        <v>1</v>
      </c>
    </row>
    <row r="219" spans="2:13" x14ac:dyDescent="0.2">
      <c r="B219" s="3" t="s">
        <v>57</v>
      </c>
      <c r="C219" s="14" t="s">
        <v>3030</v>
      </c>
      <c r="D219" s="14" t="s">
        <v>3031</v>
      </c>
      <c r="E219" s="15" t="s">
        <v>58</v>
      </c>
      <c r="F219" s="15" t="s">
        <v>6</v>
      </c>
      <c r="G219" s="15" t="str">
        <f>IFERROR(INDEX('BOM2017'!F:F,MATCH(Wiki!B219,'BOM2017'!C:C,0)),INDEX('BOM2017'!F:F,MATCH(Wiki!B219,'BOM2017'!D:D,0)))</f>
        <v>$64,508,620</v>
      </c>
      <c r="H219" s="15" t="str">
        <f>IFERROR(INDEX('BOM2017'!H:H,MATCH(Wiki!B219,'BOM2017'!C:C,0)),INDEX('BOM2017'!H:H,MATCH(Wiki!B219,'BOM2017'!D:D,0)))</f>
        <v>$18,222,810</v>
      </c>
      <c r="I219" s="16" t="str">
        <f>IFERROR(INDEX('BOM2017'!H:H,MATCH(Wiki!B219,'BOM2017'!C:C,0)),INDEX('BOM2017'!H:H,MATCH(Wiki!B219,'BOM2017'!D:D,0)))</f>
        <v>$18,222,810</v>
      </c>
      <c r="J219" s="1" t="str">
        <f t="shared" si="12"/>
        <v>https://en.wikipedia.org/wiki/A_Dog%27s_Purpose_(film)</v>
      </c>
      <c r="K219" s="11" t="str">
        <f t="shared" si="15"/>
        <v>A_Dog%27s_Purpose_(film)</v>
      </c>
      <c r="L219" s="1" t="str">
        <f t="shared" si="13"/>
        <v>A_Dog's_Purpose</v>
      </c>
      <c r="M219" s="1" t="b">
        <f t="shared" si="14"/>
        <v>0</v>
      </c>
    </row>
    <row r="220" spans="2:13" x14ac:dyDescent="0.2">
      <c r="B220" s="3" t="s">
        <v>494</v>
      </c>
      <c r="C220" s="14" t="s">
        <v>3032</v>
      </c>
      <c r="D220" s="14" t="s">
        <v>3033</v>
      </c>
      <c r="E220" s="15" t="s">
        <v>495</v>
      </c>
      <c r="F220" s="15" t="s">
        <v>496</v>
      </c>
      <c r="G220" s="15" t="e">
        <f>IFERROR(INDEX('BOM2017'!F:F,MATCH(Wiki!B220,'BOM2017'!C:C,0)),INDEX('BOM2017'!F:F,MATCH(Wiki!B220,'BOM2017'!D:D,0)))</f>
        <v>#N/A</v>
      </c>
      <c r="H220" s="15" t="e">
        <f>IFERROR(INDEX('BOM2017'!H:H,MATCH(Wiki!B220,'BOM2017'!C:C,0)),INDEX('BOM2017'!H:H,MATCH(Wiki!B220,'BOM2017'!D:D,0)))</f>
        <v>#N/A</v>
      </c>
      <c r="I220" s="16" t="e">
        <f>IFERROR(INDEX('BOM2017'!H:H,MATCH(Wiki!B220,'BOM2017'!C:C,0)),INDEX('BOM2017'!H:H,MATCH(Wiki!B220,'BOM2017'!D:D,0)))</f>
        <v>#N/A</v>
      </c>
      <c r="J220" s="1" t="str">
        <f t="shared" si="12"/>
        <v>https://en.wikipedia.org/wiki/Pok%C3%A9mon_the_Movie:_I_Choose_You!</v>
      </c>
      <c r="K220" s="11" t="str">
        <f t="shared" si="15"/>
        <v>Pok%C3%A9mon_the_Movie:_I_Choose_You!</v>
      </c>
      <c r="L220" s="1" t="str">
        <f t="shared" si="13"/>
        <v>Pokémon_the_Movie:_I_Choose_You!</v>
      </c>
      <c r="M220" s="1" t="b">
        <f t="shared" si="14"/>
        <v>0</v>
      </c>
    </row>
    <row r="221" spans="2:13" x14ac:dyDescent="0.2">
      <c r="B221" s="3" t="s">
        <v>490</v>
      </c>
      <c r="C221" s="14" t="s">
        <v>3034</v>
      </c>
      <c r="D221" s="14" t="s">
        <v>3035</v>
      </c>
      <c r="E221" s="15" t="s">
        <v>491</v>
      </c>
      <c r="F221" s="15" t="s">
        <v>6</v>
      </c>
      <c r="G221" s="15" t="str">
        <f>IFERROR(INDEX('BOM2017'!F:F,MATCH(Wiki!B221,'BOM2017'!C:C,0)),INDEX('BOM2017'!F:F,MATCH(Wiki!B221,'BOM2017'!D:D,0)))</f>
        <v>$102,321,408</v>
      </c>
      <c r="H221" s="15" t="str">
        <f>IFERROR(INDEX('BOM2017'!H:H,MATCH(Wiki!B221,'BOM2017'!C:C,0)),INDEX('BOM2017'!H:H,MATCH(Wiki!B221,'BOM2017'!D:D,0)))</f>
        <v>$28,681,472</v>
      </c>
      <c r="I221" s="16" t="str">
        <f>IFERROR(INDEX('BOM2017'!H:H,MATCH(Wiki!B221,'BOM2017'!C:C,0)),INDEX('BOM2017'!H:H,MATCH(Wiki!B221,'BOM2017'!D:D,0)))</f>
        <v>$28,681,472</v>
      </c>
      <c r="J221" s="1" t="str">
        <f t="shared" si="12"/>
        <v>https://en.wikipedia.org/wiki/Murder_on_the_Orient_Express_(2017_film)</v>
      </c>
      <c r="K221" s="11" t="str">
        <f t="shared" si="15"/>
        <v>Murder_on_the_Orient_Express_(2017_film)</v>
      </c>
      <c r="L221" s="1" t="str">
        <f t="shared" si="13"/>
        <v>Murder_on_the_Orient_Express</v>
      </c>
      <c r="M221" s="1" t="b">
        <f t="shared" si="14"/>
        <v>0</v>
      </c>
    </row>
    <row r="222" spans="2:13" x14ac:dyDescent="0.2">
      <c r="B222" s="3" t="s">
        <v>188</v>
      </c>
      <c r="C222" s="14" t="s">
        <v>3036</v>
      </c>
      <c r="D222" s="14" t="s">
        <v>3037</v>
      </c>
      <c r="E222" s="15" t="s">
        <v>189</v>
      </c>
      <c r="F222" s="15" t="s">
        <v>6</v>
      </c>
      <c r="G222" s="15" t="str">
        <f>IFERROR(INDEX('BOM2017'!F:F,MATCH(Wiki!B222,'BOM2017'!C:C,0)),INDEX('BOM2017'!F:F,MATCH(Wiki!B222,'BOM2017'!D:D,0)))</f>
        <v>$45,020,282</v>
      </c>
      <c r="H222" s="15" t="str">
        <f>IFERROR(INDEX('BOM2017'!H:H,MATCH(Wiki!B222,'BOM2017'!C:C,0)),INDEX('BOM2017'!H:H,MATCH(Wiki!B222,'BOM2017'!D:D,0)))</f>
        <v>$13,210,449</v>
      </c>
      <c r="I222" s="16" t="str">
        <f>IFERROR(INDEX('BOM2017'!H:H,MATCH(Wiki!B222,'BOM2017'!C:C,0)),INDEX('BOM2017'!H:H,MATCH(Wiki!B222,'BOM2017'!D:D,0)))</f>
        <v>$13,210,449</v>
      </c>
      <c r="J222" s="1" t="str">
        <f t="shared" si="12"/>
        <v>https://en.wikipedia.org/wiki/Smurfs:_The_Lost_Village</v>
      </c>
      <c r="K222" s="11" t="str">
        <f t="shared" si="15"/>
        <v>Smurfs:_The_Lost_Village</v>
      </c>
      <c r="L222" s="1" t="str">
        <f t="shared" si="13"/>
        <v>Smurfs:_The_Lost_Village</v>
      </c>
      <c r="M222" s="1" t="b">
        <f t="shared" si="14"/>
        <v>1</v>
      </c>
    </row>
    <row r="223" spans="2:13" x14ac:dyDescent="0.2">
      <c r="B223" s="3" t="s">
        <v>379</v>
      </c>
      <c r="C223" s="3" t="s">
        <v>249</v>
      </c>
      <c r="D223" s="14" t="s">
        <v>3038</v>
      </c>
      <c r="E223" s="15" t="s">
        <v>63</v>
      </c>
      <c r="F223" s="15" t="s">
        <v>40</v>
      </c>
      <c r="G223" s="15" t="str">
        <f>IFERROR(INDEX('BOM2017'!F:F,MATCH(Wiki!B223,'BOM2017'!C:C,0)),INDEX('BOM2017'!F:F,MATCH(Wiki!B223,'BOM2017'!D:D,0)))</f>
        <v>$2,455,635</v>
      </c>
      <c r="H223" s="15" t="str">
        <f>IFERROR(INDEX('BOM2017'!H:H,MATCH(Wiki!B223,'BOM2017'!C:C,0)),INDEX('BOM2017'!H:H,MATCH(Wiki!B223,'BOM2017'!D:D,0)))</f>
        <v>$1,158,017</v>
      </c>
      <c r="I223" s="16" t="str">
        <f>IFERROR(INDEX('BOM2017'!H:H,MATCH(Wiki!B223,'BOM2017'!C:C,0)),INDEX('BOM2017'!H:H,MATCH(Wiki!B223,'BOM2017'!D:D,0)))</f>
        <v>$1,158,017</v>
      </c>
      <c r="J223" s="1" t="str">
        <f t="shared" si="12"/>
        <v>https://en.wikipedia.org/wiki/Tulip_Fever</v>
      </c>
      <c r="K223" s="11" t="str">
        <f t="shared" si="15"/>
        <v>Tulip_Fever</v>
      </c>
      <c r="L223" s="1" t="str">
        <f t="shared" si="13"/>
        <v>Tulip_Fever</v>
      </c>
      <c r="M223" s="1" t="b">
        <f t="shared" si="14"/>
        <v>1</v>
      </c>
    </row>
    <row r="224" spans="2:13" x14ac:dyDescent="0.2">
      <c r="B224" s="3" t="s">
        <v>394</v>
      </c>
      <c r="C224" s="15" t="s">
        <v>395</v>
      </c>
      <c r="D224" s="15" t="s">
        <v>396</v>
      </c>
      <c r="E224" s="15" t="s">
        <v>397</v>
      </c>
      <c r="F224" s="3" t="s">
        <v>398</v>
      </c>
      <c r="G224" s="15" t="e">
        <f>IFERROR(INDEX('BOM2017'!F:F,MATCH(Wiki!B224,'BOM2017'!C:C,0)),INDEX('BOM2017'!F:F,MATCH(Wiki!B224,'BOM2017'!D:D,0)))</f>
        <v>#N/A</v>
      </c>
      <c r="H224" s="15" t="e">
        <f>IFERROR(INDEX('BOM2017'!H:H,MATCH(Wiki!B224,'BOM2017'!C:C,0)),INDEX('BOM2017'!H:H,MATCH(Wiki!B224,'BOM2017'!D:D,0)))</f>
        <v>#N/A</v>
      </c>
      <c r="I224" s="16" t="e">
        <f>IFERROR(INDEX('BOM2017'!H:H,MATCH(Wiki!B224,'BOM2017'!C:C,0)),INDEX('BOM2017'!H:H,MATCH(Wiki!B224,'BOM2017'!D:D,0)))</f>
        <v>#N/A</v>
      </c>
      <c r="J224" s="1" t="str">
        <f t="shared" si="12"/>
        <v>https://en.wikipedia.org/wiki/Los_Buscadores</v>
      </c>
      <c r="K224" s="11" t="str">
        <f t="shared" si="15"/>
        <v>Los_Buscadores</v>
      </c>
      <c r="L224" s="1" t="str">
        <f t="shared" si="13"/>
        <v>Los_Buscadores</v>
      </c>
      <c r="M224" s="1" t="b">
        <f t="shared" si="14"/>
        <v>1</v>
      </c>
    </row>
    <row r="225" spans="2:13" x14ac:dyDescent="0.2">
      <c r="B225" s="3" t="s">
        <v>137</v>
      </c>
      <c r="C225" s="14" t="s">
        <v>3039</v>
      </c>
      <c r="D225" s="14" t="s">
        <v>3040</v>
      </c>
      <c r="E225" s="15" t="s">
        <v>138</v>
      </c>
      <c r="F225" s="15" t="s">
        <v>6</v>
      </c>
      <c r="G225" s="15" t="str">
        <f>IFERROR(INDEX('BOM2017'!F:F,MATCH(Wiki!B225,'BOM2017'!C:C,0)),INDEX('BOM2017'!F:F,MATCH(Wiki!B225,'BOM2017'!D:D,0)))</f>
        <v>$168,052,812</v>
      </c>
      <c r="H225" s="15" t="str">
        <f>IFERROR(INDEX('BOM2017'!H:H,MATCH(Wiki!B225,'BOM2017'!C:C,0)),INDEX('BOM2017'!H:H,MATCH(Wiki!B225,'BOM2017'!D:D,0)))</f>
        <v>$61,025,472</v>
      </c>
      <c r="I225" s="16" t="str">
        <f>IFERROR(INDEX('BOM2017'!H:H,MATCH(Wiki!B225,'BOM2017'!C:C,0)),INDEX('BOM2017'!H:H,MATCH(Wiki!B225,'BOM2017'!D:D,0)))</f>
        <v>$61,025,472</v>
      </c>
      <c r="J225" s="1" t="str">
        <f t="shared" si="12"/>
        <v>https://en.wikipedia.org/wiki/Kong:_Skull_Island</v>
      </c>
      <c r="K225" s="11" t="str">
        <f t="shared" si="15"/>
        <v>Kong:_Skull_Island</v>
      </c>
      <c r="L225" s="1" t="str">
        <f t="shared" si="13"/>
        <v>Kong:_Skull_Island</v>
      </c>
      <c r="M225" s="1" t="b">
        <f t="shared" si="14"/>
        <v>1</v>
      </c>
    </row>
    <row r="226" spans="2:13" x14ac:dyDescent="0.2">
      <c r="B226" s="3" t="s">
        <v>52</v>
      </c>
      <c r="C226" s="3" t="s">
        <v>53</v>
      </c>
      <c r="D226" s="14" t="s">
        <v>3041</v>
      </c>
      <c r="E226" s="15" t="s">
        <v>19</v>
      </c>
      <c r="F226" s="15" t="s">
        <v>6</v>
      </c>
      <c r="G226" s="15" t="str">
        <f>IFERROR(INDEX('BOM2017'!F:F,MATCH(Wiki!B226,'BOM2017'!C:C,0)),INDEX('BOM2017'!F:F,MATCH(Wiki!B226,'BOM2017'!D:D,0)))</f>
        <v>$175,686,870</v>
      </c>
      <c r="H226" s="15" t="str">
        <f>IFERROR(INDEX('BOM2017'!H:H,MATCH(Wiki!B226,'BOM2017'!C:C,0)),INDEX('BOM2017'!H:H,MATCH(Wiki!B226,'BOM2017'!D:D,0)))</f>
        <v>$33,377,060</v>
      </c>
      <c r="I226" s="16" t="str">
        <f>IFERROR(INDEX('BOM2017'!H:H,MATCH(Wiki!B226,'BOM2017'!C:C,0)),INDEX('BOM2017'!H:H,MATCH(Wiki!B226,'BOM2017'!D:D,0)))</f>
        <v>$33,377,060</v>
      </c>
      <c r="J226" s="1" t="str">
        <f t="shared" si="12"/>
        <v>https://en.wikipedia.org/wiki/Get_Out</v>
      </c>
      <c r="K226" s="11" t="str">
        <f t="shared" si="15"/>
        <v>Get_Out</v>
      </c>
      <c r="L226" s="1" t="str">
        <f t="shared" si="13"/>
        <v>Get_Out</v>
      </c>
      <c r="M226" s="1" t="b">
        <f t="shared" si="14"/>
        <v>1</v>
      </c>
    </row>
    <row r="227" spans="2:13" x14ac:dyDescent="0.2">
      <c r="B227" s="3" t="s">
        <v>388</v>
      </c>
      <c r="C227" s="14" t="s">
        <v>2824</v>
      </c>
      <c r="D227" s="14" t="s">
        <v>3042</v>
      </c>
      <c r="E227" s="15" t="s">
        <v>389</v>
      </c>
      <c r="F227" s="15" t="s">
        <v>6</v>
      </c>
      <c r="G227" s="15" t="str">
        <f>IFERROR(INDEX('BOM2017'!F:F,MATCH(Wiki!B227,'BOM2017'!C:C,0)),INDEX('BOM2017'!F:F,MATCH(Wiki!B227,'BOM2017'!D:D,0)))</f>
        <v>$12,638,526</v>
      </c>
      <c r="H227" s="15" t="str">
        <f>IFERROR(INDEX('BOM2017'!H:H,MATCH(Wiki!B227,'BOM2017'!C:C,0)),INDEX('BOM2017'!H:H,MATCH(Wiki!B227,'BOM2017'!D:D,0)))</f>
        <v>$518,332</v>
      </c>
      <c r="I227" s="16" t="str">
        <f>IFERROR(INDEX('BOM2017'!H:H,MATCH(Wiki!B227,'BOM2017'!C:C,0)),INDEX('BOM2017'!H:H,MATCH(Wiki!B227,'BOM2017'!D:D,0)))</f>
        <v>$518,332</v>
      </c>
      <c r="J227" s="1" t="str">
        <f t="shared" si="12"/>
        <v>https://en.wikipedia.org/wiki/Battle_of_the_Sexes_(film)</v>
      </c>
      <c r="K227" s="11" t="str">
        <f t="shared" si="15"/>
        <v>Battle_of_the_Sexes_(film)</v>
      </c>
      <c r="L227" s="1" t="str">
        <f t="shared" si="13"/>
        <v>Battle_of_the_Sexes</v>
      </c>
      <c r="M227" s="1" t="b">
        <f t="shared" si="14"/>
        <v>0</v>
      </c>
    </row>
    <row r="228" spans="2:13" x14ac:dyDescent="0.2">
      <c r="B228" s="3" t="s">
        <v>492</v>
      </c>
      <c r="C228" s="14" t="s">
        <v>2919</v>
      </c>
      <c r="D228" s="14" t="s">
        <v>3043</v>
      </c>
      <c r="E228" s="15" t="s">
        <v>91</v>
      </c>
      <c r="F228" s="15" t="s">
        <v>6</v>
      </c>
      <c r="G228" s="15" t="str">
        <f>IFERROR(INDEX('BOM2017'!F:F,MATCH(Wiki!B228,'BOM2017'!C:C,0)),INDEX('BOM2017'!F:F,MATCH(Wiki!B228,'BOM2017'!D:D,0)))</f>
        <v>$72,110,659</v>
      </c>
      <c r="H228" s="15" t="str">
        <f>IFERROR(INDEX('BOM2017'!H:H,MATCH(Wiki!B228,'BOM2017'!C:C,0)),INDEX('BOM2017'!H:H,MATCH(Wiki!B228,'BOM2017'!D:D,0)))</f>
        <v>$16,759,161</v>
      </c>
      <c r="I228" s="16" t="str">
        <f>IFERROR(INDEX('BOM2017'!H:H,MATCH(Wiki!B228,'BOM2017'!C:C,0)),INDEX('BOM2017'!H:H,MATCH(Wiki!B228,'BOM2017'!D:D,0)))</f>
        <v>$16,759,161</v>
      </c>
      <c r="J228" s="1" t="str">
        <f t="shared" si="12"/>
        <v>https://en.wikipedia.org/wiki/A_Bad_Moms_Christmas</v>
      </c>
      <c r="K228" s="11" t="str">
        <f t="shared" si="15"/>
        <v>A_Bad_Moms_Christmas</v>
      </c>
      <c r="L228" s="1" t="str">
        <f t="shared" si="13"/>
        <v>A_Bad_Moms_Christmas</v>
      </c>
      <c r="M228" s="1" t="b">
        <f t="shared" si="14"/>
        <v>1</v>
      </c>
    </row>
    <row r="229" spans="2:13" x14ac:dyDescent="0.2">
      <c r="B229" s="3" t="s">
        <v>190</v>
      </c>
      <c r="C229" s="3" t="s">
        <v>191</v>
      </c>
      <c r="D229" s="14" t="s">
        <v>3044</v>
      </c>
      <c r="E229" s="15" t="s">
        <v>24</v>
      </c>
      <c r="F229" s="15" t="s">
        <v>6</v>
      </c>
      <c r="G229" s="15" t="str">
        <f>IFERROR(INDEX('BOM2017'!F:F,MATCH(Wiki!B229,'BOM2017'!C:C,0)),INDEX('BOM2017'!F:F,MATCH(Wiki!B229,'BOM2017'!D:D,0)))</f>
        <v>$14,682,684</v>
      </c>
      <c r="H229" s="15" t="str">
        <f>IFERROR(INDEX('BOM2017'!H:H,MATCH(Wiki!B229,'BOM2017'!C:C,0)),INDEX('BOM2017'!H:H,MATCH(Wiki!B229,'BOM2017'!D:D,0)))</f>
        <v>$3,967,885</v>
      </c>
      <c r="I229" s="16" t="str">
        <f>IFERROR(INDEX('BOM2017'!H:H,MATCH(Wiki!B229,'BOM2017'!C:C,0)),INDEX('BOM2017'!H:H,MATCH(Wiki!B229,'BOM2017'!D:D,0)))</f>
        <v>$3,967,885</v>
      </c>
      <c r="J229" s="1" t="str">
        <f t="shared" si="12"/>
        <v>https://en.wikipedia.org/wiki/The_Case_for_Christ</v>
      </c>
      <c r="K229" s="11" t="str">
        <f t="shared" si="15"/>
        <v>The_Case_for_Christ</v>
      </c>
      <c r="L229" s="1" t="str">
        <f t="shared" si="13"/>
        <v>The_Case_for_Christ</v>
      </c>
      <c r="M229" s="1" t="b">
        <f t="shared" si="14"/>
        <v>1</v>
      </c>
    </row>
    <row r="230" spans="2:13" x14ac:dyDescent="0.2">
      <c r="B230" s="3" t="s">
        <v>326</v>
      </c>
      <c r="C230" s="14" t="s">
        <v>3045</v>
      </c>
      <c r="D230" s="14" t="s">
        <v>3046</v>
      </c>
      <c r="E230" s="15" t="s">
        <v>327</v>
      </c>
      <c r="F230" s="15" t="s">
        <v>328</v>
      </c>
      <c r="G230" s="15" t="str">
        <f>IFERROR(INDEX('BOM2017'!F:F,MATCH(Wiki!B230,'BOM2017'!C:C,0)),INDEX('BOM2017'!F:F,MATCH(Wiki!B230,'BOM2017'!D:D,0)))</f>
        <v>$14,301,505</v>
      </c>
      <c r="H230" s="15" t="str">
        <f>IFERROR(INDEX('BOM2017'!H:H,MATCH(Wiki!B230,'BOM2017'!C:C,0)),INDEX('BOM2017'!H:H,MATCH(Wiki!B230,'BOM2017'!D:D,0)))</f>
        <v>$5,467,084</v>
      </c>
      <c r="I230" s="16" t="str">
        <f>IFERROR(INDEX('BOM2017'!H:H,MATCH(Wiki!B230,'BOM2017'!C:C,0)),INDEX('BOM2017'!H:H,MATCH(Wiki!B230,'BOM2017'!D:D,0)))</f>
        <v>$5,467,084</v>
      </c>
      <c r="J230" s="1" t="str">
        <f t="shared" si="12"/>
        <v>https://en.wikipedia.org/wiki/Wish_Upon</v>
      </c>
      <c r="K230" s="11" t="str">
        <f t="shared" si="15"/>
        <v>Wish_Upon</v>
      </c>
      <c r="L230" s="1" t="str">
        <f t="shared" si="13"/>
        <v>Wish_Upon</v>
      </c>
      <c r="M230" s="1" t="b">
        <f t="shared" si="14"/>
        <v>1</v>
      </c>
    </row>
    <row r="231" spans="2:13" x14ac:dyDescent="0.2">
      <c r="B231" s="3" t="s">
        <v>252</v>
      </c>
      <c r="C231" s="14" t="s">
        <v>3047</v>
      </c>
      <c r="D231" s="14" t="s">
        <v>3048</v>
      </c>
      <c r="E231" s="15" t="s">
        <v>253</v>
      </c>
      <c r="F231" s="15" t="s">
        <v>6</v>
      </c>
      <c r="G231" s="15" t="str">
        <f>IFERROR(INDEX('BOM2017'!F:F,MATCH(Wiki!B231,'BOM2017'!C:C,0)),INDEX('BOM2017'!F:F,MATCH(Wiki!B231,'BOM2017'!D:D,0)))</f>
        <v>$172,558,876</v>
      </c>
      <c r="H231" s="15" t="str">
        <f>IFERROR(INDEX('BOM2017'!H:H,MATCH(Wiki!B231,'BOM2017'!C:C,0)),INDEX('BOM2017'!H:H,MATCH(Wiki!B231,'BOM2017'!D:D,0)))</f>
        <v>$62,983,253</v>
      </c>
      <c r="I231" s="16" t="str">
        <f>IFERROR(INDEX('BOM2017'!H:H,MATCH(Wiki!B231,'BOM2017'!C:C,0)),INDEX('BOM2017'!H:H,MATCH(Wiki!B231,'BOM2017'!D:D,0)))</f>
        <v>$62,983,253</v>
      </c>
      <c r="J231" s="1" t="str">
        <f t="shared" si="12"/>
        <v>https://en.wikipedia.org/wiki/Pirates_of_the_Caribbean:_Dead_Men_Tell_No_Tales</v>
      </c>
      <c r="K231" s="11" t="str">
        <f t="shared" si="15"/>
        <v>Pirates_of_the_Caribbean:_Dead_Men_Tell_No_Tales</v>
      </c>
      <c r="L231" s="1" t="str">
        <f t="shared" si="13"/>
        <v>Pirates_of_the_Caribbean:_Dead_Men_Tell_No_Tales</v>
      </c>
      <c r="M231" s="1" t="b">
        <f t="shared" si="14"/>
        <v>1</v>
      </c>
    </row>
    <row r="232" spans="2:13" x14ac:dyDescent="0.2">
      <c r="B232" s="3" t="s">
        <v>431</v>
      </c>
      <c r="C232" s="14" t="s">
        <v>3049</v>
      </c>
      <c r="D232" s="14" t="s">
        <v>3050</v>
      </c>
      <c r="E232" s="15" t="s">
        <v>432</v>
      </c>
      <c r="F232" s="15" t="s">
        <v>295</v>
      </c>
      <c r="G232" s="15" t="str">
        <f>IFERROR(INDEX('BOM2017'!F:F,MATCH(Wiki!B232,'BOM2017'!C:C,0)),INDEX('BOM2017'!F:F,MATCH(Wiki!B232,'BOM2017'!D:D,0)))</f>
        <v>$21,885,107</v>
      </c>
      <c r="H232" s="15" t="str">
        <f>IFERROR(INDEX('BOM2017'!H:H,MATCH(Wiki!B232,'BOM2017'!C:C,0)),INDEX('BOM2017'!H:H,MATCH(Wiki!B232,'BOM2017'!D:D,0)))</f>
        <v>$8,885,899</v>
      </c>
      <c r="I232" s="16" t="str">
        <f>IFERROR(INDEX('BOM2017'!H:H,MATCH(Wiki!B232,'BOM2017'!C:C,0)),INDEX('BOM2017'!H:H,MATCH(Wiki!B232,'BOM2017'!D:D,0)))</f>
        <v>$8,885,899</v>
      </c>
      <c r="J232" s="1" t="str">
        <f t="shared" si="12"/>
        <v>https://en.wikipedia.org/wiki/My_Little_Pony:_The_Movie_(2017_film)</v>
      </c>
      <c r="K232" s="11" t="str">
        <f t="shared" si="15"/>
        <v>My_Little_Pony:_The_Movie_(2017_film)</v>
      </c>
      <c r="L232" s="1" t="str">
        <f t="shared" si="13"/>
        <v>My_Little_Pony:_The_Movie</v>
      </c>
      <c r="M232" s="1" t="b">
        <f t="shared" si="14"/>
        <v>0</v>
      </c>
    </row>
    <row r="233" spans="2:13" x14ac:dyDescent="0.2">
      <c r="B233" s="3" t="s">
        <v>478</v>
      </c>
      <c r="C233" s="14" t="s">
        <v>3051</v>
      </c>
      <c r="D233" s="14" t="s">
        <v>3052</v>
      </c>
      <c r="E233" s="15" t="s">
        <v>385</v>
      </c>
      <c r="F233" s="15" t="s">
        <v>6</v>
      </c>
      <c r="G233" s="15" t="str">
        <f>IFERROR(INDEX('BOM2017'!F:F,MATCH(Wiki!B233,'BOM2017'!C:C,0)),INDEX('BOM2017'!F:F,MATCH(Wiki!B233,'BOM2017'!D:D,0)))</f>
        <v>$9,536,300</v>
      </c>
      <c r="H233" s="15" t="str">
        <f>IFERROR(INDEX('BOM2017'!H:H,MATCH(Wiki!B233,'BOM2017'!C:C,0)),INDEX('BOM2017'!H:H,MATCH(Wiki!B233,'BOM2017'!D:D,0)))</f>
        <v>$3,817,700</v>
      </c>
      <c r="I233" s="16" t="str">
        <f>IFERROR(INDEX('BOM2017'!H:H,MATCH(Wiki!B233,'BOM2017'!C:C,0)),INDEX('BOM2017'!H:H,MATCH(Wiki!B233,'BOM2017'!D:D,0)))</f>
        <v>$3,817,700</v>
      </c>
      <c r="J233" s="1" t="str">
        <f t="shared" si="12"/>
        <v>https://en.wikipedia.org/wiki/Thank_You_for_Your_Service_(2017_film)</v>
      </c>
      <c r="K233" s="11" t="str">
        <f t="shared" si="15"/>
        <v>Thank_You_for_Your_Service_(2017_film)</v>
      </c>
      <c r="L233" s="1" t="str">
        <f t="shared" si="13"/>
        <v>Thank_You_for_Your_Service</v>
      </c>
      <c r="M233" s="1" t="b">
        <f t="shared" si="14"/>
        <v>0</v>
      </c>
    </row>
    <row r="234" spans="2:13" x14ac:dyDescent="0.2">
      <c r="B234" s="3" t="s">
        <v>233</v>
      </c>
      <c r="C234" s="14" t="s">
        <v>3053</v>
      </c>
      <c r="D234" s="14" t="s">
        <v>3054</v>
      </c>
      <c r="E234" s="15" t="s">
        <v>234</v>
      </c>
      <c r="F234" s="15" t="s">
        <v>6</v>
      </c>
      <c r="G234" s="15" t="str">
        <f>IFERROR(INDEX('BOM2017'!F:F,MATCH(Wiki!B234,'BOM2017'!C:C,0)),INDEX('BOM2017'!F:F,MATCH(Wiki!B234,'BOM2017'!D:D,0)))</f>
        <v>$20,497,844</v>
      </c>
      <c r="H234" s="15" t="str">
        <f>IFERROR(INDEX('BOM2017'!H:H,MATCH(Wiki!B234,'BOM2017'!C:C,0)),INDEX('BOM2017'!H:H,MATCH(Wiki!B234,'BOM2017'!D:D,0)))</f>
        <v>$9,034,148</v>
      </c>
      <c r="I234" s="16" t="str">
        <f>IFERROR(INDEX('BOM2017'!H:H,MATCH(Wiki!B234,'BOM2017'!C:C,0)),INDEX('BOM2017'!H:H,MATCH(Wiki!B234,'BOM2017'!D:D,0)))</f>
        <v>$9,034,148</v>
      </c>
      <c r="J234" s="1" t="str">
        <f t="shared" si="12"/>
        <v>https://en.wikipedia.org/wiki/The_Circle_(2017_film)</v>
      </c>
      <c r="K234" s="11" t="str">
        <f t="shared" si="15"/>
        <v>The_Circle_(2017_film)</v>
      </c>
      <c r="L234" s="1" t="str">
        <f t="shared" si="13"/>
        <v>The_Circle</v>
      </c>
      <c r="M234" s="1" t="b">
        <f t="shared" si="14"/>
        <v>0</v>
      </c>
    </row>
    <row r="235" spans="2:13" x14ac:dyDescent="0.2">
      <c r="B235" s="3" t="s">
        <v>204</v>
      </c>
      <c r="C235" s="3" t="s">
        <v>205</v>
      </c>
      <c r="D235" s="14" t="s">
        <v>3055</v>
      </c>
      <c r="E235" s="15" t="s">
        <v>206</v>
      </c>
      <c r="F235" s="15" t="s">
        <v>6</v>
      </c>
      <c r="G235" s="15" t="str">
        <f>IFERROR(INDEX('BOM2017'!F:F,MATCH(Wiki!B235,'BOM2017'!C:C,0)),INDEX('BOM2017'!F:F,MATCH(Wiki!B235,'BOM2017'!D:D,0)))</f>
        <v>$389,813,101</v>
      </c>
      <c r="H235" s="15" t="str">
        <f>IFERROR(INDEX('BOM2017'!H:H,MATCH(Wiki!B235,'BOM2017'!C:C,0)),INDEX('BOM2017'!H:H,MATCH(Wiki!B235,'BOM2017'!D:D,0)))</f>
        <v>$146,510,104</v>
      </c>
      <c r="I235" s="16" t="str">
        <f>IFERROR(INDEX('BOM2017'!H:H,MATCH(Wiki!B235,'BOM2017'!C:C,0)),INDEX('BOM2017'!H:H,MATCH(Wiki!B235,'BOM2017'!D:D,0)))</f>
        <v>$146,510,104</v>
      </c>
      <c r="J235" s="1" t="str">
        <f t="shared" si="12"/>
        <v>https://en.wikipedia.org/wiki/Guardians_of_the_Galaxy_Vol._2</v>
      </c>
      <c r="K235" s="11" t="str">
        <f t="shared" si="15"/>
        <v>Guardians_of_the_Galaxy_Vol._2</v>
      </c>
      <c r="L235" s="1" t="str">
        <f t="shared" si="13"/>
        <v>Guardians_of_the_Galaxy_Vol._2</v>
      </c>
      <c r="M235" s="1" t="b">
        <f t="shared" si="14"/>
        <v>1</v>
      </c>
    </row>
    <row r="236" spans="2:13" x14ac:dyDescent="0.2">
      <c r="B236" s="3" t="s">
        <v>516</v>
      </c>
      <c r="C236" s="14" t="s">
        <v>3056</v>
      </c>
      <c r="D236" s="14" t="s">
        <v>3057</v>
      </c>
      <c r="E236" s="15" t="s">
        <v>517</v>
      </c>
      <c r="F236" s="15" t="s">
        <v>6</v>
      </c>
      <c r="G236" s="15" t="str">
        <f>IFERROR(INDEX('BOM2017'!F:F,MATCH(Wiki!B236,'BOM2017'!C:C,0)),INDEX('BOM2017'!F:F,MATCH(Wiki!B236,'BOM2017'!D:D,0)))</f>
        <v>$20,747,937</v>
      </c>
      <c r="H236" s="15" t="str">
        <f>IFERROR(INDEX('BOM2017'!H:H,MATCH(Wiki!B236,'BOM2017'!C:C,0)),INDEX('BOM2017'!H:H,MATCH(Wiki!B236,'BOM2017'!D:D,0)))</f>
        <v>$1,211,345</v>
      </c>
      <c r="I236" s="16" t="str">
        <f>IFERROR(INDEX('BOM2017'!H:H,MATCH(Wiki!B236,'BOM2017'!C:C,0)),INDEX('BOM2017'!H:H,MATCH(Wiki!B236,'BOM2017'!D:D,0)))</f>
        <v>$1,211,345</v>
      </c>
      <c r="J236" s="1" t="str">
        <f t="shared" si="12"/>
        <v>https://en.wikipedia.org/wiki/The_Disaster_Artist_(film)</v>
      </c>
      <c r="K236" s="11" t="str">
        <f t="shared" si="15"/>
        <v>The_Disaster_Artist_(film)</v>
      </c>
      <c r="L236" s="1" t="str">
        <f t="shared" si="13"/>
        <v>The_Disaster_Artist</v>
      </c>
      <c r="M236" s="1" t="b">
        <f t="shared" si="14"/>
        <v>0</v>
      </c>
    </row>
    <row r="237" spans="2:13" x14ac:dyDescent="0.2">
      <c r="B237" s="3" t="s">
        <v>92</v>
      </c>
      <c r="C237" s="3" t="s">
        <v>53</v>
      </c>
      <c r="D237" s="14" t="s">
        <v>3058</v>
      </c>
      <c r="E237" s="15" t="s">
        <v>56</v>
      </c>
      <c r="F237" s="15" t="s">
        <v>6</v>
      </c>
      <c r="G237" s="15" t="str">
        <f>IFERROR(INDEX('BOM2017'!F:F,MATCH(Wiki!B237,'BOM2017'!C:C,0)),INDEX('BOM2017'!F:F,MATCH(Wiki!B237,'BOM2017'!D:D,0)))</f>
        <v>$114,581,250</v>
      </c>
      <c r="H237" s="15" t="str">
        <f>IFERROR(INDEX('BOM2017'!H:H,MATCH(Wiki!B237,'BOM2017'!C:C,0)),INDEX('BOM2017'!H:H,MATCH(Wiki!B237,'BOM2017'!D:D,0)))</f>
        <v>$46,607,250</v>
      </c>
      <c r="I237" s="16" t="str">
        <f>IFERROR(INDEX('BOM2017'!H:H,MATCH(Wiki!B237,'BOM2017'!C:C,0)),INDEX('BOM2017'!H:H,MATCH(Wiki!B237,'BOM2017'!D:D,0)))</f>
        <v>$46,607,250</v>
      </c>
      <c r="J237" s="1" t="str">
        <f t="shared" si="12"/>
        <v>https://en.wikipedia.org/wiki/Fifty_Shades_Darker_(film)</v>
      </c>
      <c r="K237" s="11" t="str">
        <f t="shared" si="15"/>
        <v>Fifty_Shades_Darker_(film)</v>
      </c>
      <c r="L237" s="1" t="str">
        <f t="shared" si="13"/>
        <v>Fifty_Shades_Darker</v>
      </c>
      <c r="M237" s="1" t="b">
        <f t="shared" si="14"/>
        <v>0</v>
      </c>
    </row>
    <row r="238" spans="2:13" x14ac:dyDescent="0.2">
      <c r="B238" s="3" t="s">
        <v>520</v>
      </c>
      <c r="C238" s="3" t="s">
        <v>299</v>
      </c>
      <c r="D238" s="14" t="s">
        <v>3059</v>
      </c>
      <c r="E238" s="15" t="s">
        <v>521</v>
      </c>
      <c r="F238" s="15" t="s">
        <v>6</v>
      </c>
      <c r="G238" s="15" t="str">
        <f>IFERROR(INDEX('BOM2017'!F:F,MATCH(Wiki!B238,'BOM2017'!C:C,0)),INDEX('BOM2017'!F:F,MATCH(Wiki!B238,'BOM2017'!D:D,0)))</f>
        <v>$317,656,234</v>
      </c>
      <c r="H238" s="15" t="str">
        <f>IFERROR(INDEX('BOM2017'!H:H,MATCH(Wiki!B238,'BOM2017'!C:C,0)),INDEX('BOM2017'!H:H,MATCH(Wiki!B238,'BOM2017'!D:D,0)))</f>
        <v>$36,169,328</v>
      </c>
      <c r="I238" s="16" t="str">
        <f>IFERROR(INDEX('BOM2017'!H:H,MATCH(Wiki!B238,'BOM2017'!C:C,0)),INDEX('BOM2017'!H:H,MATCH(Wiki!B238,'BOM2017'!D:D,0)))</f>
        <v>$36,169,328</v>
      </c>
      <c r="J238" s="1" t="str">
        <f t="shared" si="12"/>
        <v>https://en.wikipedia.org/wiki/Jumanji:_Welcome_to_the_Jungle</v>
      </c>
      <c r="K238" s="11" t="str">
        <f t="shared" si="15"/>
        <v>Jumanji:_Welcome_to_the_Jungle</v>
      </c>
      <c r="L238" s="1" t="str">
        <f t="shared" si="13"/>
        <v>Jumanji:_Welcome_to_the_Jungle</v>
      </c>
      <c r="M238" s="1" t="b">
        <f t="shared" si="14"/>
        <v>1</v>
      </c>
    </row>
    <row r="239" spans="2:13" x14ac:dyDescent="0.2">
      <c r="B239" s="3" t="s">
        <v>441</v>
      </c>
      <c r="C239" s="14" t="s">
        <v>2927</v>
      </c>
      <c r="D239" s="14" t="s">
        <v>3060</v>
      </c>
      <c r="E239" s="15" t="s">
        <v>442</v>
      </c>
      <c r="F239" s="15" t="s">
        <v>6</v>
      </c>
      <c r="G239" s="15" t="str">
        <f>IFERROR(INDEX('BOM2017'!F:F,MATCH(Wiki!B239,'BOM2017'!C:C,0)),INDEX('BOM2017'!F:F,MATCH(Wiki!B239,'BOM2017'!D:D,0)))</f>
        <v>$30,348,555</v>
      </c>
      <c r="H239" s="15" t="str">
        <f>IFERROR(INDEX('BOM2017'!H:H,MATCH(Wiki!B239,'BOM2017'!C:C,0)),INDEX('BOM2017'!H:H,MATCH(Wiki!B239,'BOM2017'!D:D,0)))</f>
        <v>$10,551,336</v>
      </c>
      <c r="I239" s="16" t="str">
        <f>IFERROR(INDEX('BOM2017'!H:H,MATCH(Wiki!B239,'BOM2017'!C:C,0)),INDEX('BOM2017'!H:H,MATCH(Wiki!B239,'BOM2017'!D:D,0)))</f>
        <v>$10,551,336</v>
      </c>
      <c r="J239" s="1" t="str">
        <f t="shared" si="12"/>
        <v>https://en.wikipedia.org/wiki/The_Mountain_Between_Us_(film)</v>
      </c>
      <c r="K239" s="11" t="str">
        <f t="shared" si="15"/>
        <v>The_Mountain_Between_Us_(film)</v>
      </c>
      <c r="L239" s="1" t="str">
        <f t="shared" si="13"/>
        <v>The_Mountain_Between_Us</v>
      </c>
      <c r="M239" s="1" t="b">
        <f t="shared" si="14"/>
        <v>0</v>
      </c>
    </row>
    <row r="240" spans="2:13" x14ac:dyDescent="0.2">
      <c r="B240" s="3" t="s">
        <v>376</v>
      </c>
      <c r="C240" s="3" t="s">
        <v>128</v>
      </c>
      <c r="D240" s="14" t="s">
        <v>3061</v>
      </c>
      <c r="E240" s="15" t="s">
        <v>51</v>
      </c>
      <c r="F240" s="15" t="s">
        <v>6</v>
      </c>
      <c r="G240" s="15" t="str">
        <f>IFERROR(INDEX('BOM2017'!F:F,MATCH(Wiki!B240,'BOM2017'!C:C,0)),INDEX('BOM2017'!F:F,MATCH(Wiki!B240,'BOM2017'!D:D,0)))</f>
        <v>$27,020,284</v>
      </c>
      <c r="H240" s="15" t="str">
        <f>IFERROR(INDEX('BOM2017'!H:H,MATCH(Wiki!B240,'BOM2017'!C:C,0)),INDEX('BOM2017'!H:H,MATCH(Wiki!B240,'BOM2017'!D:D,0)))</f>
        <v>$8,567,881</v>
      </c>
      <c r="I240" s="16" t="str">
        <f>IFERROR(INDEX('BOM2017'!H:H,MATCH(Wiki!B240,'BOM2017'!C:C,0)),INDEX('BOM2017'!H:H,MATCH(Wiki!B240,'BOM2017'!D:D,0)))</f>
        <v>$8,567,881</v>
      </c>
      <c r="J240" s="1" t="str">
        <f t="shared" si="12"/>
        <v>https://en.wikipedia.org/wiki/Home_Again_(2017_film)</v>
      </c>
      <c r="K240" s="11" t="str">
        <f t="shared" si="15"/>
        <v>Home_Again_(2017_film)</v>
      </c>
      <c r="L240" s="1" t="str">
        <f t="shared" si="13"/>
        <v>Home_Again</v>
      </c>
      <c r="M240" s="1" t="b">
        <f t="shared" si="14"/>
        <v>0</v>
      </c>
    </row>
    <row r="241" spans="2:13" x14ac:dyDescent="0.2">
      <c r="B241" s="3" t="s">
        <v>254</v>
      </c>
      <c r="C241" s="14" t="s">
        <v>3062</v>
      </c>
      <c r="D241" s="14" t="s">
        <v>3063</v>
      </c>
      <c r="E241" s="15" t="s">
        <v>255</v>
      </c>
      <c r="F241" s="3" t="s">
        <v>256</v>
      </c>
      <c r="G241" s="15" t="str">
        <f>IFERROR(INDEX('BOM2017'!F:F,MATCH(Wiki!B241,'BOM2017'!C:C,0)),INDEX('BOM2017'!F:F,MATCH(Wiki!B241,'BOM2017'!D:D,0)))</f>
        <v>$39,175,066</v>
      </c>
      <c r="H241" s="15" t="str">
        <f>IFERROR(INDEX('BOM2017'!H:H,MATCH(Wiki!B241,'BOM2017'!C:C,0)),INDEX('BOM2017'!H:H,MATCH(Wiki!B241,'BOM2017'!D:D,0)))</f>
        <v>$15,371,270</v>
      </c>
      <c r="I241" s="16" t="str">
        <f>IFERROR(INDEX('BOM2017'!H:H,MATCH(Wiki!B241,'BOM2017'!C:C,0)),INDEX('BOM2017'!H:H,MATCH(Wiki!B241,'BOM2017'!D:D,0)))</f>
        <v>$15,371,270</v>
      </c>
      <c r="J241" s="1" t="str">
        <f t="shared" si="12"/>
        <v>https://en.wikipedia.org/wiki/King_Arthur:_Legend_of_the_Sword</v>
      </c>
      <c r="K241" s="11" t="str">
        <f t="shared" si="15"/>
        <v>King_Arthur:_Legend_of_the_Sword</v>
      </c>
      <c r="L241" s="1" t="str">
        <f t="shared" si="13"/>
        <v>King_Arthur:_Legend_of_the_Sword</v>
      </c>
      <c r="M241" s="1" t="b">
        <f t="shared" si="14"/>
        <v>1</v>
      </c>
    </row>
    <row r="242" spans="2:13" x14ac:dyDescent="0.2">
      <c r="B242" s="3" t="s">
        <v>163</v>
      </c>
      <c r="C242" s="14" t="s">
        <v>3064</v>
      </c>
      <c r="D242" s="14" t="s">
        <v>3065</v>
      </c>
      <c r="E242" s="15" t="s">
        <v>164</v>
      </c>
      <c r="F242" s="15" t="s">
        <v>6</v>
      </c>
      <c r="G242" s="15" t="str">
        <f>IFERROR(INDEX('BOM2017'!F:F,MATCH(Wiki!B242,'BOM2017'!C:C,0)),INDEX('BOM2017'!F:F,MATCH(Wiki!B242,'BOM2017'!D:D,0)))</f>
        <v>$10,166,820</v>
      </c>
      <c r="H242" s="15" t="str">
        <f>IFERROR(INDEX('BOM2017'!H:H,MATCH(Wiki!B242,'BOM2017'!C:C,0)),INDEX('BOM2017'!H:H,MATCH(Wiki!B242,'BOM2017'!D:D,0)))</f>
        <v>$4,137,230</v>
      </c>
      <c r="I242" s="16" t="str">
        <f>IFERROR(INDEX('BOM2017'!H:H,MATCH(Wiki!B242,'BOM2017'!C:C,0)),INDEX('BOM2017'!H:H,MATCH(Wiki!B242,'BOM2017'!D:D,0)))</f>
        <v>$4,137,230</v>
      </c>
      <c r="J242" s="1" t="str">
        <f t="shared" si="12"/>
        <v>https://en.wikipedia.org/wiki/The_Belko_Experiment</v>
      </c>
      <c r="K242" s="11" t="str">
        <f t="shared" si="15"/>
        <v>The_Belko_Experiment</v>
      </c>
      <c r="L242" s="1" t="str">
        <f t="shared" si="13"/>
        <v>The_Belko_Experiment</v>
      </c>
      <c r="M242" s="1" t="b">
        <f t="shared" si="14"/>
        <v>1</v>
      </c>
    </row>
    <row r="243" spans="2:13" x14ac:dyDescent="0.2">
      <c r="B243" s="3" t="s">
        <v>489</v>
      </c>
      <c r="C243" s="14" t="s">
        <v>3066</v>
      </c>
      <c r="D243" s="14" t="s">
        <v>3067</v>
      </c>
      <c r="E243" s="15" t="s">
        <v>327</v>
      </c>
      <c r="F243" s="15" t="s">
        <v>6</v>
      </c>
      <c r="G243" s="15" t="str">
        <f>IFERROR(INDEX('BOM2017'!F:F,MATCH(Wiki!B243,'BOM2017'!C:C,0)),INDEX('BOM2017'!F:F,MATCH(Wiki!B243,'BOM2017'!D:D,0)))</f>
        <v>$742</v>
      </c>
      <c r="H243" s="15" t="str">
        <f>IFERROR(INDEX('BOM2017'!H:H,MATCH(Wiki!B243,'BOM2017'!C:C,0)),INDEX('BOM2017'!H:H,MATCH(Wiki!B243,'BOM2017'!D:D,0)))</f>
        <v>$742</v>
      </c>
      <c r="I243" s="16" t="str">
        <f>IFERROR(INDEX('BOM2017'!H:H,MATCH(Wiki!B243,'BOM2017'!C:C,0)),INDEX('BOM2017'!H:H,MATCH(Wiki!B243,'BOM2017'!D:D,0)))</f>
        <v>$742</v>
      </c>
      <c r="J243" s="1" t="str">
        <f t="shared" si="12"/>
        <v>https://en.wikipedia.org/wiki/Amityville:_The_Awakening</v>
      </c>
      <c r="K243" s="11" t="str">
        <f t="shared" si="15"/>
        <v>Amityville:_The_Awakening</v>
      </c>
      <c r="L243" s="1" t="str">
        <f t="shared" si="13"/>
        <v>Amityville:_The_Awakening</v>
      </c>
      <c r="M243" s="1" t="b">
        <f t="shared" si="14"/>
        <v>1</v>
      </c>
    </row>
    <row r="244" spans="2:13" x14ac:dyDescent="0.2">
      <c r="B244" s="3" t="s">
        <v>74</v>
      </c>
      <c r="C244" s="3" t="s">
        <v>75</v>
      </c>
      <c r="D244" s="14" t="s">
        <v>3068</v>
      </c>
      <c r="E244" s="15" t="s">
        <v>76</v>
      </c>
      <c r="F244" s="15" t="s">
        <v>6</v>
      </c>
      <c r="G244" s="15" t="str">
        <f>IFERROR(INDEX('BOM2017'!F:F,MATCH(Wiki!B244,'BOM2017'!C:C,0)),INDEX('BOM2017'!F:F,MATCH(Wiki!B244,'BOM2017'!D:D,0)))</f>
        <v>$27,793,018</v>
      </c>
      <c r="H244" s="15" t="str">
        <f>IFERROR(INDEX('BOM2017'!H:H,MATCH(Wiki!B244,'BOM2017'!C:C,0)),INDEX('BOM2017'!H:H,MATCH(Wiki!B244,'BOM2017'!D:D,0)))</f>
        <v>$13,002,632</v>
      </c>
      <c r="I244" s="16" t="str">
        <f>IFERROR(INDEX('BOM2017'!H:H,MATCH(Wiki!B244,'BOM2017'!C:C,0)),INDEX('BOM2017'!H:H,MATCH(Wiki!B244,'BOM2017'!D:D,0)))</f>
        <v>$13,002,632</v>
      </c>
      <c r="J244" s="1" t="str">
        <f t="shared" si="12"/>
        <v>https://en.wikipedia.org/wiki/Rings_(2017_film)</v>
      </c>
      <c r="K244" s="11" t="str">
        <f t="shared" si="15"/>
        <v>Rings_(2017_film)</v>
      </c>
      <c r="L244" s="1" t="str">
        <f t="shared" si="13"/>
        <v>Rings</v>
      </c>
      <c r="M244" s="1" t="b">
        <f t="shared" si="14"/>
        <v>0</v>
      </c>
    </row>
    <row r="245" spans="2:13" x14ac:dyDescent="0.2">
      <c r="B245" s="3" t="s">
        <v>187</v>
      </c>
      <c r="C245" s="14" t="s">
        <v>3069</v>
      </c>
      <c r="D245" s="14" t="s">
        <v>3070</v>
      </c>
      <c r="E245" s="15" t="s">
        <v>33</v>
      </c>
      <c r="F245" s="15" t="s">
        <v>6</v>
      </c>
      <c r="G245" s="15" t="str">
        <f>IFERROR(INDEX('BOM2017'!F:F,MATCH(Wiki!B245,'BOM2017'!C:C,0)),INDEX('BOM2017'!F:F,MATCH(Wiki!B245,'BOM2017'!D:D,0)))</f>
        <v>$226,008,385</v>
      </c>
      <c r="H245" s="15" t="str">
        <f>IFERROR(INDEX('BOM2017'!H:H,MATCH(Wiki!B245,'BOM2017'!C:C,0)),INDEX('BOM2017'!H:H,MATCH(Wiki!B245,'BOM2017'!D:D,0)))</f>
        <v>$98,786,705</v>
      </c>
      <c r="I245" s="16" t="str">
        <f>IFERROR(INDEX('BOM2017'!H:H,MATCH(Wiki!B245,'BOM2017'!C:C,0)),INDEX('BOM2017'!H:H,MATCH(Wiki!B245,'BOM2017'!D:D,0)))</f>
        <v>$98,786,705</v>
      </c>
      <c r="J245" s="1" t="str">
        <f t="shared" si="12"/>
        <v>https://en.wikipedia.org/wiki/The_Fate_of_the_Furious</v>
      </c>
      <c r="K245" s="11" t="str">
        <f t="shared" si="15"/>
        <v>The_Fate_of_the_Furious</v>
      </c>
      <c r="L245" s="1" t="str">
        <f t="shared" si="13"/>
        <v>The_Fate_of_the_Furious</v>
      </c>
      <c r="M245" s="1" t="b">
        <f t="shared" si="14"/>
        <v>1</v>
      </c>
    </row>
    <row r="246" spans="2:13" x14ac:dyDescent="0.2">
      <c r="B246" s="3" t="s">
        <v>370</v>
      </c>
      <c r="C246" s="3" t="s">
        <v>249</v>
      </c>
      <c r="D246" s="15" t="s">
        <v>3071</v>
      </c>
      <c r="E246" s="15" t="s">
        <v>371</v>
      </c>
      <c r="F246" s="14" t="s">
        <v>3072</v>
      </c>
      <c r="G246" s="15" t="str">
        <f>IFERROR(INDEX('BOM2017'!F:F,MATCH(Wiki!B246,'BOM2017'!C:C,0)),INDEX('BOM2017'!F:F,MATCH(Wiki!B246,'BOM2017'!D:D,0)))</f>
        <v>$21,858,070</v>
      </c>
      <c r="H246" s="15" t="str">
        <f>IFERROR(INDEX('BOM2017'!H:H,MATCH(Wiki!B246,'BOM2017'!C:C,0)),INDEX('BOM2017'!H:H,MATCH(Wiki!B246,'BOM2017'!D:D,0)))</f>
        <v>$4,730,038</v>
      </c>
      <c r="I246" s="16" t="str">
        <f>IFERROR(INDEX('BOM2017'!H:H,MATCH(Wiki!B246,'BOM2017'!C:C,0)),INDEX('BOM2017'!H:H,MATCH(Wiki!B246,'BOM2017'!D:D,0)))</f>
        <v>$4,730,038</v>
      </c>
      <c r="J246" s="1" t="str">
        <f t="shared" si="12"/>
        <v>https://en.wikipedia.org/wiki/Ballerina_(2016_film)</v>
      </c>
      <c r="K246" s="11" t="str">
        <f t="shared" si="15"/>
        <v>Ballerina_(2016_film)</v>
      </c>
      <c r="L246" s="1" t="str">
        <f t="shared" si="13"/>
        <v>Leap!</v>
      </c>
      <c r="M246" s="1" t="b">
        <f t="shared" si="14"/>
        <v>0</v>
      </c>
    </row>
    <row r="247" spans="2:13" x14ac:dyDescent="0.2">
      <c r="B247" s="3" t="s">
        <v>127</v>
      </c>
      <c r="C247" s="3" t="s">
        <v>128</v>
      </c>
      <c r="D247" s="14" t="s">
        <v>3073</v>
      </c>
      <c r="E247" s="15" t="s">
        <v>129</v>
      </c>
      <c r="F247" s="15" t="s">
        <v>107</v>
      </c>
      <c r="G247" s="15" t="str">
        <f>IFERROR(INDEX('BOM2017'!F:F,MATCH(Wiki!B247,'BOM2017'!C:C,0)),INDEX('BOM2017'!F:F,MATCH(Wiki!B247,'BOM2017'!D:D,0)))</f>
        <v>$2,280,004</v>
      </c>
      <c r="H247" s="15" t="str">
        <f>IFERROR(INDEX('BOM2017'!H:H,MATCH(Wiki!B247,'BOM2017'!C:C,0)),INDEX('BOM2017'!H:H,MATCH(Wiki!B247,'BOM2017'!D:D,0)))</f>
        <v>$1,512,824</v>
      </c>
      <c r="I247" s="16" t="str">
        <f>IFERROR(INDEX('BOM2017'!H:H,MATCH(Wiki!B247,'BOM2017'!C:C,0)),INDEX('BOM2017'!H:H,MATCH(Wiki!B247,'BOM2017'!D:D,0)))</f>
        <v>$1,512,824</v>
      </c>
      <c r="J247" s="1" t="str">
        <f t="shared" si="12"/>
        <v>https://en.wikipedia.org/wiki/Collide_(film)</v>
      </c>
      <c r="K247" s="11" t="str">
        <f t="shared" si="15"/>
        <v>Collide_(film)</v>
      </c>
      <c r="L247" s="1" t="str">
        <f t="shared" si="13"/>
        <v>Collide</v>
      </c>
      <c r="M247" s="1" t="b">
        <f t="shared" si="14"/>
        <v>0</v>
      </c>
    </row>
    <row r="248" spans="2:13" x14ac:dyDescent="0.2">
      <c r="B248" s="3" t="s">
        <v>159</v>
      </c>
      <c r="C248" s="14" t="s">
        <v>3074</v>
      </c>
      <c r="D248" s="14" t="s">
        <v>3075</v>
      </c>
      <c r="E248" s="15" t="s">
        <v>160</v>
      </c>
      <c r="F248" s="15" t="s">
        <v>40</v>
      </c>
      <c r="G248" s="15" t="str">
        <f>IFERROR(INDEX('BOM2017'!F:F,MATCH(Wiki!B248,'BOM2017'!C:C,0)),INDEX('BOM2017'!F:F,MATCH(Wiki!B248,'BOM2017'!D:D,0)))</f>
        <v>$107,825,862</v>
      </c>
      <c r="H248" s="15" t="str">
        <f>IFERROR(INDEX('BOM2017'!H:H,MATCH(Wiki!B248,'BOM2017'!C:C,0)),INDEX('BOM2017'!H:H,MATCH(Wiki!B248,'BOM2017'!D:D,0)))</f>
        <v>$20,553,320</v>
      </c>
      <c r="I248" s="16" t="str">
        <f>IFERROR(INDEX('BOM2017'!H:H,MATCH(Wiki!B248,'BOM2017'!C:C,0)),INDEX('BOM2017'!H:H,MATCH(Wiki!B248,'BOM2017'!D:D,0)))</f>
        <v>$20,553,320</v>
      </c>
      <c r="J248" s="1" t="str">
        <f t="shared" si="12"/>
        <v>https://en.wikipedia.org/wiki/Baby_Driver</v>
      </c>
      <c r="K248" s="11" t="str">
        <f t="shared" si="15"/>
        <v>Baby_Driver</v>
      </c>
      <c r="L248" s="1" t="str">
        <f t="shared" si="13"/>
        <v>Baby_Driver</v>
      </c>
      <c r="M248" s="1" t="b">
        <f t="shared" si="14"/>
        <v>1</v>
      </c>
    </row>
    <row r="249" spans="2:13" x14ac:dyDescent="0.2">
      <c r="B249" s="3" t="s">
        <v>434</v>
      </c>
      <c r="C249" s="14" t="s">
        <v>3076</v>
      </c>
      <c r="D249" s="14" t="s">
        <v>3077</v>
      </c>
      <c r="E249" s="15" t="s">
        <v>435</v>
      </c>
      <c r="F249" s="15" t="s">
        <v>6</v>
      </c>
      <c r="G249" s="15" t="str">
        <f>IFERROR(INDEX('BOM2017'!F:F,MATCH(Wiki!B249,'BOM2017'!C:C,0)),INDEX('BOM2017'!F:F,MATCH(Wiki!B249,'BOM2017'!D:D,0)))</f>
        <v>$51,342,000</v>
      </c>
      <c r="H249" s="15" t="str">
        <f>IFERROR(INDEX('BOM2017'!H:H,MATCH(Wiki!B249,'BOM2017'!C:C,0)),INDEX('BOM2017'!H:H,MATCH(Wiki!B249,'BOM2017'!D:D,0)))</f>
        <v>$16,776,390</v>
      </c>
      <c r="I249" s="16" t="str">
        <f>IFERROR(INDEX('BOM2017'!H:H,MATCH(Wiki!B249,'BOM2017'!C:C,0)),INDEX('BOM2017'!H:H,MATCH(Wiki!B249,'BOM2017'!D:D,0)))</f>
        <v>$16,776,390</v>
      </c>
      <c r="J249" s="1" t="str">
        <f t="shared" si="12"/>
        <v>https://en.wikipedia.org/wiki/American_Made_(film)</v>
      </c>
      <c r="K249" s="11" t="str">
        <f t="shared" si="15"/>
        <v>American_Made_(film)</v>
      </c>
      <c r="L249" s="1" t="str">
        <f t="shared" si="13"/>
        <v>American_Made</v>
      </c>
      <c r="M249" s="1" t="b">
        <f t="shared" si="14"/>
        <v>0</v>
      </c>
    </row>
    <row r="250" spans="2:13" x14ac:dyDescent="0.2">
      <c r="B250" s="3" t="s">
        <v>439</v>
      </c>
      <c r="C250" s="14" t="s">
        <v>3078</v>
      </c>
      <c r="D250" s="14" t="s">
        <v>3079</v>
      </c>
      <c r="E250" s="15" t="s">
        <v>440</v>
      </c>
      <c r="F250" s="15" t="s">
        <v>6</v>
      </c>
      <c r="G250" s="15" t="str">
        <f>IFERROR(INDEX('BOM2017'!F:F,MATCH(Wiki!B250,'BOM2017'!C:C,0)),INDEX('BOM2017'!F:F,MATCH(Wiki!B250,'BOM2017'!D:D,0)))</f>
        <v>$92,005,220</v>
      </c>
      <c r="H250" s="15" t="str">
        <f>IFERROR(INDEX('BOM2017'!H:H,MATCH(Wiki!B250,'BOM2017'!C:C,0)),INDEX('BOM2017'!H:H,MATCH(Wiki!B250,'BOM2017'!D:D,0)))</f>
        <v>$32,753,122</v>
      </c>
      <c r="I250" s="16" t="str">
        <f>IFERROR(INDEX('BOM2017'!H:H,MATCH(Wiki!B250,'BOM2017'!C:C,0)),INDEX('BOM2017'!H:H,MATCH(Wiki!B250,'BOM2017'!D:D,0)))</f>
        <v>$32,753,122</v>
      </c>
      <c r="J250" s="1" t="str">
        <f t="shared" si="12"/>
        <v>https://en.wikipedia.org/wiki/Blade_Runner_2049</v>
      </c>
      <c r="K250" s="11" t="str">
        <f t="shared" si="15"/>
        <v>Blade_Runner_2049</v>
      </c>
      <c r="L250" s="1" t="str">
        <f t="shared" si="13"/>
        <v>Blade_Runner_2049</v>
      </c>
      <c r="M250" s="1" t="b">
        <f t="shared" si="14"/>
        <v>1</v>
      </c>
    </row>
    <row r="251" spans="2:13" x14ac:dyDescent="0.2">
      <c r="B251" s="3" t="s">
        <v>283</v>
      </c>
      <c r="C251" s="14" t="s">
        <v>3080</v>
      </c>
      <c r="D251" s="14" t="s">
        <v>3081</v>
      </c>
      <c r="E251" s="15" t="s">
        <v>284</v>
      </c>
      <c r="F251" s="15" t="s">
        <v>6</v>
      </c>
      <c r="G251" s="15" t="str">
        <f>IFERROR(INDEX('BOM2017'!F:F,MATCH(Wiki!B251,'BOM2017'!C:C,0)),INDEX('BOM2017'!F:F,MATCH(Wiki!B251,'BOM2017'!D:D,0)))</f>
        <v>$254,536</v>
      </c>
      <c r="H251" s="15" t="str">
        <f>IFERROR(INDEX('BOM2017'!H:H,MATCH(Wiki!B251,'BOM2017'!C:C,0)),INDEX('BOM2017'!H:H,MATCH(Wiki!B251,'BOM2017'!D:D,0)))</f>
        <v>$60,366</v>
      </c>
      <c r="I251" s="16" t="str">
        <f>IFERROR(INDEX('BOM2017'!H:H,MATCH(Wiki!B251,'BOM2017'!C:C,0)),INDEX('BOM2017'!H:H,MATCH(Wiki!B251,'BOM2017'!D:D,0)))</f>
        <v>$60,366</v>
      </c>
      <c r="J251" s="1" t="str">
        <f t="shared" si="12"/>
        <v>https://en.wikipedia.org/wiki/Dean_(film)</v>
      </c>
      <c r="K251" s="11" t="str">
        <f t="shared" si="15"/>
        <v>Dean_(film)</v>
      </c>
      <c r="L251" s="1" t="str">
        <f t="shared" si="13"/>
        <v>Dean</v>
      </c>
      <c r="M251" s="1" t="b">
        <f t="shared" si="14"/>
        <v>0</v>
      </c>
    </row>
    <row r="252" spans="2:13" x14ac:dyDescent="0.2">
      <c r="B252" s="3" t="s">
        <v>173</v>
      </c>
      <c r="C252" s="14" t="s">
        <v>3082</v>
      </c>
      <c r="D252" s="14" t="s">
        <v>3083</v>
      </c>
      <c r="E252" s="15" t="s">
        <v>174</v>
      </c>
      <c r="F252" s="15" t="s">
        <v>6</v>
      </c>
      <c r="G252" s="15" t="str">
        <f>IFERROR(INDEX('BOM2017'!F:F,MATCH(Wiki!B252,'BOM2017'!C:C,0)),INDEX('BOM2017'!F:F,MATCH(Wiki!B252,'BOM2017'!D:D,0)))</f>
        <v>$85,364,450</v>
      </c>
      <c r="H252" s="15" t="str">
        <f>IFERROR(INDEX('BOM2017'!H:H,MATCH(Wiki!B252,'BOM2017'!C:C,0)),INDEX('BOM2017'!H:H,MATCH(Wiki!B252,'BOM2017'!D:D,0)))</f>
        <v>$40,300,288</v>
      </c>
      <c r="I252" s="16" t="str">
        <f>IFERROR(INDEX('BOM2017'!H:H,MATCH(Wiki!B252,'BOM2017'!C:C,0)),INDEX('BOM2017'!H:H,MATCH(Wiki!B252,'BOM2017'!D:D,0)))</f>
        <v>$40,300,288</v>
      </c>
      <c r="J252" s="1" t="str">
        <f t="shared" si="12"/>
        <v>https://en.wikipedia.org/wiki/Power_Rangers_(film)</v>
      </c>
      <c r="K252" s="11" t="str">
        <f t="shared" si="15"/>
        <v>Power_Rangers_(film)</v>
      </c>
      <c r="L252" s="1" t="str">
        <f t="shared" si="13"/>
        <v>Power_Rangers</v>
      </c>
      <c r="M252" s="1" t="b">
        <f t="shared" si="14"/>
        <v>0</v>
      </c>
    </row>
    <row r="253" spans="2:13" x14ac:dyDescent="0.2">
      <c r="B253" s="3" t="s">
        <v>273</v>
      </c>
      <c r="C253" s="14" t="s">
        <v>2976</v>
      </c>
      <c r="D253" s="14" t="s">
        <v>3084</v>
      </c>
      <c r="E253" s="15" t="s">
        <v>274</v>
      </c>
      <c r="F253" s="15" t="s">
        <v>6</v>
      </c>
      <c r="G253" s="15" t="str">
        <f>IFERROR(INDEX('BOM2017'!F:F,MATCH(Wiki!B253,'BOM2017'!C:C,0)),INDEX('BOM2017'!F:F,MATCH(Wiki!B253,'BOM2017'!D:D,0)))</f>
        <v>$73,921,000</v>
      </c>
      <c r="H253" s="15" t="str">
        <f>IFERROR(INDEX('BOM2017'!H:H,MATCH(Wiki!B253,'BOM2017'!C:C,0)),INDEX('BOM2017'!H:H,MATCH(Wiki!B253,'BOM2017'!D:D,0)))</f>
        <v>$23,851,539</v>
      </c>
      <c r="I253" s="16" t="str">
        <f>IFERROR(INDEX('BOM2017'!H:H,MATCH(Wiki!B253,'BOM2017'!C:C,0)),INDEX('BOM2017'!H:H,MATCH(Wiki!B253,'BOM2017'!D:D,0)))</f>
        <v>$23,851,539</v>
      </c>
      <c r="J253" s="1" t="str">
        <f t="shared" si="12"/>
        <v>https://en.wikipedia.org/wiki/Captain_Underpants:_The_First_Epic_Movie</v>
      </c>
      <c r="K253" s="11" t="str">
        <f t="shared" si="15"/>
        <v>Captain_Underpants:_The_First_Epic_Movie</v>
      </c>
      <c r="L253" s="1" t="str">
        <f t="shared" si="13"/>
        <v>Captain_Underpants:_The_First_Epic_Movie</v>
      </c>
      <c r="M253" s="1" t="b">
        <f t="shared" si="14"/>
        <v>1</v>
      </c>
    </row>
    <row r="254" spans="2:13" x14ac:dyDescent="0.2">
      <c r="B254" s="3" t="s">
        <v>320</v>
      </c>
      <c r="C254" s="3" t="s">
        <v>38</v>
      </c>
      <c r="D254" s="14" t="s">
        <v>3085</v>
      </c>
      <c r="E254" s="15" t="s">
        <v>321</v>
      </c>
      <c r="F254" s="15" t="s">
        <v>6</v>
      </c>
      <c r="G254" s="15" t="str">
        <f>IFERROR(INDEX('BOM2017'!F:F,MATCH(Wiki!B254,'BOM2017'!C:C,0)),INDEX('BOM2017'!F:F,MATCH(Wiki!B254,'BOM2017'!D:D,0)))</f>
        <v>$1,596,371</v>
      </c>
      <c r="H254" s="15" t="str">
        <f>IFERROR(INDEX('BOM2017'!H:H,MATCH(Wiki!B254,'BOM2017'!C:C,0)),INDEX('BOM2017'!H:H,MATCH(Wiki!B254,'BOM2017'!D:D,0)))</f>
        <v>$104,030</v>
      </c>
      <c r="I254" s="16" t="str">
        <f>IFERROR(INDEX('BOM2017'!H:H,MATCH(Wiki!B254,'BOM2017'!C:C,0)),INDEX('BOM2017'!H:H,MATCH(Wiki!B254,'BOM2017'!D:D,0)))</f>
        <v>$104,030</v>
      </c>
      <c r="J254" s="1" t="str">
        <f t="shared" si="12"/>
        <v>https://en.wikipedia.org/wiki/A_Ghost_Story</v>
      </c>
      <c r="K254" s="11" t="str">
        <f t="shared" si="15"/>
        <v>A_Ghost_Story</v>
      </c>
      <c r="L254" s="1" t="str">
        <f t="shared" si="13"/>
        <v>A_Ghost_Story</v>
      </c>
      <c r="M254" s="1" t="b">
        <f t="shared" si="14"/>
        <v>1</v>
      </c>
    </row>
    <row r="255" spans="2:13" x14ac:dyDescent="0.2">
      <c r="B255" s="3" t="s">
        <v>336</v>
      </c>
      <c r="C255" s="3" t="s">
        <v>154</v>
      </c>
      <c r="D255" s="14" t="s">
        <v>3086</v>
      </c>
      <c r="E255" s="15" t="s">
        <v>337</v>
      </c>
      <c r="F255" s="15" t="s">
        <v>338</v>
      </c>
      <c r="G255" s="15" t="str">
        <f>IFERROR(INDEX('BOM2017'!F:F,MATCH(Wiki!B255,'BOM2017'!C:C,0)),INDEX('BOM2017'!F:F,MATCH(Wiki!B255,'BOM2017'!D:D,0)))</f>
        <v>$51,687,870</v>
      </c>
      <c r="H255" s="15" t="str">
        <f>IFERROR(INDEX('BOM2017'!H:H,MATCH(Wiki!B255,'BOM2017'!C:C,0)),INDEX('BOM2017'!H:H,MATCH(Wiki!B255,'BOM2017'!D:D,0)))</f>
        <v>$18,286,420</v>
      </c>
      <c r="I255" s="16" t="str">
        <f>IFERROR(INDEX('BOM2017'!H:H,MATCH(Wiki!B255,'BOM2017'!C:C,0)),INDEX('BOM2017'!H:H,MATCH(Wiki!B255,'BOM2017'!D:D,0)))</f>
        <v>$18,286,420</v>
      </c>
      <c r="J255" s="1" t="str">
        <f t="shared" si="12"/>
        <v>https://en.wikipedia.org/wiki/Atomic_Blonde</v>
      </c>
      <c r="K255" s="11" t="str">
        <f t="shared" si="15"/>
        <v>Atomic_Blonde</v>
      </c>
      <c r="L255" s="1" t="str">
        <f t="shared" si="13"/>
        <v>Atomic_Blonde</v>
      </c>
      <c r="M255" s="1" t="b">
        <f t="shared" si="14"/>
        <v>1</v>
      </c>
    </row>
    <row r="256" spans="2:13" x14ac:dyDescent="0.2">
      <c r="B256" s="3" t="s">
        <v>425</v>
      </c>
      <c r="C256" s="14" t="s">
        <v>3087</v>
      </c>
      <c r="D256" s="14" t="s">
        <v>3088</v>
      </c>
      <c r="E256" s="15" t="s">
        <v>67</v>
      </c>
      <c r="F256" s="15" t="s">
        <v>6</v>
      </c>
      <c r="G256" s="15" t="str">
        <f>IFERROR(INDEX('BOM2017'!F:F,MATCH(Wiki!B256,'BOM2017'!C:C,0)),INDEX('BOM2017'!F:F,MATCH(Wiki!B256,'BOM2017'!D:D,0)))</f>
        <v>$4,211,129</v>
      </c>
      <c r="H256" s="15" t="str">
        <f>IFERROR(INDEX('BOM2017'!H:H,MATCH(Wiki!B256,'BOM2017'!C:C,0)),INDEX('BOM2017'!H:H,MATCH(Wiki!B256,'BOM2017'!D:D,0)))</f>
        <v>$1,611,040</v>
      </c>
      <c r="I256" s="16" t="str">
        <f>IFERROR(INDEX('BOM2017'!H:H,MATCH(Wiki!B256,'BOM2017'!C:C,0)),INDEX('BOM2017'!H:H,MATCH(Wiki!B256,'BOM2017'!D:D,0)))</f>
        <v>$1,611,040</v>
      </c>
      <c r="J256" s="1" t="str">
        <f t="shared" si="12"/>
        <v>https://en.wikipedia.org/wiki/Stronger_(film)</v>
      </c>
      <c r="K256" s="11" t="str">
        <f t="shared" si="15"/>
        <v>Stronger_(film)</v>
      </c>
      <c r="L256" s="1" t="str">
        <f t="shared" si="13"/>
        <v>Stronger</v>
      </c>
      <c r="M256" s="1" t="b">
        <f t="shared" si="14"/>
        <v>0</v>
      </c>
    </row>
    <row r="257" spans="2:13" x14ac:dyDescent="0.2">
      <c r="B257" s="3" t="s">
        <v>358</v>
      </c>
      <c r="C257" s="14" t="s">
        <v>3089</v>
      </c>
      <c r="D257" s="14" t="s">
        <v>3090</v>
      </c>
      <c r="E257" s="15" t="s">
        <v>19</v>
      </c>
      <c r="F257" s="15" t="s">
        <v>6</v>
      </c>
      <c r="G257" s="15" t="str">
        <f>IFERROR(INDEX('BOM2017'!F:F,MATCH(Wiki!B257,'BOM2017'!C:C,0)),INDEX('BOM2017'!F:F,MATCH(Wiki!B257,'BOM2017'!D:D,0)))</f>
        <v>$102,092,201</v>
      </c>
      <c r="H257" s="15" t="str">
        <f>IFERROR(INDEX('BOM2017'!H:H,MATCH(Wiki!B257,'BOM2017'!C:C,0)),INDEX('BOM2017'!H:H,MATCH(Wiki!B257,'BOM2017'!D:D,0)))</f>
        <v>$35,006,404</v>
      </c>
      <c r="I257" s="16" t="str">
        <f>IFERROR(INDEX('BOM2017'!H:H,MATCH(Wiki!B257,'BOM2017'!C:C,0)),INDEX('BOM2017'!H:H,MATCH(Wiki!B257,'BOM2017'!D:D,0)))</f>
        <v>$35,006,404</v>
      </c>
      <c r="J257" s="1" t="str">
        <f t="shared" si="12"/>
        <v>https://en.wikipedia.org/wiki/Annabelle:_Creation</v>
      </c>
      <c r="K257" s="11" t="str">
        <f t="shared" si="15"/>
        <v>Annabelle:_Creation</v>
      </c>
      <c r="L257" s="1" t="str">
        <f t="shared" si="13"/>
        <v>Annabelle:_Creation</v>
      </c>
      <c r="M257" s="1" t="b">
        <f t="shared" si="14"/>
        <v>1</v>
      </c>
    </row>
    <row r="258" spans="2:13" x14ac:dyDescent="0.2">
      <c r="B258" s="3" t="s">
        <v>268</v>
      </c>
      <c r="C258" s="3" t="s">
        <v>269</v>
      </c>
      <c r="D258" s="14" t="s">
        <v>3091</v>
      </c>
      <c r="E258" s="15" t="s">
        <v>270</v>
      </c>
      <c r="F258" s="15" t="s">
        <v>6</v>
      </c>
      <c r="G258" s="15" t="str">
        <f>IFERROR(INDEX('BOM2017'!F:F,MATCH(Wiki!B258,'BOM2017'!C:C,0)),INDEX('BOM2017'!F:F,MATCH(Wiki!B258,'BOM2017'!D:D,0)))</f>
        <v>$20,738,724</v>
      </c>
      <c r="H258" s="15" t="str">
        <f>IFERROR(INDEX('BOM2017'!H:H,MATCH(Wiki!B258,'BOM2017'!C:C,0)),INDEX('BOM2017'!H:H,MATCH(Wiki!B258,'BOM2017'!D:D,0)))</f>
        <v>$7,126,084</v>
      </c>
      <c r="I258" s="16" t="str">
        <f>IFERROR(INDEX('BOM2017'!H:H,MATCH(Wiki!B258,'BOM2017'!C:C,0)),INDEX('BOM2017'!H:H,MATCH(Wiki!B258,'BOM2017'!D:D,0)))</f>
        <v>$7,126,084</v>
      </c>
      <c r="J258" s="1" t="str">
        <f t="shared" si="12"/>
        <v>https://en.wikipedia.org/wiki/Diary_of_a_Wimpy_Kid:_The_Long_Haul_(film)</v>
      </c>
      <c r="K258" s="11" t="str">
        <f t="shared" si="15"/>
        <v>Diary_of_a_Wimpy_Kid:_The_Long_Haul_(film)</v>
      </c>
      <c r="L258" s="1" t="str">
        <f t="shared" si="13"/>
        <v>Diary_of_a_Wimpy_Kid:_The_Long_Haul</v>
      </c>
      <c r="M258" s="1" t="b">
        <f t="shared" si="14"/>
        <v>0</v>
      </c>
    </row>
    <row r="259" spans="2:13" x14ac:dyDescent="0.2">
      <c r="B259" s="3" t="s">
        <v>175</v>
      </c>
      <c r="C259" s="14" t="s">
        <v>3092</v>
      </c>
      <c r="D259" s="14" t="s">
        <v>3093</v>
      </c>
      <c r="E259" s="15" t="s">
        <v>176</v>
      </c>
      <c r="F259" s="15" t="s">
        <v>6</v>
      </c>
      <c r="G259" s="15" t="str">
        <f>IFERROR(INDEX('BOM2017'!F:F,MATCH(Wiki!B259,'BOM2017'!C:C,0)),INDEX('BOM2017'!F:F,MATCH(Wiki!B259,'BOM2017'!D:D,0)))</f>
        <v>$30,234,022</v>
      </c>
      <c r="H259" s="15" t="str">
        <f>IFERROR(INDEX('BOM2017'!H:H,MATCH(Wiki!B259,'BOM2017'!C:C,0)),INDEX('BOM2017'!H:H,MATCH(Wiki!B259,'BOM2017'!D:D,0)))</f>
        <v>$12,501,936</v>
      </c>
      <c r="I259" s="16" t="str">
        <f>IFERROR(INDEX('BOM2017'!H:H,MATCH(Wiki!B259,'BOM2017'!C:C,0)),INDEX('BOM2017'!H:H,MATCH(Wiki!B259,'BOM2017'!D:D,0)))</f>
        <v>$12,501,936</v>
      </c>
      <c r="J259" s="1" t="str">
        <f t="shared" si="12"/>
        <v>https://en.wikipedia.org/wiki/Life_(2017_film)</v>
      </c>
      <c r="K259" s="11" t="str">
        <f t="shared" si="15"/>
        <v>Life_(2017_film)</v>
      </c>
      <c r="L259" s="1" t="str">
        <f t="shared" si="13"/>
        <v>Life</v>
      </c>
      <c r="M259" s="1" t="b">
        <f t="shared" si="14"/>
        <v>0</v>
      </c>
    </row>
    <row r="260" spans="2:13" x14ac:dyDescent="0.2">
      <c r="B260" s="3" t="s">
        <v>324</v>
      </c>
      <c r="C260" s="14" t="s">
        <v>3094</v>
      </c>
      <c r="D260" s="14" t="s">
        <v>3095</v>
      </c>
      <c r="E260" s="15" t="s">
        <v>325</v>
      </c>
      <c r="F260" s="15" t="s">
        <v>88</v>
      </c>
      <c r="G260" s="15" t="str">
        <f>IFERROR(INDEX('BOM2017'!F:F,MATCH(Wiki!B260,'BOM2017'!C:C,0)),INDEX('BOM2017'!F:F,MATCH(Wiki!B260,'BOM2017'!D:D,0)))</f>
        <v>$188,045,546</v>
      </c>
      <c r="H260" s="15" t="str">
        <f>IFERROR(INDEX('BOM2017'!H:H,MATCH(Wiki!B260,'BOM2017'!C:C,0)),INDEX('BOM2017'!H:H,MATCH(Wiki!B260,'BOM2017'!D:D,0)))</f>
        <v>$50,513,488</v>
      </c>
      <c r="I260" s="16" t="str">
        <f>IFERROR(INDEX('BOM2017'!H:H,MATCH(Wiki!B260,'BOM2017'!C:C,0)),INDEX('BOM2017'!H:H,MATCH(Wiki!B260,'BOM2017'!D:D,0)))</f>
        <v>$50,513,488</v>
      </c>
      <c r="J260" s="1" t="str">
        <f t="shared" si="12"/>
        <v>https://en.wikipedia.org/wiki/Dunkirk_(2017_film)</v>
      </c>
      <c r="K260" s="11" t="str">
        <f t="shared" si="15"/>
        <v>Dunkirk_(2017_film)</v>
      </c>
      <c r="L260" s="1" t="str">
        <f t="shared" si="13"/>
        <v>Dunkirk</v>
      </c>
      <c r="M260" s="1" t="b">
        <f t="shared" si="14"/>
        <v>0</v>
      </c>
    </row>
    <row r="261" spans="2:13" x14ac:dyDescent="0.2">
      <c r="B261" s="3" t="s">
        <v>16</v>
      </c>
      <c r="C261" s="14" t="s">
        <v>3096</v>
      </c>
      <c r="D261" s="14" t="s">
        <v>3097</v>
      </c>
      <c r="E261" s="15" t="s">
        <v>17</v>
      </c>
      <c r="F261" s="15" t="s">
        <v>6</v>
      </c>
      <c r="G261" s="15" t="str">
        <f>IFERROR(INDEX('BOM2017'!F:F,MATCH(Wiki!B261,'BOM2017'!C:C,0)),INDEX('BOM2017'!F:F,MATCH(Wiki!B261,'BOM2017'!D:D,0)))</f>
        <v>$33,370,166</v>
      </c>
      <c r="H261" s="15" t="str">
        <f>IFERROR(INDEX('BOM2017'!H:H,MATCH(Wiki!B261,'BOM2017'!C:C,0)),INDEX('BOM2017'!H:H,MATCH(Wiki!B261,'BOM2017'!D:D,0)))</f>
        <v>$10,950,705</v>
      </c>
      <c r="I261" s="16" t="str">
        <f>IFERROR(INDEX('BOM2017'!H:H,MATCH(Wiki!B261,'BOM2017'!C:C,0)),INDEX('BOM2017'!H:H,MATCH(Wiki!B261,'BOM2017'!D:D,0)))</f>
        <v>$10,950,705</v>
      </c>
      <c r="J261" s="1" t="str">
        <f t="shared" si="12"/>
        <v>https://en.wikipedia.org/wiki/Monster_Trucks_(film)</v>
      </c>
      <c r="K261" s="11" t="str">
        <f t="shared" si="15"/>
        <v>Monster_Trucks_(film)</v>
      </c>
      <c r="L261" s="1" t="str">
        <f t="shared" si="13"/>
        <v>Monster_Trucks</v>
      </c>
      <c r="M261" s="1" t="b">
        <f t="shared" si="14"/>
        <v>0</v>
      </c>
    </row>
    <row r="262" spans="2:13" x14ac:dyDescent="0.2">
      <c r="B262" s="3" t="s">
        <v>71</v>
      </c>
      <c r="C262" s="14" t="s">
        <v>3098</v>
      </c>
      <c r="D262" s="14" t="s">
        <v>3099</v>
      </c>
      <c r="E262" s="15" t="s">
        <v>72</v>
      </c>
      <c r="F262" s="3" t="s">
        <v>73</v>
      </c>
      <c r="G262" s="15" t="str">
        <f>IFERROR(INDEX('BOM2017'!F:F,MATCH(Wiki!B262,'BOM2017'!C:C,0)),INDEX('BOM2017'!F:F,MATCH(Wiki!B262,'BOM2017'!D:D,0)))</f>
        <v>$175,750,384</v>
      </c>
      <c r="H262" s="15" t="str">
        <f>IFERROR(INDEX('BOM2017'!H:H,MATCH(Wiki!B262,'BOM2017'!C:C,0)),INDEX('BOM2017'!H:H,MATCH(Wiki!B262,'BOM2017'!D:D,0)))</f>
        <v>$53,003,468</v>
      </c>
      <c r="I262" s="16" t="str">
        <f>IFERROR(INDEX('BOM2017'!H:H,MATCH(Wiki!B262,'BOM2017'!C:C,0)),INDEX('BOM2017'!H:H,MATCH(Wiki!B262,'BOM2017'!D:D,0)))</f>
        <v>$53,003,468</v>
      </c>
      <c r="J262" s="1" t="str">
        <f t="shared" ref="J262:J275" si="16">GETURL(B262)</f>
        <v>https://en.wikipedia.org/wiki/The_Lego_Batman_Movie</v>
      </c>
      <c r="K262" s="11" t="str">
        <f t="shared" si="15"/>
        <v>The_Lego_Batman_Movie</v>
      </c>
      <c r="L262" s="1" t="str">
        <f t="shared" ref="L262:L275" si="17">SUBSTITUTE(B262," ","_")</f>
        <v>The_Lego_Batman_Movie</v>
      </c>
      <c r="M262" s="1" t="b">
        <f t="shared" ref="M262:M275" si="18">K262=L262</f>
        <v>1</v>
      </c>
    </row>
    <row r="263" spans="2:13" x14ac:dyDescent="0.2">
      <c r="B263" s="4">
        <v>43354</v>
      </c>
      <c r="C263" s="15" t="s">
        <v>399</v>
      </c>
      <c r="D263" s="14" t="s">
        <v>3100</v>
      </c>
      <c r="E263" s="15" t="s">
        <v>24</v>
      </c>
      <c r="F263" s="15" t="s">
        <v>6</v>
      </c>
      <c r="G263" s="15" t="str">
        <f>IFERROR(INDEX('BOM2017'!F:F,MATCH(Wiki!B263,'BOM2017'!C:C,0)),INDEX('BOM2017'!F:F,MATCH(Wiki!B263,'BOM2017'!D:D,0)))</f>
        <v>$170,000</v>
      </c>
      <c r="H263" s="15" t="str">
        <f>IFERROR(INDEX('BOM2017'!H:H,MATCH(Wiki!B263,'BOM2017'!C:C,0)),INDEX('BOM2017'!H:H,MATCH(Wiki!B263,'BOM2017'!D:D,0)))</f>
        <v>$170,000</v>
      </c>
      <c r="I263" s="16" t="str">
        <f>IFERROR(INDEX('BOM2017'!H:H,MATCH(Wiki!B263,'BOM2017'!C:C,0)),INDEX('BOM2017'!H:H,MATCH(Wiki!B263,'BOM2017'!D:D,0)))</f>
        <v>$170,000</v>
      </c>
      <c r="J263" s="1" t="str">
        <f t="shared" si="16"/>
        <v>https://en.wikipedia.org/wiki/9/11_(2017_film)</v>
      </c>
      <c r="K263" s="11" t="str">
        <f t="shared" ref="K263:K275" si="19">TRIM(RIGHT(J263,LEN(J263)-FIND("wiki/",J263)-4))</f>
        <v>9/11_(2017_film)</v>
      </c>
      <c r="L263" s="1" t="str">
        <f t="shared" si="17"/>
        <v>43354</v>
      </c>
      <c r="M263" s="1" t="b">
        <f t="shared" si="18"/>
        <v>0</v>
      </c>
    </row>
    <row r="264" spans="2:13" x14ac:dyDescent="0.2">
      <c r="B264" s="3" t="s">
        <v>416</v>
      </c>
      <c r="C264" s="14" t="s">
        <v>3101</v>
      </c>
      <c r="D264" s="14" t="s">
        <v>3102</v>
      </c>
      <c r="E264" s="15" t="s">
        <v>417</v>
      </c>
      <c r="F264" s="15" t="s">
        <v>418</v>
      </c>
      <c r="G264" s="15" t="str">
        <f>IFERROR(INDEX('BOM2017'!F:F,MATCH(Wiki!B264,'BOM2017'!C:C,0)),INDEX('BOM2017'!F:F,MATCH(Wiki!B264,'BOM2017'!D:D,0)))</f>
        <v>$59,281,555</v>
      </c>
      <c r="H264" s="15" t="str">
        <f>IFERROR(INDEX('BOM2017'!H:H,MATCH(Wiki!B264,'BOM2017'!C:C,0)),INDEX('BOM2017'!H:H,MATCH(Wiki!B264,'BOM2017'!D:D,0)))</f>
        <v>$20,433,071</v>
      </c>
      <c r="I264" s="16" t="str">
        <f>IFERROR(INDEX('BOM2017'!H:H,MATCH(Wiki!B264,'BOM2017'!C:C,0)),INDEX('BOM2017'!H:H,MATCH(Wiki!B264,'BOM2017'!D:D,0)))</f>
        <v>$20,433,071</v>
      </c>
      <c r="J264" s="1" t="str">
        <f t="shared" si="16"/>
        <v>https://en.wikipedia.org/wiki/The_Lego_Ninjago_Movie</v>
      </c>
      <c r="K264" s="11" t="str">
        <f t="shared" si="19"/>
        <v>The_Lego_Ninjago_Movie</v>
      </c>
      <c r="L264" s="1" t="str">
        <f t="shared" si="17"/>
        <v>The_Lego_Ninjago_Movie</v>
      </c>
      <c r="M264" s="1" t="b">
        <f t="shared" si="18"/>
        <v>1</v>
      </c>
    </row>
    <row r="265" spans="2:13" x14ac:dyDescent="0.2">
      <c r="B265" s="3" t="s">
        <v>93</v>
      </c>
      <c r="C265" s="3" t="s">
        <v>94</v>
      </c>
      <c r="D265" s="14" t="s">
        <v>3103</v>
      </c>
      <c r="E265" s="15" t="s">
        <v>95</v>
      </c>
      <c r="F265" s="15" t="s">
        <v>6</v>
      </c>
      <c r="G265" s="15" t="e">
        <f>IFERROR(INDEX('BOM2017'!F:F,MATCH(Wiki!B265,'BOM2017'!C:C,0)),INDEX('BOM2017'!F:F,MATCH(Wiki!B265,'BOM2017'!D:D,0)))</f>
        <v>#N/A</v>
      </c>
      <c r="H265" s="15" t="e">
        <f>IFERROR(INDEX('BOM2017'!H:H,MATCH(Wiki!B265,'BOM2017'!C:C,0)),INDEX('BOM2017'!H:H,MATCH(Wiki!B265,'BOM2017'!D:D,0)))</f>
        <v>#N/A</v>
      </c>
      <c r="I265" s="16" t="e">
        <f>IFERROR(INDEX('BOM2017'!H:H,MATCH(Wiki!B265,'BOM2017'!C:C,0)),INDEX('BOM2017'!H:H,MATCH(Wiki!B265,'BOM2017'!D:D,0)))</f>
        <v>#N/A</v>
      </c>
      <c r="J265" s="1" t="str">
        <f t="shared" si="16"/>
        <v>https://en.wikipedia.org/wiki/John_Wick:_Chapter_2</v>
      </c>
      <c r="K265" s="11" t="str">
        <f t="shared" si="19"/>
        <v>John_Wick:_Chapter_2</v>
      </c>
      <c r="L265" s="1" t="str">
        <f t="shared" si="17"/>
        <v>John_Wick:_Chapter_2</v>
      </c>
      <c r="M265" s="1" t="b">
        <f t="shared" si="18"/>
        <v>1</v>
      </c>
    </row>
    <row r="266" spans="2:13" x14ac:dyDescent="0.2">
      <c r="B266" s="3" t="s">
        <v>507</v>
      </c>
      <c r="C266" s="3" t="s">
        <v>199</v>
      </c>
      <c r="D266" s="14" t="s">
        <v>3104</v>
      </c>
      <c r="E266" s="15" t="s">
        <v>508</v>
      </c>
      <c r="F266" s="15" t="s">
        <v>6</v>
      </c>
      <c r="G266" s="15" t="e">
        <f>IFERROR(INDEX('BOM2017'!F:F,MATCH(Wiki!B266,'BOM2017'!C:C,0)),INDEX('BOM2017'!F:F,MATCH(Wiki!B266,'BOM2017'!D:D,0)))</f>
        <v>#N/A</v>
      </c>
      <c r="H266" s="15" t="e">
        <f>IFERROR(INDEX('BOM2017'!H:H,MATCH(Wiki!B266,'BOM2017'!C:C,0)),INDEX('BOM2017'!H:H,MATCH(Wiki!B266,'BOM2017'!D:D,0)))</f>
        <v>#N/A</v>
      </c>
      <c r="I266" s="16" t="e">
        <f>IFERROR(INDEX('BOM2017'!H:H,MATCH(Wiki!B266,'BOM2017'!C:C,0)),INDEX('BOM2017'!H:H,MATCH(Wiki!B266,'BOM2017'!D:D,0)))</f>
        <v>#N/A</v>
      </c>
      <c r="J266" s="1" t="str">
        <f t="shared" si="16"/>
        <v>https://en.wikipedia.org/wiki/Cook_Off!</v>
      </c>
      <c r="K266" s="11" t="str">
        <f t="shared" si="19"/>
        <v>Cook_Off!</v>
      </c>
      <c r="L266" s="1" t="str">
        <f t="shared" si="17"/>
        <v>Cook_Off!</v>
      </c>
      <c r="M266" s="1" t="b">
        <f t="shared" si="18"/>
        <v>1</v>
      </c>
    </row>
    <row r="267" spans="2:13" x14ac:dyDescent="0.2">
      <c r="B267" s="3" t="s">
        <v>527</v>
      </c>
      <c r="C267" s="14" t="s">
        <v>3105</v>
      </c>
      <c r="D267" s="14" t="s">
        <v>3106</v>
      </c>
      <c r="E267" s="15" t="s">
        <v>528</v>
      </c>
      <c r="F267" s="15" t="s">
        <v>6</v>
      </c>
      <c r="G267" s="15" t="str">
        <f>IFERROR(INDEX('BOM2017'!F:F,MATCH(Wiki!B267,'BOM2017'!C:C,0)),INDEX('BOM2017'!F:F,MATCH(Wiki!B267,'BOM2017'!D:D,0)))</f>
        <v>$79,256,570</v>
      </c>
      <c r="H267" s="15" t="str">
        <f>IFERROR(INDEX('BOM2017'!H:H,MATCH(Wiki!B267,'BOM2017'!C:C,0)),INDEX('BOM2017'!H:H,MATCH(Wiki!B267,'BOM2017'!D:D,0)))</f>
        <v>$13,401,586</v>
      </c>
      <c r="I267" s="16" t="str">
        <f>IFERROR(INDEX('BOM2017'!H:H,MATCH(Wiki!B267,'BOM2017'!C:C,0)),INDEX('BOM2017'!H:H,MATCH(Wiki!B267,'BOM2017'!D:D,0)))</f>
        <v>$13,401,586</v>
      </c>
      <c r="J267" s="1" t="str">
        <f t="shared" si="16"/>
        <v>https://en.wikipedia.org/wiki/Ferdinand_(film)</v>
      </c>
      <c r="K267" s="11" t="str">
        <f t="shared" si="19"/>
        <v>Ferdinand_(film)</v>
      </c>
      <c r="L267" s="1" t="str">
        <f t="shared" si="17"/>
        <v>Ferdinand</v>
      </c>
      <c r="M267" s="1" t="b">
        <f t="shared" si="18"/>
        <v>0</v>
      </c>
    </row>
    <row r="268" spans="2:13" x14ac:dyDescent="0.2">
      <c r="B268" s="3" t="s">
        <v>277</v>
      </c>
      <c r="C268" s="14" t="s">
        <v>2797</v>
      </c>
      <c r="D268" s="14" t="s">
        <v>3107</v>
      </c>
      <c r="E268" s="15" t="s">
        <v>278</v>
      </c>
      <c r="F268" s="15" t="s">
        <v>6</v>
      </c>
      <c r="G268" s="15" t="str">
        <f>IFERROR(INDEX('BOM2017'!F:F,MATCH(Wiki!B268,'BOM2017'!C:C,0)),INDEX('BOM2017'!F:F,MATCH(Wiki!B268,'BOM2017'!D:D,0)))</f>
        <v>$152,901,115</v>
      </c>
      <c r="H268" s="15" t="str">
        <f>IFERROR(INDEX('BOM2017'!H:H,MATCH(Wiki!B268,'BOM2017'!C:C,0)),INDEX('BOM2017'!H:H,MATCH(Wiki!B268,'BOM2017'!D:D,0)))</f>
        <v>$53,688,680</v>
      </c>
      <c r="I268" s="16" t="str">
        <f>IFERROR(INDEX('BOM2017'!H:H,MATCH(Wiki!B268,'BOM2017'!C:C,0)),INDEX('BOM2017'!H:H,MATCH(Wiki!B268,'BOM2017'!D:D,0)))</f>
        <v>$53,688,680</v>
      </c>
      <c r="J268" s="1" t="str">
        <f t="shared" si="16"/>
        <v>https://en.wikipedia.org/wiki/Cars_3</v>
      </c>
      <c r="K268" s="11" t="str">
        <f t="shared" si="19"/>
        <v>Cars_3</v>
      </c>
      <c r="L268" s="1" t="str">
        <f t="shared" si="17"/>
        <v>Cars_3</v>
      </c>
      <c r="M268" s="1" t="b">
        <f t="shared" si="18"/>
        <v>1</v>
      </c>
    </row>
    <row r="269" spans="2:13" x14ac:dyDescent="0.2">
      <c r="B269" s="3" t="s">
        <v>310</v>
      </c>
      <c r="C269" s="14" t="s">
        <v>2957</v>
      </c>
      <c r="D269" s="14" t="s">
        <v>3108</v>
      </c>
      <c r="E269" s="15" t="s">
        <v>311</v>
      </c>
      <c r="F269" s="15" t="s">
        <v>312</v>
      </c>
      <c r="G269" s="15" t="e">
        <f>IFERROR(INDEX('BOM2017'!F:F,MATCH(Wiki!B269,'BOM2017'!C:C,0)),INDEX('BOM2017'!F:F,MATCH(Wiki!B269,'BOM2017'!D:D,0)))</f>
        <v>#N/A</v>
      </c>
      <c r="H269" s="15" t="e">
        <f>IFERROR(INDEX('BOM2017'!H:H,MATCH(Wiki!B269,'BOM2017'!C:C,0)),INDEX('BOM2017'!H:H,MATCH(Wiki!B269,'BOM2017'!D:D,0)))</f>
        <v>#N/A</v>
      </c>
      <c r="I269" s="16" t="e">
        <f>IFERROR(INDEX('BOM2017'!H:H,MATCH(Wiki!B269,'BOM2017'!C:C,0)),INDEX('BOM2017'!H:H,MATCH(Wiki!B269,'BOM2017'!D:D,0)))</f>
        <v>#N/A</v>
      </c>
      <c r="J269" s="1" t="str">
        <f t="shared" si="16"/>
        <v>https://en.wikipedia.org/wiki/Okja</v>
      </c>
      <c r="K269" s="11" t="str">
        <f t="shared" si="19"/>
        <v>Okja</v>
      </c>
      <c r="L269" s="1" t="str">
        <f t="shared" si="17"/>
        <v>Okja</v>
      </c>
      <c r="M269" s="1" t="b">
        <f t="shared" si="18"/>
        <v>1</v>
      </c>
    </row>
    <row r="270" spans="2:13" x14ac:dyDescent="0.2">
      <c r="B270" s="3" t="s">
        <v>124</v>
      </c>
      <c r="C270" s="3" t="s">
        <v>125</v>
      </c>
      <c r="D270" s="14" t="s">
        <v>3109</v>
      </c>
      <c r="E270" s="15" t="s">
        <v>126</v>
      </c>
      <c r="F270" s="15" t="s">
        <v>6</v>
      </c>
      <c r="G270" s="15" t="str">
        <f>IFERROR(INDEX('BOM2017'!F:F,MATCH(Wiki!B270,'BOM2017'!C:C,0)),INDEX('BOM2017'!F:F,MATCH(Wiki!B270,'BOM2017'!D:D,0)))</f>
        <v>$504,014,165</v>
      </c>
      <c r="H270" s="15" t="str">
        <f>IFERROR(INDEX('BOM2017'!H:H,MATCH(Wiki!B270,'BOM2017'!C:C,0)),INDEX('BOM2017'!H:H,MATCH(Wiki!B270,'BOM2017'!D:D,0)))</f>
        <v>$174,750,616</v>
      </c>
      <c r="I270" s="16" t="str">
        <f>IFERROR(INDEX('BOM2017'!H:H,MATCH(Wiki!B270,'BOM2017'!C:C,0)),INDEX('BOM2017'!H:H,MATCH(Wiki!B270,'BOM2017'!D:D,0)))</f>
        <v>$174,750,616</v>
      </c>
      <c r="J270" s="1" t="str">
        <f t="shared" si="16"/>
        <v>https://en.wikipedia.org/wiki/Beauty_and_the_Beast_(2017_film)</v>
      </c>
      <c r="K270" s="11" t="str">
        <f t="shared" si="19"/>
        <v>Beauty_and_the_Beast_(2017_film)</v>
      </c>
      <c r="L270" s="1" t="str">
        <f t="shared" si="17"/>
        <v>Beauty_and_the_Beast</v>
      </c>
      <c r="M270" s="1" t="b">
        <f t="shared" si="18"/>
        <v>0</v>
      </c>
    </row>
    <row r="271" spans="2:13" x14ac:dyDescent="0.2">
      <c r="B271" s="3" t="s">
        <v>4</v>
      </c>
      <c r="C271" s="14" t="s">
        <v>3110</v>
      </c>
      <c r="D271" s="14" t="s">
        <v>3111</v>
      </c>
      <c r="E271" s="15" t="s">
        <v>5</v>
      </c>
      <c r="F271" s="15" t="s">
        <v>6</v>
      </c>
      <c r="G271" s="15" t="str">
        <f>IFERROR(INDEX('BOM2017'!F:F,MATCH(Wiki!B271,'BOM2017'!C:C,0)),INDEX('BOM2017'!F:F,MATCH(Wiki!B271,'BOM2017'!D:D,0)))</f>
        <v>$30,353,973</v>
      </c>
      <c r="H271" s="15" t="str">
        <f>IFERROR(INDEX('BOM2017'!H:H,MATCH(Wiki!B271,'BOM2017'!C:C,0)),INDEX('BOM2017'!H:H,MATCH(Wiki!B271,'BOM2017'!D:D,0)))</f>
        <v>$13,688,751</v>
      </c>
      <c r="I271" s="16" t="str">
        <f>IFERROR(INDEX('BOM2017'!H:H,MATCH(Wiki!B271,'BOM2017'!C:C,0)),INDEX('BOM2017'!H:H,MATCH(Wiki!B271,'BOM2017'!D:D,0)))</f>
        <v>$13,688,751</v>
      </c>
      <c r="J271" s="1" t="str">
        <f t="shared" si="16"/>
        <v>https://en.wikipedia.org/wiki/Underworld:_Blood_Wars</v>
      </c>
      <c r="K271" s="11" t="str">
        <f t="shared" si="19"/>
        <v>Underworld:_Blood_Wars</v>
      </c>
      <c r="L271" s="1" t="str">
        <f t="shared" si="17"/>
        <v>Underworld:_Blood_Wars</v>
      </c>
      <c r="M271" s="1" t="b">
        <f t="shared" si="18"/>
        <v>1</v>
      </c>
    </row>
    <row r="272" spans="2:13" x14ac:dyDescent="0.2">
      <c r="B272" s="3" t="s">
        <v>315</v>
      </c>
      <c r="C272" s="14" t="s">
        <v>3112</v>
      </c>
      <c r="D272" s="14" t="s">
        <v>3113</v>
      </c>
      <c r="E272" s="15" t="s">
        <v>91</v>
      </c>
      <c r="F272" s="15" t="s">
        <v>6</v>
      </c>
      <c r="G272" s="15" t="str">
        <f>IFERROR(INDEX('BOM2017'!F:F,MATCH(Wiki!B272,'BOM2017'!C:C,0)),INDEX('BOM2017'!F:F,MATCH(Wiki!B272,'BOM2017'!D:D,0)))</f>
        <v>$25,584,504</v>
      </c>
      <c r="H272" s="15" t="str">
        <f>IFERROR(INDEX('BOM2017'!H:H,MATCH(Wiki!B272,'BOM2017'!C:C,0)),INDEX('BOM2017'!H:H,MATCH(Wiki!B272,'BOM2017'!D:D,0)))</f>
        <v>$8,724,795</v>
      </c>
      <c r="I272" s="16" t="str">
        <f>IFERROR(INDEX('BOM2017'!H:H,MATCH(Wiki!B272,'BOM2017'!C:C,0)),INDEX('BOM2017'!H:H,MATCH(Wiki!B272,'BOM2017'!D:D,0)))</f>
        <v>$8,724,795</v>
      </c>
      <c r="J272" s="1" t="str">
        <f t="shared" si="16"/>
        <v>https://en.wikipedia.org/wiki/The_House_(2017_film)</v>
      </c>
      <c r="K272" s="11" t="str">
        <f t="shared" si="19"/>
        <v>The_House_(2017_film)</v>
      </c>
      <c r="L272" s="1" t="str">
        <f t="shared" si="17"/>
        <v>The_House</v>
      </c>
      <c r="M272" s="1" t="b">
        <f t="shared" si="18"/>
        <v>0</v>
      </c>
    </row>
    <row r="273" spans="2:13" x14ac:dyDescent="0.2">
      <c r="B273" s="3" t="s">
        <v>392</v>
      </c>
      <c r="C273" s="14" t="s">
        <v>3089</v>
      </c>
      <c r="D273" s="14" t="s">
        <v>3114</v>
      </c>
      <c r="E273" s="15" t="s">
        <v>393</v>
      </c>
      <c r="F273" s="15" t="s">
        <v>6</v>
      </c>
      <c r="G273" s="15" t="str">
        <f>IFERROR(INDEX('BOM2017'!F:F,MATCH(Wiki!B273,'BOM2017'!C:C,0)),INDEX('BOM2017'!F:F,MATCH(Wiki!B273,'BOM2017'!D:D,0)))</f>
        <v>$327,481,748</v>
      </c>
      <c r="H273" s="15" t="str">
        <f>IFERROR(INDEX('BOM2017'!H:H,MATCH(Wiki!B273,'BOM2017'!C:C,0)),INDEX('BOM2017'!H:H,MATCH(Wiki!B273,'BOM2017'!D:D,0)))</f>
        <v>$123,403,419</v>
      </c>
      <c r="I273" s="16" t="str">
        <f>IFERROR(INDEX('BOM2017'!H:H,MATCH(Wiki!B273,'BOM2017'!C:C,0)),INDEX('BOM2017'!H:H,MATCH(Wiki!B273,'BOM2017'!D:D,0)))</f>
        <v>$123,403,419</v>
      </c>
      <c r="J273" s="1" t="str">
        <f t="shared" si="16"/>
        <v>https://en.wikipedia.org/wiki/It_(2017_film)</v>
      </c>
      <c r="K273" s="11" t="str">
        <f t="shared" si="19"/>
        <v>It_(2017_film)</v>
      </c>
      <c r="L273" s="1" t="str">
        <f t="shared" si="17"/>
        <v>It</v>
      </c>
      <c r="M273" s="1" t="b">
        <f t="shared" si="18"/>
        <v>0</v>
      </c>
    </row>
    <row r="274" spans="2:13" x14ac:dyDescent="0.2">
      <c r="B274" s="3" t="s">
        <v>377</v>
      </c>
      <c r="C274" s="3" t="s">
        <v>75</v>
      </c>
      <c r="D274" s="14" t="s">
        <v>3115</v>
      </c>
      <c r="E274" s="15" t="s">
        <v>378</v>
      </c>
      <c r="F274" s="15" t="s">
        <v>6</v>
      </c>
      <c r="G274" s="15" t="str">
        <f>IFERROR(INDEX('BOM2017'!F:F,MATCH(Wiki!B274,'BOM2017'!C:C,0)),INDEX('BOM2017'!F:F,MATCH(Wiki!B274,'BOM2017'!D:D,0)))</f>
        <v>$24,321,434</v>
      </c>
      <c r="H274" s="15" t="str">
        <f>IFERROR(INDEX('BOM2017'!H:H,MATCH(Wiki!B274,'BOM2017'!C:C,0)),INDEX('BOM2017'!H:H,MATCH(Wiki!B274,'BOM2017'!D:D,0)))</f>
        <v>$4,954,287</v>
      </c>
      <c r="I274" s="16" t="str">
        <f>IFERROR(INDEX('BOM2017'!H:H,MATCH(Wiki!B274,'BOM2017'!C:C,0)),INDEX('BOM2017'!H:H,MATCH(Wiki!B274,'BOM2017'!D:D,0)))</f>
        <v>$4,954,287</v>
      </c>
      <c r="J274" s="1" t="str">
        <f t="shared" si="16"/>
        <v>https://en.wikipedia.org/wiki/Downsizing_(film)</v>
      </c>
      <c r="K274" s="11" t="str">
        <f t="shared" si="19"/>
        <v>Downsizing_(film)</v>
      </c>
      <c r="L274" s="1" t="str">
        <f t="shared" si="17"/>
        <v>Downsizing</v>
      </c>
      <c r="M274" s="1" t="b">
        <f t="shared" si="18"/>
        <v>0</v>
      </c>
    </row>
    <row r="275" spans="2:13" x14ac:dyDescent="0.2">
      <c r="B275" s="3" t="s">
        <v>275</v>
      </c>
      <c r="C275" s="14" t="s">
        <v>3116</v>
      </c>
      <c r="D275" s="14" t="s">
        <v>3117</v>
      </c>
      <c r="E275" s="15" t="s">
        <v>276</v>
      </c>
      <c r="F275" s="15" t="s">
        <v>6</v>
      </c>
      <c r="G275" s="15" t="str">
        <f>IFERROR(INDEX('BOM2017'!F:F,MATCH(Wiki!B275,'BOM2017'!C:C,0)),INDEX('BOM2017'!F:F,MATCH(Wiki!B275,'BOM2017'!D:D,0)))</f>
        <v>$80,227,895</v>
      </c>
      <c r="H275" s="15" t="str">
        <f>IFERROR(INDEX('BOM2017'!H:H,MATCH(Wiki!B275,'BOM2017'!C:C,0)),INDEX('BOM2017'!H:H,MATCH(Wiki!B275,'BOM2017'!D:D,0)))</f>
        <v>$31,688,375</v>
      </c>
      <c r="I275" s="16" t="str">
        <f>IFERROR(INDEX('BOM2017'!H:H,MATCH(Wiki!B275,'BOM2017'!C:C,0)),INDEX('BOM2017'!H:H,MATCH(Wiki!B275,'BOM2017'!D:D,0)))</f>
        <v>$31,688,375</v>
      </c>
      <c r="J275" s="1" t="str">
        <f t="shared" si="16"/>
        <v>https://en.wikipedia.org/wiki/The_Mummy_(2017_film)</v>
      </c>
      <c r="K275" s="11" t="str">
        <f t="shared" si="19"/>
        <v>The_Mummy_(2017_film)</v>
      </c>
      <c r="L275" s="1" t="str">
        <f t="shared" si="17"/>
        <v>The_Mummy</v>
      </c>
      <c r="M275" s="1" t="b">
        <f t="shared" si="18"/>
        <v>0</v>
      </c>
    </row>
    <row r="276" spans="2:13" ht="18" x14ac:dyDescent="0.2">
      <c r="B276" s="15"/>
      <c r="C276" s="3"/>
      <c r="D276" s="14"/>
      <c r="E276" s="14"/>
      <c r="F276" s="15"/>
      <c r="G276" s="15"/>
      <c r="H276" s="15"/>
      <c r="I276" s="15"/>
      <c r="J276" s="18"/>
    </row>
    <row r="277" spans="2:13" ht="18" x14ac:dyDescent="0.2">
      <c r="B277" s="15"/>
      <c r="C277" s="3"/>
      <c r="D277" s="14"/>
      <c r="E277" s="14"/>
      <c r="F277" s="15"/>
      <c r="G277" s="15"/>
      <c r="H277" s="15"/>
      <c r="I277" s="15"/>
      <c r="J277" s="18"/>
    </row>
    <row r="278" spans="2:13" ht="18" x14ac:dyDescent="0.2">
      <c r="B278" s="15"/>
      <c r="C278" s="3"/>
      <c r="D278" s="14"/>
      <c r="E278" s="14"/>
      <c r="F278" s="15"/>
      <c r="G278" s="15"/>
      <c r="H278" s="15"/>
      <c r="I278" s="15"/>
      <c r="J278" s="18"/>
    </row>
    <row r="279" spans="2:13" ht="18" x14ac:dyDescent="0.2">
      <c r="B279" s="15"/>
      <c r="C279" s="3"/>
      <c r="D279" s="14"/>
      <c r="E279" s="14"/>
      <c r="F279" s="15"/>
      <c r="G279" s="15"/>
      <c r="H279" s="15"/>
      <c r="I279" s="15"/>
      <c r="J279" s="18"/>
    </row>
    <row r="280" spans="2:13" ht="18" x14ac:dyDescent="0.2">
      <c r="B280" s="15"/>
      <c r="C280" s="3"/>
      <c r="D280" s="14"/>
      <c r="E280" s="14"/>
      <c r="F280" s="15"/>
      <c r="G280" s="15"/>
      <c r="H280" s="15"/>
      <c r="I280" s="15"/>
      <c r="J280" s="18"/>
    </row>
    <row r="281" spans="2:13" ht="18" x14ac:dyDescent="0.2">
      <c r="B281" s="15"/>
      <c r="C281" s="3"/>
      <c r="D281" s="14"/>
      <c r="E281" s="14"/>
      <c r="F281" s="15"/>
      <c r="G281" s="15"/>
      <c r="H281" s="15"/>
      <c r="I281" s="15"/>
      <c r="J281" s="18"/>
    </row>
  </sheetData>
  <autoFilter ref="B5:M275"/>
  <hyperlinks>
    <hyperlink ref="B271" r:id="rId1" tooltip="Underworld: Blood Wars" display="https://en.wikipedia.org/wiki/Underworld:_Blood_Wars"/>
    <hyperlink ref="B22" r:id="rId2" tooltip="Arsenal (2017 film)" display="https://en.wikipedia.org/wiki/Arsenal_(2017_film)"/>
    <hyperlink ref="B28" r:id="rId3" tooltip="Between Us (2016 film)" display="https://en.wikipedia.org/wiki/Between_Us_(2016_film)"/>
    <hyperlink ref="C28" r:id="rId4" tooltip="IFC Films" display="https://en.wikipedia.org/wiki/IFC_Films"/>
    <hyperlink ref="B110" r:id="rId5" tooltip="Railroad Tigers" display="https://en.wikipedia.org/wiki/Railroad_Tigers"/>
    <hyperlink ref="F110" r:id="rId6" tooltip="China" display="https://en.wikipedia.org/wiki/China"/>
    <hyperlink ref="B261" r:id="rId7" tooltip="Monster Trucks (film)" display="https://en.wikipedia.org/wiki/Monster_Trucks_(film)"/>
    <hyperlink ref="B131" r:id="rId8" tooltip="The Bye Bye Man" display="https://en.wikipedia.org/wiki/The_Bye_Bye_Man"/>
    <hyperlink ref="B116" r:id="rId9" tooltip="Sleepless (2017 film)" display="https://en.wikipedia.org/wiki/Sleepless_(2017_film)"/>
    <hyperlink ref="B7" r:id="rId10" tooltip="100 Streets" display="https://en.wikipedia.org/wiki/100_Streets"/>
    <hyperlink ref="C7" r:id="rId11" tooltip="Samuel Goldwyn Films" display="https://en.wikipedia.org/wiki/Samuel_Goldwyn_Films"/>
    <hyperlink ref="B130" r:id="rId12" tooltip="The Book of Love (film)" display="https://en.wikipedia.org/wiki/The_Book_of_Love_(film)"/>
    <hyperlink ref="C130" r:id="rId13" tooltip="Electric Entertainment" display="https://en.wikipedia.org/wiki/Electric_Entertainment"/>
    <hyperlink ref="B18" r:id="rId14" tooltip="Alone in Berlin (film)" display="https://en.wikipedia.org/wiki/Alone_in_Berlin_(film)"/>
    <hyperlink ref="C18" r:id="rId15" tooltip="IFC Films" display="https://en.wikipedia.org/wiki/IFC_Films"/>
    <hyperlink ref="B210" r:id="rId16" tooltip="Split (2016 American film)" display="https://en.wikipedia.org/wiki/Split_(2016_American_film)"/>
    <hyperlink ref="B173" r:id="rId17" tooltip="XXx: Return of Xander Cage" display="https://en.wikipedia.org/wiki/XXx:_Return_of_Xander_Cage"/>
    <hyperlink ref="F173" r:id="rId18" tooltip="Dominican Republic" display="https://en.wikipedia.org/wiki/Dominican_Republic"/>
    <hyperlink ref="B154" r:id="rId19" tooltip="The Resurrection of Gavin Stone" display="https://en.wikipedia.org/wiki/The_Resurrection_of_Gavin_Stone"/>
    <hyperlink ref="B161" r:id="rId20" tooltip="Trespass Against Us" display="https://en.wikipedia.org/wiki/Trespass_Against_Us"/>
    <hyperlink ref="C161" r:id="rId21" tooltip="A24 (company)" display="https://en.wikipedia.org/wiki/A24_(company)"/>
    <hyperlink ref="B46" r:id="rId22" tooltip="Detour (2016 film)" display="https://en.wikipedia.org/wiki/Detour_(2016_film)"/>
    <hyperlink ref="C46" r:id="rId23" tooltip="Magnolia Pictures" display="https://en.wikipedia.org/wiki/Magnolia_Pictures"/>
    <hyperlink ref="F46" r:id="rId24" tooltip="South Africa" display="https://en.wikipedia.org/wiki/South_Africa"/>
    <hyperlink ref="B153" r:id="rId25" tooltip="The Red Turtle" display="https://en.wikipedia.org/wiki/The_Red_Turtle"/>
    <hyperlink ref="C153" r:id="rId26" tooltip="Sony Pictures Classics" display="https://en.wikipedia.org/wiki/Sony_Pictures_Classics"/>
    <hyperlink ref="D153" r:id="rId27" tooltip="Michaël Dudok de Wit" display="https://en.wikipedia.org/wiki/Micha%C3%ABl_Dudok_de_Wit"/>
    <hyperlink ref="B127" r:id="rId28" tooltip="The Big Sick" display="https://en.wikipedia.org/wiki/The_Big_Sick"/>
    <hyperlink ref="C127" r:id="rId29" tooltip="Lionsgate" display="https://en.wikipedia.org/wiki/Lionsgate"/>
    <hyperlink ref="B226" r:id="rId30" tooltip="Get Out" display="https://en.wikipedia.org/wiki/Get_Out"/>
    <hyperlink ref="C226" r:id="rId31" tooltip="Universal Pictures" display="https://en.wikipedia.org/wiki/Universal_Pictures"/>
    <hyperlink ref="B209" r:id="rId32" tooltip="Sophie and the Rising Sun (film)" display="https://en.wikipedia.org/wiki/Sophie_and_the_Rising_Sun_(film)"/>
    <hyperlink ref="B219" r:id="rId33" tooltip="A Dog's Purpose (film)" display="https://en.wikipedia.org/wiki/A_Dog%27s_Purpose_(film)"/>
    <hyperlink ref="B112" r:id="rId34" tooltip="Resident Evil: The Final Chapter" display="https://en.wikipedia.org/wiki/Resident_Evil:_The_Final_Chapter"/>
    <hyperlink ref="B86" r:id="rId35" tooltip="Lost in Florence" display="https://en.wikipedia.org/wiki/Lost_in_Florence"/>
    <hyperlink ref="C86" r:id="rId36" tooltip="Orion Pictures" display="https://en.wikipedia.org/wiki/Orion_Pictures"/>
    <hyperlink ref="F86" r:id="rId37" tooltip="Italy" display="https://en.wikipedia.org/wiki/Italy"/>
    <hyperlink ref="B68" r:id="rId38" tooltip="I Am Michael" display="https://en.wikipedia.org/wiki/I_Am_Michael"/>
    <hyperlink ref="C68" r:id="rId39" tooltip="Brainstorm Media" display="https://en.wikipedia.org/wiki/Brainstorm_Media"/>
    <hyperlink ref="B72" r:id="rId40" tooltip="IBoy" display="https://en.wikipedia.org/wiki/IBoy"/>
    <hyperlink ref="C72" r:id="rId41" tooltip="Netflix" display="https://en.wikipedia.org/wiki/Netflix"/>
    <hyperlink ref="B262" r:id="rId42" tooltip="The Lego Batman Movie" display="https://en.wikipedia.org/wiki/The_Lego_Batman_Movie"/>
    <hyperlink ref="F262" r:id="rId43" tooltip="Denmark" display="https://en.wikipedia.org/wiki/Denmark"/>
    <hyperlink ref="B244" r:id="rId44" tooltip="Rings (2017 film)" display="https://en.wikipedia.org/wiki/Rings_(2017_film)"/>
    <hyperlink ref="C244" r:id="rId45" tooltip="Paramount Pictures" display="https://en.wikipedia.org/wiki/Paramount_Pictures"/>
    <hyperlink ref="B156" r:id="rId46" tooltip="The Space Between Us (film)" display="https://en.wikipedia.org/wiki/The_Space_Between_Us_(film)"/>
    <hyperlink ref="B175" r:id="rId47" tooltip="Youth in Oregon" display="https://en.wikipedia.org/wiki/Youth_in_Oregon"/>
    <hyperlink ref="B167" r:id="rId48" tooltip="War on Everyone" display="https://en.wikipedia.org/wiki/War_on_Everyone"/>
    <hyperlink ref="C167" r:id="rId49" tooltip="Saban Capital Group" display="https://en.wikipedia.org/wiki/Saban_Capital_Group"/>
    <hyperlink ref="F167" r:id="rId50" tooltip="Ireland" display="https://en.wikipedia.org/wiki/Ireland"/>
    <hyperlink ref="B69" r:id="rId51" tooltip="I Am Not Your Negro" display="https://en.wikipedia.org/wiki/I_Am_Not_Your_Negro"/>
    <hyperlink ref="B48" r:id="rId52" tooltip="Don't Knock Twice (film)" display="https://en.wikipedia.org/wiki/Don%27t_Knock_Twice_(film)"/>
    <hyperlink ref="C48" r:id="rId53" tooltip="IFC Films" display="https://en.wikipedia.org/wiki/IFC_Films"/>
    <hyperlink ref="B63" r:id="rId54" tooltip="Growing Up Smith" display="https://en.wikipedia.org/wiki/Growing_Up_Smith"/>
    <hyperlink ref="B237" r:id="rId55" tooltip="Fifty Shades Darker (film)" display="https://en.wikipedia.org/wiki/Fifty_Shades_Darker_(film)"/>
    <hyperlink ref="C237" r:id="rId56" tooltip="Universal Pictures" display="https://en.wikipedia.org/wiki/Universal_Pictures"/>
    <hyperlink ref="B265" r:id="rId57" tooltip="John Wick: Chapter 2" display="https://en.wikipedia.org/wiki/John_Wick:_Chapter_2"/>
    <hyperlink ref="C265" r:id="rId58" tooltip="Summit Entertainment" display="https://en.wikipedia.org/wiki/Summit_Entertainment"/>
    <hyperlink ref="B12" r:id="rId59" tooltip="A United Kingdom" display="https://en.wikipedia.org/wiki/A_United_Kingdom"/>
    <hyperlink ref="C12" r:id="rId60" tooltip="Fox Searchlight Pictures" display="https://en.wikipedia.org/wiki/Fox_Searchlight_Pictures"/>
    <hyperlink ref="F12" r:id="rId61" tooltip="Czech Republic" display="https://en.wikipedia.org/wiki/Czech_Republic"/>
    <hyperlink ref="B77" r:id="rId62" tooltip="Kedi (2016 film)" display="https://en.wikipedia.org/wiki/Kedi_(2016_film)"/>
    <hyperlink ref="C77" r:id="rId63" tooltip="Oscilloscope Laboratories" display="https://en.wikipedia.org/wiki/Oscilloscope_Laboratories"/>
    <hyperlink ref="F77" r:id="rId64" tooltip="Turkey" display="https://en.wikipedia.org/wiki/Turkey"/>
    <hyperlink ref="B140" r:id="rId65" tooltip="The Great Wall (film)" display="https://en.wikipedia.org/wiki/The_Great_Wall_(film)"/>
    <hyperlink ref="B10" r:id="rId66" tooltip="A Cure for Wellness" display="https://en.wikipedia.org/wiki/A_Cure_for_Wellness"/>
    <hyperlink ref="B54" r:id="rId67" tooltip="Fist Fight" display="https://en.wikipedia.org/wiki/Fist_Fight"/>
    <hyperlink ref="B19" r:id="rId68" tooltip="American Fable" display="https://en.wikipedia.org/wiki/American_Fable"/>
    <hyperlink ref="C19" r:id="rId69" tooltip="IFC Films" display="https://en.wikipedia.org/wiki/IFC_Films"/>
    <hyperlink ref="B172" r:id="rId70" tooltip="XX (film)" display="https://en.wikipedia.org/wiki/XX_(film)"/>
    <hyperlink ref="C172" r:id="rId71" tooltip="Magnet Releasing" display="https://en.wikipedia.org/wiki/Magnet_Releasing"/>
    <hyperlink ref="B50" r:id="rId72" tooltip="Everybody Loves Somebody (film)" display="https://en.wikipedia.org/wiki/Everybody_Loves_Somebody_(film)"/>
    <hyperlink ref="C50" r:id="rId73" tooltip="Pantelion Films" display="https://en.wikipedia.org/wiki/Pantelion_Films"/>
    <hyperlink ref="B80" r:id="rId74" tooltip="Land of Mine" display="https://en.wikipedia.org/wiki/Land_of_Mine"/>
    <hyperlink ref="C80" r:id="rId75" tooltip="Sony Pictures Classics" display="https://en.wikipedia.org/wiki/Sony_Pictures_Classics"/>
    <hyperlink ref="B84" r:id="rId76" tooltip="Logan (film)" display="https://en.wikipedia.org/wiki/Logan_(film)"/>
    <hyperlink ref="B87" r:id="rId77" tooltip="Lovesong" display="https://en.wikipedia.org/wiki/Lovesong"/>
    <hyperlink ref="C87" r:id="rId78" tooltip="Strand Releasing" display="https://en.wikipedia.org/wiki/Strand_Releasing"/>
    <hyperlink ref="B270" r:id="rId79" tooltip="Beauty and the Beast (2017 film)" display="https://en.wikipedia.org/wiki/Beauty_and_the_Beast_(2017_film)"/>
    <hyperlink ref="C270" r:id="rId80" tooltip="Walt Disney Pictures" display="https://en.wikipedia.org/wiki/Walt_Disney_Pictures"/>
    <hyperlink ref="B247" r:id="rId81" tooltip="Collide (film)" display="https://en.wikipedia.org/wiki/Collide_(film)"/>
    <hyperlink ref="C247" r:id="rId82" tooltip="Open Road Films" display="https://en.wikipedia.org/wiki/Open_Road_Films"/>
    <hyperlink ref="B137" r:id="rId83" tooltip="The Girl with All the Gifts (film)" display="https://en.wikipedia.org/wiki/The_Girl_with_All_the_Gifts_(film)"/>
    <hyperlink ref="B70" r:id="rId84" tooltip="I Don't Feel at Home in This World Anymore" display="https://en.wikipedia.org/wiki/I_Don%27t_Feel_at_Home_in_This_World_Anymore"/>
    <hyperlink ref="B29" r:id="rId85" tooltip="Bitter Harvest (2017 film)" display="https://en.wikipedia.org/wiki/Bitter_Harvest_(2017_film)"/>
    <hyperlink ref="C29" r:id="rId86" tooltip="Roadside Attractions" display="https://en.wikipedia.org/wiki/Roadside_Attractions"/>
    <hyperlink ref="B225" r:id="rId87" tooltip="Kong: Skull Island" display="https://en.wikipedia.org/wiki/Kong:_Skull_Island"/>
    <hyperlink ref="B185" r:id="rId88" tooltip="The Shack (2017 film)" display="https://en.wikipedia.org/wiki/The_Shack_(2017_film)"/>
    <hyperlink ref="C185" r:id="rId89" tooltip="Summit Entertainment" display="https://en.wikipedia.org/wiki/Summit_Entertainment"/>
    <hyperlink ref="B27" r:id="rId90" tooltip="Before I Fall (film)" display="https://en.wikipedia.org/wiki/Before_I_Fall_(film)"/>
    <hyperlink ref="C27" r:id="rId91" tooltip="Open Road Films" display="https://en.wikipedia.org/wiki/Open_Road_Films"/>
    <hyperlink ref="B125" r:id="rId92" tooltip="Table 19" display="https://en.wikipedia.org/wiki/Table_19"/>
    <hyperlink ref="C125" r:id="rId93" tooltip="Fox Searchlight Pictures" display="https://en.wikipedia.org/wiki/Fox_Searchlight_Pictures"/>
    <hyperlink ref="B143" r:id="rId94" tooltip="The Last Word (2017 film)" display="https://en.wikipedia.org/wiki/The_Last_Word_(2017_film)"/>
    <hyperlink ref="C143" r:id="rId95" tooltip="Bleecker Street (company)" display="https://en.wikipedia.org/wiki/Bleecker_Street_(company)"/>
    <hyperlink ref="B38" r:id="rId96" tooltip="Catfight (film)" display="https://en.wikipedia.org/wiki/Catfight_(film)"/>
    <hyperlink ref="C38" r:id="rId97" tooltip="Dark Sky Films" display="https://en.wikipedia.org/wiki/Dark_Sky_Films"/>
    <hyperlink ref="B49" r:id="rId98" tooltip="Donald Cried" display="https://en.wikipedia.org/wiki/Donald_Cried"/>
    <hyperlink ref="C49" r:id="rId99" tooltip="The Orchard (company)" display="https://en.wikipedia.org/wiki/The_Orchard_(company)"/>
    <hyperlink ref="B179" r:id="rId100" tooltip="Sword Art Online The Movie: Ordinal Scale" display="https://en.wikipedia.org/wiki/Sword_Art_Online_The_Movie:_Ordinal_Scale"/>
    <hyperlink ref="C179" r:id="rId101" tooltip="A-1 Pictures" display="https://en.wikipedia.org/wiki/A-1_Pictures"/>
    <hyperlink ref="B192" r:id="rId102" tooltip="The Sense of an Ending (film)" display="https://en.wikipedia.org/wiki/The_Sense_of_an_Ending_(film)"/>
    <hyperlink ref="B111" r:id="rId103" tooltip="Raw (film)" display="https://en.wikipedia.org/wiki/Raw_(film)"/>
    <hyperlink ref="C111" r:id="rId104" tooltip="Focus Features" display="https://en.wikipedia.org/wiki/Focus_Features"/>
    <hyperlink ref="B107" r:id="rId105" tooltip="Personal Shopper" display="https://en.wikipedia.org/wiki/Personal_Shopper"/>
    <hyperlink ref="C107" r:id="rId106" tooltip="IFC Films" display="https://en.wikipedia.org/wiki/IFC_Films"/>
    <hyperlink ref="B37" r:id="rId107" tooltip="Burning Sands (2017 film)" display="https://en.wikipedia.org/wiki/Burning_Sands_(2017_film)"/>
    <hyperlink ref="C37" r:id="rId108" tooltip="Netflix" display="https://en.wikipedia.org/wiki/Netflix"/>
    <hyperlink ref="B248" r:id="rId109" tooltip="Baby Driver" display="https://en.wikipedia.org/wiki/Baby_Driver"/>
    <hyperlink ref="B181" r:id="rId110" tooltip="The Boss Baby" display="https://en.wikipedia.org/wiki/The_Boss_Baby"/>
    <hyperlink ref="B242" r:id="rId111" tooltip="The Belko Experiment" display="https://en.wikipedia.org/wiki/The_Belko_Experiment"/>
    <hyperlink ref="B124" r:id="rId112" tooltip="T2 Trainspotting" display="https://en.wikipedia.org/wiki/T2_Trainspotting"/>
    <hyperlink ref="B119" r:id="rId113" tooltip="Song to Song" display="https://en.wikipedia.org/wiki/Song_to_Song"/>
    <hyperlink ref="C119" r:id="rId114" tooltip="Broad Green Pictures" display="https://en.wikipedia.org/wiki/Broad_Green_Pictures"/>
    <hyperlink ref="B23" r:id="rId115" tooltip="Atomica (film)" display="https://en.wikipedia.org/wiki/Atomica_(film)"/>
    <hyperlink ref="C23" r:id="rId116" tooltip="Syfy" display="https://en.wikipedia.org/wiki/Syfy"/>
    <hyperlink ref="B16" r:id="rId117" tooltip="All Nighter (film)" display="https://en.wikipedia.org/wiki/All_Nighter_(film)"/>
    <hyperlink ref="B252" r:id="rId118" tooltip="Power Rangers (film)" display="https://en.wikipedia.org/wiki/Power_Rangers_(film)"/>
    <hyperlink ref="B259" r:id="rId119" tooltip="Life (2017 film)" display="https://en.wikipedia.org/wiki/Life_(2017_film)"/>
    <hyperlink ref="B39" r:id="rId120" tooltip="CHiPs (film)" display="https://en.wikipedia.org/wiki/CHiPs_(film)"/>
    <hyperlink ref="B168" r:id="rId121" tooltip="Wilson (2017 film)" display="https://en.wikipedia.org/wiki/Wilson_(2017_film)"/>
    <hyperlink ref="C168" r:id="rId122" tooltip="Fox Searchlight Pictures" display="https://en.wikipedia.org/wiki/Fox_Searchlight_Pictures"/>
    <hyperlink ref="B190" r:id="rId123" tooltip="Ghost in the Shell (2017 film)" display="https://en.wikipedia.org/wiki/Ghost_in_the_Shell_(2017_film)"/>
    <hyperlink ref="B160" r:id="rId124" tooltip="The Zookeeper's Wife (film)" display="https://en.wikipedia.org/wiki/The_Zookeeper%27s_Wife_(film)"/>
    <hyperlink ref="C160" r:id="rId125" tooltip="Focus Features" display="https://en.wikipedia.org/wiki/Focus_Features"/>
    <hyperlink ref="B128" r:id="rId126" tooltip="The Blackcoat's Daughter" display="https://en.wikipedia.org/wiki/The_Blackcoat%27s_Daughter"/>
    <hyperlink ref="C128" r:id="rId127" tooltip="A24 (company)" display="https://en.wikipedia.org/wiki/A24_(company)"/>
    <hyperlink ref="F128" r:id="rId128" tooltip="Canada" display="https://en.wikipedia.org/wiki/Canada"/>
    <hyperlink ref="B133" r:id="rId129" tooltip="The Discovery (film)" display="https://en.wikipedia.org/wiki/The_Discovery_(film)"/>
    <hyperlink ref="C133" r:id="rId130" tooltip="Netflix" display="https://en.wikipedia.org/wiki/Netflix"/>
    <hyperlink ref="B245" r:id="rId131" tooltip="The Fate of the Furious" display="https://en.wikipedia.org/wiki/The_Fate_of_the_Furious"/>
    <hyperlink ref="B222" r:id="rId132" tooltip="Smurfs: The Lost Village" display="https://en.wikipedia.org/wiki/Smurfs:_The_Lost_Village"/>
    <hyperlink ref="B229" r:id="rId133" tooltip="The Case for Christ" display="https://en.wikipedia.org/wiki/The_Case_for_Christ"/>
    <hyperlink ref="C229" r:id="rId134" tooltip="Pure Flix Entertainment" display="https://en.wikipedia.org/wiki/Pure_Flix_Entertainment"/>
    <hyperlink ref="B60" r:id="rId135" tooltip="Going in Style (2017 film)" display="https://en.wikipedia.org/wiki/Going_in_Style_(2017_film)"/>
    <hyperlink ref="B42" r:id="rId136" tooltip="Colossal (film)" display="https://en.wikipedia.org/wiki/Colossal_(film)"/>
    <hyperlink ref="C42" r:id="rId137" tooltip="Neon (distributor) (page does not exist)" display="https://en.wikipedia.org/w/index.php?title=Neon_(distributor)&amp;action=edit&amp;redlink=1"/>
    <hyperlink ref="B58" r:id="rId138" tooltip="Gifted (film)" display="https://en.wikipedia.org/wiki/Gifted_(film)"/>
    <hyperlink ref="B13" r:id="rId139" tooltip="Aftermath (2017 film)" display="https://en.wikipedia.org/wiki/Aftermath_(2017_film)"/>
    <hyperlink ref="C13" r:id="rId140" tooltip="Lionsgate Premiere" display="https://en.wikipedia.org/wiki/Lionsgate_Premiere"/>
    <hyperlink ref="B174" r:id="rId141" tooltip="Your Name" display="https://en.wikipedia.org/wiki/Your_Name"/>
    <hyperlink ref="C174" r:id="rId142" tooltip="Funimation" display="https://en.wikipedia.org/wiki/Funimation"/>
    <hyperlink ref="D174" r:id="rId143" tooltip="Makoto Shinkai" display="https://en.wikipedia.org/wiki/Makoto_Shinkai"/>
    <hyperlink ref="B235" r:id="rId144" tooltip="Guardians of the Galaxy Vol. 2" display="https://en.wikipedia.org/wiki/Guardians_of_the_Galaxy_Vol._2"/>
    <hyperlink ref="C235" r:id="rId145" tooltip="Marvel Studios" display="https://en.wikipedia.org/wiki/Marvel_Studios"/>
    <hyperlink ref="B120" r:id="rId146" tooltip="Spark (2016 film)" display="https://en.wikipedia.org/wiki/Spark_(2016_film)"/>
    <hyperlink ref="F120" r:id="rId147" tooltip="South Korea" display="https://en.wikipedia.org/wiki/South_Korea"/>
    <hyperlink ref="B145" r:id="rId148" tooltip="The Lost City of Z (film)" display="https://en.wikipedia.org/wiki/The_Lost_City_of_Z_(film)"/>
    <hyperlink ref="C145" r:id="rId149" tooltip="Plan B Entertainment" display="https://en.wikipedia.org/wiki/Plan_B_Entertainment"/>
    <hyperlink ref="B98" r:id="rId150" tooltip="My Entire High School Sinking Into the Sea" display="https://en.wikipedia.org/wiki/My_Entire_High_School_Sinking_Into_the_Sea"/>
    <hyperlink ref="C98" r:id="rId151" tooltip="GKIDS" display="https://en.wikipedia.org/wiki/GKIDS"/>
    <hyperlink ref="B150" r:id="rId152" tooltip="The Outcasts (2017 film)" display="https://en.wikipedia.org/wiki/The_Outcasts_(2017_film)"/>
    <hyperlink ref="B100" r:id="rId153" tooltip="Norman: The Moderate Rise and Tragic Fall of a New York Fixer" display="https://en.wikipedia.org/wiki/Norman:_The_Moderate_Rise_and_Tragic_Fall_of_a_New_York_Fixer"/>
    <hyperlink ref="C100" r:id="rId154" tooltip="Sony Pictures Classics" display="https://en.wikipedia.org/wiki/Sony_Pictures_Classics"/>
    <hyperlink ref="B11" r:id="rId155" tooltip="A Quiet Passion" display="https://en.wikipedia.org/wiki/A_Quiet_Passion"/>
    <hyperlink ref="C11" r:id="rId156" tooltip="Music Box Films" display="https://en.wikipedia.org/wiki/Music_Box_Films"/>
    <hyperlink ref="B216" r:id="rId157" tooltip="Born in China" display="https://en.wikipedia.org/wiki/Born_in_China"/>
    <hyperlink ref="C216" r:id="rId158" tooltip="Disneynature" display="https://en.wikipedia.org/wiki/Disneynature"/>
    <hyperlink ref="B162" r:id="rId159" tooltip="Unforgettable (2017 film)" display="https://en.wikipedia.org/wiki/Unforgettable_(2017_film)"/>
    <hyperlink ref="B56" r:id="rId160" tooltip="Free Fire" display="https://en.wikipedia.org/wiki/Free_Fire"/>
    <hyperlink ref="C56" r:id="rId161" tooltip="StudioCanal UK" display="https://en.wikipedia.org/wiki/StudioCanal_UK"/>
    <hyperlink ref="B151" r:id="rId162" tooltip="The Promise (2016 American film)" display="https://en.wikipedia.org/wiki/The_Promise_(2016_American_film)"/>
    <hyperlink ref="C151" r:id="rId163" tooltip="Open Road Films" display="https://en.wikipedia.org/wiki/Open_Road_Films"/>
    <hyperlink ref="F151" r:id="rId164" tooltip="Spain" display="https://en.wikipedia.org/wiki/Spain"/>
    <hyperlink ref="B108" r:id="rId165" tooltip="Phoenix Forgotten" display="https://en.wikipedia.org/wiki/Phoenix_Forgotten"/>
    <hyperlink ref="C108" r:id="rId166" tooltip="Cinelou Films" display="https://en.wikipedia.org/wiki/Cinelou_Films"/>
    <hyperlink ref="B234" r:id="rId167" tooltip="The Circle (2017 film)" display="https://en.wikipedia.org/wiki/The_Circle_(2017_film)"/>
    <hyperlink ref="B67" r:id="rId168" tooltip="How to Be a Latin Lover" display="https://en.wikipedia.org/wiki/How_to_Be_a_Latin_Lover"/>
    <hyperlink ref="C67" r:id="rId169" tooltip="Pantelion Films" display="https://en.wikipedia.org/wiki/Pantelion_Films"/>
    <hyperlink ref="B24" r:id="rId170" tooltip="Baahubali 2: The Conclusion" display="https://en.wikipedia.org/wiki/Baahubali_2:_The_Conclusion"/>
    <hyperlink ref="C24" r:id="rId171" tooltip="Arka Media Works" display="https://en.wikipedia.org/wiki/Arka_Media_Works"/>
    <hyperlink ref="B117" r:id="rId172" tooltip="Sleight" display="https://en.wikipedia.org/wiki/Sleight"/>
    <hyperlink ref="B193" r:id="rId173" tooltip="Alien: Covenant" display="https://en.wikipedia.org/wiki/Alien:_Covenant"/>
    <hyperlink ref="B202" r:id="rId174" tooltip="Dangal (film)" display="https://en.wikipedia.org/wiki/Dangal_(film)"/>
    <hyperlink ref="B146" r:id="rId175" tooltip="The Lovers (2017 film)" display="https://en.wikipedia.org/wiki/The_Lovers_(2017_film)"/>
    <hyperlink ref="C146" r:id="rId176" tooltip="A24 (company)" display="https://en.wikipedia.org/wiki/A24_(company)"/>
    <hyperlink ref="B8" r:id="rId177" tooltip="3 Generations (film)" display="https://en.wikipedia.org/wiki/3_Generations_(film)"/>
    <hyperlink ref="C8" r:id="rId178" tooltip="The Weinstein Company" display="https://en.wikipedia.org/wiki/The_Weinstein_Company"/>
    <hyperlink ref="B132" r:id="rId179" tooltip="The Dinner (2017 film)" display="https://en.wikipedia.org/wiki/The_Dinner_(2017_film)"/>
    <hyperlink ref="C132" r:id="rId180" tooltip="The Orchard (company)" display="https://en.wikipedia.org/wiki/The_Orchard_(company)"/>
    <hyperlink ref="B231" r:id="rId181" tooltip="Pirates of the Caribbean: Dead Men Tell No Tales" display="https://en.wikipedia.org/wiki/Pirates_of_the_Caribbean:_Dead_Men_Tell_No_Tales"/>
    <hyperlink ref="B241" r:id="rId182" tooltip="King Arthur: Legend of the Sword" display="https://en.wikipedia.org/wiki/King_Arthur:_Legend_of_the_Sword"/>
    <hyperlink ref="F241" r:id="rId183" tooltip="Australia" display="https://en.wikipedia.org/wiki/Australia"/>
    <hyperlink ref="B118" r:id="rId184" tooltip="Snatched (2017 film)" display="https://en.wikipedia.org/wiki/Snatched_(2017_film)"/>
    <hyperlink ref="B89" r:id="rId185" tooltip="Lowriders (film)" display="https://en.wikipedia.org/wiki/Lowriders_(film)"/>
    <hyperlink ref="B158" r:id="rId186" tooltip="The Wall (2017 film)" display="https://en.wikipedia.org/wiki/The_Wall_(2017_film)"/>
    <hyperlink ref="C158" r:id="rId187" tooltip="Roadside Attractions" display="https://en.wikipedia.org/wiki/Roadside_Attractions"/>
    <hyperlink ref="B104" r:id="rId188" tooltip="Paris Can Wait" display="https://en.wikipedia.org/wiki/Paris_Can_Wait"/>
    <hyperlink ref="C104" r:id="rId189" tooltip="Sony Pictures Classics" display="https://en.wikipedia.org/wiki/Sony_Pictures_Classics"/>
    <hyperlink ref="B159" r:id="rId190" tooltip="The Wedding Plan" display="https://en.wikipedia.org/wiki/The_Wedding_Plan"/>
    <hyperlink ref="C159" r:id="rId191" tooltip="Roadside Attractions" display="https://en.wikipedia.org/wiki/Roadside_Attractions"/>
    <hyperlink ref="D159" r:id="rId192" tooltip="Rama Burshtein" display="https://en.wikipedia.org/wiki/Rama_Burshtein"/>
    <hyperlink ref="B189" r:id="rId193" tooltip="Baywatch (film)" display="https://en.wikipedia.org/wiki/Baywatch_(film)"/>
    <hyperlink ref="B200" r:id="rId194" tooltip="Wonder Woman (2017 film)" display="https://en.wikipedia.org/wiki/Wonder_Woman_(2017_film)"/>
    <hyperlink ref="B182" r:id="rId195" tooltip="Wonderstruck (film)" display="https://en.wikipedia.org/wiki/Wonderstruck_(film)"/>
    <hyperlink ref="B258" r:id="rId196" tooltip="Diary of a Wimpy Kid: The Long Haul (film)" display="https://en.wikipedia.org/wiki/Diary_of_a_Wimpy_Kid:_The_Long_Haul_(film)"/>
    <hyperlink ref="C258" r:id="rId197" tooltip="20th Century Fox" display="https://en.wikipedia.org/wiki/20th_Century_Fox"/>
    <hyperlink ref="B51" r:id="rId198" tooltip="Everything, Everything (film)" display="https://en.wikipedia.org/wiki/Everything,_Everything_(film)"/>
    <hyperlink ref="B165" r:id="rId199" tooltip="Wakefield (film)" display="https://en.wikipedia.org/wiki/Wakefield_(film)"/>
    <hyperlink ref="C165" r:id="rId200" tooltip="IFC Films" display="https://en.wikipedia.org/wiki/IFC_Films"/>
    <hyperlink ref="B253" r:id="rId201" tooltip="Captain Underpants: The First Epic Movie" display="https://en.wikipedia.org/wiki/Captain_Underpants:_The_First_Epic_Movie"/>
    <hyperlink ref="B275" r:id="rId202" tooltip="The Mummy (2017 film)" display="https://en.wikipedia.org/wiki/The_Mummy_(2017_film)"/>
    <hyperlink ref="B268" r:id="rId203" tooltip="Cars 3" display="https://en.wikipedia.org/wiki/Cars_3"/>
    <hyperlink ref="B212" r:id="rId204" tooltip="Buena Vista Social Club: Adios" display="https://en.wikipedia.org/wiki/Buena_Vista_Social_Club:_Adios"/>
    <hyperlink ref="C212" r:id="rId205" tooltip="Broad Green Pictures" display="https://en.wikipedia.org/wiki/Broad_Green_Pictures"/>
    <hyperlink ref="D212" r:id="rId206" tooltip="Lucy Walker (director)" display="https://en.wikipedia.org/wiki/Lucy_Walker_(director)"/>
    <hyperlink ref="B166" r:id="rId207" tooltip="War Machine (film)" display="https://en.wikipedia.org/wiki/War_Machine_(film)"/>
    <hyperlink ref="B251" r:id="rId208" tooltip="Dean (film)" display="https://en.wikipedia.org/wiki/Dean_(film)"/>
    <hyperlink ref="B152" r:id="rId209" tooltip="The Recall" display="https://en.wikipedia.org/wiki/The_Recall"/>
    <hyperlink ref="B40" r:id="rId210" tooltip="Churchill (film)" display="https://en.wikipedia.org/wiki/Churchill_(film)"/>
    <hyperlink ref="B178" r:id="rId211" tooltip="It Comes at Night" display="https://en.wikipedia.org/wiki/It_Comes_at_Night"/>
    <hyperlink ref="C178" r:id="rId212" tooltip="A24 (company)" display="https://en.wikipedia.org/wiki/A24_(company)"/>
    <hyperlink ref="B97" r:id="rId213" tooltip="My Cousin Rachel (2017 film)" display="https://en.wikipedia.org/wiki/My_Cousin_Rachel_(2017_film)"/>
    <hyperlink ref="C97" r:id="rId214" tooltip="Fox Searchlight Pictures" display="https://en.wikipedia.org/wiki/Fox_Searchlight_Pictures"/>
    <hyperlink ref="B92" r:id="rId215" tooltip="Megan Leavey (film)" display="https://en.wikipedia.org/wiki/Megan_Leavey_(film)"/>
    <hyperlink ref="C92" r:id="rId216" tooltip="Bleecker Street (company)" display="https://en.wikipedia.org/wiki/Bleecker_Street_(company)"/>
    <hyperlink ref="B26" r:id="rId217" tooltip="Beatriz at Dinner" display="https://en.wikipedia.org/wiki/Beatriz_at_Dinner"/>
    <hyperlink ref="C26" r:id="rId218" tooltip="Roadside Attractions" display="https://en.wikipedia.org/wiki/Roadside_Attractions"/>
    <hyperlink ref="B197" r:id="rId219" tooltip="Despicable Me 3" display="https://en.wikipedia.org/wiki/Despicable_Me_3"/>
    <hyperlink ref="B213" r:id="rId220" tooltip="Rough Night" display="https://en.wikipedia.org/wiki/Rough_Night"/>
    <hyperlink ref="C213" r:id="rId221" tooltip="Columbia Pictures" display="https://en.wikipedia.org/wiki/Columbia_Pictures"/>
    <hyperlink ref="B14" r:id="rId222" tooltip="All Eyez on Me (film)" display="https://en.wikipedia.org/wiki/All_Eyez_on_Me_(film)"/>
    <hyperlink ref="B9" r:id="rId223" tooltip="47 Meters Down" display="https://en.wikipedia.org/wiki/47_Meters_Down"/>
    <hyperlink ref="C9" r:id="rId224" tooltip="Entertainment Studios" display="https://en.wikipedia.org/wiki/Entertainment_Studios"/>
    <hyperlink ref="B129" r:id="rId225" tooltip="The Book of Henry" display="https://en.wikipedia.org/wiki/The_Book_of_Henry"/>
    <hyperlink ref="C129" r:id="rId226" tooltip="Focus Features" display="https://en.wikipedia.org/wiki/Focus_Features"/>
    <hyperlink ref="B205" r:id="rId227" tooltip="Transformers: The Last Knight" display="https://en.wikipedia.org/wiki/Transformers:_The_Last_Knight"/>
    <hyperlink ref="C205" r:id="rId228" tooltip="Paramount Pictures" display="https://en.wikipedia.org/wiki/Paramount_Pictures"/>
    <hyperlink ref="B188" r:id="rId229" tooltip="The Beguiled (2017 film)" display="https://en.wikipedia.org/wiki/The_Beguiled_(2017_film)"/>
    <hyperlink ref="C188" r:id="rId230" tooltip="Focus Features" display="https://en.wikipedia.org/wiki/Focus_Features"/>
    <hyperlink ref="B126" r:id="rId231" tooltip="The Bad Batch" display="https://en.wikipedia.org/wiki/The_Bad_Batch"/>
    <hyperlink ref="C126" r:id="rId232" tooltip="Neon (distributor) (page does not exist)" display="https://en.wikipedia.org/w/index.php?title=Neon_(distributor)&amp;action=edit&amp;redlink=1"/>
    <hyperlink ref="B269" r:id="rId233" tooltip="Okja" display="https://en.wikipedia.org/wiki/Okja"/>
    <hyperlink ref="B121" r:id="rId234" tooltip="Spider-Man: Homecoming" display="https://en.wikipedia.org/wiki/Spider-Man:_Homecoming"/>
    <hyperlink ref="B272" r:id="rId235" tooltip="The House (2017 film)" display="https://en.wikipedia.org/wiki/The_House_(2017_film)"/>
    <hyperlink ref="B144" r:id="rId236" tooltip="The Little Hours" display="https://en.wikipedia.org/wiki/The_Little_Hours"/>
    <hyperlink ref="C144" r:id="rId237" tooltip="Gunpowder &amp; Sky" display="https://en.wikipedia.org/wiki/Gunpowder_%26_Sky"/>
    <hyperlink ref="B73" r:id="rId238" tooltip="Inconceivable (2017 film)" display="https://en.wikipedia.org/wiki/Inconceivable_(2017_film)"/>
    <hyperlink ref="C73" r:id="rId239" tooltip="Lionsgate Premiere" display="https://en.wikipedia.org/wiki/Lionsgate_Premiere"/>
    <hyperlink ref="B6" r:id="rId240" tooltip="2:22 (2017 film)" display="https://en.wikipedia.org/wiki/2:22_(2017_film)"/>
    <hyperlink ref="C6" r:id="rId241" tooltip="Magnolia Pictures" display="https://en.wikipedia.org/wiki/Magnolia_Pictures"/>
    <hyperlink ref="B254" r:id="rId242" tooltip="A Ghost Story" display="https://en.wikipedia.org/wiki/A_Ghost_Story"/>
    <hyperlink ref="C254" r:id="rId243" tooltip="A24 (company)" display="https://en.wikipedia.org/wiki/A24_(company)"/>
    <hyperlink ref="B207" r:id="rId244" tooltip="War for the Planet of the Apes" display="https://en.wikipedia.org/wiki/War_for_the_Planet_of_the_Apes"/>
    <hyperlink ref="B260" r:id="rId245" tooltip="Dunkirk (2017 film)" display="https://en.wikipedia.org/wiki/Dunkirk_(2017_film)"/>
    <hyperlink ref="B230" r:id="rId246" tooltip="Wish Upon" display="https://en.wikipedia.org/wiki/Wish_Upon"/>
    <hyperlink ref="B79" r:id="rId247" tooltip="Lady Macbeth (film)" display="https://en.wikipedia.org/wiki/Lady_Macbeth_(film)"/>
    <hyperlink ref="C79" r:id="rId248" tooltip="Roadside Attractions" display="https://en.wikipedia.org/wiki/Roadside_Attractions"/>
    <hyperlink ref="B215" r:id="rId249" tooltip="Valerian and the City of a Thousand Planets" display="https://en.wikipedia.org/wiki/Valerian_and_the_City_of_a_Thousand_Planets"/>
    <hyperlink ref="B59" r:id="rId250" tooltip="Girls Trip" display="https://en.wikipedia.org/wiki/Girls_Trip"/>
    <hyperlink ref="B53" r:id="rId251" tooltip="First Kill (2017 film)" display="https://en.wikipedia.org/wiki/First_Kill_(2017_film)"/>
    <hyperlink ref="C53" r:id="rId252" tooltip="Lionsgate Premiere" display="https://en.wikipedia.org/wiki/Lionsgate_Premiere"/>
    <hyperlink ref="B255" r:id="rId253" tooltip="Atomic Blonde" display="https://en.wikipedia.org/wiki/Atomic_Blonde"/>
    <hyperlink ref="C255" r:id="rId254" tooltip="Focus Features" display="https://en.wikipedia.org/wiki/Focus_Features"/>
    <hyperlink ref="B134" r:id="rId255" tooltip="The Emoji Movie" display="https://en.wikipedia.org/wiki/The_Emoji_Movie"/>
    <hyperlink ref="B20" r:id="rId256" tooltip="An Inconvenient Sequel: Truth to Power" display="https://en.wikipedia.org/wiki/An_Inconvenient_Sequel:_Truth_to_Power"/>
    <hyperlink ref="D20" r:id="rId257" tooltip="Al Gore" display="https://en.wikipedia.org/wiki/Al_Gore"/>
    <hyperlink ref="B47" r:id="rId258" tooltip="Detroit (film)" display="https://en.wikipedia.org/wiki/Detroit_(film)"/>
    <hyperlink ref="C47" r:id="rId259" tooltip="Annapurna Pictures" display="https://en.wikipedia.org/wiki/Annapurna_Pictures"/>
    <hyperlink ref="B36" r:id="rId260" tooltip="Brigsby Bear" display="https://en.wikipedia.org/wiki/Brigsby_Bear"/>
    <hyperlink ref="C36" r:id="rId261" tooltip="Sony Pictures Classics" display="https://en.wikipedia.org/wiki/Sony_Pictures_Classics"/>
    <hyperlink ref="B93" r:id="rId262" tooltip="Menashe (film)" display="https://en.wikipedia.org/wiki/Menashe_(film)"/>
    <hyperlink ref="C93" r:id="rId263" tooltip="A24 (company)" display="https://en.wikipedia.org/wiki/A24_(company)"/>
    <hyperlink ref="B203" r:id="rId264" tooltip="The Dark Tower (2017 film)" display="https://en.wikipedia.org/wiki/The_Dark_Tower_(2017_film)"/>
    <hyperlink ref="B211" r:id="rId265" tooltip="Kidnap (2017 film)" display="https://en.wikipedia.org/wiki/Kidnap_(2017_film)"/>
    <hyperlink ref="B122" r:id="rId266" tooltip="Step (film)" display="https://en.wikipedia.org/wiki/Step_(film)"/>
    <hyperlink ref="C122" r:id="rId267" tooltip="Fox Searchlight Pictures" display="https://en.wikipedia.org/wiki/Fox_Searchlight_Pictures"/>
    <hyperlink ref="D122" r:id="rId268" tooltip="Amanda Lipitz (page does not exist)" display="https://en.wikipedia.org/w/index.php?title=Amanda_Lipitz&amp;action=edit&amp;redlink=1"/>
    <hyperlink ref="B169" r:id="rId269" tooltip="Wind River (film)" display="https://en.wikipedia.org/wiki/Wind_River_(film)"/>
    <hyperlink ref="C169" r:id="rId270" tooltip="The Weinstein Company" display="https://en.wikipedia.org/wiki/The_Weinstein_Company"/>
    <hyperlink ref="B21" r:id="rId271" tooltip="Armed Response (2017 film)" display="https://en.wikipedia.org/wiki/Armed_Response_(2017_film)"/>
    <hyperlink ref="B257" r:id="rId272" tooltip="Annabelle: Creation" display="https://en.wikipedia.org/wiki/Annabelle:_Creation"/>
    <hyperlink ref="B138" r:id="rId273" tooltip="The Glass Castle (film)" display="https://en.wikipedia.org/wiki/The_Glass_Castle_(film)"/>
    <hyperlink ref="C138" r:id="rId274" tooltip="Lionsgate Films" display="https://en.wikipedia.org/wiki/Lionsgate_Films"/>
    <hyperlink ref="B148" r:id="rId275" tooltip="The Nut Job 2: Nutty by Nature" display="https://en.wikipedia.org/wiki/The_Nut_Job_2:_Nutty_by_Nature"/>
    <hyperlink ref="B61" r:id="rId276" tooltip="Good Time (film)" display="https://en.wikipedia.org/wiki/Good_Time_(film)"/>
    <hyperlink ref="C61" r:id="rId277" tooltip="A24 (company)" display="https://en.wikipedia.org/wiki/A24_(company)"/>
    <hyperlink ref="B74" r:id="rId278" tooltip="Ingrid Goes West" display="https://en.wikipedia.org/wiki/Ingrid_Goes_West"/>
    <hyperlink ref="C74" r:id="rId279" tooltip="Neon (distributor) (page does not exist)" display="https://en.wikipedia.org/w/index.php?title=Neon_(distributor)&amp;action=edit&amp;redlink=1"/>
    <hyperlink ref="B149" r:id="rId280" tooltip="The Only Living Boy in New York (film)" display="https://en.wikipedia.org/wiki/The_Only_Living_Boy_in_New_York_(film)"/>
    <hyperlink ref="B201" r:id="rId281" tooltip="The Hitman's Bodyguard" display="https://en.wikipedia.org/wiki/The_Hitman%27s_Bodyguard"/>
    <hyperlink ref="B85" r:id="rId282" tooltip="Logan Lucky" display="https://en.wikipedia.org/wiki/Logan_Lucky"/>
    <hyperlink ref="B105" r:id="rId283" tooltip="Patti Cake$" display="https://en.wikipedia.org/wiki/Patti_Cake$"/>
    <hyperlink ref="C105" r:id="rId284" tooltip="Fox Searchlight Pictures" display="https://en.wikipedia.org/wiki/Fox_Searchlight_Pictures"/>
    <hyperlink ref="B83" r:id="rId285" tooltip="Lemon (2017 film)" display="https://en.wikipedia.org/wiki/Lemon_(2017_film)"/>
    <hyperlink ref="C83" r:id="rId286" tooltip="Magnolia Pictures" display="https://en.wikipedia.org/wiki/Magnolia_Pictures"/>
    <hyperlink ref="B246" r:id="rId287" tooltip="Ballerina (2016 film)" display="https://en.wikipedia.org/wiki/Ballerina_(2016_film)"/>
    <hyperlink ref="C246" r:id="rId288" tooltip="The Weinstein Company" display="https://en.wikipedia.org/wiki/The_Weinstein_Company"/>
    <hyperlink ref="B17" r:id="rId289" tooltip="All Saints (film)" display="https://en.wikipedia.org/wiki/All_Saints_(film)"/>
    <hyperlink ref="C115" r:id="rId290" tooltip="Entertainment Studios" display="https://en.wikipedia.org/wiki/Entertainment_Studios"/>
    <hyperlink ref="B25" r:id="rId291" tooltip="Beach Rats" display="https://en.wikipedia.org/wiki/Beach_Rats"/>
    <hyperlink ref="C25" r:id="rId292" tooltip="Neon (distributor) (page does not exist)" display="https://en.wikipedia.org/w/index.php?title=Neon_(distributor)&amp;action=edit&amp;redlink=1"/>
    <hyperlink ref="B240" r:id="rId293" tooltip="Home Again (2017 film)" display="https://en.wikipedia.org/wiki/Home_Again_(2017_film)"/>
    <hyperlink ref="C240" r:id="rId294" tooltip="Open Road Films" display="https://en.wikipedia.org/wiki/Open_Road_Films"/>
    <hyperlink ref="B274" r:id="rId295" tooltip="Downsizing (film)" display="https://en.wikipedia.org/wiki/Downsizing_(film)"/>
    <hyperlink ref="C274" r:id="rId296" tooltip="Paramount Pictures" display="https://en.wikipedia.org/wiki/Paramount_Pictures"/>
    <hyperlink ref="B223" r:id="rId297" tooltip="Tulip Fever" display="https://en.wikipedia.org/wiki/Tulip_Fever"/>
    <hyperlink ref="C223" r:id="rId298" tooltip="The Weinstein Company" display="https://en.wikipedia.org/wiki/The_Weinstein_Company"/>
    <hyperlink ref="B163" r:id="rId299" tooltip="Unlocked (2017 film)" display="https://en.wikipedia.org/wiki/Unlocked_(2017_film)"/>
    <hyperlink ref="C163" r:id="rId300" tooltip="Lionsgate Premiere" display="https://en.wikipedia.org/wiki/Lionsgate_Premiere"/>
    <hyperlink ref="B52" r:id="rId301" tooltip="Film Stars Don't Die in Liverpool" display="https://en.wikipedia.org/wiki/Film_Stars_Don%27t_Die_in_Liverpool"/>
    <hyperlink ref="B45" r:id="rId302" tooltip="Darkest Hour (film)" display="https://en.wikipedia.org/wiki/Darkest_Hour_(film)"/>
    <hyperlink ref="B78" r:id="rId303" tooltip="Lady Bird (film)" display="https://en.wikipedia.org/wiki/Lady_Bird_(film)"/>
    <hyperlink ref="C78" r:id="rId304" tooltip="A24 (company)" display="https://en.wikipedia.org/wiki/A24_(company)"/>
    <hyperlink ref="B227" r:id="rId305" tooltip="Battle of the Sexes (film)" display="https://en.wikipedia.org/wiki/Battle_of_the_Sexes_(film)"/>
    <hyperlink ref="B208" r:id="rId306" tooltip="Three Billboards Outside Ebbing, Missouri" display="https://en.wikipedia.org/wiki/Three_Billboards_Outside_Ebbing,_Missouri"/>
    <hyperlink ref="C208" r:id="rId307" tooltip="Fox Searchlight Pictures" display="https://en.wikipedia.org/wiki/Fox_Searchlight_Pictures"/>
    <hyperlink ref="B273" r:id="rId308" tooltip="It (2017 film)" display="https://en.wikipedia.org/wiki/It_(2017_film)"/>
    <hyperlink ref="B224" r:id="rId309" tooltip="Los Buscadores" display="https://en.wikipedia.org/wiki/Los_Buscadores"/>
    <hyperlink ref="F224" r:id="rId310" tooltip="Paraguay" display="https://en.wikipedia.org/wiki/Paraguay"/>
    <hyperlink ref="B263" r:id="rId311" tooltip="9/11 (2017 film)" display="https://en.wikipedia.org/wiki/9/11_(2017_film)"/>
    <hyperlink ref="B99" r:id="rId312" tooltip="Napping Princess" display="https://en.wikipedia.org/wiki/Napping_Princess"/>
    <hyperlink ref="C99" r:id="rId313" tooltip="GKIDS" display="https://en.wikipedia.org/wiki/GKIDS"/>
    <hyperlink ref="D99" r:id="rId314" tooltip="Kenji Kamiyama" display="https://en.wikipedia.org/wiki/Kenji_Kamiyama"/>
    <hyperlink ref="B139" r:id="rId315" tooltip="The Good Catholic" display="https://en.wikipedia.org/wiki/The_Good_Catholic"/>
    <hyperlink ref="C139" r:id="rId316" tooltip="Broad Green Pictures" display="https://en.wikipedia.org/wiki/Broad_Green_Pictures"/>
    <hyperlink ref="B64" r:id="rId317" tooltip="Gun Shy (2017 film)" display="https://en.wikipedia.org/wiki/Gun_Shy_(2017_film)"/>
    <hyperlink ref="C64" r:id="rId318" tooltip="Saban Capital Group" display="https://en.wikipedia.org/wiki/Saban_Capital_Group"/>
    <hyperlink ref="B71" r:id="rId319" tooltip="I, Tonya" display="https://en.wikipedia.org/wiki/I,_Tonya"/>
    <hyperlink ref="C71" r:id="rId320" tooltip="Neon (distributor) (page does not exist)" display="https://en.wikipedia.org/w/index.php?title=Neon_(distributor)&amp;action=edit&amp;redlink=1"/>
    <hyperlink ref="B94" r:id="rId321" tooltip="Molly's Game" display="https://en.wikipedia.org/wiki/Molly%27s_Game"/>
    <hyperlink ref="C94" r:id="rId322" tooltip="STX Entertainment" display="https://en.wikipedia.org/wiki/STX_Entertainment"/>
    <hyperlink ref="B204" r:id="rId323" tooltip="American Assassin" display="https://en.wikipedia.org/wiki/American_Assassin"/>
    <hyperlink ref="C204" r:id="rId324" tooltip="CBS Films" display="https://en.wikipedia.org/wiki/CBS_Films"/>
    <hyperlink ref="B95" r:id="rId325" tooltip="Mother!" display="https://en.wikipedia.org/wiki/Mother!"/>
    <hyperlink ref="C95" r:id="rId326" tooltip="Paramount Pictures" display="https://en.wikipedia.org/wiki/Paramount_Pictures"/>
    <hyperlink ref="B32" r:id="rId327" tooltip="Brad's Status" display="https://en.wikipedia.org/wiki/Brad%27s_Status"/>
    <hyperlink ref="C32" r:id="rId328" tooltip="Amazon Studios" display="https://en.wikipedia.org/wiki/Amazon_Studios"/>
    <hyperlink ref="B264" r:id="rId329" tooltip="The Lego Ninjago Movie" display="https://en.wikipedia.org/wiki/The_Lego_Ninjago_Movie"/>
    <hyperlink ref="B206" r:id="rId330" tooltip="Kingsman: The Golden Circle" display="https://en.wikipedia.org/wiki/Kingsman:_The_Golden_Circle"/>
    <hyperlink ref="C206" r:id="rId331" tooltip="20th Century Fox" display="https://en.wikipedia.org/wiki/20th_Century_Fox"/>
    <hyperlink ref="B196" r:id="rId332" tooltip="Marshall (film)" display="https://en.wikipedia.org/wiki/Marshall_(film)"/>
    <hyperlink ref="C196" r:id="rId333" tooltip="Open Road Films" display="https://en.wikipedia.org/wiki/Open_Road_Films"/>
    <hyperlink ref="B62" r:id="rId334" tooltip="Goodbye Christopher Robin" display="https://en.wikipedia.org/wiki/Goodbye_Christopher_Robin"/>
    <hyperlink ref="C62" r:id="rId335" tooltip="Fox Searchlight Pictures" display="https://en.wikipedia.org/wiki/Fox_Searchlight_Pictures"/>
    <hyperlink ref="B256" r:id="rId336" tooltip="Stronger (film)" display="https://en.wikipedia.org/wiki/Stronger_(film)"/>
    <hyperlink ref="B88" r:id="rId337" tooltip="Loving Vincent" display="https://en.wikipedia.org/wiki/Loving_Vincent"/>
    <hyperlink ref="F88" r:id="rId338" tooltip="Poland" display="https://en.wikipedia.org/wiki/Poland"/>
    <hyperlink ref="B171" r:id="rId339" tooltip="Woodshock" display="https://en.wikipedia.org/wiki/Woodshock"/>
    <hyperlink ref="C171" r:id="rId340" tooltip="A24 (company)" display="https://en.wikipedia.org/wiki/A24_(company)"/>
    <hyperlink ref="B164" r:id="rId341" tooltip="Victoria &amp; Abdul" display="https://en.wikipedia.org/wiki/Victoria_%26_Abdul"/>
    <hyperlink ref="B232" r:id="rId342" tooltip="My Little Pony: The Movie (2017 film)" display="https://en.wikipedia.org/wiki/My_Little_Pony:_The_Movie_(2017_film)"/>
    <hyperlink ref="B176" r:id="rId343" tooltip="Jeepers Creepers 3" display="https://en.wikipedia.org/wiki/Jeepers_Creepers_3"/>
    <hyperlink ref="B249" r:id="rId344" tooltip="American Made (film)" display="https://en.wikipedia.org/wiki/American_Made_(film)"/>
    <hyperlink ref="B55" r:id="rId345" tooltip="Flatliners (2017 film)" display="https://en.wikipedia.org/wiki/Flatliners_(2017_film)"/>
    <hyperlink ref="B90" r:id="rId346" tooltip="Mark Felt: The Man Who Brought Down the White House" display="https://en.wikipedia.org/wiki/Mark_Felt:_The_Man_Who_Brought_Down_the_White_House"/>
    <hyperlink ref="B250" r:id="rId347" tooltip="Blade Runner 2049" display="https://en.wikipedia.org/wiki/Blade_Runner_2049"/>
    <hyperlink ref="B239" r:id="rId348" tooltip="The Mountain Between Us (film)" display="https://en.wikipedia.org/wiki/The_Mountain_Between_Us_(film)"/>
    <hyperlink ref="B135" r:id="rId349" tooltip="The Florida Project" display="https://en.wikipedia.org/wiki/The_Florida_Project"/>
    <hyperlink ref="C135" r:id="rId350" tooltip="A24 (company)" display="https://en.wikipedia.org/wiki/A24_(company)"/>
    <hyperlink ref="B33" r:id="rId351" tooltip="Brawl in Cell Block 99" display="https://en.wikipedia.org/wiki/Brawl_in_Cell_Block_99"/>
    <hyperlink ref="C33" r:id="rId352" tooltip="RLJ Entertainment" display="https://en.wikipedia.org/wiki/RLJ_Entertainment"/>
    <hyperlink ref="B103" r:id="rId353" tooltip="Outrage Coda" display="https://en.wikipedia.org/wiki/Outrage_Coda"/>
    <hyperlink ref="C103" r:id="rId354" tooltip="Warner Bros." display="https://en.wikipedia.org/wiki/Warner_Bros."/>
    <hyperlink ref="D103" r:id="rId355" tooltip="Takeshi Kitano" display="https://en.wikipedia.org/wiki/Takeshi_Kitano"/>
    <hyperlink ref="B184" r:id="rId356" tooltip="Thor: Ragnarok" display="https://en.wikipedia.org/wiki/Thor:_Ragnarok"/>
    <hyperlink ref="C184" r:id="rId357" tooltip="Marvel Studios" display="https://en.wikipedia.org/wiki/Marvel_Studios"/>
    <hyperlink ref="B65" r:id="rId358" tooltip="Happy Death Day" display="https://en.wikipedia.org/wiki/Happy_Death_Day"/>
    <hyperlink ref="B136" r:id="rId359" tooltip="The Foreigner (2017 film)" display="https://en.wikipedia.org/wiki/The_Foreigner_(2017_film)"/>
    <hyperlink ref="B34" r:id="rId360" tooltip="Breathe (2017 film)" display="https://en.wikipedia.org/wiki/Breathe_(2017_film)"/>
    <hyperlink ref="B109" r:id="rId361" tooltip="Professor Marston and the Wonder Women" display="https://en.wikipedia.org/wiki/Professor_Marston_and_the_Wonder_Women"/>
    <hyperlink ref="C109" r:id="rId362" tooltip="Annapurna Pictures" display="https://en.wikipedia.org/wiki/Annapurna_Pictures"/>
    <hyperlink ref="B30" r:id="rId363" tooltip="Blood Money (2017 film)" display="https://en.wikipedia.org/wiki/Blood_Money_(2017_film)"/>
    <hyperlink ref="C30" r:id="rId364" tooltip="Saban Capital Group" display="https://en.wikipedia.org/wiki/Saban_Capital_Group"/>
    <hyperlink ref="B170" r:id="rId365" tooltip="Wonder Wheel (film)" display="https://en.wikipedia.org/wiki/Wonder_Wheel_(film)"/>
    <hyperlink ref="C170" r:id="rId366" tooltip="Amazon Studios" display="https://en.wikipedia.org/wiki/Amazon_Studios"/>
    <hyperlink ref="B180" r:id="rId367" tooltip="The Snowman (2017 film)" display="https://en.wikipedia.org/wiki/The_Snowman_(2017_film)"/>
    <hyperlink ref="B57" r:id="rId368" tooltip="Geostorm" display="https://en.wikipedia.org/wiki/Geostorm"/>
    <hyperlink ref="B102" r:id="rId369" tooltip="Only the Brave (2017 film)" display="https://en.wikipedia.org/wiki/Only_the_Brave_(2017_film)"/>
    <hyperlink ref="C102" r:id="rId370" tooltip="Columbia Pictures" display="https://en.wikipedia.org/wiki/Columbia_Pictures"/>
    <hyperlink ref="B31" r:id="rId371" tooltip="Boo 2! A Madea Halloween" display="https://en.wikipedia.org/wiki/Boo_2!_A_Madea_Halloween"/>
    <hyperlink ref="B114" r:id="rId372" tooltip="Same Kind of Different as Me (film)" display="https://en.wikipedia.org/wiki/Same_Kind_of_Different_as_Me_(film)"/>
    <hyperlink ref="B82" r:id="rId373" tooltip="Leatherface (2017 film)" display="https://en.wikipedia.org/wiki/Leatherface_(2017_film)"/>
    <hyperlink ref="B142" r:id="rId374" tooltip="The Killing of a Sacred Deer" display="https://en.wikipedia.org/wiki/The_Killing_of_a_Sacred_Deer"/>
    <hyperlink ref="C142" r:id="rId375" tooltip="A24 (company)" display="https://en.wikipedia.org/wiki/A24_(company)"/>
    <hyperlink ref="B41" r:id="rId376" tooltip="Coco (2017 film)" display="https://en.wikipedia.org/wiki/Coco_(2017_film)"/>
    <hyperlink ref="B76" r:id="rId377" tooltip="Justice League (film)" display="https://en.wikipedia.org/wiki/Justice_League_(film)"/>
    <hyperlink ref="B233" r:id="rId378" tooltip="Thank You for Your Service (2017 film)" display="https://en.wikipedia.org/wiki/Thank_You_for_Your_Service_(2017_film)"/>
    <hyperlink ref="B123" r:id="rId379" tooltip="Suburbicon" display="https://en.wikipedia.org/wiki/Suburbicon"/>
    <hyperlink ref="C123" r:id="rId380" tooltip="Paramount Pictures" display="https://en.wikipedia.org/wiki/Paramount_Pictures"/>
    <hyperlink ref="B75" r:id="rId381" tooltip="Jigsaw (2017 film)" display="https://en.wikipedia.org/wiki/Jigsaw_(2017_film)"/>
    <hyperlink ref="B101" r:id="rId382" tooltip="Novitiate (film)" display="https://en.wikipedia.org/wiki/Novitiate_(film)"/>
    <hyperlink ref="C101" r:id="rId383" tooltip="Sony Pictures Classics" display="https://en.wikipedia.org/wiki/Sony_Pictures_Classics"/>
    <hyperlink ref="B15" r:id="rId384" tooltip="All I See Is You (film)" display="https://en.wikipedia.org/wiki/All_I_See_Is_You_(film)"/>
    <hyperlink ref="C15" r:id="rId385" tooltip="Open Road Films" display="https://en.wikipedia.org/wiki/Open_Road_Films"/>
    <hyperlink ref="B157" r:id="rId386" tooltip="The Unknown Soldier (2017 film)" display="https://en.wikipedia.org/wiki/The_Unknown_Soldier_(2017_film)"/>
    <hyperlink ref="C157" r:id="rId387" tooltip="SF Studios" display="https://en.wikipedia.org/wiki/SF_Studios"/>
    <hyperlink ref="F157" r:id="rId388" tooltip="Finland" display="https://en.wikipedia.org/wiki/Finland"/>
    <hyperlink ref="B243" r:id="rId389" tooltip="Amityville: The Awakening" display="https://en.wikipedia.org/wiki/Amityville:_The_Awakening"/>
    <hyperlink ref="B221" r:id="rId390" tooltip="Murder on the Orient Express (2017 film)" display="https://en.wikipedia.org/wiki/Murder_on_the_Orient_Express_(2017_film)"/>
    <hyperlink ref="B228" r:id="rId391" tooltip="A Bad Moms Christmas" display="https://en.wikipedia.org/wiki/A_Bad_Moms_Christmas"/>
    <hyperlink ref="B81" r:id="rId392" tooltip="Last Flag Flying" display="https://en.wikipedia.org/wiki/Last_Flag_Flying"/>
    <hyperlink ref="C81" r:id="rId393" tooltip="Amazon Studios" display="https://en.wikipedia.org/wiki/Amazon_Studios"/>
    <hyperlink ref="B220" r:id="rId394" tooltip="Pokémon the Movie: I Choose You!" display="https://en.wikipedia.org/wiki/Pok%C3%A9mon_the_Movie:_I_Choose_You!"/>
    <hyperlink ref="B44" r:id="rId395" tooltip="Daddy's Home 2" display="https://en.wikipedia.org/wiki/Daddy%27s_Home_2"/>
    <hyperlink ref="B199" r:id="rId396" tooltip="Paddington 2" display="https://en.wikipedia.org/wiki/Paddington_2"/>
    <hyperlink ref="F199" r:id="rId397" tooltip="UK" display="https://en.wikipedia.org/wiki/UK"/>
    <hyperlink ref="B91" r:id="rId398" tooltip="Mayhem (film)" display="https://en.wikipedia.org/wiki/Mayhem_(film)"/>
    <hyperlink ref="B147" r:id="rId399" tooltip="The Man Who Invented Christmas (film)" display="https://en.wikipedia.org/wiki/The_Man_Who_Invented_Christmas_(film)"/>
    <hyperlink ref="C147" r:id="rId400" tooltip="Bleecker Street (company)" display="https://en.wikipedia.org/wiki/Bleecker_Street_(company)"/>
    <hyperlink ref="B183" r:id="rId401" tooltip="The Star (2017 film)" display="https://en.wikipedia.org/wiki/The_Star_(2017_film)"/>
    <hyperlink ref="B187" r:id="rId402" tooltip="Wonder (film)" display="https://en.wikipedia.org/wiki/Wonder_(film)"/>
    <hyperlink ref="B266" r:id="rId403" tooltip="Cook Off!" display="https://en.wikipedia.org/wiki/Cook_Off!"/>
    <hyperlink ref="C266" r:id="rId404" tooltip="Lionsgate Premiere" display="https://en.wikipedia.org/wiki/Lionsgate_Premiere"/>
    <hyperlink ref="B96" r:id="rId405" tooltip="Mr. Roosevelt" display="https://en.wikipedia.org/wiki/Mr._Roosevelt"/>
    <hyperlink ref="B113" r:id="rId406" tooltip="Roman J. Israel, Esq." display="https://en.wikipedia.org/wiki/Roman_J._Israel,_Esq."/>
    <hyperlink ref="B214" r:id="rId407" tooltip="Call Me by Your Name (film)" display="https://en.wikipedia.org/wiki/Call_Me_by_Your_Name_(film)"/>
    <hyperlink ref="C214" r:id="rId408" tooltip="Sony Pictures Classics" display="https://en.wikipedia.org/wiki/Sony_Pictures_Classics"/>
    <hyperlink ref="B177" r:id="rId409" tooltip="Pitch Perfect 3" display="https://en.wikipedia.org/wiki/Pitch_Perfect_3"/>
    <hyperlink ref="C177" r:id="rId410" tooltip="Universal Pictures" display="https://en.wikipedia.org/wiki/Universal_Pictures"/>
    <hyperlink ref="B236" r:id="rId411" tooltip="The Disaster Artist (film)" display="https://en.wikipedia.org/wiki/The_Disaster_Artist_(film)"/>
    <hyperlink ref="B155" r:id="rId412" tooltip="The Shape of Water (film)" display="https://en.wikipedia.org/wiki/The_Shape_of_Water_(film)"/>
    <hyperlink ref="C155" r:id="rId413" tooltip="Fox Searchlight Pictures" display="https://en.wikipedia.org/wiki/Fox_Searchlight_Pictures"/>
    <hyperlink ref="B238" r:id="rId414" tooltip="Jumanji: Welcome to the Jungle" display="https://en.wikipedia.org/wiki/Jumanji:_Welcome_to_the_Jungle"/>
    <hyperlink ref="C238" r:id="rId415" tooltip="Columbia Pictures" display="https://en.wikipedia.org/wiki/Columbia_Pictures"/>
    <hyperlink ref="B191" r:id="rId416" tooltip="Just Getting Started (film)" display="https://en.wikipedia.org/wiki/Just_Getting_Started_(film)"/>
    <hyperlink ref="C191" r:id="rId417" tooltip="Broad Green Pictures" display="https://en.wikipedia.org/wiki/Broad_Green_Pictures"/>
    <hyperlink ref="B141" r:id="rId418" tooltip="The Greatest Showman" display="https://en.wikipedia.org/wiki/The_Greatest_Showman"/>
    <hyperlink ref="B195" r:id="rId419" tooltip="Star Wars: The Last Jedi" display="https://en.wikipedia.org/wiki/Star_Wars:_The_Last_Jedi"/>
    <hyperlink ref="C195" r:id="rId420" tooltip="Lucasfilm Ltd." display="https://en.wikipedia.org/wiki/Lucasfilm_Ltd."/>
    <hyperlink ref="B267" r:id="rId421" tooltip="Ferdinand (film)" display="https://en.wikipedia.org/wiki/Ferdinand_(film)"/>
    <hyperlink ref="B198" r:id="rId422" tooltip="Phantom Thread" display="https://en.wikipedia.org/wiki/Phantom_Thread"/>
    <hyperlink ref="B186" r:id="rId423" tooltip="The Post (film)" display="https://en.wikipedia.org/wiki/The_Post_(film)"/>
    <hyperlink ref="B217" r:id="rId424" tooltip="Beyond Skyline" display="https://en.wikipedia.org/wiki/Beyond_Skyline"/>
    <hyperlink ref="C217" r:id="rId425" tooltip="Vertical Entertainment" display="https://en.wikipedia.org/wiki/Vertical_Entertainment"/>
    <hyperlink ref="C106" r:id="rId426" tooltip="Magnolia Pictures" display="https://en.wikipedia.org/wiki/Magnolia_Pictures"/>
    <hyperlink ref="B194" r:id="rId427" tooltip="All the Money in the World" display="https://en.wikipedia.org/wiki/All_the_Money_in_the_World"/>
    <hyperlink ref="C194" r:id="rId428" tooltip="TriStar Pictures" display="https://en.wikipedia.org/wiki/TriStar_Pictures"/>
    <hyperlink ref="B218" r:id="rId429" tooltip="Father Figures" display="https://en.wikipedia.org/wiki/Father_Figures"/>
    <hyperlink ref="B35" r:id="rId430" tooltip="Bright (film)" display="https://en.wikipedia.org/wiki/Bright_(film)"/>
    <hyperlink ref="C35" r:id="rId431" tooltip="Netflix" display="https://en.wikipedia.org/wiki/Netflix"/>
    <hyperlink ref="B43" r:id="rId432" tooltip="Crooked House (film)" display="https://en.wikipedia.org/wiki/Crooked_House_(film)"/>
    <hyperlink ref="B66" r:id="rId433" tooltip="Hostiles (film)" display="https://en.wikipedia.org/wiki/Hostiles_(film)"/>
    <hyperlink ref="C66" r:id="rId434" tooltip="Entertainment Studios" display="https://en.wikipedia.org/wiki/Entertainment_Studio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9</vt:i4>
      </vt:variant>
    </vt:vector>
  </HeadingPairs>
  <TitlesOfParts>
    <vt:vector size="9" baseType="lpstr">
      <vt:lpstr>BOM</vt:lpstr>
      <vt:lpstr>BOM2013</vt:lpstr>
      <vt:lpstr>BOM2014</vt:lpstr>
      <vt:lpstr>BOM2015</vt:lpstr>
      <vt:lpstr>BOM2016</vt:lpstr>
      <vt:lpstr>BOM2011</vt:lpstr>
      <vt:lpstr>BOM2010</vt:lpstr>
      <vt:lpstr>BOM2017</vt:lpstr>
      <vt:lpstr>Wiki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Nordström</dc:creator>
  <cp:lastModifiedBy>Microsoft Office-användare</cp:lastModifiedBy>
  <dcterms:created xsi:type="dcterms:W3CDTF">2018-01-24T19:01:22Z</dcterms:created>
  <dcterms:modified xsi:type="dcterms:W3CDTF">2018-04-05T10:02:35Z</dcterms:modified>
</cp:coreProperties>
</file>